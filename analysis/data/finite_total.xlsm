
<file path=[Content_Types].xml><?xml version="1.0" encoding="utf-8"?>
<Types xmlns="http://schemas.openxmlformats.org/package/2006/content-type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pivotCache/pivotCacheDefinition3.xml" ContentType="application/vnd.openxmlformats-officedocument.spreadsheetml.pivotCacheDefinition+xml"/>
  <Override PartName="/xl/pivotCache/pivotCacheRecords3.xml" ContentType="application/vnd.openxmlformats-officedocument.spreadsheetml.pivotCacheRecords+xml"/>
  <Override PartName="/xl/pivotCache/pivotCacheDefinition4.xml" ContentType="application/vnd.openxmlformats-officedocument.spreadsheetml.pivotCacheDefinition+xml"/>
  <Override PartName="/xl/pivotCache/pivotCacheRecords4.xml" ContentType="application/vnd.openxmlformats-officedocument.spreadsheetml.pivotCacheRecords+xml"/>
  <Override PartName="/xl/pivotCache/pivotCacheDefinition5.xml" ContentType="application/vnd.openxmlformats-officedocument.spreadsheetml.pivotCacheDefinition+xml"/>
  <Override PartName="/xl/pivotCache/pivotCacheRecords5.xml" ContentType="application/vnd.openxmlformats-officedocument.spreadsheetml.pivotCacheRecords+xml"/>
  <Override PartName="/xl/pivotCache/pivotCacheDefinition6.xml" ContentType="application/vnd.openxmlformats-officedocument.spreadsheetml.pivotCacheDefinition+xml"/>
  <Override PartName="/xl/pivotCache/pivotCacheRecords6.xml" ContentType="application/vnd.openxmlformats-officedocument.spreadsheetml.pivotCacheRecords+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pivotTables/pivotTable1.xml" ContentType="application/vnd.openxmlformats-officedocument.spreadsheetml.pivotTable+xml"/>
  <Override PartName="/xl/drawings/drawing1.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pivotTables/pivotTable2.xml" ContentType="application/vnd.openxmlformats-officedocument.spreadsheetml.pivotTable+xml"/>
  <Override PartName="/xl/drawings/drawing2.xml" ContentType="application/vnd.openxmlformats-officedocument.drawing+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pivotTables/pivotTable3.xml" ContentType="application/vnd.openxmlformats-officedocument.spreadsheetml.pivotTable+xml"/>
  <Override PartName="/xl/drawings/drawing3.xml" ContentType="application/vnd.openxmlformats-officedocument.drawing+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pivotTables/pivotTable4.xml" ContentType="application/vnd.openxmlformats-officedocument.spreadsheetml.pivotTable+xml"/>
  <Override PartName="/xl/drawings/drawing4.xml" ContentType="application/vnd.openxmlformats-officedocument.drawing+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drawings/drawing5.xml" ContentType="application/vnd.openxmlformats-officedocument.drawing+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charts/chart9.xml" ContentType="application/vnd.openxmlformats-officedocument.drawingml.chart+xml"/>
  <Override PartName="/xl/charts/style9.xml" ContentType="application/vnd.ms-office.chartstyle+xml"/>
  <Override PartName="/xl/charts/colors9.xml" ContentType="application/vnd.ms-office.chartcolorstyle+xml"/>
  <Override PartName="/xl/pivotTables/pivotTable5.xml" ContentType="application/vnd.openxmlformats-officedocument.spreadsheetml.pivotTable+xml"/>
  <Override PartName="/xl/drawings/drawing6.xml" ContentType="application/vnd.openxmlformats-officedocument.drawing+xml"/>
  <Override PartName="/xl/charts/chart10.xml" ContentType="application/vnd.openxmlformats-officedocument.drawingml.chart+xml"/>
  <Override PartName="/xl/charts/style10.xml" ContentType="application/vnd.ms-office.chartstyle+xml"/>
  <Override PartName="/xl/charts/colors10.xml" ContentType="application/vnd.ms-office.chartcolorstyle+xml"/>
  <Override PartName="/xl/charts/chart11.xml" ContentType="application/vnd.openxmlformats-officedocument.drawingml.chart+xml"/>
  <Override PartName="/xl/charts/style11.xml" ContentType="application/vnd.ms-office.chartstyle+xml"/>
  <Override PartName="/xl/charts/colors11.xml" ContentType="application/vnd.ms-office.chartcolorstyle+xml"/>
  <Override PartName="/xl/pivotTables/pivotTable6.xml" ContentType="application/vnd.openxmlformats-officedocument.spreadsheetml.pivotTable+xml"/>
  <Override PartName="/xl/drawings/drawing7.xml" ContentType="application/vnd.openxmlformats-officedocument.drawing+xml"/>
  <Override PartName="/xl/charts/chart12.xml" ContentType="application/vnd.openxmlformats-officedocument.drawingml.chart+xml"/>
  <Override PartName="/xl/charts/style12.xml" ContentType="application/vnd.ms-office.chartstyle+xml"/>
  <Override PartName="/xl/charts/colors12.xml" ContentType="application/vnd.ms-office.chartcolorstyle+xml"/>
  <Override PartName="/xl/charts/chart13.xml" ContentType="application/vnd.openxmlformats-officedocument.drawingml.chart+xml"/>
  <Override PartName="/xl/charts/style13.xml" ContentType="application/vnd.ms-office.chartstyle+xml"/>
  <Override PartName="/xl/charts/colors13.xml" ContentType="application/vnd.ms-office.chartcolorstyle+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mc:Ignorable="x15 xr xr6 xr10">
  <fileVersion appName="xl" lastEdited="7" lowestEdited="7" rupBuild="10814"/>
  <workbookPr defaultThemeVersion="166925"/>
  <mc:AlternateContent xmlns:mc="http://schemas.openxmlformats.org/markup-compatibility/2006">
    <mc:Choice Requires="x15">
      <x15ac:absPath xmlns:x15ac="http://schemas.microsoft.com/office/spreadsheetml/2010/11/ac" url="/Users/morganmoyer/Dropbox/morgan_scripts/Stakes/processing/"/>
    </mc:Choice>
  </mc:AlternateContent>
  <xr:revisionPtr revIDLastSave="0" documentId="13_ncr:40009_{31A18801-36F8-4F4D-9B91-166C3B06BF64}" xr6:coauthVersionLast="36" xr6:coauthVersionMax="36" xr10:uidLastSave="{00000000-0000-0000-0000-000000000000}"/>
  <bookViews>
    <workbookView xWindow="0" yWindow="440" windowWidth="24200" windowHeight="14320" activeTab="4"/>
  </bookViews>
  <sheets>
    <sheet name="finite_total" sheetId="1" r:id="rId1"/>
    <sheet name="total pivot" sheetId="2" r:id="rId2"/>
    <sheet name="messing with hists" sheetId="19" r:id="rId3"/>
    <sheet name="hists" sheetId="21" r:id="rId4"/>
    <sheet name="eh" sheetId="22" r:id="rId5"/>
    <sheet name="tot, mo low seen" sheetId="10" r:id="rId6"/>
    <sheet name="mo low seen" sheetId="11" r:id="rId7"/>
    <sheet name="tot exh moh mol seen" sheetId="12" r:id="rId8"/>
    <sheet name="exh moh mol" sheetId="13" r:id="rId9"/>
    <sheet name="tot exh and moh" sheetId="15" r:id="rId10"/>
    <sheet name="exh and mo-h" sheetId="14" r:id="rId11"/>
    <sheet name="tot, mo low chosen" sheetId="5" r:id="rId12"/>
    <sheet name="mo low chosen" sheetId="4" r:id="rId13"/>
    <sheet name="tot exh chosen" sheetId="16" r:id="rId14"/>
    <sheet name="exh chosen" sheetId="6" r:id="rId15"/>
    <sheet name="tot moh chosen" sheetId="18" r:id="rId16"/>
    <sheet name="moh chosen" sheetId="17" r:id="rId17"/>
    <sheet name="Sheet19" sheetId="20" r:id="rId18"/>
  </sheets>
  <definedNames>
    <definedName name="_xlnm._FilterDatabase" localSheetId="0" hidden="1">finite_total!$A$1:$AG$2759</definedName>
    <definedName name="_xlnm._FilterDatabase" localSheetId="11" hidden="1">'tot, mo low chosen'!$A$1:$V$1</definedName>
  </definedNames>
  <calcPr calcId="162913"/>
  <pivotCaches>
    <pivotCache cacheId="16" r:id="rId19"/>
    <pivotCache cacheId="14" r:id="rId20"/>
    <pivotCache cacheId="20" r:id="rId21"/>
    <pivotCache cacheId="24" r:id="rId22"/>
    <pivotCache cacheId="28" r:id="rId23"/>
    <pivotCache cacheId="32" r:id="rId24"/>
  </pivotCaches>
</workbook>
</file>

<file path=xl/calcChain.xml><?xml version="1.0" encoding="utf-8"?>
<calcChain xmlns="http://schemas.openxmlformats.org/spreadsheetml/2006/main">
  <c r="E22" i="21" l="1"/>
  <c r="F25" i="21"/>
  <c r="F24" i="21"/>
  <c r="F23" i="21"/>
  <c r="F22" i="21"/>
  <c r="D23" i="21"/>
  <c r="D24" i="21"/>
  <c r="D25" i="21"/>
  <c r="D22" i="21"/>
  <c r="E23" i="21"/>
  <c r="E25" i="21"/>
  <c r="C24" i="21"/>
  <c r="E24" i="21"/>
  <c r="C25" i="21"/>
  <c r="C23" i="21"/>
  <c r="C22" i="21"/>
  <c r="F17" i="21"/>
  <c r="F16" i="21"/>
  <c r="F15" i="21"/>
  <c r="F14" i="21"/>
  <c r="E17" i="21"/>
  <c r="E16" i="21"/>
  <c r="E15" i="21"/>
  <c r="E14" i="21"/>
  <c r="D17" i="21"/>
  <c r="D16" i="21"/>
  <c r="D15" i="21"/>
  <c r="D14" i="21"/>
  <c r="C17" i="21"/>
  <c r="C16" i="21"/>
  <c r="C15" i="21"/>
  <c r="C14" i="21"/>
  <c r="E6" i="21"/>
  <c r="E7" i="21"/>
  <c r="E8" i="21"/>
  <c r="E5" i="21"/>
  <c r="F6" i="21"/>
  <c r="F7" i="21"/>
  <c r="F8" i="21"/>
  <c r="F5" i="21"/>
  <c r="D5" i="21"/>
  <c r="I5" i="21" s="1"/>
  <c r="D8" i="21"/>
  <c r="D7" i="21"/>
  <c r="I7" i="21" s="1"/>
  <c r="D6" i="21"/>
  <c r="C6" i="21"/>
  <c r="H6" i="21" s="1"/>
  <c r="C8" i="21"/>
  <c r="C7" i="21"/>
  <c r="H7" i="21" s="1"/>
  <c r="C5" i="21"/>
  <c r="H5" i="21" s="1"/>
  <c r="C34" i="17"/>
  <c r="C33" i="17"/>
  <c r="C32" i="17"/>
  <c r="C31" i="17"/>
  <c r="C30" i="17"/>
  <c r="C35" i="17"/>
  <c r="B35" i="17"/>
  <c r="B34" i="17"/>
  <c r="B33" i="17"/>
  <c r="B32" i="17"/>
  <c r="B31" i="17"/>
  <c r="B30" i="17"/>
  <c r="M22" i="17"/>
  <c r="M23" i="17"/>
  <c r="M24" i="17"/>
  <c r="M25" i="17"/>
  <c r="M26" i="17"/>
  <c r="M27" i="17"/>
  <c r="L27" i="17"/>
  <c r="L26" i="17"/>
  <c r="L25" i="17"/>
  <c r="L24" i="17"/>
  <c r="L23" i="17"/>
  <c r="L22" i="17"/>
  <c r="K22" i="17"/>
  <c r="K23" i="17"/>
  <c r="K24" i="17"/>
  <c r="K25" i="17"/>
  <c r="K26" i="17"/>
  <c r="K27" i="17"/>
  <c r="J27" i="17"/>
  <c r="J26" i="17"/>
  <c r="J25" i="17"/>
  <c r="J24" i="17"/>
  <c r="J23" i="17"/>
  <c r="J22" i="17"/>
  <c r="I22" i="17"/>
  <c r="I23" i="17"/>
  <c r="I24" i="17"/>
  <c r="I25" i="17"/>
  <c r="I26" i="17"/>
  <c r="I27" i="17"/>
  <c r="H27" i="17"/>
  <c r="H26" i="17"/>
  <c r="H25" i="17"/>
  <c r="H24" i="17"/>
  <c r="H23" i="17"/>
  <c r="H22" i="17"/>
  <c r="G22" i="17"/>
  <c r="G23" i="17"/>
  <c r="G24" i="17"/>
  <c r="G25" i="17"/>
  <c r="G26" i="17"/>
  <c r="G27" i="17"/>
  <c r="F25" i="17"/>
  <c r="F27" i="17"/>
  <c r="F26" i="17"/>
  <c r="F24" i="17"/>
  <c r="F23" i="17"/>
  <c r="F22" i="17"/>
  <c r="E22" i="17"/>
  <c r="E23" i="17"/>
  <c r="E24" i="17"/>
  <c r="E25" i="17"/>
  <c r="E26" i="17"/>
  <c r="E27" i="17"/>
  <c r="D22" i="17"/>
  <c r="D27" i="17"/>
  <c r="D26" i="17"/>
  <c r="D25" i="17"/>
  <c r="D24" i="17"/>
  <c r="D23" i="17"/>
  <c r="C26" i="17"/>
  <c r="C27" i="17"/>
  <c r="B27" i="17"/>
  <c r="B26" i="17"/>
  <c r="C25" i="17"/>
  <c r="C23" i="17"/>
  <c r="B23" i="17"/>
  <c r="C24" i="17"/>
  <c r="B24" i="17"/>
  <c r="B25" i="17"/>
  <c r="C22" i="17"/>
  <c r="B22" i="17"/>
  <c r="C38" i="6"/>
  <c r="B38" i="6"/>
  <c r="C37" i="6"/>
  <c r="B37" i="6"/>
  <c r="C36" i="6"/>
  <c r="B36" i="6"/>
  <c r="C35" i="6"/>
  <c r="B35" i="6"/>
  <c r="C34" i="6"/>
  <c r="B34" i="6"/>
  <c r="C33" i="6"/>
  <c r="B33" i="6"/>
  <c r="B27" i="6"/>
  <c r="B26" i="6"/>
  <c r="M30" i="6"/>
  <c r="L30" i="6"/>
  <c r="K30" i="6"/>
  <c r="J30" i="6"/>
  <c r="I30" i="6"/>
  <c r="H30" i="6"/>
  <c r="G30" i="6"/>
  <c r="F30" i="6"/>
  <c r="E30" i="6"/>
  <c r="D30" i="6"/>
  <c r="C30" i="6"/>
  <c r="B30" i="6"/>
  <c r="M29" i="6"/>
  <c r="L29" i="6"/>
  <c r="K29" i="6"/>
  <c r="J29" i="6"/>
  <c r="I29" i="6"/>
  <c r="H29" i="6"/>
  <c r="G29" i="6"/>
  <c r="F29" i="6"/>
  <c r="E29" i="6"/>
  <c r="D29" i="6"/>
  <c r="C29" i="6"/>
  <c r="M28" i="6"/>
  <c r="L28" i="6"/>
  <c r="K28" i="6"/>
  <c r="J28" i="6"/>
  <c r="I28" i="6"/>
  <c r="H28" i="6"/>
  <c r="G28" i="6"/>
  <c r="F28" i="6"/>
  <c r="E28" i="6"/>
  <c r="D28" i="6"/>
  <c r="C28" i="6"/>
  <c r="B28" i="6"/>
  <c r="M27" i="6"/>
  <c r="L27" i="6"/>
  <c r="K27" i="6"/>
  <c r="J27" i="6"/>
  <c r="I27" i="6"/>
  <c r="H27" i="6"/>
  <c r="G27" i="6"/>
  <c r="F27" i="6"/>
  <c r="E27" i="6"/>
  <c r="D27" i="6"/>
  <c r="C27" i="6"/>
  <c r="M26" i="6"/>
  <c r="L26" i="6"/>
  <c r="K26" i="6"/>
  <c r="J26" i="6"/>
  <c r="I26" i="6"/>
  <c r="H26" i="6"/>
  <c r="G26" i="6"/>
  <c r="F26" i="6"/>
  <c r="E26" i="6"/>
  <c r="D26" i="6"/>
  <c r="C26" i="6"/>
  <c r="M25" i="6"/>
  <c r="L25" i="6"/>
  <c r="K25" i="6"/>
  <c r="J25" i="6"/>
  <c r="I25" i="6"/>
  <c r="H25" i="6"/>
  <c r="G25" i="6"/>
  <c r="F25" i="6"/>
  <c r="E25" i="6"/>
  <c r="D25" i="6"/>
  <c r="C25" i="6"/>
  <c r="B25" i="6"/>
  <c r="C34" i="14"/>
  <c r="C35" i="14"/>
  <c r="C36" i="14"/>
  <c r="C37" i="14"/>
  <c r="C38" i="14"/>
  <c r="C33" i="14"/>
  <c r="B34" i="14"/>
  <c r="B35" i="14"/>
  <c r="B36" i="14"/>
  <c r="B37" i="14"/>
  <c r="B38" i="14"/>
  <c r="B33" i="14"/>
  <c r="M25" i="14"/>
  <c r="M26" i="14"/>
  <c r="M27" i="14"/>
  <c r="M28" i="14"/>
  <c r="M29" i="14"/>
  <c r="M30" i="14"/>
  <c r="L30" i="14"/>
  <c r="L29" i="14"/>
  <c r="L28" i="14"/>
  <c r="L27" i="14"/>
  <c r="L26" i="14"/>
  <c r="L25" i="14"/>
  <c r="K25" i="14"/>
  <c r="K26" i="14"/>
  <c r="K27" i="14"/>
  <c r="K28" i="14"/>
  <c r="K29" i="14"/>
  <c r="K30" i="14"/>
  <c r="J25" i="14"/>
  <c r="J30" i="14"/>
  <c r="J29" i="14"/>
  <c r="J28" i="14"/>
  <c r="J27" i="14"/>
  <c r="J26" i="14"/>
  <c r="I25" i="14"/>
  <c r="I26" i="14"/>
  <c r="I27" i="14"/>
  <c r="I28" i="14"/>
  <c r="I29" i="14"/>
  <c r="I30" i="14"/>
  <c r="H26" i="14"/>
  <c r="H25" i="14"/>
  <c r="H30" i="14"/>
  <c r="H29" i="14"/>
  <c r="H28" i="14"/>
  <c r="H27" i="14"/>
  <c r="G25" i="14"/>
  <c r="G26" i="14"/>
  <c r="G27" i="14"/>
  <c r="G28" i="14"/>
  <c r="G29" i="14"/>
  <c r="G30" i="14"/>
  <c r="F30" i="14"/>
  <c r="F29" i="14"/>
  <c r="F28" i="14"/>
  <c r="F26" i="14"/>
  <c r="F27" i="14"/>
  <c r="F25" i="14"/>
  <c r="E25" i="14"/>
  <c r="E26" i="14"/>
  <c r="E27" i="14"/>
  <c r="E28" i="14"/>
  <c r="E29" i="14"/>
  <c r="E30" i="14"/>
  <c r="D30" i="14"/>
  <c r="D29" i="14"/>
  <c r="D28" i="14"/>
  <c r="D27" i="14"/>
  <c r="D26" i="14"/>
  <c r="D25" i="14"/>
  <c r="C30" i="14"/>
  <c r="B30" i="14"/>
  <c r="C25" i="14"/>
  <c r="C26" i="14"/>
  <c r="C27" i="14"/>
  <c r="C28" i="14"/>
  <c r="C29" i="14"/>
  <c r="B28" i="14"/>
  <c r="B27" i="14"/>
  <c r="B26" i="14"/>
  <c r="B25" i="14"/>
  <c r="C36" i="13"/>
  <c r="C35" i="13"/>
  <c r="C34" i="13"/>
  <c r="C33" i="13"/>
  <c r="B34" i="13"/>
  <c r="B35" i="13"/>
  <c r="B36" i="13"/>
  <c r="B33" i="13"/>
  <c r="M23" i="13"/>
  <c r="M24" i="13"/>
  <c r="M25" i="13"/>
  <c r="M26" i="13"/>
  <c r="L23" i="13"/>
  <c r="L26" i="13"/>
  <c r="L25" i="13"/>
  <c r="L24" i="13"/>
  <c r="K23" i="13"/>
  <c r="K24" i="13"/>
  <c r="K25" i="13"/>
  <c r="K26" i="13"/>
  <c r="J23" i="13"/>
  <c r="J26" i="13"/>
  <c r="J25" i="13"/>
  <c r="J24" i="13"/>
  <c r="I23" i="13"/>
  <c r="I24" i="13"/>
  <c r="I25" i="13"/>
  <c r="I26" i="13"/>
  <c r="H26" i="13"/>
  <c r="H25" i="13"/>
  <c r="H24" i="13"/>
  <c r="H23" i="13"/>
  <c r="G26" i="13"/>
  <c r="F26" i="13"/>
  <c r="E26" i="13"/>
  <c r="D26" i="13"/>
  <c r="C26" i="13"/>
  <c r="B26" i="13"/>
  <c r="G25" i="13"/>
  <c r="G24" i="13"/>
  <c r="G23" i="13"/>
  <c r="F23" i="13"/>
  <c r="F25" i="13"/>
  <c r="F24" i="13"/>
  <c r="E23" i="13"/>
  <c r="E24" i="13"/>
  <c r="E25" i="13"/>
  <c r="D25" i="13"/>
  <c r="D24" i="13"/>
  <c r="D23" i="13"/>
  <c r="C23" i="13"/>
  <c r="C24" i="13"/>
  <c r="C25" i="13"/>
  <c r="B25" i="13"/>
  <c r="B24" i="13"/>
  <c r="B23" i="13"/>
  <c r="C35" i="11"/>
  <c r="C36" i="11"/>
  <c r="C37" i="11"/>
  <c r="C38" i="11"/>
  <c r="C39" i="11"/>
  <c r="C34" i="11"/>
  <c r="B35" i="11"/>
  <c r="B36" i="11"/>
  <c r="B37" i="11"/>
  <c r="B38" i="11"/>
  <c r="B39" i="11"/>
  <c r="B34" i="11"/>
  <c r="M25" i="11"/>
  <c r="M26" i="11"/>
  <c r="M27" i="11"/>
  <c r="M28" i="11"/>
  <c r="M29" i="11"/>
  <c r="M30" i="11"/>
  <c r="L30" i="11"/>
  <c r="L29" i="11"/>
  <c r="L28" i="11"/>
  <c r="L27" i="11"/>
  <c r="L26" i="11"/>
  <c r="L25" i="11"/>
  <c r="K25" i="11"/>
  <c r="K26" i="11"/>
  <c r="K27" i="11"/>
  <c r="K28" i="11"/>
  <c r="K29" i="11"/>
  <c r="K30" i="11"/>
  <c r="J30" i="11"/>
  <c r="J29" i="11"/>
  <c r="J28" i="11"/>
  <c r="J27" i="11"/>
  <c r="J26" i="11"/>
  <c r="J25" i="11"/>
  <c r="I25" i="11"/>
  <c r="I26" i="11"/>
  <c r="I27" i="11"/>
  <c r="I28" i="11"/>
  <c r="I29" i="11"/>
  <c r="I30" i="11"/>
  <c r="H30" i="11"/>
  <c r="H29" i="11"/>
  <c r="H28" i="11"/>
  <c r="H27" i="11"/>
  <c r="H26" i="11"/>
  <c r="H25" i="11"/>
  <c r="G25" i="11"/>
  <c r="G26" i="11"/>
  <c r="G27" i="11"/>
  <c r="G28" i="11"/>
  <c r="G29" i="11"/>
  <c r="G30" i="11"/>
  <c r="F30" i="11"/>
  <c r="F29" i="11"/>
  <c r="F28" i="11"/>
  <c r="F27" i="11"/>
  <c r="F26" i="11"/>
  <c r="F25" i="11"/>
  <c r="E25" i="11"/>
  <c r="E26" i="11"/>
  <c r="E27" i="11"/>
  <c r="E28" i="11"/>
  <c r="E29" i="11"/>
  <c r="E30" i="11"/>
  <c r="D30" i="11"/>
  <c r="D29" i="11"/>
  <c r="D28" i="11"/>
  <c r="D27" i="11"/>
  <c r="D26" i="11"/>
  <c r="D25" i="11"/>
  <c r="C25" i="11"/>
  <c r="C26" i="11"/>
  <c r="C27" i="11"/>
  <c r="C28" i="11"/>
  <c r="C29" i="11"/>
  <c r="C30" i="11"/>
  <c r="B30" i="11"/>
  <c r="B29" i="11"/>
  <c r="B28" i="11"/>
  <c r="B27" i="11"/>
  <c r="B26" i="11"/>
  <c r="B25" i="11"/>
  <c r="C33" i="4"/>
  <c r="C34" i="4"/>
  <c r="C35" i="4"/>
  <c r="C36" i="4"/>
  <c r="C32" i="4"/>
  <c r="B35" i="4"/>
  <c r="B34" i="4"/>
  <c r="B33" i="4"/>
  <c r="B36" i="4"/>
  <c r="B32" i="4"/>
  <c r="C27" i="4"/>
  <c r="D27" i="4"/>
  <c r="E27" i="4"/>
  <c r="F27" i="4"/>
  <c r="G27" i="4"/>
  <c r="H27" i="4"/>
  <c r="I27" i="4"/>
  <c r="J27" i="4"/>
  <c r="K27" i="4"/>
  <c r="L27" i="4"/>
  <c r="M27" i="4"/>
  <c r="C26" i="4"/>
  <c r="D26" i="4"/>
  <c r="E26" i="4"/>
  <c r="F26" i="4"/>
  <c r="G26" i="4"/>
  <c r="H26" i="4"/>
  <c r="I26" i="4"/>
  <c r="J26" i="4"/>
  <c r="K26" i="4"/>
  <c r="L26" i="4"/>
  <c r="M26" i="4"/>
  <c r="C25" i="4"/>
  <c r="D25" i="4"/>
  <c r="E25" i="4"/>
  <c r="F25" i="4"/>
  <c r="G25" i="4"/>
  <c r="H25" i="4"/>
  <c r="I25" i="4"/>
  <c r="J25" i="4"/>
  <c r="K25" i="4"/>
  <c r="L25" i="4"/>
  <c r="M25" i="4"/>
  <c r="B27" i="4"/>
  <c r="B25" i="4"/>
  <c r="B26" i="4"/>
  <c r="C23" i="4"/>
  <c r="C24" i="4"/>
  <c r="D24" i="4"/>
  <c r="E24" i="4"/>
  <c r="F24" i="4"/>
  <c r="G24" i="4"/>
  <c r="H24" i="4"/>
  <c r="I24" i="4"/>
  <c r="J24" i="4"/>
  <c r="K24" i="4"/>
  <c r="L24" i="4"/>
  <c r="M24" i="4"/>
  <c r="E23" i="4"/>
  <c r="D23" i="4"/>
  <c r="F23" i="4"/>
  <c r="G23" i="4"/>
  <c r="H23" i="4"/>
  <c r="I23" i="4"/>
  <c r="J23" i="4"/>
  <c r="K23" i="4"/>
  <c r="L23" i="4"/>
  <c r="M23" i="4"/>
  <c r="B23" i="4"/>
  <c r="B24" i="4"/>
  <c r="H8" i="21" l="1"/>
  <c r="I8" i="21"/>
  <c r="I6" i="21"/>
</calcChain>
</file>

<file path=xl/sharedStrings.xml><?xml version="1.0" encoding="utf-8"?>
<sst xmlns="http://schemas.openxmlformats.org/spreadsheetml/2006/main" count="63946" uniqueCount="780">
  <si>
    <t>subject</t>
  </si>
  <si>
    <t>native_lang</t>
  </si>
  <si>
    <t>age</t>
  </si>
  <si>
    <t>gender</t>
  </si>
  <si>
    <t>trial</t>
  </si>
  <si>
    <t>story</t>
  </si>
  <si>
    <t>reaction_time</t>
  </si>
  <si>
    <t>response_a</t>
  </si>
  <si>
    <t>response_b</t>
  </si>
  <si>
    <t>response_c</t>
  </si>
  <si>
    <t>response_d</t>
  </si>
  <si>
    <t>report_a</t>
  </si>
  <si>
    <t>report_b</t>
  </si>
  <si>
    <t>report_c</t>
  </si>
  <si>
    <t>tag_a</t>
  </si>
  <si>
    <t>tag_b</t>
  </si>
  <si>
    <t>tag_c</t>
  </si>
  <si>
    <t>exhaustive_seen</t>
  </si>
  <si>
    <t>mention_one_high_seen</t>
  </si>
  <si>
    <t>mention_one_low_seen</t>
  </si>
  <si>
    <t>mention_some_high_seen</t>
  </si>
  <si>
    <t>mention_some_low_seen</t>
  </si>
  <si>
    <t>false_report_seen</t>
  </si>
  <si>
    <t>none_of_above_seen</t>
  </si>
  <si>
    <t>exhaustive_chosen</t>
  </si>
  <si>
    <t>mention_one_high_chosen</t>
  </si>
  <si>
    <t>mention_one_low_chosen</t>
  </si>
  <si>
    <t>mention_some_high_chosen</t>
  </si>
  <si>
    <t>mention_some_low_chosen</t>
  </si>
  <si>
    <t>false_report_chosen</t>
  </si>
  <si>
    <t>none_of_above_chosen</t>
  </si>
  <si>
    <t>tense</t>
  </si>
  <si>
    <t>A2MM10557W7PLD</t>
  </si>
  <si>
    <t>english</t>
  </si>
  <si>
    <t>male</t>
  </si>
  <si>
    <t>consent</t>
  </si>
  <si>
    <t>NA</t>
  </si>
  <si>
    <t>past</t>
  </si>
  <si>
    <t>train</t>
  </si>
  <si>
    <t>train_f</t>
  </si>
  <si>
    <t>train_m</t>
  </si>
  <si>
    <t>test</t>
  </si>
  <si>
    <t>test_coffee</t>
  </si>
  <si>
    <t>Cafes D and E.</t>
  </si>
  <si>
    <t>Cafes A and B.</t>
  </si>
  <si>
    <t>Cafe E.</t>
  </si>
  <si>
    <t>ms-l</t>
  </si>
  <si>
    <t>ms-h</t>
  </si>
  <si>
    <t>mo-l</t>
  </si>
  <si>
    <t>test_yarn</t>
  </si>
  <si>
    <t>Stall E.</t>
  </si>
  <si>
    <t>Stalls A and B.</t>
  </si>
  <si>
    <t>Stalls D and E.</t>
  </si>
  <si>
    <t>control</t>
  </si>
  <si>
    <t>control_how</t>
  </si>
  <si>
    <t>test_books</t>
  </si>
  <si>
    <t>Bookstore F.</t>
  </si>
  <si>
    <t>Bookstore E.</t>
  </si>
  <si>
    <t>Bookstores A, B, C, D and E.</t>
  </si>
  <si>
    <t>fa</t>
  </si>
  <si>
    <t>exh</t>
  </si>
  <si>
    <t>test_hair</t>
  </si>
  <si>
    <t>Stylist A.</t>
  </si>
  <si>
    <t>Stylists D and E.</t>
  </si>
  <si>
    <t>Stylist E.</t>
  </si>
  <si>
    <t>mo-h</t>
  </si>
  <si>
    <t>control_why</t>
  </si>
  <si>
    <t>test_shoes</t>
  </si>
  <si>
    <t>Store A.</t>
  </si>
  <si>
    <t>Store E.</t>
  </si>
  <si>
    <t>Stores A and B.</t>
  </si>
  <si>
    <t>control_when</t>
  </si>
  <si>
    <t>test_dentist</t>
  </si>
  <si>
    <t>Dentist E.</t>
  </si>
  <si>
    <t>Dentists A and B.</t>
  </si>
  <si>
    <t>Dentists D and E.</t>
  </si>
  <si>
    <t>control_what</t>
  </si>
  <si>
    <t>exit_quest</t>
  </si>
  <si>
    <t>No%2C the answer would be the same</t>
  </si>
  <si>
    <t>No%2C it was fun</t>
  </si>
  <si>
    <t>interesting</t>
  </si>
  <si>
    <t>A3FFZN4FO3Q789</t>
  </si>
  <si>
    <t>Cafe A.</t>
  </si>
  <si>
    <t>Stall F.</t>
  </si>
  <si>
    <t>Bookstores D and E.</t>
  </si>
  <si>
    <t>Bookstore A.</t>
  </si>
  <si>
    <t>Stores D and E.</t>
  </si>
  <si>
    <t>Stylists A and B.</t>
  </si>
  <si>
    <t>brunch in town</t>
  </si>
  <si>
    <t>none</t>
  </si>
  <si>
    <t>nothing else</t>
  </si>
  <si>
    <t>A1XGI8153WBWFQ</t>
  </si>
  <si>
    <t>Albanian</t>
  </si>
  <si>
    <t>Dentist F.</t>
  </si>
  <si>
    <t>Bookstores A and B.</t>
  </si>
  <si>
    <t>Stalls A, B, C, D and E.</t>
  </si>
  <si>
    <t>Stall A.</t>
  </si>
  <si>
    <t>Stylist F.</t>
  </si>
  <si>
    <t>I would answer exactly the same way because the questions are similar</t>
  </si>
  <si>
    <t>No%2C the task was easy.</t>
  </si>
  <si>
    <t>No comment.</t>
  </si>
  <si>
    <t>A14NSVH4W27CK0</t>
  </si>
  <si>
    <t>Cafe F.</t>
  </si>
  <si>
    <t>Stores A, B, C, D and E.</t>
  </si>
  <si>
    <t>Dentists A, B, C, D and E.</t>
  </si>
  <si>
    <t>i would tell her to go to the parekway cafe down the street.</t>
  </si>
  <si>
    <t>no it was just long</t>
  </si>
  <si>
    <t>ALDWVFR4I0V2D</t>
  </si>
  <si>
    <t>English</t>
  </si>
  <si>
    <t>Store F.</t>
  </si>
  <si>
    <t>No%2C because the two questions essentially ask the same thing.</t>
  </si>
  <si>
    <t>Not really since the sentences were clear. However%2C some of the rankings were ambiguous.</t>
  </si>
  <si>
    <t>No.</t>
  </si>
  <si>
    <t>A3GQR89E66AQJY</t>
  </si>
  <si>
    <t>female</t>
  </si>
  <si>
    <t>Dentist A.</t>
  </si>
  <si>
    <t>Cafes A, B, C, D and E.</t>
  </si>
  <si>
    <t>No%2C I would answer the same. Even though it's worded differently%2C it's asking the same thing.</t>
  </si>
  <si>
    <t>Yes - I often didn't see any difference in the answers and many were just too vague.</t>
  </si>
  <si>
    <t>No - thank you!</t>
  </si>
  <si>
    <t>A25ZLJK1VMAXXQ</t>
  </si>
  <si>
    <t>No%2C because I would pick my favorite restaurants to recommend to the person.</t>
  </si>
  <si>
    <t>No%2C because it's a lot of common sense.</t>
  </si>
  <si>
    <t xml:space="preserve">This was a fun and unique study. </t>
  </si>
  <si>
    <t>A2791MEBSOAD1U</t>
  </si>
  <si>
    <t>Stylists A, B, C, D and E.</t>
  </si>
  <si>
    <t>No%2C I would always give the best options for both questions.</t>
  </si>
  <si>
    <t>no%2C just a little boring</t>
  </si>
  <si>
    <t>nope</t>
  </si>
  <si>
    <t>A34B9FXOCN08RW</t>
  </si>
  <si>
    <t>no seems perfect to me.</t>
  </si>
  <si>
    <t xml:space="preserve">I wondered if I was getting tricked with some of the stuff sounding familiar. hope I did the task ok for you. </t>
  </si>
  <si>
    <t>thank you for allowing me to contribute.</t>
  </si>
  <si>
    <t>A1YIBSKY9U31X6</t>
  </si>
  <si>
    <t>No%2C basically the same question.</t>
  </si>
  <si>
    <t>Tedious.</t>
  </si>
  <si>
    <t>too long!</t>
  </si>
  <si>
    <t>AC5UD8N187QD6</t>
  </si>
  <si>
    <t>Yes%2C I'd answer more comprehensively%2C since s/he's not asking for a recommendation</t>
  </si>
  <si>
    <t xml:space="preserve">Yes%2C it's a bit "thinky" for 9:40 pm. Entertaining though. </t>
  </si>
  <si>
    <t xml:space="preserve">No%2C thanks. </t>
  </si>
  <si>
    <t>A2WWYVKGZZXBOB</t>
  </si>
  <si>
    <t>Yes%2C I'm not good with riddles.</t>
  </si>
  <si>
    <t>A25FNSFSB048DL</t>
  </si>
  <si>
    <t>No as both ask for lists of who serves brunch not anrecommendation</t>
  </si>
  <si>
    <t>Yes some of the clues were confusing</t>
  </si>
  <si>
    <t>It would be interesting to see the correct answers.¬†</t>
  </si>
  <si>
    <t>A10UWP6T47G9TR</t>
  </si>
  <si>
    <t>No. The fact that they are looking for somewhere that serves brunch already implies that they are looking for a restaurant or somewhere that serves food.</t>
  </si>
  <si>
    <t>No. I like language and thinking about the weird rules English can have.</t>
  </si>
  <si>
    <t>I tried to answer the questions to the best of my ability.</t>
  </si>
  <si>
    <t>A20SL254675EOK</t>
  </si>
  <si>
    <t>I would not. It is the same question.</t>
  </si>
  <si>
    <t>no.</t>
  </si>
  <si>
    <t xml:space="preserve">Every time there was an A%2CB%2CC%2CD%2CE%2CF question everyone was right. The person did go to all of them and rated them. </t>
  </si>
  <si>
    <t>A36OS4XKUJF4NB</t>
  </si>
  <si>
    <t>No%2C they are asking the same thing and looking for the same answer%2C they only phrased it a different way</t>
  </si>
  <si>
    <t>No%2C it was easy</t>
  </si>
  <si>
    <t>On the question about Luke%2C Obi-Wan and Darth Vader%2C I misclicked and did not choose an option when I meant to say yes</t>
  </si>
  <si>
    <t>A3QSJY1FFN0N6V</t>
  </si>
  <si>
    <t>I would answer the same for each question because he is asking the same thing%2C the sentences are just worded differently.</t>
  </si>
  <si>
    <t>I thought it was a little challenging because the answers could vary depending on the way you interpret the question.</t>
  </si>
  <si>
    <t>No</t>
  </si>
  <si>
    <t>A1UKAS30R0MFI6</t>
  </si>
  <si>
    <t>No because in both questions the traveler wants to know where to get brunch.</t>
  </si>
  <si>
    <t>No I did not because I was able to read and ID the differences</t>
  </si>
  <si>
    <t>no</t>
  </si>
  <si>
    <t>A3HXIGBCL1CRFS</t>
  </si>
  <si>
    <t>I would not answer differently.</t>
  </si>
  <si>
    <t>Yes. It was confusing.</t>
  </si>
  <si>
    <t>A3A07QA5U733HQ</t>
  </si>
  <si>
    <t>No%2C It's pretty much asking the same question.</t>
  </si>
  <si>
    <t>No%2C it wasn't too difficult. It was kind of challenging but not too difficult.</t>
  </si>
  <si>
    <t>A3FY7A6Z3EVNRX</t>
  </si>
  <si>
    <t xml:space="preserve">English </t>
  </si>
  <si>
    <t>Same question some same answer</t>
  </si>
  <si>
    <t>No fairly straight forward</t>
  </si>
  <si>
    <t>Nope</t>
  </si>
  <si>
    <t>A3SL5QRF7MX2P1</t>
  </si>
  <si>
    <t>No.  I would answer the same because they are the same question.</t>
  </si>
  <si>
    <t>A31X9CV1UWZV8Z</t>
  </si>
  <si>
    <t>No%2C I would answer the same way.</t>
  </si>
  <si>
    <t>A little bit%2C based on the phrasing of questions.</t>
  </si>
  <si>
    <t>A28Q4YJSLGWCL5</t>
  </si>
  <si>
    <t>No. I think the answers to both question would be the same.</t>
  </si>
  <si>
    <t>No. I just thought about whether or not the answer to the questions would be the same.</t>
  </si>
  <si>
    <t>Interesting task!</t>
  </si>
  <si>
    <t>A2ZAORW27PCSU4</t>
  </si>
  <si>
    <t>ENGLISH</t>
  </si>
  <si>
    <t>GOOD KNOWLEGE</t>
  </si>
  <si>
    <t>NO</t>
  </si>
  <si>
    <t>NICE</t>
  </si>
  <si>
    <t>ALJ70B2J04YR7</t>
  </si>
  <si>
    <t>No.  Both questions would propagate answers of restaurants that are located in town that serve a brunch.</t>
  </si>
  <si>
    <t>Yes.  I thought I was fine until the Luke Skywalker question.  He answered correctly%2C but he didn't really KNOW.</t>
  </si>
  <si>
    <t>AJW3PL5UDH4BP</t>
  </si>
  <si>
    <t>No%2C its a restatement of the same question.</t>
  </si>
  <si>
    <t>a little%2C alot of reading small text</t>
  </si>
  <si>
    <t>A3O6OQEIHB2MYB</t>
  </si>
  <si>
    <t>No its basically the same question.</t>
  </si>
  <si>
    <t xml:space="preserve">Not at all. Just basic problem solving </t>
  </si>
  <si>
    <t>thank you!</t>
  </si>
  <si>
    <t>A3EN5H82IBTJGF</t>
  </si>
  <si>
    <t>No. The questions have similar meaning to me.</t>
  </si>
  <si>
    <t>Yes. Everyone knew pieces of I formation and almost no one knew the truth. So I could have checked all the boxes or no one and potentially have been correct.</t>
  </si>
  <si>
    <t>Elaborate please. Instructions unclear when selecting. Like did not mention his father%2C did he know who he was?</t>
  </si>
  <si>
    <t>A2JS70VVJQW2GR</t>
  </si>
  <si>
    <t>A33UMG50QSJ7KS</t>
  </si>
  <si>
    <t>No I wouldn't they both warrant the same answer</t>
  </si>
  <si>
    <t>Lengthy</t>
  </si>
  <si>
    <t>A2PXJTMWGUE5DC</t>
  </si>
  <si>
    <t>No%2C I think those are the same question. They both are asking where brunch is served.</t>
  </si>
  <si>
    <t>Some of it was difficult and a little confusing because of the slight different way the stories were phrased.</t>
  </si>
  <si>
    <t>Thank you.</t>
  </si>
  <si>
    <t>A1B84JJ7ATWVJA</t>
  </si>
  <si>
    <t xml:space="preserve">No%2C both questions are the same </t>
  </si>
  <si>
    <t>a little%2C need to read very carefully</t>
  </si>
  <si>
    <t>ADGH08WUP68ZF</t>
  </si>
  <si>
    <t>I would give the same answers for each question due to the meaning of the question being the same in both questions.</t>
  </si>
  <si>
    <t xml:space="preserve">Sort of yes%2C because some answers seemed ambiguous </t>
  </si>
  <si>
    <t>A2U0XDH72EN978</t>
  </si>
  <si>
    <t xml:space="preserve">yes%2C the second question is better worded to get the best results. I feel like the first questions will result in a lot of restaurant showings while the second question will result in restaurants that serve brunch. </t>
  </si>
  <si>
    <t>no%2C I thought it was fun!</t>
  </si>
  <si>
    <t>thank you</t>
  </si>
  <si>
    <t>A1Y82LKWQQP90M</t>
  </si>
  <si>
    <t>NO. It's basically the same question and will render the same results.</t>
  </si>
  <si>
    <t>No just tedious.</t>
  </si>
  <si>
    <t>A2N2GFB33ZMYGF</t>
  </si>
  <si>
    <t>Yes%2C the first on I would give a list. The second one I would give my recommendation.</t>
  </si>
  <si>
    <t>Yes%2C Some of the questions were tricky.</t>
  </si>
  <si>
    <t>None.</t>
  </si>
  <si>
    <t>A1BBZ5EMNSCZJR</t>
  </si>
  <si>
    <t>No%2C if I don't I wouldn't unless I know something else was better.</t>
  </si>
  <si>
    <t>If you don't know the area and you didn't do any research it would be hard to know this.</t>
  </si>
  <si>
    <t>Location facts%2C and details.</t>
  </si>
  <si>
    <t>a2ytqdlactliba</t>
  </si>
  <si>
    <t>No%2C I wouldn't answer differently because the result is the same%2C where is brunch in town a where ever there is brunch served anyone can go..</t>
  </si>
  <si>
    <t>I was not difficult because it was straightforward.</t>
  </si>
  <si>
    <t>AF8OT1W25HEM7</t>
  </si>
  <si>
    <t>No. I would answer the question the same because they‚Äôre essecentially the same question.</t>
  </si>
  <si>
    <t>A little. Some of them were simple comprehension questions and others seemed like trick questions.</t>
  </si>
  <si>
    <t>A96JK3576FXG5</t>
  </si>
  <si>
    <t>i would like to go for a walk</t>
  </si>
  <si>
    <t>yes%2C there is a little difficult.</t>
  </si>
  <si>
    <t>nice work %2C i do my level very best.</t>
  </si>
  <si>
    <t>A2YLK83DQ6PA5Y</t>
  </si>
  <si>
    <t>No%2C I'd give the same answer--what are you going to do%2C knock at random houses and ask for brunch? Of COURSE you're going to a restaurant.</t>
  </si>
  <si>
    <t>No%2C I'm a fairly voracious reader.</t>
  </si>
  <si>
    <t>Good luck with your study--oh%2C and why the heck is everything centered?</t>
  </si>
  <si>
    <t>ARHBT4K14I7U</t>
  </si>
  <si>
    <t>No the question is the same%2C I would answer the same.</t>
  </si>
  <si>
    <t>not really a little confusing but not hard</t>
  </si>
  <si>
    <t>AECQ7QG4CQP69</t>
  </si>
  <si>
    <t>No.  It's pretty much the same question.</t>
  </si>
  <si>
    <t>A19L8SNH73AX1Z</t>
  </si>
  <si>
    <t xml:space="preserve">No because basically it is the same question </t>
  </si>
  <si>
    <t>Yes because some of the questions were too vague to answer appropriately</t>
  </si>
  <si>
    <t>A2C6HMH2FDM2CI</t>
  </si>
  <si>
    <t>No%2C I would answer the same either way%2C as it is the same question worded differently</t>
  </si>
  <si>
    <t>no It was long%2C but not difficult</t>
  </si>
  <si>
    <t>Hi guys!</t>
  </si>
  <si>
    <t>A3C5G8LGIAW0XL</t>
  </si>
  <si>
    <t>Yes%2C because there will be multitude of places to go for brunch%2C when they ask where? I will be giving my recommendation based on my knowledge and experience.</t>
  </si>
  <si>
    <t xml:space="preserve"> I only found it difficult insofar as me doubting my reading comprehension skills.</t>
  </si>
  <si>
    <t>A0017268R9SKD8U2Y3F</t>
  </si>
  <si>
    <t xml:space="preserve">Yes%2C I would answer differently. One question simply asks to list which restaurants serve brunch while the second question seeks advice on which restaurants to visit for brunch. </t>
  </si>
  <si>
    <t>Here and there it was difficult. I didn't know how to answer questions such as%2C "Do they know where XYZ got coffee from?" Well%2C does it count when an individual only mentions one coffee shop when XYZ actually visited five coffee shops? That was hard.</t>
  </si>
  <si>
    <t>A2F2DDH12YU4AK</t>
  </si>
  <si>
    <t>Yes. The first question requests the set of all restaurants that serve brunch%2C the second question is phrased to request more specifically which restaurant to choose.</t>
  </si>
  <si>
    <t>No. The question all seemed straight forward and simple to answer.</t>
  </si>
  <si>
    <t>No further relevant comment%2C at this time.</t>
  </si>
  <si>
    <t>A3CZ2S6TCQTJBK</t>
  </si>
  <si>
    <t>The first is asking for just locations. The second implies a question of opinion as to "where should I go for brunch."</t>
  </si>
  <si>
    <t>I think it was difficult because for me there was a lot of wiggle room as to what would be a correct answer</t>
  </si>
  <si>
    <t>A2OSK4VP3ZOV7O</t>
  </si>
  <si>
    <t>Yes I would answer differently because the first question asking for which location has brunch and second question is asking for a recommendation for brunch.</t>
  </si>
  <si>
    <t>No. Because it is pretty simple worded and straight forward.</t>
  </si>
  <si>
    <t>great survey!</t>
  </si>
  <si>
    <t>AL7UTA8J27TFK</t>
  </si>
  <si>
    <t>For the 1st question I would give them a "list" of nearby restaurants. To the 2nd question %2C I would tell them to tru Rosie's place around the corner%2C they have good food.</t>
  </si>
  <si>
    <t>Easy%2C It came out naturally.</t>
  </si>
  <si>
    <t>I'd would like to win the lottery.</t>
  </si>
  <si>
    <t>AZ8JL3QNIPY4U</t>
  </si>
  <si>
    <t>Yes%2C I would list the most popular places for brunch in town rather than just what I think is best.</t>
  </si>
  <si>
    <t>No%2C it was very easy.</t>
  </si>
  <si>
    <t>A1CSHXVJJ8BPHH</t>
  </si>
  <si>
    <t>YES I WOULD HAVE ANSWERED THAT DIFFERENTLY FOR SURE WITH A LIST OF PLACES</t>
  </si>
  <si>
    <t>NO NOT AT ALL</t>
  </si>
  <si>
    <t>A2Q1BS4JJ10J8H</t>
  </si>
  <si>
    <t>no%2C It means the same thing and so the answer also would be the same since i would answer by telling the traveler all the places he can go for brunch.</t>
  </si>
  <si>
    <t>no%2C not at all%2C i found it pretty simple and a little enjoyable.</t>
  </si>
  <si>
    <t>nothing i can think of%2C thank you for the opportunity.</t>
  </si>
  <si>
    <t>A3LT7W355XOAKF</t>
  </si>
  <si>
    <t>Yes as some places like food banks or free places may serve a brunch as well.</t>
  </si>
  <si>
    <t>No%2C it all seemed fairly logical and I went by logic.</t>
  </si>
  <si>
    <t>A1CGDMOPDIC7EU</t>
  </si>
  <si>
    <t>Yes because she could possibly go to a cafe or a food stand for lunch and not a restaurant. The first question asks specifically for restaurants whereas the second doesn't.</t>
  </si>
  <si>
    <t xml:space="preserve">Yes%2C because on some I wasn't really sure what it was asking. I felt like some might be a trick question. </t>
  </si>
  <si>
    <t>A3AY0315YWWNXY</t>
  </si>
  <si>
    <t>I would not answer the question differently at all because they are both asking for the same thing.</t>
  </si>
  <si>
    <t>Everything was as simple as could be.</t>
  </si>
  <si>
    <t>Nothing to add%2C thank you.</t>
  </si>
  <si>
    <t>AQKB8JSBEMXK9</t>
  </si>
  <si>
    <t xml:space="preserve">No%2C they're basically both asking the same question. </t>
  </si>
  <si>
    <t xml:space="preserve">Kind of. I didn't know how to answer some of the questions%2C since all the answer choices made sense. </t>
  </si>
  <si>
    <t>A8KX1HFH8NE2Q</t>
  </si>
  <si>
    <t>Yes%2C if a traveler posted those two questions%2C I would probably answer slightly different.  For the question%2C "Which restaurants serve brunch in town?"%2C I would probably give more of an objective answer where I would list every restaurant that serves brunch.  For the question%2C "Where can I go for brunch in town?"%2C I would probably give more of a subjective answer where I would list personal favorites that I recommend.</t>
  </si>
  <si>
    <t xml:space="preserve">I did not find the task difficult.   I think that the instructions were fairly clear.  </t>
  </si>
  <si>
    <t>I would suggest including a progress bar in future iterations of the study as I didn't have a sense as to how many survey questions were remaining. Thanks for the opportunity to participate and good luck with your research!</t>
  </si>
  <si>
    <t>AKHH4W14A6AN9</t>
  </si>
  <si>
    <t>No I think they both asked the same question where to get brunch in town</t>
  </si>
  <si>
    <t>No but I think it's one of those things where it doesn't seem that hard but it's a trick and you actually got it all wrong. I hope I'm wrong.</t>
  </si>
  <si>
    <t xml:space="preserve">Nope. </t>
  </si>
  <si>
    <t>A3KCZB9IL6CVH</t>
  </si>
  <si>
    <t>No. Probably give the same answer to the first question.</t>
  </si>
  <si>
    <t>a little bit%2C as there can be multiple answer based on the situation</t>
  </si>
  <si>
    <t>thanks a lot for the Hit! have a great day!</t>
  </si>
  <si>
    <t>A27K37YQZDPER6</t>
  </si>
  <si>
    <t>No I think both questions would get the same results.  If the question asked for a recommendation that would be different.</t>
  </si>
  <si>
    <t>Not really%2C it was long.</t>
  </si>
  <si>
    <t>A3KE35E6VK782J</t>
  </si>
  <si>
    <t xml:space="preserve">No. I would answer the same. The restaurants that serve brunch. </t>
  </si>
  <si>
    <t>I found it a little difficult at first until I understood the format.</t>
  </si>
  <si>
    <t>AA4O2W236E3FW</t>
  </si>
  <si>
    <t xml:space="preserve">I would answer the same probably. </t>
  </si>
  <si>
    <t>No. not really. Just had to put it together right.</t>
  </si>
  <si>
    <t>A1ODA3Q5H6HTDQ</t>
  </si>
  <si>
    <t>No%2C I'd still give them restaurants that served brunch.</t>
  </si>
  <si>
    <t>A little%2C some questions were worded strangely and needed to be reread a few times.</t>
  </si>
  <si>
    <t>N/A</t>
  </si>
  <si>
    <t>AL36KBFL3ORCD</t>
  </si>
  <si>
    <t>Yes I would list more locations to the first question.</t>
  </si>
  <si>
    <t>Yes some things were confusing.</t>
  </si>
  <si>
    <t>Interesting survey%2C thanks!</t>
  </si>
  <si>
    <t>A9HQ3E0F2AGVO</t>
  </si>
  <si>
    <t>I might make sure to offer restaurants and not stands%2C but ultimately it would probably be very similar.</t>
  </si>
  <si>
    <t>Yes; the examples seemed cut and dry but the actual task seemed more ambiguous.</t>
  </si>
  <si>
    <t>A progress bar would have been motivating. Thanks!</t>
  </si>
  <si>
    <t>A1LC7VHVIFI8BP</t>
  </si>
  <si>
    <t>The travel website that compiles millions of holidaymakers' star ratings could.</t>
  </si>
  <si>
    <t>Collect a list of all your tasks.</t>
  </si>
  <si>
    <t>ACFJI8D9OGJTL</t>
  </si>
  <si>
    <t>No%2C I would just give the name of a couple of choices for both questions.</t>
  </si>
  <si>
    <t>It was a little confusing but not bad just had to think harder.</t>
  </si>
  <si>
    <t>fun survey</t>
  </si>
  <si>
    <t>A221N4JDWK8XK0</t>
  </si>
  <si>
    <t>A1KTPYX40PRLVW</t>
  </si>
  <si>
    <t>I would answer in the same way. To me%2C both questions are asking the same thing.</t>
  </si>
  <si>
    <t>Very easy. It was simple to understand.</t>
  </si>
  <si>
    <t>Fun HIT! Thank you. :)</t>
  </si>
  <si>
    <t>AL6WVETPGOW1A</t>
  </si>
  <si>
    <t>A372F1FDPWXBY3</t>
  </si>
  <si>
    <t>I would answer them both the same. I see them both as asking the same thing.</t>
  </si>
  <si>
    <t>Mostly it was not difficult. I just went with my gut feeling.</t>
  </si>
  <si>
    <t>A3V8RZYN8NBK2O</t>
  </si>
  <si>
    <t>No i wouldn't because both questions are the same</t>
  </si>
  <si>
    <t>No%2C it was just super long</t>
  </si>
  <si>
    <t>Nothing%2C good survey</t>
  </si>
  <si>
    <t>A107RJSS561Y7R</t>
  </si>
  <si>
    <t>yes i would answer differently because one question is more specific than the other.</t>
  </si>
  <si>
    <t>no it was simple enough</t>
  </si>
  <si>
    <t>fun!</t>
  </si>
  <si>
    <t>A2NZ7RMSBXESNI</t>
  </si>
  <si>
    <t>No%2C I would say which restaurants serve brunch in town.</t>
  </si>
  <si>
    <t>Not really</t>
  </si>
  <si>
    <t>Thank you</t>
  </si>
  <si>
    <t>A2WKZI3JQCE3Z6</t>
  </si>
  <si>
    <t>I wouldn't because colloquially these are equal.</t>
  </si>
  <si>
    <t>No%2C but I modified my a%2Cb%2Cc%2Cd%2Ce%2Cf answers to include everyone%2C because maybe the friends don't know EVERYWHERE someone shopped but they had partial information.</t>
  </si>
  <si>
    <t>Nah.</t>
  </si>
  <si>
    <t>A5TI9UQEPLNWI</t>
  </si>
  <si>
    <t>Yes%2C I would give just a list of restaurants serving brunch for the "which" question%2C and more of a ranked selection of favorites for the "can" question.</t>
  </si>
  <si>
    <t>Not too difficult. Just tried to give answers based on my first impression.</t>
  </si>
  <si>
    <t>A bit long for a dollar if you want thoughtful answers from the crowd.</t>
  </si>
  <si>
    <t>A1HXEXQTZCJ1DW</t>
  </si>
  <si>
    <t>it's basically the same question so no</t>
  </si>
  <si>
    <t>I didnt really understand the ranking questions</t>
  </si>
  <si>
    <t>A1E1ZAHNCSVLIT</t>
  </si>
  <si>
    <t>No%2C I feel this is basically the same question just rephrased.</t>
  </si>
  <si>
    <t>Yes I was confused with a lot of the wording and the bubble set up.</t>
  </si>
  <si>
    <t>A1FS8SBR4SDWYG</t>
  </si>
  <si>
    <t xml:space="preserve">No%2C because brunch is served at restaurants so it's the same question. </t>
  </si>
  <si>
    <t>Yes. I wasn't sure who knew things -- if it was who knew the entire answer or who had bits and pieces of information.</t>
  </si>
  <si>
    <t>A24L4Y8HCZSUIF</t>
  </si>
  <si>
    <t xml:space="preserve">I would not answer differently because the questions are both asking about eating brunch. It is implied that people eat brunch at a restaurant. </t>
  </si>
  <si>
    <t xml:space="preserve">It was somewhat confusing because it made me realize how wacky the English language can be with ambiguities. </t>
  </si>
  <si>
    <t>No%2C fascinating study that is going to make me question what people really mean when they talk now! %0A</t>
  </si>
  <si>
    <t>A1PAMVTKGCXSWQ</t>
  </si>
  <si>
    <t>Shes asking for the best in the second%2C whereas in the first she is just wondering which restaurants serve brunch.</t>
  </si>
  <si>
    <t>It was fairly simple%2C kind of a lot of reading%2C but simple.</t>
  </si>
  <si>
    <t>A3VD9VK9NLEVMN</t>
  </si>
  <si>
    <t xml:space="preserve">NICE THIS TRAVELERR TRIP ADVISOR THE QESTIONS. </t>
  </si>
  <si>
    <t>NOTHING TO TASK DIFFICULT. THAT IS VERY EASY</t>
  </si>
  <si>
    <t>NOTHING</t>
  </si>
  <si>
    <t>A1IJ86B8ZRKXBI</t>
  </si>
  <si>
    <t>No%2C the questions are equivalent.</t>
  </si>
  <si>
    <t>A269SNLVQZNFE6</t>
  </si>
  <si>
    <t>Romanian</t>
  </si>
  <si>
    <t>I would answer both questions in listing locations that serve brunch in town</t>
  </si>
  <si>
    <t>A3NK47PYLGRNFC</t>
  </si>
  <si>
    <t>No. Both questions specify what exactly they're looking for and where%2C and the structure does not change the meaning of this question.</t>
  </si>
  <si>
    <t>No. It's not a complicated request. I imagine that more subjective%2C open-ended questions may be interpreted differently based on how they're worded%2C but not an objective question like that.</t>
  </si>
  <si>
    <t>AVXEDARJC5HLU</t>
  </si>
  <si>
    <t>Its the same question so no need to answer differently</t>
  </si>
  <si>
    <t>no. Because its simple. And kinda sad that people actually study stuff like this</t>
  </si>
  <si>
    <t>A3QPVH0DRW0ZQV</t>
  </si>
  <si>
    <t>No%2C it would be the same thing. The question is just structured differently.</t>
  </si>
  <si>
    <t>It was not difficult but I definitely have never done a HIT like this before.</t>
  </si>
  <si>
    <t>A30K9F91VNW9BL</t>
  </si>
  <si>
    <t>I think I would give them the best option I knew so that they would have a good experience%2C so either question would have a similar response from me.</t>
  </si>
  <si>
    <t>I am afraid that I did not do this task correctly due to the way it was formatted. The pyramid style of paragraph was confusing.</t>
  </si>
  <si>
    <t>AWAW665TQQP2F</t>
  </si>
  <si>
    <t>No because they basically mean the same thing. If a restaurant serves brunch then you can go there.</t>
  </si>
  <si>
    <t>I did not but I did have to think on a couple of them a bit more because it's a matter of minute details. I like things like this.</t>
  </si>
  <si>
    <t>Thank you for allowing me to participate.</t>
  </si>
  <si>
    <t>A250FES5PFCGK9</t>
  </si>
  <si>
    <t>No. The query would yield the same response.</t>
  </si>
  <si>
    <t>A little. The concept of "knowing" is ambiguous in all instances of third parties.</t>
  </si>
  <si>
    <t>ABI1EI8UQK6LK</t>
  </si>
  <si>
    <t>No. The questions both mean the same thing and require the same answers.</t>
  </si>
  <si>
    <t>Yes%2C on the multiple choice questions that asked who knew something. I would have liked an additional choice "there's no way for us to know". The other questions seemed pretty easy.</t>
  </si>
  <si>
    <t>Thanks!</t>
  </si>
  <si>
    <t>A3JT22BLG866CK</t>
  </si>
  <si>
    <t xml:space="preserve">I would add recommendations for the latter. If it was the former%2C I would just list which restaurants have brunch. </t>
  </si>
  <si>
    <t>No%2C it just takes some time to read.</t>
  </si>
  <si>
    <t>None</t>
  </si>
  <si>
    <t>AGC3T6724JUAF</t>
  </si>
  <si>
    <t>Yes%2C because brunch-specific meals are different than any types of meal that can be eaten during brunch hours.</t>
  </si>
  <si>
    <t>It was too annoying for the payment given to be honest.</t>
  </si>
  <si>
    <t>A2NA2OJT15COZY</t>
  </si>
  <si>
    <t>American English</t>
  </si>
  <si>
    <t>I'd provide a list for the first question%2C but a single recommendation for the second one.</t>
  </si>
  <si>
    <t>No%2C it was fairly straightforward.</t>
  </si>
  <si>
    <t>Nope.</t>
  </si>
  <si>
    <t>AVD6HMIO1HLFI</t>
  </si>
  <si>
    <t>No%2C they are the same question.</t>
  </si>
  <si>
    <t>It was confusing. On many of them%2C I wasn't sure if I should answer that everyone knows%2C or no one knows.  It wasn't clear if the questions were asking about a specific instance%2C or if all of them (A%2C B%2C C%2C etc.) were right.</t>
  </si>
  <si>
    <t>A3DTPUNCHRVGP4</t>
  </si>
  <si>
    <t>The question is the same just written in a different way. The only difference in the answer is the context. In response to the first question I would just give a list of places. In response to the second questions I would say "You can go to...."</t>
  </si>
  <si>
    <t>I didn't think the task was difficult. It seemed straight forward and was interesting to take part in.</t>
  </si>
  <si>
    <t>No additional comments.</t>
  </si>
  <si>
    <t>A1JQ3GAFW1XZYZ</t>
  </si>
  <si>
    <t>present</t>
  </si>
  <si>
    <t>good</t>
  </si>
  <si>
    <t>A251YA0XPAWWIQ</t>
  </si>
  <si>
    <t>A3PLDW841STU8B</t>
  </si>
  <si>
    <t>very good</t>
  </si>
  <si>
    <t>knoweldge</t>
  </si>
  <si>
    <t>A3A4UFCFF9DMW3</t>
  </si>
  <si>
    <t>A1WKF2VH7TV0H2</t>
  </si>
  <si>
    <t>Yes%2C it's 2 different questions.</t>
  </si>
  <si>
    <t>No%2C because it's not hard.</t>
  </si>
  <si>
    <t>ADUACF4TW5833</t>
  </si>
  <si>
    <t>Best Sunday Brunch in Mumbai Menu%2C Photos</t>
  </si>
  <si>
    <t>small bites are served on cocktail sticks.</t>
  </si>
  <si>
    <t>Here are the places to have brunch</t>
  </si>
  <si>
    <t>ABZ1LM3J8REE6</t>
  </si>
  <si>
    <t>the quality is good</t>
  </si>
  <si>
    <t>no because is an knowledgeable task</t>
  </si>
  <si>
    <t>A1WL6K3EUA2WOX</t>
  </si>
  <si>
    <t>SHE SAYS GO FOR THE TOWN</t>
  </si>
  <si>
    <t>NICE TASK</t>
  </si>
  <si>
    <t>A2APHZ2KOI1MPI</t>
  </si>
  <si>
    <t>she is also go for that place so ask that</t>
  </si>
  <si>
    <t>no difficult</t>
  </si>
  <si>
    <t>A1C7XI68SED8JE</t>
  </si>
  <si>
    <t>no%2C it's the same thing</t>
  </si>
  <si>
    <t>A15340BRCER2UO</t>
  </si>
  <si>
    <t>No%2C to me they both mean the same thing</t>
  </si>
  <si>
    <t>It was fine. A little strange and took some concentration%2C but nothing too difficult</t>
  </si>
  <si>
    <t>No further comment%2C thanks</t>
  </si>
  <si>
    <t>AL5UXD1GLG4X0</t>
  </si>
  <si>
    <t>no%2C answer would be the same</t>
  </si>
  <si>
    <t>not too difficult. Just had to pay attention</t>
  </si>
  <si>
    <t>it was interesting</t>
  </si>
  <si>
    <t>A17DXR1QC8GWL8</t>
  </si>
  <si>
    <t>No%2C in essence it is the same question</t>
  </si>
  <si>
    <t>A little%2C some of the questions were ambiguous. For example%2C none of the acquaintances could have been absolutely sure were (e.g.) someone got their knitting yarn from unless they had seen it or heard testimony. So we can't say for sure that they know.</t>
  </si>
  <si>
    <t>A55V2U9UG3Z47</t>
  </si>
  <si>
    <t xml:space="preserve">No%2C I feel both sentences could be used interchangeably. </t>
  </si>
  <si>
    <t xml:space="preserve">No%2C it was actually very interesting to complete. </t>
  </si>
  <si>
    <t>A35BY30TC8WCL4</t>
  </si>
  <si>
    <t>No. I don't see much difference between the two. If the traveler said%2C where should I go%2C it would be different%2C but where can I is asking the same thing as the first question.</t>
  </si>
  <si>
    <t>Don't think so%2C was just straightforward.</t>
  </si>
  <si>
    <t>A39PWM9C4U0TEP</t>
  </si>
  <si>
    <t>Yes%2C I think the first question would just to be list all places that serve brunch.  The second question I would answer with my opinion on what it worth checking out and what is not.</t>
  </si>
  <si>
    <t>A little%2C I wasn't sure if I was correct or not.</t>
  </si>
  <si>
    <t>This was interesting.</t>
  </si>
  <si>
    <t>A1WLRHL0U23N38</t>
  </si>
  <si>
    <t>No%2C because both are asking the same thing about where brunch is served.</t>
  </si>
  <si>
    <t>Not really. Just plain English is simple.</t>
  </si>
  <si>
    <t>AW9WE7LS8R57M</t>
  </si>
  <si>
    <t>wherever she can go to brunch</t>
  </si>
  <si>
    <t>no this is not difficult</t>
  </si>
  <si>
    <t>A1PZIN8H1VI6SY</t>
  </si>
  <si>
    <t>because its more gentil to ask where can i go for brunch in town than the other way to talk%2C allways we need to talk saft and easy to  the persons thats the better way to do the things in your life</t>
  </si>
  <si>
    <t xml:space="preserve">very easy to do </t>
  </si>
  <si>
    <t>very good survey</t>
  </si>
  <si>
    <t>A173XG3NZ7JPT7</t>
  </si>
  <si>
    <t>No.  Both involve restaurants that would serve brunch.  If a restaurant serves brunch then that would be included in my response of where the traveler could go for brunch.</t>
  </si>
  <si>
    <t>I don't think it was difficult but I think it is subjective so I think there could be different responses.</t>
  </si>
  <si>
    <t>No.  Interesting.  Thank you.</t>
  </si>
  <si>
    <t>A10LLZZHZVGWRW</t>
  </si>
  <si>
    <t>Yes - 'which restaurants serve brunch' is a very general question that will generate a long list whereas 'where should I go' will lead me to offer a few choice favorites.</t>
  </si>
  <si>
    <t>a little bit challenging%2C but more because it was different than most surveys than anything in particular.</t>
  </si>
  <si>
    <t>nope - thanks!</t>
  </si>
  <si>
    <t>A2541C8MY0BYV3</t>
  </si>
  <si>
    <t>No. I think they both mean the same thing.</t>
  </si>
  <si>
    <t>Yes because some of the answers sound the same.</t>
  </si>
  <si>
    <t>A2GV053CR3O08G</t>
  </si>
  <si>
    <t>With more spots than ever serving up the city‚Äôs favorite meal of the week%2C restaurants around Pittsburgh have taken brunching to the next level%2C offering so much more than bacon and eggs. From quiet caf√©s to bustling food halls%2C these best-of-the-best spots can help to satisfy your weekend morning cravings for French toast%2C eggs Benedict%2C and cocktails that were made for day-drinking.</t>
  </si>
  <si>
    <t xml:space="preserve">IT INTEREST TO KNOW MORE </t>
  </si>
  <si>
    <t>A30UE6DWFNUCWX</t>
  </si>
  <si>
    <t>I will answer it differently%2C since in first question s/he asked which are the restaurants that serve brunch%2C while if s/he asks second question I will answer with one or two restaurant names which are best for him/her according to me.</t>
  </si>
  <si>
    <t>I didn't find it difficult at all. The short scenarios were easy to understand and so are the questions.</t>
  </si>
  <si>
    <t>A2A3X2W4YS9X8A</t>
  </si>
  <si>
    <t>Yes%2C I view the first question as please list all of the possible places.  I view the second one as where do you suggest I go.</t>
  </si>
  <si>
    <t>No%2C it was pretty straight forward.</t>
  </si>
  <si>
    <t>A19D2W1PR68NO</t>
  </si>
  <si>
    <t>No%2C the questions mean essentially the same thing.</t>
  </si>
  <si>
    <t>No%2C I speak English.</t>
  </si>
  <si>
    <t>A26FRAYAIDR4NV</t>
  </si>
  <si>
    <t>yes</t>
  </si>
  <si>
    <t>nice</t>
  </si>
  <si>
    <t>A3JODCUHJMCSA2</t>
  </si>
  <si>
    <t>No%2C it's basically the same question just worded differently</t>
  </si>
  <si>
    <t>Somewhat</t>
  </si>
  <si>
    <t>A03172343NB8PHOPICC1</t>
  </si>
  <si>
    <t>No%2C I think they are basically the same question that would warrant the same answer.</t>
  </si>
  <si>
    <t>A bit difficult because it was a little bit repetitive.</t>
  </si>
  <si>
    <t>Overall%2C I enjoyed it.</t>
  </si>
  <si>
    <t>ADOVF9SBJJK33</t>
  </si>
  <si>
    <t>No because I consider anyplace that serves brunch to be a restaurant as well so it's the same question to me.</t>
  </si>
  <si>
    <t>Sort of. I dont think I did well. Some of the A/B/C/D type questions confused me.</t>
  </si>
  <si>
    <t>A2EW08X2I87RXL</t>
  </si>
  <si>
    <t>No%2C the answer will be same.</t>
  </si>
  <si>
    <t xml:space="preserve">Not difficult%2C because It was interesting </t>
  </si>
  <si>
    <t>ALF9AAZGQP4K5</t>
  </si>
  <si>
    <t>i would asnwer the same unless there were places other than restaurants that serve brunch</t>
  </si>
  <si>
    <t>just aggravating and monotonous</t>
  </si>
  <si>
    <t>A28LPPFS7FW2SD</t>
  </si>
  <si>
    <t>the quality is important</t>
  </si>
  <si>
    <t>no because its to concerntration</t>
  </si>
  <si>
    <t>A38YLXHJTSE5VD</t>
  </si>
  <si>
    <t>other</t>
  </si>
  <si>
    <t>Yes for the first question I would answer all the places you can go for brunch and for the second I would say the places I like.</t>
  </si>
  <si>
    <t>Yes some of them it was hard to determine who knew what.</t>
  </si>
  <si>
    <t>AWZCVOUD0LPT</t>
  </si>
  <si>
    <t>hindi</t>
  </si>
  <si>
    <t>AZCGSVDT79E6X</t>
  </si>
  <si>
    <t>No%2C  they are asking a the same question%2C about what places serve brunch.</t>
  </si>
  <si>
    <t>No%2C it was easy to understand with how the information was presented to me.</t>
  </si>
  <si>
    <t>It was fun and interesting to complete.</t>
  </si>
  <si>
    <t>A3UN1F1EOHKKE6</t>
  </si>
  <si>
    <t>I would answer the same way%2C because I think that both questions are asking the same thing. Brunch is served in restaurants%2C and that fact can be assumed when the question is phrased the second way.</t>
  </si>
  <si>
    <t xml:space="preserve">Sometimes it was difficult because there seemed to be a level of philosophy in some of the questions and answers </t>
  </si>
  <si>
    <t>Nothing else.</t>
  </si>
  <si>
    <t>AXP8EG22MPZY8</t>
  </si>
  <si>
    <t>No I would answer the same</t>
  </si>
  <si>
    <t>No%2C because it is easy</t>
  </si>
  <si>
    <t>A1XATJA7ENOGWB</t>
  </si>
  <si>
    <t>No%2C the traveler is still asking the same thing.</t>
  </si>
  <si>
    <t>A2W5Q0IVJUS7Y6</t>
  </si>
  <si>
    <t>No%2Ca traveler would 0nly go to a restaurant.</t>
  </si>
  <si>
    <t>Yes%2C a little but I think a traveler only go to a restaurant and not somewhere else.</t>
  </si>
  <si>
    <t>AKAPWAUEDPVGV</t>
  </si>
  <si>
    <t>almost every restaurants save the brunch but the specific restaurants are more useful than others</t>
  </si>
  <si>
    <t>it's interesting</t>
  </si>
  <si>
    <t>A39BSJLRE2AQD4</t>
  </si>
  <si>
    <t>Brunch%2C that long and lazy late morning mean which stretches in to the early afternoon.</t>
  </si>
  <si>
    <t>No difficult its very good.</t>
  </si>
  <si>
    <t>Nice</t>
  </si>
  <si>
    <t>A125AOX978LDG7</t>
  </si>
  <si>
    <t>I wouldn‚Äôt answer differently because the questions are the same except they are worded differently.¬†</t>
  </si>
  <si>
    <t>Not at the moment.¬†</t>
  </si>
  <si>
    <t>A20Q6LGMUJLJDG</t>
  </si>
  <si>
    <t>NONE</t>
  </si>
  <si>
    <t>A264G2H7KNNP3C</t>
  </si>
  <si>
    <t>The difference is knowing what places serve brunch%2C -or- what place would I suggest someone go specifically.</t>
  </si>
  <si>
    <t xml:space="preserve">It was not difficult. It felt to be a very simple survey on understanding of language of speech. </t>
  </si>
  <si>
    <t>A2RC8VX4LS3WQW</t>
  </si>
  <si>
    <t>Yes%2C one question is asking for a list of places. While the other one is seeking a recommendation.¬†</t>
  </si>
  <si>
    <t>No%2C tad bit confusing.</t>
  </si>
  <si>
    <t>A12569NJ7KY1KX</t>
  </si>
  <si>
    <t>GRT %0ACOFFE DAY%0ARELIANCE%0A%0A</t>
  </si>
  <si>
    <t>NO ELSE</t>
  </si>
  <si>
    <t>A30FCN88F8DZOT</t>
  </si>
  <si>
    <t>IS THERE IS ANY OTHER RESTAURANTS WHO SERVE BRUNCH IN TOWN ..?</t>
  </si>
  <si>
    <t>NO .. ITS A BIT EASY TO DO IF WE READ THE STATEMENTS CAREFULLY</t>
  </si>
  <si>
    <t>A2W1QLIYADUJU3</t>
  </si>
  <si>
    <t>brunch that long and lazy latter morning mean witch stretches into early afternoon.</t>
  </si>
  <si>
    <t>Nothing because easily understanding</t>
  </si>
  <si>
    <t>nice and this study very useful.</t>
  </si>
  <si>
    <t>A1TSQCY9QR6RM7</t>
  </si>
  <si>
    <t>No%2C the answer would remain the same however I might ask for further clarification as to what kind of restaurant she prefers.</t>
  </si>
  <si>
    <t>Somewhat%2C yes. %0AI found myself inferring when I shouldn't and not sure if that was the acceptable answer.</t>
  </si>
  <si>
    <t>Yes. %0AThere was an inconsistency in one of the questions. In one of the stories%2C the question asks about coworker opinions and the answers refer to relatives. %0ANot sure if that was intentional but I wanted to point it out.%0A Dee asks%2C "Where does Joe go for his dental work?%0ACoworker 1 says%2C "Dentist A."%0A%0ACoworker 2 says%2C "Dentists A and B."%0A%0ACoworker 3 says%2C "Dentists A%2C B%2C C%2C D and E."%0A%0A%0AWho knows where Joe goes for his dental work? (Choose all that apply)%0ARelative 1  Relative 2  Relative 3  No one</t>
  </si>
  <si>
    <t>A1CJZOKUD5J0H1</t>
  </si>
  <si>
    <t>If you‚Äôre looking for a classic French brunch%2C head to Bastille in North Old Town. Choose from cocktails like the Kir Royal or the Parisian Morning with orange juice%2C aperol and sparkling wine%2C paired perfectly with hors d‚Äôoeuvres%2C soups%2C salads and sandwiches. Brunch specialties include the steak and eggs%2C the Galette au Saumon Fum√© and more. Bonus: their brunch desserts will win over any sweets-lover%2C with options like cookies and cream with house-baked cookies and ice cream%2C a rotating menu of bread puddings and more.</t>
  </si>
  <si>
    <t>NO DIFFICULT</t>
  </si>
  <si>
    <t>A2W046PDRTCZW7</t>
  </si>
  <si>
    <t>Both will have similar answers but not the same. For the first question%2C I can give restaurant names while for the second question I can give some brief information about the restaurants.</t>
  </si>
  <si>
    <t>Little bit difficult as few options were confusing and most them were similar to each other.</t>
  </si>
  <si>
    <t>A2SZRPGIEYRCG6</t>
  </si>
  <si>
    <t>NO IDEA</t>
  </si>
  <si>
    <t>A2LV5432PV1S39</t>
  </si>
  <si>
    <t>No they're both the same question.</t>
  </si>
  <si>
    <t>No it was simple to read and understand.</t>
  </si>
  <si>
    <t>A1BZNPQ0H7ZSER</t>
  </si>
  <si>
    <t>No%2C they are both asking which restaurants serve brunch%2C and it should be safe to assume that they have access to any of them.</t>
  </si>
  <si>
    <t>no%2C it seemed straightforward if you stuck with grammar rules</t>
  </si>
  <si>
    <t>AC7Z8O1RETQC4</t>
  </si>
  <si>
    <t>I CHOOSE NEARABLE HOTEL. I WILL EAT TASTY FOOD AND VARIETIES OF FOOD. SO I GO TO BEST HOTEL IN MY TRIP.</t>
  </si>
  <si>
    <t>LITTLE DIFFICULT</t>
  </si>
  <si>
    <t>A15SJZQBR8I3B3</t>
  </si>
  <si>
    <t>No I would not have responded differently. It's the same question.</t>
  </si>
  <si>
    <t xml:space="preserve">At times it was difficult. The reason is because I was second guessing myself. </t>
  </si>
  <si>
    <t>A12IHTKQFQIPD1</t>
  </si>
  <si>
    <t xml:space="preserve">No both questions are nearly identical. </t>
  </si>
  <si>
    <t xml:space="preserve">no%2C because it was multiple choice. </t>
  </si>
  <si>
    <t>A2KPTC4K228GM3</t>
  </si>
  <si>
    <t>I CHOOSE NEARABLE HOTEL TO MY TRIP. I WILL EAT TASTY FOOD AND VARIETIES OF FOOD. SO I GO TO BEST HOTEL IN MY TRIP.%0A%0A</t>
  </si>
  <si>
    <t>NOTHING.THIS SURVEY IS VERY NICE</t>
  </si>
  <si>
    <t>A38JCBX2DD2ILP</t>
  </si>
  <si>
    <t>I CHOOSE NEARABLE HOTEL. I WILL EAT TASTY FOOD AND VARIETIES OF FOOD. SO I GO TO BEST HOTEL IN MY TRIP.%0A%0A</t>
  </si>
  <si>
    <t>DIFFICULT</t>
  </si>
  <si>
    <t>A1Q16A7AICS0C4</t>
  </si>
  <si>
    <t>A1SHLWKA0UH1IS</t>
  </si>
  <si>
    <t xml:space="preserve">For question 1 I'd probably just give a list of all restaurants that serve brunch. For Q2 I'd give the restaurants that I thought served the best brunch. </t>
  </si>
  <si>
    <t xml:space="preserve">A little. A few times I questioned myself%2C thinking there could be more than one answer when I only ended up choosing one. Or choosing all of the sentences in one of the last exercises%2C when two sounded awkward but I could still imagine someone saying them and being understood. </t>
  </si>
  <si>
    <t xml:space="preserve">That was interesting. </t>
  </si>
  <si>
    <t>A23OS0HQ12VVOR</t>
  </si>
  <si>
    <t>No%2C it's the same question but phrased in a different way - they both have the same meaning.</t>
  </si>
  <si>
    <t>Not really%2C some of the tasks were a bit tough but only because of how they were worded</t>
  </si>
  <si>
    <t>A2JIY3NSLQJWAE</t>
  </si>
  <si>
    <t>We began with scones and also ordered pimiento cheese spread for the table‚Äîthis is a Southern restaurant%2C after all. The pimiento cheese spread was perfectly presented‚Äîserved in a mini mason jar atop a wooden rectangular cutting board with crackers%2Cits very interesting</t>
  </si>
  <si>
    <t>nothing%2Cvery nice survey</t>
  </si>
  <si>
    <t>AZXTZQBZ1F4UV</t>
  </si>
  <si>
    <t>it's very difficult</t>
  </si>
  <si>
    <t>no nothing</t>
  </si>
  <si>
    <t>A120PN22KW0VPY</t>
  </si>
  <si>
    <t>I don't think I'd answer differently because I know it's a restaurant. I would just just add more information%2C such as contents of the brunch%2C mapquest%2C and hours open.</t>
  </si>
  <si>
    <t xml:space="preserve">I had to think carefully. Then I needed to re-read most of the ones given. </t>
  </si>
  <si>
    <t>My brain is tired. Just kidding. Thanks.</t>
  </si>
  <si>
    <t>A2JWHS06PQMJ1</t>
  </si>
  <si>
    <t>I would not. Both questions would be answered with names of restaurants that serve brunch in town.</t>
  </si>
  <si>
    <t>Some parts were almost like riddles. They were fun to try to solve.</t>
  </si>
  <si>
    <t>AD6FEEQSW8PRE</t>
  </si>
  <si>
    <t>YES%2C DIFFICULT. VERY TOUGH TO UNDERSTAND.</t>
  </si>
  <si>
    <t>A2TNTYHHICCA3Z</t>
  </si>
  <si>
    <t>NO DIFFICULT TASK VERY EASY</t>
  </si>
  <si>
    <t>VERY NICE</t>
  </si>
  <si>
    <t>AT53IAFG8BTZO</t>
  </si>
  <si>
    <t>no%2C I would provide the same answer if either of the questions were asked%2C because they questions mean the same thing. If it was worried%2C which is the least expensive or which is the best brunch place%2C then that would be different.</t>
  </si>
  <si>
    <t>I found it a little difficult%2C because the questions didn't make a whole lot of sense to me%2C well some of the scenerios</t>
  </si>
  <si>
    <t>n/a</t>
  </si>
  <si>
    <t>A2YCHYBHJESOUD</t>
  </si>
  <si>
    <t>i suggest then you can go to kenny's wood fried grill</t>
  </si>
  <si>
    <t>nothing</t>
  </si>
  <si>
    <t>ADNSFH55XO2F8</t>
  </si>
  <si>
    <t>KFC</t>
  </si>
  <si>
    <t>GOOD</t>
  </si>
  <si>
    <t>A157L6Z8QU3SDE</t>
  </si>
  <si>
    <t xml:space="preserve">I would not answer differently as it is the same core question. </t>
  </si>
  <si>
    <t xml:space="preserve">It was not difficult but the questions were really open and by stretching your mind you can think different answers. I answered literally%2C if they knew the exact answer they were right and if they kind of knew I did not find it correct. </t>
  </si>
  <si>
    <t xml:space="preserve">No. </t>
  </si>
  <si>
    <t>A2VRDE2FHCBMF8</t>
  </si>
  <si>
    <t>Italian</t>
  </si>
  <si>
    <t>I would answer in the same way</t>
  </si>
  <si>
    <t>It wasn't difficult%2C even if I'm not a native speaker</t>
  </si>
  <si>
    <t>Thank you very much for this HIT%2C and best of luck with your research</t>
  </si>
  <si>
    <t>A9EQ4FWCUQVBL</t>
  </si>
  <si>
    <t>yes i would answer different because i have many options to say in the second question.</t>
  </si>
  <si>
    <t xml:space="preserve">no it was really fun and easy to understand </t>
  </si>
  <si>
    <t xml:space="preserve">no%2C thank you </t>
  </si>
  <si>
    <t>A3908297ZI3LES</t>
  </si>
  <si>
    <t>maybe if there was a bar or the hotel served brunch</t>
  </si>
  <si>
    <t>medium%2C took some thought</t>
  </si>
  <si>
    <t>thanx</t>
  </si>
  <si>
    <t>A6EJ7EU0KMGPL</t>
  </si>
  <si>
    <t>No%2C they are both the same question asking about availability. Neither one ask for recommendations which is a different answer.</t>
  </si>
  <si>
    <t>No. All of the text was self-explanatory.</t>
  </si>
  <si>
    <t>A1IJ9VL8YPIE3T</t>
  </si>
  <si>
    <t>prefernot</t>
  </si>
  <si>
    <t xml:space="preserve">go to top rated restaurants </t>
  </si>
  <si>
    <t>A3IYDY7TO808Z3</t>
  </si>
  <si>
    <t>No%2C because both are asking for where brunch is served in town</t>
  </si>
  <si>
    <t>Yes%2C because it's hard to infer context in so few sentences</t>
  </si>
  <si>
    <t>A3DEG7PE4RFCWB</t>
  </si>
  <si>
    <t>we would go for the famous restaurant in this place for brunch in town.</t>
  </si>
  <si>
    <t>Its very difficult to decide.</t>
  </si>
  <si>
    <t>AHZ7C7ETHYX3N</t>
  </si>
  <si>
    <t>I would answer the same%2C it the same question asked in two different ways</t>
  </si>
  <si>
    <t>not difficult but a little confusing</t>
  </si>
  <si>
    <t>AT13EK8JER5C3</t>
  </si>
  <si>
    <t>A1AWHHBTJF1XCH</t>
  </si>
  <si>
    <t>No. I think they both would have the same answer.</t>
  </si>
  <si>
    <t>No. Not difficult just time consuming for such little pay.</t>
  </si>
  <si>
    <t>Yes. This survey takes way to long for the amount of pay. It took me 20 minutes (another 6 mins writing this) to take it so would only pay $3.00 an hour which is not appropriate pay obviously. You should state that in your hit information before we start so we can choose whether to waste our time or not beforehand. You also misrepresent the hit saying we only have to read one story and answer questions about it when really it is a whole series of STORIES and questions. BE HONEST from the start or you will get bad reviews from the workers. Also put a bar across the top telling us our progress so we can see how much longer the hit will take. Once we start we never know when it will end so just keep doing it hoping this is the last question but surveys like these never are and next thing you know its been 20 minutes and you don't want to stop after all the time invested and not get paid anything at all  so just keep going to only get paid a whole dollar. YAY! NOT!! :(</t>
  </si>
  <si>
    <t>A3OB6REG5CGHK1</t>
  </si>
  <si>
    <t>No%2C sounds like the same question</t>
  </si>
  <si>
    <t>A255V2M0CC1G8L</t>
  </si>
  <si>
    <t>WHERE CAN I GO BRUNCH IN TOWN</t>
  </si>
  <si>
    <t>A3RL02A3JRAUS4</t>
  </si>
  <si>
    <t>No%2C they both mean the same thing in the end being both questions are asking where brunch is served.</t>
  </si>
  <si>
    <t>Some questions were more difficult than others as the info was a bit confusing.</t>
  </si>
  <si>
    <t>A13FUEPWBCLBUY</t>
  </si>
  <si>
    <t>No%2C this is asking for the same information but just worded differently.</t>
  </si>
  <si>
    <t>No%2C the answers all seemed like common sense.</t>
  </si>
  <si>
    <t>Fun task!</t>
  </si>
  <si>
    <t>A1V2H0UF94ATWY</t>
  </si>
  <si>
    <t>Yes. "Where can I go for brunch in town?" implies "Where should I go for brunch in town?" because of the type of website the question is being asked on. "Which restaurants serve brunch in town?" just means which restaurants are open for brunch.</t>
  </si>
  <si>
    <t>I found it a little confusing and ambiguous%2C especially the Star Wars questions.</t>
  </si>
  <si>
    <t>A2BZY06YRWGEDL</t>
  </si>
  <si>
    <t xml:space="preserve">It would be the same thing really. You are looking for brunch. </t>
  </si>
  <si>
    <t>No. It was just reading an answering questions</t>
  </si>
  <si>
    <t>A1EQ1LHEEIQ3UA</t>
  </si>
  <si>
    <t>No%2C she's basically asking the same question.</t>
  </si>
  <si>
    <t>A little bit. I wasn't quite sure the answers you were looking for. Most of the questions didn't actually specify where the person went to get something%2C only their recommendations%2C so I usually chose the "No one" option.</t>
  </si>
  <si>
    <t>AJFVK3O1D7SPE</t>
  </si>
  <si>
    <t>No%2C if answer the same because I'm assuming in both instances she's asking for a good place to have brunch and if want to recommend the best I know.</t>
  </si>
  <si>
    <t>A little. Some of the questions were ambiguous and it was tough to decide whether to go with the answer that was probably closer to reality or the options that were technically correct.</t>
  </si>
  <si>
    <t>A10T7GP0TH27RB</t>
  </si>
  <si>
    <t>A1GV1POLY1EHJV</t>
  </si>
  <si>
    <t>restruant</t>
  </si>
  <si>
    <t>A36IYIE23IO4HE</t>
  </si>
  <si>
    <t>no because it is basically asking the same question</t>
  </si>
  <si>
    <t>a little  it was hard to figure out some</t>
  </si>
  <si>
    <t>have a great day</t>
  </si>
  <si>
    <t>APLBF6JY2C1QZ</t>
  </si>
  <si>
    <t>I would answer the same for both questions as it is obvious the traveler is asking for recommendations of where to go eat brunch in both questions.</t>
  </si>
  <si>
    <t xml:space="preserve">It was a little long for the pay and there is no progress bar to know how much is left. </t>
  </si>
  <si>
    <t>AZTHBV93S8U3T</t>
  </si>
  <si>
    <t xml:space="preserve">No%2C for both questions I would think of restaurants. </t>
  </si>
  <si>
    <t>It didn't involve too much critical thinking</t>
  </si>
  <si>
    <t>AY43RJRF8IEBN</t>
  </si>
  <si>
    <t>Yes. "Where can I go" is asking for the best ones. "Which restaurants" is factual.</t>
  </si>
  <si>
    <t>Very. I was never sure what I was supposed to answer.</t>
  </si>
  <si>
    <t>A35KO5LPASBFI9</t>
  </si>
  <si>
    <t>No%2C I think they would be responded to in a similar manner.</t>
  </si>
  <si>
    <t>Grand Total</t>
  </si>
  <si>
    <t>(All)</t>
  </si>
  <si>
    <t>Column Labels</t>
  </si>
  <si>
    <t>Values</t>
  </si>
  <si>
    <t>Sum of exhaustive_seen</t>
  </si>
  <si>
    <t>Sum of mention_one_high_seen</t>
  </si>
  <si>
    <t>Sum of mention_one_low_seen</t>
  </si>
  <si>
    <t>Sum of mention_some_high_seen</t>
  </si>
  <si>
    <t>Sum of mention_some_low_seen</t>
  </si>
  <si>
    <t>Sum of false_report_seen</t>
  </si>
  <si>
    <t>Sum of none_of_above_seen</t>
  </si>
  <si>
    <t>Sum of exhaustive_chosen</t>
  </si>
  <si>
    <t>Sum of mention_one_high_chosen</t>
  </si>
  <si>
    <t>Sum of mention_one_low_chosen</t>
  </si>
  <si>
    <t>Sum of mention_some_high_chosen</t>
  </si>
  <si>
    <t>Sum of mention_some_low_chosen</t>
  </si>
  <si>
    <t>Sum of false_report_chosen</t>
  </si>
  <si>
    <t>Sum of none_of_above_chosen</t>
  </si>
  <si>
    <t>test_books Total</t>
  </si>
  <si>
    <t>test_coffee Total</t>
  </si>
  <si>
    <t>test_dentist Total</t>
  </si>
  <si>
    <t>test_hair Total</t>
  </si>
  <si>
    <t>test_shoes Total</t>
  </si>
  <si>
    <t>test_yarn Total</t>
  </si>
  <si>
    <t>filtered by mo-low chosen</t>
  </si>
  <si>
    <t>books</t>
  </si>
  <si>
    <t>coffee</t>
  </si>
  <si>
    <t>dentist</t>
  </si>
  <si>
    <t>hair</t>
  </si>
  <si>
    <t>shoes</t>
  </si>
  <si>
    <t>yarn</t>
  </si>
  <si>
    <t>none of the above</t>
  </si>
  <si>
    <t>non of the above</t>
  </si>
  <si>
    <t>00</t>
  </si>
  <si>
    <t>01</t>
  </si>
  <si>
    <t>10</t>
  </si>
  <si>
    <t>11</t>
  </si>
  <si>
    <t>sum of seen</t>
  </si>
  <si>
    <t>counts</t>
  </si>
  <si>
    <t>props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</si>
</sst>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fonts count="18" x14ac:knownFonts="1">
    <font>
      <sz val="12"/>
      <color theme="1"/>
      <name val="Calibri"/>
      <family val="2"/>
      <scheme val="minor"/>
    </font>
    <font>
      <sz val="12"/>
      <color theme="1"/>
      <name val="Calibri"/>
      <family val="2"/>
      <scheme val="minor"/>
    </font>
    <font>
      <sz val="18"/>
      <color theme="3"/>
      <name val="Calibri Light"/>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2"/>
      <color rgb="FF006100"/>
      <name val="Calibri"/>
      <family val="2"/>
      <scheme val="minor"/>
    </font>
    <font>
      <sz val="12"/>
      <color rgb="FF9C0006"/>
      <name val="Calibri"/>
      <family val="2"/>
      <scheme val="minor"/>
    </font>
    <font>
      <sz val="12"/>
      <color rgb="FF9C5700"/>
      <name val="Calibri"/>
      <family val="2"/>
      <scheme val="minor"/>
    </font>
    <font>
      <sz val="12"/>
      <color rgb="FF3F3F76"/>
      <name val="Calibri"/>
      <family val="2"/>
      <scheme val="minor"/>
    </font>
    <font>
      <b/>
      <sz val="12"/>
      <color rgb="FF3F3F3F"/>
      <name val="Calibri"/>
      <family val="2"/>
      <scheme val="minor"/>
    </font>
    <font>
      <b/>
      <sz val="12"/>
      <color rgb="FFFA7D00"/>
      <name val="Calibri"/>
      <family val="2"/>
      <scheme val="minor"/>
    </font>
    <font>
      <sz val="12"/>
      <color rgb="FFFA7D00"/>
      <name val="Calibri"/>
      <family val="2"/>
      <scheme val="minor"/>
    </font>
    <font>
      <b/>
      <sz val="12"/>
      <color theme="0"/>
      <name val="Calibri"/>
      <family val="2"/>
      <scheme val="minor"/>
    </font>
    <font>
      <sz val="12"/>
      <color rgb="FFFF0000"/>
      <name val="Calibri"/>
      <family val="2"/>
      <scheme val="minor"/>
    </font>
    <font>
      <i/>
      <sz val="12"/>
      <color rgb="FF7F7F7F"/>
      <name val="Calibri"/>
      <family val="2"/>
      <scheme val="minor"/>
    </font>
    <font>
      <b/>
      <sz val="12"/>
      <color theme="1"/>
      <name val="Calibri"/>
      <family val="2"/>
      <scheme val="minor"/>
    </font>
    <font>
      <sz val="12"/>
      <color theme="0"/>
      <name val="Calibri"/>
      <family val="2"/>
      <scheme val="minor"/>
    </font>
  </fonts>
  <fills count="35">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theme="4" tint="0.79998168889431442"/>
        <bgColor theme="4" tint="0.79998168889431442"/>
      </patternFill>
    </fill>
    <fill>
      <patternFill patternType="solid">
        <fgColor theme="0" tint="-0.14999847407452621"/>
        <bgColor theme="0" tint="-0.14999847407452621"/>
      </patternFill>
    </fill>
  </fills>
  <borders count="11">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right/>
      <top/>
      <bottom style="thin">
        <color theme="4" tint="0.39997558519241921"/>
      </bottom>
      <diagonal/>
    </border>
  </borders>
  <cellStyleXfs count="42">
    <xf numFmtId="0" fontId="0" fillId="0" borderId="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 fillId="32" borderId="0" applyNumberFormat="0" applyBorder="0" applyAlignment="0" applyProtection="0"/>
  </cellStyleXfs>
  <cellXfs count="13">
    <xf numFmtId="0" fontId="0" fillId="0" borderId="0" xfId="0"/>
    <xf numFmtId="0" fontId="0" fillId="0" borderId="0" xfId="0" pivotButton="1"/>
    <xf numFmtId="0" fontId="0" fillId="0" borderId="0" xfId="0" applyAlignment="1">
      <alignment horizontal="left"/>
    </xf>
    <xf numFmtId="0" fontId="0" fillId="0" borderId="0" xfId="0" applyNumberFormat="1"/>
    <xf numFmtId="0" fontId="16" fillId="33" borderId="10" xfId="0" applyFont="1" applyFill="1" applyBorder="1"/>
    <xf numFmtId="0" fontId="16" fillId="33" borderId="0" xfId="0" applyFont="1" applyFill="1"/>
    <xf numFmtId="0" fontId="16" fillId="34" borderId="0" xfId="0" applyFont="1" applyFill="1"/>
    <xf numFmtId="0" fontId="16" fillId="34" borderId="10" xfId="0" applyFont="1" applyFill="1" applyBorder="1"/>
    <xf numFmtId="0" fontId="0" fillId="34" borderId="0" xfId="0" applyNumberFormat="1" applyFill="1"/>
    <xf numFmtId="0" fontId="16" fillId="0" borderId="0" xfId="0" applyFont="1"/>
    <xf numFmtId="49" fontId="0" fillId="0" borderId="0" xfId="0" applyNumberFormat="1"/>
    <xf numFmtId="0" fontId="0" fillId="0" borderId="0" xfId="0" applyAlignment="1">
      <alignment horizontal="center"/>
    </xf>
    <xf numFmtId="0" fontId="0" fillId="0" borderId="0" xfId="0" applyAlignment="1">
      <alignment horizontal="center"/>
    </xf>
  </cellXfs>
  <cellStyles count="42">
    <cellStyle name="20% - Accent1" xfId="19" builtinId="30" customBuiltin="1"/>
    <cellStyle name="20% - Accent2" xfId="23" builtinId="34" customBuiltin="1"/>
    <cellStyle name="20% - Accent3" xfId="27" builtinId="38" customBuiltin="1"/>
    <cellStyle name="20% - Accent4" xfId="31" builtinId="42" customBuiltin="1"/>
    <cellStyle name="20% - Accent5" xfId="35" builtinId="46" customBuiltin="1"/>
    <cellStyle name="20% - Accent6" xfId="39" builtinId="50" customBuiltin="1"/>
    <cellStyle name="40% - Accent1" xfId="20" builtinId="31" customBuiltin="1"/>
    <cellStyle name="40% - Accent2" xfId="24" builtinId="35" customBuiltin="1"/>
    <cellStyle name="40% - Accent3" xfId="28" builtinId="39" customBuiltin="1"/>
    <cellStyle name="40% - Accent4" xfId="32" builtinId="43" customBuiltin="1"/>
    <cellStyle name="40% - Accent5" xfId="36" builtinId="47" customBuiltin="1"/>
    <cellStyle name="40% - Accent6" xfId="40" builtinId="51" customBuiltin="1"/>
    <cellStyle name="60% - Accent1" xfId="21" builtinId="32" customBuiltin="1"/>
    <cellStyle name="60% - Accent2" xfId="25" builtinId="36" customBuiltin="1"/>
    <cellStyle name="60% - Accent3" xfId="29" builtinId="40" customBuiltin="1"/>
    <cellStyle name="60% - Accent4" xfId="33" builtinId="44" customBuiltin="1"/>
    <cellStyle name="60% - Accent5" xfId="37" builtinId="48" customBuiltin="1"/>
    <cellStyle name="60% - Accent6" xfId="41" builtinId="52" customBuiltin="1"/>
    <cellStyle name="Accent1" xfId="18" builtinId="29" customBuiltin="1"/>
    <cellStyle name="Accent2" xfId="22" builtinId="33" customBuiltin="1"/>
    <cellStyle name="Accent3" xfId="26" builtinId="37" customBuiltin="1"/>
    <cellStyle name="Accent4" xfId="30" builtinId="41" customBuiltin="1"/>
    <cellStyle name="Accent5" xfId="34" builtinId="45" customBuiltin="1"/>
    <cellStyle name="Accent6" xfId="38" builtinId="49" customBuiltin="1"/>
    <cellStyle name="Bad" xfId="7" builtinId="27" customBuiltin="1"/>
    <cellStyle name="Calculation" xfId="11" builtinId="22" customBuiltin="1"/>
    <cellStyle name="Check Cell" xfId="13" builtinId="23" customBuiltin="1"/>
    <cellStyle name="Explanatory Text" xfId="16" builtinId="53" customBuiltin="1"/>
    <cellStyle name="Good" xfId="6" builtinId="26" customBuiltin="1"/>
    <cellStyle name="Heading 1" xfId="2" builtinId="16" customBuiltin="1"/>
    <cellStyle name="Heading 2" xfId="3" builtinId="17" customBuiltin="1"/>
    <cellStyle name="Heading 3" xfId="4" builtinId="18" customBuiltin="1"/>
    <cellStyle name="Heading 4" xfId="5" builtinId="19" customBuiltin="1"/>
    <cellStyle name="Input" xfId="9" builtinId="20" customBuiltin="1"/>
    <cellStyle name="Linked Cell" xfId="12" builtinId="24" customBuiltin="1"/>
    <cellStyle name="Neutral" xfId="8" builtinId="28" customBuiltin="1"/>
    <cellStyle name="Normal" xfId="0" builtinId="0"/>
    <cellStyle name="Note" xfId="15" builtinId="10" customBuiltin="1"/>
    <cellStyle name="Output" xfId="10" builtinId="21" customBuiltin="1"/>
    <cellStyle name="Title" xfId="1" builtinId="15" customBuiltin="1"/>
    <cellStyle name="Total" xfId="17" builtinId="25" customBuiltin="1"/>
    <cellStyle name="Warning Text" xfId="14" builtinId="11" customBuiltin="1"/>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styles" Target="styles.xml"/><Relationship Id="rId3" Type="http://schemas.openxmlformats.org/officeDocument/2006/relationships/worksheet" Target="worksheets/sheet3.xml"/><Relationship Id="rId21" Type="http://schemas.openxmlformats.org/officeDocument/2006/relationships/pivotCacheDefinition" Target="pivotCache/pivotCacheDefinition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theme" Target="theme/theme1.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pivotCacheDefinition" Target="pivotCache/pivotCacheDefinition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pivotCacheDefinition" Target="pivotCache/pivotCacheDefinition6.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pivotCacheDefinition" Target="pivotCache/pivotCacheDefinition5.xml"/><Relationship Id="rId28" Type="http://schemas.openxmlformats.org/officeDocument/2006/relationships/calcChain" Target="calcChain.xml"/><Relationship Id="rId10" Type="http://schemas.openxmlformats.org/officeDocument/2006/relationships/worksheet" Target="worksheets/sheet10.xml"/><Relationship Id="rId19" Type="http://schemas.openxmlformats.org/officeDocument/2006/relationships/pivotCacheDefinition" Target="pivotCache/pivotCacheDefinition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pivotCacheDefinition" Target="pivotCache/pivotCacheDefinition4.xml"/><Relationship Id="rId27" Type="http://schemas.openxmlformats.org/officeDocument/2006/relationships/sharedStrings" Target="sharedStrings.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9.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10.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_rels/chart11.xml.rels><?xml version="1.0" encoding="UTF-8" standalone="yes"?>
<Relationships xmlns="http://schemas.openxmlformats.org/package/2006/relationships"><Relationship Id="rId2" Type="http://schemas.microsoft.com/office/2011/relationships/chartColorStyle" Target="colors11.xml"/><Relationship Id="rId1" Type="http://schemas.microsoft.com/office/2011/relationships/chartStyle" Target="style11.xml"/></Relationships>
</file>

<file path=xl/charts/_rels/chart12.xml.rels><?xml version="1.0" encoding="UTF-8" standalone="yes"?>
<Relationships xmlns="http://schemas.openxmlformats.org/package/2006/relationships"><Relationship Id="rId2" Type="http://schemas.microsoft.com/office/2011/relationships/chartColorStyle" Target="colors12.xml"/><Relationship Id="rId1" Type="http://schemas.microsoft.com/office/2011/relationships/chartStyle" Target="style12.xml"/></Relationships>
</file>

<file path=xl/charts/_rels/chart13.xml.rels><?xml version="1.0" encoding="UTF-8" standalone="yes"?>
<Relationships xmlns="http://schemas.openxmlformats.org/package/2006/relationships"><Relationship Id="rId2" Type="http://schemas.microsoft.com/office/2011/relationships/chartColorStyle" Target="colors13.xml"/><Relationship Id="rId1" Type="http://schemas.microsoft.com/office/2011/relationships/chartStyle" Target="style13.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0"/>
          <c:order val="0"/>
          <c:tx>
            <c:strRef>
              <c:f>hists!$B$22</c:f>
              <c:strCache>
                <c:ptCount val="1"/>
                <c:pt idx="0">
                  <c:v>00</c:v>
                </c:pt>
              </c:strCache>
            </c:strRef>
          </c:tx>
          <c:spPr>
            <a:solidFill>
              <a:schemeClr val="accent1"/>
            </a:solidFill>
            <a:ln>
              <a:noFill/>
            </a:ln>
            <a:effectLst/>
          </c:spPr>
          <c:invertIfNegative val="0"/>
          <c:cat>
            <c:multiLvlStrRef>
              <c:f>hists!$C$20:$F$21</c:f>
              <c:multiLvlStrCache>
                <c:ptCount val="4"/>
                <c:lvl>
                  <c:pt idx="0">
                    <c:v>mo-h</c:v>
                  </c:pt>
                  <c:pt idx="1">
                    <c:v>mo-l</c:v>
                  </c:pt>
                  <c:pt idx="2">
                    <c:v>mo-h</c:v>
                  </c:pt>
                  <c:pt idx="3">
                    <c:v>mo-l</c:v>
                  </c:pt>
                </c:lvl>
                <c:lvl>
                  <c:pt idx="0">
                    <c:v>past</c:v>
                  </c:pt>
                  <c:pt idx="2">
                    <c:v>present</c:v>
                  </c:pt>
                </c:lvl>
              </c:multiLvlStrCache>
            </c:multiLvlStrRef>
          </c:cat>
          <c:val>
            <c:numRef>
              <c:f>hists!$C$22:$F$22</c:f>
              <c:numCache>
                <c:formatCode>General</c:formatCode>
                <c:ptCount val="4"/>
                <c:pt idx="0">
                  <c:v>0.16909620991253643</c:v>
                </c:pt>
                <c:pt idx="1">
                  <c:v>0.34402332361516036</c:v>
                </c:pt>
                <c:pt idx="2">
                  <c:v>0.20116618075801748</c:v>
                </c:pt>
                <c:pt idx="3">
                  <c:v>0.31486880466472306</c:v>
                </c:pt>
              </c:numCache>
            </c:numRef>
          </c:val>
          <c:extLst>
            <c:ext xmlns:c16="http://schemas.microsoft.com/office/drawing/2014/chart" uri="{C3380CC4-5D6E-409C-BE32-E72D297353CC}">
              <c16:uniqueId val="{00000000-A74D-6E43-B070-17B48A058A17}"/>
            </c:ext>
          </c:extLst>
        </c:ser>
        <c:ser>
          <c:idx val="1"/>
          <c:order val="1"/>
          <c:tx>
            <c:strRef>
              <c:f>hists!$B$23</c:f>
              <c:strCache>
                <c:ptCount val="1"/>
                <c:pt idx="0">
                  <c:v>01</c:v>
                </c:pt>
              </c:strCache>
            </c:strRef>
          </c:tx>
          <c:spPr>
            <a:solidFill>
              <a:schemeClr val="accent2"/>
            </a:solidFill>
            <a:ln>
              <a:noFill/>
            </a:ln>
            <a:effectLst/>
          </c:spPr>
          <c:invertIfNegative val="0"/>
          <c:cat>
            <c:multiLvlStrRef>
              <c:f>hists!$C$20:$F$21</c:f>
              <c:multiLvlStrCache>
                <c:ptCount val="4"/>
                <c:lvl>
                  <c:pt idx="0">
                    <c:v>mo-h</c:v>
                  </c:pt>
                  <c:pt idx="1">
                    <c:v>mo-l</c:v>
                  </c:pt>
                  <c:pt idx="2">
                    <c:v>mo-h</c:v>
                  </c:pt>
                  <c:pt idx="3">
                    <c:v>mo-l</c:v>
                  </c:pt>
                </c:lvl>
                <c:lvl>
                  <c:pt idx="0">
                    <c:v>past</c:v>
                  </c:pt>
                  <c:pt idx="2">
                    <c:v>present</c:v>
                  </c:pt>
                </c:lvl>
              </c:multiLvlStrCache>
            </c:multiLvlStrRef>
          </c:cat>
          <c:val>
            <c:numRef>
              <c:f>hists!$C$23:$F$23</c:f>
              <c:numCache>
                <c:formatCode>General</c:formatCode>
                <c:ptCount val="4"/>
                <c:pt idx="0">
                  <c:v>0.16909620991253643</c:v>
                </c:pt>
                <c:pt idx="1">
                  <c:v>0.34402332361516036</c:v>
                </c:pt>
                <c:pt idx="2">
                  <c:v>0.20116618075801748</c:v>
                </c:pt>
                <c:pt idx="3">
                  <c:v>0.31486880466472306</c:v>
                </c:pt>
              </c:numCache>
            </c:numRef>
          </c:val>
          <c:extLst>
            <c:ext xmlns:c16="http://schemas.microsoft.com/office/drawing/2014/chart" uri="{C3380CC4-5D6E-409C-BE32-E72D297353CC}">
              <c16:uniqueId val="{00000001-A74D-6E43-B070-17B48A058A17}"/>
            </c:ext>
          </c:extLst>
        </c:ser>
        <c:ser>
          <c:idx val="2"/>
          <c:order val="2"/>
          <c:tx>
            <c:strRef>
              <c:f>hists!$B$24</c:f>
              <c:strCache>
                <c:ptCount val="1"/>
                <c:pt idx="0">
                  <c:v>10</c:v>
                </c:pt>
              </c:strCache>
            </c:strRef>
          </c:tx>
          <c:spPr>
            <a:solidFill>
              <a:schemeClr val="accent3"/>
            </a:solidFill>
            <a:ln>
              <a:noFill/>
            </a:ln>
            <a:effectLst/>
          </c:spPr>
          <c:invertIfNegative val="0"/>
          <c:cat>
            <c:multiLvlStrRef>
              <c:f>hists!$C$20:$F$21</c:f>
              <c:multiLvlStrCache>
                <c:ptCount val="4"/>
                <c:lvl>
                  <c:pt idx="0">
                    <c:v>mo-h</c:v>
                  </c:pt>
                  <c:pt idx="1">
                    <c:v>mo-l</c:v>
                  </c:pt>
                  <c:pt idx="2">
                    <c:v>mo-h</c:v>
                  </c:pt>
                  <c:pt idx="3">
                    <c:v>mo-l</c:v>
                  </c:pt>
                </c:lvl>
                <c:lvl>
                  <c:pt idx="0">
                    <c:v>past</c:v>
                  </c:pt>
                  <c:pt idx="2">
                    <c:v>present</c:v>
                  </c:pt>
                </c:lvl>
              </c:multiLvlStrCache>
            </c:multiLvlStrRef>
          </c:cat>
          <c:val>
            <c:numRef>
              <c:f>hists!$C$24:$F$24</c:f>
              <c:numCache>
                <c:formatCode>General</c:formatCode>
                <c:ptCount val="4"/>
                <c:pt idx="0">
                  <c:v>0.33236151603498543</c:v>
                </c:pt>
                <c:pt idx="1">
                  <c:v>0.15743440233236153</c:v>
                </c:pt>
                <c:pt idx="2">
                  <c:v>0.29737609329446063</c:v>
                </c:pt>
                <c:pt idx="3">
                  <c:v>0.18367346938775511</c:v>
                </c:pt>
              </c:numCache>
            </c:numRef>
          </c:val>
          <c:extLst>
            <c:ext xmlns:c16="http://schemas.microsoft.com/office/drawing/2014/chart" uri="{C3380CC4-5D6E-409C-BE32-E72D297353CC}">
              <c16:uniqueId val="{00000002-A74D-6E43-B070-17B48A058A17}"/>
            </c:ext>
          </c:extLst>
        </c:ser>
        <c:ser>
          <c:idx val="3"/>
          <c:order val="3"/>
          <c:tx>
            <c:strRef>
              <c:f>hists!$B$25</c:f>
              <c:strCache>
                <c:ptCount val="1"/>
                <c:pt idx="0">
                  <c:v>11</c:v>
                </c:pt>
              </c:strCache>
            </c:strRef>
          </c:tx>
          <c:spPr>
            <a:solidFill>
              <a:schemeClr val="accent4"/>
            </a:solidFill>
            <a:ln>
              <a:noFill/>
            </a:ln>
            <a:effectLst/>
          </c:spPr>
          <c:invertIfNegative val="0"/>
          <c:cat>
            <c:multiLvlStrRef>
              <c:f>hists!$C$20:$F$21</c:f>
              <c:multiLvlStrCache>
                <c:ptCount val="4"/>
                <c:lvl>
                  <c:pt idx="0">
                    <c:v>mo-h</c:v>
                  </c:pt>
                  <c:pt idx="1">
                    <c:v>mo-l</c:v>
                  </c:pt>
                  <c:pt idx="2">
                    <c:v>mo-h</c:v>
                  </c:pt>
                  <c:pt idx="3">
                    <c:v>mo-l</c:v>
                  </c:pt>
                </c:lvl>
                <c:lvl>
                  <c:pt idx="0">
                    <c:v>past</c:v>
                  </c:pt>
                  <c:pt idx="2">
                    <c:v>present</c:v>
                  </c:pt>
                </c:lvl>
              </c:multiLvlStrCache>
            </c:multiLvlStrRef>
          </c:cat>
          <c:val>
            <c:numRef>
              <c:f>hists!$C$25:$F$25</c:f>
              <c:numCache>
                <c:formatCode>General</c:formatCode>
                <c:ptCount val="4"/>
                <c:pt idx="0">
                  <c:v>0.33236151603498543</c:v>
                </c:pt>
                <c:pt idx="1">
                  <c:v>0.15743440233236153</c:v>
                </c:pt>
                <c:pt idx="2">
                  <c:v>0.29737609329446063</c:v>
                </c:pt>
                <c:pt idx="3">
                  <c:v>0.18367346938775511</c:v>
                </c:pt>
              </c:numCache>
            </c:numRef>
          </c:val>
          <c:extLst>
            <c:ext xmlns:c16="http://schemas.microsoft.com/office/drawing/2014/chart" uri="{C3380CC4-5D6E-409C-BE32-E72D297353CC}">
              <c16:uniqueId val="{00000003-A74D-6E43-B070-17B48A058A17}"/>
            </c:ext>
          </c:extLst>
        </c:ser>
        <c:dLbls>
          <c:showLegendKey val="0"/>
          <c:showVal val="0"/>
          <c:showCatName val="0"/>
          <c:showSerName val="0"/>
          <c:showPercent val="0"/>
          <c:showBubbleSize val="0"/>
        </c:dLbls>
        <c:gapWidth val="219"/>
        <c:overlap val="-27"/>
        <c:axId val="763534704"/>
        <c:axId val="820131232"/>
      </c:barChart>
      <c:catAx>
        <c:axId val="76353470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20131232"/>
        <c:crosses val="autoZero"/>
        <c:auto val="1"/>
        <c:lblAlgn val="ctr"/>
        <c:lblOffset val="100"/>
        <c:noMultiLvlLbl val="0"/>
      </c:catAx>
      <c:valAx>
        <c:axId val="820131232"/>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63534704"/>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FILTERED BY MO LOW SEEN =</a:t>
            </a:r>
            <a:r>
              <a:rPr lang="en-US" baseline="0"/>
              <a:t> 1</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0"/>
          <c:order val="0"/>
          <c:tx>
            <c:strRef>
              <c:f>'mo low seen'!$A$25</c:f>
              <c:strCache>
                <c:ptCount val="1"/>
                <c:pt idx="0">
                  <c:v>exh</c:v>
                </c:pt>
              </c:strCache>
            </c:strRef>
          </c:tx>
          <c:spPr>
            <a:solidFill>
              <a:schemeClr val="accent1"/>
            </a:solidFill>
            <a:ln>
              <a:noFill/>
            </a:ln>
            <a:effectLst/>
          </c:spPr>
          <c:invertIfNegative val="0"/>
          <c:cat>
            <c:multiLvlStrRef>
              <c:f>'mo low seen'!$B$23:$M$24</c:f>
              <c:multiLvlStrCache>
                <c:ptCount val="12"/>
                <c:lvl>
                  <c:pt idx="0">
                    <c:v>past</c:v>
                  </c:pt>
                  <c:pt idx="1">
                    <c:v>present</c:v>
                  </c:pt>
                  <c:pt idx="2">
                    <c:v>past</c:v>
                  </c:pt>
                  <c:pt idx="3">
                    <c:v>present</c:v>
                  </c:pt>
                  <c:pt idx="4">
                    <c:v>past</c:v>
                  </c:pt>
                  <c:pt idx="5">
                    <c:v>present</c:v>
                  </c:pt>
                  <c:pt idx="6">
                    <c:v>past</c:v>
                  </c:pt>
                  <c:pt idx="7">
                    <c:v>present</c:v>
                  </c:pt>
                  <c:pt idx="8">
                    <c:v>past</c:v>
                  </c:pt>
                  <c:pt idx="9">
                    <c:v>present</c:v>
                  </c:pt>
                  <c:pt idx="10">
                    <c:v>past</c:v>
                  </c:pt>
                  <c:pt idx="11">
                    <c:v>present</c:v>
                  </c:pt>
                </c:lvl>
                <c:lvl>
                  <c:pt idx="0">
                    <c:v>books</c:v>
                  </c:pt>
                  <c:pt idx="2">
                    <c:v>coffee</c:v>
                  </c:pt>
                  <c:pt idx="4">
                    <c:v>dentist</c:v>
                  </c:pt>
                  <c:pt idx="6">
                    <c:v>hair</c:v>
                  </c:pt>
                  <c:pt idx="8">
                    <c:v>shoes</c:v>
                  </c:pt>
                  <c:pt idx="10">
                    <c:v>yarn</c:v>
                  </c:pt>
                </c:lvl>
              </c:multiLvlStrCache>
            </c:multiLvlStrRef>
          </c:cat>
          <c:val>
            <c:numRef>
              <c:f>'mo low seen'!$B$25:$M$25</c:f>
              <c:numCache>
                <c:formatCode>General</c:formatCode>
                <c:ptCount val="12"/>
                <c:pt idx="0">
                  <c:v>0.38461538461538464</c:v>
                </c:pt>
                <c:pt idx="1">
                  <c:v>0.45</c:v>
                </c:pt>
                <c:pt idx="2">
                  <c:v>0.58823529411764708</c:v>
                </c:pt>
                <c:pt idx="3">
                  <c:v>0.5714285714285714</c:v>
                </c:pt>
                <c:pt idx="4">
                  <c:v>0.375</c:v>
                </c:pt>
                <c:pt idx="5">
                  <c:v>0.45454545454545453</c:v>
                </c:pt>
                <c:pt idx="6">
                  <c:v>0.47058823529411764</c:v>
                </c:pt>
                <c:pt idx="7">
                  <c:v>0.55555555555555558</c:v>
                </c:pt>
                <c:pt idx="8">
                  <c:v>0.26666666666666666</c:v>
                </c:pt>
                <c:pt idx="9">
                  <c:v>0.72222222222222221</c:v>
                </c:pt>
                <c:pt idx="10">
                  <c:v>0.66666666666666663</c:v>
                </c:pt>
                <c:pt idx="11">
                  <c:v>0.61111111111111116</c:v>
                </c:pt>
              </c:numCache>
            </c:numRef>
          </c:val>
          <c:extLst>
            <c:ext xmlns:c16="http://schemas.microsoft.com/office/drawing/2014/chart" uri="{C3380CC4-5D6E-409C-BE32-E72D297353CC}">
              <c16:uniqueId val="{00000000-0B76-2D47-81BF-C6FD71DFB770}"/>
            </c:ext>
          </c:extLst>
        </c:ser>
        <c:ser>
          <c:idx val="1"/>
          <c:order val="1"/>
          <c:tx>
            <c:strRef>
              <c:f>'mo low seen'!$A$26</c:f>
              <c:strCache>
                <c:ptCount val="1"/>
                <c:pt idx="0">
                  <c:v>mo-h</c:v>
                </c:pt>
              </c:strCache>
            </c:strRef>
          </c:tx>
          <c:spPr>
            <a:solidFill>
              <a:schemeClr val="accent2"/>
            </a:solidFill>
            <a:ln>
              <a:noFill/>
            </a:ln>
            <a:effectLst/>
          </c:spPr>
          <c:invertIfNegative val="0"/>
          <c:cat>
            <c:multiLvlStrRef>
              <c:f>'mo low seen'!$B$23:$M$24</c:f>
              <c:multiLvlStrCache>
                <c:ptCount val="12"/>
                <c:lvl>
                  <c:pt idx="0">
                    <c:v>past</c:v>
                  </c:pt>
                  <c:pt idx="1">
                    <c:v>present</c:v>
                  </c:pt>
                  <c:pt idx="2">
                    <c:v>past</c:v>
                  </c:pt>
                  <c:pt idx="3">
                    <c:v>present</c:v>
                  </c:pt>
                  <c:pt idx="4">
                    <c:v>past</c:v>
                  </c:pt>
                  <c:pt idx="5">
                    <c:v>present</c:v>
                  </c:pt>
                  <c:pt idx="6">
                    <c:v>past</c:v>
                  </c:pt>
                  <c:pt idx="7">
                    <c:v>present</c:v>
                  </c:pt>
                  <c:pt idx="8">
                    <c:v>past</c:v>
                  </c:pt>
                  <c:pt idx="9">
                    <c:v>present</c:v>
                  </c:pt>
                  <c:pt idx="10">
                    <c:v>past</c:v>
                  </c:pt>
                  <c:pt idx="11">
                    <c:v>present</c:v>
                  </c:pt>
                </c:lvl>
                <c:lvl>
                  <c:pt idx="0">
                    <c:v>books</c:v>
                  </c:pt>
                  <c:pt idx="2">
                    <c:v>coffee</c:v>
                  </c:pt>
                  <c:pt idx="4">
                    <c:v>dentist</c:v>
                  </c:pt>
                  <c:pt idx="6">
                    <c:v>hair</c:v>
                  </c:pt>
                  <c:pt idx="8">
                    <c:v>shoes</c:v>
                  </c:pt>
                  <c:pt idx="10">
                    <c:v>yarn</c:v>
                  </c:pt>
                </c:lvl>
              </c:multiLvlStrCache>
            </c:multiLvlStrRef>
          </c:cat>
          <c:val>
            <c:numRef>
              <c:f>'mo low seen'!$B$26:$M$26</c:f>
              <c:numCache>
                <c:formatCode>General</c:formatCode>
                <c:ptCount val="12"/>
                <c:pt idx="0">
                  <c:v>0.5</c:v>
                </c:pt>
                <c:pt idx="1">
                  <c:v>0.65625</c:v>
                </c:pt>
                <c:pt idx="2">
                  <c:v>0.71875</c:v>
                </c:pt>
                <c:pt idx="3">
                  <c:v>0.70270270270270274</c:v>
                </c:pt>
                <c:pt idx="4">
                  <c:v>0.77272727272727271</c:v>
                </c:pt>
                <c:pt idx="5">
                  <c:v>0.65217391304347827</c:v>
                </c:pt>
                <c:pt idx="6">
                  <c:v>0.61290322580645162</c:v>
                </c:pt>
                <c:pt idx="7">
                  <c:v>0.72</c:v>
                </c:pt>
                <c:pt idx="8">
                  <c:v>0.54838709677419351</c:v>
                </c:pt>
                <c:pt idx="9">
                  <c:v>0.76923076923076927</c:v>
                </c:pt>
                <c:pt idx="10">
                  <c:v>0.5</c:v>
                </c:pt>
                <c:pt idx="11">
                  <c:v>0.8571428571428571</c:v>
                </c:pt>
              </c:numCache>
            </c:numRef>
          </c:val>
          <c:extLst>
            <c:ext xmlns:c16="http://schemas.microsoft.com/office/drawing/2014/chart" uri="{C3380CC4-5D6E-409C-BE32-E72D297353CC}">
              <c16:uniqueId val="{00000001-0B76-2D47-81BF-C6FD71DFB770}"/>
            </c:ext>
          </c:extLst>
        </c:ser>
        <c:ser>
          <c:idx val="2"/>
          <c:order val="2"/>
          <c:tx>
            <c:strRef>
              <c:f>'mo low seen'!$A$27</c:f>
              <c:strCache>
                <c:ptCount val="1"/>
                <c:pt idx="0">
                  <c:v>mo-l</c:v>
                </c:pt>
              </c:strCache>
            </c:strRef>
          </c:tx>
          <c:spPr>
            <a:solidFill>
              <a:schemeClr val="accent3"/>
            </a:solidFill>
            <a:ln>
              <a:noFill/>
            </a:ln>
            <a:effectLst/>
          </c:spPr>
          <c:invertIfNegative val="0"/>
          <c:cat>
            <c:multiLvlStrRef>
              <c:f>'mo low seen'!$B$23:$M$24</c:f>
              <c:multiLvlStrCache>
                <c:ptCount val="12"/>
                <c:lvl>
                  <c:pt idx="0">
                    <c:v>past</c:v>
                  </c:pt>
                  <c:pt idx="1">
                    <c:v>present</c:v>
                  </c:pt>
                  <c:pt idx="2">
                    <c:v>past</c:v>
                  </c:pt>
                  <c:pt idx="3">
                    <c:v>present</c:v>
                  </c:pt>
                  <c:pt idx="4">
                    <c:v>past</c:v>
                  </c:pt>
                  <c:pt idx="5">
                    <c:v>present</c:v>
                  </c:pt>
                  <c:pt idx="6">
                    <c:v>past</c:v>
                  </c:pt>
                  <c:pt idx="7">
                    <c:v>present</c:v>
                  </c:pt>
                  <c:pt idx="8">
                    <c:v>past</c:v>
                  </c:pt>
                  <c:pt idx="9">
                    <c:v>present</c:v>
                  </c:pt>
                  <c:pt idx="10">
                    <c:v>past</c:v>
                  </c:pt>
                  <c:pt idx="11">
                    <c:v>present</c:v>
                  </c:pt>
                </c:lvl>
                <c:lvl>
                  <c:pt idx="0">
                    <c:v>books</c:v>
                  </c:pt>
                  <c:pt idx="2">
                    <c:v>coffee</c:v>
                  </c:pt>
                  <c:pt idx="4">
                    <c:v>dentist</c:v>
                  </c:pt>
                  <c:pt idx="6">
                    <c:v>hair</c:v>
                  </c:pt>
                  <c:pt idx="8">
                    <c:v>shoes</c:v>
                  </c:pt>
                  <c:pt idx="10">
                    <c:v>yarn</c:v>
                  </c:pt>
                </c:lvl>
              </c:multiLvlStrCache>
            </c:multiLvlStrRef>
          </c:cat>
          <c:val>
            <c:numRef>
              <c:f>'mo low seen'!$B$27:$M$27</c:f>
              <c:numCache>
                <c:formatCode>General</c:formatCode>
                <c:ptCount val="12"/>
                <c:pt idx="0">
                  <c:v>0.25396825396825395</c:v>
                </c:pt>
                <c:pt idx="1">
                  <c:v>0.328125</c:v>
                </c:pt>
                <c:pt idx="2">
                  <c:v>0.359375</c:v>
                </c:pt>
                <c:pt idx="3">
                  <c:v>0.41935483870967744</c:v>
                </c:pt>
                <c:pt idx="4">
                  <c:v>0.27868852459016391</c:v>
                </c:pt>
                <c:pt idx="5">
                  <c:v>0.33333333333333331</c:v>
                </c:pt>
                <c:pt idx="6">
                  <c:v>0.3392857142857143</c:v>
                </c:pt>
                <c:pt idx="7">
                  <c:v>0.36</c:v>
                </c:pt>
                <c:pt idx="8">
                  <c:v>0.30357142857142855</c:v>
                </c:pt>
                <c:pt idx="9">
                  <c:v>0.35087719298245612</c:v>
                </c:pt>
                <c:pt idx="10">
                  <c:v>0.21052631578947367</c:v>
                </c:pt>
                <c:pt idx="11">
                  <c:v>0.39344262295081966</c:v>
                </c:pt>
              </c:numCache>
            </c:numRef>
          </c:val>
          <c:extLst>
            <c:ext xmlns:c16="http://schemas.microsoft.com/office/drawing/2014/chart" uri="{C3380CC4-5D6E-409C-BE32-E72D297353CC}">
              <c16:uniqueId val="{00000002-0B76-2D47-81BF-C6FD71DFB770}"/>
            </c:ext>
          </c:extLst>
        </c:ser>
        <c:ser>
          <c:idx val="3"/>
          <c:order val="3"/>
          <c:tx>
            <c:strRef>
              <c:f>'mo low seen'!$A$28</c:f>
              <c:strCache>
                <c:ptCount val="1"/>
                <c:pt idx="0">
                  <c:v>ms-h</c:v>
                </c:pt>
              </c:strCache>
            </c:strRef>
          </c:tx>
          <c:spPr>
            <a:solidFill>
              <a:schemeClr val="accent4"/>
            </a:solidFill>
            <a:ln>
              <a:noFill/>
            </a:ln>
            <a:effectLst/>
          </c:spPr>
          <c:invertIfNegative val="0"/>
          <c:cat>
            <c:multiLvlStrRef>
              <c:f>'mo low seen'!$B$23:$M$24</c:f>
              <c:multiLvlStrCache>
                <c:ptCount val="12"/>
                <c:lvl>
                  <c:pt idx="0">
                    <c:v>past</c:v>
                  </c:pt>
                  <c:pt idx="1">
                    <c:v>present</c:v>
                  </c:pt>
                  <c:pt idx="2">
                    <c:v>past</c:v>
                  </c:pt>
                  <c:pt idx="3">
                    <c:v>present</c:v>
                  </c:pt>
                  <c:pt idx="4">
                    <c:v>past</c:v>
                  </c:pt>
                  <c:pt idx="5">
                    <c:v>present</c:v>
                  </c:pt>
                  <c:pt idx="6">
                    <c:v>past</c:v>
                  </c:pt>
                  <c:pt idx="7">
                    <c:v>present</c:v>
                  </c:pt>
                  <c:pt idx="8">
                    <c:v>past</c:v>
                  </c:pt>
                  <c:pt idx="9">
                    <c:v>present</c:v>
                  </c:pt>
                  <c:pt idx="10">
                    <c:v>past</c:v>
                  </c:pt>
                  <c:pt idx="11">
                    <c:v>present</c:v>
                  </c:pt>
                </c:lvl>
                <c:lvl>
                  <c:pt idx="0">
                    <c:v>books</c:v>
                  </c:pt>
                  <c:pt idx="2">
                    <c:v>coffee</c:v>
                  </c:pt>
                  <c:pt idx="4">
                    <c:v>dentist</c:v>
                  </c:pt>
                  <c:pt idx="6">
                    <c:v>hair</c:v>
                  </c:pt>
                  <c:pt idx="8">
                    <c:v>shoes</c:v>
                  </c:pt>
                  <c:pt idx="10">
                    <c:v>yarn</c:v>
                  </c:pt>
                </c:lvl>
              </c:multiLvlStrCache>
            </c:multiLvlStrRef>
          </c:cat>
          <c:val>
            <c:numRef>
              <c:f>'mo low seen'!$B$28:$M$28</c:f>
              <c:numCache>
                <c:formatCode>General</c:formatCode>
                <c:ptCount val="12"/>
                <c:pt idx="0">
                  <c:v>0.55555555555555558</c:v>
                </c:pt>
                <c:pt idx="1">
                  <c:v>0.61290322580645162</c:v>
                </c:pt>
                <c:pt idx="2">
                  <c:v>0.6333333333333333</c:v>
                </c:pt>
                <c:pt idx="3">
                  <c:v>0.7</c:v>
                </c:pt>
                <c:pt idx="4">
                  <c:v>0.24242424242424243</c:v>
                </c:pt>
                <c:pt idx="5">
                  <c:v>0.36363636363636365</c:v>
                </c:pt>
                <c:pt idx="6">
                  <c:v>0.63636363636363635</c:v>
                </c:pt>
                <c:pt idx="7">
                  <c:v>0.6</c:v>
                </c:pt>
                <c:pt idx="8">
                  <c:v>0.57692307692307687</c:v>
                </c:pt>
                <c:pt idx="9">
                  <c:v>0.58620689655172409</c:v>
                </c:pt>
                <c:pt idx="10">
                  <c:v>0.51515151515151514</c:v>
                </c:pt>
                <c:pt idx="11">
                  <c:v>0.39130434782608697</c:v>
                </c:pt>
              </c:numCache>
            </c:numRef>
          </c:val>
          <c:extLst>
            <c:ext xmlns:c16="http://schemas.microsoft.com/office/drawing/2014/chart" uri="{C3380CC4-5D6E-409C-BE32-E72D297353CC}">
              <c16:uniqueId val="{00000003-0B76-2D47-81BF-C6FD71DFB770}"/>
            </c:ext>
          </c:extLst>
        </c:ser>
        <c:ser>
          <c:idx val="4"/>
          <c:order val="4"/>
          <c:tx>
            <c:strRef>
              <c:f>'mo low seen'!$A$29</c:f>
              <c:strCache>
                <c:ptCount val="1"/>
                <c:pt idx="0">
                  <c:v>ms-l</c:v>
                </c:pt>
              </c:strCache>
            </c:strRef>
          </c:tx>
          <c:spPr>
            <a:solidFill>
              <a:schemeClr val="accent5"/>
            </a:solidFill>
            <a:ln>
              <a:noFill/>
            </a:ln>
            <a:effectLst/>
          </c:spPr>
          <c:invertIfNegative val="0"/>
          <c:cat>
            <c:multiLvlStrRef>
              <c:f>'mo low seen'!$B$23:$M$24</c:f>
              <c:multiLvlStrCache>
                <c:ptCount val="12"/>
                <c:lvl>
                  <c:pt idx="0">
                    <c:v>past</c:v>
                  </c:pt>
                  <c:pt idx="1">
                    <c:v>present</c:v>
                  </c:pt>
                  <c:pt idx="2">
                    <c:v>past</c:v>
                  </c:pt>
                  <c:pt idx="3">
                    <c:v>present</c:v>
                  </c:pt>
                  <c:pt idx="4">
                    <c:v>past</c:v>
                  </c:pt>
                  <c:pt idx="5">
                    <c:v>present</c:v>
                  </c:pt>
                  <c:pt idx="6">
                    <c:v>past</c:v>
                  </c:pt>
                  <c:pt idx="7">
                    <c:v>present</c:v>
                  </c:pt>
                  <c:pt idx="8">
                    <c:v>past</c:v>
                  </c:pt>
                  <c:pt idx="9">
                    <c:v>present</c:v>
                  </c:pt>
                  <c:pt idx="10">
                    <c:v>past</c:v>
                  </c:pt>
                  <c:pt idx="11">
                    <c:v>present</c:v>
                  </c:pt>
                </c:lvl>
                <c:lvl>
                  <c:pt idx="0">
                    <c:v>books</c:v>
                  </c:pt>
                  <c:pt idx="2">
                    <c:v>coffee</c:v>
                  </c:pt>
                  <c:pt idx="4">
                    <c:v>dentist</c:v>
                  </c:pt>
                  <c:pt idx="6">
                    <c:v>hair</c:v>
                  </c:pt>
                  <c:pt idx="8">
                    <c:v>shoes</c:v>
                  </c:pt>
                  <c:pt idx="10">
                    <c:v>yarn</c:v>
                  </c:pt>
                </c:lvl>
              </c:multiLvlStrCache>
            </c:multiLvlStrRef>
          </c:cat>
          <c:val>
            <c:numRef>
              <c:f>'mo low seen'!$B$29:$M$29</c:f>
              <c:numCache>
                <c:formatCode>General</c:formatCode>
                <c:ptCount val="12"/>
                <c:pt idx="0">
                  <c:v>0.23529411764705882</c:v>
                </c:pt>
                <c:pt idx="1">
                  <c:v>0.44444444444444442</c:v>
                </c:pt>
                <c:pt idx="2">
                  <c:v>0.30303030303030304</c:v>
                </c:pt>
                <c:pt idx="3">
                  <c:v>0.33333333333333331</c:v>
                </c:pt>
                <c:pt idx="4">
                  <c:v>0.23684210526315788</c:v>
                </c:pt>
                <c:pt idx="5">
                  <c:v>0.36</c:v>
                </c:pt>
                <c:pt idx="6">
                  <c:v>0.4</c:v>
                </c:pt>
                <c:pt idx="7">
                  <c:v>0.37931034482758619</c:v>
                </c:pt>
                <c:pt idx="8">
                  <c:v>0.39285714285714285</c:v>
                </c:pt>
                <c:pt idx="9">
                  <c:v>0.39285714285714285</c:v>
                </c:pt>
                <c:pt idx="10">
                  <c:v>0.23333333333333334</c:v>
                </c:pt>
                <c:pt idx="11">
                  <c:v>0.41666666666666669</c:v>
                </c:pt>
              </c:numCache>
            </c:numRef>
          </c:val>
          <c:extLst>
            <c:ext xmlns:c16="http://schemas.microsoft.com/office/drawing/2014/chart" uri="{C3380CC4-5D6E-409C-BE32-E72D297353CC}">
              <c16:uniqueId val="{00000004-0B76-2D47-81BF-C6FD71DFB770}"/>
            </c:ext>
          </c:extLst>
        </c:ser>
        <c:ser>
          <c:idx val="5"/>
          <c:order val="5"/>
          <c:tx>
            <c:strRef>
              <c:f>'mo low seen'!$A$30</c:f>
              <c:strCache>
                <c:ptCount val="1"/>
                <c:pt idx="0">
                  <c:v>none of the above</c:v>
                </c:pt>
              </c:strCache>
            </c:strRef>
          </c:tx>
          <c:spPr>
            <a:solidFill>
              <a:schemeClr val="accent6"/>
            </a:solidFill>
            <a:ln>
              <a:noFill/>
            </a:ln>
            <a:effectLst/>
          </c:spPr>
          <c:invertIfNegative val="0"/>
          <c:cat>
            <c:multiLvlStrRef>
              <c:f>'mo low seen'!$B$23:$M$24</c:f>
              <c:multiLvlStrCache>
                <c:ptCount val="12"/>
                <c:lvl>
                  <c:pt idx="0">
                    <c:v>past</c:v>
                  </c:pt>
                  <c:pt idx="1">
                    <c:v>present</c:v>
                  </c:pt>
                  <c:pt idx="2">
                    <c:v>past</c:v>
                  </c:pt>
                  <c:pt idx="3">
                    <c:v>present</c:v>
                  </c:pt>
                  <c:pt idx="4">
                    <c:v>past</c:v>
                  </c:pt>
                  <c:pt idx="5">
                    <c:v>present</c:v>
                  </c:pt>
                  <c:pt idx="6">
                    <c:v>past</c:v>
                  </c:pt>
                  <c:pt idx="7">
                    <c:v>present</c:v>
                  </c:pt>
                  <c:pt idx="8">
                    <c:v>past</c:v>
                  </c:pt>
                  <c:pt idx="9">
                    <c:v>present</c:v>
                  </c:pt>
                  <c:pt idx="10">
                    <c:v>past</c:v>
                  </c:pt>
                  <c:pt idx="11">
                    <c:v>present</c:v>
                  </c:pt>
                </c:lvl>
                <c:lvl>
                  <c:pt idx="0">
                    <c:v>books</c:v>
                  </c:pt>
                  <c:pt idx="2">
                    <c:v>coffee</c:v>
                  </c:pt>
                  <c:pt idx="4">
                    <c:v>dentist</c:v>
                  </c:pt>
                  <c:pt idx="6">
                    <c:v>hair</c:v>
                  </c:pt>
                  <c:pt idx="8">
                    <c:v>shoes</c:v>
                  </c:pt>
                  <c:pt idx="10">
                    <c:v>yarn</c:v>
                  </c:pt>
                </c:lvl>
              </c:multiLvlStrCache>
            </c:multiLvlStrRef>
          </c:cat>
          <c:val>
            <c:numRef>
              <c:f>'mo low seen'!$B$30:$M$30</c:f>
              <c:numCache>
                <c:formatCode>General</c:formatCode>
                <c:ptCount val="12"/>
                <c:pt idx="0">
                  <c:v>0.33333333333333331</c:v>
                </c:pt>
                <c:pt idx="1">
                  <c:v>0.171875</c:v>
                </c:pt>
                <c:pt idx="2">
                  <c:v>0.21875</c:v>
                </c:pt>
                <c:pt idx="3">
                  <c:v>0.11290322580645161</c:v>
                </c:pt>
                <c:pt idx="4">
                  <c:v>0.49180327868852458</c:v>
                </c:pt>
                <c:pt idx="5">
                  <c:v>0.42222222222222222</c:v>
                </c:pt>
                <c:pt idx="6">
                  <c:v>0.26785714285714285</c:v>
                </c:pt>
                <c:pt idx="7">
                  <c:v>0.22</c:v>
                </c:pt>
                <c:pt idx="8">
                  <c:v>0.2857142857142857</c:v>
                </c:pt>
                <c:pt idx="9">
                  <c:v>0.19298245614035087</c:v>
                </c:pt>
                <c:pt idx="10">
                  <c:v>0.35087719298245612</c:v>
                </c:pt>
                <c:pt idx="11">
                  <c:v>0.16393442622950818</c:v>
                </c:pt>
              </c:numCache>
            </c:numRef>
          </c:val>
          <c:extLst>
            <c:ext xmlns:c16="http://schemas.microsoft.com/office/drawing/2014/chart" uri="{C3380CC4-5D6E-409C-BE32-E72D297353CC}">
              <c16:uniqueId val="{00000005-0B76-2D47-81BF-C6FD71DFB770}"/>
            </c:ext>
          </c:extLst>
        </c:ser>
        <c:dLbls>
          <c:showLegendKey val="0"/>
          <c:showVal val="0"/>
          <c:showCatName val="0"/>
          <c:showSerName val="0"/>
          <c:showPercent val="0"/>
          <c:showBubbleSize val="0"/>
        </c:dLbls>
        <c:gapWidth val="219"/>
        <c:overlap val="-27"/>
        <c:axId val="808470160"/>
        <c:axId val="749934976"/>
      </c:barChart>
      <c:catAx>
        <c:axId val="80847016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crossAx val="749934976"/>
        <c:crosses val="autoZero"/>
        <c:auto val="1"/>
        <c:lblAlgn val="ctr"/>
        <c:lblOffset val="100"/>
        <c:noMultiLvlLbl val="0"/>
      </c:catAx>
      <c:valAx>
        <c:axId val="749934976"/>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crossAx val="808470160"/>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FILTERED BY MO LOW SEEN = 1</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0"/>
          <c:order val="0"/>
          <c:tx>
            <c:strRef>
              <c:f>'mo low seen'!$B$33</c:f>
              <c:strCache>
                <c:ptCount val="1"/>
                <c:pt idx="0">
                  <c:v>past</c:v>
                </c:pt>
              </c:strCache>
            </c:strRef>
          </c:tx>
          <c:spPr>
            <a:solidFill>
              <a:schemeClr val="accent1"/>
            </a:solidFill>
            <a:ln>
              <a:noFill/>
            </a:ln>
            <a:effectLst/>
          </c:spPr>
          <c:invertIfNegative val="0"/>
          <c:cat>
            <c:strRef>
              <c:f>'mo low seen'!$A$34:$A$39</c:f>
              <c:strCache>
                <c:ptCount val="6"/>
                <c:pt idx="0">
                  <c:v>exh</c:v>
                </c:pt>
                <c:pt idx="1">
                  <c:v>mo-h</c:v>
                </c:pt>
                <c:pt idx="2">
                  <c:v>mo-l</c:v>
                </c:pt>
                <c:pt idx="3">
                  <c:v>ms-h</c:v>
                </c:pt>
                <c:pt idx="4">
                  <c:v>ms-l</c:v>
                </c:pt>
                <c:pt idx="5">
                  <c:v>none of the above</c:v>
                </c:pt>
              </c:strCache>
            </c:strRef>
          </c:cat>
          <c:val>
            <c:numRef>
              <c:f>'mo low seen'!$B$34:$B$39</c:f>
              <c:numCache>
                <c:formatCode>General</c:formatCode>
                <c:ptCount val="6"/>
                <c:pt idx="0">
                  <c:v>0.45862870789341376</c:v>
                </c:pt>
                <c:pt idx="1">
                  <c:v>0.60879459921798629</c:v>
                </c:pt>
                <c:pt idx="2">
                  <c:v>0.29090253953417239</c:v>
                </c:pt>
                <c:pt idx="3">
                  <c:v>0.52662522662522659</c:v>
                </c:pt>
                <c:pt idx="4">
                  <c:v>0.30022616702183264</c:v>
                </c:pt>
                <c:pt idx="5">
                  <c:v>0.32472253892929037</c:v>
                </c:pt>
              </c:numCache>
            </c:numRef>
          </c:val>
          <c:extLst>
            <c:ext xmlns:c16="http://schemas.microsoft.com/office/drawing/2014/chart" uri="{C3380CC4-5D6E-409C-BE32-E72D297353CC}">
              <c16:uniqueId val="{00000000-8385-C343-A455-BB913196A6D9}"/>
            </c:ext>
          </c:extLst>
        </c:ser>
        <c:ser>
          <c:idx val="1"/>
          <c:order val="1"/>
          <c:tx>
            <c:strRef>
              <c:f>'mo low seen'!$C$33</c:f>
              <c:strCache>
                <c:ptCount val="1"/>
                <c:pt idx="0">
                  <c:v>present</c:v>
                </c:pt>
              </c:strCache>
            </c:strRef>
          </c:tx>
          <c:spPr>
            <a:solidFill>
              <a:schemeClr val="accent2"/>
            </a:solidFill>
            <a:ln>
              <a:noFill/>
            </a:ln>
            <a:effectLst/>
          </c:spPr>
          <c:invertIfNegative val="0"/>
          <c:cat>
            <c:strRef>
              <c:f>'mo low seen'!$A$34:$A$39</c:f>
              <c:strCache>
                <c:ptCount val="6"/>
                <c:pt idx="0">
                  <c:v>exh</c:v>
                </c:pt>
                <c:pt idx="1">
                  <c:v>mo-h</c:v>
                </c:pt>
                <c:pt idx="2">
                  <c:v>mo-l</c:v>
                </c:pt>
                <c:pt idx="3">
                  <c:v>ms-h</c:v>
                </c:pt>
                <c:pt idx="4">
                  <c:v>ms-l</c:v>
                </c:pt>
                <c:pt idx="5">
                  <c:v>none of the above</c:v>
                </c:pt>
              </c:strCache>
            </c:strRef>
          </c:cat>
          <c:val>
            <c:numRef>
              <c:f>'mo low seen'!$C$34:$C$39</c:f>
              <c:numCache>
                <c:formatCode>General</c:formatCode>
                <c:ptCount val="6"/>
                <c:pt idx="0">
                  <c:v>0.56081048581048587</c:v>
                </c:pt>
                <c:pt idx="1">
                  <c:v>0.7262500403533011</c:v>
                </c:pt>
                <c:pt idx="2">
                  <c:v>0.36418883132938112</c:v>
                </c:pt>
                <c:pt idx="3">
                  <c:v>0.54234180563677115</c:v>
                </c:pt>
                <c:pt idx="4">
                  <c:v>0.38776865535486221</c:v>
                </c:pt>
                <c:pt idx="5">
                  <c:v>0.21398622173308879</c:v>
                </c:pt>
              </c:numCache>
            </c:numRef>
          </c:val>
          <c:extLst>
            <c:ext xmlns:c16="http://schemas.microsoft.com/office/drawing/2014/chart" uri="{C3380CC4-5D6E-409C-BE32-E72D297353CC}">
              <c16:uniqueId val="{00000001-8385-C343-A455-BB913196A6D9}"/>
            </c:ext>
          </c:extLst>
        </c:ser>
        <c:dLbls>
          <c:showLegendKey val="0"/>
          <c:showVal val="0"/>
          <c:showCatName val="0"/>
          <c:showSerName val="0"/>
          <c:showPercent val="0"/>
          <c:showBubbleSize val="0"/>
        </c:dLbls>
        <c:gapWidth val="219"/>
        <c:overlap val="-27"/>
        <c:axId val="772445872"/>
        <c:axId val="772469728"/>
      </c:barChart>
      <c:catAx>
        <c:axId val="77244587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crossAx val="772469728"/>
        <c:crosses val="autoZero"/>
        <c:auto val="1"/>
        <c:lblAlgn val="ctr"/>
        <c:lblOffset val="100"/>
        <c:noMultiLvlLbl val="0"/>
      </c:catAx>
      <c:valAx>
        <c:axId val="77246972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crossAx val="772445872"/>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sz="1800" b="0" i="0" baseline="0">
                <a:effectLst/>
              </a:rPr>
              <a:t>EXH, MO-H AND MO-L SEEN</a:t>
            </a:r>
            <a:endParaRPr lang="en-US">
              <a:effectLst/>
            </a:endParaRP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0"/>
          <c:order val="0"/>
          <c:tx>
            <c:strRef>
              <c:f>'exh moh mol'!$A$23</c:f>
              <c:strCache>
                <c:ptCount val="1"/>
                <c:pt idx="0">
                  <c:v>exh</c:v>
                </c:pt>
              </c:strCache>
            </c:strRef>
          </c:tx>
          <c:spPr>
            <a:solidFill>
              <a:schemeClr val="accent1"/>
            </a:solidFill>
            <a:ln>
              <a:noFill/>
            </a:ln>
            <a:effectLst/>
          </c:spPr>
          <c:invertIfNegative val="0"/>
          <c:cat>
            <c:multiLvlStrRef>
              <c:f>'exh moh mol'!$B$21:$M$22</c:f>
              <c:multiLvlStrCache>
                <c:ptCount val="12"/>
                <c:lvl>
                  <c:pt idx="0">
                    <c:v>past</c:v>
                  </c:pt>
                  <c:pt idx="1">
                    <c:v>present</c:v>
                  </c:pt>
                  <c:pt idx="2">
                    <c:v>past</c:v>
                  </c:pt>
                  <c:pt idx="3">
                    <c:v>present</c:v>
                  </c:pt>
                  <c:pt idx="4">
                    <c:v>past</c:v>
                  </c:pt>
                  <c:pt idx="5">
                    <c:v>present</c:v>
                  </c:pt>
                  <c:pt idx="6">
                    <c:v>past</c:v>
                  </c:pt>
                  <c:pt idx="7">
                    <c:v>present</c:v>
                  </c:pt>
                  <c:pt idx="8">
                    <c:v>past</c:v>
                  </c:pt>
                  <c:pt idx="9">
                    <c:v>present</c:v>
                  </c:pt>
                  <c:pt idx="10">
                    <c:v>past</c:v>
                  </c:pt>
                  <c:pt idx="11">
                    <c:v>present</c:v>
                  </c:pt>
                </c:lvl>
                <c:lvl>
                  <c:pt idx="0">
                    <c:v>books</c:v>
                  </c:pt>
                  <c:pt idx="2">
                    <c:v>coffee</c:v>
                  </c:pt>
                  <c:pt idx="4">
                    <c:v>dentist</c:v>
                  </c:pt>
                  <c:pt idx="6">
                    <c:v>hair</c:v>
                  </c:pt>
                  <c:pt idx="8">
                    <c:v>shoes</c:v>
                  </c:pt>
                  <c:pt idx="10">
                    <c:v>yarn</c:v>
                  </c:pt>
                </c:lvl>
              </c:multiLvlStrCache>
            </c:multiLvlStrRef>
          </c:cat>
          <c:val>
            <c:numRef>
              <c:f>'exh moh mol'!$B$23:$M$23</c:f>
              <c:numCache>
                <c:formatCode>General</c:formatCode>
                <c:ptCount val="12"/>
                <c:pt idx="0">
                  <c:v>0.5</c:v>
                </c:pt>
                <c:pt idx="1">
                  <c:v>0.42857142857142855</c:v>
                </c:pt>
                <c:pt idx="2">
                  <c:v>0.6</c:v>
                </c:pt>
                <c:pt idx="3">
                  <c:v>0.8</c:v>
                </c:pt>
                <c:pt idx="4">
                  <c:v>0.5</c:v>
                </c:pt>
                <c:pt idx="5">
                  <c:v>0</c:v>
                </c:pt>
                <c:pt idx="6">
                  <c:v>0.5714285714285714</c:v>
                </c:pt>
                <c:pt idx="7">
                  <c:v>0.25</c:v>
                </c:pt>
                <c:pt idx="8">
                  <c:v>0.33333333333333331</c:v>
                </c:pt>
                <c:pt idx="9">
                  <c:v>0.4</c:v>
                </c:pt>
                <c:pt idx="10">
                  <c:v>0.5</c:v>
                </c:pt>
                <c:pt idx="11">
                  <c:v>0.4</c:v>
                </c:pt>
              </c:numCache>
            </c:numRef>
          </c:val>
          <c:extLst>
            <c:ext xmlns:c16="http://schemas.microsoft.com/office/drawing/2014/chart" uri="{C3380CC4-5D6E-409C-BE32-E72D297353CC}">
              <c16:uniqueId val="{00000000-2466-BE4A-89E4-C7BA83BD39BE}"/>
            </c:ext>
          </c:extLst>
        </c:ser>
        <c:ser>
          <c:idx val="1"/>
          <c:order val="1"/>
          <c:tx>
            <c:strRef>
              <c:f>'exh moh mol'!$A$24</c:f>
              <c:strCache>
                <c:ptCount val="1"/>
                <c:pt idx="0">
                  <c:v>mo-h</c:v>
                </c:pt>
              </c:strCache>
            </c:strRef>
          </c:tx>
          <c:spPr>
            <a:solidFill>
              <a:schemeClr val="accent2"/>
            </a:solidFill>
            <a:ln>
              <a:noFill/>
            </a:ln>
            <a:effectLst/>
          </c:spPr>
          <c:invertIfNegative val="0"/>
          <c:cat>
            <c:multiLvlStrRef>
              <c:f>'exh moh mol'!$B$21:$M$22</c:f>
              <c:multiLvlStrCache>
                <c:ptCount val="12"/>
                <c:lvl>
                  <c:pt idx="0">
                    <c:v>past</c:v>
                  </c:pt>
                  <c:pt idx="1">
                    <c:v>present</c:v>
                  </c:pt>
                  <c:pt idx="2">
                    <c:v>past</c:v>
                  </c:pt>
                  <c:pt idx="3">
                    <c:v>present</c:v>
                  </c:pt>
                  <c:pt idx="4">
                    <c:v>past</c:v>
                  </c:pt>
                  <c:pt idx="5">
                    <c:v>present</c:v>
                  </c:pt>
                  <c:pt idx="6">
                    <c:v>past</c:v>
                  </c:pt>
                  <c:pt idx="7">
                    <c:v>present</c:v>
                  </c:pt>
                  <c:pt idx="8">
                    <c:v>past</c:v>
                  </c:pt>
                  <c:pt idx="9">
                    <c:v>present</c:v>
                  </c:pt>
                  <c:pt idx="10">
                    <c:v>past</c:v>
                  </c:pt>
                  <c:pt idx="11">
                    <c:v>present</c:v>
                  </c:pt>
                </c:lvl>
                <c:lvl>
                  <c:pt idx="0">
                    <c:v>books</c:v>
                  </c:pt>
                  <c:pt idx="2">
                    <c:v>coffee</c:v>
                  </c:pt>
                  <c:pt idx="4">
                    <c:v>dentist</c:v>
                  </c:pt>
                  <c:pt idx="6">
                    <c:v>hair</c:v>
                  </c:pt>
                  <c:pt idx="8">
                    <c:v>shoes</c:v>
                  </c:pt>
                  <c:pt idx="10">
                    <c:v>yarn</c:v>
                  </c:pt>
                </c:lvl>
              </c:multiLvlStrCache>
            </c:multiLvlStrRef>
          </c:cat>
          <c:val>
            <c:numRef>
              <c:f>'exh moh mol'!$B$24:$M$24</c:f>
              <c:numCache>
                <c:formatCode>General</c:formatCode>
                <c:ptCount val="12"/>
                <c:pt idx="0">
                  <c:v>0.75</c:v>
                </c:pt>
                <c:pt idx="1">
                  <c:v>0.8571428571428571</c:v>
                </c:pt>
                <c:pt idx="2">
                  <c:v>0.6</c:v>
                </c:pt>
                <c:pt idx="3">
                  <c:v>0.8</c:v>
                </c:pt>
                <c:pt idx="4">
                  <c:v>0.5</c:v>
                </c:pt>
                <c:pt idx="5">
                  <c:v>0</c:v>
                </c:pt>
                <c:pt idx="6">
                  <c:v>0.5714285714285714</c:v>
                </c:pt>
                <c:pt idx="7">
                  <c:v>0.5</c:v>
                </c:pt>
                <c:pt idx="8">
                  <c:v>0.66666666666666663</c:v>
                </c:pt>
                <c:pt idx="9">
                  <c:v>0.8</c:v>
                </c:pt>
                <c:pt idx="10">
                  <c:v>0.75</c:v>
                </c:pt>
                <c:pt idx="11">
                  <c:v>0.8</c:v>
                </c:pt>
              </c:numCache>
            </c:numRef>
          </c:val>
          <c:extLst>
            <c:ext xmlns:c16="http://schemas.microsoft.com/office/drawing/2014/chart" uri="{C3380CC4-5D6E-409C-BE32-E72D297353CC}">
              <c16:uniqueId val="{00000001-2466-BE4A-89E4-C7BA83BD39BE}"/>
            </c:ext>
          </c:extLst>
        </c:ser>
        <c:ser>
          <c:idx val="2"/>
          <c:order val="2"/>
          <c:tx>
            <c:strRef>
              <c:f>'exh moh mol'!$A$25</c:f>
              <c:strCache>
                <c:ptCount val="1"/>
                <c:pt idx="0">
                  <c:v>mo-l</c:v>
                </c:pt>
              </c:strCache>
            </c:strRef>
          </c:tx>
          <c:spPr>
            <a:solidFill>
              <a:schemeClr val="accent3"/>
            </a:solidFill>
            <a:ln>
              <a:noFill/>
            </a:ln>
            <a:effectLst/>
          </c:spPr>
          <c:invertIfNegative val="0"/>
          <c:cat>
            <c:multiLvlStrRef>
              <c:f>'exh moh mol'!$B$21:$M$22</c:f>
              <c:multiLvlStrCache>
                <c:ptCount val="12"/>
                <c:lvl>
                  <c:pt idx="0">
                    <c:v>past</c:v>
                  </c:pt>
                  <c:pt idx="1">
                    <c:v>present</c:v>
                  </c:pt>
                  <c:pt idx="2">
                    <c:v>past</c:v>
                  </c:pt>
                  <c:pt idx="3">
                    <c:v>present</c:v>
                  </c:pt>
                  <c:pt idx="4">
                    <c:v>past</c:v>
                  </c:pt>
                  <c:pt idx="5">
                    <c:v>present</c:v>
                  </c:pt>
                  <c:pt idx="6">
                    <c:v>past</c:v>
                  </c:pt>
                  <c:pt idx="7">
                    <c:v>present</c:v>
                  </c:pt>
                  <c:pt idx="8">
                    <c:v>past</c:v>
                  </c:pt>
                  <c:pt idx="9">
                    <c:v>present</c:v>
                  </c:pt>
                  <c:pt idx="10">
                    <c:v>past</c:v>
                  </c:pt>
                  <c:pt idx="11">
                    <c:v>present</c:v>
                  </c:pt>
                </c:lvl>
                <c:lvl>
                  <c:pt idx="0">
                    <c:v>books</c:v>
                  </c:pt>
                  <c:pt idx="2">
                    <c:v>coffee</c:v>
                  </c:pt>
                  <c:pt idx="4">
                    <c:v>dentist</c:v>
                  </c:pt>
                  <c:pt idx="6">
                    <c:v>hair</c:v>
                  </c:pt>
                  <c:pt idx="8">
                    <c:v>shoes</c:v>
                  </c:pt>
                  <c:pt idx="10">
                    <c:v>yarn</c:v>
                  </c:pt>
                </c:lvl>
              </c:multiLvlStrCache>
            </c:multiLvlStrRef>
          </c:cat>
          <c:val>
            <c:numRef>
              <c:f>'exh moh mol'!$B$25:$M$25</c:f>
              <c:numCache>
                <c:formatCode>General</c:formatCode>
                <c:ptCount val="12"/>
                <c:pt idx="0">
                  <c:v>0.25</c:v>
                </c:pt>
                <c:pt idx="1">
                  <c:v>0.2857142857142857</c:v>
                </c:pt>
                <c:pt idx="2">
                  <c:v>0.4</c:v>
                </c:pt>
                <c:pt idx="3">
                  <c:v>0.6</c:v>
                </c:pt>
                <c:pt idx="4">
                  <c:v>0.5</c:v>
                </c:pt>
                <c:pt idx="5">
                  <c:v>0</c:v>
                </c:pt>
                <c:pt idx="6">
                  <c:v>0.42857142857142855</c:v>
                </c:pt>
                <c:pt idx="7">
                  <c:v>0</c:v>
                </c:pt>
                <c:pt idx="8">
                  <c:v>0.16666666666666666</c:v>
                </c:pt>
                <c:pt idx="9">
                  <c:v>0</c:v>
                </c:pt>
                <c:pt idx="10">
                  <c:v>0.5</c:v>
                </c:pt>
                <c:pt idx="11">
                  <c:v>0</c:v>
                </c:pt>
              </c:numCache>
            </c:numRef>
          </c:val>
          <c:extLst>
            <c:ext xmlns:c16="http://schemas.microsoft.com/office/drawing/2014/chart" uri="{C3380CC4-5D6E-409C-BE32-E72D297353CC}">
              <c16:uniqueId val="{00000002-2466-BE4A-89E4-C7BA83BD39BE}"/>
            </c:ext>
          </c:extLst>
        </c:ser>
        <c:ser>
          <c:idx val="3"/>
          <c:order val="3"/>
          <c:tx>
            <c:strRef>
              <c:f>'exh moh mol'!$A$26</c:f>
              <c:strCache>
                <c:ptCount val="1"/>
                <c:pt idx="0">
                  <c:v>non of the above</c:v>
                </c:pt>
              </c:strCache>
            </c:strRef>
          </c:tx>
          <c:spPr>
            <a:solidFill>
              <a:schemeClr val="accent4"/>
            </a:solidFill>
            <a:ln>
              <a:noFill/>
            </a:ln>
            <a:effectLst/>
          </c:spPr>
          <c:invertIfNegative val="0"/>
          <c:cat>
            <c:multiLvlStrRef>
              <c:f>'exh moh mol'!$B$21:$M$22</c:f>
              <c:multiLvlStrCache>
                <c:ptCount val="12"/>
                <c:lvl>
                  <c:pt idx="0">
                    <c:v>past</c:v>
                  </c:pt>
                  <c:pt idx="1">
                    <c:v>present</c:v>
                  </c:pt>
                  <c:pt idx="2">
                    <c:v>past</c:v>
                  </c:pt>
                  <c:pt idx="3">
                    <c:v>present</c:v>
                  </c:pt>
                  <c:pt idx="4">
                    <c:v>past</c:v>
                  </c:pt>
                  <c:pt idx="5">
                    <c:v>present</c:v>
                  </c:pt>
                  <c:pt idx="6">
                    <c:v>past</c:v>
                  </c:pt>
                  <c:pt idx="7">
                    <c:v>present</c:v>
                  </c:pt>
                  <c:pt idx="8">
                    <c:v>past</c:v>
                  </c:pt>
                  <c:pt idx="9">
                    <c:v>present</c:v>
                  </c:pt>
                  <c:pt idx="10">
                    <c:v>past</c:v>
                  </c:pt>
                  <c:pt idx="11">
                    <c:v>present</c:v>
                  </c:pt>
                </c:lvl>
                <c:lvl>
                  <c:pt idx="0">
                    <c:v>books</c:v>
                  </c:pt>
                  <c:pt idx="2">
                    <c:v>coffee</c:v>
                  </c:pt>
                  <c:pt idx="4">
                    <c:v>dentist</c:v>
                  </c:pt>
                  <c:pt idx="6">
                    <c:v>hair</c:v>
                  </c:pt>
                  <c:pt idx="8">
                    <c:v>shoes</c:v>
                  </c:pt>
                  <c:pt idx="10">
                    <c:v>yarn</c:v>
                  </c:pt>
                </c:lvl>
              </c:multiLvlStrCache>
            </c:multiLvlStrRef>
          </c:cat>
          <c:val>
            <c:numRef>
              <c:f>'exh moh mol'!$B$26:$M$26</c:f>
              <c:numCache>
                <c:formatCode>General</c:formatCode>
                <c:ptCount val="12"/>
                <c:pt idx="0">
                  <c:v>0</c:v>
                </c:pt>
                <c:pt idx="1">
                  <c:v>0</c:v>
                </c:pt>
                <c:pt idx="2">
                  <c:v>0.2</c:v>
                </c:pt>
                <c:pt idx="3">
                  <c:v>0</c:v>
                </c:pt>
                <c:pt idx="4">
                  <c:v>0.5</c:v>
                </c:pt>
                <c:pt idx="5">
                  <c:v>1</c:v>
                </c:pt>
                <c:pt idx="6">
                  <c:v>0</c:v>
                </c:pt>
                <c:pt idx="7">
                  <c:v>0.25</c:v>
                </c:pt>
                <c:pt idx="8">
                  <c:v>0.16666666666666666</c:v>
                </c:pt>
                <c:pt idx="9">
                  <c:v>0</c:v>
                </c:pt>
                <c:pt idx="10">
                  <c:v>0.25</c:v>
                </c:pt>
                <c:pt idx="11">
                  <c:v>0</c:v>
                </c:pt>
              </c:numCache>
            </c:numRef>
          </c:val>
          <c:extLst>
            <c:ext xmlns:c16="http://schemas.microsoft.com/office/drawing/2014/chart" uri="{C3380CC4-5D6E-409C-BE32-E72D297353CC}">
              <c16:uniqueId val="{00000003-2466-BE4A-89E4-C7BA83BD39BE}"/>
            </c:ext>
          </c:extLst>
        </c:ser>
        <c:dLbls>
          <c:showLegendKey val="0"/>
          <c:showVal val="0"/>
          <c:showCatName val="0"/>
          <c:showSerName val="0"/>
          <c:showPercent val="0"/>
          <c:showBubbleSize val="0"/>
        </c:dLbls>
        <c:gapWidth val="219"/>
        <c:overlap val="-27"/>
        <c:axId val="752550544"/>
        <c:axId val="766571424"/>
      </c:barChart>
      <c:catAx>
        <c:axId val="75255054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crossAx val="766571424"/>
        <c:crosses val="autoZero"/>
        <c:auto val="1"/>
        <c:lblAlgn val="ctr"/>
        <c:lblOffset val="100"/>
        <c:noMultiLvlLbl val="0"/>
      </c:catAx>
      <c:valAx>
        <c:axId val="766571424"/>
        <c:scaling>
          <c:orientation val="minMax"/>
          <c:max val="1"/>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crossAx val="752550544"/>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EXH,</a:t>
            </a:r>
            <a:r>
              <a:rPr lang="en-US" baseline="0"/>
              <a:t> MO-H AND MO-L SEEN</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0"/>
          <c:order val="0"/>
          <c:tx>
            <c:strRef>
              <c:f>'exh moh mol'!$B$32</c:f>
              <c:strCache>
                <c:ptCount val="1"/>
                <c:pt idx="0">
                  <c:v>past</c:v>
                </c:pt>
              </c:strCache>
            </c:strRef>
          </c:tx>
          <c:spPr>
            <a:solidFill>
              <a:schemeClr val="accent1"/>
            </a:solidFill>
            <a:ln>
              <a:noFill/>
            </a:ln>
            <a:effectLst/>
          </c:spPr>
          <c:invertIfNegative val="0"/>
          <c:cat>
            <c:strRef>
              <c:f>'exh moh mol'!$A$33:$A$36</c:f>
              <c:strCache>
                <c:ptCount val="4"/>
                <c:pt idx="0">
                  <c:v>exh</c:v>
                </c:pt>
                <c:pt idx="1">
                  <c:v>mo-h</c:v>
                </c:pt>
                <c:pt idx="2">
                  <c:v>mo-l</c:v>
                </c:pt>
                <c:pt idx="3">
                  <c:v>non of the above</c:v>
                </c:pt>
              </c:strCache>
            </c:strRef>
          </c:cat>
          <c:val>
            <c:numRef>
              <c:f>'exh moh mol'!$B$33:$B$36</c:f>
              <c:numCache>
                <c:formatCode>General</c:formatCode>
                <c:ptCount val="4"/>
                <c:pt idx="0">
                  <c:v>0.5007936507936509</c:v>
                </c:pt>
                <c:pt idx="1">
                  <c:v>0.63968253968253974</c:v>
                </c:pt>
                <c:pt idx="2">
                  <c:v>0.37420634920634921</c:v>
                </c:pt>
                <c:pt idx="3">
                  <c:v>0.18611111111111112</c:v>
                </c:pt>
              </c:numCache>
            </c:numRef>
          </c:val>
          <c:extLst>
            <c:ext xmlns:c16="http://schemas.microsoft.com/office/drawing/2014/chart" uri="{C3380CC4-5D6E-409C-BE32-E72D297353CC}">
              <c16:uniqueId val="{00000000-A6C0-654E-B8E0-8B4246B48B90}"/>
            </c:ext>
          </c:extLst>
        </c:ser>
        <c:ser>
          <c:idx val="1"/>
          <c:order val="1"/>
          <c:tx>
            <c:strRef>
              <c:f>'exh moh mol'!$C$32</c:f>
              <c:strCache>
                <c:ptCount val="1"/>
                <c:pt idx="0">
                  <c:v>present</c:v>
                </c:pt>
              </c:strCache>
            </c:strRef>
          </c:tx>
          <c:spPr>
            <a:solidFill>
              <a:schemeClr val="accent2"/>
            </a:solidFill>
            <a:ln>
              <a:noFill/>
            </a:ln>
            <a:effectLst/>
          </c:spPr>
          <c:invertIfNegative val="0"/>
          <c:cat>
            <c:strRef>
              <c:f>'exh moh mol'!$A$33:$A$36</c:f>
              <c:strCache>
                <c:ptCount val="4"/>
                <c:pt idx="0">
                  <c:v>exh</c:v>
                </c:pt>
                <c:pt idx="1">
                  <c:v>mo-h</c:v>
                </c:pt>
                <c:pt idx="2">
                  <c:v>mo-l</c:v>
                </c:pt>
                <c:pt idx="3">
                  <c:v>non of the above</c:v>
                </c:pt>
              </c:strCache>
            </c:strRef>
          </c:cat>
          <c:val>
            <c:numRef>
              <c:f>'exh moh mol'!$C$33:$C$36</c:f>
              <c:numCache>
                <c:formatCode>General</c:formatCode>
                <c:ptCount val="4"/>
                <c:pt idx="0">
                  <c:v>0.37976190476190474</c:v>
                </c:pt>
                <c:pt idx="1">
                  <c:v>0.62619047619047619</c:v>
                </c:pt>
                <c:pt idx="2">
                  <c:v>0.14761904761904762</c:v>
                </c:pt>
                <c:pt idx="3">
                  <c:v>0.20833333333333334</c:v>
                </c:pt>
              </c:numCache>
            </c:numRef>
          </c:val>
          <c:extLst>
            <c:ext xmlns:c16="http://schemas.microsoft.com/office/drawing/2014/chart" uri="{C3380CC4-5D6E-409C-BE32-E72D297353CC}">
              <c16:uniqueId val="{00000001-A6C0-654E-B8E0-8B4246B48B90}"/>
            </c:ext>
          </c:extLst>
        </c:ser>
        <c:dLbls>
          <c:showLegendKey val="0"/>
          <c:showVal val="0"/>
          <c:showCatName val="0"/>
          <c:showSerName val="0"/>
          <c:showPercent val="0"/>
          <c:showBubbleSize val="0"/>
        </c:dLbls>
        <c:gapWidth val="219"/>
        <c:overlap val="-27"/>
        <c:axId val="754871888"/>
        <c:axId val="754447312"/>
      </c:barChart>
      <c:catAx>
        <c:axId val="75487188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crossAx val="754447312"/>
        <c:crosses val="autoZero"/>
        <c:auto val="1"/>
        <c:lblAlgn val="ctr"/>
        <c:lblOffset val="100"/>
        <c:noMultiLvlLbl val="0"/>
      </c:catAx>
      <c:valAx>
        <c:axId val="754447312"/>
        <c:scaling>
          <c:orientation val="minMax"/>
          <c:max val="1"/>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crossAx val="754871888"/>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sz="1800" b="0" i="0" baseline="0">
                <a:effectLst/>
              </a:rPr>
              <a:t>WHEN EXH AND MO-H ARE SEEN</a:t>
            </a:r>
            <a:endParaRPr lang="en-US">
              <a:effectLst/>
            </a:endParaRP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0"/>
          <c:order val="0"/>
          <c:tx>
            <c:strRef>
              <c:f>'exh and mo-h'!$A$25</c:f>
              <c:strCache>
                <c:ptCount val="1"/>
                <c:pt idx="0">
                  <c:v>exh</c:v>
                </c:pt>
              </c:strCache>
            </c:strRef>
          </c:tx>
          <c:spPr>
            <a:solidFill>
              <a:schemeClr val="accent1"/>
            </a:solidFill>
            <a:ln>
              <a:noFill/>
            </a:ln>
            <a:effectLst/>
          </c:spPr>
          <c:invertIfNegative val="0"/>
          <c:cat>
            <c:multiLvlStrRef>
              <c:f>'exh and mo-h'!$B$23:$M$24</c:f>
              <c:multiLvlStrCache>
                <c:ptCount val="12"/>
                <c:lvl>
                  <c:pt idx="0">
                    <c:v>past</c:v>
                  </c:pt>
                  <c:pt idx="1">
                    <c:v>present</c:v>
                  </c:pt>
                  <c:pt idx="2">
                    <c:v>past</c:v>
                  </c:pt>
                  <c:pt idx="3">
                    <c:v>present</c:v>
                  </c:pt>
                  <c:pt idx="4">
                    <c:v>past</c:v>
                  </c:pt>
                  <c:pt idx="5">
                    <c:v>present</c:v>
                  </c:pt>
                  <c:pt idx="6">
                    <c:v>past</c:v>
                  </c:pt>
                  <c:pt idx="7">
                    <c:v>present</c:v>
                  </c:pt>
                  <c:pt idx="8">
                    <c:v>past</c:v>
                  </c:pt>
                  <c:pt idx="9">
                    <c:v>present</c:v>
                  </c:pt>
                  <c:pt idx="10">
                    <c:v>past</c:v>
                  </c:pt>
                  <c:pt idx="11">
                    <c:v>present</c:v>
                  </c:pt>
                </c:lvl>
                <c:lvl>
                  <c:pt idx="0">
                    <c:v>books</c:v>
                  </c:pt>
                  <c:pt idx="2">
                    <c:v>coffee</c:v>
                  </c:pt>
                  <c:pt idx="4">
                    <c:v>dentist</c:v>
                  </c:pt>
                  <c:pt idx="6">
                    <c:v>hair</c:v>
                  </c:pt>
                  <c:pt idx="8">
                    <c:v>shoes</c:v>
                  </c:pt>
                  <c:pt idx="10">
                    <c:v>yarn</c:v>
                  </c:pt>
                </c:lvl>
              </c:multiLvlStrCache>
            </c:multiLvlStrRef>
          </c:cat>
          <c:val>
            <c:numRef>
              <c:f>'exh and mo-h'!$B$25:$M$25</c:f>
              <c:numCache>
                <c:formatCode>General</c:formatCode>
                <c:ptCount val="12"/>
                <c:pt idx="0">
                  <c:v>0.4</c:v>
                </c:pt>
                <c:pt idx="1">
                  <c:v>0.6</c:v>
                </c:pt>
                <c:pt idx="2">
                  <c:v>0.6</c:v>
                </c:pt>
                <c:pt idx="3">
                  <c:v>0.6875</c:v>
                </c:pt>
                <c:pt idx="4">
                  <c:v>0.22222222222222221</c:v>
                </c:pt>
                <c:pt idx="5">
                  <c:v>0.42857142857142855</c:v>
                </c:pt>
                <c:pt idx="6">
                  <c:v>0.55555555555555558</c:v>
                </c:pt>
                <c:pt idx="7">
                  <c:v>0.47368421052631576</c:v>
                </c:pt>
                <c:pt idx="8">
                  <c:v>0.4375</c:v>
                </c:pt>
                <c:pt idx="9">
                  <c:v>0.53846153846153844</c:v>
                </c:pt>
                <c:pt idx="10">
                  <c:v>0.46666666666666667</c:v>
                </c:pt>
                <c:pt idx="11">
                  <c:v>0.33333333333333331</c:v>
                </c:pt>
              </c:numCache>
            </c:numRef>
          </c:val>
          <c:extLst>
            <c:ext xmlns:c16="http://schemas.microsoft.com/office/drawing/2014/chart" uri="{C3380CC4-5D6E-409C-BE32-E72D297353CC}">
              <c16:uniqueId val="{00000000-0DAA-C048-8C1B-BBB805FA00BE}"/>
            </c:ext>
          </c:extLst>
        </c:ser>
        <c:ser>
          <c:idx val="1"/>
          <c:order val="1"/>
          <c:tx>
            <c:strRef>
              <c:f>'exh and mo-h'!$A$26</c:f>
              <c:strCache>
                <c:ptCount val="1"/>
                <c:pt idx="0">
                  <c:v>mo-h</c:v>
                </c:pt>
              </c:strCache>
            </c:strRef>
          </c:tx>
          <c:spPr>
            <a:solidFill>
              <a:schemeClr val="accent2"/>
            </a:solidFill>
            <a:ln>
              <a:noFill/>
            </a:ln>
            <a:effectLst/>
          </c:spPr>
          <c:invertIfNegative val="0"/>
          <c:cat>
            <c:multiLvlStrRef>
              <c:f>'exh and mo-h'!$B$23:$M$24</c:f>
              <c:multiLvlStrCache>
                <c:ptCount val="12"/>
                <c:lvl>
                  <c:pt idx="0">
                    <c:v>past</c:v>
                  </c:pt>
                  <c:pt idx="1">
                    <c:v>present</c:v>
                  </c:pt>
                  <c:pt idx="2">
                    <c:v>past</c:v>
                  </c:pt>
                  <c:pt idx="3">
                    <c:v>present</c:v>
                  </c:pt>
                  <c:pt idx="4">
                    <c:v>past</c:v>
                  </c:pt>
                  <c:pt idx="5">
                    <c:v>present</c:v>
                  </c:pt>
                  <c:pt idx="6">
                    <c:v>past</c:v>
                  </c:pt>
                  <c:pt idx="7">
                    <c:v>present</c:v>
                  </c:pt>
                  <c:pt idx="8">
                    <c:v>past</c:v>
                  </c:pt>
                  <c:pt idx="9">
                    <c:v>present</c:v>
                  </c:pt>
                  <c:pt idx="10">
                    <c:v>past</c:v>
                  </c:pt>
                  <c:pt idx="11">
                    <c:v>present</c:v>
                  </c:pt>
                </c:lvl>
                <c:lvl>
                  <c:pt idx="0">
                    <c:v>books</c:v>
                  </c:pt>
                  <c:pt idx="2">
                    <c:v>coffee</c:v>
                  </c:pt>
                  <c:pt idx="4">
                    <c:v>dentist</c:v>
                  </c:pt>
                  <c:pt idx="6">
                    <c:v>hair</c:v>
                  </c:pt>
                  <c:pt idx="8">
                    <c:v>shoes</c:v>
                  </c:pt>
                  <c:pt idx="10">
                    <c:v>yarn</c:v>
                  </c:pt>
                </c:lvl>
              </c:multiLvlStrCache>
            </c:multiLvlStrRef>
          </c:cat>
          <c:val>
            <c:numRef>
              <c:f>'exh and mo-h'!$B$26:$M$26</c:f>
              <c:numCache>
                <c:formatCode>General</c:formatCode>
                <c:ptCount val="12"/>
                <c:pt idx="0">
                  <c:v>0.8</c:v>
                </c:pt>
                <c:pt idx="1">
                  <c:v>0.8</c:v>
                </c:pt>
                <c:pt idx="2">
                  <c:v>0.5</c:v>
                </c:pt>
                <c:pt idx="3">
                  <c:v>0.625</c:v>
                </c:pt>
                <c:pt idx="4">
                  <c:v>0.22222222222222221</c:v>
                </c:pt>
                <c:pt idx="5">
                  <c:v>0.6428571428571429</c:v>
                </c:pt>
                <c:pt idx="6">
                  <c:v>0.55555555555555558</c:v>
                </c:pt>
                <c:pt idx="7">
                  <c:v>0.57894736842105265</c:v>
                </c:pt>
                <c:pt idx="8">
                  <c:v>0.5625</c:v>
                </c:pt>
                <c:pt idx="9">
                  <c:v>0.69230769230769229</c:v>
                </c:pt>
                <c:pt idx="10">
                  <c:v>0.66666666666666663</c:v>
                </c:pt>
                <c:pt idx="11">
                  <c:v>0.58333333333333337</c:v>
                </c:pt>
              </c:numCache>
            </c:numRef>
          </c:val>
          <c:extLst>
            <c:ext xmlns:c16="http://schemas.microsoft.com/office/drawing/2014/chart" uri="{C3380CC4-5D6E-409C-BE32-E72D297353CC}">
              <c16:uniqueId val="{00000001-0DAA-C048-8C1B-BBB805FA00BE}"/>
            </c:ext>
          </c:extLst>
        </c:ser>
        <c:ser>
          <c:idx val="2"/>
          <c:order val="2"/>
          <c:tx>
            <c:strRef>
              <c:f>'exh and mo-h'!$A$27</c:f>
              <c:strCache>
                <c:ptCount val="1"/>
                <c:pt idx="0">
                  <c:v>mo-l</c:v>
                </c:pt>
              </c:strCache>
            </c:strRef>
          </c:tx>
          <c:spPr>
            <a:solidFill>
              <a:schemeClr val="accent3"/>
            </a:solidFill>
            <a:ln>
              <a:noFill/>
            </a:ln>
            <a:effectLst/>
          </c:spPr>
          <c:invertIfNegative val="0"/>
          <c:cat>
            <c:multiLvlStrRef>
              <c:f>'exh and mo-h'!$B$23:$M$24</c:f>
              <c:multiLvlStrCache>
                <c:ptCount val="12"/>
                <c:lvl>
                  <c:pt idx="0">
                    <c:v>past</c:v>
                  </c:pt>
                  <c:pt idx="1">
                    <c:v>present</c:v>
                  </c:pt>
                  <c:pt idx="2">
                    <c:v>past</c:v>
                  </c:pt>
                  <c:pt idx="3">
                    <c:v>present</c:v>
                  </c:pt>
                  <c:pt idx="4">
                    <c:v>past</c:v>
                  </c:pt>
                  <c:pt idx="5">
                    <c:v>present</c:v>
                  </c:pt>
                  <c:pt idx="6">
                    <c:v>past</c:v>
                  </c:pt>
                  <c:pt idx="7">
                    <c:v>present</c:v>
                  </c:pt>
                  <c:pt idx="8">
                    <c:v>past</c:v>
                  </c:pt>
                  <c:pt idx="9">
                    <c:v>present</c:v>
                  </c:pt>
                  <c:pt idx="10">
                    <c:v>past</c:v>
                  </c:pt>
                  <c:pt idx="11">
                    <c:v>present</c:v>
                  </c:pt>
                </c:lvl>
                <c:lvl>
                  <c:pt idx="0">
                    <c:v>books</c:v>
                  </c:pt>
                  <c:pt idx="2">
                    <c:v>coffee</c:v>
                  </c:pt>
                  <c:pt idx="4">
                    <c:v>dentist</c:v>
                  </c:pt>
                  <c:pt idx="6">
                    <c:v>hair</c:v>
                  </c:pt>
                  <c:pt idx="8">
                    <c:v>shoes</c:v>
                  </c:pt>
                  <c:pt idx="10">
                    <c:v>yarn</c:v>
                  </c:pt>
                </c:lvl>
              </c:multiLvlStrCache>
            </c:multiLvlStrRef>
          </c:cat>
          <c:val>
            <c:numRef>
              <c:f>'exh and mo-h'!$B$27:$M$27</c:f>
              <c:numCache>
                <c:formatCode>General</c:formatCode>
                <c:ptCount val="12"/>
                <c:pt idx="0">
                  <c:v>0.25</c:v>
                </c:pt>
                <c:pt idx="1">
                  <c:v>0.2857142857142857</c:v>
                </c:pt>
                <c:pt idx="2">
                  <c:v>0.4</c:v>
                </c:pt>
                <c:pt idx="3">
                  <c:v>0.6</c:v>
                </c:pt>
                <c:pt idx="4">
                  <c:v>0.5</c:v>
                </c:pt>
                <c:pt idx="5">
                  <c:v>0</c:v>
                </c:pt>
                <c:pt idx="6">
                  <c:v>0.42857142857142855</c:v>
                </c:pt>
                <c:pt idx="7">
                  <c:v>0</c:v>
                </c:pt>
                <c:pt idx="8">
                  <c:v>0.16666666666666666</c:v>
                </c:pt>
                <c:pt idx="9">
                  <c:v>0</c:v>
                </c:pt>
                <c:pt idx="10">
                  <c:v>0.5</c:v>
                </c:pt>
                <c:pt idx="11">
                  <c:v>0</c:v>
                </c:pt>
              </c:numCache>
            </c:numRef>
          </c:val>
          <c:extLst>
            <c:ext xmlns:c16="http://schemas.microsoft.com/office/drawing/2014/chart" uri="{C3380CC4-5D6E-409C-BE32-E72D297353CC}">
              <c16:uniqueId val="{00000002-0DAA-C048-8C1B-BBB805FA00BE}"/>
            </c:ext>
          </c:extLst>
        </c:ser>
        <c:ser>
          <c:idx val="3"/>
          <c:order val="3"/>
          <c:tx>
            <c:strRef>
              <c:f>'exh and mo-h'!$A$28</c:f>
              <c:strCache>
                <c:ptCount val="1"/>
                <c:pt idx="0">
                  <c:v>ms-h</c:v>
                </c:pt>
              </c:strCache>
            </c:strRef>
          </c:tx>
          <c:spPr>
            <a:solidFill>
              <a:schemeClr val="accent4"/>
            </a:solidFill>
            <a:ln>
              <a:noFill/>
            </a:ln>
            <a:effectLst/>
          </c:spPr>
          <c:invertIfNegative val="0"/>
          <c:cat>
            <c:multiLvlStrRef>
              <c:f>'exh and mo-h'!$B$23:$M$24</c:f>
              <c:multiLvlStrCache>
                <c:ptCount val="12"/>
                <c:lvl>
                  <c:pt idx="0">
                    <c:v>past</c:v>
                  </c:pt>
                  <c:pt idx="1">
                    <c:v>present</c:v>
                  </c:pt>
                  <c:pt idx="2">
                    <c:v>past</c:v>
                  </c:pt>
                  <c:pt idx="3">
                    <c:v>present</c:v>
                  </c:pt>
                  <c:pt idx="4">
                    <c:v>past</c:v>
                  </c:pt>
                  <c:pt idx="5">
                    <c:v>present</c:v>
                  </c:pt>
                  <c:pt idx="6">
                    <c:v>past</c:v>
                  </c:pt>
                  <c:pt idx="7">
                    <c:v>present</c:v>
                  </c:pt>
                  <c:pt idx="8">
                    <c:v>past</c:v>
                  </c:pt>
                  <c:pt idx="9">
                    <c:v>present</c:v>
                  </c:pt>
                  <c:pt idx="10">
                    <c:v>past</c:v>
                  </c:pt>
                  <c:pt idx="11">
                    <c:v>present</c:v>
                  </c:pt>
                </c:lvl>
                <c:lvl>
                  <c:pt idx="0">
                    <c:v>books</c:v>
                  </c:pt>
                  <c:pt idx="2">
                    <c:v>coffee</c:v>
                  </c:pt>
                  <c:pt idx="4">
                    <c:v>dentist</c:v>
                  </c:pt>
                  <c:pt idx="6">
                    <c:v>hair</c:v>
                  </c:pt>
                  <c:pt idx="8">
                    <c:v>shoes</c:v>
                  </c:pt>
                  <c:pt idx="10">
                    <c:v>yarn</c:v>
                  </c:pt>
                </c:lvl>
              </c:multiLvlStrCache>
            </c:multiLvlStrRef>
          </c:cat>
          <c:val>
            <c:numRef>
              <c:f>'exh and mo-h'!$B$28:$M$28</c:f>
              <c:numCache>
                <c:formatCode>General</c:formatCode>
                <c:ptCount val="12"/>
                <c:pt idx="0">
                  <c:v>0</c:v>
                </c:pt>
                <c:pt idx="1">
                  <c:v>0.5</c:v>
                </c:pt>
                <c:pt idx="2">
                  <c:v>0</c:v>
                </c:pt>
                <c:pt idx="3">
                  <c:v>1</c:v>
                </c:pt>
                <c:pt idx="4">
                  <c:v>0</c:v>
                </c:pt>
                <c:pt idx="5">
                  <c:v>0.6</c:v>
                </c:pt>
                <c:pt idx="6">
                  <c:v>0</c:v>
                </c:pt>
                <c:pt idx="7">
                  <c:v>0.375</c:v>
                </c:pt>
                <c:pt idx="8">
                  <c:v>0.16666666666666666</c:v>
                </c:pt>
                <c:pt idx="9">
                  <c:v>1</c:v>
                </c:pt>
                <c:pt idx="10">
                  <c:v>0.5</c:v>
                </c:pt>
                <c:pt idx="11">
                  <c:v>0</c:v>
                </c:pt>
              </c:numCache>
            </c:numRef>
          </c:val>
          <c:extLst>
            <c:ext xmlns:c16="http://schemas.microsoft.com/office/drawing/2014/chart" uri="{C3380CC4-5D6E-409C-BE32-E72D297353CC}">
              <c16:uniqueId val="{00000003-0DAA-C048-8C1B-BBB805FA00BE}"/>
            </c:ext>
          </c:extLst>
        </c:ser>
        <c:ser>
          <c:idx val="4"/>
          <c:order val="4"/>
          <c:tx>
            <c:strRef>
              <c:f>'exh and mo-h'!$A$29</c:f>
              <c:strCache>
                <c:ptCount val="1"/>
                <c:pt idx="0">
                  <c:v>ms-l</c:v>
                </c:pt>
              </c:strCache>
            </c:strRef>
          </c:tx>
          <c:spPr>
            <a:solidFill>
              <a:schemeClr val="accent5"/>
            </a:solidFill>
            <a:ln>
              <a:noFill/>
            </a:ln>
            <a:effectLst/>
          </c:spPr>
          <c:invertIfNegative val="0"/>
          <c:cat>
            <c:multiLvlStrRef>
              <c:f>'exh and mo-h'!$B$23:$M$24</c:f>
              <c:multiLvlStrCache>
                <c:ptCount val="12"/>
                <c:lvl>
                  <c:pt idx="0">
                    <c:v>past</c:v>
                  </c:pt>
                  <c:pt idx="1">
                    <c:v>present</c:v>
                  </c:pt>
                  <c:pt idx="2">
                    <c:v>past</c:v>
                  </c:pt>
                  <c:pt idx="3">
                    <c:v>present</c:v>
                  </c:pt>
                  <c:pt idx="4">
                    <c:v>past</c:v>
                  </c:pt>
                  <c:pt idx="5">
                    <c:v>present</c:v>
                  </c:pt>
                  <c:pt idx="6">
                    <c:v>past</c:v>
                  </c:pt>
                  <c:pt idx="7">
                    <c:v>present</c:v>
                  </c:pt>
                  <c:pt idx="8">
                    <c:v>past</c:v>
                  </c:pt>
                  <c:pt idx="9">
                    <c:v>present</c:v>
                  </c:pt>
                  <c:pt idx="10">
                    <c:v>past</c:v>
                  </c:pt>
                  <c:pt idx="11">
                    <c:v>present</c:v>
                  </c:pt>
                </c:lvl>
                <c:lvl>
                  <c:pt idx="0">
                    <c:v>books</c:v>
                  </c:pt>
                  <c:pt idx="2">
                    <c:v>coffee</c:v>
                  </c:pt>
                  <c:pt idx="4">
                    <c:v>dentist</c:v>
                  </c:pt>
                  <c:pt idx="6">
                    <c:v>hair</c:v>
                  </c:pt>
                  <c:pt idx="8">
                    <c:v>shoes</c:v>
                  </c:pt>
                  <c:pt idx="10">
                    <c:v>yarn</c:v>
                  </c:pt>
                </c:lvl>
              </c:multiLvlStrCache>
            </c:multiLvlStrRef>
          </c:cat>
          <c:val>
            <c:numRef>
              <c:f>'exh and mo-h'!$B$29:$M$29</c:f>
              <c:numCache>
                <c:formatCode>General</c:formatCode>
                <c:ptCount val="12"/>
                <c:pt idx="0">
                  <c:v>0</c:v>
                </c:pt>
                <c:pt idx="1">
                  <c:v>0.75</c:v>
                </c:pt>
                <c:pt idx="2">
                  <c:v>0.66666666666666663</c:v>
                </c:pt>
                <c:pt idx="3">
                  <c:v>0.2857142857142857</c:v>
                </c:pt>
                <c:pt idx="4">
                  <c:v>0</c:v>
                </c:pt>
                <c:pt idx="5">
                  <c:v>0.33333333333333331</c:v>
                </c:pt>
                <c:pt idx="6">
                  <c:v>0.5</c:v>
                </c:pt>
                <c:pt idx="7">
                  <c:v>0.5</c:v>
                </c:pt>
                <c:pt idx="8">
                  <c:v>0</c:v>
                </c:pt>
                <c:pt idx="9">
                  <c:v>0.33333333333333331</c:v>
                </c:pt>
                <c:pt idx="10">
                  <c:v>0.25</c:v>
                </c:pt>
                <c:pt idx="11">
                  <c:v>0.66666666666666663</c:v>
                </c:pt>
              </c:numCache>
            </c:numRef>
          </c:val>
          <c:extLst>
            <c:ext xmlns:c16="http://schemas.microsoft.com/office/drawing/2014/chart" uri="{C3380CC4-5D6E-409C-BE32-E72D297353CC}">
              <c16:uniqueId val="{00000004-0DAA-C048-8C1B-BBB805FA00BE}"/>
            </c:ext>
          </c:extLst>
        </c:ser>
        <c:ser>
          <c:idx val="5"/>
          <c:order val="5"/>
          <c:tx>
            <c:strRef>
              <c:f>'exh and mo-h'!$A$30</c:f>
              <c:strCache>
                <c:ptCount val="1"/>
                <c:pt idx="0">
                  <c:v>none of the above</c:v>
                </c:pt>
              </c:strCache>
            </c:strRef>
          </c:tx>
          <c:spPr>
            <a:solidFill>
              <a:schemeClr val="accent6"/>
            </a:solidFill>
            <a:ln>
              <a:noFill/>
            </a:ln>
            <a:effectLst/>
          </c:spPr>
          <c:invertIfNegative val="0"/>
          <c:cat>
            <c:multiLvlStrRef>
              <c:f>'exh and mo-h'!$B$23:$M$24</c:f>
              <c:multiLvlStrCache>
                <c:ptCount val="12"/>
                <c:lvl>
                  <c:pt idx="0">
                    <c:v>past</c:v>
                  </c:pt>
                  <c:pt idx="1">
                    <c:v>present</c:v>
                  </c:pt>
                  <c:pt idx="2">
                    <c:v>past</c:v>
                  </c:pt>
                  <c:pt idx="3">
                    <c:v>present</c:v>
                  </c:pt>
                  <c:pt idx="4">
                    <c:v>past</c:v>
                  </c:pt>
                  <c:pt idx="5">
                    <c:v>present</c:v>
                  </c:pt>
                  <c:pt idx="6">
                    <c:v>past</c:v>
                  </c:pt>
                  <c:pt idx="7">
                    <c:v>present</c:v>
                  </c:pt>
                  <c:pt idx="8">
                    <c:v>past</c:v>
                  </c:pt>
                  <c:pt idx="9">
                    <c:v>present</c:v>
                  </c:pt>
                  <c:pt idx="10">
                    <c:v>past</c:v>
                  </c:pt>
                  <c:pt idx="11">
                    <c:v>present</c:v>
                  </c:pt>
                </c:lvl>
                <c:lvl>
                  <c:pt idx="0">
                    <c:v>books</c:v>
                  </c:pt>
                  <c:pt idx="2">
                    <c:v>coffee</c:v>
                  </c:pt>
                  <c:pt idx="4">
                    <c:v>dentist</c:v>
                  </c:pt>
                  <c:pt idx="6">
                    <c:v>hair</c:v>
                  </c:pt>
                  <c:pt idx="8">
                    <c:v>shoes</c:v>
                  </c:pt>
                  <c:pt idx="10">
                    <c:v>yarn</c:v>
                  </c:pt>
                </c:lvl>
              </c:multiLvlStrCache>
            </c:multiLvlStrRef>
          </c:cat>
          <c:val>
            <c:numRef>
              <c:f>'exh and mo-h'!$B$30:$M$30</c:f>
              <c:numCache>
                <c:formatCode>General</c:formatCode>
                <c:ptCount val="12"/>
                <c:pt idx="0">
                  <c:v>0.1</c:v>
                </c:pt>
                <c:pt idx="1">
                  <c:v>6.6666666666666666E-2</c:v>
                </c:pt>
                <c:pt idx="2">
                  <c:v>0.3</c:v>
                </c:pt>
                <c:pt idx="3">
                  <c:v>0.125</c:v>
                </c:pt>
                <c:pt idx="4">
                  <c:v>0.66666666666666663</c:v>
                </c:pt>
                <c:pt idx="5">
                  <c:v>0.35714285714285715</c:v>
                </c:pt>
                <c:pt idx="6">
                  <c:v>0.1111111111111111</c:v>
                </c:pt>
                <c:pt idx="7">
                  <c:v>0.15789473684210525</c:v>
                </c:pt>
                <c:pt idx="8">
                  <c:v>0.1875</c:v>
                </c:pt>
                <c:pt idx="9">
                  <c:v>0</c:v>
                </c:pt>
                <c:pt idx="10">
                  <c:v>0.2</c:v>
                </c:pt>
                <c:pt idx="11">
                  <c:v>0.25</c:v>
                </c:pt>
              </c:numCache>
            </c:numRef>
          </c:val>
          <c:extLst>
            <c:ext xmlns:c16="http://schemas.microsoft.com/office/drawing/2014/chart" uri="{C3380CC4-5D6E-409C-BE32-E72D297353CC}">
              <c16:uniqueId val="{00000005-0DAA-C048-8C1B-BBB805FA00BE}"/>
            </c:ext>
          </c:extLst>
        </c:ser>
        <c:dLbls>
          <c:showLegendKey val="0"/>
          <c:showVal val="0"/>
          <c:showCatName val="0"/>
          <c:showSerName val="0"/>
          <c:showPercent val="0"/>
          <c:showBubbleSize val="0"/>
        </c:dLbls>
        <c:gapWidth val="219"/>
        <c:overlap val="-27"/>
        <c:axId val="768900192"/>
        <c:axId val="703884192"/>
      </c:barChart>
      <c:catAx>
        <c:axId val="76890019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crossAx val="703884192"/>
        <c:crosses val="autoZero"/>
        <c:auto val="1"/>
        <c:lblAlgn val="ctr"/>
        <c:lblOffset val="100"/>
        <c:noMultiLvlLbl val="0"/>
      </c:catAx>
      <c:valAx>
        <c:axId val="703884192"/>
        <c:scaling>
          <c:orientation val="minMax"/>
          <c:max val="1"/>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crossAx val="768900192"/>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WHEN EXH AND MO-H ARE SEEN</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0"/>
          <c:order val="0"/>
          <c:tx>
            <c:strRef>
              <c:f>'exh and mo-h'!$B$32</c:f>
              <c:strCache>
                <c:ptCount val="1"/>
                <c:pt idx="0">
                  <c:v>past</c:v>
                </c:pt>
              </c:strCache>
            </c:strRef>
          </c:tx>
          <c:spPr>
            <a:solidFill>
              <a:schemeClr val="accent1"/>
            </a:solidFill>
            <a:ln>
              <a:noFill/>
            </a:ln>
            <a:effectLst/>
          </c:spPr>
          <c:invertIfNegative val="0"/>
          <c:cat>
            <c:strRef>
              <c:f>'exh and mo-h'!$A$33:$A$38</c:f>
              <c:strCache>
                <c:ptCount val="6"/>
                <c:pt idx="0">
                  <c:v>exh</c:v>
                </c:pt>
                <c:pt idx="1">
                  <c:v>mo-h</c:v>
                </c:pt>
                <c:pt idx="2">
                  <c:v>mo-l</c:v>
                </c:pt>
                <c:pt idx="3">
                  <c:v>ms-h</c:v>
                </c:pt>
                <c:pt idx="4">
                  <c:v>ms-l</c:v>
                </c:pt>
                <c:pt idx="5">
                  <c:v>none of the above</c:v>
                </c:pt>
              </c:strCache>
            </c:strRef>
          </c:cat>
          <c:val>
            <c:numRef>
              <c:f>'exh and mo-h'!$B$33:$B$38</c:f>
              <c:numCache>
                <c:formatCode>General</c:formatCode>
                <c:ptCount val="6"/>
                <c:pt idx="0">
                  <c:v>0.44699074074074074</c:v>
                </c:pt>
                <c:pt idx="1">
                  <c:v>0.55115740740740737</c:v>
                </c:pt>
                <c:pt idx="2">
                  <c:v>0.37420634920634921</c:v>
                </c:pt>
                <c:pt idx="3">
                  <c:v>0.1111111111111111</c:v>
                </c:pt>
                <c:pt idx="4">
                  <c:v>0.23611111111111108</c:v>
                </c:pt>
                <c:pt idx="5">
                  <c:v>0.26087962962962963</c:v>
                </c:pt>
              </c:numCache>
            </c:numRef>
          </c:val>
          <c:extLst>
            <c:ext xmlns:c16="http://schemas.microsoft.com/office/drawing/2014/chart" uri="{C3380CC4-5D6E-409C-BE32-E72D297353CC}">
              <c16:uniqueId val="{00000000-97B3-7E44-A56E-872B0D6DC372}"/>
            </c:ext>
          </c:extLst>
        </c:ser>
        <c:ser>
          <c:idx val="1"/>
          <c:order val="1"/>
          <c:tx>
            <c:strRef>
              <c:f>'exh and mo-h'!$C$32</c:f>
              <c:strCache>
                <c:ptCount val="1"/>
                <c:pt idx="0">
                  <c:v>present</c:v>
                </c:pt>
              </c:strCache>
            </c:strRef>
          </c:tx>
          <c:spPr>
            <a:solidFill>
              <a:schemeClr val="accent2"/>
            </a:solidFill>
            <a:ln>
              <a:noFill/>
            </a:ln>
            <a:effectLst/>
          </c:spPr>
          <c:invertIfNegative val="0"/>
          <c:cat>
            <c:strRef>
              <c:f>'exh and mo-h'!$A$33:$A$38</c:f>
              <c:strCache>
                <c:ptCount val="6"/>
                <c:pt idx="0">
                  <c:v>exh</c:v>
                </c:pt>
                <c:pt idx="1">
                  <c:v>mo-h</c:v>
                </c:pt>
                <c:pt idx="2">
                  <c:v>mo-l</c:v>
                </c:pt>
                <c:pt idx="3">
                  <c:v>ms-h</c:v>
                </c:pt>
                <c:pt idx="4">
                  <c:v>ms-l</c:v>
                </c:pt>
                <c:pt idx="5">
                  <c:v>none of the above</c:v>
                </c:pt>
              </c:strCache>
            </c:strRef>
          </c:cat>
          <c:val>
            <c:numRef>
              <c:f>'exh and mo-h'!$C$33:$C$38</c:f>
              <c:numCache>
                <c:formatCode>General</c:formatCode>
                <c:ptCount val="6"/>
                <c:pt idx="0">
                  <c:v>0.51025841848210274</c:v>
                </c:pt>
                <c:pt idx="1">
                  <c:v>0.65374092281987017</c:v>
                </c:pt>
                <c:pt idx="2">
                  <c:v>0.14761904761904762</c:v>
                </c:pt>
                <c:pt idx="3">
                  <c:v>0.57916666666666672</c:v>
                </c:pt>
                <c:pt idx="4">
                  <c:v>0.47817460317460309</c:v>
                </c:pt>
                <c:pt idx="5">
                  <c:v>0.15945071010860487</c:v>
                </c:pt>
              </c:numCache>
            </c:numRef>
          </c:val>
          <c:extLst>
            <c:ext xmlns:c16="http://schemas.microsoft.com/office/drawing/2014/chart" uri="{C3380CC4-5D6E-409C-BE32-E72D297353CC}">
              <c16:uniqueId val="{00000001-97B3-7E44-A56E-872B0D6DC372}"/>
            </c:ext>
          </c:extLst>
        </c:ser>
        <c:dLbls>
          <c:showLegendKey val="0"/>
          <c:showVal val="0"/>
          <c:showCatName val="0"/>
          <c:showSerName val="0"/>
          <c:showPercent val="0"/>
          <c:showBubbleSize val="0"/>
        </c:dLbls>
        <c:gapWidth val="219"/>
        <c:overlap val="-27"/>
        <c:axId val="778055200"/>
        <c:axId val="779181456"/>
      </c:barChart>
      <c:catAx>
        <c:axId val="77805520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crossAx val="779181456"/>
        <c:crosses val="autoZero"/>
        <c:auto val="1"/>
        <c:lblAlgn val="ctr"/>
        <c:lblOffset val="100"/>
        <c:noMultiLvlLbl val="0"/>
      </c:catAx>
      <c:valAx>
        <c:axId val="779181456"/>
        <c:scaling>
          <c:orientation val="minMax"/>
          <c:max val="1"/>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crossAx val="778055200"/>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filtered by mo-low</a:t>
            </a:r>
            <a:r>
              <a:rPr lang="en-US" baseline="0"/>
              <a:t> chosen = 1</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0"/>
          <c:order val="0"/>
          <c:tx>
            <c:strRef>
              <c:f>'mo low chosen'!$A$23</c:f>
              <c:strCache>
                <c:ptCount val="1"/>
                <c:pt idx="0">
                  <c:v>exh</c:v>
                </c:pt>
              </c:strCache>
            </c:strRef>
          </c:tx>
          <c:spPr>
            <a:solidFill>
              <a:schemeClr val="accent1"/>
            </a:solidFill>
            <a:ln>
              <a:noFill/>
            </a:ln>
            <a:effectLst/>
          </c:spPr>
          <c:invertIfNegative val="0"/>
          <c:cat>
            <c:multiLvlStrRef>
              <c:f>'mo low chosen'!$B$21:$M$22</c:f>
              <c:multiLvlStrCache>
                <c:ptCount val="12"/>
                <c:lvl>
                  <c:pt idx="0">
                    <c:v>past</c:v>
                  </c:pt>
                  <c:pt idx="1">
                    <c:v>present</c:v>
                  </c:pt>
                  <c:pt idx="2">
                    <c:v>past</c:v>
                  </c:pt>
                  <c:pt idx="3">
                    <c:v>present</c:v>
                  </c:pt>
                  <c:pt idx="4">
                    <c:v>past</c:v>
                  </c:pt>
                  <c:pt idx="5">
                    <c:v>present</c:v>
                  </c:pt>
                  <c:pt idx="6">
                    <c:v>past</c:v>
                  </c:pt>
                  <c:pt idx="7">
                    <c:v>present</c:v>
                  </c:pt>
                  <c:pt idx="8">
                    <c:v>past</c:v>
                  </c:pt>
                  <c:pt idx="9">
                    <c:v>present</c:v>
                  </c:pt>
                  <c:pt idx="10">
                    <c:v>past</c:v>
                  </c:pt>
                  <c:pt idx="11">
                    <c:v>present</c:v>
                  </c:pt>
                </c:lvl>
                <c:lvl>
                  <c:pt idx="0">
                    <c:v>books</c:v>
                  </c:pt>
                  <c:pt idx="2">
                    <c:v>coffee</c:v>
                  </c:pt>
                  <c:pt idx="4">
                    <c:v>dentist</c:v>
                  </c:pt>
                  <c:pt idx="6">
                    <c:v>hair</c:v>
                  </c:pt>
                  <c:pt idx="8">
                    <c:v>shoes</c:v>
                  </c:pt>
                  <c:pt idx="10">
                    <c:v>yarn</c:v>
                  </c:pt>
                </c:lvl>
              </c:multiLvlStrCache>
            </c:multiLvlStrRef>
          </c:cat>
          <c:val>
            <c:numRef>
              <c:f>'mo low chosen'!$B$23:$M$23</c:f>
              <c:numCache>
                <c:formatCode>General</c:formatCode>
                <c:ptCount val="12"/>
                <c:pt idx="0">
                  <c:v>1</c:v>
                </c:pt>
                <c:pt idx="1">
                  <c:v>0.66666666666666663</c:v>
                </c:pt>
                <c:pt idx="2">
                  <c:v>0.8571428571428571</c:v>
                </c:pt>
                <c:pt idx="3">
                  <c:v>0.66666666666666663</c:v>
                </c:pt>
                <c:pt idx="4">
                  <c:v>0.5</c:v>
                </c:pt>
                <c:pt idx="5">
                  <c:v>1</c:v>
                </c:pt>
                <c:pt idx="6">
                  <c:v>0.7142857142857143</c:v>
                </c:pt>
                <c:pt idx="7">
                  <c:v>1</c:v>
                </c:pt>
                <c:pt idx="8">
                  <c:v>0.5</c:v>
                </c:pt>
                <c:pt idx="9">
                  <c:v>0.8571428571428571</c:v>
                </c:pt>
                <c:pt idx="10">
                  <c:v>1</c:v>
                </c:pt>
                <c:pt idx="11">
                  <c:v>1</c:v>
                </c:pt>
              </c:numCache>
            </c:numRef>
          </c:val>
          <c:extLst>
            <c:ext xmlns:c16="http://schemas.microsoft.com/office/drawing/2014/chart" uri="{C3380CC4-5D6E-409C-BE32-E72D297353CC}">
              <c16:uniqueId val="{00000000-5D6C-A448-9DF4-45303E90EBB0}"/>
            </c:ext>
          </c:extLst>
        </c:ser>
        <c:ser>
          <c:idx val="1"/>
          <c:order val="1"/>
          <c:tx>
            <c:strRef>
              <c:f>'mo low chosen'!$A$24</c:f>
              <c:strCache>
                <c:ptCount val="1"/>
                <c:pt idx="0">
                  <c:v>mo-h</c:v>
                </c:pt>
              </c:strCache>
            </c:strRef>
          </c:tx>
          <c:spPr>
            <a:solidFill>
              <a:schemeClr val="accent2"/>
            </a:solidFill>
            <a:ln>
              <a:noFill/>
            </a:ln>
            <a:effectLst/>
          </c:spPr>
          <c:invertIfNegative val="0"/>
          <c:cat>
            <c:multiLvlStrRef>
              <c:f>'mo low chosen'!$B$21:$M$22</c:f>
              <c:multiLvlStrCache>
                <c:ptCount val="12"/>
                <c:lvl>
                  <c:pt idx="0">
                    <c:v>past</c:v>
                  </c:pt>
                  <c:pt idx="1">
                    <c:v>present</c:v>
                  </c:pt>
                  <c:pt idx="2">
                    <c:v>past</c:v>
                  </c:pt>
                  <c:pt idx="3">
                    <c:v>present</c:v>
                  </c:pt>
                  <c:pt idx="4">
                    <c:v>past</c:v>
                  </c:pt>
                  <c:pt idx="5">
                    <c:v>present</c:v>
                  </c:pt>
                  <c:pt idx="6">
                    <c:v>past</c:v>
                  </c:pt>
                  <c:pt idx="7">
                    <c:v>present</c:v>
                  </c:pt>
                  <c:pt idx="8">
                    <c:v>past</c:v>
                  </c:pt>
                  <c:pt idx="9">
                    <c:v>present</c:v>
                  </c:pt>
                  <c:pt idx="10">
                    <c:v>past</c:v>
                  </c:pt>
                  <c:pt idx="11">
                    <c:v>present</c:v>
                  </c:pt>
                </c:lvl>
                <c:lvl>
                  <c:pt idx="0">
                    <c:v>books</c:v>
                  </c:pt>
                  <c:pt idx="2">
                    <c:v>coffee</c:v>
                  </c:pt>
                  <c:pt idx="4">
                    <c:v>dentist</c:v>
                  </c:pt>
                  <c:pt idx="6">
                    <c:v>hair</c:v>
                  </c:pt>
                  <c:pt idx="8">
                    <c:v>shoes</c:v>
                  </c:pt>
                  <c:pt idx="10">
                    <c:v>yarn</c:v>
                  </c:pt>
                </c:lvl>
              </c:multiLvlStrCache>
            </c:multiLvlStrRef>
          </c:cat>
          <c:val>
            <c:numRef>
              <c:f>'mo low chosen'!$B$24:$M$24</c:f>
              <c:numCache>
                <c:formatCode>General</c:formatCode>
                <c:ptCount val="12"/>
                <c:pt idx="0">
                  <c:v>0.92307692307692313</c:v>
                </c:pt>
                <c:pt idx="1">
                  <c:v>0.66666666666666663</c:v>
                </c:pt>
                <c:pt idx="2">
                  <c:v>1</c:v>
                </c:pt>
                <c:pt idx="3">
                  <c:v>0.88235294117647056</c:v>
                </c:pt>
                <c:pt idx="4">
                  <c:v>0.8571428571428571</c:v>
                </c:pt>
                <c:pt idx="5">
                  <c:v>0.2857142857142857</c:v>
                </c:pt>
                <c:pt idx="6">
                  <c:v>0.88888888888888884</c:v>
                </c:pt>
                <c:pt idx="7">
                  <c:v>0.33333333333333331</c:v>
                </c:pt>
                <c:pt idx="8">
                  <c:v>0.875</c:v>
                </c:pt>
                <c:pt idx="9">
                  <c:v>0.7142857142857143</c:v>
                </c:pt>
                <c:pt idx="10">
                  <c:v>1</c:v>
                </c:pt>
                <c:pt idx="11">
                  <c:v>0.72727272727272729</c:v>
                </c:pt>
              </c:numCache>
            </c:numRef>
          </c:val>
          <c:extLst>
            <c:ext xmlns:c16="http://schemas.microsoft.com/office/drawing/2014/chart" uri="{C3380CC4-5D6E-409C-BE32-E72D297353CC}">
              <c16:uniqueId val="{00000001-5D6C-A448-9DF4-45303E90EBB0}"/>
            </c:ext>
          </c:extLst>
        </c:ser>
        <c:ser>
          <c:idx val="2"/>
          <c:order val="2"/>
          <c:tx>
            <c:strRef>
              <c:f>'mo low chosen'!$A$25</c:f>
              <c:strCache>
                <c:ptCount val="1"/>
                <c:pt idx="0">
                  <c:v>ms-h</c:v>
                </c:pt>
              </c:strCache>
            </c:strRef>
          </c:tx>
          <c:spPr>
            <a:solidFill>
              <a:schemeClr val="accent3"/>
            </a:solidFill>
            <a:ln>
              <a:noFill/>
            </a:ln>
            <a:effectLst/>
          </c:spPr>
          <c:invertIfNegative val="0"/>
          <c:cat>
            <c:multiLvlStrRef>
              <c:f>'mo low chosen'!$B$21:$M$22</c:f>
              <c:multiLvlStrCache>
                <c:ptCount val="12"/>
                <c:lvl>
                  <c:pt idx="0">
                    <c:v>past</c:v>
                  </c:pt>
                  <c:pt idx="1">
                    <c:v>present</c:v>
                  </c:pt>
                  <c:pt idx="2">
                    <c:v>past</c:v>
                  </c:pt>
                  <c:pt idx="3">
                    <c:v>present</c:v>
                  </c:pt>
                  <c:pt idx="4">
                    <c:v>past</c:v>
                  </c:pt>
                  <c:pt idx="5">
                    <c:v>present</c:v>
                  </c:pt>
                  <c:pt idx="6">
                    <c:v>past</c:v>
                  </c:pt>
                  <c:pt idx="7">
                    <c:v>present</c:v>
                  </c:pt>
                  <c:pt idx="8">
                    <c:v>past</c:v>
                  </c:pt>
                  <c:pt idx="9">
                    <c:v>present</c:v>
                  </c:pt>
                  <c:pt idx="10">
                    <c:v>past</c:v>
                  </c:pt>
                  <c:pt idx="11">
                    <c:v>present</c:v>
                  </c:pt>
                </c:lvl>
                <c:lvl>
                  <c:pt idx="0">
                    <c:v>books</c:v>
                  </c:pt>
                  <c:pt idx="2">
                    <c:v>coffee</c:v>
                  </c:pt>
                  <c:pt idx="4">
                    <c:v>dentist</c:v>
                  </c:pt>
                  <c:pt idx="6">
                    <c:v>hair</c:v>
                  </c:pt>
                  <c:pt idx="8">
                    <c:v>shoes</c:v>
                  </c:pt>
                  <c:pt idx="10">
                    <c:v>yarn</c:v>
                  </c:pt>
                </c:lvl>
              </c:multiLvlStrCache>
            </c:multiLvlStrRef>
          </c:cat>
          <c:val>
            <c:numRef>
              <c:f>'mo low chosen'!$B$25:$M$25</c:f>
              <c:numCache>
                <c:formatCode>General</c:formatCode>
                <c:ptCount val="12"/>
                <c:pt idx="0">
                  <c:v>0.8</c:v>
                </c:pt>
                <c:pt idx="1">
                  <c:v>0.8</c:v>
                </c:pt>
                <c:pt idx="2">
                  <c:v>0.90909090909090906</c:v>
                </c:pt>
                <c:pt idx="3">
                  <c:v>0.6428571428571429</c:v>
                </c:pt>
                <c:pt idx="4">
                  <c:v>0.7142857142857143</c:v>
                </c:pt>
                <c:pt idx="5">
                  <c:v>0.4</c:v>
                </c:pt>
                <c:pt idx="6">
                  <c:v>0.875</c:v>
                </c:pt>
                <c:pt idx="7">
                  <c:v>0.83333333333333337</c:v>
                </c:pt>
                <c:pt idx="8">
                  <c:v>0.72727272727272729</c:v>
                </c:pt>
                <c:pt idx="9">
                  <c:v>0.81818181818181823</c:v>
                </c:pt>
                <c:pt idx="10">
                  <c:v>0.66666666666666663</c:v>
                </c:pt>
                <c:pt idx="11">
                  <c:v>0.5714285714285714</c:v>
                </c:pt>
              </c:numCache>
            </c:numRef>
          </c:val>
          <c:extLst>
            <c:ext xmlns:c16="http://schemas.microsoft.com/office/drawing/2014/chart" uri="{C3380CC4-5D6E-409C-BE32-E72D297353CC}">
              <c16:uniqueId val="{00000002-5D6C-A448-9DF4-45303E90EBB0}"/>
            </c:ext>
          </c:extLst>
        </c:ser>
        <c:ser>
          <c:idx val="3"/>
          <c:order val="3"/>
          <c:tx>
            <c:strRef>
              <c:f>'mo low chosen'!$A$26</c:f>
              <c:strCache>
                <c:ptCount val="1"/>
                <c:pt idx="0">
                  <c:v>ms-l</c:v>
                </c:pt>
              </c:strCache>
            </c:strRef>
          </c:tx>
          <c:spPr>
            <a:solidFill>
              <a:schemeClr val="accent4"/>
            </a:solidFill>
            <a:ln>
              <a:noFill/>
            </a:ln>
            <a:effectLst/>
          </c:spPr>
          <c:invertIfNegative val="0"/>
          <c:cat>
            <c:multiLvlStrRef>
              <c:f>'mo low chosen'!$B$21:$M$22</c:f>
              <c:multiLvlStrCache>
                <c:ptCount val="12"/>
                <c:lvl>
                  <c:pt idx="0">
                    <c:v>past</c:v>
                  </c:pt>
                  <c:pt idx="1">
                    <c:v>present</c:v>
                  </c:pt>
                  <c:pt idx="2">
                    <c:v>past</c:v>
                  </c:pt>
                  <c:pt idx="3">
                    <c:v>present</c:v>
                  </c:pt>
                  <c:pt idx="4">
                    <c:v>past</c:v>
                  </c:pt>
                  <c:pt idx="5">
                    <c:v>present</c:v>
                  </c:pt>
                  <c:pt idx="6">
                    <c:v>past</c:v>
                  </c:pt>
                  <c:pt idx="7">
                    <c:v>present</c:v>
                  </c:pt>
                  <c:pt idx="8">
                    <c:v>past</c:v>
                  </c:pt>
                  <c:pt idx="9">
                    <c:v>present</c:v>
                  </c:pt>
                  <c:pt idx="10">
                    <c:v>past</c:v>
                  </c:pt>
                  <c:pt idx="11">
                    <c:v>present</c:v>
                  </c:pt>
                </c:lvl>
                <c:lvl>
                  <c:pt idx="0">
                    <c:v>books</c:v>
                  </c:pt>
                  <c:pt idx="2">
                    <c:v>coffee</c:v>
                  </c:pt>
                  <c:pt idx="4">
                    <c:v>dentist</c:v>
                  </c:pt>
                  <c:pt idx="6">
                    <c:v>hair</c:v>
                  </c:pt>
                  <c:pt idx="8">
                    <c:v>shoes</c:v>
                  </c:pt>
                  <c:pt idx="10">
                    <c:v>yarn</c:v>
                  </c:pt>
                </c:lvl>
              </c:multiLvlStrCache>
            </c:multiLvlStrRef>
          </c:cat>
          <c:val>
            <c:numRef>
              <c:f>'mo low chosen'!$B$26:$M$26</c:f>
              <c:numCache>
                <c:formatCode>General</c:formatCode>
                <c:ptCount val="12"/>
                <c:pt idx="0">
                  <c:v>1</c:v>
                </c:pt>
                <c:pt idx="1">
                  <c:v>0.875</c:v>
                </c:pt>
                <c:pt idx="2">
                  <c:v>0.8571428571428571</c:v>
                </c:pt>
                <c:pt idx="3">
                  <c:v>0.7</c:v>
                </c:pt>
                <c:pt idx="4">
                  <c:v>0.5</c:v>
                </c:pt>
                <c:pt idx="5">
                  <c:v>0.75</c:v>
                </c:pt>
                <c:pt idx="6">
                  <c:v>0.9</c:v>
                </c:pt>
                <c:pt idx="7">
                  <c:v>0.61538461538461542</c:v>
                </c:pt>
                <c:pt idx="8">
                  <c:v>0.875</c:v>
                </c:pt>
                <c:pt idx="9">
                  <c:v>0.72727272727272729</c:v>
                </c:pt>
                <c:pt idx="10">
                  <c:v>0.75</c:v>
                </c:pt>
                <c:pt idx="11">
                  <c:v>0.70588235294117652</c:v>
                </c:pt>
              </c:numCache>
            </c:numRef>
          </c:val>
          <c:extLst>
            <c:ext xmlns:c16="http://schemas.microsoft.com/office/drawing/2014/chart" uri="{C3380CC4-5D6E-409C-BE32-E72D297353CC}">
              <c16:uniqueId val="{00000003-5D6C-A448-9DF4-45303E90EBB0}"/>
            </c:ext>
          </c:extLst>
        </c:ser>
        <c:ser>
          <c:idx val="4"/>
          <c:order val="4"/>
          <c:tx>
            <c:strRef>
              <c:f>'mo low chosen'!$A$27</c:f>
              <c:strCache>
                <c:ptCount val="1"/>
                <c:pt idx="0">
                  <c:v>none of the above</c:v>
                </c:pt>
              </c:strCache>
            </c:strRef>
          </c:tx>
          <c:spPr>
            <a:solidFill>
              <a:schemeClr val="accent5"/>
            </a:solidFill>
            <a:ln>
              <a:noFill/>
            </a:ln>
            <a:effectLst/>
          </c:spPr>
          <c:invertIfNegative val="0"/>
          <c:cat>
            <c:multiLvlStrRef>
              <c:f>'mo low chosen'!$B$21:$M$22</c:f>
              <c:multiLvlStrCache>
                <c:ptCount val="12"/>
                <c:lvl>
                  <c:pt idx="0">
                    <c:v>past</c:v>
                  </c:pt>
                  <c:pt idx="1">
                    <c:v>present</c:v>
                  </c:pt>
                  <c:pt idx="2">
                    <c:v>past</c:v>
                  </c:pt>
                  <c:pt idx="3">
                    <c:v>present</c:v>
                  </c:pt>
                  <c:pt idx="4">
                    <c:v>past</c:v>
                  </c:pt>
                  <c:pt idx="5">
                    <c:v>present</c:v>
                  </c:pt>
                  <c:pt idx="6">
                    <c:v>past</c:v>
                  </c:pt>
                  <c:pt idx="7">
                    <c:v>present</c:v>
                  </c:pt>
                  <c:pt idx="8">
                    <c:v>past</c:v>
                  </c:pt>
                  <c:pt idx="9">
                    <c:v>present</c:v>
                  </c:pt>
                  <c:pt idx="10">
                    <c:v>past</c:v>
                  </c:pt>
                  <c:pt idx="11">
                    <c:v>present</c:v>
                  </c:pt>
                </c:lvl>
                <c:lvl>
                  <c:pt idx="0">
                    <c:v>books</c:v>
                  </c:pt>
                  <c:pt idx="2">
                    <c:v>coffee</c:v>
                  </c:pt>
                  <c:pt idx="4">
                    <c:v>dentist</c:v>
                  </c:pt>
                  <c:pt idx="6">
                    <c:v>hair</c:v>
                  </c:pt>
                  <c:pt idx="8">
                    <c:v>shoes</c:v>
                  </c:pt>
                  <c:pt idx="10">
                    <c:v>yarn</c:v>
                  </c:pt>
                </c:lvl>
              </c:multiLvlStrCache>
            </c:multiLvlStrRef>
          </c:cat>
          <c:val>
            <c:numRef>
              <c:f>'mo low chosen'!$B$27:$M$27</c:f>
              <c:numCache>
                <c:formatCode>General</c:formatCode>
                <c:ptCount val="12"/>
                <c:pt idx="0">
                  <c:v>0</c:v>
                </c:pt>
                <c:pt idx="1">
                  <c:v>0</c:v>
                </c:pt>
                <c:pt idx="2">
                  <c:v>0</c:v>
                </c:pt>
                <c:pt idx="3">
                  <c:v>0</c:v>
                </c:pt>
                <c:pt idx="4">
                  <c:v>0</c:v>
                </c:pt>
                <c:pt idx="5">
                  <c:v>0</c:v>
                </c:pt>
                <c:pt idx="6">
                  <c:v>0</c:v>
                </c:pt>
                <c:pt idx="7">
                  <c:v>0</c:v>
                </c:pt>
                <c:pt idx="8">
                  <c:v>0</c:v>
                </c:pt>
                <c:pt idx="9">
                  <c:v>0</c:v>
                </c:pt>
                <c:pt idx="10">
                  <c:v>0</c:v>
                </c:pt>
                <c:pt idx="11">
                  <c:v>0</c:v>
                </c:pt>
              </c:numCache>
            </c:numRef>
          </c:val>
          <c:extLst>
            <c:ext xmlns:c16="http://schemas.microsoft.com/office/drawing/2014/chart" uri="{C3380CC4-5D6E-409C-BE32-E72D297353CC}">
              <c16:uniqueId val="{00000004-5D6C-A448-9DF4-45303E90EBB0}"/>
            </c:ext>
          </c:extLst>
        </c:ser>
        <c:dLbls>
          <c:showLegendKey val="0"/>
          <c:showVal val="0"/>
          <c:showCatName val="0"/>
          <c:showSerName val="0"/>
          <c:showPercent val="0"/>
          <c:showBubbleSize val="0"/>
        </c:dLbls>
        <c:gapWidth val="219"/>
        <c:overlap val="-27"/>
        <c:axId val="701920384"/>
        <c:axId val="701558496"/>
      </c:barChart>
      <c:catAx>
        <c:axId val="70192038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crossAx val="701558496"/>
        <c:crosses val="autoZero"/>
        <c:auto val="1"/>
        <c:lblAlgn val="ctr"/>
        <c:lblOffset val="100"/>
        <c:noMultiLvlLbl val="0"/>
      </c:catAx>
      <c:valAx>
        <c:axId val="701558496"/>
        <c:scaling>
          <c:orientation val="minMax"/>
          <c:max val="1"/>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crossAx val="701920384"/>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filtered by mo_low_chosen</a:t>
            </a:r>
            <a:r>
              <a:rPr lang="en-US" baseline="0"/>
              <a:t> = 1</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0"/>
          <c:order val="0"/>
          <c:tx>
            <c:strRef>
              <c:f>'mo low chosen'!$B$31</c:f>
              <c:strCache>
                <c:ptCount val="1"/>
                <c:pt idx="0">
                  <c:v>past</c:v>
                </c:pt>
              </c:strCache>
            </c:strRef>
          </c:tx>
          <c:spPr>
            <a:solidFill>
              <a:schemeClr val="accent1"/>
            </a:solidFill>
            <a:ln>
              <a:noFill/>
            </a:ln>
            <a:effectLst/>
          </c:spPr>
          <c:invertIfNegative val="0"/>
          <c:cat>
            <c:strRef>
              <c:f>'mo low chosen'!$A$32:$A$36</c:f>
              <c:strCache>
                <c:ptCount val="5"/>
                <c:pt idx="0">
                  <c:v>exh</c:v>
                </c:pt>
                <c:pt idx="1">
                  <c:v>mo-h</c:v>
                </c:pt>
                <c:pt idx="2">
                  <c:v>ms-h</c:v>
                </c:pt>
                <c:pt idx="3">
                  <c:v>ms-l</c:v>
                </c:pt>
                <c:pt idx="4">
                  <c:v>none of the above</c:v>
                </c:pt>
              </c:strCache>
            </c:strRef>
          </c:cat>
          <c:val>
            <c:numRef>
              <c:f>'mo low chosen'!$B$32:$B$36</c:f>
              <c:numCache>
                <c:formatCode>General</c:formatCode>
                <c:ptCount val="5"/>
                <c:pt idx="0">
                  <c:v>0.76190476190476186</c:v>
                </c:pt>
                <c:pt idx="1">
                  <c:v>0.92401811151811142</c:v>
                </c:pt>
                <c:pt idx="2">
                  <c:v>0.78205266955266961</c:v>
                </c:pt>
                <c:pt idx="3">
                  <c:v>0.81369047619047619</c:v>
                </c:pt>
                <c:pt idx="4">
                  <c:v>0</c:v>
                </c:pt>
              </c:numCache>
            </c:numRef>
          </c:val>
          <c:extLst>
            <c:ext xmlns:c16="http://schemas.microsoft.com/office/drawing/2014/chart" uri="{C3380CC4-5D6E-409C-BE32-E72D297353CC}">
              <c16:uniqueId val="{00000000-0CE2-C845-87E1-FFAC83DDAF0A}"/>
            </c:ext>
          </c:extLst>
        </c:ser>
        <c:ser>
          <c:idx val="1"/>
          <c:order val="1"/>
          <c:tx>
            <c:strRef>
              <c:f>'mo low chosen'!$C$31</c:f>
              <c:strCache>
                <c:ptCount val="1"/>
                <c:pt idx="0">
                  <c:v>present</c:v>
                </c:pt>
              </c:strCache>
            </c:strRef>
          </c:tx>
          <c:spPr>
            <a:solidFill>
              <a:schemeClr val="accent2"/>
            </a:solidFill>
            <a:ln>
              <a:noFill/>
            </a:ln>
            <a:effectLst/>
          </c:spPr>
          <c:invertIfNegative val="0"/>
          <c:cat>
            <c:strRef>
              <c:f>'mo low chosen'!$A$32:$A$36</c:f>
              <c:strCache>
                <c:ptCount val="5"/>
                <c:pt idx="0">
                  <c:v>exh</c:v>
                </c:pt>
                <c:pt idx="1">
                  <c:v>mo-h</c:v>
                </c:pt>
                <c:pt idx="2">
                  <c:v>ms-h</c:v>
                </c:pt>
                <c:pt idx="3">
                  <c:v>ms-l</c:v>
                </c:pt>
                <c:pt idx="4">
                  <c:v>none of the above</c:v>
                </c:pt>
              </c:strCache>
            </c:strRef>
          </c:cat>
          <c:val>
            <c:numRef>
              <c:f>'mo low chosen'!$C$32:$C$36</c:f>
              <c:numCache>
                <c:formatCode>General</c:formatCode>
                <c:ptCount val="5"/>
                <c:pt idx="0">
                  <c:v>0.66666666666666663</c:v>
                </c:pt>
                <c:pt idx="1">
                  <c:v>0.865079365079365</c:v>
                </c:pt>
                <c:pt idx="2">
                  <c:v>0.62382650029708853</c:v>
                </c:pt>
                <c:pt idx="3">
                  <c:v>0.69013347763347765</c:v>
                </c:pt>
                <c:pt idx="4">
                  <c:v>0.58308994926641988</c:v>
                </c:pt>
              </c:numCache>
            </c:numRef>
          </c:val>
          <c:extLst>
            <c:ext xmlns:c16="http://schemas.microsoft.com/office/drawing/2014/chart" uri="{C3380CC4-5D6E-409C-BE32-E72D297353CC}">
              <c16:uniqueId val="{00000001-0CE2-C845-87E1-FFAC83DDAF0A}"/>
            </c:ext>
          </c:extLst>
        </c:ser>
        <c:dLbls>
          <c:showLegendKey val="0"/>
          <c:showVal val="0"/>
          <c:showCatName val="0"/>
          <c:showSerName val="0"/>
          <c:showPercent val="0"/>
          <c:showBubbleSize val="0"/>
        </c:dLbls>
        <c:gapWidth val="219"/>
        <c:overlap val="-27"/>
        <c:axId val="768036432"/>
        <c:axId val="746688672"/>
      </c:barChart>
      <c:catAx>
        <c:axId val="76803643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crossAx val="746688672"/>
        <c:crosses val="autoZero"/>
        <c:auto val="1"/>
        <c:lblAlgn val="ctr"/>
        <c:lblOffset val="100"/>
        <c:noMultiLvlLbl val="0"/>
      </c:catAx>
      <c:valAx>
        <c:axId val="746688672"/>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crossAx val="768036432"/>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sz="1800" b="0" i="0" baseline="0">
                <a:effectLst/>
              </a:rPr>
              <a:t>Trials where Exh is chosen</a:t>
            </a:r>
            <a:endParaRPr lang="en-US">
              <a:effectLst/>
            </a:endParaRP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0"/>
          <c:order val="0"/>
          <c:tx>
            <c:strRef>
              <c:f>'exh chosen'!$A$25</c:f>
              <c:strCache>
                <c:ptCount val="1"/>
                <c:pt idx="0">
                  <c:v>exh</c:v>
                </c:pt>
              </c:strCache>
            </c:strRef>
          </c:tx>
          <c:spPr>
            <a:solidFill>
              <a:schemeClr val="accent1"/>
            </a:solidFill>
            <a:ln>
              <a:noFill/>
            </a:ln>
            <a:effectLst/>
          </c:spPr>
          <c:invertIfNegative val="0"/>
          <c:cat>
            <c:multiLvlStrRef>
              <c:f>'exh chosen'!$B$23:$M$24</c:f>
              <c:multiLvlStrCache>
                <c:ptCount val="12"/>
                <c:lvl>
                  <c:pt idx="0">
                    <c:v>past</c:v>
                  </c:pt>
                  <c:pt idx="1">
                    <c:v>present</c:v>
                  </c:pt>
                  <c:pt idx="2">
                    <c:v>past</c:v>
                  </c:pt>
                  <c:pt idx="3">
                    <c:v>present</c:v>
                  </c:pt>
                  <c:pt idx="4">
                    <c:v>past</c:v>
                  </c:pt>
                  <c:pt idx="5">
                    <c:v>present</c:v>
                  </c:pt>
                  <c:pt idx="6">
                    <c:v>past</c:v>
                  </c:pt>
                  <c:pt idx="7">
                    <c:v>present</c:v>
                  </c:pt>
                  <c:pt idx="8">
                    <c:v>past</c:v>
                  </c:pt>
                  <c:pt idx="9">
                    <c:v>present</c:v>
                  </c:pt>
                  <c:pt idx="10">
                    <c:v>past</c:v>
                  </c:pt>
                  <c:pt idx="11">
                    <c:v>present</c:v>
                  </c:pt>
                </c:lvl>
                <c:lvl>
                  <c:pt idx="0">
                    <c:v>books</c:v>
                  </c:pt>
                  <c:pt idx="2">
                    <c:v>coffee</c:v>
                  </c:pt>
                  <c:pt idx="4">
                    <c:v>dentist</c:v>
                  </c:pt>
                  <c:pt idx="6">
                    <c:v>hair</c:v>
                  </c:pt>
                  <c:pt idx="8">
                    <c:v>shoes</c:v>
                  </c:pt>
                  <c:pt idx="10">
                    <c:v>yarn</c:v>
                  </c:pt>
                </c:lvl>
              </c:multiLvlStrCache>
            </c:multiLvlStrRef>
          </c:cat>
          <c:val>
            <c:numRef>
              <c:f>'exh chosen'!$B$25:$M$25</c:f>
              <c:numCache>
                <c:formatCode>General</c:formatCode>
                <c:ptCount val="12"/>
                <c:pt idx="0">
                  <c:v>1</c:v>
                </c:pt>
                <c:pt idx="1">
                  <c:v>1</c:v>
                </c:pt>
                <c:pt idx="2">
                  <c:v>1</c:v>
                </c:pt>
                <c:pt idx="3">
                  <c:v>1</c:v>
                </c:pt>
                <c:pt idx="4">
                  <c:v>1</c:v>
                </c:pt>
                <c:pt idx="5">
                  <c:v>1</c:v>
                </c:pt>
                <c:pt idx="6">
                  <c:v>1</c:v>
                </c:pt>
                <c:pt idx="7">
                  <c:v>1</c:v>
                </c:pt>
                <c:pt idx="8">
                  <c:v>1</c:v>
                </c:pt>
                <c:pt idx="9">
                  <c:v>1</c:v>
                </c:pt>
                <c:pt idx="10">
                  <c:v>1</c:v>
                </c:pt>
                <c:pt idx="11">
                  <c:v>1</c:v>
                </c:pt>
              </c:numCache>
            </c:numRef>
          </c:val>
          <c:extLst>
            <c:ext xmlns:c16="http://schemas.microsoft.com/office/drawing/2014/chart" uri="{C3380CC4-5D6E-409C-BE32-E72D297353CC}">
              <c16:uniqueId val="{00000000-6334-4E45-A0D3-7CB79D1D2395}"/>
            </c:ext>
          </c:extLst>
        </c:ser>
        <c:ser>
          <c:idx val="1"/>
          <c:order val="1"/>
          <c:tx>
            <c:strRef>
              <c:f>'exh chosen'!$A$26</c:f>
              <c:strCache>
                <c:ptCount val="1"/>
                <c:pt idx="0">
                  <c:v>mo-h</c:v>
                </c:pt>
              </c:strCache>
            </c:strRef>
          </c:tx>
          <c:spPr>
            <a:solidFill>
              <a:schemeClr val="accent2"/>
            </a:solidFill>
            <a:ln>
              <a:noFill/>
            </a:ln>
            <a:effectLst/>
          </c:spPr>
          <c:invertIfNegative val="0"/>
          <c:cat>
            <c:multiLvlStrRef>
              <c:f>'exh chosen'!$B$23:$M$24</c:f>
              <c:multiLvlStrCache>
                <c:ptCount val="12"/>
                <c:lvl>
                  <c:pt idx="0">
                    <c:v>past</c:v>
                  </c:pt>
                  <c:pt idx="1">
                    <c:v>present</c:v>
                  </c:pt>
                  <c:pt idx="2">
                    <c:v>past</c:v>
                  </c:pt>
                  <c:pt idx="3">
                    <c:v>present</c:v>
                  </c:pt>
                  <c:pt idx="4">
                    <c:v>past</c:v>
                  </c:pt>
                  <c:pt idx="5">
                    <c:v>present</c:v>
                  </c:pt>
                  <c:pt idx="6">
                    <c:v>past</c:v>
                  </c:pt>
                  <c:pt idx="7">
                    <c:v>present</c:v>
                  </c:pt>
                  <c:pt idx="8">
                    <c:v>past</c:v>
                  </c:pt>
                  <c:pt idx="9">
                    <c:v>present</c:v>
                  </c:pt>
                  <c:pt idx="10">
                    <c:v>past</c:v>
                  </c:pt>
                  <c:pt idx="11">
                    <c:v>present</c:v>
                  </c:pt>
                </c:lvl>
                <c:lvl>
                  <c:pt idx="0">
                    <c:v>books</c:v>
                  </c:pt>
                  <c:pt idx="2">
                    <c:v>coffee</c:v>
                  </c:pt>
                  <c:pt idx="4">
                    <c:v>dentist</c:v>
                  </c:pt>
                  <c:pt idx="6">
                    <c:v>hair</c:v>
                  </c:pt>
                  <c:pt idx="8">
                    <c:v>shoes</c:v>
                  </c:pt>
                  <c:pt idx="10">
                    <c:v>yarn</c:v>
                  </c:pt>
                </c:lvl>
              </c:multiLvlStrCache>
            </c:multiLvlStrRef>
          </c:cat>
          <c:val>
            <c:numRef>
              <c:f>'exh chosen'!$B$26:$M$26</c:f>
              <c:numCache>
                <c:formatCode>General</c:formatCode>
                <c:ptCount val="12"/>
                <c:pt idx="0">
                  <c:v>0.75</c:v>
                </c:pt>
                <c:pt idx="1">
                  <c:v>0.88888888888888884</c:v>
                </c:pt>
                <c:pt idx="2">
                  <c:v>0.66666666666666663</c:v>
                </c:pt>
                <c:pt idx="3">
                  <c:v>0.81818181818181823</c:v>
                </c:pt>
                <c:pt idx="4">
                  <c:v>0.5</c:v>
                </c:pt>
                <c:pt idx="5">
                  <c:v>1</c:v>
                </c:pt>
                <c:pt idx="6">
                  <c:v>0.6</c:v>
                </c:pt>
                <c:pt idx="7">
                  <c:v>0.55555555555555558</c:v>
                </c:pt>
                <c:pt idx="8">
                  <c:v>0.42857142857142855</c:v>
                </c:pt>
                <c:pt idx="9">
                  <c:v>0.7142857142857143</c:v>
                </c:pt>
                <c:pt idx="10">
                  <c:v>0.8571428571428571</c:v>
                </c:pt>
                <c:pt idx="11">
                  <c:v>0.75</c:v>
                </c:pt>
              </c:numCache>
            </c:numRef>
          </c:val>
          <c:extLst>
            <c:ext xmlns:c16="http://schemas.microsoft.com/office/drawing/2014/chart" uri="{C3380CC4-5D6E-409C-BE32-E72D297353CC}">
              <c16:uniqueId val="{00000001-6334-4E45-A0D3-7CB79D1D2395}"/>
            </c:ext>
          </c:extLst>
        </c:ser>
        <c:ser>
          <c:idx val="2"/>
          <c:order val="2"/>
          <c:tx>
            <c:strRef>
              <c:f>'exh chosen'!$A$27</c:f>
              <c:strCache>
                <c:ptCount val="1"/>
                <c:pt idx="0">
                  <c:v>mo-l</c:v>
                </c:pt>
              </c:strCache>
            </c:strRef>
          </c:tx>
          <c:spPr>
            <a:solidFill>
              <a:schemeClr val="accent3"/>
            </a:solidFill>
            <a:ln>
              <a:noFill/>
            </a:ln>
            <a:effectLst/>
          </c:spPr>
          <c:invertIfNegative val="0"/>
          <c:cat>
            <c:multiLvlStrRef>
              <c:f>'exh chosen'!$B$23:$M$24</c:f>
              <c:multiLvlStrCache>
                <c:ptCount val="12"/>
                <c:lvl>
                  <c:pt idx="0">
                    <c:v>past</c:v>
                  </c:pt>
                  <c:pt idx="1">
                    <c:v>present</c:v>
                  </c:pt>
                  <c:pt idx="2">
                    <c:v>past</c:v>
                  </c:pt>
                  <c:pt idx="3">
                    <c:v>present</c:v>
                  </c:pt>
                  <c:pt idx="4">
                    <c:v>past</c:v>
                  </c:pt>
                  <c:pt idx="5">
                    <c:v>present</c:v>
                  </c:pt>
                  <c:pt idx="6">
                    <c:v>past</c:v>
                  </c:pt>
                  <c:pt idx="7">
                    <c:v>present</c:v>
                  </c:pt>
                  <c:pt idx="8">
                    <c:v>past</c:v>
                  </c:pt>
                  <c:pt idx="9">
                    <c:v>present</c:v>
                  </c:pt>
                  <c:pt idx="10">
                    <c:v>past</c:v>
                  </c:pt>
                  <c:pt idx="11">
                    <c:v>present</c:v>
                  </c:pt>
                </c:lvl>
                <c:lvl>
                  <c:pt idx="0">
                    <c:v>books</c:v>
                  </c:pt>
                  <c:pt idx="2">
                    <c:v>coffee</c:v>
                  </c:pt>
                  <c:pt idx="4">
                    <c:v>dentist</c:v>
                  </c:pt>
                  <c:pt idx="6">
                    <c:v>hair</c:v>
                  </c:pt>
                  <c:pt idx="8">
                    <c:v>shoes</c:v>
                  </c:pt>
                  <c:pt idx="10">
                    <c:v>yarn</c:v>
                  </c:pt>
                </c:lvl>
              </c:multiLvlStrCache>
            </c:multiLvlStrRef>
          </c:cat>
          <c:val>
            <c:numRef>
              <c:f>'exh chosen'!$B$27:$M$27</c:f>
              <c:numCache>
                <c:formatCode>General</c:formatCode>
                <c:ptCount val="12"/>
                <c:pt idx="0">
                  <c:v>0.2</c:v>
                </c:pt>
                <c:pt idx="1">
                  <c:v>0.66666666666666663</c:v>
                </c:pt>
                <c:pt idx="2">
                  <c:v>0.6</c:v>
                </c:pt>
                <c:pt idx="3">
                  <c:v>0.5</c:v>
                </c:pt>
                <c:pt idx="4">
                  <c:v>0.33333333333333331</c:v>
                </c:pt>
                <c:pt idx="5">
                  <c:v>0.6</c:v>
                </c:pt>
                <c:pt idx="6">
                  <c:v>0.625</c:v>
                </c:pt>
                <c:pt idx="7">
                  <c:v>0.2</c:v>
                </c:pt>
                <c:pt idx="8">
                  <c:v>0.75</c:v>
                </c:pt>
                <c:pt idx="9">
                  <c:v>0.46153846153846156</c:v>
                </c:pt>
                <c:pt idx="10">
                  <c:v>0.66666666666666663</c:v>
                </c:pt>
                <c:pt idx="11">
                  <c:v>0.36363636363636365</c:v>
                </c:pt>
              </c:numCache>
            </c:numRef>
          </c:val>
          <c:extLst>
            <c:ext xmlns:c16="http://schemas.microsoft.com/office/drawing/2014/chart" uri="{C3380CC4-5D6E-409C-BE32-E72D297353CC}">
              <c16:uniqueId val="{00000002-6334-4E45-A0D3-7CB79D1D2395}"/>
            </c:ext>
          </c:extLst>
        </c:ser>
        <c:ser>
          <c:idx val="3"/>
          <c:order val="3"/>
          <c:tx>
            <c:strRef>
              <c:f>'exh chosen'!$A$28</c:f>
              <c:strCache>
                <c:ptCount val="1"/>
                <c:pt idx="0">
                  <c:v>ms-h</c:v>
                </c:pt>
              </c:strCache>
            </c:strRef>
          </c:tx>
          <c:spPr>
            <a:solidFill>
              <a:schemeClr val="accent4"/>
            </a:solidFill>
            <a:ln>
              <a:noFill/>
            </a:ln>
            <a:effectLst/>
          </c:spPr>
          <c:invertIfNegative val="0"/>
          <c:cat>
            <c:multiLvlStrRef>
              <c:f>'exh chosen'!$B$23:$M$24</c:f>
              <c:multiLvlStrCache>
                <c:ptCount val="12"/>
                <c:lvl>
                  <c:pt idx="0">
                    <c:v>past</c:v>
                  </c:pt>
                  <c:pt idx="1">
                    <c:v>present</c:v>
                  </c:pt>
                  <c:pt idx="2">
                    <c:v>past</c:v>
                  </c:pt>
                  <c:pt idx="3">
                    <c:v>present</c:v>
                  </c:pt>
                  <c:pt idx="4">
                    <c:v>past</c:v>
                  </c:pt>
                  <c:pt idx="5">
                    <c:v>present</c:v>
                  </c:pt>
                  <c:pt idx="6">
                    <c:v>past</c:v>
                  </c:pt>
                  <c:pt idx="7">
                    <c:v>present</c:v>
                  </c:pt>
                  <c:pt idx="8">
                    <c:v>past</c:v>
                  </c:pt>
                  <c:pt idx="9">
                    <c:v>present</c:v>
                  </c:pt>
                  <c:pt idx="10">
                    <c:v>past</c:v>
                  </c:pt>
                  <c:pt idx="11">
                    <c:v>present</c:v>
                  </c:pt>
                </c:lvl>
                <c:lvl>
                  <c:pt idx="0">
                    <c:v>books</c:v>
                  </c:pt>
                  <c:pt idx="2">
                    <c:v>coffee</c:v>
                  </c:pt>
                  <c:pt idx="4">
                    <c:v>dentist</c:v>
                  </c:pt>
                  <c:pt idx="6">
                    <c:v>hair</c:v>
                  </c:pt>
                  <c:pt idx="8">
                    <c:v>shoes</c:v>
                  </c:pt>
                  <c:pt idx="10">
                    <c:v>yarn</c:v>
                  </c:pt>
                </c:lvl>
              </c:multiLvlStrCache>
            </c:multiLvlStrRef>
          </c:cat>
          <c:val>
            <c:numRef>
              <c:f>'exh chosen'!$B$28:$M$28</c:f>
              <c:numCache>
                <c:formatCode>General</c:formatCode>
                <c:ptCount val="12"/>
                <c:pt idx="0">
                  <c:v>1</c:v>
                </c:pt>
                <c:pt idx="1">
                  <c:v>0.7</c:v>
                </c:pt>
                <c:pt idx="2">
                  <c:v>0.7142857142857143</c:v>
                </c:pt>
                <c:pt idx="3">
                  <c:v>0.5</c:v>
                </c:pt>
                <c:pt idx="4">
                  <c:v>0.4</c:v>
                </c:pt>
                <c:pt idx="5">
                  <c:v>0.83333333333333337</c:v>
                </c:pt>
                <c:pt idx="6">
                  <c:v>0.66666666666666663</c:v>
                </c:pt>
                <c:pt idx="7">
                  <c:v>0.66666666666666663</c:v>
                </c:pt>
                <c:pt idx="8">
                  <c:v>0.75</c:v>
                </c:pt>
                <c:pt idx="9">
                  <c:v>0.77777777777777779</c:v>
                </c:pt>
                <c:pt idx="10">
                  <c:v>0.6</c:v>
                </c:pt>
                <c:pt idx="11">
                  <c:v>0.5</c:v>
                </c:pt>
              </c:numCache>
            </c:numRef>
          </c:val>
          <c:extLst>
            <c:ext xmlns:c16="http://schemas.microsoft.com/office/drawing/2014/chart" uri="{C3380CC4-5D6E-409C-BE32-E72D297353CC}">
              <c16:uniqueId val="{00000003-6334-4E45-A0D3-7CB79D1D2395}"/>
            </c:ext>
          </c:extLst>
        </c:ser>
        <c:ser>
          <c:idx val="4"/>
          <c:order val="4"/>
          <c:tx>
            <c:strRef>
              <c:f>'exh chosen'!$A$29</c:f>
              <c:strCache>
                <c:ptCount val="1"/>
                <c:pt idx="0">
                  <c:v>ms-l</c:v>
                </c:pt>
              </c:strCache>
            </c:strRef>
          </c:tx>
          <c:spPr>
            <a:solidFill>
              <a:schemeClr val="accent5"/>
            </a:solidFill>
            <a:ln>
              <a:noFill/>
            </a:ln>
            <a:effectLst/>
          </c:spPr>
          <c:invertIfNegative val="0"/>
          <c:cat>
            <c:multiLvlStrRef>
              <c:f>'exh chosen'!$B$23:$M$24</c:f>
              <c:multiLvlStrCache>
                <c:ptCount val="12"/>
                <c:lvl>
                  <c:pt idx="0">
                    <c:v>past</c:v>
                  </c:pt>
                  <c:pt idx="1">
                    <c:v>present</c:v>
                  </c:pt>
                  <c:pt idx="2">
                    <c:v>past</c:v>
                  </c:pt>
                  <c:pt idx="3">
                    <c:v>present</c:v>
                  </c:pt>
                  <c:pt idx="4">
                    <c:v>past</c:v>
                  </c:pt>
                  <c:pt idx="5">
                    <c:v>present</c:v>
                  </c:pt>
                  <c:pt idx="6">
                    <c:v>past</c:v>
                  </c:pt>
                  <c:pt idx="7">
                    <c:v>present</c:v>
                  </c:pt>
                  <c:pt idx="8">
                    <c:v>past</c:v>
                  </c:pt>
                  <c:pt idx="9">
                    <c:v>present</c:v>
                  </c:pt>
                  <c:pt idx="10">
                    <c:v>past</c:v>
                  </c:pt>
                  <c:pt idx="11">
                    <c:v>present</c:v>
                  </c:pt>
                </c:lvl>
                <c:lvl>
                  <c:pt idx="0">
                    <c:v>books</c:v>
                  </c:pt>
                  <c:pt idx="2">
                    <c:v>coffee</c:v>
                  </c:pt>
                  <c:pt idx="4">
                    <c:v>dentist</c:v>
                  </c:pt>
                  <c:pt idx="6">
                    <c:v>hair</c:v>
                  </c:pt>
                  <c:pt idx="8">
                    <c:v>shoes</c:v>
                  </c:pt>
                  <c:pt idx="10">
                    <c:v>yarn</c:v>
                  </c:pt>
                </c:lvl>
              </c:multiLvlStrCache>
            </c:multiLvlStrRef>
          </c:cat>
          <c:val>
            <c:numRef>
              <c:f>'exh chosen'!$B$29:$M$29</c:f>
              <c:numCache>
                <c:formatCode>General</c:formatCode>
                <c:ptCount val="12"/>
                <c:pt idx="0">
                  <c:v>0</c:v>
                </c:pt>
                <c:pt idx="1">
                  <c:v>0.8571428571428571</c:v>
                </c:pt>
                <c:pt idx="2">
                  <c:v>0.83333333333333337</c:v>
                </c:pt>
                <c:pt idx="3">
                  <c:v>0.33333333333333331</c:v>
                </c:pt>
                <c:pt idx="4">
                  <c:v>0.25</c:v>
                </c:pt>
                <c:pt idx="5">
                  <c:v>0.66666666666666663</c:v>
                </c:pt>
                <c:pt idx="6">
                  <c:v>0.77777777777777779</c:v>
                </c:pt>
                <c:pt idx="7">
                  <c:v>0.375</c:v>
                </c:pt>
                <c:pt idx="8">
                  <c:v>0.2</c:v>
                </c:pt>
                <c:pt idx="9">
                  <c:v>0.2857142857142857</c:v>
                </c:pt>
                <c:pt idx="10">
                  <c:v>0.5714285714285714</c:v>
                </c:pt>
                <c:pt idx="11">
                  <c:v>0.55555555555555558</c:v>
                </c:pt>
              </c:numCache>
            </c:numRef>
          </c:val>
          <c:extLst>
            <c:ext xmlns:c16="http://schemas.microsoft.com/office/drawing/2014/chart" uri="{C3380CC4-5D6E-409C-BE32-E72D297353CC}">
              <c16:uniqueId val="{00000004-6334-4E45-A0D3-7CB79D1D2395}"/>
            </c:ext>
          </c:extLst>
        </c:ser>
        <c:ser>
          <c:idx val="5"/>
          <c:order val="5"/>
          <c:tx>
            <c:strRef>
              <c:f>'exh chosen'!$A$30</c:f>
              <c:strCache>
                <c:ptCount val="1"/>
                <c:pt idx="0">
                  <c:v>none of the above</c:v>
                </c:pt>
              </c:strCache>
            </c:strRef>
          </c:tx>
          <c:spPr>
            <a:solidFill>
              <a:schemeClr val="accent6"/>
            </a:solidFill>
            <a:ln>
              <a:noFill/>
            </a:ln>
            <a:effectLst/>
          </c:spPr>
          <c:invertIfNegative val="0"/>
          <c:cat>
            <c:multiLvlStrRef>
              <c:f>'exh chosen'!$B$23:$M$24</c:f>
              <c:multiLvlStrCache>
                <c:ptCount val="12"/>
                <c:lvl>
                  <c:pt idx="0">
                    <c:v>past</c:v>
                  </c:pt>
                  <c:pt idx="1">
                    <c:v>present</c:v>
                  </c:pt>
                  <c:pt idx="2">
                    <c:v>past</c:v>
                  </c:pt>
                  <c:pt idx="3">
                    <c:v>present</c:v>
                  </c:pt>
                  <c:pt idx="4">
                    <c:v>past</c:v>
                  </c:pt>
                  <c:pt idx="5">
                    <c:v>present</c:v>
                  </c:pt>
                  <c:pt idx="6">
                    <c:v>past</c:v>
                  </c:pt>
                  <c:pt idx="7">
                    <c:v>present</c:v>
                  </c:pt>
                  <c:pt idx="8">
                    <c:v>past</c:v>
                  </c:pt>
                  <c:pt idx="9">
                    <c:v>present</c:v>
                  </c:pt>
                  <c:pt idx="10">
                    <c:v>past</c:v>
                  </c:pt>
                  <c:pt idx="11">
                    <c:v>present</c:v>
                  </c:pt>
                </c:lvl>
                <c:lvl>
                  <c:pt idx="0">
                    <c:v>books</c:v>
                  </c:pt>
                  <c:pt idx="2">
                    <c:v>coffee</c:v>
                  </c:pt>
                  <c:pt idx="4">
                    <c:v>dentist</c:v>
                  </c:pt>
                  <c:pt idx="6">
                    <c:v>hair</c:v>
                  </c:pt>
                  <c:pt idx="8">
                    <c:v>shoes</c:v>
                  </c:pt>
                  <c:pt idx="10">
                    <c:v>yarn</c:v>
                  </c:pt>
                </c:lvl>
              </c:multiLvlStrCache>
            </c:multiLvlStrRef>
          </c:cat>
          <c:val>
            <c:numRef>
              <c:f>'exh chosen'!$B$30:$M$30</c:f>
              <c:numCache>
                <c:formatCode>General</c:formatCode>
                <c:ptCount val="12"/>
                <c:pt idx="0">
                  <c:v>0</c:v>
                </c:pt>
                <c:pt idx="1">
                  <c:v>0</c:v>
                </c:pt>
                <c:pt idx="2">
                  <c:v>0</c:v>
                </c:pt>
                <c:pt idx="3">
                  <c:v>0</c:v>
                </c:pt>
                <c:pt idx="4">
                  <c:v>0</c:v>
                </c:pt>
                <c:pt idx="5">
                  <c:v>0</c:v>
                </c:pt>
                <c:pt idx="6">
                  <c:v>0</c:v>
                </c:pt>
                <c:pt idx="7">
                  <c:v>0</c:v>
                </c:pt>
                <c:pt idx="8">
                  <c:v>7.6923076923076927E-2</c:v>
                </c:pt>
                <c:pt idx="9">
                  <c:v>0</c:v>
                </c:pt>
                <c:pt idx="10">
                  <c:v>0</c:v>
                </c:pt>
                <c:pt idx="11">
                  <c:v>0</c:v>
                </c:pt>
              </c:numCache>
            </c:numRef>
          </c:val>
          <c:extLst>
            <c:ext xmlns:c16="http://schemas.microsoft.com/office/drawing/2014/chart" uri="{C3380CC4-5D6E-409C-BE32-E72D297353CC}">
              <c16:uniqueId val="{00000005-6334-4E45-A0D3-7CB79D1D2395}"/>
            </c:ext>
          </c:extLst>
        </c:ser>
        <c:dLbls>
          <c:showLegendKey val="0"/>
          <c:showVal val="0"/>
          <c:showCatName val="0"/>
          <c:showSerName val="0"/>
          <c:showPercent val="0"/>
          <c:showBubbleSize val="0"/>
        </c:dLbls>
        <c:gapWidth val="219"/>
        <c:overlap val="-27"/>
        <c:axId val="779162576"/>
        <c:axId val="769581024"/>
      </c:barChart>
      <c:catAx>
        <c:axId val="77916257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crossAx val="769581024"/>
        <c:crosses val="autoZero"/>
        <c:auto val="1"/>
        <c:lblAlgn val="ctr"/>
        <c:lblOffset val="100"/>
        <c:noMultiLvlLbl val="0"/>
      </c:catAx>
      <c:valAx>
        <c:axId val="769581024"/>
        <c:scaling>
          <c:orientation val="minMax"/>
          <c:max val="1"/>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crossAx val="779162576"/>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Trials</a:t>
            </a:r>
            <a:r>
              <a:rPr lang="en-US" baseline="0"/>
              <a:t> where Exh is chosen</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0"/>
          <c:order val="0"/>
          <c:tx>
            <c:strRef>
              <c:f>'exh chosen'!$B$32</c:f>
              <c:strCache>
                <c:ptCount val="1"/>
                <c:pt idx="0">
                  <c:v>past</c:v>
                </c:pt>
              </c:strCache>
            </c:strRef>
          </c:tx>
          <c:spPr>
            <a:solidFill>
              <a:schemeClr val="accent1"/>
            </a:solidFill>
            <a:ln>
              <a:noFill/>
            </a:ln>
            <a:effectLst/>
          </c:spPr>
          <c:invertIfNegative val="0"/>
          <c:cat>
            <c:strRef>
              <c:f>'exh chosen'!$A$33:$A$38</c:f>
              <c:strCache>
                <c:ptCount val="6"/>
                <c:pt idx="0">
                  <c:v>exh</c:v>
                </c:pt>
                <c:pt idx="1">
                  <c:v>mo-h</c:v>
                </c:pt>
                <c:pt idx="2">
                  <c:v>mo-l</c:v>
                </c:pt>
                <c:pt idx="3">
                  <c:v>ms-h</c:v>
                </c:pt>
                <c:pt idx="4">
                  <c:v>ms-l</c:v>
                </c:pt>
                <c:pt idx="5">
                  <c:v>none of the above</c:v>
                </c:pt>
              </c:strCache>
            </c:strRef>
          </c:cat>
          <c:val>
            <c:numRef>
              <c:f>'exh chosen'!$B$33:$B$38</c:f>
              <c:numCache>
                <c:formatCode>General</c:formatCode>
                <c:ptCount val="6"/>
                <c:pt idx="0">
                  <c:v>1</c:v>
                </c:pt>
                <c:pt idx="1">
                  <c:v>0.6337301587301587</c:v>
                </c:pt>
                <c:pt idx="2">
                  <c:v>0.52916666666666667</c:v>
                </c:pt>
                <c:pt idx="3">
                  <c:v>0.68849206349206338</c:v>
                </c:pt>
                <c:pt idx="4">
                  <c:v>0.43875661375661384</c:v>
                </c:pt>
                <c:pt idx="5">
                  <c:v>1.2820512820512822E-2</c:v>
                </c:pt>
              </c:numCache>
            </c:numRef>
          </c:val>
          <c:extLst>
            <c:ext xmlns:c16="http://schemas.microsoft.com/office/drawing/2014/chart" uri="{C3380CC4-5D6E-409C-BE32-E72D297353CC}">
              <c16:uniqueId val="{00000000-D66C-8648-A31B-08BAB6039A22}"/>
            </c:ext>
          </c:extLst>
        </c:ser>
        <c:ser>
          <c:idx val="1"/>
          <c:order val="1"/>
          <c:tx>
            <c:strRef>
              <c:f>'exh chosen'!$C$32</c:f>
              <c:strCache>
                <c:ptCount val="1"/>
                <c:pt idx="0">
                  <c:v>present</c:v>
                </c:pt>
              </c:strCache>
            </c:strRef>
          </c:tx>
          <c:spPr>
            <a:solidFill>
              <a:schemeClr val="accent2"/>
            </a:solidFill>
            <a:ln>
              <a:noFill/>
            </a:ln>
            <a:effectLst/>
          </c:spPr>
          <c:invertIfNegative val="0"/>
          <c:cat>
            <c:strRef>
              <c:f>'exh chosen'!$A$33:$A$38</c:f>
              <c:strCache>
                <c:ptCount val="6"/>
                <c:pt idx="0">
                  <c:v>exh</c:v>
                </c:pt>
                <c:pt idx="1">
                  <c:v>mo-h</c:v>
                </c:pt>
                <c:pt idx="2">
                  <c:v>mo-l</c:v>
                </c:pt>
                <c:pt idx="3">
                  <c:v>ms-h</c:v>
                </c:pt>
                <c:pt idx="4">
                  <c:v>ms-l</c:v>
                </c:pt>
                <c:pt idx="5">
                  <c:v>none of the above</c:v>
                </c:pt>
              </c:strCache>
            </c:strRef>
          </c:cat>
          <c:val>
            <c:numRef>
              <c:f>'exh chosen'!$C$33:$C$38</c:f>
              <c:numCache>
                <c:formatCode>General</c:formatCode>
                <c:ptCount val="6"/>
                <c:pt idx="0">
                  <c:v>1</c:v>
                </c:pt>
                <c:pt idx="1">
                  <c:v>0.78781866281866286</c:v>
                </c:pt>
                <c:pt idx="2">
                  <c:v>0.46530691530691531</c:v>
                </c:pt>
                <c:pt idx="3">
                  <c:v>0.66296296296296287</c:v>
                </c:pt>
                <c:pt idx="4">
                  <c:v>0.51223544973544977</c:v>
                </c:pt>
                <c:pt idx="5">
                  <c:v>0</c:v>
                </c:pt>
              </c:numCache>
            </c:numRef>
          </c:val>
          <c:extLst>
            <c:ext xmlns:c16="http://schemas.microsoft.com/office/drawing/2014/chart" uri="{C3380CC4-5D6E-409C-BE32-E72D297353CC}">
              <c16:uniqueId val="{00000001-D66C-8648-A31B-08BAB6039A22}"/>
            </c:ext>
          </c:extLst>
        </c:ser>
        <c:dLbls>
          <c:showLegendKey val="0"/>
          <c:showVal val="0"/>
          <c:showCatName val="0"/>
          <c:showSerName val="0"/>
          <c:showPercent val="0"/>
          <c:showBubbleSize val="0"/>
        </c:dLbls>
        <c:gapWidth val="219"/>
        <c:overlap val="-27"/>
        <c:axId val="751981728"/>
        <c:axId val="766241696"/>
      </c:barChart>
      <c:catAx>
        <c:axId val="75198172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crossAx val="766241696"/>
        <c:crosses val="autoZero"/>
        <c:auto val="1"/>
        <c:lblAlgn val="ctr"/>
        <c:lblOffset val="100"/>
        <c:noMultiLvlLbl val="0"/>
      </c:catAx>
      <c:valAx>
        <c:axId val="766241696"/>
        <c:scaling>
          <c:orientation val="minMax"/>
          <c:max val="1"/>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crossAx val="751981728"/>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Trials</a:t>
            </a:r>
            <a:r>
              <a:rPr lang="en-US" baseline="0"/>
              <a:t> where MO-H is chosen</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0"/>
          <c:order val="0"/>
          <c:tx>
            <c:strRef>
              <c:f>'moh chosen'!$A$22</c:f>
              <c:strCache>
                <c:ptCount val="1"/>
                <c:pt idx="0">
                  <c:v>exh</c:v>
                </c:pt>
              </c:strCache>
            </c:strRef>
          </c:tx>
          <c:spPr>
            <a:solidFill>
              <a:schemeClr val="accent1"/>
            </a:solidFill>
            <a:ln>
              <a:noFill/>
            </a:ln>
            <a:effectLst/>
          </c:spPr>
          <c:invertIfNegative val="0"/>
          <c:cat>
            <c:multiLvlStrRef>
              <c:f>'moh chosen'!$B$20:$M$21</c:f>
              <c:multiLvlStrCache>
                <c:ptCount val="12"/>
                <c:lvl>
                  <c:pt idx="0">
                    <c:v>past</c:v>
                  </c:pt>
                  <c:pt idx="1">
                    <c:v>present</c:v>
                  </c:pt>
                  <c:pt idx="2">
                    <c:v>past</c:v>
                  </c:pt>
                  <c:pt idx="3">
                    <c:v>present</c:v>
                  </c:pt>
                  <c:pt idx="4">
                    <c:v>past</c:v>
                  </c:pt>
                  <c:pt idx="5">
                    <c:v>present</c:v>
                  </c:pt>
                  <c:pt idx="6">
                    <c:v>past</c:v>
                  </c:pt>
                  <c:pt idx="7">
                    <c:v>present</c:v>
                  </c:pt>
                  <c:pt idx="8">
                    <c:v>past</c:v>
                  </c:pt>
                  <c:pt idx="9">
                    <c:v>present</c:v>
                  </c:pt>
                  <c:pt idx="10">
                    <c:v>past</c:v>
                  </c:pt>
                  <c:pt idx="11">
                    <c:v>present</c:v>
                  </c:pt>
                </c:lvl>
                <c:lvl>
                  <c:pt idx="0">
                    <c:v>books</c:v>
                  </c:pt>
                  <c:pt idx="2">
                    <c:v>coffee</c:v>
                  </c:pt>
                  <c:pt idx="4">
                    <c:v>dentist</c:v>
                  </c:pt>
                  <c:pt idx="6">
                    <c:v>hair</c:v>
                  </c:pt>
                  <c:pt idx="8">
                    <c:v>shoes</c:v>
                  </c:pt>
                  <c:pt idx="10">
                    <c:v>yarn</c:v>
                  </c:pt>
                </c:lvl>
              </c:multiLvlStrCache>
            </c:multiLvlStrRef>
          </c:cat>
          <c:val>
            <c:numRef>
              <c:f>'moh chosen'!$B$22:$M$22</c:f>
              <c:numCache>
                <c:formatCode>General</c:formatCode>
                <c:ptCount val="12"/>
                <c:pt idx="0">
                  <c:v>0.375</c:v>
                </c:pt>
                <c:pt idx="1">
                  <c:v>0.66666666666666663</c:v>
                </c:pt>
                <c:pt idx="2">
                  <c:v>0.8</c:v>
                </c:pt>
                <c:pt idx="3">
                  <c:v>0.9</c:v>
                </c:pt>
                <c:pt idx="4">
                  <c:v>0.5</c:v>
                </c:pt>
                <c:pt idx="5">
                  <c:v>0.66666666666666663</c:v>
                </c:pt>
                <c:pt idx="6">
                  <c:v>0.6</c:v>
                </c:pt>
                <c:pt idx="7">
                  <c:v>0.45454545454545453</c:v>
                </c:pt>
                <c:pt idx="8">
                  <c:v>0.33333333333333331</c:v>
                </c:pt>
                <c:pt idx="9">
                  <c:v>0.55555555555555558</c:v>
                </c:pt>
                <c:pt idx="10">
                  <c:v>0.6</c:v>
                </c:pt>
                <c:pt idx="11">
                  <c:v>0.42857142857142855</c:v>
                </c:pt>
              </c:numCache>
            </c:numRef>
          </c:val>
          <c:extLst>
            <c:ext xmlns:c16="http://schemas.microsoft.com/office/drawing/2014/chart" uri="{C3380CC4-5D6E-409C-BE32-E72D297353CC}">
              <c16:uniqueId val="{00000000-BB9B-5C43-956C-A59E570B523E}"/>
            </c:ext>
          </c:extLst>
        </c:ser>
        <c:ser>
          <c:idx val="1"/>
          <c:order val="1"/>
          <c:tx>
            <c:strRef>
              <c:f>'moh chosen'!$A$23</c:f>
              <c:strCache>
                <c:ptCount val="1"/>
                <c:pt idx="0">
                  <c:v>mo-h</c:v>
                </c:pt>
              </c:strCache>
            </c:strRef>
          </c:tx>
          <c:spPr>
            <a:solidFill>
              <a:schemeClr val="accent2"/>
            </a:solidFill>
            <a:ln>
              <a:noFill/>
            </a:ln>
            <a:effectLst/>
          </c:spPr>
          <c:invertIfNegative val="0"/>
          <c:cat>
            <c:multiLvlStrRef>
              <c:f>'moh chosen'!$B$20:$M$21</c:f>
              <c:multiLvlStrCache>
                <c:ptCount val="12"/>
                <c:lvl>
                  <c:pt idx="0">
                    <c:v>past</c:v>
                  </c:pt>
                  <c:pt idx="1">
                    <c:v>present</c:v>
                  </c:pt>
                  <c:pt idx="2">
                    <c:v>past</c:v>
                  </c:pt>
                  <c:pt idx="3">
                    <c:v>present</c:v>
                  </c:pt>
                  <c:pt idx="4">
                    <c:v>past</c:v>
                  </c:pt>
                  <c:pt idx="5">
                    <c:v>present</c:v>
                  </c:pt>
                  <c:pt idx="6">
                    <c:v>past</c:v>
                  </c:pt>
                  <c:pt idx="7">
                    <c:v>present</c:v>
                  </c:pt>
                  <c:pt idx="8">
                    <c:v>past</c:v>
                  </c:pt>
                  <c:pt idx="9">
                    <c:v>present</c:v>
                  </c:pt>
                  <c:pt idx="10">
                    <c:v>past</c:v>
                  </c:pt>
                  <c:pt idx="11">
                    <c:v>present</c:v>
                  </c:pt>
                </c:lvl>
                <c:lvl>
                  <c:pt idx="0">
                    <c:v>books</c:v>
                  </c:pt>
                  <c:pt idx="2">
                    <c:v>coffee</c:v>
                  </c:pt>
                  <c:pt idx="4">
                    <c:v>dentist</c:v>
                  </c:pt>
                  <c:pt idx="6">
                    <c:v>hair</c:v>
                  </c:pt>
                  <c:pt idx="8">
                    <c:v>shoes</c:v>
                  </c:pt>
                  <c:pt idx="10">
                    <c:v>yarn</c:v>
                  </c:pt>
                </c:lvl>
              </c:multiLvlStrCache>
            </c:multiLvlStrRef>
          </c:cat>
          <c:val>
            <c:numRef>
              <c:f>'moh chosen'!$B$23:$M$23</c:f>
              <c:numCache>
                <c:formatCode>General</c:formatCode>
                <c:ptCount val="12"/>
                <c:pt idx="0">
                  <c:v>1</c:v>
                </c:pt>
                <c:pt idx="1">
                  <c:v>1</c:v>
                </c:pt>
                <c:pt idx="2">
                  <c:v>1</c:v>
                </c:pt>
                <c:pt idx="3">
                  <c:v>1</c:v>
                </c:pt>
                <c:pt idx="4">
                  <c:v>1</c:v>
                </c:pt>
                <c:pt idx="5">
                  <c:v>1</c:v>
                </c:pt>
                <c:pt idx="6">
                  <c:v>1</c:v>
                </c:pt>
                <c:pt idx="7">
                  <c:v>1</c:v>
                </c:pt>
                <c:pt idx="8">
                  <c:v>1</c:v>
                </c:pt>
                <c:pt idx="9">
                  <c:v>1</c:v>
                </c:pt>
                <c:pt idx="10">
                  <c:v>1</c:v>
                </c:pt>
                <c:pt idx="11">
                  <c:v>1</c:v>
                </c:pt>
              </c:numCache>
            </c:numRef>
          </c:val>
          <c:extLst>
            <c:ext xmlns:c16="http://schemas.microsoft.com/office/drawing/2014/chart" uri="{C3380CC4-5D6E-409C-BE32-E72D297353CC}">
              <c16:uniqueId val="{00000001-BB9B-5C43-956C-A59E570B523E}"/>
            </c:ext>
          </c:extLst>
        </c:ser>
        <c:ser>
          <c:idx val="2"/>
          <c:order val="2"/>
          <c:tx>
            <c:strRef>
              <c:f>'moh chosen'!$A$24</c:f>
              <c:strCache>
                <c:ptCount val="1"/>
                <c:pt idx="0">
                  <c:v>mo-l</c:v>
                </c:pt>
              </c:strCache>
            </c:strRef>
          </c:tx>
          <c:spPr>
            <a:solidFill>
              <a:schemeClr val="accent3"/>
            </a:solidFill>
            <a:ln>
              <a:noFill/>
            </a:ln>
            <a:effectLst/>
          </c:spPr>
          <c:invertIfNegative val="0"/>
          <c:cat>
            <c:multiLvlStrRef>
              <c:f>'moh chosen'!$B$20:$M$21</c:f>
              <c:multiLvlStrCache>
                <c:ptCount val="12"/>
                <c:lvl>
                  <c:pt idx="0">
                    <c:v>past</c:v>
                  </c:pt>
                  <c:pt idx="1">
                    <c:v>present</c:v>
                  </c:pt>
                  <c:pt idx="2">
                    <c:v>past</c:v>
                  </c:pt>
                  <c:pt idx="3">
                    <c:v>present</c:v>
                  </c:pt>
                  <c:pt idx="4">
                    <c:v>past</c:v>
                  </c:pt>
                  <c:pt idx="5">
                    <c:v>present</c:v>
                  </c:pt>
                  <c:pt idx="6">
                    <c:v>past</c:v>
                  </c:pt>
                  <c:pt idx="7">
                    <c:v>present</c:v>
                  </c:pt>
                  <c:pt idx="8">
                    <c:v>past</c:v>
                  </c:pt>
                  <c:pt idx="9">
                    <c:v>present</c:v>
                  </c:pt>
                  <c:pt idx="10">
                    <c:v>past</c:v>
                  </c:pt>
                  <c:pt idx="11">
                    <c:v>present</c:v>
                  </c:pt>
                </c:lvl>
                <c:lvl>
                  <c:pt idx="0">
                    <c:v>books</c:v>
                  </c:pt>
                  <c:pt idx="2">
                    <c:v>coffee</c:v>
                  </c:pt>
                  <c:pt idx="4">
                    <c:v>dentist</c:v>
                  </c:pt>
                  <c:pt idx="6">
                    <c:v>hair</c:v>
                  </c:pt>
                  <c:pt idx="8">
                    <c:v>shoes</c:v>
                  </c:pt>
                  <c:pt idx="10">
                    <c:v>yarn</c:v>
                  </c:pt>
                </c:lvl>
              </c:multiLvlStrCache>
            </c:multiLvlStrRef>
          </c:cat>
          <c:val>
            <c:numRef>
              <c:f>'moh chosen'!$B$24:$M$24</c:f>
              <c:numCache>
                <c:formatCode>General</c:formatCode>
                <c:ptCount val="12"/>
                <c:pt idx="0">
                  <c:v>0.54545454545454541</c:v>
                </c:pt>
                <c:pt idx="1">
                  <c:v>0.2608695652173913</c:v>
                </c:pt>
                <c:pt idx="2">
                  <c:v>0.5</c:v>
                </c:pt>
                <c:pt idx="3">
                  <c:v>0.55555555555555558</c:v>
                </c:pt>
                <c:pt idx="4">
                  <c:v>0.54545454545454541</c:v>
                </c:pt>
                <c:pt idx="5">
                  <c:v>0.4</c:v>
                </c:pt>
                <c:pt idx="6">
                  <c:v>0.4</c:v>
                </c:pt>
                <c:pt idx="7">
                  <c:v>0.30769230769230771</c:v>
                </c:pt>
                <c:pt idx="8">
                  <c:v>0.35</c:v>
                </c:pt>
                <c:pt idx="9">
                  <c:v>0.3125</c:v>
                </c:pt>
                <c:pt idx="10">
                  <c:v>0.26666666666666666</c:v>
                </c:pt>
                <c:pt idx="11">
                  <c:v>0.44444444444444442</c:v>
                </c:pt>
              </c:numCache>
            </c:numRef>
          </c:val>
          <c:extLst>
            <c:ext xmlns:c16="http://schemas.microsoft.com/office/drawing/2014/chart" uri="{C3380CC4-5D6E-409C-BE32-E72D297353CC}">
              <c16:uniqueId val="{00000002-BB9B-5C43-956C-A59E570B523E}"/>
            </c:ext>
          </c:extLst>
        </c:ser>
        <c:ser>
          <c:idx val="3"/>
          <c:order val="3"/>
          <c:tx>
            <c:strRef>
              <c:f>'moh chosen'!$A$25</c:f>
              <c:strCache>
                <c:ptCount val="1"/>
                <c:pt idx="0">
                  <c:v>ms-h</c:v>
                </c:pt>
              </c:strCache>
            </c:strRef>
          </c:tx>
          <c:spPr>
            <a:solidFill>
              <a:schemeClr val="accent4"/>
            </a:solidFill>
            <a:ln>
              <a:noFill/>
            </a:ln>
            <a:effectLst/>
          </c:spPr>
          <c:invertIfNegative val="0"/>
          <c:cat>
            <c:multiLvlStrRef>
              <c:f>'moh chosen'!$B$20:$M$21</c:f>
              <c:multiLvlStrCache>
                <c:ptCount val="12"/>
                <c:lvl>
                  <c:pt idx="0">
                    <c:v>past</c:v>
                  </c:pt>
                  <c:pt idx="1">
                    <c:v>present</c:v>
                  </c:pt>
                  <c:pt idx="2">
                    <c:v>past</c:v>
                  </c:pt>
                  <c:pt idx="3">
                    <c:v>present</c:v>
                  </c:pt>
                  <c:pt idx="4">
                    <c:v>past</c:v>
                  </c:pt>
                  <c:pt idx="5">
                    <c:v>present</c:v>
                  </c:pt>
                  <c:pt idx="6">
                    <c:v>past</c:v>
                  </c:pt>
                  <c:pt idx="7">
                    <c:v>present</c:v>
                  </c:pt>
                  <c:pt idx="8">
                    <c:v>past</c:v>
                  </c:pt>
                  <c:pt idx="9">
                    <c:v>present</c:v>
                  </c:pt>
                  <c:pt idx="10">
                    <c:v>past</c:v>
                  </c:pt>
                  <c:pt idx="11">
                    <c:v>present</c:v>
                  </c:pt>
                </c:lvl>
                <c:lvl>
                  <c:pt idx="0">
                    <c:v>books</c:v>
                  </c:pt>
                  <c:pt idx="2">
                    <c:v>coffee</c:v>
                  </c:pt>
                  <c:pt idx="4">
                    <c:v>dentist</c:v>
                  </c:pt>
                  <c:pt idx="6">
                    <c:v>hair</c:v>
                  </c:pt>
                  <c:pt idx="8">
                    <c:v>shoes</c:v>
                  </c:pt>
                  <c:pt idx="10">
                    <c:v>yarn</c:v>
                  </c:pt>
                </c:lvl>
              </c:multiLvlStrCache>
            </c:multiLvlStrRef>
          </c:cat>
          <c:val>
            <c:numRef>
              <c:f>'moh chosen'!$B$25:$M$25</c:f>
              <c:numCache>
                <c:formatCode>General</c:formatCode>
                <c:ptCount val="12"/>
                <c:pt idx="0">
                  <c:v>0.7142857142857143</c:v>
                </c:pt>
                <c:pt idx="1">
                  <c:v>0.58333333333333337</c:v>
                </c:pt>
                <c:pt idx="2">
                  <c:v>0.72222222222222221</c:v>
                </c:pt>
                <c:pt idx="3">
                  <c:v>0.95454545454545459</c:v>
                </c:pt>
                <c:pt idx="4">
                  <c:v>0.54545454545454541</c:v>
                </c:pt>
                <c:pt idx="5">
                  <c:v>0.58823529411764708</c:v>
                </c:pt>
                <c:pt idx="6">
                  <c:v>0.58823529411764708</c:v>
                </c:pt>
                <c:pt idx="7">
                  <c:v>0.52380952380952384</c:v>
                </c:pt>
                <c:pt idx="8">
                  <c:v>0.5714285714285714</c:v>
                </c:pt>
                <c:pt idx="9">
                  <c:v>0.83333333333333337</c:v>
                </c:pt>
                <c:pt idx="10">
                  <c:v>0.61904761904761907</c:v>
                </c:pt>
                <c:pt idx="11">
                  <c:v>0.63636363636363635</c:v>
                </c:pt>
              </c:numCache>
            </c:numRef>
          </c:val>
          <c:extLst>
            <c:ext xmlns:c16="http://schemas.microsoft.com/office/drawing/2014/chart" uri="{C3380CC4-5D6E-409C-BE32-E72D297353CC}">
              <c16:uniqueId val="{00000003-BB9B-5C43-956C-A59E570B523E}"/>
            </c:ext>
          </c:extLst>
        </c:ser>
        <c:ser>
          <c:idx val="4"/>
          <c:order val="4"/>
          <c:tx>
            <c:strRef>
              <c:f>'moh chosen'!$A$26</c:f>
              <c:strCache>
                <c:ptCount val="1"/>
                <c:pt idx="0">
                  <c:v>ms-l</c:v>
                </c:pt>
              </c:strCache>
            </c:strRef>
          </c:tx>
          <c:spPr>
            <a:solidFill>
              <a:schemeClr val="accent5"/>
            </a:solidFill>
            <a:ln>
              <a:noFill/>
            </a:ln>
            <a:effectLst/>
          </c:spPr>
          <c:invertIfNegative val="0"/>
          <c:cat>
            <c:multiLvlStrRef>
              <c:f>'moh chosen'!$B$20:$M$21</c:f>
              <c:multiLvlStrCache>
                <c:ptCount val="12"/>
                <c:lvl>
                  <c:pt idx="0">
                    <c:v>past</c:v>
                  </c:pt>
                  <c:pt idx="1">
                    <c:v>present</c:v>
                  </c:pt>
                  <c:pt idx="2">
                    <c:v>past</c:v>
                  </c:pt>
                  <c:pt idx="3">
                    <c:v>present</c:v>
                  </c:pt>
                  <c:pt idx="4">
                    <c:v>past</c:v>
                  </c:pt>
                  <c:pt idx="5">
                    <c:v>present</c:v>
                  </c:pt>
                  <c:pt idx="6">
                    <c:v>past</c:v>
                  </c:pt>
                  <c:pt idx="7">
                    <c:v>present</c:v>
                  </c:pt>
                  <c:pt idx="8">
                    <c:v>past</c:v>
                  </c:pt>
                  <c:pt idx="9">
                    <c:v>present</c:v>
                  </c:pt>
                  <c:pt idx="10">
                    <c:v>past</c:v>
                  </c:pt>
                  <c:pt idx="11">
                    <c:v>present</c:v>
                  </c:pt>
                </c:lvl>
                <c:lvl>
                  <c:pt idx="0">
                    <c:v>books</c:v>
                  </c:pt>
                  <c:pt idx="2">
                    <c:v>coffee</c:v>
                  </c:pt>
                  <c:pt idx="4">
                    <c:v>dentist</c:v>
                  </c:pt>
                  <c:pt idx="6">
                    <c:v>hair</c:v>
                  </c:pt>
                  <c:pt idx="8">
                    <c:v>shoes</c:v>
                  </c:pt>
                  <c:pt idx="10">
                    <c:v>yarn</c:v>
                  </c:pt>
                </c:lvl>
              </c:multiLvlStrCache>
            </c:multiLvlStrRef>
          </c:cat>
          <c:val>
            <c:numRef>
              <c:f>'moh chosen'!$B$26:$M$26</c:f>
              <c:numCache>
                <c:formatCode>General</c:formatCode>
                <c:ptCount val="12"/>
                <c:pt idx="0">
                  <c:v>0.35294117647058826</c:v>
                </c:pt>
                <c:pt idx="1">
                  <c:v>0.5625</c:v>
                </c:pt>
                <c:pt idx="2">
                  <c:v>0.45454545454545453</c:v>
                </c:pt>
                <c:pt idx="3">
                  <c:v>0.29166666666666669</c:v>
                </c:pt>
                <c:pt idx="4">
                  <c:v>0.54545454545454541</c:v>
                </c:pt>
                <c:pt idx="5">
                  <c:v>0.4375</c:v>
                </c:pt>
                <c:pt idx="6">
                  <c:v>0.48</c:v>
                </c:pt>
                <c:pt idx="7">
                  <c:v>0.55000000000000004</c:v>
                </c:pt>
                <c:pt idx="8">
                  <c:v>0.375</c:v>
                </c:pt>
                <c:pt idx="9">
                  <c:v>0.5</c:v>
                </c:pt>
                <c:pt idx="10">
                  <c:v>0.5</c:v>
                </c:pt>
                <c:pt idx="11">
                  <c:v>0.31578947368421051</c:v>
                </c:pt>
              </c:numCache>
            </c:numRef>
          </c:val>
          <c:extLst>
            <c:ext xmlns:c16="http://schemas.microsoft.com/office/drawing/2014/chart" uri="{C3380CC4-5D6E-409C-BE32-E72D297353CC}">
              <c16:uniqueId val="{00000004-BB9B-5C43-956C-A59E570B523E}"/>
            </c:ext>
          </c:extLst>
        </c:ser>
        <c:ser>
          <c:idx val="5"/>
          <c:order val="5"/>
          <c:tx>
            <c:strRef>
              <c:f>'moh chosen'!$A$27</c:f>
              <c:strCache>
                <c:ptCount val="1"/>
                <c:pt idx="0">
                  <c:v>none of the above</c:v>
                </c:pt>
              </c:strCache>
            </c:strRef>
          </c:tx>
          <c:spPr>
            <a:solidFill>
              <a:schemeClr val="accent6"/>
            </a:solidFill>
            <a:ln>
              <a:noFill/>
            </a:ln>
            <a:effectLst/>
          </c:spPr>
          <c:invertIfNegative val="0"/>
          <c:cat>
            <c:multiLvlStrRef>
              <c:f>'moh chosen'!$B$20:$M$21</c:f>
              <c:multiLvlStrCache>
                <c:ptCount val="12"/>
                <c:lvl>
                  <c:pt idx="0">
                    <c:v>past</c:v>
                  </c:pt>
                  <c:pt idx="1">
                    <c:v>present</c:v>
                  </c:pt>
                  <c:pt idx="2">
                    <c:v>past</c:v>
                  </c:pt>
                  <c:pt idx="3">
                    <c:v>present</c:v>
                  </c:pt>
                  <c:pt idx="4">
                    <c:v>past</c:v>
                  </c:pt>
                  <c:pt idx="5">
                    <c:v>present</c:v>
                  </c:pt>
                  <c:pt idx="6">
                    <c:v>past</c:v>
                  </c:pt>
                  <c:pt idx="7">
                    <c:v>present</c:v>
                  </c:pt>
                  <c:pt idx="8">
                    <c:v>past</c:v>
                  </c:pt>
                  <c:pt idx="9">
                    <c:v>present</c:v>
                  </c:pt>
                  <c:pt idx="10">
                    <c:v>past</c:v>
                  </c:pt>
                  <c:pt idx="11">
                    <c:v>present</c:v>
                  </c:pt>
                </c:lvl>
                <c:lvl>
                  <c:pt idx="0">
                    <c:v>books</c:v>
                  </c:pt>
                  <c:pt idx="2">
                    <c:v>coffee</c:v>
                  </c:pt>
                  <c:pt idx="4">
                    <c:v>dentist</c:v>
                  </c:pt>
                  <c:pt idx="6">
                    <c:v>hair</c:v>
                  </c:pt>
                  <c:pt idx="8">
                    <c:v>shoes</c:v>
                  </c:pt>
                  <c:pt idx="10">
                    <c:v>yarn</c:v>
                  </c:pt>
                </c:lvl>
              </c:multiLvlStrCache>
            </c:multiLvlStrRef>
          </c:cat>
          <c:val>
            <c:numRef>
              <c:f>'moh chosen'!$B$27:$M$27</c:f>
              <c:numCache>
                <c:formatCode>General</c:formatCode>
                <c:ptCount val="12"/>
                <c:pt idx="0">
                  <c:v>0</c:v>
                </c:pt>
                <c:pt idx="1">
                  <c:v>0</c:v>
                </c:pt>
                <c:pt idx="2">
                  <c:v>0</c:v>
                </c:pt>
                <c:pt idx="3">
                  <c:v>2.1739130434782608E-2</c:v>
                </c:pt>
                <c:pt idx="4">
                  <c:v>0</c:v>
                </c:pt>
                <c:pt idx="5">
                  <c:v>0</c:v>
                </c:pt>
                <c:pt idx="6">
                  <c:v>2.4390243902439025E-2</c:v>
                </c:pt>
                <c:pt idx="7">
                  <c:v>0</c:v>
                </c:pt>
                <c:pt idx="8">
                  <c:v>0</c:v>
                </c:pt>
                <c:pt idx="9">
                  <c:v>0</c:v>
                </c:pt>
                <c:pt idx="10">
                  <c:v>0</c:v>
                </c:pt>
                <c:pt idx="11">
                  <c:v>0</c:v>
                </c:pt>
              </c:numCache>
            </c:numRef>
          </c:val>
          <c:extLst>
            <c:ext xmlns:c16="http://schemas.microsoft.com/office/drawing/2014/chart" uri="{C3380CC4-5D6E-409C-BE32-E72D297353CC}">
              <c16:uniqueId val="{00000005-BB9B-5C43-956C-A59E570B523E}"/>
            </c:ext>
          </c:extLst>
        </c:ser>
        <c:dLbls>
          <c:showLegendKey val="0"/>
          <c:showVal val="0"/>
          <c:showCatName val="0"/>
          <c:showSerName val="0"/>
          <c:showPercent val="0"/>
          <c:showBubbleSize val="0"/>
        </c:dLbls>
        <c:gapWidth val="219"/>
        <c:overlap val="-27"/>
        <c:axId val="775525424"/>
        <c:axId val="813626672"/>
      </c:barChart>
      <c:catAx>
        <c:axId val="77552542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crossAx val="813626672"/>
        <c:crosses val="autoZero"/>
        <c:auto val="1"/>
        <c:lblAlgn val="ctr"/>
        <c:lblOffset val="100"/>
        <c:noMultiLvlLbl val="0"/>
      </c:catAx>
      <c:valAx>
        <c:axId val="813626672"/>
        <c:scaling>
          <c:orientation val="minMax"/>
          <c:max val="1"/>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crossAx val="775525424"/>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sz="1800" b="0" i="0" baseline="0">
                <a:effectLst/>
              </a:rPr>
              <a:t>Trials where MO-H is chosen</a:t>
            </a:r>
            <a:endParaRPr lang="en-US">
              <a:effectLst/>
            </a:endParaRP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0"/>
          <c:order val="0"/>
          <c:tx>
            <c:strRef>
              <c:f>'moh chosen'!$B$29</c:f>
              <c:strCache>
                <c:ptCount val="1"/>
                <c:pt idx="0">
                  <c:v>past</c:v>
                </c:pt>
              </c:strCache>
            </c:strRef>
          </c:tx>
          <c:spPr>
            <a:solidFill>
              <a:schemeClr val="accent1"/>
            </a:solidFill>
            <a:ln>
              <a:noFill/>
            </a:ln>
            <a:effectLst/>
          </c:spPr>
          <c:invertIfNegative val="0"/>
          <c:cat>
            <c:strRef>
              <c:f>'moh chosen'!$A$30:$A$35</c:f>
              <c:strCache>
                <c:ptCount val="6"/>
                <c:pt idx="0">
                  <c:v>exh</c:v>
                </c:pt>
                <c:pt idx="1">
                  <c:v>mo-h</c:v>
                </c:pt>
                <c:pt idx="2">
                  <c:v>mo-l</c:v>
                </c:pt>
                <c:pt idx="3">
                  <c:v>ms-h</c:v>
                </c:pt>
                <c:pt idx="4">
                  <c:v>ms-l</c:v>
                </c:pt>
                <c:pt idx="5">
                  <c:v>none of the above</c:v>
                </c:pt>
              </c:strCache>
            </c:strRef>
          </c:cat>
          <c:val>
            <c:numRef>
              <c:f>'moh chosen'!$B$30:$B$35</c:f>
              <c:numCache>
                <c:formatCode>General</c:formatCode>
                <c:ptCount val="6"/>
                <c:pt idx="0">
                  <c:v>0.53472222222222221</c:v>
                </c:pt>
                <c:pt idx="1">
                  <c:v>1</c:v>
                </c:pt>
                <c:pt idx="2">
                  <c:v>0.43459595959595959</c:v>
                </c:pt>
                <c:pt idx="3">
                  <c:v>0.62677899442605323</c:v>
                </c:pt>
                <c:pt idx="4">
                  <c:v>0.45132352941176473</c:v>
                </c:pt>
                <c:pt idx="5">
                  <c:v>4.0650406504065045E-3</c:v>
                </c:pt>
              </c:numCache>
            </c:numRef>
          </c:val>
          <c:extLst>
            <c:ext xmlns:c16="http://schemas.microsoft.com/office/drawing/2014/chart" uri="{C3380CC4-5D6E-409C-BE32-E72D297353CC}">
              <c16:uniqueId val="{00000000-B7F3-5A4C-BB3B-318105307E2A}"/>
            </c:ext>
          </c:extLst>
        </c:ser>
        <c:ser>
          <c:idx val="1"/>
          <c:order val="1"/>
          <c:tx>
            <c:strRef>
              <c:f>'moh chosen'!$C$29</c:f>
              <c:strCache>
                <c:ptCount val="1"/>
                <c:pt idx="0">
                  <c:v>present</c:v>
                </c:pt>
              </c:strCache>
            </c:strRef>
          </c:tx>
          <c:spPr>
            <a:solidFill>
              <a:schemeClr val="accent2"/>
            </a:solidFill>
            <a:ln>
              <a:noFill/>
            </a:ln>
            <a:effectLst/>
          </c:spPr>
          <c:invertIfNegative val="0"/>
          <c:cat>
            <c:strRef>
              <c:f>'moh chosen'!$A$30:$A$35</c:f>
              <c:strCache>
                <c:ptCount val="6"/>
                <c:pt idx="0">
                  <c:v>exh</c:v>
                </c:pt>
                <c:pt idx="1">
                  <c:v>mo-h</c:v>
                </c:pt>
                <c:pt idx="2">
                  <c:v>mo-l</c:v>
                </c:pt>
                <c:pt idx="3">
                  <c:v>ms-h</c:v>
                </c:pt>
                <c:pt idx="4">
                  <c:v>ms-l</c:v>
                </c:pt>
                <c:pt idx="5">
                  <c:v>none of the above</c:v>
                </c:pt>
              </c:strCache>
            </c:strRef>
          </c:cat>
          <c:val>
            <c:numRef>
              <c:f>'moh chosen'!$C$30:$C$35</c:f>
              <c:numCache>
                <c:formatCode>General</c:formatCode>
                <c:ptCount val="6"/>
                <c:pt idx="0">
                  <c:v>0.61200096200096199</c:v>
                </c:pt>
                <c:pt idx="1">
                  <c:v>1</c:v>
                </c:pt>
                <c:pt idx="2">
                  <c:v>0.38017697881828316</c:v>
                </c:pt>
                <c:pt idx="3">
                  <c:v>0.68660342925048823</c:v>
                </c:pt>
                <c:pt idx="4">
                  <c:v>0.44290935672514625</c:v>
                </c:pt>
                <c:pt idx="5">
                  <c:v>3.6231884057971015E-3</c:v>
                </c:pt>
              </c:numCache>
            </c:numRef>
          </c:val>
          <c:extLst>
            <c:ext xmlns:c16="http://schemas.microsoft.com/office/drawing/2014/chart" uri="{C3380CC4-5D6E-409C-BE32-E72D297353CC}">
              <c16:uniqueId val="{00000001-B7F3-5A4C-BB3B-318105307E2A}"/>
            </c:ext>
          </c:extLst>
        </c:ser>
        <c:dLbls>
          <c:showLegendKey val="0"/>
          <c:showVal val="0"/>
          <c:showCatName val="0"/>
          <c:showSerName val="0"/>
          <c:showPercent val="0"/>
          <c:showBubbleSize val="0"/>
        </c:dLbls>
        <c:gapWidth val="219"/>
        <c:overlap val="-27"/>
        <c:axId val="774391616"/>
        <c:axId val="753504560"/>
      </c:barChart>
      <c:catAx>
        <c:axId val="77439161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crossAx val="753504560"/>
        <c:crosses val="autoZero"/>
        <c:auto val="1"/>
        <c:lblAlgn val="ctr"/>
        <c:lblOffset val="100"/>
        <c:noMultiLvlLbl val="0"/>
      </c:catAx>
      <c:valAx>
        <c:axId val="753504560"/>
        <c:scaling>
          <c:orientation val="minMax"/>
          <c:max val="1"/>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crossAx val="774391616"/>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0.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3.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2" Type="http://schemas.openxmlformats.org/officeDocument/2006/relationships/chart" Target="../charts/chart3.xml"/><Relationship Id="rId1" Type="http://schemas.openxmlformats.org/officeDocument/2006/relationships/chart" Target="../charts/chart2.xml"/></Relationships>
</file>

<file path=xl/drawings/_rels/drawing3.xml.rels><?xml version="1.0" encoding="UTF-8" standalone="yes"?>
<Relationships xmlns="http://schemas.openxmlformats.org/package/2006/relationships"><Relationship Id="rId2" Type="http://schemas.openxmlformats.org/officeDocument/2006/relationships/chart" Target="../charts/chart5.xml"/><Relationship Id="rId1" Type="http://schemas.openxmlformats.org/officeDocument/2006/relationships/chart" Target="../charts/chart4.xml"/></Relationships>
</file>

<file path=xl/drawings/_rels/drawing4.xml.rels><?xml version="1.0" encoding="UTF-8" standalone="yes"?>
<Relationships xmlns="http://schemas.openxmlformats.org/package/2006/relationships"><Relationship Id="rId2" Type="http://schemas.openxmlformats.org/officeDocument/2006/relationships/chart" Target="../charts/chart7.xml"/><Relationship Id="rId1" Type="http://schemas.openxmlformats.org/officeDocument/2006/relationships/chart" Target="../charts/chart6.xml"/></Relationships>
</file>

<file path=xl/drawings/_rels/drawing5.xml.rels><?xml version="1.0" encoding="UTF-8" standalone="yes"?>
<Relationships xmlns="http://schemas.openxmlformats.org/package/2006/relationships"><Relationship Id="rId2" Type="http://schemas.openxmlformats.org/officeDocument/2006/relationships/chart" Target="../charts/chart9.xml"/><Relationship Id="rId1" Type="http://schemas.openxmlformats.org/officeDocument/2006/relationships/chart" Target="../charts/chart8.xml"/></Relationships>
</file>

<file path=xl/drawings/_rels/drawing6.xml.rels><?xml version="1.0" encoding="UTF-8" standalone="yes"?>
<Relationships xmlns="http://schemas.openxmlformats.org/package/2006/relationships"><Relationship Id="rId2" Type="http://schemas.openxmlformats.org/officeDocument/2006/relationships/chart" Target="../charts/chart11.xml"/><Relationship Id="rId1" Type="http://schemas.openxmlformats.org/officeDocument/2006/relationships/chart" Target="../charts/chart10.xml"/></Relationships>
</file>

<file path=xl/drawings/_rels/drawing7.xml.rels><?xml version="1.0" encoding="UTF-8" standalone="yes"?>
<Relationships xmlns="http://schemas.openxmlformats.org/package/2006/relationships"><Relationship Id="rId2" Type="http://schemas.openxmlformats.org/officeDocument/2006/relationships/chart" Target="../charts/chart13.xml"/><Relationship Id="rId1" Type="http://schemas.openxmlformats.org/officeDocument/2006/relationships/chart" Target="../charts/chart12.xml"/></Relationships>
</file>

<file path=xl/drawings/drawing1.xml><?xml version="1.0" encoding="utf-8"?>
<xdr:wsDr xmlns:xdr="http://schemas.openxmlformats.org/drawingml/2006/spreadsheetDrawing" xmlns:a="http://schemas.openxmlformats.org/drawingml/2006/main">
  <xdr:twoCellAnchor>
    <xdr:from>
      <xdr:col>7</xdr:col>
      <xdr:colOff>781050</xdr:colOff>
      <xdr:row>12</xdr:row>
      <xdr:rowOff>184150</xdr:rowOff>
    </xdr:from>
    <xdr:to>
      <xdr:col>13</xdr:col>
      <xdr:colOff>400050</xdr:colOff>
      <xdr:row>26</xdr:row>
      <xdr:rowOff>82550</xdr:rowOff>
    </xdr:to>
    <xdr:graphicFrame macro="">
      <xdr:nvGraphicFramePr>
        <xdr:cNvPr id="3" name="Chart 2">
          <a:extLst>
            <a:ext uri="{FF2B5EF4-FFF2-40B4-BE49-F238E27FC236}">
              <a16:creationId xmlns:a16="http://schemas.microsoft.com/office/drawing/2014/main" id="{20DDC8FF-0F0A-324E-8B46-56349A479C1F}"/>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5</xdr:col>
      <xdr:colOff>44450</xdr:colOff>
      <xdr:row>33</xdr:row>
      <xdr:rowOff>76200</xdr:rowOff>
    </xdr:from>
    <xdr:to>
      <xdr:col>16</xdr:col>
      <xdr:colOff>12700</xdr:colOff>
      <xdr:row>47</xdr:row>
      <xdr:rowOff>88900</xdr:rowOff>
    </xdr:to>
    <xdr:graphicFrame macro="">
      <xdr:nvGraphicFramePr>
        <xdr:cNvPr id="2" name="Chart 1">
          <a:extLst>
            <a:ext uri="{FF2B5EF4-FFF2-40B4-BE49-F238E27FC236}">
              <a16:creationId xmlns:a16="http://schemas.microsoft.com/office/drawing/2014/main" id="{0E81A897-7588-5448-AFB5-CA7B522298F8}"/>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558800</xdr:colOff>
      <xdr:row>44</xdr:row>
      <xdr:rowOff>114300</xdr:rowOff>
    </xdr:from>
    <xdr:to>
      <xdr:col>3</xdr:col>
      <xdr:colOff>990600</xdr:colOff>
      <xdr:row>58</xdr:row>
      <xdr:rowOff>12700</xdr:rowOff>
    </xdr:to>
    <xdr:graphicFrame macro="">
      <xdr:nvGraphicFramePr>
        <xdr:cNvPr id="3" name="Chart 2">
          <a:extLst>
            <a:ext uri="{FF2B5EF4-FFF2-40B4-BE49-F238E27FC236}">
              <a16:creationId xmlns:a16="http://schemas.microsoft.com/office/drawing/2014/main" id="{F4D93F32-ABC8-2B4E-AED6-E42BF769ED73}"/>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xdr:from>
      <xdr:col>6</xdr:col>
      <xdr:colOff>1003300</xdr:colOff>
      <xdr:row>27</xdr:row>
      <xdr:rowOff>101600</xdr:rowOff>
    </xdr:from>
    <xdr:to>
      <xdr:col>17</xdr:col>
      <xdr:colOff>76200</xdr:colOff>
      <xdr:row>41</xdr:row>
      <xdr:rowOff>50800</xdr:rowOff>
    </xdr:to>
    <xdr:graphicFrame macro="">
      <xdr:nvGraphicFramePr>
        <xdr:cNvPr id="2" name="Chart 1">
          <a:extLst>
            <a:ext uri="{FF2B5EF4-FFF2-40B4-BE49-F238E27FC236}">
              <a16:creationId xmlns:a16="http://schemas.microsoft.com/office/drawing/2014/main" id="{887FA392-38CD-3044-BF61-4D0E9921E25F}"/>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1422400</xdr:colOff>
      <xdr:row>40</xdr:row>
      <xdr:rowOff>63500</xdr:rowOff>
    </xdr:from>
    <xdr:to>
      <xdr:col>4</xdr:col>
      <xdr:colOff>723900</xdr:colOff>
      <xdr:row>53</xdr:row>
      <xdr:rowOff>165100</xdr:rowOff>
    </xdr:to>
    <xdr:graphicFrame macro="">
      <xdr:nvGraphicFramePr>
        <xdr:cNvPr id="3" name="Chart 2">
          <a:extLst>
            <a:ext uri="{FF2B5EF4-FFF2-40B4-BE49-F238E27FC236}">
              <a16:creationId xmlns:a16="http://schemas.microsoft.com/office/drawing/2014/main" id="{1A61F15F-3539-674A-AF19-68C6F2475ACA}"/>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4.xml><?xml version="1.0" encoding="utf-8"?>
<xdr:wsDr xmlns:xdr="http://schemas.openxmlformats.org/drawingml/2006/spreadsheetDrawing" xmlns:a="http://schemas.openxmlformats.org/drawingml/2006/main">
  <xdr:twoCellAnchor>
    <xdr:from>
      <xdr:col>5</xdr:col>
      <xdr:colOff>50800</xdr:colOff>
      <xdr:row>33</xdr:row>
      <xdr:rowOff>38100</xdr:rowOff>
    </xdr:from>
    <xdr:to>
      <xdr:col>17</xdr:col>
      <xdr:colOff>177800</xdr:colOff>
      <xdr:row>48</xdr:row>
      <xdr:rowOff>88900</xdr:rowOff>
    </xdr:to>
    <xdr:graphicFrame macro="">
      <xdr:nvGraphicFramePr>
        <xdr:cNvPr id="2" name="Chart 1">
          <a:extLst>
            <a:ext uri="{FF2B5EF4-FFF2-40B4-BE49-F238E27FC236}">
              <a16:creationId xmlns:a16="http://schemas.microsoft.com/office/drawing/2014/main" id="{E80E901D-8F7A-3C41-8F82-750FE008AEA9}"/>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571500</xdr:colOff>
      <xdr:row>41</xdr:row>
      <xdr:rowOff>0</xdr:rowOff>
    </xdr:from>
    <xdr:to>
      <xdr:col>3</xdr:col>
      <xdr:colOff>1003300</xdr:colOff>
      <xdr:row>54</xdr:row>
      <xdr:rowOff>101600</xdr:rowOff>
    </xdr:to>
    <xdr:graphicFrame macro="">
      <xdr:nvGraphicFramePr>
        <xdr:cNvPr id="3" name="Chart 2">
          <a:extLst>
            <a:ext uri="{FF2B5EF4-FFF2-40B4-BE49-F238E27FC236}">
              <a16:creationId xmlns:a16="http://schemas.microsoft.com/office/drawing/2014/main" id="{3E515C1D-5BCA-9540-A8BE-994C9A2B9E6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5.xml><?xml version="1.0" encoding="utf-8"?>
<xdr:wsDr xmlns:xdr="http://schemas.openxmlformats.org/drawingml/2006/spreadsheetDrawing" xmlns:a="http://schemas.openxmlformats.org/drawingml/2006/main">
  <xdr:twoCellAnchor>
    <xdr:from>
      <xdr:col>12</xdr:col>
      <xdr:colOff>685800</xdr:colOff>
      <xdr:row>29</xdr:row>
      <xdr:rowOff>114300</xdr:rowOff>
    </xdr:from>
    <xdr:to>
      <xdr:col>22</xdr:col>
      <xdr:colOff>469900</xdr:colOff>
      <xdr:row>45</xdr:row>
      <xdr:rowOff>63500</xdr:rowOff>
    </xdr:to>
    <xdr:graphicFrame macro="">
      <xdr:nvGraphicFramePr>
        <xdr:cNvPr id="2" name="Chart 1">
          <a:extLst>
            <a:ext uri="{FF2B5EF4-FFF2-40B4-BE49-F238E27FC236}">
              <a16:creationId xmlns:a16="http://schemas.microsoft.com/office/drawing/2014/main" id="{F480E62F-28E8-F54C-BBB3-C3FF8D193BD2}"/>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5</xdr:col>
      <xdr:colOff>615950</xdr:colOff>
      <xdr:row>31</xdr:row>
      <xdr:rowOff>0</xdr:rowOff>
    </xdr:from>
    <xdr:to>
      <xdr:col>11</xdr:col>
      <xdr:colOff>234950</xdr:colOff>
      <xdr:row>44</xdr:row>
      <xdr:rowOff>101600</xdr:rowOff>
    </xdr:to>
    <xdr:graphicFrame macro="">
      <xdr:nvGraphicFramePr>
        <xdr:cNvPr id="3" name="Chart 2">
          <a:extLst>
            <a:ext uri="{FF2B5EF4-FFF2-40B4-BE49-F238E27FC236}">
              <a16:creationId xmlns:a16="http://schemas.microsoft.com/office/drawing/2014/main" id="{F00CB905-8567-1C49-9ADC-DE58385B3D43}"/>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6.xml><?xml version="1.0" encoding="utf-8"?>
<xdr:wsDr xmlns:xdr="http://schemas.openxmlformats.org/drawingml/2006/spreadsheetDrawing" xmlns:a="http://schemas.openxmlformats.org/drawingml/2006/main">
  <xdr:twoCellAnchor>
    <xdr:from>
      <xdr:col>5</xdr:col>
      <xdr:colOff>304800</xdr:colOff>
      <xdr:row>31</xdr:row>
      <xdr:rowOff>76200</xdr:rowOff>
    </xdr:from>
    <xdr:to>
      <xdr:col>15</xdr:col>
      <xdr:colOff>1041400</xdr:colOff>
      <xdr:row>44</xdr:row>
      <xdr:rowOff>25400</xdr:rowOff>
    </xdr:to>
    <xdr:graphicFrame macro="">
      <xdr:nvGraphicFramePr>
        <xdr:cNvPr id="2" name="Chart 1">
          <a:extLst>
            <a:ext uri="{FF2B5EF4-FFF2-40B4-BE49-F238E27FC236}">
              <a16:creationId xmlns:a16="http://schemas.microsoft.com/office/drawing/2014/main" id="{973C8E2E-EB82-9849-9090-B398A9BA0ABC}"/>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1320800</xdr:colOff>
      <xdr:row>39</xdr:row>
      <xdr:rowOff>50800</xdr:rowOff>
    </xdr:from>
    <xdr:to>
      <xdr:col>4</xdr:col>
      <xdr:colOff>622300</xdr:colOff>
      <xdr:row>52</xdr:row>
      <xdr:rowOff>152400</xdr:rowOff>
    </xdr:to>
    <xdr:graphicFrame macro="">
      <xdr:nvGraphicFramePr>
        <xdr:cNvPr id="3" name="Chart 2">
          <a:extLst>
            <a:ext uri="{FF2B5EF4-FFF2-40B4-BE49-F238E27FC236}">
              <a16:creationId xmlns:a16="http://schemas.microsoft.com/office/drawing/2014/main" id="{6740B4FE-473E-0D47-B37D-0706D38EF266}"/>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7.xml><?xml version="1.0" encoding="utf-8"?>
<xdr:wsDr xmlns:xdr="http://schemas.openxmlformats.org/drawingml/2006/spreadsheetDrawing" xmlns:a="http://schemas.openxmlformats.org/drawingml/2006/main">
  <xdr:twoCellAnchor>
    <xdr:from>
      <xdr:col>3</xdr:col>
      <xdr:colOff>965200</xdr:colOff>
      <xdr:row>27</xdr:row>
      <xdr:rowOff>184150</xdr:rowOff>
    </xdr:from>
    <xdr:to>
      <xdr:col>13</xdr:col>
      <xdr:colOff>635000</xdr:colOff>
      <xdr:row>41</xdr:row>
      <xdr:rowOff>165100</xdr:rowOff>
    </xdr:to>
    <xdr:graphicFrame macro="">
      <xdr:nvGraphicFramePr>
        <xdr:cNvPr id="2" name="Chart 1">
          <a:extLst>
            <a:ext uri="{FF2B5EF4-FFF2-40B4-BE49-F238E27FC236}">
              <a16:creationId xmlns:a16="http://schemas.microsoft.com/office/drawing/2014/main" id="{163D9977-D6A0-0840-AC16-B7AFEBF5066D}"/>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330200</xdr:colOff>
      <xdr:row>38</xdr:row>
      <xdr:rowOff>146050</xdr:rowOff>
    </xdr:from>
    <xdr:to>
      <xdr:col>3</xdr:col>
      <xdr:colOff>762000</xdr:colOff>
      <xdr:row>52</xdr:row>
      <xdr:rowOff>44450</xdr:rowOff>
    </xdr:to>
    <xdr:graphicFrame macro="">
      <xdr:nvGraphicFramePr>
        <xdr:cNvPr id="3" name="Chart 2">
          <a:extLst>
            <a:ext uri="{FF2B5EF4-FFF2-40B4-BE49-F238E27FC236}">
              <a16:creationId xmlns:a16="http://schemas.microsoft.com/office/drawing/2014/main" id="{4D6184A4-E6A8-C343-827F-D616C0183657}"/>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_rels/pivotCacheDefinition3.xml.rels><?xml version="1.0" encoding="UTF-8" standalone="yes"?>
<Relationships xmlns="http://schemas.openxmlformats.org/package/2006/relationships"><Relationship Id="rId1" Type="http://schemas.openxmlformats.org/officeDocument/2006/relationships/pivotCacheRecords" Target="pivotCacheRecords3.xml"/></Relationships>
</file>

<file path=xl/pivotCache/_rels/pivotCacheDefinition4.xml.rels><?xml version="1.0" encoding="UTF-8" standalone="yes"?>
<Relationships xmlns="http://schemas.openxmlformats.org/package/2006/relationships"><Relationship Id="rId1" Type="http://schemas.openxmlformats.org/officeDocument/2006/relationships/pivotCacheRecords" Target="pivotCacheRecords4.xml"/></Relationships>
</file>

<file path=xl/pivotCache/_rels/pivotCacheDefinition5.xml.rels><?xml version="1.0" encoding="UTF-8" standalone="yes"?>
<Relationships xmlns="http://schemas.openxmlformats.org/package/2006/relationships"><Relationship Id="rId1" Type="http://schemas.openxmlformats.org/officeDocument/2006/relationships/pivotCacheRecords" Target="pivotCacheRecords5.xml"/></Relationships>
</file>

<file path=xl/pivotCache/_rels/pivotCacheDefinition6.xml.rels><?xml version="1.0" encoding="UTF-8" standalone="yes"?>
<Relationships xmlns="http://schemas.openxmlformats.org/package/2006/relationships"><Relationship Id="rId1" Type="http://schemas.openxmlformats.org/officeDocument/2006/relationships/pivotCacheRecords" Target="pivotCacheRecords6.xml"/></Relationships>
</file>

<file path=xl/pivotCache/pivotCacheDefinition1.xml><?xml version="1.0" encoding="utf-8"?>
<pivotCacheDefinition xmlns="http://schemas.openxmlformats.org/spreadsheetml/2006/main" xmlns:r="http://schemas.openxmlformats.org/officeDocument/2006/relationships" r:id="rId1" refreshedBy="Microsoft Office User" refreshedDate="43340.426344444444" createdVersion="6" refreshedVersion="6" minRefreshableVersion="3" recordCount="2758">
  <cacheSource type="worksheet">
    <worksheetSource ref="B1:AG2759" sheet="finite_total"/>
  </cacheSource>
  <cacheFields count="32">
    <cacheField name="subject" numFmtId="0">
      <sharedItems/>
    </cacheField>
    <cacheField name="native_lang" numFmtId="0">
      <sharedItems count="7">
        <s v="english"/>
        <s v="Albanian"/>
        <s v="English "/>
        <s v="Romanian"/>
        <s v="American English"/>
        <s v="hindi"/>
        <s v="Italian"/>
      </sharedItems>
    </cacheField>
    <cacheField name="age" numFmtId="0">
      <sharedItems containsSemiMixedTypes="0" containsString="0" containsNumber="1" containsInteger="1" minValue="19" maxValue="76"/>
    </cacheField>
    <cacheField name="gender" numFmtId="0">
      <sharedItems/>
    </cacheField>
    <cacheField name="trial" numFmtId="0">
      <sharedItems count="5">
        <s v="consent"/>
        <s v="train"/>
        <s v="test"/>
        <s v="control"/>
        <s v="exit_quest"/>
      </sharedItems>
    </cacheField>
    <cacheField name="story" numFmtId="0">
      <sharedItems count="13">
        <s v="NA"/>
        <s v="train_f"/>
        <s v="train_m"/>
        <s v="test_coffee"/>
        <s v="test_yarn"/>
        <s v="control_how"/>
        <s v="test_books"/>
        <s v="test_hair"/>
        <s v="control_why"/>
        <s v="test_shoes"/>
        <s v="control_when"/>
        <s v="test_dentist"/>
        <s v="control_what"/>
      </sharedItems>
    </cacheField>
    <cacheField name="reaction_time" numFmtId="0">
      <sharedItems containsSemiMixedTypes="0" containsString="0" containsNumber="1" containsInteger="1" minValue="1286" maxValue="5457758"/>
    </cacheField>
    <cacheField name="response_a" numFmtId="0">
      <sharedItems containsBlank="1" containsMixedTypes="1" containsNumber="1" containsInteger="1" minValue="0" maxValue="1" longText="1"/>
    </cacheField>
    <cacheField name="response_b" numFmtId="0">
      <sharedItems containsBlank="1" containsMixedTypes="1" containsNumber="1" containsInteger="1" minValue="0" maxValue="1" longText="1"/>
    </cacheField>
    <cacheField name="response_c" numFmtId="0">
      <sharedItems containsBlank="1" containsMixedTypes="1" containsNumber="1" containsInteger="1" minValue="0" maxValue="1" longText="1"/>
    </cacheField>
    <cacheField name="response_d" numFmtId="0">
      <sharedItems containsMixedTypes="1" containsNumber="1" containsInteger="1" minValue="0" maxValue="1"/>
    </cacheField>
    <cacheField name="report_a" numFmtId="0">
      <sharedItems/>
    </cacheField>
    <cacheField name="report_b" numFmtId="0">
      <sharedItems/>
    </cacheField>
    <cacheField name="report_c" numFmtId="0">
      <sharedItems/>
    </cacheField>
    <cacheField name="tag_a" numFmtId="0">
      <sharedItems/>
    </cacheField>
    <cacheField name="tag_b" numFmtId="0">
      <sharedItems/>
    </cacheField>
    <cacheField name="tag_c" numFmtId="0">
      <sharedItems/>
    </cacheField>
    <cacheField name="exhaustive_seen" numFmtId="0">
      <sharedItems containsMixedTypes="1" containsNumber="1" containsInteger="1" minValue="0" maxValue="1"/>
    </cacheField>
    <cacheField name="mention_one_high_seen" numFmtId="0">
      <sharedItems containsMixedTypes="1" containsNumber="1" containsInteger="1" minValue="0" maxValue="1" count="3">
        <s v="NA"/>
        <n v="0"/>
        <n v="1"/>
      </sharedItems>
    </cacheField>
    <cacheField name="mention_one_low_seen" numFmtId="0">
      <sharedItems containsMixedTypes="1" containsNumber="1" containsInteger="1" minValue="0" maxValue="1" count="3">
        <s v="NA"/>
        <n v="1"/>
        <n v="0"/>
      </sharedItems>
    </cacheField>
    <cacheField name="mention_some_high_seen" numFmtId="0">
      <sharedItems containsMixedTypes="1" containsNumber="1" containsInteger="1" minValue="0" maxValue="1"/>
    </cacheField>
    <cacheField name="mention_some_low_seen" numFmtId="0">
      <sharedItems containsMixedTypes="1" containsNumber="1" containsInteger="1" minValue="0" maxValue="1"/>
    </cacheField>
    <cacheField name="false_report_seen" numFmtId="0">
      <sharedItems containsMixedTypes="1" containsNumber="1" containsInteger="1" minValue="0" maxValue="0"/>
    </cacheField>
    <cacheField name="none_of_above_seen" numFmtId="0">
      <sharedItems containsMixedTypes="1" containsNumber="1" containsInteger="1" minValue="1" maxValue="1"/>
    </cacheField>
    <cacheField name="exhaustive_chosen" numFmtId="0">
      <sharedItems containsMixedTypes="1" containsNumber="1" containsInteger="1" minValue="0" maxValue="1"/>
    </cacheField>
    <cacheField name="mention_one_high_chosen" numFmtId="0">
      <sharedItems containsMixedTypes="1" containsNumber="1" containsInteger="1" minValue="0" maxValue="1"/>
    </cacheField>
    <cacheField name="mention_one_low_chosen" numFmtId="0">
      <sharedItems containsMixedTypes="1" containsNumber="1" containsInteger="1" minValue="0" maxValue="1" count="3">
        <s v="NA"/>
        <n v="1"/>
        <n v="0"/>
      </sharedItems>
    </cacheField>
    <cacheField name="mention_some_high_chosen" numFmtId="0">
      <sharedItems containsMixedTypes="1" containsNumber="1" containsInteger="1" minValue="0" maxValue="1"/>
    </cacheField>
    <cacheField name="mention_some_low_chosen" numFmtId="0">
      <sharedItems containsMixedTypes="1" containsNumber="1" containsInteger="1" minValue="0" maxValue="1"/>
    </cacheField>
    <cacheField name="false_report_chosen" numFmtId="0">
      <sharedItems containsMixedTypes="1" containsNumber="1" containsInteger="1" minValue="0" maxValue="0"/>
    </cacheField>
    <cacheField name="none_of_above_chosen" numFmtId="0">
      <sharedItems containsMixedTypes="1" containsNumber="1" containsInteger="1" minValue="0" maxValue="1"/>
    </cacheField>
    <cacheField name="tense" numFmtId="0">
      <sharedItems count="2">
        <s v="past"/>
        <s v="present"/>
      </sharedItems>
    </cacheField>
  </cacheFields>
  <extLst>
    <ext xmlns:x14="http://schemas.microsoft.com/office/spreadsheetml/2009/9/main" uri="{725AE2AE-9491-48be-B2B4-4EB974FC3084}">
      <x14:pivotCacheDefinition/>
    </ext>
  </extLst>
</pivotCacheDefinition>
</file>

<file path=xl/pivotCache/pivotCacheDefinition2.xml><?xml version="1.0" encoding="utf-8"?>
<pivotCacheDefinition xmlns="http://schemas.openxmlformats.org/spreadsheetml/2006/main" xmlns:r="http://schemas.openxmlformats.org/officeDocument/2006/relationships" r:id="rId1" refreshedBy="Microsoft Office User" refreshedDate="43340.512152083335" createdVersion="6" refreshedVersion="6" minRefreshableVersion="3" recordCount="696">
  <cacheSource type="worksheet">
    <worksheetSource ref="A1:V697" sheet="tot, mo low seen"/>
  </cacheSource>
  <cacheFields count="22">
    <cacheField name="subject" numFmtId="0">
      <sharedItems/>
    </cacheField>
    <cacheField name="native_lang" numFmtId="0">
      <sharedItems/>
    </cacheField>
    <cacheField name="trial" numFmtId="0">
      <sharedItems/>
    </cacheField>
    <cacheField name="story" numFmtId="0">
      <sharedItems count="6">
        <s v="test_coffee"/>
        <s v="test_yarn"/>
        <s v="test_books"/>
        <s v="test_hair"/>
        <s v="test_shoes"/>
        <s v="test_dentist"/>
      </sharedItems>
    </cacheField>
    <cacheField name="tense" numFmtId="0">
      <sharedItems count="2">
        <s v="past"/>
        <s v="present"/>
      </sharedItems>
    </cacheField>
    <cacheField name="tag_a" numFmtId="0">
      <sharedItems/>
    </cacheField>
    <cacheField name="tag_b" numFmtId="0">
      <sharedItems/>
    </cacheField>
    <cacheField name="tag_c" numFmtId="0">
      <sharedItems/>
    </cacheField>
    <cacheField name="exhaustive_seen" numFmtId="0">
      <sharedItems containsSemiMixedTypes="0" containsString="0" containsNumber="1" containsInteger="1" minValue="0" maxValue="1"/>
    </cacheField>
    <cacheField name="mention_one_high_seen" numFmtId="0">
      <sharedItems containsSemiMixedTypes="0" containsString="0" containsNumber="1" containsInteger="1" minValue="0" maxValue="1"/>
    </cacheField>
    <cacheField name="mention_one_low_seen" numFmtId="0">
      <sharedItems containsSemiMixedTypes="0" containsString="0" containsNumber="1" containsInteger="1" minValue="1" maxValue="1"/>
    </cacheField>
    <cacheField name="mention_some_high_seen" numFmtId="0">
      <sharedItems containsSemiMixedTypes="0" containsString="0" containsNumber="1" containsInteger="1" minValue="0" maxValue="1"/>
    </cacheField>
    <cacheField name="mention_some_low_seen" numFmtId="0">
      <sharedItems containsSemiMixedTypes="0" containsString="0" containsNumber="1" containsInteger="1" minValue="0" maxValue="1"/>
    </cacheField>
    <cacheField name="false_report_seen" numFmtId="0">
      <sharedItems containsSemiMixedTypes="0" containsString="0" containsNumber="1" containsInteger="1" minValue="0" maxValue="0"/>
    </cacheField>
    <cacheField name="none_of_above_seen" numFmtId="0">
      <sharedItems containsSemiMixedTypes="0" containsString="0" containsNumber="1" containsInteger="1" minValue="1" maxValue="1"/>
    </cacheField>
    <cacheField name="exhaustive_chosen" numFmtId="0">
      <sharedItems containsSemiMixedTypes="0" containsString="0" containsNumber="1" containsInteger="1" minValue="0" maxValue="1"/>
    </cacheField>
    <cacheField name="mention_one_high_chosen" numFmtId="0">
      <sharedItems containsSemiMixedTypes="0" containsString="0" containsNumber="1" containsInteger="1" minValue="0" maxValue="1"/>
    </cacheField>
    <cacheField name="mention_one_low_chosen" numFmtId="0">
      <sharedItems containsSemiMixedTypes="0" containsString="0" containsNumber="1" containsInteger="1" minValue="0" maxValue="1"/>
    </cacheField>
    <cacheField name="mention_some_high_chosen" numFmtId="0">
      <sharedItems containsSemiMixedTypes="0" containsString="0" containsNumber="1" containsInteger="1" minValue="0" maxValue="1"/>
    </cacheField>
    <cacheField name="mention_some_low_chosen" numFmtId="0">
      <sharedItems containsSemiMixedTypes="0" containsString="0" containsNumber="1" containsInteger="1" minValue="0" maxValue="1"/>
    </cacheField>
    <cacheField name="false_report_chosen" numFmtId="0">
      <sharedItems containsSemiMixedTypes="0" containsString="0" containsNumber="1" containsInteger="1" minValue="0" maxValue="0"/>
    </cacheField>
    <cacheField name="none_of_above_chosen" numFmtId="0">
      <sharedItems containsSemiMixedTypes="0" containsString="0" containsNumber="1" containsInteger="1" minValue="0" maxValue="1"/>
    </cacheField>
  </cacheFields>
  <extLst>
    <ext xmlns:x14="http://schemas.microsoft.com/office/spreadsheetml/2009/9/main" uri="{725AE2AE-9491-48be-B2B4-4EB974FC3084}">
      <x14:pivotCacheDefinition/>
    </ext>
  </extLst>
</pivotCacheDefinition>
</file>

<file path=xl/pivotCache/pivotCacheDefinition3.xml><?xml version="1.0" encoding="utf-8"?>
<pivotCacheDefinition xmlns="http://schemas.openxmlformats.org/spreadsheetml/2006/main" xmlns:r="http://schemas.openxmlformats.org/officeDocument/2006/relationships" r:id="rId1" refreshedBy="Microsoft Office User" refreshedDate="43340.532460879629" createdVersion="6" refreshedVersion="6" minRefreshableVersion="3" recordCount="55">
  <cacheSource type="worksheet">
    <worksheetSource ref="A1:V56" sheet="tot exh moh mol seen"/>
  </cacheSource>
  <cacheFields count="22">
    <cacheField name="subject" numFmtId="0">
      <sharedItems/>
    </cacheField>
    <cacheField name="native_lang" numFmtId="0">
      <sharedItems/>
    </cacheField>
    <cacheField name="trial" numFmtId="0">
      <sharedItems/>
    </cacheField>
    <cacheField name="story" numFmtId="0">
      <sharedItems count="6">
        <s v="test_coffee"/>
        <s v="test_hair"/>
        <s v="test_books"/>
        <s v="test_yarn"/>
        <s v="test_shoes"/>
        <s v="test_dentist"/>
      </sharedItems>
    </cacheField>
    <cacheField name="tense" numFmtId="0">
      <sharedItems count="2">
        <s v="past"/>
        <s v="present"/>
      </sharedItems>
    </cacheField>
    <cacheField name="tag_a" numFmtId="0">
      <sharedItems/>
    </cacheField>
    <cacheField name="tag_b" numFmtId="0">
      <sharedItems/>
    </cacheField>
    <cacheField name="tag_c" numFmtId="0">
      <sharedItems/>
    </cacheField>
    <cacheField name="exhaustive_seen" numFmtId="0">
      <sharedItems containsSemiMixedTypes="0" containsString="0" containsNumber="1" containsInteger="1" minValue="1" maxValue="1"/>
    </cacheField>
    <cacheField name="mention_one_high_seen" numFmtId="0">
      <sharedItems containsSemiMixedTypes="0" containsString="0" containsNumber="1" containsInteger="1" minValue="1" maxValue="1"/>
    </cacheField>
    <cacheField name="mention_one_low_seen" numFmtId="0">
      <sharedItems containsSemiMixedTypes="0" containsString="0" containsNumber="1" containsInteger="1" minValue="1" maxValue="1"/>
    </cacheField>
    <cacheField name="mention_some_high_seen" numFmtId="0">
      <sharedItems containsSemiMixedTypes="0" containsString="0" containsNumber="1" containsInteger="1" minValue="0" maxValue="0"/>
    </cacheField>
    <cacheField name="mention_some_low_seen" numFmtId="0">
      <sharedItems containsSemiMixedTypes="0" containsString="0" containsNumber="1" containsInteger="1" minValue="0" maxValue="0"/>
    </cacheField>
    <cacheField name="false_report_seen" numFmtId="0">
      <sharedItems containsSemiMixedTypes="0" containsString="0" containsNumber="1" containsInteger="1" minValue="0" maxValue="0"/>
    </cacheField>
    <cacheField name="none_of_above_seen" numFmtId="0">
      <sharedItems containsSemiMixedTypes="0" containsString="0" containsNumber="1" containsInteger="1" minValue="1" maxValue="1"/>
    </cacheField>
    <cacheField name="exhaustive_chosen" numFmtId="0">
      <sharedItems containsSemiMixedTypes="0" containsString="0" containsNumber="1" containsInteger="1" minValue="0" maxValue="1"/>
    </cacheField>
    <cacheField name="mention_one_high_chosen" numFmtId="0">
      <sharedItems containsSemiMixedTypes="0" containsString="0" containsNumber="1" containsInteger="1" minValue="0" maxValue="1"/>
    </cacheField>
    <cacheField name="mention_one_low_chosen" numFmtId="0">
      <sharedItems containsSemiMixedTypes="0" containsString="0" containsNumber="1" containsInteger="1" minValue="0" maxValue="1"/>
    </cacheField>
    <cacheField name="mention_some_high_chosen" numFmtId="0">
      <sharedItems containsSemiMixedTypes="0" containsString="0" containsNumber="1" containsInteger="1" minValue="0" maxValue="0"/>
    </cacheField>
    <cacheField name="mention_some_low_chosen" numFmtId="0">
      <sharedItems containsSemiMixedTypes="0" containsString="0" containsNumber="1" containsInteger="1" minValue="0" maxValue="0"/>
    </cacheField>
    <cacheField name="false_report_chosen" numFmtId="0">
      <sharedItems containsSemiMixedTypes="0" containsString="0" containsNumber="1" containsInteger="1" minValue="0" maxValue="0"/>
    </cacheField>
    <cacheField name="none_of_above_chosen" numFmtId="0">
      <sharedItems containsSemiMixedTypes="0" containsString="0" containsNumber="1" containsInteger="1" minValue="0" maxValue="1"/>
    </cacheField>
  </cacheFields>
  <extLst>
    <ext xmlns:x14="http://schemas.microsoft.com/office/spreadsheetml/2009/9/main" uri="{725AE2AE-9491-48be-B2B4-4EB974FC3084}">
      <x14:pivotCacheDefinition/>
    </ext>
  </extLst>
</pivotCacheDefinition>
</file>

<file path=xl/pivotCache/pivotCacheDefinition4.xml><?xml version="1.0" encoding="utf-8"?>
<pivotCacheDefinition xmlns="http://schemas.openxmlformats.org/spreadsheetml/2006/main" xmlns:r="http://schemas.openxmlformats.org/officeDocument/2006/relationships" r:id="rId1" refreshedBy="Microsoft Office User" refreshedDate="43340.561934837962" createdVersion="6" refreshedVersion="6" minRefreshableVersion="3" recordCount="167">
  <cacheSource type="worksheet">
    <worksheetSource ref="A1:V168" sheet="tot exh and moh"/>
  </cacheSource>
  <cacheFields count="22">
    <cacheField name="subject" numFmtId="0">
      <sharedItems/>
    </cacheField>
    <cacheField name="native_lang" numFmtId="0">
      <sharedItems/>
    </cacheField>
    <cacheField name="trial" numFmtId="0">
      <sharedItems/>
    </cacheField>
    <cacheField name="story" numFmtId="0">
      <sharedItems count="6">
        <s v="test_yarn"/>
        <s v="test_shoes"/>
        <s v="test_coffee"/>
        <s v="test_books"/>
        <s v="test_hair"/>
        <s v="test_dentist"/>
      </sharedItems>
    </cacheField>
    <cacheField name="tense" numFmtId="0">
      <sharedItems count="2">
        <s v="past"/>
        <s v="present"/>
      </sharedItems>
    </cacheField>
    <cacheField name="tag_a" numFmtId="0">
      <sharedItems/>
    </cacheField>
    <cacheField name="tag_b" numFmtId="0">
      <sharedItems/>
    </cacheField>
    <cacheField name="tag_c" numFmtId="0">
      <sharedItems/>
    </cacheField>
    <cacheField name="exhaustive_seen" numFmtId="0">
      <sharedItems containsSemiMixedTypes="0" containsString="0" containsNumber="1" containsInteger="1" minValue="1" maxValue="1"/>
    </cacheField>
    <cacheField name="mention_one_high_seen" numFmtId="0">
      <sharedItems containsSemiMixedTypes="0" containsString="0" containsNumber="1" containsInteger="1" minValue="1" maxValue="1"/>
    </cacheField>
    <cacheField name="mention_one_low_seen" numFmtId="0">
      <sharedItems containsSemiMixedTypes="0" containsString="0" containsNumber="1" containsInteger="1" minValue="0" maxValue="1"/>
    </cacheField>
    <cacheField name="mention_some_high_seen" numFmtId="0">
      <sharedItems containsSemiMixedTypes="0" containsString="0" containsNumber="1" containsInteger="1" minValue="0" maxValue="1"/>
    </cacheField>
    <cacheField name="mention_some_low_seen" numFmtId="0">
      <sharedItems containsSemiMixedTypes="0" containsString="0" containsNumber="1" containsInteger="1" minValue="0" maxValue="1"/>
    </cacheField>
    <cacheField name="false_report_seen" numFmtId="0">
      <sharedItems containsSemiMixedTypes="0" containsString="0" containsNumber="1" containsInteger="1" minValue="0" maxValue="0"/>
    </cacheField>
    <cacheField name="none_of_above_seen" numFmtId="0">
      <sharedItems containsSemiMixedTypes="0" containsString="0" containsNumber="1" containsInteger="1" minValue="1" maxValue="1"/>
    </cacheField>
    <cacheField name="exhaustive_chosen" numFmtId="0">
      <sharedItems containsSemiMixedTypes="0" containsString="0" containsNumber="1" containsInteger="1" minValue="0" maxValue="1"/>
    </cacheField>
    <cacheField name="mention_one_high_chosen" numFmtId="0">
      <sharedItems containsSemiMixedTypes="0" containsString="0" containsNumber="1" containsInteger="1" minValue="0" maxValue="1"/>
    </cacheField>
    <cacheField name="mention_one_low_chosen" numFmtId="0">
      <sharedItems containsSemiMixedTypes="0" containsString="0" containsNumber="1" containsInteger="1" minValue="0" maxValue="1"/>
    </cacheField>
    <cacheField name="mention_some_high_chosen" numFmtId="0">
      <sharedItems containsSemiMixedTypes="0" containsString="0" containsNumber="1" containsInteger="1" minValue="0" maxValue="1"/>
    </cacheField>
    <cacheField name="mention_some_low_chosen" numFmtId="0">
      <sharedItems containsSemiMixedTypes="0" containsString="0" containsNumber="1" containsInteger="1" minValue="0" maxValue="1"/>
    </cacheField>
    <cacheField name="false_report_chosen" numFmtId="0">
      <sharedItems containsSemiMixedTypes="0" containsString="0" containsNumber="1" containsInteger="1" minValue="0" maxValue="0"/>
    </cacheField>
    <cacheField name="none_of_above_chosen" numFmtId="0">
      <sharedItems containsSemiMixedTypes="0" containsString="0" containsNumber="1" containsInteger="1" minValue="0" maxValue="1"/>
    </cacheField>
  </cacheFields>
  <extLst>
    <ext xmlns:x14="http://schemas.microsoft.com/office/spreadsheetml/2009/9/main" uri="{725AE2AE-9491-48be-B2B4-4EB974FC3084}">
      <x14:pivotCacheDefinition/>
    </ext>
  </extLst>
</pivotCacheDefinition>
</file>

<file path=xl/pivotCache/pivotCacheDefinition5.xml><?xml version="1.0" encoding="utf-8"?>
<pivotCacheDefinition xmlns="http://schemas.openxmlformats.org/spreadsheetml/2006/main" xmlns:r="http://schemas.openxmlformats.org/officeDocument/2006/relationships" r:id="rId1" refreshedBy="Microsoft Office User" refreshedDate="43340.590094328705" createdVersion="6" refreshedVersion="6" minRefreshableVersion="3" recordCount="179">
  <cacheSource type="worksheet">
    <worksheetSource ref="A1:V180" sheet="tot exh chosen"/>
  </cacheSource>
  <cacheFields count="22">
    <cacheField name="subject" numFmtId="0">
      <sharedItems/>
    </cacheField>
    <cacheField name="native_lang" numFmtId="0">
      <sharedItems/>
    </cacheField>
    <cacheField name="trial" numFmtId="0">
      <sharedItems/>
    </cacheField>
    <cacheField name="story" numFmtId="0">
      <sharedItems count="6">
        <s v="test_books"/>
        <s v="test_shoes"/>
        <s v="test_yarn"/>
        <s v="test_hair"/>
        <s v="test_coffee"/>
        <s v="test_dentist"/>
      </sharedItems>
    </cacheField>
    <cacheField name="tense" numFmtId="0">
      <sharedItems count="2">
        <s v="past"/>
        <s v="present"/>
      </sharedItems>
    </cacheField>
    <cacheField name="tag_a" numFmtId="0">
      <sharedItems/>
    </cacheField>
    <cacheField name="tag_b" numFmtId="0">
      <sharedItems/>
    </cacheField>
    <cacheField name="tag_c" numFmtId="0">
      <sharedItems/>
    </cacheField>
    <cacheField name="exhaustive_seen" numFmtId="0">
      <sharedItems containsSemiMixedTypes="0" containsString="0" containsNumber="1" containsInteger="1" minValue="1" maxValue="1"/>
    </cacheField>
    <cacheField name="mention_one_high_seen" numFmtId="0">
      <sharedItems containsSemiMixedTypes="0" containsString="0" containsNumber="1" containsInteger="1" minValue="0" maxValue="1"/>
    </cacheField>
    <cacheField name="mention_one_low_seen" numFmtId="0">
      <sharedItems containsSemiMixedTypes="0" containsString="0" containsNumber="1" containsInteger="1" minValue="0" maxValue="1"/>
    </cacheField>
    <cacheField name="mention_some_high_seen" numFmtId="0">
      <sharedItems containsSemiMixedTypes="0" containsString="0" containsNumber="1" containsInteger="1" minValue="0" maxValue="1"/>
    </cacheField>
    <cacheField name="mention_some_low_seen" numFmtId="0">
      <sharedItems containsSemiMixedTypes="0" containsString="0" containsNumber="1" containsInteger="1" minValue="0" maxValue="1"/>
    </cacheField>
    <cacheField name="false_report_seen" numFmtId="0">
      <sharedItems containsSemiMixedTypes="0" containsString="0" containsNumber="1" containsInteger="1" minValue="0" maxValue="0"/>
    </cacheField>
    <cacheField name="none_of_above_seen" numFmtId="0">
      <sharedItems containsSemiMixedTypes="0" containsString="0" containsNumber="1" containsInteger="1" minValue="1" maxValue="1"/>
    </cacheField>
    <cacheField name="exhaustive_chosen" numFmtId="0">
      <sharedItems containsSemiMixedTypes="0" containsString="0" containsNumber="1" containsInteger="1" minValue="1" maxValue="1"/>
    </cacheField>
    <cacheField name="mention_one_high_chosen" numFmtId="0">
      <sharedItems containsSemiMixedTypes="0" containsString="0" containsNumber="1" containsInteger="1" minValue="0" maxValue="1"/>
    </cacheField>
    <cacheField name="mention_one_low_chosen" numFmtId="0">
      <sharedItems containsSemiMixedTypes="0" containsString="0" containsNumber="1" containsInteger="1" minValue="0" maxValue="1"/>
    </cacheField>
    <cacheField name="mention_some_high_chosen" numFmtId="0">
      <sharedItems containsSemiMixedTypes="0" containsString="0" containsNumber="1" containsInteger="1" minValue="0" maxValue="1"/>
    </cacheField>
    <cacheField name="mention_some_low_chosen" numFmtId="0">
      <sharedItems containsSemiMixedTypes="0" containsString="0" containsNumber="1" containsInteger="1" minValue="0" maxValue="1"/>
    </cacheField>
    <cacheField name="false_report_chosen" numFmtId="0">
      <sharedItems containsSemiMixedTypes="0" containsString="0" containsNumber="1" containsInteger="1" minValue="0" maxValue="0"/>
    </cacheField>
    <cacheField name="none_of_above_chosen" numFmtId="0">
      <sharedItems containsSemiMixedTypes="0" containsString="0" containsNumber="1" containsInteger="1" minValue="0" maxValue="1"/>
    </cacheField>
  </cacheFields>
  <extLst>
    <ext xmlns:x14="http://schemas.microsoft.com/office/spreadsheetml/2009/9/main" uri="{725AE2AE-9491-48be-B2B4-4EB974FC3084}">
      <x14:pivotCacheDefinition/>
    </ext>
  </extLst>
</pivotCacheDefinition>
</file>

<file path=xl/pivotCache/pivotCacheDefinition6.xml><?xml version="1.0" encoding="utf-8"?>
<pivotCacheDefinition xmlns="http://schemas.openxmlformats.org/spreadsheetml/2006/main" xmlns:r="http://schemas.openxmlformats.org/officeDocument/2006/relationships" r:id="rId1" refreshedBy="Microsoft Office User" refreshedDate="43340.59513854167" createdVersion="6" refreshedVersion="6" minRefreshableVersion="3" recordCount="432">
  <cacheSource type="worksheet">
    <worksheetSource ref="A1:V433" sheet="tot moh chosen"/>
  </cacheSource>
  <cacheFields count="22">
    <cacheField name="subject" numFmtId="0">
      <sharedItems/>
    </cacheField>
    <cacheField name="native_lang" numFmtId="0">
      <sharedItems/>
    </cacheField>
    <cacheField name="trial" numFmtId="0">
      <sharedItems/>
    </cacheField>
    <cacheField name="story" numFmtId="0">
      <sharedItems count="6">
        <s v="test_shoes"/>
        <s v="test_coffee"/>
        <s v="test_books"/>
        <s v="test_hair"/>
        <s v="test_yarn"/>
        <s v="test_dentist"/>
      </sharedItems>
    </cacheField>
    <cacheField name="tense" numFmtId="0">
      <sharedItems count="2">
        <s v="past"/>
        <s v="present"/>
      </sharedItems>
    </cacheField>
    <cacheField name="tag_a" numFmtId="0">
      <sharedItems/>
    </cacheField>
    <cacheField name="tag_b" numFmtId="0">
      <sharedItems/>
    </cacheField>
    <cacheField name="tag_c" numFmtId="0">
      <sharedItems/>
    </cacheField>
    <cacheField name="exhaustive_seen" numFmtId="0">
      <sharedItems containsSemiMixedTypes="0" containsString="0" containsNumber="1" containsInteger="1" minValue="0" maxValue="1"/>
    </cacheField>
    <cacheField name="mention_one_high_seen" numFmtId="0">
      <sharedItems containsSemiMixedTypes="0" containsString="0" containsNumber="1" containsInteger="1" minValue="1" maxValue="1"/>
    </cacheField>
    <cacheField name="mention_one_low_seen" numFmtId="0">
      <sharedItems containsSemiMixedTypes="0" containsString="0" containsNumber="1" containsInteger="1" minValue="0" maxValue="1"/>
    </cacheField>
    <cacheField name="mention_some_high_seen" numFmtId="0">
      <sharedItems containsSemiMixedTypes="0" containsString="0" containsNumber="1" containsInteger="1" minValue="0" maxValue="1"/>
    </cacheField>
    <cacheField name="mention_some_low_seen" numFmtId="0">
      <sharedItems containsSemiMixedTypes="0" containsString="0" containsNumber="1" containsInteger="1" minValue="0" maxValue="1"/>
    </cacheField>
    <cacheField name="false_report_seen" numFmtId="0">
      <sharedItems containsSemiMixedTypes="0" containsString="0" containsNumber="1" containsInteger="1" minValue="0" maxValue="0"/>
    </cacheField>
    <cacheField name="none_of_above_seen" numFmtId="0">
      <sharedItems containsSemiMixedTypes="0" containsString="0" containsNumber="1" containsInteger="1" minValue="1" maxValue="1"/>
    </cacheField>
    <cacheField name="exhaustive_chosen" numFmtId="0">
      <sharedItems containsSemiMixedTypes="0" containsString="0" containsNumber="1" containsInteger="1" minValue="0" maxValue="1"/>
    </cacheField>
    <cacheField name="mention_one_high_chosen" numFmtId="0">
      <sharedItems containsSemiMixedTypes="0" containsString="0" containsNumber="1" containsInteger="1" minValue="1" maxValue="1"/>
    </cacheField>
    <cacheField name="mention_one_low_chosen" numFmtId="0">
      <sharedItems containsSemiMixedTypes="0" containsString="0" containsNumber="1" containsInteger="1" minValue="0" maxValue="1"/>
    </cacheField>
    <cacheField name="mention_some_high_chosen" numFmtId="0">
      <sharedItems containsSemiMixedTypes="0" containsString="0" containsNumber="1" containsInteger="1" minValue="0" maxValue="1"/>
    </cacheField>
    <cacheField name="mention_some_low_chosen" numFmtId="0">
      <sharedItems containsSemiMixedTypes="0" containsString="0" containsNumber="1" containsInteger="1" minValue="0" maxValue="1"/>
    </cacheField>
    <cacheField name="false_report_chosen" numFmtId="0">
      <sharedItems containsSemiMixedTypes="0" containsString="0" containsNumber="1" containsInteger="1" minValue="0" maxValue="0"/>
    </cacheField>
    <cacheField name="none_of_above_chosen" numFmtId="0">
      <sharedItems containsSemiMixedTypes="0" containsString="0" containsNumber="1" containsInteger="1" minValue="0" maxValue="1"/>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count="2758">
  <r>
    <s v="A2MM10557W7PLD"/>
    <x v="0"/>
    <n v="35"/>
    <s v="male"/>
    <x v="0"/>
    <x v="0"/>
    <n v="20046"/>
    <s v="NA"/>
    <s v="NA"/>
    <s v="NA"/>
    <s v="NA"/>
    <s v="NA"/>
    <s v="NA"/>
    <s v="NA"/>
    <s v="NA"/>
    <s v="NA"/>
    <s v="NA"/>
    <s v="NA"/>
    <x v="0"/>
    <x v="0"/>
    <s v="NA"/>
    <s v="NA"/>
    <s v="NA"/>
    <s v="NA"/>
    <s v="NA"/>
    <s v="NA"/>
    <x v="0"/>
    <s v="NA"/>
    <s v="NA"/>
    <s v="NA"/>
    <s v="NA"/>
    <x v="0"/>
  </r>
  <r>
    <s v="A2MM10557W7PLD"/>
    <x v="0"/>
    <n v="35"/>
    <s v="male"/>
    <x v="1"/>
    <x v="1"/>
    <n v="21653"/>
    <n v="0"/>
    <n v="0"/>
    <n v="0"/>
    <n v="1"/>
    <s v="NA"/>
    <s v="NA"/>
    <s v="NA"/>
    <s v="NA"/>
    <s v="NA"/>
    <s v="NA"/>
    <s v="NA"/>
    <x v="0"/>
    <x v="0"/>
    <s v="NA"/>
    <s v="NA"/>
    <s v="NA"/>
    <s v="NA"/>
    <s v="NA"/>
    <s v="NA"/>
    <x v="0"/>
    <s v="NA"/>
    <s v="NA"/>
    <s v="NA"/>
    <s v="NA"/>
    <x v="0"/>
  </r>
  <r>
    <s v="A2MM10557W7PLD"/>
    <x v="0"/>
    <n v="35"/>
    <s v="male"/>
    <x v="1"/>
    <x v="2"/>
    <n v="10681"/>
    <n v="0"/>
    <n v="0"/>
    <n v="1"/>
    <n v="0"/>
    <s v="NA"/>
    <s v="NA"/>
    <s v="NA"/>
    <s v="NA"/>
    <s v="NA"/>
    <s v="NA"/>
    <s v="NA"/>
    <x v="0"/>
    <x v="0"/>
    <s v="NA"/>
    <s v="NA"/>
    <s v="NA"/>
    <s v="NA"/>
    <s v="NA"/>
    <s v="NA"/>
    <x v="0"/>
    <s v="NA"/>
    <s v="NA"/>
    <s v="NA"/>
    <s v="NA"/>
    <x v="0"/>
  </r>
  <r>
    <s v="A2MM10557W7PLD"/>
    <x v="0"/>
    <n v="35"/>
    <s v="male"/>
    <x v="2"/>
    <x v="3"/>
    <n v="8449"/>
    <n v="0"/>
    <n v="0"/>
    <n v="1"/>
    <n v="0"/>
    <s v="Cafes D and E."/>
    <s v="Cafes A and B."/>
    <s v="Cafe E."/>
    <s v="ms-l"/>
    <s v="ms-h"/>
    <s v="mo-l"/>
    <n v="0"/>
    <x v="1"/>
    <x v="1"/>
    <n v="1"/>
    <n v="1"/>
    <n v="0"/>
    <n v="1"/>
    <n v="0"/>
    <n v="0"/>
    <x v="1"/>
    <n v="0"/>
    <n v="0"/>
    <n v="0"/>
    <n v="0"/>
    <x v="0"/>
  </r>
  <r>
    <s v="A2MM10557W7PLD"/>
    <x v="0"/>
    <n v="35"/>
    <s v="male"/>
    <x v="2"/>
    <x v="4"/>
    <n v="18900"/>
    <n v="0"/>
    <n v="1"/>
    <n v="0"/>
    <n v="0"/>
    <s v="Stall E."/>
    <s v="Stalls A and B."/>
    <s v="Stalls D and E."/>
    <s v="mo-l"/>
    <s v="ms-h"/>
    <s v="ms-l"/>
    <n v="0"/>
    <x v="1"/>
    <x v="1"/>
    <n v="1"/>
    <n v="1"/>
    <n v="0"/>
    <n v="1"/>
    <n v="0"/>
    <n v="0"/>
    <x v="2"/>
    <n v="1"/>
    <n v="0"/>
    <n v="0"/>
    <n v="0"/>
    <x v="0"/>
  </r>
  <r>
    <s v="A2MM10557W7PLD"/>
    <x v="0"/>
    <n v="35"/>
    <s v="male"/>
    <x v="3"/>
    <x v="5"/>
    <n v="4935"/>
    <n v="0"/>
    <n v="1"/>
    <n v="0"/>
    <n v="0"/>
    <s v="NA"/>
    <s v="NA"/>
    <s v="NA"/>
    <s v="NA"/>
    <s v="NA"/>
    <s v="NA"/>
    <s v="NA"/>
    <x v="1"/>
    <x v="1"/>
    <n v="1"/>
    <n v="1"/>
    <n v="0"/>
    <n v="1"/>
    <n v="0"/>
    <n v="0"/>
    <x v="2"/>
    <n v="1"/>
    <n v="0"/>
    <n v="0"/>
    <n v="0"/>
    <x v="0"/>
  </r>
  <r>
    <s v="A2MM10557W7PLD"/>
    <x v="0"/>
    <n v="35"/>
    <s v="male"/>
    <x v="2"/>
    <x v="6"/>
    <n v="3910"/>
    <n v="0"/>
    <n v="0"/>
    <n v="1"/>
    <n v="0"/>
    <s v="Bookstore F."/>
    <s v="Bookstore E."/>
    <s v="Bookstores A, B, C, D and E."/>
    <s v="fa"/>
    <s v="mo-l"/>
    <s v="exh"/>
    <n v="1"/>
    <x v="1"/>
    <x v="1"/>
    <n v="0"/>
    <n v="0"/>
    <n v="0"/>
    <n v="1"/>
    <n v="1"/>
    <n v="0"/>
    <x v="2"/>
    <n v="0"/>
    <n v="0"/>
    <n v="0"/>
    <n v="0"/>
    <x v="0"/>
  </r>
  <r>
    <s v="A2MM10557W7PLD"/>
    <x v="0"/>
    <n v="35"/>
    <s v="male"/>
    <x v="2"/>
    <x v="7"/>
    <n v="2766"/>
    <n v="0"/>
    <n v="1"/>
    <n v="0"/>
    <n v="0"/>
    <s v="Stylist A."/>
    <s v="Stylists D and E."/>
    <s v="Stylist E."/>
    <s v="mo-h"/>
    <s v="ms-l"/>
    <s v="mo-l"/>
    <n v="0"/>
    <x v="2"/>
    <x v="1"/>
    <n v="0"/>
    <n v="1"/>
    <n v="0"/>
    <n v="1"/>
    <n v="0"/>
    <n v="0"/>
    <x v="2"/>
    <n v="0"/>
    <n v="1"/>
    <n v="0"/>
    <n v="0"/>
    <x v="0"/>
  </r>
  <r>
    <s v="A2MM10557W7PLD"/>
    <x v="0"/>
    <n v="35"/>
    <s v="male"/>
    <x v="3"/>
    <x v="8"/>
    <n v="3615"/>
    <n v="0"/>
    <n v="0"/>
    <n v="1"/>
    <n v="0"/>
    <s v="NA"/>
    <s v="NA"/>
    <s v="NA"/>
    <s v="NA"/>
    <s v="NA"/>
    <s v="NA"/>
    <s v="NA"/>
    <x v="2"/>
    <x v="1"/>
    <n v="0"/>
    <n v="1"/>
    <n v="0"/>
    <n v="1"/>
    <n v="0"/>
    <n v="0"/>
    <x v="2"/>
    <n v="0"/>
    <n v="1"/>
    <n v="0"/>
    <n v="0"/>
    <x v="0"/>
  </r>
  <r>
    <s v="A2MM10557W7PLD"/>
    <x v="0"/>
    <n v="35"/>
    <s v="male"/>
    <x v="2"/>
    <x v="9"/>
    <n v="4791"/>
    <n v="1"/>
    <n v="0"/>
    <n v="0"/>
    <n v="0"/>
    <s v="Store A."/>
    <s v="Store E."/>
    <s v="Stores A and B."/>
    <s v="mo-h"/>
    <s v="mo-l"/>
    <s v="ms-h"/>
    <n v="0"/>
    <x v="2"/>
    <x v="1"/>
    <n v="1"/>
    <n v="0"/>
    <n v="0"/>
    <n v="1"/>
    <n v="0"/>
    <n v="1"/>
    <x v="2"/>
    <n v="0"/>
    <n v="0"/>
    <n v="0"/>
    <n v="0"/>
    <x v="0"/>
  </r>
  <r>
    <s v="A2MM10557W7PLD"/>
    <x v="0"/>
    <n v="35"/>
    <s v="male"/>
    <x v="3"/>
    <x v="10"/>
    <n v="3895"/>
    <n v="0"/>
    <n v="0"/>
    <n v="1"/>
    <n v="0"/>
    <s v="NA"/>
    <s v="NA"/>
    <s v="NA"/>
    <s v="NA"/>
    <s v="NA"/>
    <s v="NA"/>
    <s v="NA"/>
    <x v="2"/>
    <x v="1"/>
    <n v="1"/>
    <n v="0"/>
    <n v="0"/>
    <n v="1"/>
    <n v="0"/>
    <n v="1"/>
    <x v="2"/>
    <n v="0"/>
    <n v="0"/>
    <n v="0"/>
    <n v="0"/>
    <x v="0"/>
  </r>
  <r>
    <s v="A2MM10557W7PLD"/>
    <x v="0"/>
    <n v="35"/>
    <s v="male"/>
    <x v="2"/>
    <x v="11"/>
    <n v="2823"/>
    <n v="0"/>
    <n v="0"/>
    <n v="1"/>
    <n v="0"/>
    <s v="Dentist E."/>
    <s v="Dentists A and B."/>
    <s v="Dentists D and E."/>
    <s v="mo-l"/>
    <s v="ms-h"/>
    <s v="ms-l"/>
    <n v="0"/>
    <x v="1"/>
    <x v="1"/>
    <n v="1"/>
    <n v="1"/>
    <n v="0"/>
    <n v="1"/>
    <n v="0"/>
    <n v="0"/>
    <x v="2"/>
    <n v="0"/>
    <n v="1"/>
    <n v="0"/>
    <n v="0"/>
    <x v="0"/>
  </r>
  <r>
    <s v="A2MM10557W7PLD"/>
    <x v="0"/>
    <n v="35"/>
    <s v="male"/>
    <x v="3"/>
    <x v="12"/>
    <n v="2975"/>
    <n v="0"/>
    <n v="0"/>
    <n v="1"/>
    <n v="0"/>
    <s v="NA"/>
    <s v="NA"/>
    <s v="NA"/>
    <s v="NA"/>
    <s v="NA"/>
    <s v="NA"/>
    <s v="NA"/>
    <x v="1"/>
    <x v="1"/>
    <n v="1"/>
    <n v="1"/>
    <n v="0"/>
    <n v="1"/>
    <n v="0"/>
    <n v="0"/>
    <x v="2"/>
    <n v="0"/>
    <n v="1"/>
    <n v="0"/>
    <n v="0"/>
    <x v="0"/>
  </r>
  <r>
    <s v="A2MM10557W7PLD"/>
    <x v="0"/>
    <n v="35"/>
    <s v="male"/>
    <x v="4"/>
    <x v="0"/>
    <n v="30724"/>
    <s v="No%2C the answer would be the same"/>
    <s v="No%2C it was fun"/>
    <s v="interesting"/>
    <s v="NA"/>
    <s v="NA"/>
    <s v="NA"/>
    <s v="NA"/>
    <s v="NA"/>
    <s v="NA"/>
    <s v="NA"/>
    <s v="NA"/>
    <x v="0"/>
    <x v="0"/>
    <s v="NA"/>
    <s v="NA"/>
    <s v="NA"/>
    <s v="NA"/>
    <s v="NA"/>
    <s v="NA"/>
    <x v="0"/>
    <s v="NA"/>
    <s v="NA"/>
    <s v="NA"/>
    <s v="NA"/>
    <x v="0"/>
  </r>
  <r>
    <s v="A3FFZN4FO3Q789"/>
    <x v="0"/>
    <n v="30"/>
    <s v="male"/>
    <x v="0"/>
    <x v="0"/>
    <n v="116007"/>
    <s v="NA"/>
    <s v="NA"/>
    <s v="NA"/>
    <s v="NA"/>
    <s v="NA"/>
    <s v="NA"/>
    <s v="NA"/>
    <s v="NA"/>
    <s v="NA"/>
    <s v="NA"/>
    <s v="NA"/>
    <x v="0"/>
    <x v="0"/>
    <s v="NA"/>
    <s v="NA"/>
    <s v="NA"/>
    <s v="NA"/>
    <s v="NA"/>
    <s v="NA"/>
    <x v="0"/>
    <s v="NA"/>
    <s v="NA"/>
    <s v="NA"/>
    <s v="NA"/>
    <x v="0"/>
  </r>
  <r>
    <s v="A3FFZN4FO3Q789"/>
    <x v="0"/>
    <n v="30"/>
    <s v="male"/>
    <x v="1"/>
    <x v="2"/>
    <n v="7389"/>
    <n v="1"/>
    <n v="1"/>
    <n v="1"/>
    <n v="0"/>
    <s v="NA"/>
    <s v="NA"/>
    <s v="NA"/>
    <s v="NA"/>
    <s v="NA"/>
    <s v="NA"/>
    <s v="NA"/>
    <x v="0"/>
    <x v="0"/>
    <s v="NA"/>
    <s v="NA"/>
    <s v="NA"/>
    <s v="NA"/>
    <s v="NA"/>
    <s v="NA"/>
    <x v="0"/>
    <s v="NA"/>
    <s v="NA"/>
    <s v="NA"/>
    <s v="NA"/>
    <x v="0"/>
  </r>
  <r>
    <s v="A3FFZN4FO3Q789"/>
    <x v="0"/>
    <n v="30"/>
    <s v="male"/>
    <x v="1"/>
    <x v="1"/>
    <n v="5555"/>
    <n v="1"/>
    <n v="1"/>
    <n v="0"/>
    <n v="0"/>
    <s v="NA"/>
    <s v="NA"/>
    <s v="NA"/>
    <s v="NA"/>
    <s v="NA"/>
    <s v="NA"/>
    <s v="NA"/>
    <x v="0"/>
    <x v="0"/>
    <s v="NA"/>
    <s v="NA"/>
    <s v="NA"/>
    <s v="NA"/>
    <s v="NA"/>
    <s v="NA"/>
    <x v="0"/>
    <s v="NA"/>
    <s v="NA"/>
    <s v="NA"/>
    <s v="NA"/>
    <x v="0"/>
  </r>
  <r>
    <s v="A3FFZN4FO3Q789"/>
    <x v="0"/>
    <n v="30"/>
    <s v="male"/>
    <x v="2"/>
    <x v="3"/>
    <n v="3235"/>
    <n v="0"/>
    <n v="1"/>
    <n v="1"/>
    <n v="0"/>
    <s v="Cafe E."/>
    <s v="Cafes A and B."/>
    <s v="Cafe A."/>
    <s v="mo-l"/>
    <s v="ms-h"/>
    <s v="mo-h"/>
    <n v="0"/>
    <x v="2"/>
    <x v="1"/>
    <n v="1"/>
    <n v="0"/>
    <n v="0"/>
    <n v="1"/>
    <n v="0"/>
    <n v="1"/>
    <x v="2"/>
    <n v="1"/>
    <n v="0"/>
    <n v="0"/>
    <n v="0"/>
    <x v="0"/>
  </r>
  <r>
    <s v="A3FFZN4FO3Q789"/>
    <x v="0"/>
    <n v="30"/>
    <s v="male"/>
    <x v="3"/>
    <x v="10"/>
    <n v="2135"/>
    <n v="0"/>
    <n v="0"/>
    <n v="1"/>
    <n v="0"/>
    <s v="NA"/>
    <s v="NA"/>
    <s v="NA"/>
    <s v="NA"/>
    <s v="NA"/>
    <s v="NA"/>
    <s v="NA"/>
    <x v="2"/>
    <x v="1"/>
    <n v="1"/>
    <n v="0"/>
    <n v="0"/>
    <n v="1"/>
    <n v="0"/>
    <n v="1"/>
    <x v="2"/>
    <n v="1"/>
    <n v="0"/>
    <n v="0"/>
    <n v="0"/>
    <x v="0"/>
  </r>
  <r>
    <s v="A3FFZN4FO3Q789"/>
    <x v="0"/>
    <n v="30"/>
    <s v="male"/>
    <x v="2"/>
    <x v="4"/>
    <n v="1572"/>
    <n v="0"/>
    <n v="1"/>
    <n v="0"/>
    <n v="0"/>
    <s v="Stall F."/>
    <s v="Stalls A and B."/>
    <s v="Stall E."/>
    <s v="fa"/>
    <s v="ms-h"/>
    <s v="mo-l"/>
    <n v="0"/>
    <x v="1"/>
    <x v="1"/>
    <n v="1"/>
    <n v="0"/>
    <n v="0"/>
    <n v="1"/>
    <n v="0"/>
    <n v="0"/>
    <x v="2"/>
    <n v="1"/>
    <n v="0"/>
    <n v="0"/>
    <n v="0"/>
    <x v="0"/>
  </r>
  <r>
    <s v="A3FFZN4FO3Q789"/>
    <x v="0"/>
    <n v="30"/>
    <s v="male"/>
    <x v="2"/>
    <x v="6"/>
    <n v="2283"/>
    <n v="0"/>
    <n v="0"/>
    <n v="1"/>
    <n v="0"/>
    <s v="Bookstore F."/>
    <s v="Bookstores D and E."/>
    <s v="Bookstore A."/>
    <s v="fa"/>
    <s v="ms-l"/>
    <s v="mo-h"/>
    <n v="0"/>
    <x v="2"/>
    <x v="2"/>
    <n v="0"/>
    <n v="1"/>
    <n v="0"/>
    <n v="1"/>
    <n v="0"/>
    <n v="1"/>
    <x v="2"/>
    <n v="0"/>
    <n v="0"/>
    <n v="0"/>
    <n v="0"/>
    <x v="0"/>
  </r>
  <r>
    <s v="A3FFZN4FO3Q789"/>
    <x v="0"/>
    <n v="30"/>
    <s v="male"/>
    <x v="3"/>
    <x v="12"/>
    <n v="2188"/>
    <n v="0"/>
    <n v="0"/>
    <n v="1"/>
    <n v="0"/>
    <s v="NA"/>
    <s v="NA"/>
    <s v="NA"/>
    <s v="NA"/>
    <s v="NA"/>
    <s v="NA"/>
    <s v="NA"/>
    <x v="2"/>
    <x v="2"/>
    <n v="0"/>
    <n v="1"/>
    <n v="0"/>
    <n v="1"/>
    <n v="0"/>
    <n v="1"/>
    <x v="2"/>
    <n v="0"/>
    <n v="0"/>
    <n v="0"/>
    <n v="0"/>
    <x v="0"/>
  </r>
  <r>
    <s v="A3FFZN4FO3Q789"/>
    <x v="0"/>
    <n v="30"/>
    <s v="male"/>
    <x v="2"/>
    <x v="11"/>
    <n v="1746"/>
    <n v="0"/>
    <n v="1"/>
    <n v="0"/>
    <n v="0"/>
    <s v="Dentists A and B."/>
    <s v="Dentists D and E."/>
    <s v="Dentist E."/>
    <s v="ms-h"/>
    <s v="ms-l"/>
    <s v="mo-l"/>
    <n v="0"/>
    <x v="1"/>
    <x v="1"/>
    <n v="1"/>
    <n v="1"/>
    <n v="0"/>
    <n v="1"/>
    <n v="0"/>
    <n v="0"/>
    <x v="2"/>
    <n v="0"/>
    <n v="1"/>
    <n v="0"/>
    <n v="0"/>
    <x v="0"/>
  </r>
  <r>
    <s v="A3FFZN4FO3Q789"/>
    <x v="0"/>
    <n v="30"/>
    <s v="male"/>
    <x v="3"/>
    <x v="8"/>
    <n v="4364"/>
    <n v="0"/>
    <n v="0"/>
    <n v="1"/>
    <n v="0"/>
    <s v="NA"/>
    <s v="NA"/>
    <s v="NA"/>
    <s v="NA"/>
    <s v="NA"/>
    <s v="NA"/>
    <s v="NA"/>
    <x v="1"/>
    <x v="1"/>
    <n v="1"/>
    <n v="1"/>
    <n v="0"/>
    <n v="1"/>
    <n v="0"/>
    <n v="0"/>
    <x v="2"/>
    <n v="0"/>
    <n v="1"/>
    <n v="0"/>
    <n v="0"/>
    <x v="0"/>
  </r>
  <r>
    <s v="A3FFZN4FO3Q789"/>
    <x v="0"/>
    <n v="30"/>
    <s v="male"/>
    <x v="2"/>
    <x v="9"/>
    <n v="2235"/>
    <n v="0"/>
    <n v="1"/>
    <n v="0"/>
    <n v="0"/>
    <s v="Stores A and B."/>
    <s v="Store E."/>
    <s v="Stores D and E."/>
    <s v="ms-h"/>
    <s v="mo-l"/>
    <s v="ms-l"/>
    <n v="0"/>
    <x v="1"/>
    <x v="1"/>
    <n v="1"/>
    <n v="1"/>
    <n v="0"/>
    <n v="1"/>
    <n v="0"/>
    <n v="0"/>
    <x v="1"/>
    <n v="0"/>
    <n v="0"/>
    <n v="0"/>
    <n v="0"/>
    <x v="0"/>
  </r>
  <r>
    <s v="A3FFZN4FO3Q789"/>
    <x v="0"/>
    <n v="30"/>
    <s v="male"/>
    <x v="2"/>
    <x v="7"/>
    <n v="4653"/>
    <n v="1"/>
    <n v="0"/>
    <n v="1"/>
    <n v="0"/>
    <s v="Stylists A and B."/>
    <s v="Stylist E."/>
    <s v="Stylist A."/>
    <s v="ms-h"/>
    <s v="mo-l"/>
    <s v="mo-h"/>
    <n v="0"/>
    <x v="2"/>
    <x v="1"/>
    <n v="1"/>
    <n v="0"/>
    <n v="0"/>
    <n v="1"/>
    <n v="0"/>
    <n v="1"/>
    <x v="2"/>
    <n v="1"/>
    <n v="0"/>
    <n v="0"/>
    <n v="0"/>
    <x v="0"/>
  </r>
  <r>
    <s v="A3FFZN4FO3Q789"/>
    <x v="0"/>
    <n v="30"/>
    <s v="male"/>
    <x v="3"/>
    <x v="5"/>
    <n v="1836"/>
    <n v="0"/>
    <n v="1"/>
    <n v="0"/>
    <n v="0"/>
    <s v="NA"/>
    <s v="NA"/>
    <s v="NA"/>
    <s v="NA"/>
    <s v="NA"/>
    <s v="NA"/>
    <s v="NA"/>
    <x v="2"/>
    <x v="1"/>
    <n v="1"/>
    <n v="0"/>
    <n v="0"/>
    <n v="1"/>
    <n v="0"/>
    <n v="1"/>
    <x v="2"/>
    <n v="1"/>
    <n v="0"/>
    <n v="0"/>
    <n v="0"/>
    <x v="0"/>
  </r>
  <r>
    <s v="A3FFZN4FO3Q789"/>
    <x v="0"/>
    <n v="30"/>
    <s v="male"/>
    <x v="4"/>
    <x v="0"/>
    <n v="35049"/>
    <s v="brunch in town"/>
    <s v="none"/>
    <s v="nothing else"/>
    <s v="NA"/>
    <s v="NA"/>
    <s v="NA"/>
    <s v="NA"/>
    <s v="NA"/>
    <s v="NA"/>
    <s v="NA"/>
    <s v="NA"/>
    <x v="0"/>
    <x v="0"/>
    <s v="NA"/>
    <s v="NA"/>
    <s v="NA"/>
    <s v="NA"/>
    <s v="NA"/>
    <s v="NA"/>
    <x v="0"/>
    <s v="NA"/>
    <s v="NA"/>
    <s v="NA"/>
    <s v="NA"/>
    <x v="0"/>
  </r>
  <r>
    <s v="A1XGI8153WBWFQ"/>
    <x v="1"/>
    <n v="28"/>
    <s v="male"/>
    <x v="0"/>
    <x v="0"/>
    <n v="45536"/>
    <s v="NA"/>
    <s v="NA"/>
    <s v="NA"/>
    <s v="NA"/>
    <s v="NA"/>
    <s v="NA"/>
    <s v="NA"/>
    <s v="NA"/>
    <s v="NA"/>
    <s v="NA"/>
    <s v="NA"/>
    <x v="0"/>
    <x v="0"/>
    <s v="NA"/>
    <s v="NA"/>
    <s v="NA"/>
    <s v="NA"/>
    <s v="NA"/>
    <s v="NA"/>
    <x v="0"/>
    <s v="NA"/>
    <s v="NA"/>
    <s v="NA"/>
    <s v="NA"/>
    <x v="0"/>
  </r>
  <r>
    <s v="A1XGI8153WBWFQ"/>
    <x v="1"/>
    <n v="28"/>
    <s v="male"/>
    <x v="1"/>
    <x v="2"/>
    <n v="29178"/>
    <n v="0"/>
    <n v="0"/>
    <n v="1"/>
    <n v="0"/>
    <s v="NA"/>
    <s v="NA"/>
    <s v="NA"/>
    <s v="NA"/>
    <s v="NA"/>
    <s v="NA"/>
    <s v="NA"/>
    <x v="0"/>
    <x v="0"/>
    <s v="NA"/>
    <s v="NA"/>
    <s v="NA"/>
    <s v="NA"/>
    <s v="NA"/>
    <s v="NA"/>
    <x v="0"/>
    <s v="NA"/>
    <s v="NA"/>
    <s v="NA"/>
    <s v="NA"/>
    <x v="0"/>
  </r>
  <r>
    <s v="A1XGI8153WBWFQ"/>
    <x v="1"/>
    <n v="28"/>
    <s v="male"/>
    <x v="1"/>
    <x v="1"/>
    <n v="9034"/>
    <n v="0"/>
    <n v="1"/>
    <n v="0"/>
    <n v="0"/>
    <s v="NA"/>
    <s v="NA"/>
    <s v="NA"/>
    <s v="NA"/>
    <s v="NA"/>
    <s v="NA"/>
    <s v="NA"/>
    <x v="0"/>
    <x v="0"/>
    <s v="NA"/>
    <s v="NA"/>
    <s v="NA"/>
    <s v="NA"/>
    <s v="NA"/>
    <s v="NA"/>
    <x v="0"/>
    <s v="NA"/>
    <s v="NA"/>
    <s v="NA"/>
    <s v="NA"/>
    <x v="0"/>
  </r>
  <r>
    <s v="A1XGI8153WBWFQ"/>
    <x v="1"/>
    <n v="28"/>
    <s v="male"/>
    <x v="2"/>
    <x v="11"/>
    <n v="17918"/>
    <n v="0"/>
    <n v="1"/>
    <n v="0"/>
    <n v="0"/>
    <s v="Dentists D and E."/>
    <s v="Dentist E."/>
    <s v="Dentist F."/>
    <s v="ms-l"/>
    <s v="mo-l"/>
    <s v="fa"/>
    <n v="0"/>
    <x v="1"/>
    <x v="1"/>
    <n v="0"/>
    <n v="1"/>
    <n v="0"/>
    <n v="1"/>
    <n v="0"/>
    <n v="0"/>
    <x v="1"/>
    <n v="0"/>
    <n v="0"/>
    <n v="0"/>
    <n v="0"/>
    <x v="0"/>
  </r>
  <r>
    <s v="A1XGI8153WBWFQ"/>
    <x v="1"/>
    <n v="28"/>
    <s v="male"/>
    <x v="2"/>
    <x v="6"/>
    <n v="2482"/>
    <n v="0"/>
    <n v="1"/>
    <n v="0"/>
    <n v="0"/>
    <s v="Bookstores A and B."/>
    <s v="Bookstore E."/>
    <s v="Bookstore A."/>
    <s v="ms-h"/>
    <s v="mo-l"/>
    <s v="mo-h"/>
    <n v="0"/>
    <x v="2"/>
    <x v="1"/>
    <n v="1"/>
    <n v="0"/>
    <n v="0"/>
    <n v="1"/>
    <n v="0"/>
    <n v="0"/>
    <x v="1"/>
    <n v="0"/>
    <n v="0"/>
    <n v="0"/>
    <n v="0"/>
    <x v="0"/>
  </r>
  <r>
    <s v="A1XGI8153WBWFQ"/>
    <x v="1"/>
    <n v="28"/>
    <s v="male"/>
    <x v="3"/>
    <x v="8"/>
    <n v="5128"/>
    <n v="0"/>
    <n v="0"/>
    <n v="1"/>
    <n v="0"/>
    <s v="NA"/>
    <s v="NA"/>
    <s v="NA"/>
    <s v="NA"/>
    <s v="NA"/>
    <s v="NA"/>
    <s v="NA"/>
    <x v="2"/>
    <x v="1"/>
    <n v="1"/>
    <n v="0"/>
    <n v="0"/>
    <n v="1"/>
    <n v="0"/>
    <n v="0"/>
    <x v="1"/>
    <n v="0"/>
    <n v="0"/>
    <n v="0"/>
    <n v="0"/>
    <x v="0"/>
  </r>
  <r>
    <s v="A1XGI8153WBWFQ"/>
    <x v="1"/>
    <n v="28"/>
    <s v="male"/>
    <x v="2"/>
    <x v="4"/>
    <n v="2518"/>
    <n v="0"/>
    <n v="1"/>
    <n v="0"/>
    <n v="0"/>
    <s v="Stalls A, B, C, D and E."/>
    <s v="Stalls D and E."/>
    <s v="Stall A."/>
    <s v="exh"/>
    <s v="ms-l"/>
    <s v="mo-h"/>
    <n v="1"/>
    <x v="2"/>
    <x v="2"/>
    <n v="0"/>
    <n v="1"/>
    <n v="0"/>
    <n v="1"/>
    <n v="0"/>
    <n v="0"/>
    <x v="2"/>
    <n v="0"/>
    <n v="1"/>
    <n v="0"/>
    <n v="0"/>
    <x v="0"/>
  </r>
  <r>
    <s v="A1XGI8153WBWFQ"/>
    <x v="1"/>
    <n v="28"/>
    <s v="male"/>
    <x v="2"/>
    <x v="7"/>
    <n v="2536"/>
    <n v="0"/>
    <n v="0"/>
    <n v="1"/>
    <n v="0"/>
    <s v="Stylist E."/>
    <s v="Stylist F."/>
    <s v="Stylists D and E."/>
    <s v="mo-l"/>
    <s v="fa"/>
    <s v="ms-l"/>
    <n v="0"/>
    <x v="1"/>
    <x v="1"/>
    <n v="0"/>
    <n v="1"/>
    <n v="0"/>
    <n v="1"/>
    <n v="0"/>
    <n v="0"/>
    <x v="2"/>
    <n v="0"/>
    <n v="1"/>
    <n v="0"/>
    <n v="0"/>
    <x v="0"/>
  </r>
  <r>
    <s v="A1XGI8153WBWFQ"/>
    <x v="1"/>
    <n v="28"/>
    <s v="male"/>
    <x v="3"/>
    <x v="12"/>
    <n v="4576"/>
    <n v="0"/>
    <n v="0"/>
    <n v="1"/>
    <n v="0"/>
    <s v="NA"/>
    <s v="NA"/>
    <s v="NA"/>
    <s v="NA"/>
    <s v="NA"/>
    <s v="NA"/>
    <s v="NA"/>
    <x v="1"/>
    <x v="1"/>
    <n v="0"/>
    <n v="1"/>
    <n v="0"/>
    <n v="1"/>
    <n v="0"/>
    <n v="0"/>
    <x v="2"/>
    <n v="0"/>
    <n v="1"/>
    <n v="0"/>
    <n v="0"/>
    <x v="0"/>
  </r>
  <r>
    <s v="A1XGI8153WBWFQ"/>
    <x v="1"/>
    <n v="28"/>
    <s v="male"/>
    <x v="2"/>
    <x v="9"/>
    <n v="3846"/>
    <n v="0"/>
    <n v="1"/>
    <n v="0"/>
    <n v="0"/>
    <s v="Store A."/>
    <s v="Stores D and E."/>
    <s v="Store E."/>
    <s v="mo-h"/>
    <s v="ms-l"/>
    <s v="mo-l"/>
    <n v="0"/>
    <x v="2"/>
    <x v="1"/>
    <n v="0"/>
    <n v="1"/>
    <n v="0"/>
    <n v="1"/>
    <n v="0"/>
    <n v="0"/>
    <x v="2"/>
    <n v="0"/>
    <n v="1"/>
    <n v="0"/>
    <n v="0"/>
    <x v="0"/>
  </r>
  <r>
    <s v="A1XGI8153WBWFQ"/>
    <x v="1"/>
    <n v="28"/>
    <s v="male"/>
    <x v="3"/>
    <x v="5"/>
    <n v="2156"/>
    <n v="0"/>
    <n v="1"/>
    <n v="0"/>
    <n v="0"/>
    <s v="NA"/>
    <s v="NA"/>
    <s v="NA"/>
    <s v="NA"/>
    <s v="NA"/>
    <s v="NA"/>
    <s v="NA"/>
    <x v="2"/>
    <x v="1"/>
    <n v="0"/>
    <n v="1"/>
    <n v="0"/>
    <n v="1"/>
    <n v="0"/>
    <n v="0"/>
    <x v="2"/>
    <n v="0"/>
    <n v="1"/>
    <n v="0"/>
    <n v="0"/>
    <x v="0"/>
  </r>
  <r>
    <s v="A1XGI8153WBWFQ"/>
    <x v="1"/>
    <n v="28"/>
    <s v="male"/>
    <x v="2"/>
    <x v="3"/>
    <n v="2582"/>
    <n v="0"/>
    <n v="0"/>
    <n v="1"/>
    <n v="0"/>
    <s v="Cafes A and B."/>
    <s v="Cafe E."/>
    <s v="Cafes D and E."/>
    <s v="ms-h"/>
    <s v="mo-l"/>
    <s v="ms-l"/>
    <n v="0"/>
    <x v="1"/>
    <x v="1"/>
    <n v="1"/>
    <n v="1"/>
    <n v="0"/>
    <n v="1"/>
    <n v="0"/>
    <n v="0"/>
    <x v="2"/>
    <n v="0"/>
    <n v="1"/>
    <n v="0"/>
    <n v="0"/>
    <x v="0"/>
  </r>
  <r>
    <s v="A1XGI8153WBWFQ"/>
    <x v="1"/>
    <n v="28"/>
    <s v="male"/>
    <x v="3"/>
    <x v="10"/>
    <n v="2276"/>
    <n v="0"/>
    <n v="0"/>
    <n v="1"/>
    <n v="0"/>
    <s v="NA"/>
    <s v="NA"/>
    <s v="NA"/>
    <s v="NA"/>
    <s v="NA"/>
    <s v="NA"/>
    <s v="NA"/>
    <x v="1"/>
    <x v="1"/>
    <n v="1"/>
    <n v="1"/>
    <n v="0"/>
    <n v="1"/>
    <n v="0"/>
    <n v="0"/>
    <x v="2"/>
    <n v="0"/>
    <n v="1"/>
    <n v="0"/>
    <n v="0"/>
    <x v="0"/>
  </r>
  <r>
    <s v="A1XGI8153WBWFQ"/>
    <x v="1"/>
    <n v="28"/>
    <s v="male"/>
    <x v="4"/>
    <x v="0"/>
    <n v="44370"/>
    <s v="I would answer exactly the same way because the questions are similar"/>
    <s v="No%2C the task was easy."/>
    <s v="No comment."/>
    <s v="NA"/>
    <s v="NA"/>
    <s v="NA"/>
    <s v="NA"/>
    <s v="NA"/>
    <s v="NA"/>
    <s v="NA"/>
    <s v="NA"/>
    <x v="0"/>
    <x v="0"/>
    <s v="NA"/>
    <s v="NA"/>
    <s v="NA"/>
    <s v="NA"/>
    <s v="NA"/>
    <s v="NA"/>
    <x v="0"/>
    <s v="NA"/>
    <s v="NA"/>
    <s v="NA"/>
    <s v="NA"/>
    <x v="0"/>
  </r>
  <r>
    <s v="A14NSVH4W27CK0"/>
    <x v="0"/>
    <n v="28"/>
    <s v="male"/>
    <x v="0"/>
    <x v="0"/>
    <n v="55742"/>
    <s v="NA"/>
    <s v="NA"/>
    <s v="NA"/>
    <s v="NA"/>
    <s v="NA"/>
    <s v="NA"/>
    <s v="NA"/>
    <s v="NA"/>
    <s v="NA"/>
    <s v="NA"/>
    <s v="NA"/>
    <x v="0"/>
    <x v="0"/>
    <s v="NA"/>
    <s v="NA"/>
    <s v="NA"/>
    <s v="NA"/>
    <s v="NA"/>
    <s v="NA"/>
    <x v="0"/>
    <s v="NA"/>
    <s v="NA"/>
    <s v="NA"/>
    <s v="NA"/>
    <x v="0"/>
  </r>
  <r>
    <s v="A14NSVH4W27CK0"/>
    <x v="0"/>
    <n v="28"/>
    <s v="male"/>
    <x v="1"/>
    <x v="2"/>
    <n v="15274"/>
    <n v="0"/>
    <n v="1"/>
    <n v="0"/>
    <n v="0"/>
    <s v="NA"/>
    <s v="NA"/>
    <s v="NA"/>
    <s v="NA"/>
    <s v="NA"/>
    <s v="NA"/>
    <s v="NA"/>
    <x v="0"/>
    <x v="0"/>
    <s v="NA"/>
    <s v="NA"/>
    <s v="NA"/>
    <s v="NA"/>
    <s v="NA"/>
    <s v="NA"/>
    <x v="0"/>
    <s v="NA"/>
    <s v="NA"/>
    <s v="NA"/>
    <s v="NA"/>
    <x v="0"/>
  </r>
  <r>
    <s v="A14NSVH4W27CK0"/>
    <x v="0"/>
    <n v="28"/>
    <s v="male"/>
    <x v="1"/>
    <x v="1"/>
    <n v="6292"/>
    <n v="0"/>
    <n v="1"/>
    <n v="0"/>
    <n v="0"/>
    <s v="NA"/>
    <s v="NA"/>
    <s v="NA"/>
    <s v="NA"/>
    <s v="NA"/>
    <s v="NA"/>
    <s v="NA"/>
    <x v="0"/>
    <x v="0"/>
    <s v="NA"/>
    <s v="NA"/>
    <s v="NA"/>
    <s v="NA"/>
    <s v="NA"/>
    <s v="NA"/>
    <x v="0"/>
    <s v="NA"/>
    <s v="NA"/>
    <s v="NA"/>
    <s v="NA"/>
    <x v="0"/>
  </r>
  <r>
    <s v="A14NSVH4W27CK0"/>
    <x v="0"/>
    <n v="28"/>
    <s v="male"/>
    <x v="2"/>
    <x v="3"/>
    <n v="6092"/>
    <n v="0"/>
    <n v="0"/>
    <n v="1"/>
    <n v="0"/>
    <s v="Cafe E."/>
    <s v="Cafe F."/>
    <s v="Cafes A and B."/>
    <s v="mo-l"/>
    <s v="fa"/>
    <s v="ms-h"/>
    <n v="0"/>
    <x v="1"/>
    <x v="1"/>
    <n v="1"/>
    <n v="0"/>
    <n v="0"/>
    <n v="1"/>
    <n v="0"/>
    <n v="0"/>
    <x v="2"/>
    <n v="1"/>
    <n v="0"/>
    <n v="0"/>
    <n v="0"/>
    <x v="0"/>
  </r>
  <r>
    <s v="A14NSVH4W27CK0"/>
    <x v="0"/>
    <n v="28"/>
    <s v="male"/>
    <x v="2"/>
    <x v="9"/>
    <n v="4060"/>
    <n v="0"/>
    <n v="0"/>
    <n v="1"/>
    <n v="0"/>
    <s v="Store A."/>
    <s v="Stores A and B."/>
    <s v="Stores A, B, C, D and E."/>
    <s v="mo-h"/>
    <s v="ms-h"/>
    <s v="exh"/>
    <n v="1"/>
    <x v="2"/>
    <x v="2"/>
    <n v="1"/>
    <n v="0"/>
    <n v="0"/>
    <n v="1"/>
    <n v="1"/>
    <n v="0"/>
    <x v="2"/>
    <n v="0"/>
    <n v="0"/>
    <n v="0"/>
    <n v="0"/>
    <x v="0"/>
  </r>
  <r>
    <s v="A14NSVH4W27CK0"/>
    <x v="0"/>
    <n v="28"/>
    <s v="male"/>
    <x v="3"/>
    <x v="5"/>
    <n v="3460"/>
    <n v="0"/>
    <n v="0"/>
    <n v="1"/>
    <n v="0"/>
    <s v="NA"/>
    <s v="NA"/>
    <s v="NA"/>
    <s v="NA"/>
    <s v="NA"/>
    <s v="NA"/>
    <s v="NA"/>
    <x v="2"/>
    <x v="2"/>
    <n v="1"/>
    <n v="0"/>
    <n v="0"/>
    <n v="1"/>
    <n v="1"/>
    <n v="0"/>
    <x v="2"/>
    <n v="0"/>
    <n v="0"/>
    <n v="0"/>
    <n v="0"/>
    <x v="0"/>
  </r>
  <r>
    <s v="A14NSVH4W27CK0"/>
    <x v="0"/>
    <n v="28"/>
    <s v="male"/>
    <x v="2"/>
    <x v="4"/>
    <n v="4448"/>
    <n v="0"/>
    <n v="0"/>
    <n v="1"/>
    <n v="0"/>
    <s v="Stall A."/>
    <s v="Stall E."/>
    <s v="Stalls A and B."/>
    <s v="mo-h"/>
    <s v="mo-l"/>
    <s v="ms-h"/>
    <n v="0"/>
    <x v="2"/>
    <x v="1"/>
    <n v="1"/>
    <n v="0"/>
    <n v="0"/>
    <n v="1"/>
    <n v="0"/>
    <n v="0"/>
    <x v="2"/>
    <n v="1"/>
    <n v="0"/>
    <n v="0"/>
    <n v="0"/>
    <x v="0"/>
  </r>
  <r>
    <s v="A14NSVH4W27CK0"/>
    <x v="0"/>
    <n v="28"/>
    <s v="male"/>
    <x v="2"/>
    <x v="6"/>
    <n v="4500"/>
    <n v="0"/>
    <n v="1"/>
    <n v="0"/>
    <n v="0"/>
    <s v="Bookstore E."/>
    <s v="Bookstore F."/>
    <s v="Bookstores D and E."/>
    <s v="mo-l"/>
    <s v="fa"/>
    <s v="ms-l"/>
    <n v="0"/>
    <x v="1"/>
    <x v="1"/>
    <n v="0"/>
    <n v="1"/>
    <n v="0"/>
    <n v="1"/>
    <n v="0"/>
    <n v="0"/>
    <x v="2"/>
    <n v="0"/>
    <n v="0"/>
    <n v="0"/>
    <n v="0"/>
    <x v="0"/>
  </r>
  <r>
    <s v="A14NSVH4W27CK0"/>
    <x v="0"/>
    <n v="28"/>
    <s v="male"/>
    <x v="3"/>
    <x v="12"/>
    <n v="6292"/>
    <n v="0"/>
    <n v="1"/>
    <n v="0"/>
    <n v="0"/>
    <s v="NA"/>
    <s v="NA"/>
    <s v="NA"/>
    <s v="NA"/>
    <s v="NA"/>
    <s v="NA"/>
    <s v="NA"/>
    <x v="1"/>
    <x v="1"/>
    <n v="0"/>
    <n v="1"/>
    <n v="0"/>
    <n v="1"/>
    <n v="0"/>
    <n v="0"/>
    <x v="2"/>
    <n v="0"/>
    <n v="0"/>
    <n v="0"/>
    <n v="0"/>
    <x v="0"/>
  </r>
  <r>
    <s v="A14NSVH4W27CK0"/>
    <x v="0"/>
    <n v="28"/>
    <s v="male"/>
    <x v="2"/>
    <x v="7"/>
    <n v="3896"/>
    <n v="0"/>
    <n v="0"/>
    <n v="0"/>
    <n v="1"/>
    <s v="Stylist F."/>
    <s v="Stylists A and B."/>
    <s v="Stylists D and E."/>
    <s v="fa"/>
    <s v="ms-h"/>
    <s v="ms-l"/>
    <n v="0"/>
    <x v="1"/>
    <x v="2"/>
    <n v="1"/>
    <n v="1"/>
    <n v="0"/>
    <n v="1"/>
    <n v="0"/>
    <n v="0"/>
    <x v="2"/>
    <n v="0"/>
    <n v="0"/>
    <n v="0"/>
    <n v="1"/>
    <x v="0"/>
  </r>
  <r>
    <s v="A14NSVH4W27CK0"/>
    <x v="0"/>
    <n v="28"/>
    <s v="male"/>
    <x v="3"/>
    <x v="10"/>
    <n v="2450"/>
    <n v="0"/>
    <n v="1"/>
    <n v="0"/>
    <n v="0"/>
    <s v="NA"/>
    <s v="NA"/>
    <s v="NA"/>
    <s v="NA"/>
    <s v="NA"/>
    <s v="NA"/>
    <s v="NA"/>
    <x v="1"/>
    <x v="2"/>
    <n v="1"/>
    <n v="1"/>
    <n v="0"/>
    <n v="1"/>
    <n v="0"/>
    <n v="0"/>
    <x v="2"/>
    <n v="0"/>
    <n v="0"/>
    <n v="0"/>
    <n v="1"/>
    <x v="0"/>
  </r>
  <r>
    <s v="A14NSVH4W27CK0"/>
    <x v="0"/>
    <n v="28"/>
    <s v="male"/>
    <x v="2"/>
    <x v="11"/>
    <n v="3294"/>
    <n v="0"/>
    <n v="0"/>
    <n v="1"/>
    <n v="0"/>
    <s v="Dentists A, B, C, D and E."/>
    <s v="Dentist F."/>
    <s v="Dentist E."/>
    <s v="exh"/>
    <s v="fa"/>
    <s v="mo-l"/>
    <n v="1"/>
    <x v="1"/>
    <x v="1"/>
    <n v="0"/>
    <n v="0"/>
    <n v="0"/>
    <n v="1"/>
    <n v="0"/>
    <n v="0"/>
    <x v="1"/>
    <n v="0"/>
    <n v="0"/>
    <n v="0"/>
    <n v="0"/>
    <x v="0"/>
  </r>
  <r>
    <s v="A14NSVH4W27CK0"/>
    <x v="0"/>
    <n v="28"/>
    <s v="male"/>
    <x v="3"/>
    <x v="8"/>
    <n v="2278"/>
    <n v="0"/>
    <n v="0"/>
    <n v="0"/>
    <n v="1"/>
    <s v="NA"/>
    <s v="NA"/>
    <s v="NA"/>
    <s v="NA"/>
    <s v="NA"/>
    <s v="NA"/>
    <s v="NA"/>
    <x v="1"/>
    <x v="1"/>
    <n v="0"/>
    <n v="0"/>
    <n v="0"/>
    <n v="1"/>
    <n v="0"/>
    <n v="0"/>
    <x v="1"/>
    <n v="0"/>
    <n v="0"/>
    <n v="0"/>
    <n v="0"/>
    <x v="0"/>
  </r>
  <r>
    <s v="A14NSVH4W27CK0"/>
    <x v="0"/>
    <n v="28"/>
    <s v="male"/>
    <x v="4"/>
    <x v="0"/>
    <n v="65062"/>
    <s v="i would tell her to go to the parekway cafe down the street."/>
    <s v="no it was just long"/>
    <m/>
    <s v="NA"/>
    <s v="NA"/>
    <s v="NA"/>
    <s v="NA"/>
    <s v="NA"/>
    <s v="NA"/>
    <s v="NA"/>
    <s v="NA"/>
    <x v="0"/>
    <x v="0"/>
    <s v="NA"/>
    <s v="NA"/>
    <s v="NA"/>
    <s v="NA"/>
    <s v="NA"/>
    <s v="NA"/>
    <x v="0"/>
    <s v="NA"/>
    <s v="NA"/>
    <s v="NA"/>
    <s v="NA"/>
    <x v="0"/>
  </r>
  <r>
    <s v="ALDWVFR4I0V2D"/>
    <x v="0"/>
    <n v="28"/>
    <s v="male"/>
    <x v="0"/>
    <x v="0"/>
    <n v="17697"/>
    <s v="NA"/>
    <s v="NA"/>
    <s v="NA"/>
    <s v="NA"/>
    <s v="NA"/>
    <s v="NA"/>
    <s v="NA"/>
    <s v="NA"/>
    <s v="NA"/>
    <s v="NA"/>
    <s v="NA"/>
    <x v="0"/>
    <x v="0"/>
    <s v="NA"/>
    <s v="NA"/>
    <s v="NA"/>
    <s v="NA"/>
    <s v="NA"/>
    <s v="NA"/>
    <x v="0"/>
    <s v="NA"/>
    <s v="NA"/>
    <s v="NA"/>
    <s v="NA"/>
    <x v="0"/>
  </r>
  <r>
    <s v="ALDWVFR4I0V2D"/>
    <x v="0"/>
    <n v="28"/>
    <s v="male"/>
    <x v="1"/>
    <x v="2"/>
    <n v="18924"/>
    <n v="0"/>
    <n v="0"/>
    <n v="1"/>
    <n v="0"/>
    <s v="NA"/>
    <s v="NA"/>
    <s v="NA"/>
    <s v="NA"/>
    <s v="NA"/>
    <s v="NA"/>
    <s v="NA"/>
    <x v="0"/>
    <x v="0"/>
    <s v="NA"/>
    <s v="NA"/>
    <s v="NA"/>
    <s v="NA"/>
    <s v="NA"/>
    <s v="NA"/>
    <x v="0"/>
    <s v="NA"/>
    <s v="NA"/>
    <s v="NA"/>
    <s v="NA"/>
    <x v="0"/>
  </r>
  <r>
    <s v="ALDWVFR4I0V2D"/>
    <x v="0"/>
    <n v="28"/>
    <s v="male"/>
    <x v="1"/>
    <x v="1"/>
    <n v="18554"/>
    <n v="0"/>
    <n v="0"/>
    <n v="0"/>
    <n v="1"/>
    <s v="NA"/>
    <s v="NA"/>
    <s v="NA"/>
    <s v="NA"/>
    <s v="NA"/>
    <s v="NA"/>
    <s v="NA"/>
    <x v="0"/>
    <x v="0"/>
    <s v="NA"/>
    <s v="NA"/>
    <s v="NA"/>
    <s v="NA"/>
    <s v="NA"/>
    <s v="NA"/>
    <x v="0"/>
    <s v="NA"/>
    <s v="NA"/>
    <s v="NA"/>
    <s v="NA"/>
    <x v="0"/>
  </r>
  <r>
    <s v="ALDWVFR4I0V2D"/>
    <x v="0"/>
    <n v="28"/>
    <s v="male"/>
    <x v="2"/>
    <x v="6"/>
    <n v="45810"/>
    <n v="0"/>
    <n v="0"/>
    <n v="0"/>
    <n v="1"/>
    <s v="Bookstores A, B, C, D and E."/>
    <s v="Bookstores A and B."/>
    <s v="Bookstore E."/>
    <s v="exh"/>
    <s v="ms-h"/>
    <s v="mo-l"/>
    <n v="1"/>
    <x v="1"/>
    <x v="1"/>
    <n v="1"/>
    <n v="0"/>
    <n v="0"/>
    <n v="1"/>
    <n v="0"/>
    <n v="0"/>
    <x v="2"/>
    <n v="0"/>
    <n v="0"/>
    <n v="0"/>
    <n v="1"/>
    <x v="0"/>
  </r>
  <r>
    <s v="ALDWVFR4I0V2D"/>
    <x v="0"/>
    <n v="28"/>
    <s v="male"/>
    <x v="2"/>
    <x v="4"/>
    <n v="25469"/>
    <n v="0"/>
    <n v="1"/>
    <n v="1"/>
    <n v="0"/>
    <s v="Stalls D and E."/>
    <s v="Stall A."/>
    <s v="Stalls A, B, C, D and E."/>
    <s v="ms-l"/>
    <s v="mo-h"/>
    <s v="exh"/>
    <n v="1"/>
    <x v="2"/>
    <x v="2"/>
    <n v="0"/>
    <n v="1"/>
    <n v="0"/>
    <n v="1"/>
    <n v="1"/>
    <n v="1"/>
    <x v="2"/>
    <n v="0"/>
    <n v="0"/>
    <n v="0"/>
    <n v="0"/>
    <x v="0"/>
  </r>
  <r>
    <s v="ALDWVFR4I0V2D"/>
    <x v="0"/>
    <n v="28"/>
    <s v="male"/>
    <x v="3"/>
    <x v="12"/>
    <n v="12217"/>
    <n v="1"/>
    <n v="0"/>
    <n v="0"/>
    <n v="0"/>
    <s v="NA"/>
    <s v="NA"/>
    <s v="NA"/>
    <s v="NA"/>
    <s v="NA"/>
    <s v="NA"/>
    <s v="NA"/>
    <x v="2"/>
    <x v="2"/>
    <n v="0"/>
    <n v="1"/>
    <n v="0"/>
    <n v="1"/>
    <n v="1"/>
    <n v="1"/>
    <x v="2"/>
    <n v="0"/>
    <n v="0"/>
    <n v="0"/>
    <n v="0"/>
    <x v="0"/>
  </r>
  <r>
    <s v="ALDWVFR4I0V2D"/>
    <x v="0"/>
    <n v="28"/>
    <s v="male"/>
    <x v="2"/>
    <x v="9"/>
    <n v="11232"/>
    <n v="1"/>
    <n v="0"/>
    <n v="1"/>
    <n v="0"/>
    <s v="Store A."/>
    <s v="Store F."/>
    <s v="Stores A and B."/>
    <s v="mo-h"/>
    <s v="fa"/>
    <s v="ms-h"/>
    <n v="0"/>
    <x v="2"/>
    <x v="2"/>
    <n v="1"/>
    <n v="0"/>
    <n v="0"/>
    <n v="1"/>
    <n v="0"/>
    <n v="1"/>
    <x v="2"/>
    <n v="1"/>
    <n v="0"/>
    <n v="0"/>
    <n v="0"/>
    <x v="0"/>
  </r>
  <r>
    <s v="ALDWVFR4I0V2D"/>
    <x v="0"/>
    <n v="28"/>
    <s v="male"/>
    <x v="2"/>
    <x v="3"/>
    <n v="9523"/>
    <n v="1"/>
    <n v="0"/>
    <n v="0"/>
    <n v="0"/>
    <s v="Cafes A and B."/>
    <s v="Cafes D and E."/>
    <s v="Cafe E."/>
    <s v="ms-h"/>
    <s v="ms-l"/>
    <s v="mo-l"/>
    <n v="0"/>
    <x v="1"/>
    <x v="1"/>
    <n v="1"/>
    <n v="1"/>
    <n v="0"/>
    <n v="1"/>
    <n v="0"/>
    <n v="0"/>
    <x v="2"/>
    <n v="1"/>
    <n v="0"/>
    <n v="0"/>
    <n v="0"/>
    <x v="0"/>
  </r>
  <r>
    <s v="ALDWVFR4I0V2D"/>
    <x v="0"/>
    <n v="28"/>
    <s v="male"/>
    <x v="3"/>
    <x v="5"/>
    <n v="21280"/>
    <n v="0"/>
    <n v="1"/>
    <n v="1"/>
    <n v="0"/>
    <s v="NA"/>
    <s v="NA"/>
    <s v="NA"/>
    <s v="NA"/>
    <s v="NA"/>
    <s v="NA"/>
    <s v="NA"/>
    <x v="1"/>
    <x v="1"/>
    <n v="1"/>
    <n v="1"/>
    <n v="0"/>
    <n v="1"/>
    <n v="0"/>
    <n v="0"/>
    <x v="2"/>
    <n v="1"/>
    <n v="0"/>
    <n v="0"/>
    <n v="0"/>
    <x v="0"/>
  </r>
  <r>
    <s v="ALDWVFR4I0V2D"/>
    <x v="0"/>
    <n v="28"/>
    <s v="male"/>
    <x v="2"/>
    <x v="11"/>
    <n v="11403"/>
    <n v="0"/>
    <n v="0"/>
    <n v="0"/>
    <n v="1"/>
    <s v="Dentists A, B, C, D and E."/>
    <s v="Dentist E."/>
    <s v="Dentists D and E."/>
    <s v="exh"/>
    <s v="mo-l"/>
    <s v="ms-l"/>
    <n v="1"/>
    <x v="1"/>
    <x v="1"/>
    <n v="0"/>
    <n v="1"/>
    <n v="0"/>
    <n v="1"/>
    <n v="0"/>
    <n v="0"/>
    <x v="2"/>
    <n v="0"/>
    <n v="0"/>
    <n v="0"/>
    <n v="1"/>
    <x v="0"/>
  </r>
  <r>
    <s v="ALDWVFR4I0V2D"/>
    <x v="0"/>
    <n v="28"/>
    <s v="male"/>
    <x v="3"/>
    <x v="10"/>
    <n v="21071"/>
    <n v="0"/>
    <n v="0"/>
    <n v="1"/>
    <n v="0"/>
    <s v="NA"/>
    <s v="NA"/>
    <s v="NA"/>
    <s v="NA"/>
    <s v="NA"/>
    <s v="NA"/>
    <s v="NA"/>
    <x v="1"/>
    <x v="1"/>
    <n v="0"/>
    <n v="1"/>
    <n v="0"/>
    <n v="1"/>
    <n v="0"/>
    <n v="0"/>
    <x v="2"/>
    <n v="0"/>
    <n v="0"/>
    <n v="0"/>
    <n v="1"/>
    <x v="0"/>
  </r>
  <r>
    <s v="ALDWVFR4I0V2D"/>
    <x v="0"/>
    <n v="28"/>
    <s v="male"/>
    <x v="2"/>
    <x v="7"/>
    <n v="7119"/>
    <n v="1"/>
    <n v="0"/>
    <n v="0"/>
    <n v="0"/>
    <s v="Stylist A."/>
    <s v="Stylists A and B."/>
    <s v="Stylists D and E."/>
    <s v="mo-h"/>
    <s v="ms-h"/>
    <s v="ms-l"/>
    <n v="0"/>
    <x v="2"/>
    <x v="2"/>
    <n v="1"/>
    <n v="1"/>
    <n v="0"/>
    <n v="1"/>
    <n v="0"/>
    <n v="1"/>
    <x v="2"/>
    <n v="0"/>
    <n v="0"/>
    <n v="0"/>
    <n v="0"/>
    <x v="0"/>
  </r>
  <r>
    <s v="ALDWVFR4I0V2D"/>
    <x v="0"/>
    <n v="28"/>
    <s v="male"/>
    <x v="3"/>
    <x v="8"/>
    <n v="13465"/>
    <n v="1"/>
    <n v="0"/>
    <n v="0"/>
    <n v="0"/>
    <s v="NA"/>
    <s v="NA"/>
    <s v="NA"/>
    <s v="NA"/>
    <s v="NA"/>
    <s v="NA"/>
    <s v="NA"/>
    <x v="2"/>
    <x v="2"/>
    <n v="1"/>
    <n v="1"/>
    <n v="0"/>
    <n v="1"/>
    <n v="0"/>
    <n v="1"/>
    <x v="2"/>
    <n v="0"/>
    <n v="0"/>
    <n v="0"/>
    <n v="0"/>
    <x v="0"/>
  </r>
  <r>
    <s v="ALDWVFR4I0V2D"/>
    <x v="0"/>
    <n v="28"/>
    <s v="male"/>
    <x v="4"/>
    <x v="0"/>
    <n v="40274"/>
    <s v="No%2C because the two questions essentially ask the same thing."/>
    <s v="Not really since the sentences were clear. However%2C some of the rankings were ambiguous."/>
    <s v="No."/>
    <s v="NA"/>
    <s v="NA"/>
    <s v="NA"/>
    <s v="NA"/>
    <s v="NA"/>
    <s v="NA"/>
    <s v="NA"/>
    <s v="NA"/>
    <x v="0"/>
    <x v="0"/>
    <s v="NA"/>
    <s v="NA"/>
    <s v="NA"/>
    <s v="NA"/>
    <s v="NA"/>
    <s v="NA"/>
    <x v="0"/>
    <s v="NA"/>
    <s v="NA"/>
    <s v="NA"/>
    <s v="NA"/>
    <x v="0"/>
  </r>
  <r>
    <s v="A3GQR89E66AQJY"/>
    <x v="0"/>
    <n v="25"/>
    <s v="female"/>
    <x v="0"/>
    <x v="0"/>
    <n v="17161"/>
    <s v="NA"/>
    <s v="NA"/>
    <s v="NA"/>
    <s v="NA"/>
    <s v="NA"/>
    <s v="NA"/>
    <s v="NA"/>
    <s v="NA"/>
    <s v="NA"/>
    <s v="NA"/>
    <s v="NA"/>
    <x v="0"/>
    <x v="0"/>
    <s v="NA"/>
    <s v="NA"/>
    <s v="NA"/>
    <s v="NA"/>
    <s v="NA"/>
    <s v="NA"/>
    <x v="0"/>
    <s v="NA"/>
    <s v="NA"/>
    <s v="NA"/>
    <s v="NA"/>
    <x v="0"/>
  </r>
  <r>
    <s v="A3GQR89E66AQJY"/>
    <x v="0"/>
    <n v="25"/>
    <s v="female"/>
    <x v="1"/>
    <x v="2"/>
    <n v="33717"/>
    <n v="0"/>
    <n v="1"/>
    <n v="1"/>
    <n v="0"/>
    <s v="NA"/>
    <s v="NA"/>
    <s v="NA"/>
    <s v="NA"/>
    <s v="NA"/>
    <s v="NA"/>
    <s v="NA"/>
    <x v="0"/>
    <x v="0"/>
    <s v="NA"/>
    <s v="NA"/>
    <s v="NA"/>
    <s v="NA"/>
    <s v="NA"/>
    <s v="NA"/>
    <x v="0"/>
    <s v="NA"/>
    <s v="NA"/>
    <s v="NA"/>
    <s v="NA"/>
    <x v="0"/>
  </r>
  <r>
    <s v="A3GQR89E66AQJY"/>
    <x v="0"/>
    <n v="25"/>
    <s v="female"/>
    <x v="1"/>
    <x v="1"/>
    <n v="15820"/>
    <n v="0"/>
    <n v="0"/>
    <n v="0"/>
    <n v="1"/>
    <s v="NA"/>
    <s v="NA"/>
    <s v="NA"/>
    <s v="NA"/>
    <s v="NA"/>
    <s v="NA"/>
    <s v="NA"/>
    <x v="0"/>
    <x v="0"/>
    <s v="NA"/>
    <s v="NA"/>
    <s v="NA"/>
    <s v="NA"/>
    <s v="NA"/>
    <s v="NA"/>
    <x v="0"/>
    <s v="NA"/>
    <s v="NA"/>
    <s v="NA"/>
    <s v="NA"/>
    <x v="0"/>
  </r>
  <r>
    <s v="A3GQR89E66AQJY"/>
    <x v="0"/>
    <n v="25"/>
    <s v="female"/>
    <x v="2"/>
    <x v="4"/>
    <n v="27190"/>
    <n v="0"/>
    <n v="0"/>
    <n v="0"/>
    <n v="1"/>
    <s v="Stalls D and E."/>
    <s v="Stall A."/>
    <s v="Stalls A and B."/>
    <s v="ms-l"/>
    <s v="mo-h"/>
    <s v="ms-h"/>
    <n v="0"/>
    <x v="2"/>
    <x v="2"/>
    <n v="1"/>
    <n v="1"/>
    <n v="0"/>
    <n v="1"/>
    <n v="0"/>
    <n v="0"/>
    <x v="2"/>
    <n v="0"/>
    <n v="0"/>
    <n v="0"/>
    <n v="1"/>
    <x v="0"/>
  </r>
  <r>
    <s v="A3GQR89E66AQJY"/>
    <x v="0"/>
    <n v="25"/>
    <s v="female"/>
    <x v="2"/>
    <x v="6"/>
    <n v="11376"/>
    <n v="0"/>
    <n v="0"/>
    <n v="0"/>
    <n v="1"/>
    <s v="Bookstore A."/>
    <s v="Bookstore E."/>
    <s v="Bookstores D and E."/>
    <s v="mo-h"/>
    <s v="mo-l"/>
    <s v="ms-l"/>
    <n v="0"/>
    <x v="2"/>
    <x v="1"/>
    <n v="0"/>
    <n v="1"/>
    <n v="0"/>
    <n v="1"/>
    <n v="0"/>
    <n v="0"/>
    <x v="2"/>
    <n v="0"/>
    <n v="0"/>
    <n v="0"/>
    <n v="1"/>
    <x v="0"/>
  </r>
  <r>
    <s v="A3GQR89E66AQJY"/>
    <x v="0"/>
    <n v="25"/>
    <s v="female"/>
    <x v="3"/>
    <x v="8"/>
    <n v="12138"/>
    <n v="1"/>
    <n v="0"/>
    <n v="0"/>
    <n v="0"/>
    <s v="NA"/>
    <s v="NA"/>
    <s v="NA"/>
    <s v="NA"/>
    <s v="NA"/>
    <s v="NA"/>
    <s v="NA"/>
    <x v="2"/>
    <x v="1"/>
    <n v="0"/>
    <n v="1"/>
    <n v="0"/>
    <n v="1"/>
    <n v="0"/>
    <n v="0"/>
    <x v="2"/>
    <n v="0"/>
    <n v="0"/>
    <n v="0"/>
    <n v="1"/>
    <x v="0"/>
  </r>
  <r>
    <s v="A3GQR89E66AQJY"/>
    <x v="0"/>
    <n v="25"/>
    <s v="female"/>
    <x v="2"/>
    <x v="7"/>
    <n v="18504"/>
    <n v="0"/>
    <n v="1"/>
    <n v="0"/>
    <n v="0"/>
    <s v="Stylists A and B."/>
    <s v="Stylist A."/>
    <s v="Stylists D and E."/>
    <s v="ms-h"/>
    <s v="mo-h"/>
    <s v="ms-l"/>
    <n v="0"/>
    <x v="2"/>
    <x v="2"/>
    <n v="1"/>
    <n v="1"/>
    <n v="0"/>
    <n v="1"/>
    <n v="0"/>
    <n v="1"/>
    <x v="2"/>
    <n v="0"/>
    <n v="0"/>
    <n v="0"/>
    <n v="0"/>
    <x v="0"/>
  </r>
  <r>
    <s v="A3GQR89E66AQJY"/>
    <x v="0"/>
    <n v="25"/>
    <s v="female"/>
    <x v="3"/>
    <x v="5"/>
    <n v="9420"/>
    <n v="0"/>
    <n v="0"/>
    <n v="1"/>
    <n v="0"/>
    <s v="NA"/>
    <s v="NA"/>
    <s v="NA"/>
    <s v="NA"/>
    <s v="NA"/>
    <s v="NA"/>
    <s v="NA"/>
    <x v="2"/>
    <x v="2"/>
    <n v="1"/>
    <n v="1"/>
    <n v="0"/>
    <n v="1"/>
    <n v="0"/>
    <n v="1"/>
    <x v="2"/>
    <n v="0"/>
    <n v="0"/>
    <n v="0"/>
    <n v="0"/>
    <x v="0"/>
  </r>
  <r>
    <s v="A3GQR89E66AQJY"/>
    <x v="0"/>
    <n v="25"/>
    <s v="female"/>
    <x v="2"/>
    <x v="11"/>
    <n v="11161"/>
    <n v="0"/>
    <n v="0"/>
    <n v="0"/>
    <n v="1"/>
    <s v="Dentist E."/>
    <s v="Dentists A and B."/>
    <s v="Dentist A."/>
    <s v="mo-l"/>
    <s v="ms-h"/>
    <s v="mo-h"/>
    <n v="0"/>
    <x v="2"/>
    <x v="1"/>
    <n v="1"/>
    <n v="0"/>
    <n v="0"/>
    <n v="1"/>
    <n v="0"/>
    <n v="0"/>
    <x v="2"/>
    <n v="0"/>
    <n v="0"/>
    <n v="0"/>
    <n v="1"/>
    <x v="0"/>
  </r>
  <r>
    <s v="A3GQR89E66AQJY"/>
    <x v="0"/>
    <n v="25"/>
    <s v="female"/>
    <x v="2"/>
    <x v="3"/>
    <n v="9361"/>
    <n v="0"/>
    <n v="0"/>
    <n v="0"/>
    <n v="1"/>
    <s v="Cafe E."/>
    <s v="Cafe A."/>
    <s v="Cafes A, B, C, D and E."/>
    <s v="mo-l"/>
    <s v="mo-h"/>
    <s v="exh"/>
    <n v="1"/>
    <x v="2"/>
    <x v="1"/>
    <n v="0"/>
    <n v="0"/>
    <n v="0"/>
    <n v="1"/>
    <n v="0"/>
    <n v="0"/>
    <x v="2"/>
    <n v="0"/>
    <n v="0"/>
    <n v="0"/>
    <n v="1"/>
    <x v="0"/>
  </r>
  <r>
    <s v="A3GQR89E66AQJY"/>
    <x v="0"/>
    <n v="25"/>
    <s v="female"/>
    <x v="3"/>
    <x v="12"/>
    <n v="6952"/>
    <n v="0"/>
    <n v="1"/>
    <n v="0"/>
    <n v="0"/>
    <s v="NA"/>
    <s v="NA"/>
    <s v="NA"/>
    <s v="NA"/>
    <s v="NA"/>
    <s v="NA"/>
    <s v="NA"/>
    <x v="2"/>
    <x v="1"/>
    <n v="0"/>
    <n v="0"/>
    <n v="0"/>
    <n v="1"/>
    <n v="0"/>
    <n v="0"/>
    <x v="2"/>
    <n v="0"/>
    <n v="0"/>
    <n v="0"/>
    <n v="1"/>
    <x v="0"/>
  </r>
  <r>
    <s v="A3GQR89E66AQJY"/>
    <x v="0"/>
    <n v="25"/>
    <s v="female"/>
    <x v="2"/>
    <x v="9"/>
    <n v="9280"/>
    <n v="0"/>
    <n v="1"/>
    <n v="0"/>
    <n v="0"/>
    <s v="Store E."/>
    <s v="Stores D and E."/>
    <s v="Stores A and B."/>
    <s v="mo-l"/>
    <s v="ms-l"/>
    <s v="ms-h"/>
    <n v="0"/>
    <x v="1"/>
    <x v="1"/>
    <n v="1"/>
    <n v="1"/>
    <n v="0"/>
    <n v="1"/>
    <n v="0"/>
    <n v="0"/>
    <x v="2"/>
    <n v="0"/>
    <n v="1"/>
    <n v="0"/>
    <n v="0"/>
    <x v="0"/>
  </r>
  <r>
    <s v="A3GQR89E66AQJY"/>
    <x v="0"/>
    <n v="25"/>
    <s v="female"/>
    <x v="3"/>
    <x v="10"/>
    <n v="18440"/>
    <n v="0"/>
    <n v="1"/>
    <n v="1"/>
    <n v="0"/>
    <s v="NA"/>
    <s v="NA"/>
    <s v="NA"/>
    <s v="NA"/>
    <s v="NA"/>
    <s v="NA"/>
    <s v="NA"/>
    <x v="1"/>
    <x v="1"/>
    <n v="1"/>
    <n v="1"/>
    <n v="0"/>
    <n v="1"/>
    <n v="0"/>
    <n v="0"/>
    <x v="2"/>
    <n v="0"/>
    <n v="1"/>
    <n v="0"/>
    <n v="0"/>
    <x v="0"/>
  </r>
  <r>
    <s v="A3GQR89E66AQJY"/>
    <x v="0"/>
    <n v="25"/>
    <s v="female"/>
    <x v="4"/>
    <x v="0"/>
    <n v="96190"/>
    <s v="No%2C I would answer the same. Even though it's worded differently%2C it's asking the same thing."/>
    <s v="Yes - I often didn't see any difference in the answers and many were just too vague."/>
    <s v="No - thank you!"/>
    <s v="NA"/>
    <s v="NA"/>
    <s v="NA"/>
    <s v="NA"/>
    <s v="NA"/>
    <s v="NA"/>
    <s v="NA"/>
    <s v="NA"/>
    <x v="0"/>
    <x v="0"/>
    <s v="NA"/>
    <s v="NA"/>
    <s v="NA"/>
    <s v="NA"/>
    <s v="NA"/>
    <s v="NA"/>
    <x v="0"/>
    <s v="NA"/>
    <s v="NA"/>
    <s v="NA"/>
    <s v="NA"/>
    <x v="0"/>
  </r>
  <r>
    <s v="A25ZLJK1VMAXXQ"/>
    <x v="0"/>
    <n v="25"/>
    <s v="male"/>
    <x v="0"/>
    <x v="0"/>
    <n v="32833"/>
    <s v="NA"/>
    <s v="NA"/>
    <s v="NA"/>
    <s v="NA"/>
    <s v="NA"/>
    <s v="NA"/>
    <s v="NA"/>
    <s v="NA"/>
    <s v="NA"/>
    <s v="NA"/>
    <s v="NA"/>
    <x v="0"/>
    <x v="0"/>
    <s v="NA"/>
    <s v="NA"/>
    <s v="NA"/>
    <s v="NA"/>
    <s v="NA"/>
    <s v="NA"/>
    <x v="0"/>
    <s v="NA"/>
    <s v="NA"/>
    <s v="NA"/>
    <s v="NA"/>
    <x v="0"/>
  </r>
  <r>
    <s v="A25ZLJK1VMAXXQ"/>
    <x v="0"/>
    <n v="25"/>
    <s v="male"/>
    <x v="1"/>
    <x v="1"/>
    <n v="16114"/>
    <n v="0"/>
    <n v="0"/>
    <n v="0"/>
    <n v="1"/>
    <s v="NA"/>
    <s v="NA"/>
    <s v="NA"/>
    <s v="NA"/>
    <s v="NA"/>
    <s v="NA"/>
    <s v="NA"/>
    <x v="0"/>
    <x v="0"/>
    <s v="NA"/>
    <s v="NA"/>
    <s v="NA"/>
    <s v="NA"/>
    <s v="NA"/>
    <s v="NA"/>
    <x v="0"/>
    <s v="NA"/>
    <s v="NA"/>
    <s v="NA"/>
    <s v="NA"/>
    <x v="0"/>
  </r>
  <r>
    <s v="A25ZLJK1VMAXXQ"/>
    <x v="0"/>
    <n v="25"/>
    <s v="male"/>
    <x v="1"/>
    <x v="2"/>
    <n v="29721"/>
    <n v="0"/>
    <n v="1"/>
    <n v="1"/>
    <n v="0"/>
    <s v="NA"/>
    <s v="NA"/>
    <s v="NA"/>
    <s v="NA"/>
    <s v="NA"/>
    <s v="NA"/>
    <s v="NA"/>
    <x v="0"/>
    <x v="0"/>
    <s v="NA"/>
    <s v="NA"/>
    <s v="NA"/>
    <s v="NA"/>
    <s v="NA"/>
    <s v="NA"/>
    <x v="0"/>
    <s v="NA"/>
    <s v="NA"/>
    <s v="NA"/>
    <s v="NA"/>
    <x v="0"/>
  </r>
  <r>
    <s v="A25ZLJK1VMAXXQ"/>
    <x v="0"/>
    <n v="25"/>
    <s v="male"/>
    <x v="2"/>
    <x v="4"/>
    <n v="27427"/>
    <n v="1"/>
    <n v="1"/>
    <n v="1"/>
    <n v="0"/>
    <s v="Stalls A, B, C, D and E."/>
    <s v="Stalls D and E."/>
    <s v="Stalls A and B."/>
    <s v="exh"/>
    <s v="ms-l"/>
    <s v="ms-h"/>
    <n v="1"/>
    <x v="1"/>
    <x v="2"/>
    <n v="1"/>
    <n v="1"/>
    <n v="0"/>
    <n v="1"/>
    <n v="1"/>
    <n v="0"/>
    <x v="2"/>
    <n v="1"/>
    <n v="1"/>
    <n v="0"/>
    <n v="0"/>
    <x v="0"/>
  </r>
  <r>
    <s v="A25ZLJK1VMAXXQ"/>
    <x v="0"/>
    <n v="25"/>
    <s v="male"/>
    <x v="2"/>
    <x v="11"/>
    <n v="13791"/>
    <n v="0"/>
    <n v="0"/>
    <n v="0"/>
    <n v="1"/>
    <s v="Dentist E."/>
    <s v="Dentist F."/>
    <s v="Dentist A."/>
    <s v="mo-l"/>
    <s v="fa"/>
    <s v="mo-h"/>
    <n v="0"/>
    <x v="2"/>
    <x v="1"/>
    <n v="0"/>
    <n v="0"/>
    <n v="0"/>
    <n v="1"/>
    <n v="0"/>
    <n v="0"/>
    <x v="2"/>
    <n v="0"/>
    <n v="0"/>
    <n v="0"/>
    <n v="1"/>
    <x v="0"/>
  </r>
  <r>
    <s v="A25ZLJK1VMAXXQ"/>
    <x v="0"/>
    <n v="25"/>
    <s v="male"/>
    <x v="3"/>
    <x v="10"/>
    <n v="12857"/>
    <n v="1"/>
    <n v="1"/>
    <n v="1"/>
    <n v="0"/>
    <s v="NA"/>
    <s v="NA"/>
    <s v="NA"/>
    <s v="NA"/>
    <s v="NA"/>
    <s v="NA"/>
    <s v="NA"/>
    <x v="2"/>
    <x v="1"/>
    <n v="0"/>
    <n v="0"/>
    <n v="0"/>
    <n v="1"/>
    <n v="0"/>
    <n v="0"/>
    <x v="2"/>
    <n v="0"/>
    <n v="0"/>
    <n v="0"/>
    <n v="1"/>
    <x v="0"/>
  </r>
  <r>
    <s v="A25ZLJK1VMAXXQ"/>
    <x v="0"/>
    <n v="25"/>
    <s v="male"/>
    <x v="2"/>
    <x v="9"/>
    <n v="8321"/>
    <n v="0"/>
    <n v="0"/>
    <n v="0"/>
    <n v="1"/>
    <s v="Stores D and E."/>
    <s v="Store E."/>
    <s v="Store A."/>
    <s v="ms-l"/>
    <s v="mo-l"/>
    <s v="mo-h"/>
    <n v="0"/>
    <x v="2"/>
    <x v="1"/>
    <n v="0"/>
    <n v="1"/>
    <n v="0"/>
    <n v="1"/>
    <n v="0"/>
    <n v="0"/>
    <x v="2"/>
    <n v="0"/>
    <n v="0"/>
    <n v="0"/>
    <n v="1"/>
    <x v="0"/>
  </r>
  <r>
    <s v="A25ZLJK1VMAXXQ"/>
    <x v="0"/>
    <n v="25"/>
    <s v="male"/>
    <x v="3"/>
    <x v="5"/>
    <n v="28626"/>
    <n v="1"/>
    <n v="1"/>
    <n v="1"/>
    <n v="0"/>
    <s v="NA"/>
    <s v="NA"/>
    <s v="NA"/>
    <s v="NA"/>
    <s v="NA"/>
    <s v="NA"/>
    <s v="NA"/>
    <x v="2"/>
    <x v="1"/>
    <n v="0"/>
    <n v="1"/>
    <n v="0"/>
    <n v="1"/>
    <n v="0"/>
    <n v="0"/>
    <x v="2"/>
    <n v="0"/>
    <n v="0"/>
    <n v="0"/>
    <n v="1"/>
    <x v="0"/>
  </r>
  <r>
    <s v="A25ZLJK1VMAXXQ"/>
    <x v="0"/>
    <n v="25"/>
    <s v="male"/>
    <x v="2"/>
    <x v="7"/>
    <n v="28744"/>
    <n v="0"/>
    <n v="0"/>
    <n v="0"/>
    <n v="1"/>
    <s v="Stylists D and E."/>
    <s v="Stylist A."/>
    <s v="Stylist E."/>
    <s v="ms-l"/>
    <s v="mo-h"/>
    <s v="mo-l"/>
    <n v="0"/>
    <x v="2"/>
    <x v="1"/>
    <n v="0"/>
    <n v="1"/>
    <n v="0"/>
    <n v="1"/>
    <n v="0"/>
    <n v="0"/>
    <x v="2"/>
    <n v="0"/>
    <n v="0"/>
    <n v="0"/>
    <n v="1"/>
    <x v="0"/>
  </r>
  <r>
    <s v="A25ZLJK1VMAXXQ"/>
    <x v="0"/>
    <n v="25"/>
    <s v="male"/>
    <x v="2"/>
    <x v="6"/>
    <n v="8435"/>
    <n v="1"/>
    <n v="0"/>
    <n v="0"/>
    <n v="0"/>
    <s v="Bookstore A."/>
    <s v="Bookstores A and B."/>
    <s v="Bookstores A, B, C, D and E."/>
    <s v="mo-h"/>
    <s v="ms-h"/>
    <s v="exh"/>
    <n v="1"/>
    <x v="2"/>
    <x v="2"/>
    <n v="1"/>
    <n v="0"/>
    <n v="0"/>
    <n v="1"/>
    <n v="0"/>
    <n v="1"/>
    <x v="2"/>
    <n v="0"/>
    <n v="0"/>
    <n v="0"/>
    <n v="0"/>
    <x v="0"/>
  </r>
  <r>
    <s v="A25ZLJK1VMAXXQ"/>
    <x v="0"/>
    <n v="25"/>
    <s v="male"/>
    <x v="3"/>
    <x v="12"/>
    <n v="17082"/>
    <n v="1"/>
    <n v="0"/>
    <n v="0"/>
    <n v="0"/>
    <s v="NA"/>
    <s v="NA"/>
    <s v="NA"/>
    <s v="NA"/>
    <s v="NA"/>
    <s v="NA"/>
    <s v="NA"/>
    <x v="2"/>
    <x v="2"/>
    <n v="1"/>
    <n v="0"/>
    <n v="0"/>
    <n v="1"/>
    <n v="0"/>
    <n v="1"/>
    <x v="2"/>
    <n v="0"/>
    <n v="0"/>
    <n v="0"/>
    <n v="0"/>
    <x v="0"/>
  </r>
  <r>
    <s v="A25ZLJK1VMAXXQ"/>
    <x v="0"/>
    <n v="25"/>
    <s v="male"/>
    <x v="2"/>
    <x v="3"/>
    <n v="12669"/>
    <n v="0"/>
    <n v="0"/>
    <n v="0"/>
    <n v="1"/>
    <s v="Cafes D and E."/>
    <s v="Cafes A and B."/>
    <s v="Cafes A, B, C, D and E."/>
    <s v="ms-l"/>
    <s v="ms-h"/>
    <s v="exh"/>
    <n v="1"/>
    <x v="1"/>
    <x v="2"/>
    <n v="1"/>
    <n v="1"/>
    <n v="0"/>
    <n v="1"/>
    <n v="0"/>
    <n v="0"/>
    <x v="2"/>
    <n v="0"/>
    <n v="0"/>
    <n v="0"/>
    <n v="1"/>
    <x v="0"/>
  </r>
  <r>
    <s v="A25ZLJK1VMAXXQ"/>
    <x v="0"/>
    <n v="25"/>
    <s v="male"/>
    <x v="3"/>
    <x v="8"/>
    <n v="14686"/>
    <n v="1"/>
    <n v="1"/>
    <n v="0"/>
    <n v="0"/>
    <s v="NA"/>
    <s v="NA"/>
    <s v="NA"/>
    <s v="NA"/>
    <s v="NA"/>
    <s v="NA"/>
    <s v="NA"/>
    <x v="1"/>
    <x v="2"/>
    <n v="1"/>
    <n v="1"/>
    <n v="0"/>
    <n v="1"/>
    <n v="0"/>
    <n v="0"/>
    <x v="2"/>
    <n v="0"/>
    <n v="0"/>
    <n v="0"/>
    <n v="1"/>
    <x v="0"/>
  </r>
  <r>
    <s v="A25ZLJK1VMAXXQ"/>
    <x v="0"/>
    <n v="25"/>
    <s v="male"/>
    <x v="4"/>
    <x v="0"/>
    <n v="35912"/>
    <s v="No%2C because I would pick my favorite restaurants to recommend to the person."/>
    <s v="No%2C because it's a lot of common sense."/>
    <s v="This was a fun and unique study. "/>
    <s v="NA"/>
    <s v="NA"/>
    <s v="NA"/>
    <s v="NA"/>
    <s v="NA"/>
    <s v="NA"/>
    <s v="NA"/>
    <s v="NA"/>
    <x v="0"/>
    <x v="0"/>
    <s v="NA"/>
    <s v="NA"/>
    <s v="NA"/>
    <s v="NA"/>
    <s v="NA"/>
    <s v="NA"/>
    <x v="0"/>
    <s v="NA"/>
    <s v="NA"/>
    <s v="NA"/>
    <s v="NA"/>
    <x v="0"/>
  </r>
  <r>
    <s v="A2791MEBSOAD1U"/>
    <x v="0"/>
    <n v="35"/>
    <s v="female"/>
    <x v="0"/>
    <x v="0"/>
    <n v="27808"/>
    <s v="NA"/>
    <s v="NA"/>
    <s v="NA"/>
    <s v="NA"/>
    <s v="NA"/>
    <s v="NA"/>
    <s v="NA"/>
    <s v="NA"/>
    <s v="NA"/>
    <s v="NA"/>
    <s v="NA"/>
    <x v="0"/>
    <x v="0"/>
    <s v="NA"/>
    <s v="NA"/>
    <s v="NA"/>
    <s v="NA"/>
    <s v="NA"/>
    <s v="NA"/>
    <x v="0"/>
    <s v="NA"/>
    <s v="NA"/>
    <s v="NA"/>
    <s v="NA"/>
    <x v="0"/>
  </r>
  <r>
    <s v="A2791MEBSOAD1U"/>
    <x v="0"/>
    <n v="35"/>
    <s v="female"/>
    <x v="1"/>
    <x v="1"/>
    <n v="32499"/>
    <n v="0"/>
    <n v="0"/>
    <n v="0"/>
    <n v="1"/>
    <s v="NA"/>
    <s v="NA"/>
    <s v="NA"/>
    <s v="NA"/>
    <s v="NA"/>
    <s v="NA"/>
    <s v="NA"/>
    <x v="0"/>
    <x v="0"/>
    <s v="NA"/>
    <s v="NA"/>
    <s v="NA"/>
    <s v="NA"/>
    <s v="NA"/>
    <s v="NA"/>
    <x v="0"/>
    <s v="NA"/>
    <s v="NA"/>
    <s v="NA"/>
    <s v="NA"/>
    <x v="0"/>
  </r>
  <r>
    <s v="A2791MEBSOAD1U"/>
    <x v="0"/>
    <n v="35"/>
    <s v="female"/>
    <x v="1"/>
    <x v="2"/>
    <n v="39703"/>
    <n v="0"/>
    <n v="0"/>
    <n v="0"/>
    <n v="1"/>
    <s v="NA"/>
    <s v="NA"/>
    <s v="NA"/>
    <s v="NA"/>
    <s v="NA"/>
    <s v="NA"/>
    <s v="NA"/>
    <x v="0"/>
    <x v="0"/>
    <s v="NA"/>
    <s v="NA"/>
    <s v="NA"/>
    <s v="NA"/>
    <s v="NA"/>
    <s v="NA"/>
    <x v="0"/>
    <s v="NA"/>
    <s v="NA"/>
    <s v="NA"/>
    <s v="NA"/>
    <x v="0"/>
  </r>
  <r>
    <s v="A2791MEBSOAD1U"/>
    <x v="0"/>
    <n v="35"/>
    <s v="female"/>
    <x v="2"/>
    <x v="4"/>
    <n v="38375"/>
    <n v="0"/>
    <n v="0"/>
    <n v="1"/>
    <n v="0"/>
    <s v="Stalls A and B."/>
    <s v="Stalls D and E."/>
    <s v="Stalls A, B, C, D and E."/>
    <s v="ms-h"/>
    <s v="ms-l"/>
    <s v="exh"/>
    <n v="1"/>
    <x v="1"/>
    <x v="2"/>
    <n v="1"/>
    <n v="1"/>
    <n v="0"/>
    <n v="1"/>
    <n v="1"/>
    <n v="0"/>
    <x v="2"/>
    <n v="0"/>
    <n v="0"/>
    <n v="0"/>
    <n v="0"/>
    <x v="0"/>
  </r>
  <r>
    <s v="A2791MEBSOAD1U"/>
    <x v="0"/>
    <n v="35"/>
    <s v="female"/>
    <x v="2"/>
    <x v="6"/>
    <n v="23002"/>
    <n v="0"/>
    <n v="1"/>
    <n v="0"/>
    <n v="0"/>
    <s v="Bookstores D and E."/>
    <s v="Bookstores A and B."/>
    <s v="Bookstore A."/>
    <s v="ms-l"/>
    <s v="ms-h"/>
    <s v="mo-h"/>
    <n v="0"/>
    <x v="2"/>
    <x v="2"/>
    <n v="1"/>
    <n v="1"/>
    <n v="0"/>
    <n v="1"/>
    <n v="0"/>
    <n v="0"/>
    <x v="2"/>
    <n v="1"/>
    <n v="0"/>
    <n v="0"/>
    <n v="0"/>
    <x v="0"/>
  </r>
  <r>
    <s v="A2791MEBSOAD1U"/>
    <x v="0"/>
    <n v="35"/>
    <s v="female"/>
    <x v="3"/>
    <x v="5"/>
    <n v="25538"/>
    <n v="0"/>
    <n v="0"/>
    <n v="1"/>
    <n v="0"/>
    <s v="NA"/>
    <s v="NA"/>
    <s v="NA"/>
    <s v="NA"/>
    <s v="NA"/>
    <s v="NA"/>
    <s v="NA"/>
    <x v="2"/>
    <x v="2"/>
    <n v="1"/>
    <n v="1"/>
    <n v="0"/>
    <n v="1"/>
    <n v="0"/>
    <n v="0"/>
    <x v="2"/>
    <n v="1"/>
    <n v="0"/>
    <n v="0"/>
    <n v="0"/>
    <x v="0"/>
  </r>
  <r>
    <s v="A2791MEBSOAD1U"/>
    <x v="0"/>
    <n v="35"/>
    <s v="female"/>
    <x v="2"/>
    <x v="11"/>
    <n v="23822"/>
    <n v="0"/>
    <n v="0"/>
    <n v="0"/>
    <n v="1"/>
    <s v="Dentists D and E."/>
    <s v="Dentist F."/>
    <s v="Dentist A."/>
    <s v="ms-l"/>
    <s v="fa"/>
    <s v="mo-h"/>
    <n v="0"/>
    <x v="2"/>
    <x v="2"/>
    <n v="0"/>
    <n v="1"/>
    <n v="0"/>
    <n v="1"/>
    <n v="0"/>
    <n v="0"/>
    <x v="2"/>
    <n v="0"/>
    <n v="0"/>
    <n v="0"/>
    <n v="1"/>
    <x v="0"/>
  </r>
  <r>
    <s v="A2791MEBSOAD1U"/>
    <x v="0"/>
    <n v="35"/>
    <s v="female"/>
    <x v="2"/>
    <x v="9"/>
    <n v="13085"/>
    <n v="1"/>
    <n v="0"/>
    <n v="0"/>
    <n v="0"/>
    <s v="Store A."/>
    <s v="Stores A and B."/>
    <s v="Store F."/>
    <s v="mo-h"/>
    <s v="ms-h"/>
    <s v="fa"/>
    <n v="0"/>
    <x v="2"/>
    <x v="2"/>
    <n v="1"/>
    <n v="0"/>
    <n v="0"/>
    <n v="1"/>
    <n v="0"/>
    <n v="1"/>
    <x v="2"/>
    <n v="0"/>
    <n v="0"/>
    <n v="0"/>
    <n v="0"/>
    <x v="0"/>
  </r>
  <r>
    <s v="A2791MEBSOAD1U"/>
    <x v="0"/>
    <n v="35"/>
    <s v="female"/>
    <x v="3"/>
    <x v="12"/>
    <n v="17100"/>
    <n v="0"/>
    <n v="1"/>
    <n v="0"/>
    <n v="0"/>
    <s v="NA"/>
    <s v="NA"/>
    <s v="NA"/>
    <s v="NA"/>
    <s v="NA"/>
    <s v="NA"/>
    <s v="NA"/>
    <x v="2"/>
    <x v="2"/>
    <n v="1"/>
    <n v="0"/>
    <n v="0"/>
    <n v="1"/>
    <n v="0"/>
    <n v="1"/>
    <x v="2"/>
    <n v="0"/>
    <n v="0"/>
    <n v="0"/>
    <n v="0"/>
    <x v="0"/>
  </r>
  <r>
    <s v="A2791MEBSOAD1U"/>
    <x v="0"/>
    <n v="35"/>
    <s v="female"/>
    <x v="2"/>
    <x v="3"/>
    <n v="8430"/>
    <n v="0"/>
    <n v="0"/>
    <n v="1"/>
    <n v="0"/>
    <s v="Cafe E."/>
    <s v="Cafes D and E."/>
    <s v="Cafe A."/>
    <s v="mo-l"/>
    <s v="ms-l"/>
    <s v="mo-h"/>
    <n v="0"/>
    <x v="2"/>
    <x v="1"/>
    <n v="0"/>
    <n v="1"/>
    <n v="0"/>
    <n v="1"/>
    <n v="0"/>
    <n v="1"/>
    <x v="2"/>
    <n v="0"/>
    <n v="0"/>
    <n v="0"/>
    <n v="0"/>
    <x v="0"/>
  </r>
  <r>
    <s v="A2791MEBSOAD1U"/>
    <x v="0"/>
    <n v="35"/>
    <s v="female"/>
    <x v="3"/>
    <x v="8"/>
    <n v="16347"/>
    <n v="1"/>
    <n v="0"/>
    <n v="0"/>
    <n v="0"/>
    <s v="NA"/>
    <s v="NA"/>
    <s v="NA"/>
    <s v="NA"/>
    <s v="NA"/>
    <s v="NA"/>
    <s v="NA"/>
    <x v="2"/>
    <x v="1"/>
    <n v="0"/>
    <n v="1"/>
    <n v="0"/>
    <n v="1"/>
    <n v="0"/>
    <n v="1"/>
    <x v="2"/>
    <n v="0"/>
    <n v="0"/>
    <n v="0"/>
    <n v="0"/>
    <x v="0"/>
  </r>
  <r>
    <s v="A2791MEBSOAD1U"/>
    <x v="0"/>
    <n v="35"/>
    <s v="female"/>
    <x v="2"/>
    <x v="7"/>
    <n v="13747"/>
    <n v="0"/>
    <n v="1"/>
    <n v="0"/>
    <n v="0"/>
    <s v="Stylist F."/>
    <s v="Stylists A, B, C, D and E."/>
    <s v="Stylists D and E."/>
    <s v="fa"/>
    <s v="exh"/>
    <s v="ms-l"/>
    <n v="1"/>
    <x v="1"/>
    <x v="2"/>
    <n v="0"/>
    <n v="1"/>
    <n v="0"/>
    <n v="1"/>
    <n v="1"/>
    <n v="0"/>
    <x v="2"/>
    <n v="0"/>
    <n v="0"/>
    <n v="0"/>
    <n v="0"/>
    <x v="0"/>
  </r>
  <r>
    <s v="A2791MEBSOAD1U"/>
    <x v="0"/>
    <n v="35"/>
    <s v="female"/>
    <x v="3"/>
    <x v="10"/>
    <n v="39282"/>
    <n v="0"/>
    <n v="0"/>
    <n v="1"/>
    <n v="0"/>
    <s v="NA"/>
    <s v="NA"/>
    <s v="NA"/>
    <s v="NA"/>
    <s v="NA"/>
    <s v="NA"/>
    <s v="NA"/>
    <x v="1"/>
    <x v="2"/>
    <n v="0"/>
    <n v="1"/>
    <n v="0"/>
    <n v="1"/>
    <n v="1"/>
    <n v="0"/>
    <x v="2"/>
    <n v="0"/>
    <n v="0"/>
    <n v="0"/>
    <n v="0"/>
    <x v="0"/>
  </r>
  <r>
    <s v="A2791MEBSOAD1U"/>
    <x v="0"/>
    <n v="35"/>
    <s v="female"/>
    <x v="4"/>
    <x v="0"/>
    <n v="31660"/>
    <s v="No%2C I would always give the best options for both questions."/>
    <s v="no%2C just a little boring"/>
    <s v="nope"/>
    <s v="NA"/>
    <s v="NA"/>
    <s v="NA"/>
    <s v="NA"/>
    <s v="NA"/>
    <s v="NA"/>
    <s v="NA"/>
    <s v="NA"/>
    <x v="0"/>
    <x v="0"/>
    <s v="NA"/>
    <s v="NA"/>
    <s v="NA"/>
    <s v="NA"/>
    <s v="NA"/>
    <s v="NA"/>
    <x v="0"/>
    <s v="NA"/>
    <s v="NA"/>
    <s v="NA"/>
    <s v="NA"/>
    <x v="0"/>
  </r>
  <r>
    <s v="A34B9FXOCN08RW"/>
    <x v="0"/>
    <n v="32"/>
    <s v="male"/>
    <x v="0"/>
    <x v="0"/>
    <n v="22868"/>
    <s v="NA"/>
    <s v="NA"/>
    <s v="NA"/>
    <s v="NA"/>
    <s v="NA"/>
    <s v="NA"/>
    <s v="NA"/>
    <s v="NA"/>
    <s v="NA"/>
    <s v="NA"/>
    <s v="NA"/>
    <x v="0"/>
    <x v="0"/>
    <s v="NA"/>
    <s v="NA"/>
    <s v="NA"/>
    <s v="NA"/>
    <s v="NA"/>
    <s v="NA"/>
    <x v="0"/>
    <s v="NA"/>
    <s v="NA"/>
    <s v="NA"/>
    <s v="NA"/>
    <x v="0"/>
  </r>
  <r>
    <s v="A34B9FXOCN08RW"/>
    <x v="0"/>
    <n v="32"/>
    <s v="male"/>
    <x v="1"/>
    <x v="1"/>
    <n v="23011"/>
    <n v="0"/>
    <n v="0"/>
    <n v="0"/>
    <n v="1"/>
    <s v="NA"/>
    <s v="NA"/>
    <s v="NA"/>
    <s v="NA"/>
    <s v="NA"/>
    <s v="NA"/>
    <s v="NA"/>
    <x v="0"/>
    <x v="0"/>
    <s v="NA"/>
    <s v="NA"/>
    <s v="NA"/>
    <s v="NA"/>
    <s v="NA"/>
    <s v="NA"/>
    <x v="0"/>
    <s v="NA"/>
    <s v="NA"/>
    <s v="NA"/>
    <s v="NA"/>
    <x v="0"/>
  </r>
  <r>
    <s v="A34B9FXOCN08RW"/>
    <x v="0"/>
    <n v="32"/>
    <s v="male"/>
    <x v="1"/>
    <x v="2"/>
    <n v="34498"/>
    <n v="0"/>
    <n v="0"/>
    <n v="1"/>
    <n v="0"/>
    <s v="NA"/>
    <s v="NA"/>
    <s v="NA"/>
    <s v="NA"/>
    <s v="NA"/>
    <s v="NA"/>
    <s v="NA"/>
    <x v="0"/>
    <x v="0"/>
    <s v="NA"/>
    <s v="NA"/>
    <s v="NA"/>
    <s v="NA"/>
    <s v="NA"/>
    <s v="NA"/>
    <x v="0"/>
    <s v="NA"/>
    <s v="NA"/>
    <s v="NA"/>
    <s v="NA"/>
    <x v="0"/>
  </r>
  <r>
    <s v="A34B9FXOCN08RW"/>
    <x v="0"/>
    <n v="32"/>
    <s v="male"/>
    <x v="2"/>
    <x v="11"/>
    <n v="19491"/>
    <n v="0"/>
    <n v="0"/>
    <n v="1"/>
    <n v="0"/>
    <s v="Dentist F."/>
    <s v="Dentists D and E."/>
    <s v="Dentist E."/>
    <s v="fa"/>
    <s v="ms-l"/>
    <s v="mo-l"/>
    <n v="0"/>
    <x v="1"/>
    <x v="1"/>
    <n v="0"/>
    <n v="1"/>
    <n v="0"/>
    <n v="1"/>
    <n v="0"/>
    <n v="0"/>
    <x v="1"/>
    <n v="0"/>
    <n v="0"/>
    <n v="0"/>
    <n v="0"/>
    <x v="0"/>
  </r>
  <r>
    <s v="A34B9FXOCN08RW"/>
    <x v="0"/>
    <n v="32"/>
    <s v="male"/>
    <x v="2"/>
    <x v="3"/>
    <n v="89244"/>
    <n v="1"/>
    <n v="1"/>
    <n v="1"/>
    <n v="0"/>
    <s v="Cafes D and E."/>
    <s v="Cafe F."/>
    <s v="Cafe A."/>
    <s v="ms-l"/>
    <s v="fa"/>
    <s v="mo-h"/>
    <n v="0"/>
    <x v="2"/>
    <x v="2"/>
    <n v="0"/>
    <n v="1"/>
    <n v="0"/>
    <n v="1"/>
    <n v="0"/>
    <n v="1"/>
    <x v="2"/>
    <n v="0"/>
    <n v="1"/>
    <n v="0"/>
    <n v="0"/>
    <x v="0"/>
  </r>
  <r>
    <s v="A34B9FXOCN08RW"/>
    <x v="0"/>
    <n v="32"/>
    <s v="male"/>
    <x v="3"/>
    <x v="5"/>
    <n v="25075"/>
    <n v="1"/>
    <n v="1"/>
    <n v="1"/>
    <n v="0"/>
    <s v="NA"/>
    <s v="NA"/>
    <s v="NA"/>
    <s v="NA"/>
    <s v="NA"/>
    <s v="NA"/>
    <s v="NA"/>
    <x v="2"/>
    <x v="2"/>
    <n v="0"/>
    <n v="1"/>
    <n v="0"/>
    <n v="1"/>
    <n v="0"/>
    <n v="1"/>
    <x v="2"/>
    <n v="0"/>
    <n v="1"/>
    <n v="0"/>
    <n v="0"/>
    <x v="0"/>
  </r>
  <r>
    <s v="A34B9FXOCN08RW"/>
    <x v="0"/>
    <n v="32"/>
    <s v="male"/>
    <x v="2"/>
    <x v="4"/>
    <n v="12738"/>
    <n v="1"/>
    <n v="1"/>
    <n v="1"/>
    <n v="0"/>
    <s v="Stalls D and E."/>
    <s v="Stalls A and B."/>
    <s v="Stall F."/>
    <s v="ms-l"/>
    <s v="ms-h"/>
    <s v="fa"/>
    <n v="0"/>
    <x v="1"/>
    <x v="2"/>
    <n v="1"/>
    <n v="1"/>
    <n v="0"/>
    <n v="1"/>
    <n v="0"/>
    <n v="0"/>
    <x v="2"/>
    <n v="1"/>
    <n v="1"/>
    <n v="0"/>
    <n v="0"/>
    <x v="0"/>
  </r>
  <r>
    <s v="A34B9FXOCN08RW"/>
    <x v="0"/>
    <n v="32"/>
    <s v="male"/>
    <x v="3"/>
    <x v="12"/>
    <n v="9661"/>
    <n v="0"/>
    <n v="1"/>
    <n v="0"/>
    <n v="0"/>
    <s v="NA"/>
    <s v="NA"/>
    <s v="NA"/>
    <s v="NA"/>
    <s v="NA"/>
    <s v="NA"/>
    <s v="NA"/>
    <x v="1"/>
    <x v="2"/>
    <n v="1"/>
    <n v="1"/>
    <n v="0"/>
    <n v="1"/>
    <n v="0"/>
    <n v="0"/>
    <x v="2"/>
    <n v="1"/>
    <n v="1"/>
    <n v="0"/>
    <n v="0"/>
    <x v="0"/>
  </r>
  <r>
    <s v="A34B9FXOCN08RW"/>
    <x v="0"/>
    <n v="32"/>
    <s v="male"/>
    <x v="2"/>
    <x v="6"/>
    <n v="18156"/>
    <n v="1"/>
    <n v="1"/>
    <n v="1"/>
    <n v="0"/>
    <s v="Bookstores A and B."/>
    <s v="Bookstores D and E."/>
    <s v="Bookstore E."/>
    <s v="ms-h"/>
    <s v="ms-l"/>
    <s v="mo-l"/>
    <n v="0"/>
    <x v="1"/>
    <x v="1"/>
    <n v="1"/>
    <n v="1"/>
    <n v="0"/>
    <n v="1"/>
    <n v="0"/>
    <n v="0"/>
    <x v="1"/>
    <n v="1"/>
    <n v="1"/>
    <n v="0"/>
    <n v="0"/>
    <x v="0"/>
  </r>
  <r>
    <s v="A34B9FXOCN08RW"/>
    <x v="0"/>
    <n v="32"/>
    <s v="male"/>
    <x v="2"/>
    <x v="9"/>
    <n v="14819"/>
    <n v="1"/>
    <n v="1"/>
    <n v="1"/>
    <n v="0"/>
    <s v="Stores A and B."/>
    <s v="Store E."/>
    <s v="Stores D and E."/>
    <s v="ms-h"/>
    <s v="mo-l"/>
    <s v="ms-l"/>
    <n v="0"/>
    <x v="1"/>
    <x v="1"/>
    <n v="1"/>
    <n v="1"/>
    <n v="0"/>
    <n v="1"/>
    <n v="0"/>
    <n v="0"/>
    <x v="1"/>
    <n v="1"/>
    <n v="1"/>
    <n v="0"/>
    <n v="0"/>
    <x v="0"/>
  </r>
  <r>
    <s v="A34B9FXOCN08RW"/>
    <x v="0"/>
    <n v="32"/>
    <s v="male"/>
    <x v="3"/>
    <x v="8"/>
    <n v="14037"/>
    <n v="1"/>
    <n v="1"/>
    <n v="0"/>
    <n v="0"/>
    <s v="NA"/>
    <s v="NA"/>
    <s v="NA"/>
    <s v="NA"/>
    <s v="NA"/>
    <s v="NA"/>
    <s v="NA"/>
    <x v="1"/>
    <x v="1"/>
    <n v="1"/>
    <n v="1"/>
    <n v="0"/>
    <n v="1"/>
    <n v="0"/>
    <n v="0"/>
    <x v="1"/>
    <n v="1"/>
    <n v="1"/>
    <n v="0"/>
    <n v="0"/>
    <x v="0"/>
  </r>
  <r>
    <s v="A34B9FXOCN08RW"/>
    <x v="0"/>
    <n v="32"/>
    <s v="male"/>
    <x v="2"/>
    <x v="7"/>
    <n v="9308"/>
    <n v="1"/>
    <n v="1"/>
    <n v="1"/>
    <n v="0"/>
    <s v="Stylists D and E."/>
    <s v="Stylist E."/>
    <s v="Stylists A and B."/>
    <s v="ms-l"/>
    <s v="mo-l"/>
    <s v="ms-h"/>
    <n v="0"/>
    <x v="1"/>
    <x v="1"/>
    <n v="1"/>
    <n v="1"/>
    <n v="0"/>
    <n v="1"/>
    <n v="0"/>
    <n v="0"/>
    <x v="1"/>
    <n v="1"/>
    <n v="1"/>
    <n v="0"/>
    <n v="0"/>
    <x v="0"/>
  </r>
  <r>
    <s v="A34B9FXOCN08RW"/>
    <x v="0"/>
    <n v="32"/>
    <s v="male"/>
    <x v="3"/>
    <x v="10"/>
    <n v="8770"/>
    <n v="1"/>
    <n v="1"/>
    <n v="1"/>
    <n v="0"/>
    <s v="NA"/>
    <s v="NA"/>
    <s v="NA"/>
    <s v="NA"/>
    <s v="NA"/>
    <s v="NA"/>
    <s v="NA"/>
    <x v="1"/>
    <x v="1"/>
    <n v="1"/>
    <n v="1"/>
    <n v="0"/>
    <n v="1"/>
    <n v="0"/>
    <n v="0"/>
    <x v="1"/>
    <n v="1"/>
    <n v="1"/>
    <n v="0"/>
    <n v="0"/>
    <x v="0"/>
  </r>
  <r>
    <s v="A34B9FXOCN08RW"/>
    <x v="0"/>
    <n v="32"/>
    <s v="male"/>
    <x v="4"/>
    <x v="0"/>
    <n v="78445"/>
    <s v="no seems perfect to me."/>
    <s v="I wondered if I was getting tricked with some of the stuff sounding familiar. hope I did the task ok for you. "/>
    <s v="thank you for allowing me to contribute."/>
    <s v="NA"/>
    <s v="NA"/>
    <s v="NA"/>
    <s v="NA"/>
    <s v="NA"/>
    <s v="NA"/>
    <s v="NA"/>
    <s v="NA"/>
    <x v="0"/>
    <x v="0"/>
    <s v="NA"/>
    <s v="NA"/>
    <s v="NA"/>
    <s v="NA"/>
    <s v="NA"/>
    <s v="NA"/>
    <x v="0"/>
    <s v="NA"/>
    <s v="NA"/>
    <s v="NA"/>
    <s v="NA"/>
    <x v="0"/>
  </r>
  <r>
    <s v="A1YIBSKY9U31X6"/>
    <x v="0"/>
    <n v="37"/>
    <s v="male"/>
    <x v="0"/>
    <x v="0"/>
    <n v="25047"/>
    <s v="NA"/>
    <s v="NA"/>
    <s v="NA"/>
    <s v="NA"/>
    <s v="NA"/>
    <s v="NA"/>
    <s v="NA"/>
    <s v="NA"/>
    <s v="NA"/>
    <s v="NA"/>
    <s v="NA"/>
    <x v="0"/>
    <x v="0"/>
    <s v="NA"/>
    <s v="NA"/>
    <s v="NA"/>
    <s v="NA"/>
    <s v="NA"/>
    <s v="NA"/>
    <x v="0"/>
    <s v="NA"/>
    <s v="NA"/>
    <s v="NA"/>
    <s v="NA"/>
    <x v="0"/>
  </r>
  <r>
    <s v="A1YIBSKY9U31X6"/>
    <x v="0"/>
    <n v="37"/>
    <s v="male"/>
    <x v="1"/>
    <x v="2"/>
    <n v="60344"/>
    <n v="0"/>
    <n v="0"/>
    <n v="1"/>
    <n v="1"/>
    <s v="NA"/>
    <s v="NA"/>
    <s v="NA"/>
    <s v="NA"/>
    <s v="NA"/>
    <s v="NA"/>
    <s v="NA"/>
    <x v="0"/>
    <x v="0"/>
    <s v="NA"/>
    <s v="NA"/>
    <s v="NA"/>
    <s v="NA"/>
    <s v="NA"/>
    <s v="NA"/>
    <x v="0"/>
    <s v="NA"/>
    <s v="NA"/>
    <s v="NA"/>
    <s v="NA"/>
    <x v="0"/>
  </r>
  <r>
    <s v="A1YIBSKY9U31X6"/>
    <x v="0"/>
    <n v="37"/>
    <s v="male"/>
    <x v="1"/>
    <x v="1"/>
    <n v="36206"/>
    <n v="0"/>
    <n v="0"/>
    <n v="0"/>
    <n v="1"/>
    <s v="NA"/>
    <s v="NA"/>
    <s v="NA"/>
    <s v="NA"/>
    <s v="NA"/>
    <s v="NA"/>
    <s v="NA"/>
    <x v="0"/>
    <x v="0"/>
    <s v="NA"/>
    <s v="NA"/>
    <s v="NA"/>
    <s v="NA"/>
    <s v="NA"/>
    <s v="NA"/>
    <x v="0"/>
    <s v="NA"/>
    <s v="NA"/>
    <s v="NA"/>
    <s v="NA"/>
    <x v="0"/>
  </r>
  <r>
    <s v="A1YIBSKY9U31X6"/>
    <x v="0"/>
    <n v="37"/>
    <s v="male"/>
    <x v="2"/>
    <x v="6"/>
    <n v="53561"/>
    <n v="0"/>
    <n v="0"/>
    <n v="0"/>
    <n v="1"/>
    <s v="Bookstore F."/>
    <s v="Bookstore E."/>
    <s v="Bookstores D and E."/>
    <s v="fa"/>
    <s v="mo-l"/>
    <s v="ms-l"/>
    <n v="0"/>
    <x v="1"/>
    <x v="1"/>
    <n v="0"/>
    <n v="1"/>
    <n v="0"/>
    <n v="1"/>
    <n v="0"/>
    <n v="0"/>
    <x v="2"/>
    <n v="0"/>
    <n v="0"/>
    <n v="0"/>
    <n v="1"/>
    <x v="0"/>
  </r>
  <r>
    <s v="A1YIBSKY9U31X6"/>
    <x v="0"/>
    <n v="37"/>
    <s v="male"/>
    <x v="2"/>
    <x v="3"/>
    <n v="32417"/>
    <n v="1"/>
    <n v="1"/>
    <n v="1"/>
    <n v="0"/>
    <s v="Cafe E."/>
    <s v="Cafe A."/>
    <s v="Cafes A, B, C, D and E."/>
    <s v="mo-l"/>
    <s v="mo-h"/>
    <s v="exh"/>
    <n v="1"/>
    <x v="2"/>
    <x v="1"/>
    <n v="0"/>
    <n v="0"/>
    <n v="0"/>
    <n v="1"/>
    <n v="1"/>
    <n v="1"/>
    <x v="1"/>
    <n v="0"/>
    <n v="0"/>
    <n v="0"/>
    <n v="0"/>
    <x v="0"/>
  </r>
  <r>
    <s v="A1YIBSKY9U31X6"/>
    <x v="0"/>
    <n v="37"/>
    <s v="male"/>
    <x v="3"/>
    <x v="8"/>
    <n v="26310"/>
    <n v="1"/>
    <n v="1"/>
    <n v="0"/>
    <n v="0"/>
    <s v="NA"/>
    <s v="NA"/>
    <s v="NA"/>
    <s v="NA"/>
    <s v="NA"/>
    <s v="NA"/>
    <s v="NA"/>
    <x v="2"/>
    <x v="1"/>
    <n v="0"/>
    <n v="0"/>
    <n v="0"/>
    <n v="1"/>
    <n v="1"/>
    <n v="1"/>
    <x v="1"/>
    <n v="0"/>
    <n v="0"/>
    <n v="0"/>
    <n v="0"/>
    <x v="0"/>
  </r>
  <r>
    <s v="A1YIBSKY9U31X6"/>
    <x v="0"/>
    <n v="37"/>
    <s v="male"/>
    <x v="2"/>
    <x v="11"/>
    <n v="30680"/>
    <n v="0"/>
    <n v="0"/>
    <n v="0"/>
    <n v="1"/>
    <s v="Dentist F."/>
    <s v="Dentists D and E."/>
    <s v="Dentists A, B, C, D and E."/>
    <s v="fa"/>
    <s v="ms-l"/>
    <s v="exh"/>
    <n v="1"/>
    <x v="1"/>
    <x v="2"/>
    <n v="0"/>
    <n v="1"/>
    <n v="0"/>
    <n v="1"/>
    <n v="0"/>
    <n v="0"/>
    <x v="2"/>
    <n v="0"/>
    <n v="0"/>
    <n v="0"/>
    <n v="1"/>
    <x v="0"/>
  </r>
  <r>
    <s v="A1YIBSKY9U31X6"/>
    <x v="0"/>
    <n v="37"/>
    <s v="male"/>
    <x v="2"/>
    <x v="7"/>
    <n v="18313"/>
    <n v="1"/>
    <n v="0"/>
    <n v="0"/>
    <n v="0"/>
    <s v="Stylist A."/>
    <s v="Stylists D and E."/>
    <s v="Stylist F."/>
    <s v="mo-h"/>
    <s v="ms-l"/>
    <s v="fa"/>
    <n v="0"/>
    <x v="2"/>
    <x v="2"/>
    <n v="0"/>
    <n v="1"/>
    <n v="0"/>
    <n v="1"/>
    <n v="0"/>
    <n v="1"/>
    <x v="2"/>
    <n v="0"/>
    <n v="0"/>
    <n v="0"/>
    <n v="0"/>
    <x v="0"/>
  </r>
  <r>
    <s v="A1YIBSKY9U31X6"/>
    <x v="0"/>
    <n v="37"/>
    <s v="male"/>
    <x v="3"/>
    <x v="10"/>
    <n v="24226"/>
    <n v="0"/>
    <n v="0"/>
    <n v="0"/>
    <n v="1"/>
    <s v="NA"/>
    <s v="NA"/>
    <s v="NA"/>
    <s v="NA"/>
    <s v="NA"/>
    <s v="NA"/>
    <s v="NA"/>
    <x v="2"/>
    <x v="2"/>
    <n v="0"/>
    <n v="1"/>
    <n v="0"/>
    <n v="1"/>
    <n v="0"/>
    <n v="1"/>
    <x v="2"/>
    <n v="0"/>
    <n v="0"/>
    <n v="0"/>
    <n v="0"/>
    <x v="0"/>
  </r>
  <r>
    <s v="A1YIBSKY9U31X6"/>
    <x v="0"/>
    <n v="37"/>
    <s v="male"/>
    <x v="2"/>
    <x v="4"/>
    <n v="14200"/>
    <n v="0"/>
    <n v="0"/>
    <n v="1"/>
    <n v="0"/>
    <s v="Stall F."/>
    <s v="Stalls A, B, C, D and E."/>
    <s v="Stalls A and B."/>
    <s v="fa"/>
    <s v="exh"/>
    <s v="ms-h"/>
    <n v="1"/>
    <x v="1"/>
    <x v="2"/>
    <n v="1"/>
    <n v="0"/>
    <n v="0"/>
    <n v="1"/>
    <n v="0"/>
    <n v="0"/>
    <x v="2"/>
    <n v="1"/>
    <n v="0"/>
    <n v="0"/>
    <n v="0"/>
    <x v="0"/>
  </r>
  <r>
    <s v="A1YIBSKY9U31X6"/>
    <x v="0"/>
    <n v="37"/>
    <s v="male"/>
    <x v="3"/>
    <x v="5"/>
    <n v="19224"/>
    <n v="1"/>
    <n v="0"/>
    <n v="0"/>
    <n v="0"/>
    <s v="NA"/>
    <s v="NA"/>
    <s v="NA"/>
    <s v="NA"/>
    <s v="NA"/>
    <s v="NA"/>
    <s v="NA"/>
    <x v="1"/>
    <x v="2"/>
    <n v="1"/>
    <n v="0"/>
    <n v="0"/>
    <n v="1"/>
    <n v="0"/>
    <n v="0"/>
    <x v="2"/>
    <n v="1"/>
    <n v="0"/>
    <n v="0"/>
    <n v="0"/>
    <x v="0"/>
  </r>
  <r>
    <s v="A1YIBSKY9U31X6"/>
    <x v="0"/>
    <n v="37"/>
    <s v="male"/>
    <x v="2"/>
    <x v="9"/>
    <n v="10629"/>
    <n v="0"/>
    <n v="0"/>
    <n v="1"/>
    <n v="0"/>
    <s v="Store E."/>
    <s v="Stores A and B."/>
    <s v="Store A."/>
    <s v="mo-l"/>
    <s v="ms-h"/>
    <s v="mo-h"/>
    <n v="0"/>
    <x v="2"/>
    <x v="1"/>
    <n v="1"/>
    <n v="0"/>
    <n v="0"/>
    <n v="1"/>
    <n v="0"/>
    <n v="1"/>
    <x v="2"/>
    <n v="0"/>
    <n v="0"/>
    <n v="0"/>
    <n v="0"/>
    <x v="0"/>
  </r>
  <r>
    <s v="A1YIBSKY9U31X6"/>
    <x v="0"/>
    <n v="37"/>
    <s v="male"/>
    <x v="3"/>
    <x v="12"/>
    <n v="17427"/>
    <n v="1"/>
    <n v="0"/>
    <n v="0"/>
    <n v="0"/>
    <s v="NA"/>
    <s v="NA"/>
    <s v="NA"/>
    <s v="NA"/>
    <s v="NA"/>
    <s v="NA"/>
    <s v="NA"/>
    <x v="2"/>
    <x v="1"/>
    <n v="1"/>
    <n v="0"/>
    <n v="0"/>
    <n v="1"/>
    <n v="0"/>
    <n v="1"/>
    <x v="2"/>
    <n v="0"/>
    <n v="0"/>
    <n v="0"/>
    <n v="0"/>
    <x v="0"/>
  </r>
  <r>
    <s v="A1YIBSKY9U31X6"/>
    <x v="0"/>
    <n v="37"/>
    <s v="male"/>
    <x v="4"/>
    <x v="0"/>
    <n v="29400"/>
    <s v="No%2C basically the same question."/>
    <s v="Tedious."/>
    <s v="too long!"/>
    <s v="NA"/>
    <s v="NA"/>
    <s v="NA"/>
    <s v="NA"/>
    <s v="NA"/>
    <s v="NA"/>
    <s v="NA"/>
    <s v="NA"/>
    <x v="0"/>
    <x v="0"/>
    <s v="NA"/>
    <s v="NA"/>
    <s v="NA"/>
    <s v="NA"/>
    <s v="NA"/>
    <s v="NA"/>
    <x v="0"/>
    <s v="NA"/>
    <s v="NA"/>
    <s v="NA"/>
    <s v="NA"/>
    <x v="0"/>
  </r>
  <r>
    <s v="AC5UD8N187QD6"/>
    <x v="0"/>
    <n v="47"/>
    <s v="male"/>
    <x v="0"/>
    <x v="0"/>
    <n v="14658"/>
    <s v="NA"/>
    <s v="NA"/>
    <s v="NA"/>
    <s v="NA"/>
    <s v="NA"/>
    <s v="NA"/>
    <s v="NA"/>
    <s v="NA"/>
    <s v="NA"/>
    <s v="NA"/>
    <s v="NA"/>
    <x v="0"/>
    <x v="0"/>
    <s v="NA"/>
    <s v="NA"/>
    <s v="NA"/>
    <s v="NA"/>
    <s v="NA"/>
    <s v="NA"/>
    <x v="0"/>
    <s v="NA"/>
    <s v="NA"/>
    <s v="NA"/>
    <s v="NA"/>
    <x v="0"/>
  </r>
  <r>
    <s v="AC5UD8N187QD6"/>
    <x v="0"/>
    <n v="47"/>
    <s v="male"/>
    <x v="1"/>
    <x v="2"/>
    <n v="21589"/>
    <n v="0"/>
    <n v="0"/>
    <n v="1"/>
    <n v="0"/>
    <s v="NA"/>
    <s v="NA"/>
    <s v="NA"/>
    <s v="NA"/>
    <s v="NA"/>
    <s v="NA"/>
    <s v="NA"/>
    <x v="0"/>
    <x v="0"/>
    <s v="NA"/>
    <s v="NA"/>
    <s v="NA"/>
    <s v="NA"/>
    <s v="NA"/>
    <s v="NA"/>
    <x v="0"/>
    <s v="NA"/>
    <s v="NA"/>
    <s v="NA"/>
    <s v="NA"/>
    <x v="0"/>
  </r>
  <r>
    <s v="AC5UD8N187QD6"/>
    <x v="0"/>
    <n v="47"/>
    <s v="male"/>
    <x v="1"/>
    <x v="1"/>
    <n v="25271"/>
    <n v="0"/>
    <n v="0"/>
    <n v="0"/>
    <n v="1"/>
    <s v="NA"/>
    <s v="NA"/>
    <s v="NA"/>
    <s v="NA"/>
    <s v="NA"/>
    <s v="NA"/>
    <s v="NA"/>
    <x v="0"/>
    <x v="0"/>
    <s v="NA"/>
    <s v="NA"/>
    <s v="NA"/>
    <s v="NA"/>
    <s v="NA"/>
    <s v="NA"/>
    <x v="0"/>
    <s v="NA"/>
    <s v="NA"/>
    <s v="NA"/>
    <s v="NA"/>
    <x v="0"/>
  </r>
  <r>
    <s v="AC5UD8N187QD6"/>
    <x v="0"/>
    <n v="47"/>
    <s v="male"/>
    <x v="2"/>
    <x v="6"/>
    <n v="34307"/>
    <n v="0"/>
    <n v="0"/>
    <n v="0"/>
    <n v="1"/>
    <s v="Bookstore F."/>
    <s v="Bookstores D and E."/>
    <s v="Bookstore A."/>
    <s v="fa"/>
    <s v="ms-l"/>
    <s v="mo-h"/>
    <n v="0"/>
    <x v="2"/>
    <x v="2"/>
    <n v="0"/>
    <n v="1"/>
    <n v="0"/>
    <n v="1"/>
    <n v="0"/>
    <n v="0"/>
    <x v="2"/>
    <n v="0"/>
    <n v="0"/>
    <n v="0"/>
    <n v="1"/>
    <x v="0"/>
  </r>
  <r>
    <s v="AC5UD8N187QD6"/>
    <x v="0"/>
    <n v="47"/>
    <s v="male"/>
    <x v="3"/>
    <x v="5"/>
    <n v="26783"/>
    <n v="0"/>
    <n v="0"/>
    <n v="0"/>
    <n v="1"/>
    <s v="NA"/>
    <s v="NA"/>
    <s v="NA"/>
    <s v="NA"/>
    <s v="NA"/>
    <s v="NA"/>
    <s v="NA"/>
    <x v="2"/>
    <x v="2"/>
    <n v="0"/>
    <n v="1"/>
    <n v="0"/>
    <n v="1"/>
    <n v="0"/>
    <n v="0"/>
    <x v="2"/>
    <n v="0"/>
    <n v="0"/>
    <n v="0"/>
    <n v="1"/>
    <x v="0"/>
  </r>
  <r>
    <s v="AC5UD8N187QD6"/>
    <x v="0"/>
    <n v="47"/>
    <s v="male"/>
    <x v="2"/>
    <x v="4"/>
    <n v="17611"/>
    <n v="1"/>
    <n v="0"/>
    <n v="0"/>
    <n v="0"/>
    <s v="Stall A."/>
    <s v="Stall E."/>
    <s v="Stalls A and B."/>
    <s v="mo-h"/>
    <s v="mo-l"/>
    <s v="ms-h"/>
    <n v="0"/>
    <x v="2"/>
    <x v="1"/>
    <n v="1"/>
    <n v="0"/>
    <n v="0"/>
    <n v="1"/>
    <n v="0"/>
    <n v="1"/>
    <x v="2"/>
    <n v="0"/>
    <n v="0"/>
    <n v="0"/>
    <n v="0"/>
    <x v="0"/>
  </r>
  <r>
    <s v="AC5UD8N187QD6"/>
    <x v="0"/>
    <n v="47"/>
    <s v="male"/>
    <x v="2"/>
    <x v="11"/>
    <n v="18769"/>
    <n v="0"/>
    <n v="0"/>
    <n v="0"/>
    <n v="1"/>
    <s v="Dentists A and B."/>
    <s v="Dentist E."/>
    <s v="Dentist A."/>
    <s v="ms-h"/>
    <s v="mo-l"/>
    <s v="mo-h"/>
    <n v="0"/>
    <x v="2"/>
    <x v="1"/>
    <n v="1"/>
    <n v="0"/>
    <n v="0"/>
    <n v="1"/>
    <n v="0"/>
    <n v="0"/>
    <x v="2"/>
    <n v="0"/>
    <n v="0"/>
    <n v="0"/>
    <n v="1"/>
    <x v="0"/>
  </r>
  <r>
    <s v="AC5UD8N187QD6"/>
    <x v="0"/>
    <n v="47"/>
    <s v="male"/>
    <x v="3"/>
    <x v="8"/>
    <n v="13825"/>
    <n v="1"/>
    <n v="1"/>
    <n v="0"/>
    <n v="0"/>
    <s v="NA"/>
    <s v="NA"/>
    <s v="NA"/>
    <s v="NA"/>
    <s v="NA"/>
    <s v="NA"/>
    <s v="NA"/>
    <x v="2"/>
    <x v="1"/>
    <n v="1"/>
    <n v="0"/>
    <n v="0"/>
    <n v="1"/>
    <n v="0"/>
    <n v="0"/>
    <x v="2"/>
    <n v="0"/>
    <n v="0"/>
    <n v="0"/>
    <n v="1"/>
    <x v="0"/>
  </r>
  <r>
    <s v="AC5UD8N187QD6"/>
    <x v="0"/>
    <n v="47"/>
    <s v="male"/>
    <x v="2"/>
    <x v="7"/>
    <n v="5137"/>
    <n v="0"/>
    <n v="0"/>
    <n v="0"/>
    <n v="1"/>
    <s v="Stylist A."/>
    <s v="Stylists D and E."/>
    <s v="Stylist F."/>
    <s v="mo-h"/>
    <s v="ms-l"/>
    <s v="fa"/>
    <n v="0"/>
    <x v="2"/>
    <x v="2"/>
    <n v="0"/>
    <n v="1"/>
    <n v="0"/>
    <n v="1"/>
    <n v="0"/>
    <n v="0"/>
    <x v="2"/>
    <n v="0"/>
    <n v="0"/>
    <n v="0"/>
    <n v="1"/>
    <x v="0"/>
  </r>
  <r>
    <s v="AC5UD8N187QD6"/>
    <x v="0"/>
    <n v="47"/>
    <s v="male"/>
    <x v="3"/>
    <x v="12"/>
    <n v="15545"/>
    <n v="1"/>
    <n v="1"/>
    <n v="0"/>
    <n v="0"/>
    <s v="NA"/>
    <s v="NA"/>
    <s v="NA"/>
    <s v="NA"/>
    <s v="NA"/>
    <s v="NA"/>
    <s v="NA"/>
    <x v="2"/>
    <x v="2"/>
    <n v="0"/>
    <n v="1"/>
    <n v="0"/>
    <n v="1"/>
    <n v="0"/>
    <n v="0"/>
    <x v="2"/>
    <n v="0"/>
    <n v="0"/>
    <n v="0"/>
    <n v="1"/>
    <x v="0"/>
  </r>
  <r>
    <s v="AC5UD8N187QD6"/>
    <x v="0"/>
    <n v="47"/>
    <s v="male"/>
    <x v="2"/>
    <x v="3"/>
    <n v="8663"/>
    <n v="0"/>
    <n v="0"/>
    <n v="0"/>
    <n v="1"/>
    <s v="Cafe F."/>
    <s v="Cafes A and B."/>
    <s v="Cafe A."/>
    <s v="fa"/>
    <s v="ms-h"/>
    <s v="mo-h"/>
    <n v="0"/>
    <x v="2"/>
    <x v="2"/>
    <n v="1"/>
    <n v="0"/>
    <n v="0"/>
    <n v="1"/>
    <n v="0"/>
    <n v="0"/>
    <x v="2"/>
    <n v="0"/>
    <n v="0"/>
    <n v="0"/>
    <n v="1"/>
    <x v="0"/>
  </r>
  <r>
    <s v="AC5UD8N187QD6"/>
    <x v="0"/>
    <n v="47"/>
    <s v="male"/>
    <x v="2"/>
    <x v="9"/>
    <n v="13970"/>
    <n v="0"/>
    <n v="0"/>
    <n v="0"/>
    <n v="1"/>
    <s v="Stores A, B, C, D and E."/>
    <s v="Store E."/>
    <s v="Stores D and E."/>
    <s v="exh"/>
    <s v="mo-l"/>
    <s v="ms-l"/>
    <n v="1"/>
    <x v="1"/>
    <x v="1"/>
    <n v="0"/>
    <n v="1"/>
    <n v="0"/>
    <n v="1"/>
    <n v="0"/>
    <n v="0"/>
    <x v="2"/>
    <n v="0"/>
    <n v="0"/>
    <n v="0"/>
    <n v="1"/>
    <x v="0"/>
  </r>
  <r>
    <s v="AC5UD8N187QD6"/>
    <x v="0"/>
    <n v="47"/>
    <s v="male"/>
    <x v="3"/>
    <x v="10"/>
    <n v="56247"/>
    <n v="0"/>
    <n v="1"/>
    <n v="0"/>
    <n v="0"/>
    <s v="NA"/>
    <s v="NA"/>
    <s v="NA"/>
    <s v="NA"/>
    <s v="NA"/>
    <s v="NA"/>
    <s v="NA"/>
    <x v="1"/>
    <x v="1"/>
    <n v="0"/>
    <n v="1"/>
    <n v="0"/>
    <n v="1"/>
    <n v="0"/>
    <n v="0"/>
    <x v="2"/>
    <n v="0"/>
    <n v="0"/>
    <n v="0"/>
    <n v="1"/>
    <x v="0"/>
  </r>
  <r>
    <s v="AC5UD8N187QD6"/>
    <x v="0"/>
    <n v="47"/>
    <s v="male"/>
    <x v="4"/>
    <x v="0"/>
    <n v="62756"/>
    <s v="Yes%2C I'd answer more comprehensively%2C since s/he's not asking for a recommendation"/>
    <s v="Yes%2C it's a bit &quot;thinky&quot; for 9:40 pm. Entertaining though. "/>
    <s v="No%2C thanks. "/>
    <s v="NA"/>
    <s v="NA"/>
    <s v="NA"/>
    <s v="NA"/>
    <s v="NA"/>
    <s v="NA"/>
    <s v="NA"/>
    <s v="NA"/>
    <x v="0"/>
    <x v="0"/>
    <s v="NA"/>
    <s v="NA"/>
    <s v="NA"/>
    <s v="NA"/>
    <s v="NA"/>
    <s v="NA"/>
    <x v="0"/>
    <s v="NA"/>
    <s v="NA"/>
    <s v="NA"/>
    <s v="NA"/>
    <x v="0"/>
  </r>
  <r>
    <s v="A2WWYVKGZZXBOB"/>
    <x v="0"/>
    <n v="36"/>
    <s v="male"/>
    <x v="0"/>
    <x v="0"/>
    <n v="19202"/>
    <s v="NA"/>
    <s v="NA"/>
    <s v="NA"/>
    <s v="NA"/>
    <s v="NA"/>
    <s v="NA"/>
    <s v="NA"/>
    <s v="NA"/>
    <s v="NA"/>
    <s v="NA"/>
    <s v="NA"/>
    <x v="0"/>
    <x v="0"/>
    <s v="NA"/>
    <s v="NA"/>
    <s v="NA"/>
    <s v="NA"/>
    <s v="NA"/>
    <s v="NA"/>
    <x v="0"/>
    <s v="NA"/>
    <s v="NA"/>
    <s v="NA"/>
    <s v="NA"/>
    <x v="0"/>
  </r>
  <r>
    <s v="A2WWYVKGZZXBOB"/>
    <x v="0"/>
    <n v="36"/>
    <s v="male"/>
    <x v="1"/>
    <x v="1"/>
    <n v="28825"/>
    <n v="0"/>
    <n v="0"/>
    <n v="0"/>
    <n v="1"/>
    <s v="NA"/>
    <s v="NA"/>
    <s v="NA"/>
    <s v="NA"/>
    <s v="NA"/>
    <s v="NA"/>
    <s v="NA"/>
    <x v="0"/>
    <x v="0"/>
    <s v="NA"/>
    <s v="NA"/>
    <s v="NA"/>
    <s v="NA"/>
    <s v="NA"/>
    <s v="NA"/>
    <x v="0"/>
    <s v="NA"/>
    <s v="NA"/>
    <s v="NA"/>
    <s v="NA"/>
    <x v="0"/>
  </r>
  <r>
    <s v="A2WWYVKGZZXBOB"/>
    <x v="0"/>
    <n v="36"/>
    <s v="male"/>
    <x v="1"/>
    <x v="2"/>
    <n v="29660"/>
    <n v="0"/>
    <n v="0"/>
    <n v="1"/>
    <n v="0"/>
    <s v="NA"/>
    <s v="NA"/>
    <s v="NA"/>
    <s v="NA"/>
    <s v="NA"/>
    <s v="NA"/>
    <s v="NA"/>
    <x v="0"/>
    <x v="0"/>
    <s v="NA"/>
    <s v="NA"/>
    <s v="NA"/>
    <s v="NA"/>
    <s v="NA"/>
    <s v="NA"/>
    <x v="0"/>
    <s v="NA"/>
    <s v="NA"/>
    <s v="NA"/>
    <s v="NA"/>
    <x v="0"/>
  </r>
  <r>
    <s v="A2WWYVKGZZXBOB"/>
    <x v="0"/>
    <n v="36"/>
    <s v="male"/>
    <x v="2"/>
    <x v="9"/>
    <n v="124116"/>
    <n v="0"/>
    <n v="0"/>
    <n v="0"/>
    <n v="1"/>
    <s v="Stores A and B."/>
    <s v="Store E."/>
    <s v="Stores A, B, C, D and E."/>
    <s v="ms-h"/>
    <s v="mo-l"/>
    <s v="exh"/>
    <n v="1"/>
    <x v="1"/>
    <x v="1"/>
    <n v="1"/>
    <n v="0"/>
    <n v="0"/>
    <n v="1"/>
    <n v="0"/>
    <n v="0"/>
    <x v="2"/>
    <n v="0"/>
    <n v="0"/>
    <n v="0"/>
    <n v="1"/>
    <x v="0"/>
  </r>
  <r>
    <s v="A2WWYVKGZZXBOB"/>
    <x v="0"/>
    <n v="36"/>
    <s v="male"/>
    <x v="3"/>
    <x v="5"/>
    <n v="115588"/>
    <n v="0"/>
    <n v="0"/>
    <n v="1"/>
    <n v="0"/>
    <s v="NA"/>
    <s v="NA"/>
    <s v="NA"/>
    <s v="NA"/>
    <s v="NA"/>
    <s v="NA"/>
    <s v="NA"/>
    <x v="1"/>
    <x v="1"/>
    <n v="1"/>
    <n v="0"/>
    <n v="0"/>
    <n v="1"/>
    <n v="0"/>
    <n v="0"/>
    <x v="2"/>
    <n v="0"/>
    <n v="0"/>
    <n v="0"/>
    <n v="1"/>
    <x v="0"/>
  </r>
  <r>
    <s v="A2WWYVKGZZXBOB"/>
    <x v="0"/>
    <n v="36"/>
    <s v="male"/>
    <x v="2"/>
    <x v="4"/>
    <n v="11677"/>
    <n v="0"/>
    <n v="0"/>
    <n v="0"/>
    <n v="1"/>
    <s v="Stall E."/>
    <s v="Stalls A and B."/>
    <s v="Stalls D and E."/>
    <s v="mo-l"/>
    <s v="ms-h"/>
    <s v="ms-l"/>
    <n v="0"/>
    <x v="1"/>
    <x v="1"/>
    <n v="1"/>
    <n v="1"/>
    <n v="0"/>
    <n v="1"/>
    <n v="0"/>
    <n v="0"/>
    <x v="2"/>
    <n v="0"/>
    <n v="0"/>
    <n v="0"/>
    <n v="1"/>
    <x v="0"/>
  </r>
  <r>
    <s v="A2WWYVKGZZXBOB"/>
    <x v="0"/>
    <n v="36"/>
    <s v="male"/>
    <x v="2"/>
    <x v="7"/>
    <n v="5770"/>
    <n v="0"/>
    <n v="0"/>
    <n v="0"/>
    <n v="1"/>
    <s v="Stylists A, B, C, D and E."/>
    <s v="Stylist F."/>
    <s v="Stylists A and B."/>
    <s v="exh"/>
    <s v="fa"/>
    <s v="ms-h"/>
    <n v="1"/>
    <x v="1"/>
    <x v="2"/>
    <n v="1"/>
    <n v="0"/>
    <n v="0"/>
    <n v="1"/>
    <n v="0"/>
    <n v="0"/>
    <x v="2"/>
    <n v="0"/>
    <n v="0"/>
    <n v="0"/>
    <n v="1"/>
    <x v="0"/>
  </r>
  <r>
    <s v="A2WWYVKGZZXBOB"/>
    <x v="0"/>
    <n v="36"/>
    <s v="male"/>
    <x v="3"/>
    <x v="8"/>
    <n v="24610"/>
    <n v="1"/>
    <n v="1"/>
    <n v="0"/>
    <n v="0"/>
    <s v="NA"/>
    <s v="NA"/>
    <s v="NA"/>
    <s v="NA"/>
    <s v="NA"/>
    <s v="NA"/>
    <s v="NA"/>
    <x v="1"/>
    <x v="2"/>
    <n v="1"/>
    <n v="0"/>
    <n v="0"/>
    <n v="1"/>
    <n v="0"/>
    <n v="0"/>
    <x v="2"/>
    <n v="0"/>
    <n v="0"/>
    <n v="0"/>
    <n v="1"/>
    <x v="0"/>
  </r>
  <r>
    <s v="A2WWYVKGZZXBOB"/>
    <x v="0"/>
    <n v="36"/>
    <s v="male"/>
    <x v="2"/>
    <x v="11"/>
    <n v="9675"/>
    <n v="0"/>
    <n v="0"/>
    <n v="0"/>
    <n v="1"/>
    <s v="Dentists A and B."/>
    <s v="Dentists D and E."/>
    <s v="Dentist E."/>
    <s v="ms-h"/>
    <s v="ms-l"/>
    <s v="mo-l"/>
    <n v="0"/>
    <x v="1"/>
    <x v="1"/>
    <n v="1"/>
    <n v="1"/>
    <n v="0"/>
    <n v="1"/>
    <n v="0"/>
    <n v="0"/>
    <x v="2"/>
    <n v="0"/>
    <n v="0"/>
    <n v="0"/>
    <n v="1"/>
    <x v="0"/>
  </r>
  <r>
    <s v="A2WWYVKGZZXBOB"/>
    <x v="0"/>
    <n v="36"/>
    <s v="male"/>
    <x v="3"/>
    <x v="12"/>
    <n v="9850"/>
    <n v="1"/>
    <n v="0"/>
    <n v="0"/>
    <n v="0"/>
    <s v="NA"/>
    <s v="NA"/>
    <s v="NA"/>
    <s v="NA"/>
    <s v="NA"/>
    <s v="NA"/>
    <s v="NA"/>
    <x v="1"/>
    <x v="1"/>
    <n v="1"/>
    <n v="1"/>
    <n v="0"/>
    <n v="1"/>
    <n v="0"/>
    <n v="0"/>
    <x v="2"/>
    <n v="0"/>
    <n v="0"/>
    <n v="0"/>
    <n v="1"/>
    <x v="0"/>
  </r>
  <r>
    <s v="A2WWYVKGZZXBOB"/>
    <x v="0"/>
    <n v="36"/>
    <s v="male"/>
    <x v="2"/>
    <x v="6"/>
    <n v="6087"/>
    <n v="0"/>
    <n v="0"/>
    <n v="0"/>
    <n v="1"/>
    <s v="Bookstore A."/>
    <s v="Bookstores D and E."/>
    <s v="Bookstore E."/>
    <s v="mo-h"/>
    <s v="ms-l"/>
    <s v="mo-l"/>
    <n v="0"/>
    <x v="2"/>
    <x v="1"/>
    <n v="0"/>
    <n v="1"/>
    <n v="0"/>
    <n v="1"/>
    <n v="0"/>
    <n v="0"/>
    <x v="2"/>
    <n v="0"/>
    <n v="0"/>
    <n v="0"/>
    <n v="1"/>
    <x v="0"/>
  </r>
  <r>
    <s v="A2WWYVKGZZXBOB"/>
    <x v="0"/>
    <n v="36"/>
    <s v="male"/>
    <x v="2"/>
    <x v="3"/>
    <n v="3930"/>
    <n v="0"/>
    <n v="0"/>
    <n v="0"/>
    <n v="1"/>
    <s v="Cafe F."/>
    <s v="Cafes D and E."/>
    <s v="Cafes A and B."/>
    <s v="fa"/>
    <s v="ms-l"/>
    <s v="ms-h"/>
    <n v="0"/>
    <x v="1"/>
    <x v="2"/>
    <n v="1"/>
    <n v="1"/>
    <n v="0"/>
    <n v="1"/>
    <n v="0"/>
    <n v="0"/>
    <x v="2"/>
    <n v="0"/>
    <n v="0"/>
    <n v="0"/>
    <n v="1"/>
    <x v="0"/>
  </r>
  <r>
    <s v="A2WWYVKGZZXBOB"/>
    <x v="0"/>
    <n v="36"/>
    <s v="male"/>
    <x v="3"/>
    <x v="10"/>
    <n v="17718"/>
    <n v="0"/>
    <n v="0"/>
    <n v="0"/>
    <n v="1"/>
    <s v="NA"/>
    <s v="NA"/>
    <s v="NA"/>
    <s v="NA"/>
    <s v="NA"/>
    <s v="NA"/>
    <s v="NA"/>
    <x v="1"/>
    <x v="2"/>
    <n v="1"/>
    <n v="1"/>
    <n v="0"/>
    <n v="1"/>
    <n v="0"/>
    <n v="0"/>
    <x v="2"/>
    <n v="0"/>
    <n v="0"/>
    <n v="0"/>
    <n v="1"/>
    <x v="0"/>
  </r>
  <r>
    <s v="A2WWYVKGZZXBOB"/>
    <x v="0"/>
    <n v="36"/>
    <s v="male"/>
    <x v="4"/>
    <x v="0"/>
    <n v="28805"/>
    <s v="No."/>
    <s v="Yes%2C I'm not good with riddles."/>
    <m/>
    <s v="NA"/>
    <s v="NA"/>
    <s v="NA"/>
    <s v="NA"/>
    <s v="NA"/>
    <s v="NA"/>
    <s v="NA"/>
    <s v="NA"/>
    <x v="0"/>
    <x v="0"/>
    <s v="NA"/>
    <s v="NA"/>
    <s v="NA"/>
    <s v="NA"/>
    <s v="NA"/>
    <s v="NA"/>
    <x v="0"/>
    <s v="NA"/>
    <s v="NA"/>
    <s v="NA"/>
    <s v="NA"/>
    <x v="0"/>
  </r>
  <r>
    <s v="A25FNSFSB048DL"/>
    <x v="0"/>
    <n v="37"/>
    <s v="male"/>
    <x v="0"/>
    <x v="0"/>
    <n v="75392"/>
    <s v="NA"/>
    <s v="NA"/>
    <s v="NA"/>
    <s v="NA"/>
    <s v="NA"/>
    <s v="NA"/>
    <s v="NA"/>
    <s v="NA"/>
    <s v="NA"/>
    <s v="NA"/>
    <s v="NA"/>
    <x v="0"/>
    <x v="0"/>
    <s v="NA"/>
    <s v="NA"/>
    <s v="NA"/>
    <s v="NA"/>
    <s v="NA"/>
    <s v="NA"/>
    <x v="0"/>
    <s v="NA"/>
    <s v="NA"/>
    <s v="NA"/>
    <s v="NA"/>
    <x v="0"/>
  </r>
  <r>
    <s v="A25FNSFSB048DL"/>
    <x v="0"/>
    <n v="37"/>
    <s v="male"/>
    <x v="1"/>
    <x v="1"/>
    <n v="37140"/>
    <n v="0"/>
    <n v="0"/>
    <n v="0"/>
    <n v="1"/>
    <s v="NA"/>
    <s v="NA"/>
    <s v="NA"/>
    <s v="NA"/>
    <s v="NA"/>
    <s v="NA"/>
    <s v="NA"/>
    <x v="0"/>
    <x v="0"/>
    <s v="NA"/>
    <s v="NA"/>
    <s v="NA"/>
    <s v="NA"/>
    <s v="NA"/>
    <s v="NA"/>
    <x v="0"/>
    <s v="NA"/>
    <s v="NA"/>
    <s v="NA"/>
    <s v="NA"/>
    <x v="0"/>
  </r>
  <r>
    <s v="A25FNSFSB048DL"/>
    <x v="0"/>
    <n v="37"/>
    <s v="male"/>
    <x v="1"/>
    <x v="2"/>
    <n v="40134"/>
    <n v="0"/>
    <n v="0"/>
    <n v="1"/>
    <n v="0"/>
    <s v="NA"/>
    <s v="NA"/>
    <s v="NA"/>
    <s v="NA"/>
    <s v="NA"/>
    <s v="NA"/>
    <s v="NA"/>
    <x v="0"/>
    <x v="0"/>
    <s v="NA"/>
    <s v="NA"/>
    <s v="NA"/>
    <s v="NA"/>
    <s v="NA"/>
    <s v="NA"/>
    <x v="0"/>
    <s v="NA"/>
    <s v="NA"/>
    <s v="NA"/>
    <s v="NA"/>
    <x v="0"/>
  </r>
  <r>
    <s v="A25FNSFSB048DL"/>
    <x v="0"/>
    <n v="37"/>
    <s v="male"/>
    <x v="2"/>
    <x v="9"/>
    <n v="55509"/>
    <n v="0"/>
    <n v="0"/>
    <n v="0"/>
    <n v="1"/>
    <s v="Stores A and B."/>
    <s v="Stores D and E."/>
    <s v="Store A."/>
    <s v="ms-h"/>
    <s v="ms-l"/>
    <s v="mo-h"/>
    <n v="0"/>
    <x v="2"/>
    <x v="2"/>
    <n v="1"/>
    <n v="1"/>
    <n v="0"/>
    <n v="1"/>
    <n v="0"/>
    <n v="0"/>
    <x v="2"/>
    <n v="0"/>
    <n v="0"/>
    <n v="0"/>
    <n v="1"/>
    <x v="0"/>
  </r>
  <r>
    <s v="A25FNSFSB048DL"/>
    <x v="0"/>
    <n v="37"/>
    <s v="male"/>
    <x v="2"/>
    <x v="3"/>
    <n v="46904"/>
    <n v="1"/>
    <n v="1"/>
    <n v="1"/>
    <n v="0"/>
    <s v="Cafes A and B."/>
    <s v="Cafe F."/>
    <s v="Cafe E."/>
    <s v="ms-h"/>
    <s v="fa"/>
    <s v="mo-l"/>
    <n v="0"/>
    <x v="1"/>
    <x v="1"/>
    <n v="1"/>
    <n v="0"/>
    <n v="0"/>
    <n v="1"/>
    <n v="0"/>
    <n v="0"/>
    <x v="1"/>
    <n v="1"/>
    <n v="0"/>
    <n v="0"/>
    <n v="0"/>
    <x v="0"/>
  </r>
  <r>
    <s v="A25FNSFSB048DL"/>
    <x v="0"/>
    <n v="37"/>
    <s v="male"/>
    <x v="3"/>
    <x v="12"/>
    <n v="18909"/>
    <n v="1"/>
    <n v="0"/>
    <n v="0"/>
    <n v="0"/>
    <s v="NA"/>
    <s v="NA"/>
    <s v="NA"/>
    <s v="NA"/>
    <s v="NA"/>
    <s v="NA"/>
    <s v="NA"/>
    <x v="1"/>
    <x v="1"/>
    <n v="1"/>
    <n v="0"/>
    <n v="0"/>
    <n v="1"/>
    <n v="0"/>
    <n v="0"/>
    <x v="1"/>
    <n v="1"/>
    <n v="0"/>
    <n v="0"/>
    <n v="0"/>
    <x v="0"/>
  </r>
  <r>
    <s v="A25FNSFSB048DL"/>
    <x v="0"/>
    <n v="37"/>
    <s v="male"/>
    <x v="2"/>
    <x v="7"/>
    <n v="15061"/>
    <n v="1"/>
    <n v="0"/>
    <n v="0"/>
    <n v="0"/>
    <s v="Stylist A."/>
    <s v="Stylist E."/>
    <s v="Stylists A, B, C, D and E."/>
    <s v="mo-h"/>
    <s v="mo-l"/>
    <s v="exh"/>
    <n v="1"/>
    <x v="2"/>
    <x v="1"/>
    <n v="0"/>
    <n v="0"/>
    <n v="0"/>
    <n v="1"/>
    <n v="0"/>
    <n v="1"/>
    <x v="2"/>
    <n v="0"/>
    <n v="0"/>
    <n v="0"/>
    <n v="0"/>
    <x v="0"/>
  </r>
  <r>
    <s v="A25FNSFSB048DL"/>
    <x v="0"/>
    <n v="37"/>
    <s v="male"/>
    <x v="3"/>
    <x v="5"/>
    <n v="32727"/>
    <n v="0"/>
    <n v="1"/>
    <n v="1"/>
    <n v="0"/>
    <s v="NA"/>
    <s v="NA"/>
    <s v="NA"/>
    <s v="NA"/>
    <s v="NA"/>
    <s v="NA"/>
    <s v="NA"/>
    <x v="2"/>
    <x v="1"/>
    <n v="0"/>
    <n v="0"/>
    <n v="0"/>
    <n v="1"/>
    <n v="0"/>
    <n v="1"/>
    <x v="2"/>
    <n v="0"/>
    <n v="0"/>
    <n v="0"/>
    <n v="0"/>
    <x v="0"/>
  </r>
  <r>
    <s v="A25FNSFSB048DL"/>
    <x v="0"/>
    <n v="37"/>
    <s v="male"/>
    <x v="2"/>
    <x v="6"/>
    <n v="34192"/>
    <n v="0"/>
    <n v="0"/>
    <n v="1"/>
    <n v="0"/>
    <s v="Bookstores D and E."/>
    <s v="Bookstore E."/>
    <s v="Bookstores A and B."/>
    <s v="ms-l"/>
    <s v="mo-l"/>
    <s v="ms-h"/>
    <n v="0"/>
    <x v="1"/>
    <x v="1"/>
    <n v="1"/>
    <n v="1"/>
    <n v="0"/>
    <n v="1"/>
    <n v="0"/>
    <n v="0"/>
    <x v="2"/>
    <n v="1"/>
    <n v="0"/>
    <n v="0"/>
    <n v="0"/>
    <x v="0"/>
  </r>
  <r>
    <s v="A25FNSFSB048DL"/>
    <x v="0"/>
    <n v="37"/>
    <s v="male"/>
    <x v="2"/>
    <x v="4"/>
    <n v="12805"/>
    <n v="0"/>
    <n v="1"/>
    <n v="0"/>
    <n v="0"/>
    <s v="Stall F."/>
    <s v="Stall A."/>
    <s v="Stalls A and B."/>
    <s v="fa"/>
    <s v="mo-h"/>
    <s v="ms-h"/>
    <n v="0"/>
    <x v="2"/>
    <x v="2"/>
    <n v="1"/>
    <n v="0"/>
    <n v="0"/>
    <n v="1"/>
    <n v="0"/>
    <n v="1"/>
    <x v="2"/>
    <n v="0"/>
    <n v="0"/>
    <n v="0"/>
    <n v="0"/>
    <x v="0"/>
  </r>
  <r>
    <s v="A25FNSFSB048DL"/>
    <x v="0"/>
    <n v="37"/>
    <s v="male"/>
    <x v="3"/>
    <x v="8"/>
    <n v="15427"/>
    <n v="0"/>
    <n v="1"/>
    <n v="0"/>
    <n v="0"/>
    <s v="NA"/>
    <s v="NA"/>
    <s v="NA"/>
    <s v="NA"/>
    <s v="NA"/>
    <s v="NA"/>
    <s v="NA"/>
    <x v="2"/>
    <x v="2"/>
    <n v="1"/>
    <n v="0"/>
    <n v="0"/>
    <n v="1"/>
    <n v="0"/>
    <n v="1"/>
    <x v="2"/>
    <n v="0"/>
    <n v="0"/>
    <n v="0"/>
    <n v="0"/>
    <x v="0"/>
  </r>
  <r>
    <s v="A25FNSFSB048DL"/>
    <x v="0"/>
    <n v="37"/>
    <s v="male"/>
    <x v="2"/>
    <x v="11"/>
    <n v="11638"/>
    <n v="0"/>
    <n v="0"/>
    <n v="1"/>
    <n v="0"/>
    <s v="Dentists D and E."/>
    <s v="Dentists A, B, C, D and E."/>
    <s v="Dentist A."/>
    <s v="ms-l"/>
    <s v="exh"/>
    <s v="mo-h"/>
    <n v="1"/>
    <x v="2"/>
    <x v="2"/>
    <n v="0"/>
    <n v="1"/>
    <n v="0"/>
    <n v="1"/>
    <n v="0"/>
    <n v="1"/>
    <x v="2"/>
    <n v="0"/>
    <n v="0"/>
    <n v="0"/>
    <n v="0"/>
    <x v="0"/>
  </r>
  <r>
    <s v="A25FNSFSB048DL"/>
    <x v="0"/>
    <n v="37"/>
    <s v="male"/>
    <x v="3"/>
    <x v="10"/>
    <n v="21959"/>
    <n v="1"/>
    <n v="1"/>
    <n v="1"/>
    <n v="0"/>
    <s v="NA"/>
    <s v="NA"/>
    <s v="NA"/>
    <s v="NA"/>
    <s v="NA"/>
    <s v="NA"/>
    <s v="NA"/>
    <x v="2"/>
    <x v="2"/>
    <n v="0"/>
    <n v="1"/>
    <n v="0"/>
    <n v="1"/>
    <n v="0"/>
    <n v="1"/>
    <x v="2"/>
    <n v="0"/>
    <n v="0"/>
    <n v="0"/>
    <n v="0"/>
    <x v="0"/>
  </r>
  <r>
    <s v="A25FNSFSB048DL"/>
    <x v="0"/>
    <n v="37"/>
    <s v="male"/>
    <x v="4"/>
    <x v="0"/>
    <n v="55409"/>
    <s v="No as both ask for lists of who serves brunch not anrecommendation"/>
    <s v="Yes some of the clues were confusing"/>
    <s v="It would be interesting to see the correct answers.¬†"/>
    <s v="NA"/>
    <s v="NA"/>
    <s v="NA"/>
    <s v="NA"/>
    <s v="NA"/>
    <s v="NA"/>
    <s v="NA"/>
    <s v="NA"/>
    <x v="0"/>
    <x v="0"/>
    <s v="NA"/>
    <s v="NA"/>
    <s v="NA"/>
    <s v="NA"/>
    <s v="NA"/>
    <s v="NA"/>
    <x v="0"/>
    <s v="NA"/>
    <s v="NA"/>
    <s v="NA"/>
    <s v="NA"/>
    <x v="0"/>
  </r>
  <r>
    <s v="A10UWP6T47G9TR"/>
    <x v="0"/>
    <n v="32"/>
    <s v="female"/>
    <x v="0"/>
    <x v="0"/>
    <n v="28296"/>
    <s v="NA"/>
    <s v="NA"/>
    <s v="NA"/>
    <s v="NA"/>
    <s v="NA"/>
    <s v="NA"/>
    <s v="NA"/>
    <s v="NA"/>
    <s v="NA"/>
    <s v="NA"/>
    <s v="NA"/>
    <x v="0"/>
    <x v="0"/>
    <s v="NA"/>
    <s v="NA"/>
    <s v="NA"/>
    <s v="NA"/>
    <s v="NA"/>
    <s v="NA"/>
    <x v="0"/>
    <s v="NA"/>
    <s v="NA"/>
    <s v="NA"/>
    <s v="NA"/>
    <x v="0"/>
  </r>
  <r>
    <s v="A10UWP6T47G9TR"/>
    <x v="0"/>
    <n v="32"/>
    <s v="female"/>
    <x v="1"/>
    <x v="1"/>
    <n v="26626"/>
    <n v="0"/>
    <n v="0"/>
    <n v="0"/>
    <n v="1"/>
    <s v="NA"/>
    <s v="NA"/>
    <s v="NA"/>
    <s v="NA"/>
    <s v="NA"/>
    <s v="NA"/>
    <s v="NA"/>
    <x v="0"/>
    <x v="0"/>
    <s v="NA"/>
    <s v="NA"/>
    <s v="NA"/>
    <s v="NA"/>
    <s v="NA"/>
    <s v="NA"/>
    <x v="0"/>
    <s v="NA"/>
    <s v="NA"/>
    <s v="NA"/>
    <s v="NA"/>
    <x v="0"/>
  </r>
  <r>
    <s v="A10UWP6T47G9TR"/>
    <x v="0"/>
    <n v="32"/>
    <s v="female"/>
    <x v="1"/>
    <x v="2"/>
    <n v="21075"/>
    <n v="0"/>
    <n v="0"/>
    <n v="1"/>
    <n v="0"/>
    <s v="NA"/>
    <s v="NA"/>
    <s v="NA"/>
    <s v="NA"/>
    <s v="NA"/>
    <s v="NA"/>
    <s v="NA"/>
    <x v="0"/>
    <x v="0"/>
    <s v="NA"/>
    <s v="NA"/>
    <s v="NA"/>
    <s v="NA"/>
    <s v="NA"/>
    <s v="NA"/>
    <x v="0"/>
    <s v="NA"/>
    <s v="NA"/>
    <s v="NA"/>
    <s v="NA"/>
    <x v="0"/>
  </r>
  <r>
    <s v="A10UWP6T47G9TR"/>
    <x v="0"/>
    <n v="32"/>
    <s v="female"/>
    <x v="2"/>
    <x v="4"/>
    <n v="58847"/>
    <n v="0"/>
    <n v="0"/>
    <n v="0"/>
    <n v="1"/>
    <s v="Stalls D and E."/>
    <s v="Stall A."/>
    <s v="Stalls A and B."/>
    <s v="ms-l"/>
    <s v="mo-h"/>
    <s v="ms-h"/>
    <n v="0"/>
    <x v="2"/>
    <x v="2"/>
    <n v="1"/>
    <n v="1"/>
    <n v="0"/>
    <n v="1"/>
    <n v="0"/>
    <n v="0"/>
    <x v="2"/>
    <n v="0"/>
    <n v="0"/>
    <n v="0"/>
    <n v="1"/>
    <x v="0"/>
  </r>
  <r>
    <s v="A10UWP6T47G9TR"/>
    <x v="0"/>
    <n v="32"/>
    <s v="female"/>
    <x v="2"/>
    <x v="6"/>
    <n v="17491"/>
    <n v="0"/>
    <n v="0"/>
    <n v="1"/>
    <n v="0"/>
    <s v="Bookstore F."/>
    <s v="Bookstores A, B, C, D and E."/>
    <s v="Bookstore A."/>
    <s v="fa"/>
    <s v="exh"/>
    <s v="mo-h"/>
    <n v="1"/>
    <x v="2"/>
    <x v="2"/>
    <n v="0"/>
    <n v="0"/>
    <n v="0"/>
    <n v="1"/>
    <n v="0"/>
    <n v="1"/>
    <x v="2"/>
    <n v="0"/>
    <n v="0"/>
    <n v="0"/>
    <n v="0"/>
    <x v="0"/>
  </r>
  <r>
    <s v="A10UWP6T47G9TR"/>
    <x v="0"/>
    <n v="32"/>
    <s v="female"/>
    <x v="3"/>
    <x v="5"/>
    <n v="24292"/>
    <n v="0"/>
    <n v="0"/>
    <n v="1"/>
    <n v="0"/>
    <s v="NA"/>
    <s v="NA"/>
    <s v="NA"/>
    <s v="NA"/>
    <s v="NA"/>
    <s v="NA"/>
    <s v="NA"/>
    <x v="2"/>
    <x v="2"/>
    <n v="0"/>
    <n v="0"/>
    <n v="0"/>
    <n v="1"/>
    <n v="0"/>
    <n v="1"/>
    <x v="2"/>
    <n v="0"/>
    <n v="0"/>
    <n v="0"/>
    <n v="0"/>
    <x v="0"/>
  </r>
  <r>
    <s v="A10UWP6T47G9TR"/>
    <x v="0"/>
    <n v="32"/>
    <s v="female"/>
    <x v="2"/>
    <x v="11"/>
    <n v="39493"/>
    <n v="0"/>
    <n v="1"/>
    <n v="0"/>
    <n v="0"/>
    <s v="Dentists A and B."/>
    <s v="Dentist A."/>
    <s v="Dentist E."/>
    <s v="ms-h"/>
    <s v="mo-h"/>
    <s v="mo-l"/>
    <n v="0"/>
    <x v="2"/>
    <x v="1"/>
    <n v="1"/>
    <n v="0"/>
    <n v="0"/>
    <n v="1"/>
    <n v="0"/>
    <n v="1"/>
    <x v="2"/>
    <n v="0"/>
    <n v="0"/>
    <n v="0"/>
    <n v="0"/>
    <x v="0"/>
  </r>
  <r>
    <s v="A10UWP6T47G9TR"/>
    <x v="0"/>
    <n v="32"/>
    <s v="female"/>
    <x v="3"/>
    <x v="10"/>
    <n v="37870"/>
    <n v="0"/>
    <n v="0"/>
    <n v="1"/>
    <n v="0"/>
    <s v="NA"/>
    <s v="NA"/>
    <s v="NA"/>
    <s v="NA"/>
    <s v="NA"/>
    <s v="NA"/>
    <s v="NA"/>
    <x v="2"/>
    <x v="1"/>
    <n v="1"/>
    <n v="0"/>
    <n v="0"/>
    <n v="1"/>
    <n v="0"/>
    <n v="1"/>
    <x v="2"/>
    <n v="0"/>
    <n v="0"/>
    <n v="0"/>
    <n v="0"/>
    <x v="0"/>
  </r>
  <r>
    <s v="A10UWP6T47G9TR"/>
    <x v="0"/>
    <n v="32"/>
    <s v="female"/>
    <x v="2"/>
    <x v="3"/>
    <n v="20118"/>
    <n v="0"/>
    <n v="0"/>
    <n v="0"/>
    <n v="1"/>
    <s v="Cafe E."/>
    <s v="Cafes A and B."/>
    <s v="Cafes D and E."/>
    <s v="mo-l"/>
    <s v="ms-h"/>
    <s v="ms-l"/>
    <n v="0"/>
    <x v="1"/>
    <x v="1"/>
    <n v="1"/>
    <n v="1"/>
    <n v="0"/>
    <n v="1"/>
    <n v="0"/>
    <n v="0"/>
    <x v="2"/>
    <n v="0"/>
    <n v="0"/>
    <n v="0"/>
    <n v="1"/>
    <x v="0"/>
  </r>
  <r>
    <s v="A10UWP6T47G9TR"/>
    <x v="0"/>
    <n v="32"/>
    <s v="female"/>
    <x v="2"/>
    <x v="7"/>
    <n v="19023"/>
    <n v="0"/>
    <n v="0"/>
    <n v="1"/>
    <n v="0"/>
    <s v="Stylists A and B."/>
    <s v="Stylist A."/>
    <s v="Stylists A, B, C, D and E."/>
    <s v="ms-h"/>
    <s v="mo-h"/>
    <s v="exh"/>
    <n v="1"/>
    <x v="2"/>
    <x v="2"/>
    <n v="1"/>
    <n v="0"/>
    <n v="0"/>
    <n v="1"/>
    <n v="1"/>
    <n v="0"/>
    <x v="2"/>
    <n v="0"/>
    <n v="0"/>
    <n v="0"/>
    <n v="0"/>
    <x v="0"/>
  </r>
  <r>
    <s v="A10UWP6T47G9TR"/>
    <x v="0"/>
    <n v="32"/>
    <s v="female"/>
    <x v="3"/>
    <x v="12"/>
    <n v="21484"/>
    <n v="1"/>
    <n v="0"/>
    <n v="0"/>
    <n v="0"/>
    <s v="NA"/>
    <s v="NA"/>
    <s v="NA"/>
    <s v="NA"/>
    <s v="NA"/>
    <s v="NA"/>
    <s v="NA"/>
    <x v="2"/>
    <x v="2"/>
    <n v="1"/>
    <n v="0"/>
    <n v="0"/>
    <n v="1"/>
    <n v="1"/>
    <n v="0"/>
    <x v="2"/>
    <n v="0"/>
    <n v="0"/>
    <n v="0"/>
    <n v="0"/>
    <x v="0"/>
  </r>
  <r>
    <s v="A10UWP6T47G9TR"/>
    <x v="0"/>
    <n v="32"/>
    <s v="female"/>
    <x v="2"/>
    <x v="9"/>
    <n v="13600"/>
    <n v="0"/>
    <n v="0"/>
    <n v="0"/>
    <n v="1"/>
    <s v="Store A."/>
    <s v="Stores A and B."/>
    <s v="Store F."/>
    <s v="mo-h"/>
    <s v="ms-h"/>
    <s v="fa"/>
    <n v="0"/>
    <x v="2"/>
    <x v="2"/>
    <n v="1"/>
    <n v="0"/>
    <n v="0"/>
    <n v="1"/>
    <n v="0"/>
    <n v="0"/>
    <x v="2"/>
    <n v="0"/>
    <n v="0"/>
    <n v="0"/>
    <n v="1"/>
    <x v="0"/>
  </r>
  <r>
    <s v="A10UWP6T47G9TR"/>
    <x v="0"/>
    <n v="32"/>
    <s v="female"/>
    <x v="3"/>
    <x v="8"/>
    <n v="20851"/>
    <n v="1"/>
    <n v="0"/>
    <n v="0"/>
    <n v="0"/>
    <s v="NA"/>
    <s v="NA"/>
    <s v="NA"/>
    <s v="NA"/>
    <s v="NA"/>
    <s v="NA"/>
    <s v="NA"/>
    <x v="2"/>
    <x v="2"/>
    <n v="1"/>
    <n v="0"/>
    <n v="0"/>
    <n v="1"/>
    <n v="0"/>
    <n v="0"/>
    <x v="2"/>
    <n v="0"/>
    <n v="0"/>
    <n v="0"/>
    <n v="1"/>
    <x v="0"/>
  </r>
  <r>
    <s v="A10UWP6T47G9TR"/>
    <x v="0"/>
    <n v="32"/>
    <s v="female"/>
    <x v="4"/>
    <x v="0"/>
    <n v="119804"/>
    <s v="No. The fact that they are looking for somewhere that serves brunch already implies that they are looking for a restaurant or somewhere that serves food."/>
    <s v="No. I like language and thinking about the weird rules English can have."/>
    <s v="I tried to answer the questions to the best of my ability."/>
    <s v="NA"/>
    <s v="NA"/>
    <s v="NA"/>
    <s v="NA"/>
    <s v="NA"/>
    <s v="NA"/>
    <s v="NA"/>
    <s v="NA"/>
    <x v="0"/>
    <x v="0"/>
    <s v="NA"/>
    <s v="NA"/>
    <s v="NA"/>
    <s v="NA"/>
    <s v="NA"/>
    <s v="NA"/>
    <x v="0"/>
    <s v="NA"/>
    <s v="NA"/>
    <s v="NA"/>
    <s v="NA"/>
    <x v="0"/>
  </r>
  <r>
    <s v="A20SL254675EOK"/>
    <x v="0"/>
    <n v="25"/>
    <s v="male"/>
    <x v="0"/>
    <x v="0"/>
    <n v="12540"/>
    <s v="NA"/>
    <s v="NA"/>
    <s v="NA"/>
    <s v="NA"/>
    <s v="NA"/>
    <s v="NA"/>
    <s v="NA"/>
    <s v="NA"/>
    <s v="NA"/>
    <s v="NA"/>
    <s v="NA"/>
    <x v="0"/>
    <x v="0"/>
    <s v="NA"/>
    <s v="NA"/>
    <s v="NA"/>
    <s v="NA"/>
    <s v="NA"/>
    <s v="NA"/>
    <x v="0"/>
    <s v="NA"/>
    <s v="NA"/>
    <s v="NA"/>
    <s v="NA"/>
    <x v="0"/>
  </r>
  <r>
    <s v="A20SL254675EOK"/>
    <x v="0"/>
    <n v="25"/>
    <s v="male"/>
    <x v="1"/>
    <x v="1"/>
    <n v="30560"/>
    <n v="0"/>
    <n v="0"/>
    <n v="0"/>
    <n v="1"/>
    <s v="NA"/>
    <s v="NA"/>
    <s v="NA"/>
    <s v="NA"/>
    <s v="NA"/>
    <s v="NA"/>
    <s v="NA"/>
    <x v="0"/>
    <x v="0"/>
    <s v="NA"/>
    <s v="NA"/>
    <s v="NA"/>
    <s v="NA"/>
    <s v="NA"/>
    <s v="NA"/>
    <x v="0"/>
    <s v="NA"/>
    <s v="NA"/>
    <s v="NA"/>
    <s v="NA"/>
    <x v="0"/>
  </r>
  <r>
    <s v="A20SL254675EOK"/>
    <x v="0"/>
    <n v="25"/>
    <s v="male"/>
    <x v="1"/>
    <x v="2"/>
    <n v="19664"/>
    <n v="0"/>
    <n v="0"/>
    <n v="1"/>
    <n v="0"/>
    <s v="NA"/>
    <s v="NA"/>
    <s v="NA"/>
    <s v="NA"/>
    <s v="NA"/>
    <s v="NA"/>
    <s v="NA"/>
    <x v="0"/>
    <x v="0"/>
    <s v="NA"/>
    <s v="NA"/>
    <s v="NA"/>
    <s v="NA"/>
    <s v="NA"/>
    <s v="NA"/>
    <x v="0"/>
    <s v="NA"/>
    <s v="NA"/>
    <s v="NA"/>
    <s v="NA"/>
    <x v="0"/>
  </r>
  <r>
    <s v="A20SL254675EOK"/>
    <x v="0"/>
    <n v="25"/>
    <s v="male"/>
    <x v="2"/>
    <x v="6"/>
    <n v="23798"/>
    <n v="0"/>
    <n v="1"/>
    <n v="0"/>
    <n v="0"/>
    <s v="Bookstores A, B, C, D and E."/>
    <s v="Bookstore A."/>
    <s v="Bookstore E."/>
    <s v="exh"/>
    <s v="mo-h"/>
    <s v="mo-l"/>
    <n v="1"/>
    <x v="2"/>
    <x v="1"/>
    <n v="0"/>
    <n v="0"/>
    <n v="0"/>
    <n v="1"/>
    <n v="0"/>
    <n v="1"/>
    <x v="2"/>
    <n v="0"/>
    <n v="0"/>
    <n v="0"/>
    <n v="0"/>
    <x v="0"/>
  </r>
  <r>
    <s v="A20SL254675EOK"/>
    <x v="0"/>
    <n v="25"/>
    <s v="male"/>
    <x v="3"/>
    <x v="12"/>
    <n v="16005"/>
    <n v="0"/>
    <n v="0"/>
    <n v="0"/>
    <n v="1"/>
    <s v="NA"/>
    <s v="NA"/>
    <s v="NA"/>
    <s v="NA"/>
    <s v="NA"/>
    <s v="NA"/>
    <s v="NA"/>
    <x v="2"/>
    <x v="1"/>
    <n v="0"/>
    <n v="0"/>
    <n v="0"/>
    <n v="1"/>
    <n v="0"/>
    <n v="1"/>
    <x v="2"/>
    <n v="0"/>
    <n v="0"/>
    <n v="0"/>
    <n v="0"/>
    <x v="0"/>
  </r>
  <r>
    <s v="A20SL254675EOK"/>
    <x v="0"/>
    <n v="25"/>
    <s v="male"/>
    <x v="2"/>
    <x v="11"/>
    <n v="32650"/>
    <n v="1"/>
    <n v="1"/>
    <n v="1"/>
    <n v="0"/>
    <s v="Dentists D and E."/>
    <s v="Dentists A and B."/>
    <s v="Dentist A."/>
    <s v="ms-l"/>
    <s v="ms-h"/>
    <s v="mo-h"/>
    <n v="0"/>
    <x v="2"/>
    <x v="2"/>
    <n v="1"/>
    <n v="1"/>
    <n v="0"/>
    <n v="1"/>
    <n v="0"/>
    <n v="1"/>
    <x v="2"/>
    <n v="1"/>
    <n v="1"/>
    <n v="0"/>
    <n v="0"/>
    <x v="0"/>
  </r>
  <r>
    <s v="A20SL254675EOK"/>
    <x v="0"/>
    <n v="25"/>
    <s v="male"/>
    <x v="2"/>
    <x v="3"/>
    <n v="37115"/>
    <n v="1"/>
    <n v="1"/>
    <n v="1"/>
    <n v="0"/>
    <s v="Cafes D and E."/>
    <s v="Cafe F."/>
    <s v="Cafe A."/>
    <s v="ms-l"/>
    <s v="fa"/>
    <s v="mo-h"/>
    <n v="0"/>
    <x v="2"/>
    <x v="2"/>
    <n v="0"/>
    <n v="1"/>
    <n v="0"/>
    <n v="1"/>
    <n v="0"/>
    <n v="1"/>
    <x v="2"/>
    <n v="0"/>
    <n v="1"/>
    <n v="0"/>
    <n v="0"/>
    <x v="0"/>
  </r>
  <r>
    <s v="A20SL254675EOK"/>
    <x v="0"/>
    <n v="25"/>
    <s v="male"/>
    <x v="3"/>
    <x v="10"/>
    <n v="32489"/>
    <n v="0"/>
    <n v="0"/>
    <n v="1"/>
    <n v="0"/>
    <s v="NA"/>
    <s v="NA"/>
    <s v="NA"/>
    <s v="NA"/>
    <s v="NA"/>
    <s v="NA"/>
    <s v="NA"/>
    <x v="2"/>
    <x v="2"/>
    <n v="0"/>
    <n v="1"/>
    <n v="0"/>
    <n v="1"/>
    <n v="0"/>
    <n v="1"/>
    <x v="2"/>
    <n v="0"/>
    <n v="1"/>
    <n v="0"/>
    <n v="0"/>
    <x v="0"/>
  </r>
  <r>
    <s v="A20SL254675EOK"/>
    <x v="0"/>
    <n v="25"/>
    <s v="male"/>
    <x v="2"/>
    <x v="9"/>
    <n v="8113"/>
    <n v="1"/>
    <n v="1"/>
    <n v="1"/>
    <n v="0"/>
    <s v="Stores A and B."/>
    <s v="Store F."/>
    <s v="Store A."/>
    <s v="ms-h"/>
    <s v="fa"/>
    <s v="mo-h"/>
    <n v="0"/>
    <x v="2"/>
    <x v="2"/>
    <n v="1"/>
    <n v="0"/>
    <n v="0"/>
    <n v="1"/>
    <n v="0"/>
    <n v="1"/>
    <x v="2"/>
    <n v="1"/>
    <n v="0"/>
    <n v="0"/>
    <n v="0"/>
    <x v="0"/>
  </r>
  <r>
    <s v="A20SL254675EOK"/>
    <x v="0"/>
    <n v="25"/>
    <s v="male"/>
    <x v="3"/>
    <x v="5"/>
    <n v="24750"/>
    <n v="0"/>
    <n v="1"/>
    <n v="1"/>
    <n v="0"/>
    <s v="NA"/>
    <s v="NA"/>
    <s v="NA"/>
    <s v="NA"/>
    <s v="NA"/>
    <s v="NA"/>
    <s v="NA"/>
    <x v="2"/>
    <x v="2"/>
    <n v="1"/>
    <n v="0"/>
    <n v="0"/>
    <n v="1"/>
    <n v="0"/>
    <n v="1"/>
    <x v="2"/>
    <n v="1"/>
    <n v="0"/>
    <n v="0"/>
    <n v="0"/>
    <x v="0"/>
  </r>
  <r>
    <s v="A20SL254675EOK"/>
    <x v="0"/>
    <n v="25"/>
    <s v="male"/>
    <x v="2"/>
    <x v="4"/>
    <n v="8031"/>
    <n v="1"/>
    <n v="0"/>
    <n v="1"/>
    <n v="0"/>
    <s v="Stall F."/>
    <s v="Stalls A and B."/>
    <s v="Stalls D and E."/>
    <s v="fa"/>
    <s v="ms-h"/>
    <s v="ms-l"/>
    <n v="0"/>
    <x v="1"/>
    <x v="2"/>
    <n v="1"/>
    <n v="1"/>
    <n v="0"/>
    <n v="1"/>
    <n v="0"/>
    <n v="0"/>
    <x v="2"/>
    <n v="0"/>
    <n v="1"/>
    <n v="0"/>
    <n v="0"/>
    <x v="0"/>
  </r>
  <r>
    <s v="A20SL254675EOK"/>
    <x v="0"/>
    <n v="25"/>
    <s v="male"/>
    <x v="2"/>
    <x v="7"/>
    <n v="9527"/>
    <n v="1"/>
    <n v="1"/>
    <n v="1"/>
    <n v="0"/>
    <s v="Stylist A."/>
    <s v="Stylists A, B, C, D and E."/>
    <s v="Stylists D and E."/>
    <s v="mo-h"/>
    <s v="exh"/>
    <s v="ms-l"/>
    <n v="1"/>
    <x v="2"/>
    <x v="2"/>
    <n v="0"/>
    <n v="1"/>
    <n v="0"/>
    <n v="1"/>
    <n v="1"/>
    <n v="1"/>
    <x v="2"/>
    <n v="0"/>
    <n v="1"/>
    <n v="0"/>
    <n v="0"/>
    <x v="0"/>
  </r>
  <r>
    <s v="A20SL254675EOK"/>
    <x v="0"/>
    <n v="25"/>
    <s v="male"/>
    <x v="3"/>
    <x v="8"/>
    <n v="20647"/>
    <n v="0"/>
    <n v="0"/>
    <n v="0"/>
    <n v="1"/>
    <s v="NA"/>
    <s v="NA"/>
    <s v="NA"/>
    <s v="NA"/>
    <s v="NA"/>
    <s v="NA"/>
    <s v="NA"/>
    <x v="2"/>
    <x v="2"/>
    <n v="0"/>
    <n v="1"/>
    <n v="0"/>
    <n v="1"/>
    <n v="1"/>
    <n v="1"/>
    <x v="2"/>
    <n v="0"/>
    <n v="1"/>
    <n v="0"/>
    <n v="0"/>
    <x v="0"/>
  </r>
  <r>
    <s v="A20SL254675EOK"/>
    <x v="0"/>
    <n v="25"/>
    <s v="male"/>
    <x v="4"/>
    <x v="0"/>
    <n v="67016"/>
    <s v="I would not. It is the same question."/>
    <s v="no."/>
    <s v="Every time there was an A%2CB%2CC%2CD%2CE%2CF question everyone was right. The person did go to all of them and rated them. "/>
    <s v="NA"/>
    <s v="NA"/>
    <s v="NA"/>
    <s v="NA"/>
    <s v="NA"/>
    <s v="NA"/>
    <s v="NA"/>
    <s v="NA"/>
    <x v="0"/>
    <x v="0"/>
    <s v="NA"/>
    <s v="NA"/>
    <s v="NA"/>
    <s v="NA"/>
    <s v="NA"/>
    <s v="NA"/>
    <x v="0"/>
    <s v="NA"/>
    <s v="NA"/>
    <s v="NA"/>
    <s v="NA"/>
    <x v="0"/>
  </r>
  <r>
    <s v="A36OS4XKUJF4NB"/>
    <x v="0"/>
    <n v="20"/>
    <s v="male"/>
    <x v="0"/>
    <x v="0"/>
    <n v="31246"/>
    <s v="NA"/>
    <s v="NA"/>
    <s v="NA"/>
    <s v="NA"/>
    <s v="NA"/>
    <s v="NA"/>
    <s v="NA"/>
    <s v="NA"/>
    <s v="NA"/>
    <s v="NA"/>
    <s v="NA"/>
    <x v="0"/>
    <x v="0"/>
    <s v="NA"/>
    <s v="NA"/>
    <s v="NA"/>
    <s v="NA"/>
    <s v="NA"/>
    <s v="NA"/>
    <x v="0"/>
    <s v="NA"/>
    <s v="NA"/>
    <s v="NA"/>
    <s v="NA"/>
    <x v="0"/>
  </r>
  <r>
    <s v="A36OS4XKUJF4NB"/>
    <x v="0"/>
    <n v="20"/>
    <s v="male"/>
    <x v="1"/>
    <x v="2"/>
    <n v="66155"/>
    <n v="0"/>
    <n v="0"/>
    <n v="0"/>
    <n v="1"/>
    <s v="NA"/>
    <s v="NA"/>
    <s v="NA"/>
    <s v="NA"/>
    <s v="NA"/>
    <s v="NA"/>
    <s v="NA"/>
    <x v="0"/>
    <x v="0"/>
    <s v="NA"/>
    <s v="NA"/>
    <s v="NA"/>
    <s v="NA"/>
    <s v="NA"/>
    <s v="NA"/>
    <x v="0"/>
    <s v="NA"/>
    <s v="NA"/>
    <s v="NA"/>
    <s v="NA"/>
    <x v="0"/>
  </r>
  <r>
    <s v="A36OS4XKUJF4NB"/>
    <x v="0"/>
    <n v="20"/>
    <s v="male"/>
    <x v="1"/>
    <x v="1"/>
    <n v="51144"/>
    <n v="0"/>
    <n v="0"/>
    <n v="0"/>
    <n v="1"/>
    <s v="NA"/>
    <s v="NA"/>
    <s v="NA"/>
    <s v="NA"/>
    <s v="NA"/>
    <s v="NA"/>
    <s v="NA"/>
    <x v="0"/>
    <x v="0"/>
    <s v="NA"/>
    <s v="NA"/>
    <s v="NA"/>
    <s v="NA"/>
    <s v="NA"/>
    <s v="NA"/>
    <x v="0"/>
    <s v="NA"/>
    <s v="NA"/>
    <s v="NA"/>
    <s v="NA"/>
    <x v="0"/>
  </r>
  <r>
    <s v="A36OS4XKUJF4NB"/>
    <x v="0"/>
    <n v="20"/>
    <s v="male"/>
    <x v="2"/>
    <x v="9"/>
    <n v="38962"/>
    <n v="0"/>
    <n v="0"/>
    <n v="0"/>
    <n v="1"/>
    <s v="Store A."/>
    <s v="Store E."/>
    <s v="Stores D and E."/>
    <s v="mo-h"/>
    <s v="mo-l"/>
    <s v="ms-l"/>
    <n v="0"/>
    <x v="2"/>
    <x v="1"/>
    <n v="0"/>
    <n v="1"/>
    <n v="0"/>
    <n v="1"/>
    <n v="0"/>
    <n v="0"/>
    <x v="2"/>
    <n v="0"/>
    <n v="0"/>
    <n v="0"/>
    <n v="1"/>
    <x v="0"/>
  </r>
  <r>
    <s v="A36OS4XKUJF4NB"/>
    <x v="0"/>
    <n v="20"/>
    <s v="male"/>
    <x v="2"/>
    <x v="3"/>
    <n v="45126"/>
    <n v="0"/>
    <n v="0"/>
    <n v="0"/>
    <n v="1"/>
    <s v="Cafes D and E."/>
    <s v="Cafes A, B, C, D and E."/>
    <s v="Cafe E."/>
    <s v="ms-l"/>
    <s v="exh"/>
    <s v="mo-l"/>
    <n v="1"/>
    <x v="1"/>
    <x v="1"/>
    <n v="0"/>
    <n v="1"/>
    <n v="0"/>
    <n v="1"/>
    <n v="0"/>
    <n v="0"/>
    <x v="2"/>
    <n v="0"/>
    <n v="0"/>
    <n v="0"/>
    <n v="1"/>
    <x v="0"/>
  </r>
  <r>
    <s v="A36OS4XKUJF4NB"/>
    <x v="0"/>
    <n v="20"/>
    <s v="male"/>
    <x v="3"/>
    <x v="8"/>
    <n v="8275"/>
    <n v="1"/>
    <n v="0"/>
    <n v="0"/>
    <n v="0"/>
    <s v="NA"/>
    <s v="NA"/>
    <s v="NA"/>
    <s v="NA"/>
    <s v="NA"/>
    <s v="NA"/>
    <s v="NA"/>
    <x v="1"/>
    <x v="1"/>
    <n v="0"/>
    <n v="1"/>
    <n v="0"/>
    <n v="1"/>
    <n v="0"/>
    <n v="0"/>
    <x v="2"/>
    <n v="0"/>
    <n v="0"/>
    <n v="0"/>
    <n v="1"/>
    <x v="0"/>
  </r>
  <r>
    <s v="A36OS4XKUJF4NB"/>
    <x v="0"/>
    <n v="20"/>
    <s v="male"/>
    <x v="2"/>
    <x v="6"/>
    <n v="6446"/>
    <n v="0"/>
    <n v="0"/>
    <n v="0"/>
    <n v="1"/>
    <s v="Bookstores A and B."/>
    <s v="Bookstores D and E."/>
    <s v="Bookstore E."/>
    <s v="ms-h"/>
    <s v="ms-l"/>
    <s v="mo-l"/>
    <n v="0"/>
    <x v="1"/>
    <x v="1"/>
    <n v="1"/>
    <n v="1"/>
    <n v="0"/>
    <n v="1"/>
    <n v="0"/>
    <n v="0"/>
    <x v="2"/>
    <n v="0"/>
    <n v="0"/>
    <n v="0"/>
    <n v="1"/>
    <x v="0"/>
  </r>
  <r>
    <s v="A36OS4XKUJF4NB"/>
    <x v="0"/>
    <n v="20"/>
    <s v="male"/>
    <x v="2"/>
    <x v="4"/>
    <n v="10409"/>
    <n v="0"/>
    <n v="0"/>
    <n v="0"/>
    <n v="1"/>
    <s v="Stall A."/>
    <s v="Stall E."/>
    <s v="Stalls A, B, C, D and E."/>
    <s v="mo-h"/>
    <s v="mo-l"/>
    <s v="exh"/>
    <n v="1"/>
    <x v="2"/>
    <x v="1"/>
    <n v="0"/>
    <n v="0"/>
    <n v="0"/>
    <n v="1"/>
    <n v="0"/>
    <n v="0"/>
    <x v="2"/>
    <n v="0"/>
    <n v="0"/>
    <n v="0"/>
    <n v="1"/>
    <x v="0"/>
  </r>
  <r>
    <s v="A36OS4XKUJF4NB"/>
    <x v="0"/>
    <n v="20"/>
    <s v="male"/>
    <x v="3"/>
    <x v="10"/>
    <n v="11176"/>
    <n v="0"/>
    <n v="1"/>
    <n v="0"/>
    <n v="0"/>
    <s v="NA"/>
    <s v="NA"/>
    <s v="NA"/>
    <s v="NA"/>
    <s v="NA"/>
    <s v="NA"/>
    <s v="NA"/>
    <x v="2"/>
    <x v="1"/>
    <n v="0"/>
    <n v="0"/>
    <n v="0"/>
    <n v="1"/>
    <n v="0"/>
    <n v="0"/>
    <x v="2"/>
    <n v="0"/>
    <n v="0"/>
    <n v="0"/>
    <n v="1"/>
    <x v="0"/>
  </r>
  <r>
    <s v="A36OS4XKUJF4NB"/>
    <x v="0"/>
    <n v="20"/>
    <s v="male"/>
    <x v="2"/>
    <x v="11"/>
    <n v="10957"/>
    <n v="0"/>
    <n v="0"/>
    <n v="0"/>
    <n v="1"/>
    <s v="Dentist E."/>
    <s v="Dentist F."/>
    <s v="Dentists A and B."/>
    <s v="mo-l"/>
    <s v="fa"/>
    <s v="ms-h"/>
    <n v="0"/>
    <x v="1"/>
    <x v="1"/>
    <n v="1"/>
    <n v="0"/>
    <n v="0"/>
    <n v="1"/>
    <n v="0"/>
    <n v="0"/>
    <x v="2"/>
    <n v="0"/>
    <n v="0"/>
    <n v="0"/>
    <n v="1"/>
    <x v="0"/>
  </r>
  <r>
    <s v="A36OS4XKUJF4NB"/>
    <x v="0"/>
    <n v="20"/>
    <s v="male"/>
    <x v="3"/>
    <x v="5"/>
    <n v="11685"/>
    <n v="0"/>
    <n v="0"/>
    <n v="1"/>
    <n v="0"/>
    <s v="NA"/>
    <s v="NA"/>
    <s v="NA"/>
    <s v="NA"/>
    <s v="NA"/>
    <s v="NA"/>
    <s v="NA"/>
    <x v="1"/>
    <x v="1"/>
    <n v="1"/>
    <n v="0"/>
    <n v="0"/>
    <n v="1"/>
    <n v="0"/>
    <n v="0"/>
    <x v="2"/>
    <n v="0"/>
    <n v="0"/>
    <n v="0"/>
    <n v="1"/>
    <x v="0"/>
  </r>
  <r>
    <s v="A36OS4XKUJF4NB"/>
    <x v="0"/>
    <n v="20"/>
    <s v="male"/>
    <x v="2"/>
    <x v="7"/>
    <n v="9583"/>
    <n v="0"/>
    <n v="0"/>
    <n v="0"/>
    <n v="1"/>
    <s v="Stylists D and E."/>
    <s v="Stylist E."/>
    <s v="Stylists A and B."/>
    <s v="ms-l"/>
    <s v="mo-l"/>
    <s v="ms-h"/>
    <n v="0"/>
    <x v="1"/>
    <x v="1"/>
    <n v="1"/>
    <n v="1"/>
    <n v="0"/>
    <n v="1"/>
    <n v="0"/>
    <n v="0"/>
    <x v="2"/>
    <n v="0"/>
    <n v="0"/>
    <n v="0"/>
    <n v="1"/>
    <x v="0"/>
  </r>
  <r>
    <s v="A36OS4XKUJF4NB"/>
    <x v="0"/>
    <n v="20"/>
    <s v="male"/>
    <x v="3"/>
    <x v="12"/>
    <n v="37253"/>
    <n v="1"/>
    <n v="0"/>
    <n v="0"/>
    <n v="0"/>
    <s v="NA"/>
    <s v="NA"/>
    <s v="NA"/>
    <s v="NA"/>
    <s v="NA"/>
    <s v="NA"/>
    <s v="NA"/>
    <x v="1"/>
    <x v="1"/>
    <n v="1"/>
    <n v="1"/>
    <n v="0"/>
    <n v="1"/>
    <n v="0"/>
    <n v="0"/>
    <x v="2"/>
    <n v="0"/>
    <n v="0"/>
    <n v="0"/>
    <n v="1"/>
    <x v="0"/>
  </r>
  <r>
    <s v="A36OS4XKUJF4NB"/>
    <x v="0"/>
    <n v="20"/>
    <s v="male"/>
    <x v="4"/>
    <x v="0"/>
    <n v="64951"/>
    <s v="No%2C they are asking the same thing and looking for the same answer%2C they only phrased it a different way"/>
    <s v="No%2C it was easy"/>
    <s v="On the question about Luke%2C Obi-Wan and Darth Vader%2C I misclicked and did not choose an option when I meant to say yes"/>
    <s v="NA"/>
    <s v="NA"/>
    <s v="NA"/>
    <s v="NA"/>
    <s v="NA"/>
    <s v="NA"/>
    <s v="NA"/>
    <s v="NA"/>
    <x v="0"/>
    <x v="0"/>
    <s v="NA"/>
    <s v="NA"/>
    <s v="NA"/>
    <s v="NA"/>
    <s v="NA"/>
    <s v="NA"/>
    <x v="0"/>
    <s v="NA"/>
    <s v="NA"/>
    <s v="NA"/>
    <s v="NA"/>
    <x v="0"/>
  </r>
  <r>
    <s v="A3QSJY1FFN0N6V"/>
    <x v="0"/>
    <n v="35"/>
    <s v="female"/>
    <x v="0"/>
    <x v="0"/>
    <n v="20777"/>
    <s v="NA"/>
    <s v="NA"/>
    <s v="NA"/>
    <s v="NA"/>
    <s v="NA"/>
    <s v="NA"/>
    <s v="NA"/>
    <s v="NA"/>
    <s v="NA"/>
    <s v="NA"/>
    <s v="NA"/>
    <x v="0"/>
    <x v="0"/>
    <s v="NA"/>
    <s v="NA"/>
    <s v="NA"/>
    <s v="NA"/>
    <s v="NA"/>
    <s v="NA"/>
    <x v="0"/>
    <s v="NA"/>
    <s v="NA"/>
    <s v="NA"/>
    <s v="NA"/>
    <x v="0"/>
  </r>
  <r>
    <s v="A3QSJY1FFN0N6V"/>
    <x v="0"/>
    <n v="35"/>
    <s v="female"/>
    <x v="1"/>
    <x v="2"/>
    <n v="37453"/>
    <n v="0"/>
    <n v="0"/>
    <n v="1"/>
    <n v="0"/>
    <s v="NA"/>
    <s v="NA"/>
    <s v="NA"/>
    <s v="NA"/>
    <s v="NA"/>
    <s v="NA"/>
    <s v="NA"/>
    <x v="0"/>
    <x v="0"/>
    <s v="NA"/>
    <s v="NA"/>
    <s v="NA"/>
    <s v="NA"/>
    <s v="NA"/>
    <s v="NA"/>
    <x v="0"/>
    <s v="NA"/>
    <s v="NA"/>
    <s v="NA"/>
    <s v="NA"/>
    <x v="0"/>
  </r>
  <r>
    <s v="A3QSJY1FFN0N6V"/>
    <x v="0"/>
    <n v="35"/>
    <s v="female"/>
    <x v="1"/>
    <x v="1"/>
    <n v="69761"/>
    <n v="0"/>
    <n v="0"/>
    <n v="0"/>
    <n v="1"/>
    <s v="NA"/>
    <s v="NA"/>
    <s v="NA"/>
    <s v="NA"/>
    <s v="NA"/>
    <s v="NA"/>
    <s v="NA"/>
    <x v="0"/>
    <x v="0"/>
    <s v="NA"/>
    <s v="NA"/>
    <s v="NA"/>
    <s v="NA"/>
    <s v="NA"/>
    <s v="NA"/>
    <x v="0"/>
    <s v="NA"/>
    <s v="NA"/>
    <s v="NA"/>
    <s v="NA"/>
    <x v="0"/>
  </r>
  <r>
    <s v="A3QSJY1FFN0N6V"/>
    <x v="0"/>
    <n v="35"/>
    <s v="female"/>
    <x v="2"/>
    <x v="7"/>
    <n v="79441"/>
    <n v="0"/>
    <n v="0"/>
    <n v="0"/>
    <n v="1"/>
    <s v="Stylist A."/>
    <s v="Stylist F."/>
    <s v="Stylists A and B."/>
    <s v="mo-h"/>
    <s v="fa"/>
    <s v="ms-h"/>
    <n v="0"/>
    <x v="2"/>
    <x v="2"/>
    <n v="1"/>
    <n v="0"/>
    <n v="0"/>
    <n v="1"/>
    <n v="0"/>
    <n v="0"/>
    <x v="2"/>
    <n v="0"/>
    <n v="0"/>
    <n v="0"/>
    <n v="1"/>
    <x v="0"/>
  </r>
  <r>
    <s v="A3QSJY1FFN0N6V"/>
    <x v="0"/>
    <n v="35"/>
    <s v="female"/>
    <x v="2"/>
    <x v="3"/>
    <n v="29445"/>
    <n v="1"/>
    <n v="1"/>
    <n v="1"/>
    <n v="0"/>
    <s v="Cafes A, B, C, D and E."/>
    <s v="Cafes A and B."/>
    <s v="Cafe E."/>
    <s v="exh"/>
    <s v="ms-h"/>
    <s v="mo-l"/>
    <n v="1"/>
    <x v="1"/>
    <x v="1"/>
    <n v="1"/>
    <n v="0"/>
    <n v="0"/>
    <n v="1"/>
    <n v="1"/>
    <n v="0"/>
    <x v="1"/>
    <n v="1"/>
    <n v="0"/>
    <n v="0"/>
    <n v="0"/>
    <x v="0"/>
  </r>
  <r>
    <s v="A3QSJY1FFN0N6V"/>
    <x v="0"/>
    <n v="35"/>
    <s v="female"/>
    <x v="3"/>
    <x v="8"/>
    <n v="22857"/>
    <n v="1"/>
    <n v="1"/>
    <n v="0"/>
    <n v="0"/>
    <s v="NA"/>
    <s v="NA"/>
    <s v="NA"/>
    <s v="NA"/>
    <s v="NA"/>
    <s v="NA"/>
    <s v="NA"/>
    <x v="1"/>
    <x v="1"/>
    <n v="1"/>
    <n v="0"/>
    <n v="0"/>
    <n v="1"/>
    <n v="1"/>
    <n v="0"/>
    <x v="1"/>
    <n v="1"/>
    <n v="0"/>
    <n v="0"/>
    <n v="0"/>
    <x v="0"/>
  </r>
  <r>
    <s v="A3QSJY1FFN0N6V"/>
    <x v="0"/>
    <n v="35"/>
    <s v="female"/>
    <x v="2"/>
    <x v="11"/>
    <n v="30082"/>
    <n v="1"/>
    <n v="1"/>
    <n v="1"/>
    <n v="0"/>
    <s v="Dentists A and B."/>
    <s v="Dentist F."/>
    <s v="Dentist E."/>
    <s v="ms-h"/>
    <s v="fa"/>
    <s v="mo-l"/>
    <n v="0"/>
    <x v="1"/>
    <x v="1"/>
    <n v="1"/>
    <n v="0"/>
    <n v="0"/>
    <n v="1"/>
    <n v="0"/>
    <n v="0"/>
    <x v="1"/>
    <n v="1"/>
    <n v="0"/>
    <n v="0"/>
    <n v="0"/>
    <x v="0"/>
  </r>
  <r>
    <s v="A3QSJY1FFN0N6V"/>
    <x v="0"/>
    <n v="35"/>
    <s v="female"/>
    <x v="2"/>
    <x v="6"/>
    <n v="15802"/>
    <n v="1"/>
    <n v="1"/>
    <n v="1"/>
    <n v="0"/>
    <s v="Bookstores A and B."/>
    <s v="Bookstore E."/>
    <s v="Bookstore A."/>
    <s v="ms-h"/>
    <s v="mo-l"/>
    <s v="mo-h"/>
    <n v="0"/>
    <x v="2"/>
    <x v="1"/>
    <n v="1"/>
    <n v="0"/>
    <n v="0"/>
    <n v="1"/>
    <n v="0"/>
    <n v="1"/>
    <x v="1"/>
    <n v="1"/>
    <n v="0"/>
    <n v="0"/>
    <n v="0"/>
    <x v="0"/>
  </r>
  <r>
    <s v="A3QSJY1FFN0N6V"/>
    <x v="0"/>
    <n v="35"/>
    <s v="female"/>
    <x v="3"/>
    <x v="5"/>
    <n v="26405"/>
    <n v="0"/>
    <n v="0"/>
    <n v="1"/>
    <n v="0"/>
    <s v="NA"/>
    <s v="NA"/>
    <s v="NA"/>
    <s v="NA"/>
    <s v="NA"/>
    <s v="NA"/>
    <s v="NA"/>
    <x v="2"/>
    <x v="1"/>
    <n v="1"/>
    <n v="0"/>
    <n v="0"/>
    <n v="1"/>
    <n v="0"/>
    <n v="1"/>
    <x v="1"/>
    <n v="1"/>
    <n v="0"/>
    <n v="0"/>
    <n v="0"/>
    <x v="0"/>
  </r>
  <r>
    <s v="A3QSJY1FFN0N6V"/>
    <x v="0"/>
    <n v="35"/>
    <s v="female"/>
    <x v="2"/>
    <x v="9"/>
    <n v="14489"/>
    <n v="1"/>
    <n v="1"/>
    <n v="1"/>
    <n v="0"/>
    <s v="Stores A and B."/>
    <s v="Store A."/>
    <s v="Store E."/>
    <s v="ms-h"/>
    <s v="mo-h"/>
    <s v="mo-l"/>
    <n v="0"/>
    <x v="2"/>
    <x v="1"/>
    <n v="1"/>
    <n v="0"/>
    <n v="0"/>
    <n v="1"/>
    <n v="0"/>
    <n v="1"/>
    <x v="1"/>
    <n v="1"/>
    <n v="0"/>
    <n v="0"/>
    <n v="0"/>
    <x v="0"/>
  </r>
  <r>
    <s v="A3QSJY1FFN0N6V"/>
    <x v="0"/>
    <n v="35"/>
    <s v="female"/>
    <x v="3"/>
    <x v="12"/>
    <n v="23117"/>
    <n v="1"/>
    <n v="1"/>
    <n v="0"/>
    <n v="0"/>
    <s v="NA"/>
    <s v="NA"/>
    <s v="NA"/>
    <s v="NA"/>
    <s v="NA"/>
    <s v="NA"/>
    <s v="NA"/>
    <x v="2"/>
    <x v="1"/>
    <n v="1"/>
    <n v="0"/>
    <n v="0"/>
    <n v="1"/>
    <n v="0"/>
    <n v="1"/>
    <x v="1"/>
    <n v="1"/>
    <n v="0"/>
    <n v="0"/>
    <n v="0"/>
    <x v="0"/>
  </r>
  <r>
    <s v="A3QSJY1FFN0N6V"/>
    <x v="0"/>
    <n v="35"/>
    <s v="female"/>
    <x v="2"/>
    <x v="4"/>
    <n v="19636"/>
    <n v="1"/>
    <n v="1"/>
    <n v="1"/>
    <n v="0"/>
    <s v="Stalls D and E."/>
    <s v="Stalls A and B."/>
    <s v="Stall A."/>
    <s v="ms-l"/>
    <s v="ms-h"/>
    <s v="mo-h"/>
    <n v="0"/>
    <x v="2"/>
    <x v="2"/>
    <n v="1"/>
    <n v="1"/>
    <n v="0"/>
    <n v="1"/>
    <n v="0"/>
    <n v="1"/>
    <x v="2"/>
    <n v="1"/>
    <n v="1"/>
    <n v="0"/>
    <n v="0"/>
    <x v="0"/>
  </r>
  <r>
    <s v="A3QSJY1FFN0N6V"/>
    <x v="0"/>
    <n v="35"/>
    <s v="female"/>
    <x v="3"/>
    <x v="10"/>
    <n v="30467"/>
    <n v="0"/>
    <n v="0"/>
    <n v="1"/>
    <n v="0"/>
    <s v="NA"/>
    <s v="NA"/>
    <s v="NA"/>
    <s v="NA"/>
    <s v="NA"/>
    <s v="NA"/>
    <s v="NA"/>
    <x v="2"/>
    <x v="2"/>
    <n v="1"/>
    <n v="1"/>
    <n v="0"/>
    <n v="1"/>
    <n v="0"/>
    <n v="1"/>
    <x v="2"/>
    <n v="1"/>
    <n v="1"/>
    <n v="0"/>
    <n v="0"/>
    <x v="0"/>
  </r>
  <r>
    <s v="A3QSJY1FFN0N6V"/>
    <x v="0"/>
    <n v="35"/>
    <s v="female"/>
    <x v="4"/>
    <x v="0"/>
    <n v="77976"/>
    <s v="I would answer the same for each question because he is asking the same thing%2C the sentences are just worded differently."/>
    <s v="I thought it was a little challenging because the answers could vary depending on the way you interpret the question."/>
    <s v="No"/>
    <s v="NA"/>
    <s v="NA"/>
    <s v="NA"/>
    <s v="NA"/>
    <s v="NA"/>
    <s v="NA"/>
    <s v="NA"/>
    <s v="NA"/>
    <x v="0"/>
    <x v="0"/>
    <s v="NA"/>
    <s v="NA"/>
    <s v="NA"/>
    <s v="NA"/>
    <s v="NA"/>
    <s v="NA"/>
    <x v="0"/>
    <s v="NA"/>
    <s v="NA"/>
    <s v="NA"/>
    <s v="NA"/>
    <x v="0"/>
  </r>
  <r>
    <s v="A1UKAS30R0MFI6"/>
    <x v="0"/>
    <n v="25"/>
    <s v="male"/>
    <x v="0"/>
    <x v="0"/>
    <n v="31985"/>
    <s v="NA"/>
    <s v="NA"/>
    <s v="NA"/>
    <s v="NA"/>
    <s v="NA"/>
    <s v="NA"/>
    <s v="NA"/>
    <s v="NA"/>
    <s v="NA"/>
    <s v="NA"/>
    <s v="NA"/>
    <x v="0"/>
    <x v="0"/>
    <s v="NA"/>
    <s v="NA"/>
    <s v="NA"/>
    <s v="NA"/>
    <s v="NA"/>
    <s v="NA"/>
    <x v="0"/>
    <s v="NA"/>
    <s v="NA"/>
    <s v="NA"/>
    <s v="NA"/>
    <x v="0"/>
  </r>
  <r>
    <s v="A1UKAS30R0MFI6"/>
    <x v="0"/>
    <n v="25"/>
    <s v="male"/>
    <x v="1"/>
    <x v="2"/>
    <n v="25808"/>
    <n v="0"/>
    <n v="0"/>
    <n v="1"/>
    <n v="0"/>
    <s v="NA"/>
    <s v="NA"/>
    <s v="NA"/>
    <s v="NA"/>
    <s v="NA"/>
    <s v="NA"/>
    <s v="NA"/>
    <x v="0"/>
    <x v="0"/>
    <s v="NA"/>
    <s v="NA"/>
    <s v="NA"/>
    <s v="NA"/>
    <s v="NA"/>
    <s v="NA"/>
    <x v="0"/>
    <s v="NA"/>
    <s v="NA"/>
    <s v="NA"/>
    <s v="NA"/>
    <x v="0"/>
  </r>
  <r>
    <s v="A1UKAS30R0MFI6"/>
    <x v="0"/>
    <n v="25"/>
    <s v="male"/>
    <x v="1"/>
    <x v="1"/>
    <n v="24862"/>
    <n v="0"/>
    <n v="0"/>
    <n v="0"/>
    <n v="1"/>
    <s v="NA"/>
    <s v="NA"/>
    <s v="NA"/>
    <s v="NA"/>
    <s v="NA"/>
    <s v="NA"/>
    <s v="NA"/>
    <x v="0"/>
    <x v="0"/>
    <s v="NA"/>
    <s v="NA"/>
    <s v="NA"/>
    <s v="NA"/>
    <s v="NA"/>
    <s v="NA"/>
    <x v="0"/>
    <s v="NA"/>
    <s v="NA"/>
    <s v="NA"/>
    <s v="NA"/>
    <x v="0"/>
  </r>
  <r>
    <s v="A1UKAS30R0MFI6"/>
    <x v="0"/>
    <n v="25"/>
    <s v="male"/>
    <x v="2"/>
    <x v="3"/>
    <n v="32828"/>
    <n v="1"/>
    <n v="1"/>
    <n v="1"/>
    <n v="0"/>
    <s v="Cafe F."/>
    <s v="Cafes A, B, C, D and E."/>
    <s v="Cafes D and E."/>
    <s v="fa"/>
    <s v="exh"/>
    <s v="ms-l"/>
    <n v="1"/>
    <x v="1"/>
    <x v="2"/>
    <n v="0"/>
    <n v="1"/>
    <n v="0"/>
    <n v="1"/>
    <n v="1"/>
    <n v="0"/>
    <x v="2"/>
    <n v="0"/>
    <n v="1"/>
    <n v="0"/>
    <n v="0"/>
    <x v="0"/>
  </r>
  <r>
    <s v="A1UKAS30R0MFI6"/>
    <x v="0"/>
    <n v="25"/>
    <s v="male"/>
    <x v="2"/>
    <x v="4"/>
    <n v="13879"/>
    <n v="1"/>
    <n v="1"/>
    <n v="1"/>
    <n v="0"/>
    <s v="Stall E."/>
    <s v="Stalls A, B, C, D and E."/>
    <s v="Stalls D and E."/>
    <s v="mo-l"/>
    <s v="exh"/>
    <s v="ms-l"/>
    <n v="1"/>
    <x v="1"/>
    <x v="1"/>
    <n v="0"/>
    <n v="1"/>
    <n v="0"/>
    <n v="1"/>
    <n v="1"/>
    <n v="0"/>
    <x v="1"/>
    <n v="0"/>
    <n v="1"/>
    <n v="0"/>
    <n v="0"/>
    <x v="0"/>
  </r>
  <r>
    <s v="A1UKAS30R0MFI6"/>
    <x v="0"/>
    <n v="25"/>
    <s v="male"/>
    <x v="3"/>
    <x v="8"/>
    <n v="43076"/>
    <n v="1"/>
    <n v="1"/>
    <n v="0"/>
    <n v="0"/>
    <s v="NA"/>
    <s v="NA"/>
    <s v="NA"/>
    <s v="NA"/>
    <s v="NA"/>
    <s v="NA"/>
    <s v="NA"/>
    <x v="1"/>
    <x v="1"/>
    <n v="0"/>
    <n v="1"/>
    <n v="0"/>
    <n v="1"/>
    <n v="1"/>
    <n v="0"/>
    <x v="1"/>
    <n v="0"/>
    <n v="1"/>
    <n v="0"/>
    <n v="0"/>
    <x v="0"/>
  </r>
  <r>
    <s v="A1UKAS30R0MFI6"/>
    <x v="0"/>
    <n v="25"/>
    <s v="male"/>
    <x v="2"/>
    <x v="6"/>
    <n v="16933"/>
    <n v="1"/>
    <n v="1"/>
    <n v="1"/>
    <n v="0"/>
    <s v="Bookstore E."/>
    <s v="Bookstore F."/>
    <s v="Bookstores D and E."/>
    <s v="mo-l"/>
    <s v="fa"/>
    <s v="ms-l"/>
    <n v="0"/>
    <x v="1"/>
    <x v="1"/>
    <n v="0"/>
    <n v="1"/>
    <n v="0"/>
    <n v="1"/>
    <n v="0"/>
    <n v="0"/>
    <x v="1"/>
    <n v="0"/>
    <n v="1"/>
    <n v="0"/>
    <n v="0"/>
    <x v="0"/>
  </r>
  <r>
    <s v="A1UKAS30R0MFI6"/>
    <x v="0"/>
    <n v="25"/>
    <s v="male"/>
    <x v="3"/>
    <x v="5"/>
    <n v="23696"/>
    <n v="0"/>
    <n v="1"/>
    <n v="0"/>
    <n v="0"/>
    <s v="NA"/>
    <s v="NA"/>
    <s v="NA"/>
    <s v="NA"/>
    <s v="NA"/>
    <s v="NA"/>
    <s v="NA"/>
    <x v="1"/>
    <x v="1"/>
    <n v="0"/>
    <n v="1"/>
    <n v="0"/>
    <n v="1"/>
    <n v="0"/>
    <n v="0"/>
    <x v="1"/>
    <n v="0"/>
    <n v="1"/>
    <n v="0"/>
    <n v="0"/>
    <x v="0"/>
  </r>
  <r>
    <s v="A1UKAS30R0MFI6"/>
    <x v="0"/>
    <n v="25"/>
    <s v="male"/>
    <x v="2"/>
    <x v="9"/>
    <n v="14114"/>
    <n v="1"/>
    <n v="1"/>
    <n v="1"/>
    <n v="0"/>
    <s v="Stores A, B, C, D and E."/>
    <s v="Store E."/>
    <s v="Stores A and B."/>
    <s v="exh"/>
    <s v="mo-l"/>
    <s v="ms-h"/>
    <n v="1"/>
    <x v="1"/>
    <x v="1"/>
    <n v="1"/>
    <n v="0"/>
    <n v="0"/>
    <n v="1"/>
    <n v="1"/>
    <n v="0"/>
    <x v="1"/>
    <n v="1"/>
    <n v="0"/>
    <n v="0"/>
    <n v="0"/>
    <x v="0"/>
  </r>
  <r>
    <s v="A1UKAS30R0MFI6"/>
    <x v="0"/>
    <n v="25"/>
    <s v="male"/>
    <x v="2"/>
    <x v="7"/>
    <n v="43075"/>
    <n v="1"/>
    <n v="1"/>
    <n v="1"/>
    <n v="0"/>
    <s v="Stylists D and E."/>
    <s v="Stylists A and B."/>
    <s v="Stylist E."/>
    <s v="ms-l"/>
    <s v="ms-h"/>
    <s v="mo-l"/>
    <n v="0"/>
    <x v="1"/>
    <x v="1"/>
    <n v="1"/>
    <n v="1"/>
    <n v="0"/>
    <n v="1"/>
    <n v="0"/>
    <n v="0"/>
    <x v="1"/>
    <n v="1"/>
    <n v="1"/>
    <n v="0"/>
    <n v="0"/>
    <x v="0"/>
  </r>
  <r>
    <s v="A1UKAS30R0MFI6"/>
    <x v="0"/>
    <n v="25"/>
    <s v="male"/>
    <x v="3"/>
    <x v="10"/>
    <n v="23277"/>
    <n v="1"/>
    <n v="1"/>
    <n v="0"/>
    <n v="0"/>
    <s v="NA"/>
    <s v="NA"/>
    <s v="NA"/>
    <s v="NA"/>
    <s v="NA"/>
    <s v="NA"/>
    <s v="NA"/>
    <x v="1"/>
    <x v="1"/>
    <n v="1"/>
    <n v="1"/>
    <n v="0"/>
    <n v="1"/>
    <n v="0"/>
    <n v="0"/>
    <x v="1"/>
    <n v="1"/>
    <n v="1"/>
    <n v="0"/>
    <n v="0"/>
    <x v="0"/>
  </r>
  <r>
    <s v="A1UKAS30R0MFI6"/>
    <x v="0"/>
    <n v="25"/>
    <s v="male"/>
    <x v="2"/>
    <x v="11"/>
    <n v="11510"/>
    <n v="1"/>
    <n v="1"/>
    <n v="1"/>
    <n v="0"/>
    <s v="Dentist F."/>
    <s v="Dentist A."/>
    <s v="Dentists A and B."/>
    <s v="fa"/>
    <s v="mo-h"/>
    <s v="ms-h"/>
    <n v="0"/>
    <x v="2"/>
    <x v="2"/>
    <n v="1"/>
    <n v="0"/>
    <n v="0"/>
    <n v="1"/>
    <n v="0"/>
    <n v="1"/>
    <x v="2"/>
    <n v="1"/>
    <n v="0"/>
    <n v="0"/>
    <n v="0"/>
    <x v="0"/>
  </r>
  <r>
    <s v="A1UKAS30R0MFI6"/>
    <x v="0"/>
    <n v="25"/>
    <s v="male"/>
    <x v="3"/>
    <x v="12"/>
    <n v="11568"/>
    <n v="1"/>
    <n v="0"/>
    <n v="0"/>
    <n v="0"/>
    <s v="NA"/>
    <s v="NA"/>
    <s v="NA"/>
    <s v="NA"/>
    <s v="NA"/>
    <s v="NA"/>
    <s v="NA"/>
    <x v="2"/>
    <x v="2"/>
    <n v="1"/>
    <n v="0"/>
    <n v="0"/>
    <n v="1"/>
    <n v="0"/>
    <n v="1"/>
    <x v="2"/>
    <n v="1"/>
    <n v="0"/>
    <n v="0"/>
    <n v="0"/>
    <x v="0"/>
  </r>
  <r>
    <s v="A1UKAS30R0MFI6"/>
    <x v="0"/>
    <n v="25"/>
    <s v="male"/>
    <x v="4"/>
    <x v="0"/>
    <n v="41942"/>
    <s v="No because in both questions the traveler wants to know where to get brunch."/>
    <s v="No I did not because I was able to read and ID the differences"/>
    <s v="No"/>
    <s v="NA"/>
    <s v="NA"/>
    <s v="NA"/>
    <s v="NA"/>
    <s v="NA"/>
    <s v="NA"/>
    <s v="NA"/>
    <s v="NA"/>
    <x v="0"/>
    <x v="0"/>
    <s v="NA"/>
    <s v="NA"/>
    <s v="NA"/>
    <s v="NA"/>
    <s v="NA"/>
    <s v="NA"/>
    <x v="0"/>
    <s v="NA"/>
    <s v="NA"/>
    <s v="NA"/>
    <s v="NA"/>
    <x v="0"/>
  </r>
  <r>
    <s v="A3HXIGBCL1CRFS"/>
    <x v="0"/>
    <n v="39"/>
    <s v="male"/>
    <x v="0"/>
    <x v="0"/>
    <n v="31797"/>
    <s v="NA"/>
    <s v="NA"/>
    <s v="NA"/>
    <s v="NA"/>
    <s v="NA"/>
    <s v="NA"/>
    <s v="NA"/>
    <s v="NA"/>
    <s v="NA"/>
    <s v="NA"/>
    <s v="NA"/>
    <x v="0"/>
    <x v="0"/>
    <s v="NA"/>
    <s v="NA"/>
    <s v="NA"/>
    <s v="NA"/>
    <s v="NA"/>
    <s v="NA"/>
    <x v="0"/>
    <s v="NA"/>
    <s v="NA"/>
    <s v="NA"/>
    <s v="NA"/>
    <x v="0"/>
  </r>
  <r>
    <s v="A3HXIGBCL1CRFS"/>
    <x v="0"/>
    <n v="39"/>
    <s v="male"/>
    <x v="1"/>
    <x v="1"/>
    <n v="40991"/>
    <n v="0"/>
    <n v="0"/>
    <n v="0"/>
    <n v="1"/>
    <s v="NA"/>
    <s v="NA"/>
    <s v="NA"/>
    <s v="NA"/>
    <s v="NA"/>
    <s v="NA"/>
    <s v="NA"/>
    <x v="0"/>
    <x v="0"/>
    <s v="NA"/>
    <s v="NA"/>
    <s v="NA"/>
    <s v="NA"/>
    <s v="NA"/>
    <s v="NA"/>
    <x v="0"/>
    <s v="NA"/>
    <s v="NA"/>
    <s v="NA"/>
    <s v="NA"/>
    <x v="0"/>
  </r>
  <r>
    <s v="A3HXIGBCL1CRFS"/>
    <x v="0"/>
    <n v="39"/>
    <s v="male"/>
    <x v="1"/>
    <x v="2"/>
    <n v="32594"/>
    <n v="0"/>
    <n v="0"/>
    <n v="1"/>
    <n v="0"/>
    <s v="NA"/>
    <s v="NA"/>
    <s v="NA"/>
    <s v="NA"/>
    <s v="NA"/>
    <s v="NA"/>
    <s v="NA"/>
    <x v="0"/>
    <x v="0"/>
    <s v="NA"/>
    <s v="NA"/>
    <s v="NA"/>
    <s v="NA"/>
    <s v="NA"/>
    <s v="NA"/>
    <x v="0"/>
    <s v="NA"/>
    <s v="NA"/>
    <s v="NA"/>
    <s v="NA"/>
    <x v="0"/>
  </r>
  <r>
    <s v="A3HXIGBCL1CRFS"/>
    <x v="0"/>
    <n v="39"/>
    <s v="male"/>
    <x v="2"/>
    <x v="4"/>
    <n v="57599"/>
    <n v="0"/>
    <n v="0"/>
    <n v="0"/>
    <n v="1"/>
    <s v="Stalls A and B."/>
    <s v="Stalls D and E."/>
    <s v="Stall F."/>
    <s v="ms-h"/>
    <s v="ms-l"/>
    <s v="fa"/>
    <n v="0"/>
    <x v="1"/>
    <x v="2"/>
    <n v="1"/>
    <n v="1"/>
    <n v="0"/>
    <n v="1"/>
    <n v="0"/>
    <n v="0"/>
    <x v="2"/>
    <n v="0"/>
    <n v="0"/>
    <n v="0"/>
    <n v="1"/>
    <x v="0"/>
  </r>
  <r>
    <s v="A3HXIGBCL1CRFS"/>
    <x v="0"/>
    <n v="39"/>
    <s v="male"/>
    <x v="3"/>
    <x v="5"/>
    <n v="37398"/>
    <n v="0"/>
    <n v="1"/>
    <n v="0"/>
    <n v="0"/>
    <s v="NA"/>
    <s v="NA"/>
    <s v="NA"/>
    <s v="NA"/>
    <s v="NA"/>
    <s v="NA"/>
    <s v="NA"/>
    <x v="1"/>
    <x v="2"/>
    <n v="1"/>
    <n v="1"/>
    <n v="0"/>
    <n v="1"/>
    <n v="0"/>
    <n v="0"/>
    <x v="2"/>
    <n v="0"/>
    <n v="0"/>
    <n v="0"/>
    <n v="1"/>
    <x v="0"/>
  </r>
  <r>
    <s v="A3HXIGBCL1CRFS"/>
    <x v="0"/>
    <n v="39"/>
    <s v="male"/>
    <x v="2"/>
    <x v="3"/>
    <n v="43361"/>
    <n v="0"/>
    <n v="0"/>
    <n v="0"/>
    <n v="1"/>
    <s v="Cafe A."/>
    <s v="Cafes A and B."/>
    <s v="Cafe F."/>
    <s v="mo-h"/>
    <s v="ms-h"/>
    <s v="fa"/>
    <n v="0"/>
    <x v="2"/>
    <x v="2"/>
    <n v="1"/>
    <n v="0"/>
    <n v="0"/>
    <n v="1"/>
    <n v="0"/>
    <n v="0"/>
    <x v="2"/>
    <n v="0"/>
    <n v="0"/>
    <n v="0"/>
    <n v="1"/>
    <x v="0"/>
  </r>
  <r>
    <s v="A3HXIGBCL1CRFS"/>
    <x v="0"/>
    <n v="39"/>
    <s v="male"/>
    <x v="2"/>
    <x v="6"/>
    <n v="28088"/>
    <n v="0"/>
    <n v="0"/>
    <n v="0"/>
    <n v="1"/>
    <s v="Bookstores A and B."/>
    <s v="Bookstores D and E."/>
    <s v="Bookstore E."/>
    <s v="ms-h"/>
    <s v="ms-l"/>
    <s v="mo-l"/>
    <n v="0"/>
    <x v="1"/>
    <x v="1"/>
    <n v="1"/>
    <n v="1"/>
    <n v="0"/>
    <n v="1"/>
    <n v="0"/>
    <n v="0"/>
    <x v="2"/>
    <n v="0"/>
    <n v="0"/>
    <n v="0"/>
    <n v="1"/>
    <x v="0"/>
  </r>
  <r>
    <s v="A3HXIGBCL1CRFS"/>
    <x v="0"/>
    <n v="39"/>
    <s v="male"/>
    <x v="3"/>
    <x v="12"/>
    <n v="23609"/>
    <n v="1"/>
    <n v="0"/>
    <n v="0"/>
    <n v="0"/>
    <s v="NA"/>
    <s v="NA"/>
    <s v="NA"/>
    <s v="NA"/>
    <s v="NA"/>
    <s v="NA"/>
    <s v="NA"/>
    <x v="1"/>
    <x v="1"/>
    <n v="1"/>
    <n v="1"/>
    <n v="0"/>
    <n v="1"/>
    <n v="0"/>
    <n v="0"/>
    <x v="2"/>
    <n v="0"/>
    <n v="0"/>
    <n v="0"/>
    <n v="1"/>
    <x v="0"/>
  </r>
  <r>
    <s v="A3HXIGBCL1CRFS"/>
    <x v="0"/>
    <n v="39"/>
    <s v="male"/>
    <x v="2"/>
    <x v="11"/>
    <n v="18712"/>
    <n v="0"/>
    <n v="0"/>
    <n v="0"/>
    <n v="1"/>
    <s v="Dentists A and B."/>
    <s v="Dentist E."/>
    <s v="Dentists D and E."/>
    <s v="ms-h"/>
    <s v="mo-l"/>
    <s v="ms-l"/>
    <n v="0"/>
    <x v="1"/>
    <x v="1"/>
    <n v="1"/>
    <n v="1"/>
    <n v="0"/>
    <n v="1"/>
    <n v="0"/>
    <n v="0"/>
    <x v="2"/>
    <n v="0"/>
    <n v="0"/>
    <n v="0"/>
    <n v="1"/>
    <x v="0"/>
  </r>
  <r>
    <s v="A3HXIGBCL1CRFS"/>
    <x v="0"/>
    <n v="39"/>
    <s v="male"/>
    <x v="3"/>
    <x v="10"/>
    <n v="40203"/>
    <n v="0"/>
    <n v="0"/>
    <n v="0"/>
    <n v="1"/>
    <s v="NA"/>
    <s v="NA"/>
    <s v="NA"/>
    <s v="NA"/>
    <s v="NA"/>
    <s v="NA"/>
    <s v="NA"/>
    <x v="1"/>
    <x v="1"/>
    <n v="1"/>
    <n v="1"/>
    <n v="0"/>
    <n v="1"/>
    <n v="0"/>
    <n v="0"/>
    <x v="2"/>
    <n v="0"/>
    <n v="0"/>
    <n v="0"/>
    <n v="1"/>
    <x v="0"/>
  </r>
  <r>
    <s v="A3HXIGBCL1CRFS"/>
    <x v="0"/>
    <n v="39"/>
    <s v="male"/>
    <x v="2"/>
    <x v="7"/>
    <n v="24768"/>
    <n v="0"/>
    <n v="0"/>
    <n v="0"/>
    <n v="1"/>
    <s v="Stylist F."/>
    <s v="Stylist E."/>
    <s v="Stylists D and E."/>
    <s v="fa"/>
    <s v="mo-l"/>
    <s v="ms-l"/>
    <n v="0"/>
    <x v="1"/>
    <x v="1"/>
    <n v="0"/>
    <n v="1"/>
    <n v="0"/>
    <n v="1"/>
    <n v="0"/>
    <n v="0"/>
    <x v="2"/>
    <n v="0"/>
    <n v="0"/>
    <n v="0"/>
    <n v="1"/>
    <x v="0"/>
  </r>
  <r>
    <s v="A3HXIGBCL1CRFS"/>
    <x v="0"/>
    <n v="39"/>
    <s v="male"/>
    <x v="2"/>
    <x v="9"/>
    <n v="19606"/>
    <n v="0"/>
    <n v="0"/>
    <n v="0"/>
    <n v="1"/>
    <s v="Store E."/>
    <s v="Stores A, B, C, D and E."/>
    <s v="Store A."/>
    <s v="mo-l"/>
    <s v="exh"/>
    <s v="mo-h"/>
    <n v="1"/>
    <x v="2"/>
    <x v="1"/>
    <n v="0"/>
    <n v="0"/>
    <n v="0"/>
    <n v="1"/>
    <n v="0"/>
    <n v="0"/>
    <x v="2"/>
    <n v="0"/>
    <n v="0"/>
    <n v="0"/>
    <n v="1"/>
    <x v="0"/>
  </r>
  <r>
    <s v="A3HXIGBCL1CRFS"/>
    <x v="0"/>
    <n v="39"/>
    <s v="male"/>
    <x v="3"/>
    <x v="8"/>
    <n v="30611"/>
    <n v="1"/>
    <n v="0"/>
    <n v="0"/>
    <n v="0"/>
    <s v="NA"/>
    <s v="NA"/>
    <s v="NA"/>
    <s v="NA"/>
    <s v="NA"/>
    <s v="NA"/>
    <s v="NA"/>
    <x v="2"/>
    <x v="1"/>
    <n v="0"/>
    <n v="0"/>
    <n v="0"/>
    <n v="1"/>
    <n v="0"/>
    <n v="0"/>
    <x v="2"/>
    <n v="0"/>
    <n v="0"/>
    <n v="0"/>
    <n v="1"/>
    <x v="0"/>
  </r>
  <r>
    <s v="A3HXIGBCL1CRFS"/>
    <x v="0"/>
    <n v="39"/>
    <s v="male"/>
    <x v="4"/>
    <x v="0"/>
    <n v="76198"/>
    <s v="I would not answer differently."/>
    <s v="Yes. It was confusing."/>
    <m/>
    <s v="NA"/>
    <s v="NA"/>
    <s v="NA"/>
    <s v="NA"/>
    <s v="NA"/>
    <s v="NA"/>
    <s v="NA"/>
    <s v="NA"/>
    <x v="0"/>
    <x v="0"/>
    <s v="NA"/>
    <s v="NA"/>
    <s v="NA"/>
    <s v="NA"/>
    <s v="NA"/>
    <s v="NA"/>
    <x v="0"/>
    <s v="NA"/>
    <s v="NA"/>
    <s v="NA"/>
    <s v="NA"/>
    <x v="0"/>
  </r>
  <r>
    <s v="A3A07QA5U733HQ"/>
    <x v="0"/>
    <n v="34"/>
    <s v="male"/>
    <x v="0"/>
    <x v="0"/>
    <n v="28587"/>
    <s v="NA"/>
    <s v="NA"/>
    <s v="NA"/>
    <s v="NA"/>
    <s v="NA"/>
    <s v="NA"/>
    <s v="NA"/>
    <s v="NA"/>
    <s v="NA"/>
    <s v="NA"/>
    <s v="NA"/>
    <x v="0"/>
    <x v="0"/>
    <s v="NA"/>
    <s v="NA"/>
    <s v="NA"/>
    <s v="NA"/>
    <s v="NA"/>
    <s v="NA"/>
    <x v="0"/>
    <s v="NA"/>
    <s v="NA"/>
    <s v="NA"/>
    <s v="NA"/>
    <x v="0"/>
  </r>
  <r>
    <s v="A3A07QA5U733HQ"/>
    <x v="0"/>
    <n v="34"/>
    <s v="male"/>
    <x v="1"/>
    <x v="1"/>
    <n v="85075"/>
    <n v="0"/>
    <n v="0"/>
    <n v="0"/>
    <n v="1"/>
    <s v="NA"/>
    <s v="NA"/>
    <s v="NA"/>
    <s v="NA"/>
    <s v="NA"/>
    <s v="NA"/>
    <s v="NA"/>
    <x v="0"/>
    <x v="0"/>
    <s v="NA"/>
    <s v="NA"/>
    <s v="NA"/>
    <s v="NA"/>
    <s v="NA"/>
    <s v="NA"/>
    <x v="0"/>
    <s v="NA"/>
    <s v="NA"/>
    <s v="NA"/>
    <s v="NA"/>
    <x v="0"/>
  </r>
  <r>
    <s v="A3A07QA5U733HQ"/>
    <x v="0"/>
    <n v="34"/>
    <s v="male"/>
    <x v="1"/>
    <x v="2"/>
    <n v="37401"/>
    <n v="0"/>
    <n v="1"/>
    <n v="1"/>
    <n v="0"/>
    <s v="NA"/>
    <s v="NA"/>
    <s v="NA"/>
    <s v="NA"/>
    <s v="NA"/>
    <s v="NA"/>
    <s v="NA"/>
    <x v="0"/>
    <x v="0"/>
    <s v="NA"/>
    <s v="NA"/>
    <s v="NA"/>
    <s v="NA"/>
    <s v="NA"/>
    <s v="NA"/>
    <x v="0"/>
    <s v="NA"/>
    <s v="NA"/>
    <s v="NA"/>
    <s v="NA"/>
    <x v="0"/>
  </r>
  <r>
    <s v="A3A07QA5U733HQ"/>
    <x v="0"/>
    <n v="34"/>
    <s v="male"/>
    <x v="2"/>
    <x v="9"/>
    <n v="49125"/>
    <n v="1"/>
    <n v="1"/>
    <n v="1"/>
    <n v="0"/>
    <s v="Stores A and B."/>
    <s v="Stores D and E."/>
    <s v="Store E."/>
    <s v="ms-h"/>
    <s v="ms-l"/>
    <s v="mo-l"/>
    <n v="0"/>
    <x v="1"/>
    <x v="1"/>
    <n v="1"/>
    <n v="1"/>
    <n v="0"/>
    <n v="1"/>
    <n v="0"/>
    <n v="0"/>
    <x v="1"/>
    <n v="1"/>
    <n v="1"/>
    <n v="0"/>
    <n v="0"/>
    <x v="0"/>
  </r>
  <r>
    <s v="A3A07QA5U733HQ"/>
    <x v="0"/>
    <n v="34"/>
    <s v="male"/>
    <x v="3"/>
    <x v="8"/>
    <n v="31052"/>
    <n v="1"/>
    <n v="1"/>
    <n v="0"/>
    <n v="0"/>
    <s v="NA"/>
    <s v="NA"/>
    <s v="NA"/>
    <s v="NA"/>
    <s v="NA"/>
    <s v="NA"/>
    <s v="NA"/>
    <x v="1"/>
    <x v="1"/>
    <n v="1"/>
    <n v="1"/>
    <n v="0"/>
    <n v="1"/>
    <n v="0"/>
    <n v="0"/>
    <x v="1"/>
    <n v="1"/>
    <n v="1"/>
    <n v="0"/>
    <n v="0"/>
    <x v="0"/>
  </r>
  <r>
    <s v="A3A07QA5U733HQ"/>
    <x v="0"/>
    <n v="34"/>
    <s v="male"/>
    <x v="2"/>
    <x v="4"/>
    <n v="40229"/>
    <n v="1"/>
    <n v="1"/>
    <n v="1"/>
    <n v="0"/>
    <s v="Stalls D and E."/>
    <s v="Stall A."/>
    <s v="Stall E."/>
    <s v="ms-l"/>
    <s v="mo-h"/>
    <s v="mo-l"/>
    <n v="0"/>
    <x v="2"/>
    <x v="1"/>
    <n v="0"/>
    <n v="1"/>
    <n v="0"/>
    <n v="1"/>
    <n v="0"/>
    <n v="1"/>
    <x v="1"/>
    <n v="0"/>
    <n v="1"/>
    <n v="0"/>
    <n v="0"/>
    <x v="0"/>
  </r>
  <r>
    <s v="A3A07QA5U733HQ"/>
    <x v="0"/>
    <n v="34"/>
    <s v="male"/>
    <x v="2"/>
    <x v="3"/>
    <n v="22164"/>
    <n v="1"/>
    <n v="1"/>
    <n v="1"/>
    <n v="0"/>
    <s v="Cafes D and E."/>
    <s v="Cafe A."/>
    <s v="Cafe E."/>
    <s v="ms-l"/>
    <s v="mo-h"/>
    <s v="mo-l"/>
    <n v="0"/>
    <x v="2"/>
    <x v="1"/>
    <n v="0"/>
    <n v="1"/>
    <n v="0"/>
    <n v="1"/>
    <n v="0"/>
    <n v="1"/>
    <x v="1"/>
    <n v="0"/>
    <n v="1"/>
    <n v="0"/>
    <n v="0"/>
    <x v="0"/>
  </r>
  <r>
    <s v="A3A07QA5U733HQ"/>
    <x v="0"/>
    <n v="34"/>
    <s v="male"/>
    <x v="3"/>
    <x v="5"/>
    <n v="52583"/>
    <n v="0"/>
    <n v="1"/>
    <n v="0"/>
    <n v="0"/>
    <s v="NA"/>
    <s v="NA"/>
    <s v="NA"/>
    <s v="NA"/>
    <s v="NA"/>
    <s v="NA"/>
    <s v="NA"/>
    <x v="2"/>
    <x v="1"/>
    <n v="0"/>
    <n v="1"/>
    <n v="0"/>
    <n v="1"/>
    <n v="0"/>
    <n v="1"/>
    <x v="1"/>
    <n v="0"/>
    <n v="1"/>
    <n v="0"/>
    <n v="0"/>
    <x v="0"/>
  </r>
  <r>
    <s v="A3A07QA5U733HQ"/>
    <x v="0"/>
    <n v="34"/>
    <s v="male"/>
    <x v="2"/>
    <x v="6"/>
    <n v="22373"/>
    <n v="1"/>
    <n v="1"/>
    <n v="1"/>
    <n v="0"/>
    <s v="Bookstore E."/>
    <s v="Bookstore A."/>
    <s v="Bookstore F."/>
    <s v="mo-l"/>
    <s v="mo-h"/>
    <s v="fa"/>
    <n v="0"/>
    <x v="2"/>
    <x v="1"/>
    <n v="0"/>
    <n v="0"/>
    <n v="0"/>
    <n v="1"/>
    <n v="0"/>
    <n v="1"/>
    <x v="1"/>
    <n v="0"/>
    <n v="0"/>
    <n v="0"/>
    <n v="0"/>
    <x v="0"/>
  </r>
  <r>
    <s v="A3A07QA5U733HQ"/>
    <x v="0"/>
    <n v="34"/>
    <s v="male"/>
    <x v="3"/>
    <x v="12"/>
    <n v="45178"/>
    <n v="1"/>
    <n v="1"/>
    <n v="0"/>
    <n v="0"/>
    <s v="NA"/>
    <s v="NA"/>
    <s v="NA"/>
    <s v="NA"/>
    <s v="NA"/>
    <s v="NA"/>
    <s v="NA"/>
    <x v="2"/>
    <x v="1"/>
    <n v="0"/>
    <n v="0"/>
    <n v="0"/>
    <n v="1"/>
    <n v="0"/>
    <n v="1"/>
    <x v="1"/>
    <n v="0"/>
    <n v="0"/>
    <n v="0"/>
    <n v="0"/>
    <x v="0"/>
  </r>
  <r>
    <s v="A3A07QA5U733HQ"/>
    <x v="0"/>
    <n v="34"/>
    <s v="male"/>
    <x v="2"/>
    <x v="11"/>
    <n v="25789"/>
    <n v="0"/>
    <n v="0"/>
    <n v="0"/>
    <n v="1"/>
    <s v="Dentist E."/>
    <s v="Dentists A and B."/>
    <s v="Dentists D and E."/>
    <s v="mo-l"/>
    <s v="ms-h"/>
    <s v="ms-l"/>
    <n v="0"/>
    <x v="1"/>
    <x v="1"/>
    <n v="1"/>
    <n v="1"/>
    <n v="0"/>
    <n v="1"/>
    <n v="0"/>
    <n v="0"/>
    <x v="2"/>
    <n v="0"/>
    <n v="0"/>
    <n v="0"/>
    <n v="1"/>
    <x v="0"/>
  </r>
  <r>
    <s v="A3A07QA5U733HQ"/>
    <x v="0"/>
    <n v="34"/>
    <s v="male"/>
    <x v="2"/>
    <x v="7"/>
    <n v="12572"/>
    <n v="1"/>
    <n v="1"/>
    <n v="1"/>
    <n v="0"/>
    <s v="Stylist E."/>
    <s v="Stylists A, B, C, D and E."/>
    <s v="Stylists D and E."/>
    <s v="mo-l"/>
    <s v="exh"/>
    <s v="ms-l"/>
    <n v="1"/>
    <x v="1"/>
    <x v="1"/>
    <n v="0"/>
    <n v="1"/>
    <n v="0"/>
    <n v="1"/>
    <n v="1"/>
    <n v="0"/>
    <x v="1"/>
    <n v="0"/>
    <n v="1"/>
    <n v="0"/>
    <n v="0"/>
    <x v="0"/>
  </r>
  <r>
    <s v="A3A07QA5U733HQ"/>
    <x v="0"/>
    <n v="34"/>
    <s v="male"/>
    <x v="3"/>
    <x v="10"/>
    <n v="53935"/>
    <n v="0"/>
    <n v="0"/>
    <n v="0"/>
    <n v="1"/>
    <s v="NA"/>
    <s v="NA"/>
    <s v="NA"/>
    <s v="NA"/>
    <s v="NA"/>
    <s v="NA"/>
    <s v="NA"/>
    <x v="1"/>
    <x v="1"/>
    <n v="0"/>
    <n v="1"/>
    <n v="0"/>
    <n v="1"/>
    <n v="1"/>
    <n v="0"/>
    <x v="1"/>
    <n v="0"/>
    <n v="1"/>
    <n v="0"/>
    <n v="0"/>
    <x v="0"/>
  </r>
  <r>
    <s v="A3A07QA5U733HQ"/>
    <x v="0"/>
    <n v="34"/>
    <s v="male"/>
    <x v="4"/>
    <x v="0"/>
    <n v="63913"/>
    <s v="No%2C It's pretty much asking the same question."/>
    <s v="No%2C it wasn't too difficult. It was kind of challenging but not too difficult."/>
    <s v="No"/>
    <s v="NA"/>
    <s v="NA"/>
    <s v="NA"/>
    <s v="NA"/>
    <s v="NA"/>
    <s v="NA"/>
    <s v="NA"/>
    <s v="NA"/>
    <x v="0"/>
    <x v="0"/>
    <s v="NA"/>
    <s v="NA"/>
    <s v="NA"/>
    <s v="NA"/>
    <s v="NA"/>
    <s v="NA"/>
    <x v="0"/>
    <s v="NA"/>
    <s v="NA"/>
    <s v="NA"/>
    <s v="NA"/>
    <x v="0"/>
  </r>
  <r>
    <s v="A3FY7A6Z3EVNRX"/>
    <x v="2"/>
    <n v="40"/>
    <s v="female"/>
    <x v="0"/>
    <x v="0"/>
    <n v="25736"/>
    <s v="NA"/>
    <s v="NA"/>
    <s v="NA"/>
    <s v="NA"/>
    <s v="NA"/>
    <s v="NA"/>
    <s v="NA"/>
    <s v="NA"/>
    <s v="NA"/>
    <s v="NA"/>
    <s v="NA"/>
    <x v="0"/>
    <x v="0"/>
    <s v="NA"/>
    <s v="NA"/>
    <s v="NA"/>
    <s v="NA"/>
    <s v="NA"/>
    <s v="NA"/>
    <x v="0"/>
    <s v="NA"/>
    <s v="NA"/>
    <s v="NA"/>
    <s v="NA"/>
    <x v="0"/>
  </r>
  <r>
    <s v="A3FY7A6Z3EVNRX"/>
    <x v="2"/>
    <n v="40"/>
    <s v="female"/>
    <x v="1"/>
    <x v="1"/>
    <n v="36466"/>
    <n v="0"/>
    <n v="0"/>
    <n v="0"/>
    <n v="1"/>
    <s v="NA"/>
    <s v="NA"/>
    <s v="NA"/>
    <s v="NA"/>
    <s v="NA"/>
    <s v="NA"/>
    <s v="NA"/>
    <x v="0"/>
    <x v="0"/>
    <s v="NA"/>
    <s v="NA"/>
    <s v="NA"/>
    <s v="NA"/>
    <s v="NA"/>
    <s v="NA"/>
    <x v="0"/>
    <s v="NA"/>
    <s v="NA"/>
    <s v="NA"/>
    <s v="NA"/>
    <x v="0"/>
  </r>
  <r>
    <s v="A3FY7A6Z3EVNRX"/>
    <x v="2"/>
    <n v="40"/>
    <s v="female"/>
    <x v="1"/>
    <x v="2"/>
    <n v="44230"/>
    <n v="0"/>
    <n v="0"/>
    <n v="1"/>
    <n v="0"/>
    <s v="NA"/>
    <s v="NA"/>
    <s v="NA"/>
    <s v="NA"/>
    <s v="NA"/>
    <s v="NA"/>
    <s v="NA"/>
    <x v="0"/>
    <x v="0"/>
    <s v="NA"/>
    <s v="NA"/>
    <s v="NA"/>
    <s v="NA"/>
    <s v="NA"/>
    <s v="NA"/>
    <x v="0"/>
    <s v="NA"/>
    <s v="NA"/>
    <s v="NA"/>
    <s v="NA"/>
    <x v="0"/>
  </r>
  <r>
    <s v="A3FY7A6Z3EVNRX"/>
    <x v="2"/>
    <n v="40"/>
    <s v="female"/>
    <x v="2"/>
    <x v="3"/>
    <n v="55172"/>
    <n v="0"/>
    <n v="0"/>
    <n v="0"/>
    <n v="1"/>
    <s v="Cafes A and B."/>
    <s v="Cafes D and E."/>
    <s v="Cafe F."/>
    <s v="ms-h"/>
    <s v="ms-l"/>
    <s v="fa"/>
    <n v="0"/>
    <x v="1"/>
    <x v="2"/>
    <n v="1"/>
    <n v="1"/>
    <n v="0"/>
    <n v="1"/>
    <n v="0"/>
    <n v="0"/>
    <x v="2"/>
    <n v="0"/>
    <n v="0"/>
    <n v="0"/>
    <n v="1"/>
    <x v="0"/>
  </r>
  <r>
    <s v="A3FY7A6Z3EVNRX"/>
    <x v="2"/>
    <n v="40"/>
    <s v="female"/>
    <x v="3"/>
    <x v="8"/>
    <n v="26158"/>
    <n v="1"/>
    <n v="1"/>
    <n v="0"/>
    <n v="0"/>
    <s v="NA"/>
    <s v="NA"/>
    <s v="NA"/>
    <s v="NA"/>
    <s v="NA"/>
    <s v="NA"/>
    <s v="NA"/>
    <x v="1"/>
    <x v="2"/>
    <n v="1"/>
    <n v="1"/>
    <n v="0"/>
    <n v="1"/>
    <n v="0"/>
    <n v="0"/>
    <x v="2"/>
    <n v="0"/>
    <n v="0"/>
    <n v="0"/>
    <n v="1"/>
    <x v="0"/>
  </r>
  <r>
    <s v="A3FY7A6Z3EVNRX"/>
    <x v="2"/>
    <n v="40"/>
    <s v="female"/>
    <x v="2"/>
    <x v="9"/>
    <n v="38057"/>
    <n v="0"/>
    <n v="0"/>
    <n v="0"/>
    <n v="1"/>
    <s v="Store A."/>
    <s v="Stores D and E."/>
    <s v="Stores A, B, C, D and E."/>
    <s v="mo-h"/>
    <s v="ms-l"/>
    <s v="exh"/>
    <n v="1"/>
    <x v="2"/>
    <x v="2"/>
    <n v="0"/>
    <n v="1"/>
    <n v="0"/>
    <n v="1"/>
    <n v="0"/>
    <n v="0"/>
    <x v="2"/>
    <n v="0"/>
    <n v="0"/>
    <n v="0"/>
    <n v="1"/>
    <x v="0"/>
  </r>
  <r>
    <s v="A3FY7A6Z3EVNRX"/>
    <x v="2"/>
    <n v="40"/>
    <s v="female"/>
    <x v="2"/>
    <x v="4"/>
    <n v="17769"/>
    <n v="0"/>
    <n v="0"/>
    <n v="0"/>
    <n v="1"/>
    <s v="Stall F."/>
    <s v="Stalls D and E."/>
    <s v="Stall E."/>
    <s v="fa"/>
    <s v="ms-l"/>
    <s v="mo-l"/>
    <n v="0"/>
    <x v="1"/>
    <x v="1"/>
    <n v="0"/>
    <n v="1"/>
    <n v="0"/>
    <n v="1"/>
    <n v="0"/>
    <n v="0"/>
    <x v="2"/>
    <n v="0"/>
    <n v="0"/>
    <n v="0"/>
    <n v="1"/>
    <x v="0"/>
  </r>
  <r>
    <s v="A3FY7A6Z3EVNRX"/>
    <x v="2"/>
    <n v="40"/>
    <s v="female"/>
    <x v="3"/>
    <x v="5"/>
    <n v="25604"/>
    <n v="0"/>
    <n v="1"/>
    <n v="1"/>
    <n v="0"/>
    <s v="NA"/>
    <s v="NA"/>
    <s v="NA"/>
    <s v="NA"/>
    <s v="NA"/>
    <s v="NA"/>
    <s v="NA"/>
    <x v="1"/>
    <x v="1"/>
    <n v="0"/>
    <n v="1"/>
    <n v="0"/>
    <n v="1"/>
    <n v="0"/>
    <n v="0"/>
    <x v="2"/>
    <n v="0"/>
    <n v="0"/>
    <n v="0"/>
    <n v="1"/>
    <x v="0"/>
  </r>
  <r>
    <s v="A3FY7A6Z3EVNRX"/>
    <x v="2"/>
    <n v="40"/>
    <s v="female"/>
    <x v="2"/>
    <x v="7"/>
    <n v="16965"/>
    <n v="0"/>
    <n v="0"/>
    <n v="1"/>
    <n v="0"/>
    <s v="Stylists D and E."/>
    <s v="Stylist E."/>
    <s v="Stylist A."/>
    <s v="ms-l"/>
    <s v="mo-l"/>
    <s v="mo-h"/>
    <n v="0"/>
    <x v="2"/>
    <x v="1"/>
    <n v="0"/>
    <n v="1"/>
    <n v="0"/>
    <n v="1"/>
    <n v="0"/>
    <n v="1"/>
    <x v="2"/>
    <n v="0"/>
    <n v="0"/>
    <n v="0"/>
    <n v="0"/>
    <x v="0"/>
  </r>
  <r>
    <s v="A3FY7A6Z3EVNRX"/>
    <x v="2"/>
    <n v="40"/>
    <s v="female"/>
    <x v="3"/>
    <x v="10"/>
    <n v="29612"/>
    <n v="0"/>
    <n v="1"/>
    <n v="1"/>
    <n v="0"/>
    <s v="NA"/>
    <s v="NA"/>
    <s v="NA"/>
    <s v="NA"/>
    <s v="NA"/>
    <s v="NA"/>
    <s v="NA"/>
    <x v="2"/>
    <x v="1"/>
    <n v="0"/>
    <n v="1"/>
    <n v="0"/>
    <n v="1"/>
    <n v="0"/>
    <n v="1"/>
    <x v="2"/>
    <n v="0"/>
    <n v="0"/>
    <n v="0"/>
    <n v="0"/>
    <x v="0"/>
  </r>
  <r>
    <s v="A3FY7A6Z3EVNRX"/>
    <x v="2"/>
    <n v="40"/>
    <s v="female"/>
    <x v="2"/>
    <x v="11"/>
    <n v="13613"/>
    <n v="0"/>
    <n v="0"/>
    <n v="0"/>
    <n v="1"/>
    <s v="Dentists D and E."/>
    <s v="Dentist F."/>
    <s v="Dentists A, B, C, D and E."/>
    <s v="ms-l"/>
    <s v="fa"/>
    <s v="exh"/>
    <n v="1"/>
    <x v="1"/>
    <x v="2"/>
    <n v="0"/>
    <n v="1"/>
    <n v="0"/>
    <n v="1"/>
    <n v="0"/>
    <n v="0"/>
    <x v="2"/>
    <n v="0"/>
    <n v="0"/>
    <n v="0"/>
    <n v="1"/>
    <x v="0"/>
  </r>
  <r>
    <s v="A3FY7A6Z3EVNRX"/>
    <x v="2"/>
    <n v="40"/>
    <s v="female"/>
    <x v="2"/>
    <x v="6"/>
    <n v="21735"/>
    <n v="0"/>
    <n v="1"/>
    <n v="0"/>
    <n v="0"/>
    <s v="Bookstores D and E."/>
    <s v="Bookstores A and B."/>
    <s v="Bookstore E."/>
    <s v="ms-l"/>
    <s v="ms-h"/>
    <s v="mo-l"/>
    <n v="0"/>
    <x v="1"/>
    <x v="1"/>
    <n v="1"/>
    <n v="1"/>
    <n v="0"/>
    <n v="1"/>
    <n v="0"/>
    <n v="0"/>
    <x v="2"/>
    <n v="1"/>
    <n v="0"/>
    <n v="0"/>
    <n v="0"/>
    <x v="0"/>
  </r>
  <r>
    <s v="A3FY7A6Z3EVNRX"/>
    <x v="2"/>
    <n v="40"/>
    <s v="female"/>
    <x v="3"/>
    <x v="12"/>
    <n v="15388"/>
    <n v="1"/>
    <n v="0"/>
    <n v="0"/>
    <n v="0"/>
    <s v="NA"/>
    <s v="NA"/>
    <s v="NA"/>
    <s v="NA"/>
    <s v="NA"/>
    <s v="NA"/>
    <s v="NA"/>
    <x v="1"/>
    <x v="1"/>
    <n v="1"/>
    <n v="1"/>
    <n v="0"/>
    <n v="1"/>
    <n v="0"/>
    <n v="0"/>
    <x v="2"/>
    <n v="1"/>
    <n v="0"/>
    <n v="0"/>
    <n v="0"/>
    <x v="0"/>
  </r>
  <r>
    <s v="A3FY7A6Z3EVNRX"/>
    <x v="2"/>
    <n v="40"/>
    <s v="female"/>
    <x v="4"/>
    <x v="0"/>
    <n v="37058"/>
    <s v="Same question some same answer"/>
    <s v="No fairly straight forward"/>
    <s v="nope"/>
    <s v="NA"/>
    <s v="NA"/>
    <s v="NA"/>
    <s v="NA"/>
    <s v="NA"/>
    <s v="NA"/>
    <s v="NA"/>
    <s v="NA"/>
    <x v="0"/>
    <x v="0"/>
    <s v="NA"/>
    <s v="NA"/>
    <s v="NA"/>
    <s v="NA"/>
    <s v="NA"/>
    <s v="NA"/>
    <x v="0"/>
    <s v="NA"/>
    <s v="NA"/>
    <s v="NA"/>
    <s v="NA"/>
    <x v="0"/>
  </r>
  <r>
    <s v="A3SL5QRF7MX2P1"/>
    <x v="0"/>
    <n v="39"/>
    <s v="female"/>
    <x v="0"/>
    <x v="0"/>
    <n v="40955"/>
    <s v="NA"/>
    <s v="NA"/>
    <s v="NA"/>
    <s v="NA"/>
    <s v="NA"/>
    <s v="NA"/>
    <s v="NA"/>
    <s v="NA"/>
    <s v="NA"/>
    <s v="NA"/>
    <s v="NA"/>
    <x v="0"/>
    <x v="0"/>
    <s v="NA"/>
    <s v="NA"/>
    <s v="NA"/>
    <s v="NA"/>
    <s v="NA"/>
    <s v="NA"/>
    <x v="0"/>
    <s v="NA"/>
    <s v="NA"/>
    <s v="NA"/>
    <s v="NA"/>
    <x v="0"/>
  </r>
  <r>
    <s v="A3SL5QRF7MX2P1"/>
    <x v="0"/>
    <n v="39"/>
    <s v="female"/>
    <x v="1"/>
    <x v="1"/>
    <n v="33997"/>
    <n v="0"/>
    <n v="0"/>
    <n v="0"/>
    <n v="1"/>
    <s v="NA"/>
    <s v="NA"/>
    <s v="NA"/>
    <s v="NA"/>
    <s v="NA"/>
    <s v="NA"/>
    <s v="NA"/>
    <x v="0"/>
    <x v="0"/>
    <s v="NA"/>
    <s v="NA"/>
    <s v="NA"/>
    <s v="NA"/>
    <s v="NA"/>
    <s v="NA"/>
    <x v="0"/>
    <s v="NA"/>
    <s v="NA"/>
    <s v="NA"/>
    <s v="NA"/>
    <x v="0"/>
  </r>
  <r>
    <s v="A3SL5QRF7MX2P1"/>
    <x v="0"/>
    <n v="39"/>
    <s v="female"/>
    <x v="1"/>
    <x v="2"/>
    <n v="55849"/>
    <n v="0"/>
    <n v="0"/>
    <n v="1"/>
    <n v="0"/>
    <s v="NA"/>
    <s v="NA"/>
    <s v="NA"/>
    <s v="NA"/>
    <s v="NA"/>
    <s v="NA"/>
    <s v="NA"/>
    <x v="0"/>
    <x v="0"/>
    <s v="NA"/>
    <s v="NA"/>
    <s v="NA"/>
    <s v="NA"/>
    <s v="NA"/>
    <s v="NA"/>
    <x v="0"/>
    <s v="NA"/>
    <s v="NA"/>
    <s v="NA"/>
    <s v="NA"/>
    <x v="0"/>
  </r>
  <r>
    <s v="A3SL5QRF7MX2P1"/>
    <x v="0"/>
    <n v="39"/>
    <s v="female"/>
    <x v="2"/>
    <x v="11"/>
    <n v="92366"/>
    <n v="0"/>
    <n v="0"/>
    <n v="0"/>
    <n v="1"/>
    <s v="Dentist E."/>
    <s v="Dentists A and B."/>
    <s v="Dentists D and E."/>
    <s v="mo-l"/>
    <s v="ms-h"/>
    <s v="ms-l"/>
    <n v="0"/>
    <x v="1"/>
    <x v="1"/>
    <n v="1"/>
    <n v="1"/>
    <n v="0"/>
    <n v="1"/>
    <n v="0"/>
    <n v="0"/>
    <x v="2"/>
    <n v="0"/>
    <n v="0"/>
    <n v="0"/>
    <n v="1"/>
    <x v="0"/>
  </r>
  <r>
    <s v="A3SL5QRF7MX2P1"/>
    <x v="0"/>
    <n v="39"/>
    <s v="female"/>
    <x v="2"/>
    <x v="6"/>
    <n v="28999"/>
    <n v="0"/>
    <n v="0"/>
    <n v="0"/>
    <n v="1"/>
    <s v="Bookstores D and E."/>
    <s v="Bookstore E."/>
    <s v="Bookstores A and B."/>
    <s v="ms-l"/>
    <s v="mo-l"/>
    <s v="ms-h"/>
    <n v="0"/>
    <x v="1"/>
    <x v="1"/>
    <n v="1"/>
    <n v="1"/>
    <n v="0"/>
    <n v="1"/>
    <n v="0"/>
    <n v="0"/>
    <x v="2"/>
    <n v="0"/>
    <n v="0"/>
    <n v="0"/>
    <n v="1"/>
    <x v="0"/>
  </r>
  <r>
    <s v="A3SL5QRF7MX2P1"/>
    <x v="0"/>
    <n v="39"/>
    <s v="female"/>
    <x v="3"/>
    <x v="12"/>
    <n v="23422"/>
    <n v="0"/>
    <n v="0"/>
    <n v="0"/>
    <n v="1"/>
    <s v="NA"/>
    <s v="NA"/>
    <s v="NA"/>
    <s v="NA"/>
    <s v="NA"/>
    <s v="NA"/>
    <s v="NA"/>
    <x v="1"/>
    <x v="1"/>
    <n v="1"/>
    <n v="1"/>
    <n v="0"/>
    <n v="1"/>
    <n v="0"/>
    <n v="0"/>
    <x v="2"/>
    <n v="0"/>
    <n v="0"/>
    <n v="0"/>
    <n v="1"/>
    <x v="0"/>
  </r>
  <r>
    <s v="A3SL5QRF7MX2P1"/>
    <x v="0"/>
    <n v="39"/>
    <s v="female"/>
    <x v="2"/>
    <x v="7"/>
    <n v="20832"/>
    <n v="1"/>
    <n v="1"/>
    <n v="1"/>
    <n v="0"/>
    <s v="Stylists A and B."/>
    <s v="Stylist A."/>
    <s v="Stylists D and E."/>
    <s v="ms-h"/>
    <s v="mo-h"/>
    <s v="ms-l"/>
    <n v="0"/>
    <x v="2"/>
    <x v="2"/>
    <n v="1"/>
    <n v="1"/>
    <n v="0"/>
    <n v="1"/>
    <n v="0"/>
    <n v="1"/>
    <x v="2"/>
    <n v="1"/>
    <n v="1"/>
    <n v="0"/>
    <n v="0"/>
    <x v="0"/>
  </r>
  <r>
    <s v="A3SL5QRF7MX2P1"/>
    <x v="0"/>
    <n v="39"/>
    <s v="female"/>
    <x v="3"/>
    <x v="10"/>
    <n v="53048"/>
    <n v="1"/>
    <n v="1"/>
    <n v="1"/>
    <n v="0"/>
    <s v="NA"/>
    <s v="NA"/>
    <s v="NA"/>
    <s v="NA"/>
    <s v="NA"/>
    <s v="NA"/>
    <s v="NA"/>
    <x v="2"/>
    <x v="2"/>
    <n v="1"/>
    <n v="1"/>
    <n v="0"/>
    <n v="1"/>
    <n v="0"/>
    <n v="1"/>
    <x v="2"/>
    <n v="1"/>
    <n v="1"/>
    <n v="0"/>
    <n v="0"/>
    <x v="0"/>
  </r>
  <r>
    <s v="A3SL5QRF7MX2P1"/>
    <x v="0"/>
    <n v="39"/>
    <s v="female"/>
    <x v="2"/>
    <x v="4"/>
    <n v="41461"/>
    <n v="1"/>
    <n v="1"/>
    <n v="1"/>
    <n v="0"/>
    <s v="Stalls D and E."/>
    <s v="Stall A."/>
    <s v="Stalls A and B."/>
    <s v="ms-l"/>
    <s v="mo-h"/>
    <s v="ms-h"/>
    <n v="0"/>
    <x v="2"/>
    <x v="2"/>
    <n v="1"/>
    <n v="1"/>
    <n v="0"/>
    <n v="1"/>
    <n v="0"/>
    <n v="1"/>
    <x v="2"/>
    <n v="1"/>
    <n v="1"/>
    <n v="0"/>
    <n v="0"/>
    <x v="0"/>
  </r>
  <r>
    <s v="A3SL5QRF7MX2P1"/>
    <x v="0"/>
    <n v="39"/>
    <s v="female"/>
    <x v="2"/>
    <x v="9"/>
    <n v="5469"/>
    <n v="1"/>
    <n v="1"/>
    <n v="1"/>
    <n v="0"/>
    <s v="Store A."/>
    <s v="Stores A, B, C, D and E."/>
    <s v="Stores A and B."/>
    <s v="mo-h"/>
    <s v="exh"/>
    <s v="ms-h"/>
    <n v="1"/>
    <x v="2"/>
    <x v="2"/>
    <n v="1"/>
    <n v="0"/>
    <n v="0"/>
    <n v="1"/>
    <n v="1"/>
    <n v="1"/>
    <x v="2"/>
    <n v="1"/>
    <n v="0"/>
    <n v="0"/>
    <n v="0"/>
    <x v="0"/>
  </r>
  <r>
    <s v="A3SL5QRF7MX2P1"/>
    <x v="0"/>
    <n v="39"/>
    <s v="female"/>
    <x v="3"/>
    <x v="8"/>
    <n v="20397"/>
    <n v="1"/>
    <n v="1"/>
    <n v="0"/>
    <n v="0"/>
    <s v="NA"/>
    <s v="NA"/>
    <s v="NA"/>
    <s v="NA"/>
    <s v="NA"/>
    <s v="NA"/>
    <s v="NA"/>
    <x v="2"/>
    <x v="2"/>
    <n v="1"/>
    <n v="0"/>
    <n v="0"/>
    <n v="1"/>
    <n v="1"/>
    <n v="1"/>
    <x v="2"/>
    <n v="1"/>
    <n v="0"/>
    <n v="0"/>
    <n v="0"/>
    <x v="0"/>
  </r>
  <r>
    <s v="A3SL5QRF7MX2P1"/>
    <x v="0"/>
    <n v="39"/>
    <s v="female"/>
    <x v="2"/>
    <x v="3"/>
    <n v="6461"/>
    <n v="1"/>
    <n v="1"/>
    <n v="1"/>
    <n v="0"/>
    <s v="Cafe E."/>
    <s v="Cafes D and E."/>
    <s v="Cafes A and B."/>
    <s v="mo-l"/>
    <s v="ms-l"/>
    <s v="ms-h"/>
    <n v="0"/>
    <x v="1"/>
    <x v="1"/>
    <n v="1"/>
    <n v="1"/>
    <n v="0"/>
    <n v="1"/>
    <n v="0"/>
    <n v="0"/>
    <x v="1"/>
    <n v="1"/>
    <n v="1"/>
    <n v="0"/>
    <n v="0"/>
    <x v="0"/>
  </r>
  <r>
    <s v="A3SL5QRF7MX2P1"/>
    <x v="0"/>
    <n v="39"/>
    <s v="female"/>
    <x v="3"/>
    <x v="5"/>
    <n v="43270"/>
    <n v="1"/>
    <n v="1"/>
    <n v="1"/>
    <n v="0"/>
    <s v="NA"/>
    <s v="NA"/>
    <s v="NA"/>
    <s v="NA"/>
    <s v="NA"/>
    <s v="NA"/>
    <s v="NA"/>
    <x v="1"/>
    <x v="1"/>
    <n v="1"/>
    <n v="1"/>
    <n v="0"/>
    <n v="1"/>
    <n v="0"/>
    <n v="0"/>
    <x v="1"/>
    <n v="1"/>
    <n v="1"/>
    <n v="0"/>
    <n v="0"/>
    <x v="0"/>
  </r>
  <r>
    <s v="A3SL5QRF7MX2P1"/>
    <x v="0"/>
    <n v="39"/>
    <s v="female"/>
    <x v="4"/>
    <x v="0"/>
    <n v="33391"/>
    <s v="No.  I would answer the same because they are the same question."/>
    <s v="no"/>
    <s v="No"/>
    <s v="NA"/>
    <s v="NA"/>
    <s v="NA"/>
    <s v="NA"/>
    <s v="NA"/>
    <s v="NA"/>
    <s v="NA"/>
    <s v="NA"/>
    <x v="0"/>
    <x v="0"/>
    <s v="NA"/>
    <s v="NA"/>
    <s v="NA"/>
    <s v="NA"/>
    <s v="NA"/>
    <s v="NA"/>
    <x v="0"/>
    <s v="NA"/>
    <s v="NA"/>
    <s v="NA"/>
    <s v="NA"/>
    <x v="0"/>
  </r>
  <r>
    <s v="A31X9CV1UWZV8Z"/>
    <x v="0"/>
    <n v="35"/>
    <s v="female"/>
    <x v="0"/>
    <x v="0"/>
    <n v="40608"/>
    <s v="NA"/>
    <s v="NA"/>
    <s v="NA"/>
    <s v="NA"/>
    <s v="NA"/>
    <s v="NA"/>
    <s v="NA"/>
    <s v="NA"/>
    <s v="NA"/>
    <s v="NA"/>
    <s v="NA"/>
    <x v="0"/>
    <x v="0"/>
    <s v="NA"/>
    <s v="NA"/>
    <s v="NA"/>
    <s v="NA"/>
    <s v="NA"/>
    <s v="NA"/>
    <x v="0"/>
    <s v="NA"/>
    <s v="NA"/>
    <s v="NA"/>
    <s v="NA"/>
    <x v="0"/>
  </r>
  <r>
    <s v="A31X9CV1UWZV8Z"/>
    <x v="0"/>
    <n v="35"/>
    <s v="female"/>
    <x v="1"/>
    <x v="2"/>
    <n v="44534"/>
    <n v="0"/>
    <n v="0"/>
    <n v="1"/>
    <n v="0"/>
    <s v="NA"/>
    <s v="NA"/>
    <s v="NA"/>
    <s v="NA"/>
    <s v="NA"/>
    <s v="NA"/>
    <s v="NA"/>
    <x v="0"/>
    <x v="0"/>
    <s v="NA"/>
    <s v="NA"/>
    <s v="NA"/>
    <s v="NA"/>
    <s v="NA"/>
    <s v="NA"/>
    <x v="0"/>
    <s v="NA"/>
    <s v="NA"/>
    <s v="NA"/>
    <s v="NA"/>
    <x v="0"/>
  </r>
  <r>
    <s v="A31X9CV1UWZV8Z"/>
    <x v="0"/>
    <n v="35"/>
    <s v="female"/>
    <x v="1"/>
    <x v="1"/>
    <n v="36901"/>
    <n v="0"/>
    <n v="0"/>
    <n v="0"/>
    <n v="1"/>
    <s v="NA"/>
    <s v="NA"/>
    <s v="NA"/>
    <s v="NA"/>
    <s v="NA"/>
    <s v="NA"/>
    <s v="NA"/>
    <x v="0"/>
    <x v="0"/>
    <s v="NA"/>
    <s v="NA"/>
    <s v="NA"/>
    <s v="NA"/>
    <s v="NA"/>
    <s v="NA"/>
    <x v="0"/>
    <s v="NA"/>
    <s v="NA"/>
    <s v="NA"/>
    <s v="NA"/>
    <x v="0"/>
  </r>
  <r>
    <s v="A31X9CV1UWZV8Z"/>
    <x v="0"/>
    <n v="35"/>
    <s v="female"/>
    <x v="2"/>
    <x v="4"/>
    <n v="59316"/>
    <n v="0"/>
    <n v="0"/>
    <n v="0"/>
    <n v="1"/>
    <s v="Stall E."/>
    <s v="Stalls A and B."/>
    <s v="Stalls A, B, C, D and E."/>
    <s v="mo-l"/>
    <s v="ms-h"/>
    <s v="exh"/>
    <n v="1"/>
    <x v="1"/>
    <x v="1"/>
    <n v="1"/>
    <n v="0"/>
    <n v="0"/>
    <n v="1"/>
    <n v="0"/>
    <n v="0"/>
    <x v="2"/>
    <n v="0"/>
    <n v="0"/>
    <n v="0"/>
    <n v="1"/>
    <x v="0"/>
  </r>
  <r>
    <s v="A31X9CV1UWZV8Z"/>
    <x v="0"/>
    <n v="35"/>
    <s v="female"/>
    <x v="2"/>
    <x v="3"/>
    <n v="47385"/>
    <n v="1"/>
    <n v="1"/>
    <n v="1"/>
    <n v="0"/>
    <s v="Cafe A."/>
    <s v="Cafes A and B."/>
    <s v="Cafe F."/>
    <s v="mo-h"/>
    <s v="ms-h"/>
    <s v="fa"/>
    <n v="0"/>
    <x v="2"/>
    <x v="2"/>
    <n v="1"/>
    <n v="0"/>
    <n v="0"/>
    <n v="1"/>
    <n v="0"/>
    <n v="1"/>
    <x v="2"/>
    <n v="1"/>
    <n v="0"/>
    <n v="0"/>
    <n v="0"/>
    <x v="0"/>
  </r>
  <r>
    <s v="A31X9CV1UWZV8Z"/>
    <x v="0"/>
    <n v="35"/>
    <s v="female"/>
    <x v="3"/>
    <x v="12"/>
    <n v="31388"/>
    <n v="1"/>
    <n v="0"/>
    <n v="0"/>
    <n v="0"/>
    <s v="NA"/>
    <s v="NA"/>
    <s v="NA"/>
    <s v="NA"/>
    <s v="NA"/>
    <s v="NA"/>
    <s v="NA"/>
    <x v="2"/>
    <x v="2"/>
    <n v="1"/>
    <n v="0"/>
    <n v="0"/>
    <n v="1"/>
    <n v="0"/>
    <n v="1"/>
    <x v="2"/>
    <n v="1"/>
    <n v="0"/>
    <n v="0"/>
    <n v="0"/>
    <x v="0"/>
  </r>
  <r>
    <s v="A31X9CV1UWZV8Z"/>
    <x v="0"/>
    <n v="35"/>
    <s v="female"/>
    <x v="2"/>
    <x v="11"/>
    <n v="29755"/>
    <n v="1"/>
    <n v="1"/>
    <n v="1"/>
    <n v="0"/>
    <s v="Dentists D and E."/>
    <s v="Dentist E."/>
    <s v="Dentist A."/>
    <s v="ms-l"/>
    <s v="mo-l"/>
    <s v="mo-h"/>
    <n v="0"/>
    <x v="2"/>
    <x v="1"/>
    <n v="0"/>
    <n v="1"/>
    <n v="0"/>
    <n v="1"/>
    <n v="0"/>
    <n v="1"/>
    <x v="1"/>
    <n v="0"/>
    <n v="1"/>
    <n v="0"/>
    <n v="0"/>
    <x v="0"/>
  </r>
  <r>
    <s v="A31X9CV1UWZV8Z"/>
    <x v="0"/>
    <n v="35"/>
    <s v="female"/>
    <x v="2"/>
    <x v="7"/>
    <n v="29417"/>
    <n v="1"/>
    <n v="1"/>
    <n v="1"/>
    <n v="0"/>
    <s v="Stylist E."/>
    <s v="Stylist A."/>
    <s v="Stylists D and E."/>
    <s v="mo-l"/>
    <s v="mo-h"/>
    <s v="ms-l"/>
    <n v="0"/>
    <x v="2"/>
    <x v="1"/>
    <n v="0"/>
    <n v="1"/>
    <n v="0"/>
    <n v="1"/>
    <n v="0"/>
    <n v="1"/>
    <x v="1"/>
    <n v="0"/>
    <n v="1"/>
    <n v="0"/>
    <n v="0"/>
    <x v="0"/>
  </r>
  <r>
    <s v="A31X9CV1UWZV8Z"/>
    <x v="0"/>
    <n v="35"/>
    <s v="female"/>
    <x v="3"/>
    <x v="8"/>
    <n v="41075"/>
    <n v="0"/>
    <n v="0"/>
    <n v="0"/>
    <n v="1"/>
    <s v="NA"/>
    <s v="NA"/>
    <s v="NA"/>
    <s v="NA"/>
    <s v="NA"/>
    <s v="NA"/>
    <s v="NA"/>
    <x v="2"/>
    <x v="1"/>
    <n v="0"/>
    <n v="1"/>
    <n v="0"/>
    <n v="1"/>
    <n v="0"/>
    <n v="1"/>
    <x v="1"/>
    <n v="0"/>
    <n v="1"/>
    <n v="0"/>
    <n v="0"/>
    <x v="0"/>
  </r>
  <r>
    <s v="A31X9CV1UWZV8Z"/>
    <x v="0"/>
    <n v="35"/>
    <s v="female"/>
    <x v="2"/>
    <x v="6"/>
    <n v="17984"/>
    <n v="0"/>
    <n v="0"/>
    <n v="0"/>
    <n v="1"/>
    <s v="Bookstores D and E."/>
    <s v="Bookstore F."/>
    <s v="Bookstore E."/>
    <s v="ms-l"/>
    <s v="fa"/>
    <s v="mo-l"/>
    <n v="0"/>
    <x v="1"/>
    <x v="1"/>
    <n v="0"/>
    <n v="1"/>
    <n v="0"/>
    <n v="1"/>
    <n v="0"/>
    <n v="0"/>
    <x v="2"/>
    <n v="0"/>
    <n v="0"/>
    <n v="0"/>
    <n v="1"/>
    <x v="0"/>
  </r>
  <r>
    <s v="A31X9CV1UWZV8Z"/>
    <x v="0"/>
    <n v="35"/>
    <s v="female"/>
    <x v="3"/>
    <x v="5"/>
    <n v="49355"/>
    <n v="0"/>
    <n v="1"/>
    <n v="1"/>
    <n v="0"/>
    <s v="NA"/>
    <s v="NA"/>
    <s v="NA"/>
    <s v="NA"/>
    <s v="NA"/>
    <s v="NA"/>
    <s v="NA"/>
    <x v="1"/>
    <x v="1"/>
    <n v="0"/>
    <n v="1"/>
    <n v="0"/>
    <n v="1"/>
    <n v="0"/>
    <n v="0"/>
    <x v="2"/>
    <n v="0"/>
    <n v="0"/>
    <n v="0"/>
    <n v="1"/>
    <x v="0"/>
  </r>
  <r>
    <s v="A31X9CV1UWZV8Z"/>
    <x v="0"/>
    <n v="35"/>
    <s v="female"/>
    <x v="2"/>
    <x v="9"/>
    <n v="17418"/>
    <n v="0"/>
    <n v="0"/>
    <n v="0"/>
    <n v="1"/>
    <s v="Store A."/>
    <s v="Store E."/>
    <s v="Stores D and E."/>
    <s v="mo-h"/>
    <s v="mo-l"/>
    <s v="ms-l"/>
    <n v="0"/>
    <x v="2"/>
    <x v="1"/>
    <n v="0"/>
    <n v="1"/>
    <n v="0"/>
    <n v="1"/>
    <n v="0"/>
    <n v="0"/>
    <x v="2"/>
    <n v="0"/>
    <n v="0"/>
    <n v="0"/>
    <n v="1"/>
    <x v="0"/>
  </r>
  <r>
    <s v="A31X9CV1UWZV8Z"/>
    <x v="0"/>
    <n v="35"/>
    <s v="female"/>
    <x v="3"/>
    <x v="10"/>
    <n v="55713"/>
    <n v="1"/>
    <n v="1"/>
    <n v="1"/>
    <n v="0"/>
    <s v="NA"/>
    <s v="NA"/>
    <s v="NA"/>
    <s v="NA"/>
    <s v="NA"/>
    <s v="NA"/>
    <s v="NA"/>
    <x v="2"/>
    <x v="1"/>
    <n v="0"/>
    <n v="1"/>
    <n v="0"/>
    <n v="1"/>
    <n v="0"/>
    <n v="0"/>
    <x v="2"/>
    <n v="0"/>
    <n v="0"/>
    <n v="0"/>
    <n v="1"/>
    <x v="0"/>
  </r>
  <r>
    <s v="A31X9CV1UWZV8Z"/>
    <x v="0"/>
    <n v="35"/>
    <s v="female"/>
    <x v="4"/>
    <x v="0"/>
    <n v="42552"/>
    <s v="No%2C I would answer the same way."/>
    <s v="A little bit%2C based on the phrasing of questions."/>
    <s v="No."/>
    <s v="NA"/>
    <s v="NA"/>
    <s v="NA"/>
    <s v="NA"/>
    <s v="NA"/>
    <s v="NA"/>
    <s v="NA"/>
    <s v="NA"/>
    <x v="0"/>
    <x v="0"/>
    <s v="NA"/>
    <s v="NA"/>
    <s v="NA"/>
    <s v="NA"/>
    <s v="NA"/>
    <s v="NA"/>
    <x v="0"/>
    <s v="NA"/>
    <s v="NA"/>
    <s v="NA"/>
    <s v="NA"/>
    <x v="0"/>
  </r>
  <r>
    <s v="A28Q4YJSLGWCL5"/>
    <x v="0"/>
    <n v="62"/>
    <s v="female"/>
    <x v="0"/>
    <x v="0"/>
    <n v="41137"/>
    <s v="NA"/>
    <s v="NA"/>
    <s v="NA"/>
    <s v="NA"/>
    <s v="NA"/>
    <s v="NA"/>
    <s v="NA"/>
    <s v="NA"/>
    <s v="NA"/>
    <s v="NA"/>
    <s v="NA"/>
    <x v="0"/>
    <x v="0"/>
    <s v="NA"/>
    <s v="NA"/>
    <s v="NA"/>
    <s v="NA"/>
    <s v="NA"/>
    <s v="NA"/>
    <x v="0"/>
    <s v="NA"/>
    <s v="NA"/>
    <s v="NA"/>
    <s v="NA"/>
    <x v="0"/>
  </r>
  <r>
    <s v="A28Q4YJSLGWCL5"/>
    <x v="0"/>
    <n v="62"/>
    <s v="female"/>
    <x v="1"/>
    <x v="2"/>
    <n v="55867"/>
    <n v="0"/>
    <n v="0"/>
    <n v="1"/>
    <n v="0"/>
    <s v="NA"/>
    <s v="NA"/>
    <s v="NA"/>
    <s v="NA"/>
    <s v="NA"/>
    <s v="NA"/>
    <s v="NA"/>
    <x v="0"/>
    <x v="0"/>
    <s v="NA"/>
    <s v="NA"/>
    <s v="NA"/>
    <s v="NA"/>
    <s v="NA"/>
    <s v="NA"/>
    <x v="0"/>
    <s v="NA"/>
    <s v="NA"/>
    <s v="NA"/>
    <s v="NA"/>
    <x v="0"/>
  </r>
  <r>
    <s v="A28Q4YJSLGWCL5"/>
    <x v="0"/>
    <n v="62"/>
    <s v="female"/>
    <x v="1"/>
    <x v="1"/>
    <n v="54213"/>
    <n v="0"/>
    <n v="0"/>
    <n v="0"/>
    <n v="1"/>
    <s v="NA"/>
    <s v="NA"/>
    <s v="NA"/>
    <s v="NA"/>
    <s v="NA"/>
    <s v="NA"/>
    <s v="NA"/>
    <x v="0"/>
    <x v="0"/>
    <s v="NA"/>
    <s v="NA"/>
    <s v="NA"/>
    <s v="NA"/>
    <s v="NA"/>
    <s v="NA"/>
    <x v="0"/>
    <s v="NA"/>
    <s v="NA"/>
    <s v="NA"/>
    <s v="NA"/>
    <x v="0"/>
  </r>
  <r>
    <s v="A28Q4YJSLGWCL5"/>
    <x v="0"/>
    <n v="62"/>
    <s v="female"/>
    <x v="2"/>
    <x v="6"/>
    <n v="51096"/>
    <n v="0"/>
    <n v="0"/>
    <n v="0"/>
    <n v="1"/>
    <s v="Bookstores D and E."/>
    <s v="Bookstores A and B."/>
    <s v="Bookstore A."/>
    <s v="ms-l"/>
    <s v="ms-h"/>
    <s v="mo-h"/>
    <n v="0"/>
    <x v="2"/>
    <x v="2"/>
    <n v="1"/>
    <n v="1"/>
    <n v="0"/>
    <n v="1"/>
    <n v="0"/>
    <n v="0"/>
    <x v="2"/>
    <n v="0"/>
    <n v="0"/>
    <n v="0"/>
    <n v="1"/>
    <x v="0"/>
  </r>
  <r>
    <s v="A28Q4YJSLGWCL5"/>
    <x v="0"/>
    <n v="62"/>
    <s v="female"/>
    <x v="2"/>
    <x v="9"/>
    <n v="37439"/>
    <n v="0"/>
    <n v="0"/>
    <n v="0"/>
    <n v="1"/>
    <s v="Stores A and B."/>
    <s v="Store A."/>
    <s v="Stores A, B, C, D and E."/>
    <s v="ms-h"/>
    <s v="mo-h"/>
    <s v="exh"/>
    <n v="1"/>
    <x v="2"/>
    <x v="2"/>
    <n v="1"/>
    <n v="0"/>
    <n v="0"/>
    <n v="1"/>
    <n v="0"/>
    <n v="0"/>
    <x v="2"/>
    <n v="0"/>
    <n v="0"/>
    <n v="0"/>
    <n v="1"/>
    <x v="0"/>
  </r>
  <r>
    <s v="A28Q4YJSLGWCL5"/>
    <x v="0"/>
    <n v="62"/>
    <s v="female"/>
    <x v="3"/>
    <x v="8"/>
    <n v="40991"/>
    <n v="1"/>
    <n v="0"/>
    <n v="0"/>
    <n v="0"/>
    <s v="NA"/>
    <s v="NA"/>
    <s v="NA"/>
    <s v="NA"/>
    <s v="NA"/>
    <s v="NA"/>
    <s v="NA"/>
    <x v="2"/>
    <x v="2"/>
    <n v="1"/>
    <n v="0"/>
    <n v="0"/>
    <n v="1"/>
    <n v="0"/>
    <n v="0"/>
    <x v="2"/>
    <n v="0"/>
    <n v="0"/>
    <n v="0"/>
    <n v="1"/>
    <x v="0"/>
  </r>
  <r>
    <s v="A28Q4YJSLGWCL5"/>
    <x v="0"/>
    <n v="62"/>
    <s v="female"/>
    <x v="2"/>
    <x v="11"/>
    <n v="23859"/>
    <n v="0"/>
    <n v="0"/>
    <n v="0"/>
    <n v="1"/>
    <s v="Dentist A."/>
    <s v="Dentist F."/>
    <s v="Dentists A, B, C, D and E."/>
    <s v="mo-h"/>
    <s v="fa"/>
    <s v="exh"/>
    <n v="1"/>
    <x v="2"/>
    <x v="2"/>
    <n v="0"/>
    <n v="0"/>
    <n v="0"/>
    <n v="1"/>
    <n v="0"/>
    <n v="0"/>
    <x v="2"/>
    <n v="0"/>
    <n v="0"/>
    <n v="0"/>
    <n v="1"/>
    <x v="0"/>
  </r>
  <r>
    <s v="A28Q4YJSLGWCL5"/>
    <x v="0"/>
    <n v="62"/>
    <s v="female"/>
    <x v="3"/>
    <x v="12"/>
    <n v="27726"/>
    <n v="1"/>
    <n v="0"/>
    <n v="0"/>
    <n v="0"/>
    <s v="NA"/>
    <s v="NA"/>
    <s v="NA"/>
    <s v="NA"/>
    <s v="NA"/>
    <s v="NA"/>
    <s v="NA"/>
    <x v="2"/>
    <x v="2"/>
    <n v="0"/>
    <n v="0"/>
    <n v="0"/>
    <n v="1"/>
    <n v="0"/>
    <n v="0"/>
    <x v="2"/>
    <n v="0"/>
    <n v="0"/>
    <n v="0"/>
    <n v="1"/>
    <x v="0"/>
  </r>
  <r>
    <s v="A28Q4YJSLGWCL5"/>
    <x v="0"/>
    <n v="62"/>
    <s v="female"/>
    <x v="2"/>
    <x v="3"/>
    <n v="21037"/>
    <n v="0"/>
    <n v="0"/>
    <n v="0"/>
    <n v="1"/>
    <s v="Cafes D and E."/>
    <s v="Cafe E."/>
    <s v="Cafe F."/>
    <s v="ms-l"/>
    <s v="mo-l"/>
    <s v="fa"/>
    <n v="0"/>
    <x v="1"/>
    <x v="1"/>
    <n v="0"/>
    <n v="1"/>
    <n v="0"/>
    <n v="1"/>
    <n v="0"/>
    <n v="0"/>
    <x v="2"/>
    <n v="0"/>
    <n v="0"/>
    <n v="0"/>
    <n v="1"/>
    <x v="0"/>
  </r>
  <r>
    <s v="A28Q4YJSLGWCL5"/>
    <x v="0"/>
    <n v="62"/>
    <s v="female"/>
    <x v="2"/>
    <x v="4"/>
    <n v="29425"/>
    <n v="0"/>
    <n v="0"/>
    <n v="0"/>
    <n v="1"/>
    <s v="Stalls A and B."/>
    <s v="Stalls D and E."/>
    <s v="Stalls A, B, C, D and E."/>
    <s v="ms-h"/>
    <s v="ms-l"/>
    <s v="exh"/>
    <n v="1"/>
    <x v="1"/>
    <x v="2"/>
    <n v="1"/>
    <n v="1"/>
    <n v="0"/>
    <n v="1"/>
    <n v="0"/>
    <n v="0"/>
    <x v="2"/>
    <n v="0"/>
    <n v="0"/>
    <n v="0"/>
    <n v="1"/>
    <x v="0"/>
  </r>
  <r>
    <s v="A28Q4YJSLGWCL5"/>
    <x v="0"/>
    <n v="62"/>
    <s v="female"/>
    <x v="3"/>
    <x v="5"/>
    <n v="33709"/>
    <n v="0"/>
    <n v="0"/>
    <n v="1"/>
    <n v="0"/>
    <s v="NA"/>
    <s v="NA"/>
    <s v="NA"/>
    <s v="NA"/>
    <s v="NA"/>
    <s v="NA"/>
    <s v="NA"/>
    <x v="1"/>
    <x v="2"/>
    <n v="1"/>
    <n v="1"/>
    <n v="0"/>
    <n v="1"/>
    <n v="0"/>
    <n v="0"/>
    <x v="2"/>
    <n v="0"/>
    <n v="0"/>
    <n v="0"/>
    <n v="1"/>
    <x v="0"/>
  </r>
  <r>
    <s v="A28Q4YJSLGWCL5"/>
    <x v="0"/>
    <n v="62"/>
    <s v="female"/>
    <x v="2"/>
    <x v="7"/>
    <n v="26012"/>
    <n v="0"/>
    <n v="0"/>
    <n v="0"/>
    <n v="1"/>
    <s v="Stylist A."/>
    <s v="Stylists A and B."/>
    <s v="Stylist E."/>
    <s v="mo-h"/>
    <s v="ms-h"/>
    <s v="mo-l"/>
    <n v="0"/>
    <x v="2"/>
    <x v="1"/>
    <n v="1"/>
    <n v="0"/>
    <n v="0"/>
    <n v="1"/>
    <n v="0"/>
    <n v="0"/>
    <x v="2"/>
    <n v="0"/>
    <n v="0"/>
    <n v="0"/>
    <n v="1"/>
    <x v="0"/>
  </r>
  <r>
    <s v="A28Q4YJSLGWCL5"/>
    <x v="0"/>
    <n v="62"/>
    <s v="female"/>
    <x v="3"/>
    <x v="10"/>
    <n v="45787"/>
    <n v="0"/>
    <n v="0"/>
    <n v="1"/>
    <n v="0"/>
    <s v="NA"/>
    <s v="NA"/>
    <s v="NA"/>
    <s v="NA"/>
    <s v="NA"/>
    <s v="NA"/>
    <s v="NA"/>
    <x v="2"/>
    <x v="1"/>
    <n v="1"/>
    <n v="0"/>
    <n v="0"/>
    <n v="1"/>
    <n v="0"/>
    <n v="0"/>
    <x v="2"/>
    <n v="0"/>
    <n v="0"/>
    <n v="0"/>
    <n v="1"/>
    <x v="0"/>
  </r>
  <r>
    <s v="A28Q4YJSLGWCL5"/>
    <x v="0"/>
    <n v="62"/>
    <s v="female"/>
    <x v="4"/>
    <x v="0"/>
    <n v="86252"/>
    <s v="No. I think the answers to both question would be the same."/>
    <s v="No. I just thought about whether or not the answer to the questions would be the same."/>
    <s v="Interesting task!"/>
    <s v="NA"/>
    <s v="NA"/>
    <s v="NA"/>
    <s v="NA"/>
    <s v="NA"/>
    <s v="NA"/>
    <s v="NA"/>
    <s v="NA"/>
    <x v="0"/>
    <x v="0"/>
    <s v="NA"/>
    <s v="NA"/>
    <s v="NA"/>
    <s v="NA"/>
    <s v="NA"/>
    <s v="NA"/>
    <x v="0"/>
    <s v="NA"/>
    <s v="NA"/>
    <s v="NA"/>
    <s v="NA"/>
    <x v="0"/>
  </r>
  <r>
    <s v="A2ZAORW27PCSU4"/>
    <x v="0"/>
    <n v="27"/>
    <s v="female"/>
    <x v="0"/>
    <x v="0"/>
    <n v="26290"/>
    <s v="NA"/>
    <s v="NA"/>
    <s v="NA"/>
    <s v="NA"/>
    <s v="NA"/>
    <s v="NA"/>
    <s v="NA"/>
    <s v="NA"/>
    <s v="NA"/>
    <s v="NA"/>
    <s v="NA"/>
    <x v="0"/>
    <x v="0"/>
    <s v="NA"/>
    <s v="NA"/>
    <s v="NA"/>
    <s v="NA"/>
    <s v="NA"/>
    <s v="NA"/>
    <x v="0"/>
    <s v="NA"/>
    <s v="NA"/>
    <s v="NA"/>
    <s v="NA"/>
    <x v="0"/>
  </r>
  <r>
    <s v="A2ZAORW27PCSU4"/>
    <x v="0"/>
    <n v="27"/>
    <s v="female"/>
    <x v="1"/>
    <x v="2"/>
    <n v="7859"/>
    <n v="0"/>
    <n v="0"/>
    <n v="1"/>
    <n v="0"/>
    <s v="NA"/>
    <s v="NA"/>
    <s v="NA"/>
    <s v="NA"/>
    <s v="NA"/>
    <s v="NA"/>
    <s v="NA"/>
    <x v="0"/>
    <x v="0"/>
    <s v="NA"/>
    <s v="NA"/>
    <s v="NA"/>
    <s v="NA"/>
    <s v="NA"/>
    <s v="NA"/>
    <x v="0"/>
    <s v="NA"/>
    <s v="NA"/>
    <s v="NA"/>
    <s v="NA"/>
    <x v="0"/>
  </r>
  <r>
    <s v="A2ZAORW27PCSU4"/>
    <x v="0"/>
    <n v="27"/>
    <s v="female"/>
    <x v="1"/>
    <x v="1"/>
    <n v="10700"/>
    <n v="0"/>
    <n v="1"/>
    <n v="0"/>
    <n v="0"/>
    <s v="NA"/>
    <s v="NA"/>
    <s v="NA"/>
    <s v="NA"/>
    <s v="NA"/>
    <s v="NA"/>
    <s v="NA"/>
    <x v="0"/>
    <x v="0"/>
    <s v="NA"/>
    <s v="NA"/>
    <s v="NA"/>
    <s v="NA"/>
    <s v="NA"/>
    <s v="NA"/>
    <x v="0"/>
    <s v="NA"/>
    <s v="NA"/>
    <s v="NA"/>
    <s v="NA"/>
    <x v="0"/>
  </r>
  <r>
    <s v="A2ZAORW27PCSU4"/>
    <x v="0"/>
    <n v="27"/>
    <s v="female"/>
    <x v="2"/>
    <x v="3"/>
    <n v="2639"/>
    <n v="0"/>
    <n v="0"/>
    <n v="1"/>
    <n v="0"/>
    <s v="Cafes A and B."/>
    <s v="Cafe E."/>
    <s v="Cafes A, B, C, D and E."/>
    <s v="ms-h"/>
    <s v="mo-l"/>
    <s v="exh"/>
    <n v="1"/>
    <x v="1"/>
    <x v="1"/>
    <n v="1"/>
    <n v="0"/>
    <n v="0"/>
    <n v="1"/>
    <n v="1"/>
    <n v="0"/>
    <x v="2"/>
    <n v="0"/>
    <n v="0"/>
    <n v="0"/>
    <n v="0"/>
    <x v="0"/>
  </r>
  <r>
    <s v="A2ZAORW27PCSU4"/>
    <x v="0"/>
    <n v="27"/>
    <s v="female"/>
    <x v="2"/>
    <x v="7"/>
    <n v="3202"/>
    <n v="0"/>
    <n v="0"/>
    <n v="1"/>
    <n v="0"/>
    <s v="Stylists A, B, C, D and E."/>
    <s v="Stylists A and B."/>
    <s v="Stylist E."/>
    <s v="exh"/>
    <s v="ms-h"/>
    <s v="mo-l"/>
    <n v="1"/>
    <x v="1"/>
    <x v="1"/>
    <n v="1"/>
    <n v="0"/>
    <n v="0"/>
    <n v="1"/>
    <n v="0"/>
    <n v="0"/>
    <x v="1"/>
    <n v="0"/>
    <n v="0"/>
    <n v="0"/>
    <n v="0"/>
    <x v="0"/>
  </r>
  <r>
    <s v="A2ZAORW27PCSU4"/>
    <x v="0"/>
    <n v="27"/>
    <s v="female"/>
    <x v="3"/>
    <x v="12"/>
    <n v="11595"/>
    <n v="0"/>
    <n v="0"/>
    <n v="0"/>
    <n v="1"/>
    <s v="NA"/>
    <s v="NA"/>
    <s v="NA"/>
    <s v="NA"/>
    <s v="NA"/>
    <s v="NA"/>
    <s v="NA"/>
    <x v="1"/>
    <x v="1"/>
    <n v="1"/>
    <n v="0"/>
    <n v="0"/>
    <n v="1"/>
    <n v="0"/>
    <n v="0"/>
    <x v="1"/>
    <n v="0"/>
    <n v="0"/>
    <n v="0"/>
    <n v="0"/>
    <x v="0"/>
  </r>
  <r>
    <s v="A2ZAORW27PCSU4"/>
    <x v="0"/>
    <n v="27"/>
    <s v="female"/>
    <x v="2"/>
    <x v="9"/>
    <n v="1969"/>
    <n v="0"/>
    <n v="1"/>
    <n v="0"/>
    <n v="0"/>
    <s v="Stores D and E."/>
    <s v="Stores A, B, C, D and E."/>
    <s v="Store F."/>
    <s v="ms-l"/>
    <s v="exh"/>
    <s v="fa"/>
    <n v="1"/>
    <x v="1"/>
    <x v="2"/>
    <n v="0"/>
    <n v="1"/>
    <n v="0"/>
    <n v="1"/>
    <n v="1"/>
    <n v="0"/>
    <x v="2"/>
    <n v="0"/>
    <n v="0"/>
    <n v="0"/>
    <n v="0"/>
    <x v="0"/>
  </r>
  <r>
    <s v="A2ZAORW27PCSU4"/>
    <x v="0"/>
    <n v="27"/>
    <s v="female"/>
    <x v="2"/>
    <x v="11"/>
    <n v="5473"/>
    <n v="0"/>
    <n v="0"/>
    <n v="1"/>
    <n v="0"/>
    <s v="Dentists A and B."/>
    <s v="Dentist A."/>
    <s v="Dentist E."/>
    <s v="ms-h"/>
    <s v="mo-h"/>
    <s v="mo-l"/>
    <n v="0"/>
    <x v="2"/>
    <x v="1"/>
    <n v="1"/>
    <n v="0"/>
    <n v="0"/>
    <n v="1"/>
    <n v="0"/>
    <n v="0"/>
    <x v="1"/>
    <n v="0"/>
    <n v="0"/>
    <n v="0"/>
    <n v="0"/>
    <x v="0"/>
  </r>
  <r>
    <s v="A2ZAORW27PCSU4"/>
    <x v="0"/>
    <n v="27"/>
    <s v="female"/>
    <x v="3"/>
    <x v="5"/>
    <n v="53016"/>
    <n v="0"/>
    <n v="1"/>
    <n v="0"/>
    <n v="0"/>
    <s v="NA"/>
    <s v="NA"/>
    <s v="NA"/>
    <s v="NA"/>
    <s v="NA"/>
    <s v="NA"/>
    <s v="NA"/>
    <x v="2"/>
    <x v="1"/>
    <n v="1"/>
    <n v="0"/>
    <n v="0"/>
    <n v="1"/>
    <n v="0"/>
    <n v="0"/>
    <x v="1"/>
    <n v="0"/>
    <n v="0"/>
    <n v="0"/>
    <n v="0"/>
    <x v="0"/>
  </r>
  <r>
    <s v="A2ZAORW27PCSU4"/>
    <x v="0"/>
    <n v="27"/>
    <s v="female"/>
    <x v="2"/>
    <x v="6"/>
    <n v="4329"/>
    <n v="0"/>
    <n v="0"/>
    <n v="1"/>
    <n v="0"/>
    <s v="Bookstores A, B, C, D and E."/>
    <s v="Bookstores D and E."/>
    <s v="Bookstores A and B."/>
    <s v="exh"/>
    <s v="ms-l"/>
    <s v="ms-h"/>
    <n v="1"/>
    <x v="1"/>
    <x v="2"/>
    <n v="1"/>
    <n v="1"/>
    <n v="0"/>
    <n v="1"/>
    <n v="0"/>
    <n v="0"/>
    <x v="2"/>
    <n v="1"/>
    <n v="0"/>
    <n v="0"/>
    <n v="0"/>
    <x v="0"/>
  </r>
  <r>
    <s v="A2ZAORW27PCSU4"/>
    <x v="0"/>
    <n v="27"/>
    <s v="female"/>
    <x v="3"/>
    <x v="10"/>
    <n v="3779"/>
    <n v="0"/>
    <n v="1"/>
    <n v="0"/>
    <n v="0"/>
    <s v="NA"/>
    <s v="NA"/>
    <s v="NA"/>
    <s v="NA"/>
    <s v="NA"/>
    <s v="NA"/>
    <s v="NA"/>
    <x v="1"/>
    <x v="2"/>
    <n v="1"/>
    <n v="1"/>
    <n v="0"/>
    <n v="1"/>
    <n v="0"/>
    <n v="0"/>
    <x v="2"/>
    <n v="1"/>
    <n v="0"/>
    <n v="0"/>
    <n v="0"/>
    <x v="0"/>
  </r>
  <r>
    <s v="A2ZAORW27PCSU4"/>
    <x v="0"/>
    <n v="27"/>
    <s v="female"/>
    <x v="2"/>
    <x v="4"/>
    <n v="1897"/>
    <n v="0"/>
    <n v="1"/>
    <n v="0"/>
    <n v="0"/>
    <s v="Stall A."/>
    <s v="Stalls A, B, C, D and E."/>
    <s v="Stalls D and E."/>
    <s v="mo-h"/>
    <s v="exh"/>
    <s v="ms-l"/>
    <n v="1"/>
    <x v="2"/>
    <x v="2"/>
    <n v="0"/>
    <n v="1"/>
    <n v="0"/>
    <n v="1"/>
    <n v="1"/>
    <n v="0"/>
    <x v="2"/>
    <n v="0"/>
    <n v="0"/>
    <n v="0"/>
    <n v="0"/>
    <x v="0"/>
  </r>
  <r>
    <s v="A2ZAORW27PCSU4"/>
    <x v="0"/>
    <n v="27"/>
    <s v="female"/>
    <x v="3"/>
    <x v="8"/>
    <n v="1955"/>
    <n v="0"/>
    <n v="1"/>
    <n v="0"/>
    <n v="0"/>
    <s v="NA"/>
    <s v="NA"/>
    <s v="NA"/>
    <s v="NA"/>
    <s v="NA"/>
    <s v="NA"/>
    <s v="NA"/>
    <x v="2"/>
    <x v="2"/>
    <n v="0"/>
    <n v="1"/>
    <n v="0"/>
    <n v="1"/>
    <n v="1"/>
    <n v="0"/>
    <x v="2"/>
    <n v="0"/>
    <n v="0"/>
    <n v="0"/>
    <n v="0"/>
    <x v="0"/>
  </r>
  <r>
    <s v="A2ZAORW27PCSU4"/>
    <x v="0"/>
    <n v="27"/>
    <s v="female"/>
    <x v="4"/>
    <x v="0"/>
    <n v="17034"/>
    <s v="GOOD KNOWLEGE"/>
    <s v="no"/>
    <s v="NICE"/>
    <s v="NA"/>
    <s v="NA"/>
    <s v="NA"/>
    <s v="NA"/>
    <s v="NA"/>
    <s v="NA"/>
    <s v="NA"/>
    <s v="NA"/>
    <x v="0"/>
    <x v="0"/>
    <s v="NA"/>
    <s v="NA"/>
    <s v="NA"/>
    <s v="NA"/>
    <s v="NA"/>
    <s v="NA"/>
    <x v="0"/>
    <s v="NA"/>
    <s v="NA"/>
    <s v="NA"/>
    <s v="NA"/>
    <x v="0"/>
  </r>
  <r>
    <s v="ALJ70B2J04YR7"/>
    <x v="0"/>
    <n v="50"/>
    <s v="female"/>
    <x v="0"/>
    <x v="0"/>
    <n v="69543"/>
    <s v="NA"/>
    <s v="NA"/>
    <s v="NA"/>
    <s v="NA"/>
    <s v="NA"/>
    <s v="NA"/>
    <s v="NA"/>
    <s v="NA"/>
    <s v="NA"/>
    <s v="NA"/>
    <s v="NA"/>
    <x v="0"/>
    <x v="0"/>
    <s v="NA"/>
    <s v="NA"/>
    <s v="NA"/>
    <s v="NA"/>
    <s v="NA"/>
    <s v="NA"/>
    <x v="0"/>
    <s v="NA"/>
    <s v="NA"/>
    <s v="NA"/>
    <s v="NA"/>
    <x v="0"/>
  </r>
  <r>
    <s v="ALJ70B2J04YR7"/>
    <x v="0"/>
    <n v="50"/>
    <s v="female"/>
    <x v="1"/>
    <x v="2"/>
    <n v="46408"/>
    <n v="0"/>
    <n v="0"/>
    <n v="1"/>
    <n v="0"/>
    <s v="NA"/>
    <s v="NA"/>
    <s v="NA"/>
    <s v="NA"/>
    <s v="NA"/>
    <s v="NA"/>
    <s v="NA"/>
    <x v="0"/>
    <x v="0"/>
    <s v="NA"/>
    <s v="NA"/>
    <s v="NA"/>
    <s v="NA"/>
    <s v="NA"/>
    <s v="NA"/>
    <x v="0"/>
    <s v="NA"/>
    <s v="NA"/>
    <s v="NA"/>
    <s v="NA"/>
    <x v="0"/>
  </r>
  <r>
    <s v="ALJ70B2J04YR7"/>
    <x v="0"/>
    <n v="50"/>
    <s v="female"/>
    <x v="1"/>
    <x v="1"/>
    <n v="41806"/>
    <n v="0"/>
    <n v="0"/>
    <n v="0"/>
    <n v="1"/>
    <s v="NA"/>
    <s v="NA"/>
    <s v="NA"/>
    <s v="NA"/>
    <s v="NA"/>
    <s v="NA"/>
    <s v="NA"/>
    <x v="0"/>
    <x v="0"/>
    <s v="NA"/>
    <s v="NA"/>
    <s v="NA"/>
    <s v="NA"/>
    <s v="NA"/>
    <s v="NA"/>
    <x v="0"/>
    <s v="NA"/>
    <s v="NA"/>
    <s v="NA"/>
    <s v="NA"/>
    <x v="0"/>
  </r>
  <r>
    <s v="ALJ70B2J04YR7"/>
    <x v="0"/>
    <n v="50"/>
    <s v="female"/>
    <x v="2"/>
    <x v="11"/>
    <n v="63607"/>
    <n v="0"/>
    <n v="0"/>
    <n v="0"/>
    <n v="1"/>
    <s v="Dentists A and B."/>
    <s v="Dentist A."/>
    <s v="Dentists D and E."/>
    <s v="ms-h"/>
    <s v="mo-h"/>
    <s v="ms-l"/>
    <n v="0"/>
    <x v="2"/>
    <x v="2"/>
    <n v="1"/>
    <n v="1"/>
    <n v="0"/>
    <n v="1"/>
    <n v="0"/>
    <n v="0"/>
    <x v="2"/>
    <n v="0"/>
    <n v="0"/>
    <n v="0"/>
    <n v="1"/>
    <x v="0"/>
  </r>
  <r>
    <s v="ALJ70B2J04YR7"/>
    <x v="0"/>
    <n v="50"/>
    <s v="female"/>
    <x v="2"/>
    <x v="7"/>
    <n v="33728"/>
    <n v="0"/>
    <n v="0"/>
    <n v="0"/>
    <n v="1"/>
    <s v="Stylists A and B."/>
    <s v="Stylist A."/>
    <s v="Stylists D and E."/>
    <s v="ms-h"/>
    <s v="mo-h"/>
    <s v="ms-l"/>
    <n v="0"/>
    <x v="2"/>
    <x v="2"/>
    <n v="1"/>
    <n v="1"/>
    <n v="0"/>
    <n v="1"/>
    <n v="0"/>
    <n v="0"/>
    <x v="2"/>
    <n v="0"/>
    <n v="0"/>
    <n v="0"/>
    <n v="1"/>
    <x v="0"/>
  </r>
  <r>
    <s v="ALJ70B2J04YR7"/>
    <x v="0"/>
    <n v="50"/>
    <s v="female"/>
    <x v="3"/>
    <x v="5"/>
    <n v="44351"/>
    <n v="0"/>
    <n v="1"/>
    <n v="1"/>
    <n v="0"/>
    <s v="NA"/>
    <s v="NA"/>
    <s v="NA"/>
    <s v="NA"/>
    <s v="NA"/>
    <s v="NA"/>
    <s v="NA"/>
    <x v="2"/>
    <x v="2"/>
    <n v="1"/>
    <n v="1"/>
    <n v="0"/>
    <n v="1"/>
    <n v="0"/>
    <n v="0"/>
    <x v="2"/>
    <n v="0"/>
    <n v="0"/>
    <n v="0"/>
    <n v="1"/>
    <x v="0"/>
  </r>
  <r>
    <s v="ALJ70B2J04YR7"/>
    <x v="0"/>
    <n v="50"/>
    <s v="female"/>
    <x v="2"/>
    <x v="4"/>
    <n v="30485"/>
    <n v="0"/>
    <n v="0"/>
    <n v="0"/>
    <n v="1"/>
    <s v="Stalls D and E."/>
    <s v="Stall E."/>
    <s v="Stalls A and B."/>
    <s v="ms-l"/>
    <s v="mo-l"/>
    <s v="ms-h"/>
    <n v="0"/>
    <x v="1"/>
    <x v="1"/>
    <n v="1"/>
    <n v="1"/>
    <n v="0"/>
    <n v="1"/>
    <n v="0"/>
    <n v="0"/>
    <x v="2"/>
    <n v="0"/>
    <n v="0"/>
    <n v="0"/>
    <n v="1"/>
    <x v="0"/>
  </r>
  <r>
    <s v="ALJ70B2J04YR7"/>
    <x v="0"/>
    <n v="50"/>
    <s v="female"/>
    <x v="2"/>
    <x v="6"/>
    <n v="33447"/>
    <n v="0"/>
    <n v="0"/>
    <n v="0"/>
    <n v="1"/>
    <s v="Bookstores A and B."/>
    <s v="Bookstores D and E."/>
    <s v="Bookstore A."/>
    <s v="ms-h"/>
    <s v="ms-l"/>
    <s v="mo-h"/>
    <n v="0"/>
    <x v="2"/>
    <x v="2"/>
    <n v="1"/>
    <n v="1"/>
    <n v="0"/>
    <n v="1"/>
    <n v="0"/>
    <n v="0"/>
    <x v="2"/>
    <n v="0"/>
    <n v="0"/>
    <n v="0"/>
    <n v="1"/>
    <x v="0"/>
  </r>
  <r>
    <s v="ALJ70B2J04YR7"/>
    <x v="0"/>
    <n v="50"/>
    <s v="female"/>
    <x v="3"/>
    <x v="10"/>
    <n v="49618"/>
    <n v="0"/>
    <n v="0"/>
    <n v="0"/>
    <n v="1"/>
    <s v="NA"/>
    <s v="NA"/>
    <s v="NA"/>
    <s v="NA"/>
    <s v="NA"/>
    <s v="NA"/>
    <s v="NA"/>
    <x v="2"/>
    <x v="2"/>
    <n v="1"/>
    <n v="1"/>
    <n v="0"/>
    <n v="1"/>
    <n v="0"/>
    <n v="0"/>
    <x v="2"/>
    <n v="0"/>
    <n v="0"/>
    <n v="0"/>
    <n v="1"/>
    <x v="0"/>
  </r>
  <r>
    <s v="ALJ70B2J04YR7"/>
    <x v="0"/>
    <n v="50"/>
    <s v="female"/>
    <x v="2"/>
    <x v="9"/>
    <n v="28904"/>
    <n v="0"/>
    <n v="0"/>
    <n v="0"/>
    <n v="1"/>
    <s v="Stores D and E."/>
    <s v="Store E."/>
    <s v="Stores A, B, C, D and E."/>
    <s v="ms-l"/>
    <s v="mo-l"/>
    <s v="exh"/>
    <n v="1"/>
    <x v="1"/>
    <x v="1"/>
    <n v="0"/>
    <n v="1"/>
    <n v="0"/>
    <n v="1"/>
    <n v="0"/>
    <n v="0"/>
    <x v="2"/>
    <n v="0"/>
    <n v="0"/>
    <n v="0"/>
    <n v="1"/>
    <x v="0"/>
  </r>
  <r>
    <s v="ALJ70B2J04YR7"/>
    <x v="0"/>
    <n v="50"/>
    <s v="female"/>
    <x v="3"/>
    <x v="8"/>
    <n v="42514"/>
    <n v="1"/>
    <n v="1"/>
    <n v="0"/>
    <n v="0"/>
    <s v="NA"/>
    <s v="NA"/>
    <s v="NA"/>
    <s v="NA"/>
    <s v="NA"/>
    <s v="NA"/>
    <s v="NA"/>
    <x v="1"/>
    <x v="1"/>
    <n v="0"/>
    <n v="1"/>
    <n v="0"/>
    <n v="1"/>
    <n v="0"/>
    <n v="0"/>
    <x v="2"/>
    <n v="0"/>
    <n v="0"/>
    <n v="0"/>
    <n v="1"/>
    <x v="0"/>
  </r>
  <r>
    <s v="ALJ70B2J04YR7"/>
    <x v="0"/>
    <n v="50"/>
    <s v="female"/>
    <x v="2"/>
    <x v="3"/>
    <n v="16446"/>
    <n v="0"/>
    <n v="0"/>
    <n v="0"/>
    <n v="1"/>
    <s v="Cafes D and E."/>
    <s v="Cafe E."/>
    <s v="Cafe A."/>
    <s v="ms-l"/>
    <s v="mo-l"/>
    <s v="mo-h"/>
    <n v="0"/>
    <x v="2"/>
    <x v="1"/>
    <n v="0"/>
    <n v="1"/>
    <n v="0"/>
    <n v="1"/>
    <n v="0"/>
    <n v="0"/>
    <x v="2"/>
    <n v="0"/>
    <n v="0"/>
    <n v="0"/>
    <n v="1"/>
    <x v="0"/>
  </r>
  <r>
    <s v="ALJ70B2J04YR7"/>
    <x v="0"/>
    <n v="50"/>
    <s v="female"/>
    <x v="3"/>
    <x v="12"/>
    <n v="29041"/>
    <n v="0"/>
    <n v="0"/>
    <n v="0"/>
    <n v="1"/>
    <s v="NA"/>
    <s v="NA"/>
    <s v="NA"/>
    <s v="NA"/>
    <s v="NA"/>
    <s v="NA"/>
    <s v="NA"/>
    <x v="2"/>
    <x v="1"/>
    <n v="0"/>
    <n v="1"/>
    <n v="0"/>
    <n v="1"/>
    <n v="0"/>
    <n v="0"/>
    <x v="2"/>
    <n v="0"/>
    <n v="0"/>
    <n v="0"/>
    <n v="1"/>
    <x v="0"/>
  </r>
  <r>
    <s v="ALJ70B2J04YR7"/>
    <x v="0"/>
    <n v="50"/>
    <s v="female"/>
    <x v="4"/>
    <x v="0"/>
    <n v="96588"/>
    <s v="No.  Both questions would propagate answers of restaurants that are located in town that serve a brunch."/>
    <s v="Yes.  I thought I was fine until the Luke Skywalker question.  He answered correctly%2C but he didn't really KNOW."/>
    <m/>
    <s v="NA"/>
    <s v="NA"/>
    <s v="NA"/>
    <s v="NA"/>
    <s v="NA"/>
    <s v="NA"/>
    <s v="NA"/>
    <s v="NA"/>
    <x v="0"/>
    <x v="0"/>
    <s v="NA"/>
    <s v="NA"/>
    <s v="NA"/>
    <s v="NA"/>
    <s v="NA"/>
    <s v="NA"/>
    <x v="0"/>
    <s v="NA"/>
    <s v="NA"/>
    <s v="NA"/>
    <s v="NA"/>
    <x v="0"/>
  </r>
  <r>
    <s v="AJW3PL5UDH4BP"/>
    <x v="0"/>
    <n v="35"/>
    <s v="male"/>
    <x v="0"/>
    <x v="0"/>
    <n v="26861"/>
    <s v="NA"/>
    <s v="NA"/>
    <s v="NA"/>
    <s v="NA"/>
    <s v="NA"/>
    <s v="NA"/>
    <s v="NA"/>
    <s v="NA"/>
    <s v="NA"/>
    <s v="NA"/>
    <s v="NA"/>
    <x v="0"/>
    <x v="0"/>
    <s v="NA"/>
    <s v="NA"/>
    <s v="NA"/>
    <s v="NA"/>
    <s v="NA"/>
    <s v="NA"/>
    <x v="0"/>
    <s v="NA"/>
    <s v="NA"/>
    <s v="NA"/>
    <s v="NA"/>
    <x v="0"/>
  </r>
  <r>
    <s v="AJW3PL5UDH4BP"/>
    <x v="0"/>
    <n v="35"/>
    <s v="male"/>
    <x v="1"/>
    <x v="2"/>
    <n v="77767"/>
    <n v="0"/>
    <n v="0"/>
    <n v="1"/>
    <n v="0"/>
    <s v="NA"/>
    <s v="NA"/>
    <s v="NA"/>
    <s v="NA"/>
    <s v="NA"/>
    <s v="NA"/>
    <s v="NA"/>
    <x v="0"/>
    <x v="0"/>
    <s v="NA"/>
    <s v="NA"/>
    <s v="NA"/>
    <s v="NA"/>
    <s v="NA"/>
    <s v="NA"/>
    <x v="0"/>
    <s v="NA"/>
    <s v="NA"/>
    <s v="NA"/>
    <s v="NA"/>
    <x v="0"/>
  </r>
  <r>
    <s v="AJW3PL5UDH4BP"/>
    <x v="0"/>
    <n v="35"/>
    <s v="male"/>
    <x v="1"/>
    <x v="1"/>
    <n v="61255"/>
    <n v="0"/>
    <n v="0"/>
    <n v="0"/>
    <n v="1"/>
    <s v="NA"/>
    <s v="NA"/>
    <s v="NA"/>
    <s v="NA"/>
    <s v="NA"/>
    <s v="NA"/>
    <s v="NA"/>
    <x v="0"/>
    <x v="0"/>
    <s v="NA"/>
    <s v="NA"/>
    <s v="NA"/>
    <s v="NA"/>
    <s v="NA"/>
    <s v="NA"/>
    <x v="0"/>
    <s v="NA"/>
    <s v="NA"/>
    <s v="NA"/>
    <s v="NA"/>
    <x v="0"/>
  </r>
  <r>
    <s v="AJW3PL5UDH4BP"/>
    <x v="0"/>
    <n v="35"/>
    <s v="male"/>
    <x v="2"/>
    <x v="11"/>
    <n v="56649"/>
    <n v="0"/>
    <n v="0"/>
    <n v="0"/>
    <n v="1"/>
    <s v="Dentist E."/>
    <s v="Dentists D and E."/>
    <s v="Dentists A and B."/>
    <s v="mo-l"/>
    <s v="ms-l"/>
    <s v="ms-h"/>
    <n v="0"/>
    <x v="1"/>
    <x v="1"/>
    <n v="1"/>
    <n v="1"/>
    <n v="0"/>
    <n v="1"/>
    <n v="0"/>
    <n v="0"/>
    <x v="2"/>
    <n v="0"/>
    <n v="0"/>
    <n v="0"/>
    <n v="1"/>
    <x v="0"/>
  </r>
  <r>
    <s v="AJW3PL5UDH4BP"/>
    <x v="0"/>
    <n v="35"/>
    <s v="male"/>
    <x v="2"/>
    <x v="4"/>
    <n v="35937"/>
    <n v="1"/>
    <n v="1"/>
    <n v="1"/>
    <n v="0"/>
    <s v="Stall A."/>
    <s v="Stalls A, B, C, D and E."/>
    <s v="Stalls A and B."/>
    <s v="mo-h"/>
    <s v="exh"/>
    <s v="ms-h"/>
    <n v="1"/>
    <x v="2"/>
    <x v="2"/>
    <n v="1"/>
    <n v="0"/>
    <n v="0"/>
    <n v="1"/>
    <n v="1"/>
    <n v="1"/>
    <x v="2"/>
    <n v="1"/>
    <n v="0"/>
    <n v="0"/>
    <n v="0"/>
    <x v="0"/>
  </r>
  <r>
    <s v="AJW3PL5UDH4BP"/>
    <x v="0"/>
    <n v="35"/>
    <s v="male"/>
    <x v="3"/>
    <x v="8"/>
    <n v="27458"/>
    <n v="1"/>
    <n v="1"/>
    <n v="0"/>
    <n v="0"/>
    <s v="NA"/>
    <s v="NA"/>
    <s v="NA"/>
    <s v="NA"/>
    <s v="NA"/>
    <s v="NA"/>
    <s v="NA"/>
    <x v="2"/>
    <x v="2"/>
    <n v="1"/>
    <n v="0"/>
    <n v="0"/>
    <n v="1"/>
    <n v="1"/>
    <n v="1"/>
    <x v="2"/>
    <n v="1"/>
    <n v="0"/>
    <n v="0"/>
    <n v="0"/>
    <x v="0"/>
  </r>
  <r>
    <s v="AJW3PL5UDH4BP"/>
    <x v="0"/>
    <n v="35"/>
    <s v="male"/>
    <x v="2"/>
    <x v="9"/>
    <n v="42060"/>
    <n v="1"/>
    <n v="0"/>
    <n v="0"/>
    <n v="0"/>
    <s v="Store A."/>
    <s v="Stores D and E."/>
    <s v="Store F."/>
    <s v="mo-h"/>
    <s v="ms-l"/>
    <s v="fa"/>
    <n v="0"/>
    <x v="2"/>
    <x v="2"/>
    <n v="0"/>
    <n v="1"/>
    <n v="0"/>
    <n v="1"/>
    <n v="0"/>
    <n v="1"/>
    <x v="2"/>
    <n v="0"/>
    <n v="0"/>
    <n v="0"/>
    <n v="0"/>
    <x v="0"/>
  </r>
  <r>
    <s v="AJW3PL5UDH4BP"/>
    <x v="0"/>
    <n v="35"/>
    <s v="male"/>
    <x v="3"/>
    <x v="5"/>
    <n v="44789"/>
    <n v="0"/>
    <n v="0"/>
    <n v="0"/>
    <n v="0"/>
    <s v="NA"/>
    <s v="NA"/>
    <s v="NA"/>
    <s v="NA"/>
    <s v="NA"/>
    <s v="NA"/>
    <s v="NA"/>
    <x v="2"/>
    <x v="2"/>
    <n v="0"/>
    <n v="1"/>
    <n v="0"/>
    <n v="1"/>
    <n v="0"/>
    <n v="1"/>
    <x v="2"/>
    <n v="0"/>
    <n v="0"/>
    <n v="0"/>
    <n v="0"/>
    <x v="0"/>
  </r>
  <r>
    <s v="AJW3PL5UDH4BP"/>
    <x v="0"/>
    <n v="35"/>
    <s v="male"/>
    <x v="2"/>
    <x v="6"/>
    <n v="37904"/>
    <n v="1"/>
    <n v="0"/>
    <n v="0"/>
    <n v="0"/>
    <s v="Bookstores A and B."/>
    <s v="Bookstore E."/>
    <s v="Bookstores D and E."/>
    <s v="ms-h"/>
    <s v="mo-l"/>
    <s v="ms-l"/>
    <n v="0"/>
    <x v="1"/>
    <x v="1"/>
    <n v="1"/>
    <n v="1"/>
    <n v="0"/>
    <n v="1"/>
    <n v="0"/>
    <n v="0"/>
    <x v="2"/>
    <n v="1"/>
    <n v="0"/>
    <n v="0"/>
    <n v="0"/>
    <x v="0"/>
  </r>
  <r>
    <s v="AJW3PL5UDH4BP"/>
    <x v="0"/>
    <n v="35"/>
    <s v="male"/>
    <x v="2"/>
    <x v="7"/>
    <n v="25176"/>
    <n v="0"/>
    <n v="0"/>
    <n v="1"/>
    <n v="0"/>
    <s v="Stylists D and E."/>
    <s v="Stylists A, B, C, D and E."/>
    <s v="Stylist A."/>
    <s v="ms-l"/>
    <s v="exh"/>
    <s v="mo-h"/>
    <n v="1"/>
    <x v="2"/>
    <x v="2"/>
    <n v="0"/>
    <n v="1"/>
    <n v="0"/>
    <n v="1"/>
    <n v="0"/>
    <n v="1"/>
    <x v="2"/>
    <n v="0"/>
    <n v="0"/>
    <n v="0"/>
    <n v="0"/>
    <x v="0"/>
  </r>
  <r>
    <s v="AJW3PL5UDH4BP"/>
    <x v="0"/>
    <n v="35"/>
    <s v="male"/>
    <x v="3"/>
    <x v="10"/>
    <n v="63566"/>
    <n v="1"/>
    <n v="1"/>
    <n v="1"/>
    <n v="0"/>
    <s v="NA"/>
    <s v="NA"/>
    <s v="NA"/>
    <s v="NA"/>
    <s v="NA"/>
    <s v="NA"/>
    <s v="NA"/>
    <x v="2"/>
    <x v="2"/>
    <n v="0"/>
    <n v="1"/>
    <n v="0"/>
    <n v="1"/>
    <n v="0"/>
    <n v="1"/>
    <x v="2"/>
    <n v="0"/>
    <n v="0"/>
    <n v="0"/>
    <n v="0"/>
    <x v="0"/>
  </r>
  <r>
    <s v="AJW3PL5UDH4BP"/>
    <x v="0"/>
    <n v="35"/>
    <s v="male"/>
    <x v="2"/>
    <x v="3"/>
    <n v="12256"/>
    <n v="0"/>
    <n v="1"/>
    <n v="0"/>
    <n v="0"/>
    <s v="Cafes D and E."/>
    <s v="Cafe A."/>
    <s v="Cafe E."/>
    <s v="ms-l"/>
    <s v="mo-h"/>
    <s v="mo-l"/>
    <n v="0"/>
    <x v="2"/>
    <x v="1"/>
    <n v="0"/>
    <n v="1"/>
    <n v="0"/>
    <n v="1"/>
    <n v="0"/>
    <n v="1"/>
    <x v="2"/>
    <n v="0"/>
    <n v="0"/>
    <n v="0"/>
    <n v="0"/>
    <x v="0"/>
  </r>
  <r>
    <s v="AJW3PL5UDH4BP"/>
    <x v="0"/>
    <n v="35"/>
    <s v="male"/>
    <x v="3"/>
    <x v="12"/>
    <n v="25995"/>
    <n v="1"/>
    <n v="0"/>
    <n v="0"/>
    <n v="0"/>
    <s v="NA"/>
    <s v="NA"/>
    <s v="NA"/>
    <s v="NA"/>
    <s v="NA"/>
    <s v="NA"/>
    <s v="NA"/>
    <x v="2"/>
    <x v="1"/>
    <n v="0"/>
    <n v="1"/>
    <n v="0"/>
    <n v="1"/>
    <n v="0"/>
    <n v="1"/>
    <x v="2"/>
    <n v="0"/>
    <n v="0"/>
    <n v="0"/>
    <n v="0"/>
    <x v="0"/>
  </r>
  <r>
    <s v="AJW3PL5UDH4BP"/>
    <x v="0"/>
    <n v="35"/>
    <s v="male"/>
    <x v="4"/>
    <x v="0"/>
    <n v="78959"/>
    <s v="No%2C its a restatement of the same question."/>
    <s v="a little%2C alot of reading small text"/>
    <m/>
    <s v="NA"/>
    <s v="NA"/>
    <s v="NA"/>
    <s v="NA"/>
    <s v="NA"/>
    <s v="NA"/>
    <s v="NA"/>
    <s v="NA"/>
    <x v="0"/>
    <x v="0"/>
    <s v="NA"/>
    <s v="NA"/>
    <s v="NA"/>
    <s v="NA"/>
    <s v="NA"/>
    <s v="NA"/>
    <x v="0"/>
    <s v="NA"/>
    <s v="NA"/>
    <s v="NA"/>
    <s v="NA"/>
    <x v="0"/>
  </r>
  <r>
    <s v="A3O6OQEIHB2MYB"/>
    <x v="0"/>
    <n v="34"/>
    <s v="male"/>
    <x v="0"/>
    <x v="0"/>
    <n v="72383"/>
    <s v="NA"/>
    <s v="NA"/>
    <s v="NA"/>
    <s v="NA"/>
    <s v="NA"/>
    <s v="NA"/>
    <s v="NA"/>
    <s v="NA"/>
    <s v="NA"/>
    <s v="NA"/>
    <s v="NA"/>
    <x v="0"/>
    <x v="0"/>
    <s v="NA"/>
    <s v="NA"/>
    <s v="NA"/>
    <s v="NA"/>
    <s v="NA"/>
    <s v="NA"/>
    <x v="0"/>
    <s v="NA"/>
    <s v="NA"/>
    <s v="NA"/>
    <s v="NA"/>
    <x v="0"/>
  </r>
  <r>
    <s v="A3O6OQEIHB2MYB"/>
    <x v="0"/>
    <n v="34"/>
    <s v="male"/>
    <x v="1"/>
    <x v="1"/>
    <n v="47843"/>
    <n v="0"/>
    <n v="0"/>
    <n v="0"/>
    <n v="1"/>
    <s v="NA"/>
    <s v="NA"/>
    <s v="NA"/>
    <s v="NA"/>
    <s v="NA"/>
    <s v="NA"/>
    <s v="NA"/>
    <x v="0"/>
    <x v="0"/>
    <s v="NA"/>
    <s v="NA"/>
    <s v="NA"/>
    <s v="NA"/>
    <s v="NA"/>
    <s v="NA"/>
    <x v="0"/>
    <s v="NA"/>
    <s v="NA"/>
    <s v="NA"/>
    <s v="NA"/>
    <x v="0"/>
  </r>
  <r>
    <s v="A3O6OQEIHB2MYB"/>
    <x v="0"/>
    <n v="34"/>
    <s v="male"/>
    <x v="1"/>
    <x v="2"/>
    <n v="52400"/>
    <n v="0"/>
    <n v="0"/>
    <n v="1"/>
    <n v="0"/>
    <s v="NA"/>
    <s v="NA"/>
    <s v="NA"/>
    <s v="NA"/>
    <s v="NA"/>
    <s v="NA"/>
    <s v="NA"/>
    <x v="0"/>
    <x v="0"/>
    <s v="NA"/>
    <s v="NA"/>
    <s v="NA"/>
    <s v="NA"/>
    <s v="NA"/>
    <s v="NA"/>
    <x v="0"/>
    <s v="NA"/>
    <s v="NA"/>
    <s v="NA"/>
    <s v="NA"/>
    <x v="0"/>
  </r>
  <r>
    <s v="A3O6OQEIHB2MYB"/>
    <x v="0"/>
    <n v="34"/>
    <s v="male"/>
    <x v="2"/>
    <x v="9"/>
    <n v="50873"/>
    <n v="0"/>
    <n v="0"/>
    <n v="0"/>
    <n v="1"/>
    <s v="Store A."/>
    <s v="Stores D and E."/>
    <s v="Stores A and B."/>
    <s v="mo-h"/>
    <s v="ms-l"/>
    <s v="ms-h"/>
    <n v="0"/>
    <x v="2"/>
    <x v="2"/>
    <n v="1"/>
    <n v="1"/>
    <n v="0"/>
    <n v="1"/>
    <n v="0"/>
    <n v="0"/>
    <x v="2"/>
    <n v="0"/>
    <n v="0"/>
    <n v="0"/>
    <n v="1"/>
    <x v="0"/>
  </r>
  <r>
    <s v="A3O6OQEIHB2MYB"/>
    <x v="0"/>
    <n v="34"/>
    <s v="male"/>
    <x v="2"/>
    <x v="11"/>
    <n v="90351"/>
    <n v="0"/>
    <n v="0"/>
    <n v="0"/>
    <n v="1"/>
    <s v="Dentist F."/>
    <s v="Dentist E."/>
    <s v="Dentists D and E."/>
    <s v="fa"/>
    <s v="mo-l"/>
    <s v="ms-l"/>
    <n v="0"/>
    <x v="1"/>
    <x v="1"/>
    <n v="0"/>
    <n v="1"/>
    <n v="0"/>
    <n v="1"/>
    <n v="0"/>
    <n v="0"/>
    <x v="2"/>
    <n v="0"/>
    <n v="0"/>
    <n v="0"/>
    <n v="1"/>
    <x v="0"/>
  </r>
  <r>
    <s v="A3O6OQEIHB2MYB"/>
    <x v="0"/>
    <n v="34"/>
    <s v="male"/>
    <x v="3"/>
    <x v="12"/>
    <n v="37569"/>
    <n v="1"/>
    <n v="0"/>
    <n v="0"/>
    <n v="0"/>
    <s v="NA"/>
    <s v="NA"/>
    <s v="NA"/>
    <s v="NA"/>
    <s v="NA"/>
    <s v="NA"/>
    <s v="NA"/>
    <x v="1"/>
    <x v="1"/>
    <n v="0"/>
    <n v="1"/>
    <n v="0"/>
    <n v="1"/>
    <n v="0"/>
    <n v="0"/>
    <x v="2"/>
    <n v="0"/>
    <n v="0"/>
    <n v="0"/>
    <n v="1"/>
    <x v="0"/>
  </r>
  <r>
    <s v="A3O6OQEIHB2MYB"/>
    <x v="0"/>
    <n v="34"/>
    <s v="male"/>
    <x v="2"/>
    <x v="4"/>
    <n v="44071"/>
    <n v="0"/>
    <n v="1"/>
    <n v="0"/>
    <n v="0"/>
    <s v="Stalls D and E."/>
    <s v="Stalls A and B."/>
    <s v="Stall E."/>
    <s v="ms-l"/>
    <s v="ms-h"/>
    <s v="mo-l"/>
    <n v="0"/>
    <x v="1"/>
    <x v="1"/>
    <n v="1"/>
    <n v="1"/>
    <n v="0"/>
    <n v="1"/>
    <n v="0"/>
    <n v="0"/>
    <x v="2"/>
    <n v="1"/>
    <n v="0"/>
    <n v="0"/>
    <n v="0"/>
    <x v="0"/>
  </r>
  <r>
    <s v="A3O6OQEIHB2MYB"/>
    <x v="0"/>
    <n v="34"/>
    <s v="male"/>
    <x v="2"/>
    <x v="6"/>
    <n v="45090"/>
    <n v="0"/>
    <n v="0"/>
    <n v="1"/>
    <n v="0"/>
    <s v="Bookstore F."/>
    <s v="Bookstores A, B, C, D and E."/>
    <s v="Bookstores A and B."/>
    <s v="fa"/>
    <s v="exh"/>
    <s v="ms-h"/>
    <n v="1"/>
    <x v="1"/>
    <x v="2"/>
    <n v="1"/>
    <n v="0"/>
    <n v="0"/>
    <n v="1"/>
    <n v="0"/>
    <n v="0"/>
    <x v="2"/>
    <n v="1"/>
    <n v="0"/>
    <n v="0"/>
    <n v="0"/>
    <x v="0"/>
  </r>
  <r>
    <s v="A3O6OQEIHB2MYB"/>
    <x v="0"/>
    <n v="34"/>
    <s v="male"/>
    <x v="3"/>
    <x v="5"/>
    <n v="30376"/>
    <n v="0"/>
    <n v="0"/>
    <n v="1"/>
    <n v="0"/>
    <s v="NA"/>
    <s v="NA"/>
    <s v="NA"/>
    <s v="NA"/>
    <s v="NA"/>
    <s v="NA"/>
    <s v="NA"/>
    <x v="1"/>
    <x v="2"/>
    <n v="1"/>
    <n v="0"/>
    <n v="0"/>
    <n v="1"/>
    <n v="0"/>
    <n v="0"/>
    <x v="2"/>
    <n v="1"/>
    <n v="0"/>
    <n v="0"/>
    <n v="0"/>
    <x v="0"/>
  </r>
  <r>
    <s v="A3O6OQEIHB2MYB"/>
    <x v="0"/>
    <n v="34"/>
    <s v="male"/>
    <x v="2"/>
    <x v="3"/>
    <n v="10849"/>
    <n v="0"/>
    <n v="0"/>
    <n v="1"/>
    <n v="0"/>
    <s v="Cafe E."/>
    <s v="Cafes D and E."/>
    <s v="Cafes A and B."/>
    <s v="mo-l"/>
    <s v="ms-l"/>
    <s v="ms-h"/>
    <n v="0"/>
    <x v="1"/>
    <x v="1"/>
    <n v="1"/>
    <n v="1"/>
    <n v="0"/>
    <n v="1"/>
    <n v="0"/>
    <n v="0"/>
    <x v="2"/>
    <n v="1"/>
    <n v="0"/>
    <n v="0"/>
    <n v="0"/>
    <x v="0"/>
  </r>
  <r>
    <s v="A3O6OQEIHB2MYB"/>
    <x v="0"/>
    <n v="34"/>
    <s v="male"/>
    <x v="3"/>
    <x v="10"/>
    <n v="46037"/>
    <n v="0"/>
    <n v="0"/>
    <n v="1"/>
    <n v="0"/>
    <s v="NA"/>
    <s v="NA"/>
    <s v="NA"/>
    <s v="NA"/>
    <s v="NA"/>
    <s v="NA"/>
    <s v="NA"/>
    <x v="1"/>
    <x v="1"/>
    <n v="1"/>
    <n v="1"/>
    <n v="0"/>
    <n v="1"/>
    <n v="0"/>
    <n v="0"/>
    <x v="2"/>
    <n v="1"/>
    <n v="0"/>
    <n v="0"/>
    <n v="0"/>
    <x v="0"/>
  </r>
  <r>
    <s v="A3O6OQEIHB2MYB"/>
    <x v="0"/>
    <n v="34"/>
    <s v="male"/>
    <x v="2"/>
    <x v="7"/>
    <n v="12318"/>
    <n v="0"/>
    <n v="0"/>
    <n v="1"/>
    <n v="0"/>
    <s v="Stylists A, B, C, D and E."/>
    <s v="Stylist F."/>
    <s v="Stylists A and B."/>
    <s v="exh"/>
    <s v="fa"/>
    <s v="ms-h"/>
    <n v="1"/>
    <x v="1"/>
    <x v="2"/>
    <n v="1"/>
    <n v="0"/>
    <n v="0"/>
    <n v="1"/>
    <n v="0"/>
    <n v="0"/>
    <x v="2"/>
    <n v="1"/>
    <n v="0"/>
    <n v="0"/>
    <n v="0"/>
    <x v="0"/>
  </r>
  <r>
    <s v="A3O6OQEIHB2MYB"/>
    <x v="0"/>
    <n v="34"/>
    <s v="male"/>
    <x v="3"/>
    <x v="8"/>
    <n v="28962"/>
    <n v="1"/>
    <n v="0"/>
    <n v="0"/>
    <n v="0"/>
    <s v="NA"/>
    <s v="NA"/>
    <s v="NA"/>
    <s v="NA"/>
    <s v="NA"/>
    <s v="NA"/>
    <s v="NA"/>
    <x v="1"/>
    <x v="2"/>
    <n v="1"/>
    <n v="0"/>
    <n v="0"/>
    <n v="1"/>
    <n v="0"/>
    <n v="0"/>
    <x v="2"/>
    <n v="1"/>
    <n v="0"/>
    <n v="0"/>
    <n v="0"/>
    <x v="0"/>
  </r>
  <r>
    <s v="A3O6OQEIHB2MYB"/>
    <x v="0"/>
    <n v="34"/>
    <s v="male"/>
    <x v="4"/>
    <x v="0"/>
    <n v="50379"/>
    <s v="No its basically the same question."/>
    <s v="Not at all. Just basic problem solving "/>
    <s v="thank you!"/>
    <s v="NA"/>
    <s v="NA"/>
    <s v="NA"/>
    <s v="NA"/>
    <s v="NA"/>
    <s v="NA"/>
    <s v="NA"/>
    <s v="NA"/>
    <x v="0"/>
    <x v="0"/>
    <s v="NA"/>
    <s v="NA"/>
    <s v="NA"/>
    <s v="NA"/>
    <s v="NA"/>
    <s v="NA"/>
    <x v="0"/>
    <s v="NA"/>
    <s v="NA"/>
    <s v="NA"/>
    <s v="NA"/>
    <x v="0"/>
  </r>
  <r>
    <s v="A3EN5H82IBTJGF"/>
    <x v="0"/>
    <n v="29"/>
    <s v="female"/>
    <x v="0"/>
    <x v="0"/>
    <n v="47580"/>
    <s v="NA"/>
    <s v="NA"/>
    <s v="NA"/>
    <s v="NA"/>
    <s v="NA"/>
    <s v="NA"/>
    <s v="NA"/>
    <s v="NA"/>
    <s v="NA"/>
    <s v="NA"/>
    <s v="NA"/>
    <x v="0"/>
    <x v="0"/>
    <s v="NA"/>
    <s v="NA"/>
    <s v="NA"/>
    <s v="NA"/>
    <s v="NA"/>
    <s v="NA"/>
    <x v="0"/>
    <s v="NA"/>
    <s v="NA"/>
    <s v="NA"/>
    <s v="NA"/>
    <x v="0"/>
  </r>
  <r>
    <s v="A3EN5H82IBTJGF"/>
    <x v="0"/>
    <n v="29"/>
    <s v="female"/>
    <x v="1"/>
    <x v="1"/>
    <n v="43243"/>
    <n v="0"/>
    <n v="0"/>
    <n v="0"/>
    <n v="1"/>
    <s v="NA"/>
    <s v="NA"/>
    <s v="NA"/>
    <s v="NA"/>
    <s v="NA"/>
    <s v="NA"/>
    <s v="NA"/>
    <x v="0"/>
    <x v="0"/>
    <s v="NA"/>
    <s v="NA"/>
    <s v="NA"/>
    <s v="NA"/>
    <s v="NA"/>
    <s v="NA"/>
    <x v="0"/>
    <s v="NA"/>
    <s v="NA"/>
    <s v="NA"/>
    <s v="NA"/>
    <x v="0"/>
  </r>
  <r>
    <s v="A3EN5H82IBTJGF"/>
    <x v="0"/>
    <n v="29"/>
    <s v="female"/>
    <x v="1"/>
    <x v="2"/>
    <n v="2275"/>
    <n v="0"/>
    <n v="0"/>
    <n v="0"/>
    <n v="0"/>
    <s v="NA"/>
    <s v="NA"/>
    <s v="NA"/>
    <s v="NA"/>
    <s v="NA"/>
    <s v="NA"/>
    <s v="NA"/>
    <x v="0"/>
    <x v="0"/>
    <s v="NA"/>
    <s v="NA"/>
    <s v="NA"/>
    <s v="NA"/>
    <s v="NA"/>
    <s v="NA"/>
    <x v="0"/>
    <s v="NA"/>
    <s v="NA"/>
    <s v="NA"/>
    <s v="NA"/>
    <x v="0"/>
  </r>
  <r>
    <s v="A3EN5H82IBTJGF"/>
    <x v="0"/>
    <n v="29"/>
    <s v="female"/>
    <x v="2"/>
    <x v="4"/>
    <n v="46577"/>
    <n v="0"/>
    <n v="0"/>
    <n v="0"/>
    <n v="1"/>
    <s v="Stalls A, B, C, D and E."/>
    <s v="Stall A."/>
    <s v="Stalls D and E."/>
    <s v="exh"/>
    <s v="mo-h"/>
    <s v="ms-l"/>
    <n v="1"/>
    <x v="2"/>
    <x v="2"/>
    <n v="0"/>
    <n v="1"/>
    <n v="0"/>
    <n v="1"/>
    <n v="0"/>
    <n v="0"/>
    <x v="2"/>
    <n v="0"/>
    <n v="0"/>
    <n v="0"/>
    <n v="1"/>
    <x v="0"/>
  </r>
  <r>
    <s v="A3EN5H82IBTJGF"/>
    <x v="0"/>
    <n v="29"/>
    <s v="female"/>
    <x v="2"/>
    <x v="3"/>
    <n v="33068"/>
    <n v="0"/>
    <n v="0"/>
    <n v="0"/>
    <n v="1"/>
    <s v="Cafes A, B, C, D and E."/>
    <s v="Cafe E."/>
    <s v="Cafes D and E."/>
    <s v="exh"/>
    <s v="mo-l"/>
    <s v="ms-l"/>
    <n v="1"/>
    <x v="1"/>
    <x v="1"/>
    <n v="0"/>
    <n v="1"/>
    <n v="0"/>
    <n v="1"/>
    <n v="0"/>
    <n v="0"/>
    <x v="2"/>
    <n v="0"/>
    <n v="0"/>
    <n v="0"/>
    <n v="1"/>
    <x v="0"/>
  </r>
  <r>
    <s v="A3EN5H82IBTJGF"/>
    <x v="0"/>
    <n v="29"/>
    <s v="female"/>
    <x v="3"/>
    <x v="8"/>
    <n v="33429"/>
    <n v="0"/>
    <n v="1"/>
    <n v="0"/>
    <n v="0"/>
    <s v="NA"/>
    <s v="NA"/>
    <s v="NA"/>
    <s v="NA"/>
    <s v="NA"/>
    <s v="NA"/>
    <s v="NA"/>
    <x v="1"/>
    <x v="1"/>
    <n v="0"/>
    <n v="1"/>
    <n v="0"/>
    <n v="1"/>
    <n v="0"/>
    <n v="0"/>
    <x v="2"/>
    <n v="0"/>
    <n v="0"/>
    <n v="0"/>
    <n v="1"/>
    <x v="0"/>
  </r>
  <r>
    <s v="A3EN5H82IBTJGF"/>
    <x v="0"/>
    <n v="29"/>
    <s v="female"/>
    <x v="2"/>
    <x v="6"/>
    <n v="53456"/>
    <n v="1"/>
    <n v="1"/>
    <n v="1"/>
    <n v="0"/>
    <s v="Bookstores A and B."/>
    <s v="Bookstores A, B, C, D and E."/>
    <s v="Bookstores D and E."/>
    <s v="ms-h"/>
    <s v="exh"/>
    <s v="ms-l"/>
    <n v="1"/>
    <x v="1"/>
    <x v="2"/>
    <n v="1"/>
    <n v="1"/>
    <n v="0"/>
    <n v="1"/>
    <n v="1"/>
    <n v="0"/>
    <x v="2"/>
    <n v="1"/>
    <n v="1"/>
    <n v="0"/>
    <n v="0"/>
    <x v="0"/>
  </r>
  <r>
    <s v="A3EN5H82IBTJGF"/>
    <x v="0"/>
    <n v="29"/>
    <s v="female"/>
    <x v="3"/>
    <x v="10"/>
    <n v="54402"/>
    <n v="0"/>
    <n v="0"/>
    <n v="0"/>
    <n v="1"/>
    <s v="NA"/>
    <s v="NA"/>
    <s v="NA"/>
    <s v="NA"/>
    <s v="NA"/>
    <s v="NA"/>
    <s v="NA"/>
    <x v="1"/>
    <x v="2"/>
    <n v="1"/>
    <n v="1"/>
    <n v="0"/>
    <n v="1"/>
    <n v="1"/>
    <n v="0"/>
    <x v="2"/>
    <n v="1"/>
    <n v="1"/>
    <n v="0"/>
    <n v="0"/>
    <x v="0"/>
  </r>
  <r>
    <s v="A3EN5H82IBTJGF"/>
    <x v="0"/>
    <n v="29"/>
    <s v="female"/>
    <x v="2"/>
    <x v="9"/>
    <n v="40709"/>
    <n v="1"/>
    <n v="1"/>
    <n v="1"/>
    <n v="0"/>
    <s v="Store E."/>
    <s v="Store A."/>
    <s v="Store F."/>
    <s v="mo-l"/>
    <s v="mo-h"/>
    <s v="fa"/>
    <n v="0"/>
    <x v="2"/>
    <x v="1"/>
    <n v="0"/>
    <n v="0"/>
    <n v="0"/>
    <n v="1"/>
    <n v="0"/>
    <n v="1"/>
    <x v="1"/>
    <n v="0"/>
    <n v="0"/>
    <n v="0"/>
    <n v="0"/>
    <x v="0"/>
  </r>
  <r>
    <s v="A3EN5H82IBTJGF"/>
    <x v="0"/>
    <n v="29"/>
    <s v="female"/>
    <x v="2"/>
    <x v="11"/>
    <n v="31216"/>
    <n v="1"/>
    <n v="1"/>
    <n v="1"/>
    <n v="0"/>
    <s v="Dentists A and B."/>
    <s v="Dentist A."/>
    <s v="Dentists D and E."/>
    <s v="ms-h"/>
    <s v="mo-h"/>
    <s v="ms-l"/>
    <n v="0"/>
    <x v="2"/>
    <x v="2"/>
    <n v="1"/>
    <n v="1"/>
    <n v="0"/>
    <n v="1"/>
    <n v="0"/>
    <n v="1"/>
    <x v="2"/>
    <n v="1"/>
    <n v="1"/>
    <n v="0"/>
    <n v="0"/>
    <x v="0"/>
  </r>
  <r>
    <s v="A3EN5H82IBTJGF"/>
    <x v="0"/>
    <n v="29"/>
    <s v="female"/>
    <x v="3"/>
    <x v="12"/>
    <n v="29278"/>
    <n v="0"/>
    <n v="1"/>
    <n v="0"/>
    <n v="0"/>
    <s v="NA"/>
    <s v="NA"/>
    <s v="NA"/>
    <s v="NA"/>
    <s v="NA"/>
    <s v="NA"/>
    <s v="NA"/>
    <x v="2"/>
    <x v="2"/>
    <n v="1"/>
    <n v="1"/>
    <n v="0"/>
    <n v="1"/>
    <n v="0"/>
    <n v="1"/>
    <x v="2"/>
    <n v="1"/>
    <n v="1"/>
    <n v="0"/>
    <n v="0"/>
    <x v="0"/>
  </r>
  <r>
    <s v="A3EN5H82IBTJGF"/>
    <x v="0"/>
    <n v="29"/>
    <s v="female"/>
    <x v="2"/>
    <x v="7"/>
    <n v="31576"/>
    <n v="1"/>
    <n v="1"/>
    <n v="1"/>
    <n v="0"/>
    <s v="Stylists A, B, C, D and E."/>
    <s v="Stylist E."/>
    <s v="Stylist A."/>
    <s v="exh"/>
    <s v="mo-l"/>
    <s v="mo-h"/>
    <n v="1"/>
    <x v="2"/>
    <x v="1"/>
    <n v="0"/>
    <n v="0"/>
    <n v="0"/>
    <n v="1"/>
    <n v="1"/>
    <n v="1"/>
    <x v="1"/>
    <n v="0"/>
    <n v="0"/>
    <n v="0"/>
    <n v="0"/>
    <x v="0"/>
  </r>
  <r>
    <s v="A3EN5H82IBTJGF"/>
    <x v="0"/>
    <n v="29"/>
    <s v="female"/>
    <x v="3"/>
    <x v="5"/>
    <n v="34380"/>
    <n v="0"/>
    <n v="1"/>
    <n v="1"/>
    <n v="0"/>
    <s v="NA"/>
    <s v="NA"/>
    <s v="NA"/>
    <s v="NA"/>
    <s v="NA"/>
    <s v="NA"/>
    <s v="NA"/>
    <x v="2"/>
    <x v="1"/>
    <n v="0"/>
    <n v="0"/>
    <n v="0"/>
    <n v="1"/>
    <n v="1"/>
    <n v="1"/>
    <x v="1"/>
    <n v="0"/>
    <n v="0"/>
    <n v="0"/>
    <n v="0"/>
    <x v="0"/>
  </r>
  <r>
    <s v="A3EN5H82IBTJGF"/>
    <x v="0"/>
    <n v="29"/>
    <s v="female"/>
    <x v="4"/>
    <x v="0"/>
    <n v="153965"/>
    <s v="No. The questions have similar meaning to me."/>
    <s v="Yes. Everyone knew pieces of I formation and almost no one knew the truth. So I could have checked all the boxes or no one and potentially have been correct."/>
    <s v="Elaborate please. Instructions unclear when selecting. Like did not mention his father%2C did he know who he was?"/>
    <s v="NA"/>
    <s v="NA"/>
    <s v="NA"/>
    <s v="NA"/>
    <s v="NA"/>
    <s v="NA"/>
    <s v="NA"/>
    <s v="NA"/>
    <x v="0"/>
    <x v="0"/>
    <s v="NA"/>
    <s v="NA"/>
    <s v="NA"/>
    <s v="NA"/>
    <s v="NA"/>
    <s v="NA"/>
    <x v="0"/>
    <s v="NA"/>
    <s v="NA"/>
    <s v="NA"/>
    <s v="NA"/>
    <x v="0"/>
  </r>
  <r>
    <s v="A2JS70VVJQW2GR"/>
    <x v="0"/>
    <n v="58"/>
    <s v="male"/>
    <x v="0"/>
    <x v="0"/>
    <n v="38071"/>
    <s v="NA"/>
    <s v="NA"/>
    <s v="NA"/>
    <s v="NA"/>
    <s v="NA"/>
    <s v="NA"/>
    <s v="NA"/>
    <s v="NA"/>
    <s v="NA"/>
    <s v="NA"/>
    <s v="NA"/>
    <x v="0"/>
    <x v="0"/>
    <s v="NA"/>
    <s v="NA"/>
    <s v="NA"/>
    <s v="NA"/>
    <s v="NA"/>
    <s v="NA"/>
    <x v="0"/>
    <s v="NA"/>
    <s v="NA"/>
    <s v="NA"/>
    <s v="NA"/>
    <x v="0"/>
  </r>
  <r>
    <s v="A2JS70VVJQW2GR"/>
    <x v="0"/>
    <n v="58"/>
    <s v="male"/>
    <x v="1"/>
    <x v="1"/>
    <n v="69843"/>
    <n v="0"/>
    <n v="0"/>
    <n v="0"/>
    <n v="1"/>
    <s v="NA"/>
    <s v="NA"/>
    <s v="NA"/>
    <s v="NA"/>
    <s v="NA"/>
    <s v="NA"/>
    <s v="NA"/>
    <x v="0"/>
    <x v="0"/>
    <s v="NA"/>
    <s v="NA"/>
    <s v="NA"/>
    <s v="NA"/>
    <s v="NA"/>
    <s v="NA"/>
    <x v="0"/>
    <s v="NA"/>
    <s v="NA"/>
    <s v="NA"/>
    <s v="NA"/>
    <x v="0"/>
  </r>
  <r>
    <s v="A2JS70VVJQW2GR"/>
    <x v="0"/>
    <n v="58"/>
    <s v="male"/>
    <x v="1"/>
    <x v="2"/>
    <n v="82495"/>
    <n v="0"/>
    <n v="0"/>
    <n v="0"/>
    <n v="1"/>
    <s v="NA"/>
    <s v="NA"/>
    <s v="NA"/>
    <s v="NA"/>
    <s v="NA"/>
    <s v="NA"/>
    <s v="NA"/>
    <x v="0"/>
    <x v="0"/>
    <s v="NA"/>
    <s v="NA"/>
    <s v="NA"/>
    <s v="NA"/>
    <s v="NA"/>
    <s v="NA"/>
    <x v="0"/>
    <s v="NA"/>
    <s v="NA"/>
    <s v="NA"/>
    <s v="NA"/>
    <x v="0"/>
  </r>
  <r>
    <s v="A2JS70VVJQW2GR"/>
    <x v="0"/>
    <n v="58"/>
    <s v="male"/>
    <x v="2"/>
    <x v="7"/>
    <n v="181011"/>
    <n v="1"/>
    <n v="1"/>
    <n v="1"/>
    <n v="0"/>
    <s v="Stylist F."/>
    <s v="Stylist A."/>
    <s v="Stylists A and B."/>
    <s v="fa"/>
    <s v="mo-h"/>
    <s v="ms-h"/>
    <n v="0"/>
    <x v="2"/>
    <x v="2"/>
    <n v="1"/>
    <n v="0"/>
    <n v="0"/>
    <n v="1"/>
    <n v="0"/>
    <n v="1"/>
    <x v="2"/>
    <n v="1"/>
    <n v="0"/>
    <n v="0"/>
    <n v="0"/>
    <x v="0"/>
  </r>
  <r>
    <s v="A2JS70VVJQW2GR"/>
    <x v="0"/>
    <n v="58"/>
    <s v="male"/>
    <x v="3"/>
    <x v="5"/>
    <n v="72631"/>
    <n v="1"/>
    <n v="1"/>
    <n v="1"/>
    <n v="0"/>
    <s v="NA"/>
    <s v="NA"/>
    <s v="NA"/>
    <s v="NA"/>
    <s v="NA"/>
    <s v="NA"/>
    <s v="NA"/>
    <x v="2"/>
    <x v="2"/>
    <n v="1"/>
    <n v="0"/>
    <n v="0"/>
    <n v="1"/>
    <n v="0"/>
    <n v="1"/>
    <x v="2"/>
    <n v="1"/>
    <n v="0"/>
    <n v="0"/>
    <n v="0"/>
    <x v="0"/>
  </r>
  <r>
    <s v="A2JS70VVJQW2GR"/>
    <x v="0"/>
    <n v="58"/>
    <s v="male"/>
    <x v="2"/>
    <x v="6"/>
    <n v="47410"/>
    <n v="1"/>
    <n v="1"/>
    <n v="1"/>
    <n v="0"/>
    <s v="Bookstore F."/>
    <s v="Bookstore A."/>
    <s v="Bookstores D and E."/>
    <s v="fa"/>
    <s v="mo-h"/>
    <s v="ms-l"/>
    <n v="0"/>
    <x v="2"/>
    <x v="2"/>
    <n v="0"/>
    <n v="1"/>
    <n v="0"/>
    <n v="1"/>
    <n v="0"/>
    <n v="1"/>
    <x v="2"/>
    <n v="0"/>
    <n v="1"/>
    <n v="0"/>
    <n v="0"/>
    <x v="0"/>
  </r>
  <r>
    <s v="A2JS70VVJQW2GR"/>
    <x v="0"/>
    <n v="58"/>
    <s v="male"/>
    <x v="2"/>
    <x v="11"/>
    <n v="38848"/>
    <n v="1"/>
    <n v="1"/>
    <n v="1"/>
    <n v="0"/>
    <s v="Dentists D and E."/>
    <s v="Dentist E."/>
    <s v="Dentist F."/>
    <s v="ms-l"/>
    <s v="mo-l"/>
    <s v="fa"/>
    <n v="0"/>
    <x v="1"/>
    <x v="1"/>
    <n v="0"/>
    <n v="1"/>
    <n v="0"/>
    <n v="1"/>
    <n v="0"/>
    <n v="0"/>
    <x v="1"/>
    <n v="0"/>
    <n v="1"/>
    <n v="0"/>
    <n v="0"/>
    <x v="0"/>
  </r>
  <r>
    <s v="A2JS70VVJQW2GR"/>
    <x v="0"/>
    <n v="58"/>
    <s v="male"/>
    <x v="3"/>
    <x v="12"/>
    <n v="29845"/>
    <n v="1"/>
    <n v="1"/>
    <n v="1"/>
    <n v="0"/>
    <s v="NA"/>
    <s v="NA"/>
    <s v="NA"/>
    <s v="NA"/>
    <s v="NA"/>
    <s v="NA"/>
    <s v="NA"/>
    <x v="1"/>
    <x v="1"/>
    <n v="0"/>
    <n v="1"/>
    <n v="0"/>
    <n v="1"/>
    <n v="0"/>
    <n v="0"/>
    <x v="1"/>
    <n v="0"/>
    <n v="1"/>
    <n v="0"/>
    <n v="0"/>
    <x v="0"/>
  </r>
  <r>
    <s v="A2JS70VVJQW2GR"/>
    <x v="0"/>
    <n v="58"/>
    <s v="male"/>
    <x v="2"/>
    <x v="3"/>
    <n v="6429"/>
    <n v="1"/>
    <n v="1"/>
    <n v="1"/>
    <n v="0"/>
    <s v="Cafes D and E."/>
    <s v="Cafe A."/>
    <s v="Cafe F."/>
    <s v="ms-l"/>
    <s v="mo-h"/>
    <s v="fa"/>
    <n v="0"/>
    <x v="2"/>
    <x v="2"/>
    <n v="0"/>
    <n v="1"/>
    <n v="0"/>
    <n v="1"/>
    <n v="0"/>
    <n v="1"/>
    <x v="2"/>
    <n v="0"/>
    <n v="1"/>
    <n v="0"/>
    <n v="0"/>
    <x v="0"/>
  </r>
  <r>
    <s v="A2JS70VVJQW2GR"/>
    <x v="0"/>
    <n v="58"/>
    <s v="male"/>
    <x v="3"/>
    <x v="8"/>
    <n v="19792"/>
    <n v="1"/>
    <n v="1"/>
    <n v="0"/>
    <n v="0"/>
    <s v="NA"/>
    <s v="NA"/>
    <s v="NA"/>
    <s v="NA"/>
    <s v="NA"/>
    <s v="NA"/>
    <s v="NA"/>
    <x v="2"/>
    <x v="2"/>
    <n v="0"/>
    <n v="1"/>
    <n v="0"/>
    <n v="1"/>
    <n v="0"/>
    <n v="1"/>
    <x v="2"/>
    <n v="0"/>
    <n v="1"/>
    <n v="0"/>
    <n v="0"/>
    <x v="0"/>
  </r>
  <r>
    <s v="A2JS70VVJQW2GR"/>
    <x v="0"/>
    <n v="58"/>
    <s v="male"/>
    <x v="2"/>
    <x v="4"/>
    <n v="13251"/>
    <n v="1"/>
    <n v="1"/>
    <n v="1"/>
    <n v="0"/>
    <s v="Stall A."/>
    <s v="Stalls A and B."/>
    <s v="Stalls D and E."/>
    <s v="mo-h"/>
    <s v="ms-h"/>
    <s v="ms-l"/>
    <n v="0"/>
    <x v="2"/>
    <x v="2"/>
    <n v="1"/>
    <n v="1"/>
    <n v="0"/>
    <n v="1"/>
    <n v="0"/>
    <n v="1"/>
    <x v="2"/>
    <n v="1"/>
    <n v="1"/>
    <n v="0"/>
    <n v="0"/>
    <x v="0"/>
  </r>
  <r>
    <s v="A2JS70VVJQW2GR"/>
    <x v="0"/>
    <n v="58"/>
    <s v="male"/>
    <x v="2"/>
    <x v="9"/>
    <n v="33489"/>
    <n v="0"/>
    <n v="1"/>
    <n v="0"/>
    <n v="0"/>
    <s v="Store E."/>
    <s v="Store A."/>
    <s v="Stores A and B."/>
    <s v="mo-l"/>
    <s v="mo-h"/>
    <s v="ms-h"/>
    <n v="0"/>
    <x v="2"/>
    <x v="1"/>
    <n v="1"/>
    <n v="0"/>
    <n v="0"/>
    <n v="1"/>
    <n v="0"/>
    <n v="1"/>
    <x v="2"/>
    <n v="0"/>
    <n v="0"/>
    <n v="0"/>
    <n v="0"/>
    <x v="0"/>
  </r>
  <r>
    <s v="A2JS70VVJQW2GR"/>
    <x v="0"/>
    <n v="58"/>
    <s v="male"/>
    <x v="3"/>
    <x v="10"/>
    <n v="50604"/>
    <n v="0"/>
    <n v="1"/>
    <n v="0"/>
    <n v="0"/>
    <s v="NA"/>
    <s v="NA"/>
    <s v="NA"/>
    <s v="NA"/>
    <s v="NA"/>
    <s v="NA"/>
    <s v="NA"/>
    <x v="2"/>
    <x v="1"/>
    <n v="1"/>
    <n v="0"/>
    <n v="0"/>
    <n v="1"/>
    <n v="0"/>
    <n v="1"/>
    <x v="2"/>
    <n v="0"/>
    <n v="0"/>
    <n v="0"/>
    <n v="0"/>
    <x v="0"/>
  </r>
  <r>
    <s v="A2JS70VVJQW2GR"/>
    <x v="0"/>
    <n v="58"/>
    <s v="male"/>
    <x v="4"/>
    <x v="0"/>
    <n v="26600"/>
    <m/>
    <m/>
    <m/>
    <s v="NA"/>
    <s v="NA"/>
    <s v="NA"/>
    <s v="NA"/>
    <s v="NA"/>
    <s v="NA"/>
    <s v="NA"/>
    <s v="NA"/>
    <x v="0"/>
    <x v="0"/>
    <s v="NA"/>
    <s v="NA"/>
    <s v="NA"/>
    <s v="NA"/>
    <s v="NA"/>
    <s v="NA"/>
    <x v="0"/>
    <s v="NA"/>
    <s v="NA"/>
    <s v="NA"/>
    <s v="NA"/>
    <x v="0"/>
  </r>
  <r>
    <s v="A33UMG50QSJ7KS"/>
    <x v="0"/>
    <n v="28"/>
    <s v="female"/>
    <x v="0"/>
    <x v="0"/>
    <n v="44312"/>
    <s v="NA"/>
    <s v="NA"/>
    <s v="NA"/>
    <s v="NA"/>
    <s v="NA"/>
    <s v="NA"/>
    <s v="NA"/>
    <s v="NA"/>
    <s v="NA"/>
    <s v="NA"/>
    <s v="NA"/>
    <x v="0"/>
    <x v="0"/>
    <s v="NA"/>
    <s v="NA"/>
    <s v="NA"/>
    <s v="NA"/>
    <s v="NA"/>
    <s v="NA"/>
    <x v="0"/>
    <s v="NA"/>
    <s v="NA"/>
    <s v="NA"/>
    <s v="NA"/>
    <x v="0"/>
  </r>
  <r>
    <s v="A33UMG50QSJ7KS"/>
    <x v="0"/>
    <n v="28"/>
    <s v="female"/>
    <x v="1"/>
    <x v="1"/>
    <n v="27460"/>
    <n v="0"/>
    <n v="0"/>
    <n v="0"/>
    <n v="1"/>
    <s v="NA"/>
    <s v="NA"/>
    <s v="NA"/>
    <s v="NA"/>
    <s v="NA"/>
    <s v="NA"/>
    <s v="NA"/>
    <x v="0"/>
    <x v="0"/>
    <s v="NA"/>
    <s v="NA"/>
    <s v="NA"/>
    <s v="NA"/>
    <s v="NA"/>
    <s v="NA"/>
    <x v="0"/>
    <s v="NA"/>
    <s v="NA"/>
    <s v="NA"/>
    <s v="NA"/>
    <x v="0"/>
  </r>
  <r>
    <s v="A33UMG50QSJ7KS"/>
    <x v="0"/>
    <n v="28"/>
    <s v="female"/>
    <x v="1"/>
    <x v="2"/>
    <n v="29591"/>
    <n v="0"/>
    <n v="0"/>
    <n v="1"/>
    <n v="0"/>
    <s v="NA"/>
    <s v="NA"/>
    <s v="NA"/>
    <s v="NA"/>
    <s v="NA"/>
    <s v="NA"/>
    <s v="NA"/>
    <x v="0"/>
    <x v="0"/>
    <s v="NA"/>
    <s v="NA"/>
    <s v="NA"/>
    <s v="NA"/>
    <s v="NA"/>
    <s v="NA"/>
    <x v="0"/>
    <s v="NA"/>
    <s v="NA"/>
    <s v="NA"/>
    <s v="NA"/>
    <x v="0"/>
  </r>
  <r>
    <s v="A33UMG50QSJ7KS"/>
    <x v="0"/>
    <n v="28"/>
    <s v="female"/>
    <x v="2"/>
    <x v="11"/>
    <n v="31380"/>
    <n v="0"/>
    <n v="0"/>
    <n v="0"/>
    <n v="1"/>
    <s v="Dentists A and B."/>
    <s v="Dentist E."/>
    <s v="Dentist F."/>
    <s v="ms-h"/>
    <s v="mo-l"/>
    <s v="fa"/>
    <n v="0"/>
    <x v="1"/>
    <x v="1"/>
    <n v="1"/>
    <n v="0"/>
    <n v="0"/>
    <n v="1"/>
    <n v="0"/>
    <n v="0"/>
    <x v="2"/>
    <n v="0"/>
    <n v="0"/>
    <n v="0"/>
    <n v="1"/>
    <x v="0"/>
  </r>
  <r>
    <s v="A33UMG50QSJ7KS"/>
    <x v="0"/>
    <n v="28"/>
    <s v="female"/>
    <x v="2"/>
    <x v="6"/>
    <n v="25656"/>
    <n v="0"/>
    <n v="0"/>
    <n v="1"/>
    <n v="0"/>
    <s v="Bookstores D and E."/>
    <s v="Bookstore F."/>
    <s v="Bookstore A."/>
    <s v="ms-l"/>
    <s v="fa"/>
    <s v="mo-h"/>
    <n v="0"/>
    <x v="2"/>
    <x v="2"/>
    <n v="0"/>
    <n v="1"/>
    <n v="0"/>
    <n v="1"/>
    <n v="0"/>
    <n v="1"/>
    <x v="2"/>
    <n v="0"/>
    <n v="0"/>
    <n v="0"/>
    <n v="0"/>
    <x v="0"/>
  </r>
  <r>
    <s v="A33UMG50QSJ7KS"/>
    <x v="0"/>
    <n v="28"/>
    <s v="female"/>
    <x v="3"/>
    <x v="8"/>
    <n v="42270"/>
    <n v="1"/>
    <n v="1"/>
    <n v="0"/>
    <n v="0"/>
    <s v="NA"/>
    <s v="NA"/>
    <s v="NA"/>
    <s v="NA"/>
    <s v="NA"/>
    <s v="NA"/>
    <s v="NA"/>
    <x v="2"/>
    <x v="2"/>
    <n v="0"/>
    <n v="1"/>
    <n v="0"/>
    <n v="1"/>
    <n v="0"/>
    <n v="1"/>
    <x v="2"/>
    <n v="0"/>
    <n v="0"/>
    <n v="0"/>
    <n v="0"/>
    <x v="0"/>
  </r>
  <r>
    <s v="A33UMG50QSJ7KS"/>
    <x v="0"/>
    <n v="28"/>
    <s v="female"/>
    <x v="2"/>
    <x v="7"/>
    <n v="17837"/>
    <n v="1"/>
    <n v="1"/>
    <n v="1"/>
    <n v="0"/>
    <s v="Stylists A, B, C, D and E."/>
    <s v="Stylists D and E."/>
    <s v="Stylist A."/>
    <s v="exh"/>
    <s v="ms-l"/>
    <s v="mo-h"/>
    <n v="1"/>
    <x v="2"/>
    <x v="2"/>
    <n v="0"/>
    <n v="1"/>
    <n v="0"/>
    <n v="1"/>
    <n v="1"/>
    <n v="1"/>
    <x v="2"/>
    <n v="0"/>
    <n v="1"/>
    <n v="0"/>
    <n v="0"/>
    <x v="0"/>
  </r>
  <r>
    <s v="A33UMG50QSJ7KS"/>
    <x v="0"/>
    <n v="28"/>
    <s v="female"/>
    <x v="3"/>
    <x v="12"/>
    <n v="15169"/>
    <n v="1"/>
    <n v="1"/>
    <n v="0"/>
    <n v="0"/>
    <s v="NA"/>
    <s v="NA"/>
    <s v="NA"/>
    <s v="NA"/>
    <s v="NA"/>
    <s v="NA"/>
    <s v="NA"/>
    <x v="2"/>
    <x v="2"/>
    <n v="0"/>
    <n v="1"/>
    <n v="0"/>
    <n v="1"/>
    <n v="1"/>
    <n v="1"/>
    <x v="2"/>
    <n v="0"/>
    <n v="1"/>
    <n v="0"/>
    <n v="0"/>
    <x v="0"/>
  </r>
  <r>
    <s v="A33UMG50QSJ7KS"/>
    <x v="0"/>
    <n v="28"/>
    <s v="female"/>
    <x v="2"/>
    <x v="3"/>
    <n v="32654"/>
    <n v="1"/>
    <n v="1"/>
    <n v="1"/>
    <n v="0"/>
    <s v="Cafes D and E."/>
    <s v="Cafe E."/>
    <s v="Cafe F."/>
    <s v="ms-l"/>
    <s v="mo-l"/>
    <s v="fa"/>
    <n v="0"/>
    <x v="1"/>
    <x v="1"/>
    <n v="0"/>
    <n v="1"/>
    <n v="0"/>
    <n v="1"/>
    <n v="0"/>
    <n v="0"/>
    <x v="1"/>
    <n v="0"/>
    <n v="1"/>
    <n v="0"/>
    <n v="0"/>
    <x v="0"/>
  </r>
  <r>
    <s v="A33UMG50QSJ7KS"/>
    <x v="0"/>
    <n v="28"/>
    <s v="female"/>
    <x v="2"/>
    <x v="9"/>
    <n v="13428"/>
    <n v="1"/>
    <n v="1"/>
    <n v="1"/>
    <n v="0"/>
    <s v="Store A."/>
    <s v="Stores A and B."/>
    <s v="Stores D and E."/>
    <s v="mo-h"/>
    <s v="ms-h"/>
    <s v="ms-l"/>
    <n v="0"/>
    <x v="2"/>
    <x v="2"/>
    <n v="1"/>
    <n v="1"/>
    <n v="0"/>
    <n v="1"/>
    <n v="0"/>
    <n v="1"/>
    <x v="2"/>
    <n v="1"/>
    <n v="1"/>
    <n v="0"/>
    <n v="0"/>
    <x v="0"/>
  </r>
  <r>
    <s v="A33UMG50QSJ7KS"/>
    <x v="0"/>
    <n v="28"/>
    <s v="female"/>
    <x v="3"/>
    <x v="5"/>
    <n v="16156"/>
    <n v="0"/>
    <n v="1"/>
    <n v="1"/>
    <n v="0"/>
    <s v="NA"/>
    <s v="NA"/>
    <s v="NA"/>
    <s v="NA"/>
    <s v="NA"/>
    <s v="NA"/>
    <s v="NA"/>
    <x v="2"/>
    <x v="2"/>
    <n v="1"/>
    <n v="1"/>
    <n v="0"/>
    <n v="1"/>
    <n v="0"/>
    <n v="1"/>
    <x v="2"/>
    <n v="1"/>
    <n v="1"/>
    <n v="0"/>
    <n v="0"/>
    <x v="0"/>
  </r>
  <r>
    <s v="A33UMG50QSJ7KS"/>
    <x v="0"/>
    <n v="28"/>
    <s v="female"/>
    <x v="2"/>
    <x v="4"/>
    <n v="17181"/>
    <n v="1"/>
    <n v="1"/>
    <n v="1"/>
    <n v="0"/>
    <s v="Stalls A and B."/>
    <s v="Stalls A, B, C, D and E."/>
    <s v="Stall A."/>
    <s v="ms-h"/>
    <s v="exh"/>
    <s v="mo-h"/>
    <n v="1"/>
    <x v="2"/>
    <x v="2"/>
    <n v="1"/>
    <n v="0"/>
    <n v="0"/>
    <n v="1"/>
    <n v="1"/>
    <n v="1"/>
    <x v="2"/>
    <n v="1"/>
    <n v="0"/>
    <n v="0"/>
    <n v="0"/>
    <x v="0"/>
  </r>
  <r>
    <s v="A33UMG50QSJ7KS"/>
    <x v="0"/>
    <n v="28"/>
    <s v="female"/>
    <x v="3"/>
    <x v="10"/>
    <n v="26790"/>
    <n v="0"/>
    <n v="1"/>
    <n v="1"/>
    <n v="0"/>
    <s v="NA"/>
    <s v="NA"/>
    <s v="NA"/>
    <s v="NA"/>
    <s v="NA"/>
    <s v="NA"/>
    <s v="NA"/>
    <x v="2"/>
    <x v="2"/>
    <n v="1"/>
    <n v="0"/>
    <n v="0"/>
    <n v="1"/>
    <n v="1"/>
    <n v="1"/>
    <x v="2"/>
    <n v="1"/>
    <n v="0"/>
    <n v="0"/>
    <n v="0"/>
    <x v="0"/>
  </r>
  <r>
    <s v="A33UMG50QSJ7KS"/>
    <x v="0"/>
    <n v="28"/>
    <s v="female"/>
    <x v="4"/>
    <x v="0"/>
    <n v="27773"/>
    <s v="No I wouldn't they both warrant the same answer"/>
    <s v="Lengthy"/>
    <s v="No"/>
    <s v="NA"/>
    <s v="NA"/>
    <s v="NA"/>
    <s v="NA"/>
    <s v="NA"/>
    <s v="NA"/>
    <s v="NA"/>
    <s v="NA"/>
    <x v="0"/>
    <x v="0"/>
    <s v="NA"/>
    <s v="NA"/>
    <s v="NA"/>
    <s v="NA"/>
    <s v="NA"/>
    <s v="NA"/>
    <x v="0"/>
    <s v="NA"/>
    <s v="NA"/>
    <s v="NA"/>
    <s v="NA"/>
    <x v="0"/>
  </r>
  <r>
    <s v="A2PXJTMWGUE5DC"/>
    <x v="0"/>
    <n v="59"/>
    <s v="female"/>
    <x v="0"/>
    <x v="0"/>
    <n v="22919"/>
    <s v="NA"/>
    <s v="NA"/>
    <s v="NA"/>
    <s v="NA"/>
    <s v="NA"/>
    <s v="NA"/>
    <s v="NA"/>
    <s v="NA"/>
    <s v="NA"/>
    <s v="NA"/>
    <s v="NA"/>
    <x v="0"/>
    <x v="0"/>
    <s v="NA"/>
    <s v="NA"/>
    <s v="NA"/>
    <s v="NA"/>
    <s v="NA"/>
    <s v="NA"/>
    <x v="0"/>
    <s v="NA"/>
    <s v="NA"/>
    <s v="NA"/>
    <s v="NA"/>
    <x v="0"/>
  </r>
  <r>
    <s v="A2PXJTMWGUE5DC"/>
    <x v="0"/>
    <n v="59"/>
    <s v="female"/>
    <x v="1"/>
    <x v="2"/>
    <n v="70703"/>
    <n v="0"/>
    <n v="0"/>
    <n v="1"/>
    <n v="0"/>
    <s v="NA"/>
    <s v="NA"/>
    <s v="NA"/>
    <s v="NA"/>
    <s v="NA"/>
    <s v="NA"/>
    <s v="NA"/>
    <x v="0"/>
    <x v="0"/>
    <s v="NA"/>
    <s v="NA"/>
    <s v="NA"/>
    <s v="NA"/>
    <s v="NA"/>
    <s v="NA"/>
    <x v="0"/>
    <s v="NA"/>
    <s v="NA"/>
    <s v="NA"/>
    <s v="NA"/>
    <x v="0"/>
  </r>
  <r>
    <s v="A2PXJTMWGUE5DC"/>
    <x v="0"/>
    <n v="59"/>
    <s v="female"/>
    <x v="1"/>
    <x v="1"/>
    <n v="46829"/>
    <n v="0"/>
    <n v="0"/>
    <n v="0"/>
    <n v="1"/>
    <s v="NA"/>
    <s v="NA"/>
    <s v="NA"/>
    <s v="NA"/>
    <s v="NA"/>
    <s v="NA"/>
    <s v="NA"/>
    <x v="0"/>
    <x v="0"/>
    <s v="NA"/>
    <s v="NA"/>
    <s v="NA"/>
    <s v="NA"/>
    <s v="NA"/>
    <s v="NA"/>
    <x v="0"/>
    <s v="NA"/>
    <s v="NA"/>
    <s v="NA"/>
    <s v="NA"/>
    <x v="0"/>
  </r>
  <r>
    <s v="A2PXJTMWGUE5DC"/>
    <x v="0"/>
    <n v="59"/>
    <s v="female"/>
    <x v="2"/>
    <x v="11"/>
    <n v="94882"/>
    <n v="0"/>
    <n v="0"/>
    <n v="0"/>
    <n v="1"/>
    <s v="Dentists A and B."/>
    <s v="Dentist A."/>
    <s v="Dentists A, B, C, D and E."/>
    <s v="ms-h"/>
    <s v="mo-h"/>
    <s v="exh"/>
    <n v="1"/>
    <x v="2"/>
    <x v="2"/>
    <n v="1"/>
    <n v="0"/>
    <n v="0"/>
    <n v="1"/>
    <n v="0"/>
    <n v="0"/>
    <x v="2"/>
    <n v="0"/>
    <n v="0"/>
    <n v="0"/>
    <n v="1"/>
    <x v="0"/>
  </r>
  <r>
    <s v="A2PXJTMWGUE5DC"/>
    <x v="0"/>
    <n v="59"/>
    <s v="female"/>
    <x v="2"/>
    <x v="3"/>
    <n v="49818"/>
    <n v="1"/>
    <n v="1"/>
    <n v="1"/>
    <n v="0"/>
    <s v="Cafes D and E."/>
    <s v="Cafe E."/>
    <s v="Cafe A."/>
    <s v="ms-l"/>
    <s v="mo-l"/>
    <s v="mo-h"/>
    <n v="0"/>
    <x v="2"/>
    <x v="1"/>
    <n v="0"/>
    <n v="1"/>
    <n v="0"/>
    <n v="1"/>
    <n v="0"/>
    <n v="1"/>
    <x v="1"/>
    <n v="0"/>
    <n v="1"/>
    <n v="0"/>
    <n v="0"/>
    <x v="0"/>
  </r>
  <r>
    <s v="A2PXJTMWGUE5DC"/>
    <x v="0"/>
    <n v="59"/>
    <s v="female"/>
    <x v="3"/>
    <x v="10"/>
    <n v="41990"/>
    <n v="0"/>
    <n v="0"/>
    <n v="0"/>
    <n v="1"/>
    <s v="NA"/>
    <s v="NA"/>
    <s v="NA"/>
    <s v="NA"/>
    <s v="NA"/>
    <s v="NA"/>
    <s v="NA"/>
    <x v="2"/>
    <x v="1"/>
    <n v="0"/>
    <n v="1"/>
    <n v="0"/>
    <n v="1"/>
    <n v="0"/>
    <n v="1"/>
    <x v="1"/>
    <n v="0"/>
    <n v="1"/>
    <n v="0"/>
    <n v="0"/>
    <x v="0"/>
  </r>
  <r>
    <s v="A2PXJTMWGUE5DC"/>
    <x v="0"/>
    <n v="59"/>
    <s v="female"/>
    <x v="2"/>
    <x v="7"/>
    <n v="40801"/>
    <n v="1"/>
    <n v="1"/>
    <n v="1"/>
    <n v="0"/>
    <s v="Stylist A."/>
    <s v="Stylist F."/>
    <s v="Stylists D and E."/>
    <s v="mo-h"/>
    <s v="fa"/>
    <s v="ms-l"/>
    <n v="0"/>
    <x v="2"/>
    <x v="2"/>
    <n v="0"/>
    <n v="1"/>
    <n v="0"/>
    <n v="1"/>
    <n v="0"/>
    <n v="1"/>
    <x v="2"/>
    <n v="0"/>
    <n v="1"/>
    <n v="0"/>
    <n v="0"/>
    <x v="0"/>
  </r>
  <r>
    <s v="A2PXJTMWGUE5DC"/>
    <x v="0"/>
    <n v="59"/>
    <s v="female"/>
    <x v="2"/>
    <x v="4"/>
    <n v="60825"/>
    <n v="1"/>
    <n v="1"/>
    <n v="1"/>
    <n v="0"/>
    <s v="Stall F."/>
    <s v="Stalls D and E."/>
    <s v="Stalls A, B, C, D and E."/>
    <s v="fa"/>
    <s v="ms-l"/>
    <s v="exh"/>
    <n v="1"/>
    <x v="1"/>
    <x v="2"/>
    <n v="0"/>
    <n v="1"/>
    <n v="0"/>
    <n v="1"/>
    <n v="1"/>
    <n v="0"/>
    <x v="2"/>
    <n v="0"/>
    <n v="1"/>
    <n v="0"/>
    <n v="0"/>
    <x v="0"/>
  </r>
  <r>
    <s v="A2PXJTMWGUE5DC"/>
    <x v="0"/>
    <n v="59"/>
    <s v="female"/>
    <x v="3"/>
    <x v="5"/>
    <n v="48359"/>
    <n v="0"/>
    <n v="1"/>
    <n v="1"/>
    <n v="0"/>
    <s v="NA"/>
    <s v="NA"/>
    <s v="NA"/>
    <s v="NA"/>
    <s v="NA"/>
    <s v="NA"/>
    <s v="NA"/>
    <x v="1"/>
    <x v="2"/>
    <n v="0"/>
    <n v="1"/>
    <n v="0"/>
    <n v="1"/>
    <n v="1"/>
    <n v="0"/>
    <x v="2"/>
    <n v="0"/>
    <n v="1"/>
    <n v="0"/>
    <n v="0"/>
    <x v="0"/>
  </r>
  <r>
    <s v="A2PXJTMWGUE5DC"/>
    <x v="0"/>
    <n v="59"/>
    <s v="female"/>
    <x v="2"/>
    <x v="6"/>
    <n v="82146"/>
    <n v="0"/>
    <n v="0"/>
    <n v="0"/>
    <n v="1"/>
    <s v="Bookstore E."/>
    <s v="Bookstores A and B."/>
    <s v="Bookstores A, B, C, D and E."/>
    <s v="mo-l"/>
    <s v="ms-h"/>
    <s v="exh"/>
    <n v="1"/>
    <x v="1"/>
    <x v="1"/>
    <n v="1"/>
    <n v="0"/>
    <n v="0"/>
    <n v="1"/>
    <n v="0"/>
    <n v="0"/>
    <x v="2"/>
    <n v="0"/>
    <n v="0"/>
    <n v="0"/>
    <n v="1"/>
    <x v="0"/>
  </r>
  <r>
    <s v="A2PXJTMWGUE5DC"/>
    <x v="0"/>
    <n v="59"/>
    <s v="female"/>
    <x v="3"/>
    <x v="8"/>
    <n v="48261"/>
    <n v="1"/>
    <n v="0"/>
    <n v="0"/>
    <n v="0"/>
    <s v="NA"/>
    <s v="NA"/>
    <s v="NA"/>
    <s v="NA"/>
    <s v="NA"/>
    <s v="NA"/>
    <s v="NA"/>
    <x v="1"/>
    <x v="1"/>
    <n v="1"/>
    <n v="0"/>
    <n v="0"/>
    <n v="1"/>
    <n v="0"/>
    <n v="0"/>
    <x v="2"/>
    <n v="0"/>
    <n v="0"/>
    <n v="0"/>
    <n v="1"/>
    <x v="0"/>
  </r>
  <r>
    <s v="A2PXJTMWGUE5DC"/>
    <x v="0"/>
    <n v="59"/>
    <s v="female"/>
    <x v="2"/>
    <x v="9"/>
    <n v="50109"/>
    <n v="1"/>
    <n v="1"/>
    <n v="1"/>
    <n v="0"/>
    <s v="Store A."/>
    <s v="Store E."/>
    <s v="Stores A and B."/>
    <s v="mo-h"/>
    <s v="mo-l"/>
    <s v="ms-h"/>
    <n v="0"/>
    <x v="2"/>
    <x v="1"/>
    <n v="1"/>
    <n v="0"/>
    <n v="0"/>
    <n v="1"/>
    <n v="0"/>
    <n v="1"/>
    <x v="1"/>
    <n v="1"/>
    <n v="0"/>
    <n v="0"/>
    <n v="0"/>
    <x v="0"/>
  </r>
  <r>
    <s v="A2PXJTMWGUE5DC"/>
    <x v="0"/>
    <n v="59"/>
    <s v="female"/>
    <x v="3"/>
    <x v="12"/>
    <n v="31956"/>
    <n v="0"/>
    <n v="0"/>
    <n v="0"/>
    <n v="1"/>
    <s v="NA"/>
    <s v="NA"/>
    <s v="NA"/>
    <s v="NA"/>
    <s v="NA"/>
    <s v="NA"/>
    <s v="NA"/>
    <x v="2"/>
    <x v="1"/>
    <n v="1"/>
    <n v="0"/>
    <n v="0"/>
    <n v="1"/>
    <n v="0"/>
    <n v="1"/>
    <x v="1"/>
    <n v="1"/>
    <n v="0"/>
    <n v="0"/>
    <n v="0"/>
    <x v="0"/>
  </r>
  <r>
    <s v="A2PXJTMWGUE5DC"/>
    <x v="0"/>
    <n v="59"/>
    <s v="female"/>
    <x v="4"/>
    <x v="0"/>
    <n v="92071"/>
    <s v="No%2C I think those are the same question. They both are asking where brunch is served."/>
    <s v="Some of it was difficult and a little confusing because of the slight different way the stories were phrased."/>
    <s v="Thank you."/>
    <s v="NA"/>
    <s v="NA"/>
    <s v="NA"/>
    <s v="NA"/>
    <s v="NA"/>
    <s v="NA"/>
    <s v="NA"/>
    <s v="NA"/>
    <x v="0"/>
    <x v="0"/>
    <s v="NA"/>
    <s v="NA"/>
    <s v="NA"/>
    <s v="NA"/>
    <s v="NA"/>
    <s v="NA"/>
    <x v="0"/>
    <s v="NA"/>
    <s v="NA"/>
    <s v="NA"/>
    <s v="NA"/>
    <x v="0"/>
  </r>
  <r>
    <s v="A1B84JJ7ATWVJA"/>
    <x v="0"/>
    <n v="49"/>
    <s v="male"/>
    <x v="0"/>
    <x v="0"/>
    <n v="36523"/>
    <s v="NA"/>
    <s v="NA"/>
    <s v="NA"/>
    <s v="NA"/>
    <s v="NA"/>
    <s v="NA"/>
    <s v="NA"/>
    <s v="NA"/>
    <s v="NA"/>
    <s v="NA"/>
    <s v="NA"/>
    <x v="0"/>
    <x v="0"/>
    <s v="NA"/>
    <s v="NA"/>
    <s v="NA"/>
    <s v="NA"/>
    <s v="NA"/>
    <s v="NA"/>
    <x v="0"/>
    <s v="NA"/>
    <s v="NA"/>
    <s v="NA"/>
    <s v="NA"/>
    <x v="0"/>
  </r>
  <r>
    <s v="A1B84JJ7ATWVJA"/>
    <x v="0"/>
    <n v="49"/>
    <s v="male"/>
    <x v="1"/>
    <x v="2"/>
    <n v="48573"/>
    <n v="0"/>
    <n v="1"/>
    <n v="1"/>
    <n v="0"/>
    <s v="NA"/>
    <s v="NA"/>
    <s v="NA"/>
    <s v="NA"/>
    <s v="NA"/>
    <s v="NA"/>
    <s v="NA"/>
    <x v="0"/>
    <x v="0"/>
    <s v="NA"/>
    <s v="NA"/>
    <s v="NA"/>
    <s v="NA"/>
    <s v="NA"/>
    <s v="NA"/>
    <x v="0"/>
    <s v="NA"/>
    <s v="NA"/>
    <s v="NA"/>
    <s v="NA"/>
    <x v="0"/>
  </r>
  <r>
    <s v="A1B84JJ7ATWVJA"/>
    <x v="0"/>
    <n v="49"/>
    <s v="male"/>
    <x v="1"/>
    <x v="1"/>
    <n v="42661"/>
    <n v="0"/>
    <n v="0"/>
    <n v="0"/>
    <n v="1"/>
    <s v="NA"/>
    <s v="NA"/>
    <s v="NA"/>
    <s v="NA"/>
    <s v="NA"/>
    <s v="NA"/>
    <s v="NA"/>
    <x v="0"/>
    <x v="0"/>
    <s v="NA"/>
    <s v="NA"/>
    <s v="NA"/>
    <s v="NA"/>
    <s v="NA"/>
    <s v="NA"/>
    <x v="0"/>
    <s v="NA"/>
    <s v="NA"/>
    <s v="NA"/>
    <s v="NA"/>
    <x v="0"/>
  </r>
  <r>
    <s v="A1B84JJ7ATWVJA"/>
    <x v="0"/>
    <n v="49"/>
    <s v="male"/>
    <x v="2"/>
    <x v="11"/>
    <n v="82308"/>
    <n v="0"/>
    <n v="0"/>
    <n v="0"/>
    <n v="1"/>
    <s v="Dentists A and B."/>
    <s v="Dentist E."/>
    <s v="Dentists D and E."/>
    <s v="ms-h"/>
    <s v="mo-l"/>
    <s v="ms-l"/>
    <n v="0"/>
    <x v="1"/>
    <x v="1"/>
    <n v="1"/>
    <n v="1"/>
    <n v="0"/>
    <n v="1"/>
    <n v="0"/>
    <n v="0"/>
    <x v="2"/>
    <n v="0"/>
    <n v="0"/>
    <n v="0"/>
    <n v="1"/>
    <x v="0"/>
  </r>
  <r>
    <s v="A1B84JJ7ATWVJA"/>
    <x v="0"/>
    <n v="49"/>
    <s v="male"/>
    <x v="2"/>
    <x v="4"/>
    <n v="95075"/>
    <n v="1"/>
    <n v="1"/>
    <n v="1"/>
    <n v="0"/>
    <s v="Stall A."/>
    <s v="Stalls A, B, C, D and E."/>
    <s v="Stall E."/>
    <s v="mo-h"/>
    <s v="exh"/>
    <s v="mo-l"/>
    <n v="1"/>
    <x v="2"/>
    <x v="1"/>
    <n v="0"/>
    <n v="0"/>
    <n v="0"/>
    <n v="1"/>
    <n v="1"/>
    <n v="1"/>
    <x v="1"/>
    <n v="0"/>
    <n v="0"/>
    <n v="0"/>
    <n v="0"/>
    <x v="0"/>
  </r>
  <r>
    <s v="A1B84JJ7ATWVJA"/>
    <x v="0"/>
    <n v="49"/>
    <s v="male"/>
    <x v="3"/>
    <x v="12"/>
    <n v="46487"/>
    <n v="1"/>
    <n v="0"/>
    <n v="0"/>
    <n v="0"/>
    <s v="NA"/>
    <s v="NA"/>
    <s v="NA"/>
    <s v="NA"/>
    <s v="NA"/>
    <s v="NA"/>
    <s v="NA"/>
    <x v="2"/>
    <x v="1"/>
    <n v="0"/>
    <n v="0"/>
    <n v="0"/>
    <n v="1"/>
    <n v="1"/>
    <n v="1"/>
    <x v="1"/>
    <n v="0"/>
    <n v="0"/>
    <n v="0"/>
    <n v="0"/>
    <x v="0"/>
  </r>
  <r>
    <s v="A1B84JJ7ATWVJA"/>
    <x v="0"/>
    <n v="49"/>
    <s v="male"/>
    <x v="2"/>
    <x v="6"/>
    <n v="58352"/>
    <n v="0"/>
    <n v="0"/>
    <n v="0"/>
    <n v="1"/>
    <s v="Bookstore E."/>
    <s v="Bookstores A, B, C, D and E."/>
    <s v="Bookstores D and E."/>
    <s v="mo-l"/>
    <s v="exh"/>
    <s v="ms-l"/>
    <n v="1"/>
    <x v="1"/>
    <x v="1"/>
    <n v="0"/>
    <n v="1"/>
    <n v="0"/>
    <n v="1"/>
    <n v="0"/>
    <n v="0"/>
    <x v="2"/>
    <n v="0"/>
    <n v="0"/>
    <n v="0"/>
    <n v="1"/>
    <x v="0"/>
  </r>
  <r>
    <s v="A1B84JJ7ATWVJA"/>
    <x v="0"/>
    <n v="49"/>
    <s v="male"/>
    <x v="2"/>
    <x v="7"/>
    <n v="24717"/>
    <n v="1"/>
    <n v="1"/>
    <n v="1"/>
    <n v="0"/>
    <s v="Stylist E."/>
    <s v="Stylist A."/>
    <s v="Stylists A, B, C, D and E."/>
    <s v="mo-l"/>
    <s v="mo-h"/>
    <s v="exh"/>
    <n v="1"/>
    <x v="2"/>
    <x v="1"/>
    <n v="0"/>
    <n v="0"/>
    <n v="0"/>
    <n v="1"/>
    <n v="1"/>
    <n v="1"/>
    <x v="1"/>
    <n v="0"/>
    <n v="0"/>
    <n v="0"/>
    <n v="0"/>
    <x v="0"/>
  </r>
  <r>
    <s v="A1B84JJ7ATWVJA"/>
    <x v="0"/>
    <n v="49"/>
    <s v="male"/>
    <x v="3"/>
    <x v="5"/>
    <n v="84885"/>
    <n v="0"/>
    <n v="1"/>
    <n v="1"/>
    <n v="0"/>
    <s v="NA"/>
    <s v="NA"/>
    <s v="NA"/>
    <s v="NA"/>
    <s v="NA"/>
    <s v="NA"/>
    <s v="NA"/>
    <x v="2"/>
    <x v="1"/>
    <n v="0"/>
    <n v="0"/>
    <n v="0"/>
    <n v="1"/>
    <n v="1"/>
    <n v="1"/>
    <x v="1"/>
    <n v="0"/>
    <n v="0"/>
    <n v="0"/>
    <n v="0"/>
    <x v="0"/>
  </r>
  <r>
    <s v="A1B84JJ7ATWVJA"/>
    <x v="0"/>
    <n v="49"/>
    <s v="male"/>
    <x v="2"/>
    <x v="3"/>
    <n v="53028"/>
    <n v="0"/>
    <n v="0"/>
    <n v="0"/>
    <n v="1"/>
    <s v="Cafes A and B."/>
    <s v="Cafe A."/>
    <s v="Cafes A, B, C, D and E."/>
    <s v="ms-h"/>
    <s v="mo-h"/>
    <s v="exh"/>
    <n v="1"/>
    <x v="2"/>
    <x v="2"/>
    <n v="1"/>
    <n v="0"/>
    <n v="0"/>
    <n v="1"/>
    <n v="0"/>
    <n v="0"/>
    <x v="2"/>
    <n v="0"/>
    <n v="0"/>
    <n v="0"/>
    <n v="1"/>
    <x v="0"/>
  </r>
  <r>
    <s v="A1B84JJ7ATWVJA"/>
    <x v="0"/>
    <n v="49"/>
    <s v="male"/>
    <x v="3"/>
    <x v="10"/>
    <n v="49198"/>
    <n v="0"/>
    <n v="0"/>
    <n v="0"/>
    <n v="1"/>
    <s v="NA"/>
    <s v="NA"/>
    <s v="NA"/>
    <s v="NA"/>
    <s v="NA"/>
    <s v="NA"/>
    <s v="NA"/>
    <x v="2"/>
    <x v="2"/>
    <n v="1"/>
    <n v="0"/>
    <n v="0"/>
    <n v="1"/>
    <n v="0"/>
    <n v="0"/>
    <x v="2"/>
    <n v="0"/>
    <n v="0"/>
    <n v="0"/>
    <n v="1"/>
    <x v="0"/>
  </r>
  <r>
    <s v="A1B84JJ7ATWVJA"/>
    <x v="0"/>
    <n v="49"/>
    <s v="male"/>
    <x v="2"/>
    <x v="9"/>
    <n v="28446"/>
    <n v="1"/>
    <n v="1"/>
    <n v="1"/>
    <n v="0"/>
    <s v="Stores D and E."/>
    <s v="Stores A and B."/>
    <s v="Store A."/>
    <s v="ms-l"/>
    <s v="ms-h"/>
    <s v="mo-h"/>
    <n v="0"/>
    <x v="2"/>
    <x v="2"/>
    <n v="1"/>
    <n v="1"/>
    <n v="0"/>
    <n v="1"/>
    <n v="0"/>
    <n v="1"/>
    <x v="2"/>
    <n v="1"/>
    <n v="1"/>
    <n v="0"/>
    <n v="0"/>
    <x v="0"/>
  </r>
  <r>
    <s v="A1B84JJ7ATWVJA"/>
    <x v="0"/>
    <n v="49"/>
    <s v="male"/>
    <x v="3"/>
    <x v="8"/>
    <n v="39444"/>
    <n v="1"/>
    <n v="1"/>
    <n v="0"/>
    <n v="0"/>
    <s v="NA"/>
    <s v="NA"/>
    <s v="NA"/>
    <s v="NA"/>
    <s v="NA"/>
    <s v="NA"/>
    <s v="NA"/>
    <x v="2"/>
    <x v="2"/>
    <n v="1"/>
    <n v="1"/>
    <n v="0"/>
    <n v="1"/>
    <n v="0"/>
    <n v="1"/>
    <x v="2"/>
    <n v="1"/>
    <n v="1"/>
    <n v="0"/>
    <n v="0"/>
    <x v="0"/>
  </r>
  <r>
    <s v="A1B84JJ7ATWVJA"/>
    <x v="0"/>
    <n v="49"/>
    <s v="male"/>
    <x v="4"/>
    <x v="0"/>
    <n v="80132"/>
    <s v="No%2C both questions are the same "/>
    <s v="a little%2C need to read very carefully"/>
    <m/>
    <s v="NA"/>
    <s v="NA"/>
    <s v="NA"/>
    <s v="NA"/>
    <s v="NA"/>
    <s v="NA"/>
    <s v="NA"/>
    <s v="NA"/>
    <x v="0"/>
    <x v="0"/>
    <s v="NA"/>
    <s v="NA"/>
    <s v="NA"/>
    <s v="NA"/>
    <s v="NA"/>
    <s v="NA"/>
    <x v="0"/>
    <s v="NA"/>
    <s v="NA"/>
    <s v="NA"/>
    <s v="NA"/>
    <x v="0"/>
  </r>
  <r>
    <s v="ADGH08WUP68ZF"/>
    <x v="0"/>
    <n v="24"/>
    <s v="female"/>
    <x v="0"/>
    <x v="0"/>
    <n v="38942"/>
    <s v="NA"/>
    <s v="NA"/>
    <s v="NA"/>
    <s v="NA"/>
    <s v="NA"/>
    <s v="NA"/>
    <s v="NA"/>
    <s v="NA"/>
    <s v="NA"/>
    <s v="NA"/>
    <s v="NA"/>
    <x v="0"/>
    <x v="0"/>
    <s v="NA"/>
    <s v="NA"/>
    <s v="NA"/>
    <s v="NA"/>
    <s v="NA"/>
    <s v="NA"/>
    <x v="0"/>
    <s v="NA"/>
    <s v="NA"/>
    <s v="NA"/>
    <s v="NA"/>
    <x v="0"/>
  </r>
  <r>
    <s v="ADGH08WUP68ZF"/>
    <x v="0"/>
    <n v="24"/>
    <s v="female"/>
    <x v="1"/>
    <x v="2"/>
    <n v="25924"/>
    <n v="0"/>
    <n v="0"/>
    <n v="1"/>
    <n v="0"/>
    <s v="NA"/>
    <s v="NA"/>
    <s v="NA"/>
    <s v="NA"/>
    <s v="NA"/>
    <s v="NA"/>
    <s v="NA"/>
    <x v="0"/>
    <x v="0"/>
    <s v="NA"/>
    <s v="NA"/>
    <s v="NA"/>
    <s v="NA"/>
    <s v="NA"/>
    <s v="NA"/>
    <x v="0"/>
    <s v="NA"/>
    <s v="NA"/>
    <s v="NA"/>
    <s v="NA"/>
    <x v="0"/>
  </r>
  <r>
    <s v="ADGH08WUP68ZF"/>
    <x v="0"/>
    <n v="24"/>
    <s v="female"/>
    <x v="1"/>
    <x v="1"/>
    <n v="22380"/>
    <n v="0"/>
    <n v="0"/>
    <n v="0"/>
    <n v="1"/>
    <s v="NA"/>
    <s v="NA"/>
    <s v="NA"/>
    <s v="NA"/>
    <s v="NA"/>
    <s v="NA"/>
    <s v="NA"/>
    <x v="0"/>
    <x v="0"/>
    <s v="NA"/>
    <s v="NA"/>
    <s v="NA"/>
    <s v="NA"/>
    <s v="NA"/>
    <s v="NA"/>
    <x v="0"/>
    <s v="NA"/>
    <s v="NA"/>
    <s v="NA"/>
    <s v="NA"/>
    <x v="0"/>
  </r>
  <r>
    <s v="ADGH08WUP68ZF"/>
    <x v="0"/>
    <n v="24"/>
    <s v="female"/>
    <x v="2"/>
    <x v="7"/>
    <n v="29700"/>
    <n v="1"/>
    <n v="1"/>
    <n v="1"/>
    <n v="0"/>
    <s v="Stylists A and B."/>
    <s v="Stylist F."/>
    <s v="Stylists D and E."/>
    <s v="ms-h"/>
    <s v="fa"/>
    <s v="ms-l"/>
    <n v="0"/>
    <x v="1"/>
    <x v="2"/>
    <n v="1"/>
    <n v="1"/>
    <n v="0"/>
    <n v="1"/>
    <n v="0"/>
    <n v="0"/>
    <x v="2"/>
    <n v="1"/>
    <n v="1"/>
    <n v="0"/>
    <n v="0"/>
    <x v="0"/>
  </r>
  <r>
    <s v="ADGH08WUP68ZF"/>
    <x v="0"/>
    <n v="24"/>
    <s v="female"/>
    <x v="2"/>
    <x v="3"/>
    <n v="54053"/>
    <n v="0"/>
    <n v="0"/>
    <n v="0"/>
    <n v="1"/>
    <s v="Cafes A and B."/>
    <s v="Cafe E."/>
    <s v="Cafes D and E."/>
    <s v="ms-h"/>
    <s v="mo-l"/>
    <s v="ms-l"/>
    <n v="0"/>
    <x v="1"/>
    <x v="1"/>
    <n v="1"/>
    <n v="1"/>
    <n v="0"/>
    <n v="1"/>
    <n v="0"/>
    <n v="0"/>
    <x v="2"/>
    <n v="0"/>
    <n v="0"/>
    <n v="0"/>
    <n v="1"/>
    <x v="0"/>
  </r>
  <r>
    <s v="ADGH08WUP68ZF"/>
    <x v="0"/>
    <n v="24"/>
    <s v="female"/>
    <x v="3"/>
    <x v="5"/>
    <n v="23699"/>
    <n v="0"/>
    <n v="0"/>
    <n v="1"/>
    <n v="0"/>
    <s v="NA"/>
    <s v="NA"/>
    <s v="NA"/>
    <s v="NA"/>
    <s v="NA"/>
    <s v="NA"/>
    <s v="NA"/>
    <x v="1"/>
    <x v="1"/>
    <n v="1"/>
    <n v="1"/>
    <n v="0"/>
    <n v="1"/>
    <n v="0"/>
    <n v="0"/>
    <x v="2"/>
    <n v="0"/>
    <n v="0"/>
    <n v="0"/>
    <n v="1"/>
    <x v="0"/>
  </r>
  <r>
    <s v="ADGH08WUP68ZF"/>
    <x v="0"/>
    <n v="24"/>
    <s v="female"/>
    <x v="2"/>
    <x v="6"/>
    <n v="23361"/>
    <n v="0"/>
    <n v="0"/>
    <n v="0"/>
    <n v="1"/>
    <s v="Bookstore A."/>
    <s v="Bookstore F."/>
    <s v="Bookstore E."/>
    <s v="mo-h"/>
    <s v="fa"/>
    <s v="mo-l"/>
    <n v="0"/>
    <x v="2"/>
    <x v="1"/>
    <n v="0"/>
    <n v="0"/>
    <n v="0"/>
    <n v="1"/>
    <n v="0"/>
    <n v="0"/>
    <x v="2"/>
    <n v="0"/>
    <n v="0"/>
    <n v="0"/>
    <n v="1"/>
    <x v="0"/>
  </r>
  <r>
    <s v="ADGH08WUP68ZF"/>
    <x v="0"/>
    <n v="24"/>
    <s v="female"/>
    <x v="3"/>
    <x v="10"/>
    <n v="28262"/>
    <n v="0"/>
    <n v="0"/>
    <n v="1"/>
    <n v="0"/>
    <s v="NA"/>
    <s v="NA"/>
    <s v="NA"/>
    <s v="NA"/>
    <s v="NA"/>
    <s v="NA"/>
    <s v="NA"/>
    <x v="2"/>
    <x v="1"/>
    <n v="0"/>
    <n v="0"/>
    <n v="0"/>
    <n v="1"/>
    <n v="0"/>
    <n v="0"/>
    <x v="2"/>
    <n v="0"/>
    <n v="0"/>
    <n v="0"/>
    <n v="1"/>
    <x v="0"/>
  </r>
  <r>
    <s v="ADGH08WUP68ZF"/>
    <x v="0"/>
    <n v="24"/>
    <s v="female"/>
    <x v="2"/>
    <x v="9"/>
    <n v="34543"/>
    <n v="0"/>
    <n v="0"/>
    <n v="0"/>
    <n v="1"/>
    <s v="Store F."/>
    <s v="Store E."/>
    <s v="Store A."/>
    <s v="fa"/>
    <s v="mo-l"/>
    <s v="mo-h"/>
    <n v="0"/>
    <x v="2"/>
    <x v="1"/>
    <n v="0"/>
    <n v="0"/>
    <n v="0"/>
    <n v="1"/>
    <n v="0"/>
    <n v="0"/>
    <x v="2"/>
    <n v="0"/>
    <n v="0"/>
    <n v="0"/>
    <n v="1"/>
    <x v="0"/>
  </r>
  <r>
    <s v="ADGH08WUP68ZF"/>
    <x v="0"/>
    <n v="24"/>
    <s v="female"/>
    <x v="2"/>
    <x v="11"/>
    <n v="17827"/>
    <n v="0"/>
    <n v="0"/>
    <n v="0"/>
    <n v="1"/>
    <s v="Dentists D and E."/>
    <s v="Dentists A, B, C, D and E."/>
    <s v="Dentist A."/>
    <s v="ms-l"/>
    <s v="exh"/>
    <s v="mo-h"/>
    <n v="1"/>
    <x v="2"/>
    <x v="2"/>
    <n v="0"/>
    <n v="1"/>
    <n v="0"/>
    <n v="1"/>
    <n v="0"/>
    <n v="0"/>
    <x v="2"/>
    <n v="0"/>
    <n v="0"/>
    <n v="0"/>
    <n v="1"/>
    <x v="0"/>
  </r>
  <r>
    <s v="ADGH08WUP68ZF"/>
    <x v="0"/>
    <n v="24"/>
    <s v="female"/>
    <x v="3"/>
    <x v="8"/>
    <n v="40953"/>
    <n v="1"/>
    <n v="0"/>
    <n v="0"/>
    <n v="0"/>
    <s v="NA"/>
    <s v="NA"/>
    <s v="NA"/>
    <s v="NA"/>
    <s v="NA"/>
    <s v="NA"/>
    <s v="NA"/>
    <x v="2"/>
    <x v="2"/>
    <n v="0"/>
    <n v="1"/>
    <n v="0"/>
    <n v="1"/>
    <n v="0"/>
    <n v="0"/>
    <x v="2"/>
    <n v="0"/>
    <n v="0"/>
    <n v="0"/>
    <n v="1"/>
    <x v="0"/>
  </r>
  <r>
    <s v="ADGH08WUP68ZF"/>
    <x v="0"/>
    <n v="24"/>
    <s v="female"/>
    <x v="2"/>
    <x v="4"/>
    <n v="30967"/>
    <n v="0"/>
    <n v="0"/>
    <n v="0"/>
    <n v="1"/>
    <s v="Stalls D and E."/>
    <s v="Stall E."/>
    <s v="Stall A."/>
    <s v="ms-l"/>
    <s v="mo-l"/>
    <s v="mo-h"/>
    <n v="0"/>
    <x v="2"/>
    <x v="1"/>
    <n v="0"/>
    <n v="1"/>
    <n v="0"/>
    <n v="1"/>
    <n v="0"/>
    <n v="0"/>
    <x v="2"/>
    <n v="0"/>
    <n v="0"/>
    <n v="0"/>
    <n v="1"/>
    <x v="0"/>
  </r>
  <r>
    <s v="ADGH08WUP68ZF"/>
    <x v="0"/>
    <n v="24"/>
    <s v="female"/>
    <x v="3"/>
    <x v="12"/>
    <n v="22875"/>
    <n v="1"/>
    <n v="0"/>
    <n v="0"/>
    <n v="0"/>
    <s v="NA"/>
    <s v="NA"/>
    <s v="NA"/>
    <s v="NA"/>
    <s v="NA"/>
    <s v="NA"/>
    <s v="NA"/>
    <x v="2"/>
    <x v="1"/>
    <n v="0"/>
    <n v="1"/>
    <n v="0"/>
    <n v="1"/>
    <n v="0"/>
    <n v="0"/>
    <x v="2"/>
    <n v="0"/>
    <n v="0"/>
    <n v="0"/>
    <n v="1"/>
    <x v="0"/>
  </r>
  <r>
    <s v="ADGH08WUP68ZF"/>
    <x v="0"/>
    <n v="24"/>
    <s v="female"/>
    <x v="4"/>
    <x v="0"/>
    <n v="64794"/>
    <s v="I would give the same answers for each question due to the meaning of the question being the same in both questions."/>
    <s v="Sort of yes%2C because some answers seemed ambiguous "/>
    <s v="No"/>
    <s v="NA"/>
    <s v="NA"/>
    <s v="NA"/>
    <s v="NA"/>
    <s v="NA"/>
    <s v="NA"/>
    <s v="NA"/>
    <s v="NA"/>
    <x v="0"/>
    <x v="0"/>
    <s v="NA"/>
    <s v="NA"/>
    <s v="NA"/>
    <s v="NA"/>
    <s v="NA"/>
    <s v="NA"/>
    <x v="0"/>
    <s v="NA"/>
    <s v="NA"/>
    <s v="NA"/>
    <s v="NA"/>
    <x v="0"/>
  </r>
  <r>
    <s v="A2U0XDH72EN978"/>
    <x v="0"/>
    <n v="32"/>
    <s v="female"/>
    <x v="0"/>
    <x v="0"/>
    <n v="28873"/>
    <s v="NA"/>
    <s v="NA"/>
    <s v="NA"/>
    <s v="NA"/>
    <s v="NA"/>
    <s v="NA"/>
    <s v="NA"/>
    <s v="NA"/>
    <s v="NA"/>
    <s v="NA"/>
    <s v="NA"/>
    <x v="0"/>
    <x v="0"/>
    <s v="NA"/>
    <s v="NA"/>
    <s v="NA"/>
    <s v="NA"/>
    <s v="NA"/>
    <s v="NA"/>
    <x v="0"/>
    <s v="NA"/>
    <s v="NA"/>
    <s v="NA"/>
    <s v="NA"/>
    <x v="0"/>
  </r>
  <r>
    <s v="A2U0XDH72EN978"/>
    <x v="0"/>
    <n v="32"/>
    <s v="female"/>
    <x v="1"/>
    <x v="1"/>
    <n v="41879"/>
    <n v="0"/>
    <n v="0"/>
    <n v="0"/>
    <n v="1"/>
    <s v="NA"/>
    <s v="NA"/>
    <s v="NA"/>
    <s v="NA"/>
    <s v="NA"/>
    <s v="NA"/>
    <s v="NA"/>
    <x v="0"/>
    <x v="0"/>
    <s v="NA"/>
    <s v="NA"/>
    <s v="NA"/>
    <s v="NA"/>
    <s v="NA"/>
    <s v="NA"/>
    <x v="0"/>
    <s v="NA"/>
    <s v="NA"/>
    <s v="NA"/>
    <s v="NA"/>
    <x v="0"/>
  </r>
  <r>
    <s v="A2U0XDH72EN978"/>
    <x v="0"/>
    <n v="32"/>
    <s v="female"/>
    <x v="1"/>
    <x v="2"/>
    <n v="39621"/>
    <n v="0"/>
    <n v="0"/>
    <n v="1"/>
    <n v="0"/>
    <s v="NA"/>
    <s v="NA"/>
    <s v="NA"/>
    <s v="NA"/>
    <s v="NA"/>
    <s v="NA"/>
    <s v="NA"/>
    <x v="0"/>
    <x v="0"/>
    <s v="NA"/>
    <s v="NA"/>
    <s v="NA"/>
    <s v="NA"/>
    <s v="NA"/>
    <s v="NA"/>
    <x v="0"/>
    <s v="NA"/>
    <s v="NA"/>
    <s v="NA"/>
    <s v="NA"/>
    <x v="0"/>
  </r>
  <r>
    <s v="A2U0XDH72EN978"/>
    <x v="0"/>
    <n v="32"/>
    <s v="female"/>
    <x v="2"/>
    <x v="3"/>
    <n v="40749"/>
    <n v="1"/>
    <n v="0"/>
    <n v="0"/>
    <n v="0"/>
    <s v="Cafe A."/>
    <s v="Cafe F."/>
    <s v="Cafe E."/>
    <s v="mo-h"/>
    <s v="fa"/>
    <s v="mo-l"/>
    <n v="0"/>
    <x v="2"/>
    <x v="1"/>
    <n v="0"/>
    <n v="0"/>
    <n v="0"/>
    <n v="1"/>
    <n v="0"/>
    <n v="1"/>
    <x v="2"/>
    <n v="0"/>
    <n v="0"/>
    <n v="0"/>
    <n v="0"/>
    <x v="0"/>
  </r>
  <r>
    <s v="A2U0XDH72EN978"/>
    <x v="0"/>
    <n v="32"/>
    <s v="female"/>
    <x v="3"/>
    <x v="10"/>
    <n v="44535"/>
    <n v="0"/>
    <n v="0"/>
    <n v="1"/>
    <n v="0"/>
    <s v="NA"/>
    <s v="NA"/>
    <s v="NA"/>
    <s v="NA"/>
    <s v="NA"/>
    <s v="NA"/>
    <s v="NA"/>
    <x v="2"/>
    <x v="1"/>
    <n v="0"/>
    <n v="0"/>
    <n v="0"/>
    <n v="1"/>
    <n v="0"/>
    <n v="1"/>
    <x v="2"/>
    <n v="0"/>
    <n v="0"/>
    <n v="0"/>
    <n v="0"/>
    <x v="0"/>
  </r>
  <r>
    <s v="A2U0XDH72EN978"/>
    <x v="0"/>
    <n v="32"/>
    <s v="female"/>
    <x v="2"/>
    <x v="6"/>
    <n v="32854"/>
    <n v="1"/>
    <n v="0"/>
    <n v="1"/>
    <n v="0"/>
    <s v="Bookstore A."/>
    <s v="Bookstores D and E."/>
    <s v="Bookstores A and B."/>
    <s v="mo-h"/>
    <s v="ms-l"/>
    <s v="ms-h"/>
    <n v="0"/>
    <x v="2"/>
    <x v="2"/>
    <n v="1"/>
    <n v="1"/>
    <n v="0"/>
    <n v="1"/>
    <n v="0"/>
    <n v="1"/>
    <x v="2"/>
    <n v="1"/>
    <n v="0"/>
    <n v="0"/>
    <n v="0"/>
    <x v="0"/>
  </r>
  <r>
    <s v="A2U0XDH72EN978"/>
    <x v="0"/>
    <n v="32"/>
    <s v="female"/>
    <x v="2"/>
    <x v="11"/>
    <n v="24885"/>
    <n v="0"/>
    <n v="0"/>
    <n v="0"/>
    <n v="1"/>
    <s v="Dentists D and E."/>
    <s v="Dentist E."/>
    <s v="Dentist F."/>
    <s v="ms-l"/>
    <s v="mo-l"/>
    <s v="fa"/>
    <n v="0"/>
    <x v="1"/>
    <x v="1"/>
    <n v="0"/>
    <n v="1"/>
    <n v="0"/>
    <n v="1"/>
    <n v="0"/>
    <n v="0"/>
    <x v="2"/>
    <n v="0"/>
    <n v="0"/>
    <n v="0"/>
    <n v="1"/>
    <x v="0"/>
  </r>
  <r>
    <s v="A2U0XDH72EN978"/>
    <x v="0"/>
    <n v="32"/>
    <s v="female"/>
    <x v="3"/>
    <x v="12"/>
    <n v="22406"/>
    <n v="1"/>
    <n v="0"/>
    <n v="0"/>
    <n v="0"/>
    <s v="NA"/>
    <s v="NA"/>
    <s v="NA"/>
    <s v="NA"/>
    <s v="NA"/>
    <s v="NA"/>
    <s v="NA"/>
    <x v="1"/>
    <x v="1"/>
    <n v="0"/>
    <n v="1"/>
    <n v="0"/>
    <n v="1"/>
    <n v="0"/>
    <n v="0"/>
    <x v="2"/>
    <n v="0"/>
    <n v="0"/>
    <n v="0"/>
    <n v="1"/>
    <x v="0"/>
  </r>
  <r>
    <s v="A2U0XDH72EN978"/>
    <x v="0"/>
    <n v="32"/>
    <s v="female"/>
    <x v="2"/>
    <x v="4"/>
    <n v="24158"/>
    <n v="1"/>
    <n v="0"/>
    <n v="0"/>
    <n v="0"/>
    <s v="Stalls A and B."/>
    <s v="Stall E."/>
    <s v="Stalls D and E."/>
    <s v="ms-h"/>
    <s v="mo-l"/>
    <s v="ms-l"/>
    <n v="0"/>
    <x v="1"/>
    <x v="1"/>
    <n v="1"/>
    <n v="1"/>
    <n v="0"/>
    <n v="1"/>
    <n v="0"/>
    <n v="0"/>
    <x v="2"/>
    <n v="1"/>
    <n v="0"/>
    <n v="0"/>
    <n v="0"/>
    <x v="0"/>
  </r>
  <r>
    <s v="A2U0XDH72EN978"/>
    <x v="0"/>
    <n v="32"/>
    <s v="female"/>
    <x v="3"/>
    <x v="8"/>
    <n v="44583"/>
    <n v="1"/>
    <n v="1"/>
    <n v="0"/>
    <n v="0"/>
    <s v="NA"/>
    <s v="NA"/>
    <s v="NA"/>
    <s v="NA"/>
    <s v="NA"/>
    <s v="NA"/>
    <s v="NA"/>
    <x v="1"/>
    <x v="1"/>
    <n v="1"/>
    <n v="1"/>
    <n v="0"/>
    <n v="1"/>
    <n v="0"/>
    <n v="0"/>
    <x v="2"/>
    <n v="1"/>
    <n v="0"/>
    <n v="0"/>
    <n v="0"/>
    <x v="0"/>
  </r>
  <r>
    <s v="A2U0XDH72EN978"/>
    <x v="0"/>
    <n v="32"/>
    <s v="female"/>
    <x v="2"/>
    <x v="7"/>
    <n v="22526"/>
    <n v="1"/>
    <n v="0"/>
    <n v="0"/>
    <n v="0"/>
    <s v="Stylists A and B."/>
    <s v="Stylists D and E."/>
    <s v="Stylist F."/>
    <s v="ms-h"/>
    <s v="ms-l"/>
    <s v="fa"/>
    <n v="0"/>
    <x v="1"/>
    <x v="2"/>
    <n v="1"/>
    <n v="1"/>
    <n v="0"/>
    <n v="1"/>
    <n v="0"/>
    <n v="0"/>
    <x v="2"/>
    <n v="1"/>
    <n v="0"/>
    <n v="0"/>
    <n v="0"/>
    <x v="0"/>
  </r>
  <r>
    <s v="A2U0XDH72EN978"/>
    <x v="0"/>
    <n v="32"/>
    <s v="female"/>
    <x v="2"/>
    <x v="9"/>
    <n v="15270"/>
    <n v="1"/>
    <n v="1"/>
    <n v="0"/>
    <n v="0"/>
    <s v="Store A."/>
    <s v="Stores A and B."/>
    <s v="Store E."/>
    <s v="mo-h"/>
    <s v="ms-h"/>
    <s v="mo-l"/>
    <n v="0"/>
    <x v="2"/>
    <x v="1"/>
    <n v="1"/>
    <n v="0"/>
    <n v="0"/>
    <n v="1"/>
    <n v="0"/>
    <n v="1"/>
    <x v="2"/>
    <n v="1"/>
    <n v="0"/>
    <n v="0"/>
    <n v="0"/>
    <x v="0"/>
  </r>
  <r>
    <s v="A2U0XDH72EN978"/>
    <x v="0"/>
    <n v="32"/>
    <s v="female"/>
    <x v="3"/>
    <x v="5"/>
    <n v="28798"/>
    <n v="0"/>
    <n v="1"/>
    <n v="1"/>
    <n v="0"/>
    <s v="NA"/>
    <s v="NA"/>
    <s v="NA"/>
    <s v="NA"/>
    <s v="NA"/>
    <s v="NA"/>
    <s v="NA"/>
    <x v="2"/>
    <x v="1"/>
    <n v="1"/>
    <n v="0"/>
    <n v="0"/>
    <n v="1"/>
    <n v="0"/>
    <n v="1"/>
    <x v="2"/>
    <n v="1"/>
    <n v="0"/>
    <n v="0"/>
    <n v="0"/>
    <x v="0"/>
  </r>
  <r>
    <s v="A2U0XDH72EN978"/>
    <x v="0"/>
    <n v="32"/>
    <s v="female"/>
    <x v="4"/>
    <x v="0"/>
    <n v="94038"/>
    <s v="yes%2C the second question is better worded to get the best results. I feel like the first questions will result in a lot of restaurant showings while the second question will result in restaurants that serve brunch. "/>
    <s v="no%2C I thought it was fun!"/>
    <s v="thank you"/>
    <s v="NA"/>
    <s v="NA"/>
    <s v="NA"/>
    <s v="NA"/>
    <s v="NA"/>
    <s v="NA"/>
    <s v="NA"/>
    <s v="NA"/>
    <x v="0"/>
    <x v="0"/>
    <s v="NA"/>
    <s v="NA"/>
    <s v="NA"/>
    <s v="NA"/>
    <s v="NA"/>
    <s v="NA"/>
    <x v="0"/>
    <s v="NA"/>
    <s v="NA"/>
    <s v="NA"/>
    <s v="NA"/>
    <x v="0"/>
  </r>
  <r>
    <s v="A1Y82LKWQQP90M"/>
    <x v="0"/>
    <n v="31"/>
    <s v="female"/>
    <x v="0"/>
    <x v="0"/>
    <n v="149070"/>
    <s v="NA"/>
    <s v="NA"/>
    <s v="NA"/>
    <s v="NA"/>
    <s v="NA"/>
    <s v="NA"/>
    <s v="NA"/>
    <s v="NA"/>
    <s v="NA"/>
    <s v="NA"/>
    <s v="NA"/>
    <x v="0"/>
    <x v="0"/>
    <s v="NA"/>
    <s v="NA"/>
    <s v="NA"/>
    <s v="NA"/>
    <s v="NA"/>
    <s v="NA"/>
    <x v="0"/>
    <s v="NA"/>
    <s v="NA"/>
    <s v="NA"/>
    <s v="NA"/>
    <x v="0"/>
  </r>
  <r>
    <s v="A1Y82LKWQQP90M"/>
    <x v="0"/>
    <n v="31"/>
    <s v="female"/>
    <x v="1"/>
    <x v="2"/>
    <n v="81400"/>
    <n v="0"/>
    <n v="0"/>
    <n v="1"/>
    <n v="0"/>
    <s v="NA"/>
    <s v="NA"/>
    <s v="NA"/>
    <s v="NA"/>
    <s v="NA"/>
    <s v="NA"/>
    <s v="NA"/>
    <x v="0"/>
    <x v="0"/>
    <s v="NA"/>
    <s v="NA"/>
    <s v="NA"/>
    <s v="NA"/>
    <s v="NA"/>
    <s v="NA"/>
    <x v="0"/>
    <s v="NA"/>
    <s v="NA"/>
    <s v="NA"/>
    <s v="NA"/>
    <x v="0"/>
  </r>
  <r>
    <s v="A1Y82LKWQQP90M"/>
    <x v="0"/>
    <n v="31"/>
    <s v="female"/>
    <x v="1"/>
    <x v="1"/>
    <n v="49452"/>
    <n v="0"/>
    <n v="0"/>
    <n v="0"/>
    <n v="1"/>
    <s v="NA"/>
    <s v="NA"/>
    <s v="NA"/>
    <s v="NA"/>
    <s v="NA"/>
    <s v="NA"/>
    <s v="NA"/>
    <x v="0"/>
    <x v="0"/>
    <s v="NA"/>
    <s v="NA"/>
    <s v="NA"/>
    <s v="NA"/>
    <s v="NA"/>
    <s v="NA"/>
    <x v="0"/>
    <s v="NA"/>
    <s v="NA"/>
    <s v="NA"/>
    <s v="NA"/>
    <x v="0"/>
  </r>
  <r>
    <s v="A1Y82LKWQQP90M"/>
    <x v="0"/>
    <n v="31"/>
    <s v="female"/>
    <x v="2"/>
    <x v="9"/>
    <n v="59849"/>
    <n v="0"/>
    <n v="0"/>
    <n v="0"/>
    <n v="1"/>
    <s v="Stores A, B, C, D and E."/>
    <s v="Stores D and E."/>
    <s v="Stores A and B."/>
    <s v="exh"/>
    <s v="ms-l"/>
    <s v="ms-h"/>
    <n v="1"/>
    <x v="1"/>
    <x v="2"/>
    <n v="1"/>
    <n v="1"/>
    <n v="0"/>
    <n v="1"/>
    <n v="0"/>
    <n v="0"/>
    <x v="2"/>
    <n v="0"/>
    <n v="0"/>
    <n v="0"/>
    <n v="1"/>
    <x v="0"/>
  </r>
  <r>
    <s v="A1Y82LKWQQP90M"/>
    <x v="0"/>
    <n v="31"/>
    <s v="female"/>
    <x v="2"/>
    <x v="11"/>
    <n v="120249"/>
    <n v="1"/>
    <n v="1"/>
    <n v="1"/>
    <n v="0"/>
    <s v="Dentist A."/>
    <s v="Dentists D and E."/>
    <s v="Dentist E."/>
    <s v="mo-h"/>
    <s v="ms-l"/>
    <s v="mo-l"/>
    <n v="0"/>
    <x v="2"/>
    <x v="1"/>
    <n v="0"/>
    <n v="1"/>
    <n v="0"/>
    <n v="1"/>
    <n v="0"/>
    <n v="1"/>
    <x v="1"/>
    <n v="0"/>
    <n v="1"/>
    <n v="0"/>
    <n v="0"/>
    <x v="0"/>
  </r>
  <r>
    <s v="A1Y82LKWQQP90M"/>
    <x v="0"/>
    <n v="31"/>
    <s v="female"/>
    <x v="3"/>
    <x v="12"/>
    <n v="30194"/>
    <n v="1"/>
    <n v="0"/>
    <n v="0"/>
    <n v="0"/>
    <s v="NA"/>
    <s v="NA"/>
    <s v="NA"/>
    <s v="NA"/>
    <s v="NA"/>
    <s v="NA"/>
    <s v="NA"/>
    <x v="2"/>
    <x v="1"/>
    <n v="0"/>
    <n v="1"/>
    <n v="0"/>
    <n v="1"/>
    <n v="0"/>
    <n v="1"/>
    <x v="1"/>
    <n v="0"/>
    <n v="1"/>
    <n v="0"/>
    <n v="0"/>
    <x v="0"/>
  </r>
  <r>
    <s v="A1Y82LKWQQP90M"/>
    <x v="0"/>
    <n v="31"/>
    <s v="female"/>
    <x v="2"/>
    <x v="7"/>
    <n v="45470"/>
    <n v="1"/>
    <n v="1"/>
    <n v="1"/>
    <n v="0"/>
    <s v="Stylists D and E."/>
    <s v="Stylist A."/>
    <s v="Stylists A, B, C, D and E."/>
    <s v="ms-l"/>
    <s v="mo-h"/>
    <s v="exh"/>
    <n v="1"/>
    <x v="2"/>
    <x v="2"/>
    <n v="0"/>
    <n v="1"/>
    <n v="0"/>
    <n v="1"/>
    <n v="1"/>
    <n v="1"/>
    <x v="2"/>
    <n v="0"/>
    <n v="1"/>
    <n v="0"/>
    <n v="0"/>
    <x v="0"/>
  </r>
  <r>
    <s v="A1Y82LKWQQP90M"/>
    <x v="0"/>
    <n v="31"/>
    <s v="female"/>
    <x v="2"/>
    <x v="4"/>
    <n v="62097"/>
    <n v="0"/>
    <n v="0"/>
    <n v="0"/>
    <n v="1"/>
    <s v="Stalls A, B, C, D and E."/>
    <s v="Stalls A and B."/>
    <s v="Stall F."/>
    <s v="exh"/>
    <s v="ms-h"/>
    <s v="fa"/>
    <n v="1"/>
    <x v="1"/>
    <x v="2"/>
    <n v="1"/>
    <n v="0"/>
    <n v="0"/>
    <n v="1"/>
    <n v="0"/>
    <n v="0"/>
    <x v="2"/>
    <n v="0"/>
    <n v="0"/>
    <n v="0"/>
    <n v="1"/>
    <x v="0"/>
  </r>
  <r>
    <s v="A1Y82LKWQQP90M"/>
    <x v="0"/>
    <n v="31"/>
    <s v="female"/>
    <x v="3"/>
    <x v="10"/>
    <n v="66416"/>
    <n v="0"/>
    <n v="0"/>
    <n v="1"/>
    <n v="0"/>
    <s v="NA"/>
    <s v="NA"/>
    <s v="NA"/>
    <s v="NA"/>
    <s v="NA"/>
    <s v="NA"/>
    <s v="NA"/>
    <x v="1"/>
    <x v="2"/>
    <n v="1"/>
    <n v="0"/>
    <n v="0"/>
    <n v="1"/>
    <n v="0"/>
    <n v="0"/>
    <x v="2"/>
    <n v="0"/>
    <n v="0"/>
    <n v="0"/>
    <n v="1"/>
    <x v="0"/>
  </r>
  <r>
    <s v="A1Y82LKWQQP90M"/>
    <x v="0"/>
    <n v="31"/>
    <s v="female"/>
    <x v="2"/>
    <x v="3"/>
    <n v="38508"/>
    <n v="1"/>
    <n v="1"/>
    <n v="1"/>
    <n v="0"/>
    <s v="Cafe A."/>
    <s v="Cafes A, B, C, D and E."/>
    <s v="Cafe E."/>
    <s v="mo-h"/>
    <s v="exh"/>
    <s v="mo-l"/>
    <n v="1"/>
    <x v="2"/>
    <x v="1"/>
    <n v="0"/>
    <n v="0"/>
    <n v="0"/>
    <n v="1"/>
    <n v="1"/>
    <n v="1"/>
    <x v="1"/>
    <n v="0"/>
    <n v="0"/>
    <n v="0"/>
    <n v="0"/>
    <x v="0"/>
  </r>
  <r>
    <s v="A1Y82LKWQQP90M"/>
    <x v="0"/>
    <n v="31"/>
    <s v="female"/>
    <x v="3"/>
    <x v="5"/>
    <n v="84000"/>
    <n v="0"/>
    <n v="1"/>
    <n v="0"/>
    <n v="1"/>
    <s v="NA"/>
    <s v="NA"/>
    <s v="NA"/>
    <s v="NA"/>
    <s v="NA"/>
    <s v="NA"/>
    <s v="NA"/>
    <x v="2"/>
    <x v="1"/>
    <n v="0"/>
    <n v="0"/>
    <n v="0"/>
    <n v="1"/>
    <n v="1"/>
    <n v="1"/>
    <x v="1"/>
    <n v="0"/>
    <n v="0"/>
    <n v="0"/>
    <n v="0"/>
    <x v="0"/>
  </r>
  <r>
    <s v="A1Y82LKWQQP90M"/>
    <x v="0"/>
    <n v="31"/>
    <s v="female"/>
    <x v="2"/>
    <x v="6"/>
    <n v="16421"/>
    <n v="0"/>
    <n v="0"/>
    <n v="0"/>
    <n v="1"/>
    <s v="Bookstore E."/>
    <s v="Bookstores D and E."/>
    <s v="Bookstores A and B."/>
    <s v="mo-l"/>
    <s v="ms-l"/>
    <s v="ms-h"/>
    <n v="0"/>
    <x v="1"/>
    <x v="1"/>
    <n v="1"/>
    <n v="1"/>
    <n v="0"/>
    <n v="1"/>
    <n v="0"/>
    <n v="0"/>
    <x v="2"/>
    <n v="0"/>
    <n v="0"/>
    <n v="0"/>
    <n v="1"/>
    <x v="0"/>
  </r>
  <r>
    <s v="A1Y82LKWQQP90M"/>
    <x v="0"/>
    <n v="31"/>
    <s v="female"/>
    <x v="3"/>
    <x v="8"/>
    <n v="30489"/>
    <n v="0"/>
    <n v="0"/>
    <n v="0"/>
    <n v="1"/>
    <s v="NA"/>
    <s v="NA"/>
    <s v="NA"/>
    <s v="NA"/>
    <s v="NA"/>
    <s v="NA"/>
    <s v="NA"/>
    <x v="1"/>
    <x v="1"/>
    <n v="1"/>
    <n v="1"/>
    <n v="0"/>
    <n v="1"/>
    <n v="0"/>
    <n v="0"/>
    <x v="2"/>
    <n v="0"/>
    <n v="0"/>
    <n v="0"/>
    <n v="1"/>
    <x v="0"/>
  </r>
  <r>
    <s v="A1Y82LKWQQP90M"/>
    <x v="0"/>
    <n v="31"/>
    <s v="female"/>
    <x v="4"/>
    <x v="0"/>
    <n v="76911"/>
    <s v="NO. It's basically the same question and will render the same results."/>
    <s v="No just tedious."/>
    <s v="No"/>
    <s v="NA"/>
    <s v="NA"/>
    <s v="NA"/>
    <s v="NA"/>
    <s v="NA"/>
    <s v="NA"/>
    <s v="NA"/>
    <s v="NA"/>
    <x v="0"/>
    <x v="0"/>
    <s v="NA"/>
    <s v="NA"/>
    <s v="NA"/>
    <s v="NA"/>
    <s v="NA"/>
    <s v="NA"/>
    <x v="0"/>
    <s v="NA"/>
    <s v="NA"/>
    <s v="NA"/>
    <s v="NA"/>
    <x v="0"/>
  </r>
  <r>
    <s v="A2N2GFB33ZMYGF"/>
    <x v="0"/>
    <n v="36"/>
    <s v="male"/>
    <x v="0"/>
    <x v="0"/>
    <n v="45092"/>
    <s v="NA"/>
    <s v="NA"/>
    <s v="NA"/>
    <s v="NA"/>
    <s v="NA"/>
    <s v="NA"/>
    <s v="NA"/>
    <s v="NA"/>
    <s v="NA"/>
    <s v="NA"/>
    <s v="NA"/>
    <x v="0"/>
    <x v="0"/>
    <s v="NA"/>
    <s v="NA"/>
    <s v="NA"/>
    <s v="NA"/>
    <s v="NA"/>
    <s v="NA"/>
    <x v="0"/>
    <s v="NA"/>
    <s v="NA"/>
    <s v="NA"/>
    <s v="NA"/>
    <x v="0"/>
  </r>
  <r>
    <s v="A2N2GFB33ZMYGF"/>
    <x v="0"/>
    <n v="36"/>
    <s v="male"/>
    <x v="1"/>
    <x v="2"/>
    <n v="91846"/>
    <n v="0"/>
    <n v="0"/>
    <n v="1"/>
    <n v="0"/>
    <s v="NA"/>
    <s v="NA"/>
    <s v="NA"/>
    <s v="NA"/>
    <s v="NA"/>
    <s v="NA"/>
    <s v="NA"/>
    <x v="0"/>
    <x v="0"/>
    <s v="NA"/>
    <s v="NA"/>
    <s v="NA"/>
    <s v="NA"/>
    <s v="NA"/>
    <s v="NA"/>
    <x v="0"/>
    <s v="NA"/>
    <s v="NA"/>
    <s v="NA"/>
    <s v="NA"/>
    <x v="0"/>
  </r>
  <r>
    <s v="A2N2GFB33ZMYGF"/>
    <x v="0"/>
    <n v="36"/>
    <s v="male"/>
    <x v="1"/>
    <x v="1"/>
    <n v="54205"/>
    <n v="0"/>
    <n v="0"/>
    <n v="0"/>
    <n v="1"/>
    <s v="NA"/>
    <s v="NA"/>
    <s v="NA"/>
    <s v="NA"/>
    <s v="NA"/>
    <s v="NA"/>
    <s v="NA"/>
    <x v="0"/>
    <x v="0"/>
    <s v="NA"/>
    <s v="NA"/>
    <s v="NA"/>
    <s v="NA"/>
    <s v="NA"/>
    <s v="NA"/>
    <x v="0"/>
    <s v="NA"/>
    <s v="NA"/>
    <s v="NA"/>
    <s v="NA"/>
    <x v="0"/>
  </r>
  <r>
    <s v="A2N2GFB33ZMYGF"/>
    <x v="0"/>
    <n v="36"/>
    <s v="male"/>
    <x v="2"/>
    <x v="9"/>
    <n v="106758"/>
    <n v="1"/>
    <n v="1"/>
    <n v="1"/>
    <n v="0"/>
    <s v="Stores D and E."/>
    <s v="Store A."/>
    <s v="Store E."/>
    <s v="ms-l"/>
    <s v="mo-h"/>
    <s v="mo-l"/>
    <n v="0"/>
    <x v="2"/>
    <x v="1"/>
    <n v="0"/>
    <n v="1"/>
    <n v="0"/>
    <n v="1"/>
    <n v="0"/>
    <n v="1"/>
    <x v="1"/>
    <n v="0"/>
    <n v="1"/>
    <n v="0"/>
    <n v="0"/>
    <x v="0"/>
  </r>
  <r>
    <s v="A2N2GFB33ZMYGF"/>
    <x v="0"/>
    <n v="36"/>
    <s v="male"/>
    <x v="2"/>
    <x v="6"/>
    <n v="53454"/>
    <n v="1"/>
    <n v="1"/>
    <n v="0"/>
    <n v="0"/>
    <s v="Bookstores A and B."/>
    <s v="Bookstore A."/>
    <s v="Bookstore F."/>
    <s v="ms-h"/>
    <s v="mo-h"/>
    <s v="fa"/>
    <n v="0"/>
    <x v="2"/>
    <x v="2"/>
    <n v="1"/>
    <n v="0"/>
    <n v="0"/>
    <n v="1"/>
    <n v="0"/>
    <n v="1"/>
    <x v="2"/>
    <n v="1"/>
    <n v="0"/>
    <n v="0"/>
    <n v="0"/>
    <x v="0"/>
  </r>
  <r>
    <s v="A2N2GFB33ZMYGF"/>
    <x v="0"/>
    <n v="36"/>
    <s v="male"/>
    <x v="3"/>
    <x v="10"/>
    <n v="65351"/>
    <n v="0"/>
    <n v="0"/>
    <n v="0"/>
    <n v="1"/>
    <s v="NA"/>
    <s v="NA"/>
    <s v="NA"/>
    <s v="NA"/>
    <s v="NA"/>
    <s v="NA"/>
    <s v="NA"/>
    <x v="2"/>
    <x v="2"/>
    <n v="1"/>
    <n v="0"/>
    <n v="0"/>
    <n v="1"/>
    <n v="0"/>
    <n v="1"/>
    <x v="2"/>
    <n v="1"/>
    <n v="0"/>
    <n v="0"/>
    <n v="0"/>
    <x v="0"/>
  </r>
  <r>
    <s v="A2N2GFB33ZMYGF"/>
    <x v="0"/>
    <n v="36"/>
    <s v="male"/>
    <x v="2"/>
    <x v="3"/>
    <n v="30334"/>
    <n v="0"/>
    <n v="1"/>
    <n v="0"/>
    <n v="0"/>
    <s v="Cafes A, B, C, D and E."/>
    <s v="Cafe A."/>
    <s v="Cafe E."/>
    <s v="exh"/>
    <s v="mo-h"/>
    <s v="mo-l"/>
    <n v="1"/>
    <x v="2"/>
    <x v="1"/>
    <n v="0"/>
    <n v="0"/>
    <n v="0"/>
    <n v="1"/>
    <n v="0"/>
    <n v="1"/>
    <x v="2"/>
    <n v="0"/>
    <n v="0"/>
    <n v="0"/>
    <n v="0"/>
    <x v="0"/>
  </r>
  <r>
    <s v="A2N2GFB33ZMYGF"/>
    <x v="0"/>
    <n v="36"/>
    <s v="male"/>
    <x v="3"/>
    <x v="12"/>
    <n v="40584"/>
    <n v="1"/>
    <n v="0"/>
    <n v="0"/>
    <n v="0"/>
    <s v="NA"/>
    <s v="NA"/>
    <s v="NA"/>
    <s v="NA"/>
    <s v="NA"/>
    <s v="NA"/>
    <s v="NA"/>
    <x v="2"/>
    <x v="1"/>
    <n v="0"/>
    <n v="0"/>
    <n v="0"/>
    <n v="1"/>
    <n v="0"/>
    <n v="1"/>
    <x v="2"/>
    <n v="0"/>
    <n v="0"/>
    <n v="0"/>
    <n v="0"/>
    <x v="0"/>
  </r>
  <r>
    <s v="A2N2GFB33ZMYGF"/>
    <x v="0"/>
    <n v="36"/>
    <s v="male"/>
    <x v="2"/>
    <x v="7"/>
    <n v="31463"/>
    <n v="0"/>
    <n v="1"/>
    <n v="0"/>
    <n v="0"/>
    <s v="Stylists D and E."/>
    <s v="Stylist A."/>
    <s v="Stylists A and B."/>
    <s v="ms-l"/>
    <s v="mo-h"/>
    <s v="ms-h"/>
    <n v="0"/>
    <x v="2"/>
    <x v="2"/>
    <n v="1"/>
    <n v="1"/>
    <n v="0"/>
    <n v="1"/>
    <n v="0"/>
    <n v="1"/>
    <x v="2"/>
    <n v="0"/>
    <n v="0"/>
    <n v="0"/>
    <n v="0"/>
    <x v="0"/>
  </r>
  <r>
    <s v="A2N2GFB33ZMYGF"/>
    <x v="0"/>
    <n v="36"/>
    <s v="male"/>
    <x v="2"/>
    <x v="11"/>
    <n v="39590"/>
    <n v="0"/>
    <n v="0"/>
    <n v="0"/>
    <n v="1"/>
    <s v="Dentists D and E."/>
    <s v="Dentists A and B."/>
    <s v="Dentist A."/>
    <s v="ms-l"/>
    <s v="ms-h"/>
    <s v="mo-h"/>
    <n v="0"/>
    <x v="2"/>
    <x v="2"/>
    <n v="1"/>
    <n v="1"/>
    <n v="0"/>
    <n v="1"/>
    <n v="0"/>
    <n v="0"/>
    <x v="2"/>
    <n v="0"/>
    <n v="0"/>
    <n v="0"/>
    <n v="1"/>
    <x v="0"/>
  </r>
  <r>
    <s v="A2N2GFB33ZMYGF"/>
    <x v="0"/>
    <n v="36"/>
    <s v="male"/>
    <x v="3"/>
    <x v="5"/>
    <n v="56072"/>
    <n v="0"/>
    <n v="1"/>
    <n v="0"/>
    <n v="0"/>
    <s v="NA"/>
    <s v="NA"/>
    <s v="NA"/>
    <s v="NA"/>
    <s v="NA"/>
    <s v="NA"/>
    <s v="NA"/>
    <x v="2"/>
    <x v="2"/>
    <n v="1"/>
    <n v="1"/>
    <n v="0"/>
    <n v="1"/>
    <n v="0"/>
    <n v="0"/>
    <x v="2"/>
    <n v="0"/>
    <n v="0"/>
    <n v="0"/>
    <n v="1"/>
    <x v="0"/>
  </r>
  <r>
    <s v="A2N2GFB33ZMYGF"/>
    <x v="0"/>
    <n v="36"/>
    <s v="male"/>
    <x v="2"/>
    <x v="4"/>
    <n v="35935"/>
    <n v="0"/>
    <n v="1"/>
    <n v="0"/>
    <n v="0"/>
    <s v="Stall F."/>
    <s v="Stall A."/>
    <s v="Stalls A and B."/>
    <s v="fa"/>
    <s v="mo-h"/>
    <s v="ms-h"/>
    <n v="0"/>
    <x v="2"/>
    <x v="2"/>
    <n v="1"/>
    <n v="0"/>
    <n v="0"/>
    <n v="1"/>
    <n v="0"/>
    <n v="1"/>
    <x v="2"/>
    <n v="0"/>
    <n v="0"/>
    <n v="0"/>
    <n v="0"/>
    <x v="0"/>
  </r>
  <r>
    <s v="A2N2GFB33ZMYGF"/>
    <x v="0"/>
    <n v="36"/>
    <s v="male"/>
    <x v="3"/>
    <x v="8"/>
    <n v="39727"/>
    <n v="0"/>
    <n v="0"/>
    <n v="1"/>
    <n v="0"/>
    <s v="NA"/>
    <s v="NA"/>
    <s v="NA"/>
    <s v="NA"/>
    <s v="NA"/>
    <s v="NA"/>
    <s v="NA"/>
    <x v="2"/>
    <x v="2"/>
    <n v="1"/>
    <n v="0"/>
    <n v="0"/>
    <n v="1"/>
    <n v="0"/>
    <n v="1"/>
    <x v="2"/>
    <n v="0"/>
    <n v="0"/>
    <n v="0"/>
    <n v="0"/>
    <x v="0"/>
  </r>
  <r>
    <s v="A2N2GFB33ZMYGF"/>
    <x v="0"/>
    <n v="36"/>
    <s v="male"/>
    <x v="4"/>
    <x v="0"/>
    <n v="82887"/>
    <s v="Yes%2C the first on I would give a list. The second one I would give my recommendation."/>
    <s v="Yes%2C Some of the questions were tricky."/>
    <s v="None."/>
    <s v="NA"/>
    <s v="NA"/>
    <s v="NA"/>
    <s v="NA"/>
    <s v="NA"/>
    <s v="NA"/>
    <s v="NA"/>
    <s v="NA"/>
    <x v="0"/>
    <x v="0"/>
    <s v="NA"/>
    <s v="NA"/>
    <s v="NA"/>
    <s v="NA"/>
    <s v="NA"/>
    <s v="NA"/>
    <x v="0"/>
    <s v="NA"/>
    <s v="NA"/>
    <s v="NA"/>
    <s v="NA"/>
    <x v="0"/>
  </r>
  <r>
    <s v="A1BBZ5EMNSCZJR"/>
    <x v="0"/>
    <n v="49"/>
    <s v="male"/>
    <x v="0"/>
    <x v="0"/>
    <n v="51942"/>
    <s v="NA"/>
    <s v="NA"/>
    <s v="NA"/>
    <s v="NA"/>
    <s v="NA"/>
    <s v="NA"/>
    <s v="NA"/>
    <s v="NA"/>
    <s v="NA"/>
    <s v="NA"/>
    <s v="NA"/>
    <x v="0"/>
    <x v="0"/>
    <s v="NA"/>
    <s v="NA"/>
    <s v="NA"/>
    <s v="NA"/>
    <s v="NA"/>
    <s v="NA"/>
    <x v="0"/>
    <s v="NA"/>
    <s v="NA"/>
    <s v="NA"/>
    <s v="NA"/>
    <x v="0"/>
  </r>
  <r>
    <s v="A1BBZ5EMNSCZJR"/>
    <x v="0"/>
    <n v="49"/>
    <s v="male"/>
    <x v="1"/>
    <x v="2"/>
    <n v="21680"/>
    <n v="0"/>
    <n v="0"/>
    <n v="0"/>
    <n v="1"/>
    <s v="NA"/>
    <s v="NA"/>
    <s v="NA"/>
    <s v="NA"/>
    <s v="NA"/>
    <s v="NA"/>
    <s v="NA"/>
    <x v="0"/>
    <x v="0"/>
    <s v="NA"/>
    <s v="NA"/>
    <s v="NA"/>
    <s v="NA"/>
    <s v="NA"/>
    <s v="NA"/>
    <x v="0"/>
    <s v="NA"/>
    <s v="NA"/>
    <s v="NA"/>
    <s v="NA"/>
    <x v="0"/>
  </r>
  <r>
    <s v="A1BBZ5EMNSCZJR"/>
    <x v="0"/>
    <n v="49"/>
    <s v="male"/>
    <x v="1"/>
    <x v="1"/>
    <n v="36682"/>
    <n v="1"/>
    <n v="1"/>
    <n v="0"/>
    <n v="0"/>
    <s v="NA"/>
    <s v="NA"/>
    <s v="NA"/>
    <s v="NA"/>
    <s v="NA"/>
    <s v="NA"/>
    <s v="NA"/>
    <x v="0"/>
    <x v="0"/>
    <s v="NA"/>
    <s v="NA"/>
    <s v="NA"/>
    <s v="NA"/>
    <s v="NA"/>
    <s v="NA"/>
    <x v="0"/>
    <s v="NA"/>
    <s v="NA"/>
    <s v="NA"/>
    <s v="NA"/>
    <x v="0"/>
  </r>
  <r>
    <s v="A1BBZ5EMNSCZJR"/>
    <x v="0"/>
    <n v="49"/>
    <s v="male"/>
    <x v="2"/>
    <x v="4"/>
    <n v="32523"/>
    <n v="0"/>
    <n v="0"/>
    <n v="1"/>
    <n v="0"/>
    <s v="Stall F."/>
    <s v="Stalls A, B, C, D and E."/>
    <s v="Stall A."/>
    <s v="fa"/>
    <s v="exh"/>
    <s v="mo-h"/>
    <n v="1"/>
    <x v="2"/>
    <x v="2"/>
    <n v="0"/>
    <n v="0"/>
    <n v="0"/>
    <n v="1"/>
    <n v="0"/>
    <n v="1"/>
    <x v="2"/>
    <n v="0"/>
    <n v="0"/>
    <n v="0"/>
    <n v="0"/>
    <x v="0"/>
  </r>
  <r>
    <s v="A1BBZ5EMNSCZJR"/>
    <x v="0"/>
    <n v="49"/>
    <s v="male"/>
    <x v="2"/>
    <x v="6"/>
    <n v="23376"/>
    <n v="0"/>
    <n v="0"/>
    <n v="0"/>
    <n v="1"/>
    <s v="Bookstores A, B, C, D and E."/>
    <s v="Bookstore F."/>
    <s v="Bookstores A and B."/>
    <s v="exh"/>
    <s v="fa"/>
    <s v="ms-h"/>
    <n v="1"/>
    <x v="1"/>
    <x v="2"/>
    <n v="1"/>
    <n v="0"/>
    <n v="0"/>
    <n v="1"/>
    <n v="0"/>
    <n v="0"/>
    <x v="2"/>
    <n v="0"/>
    <n v="0"/>
    <n v="0"/>
    <n v="1"/>
    <x v="0"/>
  </r>
  <r>
    <s v="A1BBZ5EMNSCZJR"/>
    <x v="0"/>
    <n v="49"/>
    <s v="male"/>
    <x v="3"/>
    <x v="12"/>
    <n v="26178"/>
    <n v="1"/>
    <n v="0"/>
    <n v="0"/>
    <n v="0"/>
    <s v="NA"/>
    <s v="NA"/>
    <s v="NA"/>
    <s v="NA"/>
    <s v="NA"/>
    <s v="NA"/>
    <s v="NA"/>
    <x v="1"/>
    <x v="2"/>
    <n v="1"/>
    <n v="0"/>
    <n v="0"/>
    <n v="1"/>
    <n v="0"/>
    <n v="0"/>
    <x v="2"/>
    <n v="0"/>
    <n v="0"/>
    <n v="0"/>
    <n v="1"/>
    <x v="0"/>
  </r>
  <r>
    <s v="A1BBZ5EMNSCZJR"/>
    <x v="0"/>
    <n v="49"/>
    <s v="male"/>
    <x v="2"/>
    <x v="11"/>
    <n v="10768"/>
    <n v="0"/>
    <n v="1"/>
    <n v="0"/>
    <n v="0"/>
    <s v="Dentists D and E."/>
    <s v="Dentist E."/>
    <s v="Dentist F."/>
    <s v="ms-l"/>
    <s v="mo-l"/>
    <s v="fa"/>
    <n v="0"/>
    <x v="1"/>
    <x v="1"/>
    <n v="0"/>
    <n v="1"/>
    <n v="0"/>
    <n v="1"/>
    <n v="0"/>
    <n v="0"/>
    <x v="1"/>
    <n v="0"/>
    <n v="0"/>
    <n v="0"/>
    <n v="0"/>
    <x v="0"/>
  </r>
  <r>
    <s v="A1BBZ5EMNSCZJR"/>
    <x v="0"/>
    <n v="49"/>
    <s v="male"/>
    <x v="3"/>
    <x v="8"/>
    <n v="23552"/>
    <n v="0"/>
    <n v="1"/>
    <n v="0"/>
    <n v="0"/>
    <s v="NA"/>
    <s v="NA"/>
    <s v="NA"/>
    <s v="NA"/>
    <s v="NA"/>
    <s v="NA"/>
    <s v="NA"/>
    <x v="1"/>
    <x v="1"/>
    <n v="0"/>
    <n v="1"/>
    <n v="0"/>
    <n v="1"/>
    <n v="0"/>
    <n v="0"/>
    <x v="1"/>
    <n v="0"/>
    <n v="0"/>
    <n v="0"/>
    <n v="0"/>
    <x v="0"/>
  </r>
  <r>
    <s v="A1BBZ5EMNSCZJR"/>
    <x v="0"/>
    <n v="49"/>
    <s v="male"/>
    <x v="2"/>
    <x v="9"/>
    <n v="43269"/>
    <n v="0"/>
    <n v="0"/>
    <n v="1"/>
    <n v="0"/>
    <s v="Store E."/>
    <s v="Stores A, B, C, D and E."/>
    <s v="Store A."/>
    <s v="mo-l"/>
    <s v="exh"/>
    <s v="mo-h"/>
    <n v="1"/>
    <x v="2"/>
    <x v="1"/>
    <n v="0"/>
    <n v="0"/>
    <n v="0"/>
    <n v="1"/>
    <n v="0"/>
    <n v="1"/>
    <x v="2"/>
    <n v="0"/>
    <n v="0"/>
    <n v="0"/>
    <n v="0"/>
    <x v="0"/>
  </r>
  <r>
    <s v="A1BBZ5EMNSCZJR"/>
    <x v="0"/>
    <n v="49"/>
    <s v="male"/>
    <x v="2"/>
    <x v="7"/>
    <n v="86149"/>
    <n v="1"/>
    <n v="0"/>
    <n v="0"/>
    <n v="0"/>
    <s v="Stylist F."/>
    <s v="Stylist A."/>
    <s v="Stylists A, B, C, D and E."/>
    <s v="fa"/>
    <s v="mo-h"/>
    <s v="exh"/>
    <n v="1"/>
    <x v="2"/>
    <x v="2"/>
    <n v="0"/>
    <n v="0"/>
    <n v="0"/>
    <n v="1"/>
    <n v="0"/>
    <n v="0"/>
    <x v="2"/>
    <n v="0"/>
    <n v="0"/>
    <n v="0"/>
    <n v="0"/>
    <x v="0"/>
  </r>
  <r>
    <s v="A1BBZ5EMNSCZJR"/>
    <x v="0"/>
    <n v="49"/>
    <s v="male"/>
    <x v="3"/>
    <x v="10"/>
    <n v="84358"/>
    <n v="0"/>
    <n v="1"/>
    <n v="0"/>
    <n v="0"/>
    <s v="NA"/>
    <s v="NA"/>
    <s v="NA"/>
    <s v="NA"/>
    <s v="NA"/>
    <s v="NA"/>
    <s v="NA"/>
    <x v="2"/>
    <x v="2"/>
    <n v="0"/>
    <n v="0"/>
    <n v="0"/>
    <n v="1"/>
    <n v="0"/>
    <n v="0"/>
    <x v="2"/>
    <n v="0"/>
    <n v="0"/>
    <n v="0"/>
    <n v="0"/>
    <x v="0"/>
  </r>
  <r>
    <s v="A1BBZ5EMNSCZJR"/>
    <x v="0"/>
    <n v="49"/>
    <s v="male"/>
    <x v="2"/>
    <x v="3"/>
    <n v="185076"/>
    <n v="1"/>
    <n v="0"/>
    <n v="0"/>
    <n v="0"/>
    <s v="Cafes D and E."/>
    <s v="Cafes A and B."/>
    <s v="Cafe E."/>
    <s v="ms-l"/>
    <s v="ms-h"/>
    <s v="mo-l"/>
    <n v="0"/>
    <x v="1"/>
    <x v="1"/>
    <n v="1"/>
    <n v="1"/>
    <n v="0"/>
    <n v="1"/>
    <n v="0"/>
    <n v="0"/>
    <x v="2"/>
    <n v="0"/>
    <n v="1"/>
    <n v="0"/>
    <n v="0"/>
    <x v="0"/>
  </r>
  <r>
    <s v="A1BBZ5EMNSCZJR"/>
    <x v="0"/>
    <n v="49"/>
    <s v="male"/>
    <x v="3"/>
    <x v="5"/>
    <n v="33552"/>
    <n v="0"/>
    <n v="0"/>
    <n v="0"/>
    <n v="1"/>
    <s v="NA"/>
    <s v="NA"/>
    <s v="NA"/>
    <s v="NA"/>
    <s v="NA"/>
    <s v="NA"/>
    <s v="NA"/>
    <x v="1"/>
    <x v="1"/>
    <n v="1"/>
    <n v="1"/>
    <n v="0"/>
    <n v="1"/>
    <n v="0"/>
    <n v="0"/>
    <x v="2"/>
    <n v="0"/>
    <n v="1"/>
    <n v="0"/>
    <n v="0"/>
    <x v="0"/>
  </r>
  <r>
    <s v="A1BBZ5EMNSCZJR"/>
    <x v="0"/>
    <n v="49"/>
    <s v="male"/>
    <x v="4"/>
    <x v="0"/>
    <n v="125779"/>
    <s v="No%2C if I don't I wouldn't unless I know something else was better."/>
    <s v="If you don't know the area and you didn't do any research it would be hard to know this."/>
    <s v="Location facts%2C and details."/>
    <s v="NA"/>
    <s v="NA"/>
    <s v="NA"/>
    <s v="NA"/>
    <s v="NA"/>
    <s v="NA"/>
    <s v="NA"/>
    <s v="NA"/>
    <x v="0"/>
    <x v="0"/>
    <s v="NA"/>
    <s v="NA"/>
    <s v="NA"/>
    <s v="NA"/>
    <s v="NA"/>
    <s v="NA"/>
    <x v="0"/>
    <s v="NA"/>
    <s v="NA"/>
    <s v="NA"/>
    <s v="NA"/>
    <x v="0"/>
  </r>
  <r>
    <s v="a2ytqdlactliba"/>
    <x v="0"/>
    <n v="63"/>
    <s v="female"/>
    <x v="0"/>
    <x v="0"/>
    <n v="44382"/>
    <s v="NA"/>
    <s v="NA"/>
    <s v="NA"/>
    <s v="NA"/>
    <s v="NA"/>
    <s v="NA"/>
    <s v="NA"/>
    <s v="NA"/>
    <s v="NA"/>
    <s v="NA"/>
    <s v="NA"/>
    <x v="0"/>
    <x v="0"/>
    <s v="NA"/>
    <s v="NA"/>
    <s v="NA"/>
    <s v="NA"/>
    <s v="NA"/>
    <s v="NA"/>
    <x v="0"/>
    <s v="NA"/>
    <s v="NA"/>
    <s v="NA"/>
    <s v="NA"/>
    <x v="0"/>
  </r>
  <r>
    <s v="a2ytqdlactliba"/>
    <x v="0"/>
    <n v="63"/>
    <s v="female"/>
    <x v="1"/>
    <x v="2"/>
    <n v="40195"/>
    <n v="0"/>
    <n v="0"/>
    <n v="1"/>
    <n v="0"/>
    <s v="NA"/>
    <s v="NA"/>
    <s v="NA"/>
    <s v="NA"/>
    <s v="NA"/>
    <s v="NA"/>
    <s v="NA"/>
    <x v="0"/>
    <x v="0"/>
    <s v="NA"/>
    <s v="NA"/>
    <s v="NA"/>
    <s v="NA"/>
    <s v="NA"/>
    <s v="NA"/>
    <x v="0"/>
    <s v="NA"/>
    <s v="NA"/>
    <s v="NA"/>
    <s v="NA"/>
    <x v="0"/>
  </r>
  <r>
    <s v="a2ytqdlactliba"/>
    <x v="0"/>
    <n v="63"/>
    <s v="female"/>
    <x v="1"/>
    <x v="1"/>
    <n v="66547"/>
    <n v="0"/>
    <n v="0"/>
    <n v="0"/>
    <n v="1"/>
    <s v="NA"/>
    <s v="NA"/>
    <s v="NA"/>
    <s v="NA"/>
    <s v="NA"/>
    <s v="NA"/>
    <s v="NA"/>
    <x v="0"/>
    <x v="0"/>
    <s v="NA"/>
    <s v="NA"/>
    <s v="NA"/>
    <s v="NA"/>
    <s v="NA"/>
    <s v="NA"/>
    <x v="0"/>
    <s v="NA"/>
    <s v="NA"/>
    <s v="NA"/>
    <s v="NA"/>
    <x v="0"/>
  </r>
  <r>
    <s v="a2ytqdlactliba"/>
    <x v="0"/>
    <n v="63"/>
    <s v="female"/>
    <x v="2"/>
    <x v="6"/>
    <n v="60427"/>
    <n v="0"/>
    <n v="1"/>
    <n v="1"/>
    <n v="0"/>
    <s v="Bookstore E."/>
    <s v="Bookstore A."/>
    <s v="Bookstores A and B."/>
    <s v="mo-l"/>
    <s v="mo-h"/>
    <s v="ms-h"/>
    <n v="0"/>
    <x v="2"/>
    <x v="1"/>
    <n v="1"/>
    <n v="0"/>
    <n v="0"/>
    <n v="1"/>
    <n v="0"/>
    <n v="1"/>
    <x v="2"/>
    <n v="1"/>
    <n v="0"/>
    <n v="0"/>
    <n v="0"/>
    <x v="0"/>
  </r>
  <r>
    <s v="a2ytqdlactliba"/>
    <x v="0"/>
    <n v="63"/>
    <s v="female"/>
    <x v="2"/>
    <x v="7"/>
    <n v="44644"/>
    <n v="1"/>
    <n v="1"/>
    <n v="1"/>
    <n v="0"/>
    <s v="Stylists D and E."/>
    <s v="Stylist A."/>
    <s v="Stylists A and B."/>
    <s v="ms-l"/>
    <s v="mo-h"/>
    <s v="ms-h"/>
    <n v="0"/>
    <x v="2"/>
    <x v="2"/>
    <n v="1"/>
    <n v="1"/>
    <n v="0"/>
    <n v="1"/>
    <n v="0"/>
    <n v="1"/>
    <x v="2"/>
    <n v="1"/>
    <n v="1"/>
    <n v="0"/>
    <n v="0"/>
    <x v="0"/>
  </r>
  <r>
    <s v="a2ytqdlactliba"/>
    <x v="0"/>
    <n v="63"/>
    <s v="female"/>
    <x v="3"/>
    <x v="5"/>
    <n v="39558"/>
    <n v="0"/>
    <n v="1"/>
    <n v="1"/>
    <n v="0"/>
    <s v="NA"/>
    <s v="NA"/>
    <s v="NA"/>
    <s v="NA"/>
    <s v="NA"/>
    <s v="NA"/>
    <s v="NA"/>
    <x v="2"/>
    <x v="2"/>
    <n v="1"/>
    <n v="1"/>
    <n v="0"/>
    <n v="1"/>
    <n v="0"/>
    <n v="1"/>
    <x v="2"/>
    <n v="1"/>
    <n v="1"/>
    <n v="0"/>
    <n v="0"/>
    <x v="0"/>
  </r>
  <r>
    <s v="a2ytqdlactliba"/>
    <x v="0"/>
    <n v="63"/>
    <s v="female"/>
    <x v="2"/>
    <x v="3"/>
    <n v="29213"/>
    <n v="1"/>
    <n v="1"/>
    <n v="1"/>
    <n v="0"/>
    <s v="Cafe A."/>
    <s v="Cafes A and B."/>
    <s v="Cafes D and E."/>
    <s v="mo-h"/>
    <s v="ms-h"/>
    <s v="ms-l"/>
    <n v="0"/>
    <x v="2"/>
    <x v="2"/>
    <n v="1"/>
    <n v="1"/>
    <n v="0"/>
    <n v="1"/>
    <n v="0"/>
    <n v="1"/>
    <x v="2"/>
    <n v="1"/>
    <n v="1"/>
    <n v="0"/>
    <n v="0"/>
    <x v="0"/>
  </r>
  <r>
    <s v="a2ytqdlactliba"/>
    <x v="0"/>
    <n v="63"/>
    <s v="female"/>
    <x v="3"/>
    <x v="12"/>
    <n v="22210"/>
    <n v="1"/>
    <n v="0"/>
    <n v="0"/>
    <n v="0"/>
    <s v="NA"/>
    <s v="NA"/>
    <s v="NA"/>
    <s v="NA"/>
    <s v="NA"/>
    <s v="NA"/>
    <s v="NA"/>
    <x v="2"/>
    <x v="2"/>
    <n v="1"/>
    <n v="1"/>
    <n v="0"/>
    <n v="1"/>
    <n v="0"/>
    <n v="1"/>
    <x v="2"/>
    <n v="1"/>
    <n v="1"/>
    <n v="0"/>
    <n v="0"/>
    <x v="0"/>
  </r>
  <r>
    <s v="a2ytqdlactliba"/>
    <x v="0"/>
    <n v="63"/>
    <s v="female"/>
    <x v="2"/>
    <x v="11"/>
    <n v="30350"/>
    <n v="0"/>
    <n v="0"/>
    <n v="0"/>
    <n v="1"/>
    <s v="Dentists A and B."/>
    <s v="Dentist A."/>
    <s v="Dentists D and E."/>
    <s v="ms-h"/>
    <s v="mo-h"/>
    <s v="ms-l"/>
    <n v="0"/>
    <x v="2"/>
    <x v="2"/>
    <n v="1"/>
    <n v="1"/>
    <n v="0"/>
    <n v="1"/>
    <n v="0"/>
    <n v="0"/>
    <x v="2"/>
    <n v="0"/>
    <n v="0"/>
    <n v="0"/>
    <n v="1"/>
    <x v="0"/>
  </r>
  <r>
    <s v="a2ytqdlactliba"/>
    <x v="0"/>
    <n v="63"/>
    <s v="female"/>
    <x v="2"/>
    <x v="9"/>
    <n v="30037"/>
    <n v="0"/>
    <n v="0"/>
    <n v="1"/>
    <n v="0"/>
    <s v="Stores D and E."/>
    <s v="Stores A, B, C, D and E."/>
    <s v="Store A."/>
    <s v="ms-l"/>
    <s v="exh"/>
    <s v="mo-h"/>
    <n v="1"/>
    <x v="2"/>
    <x v="2"/>
    <n v="0"/>
    <n v="1"/>
    <n v="0"/>
    <n v="1"/>
    <n v="0"/>
    <n v="1"/>
    <x v="2"/>
    <n v="0"/>
    <n v="0"/>
    <n v="0"/>
    <n v="0"/>
    <x v="0"/>
  </r>
  <r>
    <s v="a2ytqdlactliba"/>
    <x v="0"/>
    <n v="63"/>
    <s v="female"/>
    <x v="3"/>
    <x v="8"/>
    <n v="26731"/>
    <n v="1"/>
    <n v="0"/>
    <n v="0"/>
    <n v="0"/>
    <s v="NA"/>
    <s v="NA"/>
    <s v="NA"/>
    <s v="NA"/>
    <s v="NA"/>
    <s v="NA"/>
    <s v="NA"/>
    <x v="2"/>
    <x v="2"/>
    <n v="0"/>
    <n v="1"/>
    <n v="0"/>
    <n v="1"/>
    <n v="0"/>
    <n v="1"/>
    <x v="2"/>
    <n v="0"/>
    <n v="0"/>
    <n v="0"/>
    <n v="0"/>
    <x v="0"/>
  </r>
  <r>
    <s v="a2ytqdlactliba"/>
    <x v="0"/>
    <n v="63"/>
    <s v="female"/>
    <x v="2"/>
    <x v="4"/>
    <n v="36019"/>
    <n v="0"/>
    <n v="0"/>
    <n v="0"/>
    <n v="1"/>
    <s v="Stalls D and E."/>
    <s v="Stall F."/>
    <s v="Stall E."/>
    <s v="ms-l"/>
    <s v="fa"/>
    <s v="mo-l"/>
    <n v="0"/>
    <x v="1"/>
    <x v="1"/>
    <n v="0"/>
    <n v="1"/>
    <n v="0"/>
    <n v="1"/>
    <n v="0"/>
    <n v="0"/>
    <x v="2"/>
    <n v="0"/>
    <n v="0"/>
    <n v="0"/>
    <n v="1"/>
    <x v="0"/>
  </r>
  <r>
    <s v="a2ytqdlactliba"/>
    <x v="0"/>
    <n v="63"/>
    <s v="female"/>
    <x v="3"/>
    <x v="10"/>
    <n v="44455"/>
    <n v="0"/>
    <n v="0"/>
    <n v="1"/>
    <n v="0"/>
    <s v="NA"/>
    <s v="NA"/>
    <s v="NA"/>
    <s v="NA"/>
    <s v="NA"/>
    <s v="NA"/>
    <s v="NA"/>
    <x v="1"/>
    <x v="1"/>
    <n v="0"/>
    <n v="1"/>
    <n v="0"/>
    <n v="1"/>
    <n v="0"/>
    <n v="0"/>
    <x v="2"/>
    <n v="0"/>
    <n v="0"/>
    <n v="0"/>
    <n v="1"/>
    <x v="0"/>
  </r>
  <r>
    <s v="a2ytqdlactliba"/>
    <x v="0"/>
    <n v="63"/>
    <s v="female"/>
    <x v="4"/>
    <x v="0"/>
    <n v="127256"/>
    <s v="No%2C I wouldn't answer differently because the result is the same%2C where is brunch in town a where ever there is brunch served anyone can go.."/>
    <s v="I was not difficult because it was straightforward."/>
    <s v="No"/>
    <s v="NA"/>
    <s v="NA"/>
    <s v="NA"/>
    <s v="NA"/>
    <s v="NA"/>
    <s v="NA"/>
    <s v="NA"/>
    <s v="NA"/>
    <x v="0"/>
    <x v="0"/>
    <s v="NA"/>
    <s v="NA"/>
    <s v="NA"/>
    <s v="NA"/>
    <s v="NA"/>
    <s v="NA"/>
    <x v="0"/>
    <s v="NA"/>
    <s v="NA"/>
    <s v="NA"/>
    <s v="NA"/>
    <x v="0"/>
  </r>
  <r>
    <s v="AF8OT1W25HEM7"/>
    <x v="0"/>
    <n v="26"/>
    <s v="female"/>
    <x v="0"/>
    <x v="0"/>
    <n v="32909"/>
    <s v="NA"/>
    <s v="NA"/>
    <s v="NA"/>
    <s v="NA"/>
    <s v="NA"/>
    <s v="NA"/>
    <s v="NA"/>
    <s v="NA"/>
    <s v="NA"/>
    <s v="NA"/>
    <s v="NA"/>
    <x v="0"/>
    <x v="0"/>
    <s v="NA"/>
    <s v="NA"/>
    <s v="NA"/>
    <s v="NA"/>
    <s v="NA"/>
    <s v="NA"/>
    <x v="0"/>
    <s v="NA"/>
    <s v="NA"/>
    <s v="NA"/>
    <s v="NA"/>
    <x v="0"/>
  </r>
  <r>
    <s v="AF8OT1W25HEM7"/>
    <x v="0"/>
    <n v="26"/>
    <s v="female"/>
    <x v="1"/>
    <x v="2"/>
    <n v="50917"/>
    <n v="0"/>
    <n v="0"/>
    <n v="1"/>
    <n v="0"/>
    <s v="NA"/>
    <s v="NA"/>
    <s v="NA"/>
    <s v="NA"/>
    <s v="NA"/>
    <s v="NA"/>
    <s v="NA"/>
    <x v="0"/>
    <x v="0"/>
    <s v="NA"/>
    <s v="NA"/>
    <s v="NA"/>
    <s v="NA"/>
    <s v="NA"/>
    <s v="NA"/>
    <x v="0"/>
    <s v="NA"/>
    <s v="NA"/>
    <s v="NA"/>
    <s v="NA"/>
    <x v="0"/>
  </r>
  <r>
    <s v="AF8OT1W25HEM7"/>
    <x v="0"/>
    <n v="26"/>
    <s v="female"/>
    <x v="1"/>
    <x v="1"/>
    <n v="56600"/>
    <n v="0"/>
    <n v="0"/>
    <n v="0"/>
    <n v="1"/>
    <s v="NA"/>
    <s v="NA"/>
    <s v="NA"/>
    <s v="NA"/>
    <s v="NA"/>
    <s v="NA"/>
    <s v="NA"/>
    <x v="0"/>
    <x v="0"/>
    <s v="NA"/>
    <s v="NA"/>
    <s v="NA"/>
    <s v="NA"/>
    <s v="NA"/>
    <s v="NA"/>
    <x v="0"/>
    <s v="NA"/>
    <s v="NA"/>
    <s v="NA"/>
    <s v="NA"/>
    <x v="0"/>
  </r>
  <r>
    <s v="AF8OT1W25HEM7"/>
    <x v="0"/>
    <n v="26"/>
    <s v="female"/>
    <x v="2"/>
    <x v="9"/>
    <n v="66002"/>
    <n v="0"/>
    <n v="0"/>
    <n v="0"/>
    <n v="1"/>
    <s v="Stores A and B."/>
    <s v="Store A."/>
    <s v="Store F."/>
    <s v="ms-h"/>
    <s v="mo-h"/>
    <s v="fa"/>
    <n v="0"/>
    <x v="2"/>
    <x v="2"/>
    <n v="1"/>
    <n v="0"/>
    <n v="0"/>
    <n v="1"/>
    <n v="0"/>
    <n v="0"/>
    <x v="2"/>
    <n v="0"/>
    <n v="0"/>
    <n v="0"/>
    <n v="1"/>
    <x v="0"/>
  </r>
  <r>
    <s v="AF8OT1W25HEM7"/>
    <x v="0"/>
    <n v="26"/>
    <s v="female"/>
    <x v="3"/>
    <x v="12"/>
    <n v="36253"/>
    <n v="1"/>
    <n v="0"/>
    <n v="0"/>
    <n v="0"/>
    <s v="NA"/>
    <s v="NA"/>
    <s v="NA"/>
    <s v="NA"/>
    <s v="NA"/>
    <s v="NA"/>
    <s v="NA"/>
    <x v="2"/>
    <x v="2"/>
    <n v="1"/>
    <n v="0"/>
    <n v="0"/>
    <n v="1"/>
    <n v="0"/>
    <n v="0"/>
    <x v="2"/>
    <n v="0"/>
    <n v="0"/>
    <n v="0"/>
    <n v="1"/>
    <x v="0"/>
  </r>
  <r>
    <s v="AF8OT1W25HEM7"/>
    <x v="0"/>
    <n v="26"/>
    <s v="female"/>
    <x v="2"/>
    <x v="7"/>
    <n v="56148"/>
    <n v="0"/>
    <n v="0"/>
    <n v="0"/>
    <n v="1"/>
    <s v="Stylists A, B, C, D and E."/>
    <s v="Stylist A."/>
    <s v="Stylists D and E."/>
    <s v="exh"/>
    <s v="mo-h"/>
    <s v="ms-l"/>
    <n v="1"/>
    <x v="2"/>
    <x v="2"/>
    <n v="0"/>
    <n v="1"/>
    <n v="0"/>
    <n v="1"/>
    <n v="0"/>
    <n v="0"/>
    <x v="2"/>
    <n v="0"/>
    <n v="0"/>
    <n v="0"/>
    <n v="1"/>
    <x v="0"/>
  </r>
  <r>
    <s v="AF8OT1W25HEM7"/>
    <x v="0"/>
    <n v="26"/>
    <s v="female"/>
    <x v="2"/>
    <x v="11"/>
    <n v="42350"/>
    <n v="1"/>
    <n v="1"/>
    <n v="1"/>
    <n v="0"/>
    <s v="Dentist E."/>
    <s v="Dentists A and B."/>
    <s v="Dentist A."/>
    <s v="mo-l"/>
    <s v="ms-h"/>
    <s v="mo-h"/>
    <n v="0"/>
    <x v="2"/>
    <x v="1"/>
    <n v="1"/>
    <n v="0"/>
    <n v="0"/>
    <n v="1"/>
    <n v="0"/>
    <n v="1"/>
    <x v="1"/>
    <n v="1"/>
    <n v="0"/>
    <n v="0"/>
    <n v="0"/>
    <x v="0"/>
  </r>
  <r>
    <s v="AF8OT1W25HEM7"/>
    <x v="0"/>
    <n v="26"/>
    <s v="female"/>
    <x v="3"/>
    <x v="8"/>
    <n v="67837"/>
    <n v="1"/>
    <n v="1"/>
    <n v="0"/>
    <n v="0"/>
    <s v="NA"/>
    <s v="NA"/>
    <s v="NA"/>
    <s v="NA"/>
    <s v="NA"/>
    <s v="NA"/>
    <s v="NA"/>
    <x v="2"/>
    <x v="1"/>
    <n v="1"/>
    <n v="0"/>
    <n v="0"/>
    <n v="1"/>
    <n v="0"/>
    <n v="1"/>
    <x v="1"/>
    <n v="1"/>
    <n v="0"/>
    <n v="0"/>
    <n v="0"/>
    <x v="0"/>
  </r>
  <r>
    <s v="AF8OT1W25HEM7"/>
    <x v="0"/>
    <n v="26"/>
    <s v="female"/>
    <x v="2"/>
    <x v="4"/>
    <n v="36964"/>
    <n v="1"/>
    <n v="1"/>
    <n v="1"/>
    <n v="0"/>
    <s v="Stalls D and E."/>
    <s v="Stalls A, B, C, D and E."/>
    <s v="Stall E."/>
    <s v="ms-l"/>
    <s v="exh"/>
    <s v="mo-l"/>
    <n v="1"/>
    <x v="1"/>
    <x v="1"/>
    <n v="0"/>
    <n v="1"/>
    <n v="0"/>
    <n v="1"/>
    <n v="1"/>
    <n v="0"/>
    <x v="1"/>
    <n v="0"/>
    <n v="1"/>
    <n v="0"/>
    <n v="0"/>
    <x v="0"/>
  </r>
  <r>
    <s v="AF8OT1W25HEM7"/>
    <x v="0"/>
    <n v="26"/>
    <s v="female"/>
    <x v="3"/>
    <x v="5"/>
    <n v="53133"/>
    <n v="0"/>
    <n v="1"/>
    <n v="0"/>
    <n v="0"/>
    <s v="NA"/>
    <s v="NA"/>
    <s v="NA"/>
    <s v="NA"/>
    <s v="NA"/>
    <s v="NA"/>
    <s v="NA"/>
    <x v="1"/>
    <x v="1"/>
    <n v="0"/>
    <n v="1"/>
    <n v="0"/>
    <n v="1"/>
    <n v="1"/>
    <n v="0"/>
    <x v="1"/>
    <n v="0"/>
    <n v="1"/>
    <n v="0"/>
    <n v="0"/>
    <x v="0"/>
  </r>
  <r>
    <s v="AF8OT1W25HEM7"/>
    <x v="0"/>
    <n v="26"/>
    <s v="female"/>
    <x v="2"/>
    <x v="3"/>
    <n v="37513"/>
    <n v="1"/>
    <n v="1"/>
    <n v="1"/>
    <n v="0"/>
    <s v="Cafes A, B, C, D and E."/>
    <s v="Cafe A."/>
    <s v="Cafes D and E."/>
    <s v="exh"/>
    <s v="mo-h"/>
    <s v="ms-l"/>
    <n v="1"/>
    <x v="2"/>
    <x v="2"/>
    <n v="0"/>
    <n v="1"/>
    <n v="0"/>
    <n v="1"/>
    <n v="1"/>
    <n v="1"/>
    <x v="2"/>
    <n v="0"/>
    <n v="1"/>
    <n v="0"/>
    <n v="0"/>
    <x v="0"/>
  </r>
  <r>
    <s v="AF8OT1W25HEM7"/>
    <x v="0"/>
    <n v="26"/>
    <s v="female"/>
    <x v="2"/>
    <x v="6"/>
    <n v="21226"/>
    <n v="1"/>
    <n v="1"/>
    <n v="1"/>
    <n v="0"/>
    <s v="Bookstore F."/>
    <s v="Bookstore A."/>
    <s v="Bookstores A, B, C, D and E."/>
    <s v="fa"/>
    <s v="mo-h"/>
    <s v="exh"/>
    <n v="1"/>
    <x v="2"/>
    <x v="2"/>
    <n v="0"/>
    <n v="0"/>
    <n v="0"/>
    <n v="1"/>
    <n v="1"/>
    <n v="1"/>
    <x v="2"/>
    <n v="0"/>
    <n v="0"/>
    <n v="0"/>
    <n v="0"/>
    <x v="0"/>
  </r>
  <r>
    <s v="AF8OT1W25HEM7"/>
    <x v="0"/>
    <n v="26"/>
    <s v="female"/>
    <x v="3"/>
    <x v="10"/>
    <n v="66945"/>
    <n v="0"/>
    <n v="0"/>
    <n v="1"/>
    <n v="0"/>
    <s v="NA"/>
    <s v="NA"/>
    <s v="NA"/>
    <s v="NA"/>
    <s v="NA"/>
    <s v="NA"/>
    <s v="NA"/>
    <x v="2"/>
    <x v="2"/>
    <n v="0"/>
    <n v="0"/>
    <n v="0"/>
    <n v="1"/>
    <n v="1"/>
    <n v="1"/>
    <x v="2"/>
    <n v="0"/>
    <n v="0"/>
    <n v="0"/>
    <n v="0"/>
    <x v="0"/>
  </r>
  <r>
    <s v="AF8OT1W25HEM7"/>
    <x v="0"/>
    <n v="26"/>
    <s v="female"/>
    <x v="4"/>
    <x v="0"/>
    <n v="198335"/>
    <s v="No. I would answer the question the same because they‚Äôre essecentially the same question."/>
    <s v="A little. Some of them were simple comprehension questions and others seemed like trick questions."/>
    <s v="No."/>
    <s v="NA"/>
    <s v="NA"/>
    <s v="NA"/>
    <s v="NA"/>
    <s v="NA"/>
    <s v="NA"/>
    <s v="NA"/>
    <s v="NA"/>
    <x v="0"/>
    <x v="0"/>
    <s v="NA"/>
    <s v="NA"/>
    <s v="NA"/>
    <s v="NA"/>
    <s v="NA"/>
    <s v="NA"/>
    <x v="0"/>
    <s v="NA"/>
    <s v="NA"/>
    <s v="NA"/>
    <s v="NA"/>
    <x v="0"/>
  </r>
  <r>
    <s v="A96JK3576FXG5"/>
    <x v="0"/>
    <n v="24"/>
    <s v="male"/>
    <x v="0"/>
    <x v="0"/>
    <n v="87401"/>
    <s v="NA"/>
    <s v="NA"/>
    <s v="NA"/>
    <s v="NA"/>
    <s v="NA"/>
    <s v="NA"/>
    <s v="NA"/>
    <s v="NA"/>
    <s v="NA"/>
    <s v="NA"/>
    <s v="NA"/>
    <x v="0"/>
    <x v="0"/>
    <s v="NA"/>
    <s v="NA"/>
    <s v="NA"/>
    <s v="NA"/>
    <s v="NA"/>
    <s v="NA"/>
    <x v="0"/>
    <s v="NA"/>
    <s v="NA"/>
    <s v="NA"/>
    <s v="NA"/>
    <x v="0"/>
  </r>
  <r>
    <s v="A96JK3576FXG5"/>
    <x v="0"/>
    <n v="24"/>
    <s v="male"/>
    <x v="1"/>
    <x v="2"/>
    <n v="237970"/>
    <n v="0"/>
    <n v="1"/>
    <n v="0"/>
    <n v="0"/>
    <s v="NA"/>
    <s v="NA"/>
    <s v="NA"/>
    <s v="NA"/>
    <s v="NA"/>
    <s v="NA"/>
    <s v="NA"/>
    <x v="0"/>
    <x v="0"/>
    <s v="NA"/>
    <s v="NA"/>
    <s v="NA"/>
    <s v="NA"/>
    <s v="NA"/>
    <s v="NA"/>
    <x v="0"/>
    <s v="NA"/>
    <s v="NA"/>
    <s v="NA"/>
    <s v="NA"/>
    <x v="0"/>
  </r>
  <r>
    <s v="A96JK3576FXG5"/>
    <x v="0"/>
    <n v="24"/>
    <s v="male"/>
    <x v="1"/>
    <x v="1"/>
    <n v="16343"/>
    <n v="0"/>
    <n v="0"/>
    <n v="1"/>
    <n v="0"/>
    <s v="NA"/>
    <s v="NA"/>
    <s v="NA"/>
    <s v="NA"/>
    <s v="NA"/>
    <s v="NA"/>
    <s v="NA"/>
    <x v="0"/>
    <x v="0"/>
    <s v="NA"/>
    <s v="NA"/>
    <s v="NA"/>
    <s v="NA"/>
    <s v="NA"/>
    <s v="NA"/>
    <x v="0"/>
    <s v="NA"/>
    <s v="NA"/>
    <s v="NA"/>
    <s v="NA"/>
    <x v="0"/>
  </r>
  <r>
    <s v="A96JK3576FXG5"/>
    <x v="0"/>
    <n v="24"/>
    <s v="male"/>
    <x v="2"/>
    <x v="7"/>
    <n v="43455"/>
    <n v="0"/>
    <n v="1"/>
    <n v="0"/>
    <n v="0"/>
    <s v="Stylists A, B, C, D and E."/>
    <s v="Stylists A and B."/>
    <s v="Stylist E."/>
    <s v="exh"/>
    <s v="ms-h"/>
    <s v="mo-l"/>
    <n v="1"/>
    <x v="1"/>
    <x v="1"/>
    <n v="1"/>
    <n v="0"/>
    <n v="0"/>
    <n v="1"/>
    <n v="0"/>
    <n v="0"/>
    <x v="2"/>
    <n v="1"/>
    <n v="0"/>
    <n v="0"/>
    <n v="0"/>
    <x v="0"/>
  </r>
  <r>
    <s v="A96JK3576FXG5"/>
    <x v="0"/>
    <n v="24"/>
    <s v="male"/>
    <x v="2"/>
    <x v="9"/>
    <n v="5010"/>
    <n v="0"/>
    <n v="0"/>
    <n v="1"/>
    <n v="0"/>
    <s v="Store F."/>
    <s v="Store E."/>
    <s v="Store A."/>
    <s v="fa"/>
    <s v="mo-l"/>
    <s v="mo-h"/>
    <n v="0"/>
    <x v="2"/>
    <x v="1"/>
    <n v="0"/>
    <n v="0"/>
    <n v="0"/>
    <n v="1"/>
    <n v="0"/>
    <n v="1"/>
    <x v="2"/>
    <n v="0"/>
    <n v="0"/>
    <n v="0"/>
    <n v="0"/>
    <x v="0"/>
  </r>
  <r>
    <s v="A96JK3576FXG5"/>
    <x v="0"/>
    <n v="24"/>
    <s v="male"/>
    <x v="3"/>
    <x v="12"/>
    <n v="8066"/>
    <n v="0"/>
    <n v="0"/>
    <n v="1"/>
    <n v="0"/>
    <s v="NA"/>
    <s v="NA"/>
    <s v="NA"/>
    <s v="NA"/>
    <s v="NA"/>
    <s v="NA"/>
    <s v="NA"/>
    <x v="2"/>
    <x v="1"/>
    <n v="0"/>
    <n v="0"/>
    <n v="0"/>
    <n v="1"/>
    <n v="0"/>
    <n v="1"/>
    <x v="2"/>
    <n v="0"/>
    <n v="0"/>
    <n v="0"/>
    <n v="0"/>
    <x v="0"/>
  </r>
  <r>
    <s v="A96JK3576FXG5"/>
    <x v="0"/>
    <n v="24"/>
    <s v="male"/>
    <x v="2"/>
    <x v="3"/>
    <n v="4499"/>
    <n v="0"/>
    <n v="0"/>
    <n v="1"/>
    <n v="0"/>
    <s v="Cafes D and E."/>
    <s v="Cafe E."/>
    <s v="Cafes A and B."/>
    <s v="ms-l"/>
    <s v="mo-l"/>
    <s v="ms-h"/>
    <n v="0"/>
    <x v="1"/>
    <x v="1"/>
    <n v="1"/>
    <n v="1"/>
    <n v="0"/>
    <n v="1"/>
    <n v="0"/>
    <n v="0"/>
    <x v="2"/>
    <n v="1"/>
    <n v="0"/>
    <n v="0"/>
    <n v="0"/>
    <x v="0"/>
  </r>
  <r>
    <s v="A96JK3576FXG5"/>
    <x v="0"/>
    <n v="24"/>
    <s v="male"/>
    <x v="3"/>
    <x v="5"/>
    <n v="3842"/>
    <n v="0"/>
    <n v="0"/>
    <n v="1"/>
    <n v="0"/>
    <s v="NA"/>
    <s v="NA"/>
    <s v="NA"/>
    <s v="NA"/>
    <s v="NA"/>
    <s v="NA"/>
    <s v="NA"/>
    <x v="1"/>
    <x v="1"/>
    <n v="1"/>
    <n v="1"/>
    <n v="0"/>
    <n v="1"/>
    <n v="0"/>
    <n v="0"/>
    <x v="2"/>
    <n v="1"/>
    <n v="0"/>
    <n v="0"/>
    <n v="0"/>
    <x v="0"/>
  </r>
  <r>
    <s v="A96JK3576FXG5"/>
    <x v="0"/>
    <n v="24"/>
    <s v="male"/>
    <x v="2"/>
    <x v="11"/>
    <n v="2867"/>
    <n v="0"/>
    <n v="1"/>
    <n v="0"/>
    <n v="0"/>
    <s v="Dentists A and B."/>
    <s v="Dentist E."/>
    <s v="Dentists D and E."/>
    <s v="ms-h"/>
    <s v="mo-l"/>
    <s v="ms-l"/>
    <n v="0"/>
    <x v="1"/>
    <x v="1"/>
    <n v="1"/>
    <n v="1"/>
    <n v="0"/>
    <n v="1"/>
    <n v="0"/>
    <n v="0"/>
    <x v="1"/>
    <n v="0"/>
    <n v="0"/>
    <n v="0"/>
    <n v="0"/>
    <x v="0"/>
  </r>
  <r>
    <s v="A96JK3576FXG5"/>
    <x v="0"/>
    <n v="24"/>
    <s v="male"/>
    <x v="2"/>
    <x v="4"/>
    <n v="2650"/>
    <n v="0"/>
    <n v="0"/>
    <n v="1"/>
    <n v="0"/>
    <s v="Stalls D and E."/>
    <s v="Stalls A, B, C, D and E."/>
    <s v="Stall F."/>
    <s v="ms-l"/>
    <s v="exh"/>
    <s v="fa"/>
    <n v="1"/>
    <x v="1"/>
    <x v="2"/>
    <n v="0"/>
    <n v="1"/>
    <n v="0"/>
    <n v="1"/>
    <n v="0"/>
    <n v="0"/>
    <x v="2"/>
    <n v="0"/>
    <n v="0"/>
    <n v="0"/>
    <n v="0"/>
    <x v="0"/>
  </r>
  <r>
    <s v="A96JK3576FXG5"/>
    <x v="0"/>
    <n v="24"/>
    <s v="male"/>
    <x v="3"/>
    <x v="10"/>
    <n v="2603"/>
    <n v="0"/>
    <n v="0"/>
    <n v="1"/>
    <n v="0"/>
    <s v="NA"/>
    <s v="NA"/>
    <s v="NA"/>
    <s v="NA"/>
    <s v="NA"/>
    <s v="NA"/>
    <s v="NA"/>
    <x v="1"/>
    <x v="2"/>
    <n v="0"/>
    <n v="1"/>
    <n v="0"/>
    <n v="1"/>
    <n v="0"/>
    <n v="0"/>
    <x v="2"/>
    <n v="0"/>
    <n v="0"/>
    <n v="0"/>
    <n v="0"/>
    <x v="0"/>
  </r>
  <r>
    <s v="A96JK3576FXG5"/>
    <x v="0"/>
    <n v="24"/>
    <s v="male"/>
    <x v="2"/>
    <x v="6"/>
    <n v="4898"/>
    <n v="0"/>
    <n v="0"/>
    <n v="1"/>
    <n v="0"/>
    <s v="Bookstore E."/>
    <s v="Bookstores D and E."/>
    <s v="Bookstore A."/>
    <s v="mo-l"/>
    <s v="ms-l"/>
    <s v="mo-h"/>
    <n v="0"/>
    <x v="2"/>
    <x v="1"/>
    <n v="0"/>
    <n v="1"/>
    <n v="0"/>
    <n v="1"/>
    <n v="0"/>
    <n v="1"/>
    <x v="2"/>
    <n v="0"/>
    <n v="0"/>
    <n v="0"/>
    <n v="0"/>
    <x v="0"/>
  </r>
  <r>
    <s v="A96JK3576FXG5"/>
    <x v="0"/>
    <n v="24"/>
    <s v="male"/>
    <x v="3"/>
    <x v="8"/>
    <n v="2370"/>
    <n v="0"/>
    <n v="0"/>
    <n v="1"/>
    <n v="0"/>
    <s v="NA"/>
    <s v="NA"/>
    <s v="NA"/>
    <s v="NA"/>
    <s v="NA"/>
    <s v="NA"/>
    <s v="NA"/>
    <x v="2"/>
    <x v="1"/>
    <n v="0"/>
    <n v="1"/>
    <n v="0"/>
    <n v="1"/>
    <n v="0"/>
    <n v="1"/>
    <x v="2"/>
    <n v="0"/>
    <n v="0"/>
    <n v="0"/>
    <n v="0"/>
    <x v="0"/>
  </r>
  <r>
    <s v="A96JK3576FXG5"/>
    <x v="0"/>
    <n v="24"/>
    <s v="male"/>
    <x v="4"/>
    <x v="0"/>
    <n v="81951"/>
    <s v="i would like to go for a walk"/>
    <s v="yes%2C there is a little difficult."/>
    <s v="nice work %2C i do my level very best."/>
    <s v="NA"/>
    <s v="NA"/>
    <s v="NA"/>
    <s v="NA"/>
    <s v="NA"/>
    <s v="NA"/>
    <s v="NA"/>
    <s v="NA"/>
    <x v="0"/>
    <x v="0"/>
    <s v="NA"/>
    <s v="NA"/>
    <s v="NA"/>
    <s v="NA"/>
    <s v="NA"/>
    <s v="NA"/>
    <x v="0"/>
    <s v="NA"/>
    <s v="NA"/>
    <s v="NA"/>
    <s v="NA"/>
    <x v="0"/>
  </r>
  <r>
    <s v="A2YLK83DQ6PA5Y"/>
    <x v="0"/>
    <n v="41"/>
    <s v="male"/>
    <x v="0"/>
    <x v="0"/>
    <n v="110480"/>
    <s v="NA"/>
    <s v="NA"/>
    <s v="NA"/>
    <s v="NA"/>
    <s v="NA"/>
    <s v="NA"/>
    <s v="NA"/>
    <s v="NA"/>
    <s v="NA"/>
    <s v="NA"/>
    <s v="NA"/>
    <x v="0"/>
    <x v="0"/>
    <s v="NA"/>
    <s v="NA"/>
    <s v="NA"/>
    <s v="NA"/>
    <s v="NA"/>
    <s v="NA"/>
    <x v="0"/>
    <s v="NA"/>
    <s v="NA"/>
    <s v="NA"/>
    <s v="NA"/>
    <x v="0"/>
  </r>
  <r>
    <s v="A2YLK83DQ6PA5Y"/>
    <x v="0"/>
    <n v="41"/>
    <s v="male"/>
    <x v="1"/>
    <x v="1"/>
    <n v="20995"/>
    <n v="0"/>
    <n v="0"/>
    <n v="0"/>
    <n v="1"/>
    <s v="NA"/>
    <s v="NA"/>
    <s v="NA"/>
    <s v="NA"/>
    <s v="NA"/>
    <s v="NA"/>
    <s v="NA"/>
    <x v="0"/>
    <x v="0"/>
    <s v="NA"/>
    <s v="NA"/>
    <s v="NA"/>
    <s v="NA"/>
    <s v="NA"/>
    <s v="NA"/>
    <x v="0"/>
    <s v="NA"/>
    <s v="NA"/>
    <s v="NA"/>
    <s v="NA"/>
    <x v="0"/>
  </r>
  <r>
    <s v="A2YLK83DQ6PA5Y"/>
    <x v="0"/>
    <n v="41"/>
    <s v="male"/>
    <x v="1"/>
    <x v="2"/>
    <n v="16885"/>
    <n v="0"/>
    <n v="0"/>
    <n v="1"/>
    <n v="0"/>
    <s v="NA"/>
    <s v="NA"/>
    <s v="NA"/>
    <s v="NA"/>
    <s v="NA"/>
    <s v="NA"/>
    <s v="NA"/>
    <x v="0"/>
    <x v="0"/>
    <s v="NA"/>
    <s v="NA"/>
    <s v="NA"/>
    <s v="NA"/>
    <s v="NA"/>
    <s v="NA"/>
    <x v="0"/>
    <s v="NA"/>
    <s v="NA"/>
    <s v="NA"/>
    <s v="NA"/>
    <x v="0"/>
  </r>
  <r>
    <s v="A2YLK83DQ6PA5Y"/>
    <x v="0"/>
    <n v="41"/>
    <s v="male"/>
    <x v="2"/>
    <x v="7"/>
    <n v="21667"/>
    <n v="0"/>
    <n v="1"/>
    <n v="0"/>
    <n v="0"/>
    <s v="Stylist A."/>
    <s v="Stylists A, B, C, D and E."/>
    <s v="Stylist E."/>
    <s v="mo-h"/>
    <s v="exh"/>
    <s v="mo-l"/>
    <n v="1"/>
    <x v="2"/>
    <x v="1"/>
    <n v="0"/>
    <n v="0"/>
    <n v="0"/>
    <n v="1"/>
    <n v="1"/>
    <n v="0"/>
    <x v="2"/>
    <n v="0"/>
    <n v="0"/>
    <n v="0"/>
    <n v="0"/>
    <x v="0"/>
  </r>
  <r>
    <s v="A2YLK83DQ6PA5Y"/>
    <x v="0"/>
    <n v="41"/>
    <s v="male"/>
    <x v="2"/>
    <x v="4"/>
    <n v="17668"/>
    <n v="0"/>
    <n v="0"/>
    <n v="0"/>
    <n v="1"/>
    <s v="Stalls A, B, C, D and E."/>
    <s v="Stalls D and E."/>
    <s v="Stalls A and B."/>
    <s v="exh"/>
    <s v="ms-l"/>
    <s v="ms-h"/>
    <n v="1"/>
    <x v="1"/>
    <x v="2"/>
    <n v="1"/>
    <n v="1"/>
    <n v="0"/>
    <n v="1"/>
    <n v="0"/>
    <n v="0"/>
    <x v="2"/>
    <n v="0"/>
    <n v="0"/>
    <n v="0"/>
    <n v="1"/>
    <x v="0"/>
  </r>
  <r>
    <s v="A2YLK83DQ6PA5Y"/>
    <x v="0"/>
    <n v="41"/>
    <s v="male"/>
    <x v="3"/>
    <x v="10"/>
    <n v="23677"/>
    <n v="0"/>
    <n v="0"/>
    <n v="1"/>
    <n v="0"/>
    <s v="NA"/>
    <s v="NA"/>
    <s v="NA"/>
    <s v="NA"/>
    <s v="NA"/>
    <s v="NA"/>
    <s v="NA"/>
    <x v="1"/>
    <x v="2"/>
    <n v="1"/>
    <n v="1"/>
    <n v="0"/>
    <n v="1"/>
    <n v="0"/>
    <n v="0"/>
    <x v="2"/>
    <n v="0"/>
    <n v="0"/>
    <n v="0"/>
    <n v="1"/>
    <x v="0"/>
  </r>
  <r>
    <s v="A2YLK83DQ6PA5Y"/>
    <x v="0"/>
    <n v="41"/>
    <s v="male"/>
    <x v="2"/>
    <x v="6"/>
    <n v="27674"/>
    <n v="0"/>
    <n v="0"/>
    <n v="0"/>
    <n v="1"/>
    <s v="Bookstores D and E."/>
    <s v="Bookstore E."/>
    <s v="Bookstores A, B, C, D and E."/>
    <s v="ms-l"/>
    <s v="mo-l"/>
    <s v="exh"/>
    <n v="1"/>
    <x v="1"/>
    <x v="1"/>
    <n v="0"/>
    <n v="1"/>
    <n v="0"/>
    <n v="1"/>
    <n v="0"/>
    <n v="0"/>
    <x v="2"/>
    <n v="0"/>
    <n v="0"/>
    <n v="0"/>
    <n v="1"/>
    <x v="0"/>
  </r>
  <r>
    <s v="A2YLK83DQ6PA5Y"/>
    <x v="0"/>
    <n v="41"/>
    <s v="male"/>
    <x v="2"/>
    <x v="9"/>
    <n v="12084"/>
    <n v="0"/>
    <n v="0"/>
    <n v="0"/>
    <n v="1"/>
    <s v="Store E."/>
    <s v="Stores A and B."/>
    <s v="Store F."/>
    <s v="mo-l"/>
    <s v="ms-h"/>
    <s v="fa"/>
    <n v="0"/>
    <x v="1"/>
    <x v="1"/>
    <n v="1"/>
    <n v="0"/>
    <n v="0"/>
    <n v="1"/>
    <n v="0"/>
    <n v="0"/>
    <x v="2"/>
    <n v="0"/>
    <n v="0"/>
    <n v="0"/>
    <n v="1"/>
    <x v="0"/>
  </r>
  <r>
    <s v="A2YLK83DQ6PA5Y"/>
    <x v="0"/>
    <n v="41"/>
    <s v="male"/>
    <x v="3"/>
    <x v="12"/>
    <n v="14525"/>
    <n v="0"/>
    <n v="1"/>
    <n v="0"/>
    <n v="0"/>
    <s v="NA"/>
    <s v="NA"/>
    <s v="NA"/>
    <s v="NA"/>
    <s v="NA"/>
    <s v="NA"/>
    <s v="NA"/>
    <x v="1"/>
    <x v="1"/>
    <n v="1"/>
    <n v="0"/>
    <n v="0"/>
    <n v="1"/>
    <n v="0"/>
    <n v="0"/>
    <x v="2"/>
    <n v="0"/>
    <n v="0"/>
    <n v="0"/>
    <n v="1"/>
    <x v="0"/>
  </r>
  <r>
    <s v="A2YLK83DQ6PA5Y"/>
    <x v="0"/>
    <n v="41"/>
    <s v="male"/>
    <x v="2"/>
    <x v="11"/>
    <n v="11556"/>
    <n v="0"/>
    <n v="0"/>
    <n v="0"/>
    <n v="1"/>
    <s v="Dentist A."/>
    <s v="Dentists D and E."/>
    <s v="Dentists A, B, C, D and E."/>
    <s v="mo-h"/>
    <s v="ms-l"/>
    <s v="exh"/>
    <n v="1"/>
    <x v="2"/>
    <x v="2"/>
    <n v="0"/>
    <n v="1"/>
    <n v="0"/>
    <n v="1"/>
    <n v="0"/>
    <n v="0"/>
    <x v="2"/>
    <n v="0"/>
    <n v="0"/>
    <n v="0"/>
    <n v="1"/>
    <x v="0"/>
  </r>
  <r>
    <s v="A2YLK83DQ6PA5Y"/>
    <x v="0"/>
    <n v="41"/>
    <s v="male"/>
    <x v="3"/>
    <x v="5"/>
    <n v="26534"/>
    <n v="0"/>
    <n v="0"/>
    <n v="1"/>
    <n v="0"/>
    <s v="NA"/>
    <s v="NA"/>
    <s v="NA"/>
    <s v="NA"/>
    <s v="NA"/>
    <s v="NA"/>
    <s v="NA"/>
    <x v="2"/>
    <x v="2"/>
    <n v="0"/>
    <n v="1"/>
    <n v="0"/>
    <n v="1"/>
    <n v="0"/>
    <n v="0"/>
    <x v="2"/>
    <n v="0"/>
    <n v="0"/>
    <n v="0"/>
    <n v="1"/>
    <x v="0"/>
  </r>
  <r>
    <s v="A2YLK83DQ6PA5Y"/>
    <x v="0"/>
    <n v="41"/>
    <s v="male"/>
    <x v="2"/>
    <x v="3"/>
    <n v="9716"/>
    <n v="0"/>
    <n v="0"/>
    <n v="0"/>
    <n v="1"/>
    <s v="Cafes A, B, C, D and E."/>
    <s v="Cafes A and B."/>
    <s v="Cafes D and E."/>
    <s v="exh"/>
    <s v="ms-h"/>
    <s v="ms-l"/>
    <n v="1"/>
    <x v="1"/>
    <x v="2"/>
    <n v="1"/>
    <n v="1"/>
    <n v="0"/>
    <n v="1"/>
    <n v="0"/>
    <n v="0"/>
    <x v="2"/>
    <n v="0"/>
    <n v="0"/>
    <n v="0"/>
    <n v="1"/>
    <x v="0"/>
  </r>
  <r>
    <s v="A2YLK83DQ6PA5Y"/>
    <x v="0"/>
    <n v="41"/>
    <s v="male"/>
    <x v="3"/>
    <x v="8"/>
    <n v="13828"/>
    <n v="0"/>
    <n v="0"/>
    <n v="0"/>
    <n v="1"/>
    <s v="NA"/>
    <s v="NA"/>
    <s v="NA"/>
    <s v="NA"/>
    <s v="NA"/>
    <s v="NA"/>
    <s v="NA"/>
    <x v="1"/>
    <x v="2"/>
    <n v="1"/>
    <n v="1"/>
    <n v="0"/>
    <n v="1"/>
    <n v="0"/>
    <n v="0"/>
    <x v="2"/>
    <n v="0"/>
    <n v="0"/>
    <n v="0"/>
    <n v="1"/>
    <x v="0"/>
  </r>
  <r>
    <s v="A2YLK83DQ6PA5Y"/>
    <x v="0"/>
    <n v="41"/>
    <s v="male"/>
    <x v="4"/>
    <x v="0"/>
    <n v="56294"/>
    <s v="No%2C I'd give the same answer--what are you going to do%2C knock at random houses and ask for brunch? Of COURSE you're going to a restaurant."/>
    <s v="No%2C I'm a fairly voracious reader."/>
    <s v="Good luck with your study--oh%2C and why the heck is everything centered?"/>
    <s v="NA"/>
    <s v="NA"/>
    <s v="NA"/>
    <s v="NA"/>
    <s v="NA"/>
    <s v="NA"/>
    <s v="NA"/>
    <s v="NA"/>
    <x v="0"/>
    <x v="0"/>
    <s v="NA"/>
    <s v="NA"/>
    <s v="NA"/>
    <s v="NA"/>
    <s v="NA"/>
    <s v="NA"/>
    <x v="0"/>
    <s v="NA"/>
    <s v="NA"/>
    <s v="NA"/>
    <s v="NA"/>
    <x v="0"/>
  </r>
  <r>
    <s v="ARHBT4K14I7U"/>
    <x v="0"/>
    <n v="49"/>
    <s v="female"/>
    <x v="0"/>
    <x v="0"/>
    <n v="32570"/>
    <s v="NA"/>
    <s v="NA"/>
    <s v="NA"/>
    <s v="NA"/>
    <s v="NA"/>
    <s v="NA"/>
    <s v="NA"/>
    <s v="NA"/>
    <s v="NA"/>
    <s v="NA"/>
    <s v="NA"/>
    <x v="0"/>
    <x v="0"/>
    <s v="NA"/>
    <s v="NA"/>
    <s v="NA"/>
    <s v="NA"/>
    <s v="NA"/>
    <s v="NA"/>
    <x v="0"/>
    <s v="NA"/>
    <s v="NA"/>
    <s v="NA"/>
    <s v="NA"/>
    <x v="0"/>
  </r>
  <r>
    <s v="ARHBT4K14I7U"/>
    <x v="0"/>
    <n v="49"/>
    <s v="female"/>
    <x v="1"/>
    <x v="2"/>
    <n v="52635"/>
    <n v="0"/>
    <n v="0"/>
    <n v="1"/>
    <n v="0"/>
    <s v="NA"/>
    <s v="NA"/>
    <s v="NA"/>
    <s v="NA"/>
    <s v="NA"/>
    <s v="NA"/>
    <s v="NA"/>
    <x v="0"/>
    <x v="0"/>
    <s v="NA"/>
    <s v="NA"/>
    <s v="NA"/>
    <s v="NA"/>
    <s v="NA"/>
    <s v="NA"/>
    <x v="0"/>
    <s v="NA"/>
    <s v="NA"/>
    <s v="NA"/>
    <s v="NA"/>
    <x v="0"/>
  </r>
  <r>
    <s v="ARHBT4K14I7U"/>
    <x v="0"/>
    <n v="49"/>
    <s v="female"/>
    <x v="1"/>
    <x v="1"/>
    <n v="82091"/>
    <n v="0"/>
    <n v="0"/>
    <n v="0"/>
    <n v="1"/>
    <s v="NA"/>
    <s v="NA"/>
    <s v="NA"/>
    <s v="NA"/>
    <s v="NA"/>
    <s v="NA"/>
    <s v="NA"/>
    <x v="0"/>
    <x v="0"/>
    <s v="NA"/>
    <s v="NA"/>
    <s v="NA"/>
    <s v="NA"/>
    <s v="NA"/>
    <s v="NA"/>
    <x v="0"/>
    <s v="NA"/>
    <s v="NA"/>
    <s v="NA"/>
    <s v="NA"/>
    <x v="0"/>
  </r>
  <r>
    <s v="ARHBT4K14I7U"/>
    <x v="0"/>
    <n v="49"/>
    <s v="female"/>
    <x v="2"/>
    <x v="6"/>
    <n v="66896"/>
    <n v="0"/>
    <n v="0"/>
    <n v="1"/>
    <n v="0"/>
    <s v="Bookstores D and E."/>
    <s v="Bookstore E."/>
    <s v="Bookstores A and B."/>
    <s v="ms-l"/>
    <s v="mo-l"/>
    <s v="ms-h"/>
    <n v="0"/>
    <x v="1"/>
    <x v="1"/>
    <n v="1"/>
    <n v="1"/>
    <n v="0"/>
    <n v="1"/>
    <n v="0"/>
    <n v="0"/>
    <x v="2"/>
    <n v="1"/>
    <n v="0"/>
    <n v="0"/>
    <n v="0"/>
    <x v="0"/>
  </r>
  <r>
    <s v="ARHBT4K14I7U"/>
    <x v="0"/>
    <n v="49"/>
    <s v="female"/>
    <x v="3"/>
    <x v="8"/>
    <n v="92518"/>
    <n v="0"/>
    <n v="0"/>
    <n v="0"/>
    <n v="1"/>
    <s v="NA"/>
    <s v="NA"/>
    <s v="NA"/>
    <s v="NA"/>
    <s v="NA"/>
    <s v="NA"/>
    <s v="NA"/>
    <x v="1"/>
    <x v="1"/>
    <n v="1"/>
    <n v="1"/>
    <n v="0"/>
    <n v="1"/>
    <n v="0"/>
    <n v="0"/>
    <x v="2"/>
    <n v="1"/>
    <n v="0"/>
    <n v="0"/>
    <n v="0"/>
    <x v="0"/>
  </r>
  <r>
    <s v="ARHBT4K14I7U"/>
    <x v="0"/>
    <n v="49"/>
    <s v="female"/>
    <x v="2"/>
    <x v="4"/>
    <n v="55410"/>
    <n v="1"/>
    <n v="0"/>
    <n v="0"/>
    <n v="0"/>
    <s v="Stalls A and B."/>
    <s v="Stall E."/>
    <s v="Stalls D and E."/>
    <s v="ms-h"/>
    <s v="mo-l"/>
    <s v="ms-l"/>
    <n v="0"/>
    <x v="1"/>
    <x v="1"/>
    <n v="1"/>
    <n v="1"/>
    <n v="0"/>
    <n v="1"/>
    <n v="0"/>
    <n v="0"/>
    <x v="2"/>
    <n v="1"/>
    <n v="0"/>
    <n v="0"/>
    <n v="0"/>
    <x v="0"/>
  </r>
  <r>
    <s v="ARHBT4K14I7U"/>
    <x v="0"/>
    <n v="49"/>
    <s v="female"/>
    <x v="2"/>
    <x v="7"/>
    <n v="65132"/>
    <n v="0"/>
    <n v="1"/>
    <n v="0"/>
    <n v="0"/>
    <s v="Stylists D and E."/>
    <s v="Stylist A."/>
    <s v="Stylists A, B, C, D and E."/>
    <s v="ms-l"/>
    <s v="mo-h"/>
    <s v="exh"/>
    <n v="1"/>
    <x v="2"/>
    <x v="2"/>
    <n v="0"/>
    <n v="1"/>
    <n v="0"/>
    <n v="1"/>
    <n v="0"/>
    <n v="1"/>
    <x v="2"/>
    <n v="0"/>
    <n v="0"/>
    <n v="0"/>
    <n v="0"/>
    <x v="0"/>
  </r>
  <r>
    <s v="ARHBT4K14I7U"/>
    <x v="0"/>
    <n v="49"/>
    <s v="female"/>
    <x v="3"/>
    <x v="10"/>
    <n v="44573"/>
    <n v="0"/>
    <n v="0"/>
    <n v="1"/>
    <n v="0"/>
    <s v="NA"/>
    <s v="NA"/>
    <s v="NA"/>
    <s v="NA"/>
    <s v="NA"/>
    <s v="NA"/>
    <s v="NA"/>
    <x v="2"/>
    <x v="2"/>
    <n v="0"/>
    <n v="1"/>
    <n v="0"/>
    <n v="1"/>
    <n v="0"/>
    <n v="1"/>
    <x v="2"/>
    <n v="0"/>
    <n v="0"/>
    <n v="0"/>
    <n v="0"/>
    <x v="0"/>
  </r>
  <r>
    <s v="ARHBT4K14I7U"/>
    <x v="0"/>
    <n v="49"/>
    <s v="female"/>
    <x v="2"/>
    <x v="3"/>
    <n v="27366"/>
    <n v="0"/>
    <n v="1"/>
    <n v="0"/>
    <n v="0"/>
    <s v="Cafe E."/>
    <s v="Cafes A and B."/>
    <s v="Cafes D and E."/>
    <s v="mo-l"/>
    <s v="ms-h"/>
    <s v="ms-l"/>
    <n v="0"/>
    <x v="1"/>
    <x v="1"/>
    <n v="1"/>
    <n v="1"/>
    <n v="0"/>
    <n v="1"/>
    <n v="0"/>
    <n v="0"/>
    <x v="2"/>
    <n v="1"/>
    <n v="0"/>
    <n v="0"/>
    <n v="0"/>
    <x v="0"/>
  </r>
  <r>
    <s v="ARHBT4K14I7U"/>
    <x v="0"/>
    <n v="49"/>
    <s v="female"/>
    <x v="3"/>
    <x v="5"/>
    <n v="73275"/>
    <n v="0"/>
    <n v="1"/>
    <n v="0"/>
    <n v="0"/>
    <s v="NA"/>
    <s v="NA"/>
    <s v="NA"/>
    <s v="NA"/>
    <s v="NA"/>
    <s v="NA"/>
    <s v="NA"/>
    <x v="1"/>
    <x v="1"/>
    <n v="1"/>
    <n v="1"/>
    <n v="0"/>
    <n v="1"/>
    <n v="0"/>
    <n v="0"/>
    <x v="2"/>
    <n v="1"/>
    <n v="0"/>
    <n v="0"/>
    <n v="0"/>
    <x v="0"/>
  </r>
  <r>
    <s v="ARHBT4K14I7U"/>
    <x v="0"/>
    <n v="49"/>
    <s v="female"/>
    <x v="2"/>
    <x v="11"/>
    <n v="33960"/>
    <n v="0"/>
    <n v="1"/>
    <n v="0"/>
    <n v="0"/>
    <s v="Dentists A and B."/>
    <s v="Dentist A."/>
    <s v="Dentists D and E."/>
    <s v="ms-h"/>
    <s v="mo-h"/>
    <s v="ms-l"/>
    <n v="0"/>
    <x v="2"/>
    <x v="2"/>
    <n v="1"/>
    <n v="1"/>
    <n v="0"/>
    <n v="1"/>
    <n v="0"/>
    <n v="1"/>
    <x v="2"/>
    <n v="0"/>
    <n v="0"/>
    <n v="0"/>
    <n v="0"/>
    <x v="0"/>
  </r>
  <r>
    <s v="ARHBT4K14I7U"/>
    <x v="0"/>
    <n v="49"/>
    <s v="female"/>
    <x v="2"/>
    <x v="9"/>
    <n v="46139"/>
    <n v="0"/>
    <n v="0"/>
    <n v="0"/>
    <n v="1"/>
    <s v="Stores D and E."/>
    <s v="Store E."/>
    <s v="Store F."/>
    <s v="ms-l"/>
    <s v="mo-l"/>
    <s v="fa"/>
    <n v="0"/>
    <x v="1"/>
    <x v="1"/>
    <n v="0"/>
    <n v="1"/>
    <n v="0"/>
    <n v="1"/>
    <n v="0"/>
    <n v="0"/>
    <x v="2"/>
    <n v="0"/>
    <n v="0"/>
    <n v="0"/>
    <n v="1"/>
    <x v="0"/>
  </r>
  <r>
    <s v="ARHBT4K14I7U"/>
    <x v="0"/>
    <n v="49"/>
    <s v="female"/>
    <x v="3"/>
    <x v="12"/>
    <n v="36173"/>
    <n v="1"/>
    <n v="0"/>
    <n v="0"/>
    <n v="0"/>
    <s v="NA"/>
    <s v="NA"/>
    <s v="NA"/>
    <s v="NA"/>
    <s v="NA"/>
    <s v="NA"/>
    <s v="NA"/>
    <x v="1"/>
    <x v="1"/>
    <n v="0"/>
    <n v="1"/>
    <n v="0"/>
    <n v="1"/>
    <n v="0"/>
    <n v="0"/>
    <x v="2"/>
    <n v="0"/>
    <n v="0"/>
    <n v="0"/>
    <n v="1"/>
    <x v="0"/>
  </r>
  <r>
    <s v="ARHBT4K14I7U"/>
    <x v="0"/>
    <n v="49"/>
    <s v="female"/>
    <x v="4"/>
    <x v="0"/>
    <n v="52795"/>
    <s v="No the question is the same%2C I would answer the same."/>
    <s v="not really a little confusing but not hard"/>
    <m/>
    <s v="NA"/>
    <s v="NA"/>
    <s v="NA"/>
    <s v="NA"/>
    <s v="NA"/>
    <s v="NA"/>
    <s v="NA"/>
    <s v="NA"/>
    <x v="0"/>
    <x v="0"/>
    <s v="NA"/>
    <s v="NA"/>
    <s v="NA"/>
    <s v="NA"/>
    <s v="NA"/>
    <s v="NA"/>
    <x v="0"/>
    <s v="NA"/>
    <s v="NA"/>
    <s v="NA"/>
    <s v="NA"/>
    <x v="0"/>
  </r>
  <r>
    <s v="AECQ7QG4CQP69"/>
    <x v="0"/>
    <n v="35"/>
    <s v="male"/>
    <x v="0"/>
    <x v="0"/>
    <n v="189516"/>
    <s v="NA"/>
    <s v="NA"/>
    <s v="NA"/>
    <s v="NA"/>
    <s v="NA"/>
    <s v="NA"/>
    <s v="NA"/>
    <s v="NA"/>
    <s v="NA"/>
    <s v="NA"/>
    <s v="NA"/>
    <x v="0"/>
    <x v="0"/>
    <s v="NA"/>
    <s v="NA"/>
    <s v="NA"/>
    <s v="NA"/>
    <s v="NA"/>
    <s v="NA"/>
    <x v="0"/>
    <s v="NA"/>
    <s v="NA"/>
    <s v="NA"/>
    <s v="NA"/>
    <x v="0"/>
  </r>
  <r>
    <s v="AECQ7QG4CQP69"/>
    <x v="0"/>
    <n v="35"/>
    <s v="male"/>
    <x v="1"/>
    <x v="2"/>
    <n v="50831"/>
    <n v="0"/>
    <n v="1"/>
    <n v="1"/>
    <n v="0"/>
    <s v="NA"/>
    <s v="NA"/>
    <s v="NA"/>
    <s v="NA"/>
    <s v="NA"/>
    <s v="NA"/>
    <s v="NA"/>
    <x v="0"/>
    <x v="0"/>
    <s v="NA"/>
    <s v="NA"/>
    <s v="NA"/>
    <s v="NA"/>
    <s v="NA"/>
    <s v="NA"/>
    <x v="0"/>
    <s v="NA"/>
    <s v="NA"/>
    <s v="NA"/>
    <s v="NA"/>
    <x v="0"/>
  </r>
  <r>
    <s v="AECQ7QG4CQP69"/>
    <x v="0"/>
    <n v="35"/>
    <s v="male"/>
    <x v="1"/>
    <x v="1"/>
    <n v="116336"/>
    <n v="0"/>
    <n v="0"/>
    <n v="0"/>
    <n v="1"/>
    <s v="NA"/>
    <s v="NA"/>
    <s v="NA"/>
    <s v="NA"/>
    <s v="NA"/>
    <s v="NA"/>
    <s v="NA"/>
    <x v="0"/>
    <x v="0"/>
    <s v="NA"/>
    <s v="NA"/>
    <s v="NA"/>
    <s v="NA"/>
    <s v="NA"/>
    <s v="NA"/>
    <x v="0"/>
    <s v="NA"/>
    <s v="NA"/>
    <s v="NA"/>
    <s v="NA"/>
    <x v="0"/>
  </r>
  <r>
    <s v="AECQ7QG4CQP69"/>
    <x v="0"/>
    <n v="35"/>
    <s v="male"/>
    <x v="2"/>
    <x v="3"/>
    <n v="62108"/>
    <n v="0"/>
    <n v="0"/>
    <n v="1"/>
    <n v="0"/>
    <s v="Cafe A."/>
    <s v="Cafes A and B."/>
    <s v="Cafes A, B, C, D and E."/>
    <s v="mo-h"/>
    <s v="ms-h"/>
    <s v="exh"/>
    <n v="1"/>
    <x v="2"/>
    <x v="2"/>
    <n v="1"/>
    <n v="0"/>
    <n v="0"/>
    <n v="1"/>
    <n v="1"/>
    <n v="0"/>
    <x v="2"/>
    <n v="0"/>
    <n v="0"/>
    <n v="0"/>
    <n v="0"/>
    <x v="0"/>
  </r>
  <r>
    <s v="AECQ7QG4CQP69"/>
    <x v="0"/>
    <n v="35"/>
    <s v="male"/>
    <x v="2"/>
    <x v="11"/>
    <n v="58242"/>
    <n v="0"/>
    <n v="0"/>
    <n v="0"/>
    <n v="1"/>
    <s v="Dentist E."/>
    <s v="Dentists A and B."/>
    <s v="Dentists D and E."/>
    <s v="mo-l"/>
    <s v="ms-h"/>
    <s v="ms-l"/>
    <n v="0"/>
    <x v="1"/>
    <x v="1"/>
    <n v="1"/>
    <n v="1"/>
    <n v="0"/>
    <n v="1"/>
    <n v="0"/>
    <n v="0"/>
    <x v="2"/>
    <n v="0"/>
    <n v="0"/>
    <n v="0"/>
    <n v="1"/>
    <x v="0"/>
  </r>
  <r>
    <s v="AECQ7QG4CQP69"/>
    <x v="0"/>
    <n v="35"/>
    <s v="male"/>
    <x v="3"/>
    <x v="5"/>
    <n v="80278"/>
    <n v="0"/>
    <n v="0"/>
    <n v="1"/>
    <n v="0"/>
    <s v="NA"/>
    <s v="NA"/>
    <s v="NA"/>
    <s v="NA"/>
    <s v="NA"/>
    <s v="NA"/>
    <s v="NA"/>
    <x v="1"/>
    <x v="1"/>
    <n v="1"/>
    <n v="1"/>
    <n v="0"/>
    <n v="1"/>
    <n v="0"/>
    <n v="0"/>
    <x v="2"/>
    <n v="0"/>
    <n v="0"/>
    <n v="0"/>
    <n v="1"/>
    <x v="0"/>
  </r>
  <r>
    <s v="AECQ7QG4CQP69"/>
    <x v="0"/>
    <n v="35"/>
    <s v="male"/>
    <x v="2"/>
    <x v="9"/>
    <n v="68710"/>
    <n v="0"/>
    <n v="0"/>
    <n v="0"/>
    <n v="1"/>
    <s v="Stores D and E."/>
    <s v="Store A."/>
    <s v="Store E."/>
    <s v="ms-l"/>
    <s v="mo-h"/>
    <s v="mo-l"/>
    <n v="0"/>
    <x v="2"/>
    <x v="1"/>
    <n v="0"/>
    <n v="1"/>
    <n v="0"/>
    <n v="1"/>
    <n v="0"/>
    <n v="0"/>
    <x v="2"/>
    <n v="0"/>
    <n v="0"/>
    <n v="0"/>
    <n v="1"/>
    <x v="0"/>
  </r>
  <r>
    <s v="AECQ7QG4CQP69"/>
    <x v="0"/>
    <n v="35"/>
    <s v="male"/>
    <x v="2"/>
    <x v="6"/>
    <n v="51577"/>
    <n v="0"/>
    <n v="0"/>
    <n v="0"/>
    <n v="1"/>
    <s v="Bookstores A, B, C, D and E."/>
    <s v="Bookstores A and B."/>
    <s v="Bookstore A."/>
    <s v="exh"/>
    <s v="ms-h"/>
    <s v="mo-h"/>
    <n v="1"/>
    <x v="2"/>
    <x v="2"/>
    <n v="1"/>
    <n v="0"/>
    <n v="0"/>
    <n v="1"/>
    <n v="0"/>
    <n v="0"/>
    <x v="2"/>
    <n v="0"/>
    <n v="0"/>
    <n v="0"/>
    <n v="1"/>
    <x v="0"/>
  </r>
  <r>
    <s v="AECQ7QG4CQP69"/>
    <x v="0"/>
    <n v="35"/>
    <s v="male"/>
    <x v="3"/>
    <x v="12"/>
    <n v="19456"/>
    <n v="1"/>
    <n v="0"/>
    <n v="0"/>
    <n v="0"/>
    <s v="NA"/>
    <s v="NA"/>
    <s v="NA"/>
    <s v="NA"/>
    <s v="NA"/>
    <s v="NA"/>
    <s v="NA"/>
    <x v="2"/>
    <x v="2"/>
    <n v="1"/>
    <n v="0"/>
    <n v="0"/>
    <n v="1"/>
    <n v="0"/>
    <n v="0"/>
    <x v="2"/>
    <n v="0"/>
    <n v="0"/>
    <n v="0"/>
    <n v="1"/>
    <x v="0"/>
  </r>
  <r>
    <s v="AECQ7QG4CQP69"/>
    <x v="0"/>
    <n v="35"/>
    <s v="male"/>
    <x v="2"/>
    <x v="4"/>
    <n v="81268"/>
    <n v="0"/>
    <n v="0"/>
    <n v="0"/>
    <n v="1"/>
    <s v="Stalls A and B."/>
    <s v="Stall F."/>
    <s v="Stall A."/>
    <s v="ms-h"/>
    <s v="fa"/>
    <s v="mo-h"/>
    <n v="0"/>
    <x v="2"/>
    <x v="2"/>
    <n v="1"/>
    <n v="0"/>
    <n v="0"/>
    <n v="1"/>
    <n v="0"/>
    <n v="0"/>
    <x v="2"/>
    <n v="0"/>
    <n v="0"/>
    <n v="0"/>
    <n v="1"/>
    <x v="0"/>
  </r>
  <r>
    <s v="AECQ7QG4CQP69"/>
    <x v="0"/>
    <n v="35"/>
    <s v="male"/>
    <x v="3"/>
    <x v="10"/>
    <n v="39223"/>
    <n v="0"/>
    <n v="0"/>
    <n v="1"/>
    <n v="0"/>
    <s v="NA"/>
    <s v="NA"/>
    <s v="NA"/>
    <s v="NA"/>
    <s v="NA"/>
    <s v="NA"/>
    <s v="NA"/>
    <x v="2"/>
    <x v="2"/>
    <n v="1"/>
    <n v="0"/>
    <n v="0"/>
    <n v="1"/>
    <n v="0"/>
    <n v="0"/>
    <x v="2"/>
    <n v="0"/>
    <n v="0"/>
    <n v="0"/>
    <n v="1"/>
    <x v="0"/>
  </r>
  <r>
    <s v="AECQ7QG4CQP69"/>
    <x v="0"/>
    <n v="35"/>
    <s v="male"/>
    <x v="2"/>
    <x v="7"/>
    <n v="19661"/>
    <n v="0"/>
    <n v="0"/>
    <n v="0"/>
    <n v="1"/>
    <s v="Stylists A and B."/>
    <s v="Stylist A."/>
    <s v="Stylist E."/>
    <s v="ms-h"/>
    <s v="mo-h"/>
    <s v="mo-l"/>
    <n v="0"/>
    <x v="2"/>
    <x v="1"/>
    <n v="1"/>
    <n v="0"/>
    <n v="0"/>
    <n v="1"/>
    <n v="0"/>
    <n v="0"/>
    <x v="2"/>
    <n v="0"/>
    <n v="0"/>
    <n v="0"/>
    <n v="1"/>
    <x v="0"/>
  </r>
  <r>
    <s v="AECQ7QG4CQP69"/>
    <x v="0"/>
    <n v="35"/>
    <s v="male"/>
    <x v="3"/>
    <x v="8"/>
    <n v="67802"/>
    <n v="1"/>
    <n v="1"/>
    <n v="0"/>
    <n v="0"/>
    <s v="NA"/>
    <s v="NA"/>
    <s v="NA"/>
    <s v="NA"/>
    <s v="NA"/>
    <s v="NA"/>
    <s v="NA"/>
    <x v="2"/>
    <x v="1"/>
    <n v="1"/>
    <n v="0"/>
    <n v="0"/>
    <n v="1"/>
    <n v="0"/>
    <n v="0"/>
    <x v="2"/>
    <n v="0"/>
    <n v="0"/>
    <n v="0"/>
    <n v="1"/>
    <x v="0"/>
  </r>
  <r>
    <s v="AECQ7QG4CQP69"/>
    <x v="0"/>
    <n v="35"/>
    <s v="male"/>
    <x v="4"/>
    <x v="0"/>
    <n v="81213"/>
    <s v="No.  It's pretty much the same question."/>
    <s v="Nope"/>
    <m/>
    <s v="NA"/>
    <s v="NA"/>
    <s v="NA"/>
    <s v="NA"/>
    <s v="NA"/>
    <s v="NA"/>
    <s v="NA"/>
    <s v="NA"/>
    <x v="0"/>
    <x v="0"/>
    <s v="NA"/>
    <s v="NA"/>
    <s v="NA"/>
    <s v="NA"/>
    <s v="NA"/>
    <s v="NA"/>
    <x v="0"/>
    <s v="NA"/>
    <s v="NA"/>
    <s v="NA"/>
    <s v="NA"/>
    <x v="0"/>
  </r>
  <r>
    <s v="A19L8SNH73AX1Z"/>
    <x v="0"/>
    <n v="54"/>
    <s v="female"/>
    <x v="0"/>
    <x v="0"/>
    <n v="26269"/>
    <s v="NA"/>
    <s v="NA"/>
    <s v="NA"/>
    <s v="NA"/>
    <s v="NA"/>
    <s v="NA"/>
    <s v="NA"/>
    <s v="NA"/>
    <s v="NA"/>
    <s v="NA"/>
    <s v="NA"/>
    <x v="0"/>
    <x v="0"/>
    <s v="NA"/>
    <s v="NA"/>
    <s v="NA"/>
    <s v="NA"/>
    <s v="NA"/>
    <s v="NA"/>
    <x v="0"/>
    <s v="NA"/>
    <s v="NA"/>
    <s v="NA"/>
    <s v="NA"/>
    <x v="0"/>
  </r>
  <r>
    <s v="A19L8SNH73AX1Z"/>
    <x v="0"/>
    <n v="54"/>
    <s v="female"/>
    <x v="1"/>
    <x v="1"/>
    <n v="48878"/>
    <n v="0"/>
    <n v="0"/>
    <n v="0"/>
    <n v="1"/>
    <s v="NA"/>
    <s v="NA"/>
    <s v="NA"/>
    <s v="NA"/>
    <s v="NA"/>
    <s v="NA"/>
    <s v="NA"/>
    <x v="0"/>
    <x v="0"/>
    <s v="NA"/>
    <s v="NA"/>
    <s v="NA"/>
    <s v="NA"/>
    <s v="NA"/>
    <s v="NA"/>
    <x v="0"/>
    <s v="NA"/>
    <s v="NA"/>
    <s v="NA"/>
    <s v="NA"/>
    <x v="0"/>
  </r>
  <r>
    <s v="A19L8SNH73AX1Z"/>
    <x v="0"/>
    <n v="54"/>
    <s v="female"/>
    <x v="1"/>
    <x v="2"/>
    <n v="62863"/>
    <n v="0"/>
    <n v="0"/>
    <n v="1"/>
    <n v="0"/>
    <s v="NA"/>
    <s v="NA"/>
    <s v="NA"/>
    <s v="NA"/>
    <s v="NA"/>
    <s v="NA"/>
    <s v="NA"/>
    <x v="0"/>
    <x v="0"/>
    <s v="NA"/>
    <s v="NA"/>
    <s v="NA"/>
    <s v="NA"/>
    <s v="NA"/>
    <s v="NA"/>
    <x v="0"/>
    <s v="NA"/>
    <s v="NA"/>
    <s v="NA"/>
    <s v="NA"/>
    <x v="0"/>
  </r>
  <r>
    <s v="A19L8SNH73AX1Z"/>
    <x v="0"/>
    <n v="54"/>
    <s v="female"/>
    <x v="2"/>
    <x v="7"/>
    <n v="150397"/>
    <n v="1"/>
    <n v="1"/>
    <n v="1"/>
    <n v="0"/>
    <s v="Stylists A and B."/>
    <s v="Stylists A, B, C, D and E."/>
    <s v="Stylist E."/>
    <s v="ms-h"/>
    <s v="exh"/>
    <s v="mo-l"/>
    <n v="1"/>
    <x v="1"/>
    <x v="1"/>
    <n v="1"/>
    <n v="0"/>
    <n v="0"/>
    <n v="1"/>
    <n v="1"/>
    <n v="0"/>
    <x v="1"/>
    <n v="1"/>
    <n v="0"/>
    <n v="0"/>
    <n v="0"/>
    <x v="0"/>
  </r>
  <r>
    <s v="A19L8SNH73AX1Z"/>
    <x v="0"/>
    <n v="54"/>
    <s v="female"/>
    <x v="2"/>
    <x v="11"/>
    <n v="98901"/>
    <n v="0"/>
    <n v="0"/>
    <n v="0"/>
    <n v="1"/>
    <s v="Dentist A."/>
    <s v="Dentist F."/>
    <s v="Dentists D and E."/>
    <s v="mo-h"/>
    <s v="fa"/>
    <s v="ms-l"/>
    <n v="0"/>
    <x v="2"/>
    <x v="2"/>
    <n v="0"/>
    <n v="1"/>
    <n v="0"/>
    <n v="1"/>
    <n v="0"/>
    <n v="0"/>
    <x v="2"/>
    <n v="0"/>
    <n v="0"/>
    <n v="0"/>
    <n v="1"/>
    <x v="0"/>
  </r>
  <r>
    <s v="A19L8SNH73AX1Z"/>
    <x v="0"/>
    <n v="54"/>
    <s v="female"/>
    <x v="3"/>
    <x v="12"/>
    <n v="66264"/>
    <n v="1"/>
    <n v="0"/>
    <n v="0"/>
    <n v="0"/>
    <s v="NA"/>
    <s v="NA"/>
    <s v="NA"/>
    <s v="NA"/>
    <s v="NA"/>
    <s v="NA"/>
    <s v="NA"/>
    <x v="2"/>
    <x v="2"/>
    <n v="0"/>
    <n v="1"/>
    <n v="0"/>
    <n v="1"/>
    <n v="0"/>
    <n v="0"/>
    <x v="2"/>
    <n v="0"/>
    <n v="0"/>
    <n v="0"/>
    <n v="1"/>
    <x v="0"/>
  </r>
  <r>
    <s v="A19L8SNH73AX1Z"/>
    <x v="0"/>
    <n v="54"/>
    <s v="female"/>
    <x v="2"/>
    <x v="9"/>
    <n v="52840"/>
    <n v="0"/>
    <n v="1"/>
    <n v="1"/>
    <n v="0"/>
    <s v="Store E."/>
    <s v="Stores A and B."/>
    <s v="Store A."/>
    <s v="mo-l"/>
    <s v="ms-h"/>
    <s v="mo-h"/>
    <n v="0"/>
    <x v="2"/>
    <x v="1"/>
    <n v="1"/>
    <n v="0"/>
    <n v="0"/>
    <n v="1"/>
    <n v="0"/>
    <n v="1"/>
    <x v="2"/>
    <n v="1"/>
    <n v="0"/>
    <n v="0"/>
    <n v="0"/>
    <x v="0"/>
  </r>
  <r>
    <s v="A19L8SNH73AX1Z"/>
    <x v="0"/>
    <n v="54"/>
    <s v="female"/>
    <x v="2"/>
    <x v="3"/>
    <n v="33404"/>
    <n v="0"/>
    <n v="0"/>
    <n v="1"/>
    <n v="0"/>
    <s v="Cafes D and E."/>
    <s v="Cafe E."/>
    <s v="Cafe A."/>
    <s v="ms-l"/>
    <s v="mo-l"/>
    <s v="mo-h"/>
    <n v="0"/>
    <x v="2"/>
    <x v="1"/>
    <n v="0"/>
    <n v="1"/>
    <n v="0"/>
    <n v="1"/>
    <n v="0"/>
    <n v="1"/>
    <x v="2"/>
    <n v="0"/>
    <n v="0"/>
    <n v="0"/>
    <n v="0"/>
    <x v="0"/>
  </r>
  <r>
    <s v="A19L8SNH73AX1Z"/>
    <x v="0"/>
    <n v="54"/>
    <s v="female"/>
    <x v="3"/>
    <x v="5"/>
    <n v="59368"/>
    <n v="1"/>
    <n v="1"/>
    <n v="1"/>
    <n v="0"/>
    <s v="NA"/>
    <s v="NA"/>
    <s v="NA"/>
    <s v="NA"/>
    <s v="NA"/>
    <s v="NA"/>
    <s v="NA"/>
    <x v="2"/>
    <x v="1"/>
    <n v="0"/>
    <n v="1"/>
    <n v="0"/>
    <n v="1"/>
    <n v="0"/>
    <n v="1"/>
    <x v="2"/>
    <n v="0"/>
    <n v="0"/>
    <n v="0"/>
    <n v="0"/>
    <x v="0"/>
  </r>
  <r>
    <s v="A19L8SNH73AX1Z"/>
    <x v="0"/>
    <n v="54"/>
    <s v="female"/>
    <x v="2"/>
    <x v="4"/>
    <n v="54610"/>
    <n v="0"/>
    <n v="0"/>
    <n v="0"/>
    <n v="1"/>
    <s v="Stall E."/>
    <s v="Stall A."/>
    <s v="Stalls A and B."/>
    <s v="mo-l"/>
    <s v="mo-h"/>
    <s v="ms-h"/>
    <n v="0"/>
    <x v="2"/>
    <x v="1"/>
    <n v="1"/>
    <n v="0"/>
    <n v="0"/>
    <n v="1"/>
    <n v="0"/>
    <n v="0"/>
    <x v="2"/>
    <n v="0"/>
    <n v="0"/>
    <n v="0"/>
    <n v="1"/>
    <x v="0"/>
  </r>
  <r>
    <s v="A19L8SNH73AX1Z"/>
    <x v="0"/>
    <n v="54"/>
    <s v="female"/>
    <x v="3"/>
    <x v="8"/>
    <n v="55889"/>
    <n v="1"/>
    <n v="1"/>
    <n v="0"/>
    <n v="0"/>
    <s v="NA"/>
    <s v="NA"/>
    <s v="NA"/>
    <s v="NA"/>
    <s v="NA"/>
    <s v="NA"/>
    <s v="NA"/>
    <x v="2"/>
    <x v="1"/>
    <n v="1"/>
    <n v="0"/>
    <n v="0"/>
    <n v="1"/>
    <n v="0"/>
    <n v="0"/>
    <x v="2"/>
    <n v="0"/>
    <n v="0"/>
    <n v="0"/>
    <n v="1"/>
    <x v="0"/>
  </r>
  <r>
    <s v="A19L8SNH73AX1Z"/>
    <x v="0"/>
    <n v="54"/>
    <s v="female"/>
    <x v="2"/>
    <x v="6"/>
    <n v="63583"/>
    <n v="0"/>
    <n v="0"/>
    <n v="0"/>
    <n v="1"/>
    <s v="Bookstores A and B."/>
    <s v="Bookstores D and E."/>
    <s v="Bookstore E."/>
    <s v="ms-h"/>
    <s v="ms-l"/>
    <s v="mo-l"/>
    <n v="0"/>
    <x v="1"/>
    <x v="1"/>
    <n v="1"/>
    <n v="1"/>
    <n v="0"/>
    <n v="1"/>
    <n v="0"/>
    <n v="0"/>
    <x v="2"/>
    <n v="0"/>
    <n v="0"/>
    <n v="0"/>
    <n v="1"/>
    <x v="0"/>
  </r>
  <r>
    <s v="A19L8SNH73AX1Z"/>
    <x v="0"/>
    <n v="54"/>
    <s v="female"/>
    <x v="3"/>
    <x v="10"/>
    <n v="44907"/>
    <n v="0"/>
    <n v="0"/>
    <n v="1"/>
    <n v="0"/>
    <s v="NA"/>
    <s v="NA"/>
    <s v="NA"/>
    <s v="NA"/>
    <s v="NA"/>
    <s v="NA"/>
    <s v="NA"/>
    <x v="1"/>
    <x v="1"/>
    <n v="1"/>
    <n v="1"/>
    <n v="0"/>
    <n v="1"/>
    <n v="0"/>
    <n v="0"/>
    <x v="2"/>
    <n v="0"/>
    <n v="0"/>
    <n v="0"/>
    <n v="1"/>
    <x v="0"/>
  </r>
  <r>
    <s v="A19L8SNH73AX1Z"/>
    <x v="0"/>
    <n v="54"/>
    <s v="female"/>
    <x v="4"/>
    <x v="0"/>
    <n v="124724"/>
    <s v="No because basically it is the same question "/>
    <s v="Yes because some of the questions were too vague to answer appropriately"/>
    <s v="No"/>
    <s v="NA"/>
    <s v="NA"/>
    <s v="NA"/>
    <s v="NA"/>
    <s v="NA"/>
    <s v="NA"/>
    <s v="NA"/>
    <s v="NA"/>
    <x v="0"/>
    <x v="0"/>
    <s v="NA"/>
    <s v="NA"/>
    <s v="NA"/>
    <s v="NA"/>
    <s v="NA"/>
    <s v="NA"/>
    <x v="0"/>
    <s v="NA"/>
    <s v="NA"/>
    <s v="NA"/>
    <s v="NA"/>
    <x v="0"/>
  </r>
  <r>
    <s v="A2C6HMH2FDM2CI"/>
    <x v="0"/>
    <n v="57"/>
    <s v="male"/>
    <x v="0"/>
    <x v="0"/>
    <n v="76743"/>
    <s v="NA"/>
    <s v="NA"/>
    <s v="NA"/>
    <s v="NA"/>
    <s v="NA"/>
    <s v="NA"/>
    <s v="NA"/>
    <s v="NA"/>
    <s v="NA"/>
    <s v="NA"/>
    <s v="NA"/>
    <x v="0"/>
    <x v="0"/>
    <s v="NA"/>
    <s v="NA"/>
    <s v="NA"/>
    <s v="NA"/>
    <s v="NA"/>
    <s v="NA"/>
    <x v="0"/>
    <s v="NA"/>
    <s v="NA"/>
    <s v="NA"/>
    <s v="NA"/>
    <x v="0"/>
  </r>
  <r>
    <s v="A2C6HMH2FDM2CI"/>
    <x v="0"/>
    <n v="57"/>
    <s v="male"/>
    <x v="1"/>
    <x v="1"/>
    <n v="75161"/>
    <n v="0"/>
    <n v="0"/>
    <n v="0"/>
    <n v="1"/>
    <s v="NA"/>
    <s v="NA"/>
    <s v="NA"/>
    <s v="NA"/>
    <s v="NA"/>
    <s v="NA"/>
    <s v="NA"/>
    <x v="0"/>
    <x v="0"/>
    <s v="NA"/>
    <s v="NA"/>
    <s v="NA"/>
    <s v="NA"/>
    <s v="NA"/>
    <s v="NA"/>
    <x v="0"/>
    <s v="NA"/>
    <s v="NA"/>
    <s v="NA"/>
    <s v="NA"/>
    <x v="0"/>
  </r>
  <r>
    <s v="A2C6HMH2FDM2CI"/>
    <x v="0"/>
    <n v="57"/>
    <s v="male"/>
    <x v="1"/>
    <x v="2"/>
    <n v="66736"/>
    <n v="0"/>
    <n v="1"/>
    <n v="1"/>
    <n v="0"/>
    <s v="NA"/>
    <s v="NA"/>
    <s v="NA"/>
    <s v="NA"/>
    <s v="NA"/>
    <s v="NA"/>
    <s v="NA"/>
    <x v="0"/>
    <x v="0"/>
    <s v="NA"/>
    <s v="NA"/>
    <s v="NA"/>
    <s v="NA"/>
    <s v="NA"/>
    <s v="NA"/>
    <x v="0"/>
    <s v="NA"/>
    <s v="NA"/>
    <s v="NA"/>
    <s v="NA"/>
    <x v="0"/>
  </r>
  <r>
    <s v="A2C6HMH2FDM2CI"/>
    <x v="0"/>
    <n v="57"/>
    <s v="male"/>
    <x v="2"/>
    <x v="7"/>
    <n v="78057"/>
    <n v="0"/>
    <n v="0"/>
    <n v="0"/>
    <n v="1"/>
    <s v="Stylists A and B."/>
    <s v="Stylists A, B, C, D and E."/>
    <s v="Stylist F."/>
    <s v="ms-h"/>
    <s v="exh"/>
    <s v="fa"/>
    <n v="1"/>
    <x v="1"/>
    <x v="2"/>
    <n v="1"/>
    <n v="0"/>
    <n v="0"/>
    <n v="1"/>
    <n v="0"/>
    <n v="0"/>
    <x v="2"/>
    <n v="0"/>
    <n v="0"/>
    <n v="0"/>
    <n v="1"/>
    <x v="0"/>
  </r>
  <r>
    <s v="A2C6HMH2FDM2CI"/>
    <x v="0"/>
    <n v="57"/>
    <s v="male"/>
    <x v="2"/>
    <x v="4"/>
    <n v="61869"/>
    <n v="0"/>
    <n v="0"/>
    <n v="1"/>
    <n v="0"/>
    <s v="Stalls A and B."/>
    <s v="Stalls A, B, C, D and E."/>
    <s v="Stall A."/>
    <s v="ms-h"/>
    <s v="exh"/>
    <s v="mo-h"/>
    <n v="1"/>
    <x v="2"/>
    <x v="2"/>
    <n v="1"/>
    <n v="0"/>
    <n v="0"/>
    <n v="1"/>
    <n v="0"/>
    <n v="1"/>
    <x v="2"/>
    <n v="0"/>
    <n v="0"/>
    <n v="0"/>
    <n v="0"/>
    <x v="0"/>
  </r>
  <r>
    <s v="A2C6HMH2FDM2CI"/>
    <x v="0"/>
    <n v="57"/>
    <s v="male"/>
    <x v="3"/>
    <x v="10"/>
    <n v="64367"/>
    <n v="0"/>
    <n v="0"/>
    <n v="0"/>
    <n v="1"/>
    <s v="NA"/>
    <s v="NA"/>
    <s v="NA"/>
    <s v="NA"/>
    <s v="NA"/>
    <s v="NA"/>
    <s v="NA"/>
    <x v="2"/>
    <x v="2"/>
    <n v="1"/>
    <n v="0"/>
    <n v="0"/>
    <n v="1"/>
    <n v="0"/>
    <n v="1"/>
    <x v="2"/>
    <n v="0"/>
    <n v="0"/>
    <n v="0"/>
    <n v="0"/>
    <x v="0"/>
  </r>
  <r>
    <s v="A2C6HMH2FDM2CI"/>
    <x v="0"/>
    <n v="57"/>
    <s v="male"/>
    <x v="2"/>
    <x v="11"/>
    <n v="67441"/>
    <n v="0"/>
    <n v="0"/>
    <n v="0"/>
    <n v="1"/>
    <s v="Dentist E."/>
    <s v="Dentists A, B, C, D and E."/>
    <s v="Dentist F."/>
    <s v="mo-l"/>
    <s v="exh"/>
    <s v="fa"/>
    <n v="1"/>
    <x v="1"/>
    <x v="1"/>
    <n v="0"/>
    <n v="0"/>
    <n v="0"/>
    <n v="1"/>
    <n v="0"/>
    <n v="0"/>
    <x v="2"/>
    <n v="0"/>
    <n v="0"/>
    <n v="0"/>
    <n v="1"/>
    <x v="0"/>
  </r>
  <r>
    <s v="A2C6HMH2FDM2CI"/>
    <x v="0"/>
    <n v="57"/>
    <s v="male"/>
    <x v="2"/>
    <x v="3"/>
    <n v="73127"/>
    <n v="1"/>
    <n v="1"/>
    <n v="1"/>
    <n v="0"/>
    <s v="Cafes A and B."/>
    <s v="Cafe E."/>
    <s v="Cafe F."/>
    <s v="ms-h"/>
    <s v="mo-l"/>
    <s v="fa"/>
    <n v="0"/>
    <x v="1"/>
    <x v="1"/>
    <n v="1"/>
    <n v="0"/>
    <n v="0"/>
    <n v="1"/>
    <n v="0"/>
    <n v="0"/>
    <x v="1"/>
    <n v="1"/>
    <n v="0"/>
    <n v="0"/>
    <n v="0"/>
    <x v="0"/>
  </r>
  <r>
    <s v="A2C6HMH2FDM2CI"/>
    <x v="0"/>
    <n v="57"/>
    <s v="male"/>
    <x v="3"/>
    <x v="5"/>
    <n v="54170"/>
    <n v="0"/>
    <n v="0"/>
    <n v="1"/>
    <n v="0"/>
    <s v="NA"/>
    <s v="NA"/>
    <s v="NA"/>
    <s v="NA"/>
    <s v="NA"/>
    <s v="NA"/>
    <s v="NA"/>
    <x v="1"/>
    <x v="1"/>
    <n v="1"/>
    <n v="0"/>
    <n v="0"/>
    <n v="1"/>
    <n v="0"/>
    <n v="0"/>
    <x v="1"/>
    <n v="1"/>
    <n v="0"/>
    <n v="0"/>
    <n v="0"/>
    <x v="0"/>
  </r>
  <r>
    <s v="A2C6HMH2FDM2CI"/>
    <x v="0"/>
    <n v="57"/>
    <s v="male"/>
    <x v="2"/>
    <x v="6"/>
    <n v="71858"/>
    <n v="0"/>
    <n v="0"/>
    <n v="0"/>
    <n v="1"/>
    <s v="Bookstore F."/>
    <s v="Bookstores A and B."/>
    <s v="Bookstore E."/>
    <s v="fa"/>
    <s v="ms-h"/>
    <s v="mo-l"/>
    <n v="0"/>
    <x v="1"/>
    <x v="1"/>
    <n v="1"/>
    <n v="0"/>
    <n v="0"/>
    <n v="1"/>
    <n v="0"/>
    <n v="0"/>
    <x v="2"/>
    <n v="0"/>
    <n v="0"/>
    <n v="0"/>
    <n v="1"/>
    <x v="0"/>
  </r>
  <r>
    <s v="A2C6HMH2FDM2CI"/>
    <x v="0"/>
    <n v="57"/>
    <s v="male"/>
    <x v="3"/>
    <x v="12"/>
    <n v="37689"/>
    <n v="0"/>
    <n v="0"/>
    <n v="0"/>
    <n v="1"/>
    <s v="NA"/>
    <s v="NA"/>
    <s v="NA"/>
    <s v="NA"/>
    <s v="NA"/>
    <s v="NA"/>
    <s v="NA"/>
    <x v="1"/>
    <x v="1"/>
    <n v="1"/>
    <n v="0"/>
    <n v="0"/>
    <n v="1"/>
    <n v="0"/>
    <n v="0"/>
    <x v="2"/>
    <n v="0"/>
    <n v="0"/>
    <n v="0"/>
    <n v="1"/>
    <x v="0"/>
  </r>
  <r>
    <s v="A2C6HMH2FDM2CI"/>
    <x v="0"/>
    <n v="57"/>
    <s v="male"/>
    <x v="2"/>
    <x v="9"/>
    <n v="53448"/>
    <n v="1"/>
    <n v="0"/>
    <n v="0"/>
    <n v="0"/>
    <s v="Store A."/>
    <s v="Store F."/>
    <s v="Stores A and B."/>
    <s v="mo-h"/>
    <s v="fa"/>
    <s v="ms-h"/>
    <n v="0"/>
    <x v="2"/>
    <x v="2"/>
    <n v="1"/>
    <n v="0"/>
    <n v="0"/>
    <n v="1"/>
    <n v="0"/>
    <n v="1"/>
    <x v="2"/>
    <n v="0"/>
    <n v="0"/>
    <n v="0"/>
    <n v="0"/>
    <x v="0"/>
  </r>
  <r>
    <s v="A2C6HMH2FDM2CI"/>
    <x v="0"/>
    <n v="57"/>
    <s v="male"/>
    <x v="3"/>
    <x v="8"/>
    <n v="49291"/>
    <n v="1"/>
    <n v="0"/>
    <n v="0"/>
    <n v="0"/>
    <s v="NA"/>
    <s v="NA"/>
    <s v="NA"/>
    <s v="NA"/>
    <s v="NA"/>
    <s v="NA"/>
    <s v="NA"/>
    <x v="2"/>
    <x v="2"/>
    <n v="1"/>
    <n v="0"/>
    <n v="0"/>
    <n v="1"/>
    <n v="0"/>
    <n v="1"/>
    <x v="2"/>
    <n v="0"/>
    <n v="0"/>
    <n v="0"/>
    <n v="0"/>
    <x v="0"/>
  </r>
  <r>
    <s v="A2C6HMH2FDM2CI"/>
    <x v="0"/>
    <n v="57"/>
    <s v="male"/>
    <x v="4"/>
    <x v="0"/>
    <n v="154300"/>
    <s v="No%2C I would answer the same either way%2C as it is the same question worded differently"/>
    <s v="no It was long%2C but not difficult"/>
    <s v="Hi guys!"/>
    <s v="NA"/>
    <s v="NA"/>
    <s v="NA"/>
    <s v="NA"/>
    <s v="NA"/>
    <s v="NA"/>
    <s v="NA"/>
    <s v="NA"/>
    <x v="0"/>
    <x v="0"/>
    <s v="NA"/>
    <s v="NA"/>
    <s v="NA"/>
    <s v="NA"/>
    <s v="NA"/>
    <s v="NA"/>
    <x v="0"/>
    <s v="NA"/>
    <s v="NA"/>
    <s v="NA"/>
    <s v="NA"/>
    <x v="0"/>
  </r>
  <r>
    <s v="A3C5G8LGIAW0XL"/>
    <x v="0"/>
    <n v="37"/>
    <s v="female"/>
    <x v="0"/>
    <x v="0"/>
    <n v="37803"/>
    <s v="NA"/>
    <s v="NA"/>
    <s v="NA"/>
    <s v="NA"/>
    <s v="NA"/>
    <s v="NA"/>
    <s v="NA"/>
    <s v="NA"/>
    <s v="NA"/>
    <s v="NA"/>
    <s v="NA"/>
    <x v="0"/>
    <x v="0"/>
    <s v="NA"/>
    <s v="NA"/>
    <s v="NA"/>
    <s v="NA"/>
    <s v="NA"/>
    <s v="NA"/>
    <x v="0"/>
    <s v="NA"/>
    <s v="NA"/>
    <s v="NA"/>
    <s v="NA"/>
    <x v="0"/>
  </r>
  <r>
    <s v="A3C5G8LGIAW0XL"/>
    <x v="0"/>
    <n v="37"/>
    <s v="female"/>
    <x v="1"/>
    <x v="1"/>
    <n v="65067"/>
    <n v="0"/>
    <n v="1"/>
    <n v="0"/>
    <n v="0"/>
    <s v="NA"/>
    <s v="NA"/>
    <s v="NA"/>
    <s v="NA"/>
    <s v="NA"/>
    <s v="NA"/>
    <s v="NA"/>
    <x v="0"/>
    <x v="0"/>
    <s v="NA"/>
    <s v="NA"/>
    <s v="NA"/>
    <s v="NA"/>
    <s v="NA"/>
    <s v="NA"/>
    <x v="0"/>
    <s v="NA"/>
    <s v="NA"/>
    <s v="NA"/>
    <s v="NA"/>
    <x v="0"/>
  </r>
  <r>
    <s v="A3C5G8LGIAW0XL"/>
    <x v="0"/>
    <n v="37"/>
    <s v="female"/>
    <x v="1"/>
    <x v="2"/>
    <n v="40645"/>
    <n v="0"/>
    <n v="0"/>
    <n v="1"/>
    <n v="0"/>
    <s v="NA"/>
    <s v="NA"/>
    <s v="NA"/>
    <s v="NA"/>
    <s v="NA"/>
    <s v="NA"/>
    <s v="NA"/>
    <x v="0"/>
    <x v="0"/>
    <s v="NA"/>
    <s v="NA"/>
    <s v="NA"/>
    <s v="NA"/>
    <s v="NA"/>
    <s v="NA"/>
    <x v="0"/>
    <s v="NA"/>
    <s v="NA"/>
    <s v="NA"/>
    <s v="NA"/>
    <x v="0"/>
  </r>
  <r>
    <s v="A3C5G8LGIAW0XL"/>
    <x v="0"/>
    <n v="37"/>
    <s v="female"/>
    <x v="2"/>
    <x v="9"/>
    <n v="34044"/>
    <n v="0"/>
    <n v="0"/>
    <n v="0"/>
    <n v="1"/>
    <s v="Stores D and E."/>
    <s v="Store E."/>
    <s v="Store F."/>
    <s v="ms-l"/>
    <s v="mo-l"/>
    <s v="fa"/>
    <n v="0"/>
    <x v="1"/>
    <x v="1"/>
    <n v="0"/>
    <n v="1"/>
    <n v="0"/>
    <n v="1"/>
    <n v="0"/>
    <n v="0"/>
    <x v="2"/>
    <n v="0"/>
    <n v="0"/>
    <n v="0"/>
    <n v="1"/>
    <x v="0"/>
  </r>
  <r>
    <s v="A3C5G8LGIAW0XL"/>
    <x v="0"/>
    <n v="37"/>
    <s v="female"/>
    <x v="2"/>
    <x v="11"/>
    <n v="84520"/>
    <n v="0"/>
    <n v="0"/>
    <n v="0"/>
    <n v="1"/>
    <s v="Dentist E."/>
    <s v="Dentists D and E."/>
    <s v="Dentists A and B."/>
    <s v="mo-l"/>
    <s v="ms-l"/>
    <s v="ms-h"/>
    <n v="0"/>
    <x v="1"/>
    <x v="1"/>
    <n v="1"/>
    <n v="1"/>
    <n v="0"/>
    <n v="1"/>
    <n v="0"/>
    <n v="0"/>
    <x v="2"/>
    <n v="0"/>
    <n v="0"/>
    <n v="0"/>
    <n v="1"/>
    <x v="0"/>
  </r>
  <r>
    <s v="A3C5G8LGIAW0XL"/>
    <x v="0"/>
    <n v="37"/>
    <s v="female"/>
    <x v="3"/>
    <x v="5"/>
    <n v="29116"/>
    <n v="0"/>
    <n v="1"/>
    <n v="0"/>
    <n v="0"/>
    <s v="NA"/>
    <s v="NA"/>
    <s v="NA"/>
    <s v="NA"/>
    <s v="NA"/>
    <s v="NA"/>
    <s v="NA"/>
    <x v="1"/>
    <x v="1"/>
    <n v="1"/>
    <n v="1"/>
    <n v="0"/>
    <n v="1"/>
    <n v="0"/>
    <n v="0"/>
    <x v="2"/>
    <n v="0"/>
    <n v="0"/>
    <n v="0"/>
    <n v="1"/>
    <x v="0"/>
  </r>
  <r>
    <s v="A3C5G8LGIAW0XL"/>
    <x v="0"/>
    <n v="37"/>
    <s v="female"/>
    <x v="2"/>
    <x v="6"/>
    <n v="265625"/>
    <n v="0"/>
    <n v="0"/>
    <n v="0"/>
    <n v="1"/>
    <s v="Bookstores A, B, C, D and E."/>
    <s v="Bookstores D and E."/>
    <s v="Bookstore F."/>
    <s v="exh"/>
    <s v="ms-l"/>
    <s v="fa"/>
    <n v="1"/>
    <x v="1"/>
    <x v="2"/>
    <n v="0"/>
    <n v="1"/>
    <n v="0"/>
    <n v="1"/>
    <n v="0"/>
    <n v="0"/>
    <x v="2"/>
    <n v="0"/>
    <n v="0"/>
    <n v="0"/>
    <n v="1"/>
    <x v="0"/>
  </r>
  <r>
    <s v="A3C5G8LGIAW0XL"/>
    <x v="0"/>
    <n v="37"/>
    <s v="female"/>
    <x v="2"/>
    <x v="4"/>
    <n v="25200"/>
    <n v="0"/>
    <n v="1"/>
    <n v="0"/>
    <n v="0"/>
    <s v="Stalls A and B."/>
    <s v="Stall A."/>
    <s v="Stalls D and E."/>
    <s v="ms-h"/>
    <s v="mo-h"/>
    <s v="ms-l"/>
    <n v="0"/>
    <x v="2"/>
    <x v="2"/>
    <n v="1"/>
    <n v="1"/>
    <n v="0"/>
    <n v="1"/>
    <n v="0"/>
    <n v="1"/>
    <x v="2"/>
    <n v="0"/>
    <n v="0"/>
    <n v="0"/>
    <n v="0"/>
    <x v="0"/>
  </r>
  <r>
    <s v="A3C5G8LGIAW0XL"/>
    <x v="0"/>
    <n v="37"/>
    <s v="female"/>
    <x v="3"/>
    <x v="8"/>
    <n v="39926"/>
    <n v="1"/>
    <n v="0"/>
    <n v="0"/>
    <n v="0"/>
    <s v="NA"/>
    <s v="NA"/>
    <s v="NA"/>
    <s v="NA"/>
    <s v="NA"/>
    <s v="NA"/>
    <s v="NA"/>
    <x v="2"/>
    <x v="2"/>
    <n v="1"/>
    <n v="1"/>
    <n v="0"/>
    <n v="1"/>
    <n v="0"/>
    <n v="1"/>
    <x v="2"/>
    <n v="0"/>
    <n v="0"/>
    <n v="0"/>
    <n v="0"/>
    <x v="0"/>
  </r>
  <r>
    <s v="A3C5G8LGIAW0XL"/>
    <x v="0"/>
    <n v="37"/>
    <s v="female"/>
    <x v="2"/>
    <x v="7"/>
    <n v="19789"/>
    <n v="0"/>
    <n v="0"/>
    <n v="1"/>
    <n v="0"/>
    <s v="Stylist E."/>
    <s v="Stylists D and E."/>
    <s v="Stylist A."/>
    <s v="mo-l"/>
    <s v="ms-l"/>
    <s v="mo-h"/>
    <n v="0"/>
    <x v="2"/>
    <x v="1"/>
    <n v="0"/>
    <n v="1"/>
    <n v="0"/>
    <n v="1"/>
    <n v="0"/>
    <n v="1"/>
    <x v="2"/>
    <n v="0"/>
    <n v="0"/>
    <n v="0"/>
    <n v="0"/>
    <x v="0"/>
  </r>
  <r>
    <s v="A3C5G8LGIAW0XL"/>
    <x v="0"/>
    <n v="37"/>
    <s v="female"/>
    <x v="3"/>
    <x v="10"/>
    <n v="81413"/>
    <n v="1"/>
    <n v="0"/>
    <n v="0"/>
    <n v="0"/>
    <s v="NA"/>
    <s v="NA"/>
    <s v="NA"/>
    <s v="NA"/>
    <s v="NA"/>
    <s v="NA"/>
    <s v="NA"/>
    <x v="2"/>
    <x v="1"/>
    <n v="0"/>
    <n v="1"/>
    <n v="0"/>
    <n v="1"/>
    <n v="0"/>
    <n v="1"/>
    <x v="2"/>
    <n v="0"/>
    <n v="0"/>
    <n v="0"/>
    <n v="0"/>
    <x v="0"/>
  </r>
  <r>
    <s v="A3C5G8LGIAW0XL"/>
    <x v="0"/>
    <n v="37"/>
    <s v="female"/>
    <x v="2"/>
    <x v="3"/>
    <n v="21460"/>
    <n v="1"/>
    <n v="0"/>
    <n v="0"/>
    <n v="0"/>
    <s v="Cafe A."/>
    <s v="Cafes A and B."/>
    <s v="Cafe E."/>
    <s v="mo-h"/>
    <s v="ms-h"/>
    <s v="mo-l"/>
    <n v="0"/>
    <x v="2"/>
    <x v="1"/>
    <n v="1"/>
    <n v="0"/>
    <n v="0"/>
    <n v="1"/>
    <n v="0"/>
    <n v="1"/>
    <x v="2"/>
    <n v="0"/>
    <n v="0"/>
    <n v="0"/>
    <n v="0"/>
    <x v="0"/>
  </r>
  <r>
    <s v="A3C5G8LGIAW0XL"/>
    <x v="0"/>
    <n v="37"/>
    <s v="female"/>
    <x v="3"/>
    <x v="12"/>
    <n v="33991"/>
    <n v="1"/>
    <n v="0"/>
    <n v="0"/>
    <n v="0"/>
    <s v="NA"/>
    <s v="NA"/>
    <s v="NA"/>
    <s v="NA"/>
    <s v="NA"/>
    <s v="NA"/>
    <s v="NA"/>
    <x v="2"/>
    <x v="1"/>
    <n v="1"/>
    <n v="0"/>
    <n v="0"/>
    <n v="1"/>
    <n v="0"/>
    <n v="1"/>
    <x v="2"/>
    <n v="0"/>
    <n v="0"/>
    <n v="0"/>
    <n v="0"/>
    <x v="0"/>
  </r>
  <r>
    <s v="A3C5G8LGIAW0XL"/>
    <x v="0"/>
    <n v="37"/>
    <s v="female"/>
    <x v="4"/>
    <x v="0"/>
    <n v="210936"/>
    <s v="Yes%2C because there will be multitude of places to go for brunch%2C when they ask where? I will be giving my recommendation based on my knowledge and experience."/>
    <s v=" I only found it difficult insofar as me doubting my reading comprehension skills."/>
    <s v="No"/>
    <s v="NA"/>
    <s v="NA"/>
    <s v="NA"/>
    <s v="NA"/>
    <s v="NA"/>
    <s v="NA"/>
    <s v="NA"/>
    <s v="NA"/>
    <x v="0"/>
    <x v="0"/>
    <s v="NA"/>
    <s v="NA"/>
    <s v="NA"/>
    <s v="NA"/>
    <s v="NA"/>
    <s v="NA"/>
    <x v="0"/>
    <s v="NA"/>
    <s v="NA"/>
    <s v="NA"/>
    <s v="NA"/>
    <x v="0"/>
  </r>
  <r>
    <s v="A0017268R9SKD8U2Y3F"/>
    <x v="0"/>
    <n v="26"/>
    <s v="female"/>
    <x v="0"/>
    <x v="0"/>
    <n v="11747"/>
    <s v="NA"/>
    <s v="NA"/>
    <s v="NA"/>
    <s v="NA"/>
    <s v="NA"/>
    <s v="NA"/>
    <s v="NA"/>
    <s v="NA"/>
    <s v="NA"/>
    <s v="NA"/>
    <s v="NA"/>
    <x v="0"/>
    <x v="0"/>
    <s v="NA"/>
    <s v="NA"/>
    <s v="NA"/>
    <s v="NA"/>
    <s v="NA"/>
    <s v="NA"/>
    <x v="0"/>
    <s v="NA"/>
    <s v="NA"/>
    <s v="NA"/>
    <s v="NA"/>
    <x v="0"/>
  </r>
  <r>
    <s v="A0017268R9SKD8U2Y3F"/>
    <x v="0"/>
    <n v="26"/>
    <s v="female"/>
    <x v="1"/>
    <x v="2"/>
    <n v="78574"/>
    <n v="0"/>
    <n v="0"/>
    <n v="1"/>
    <n v="0"/>
    <s v="NA"/>
    <s v="NA"/>
    <s v="NA"/>
    <s v="NA"/>
    <s v="NA"/>
    <s v="NA"/>
    <s v="NA"/>
    <x v="0"/>
    <x v="0"/>
    <s v="NA"/>
    <s v="NA"/>
    <s v="NA"/>
    <s v="NA"/>
    <s v="NA"/>
    <s v="NA"/>
    <x v="0"/>
    <s v="NA"/>
    <s v="NA"/>
    <s v="NA"/>
    <s v="NA"/>
    <x v="0"/>
  </r>
  <r>
    <s v="A0017268R9SKD8U2Y3F"/>
    <x v="0"/>
    <n v="26"/>
    <s v="female"/>
    <x v="1"/>
    <x v="1"/>
    <n v="114167"/>
    <n v="0"/>
    <n v="0"/>
    <n v="0"/>
    <n v="1"/>
    <s v="NA"/>
    <s v="NA"/>
    <s v="NA"/>
    <s v="NA"/>
    <s v="NA"/>
    <s v="NA"/>
    <s v="NA"/>
    <x v="0"/>
    <x v="0"/>
    <s v="NA"/>
    <s v="NA"/>
    <s v="NA"/>
    <s v="NA"/>
    <s v="NA"/>
    <s v="NA"/>
    <x v="0"/>
    <s v="NA"/>
    <s v="NA"/>
    <s v="NA"/>
    <s v="NA"/>
    <x v="0"/>
  </r>
  <r>
    <s v="A0017268R9SKD8U2Y3F"/>
    <x v="0"/>
    <n v="26"/>
    <s v="female"/>
    <x v="2"/>
    <x v="6"/>
    <n v="21786"/>
    <n v="0"/>
    <n v="0"/>
    <n v="0"/>
    <n v="1"/>
    <s v="Bookstore E."/>
    <s v="Bookstore A."/>
    <s v="Bookstores D and E."/>
    <s v="mo-l"/>
    <s v="mo-h"/>
    <s v="ms-l"/>
    <n v="0"/>
    <x v="2"/>
    <x v="1"/>
    <n v="0"/>
    <n v="1"/>
    <n v="0"/>
    <n v="1"/>
    <n v="0"/>
    <n v="0"/>
    <x v="2"/>
    <n v="0"/>
    <n v="0"/>
    <n v="0"/>
    <n v="1"/>
    <x v="0"/>
  </r>
  <r>
    <s v="A0017268R9SKD8U2Y3F"/>
    <x v="0"/>
    <n v="26"/>
    <s v="female"/>
    <x v="3"/>
    <x v="12"/>
    <n v="185453"/>
    <n v="1"/>
    <n v="0"/>
    <n v="0"/>
    <n v="0"/>
    <s v="NA"/>
    <s v="NA"/>
    <s v="NA"/>
    <s v="NA"/>
    <s v="NA"/>
    <s v="NA"/>
    <s v="NA"/>
    <x v="2"/>
    <x v="1"/>
    <n v="0"/>
    <n v="1"/>
    <n v="0"/>
    <n v="1"/>
    <n v="0"/>
    <n v="0"/>
    <x v="2"/>
    <n v="0"/>
    <n v="0"/>
    <n v="0"/>
    <n v="1"/>
    <x v="0"/>
  </r>
  <r>
    <s v="A0017268R9SKD8U2Y3F"/>
    <x v="0"/>
    <n v="26"/>
    <s v="female"/>
    <x v="2"/>
    <x v="4"/>
    <n v="73179"/>
    <n v="1"/>
    <n v="0"/>
    <n v="0"/>
    <n v="0"/>
    <s v="Stall A."/>
    <s v="Stalls D and E."/>
    <s v="Stall E."/>
    <s v="mo-h"/>
    <s v="ms-l"/>
    <s v="mo-l"/>
    <n v="0"/>
    <x v="2"/>
    <x v="1"/>
    <n v="0"/>
    <n v="1"/>
    <n v="0"/>
    <n v="1"/>
    <n v="0"/>
    <n v="1"/>
    <x v="2"/>
    <n v="0"/>
    <n v="0"/>
    <n v="0"/>
    <n v="0"/>
    <x v="0"/>
  </r>
  <r>
    <s v="A0017268R9SKD8U2Y3F"/>
    <x v="0"/>
    <n v="26"/>
    <s v="female"/>
    <x v="2"/>
    <x v="11"/>
    <n v="32228"/>
    <n v="0"/>
    <n v="0"/>
    <n v="1"/>
    <n v="0"/>
    <s v="Dentist F."/>
    <s v="Dentist E."/>
    <s v="Dentists A and B."/>
    <s v="fa"/>
    <s v="mo-l"/>
    <s v="ms-h"/>
    <n v="0"/>
    <x v="1"/>
    <x v="1"/>
    <n v="1"/>
    <n v="0"/>
    <n v="0"/>
    <n v="1"/>
    <n v="0"/>
    <n v="0"/>
    <x v="2"/>
    <n v="1"/>
    <n v="0"/>
    <n v="0"/>
    <n v="0"/>
    <x v="0"/>
  </r>
  <r>
    <s v="A0017268R9SKD8U2Y3F"/>
    <x v="0"/>
    <n v="26"/>
    <s v="female"/>
    <x v="3"/>
    <x v="5"/>
    <n v="30340"/>
    <n v="0"/>
    <n v="0"/>
    <n v="1"/>
    <n v="0"/>
    <s v="NA"/>
    <s v="NA"/>
    <s v="NA"/>
    <s v="NA"/>
    <s v="NA"/>
    <s v="NA"/>
    <s v="NA"/>
    <x v="1"/>
    <x v="1"/>
    <n v="1"/>
    <n v="0"/>
    <n v="0"/>
    <n v="1"/>
    <n v="0"/>
    <n v="0"/>
    <x v="2"/>
    <n v="1"/>
    <n v="0"/>
    <n v="0"/>
    <n v="0"/>
    <x v="0"/>
  </r>
  <r>
    <s v="A0017268R9SKD8U2Y3F"/>
    <x v="0"/>
    <n v="26"/>
    <s v="female"/>
    <x v="2"/>
    <x v="3"/>
    <n v="11459"/>
    <n v="1"/>
    <n v="1"/>
    <n v="1"/>
    <n v="0"/>
    <s v="Cafe E."/>
    <s v="Cafe F."/>
    <s v="Cafe A."/>
    <s v="mo-l"/>
    <s v="fa"/>
    <s v="mo-h"/>
    <n v="0"/>
    <x v="2"/>
    <x v="1"/>
    <n v="0"/>
    <n v="0"/>
    <n v="0"/>
    <n v="1"/>
    <n v="0"/>
    <n v="1"/>
    <x v="1"/>
    <n v="0"/>
    <n v="0"/>
    <n v="0"/>
    <n v="0"/>
    <x v="0"/>
  </r>
  <r>
    <s v="A0017268R9SKD8U2Y3F"/>
    <x v="0"/>
    <n v="26"/>
    <s v="female"/>
    <x v="3"/>
    <x v="8"/>
    <n v="78378"/>
    <n v="1"/>
    <n v="1"/>
    <n v="0"/>
    <n v="0"/>
    <s v="NA"/>
    <s v="NA"/>
    <s v="NA"/>
    <s v="NA"/>
    <s v="NA"/>
    <s v="NA"/>
    <s v="NA"/>
    <x v="2"/>
    <x v="1"/>
    <n v="0"/>
    <n v="0"/>
    <n v="0"/>
    <n v="1"/>
    <n v="0"/>
    <n v="1"/>
    <x v="1"/>
    <n v="0"/>
    <n v="0"/>
    <n v="0"/>
    <n v="0"/>
    <x v="0"/>
  </r>
  <r>
    <s v="A0017268R9SKD8U2Y3F"/>
    <x v="0"/>
    <n v="26"/>
    <s v="female"/>
    <x v="2"/>
    <x v="9"/>
    <n v="24404"/>
    <n v="1"/>
    <n v="1"/>
    <n v="1"/>
    <n v="0"/>
    <s v="Stores A and B."/>
    <s v="Store E."/>
    <s v="Stores A, B, C, D and E."/>
    <s v="ms-h"/>
    <s v="mo-l"/>
    <s v="exh"/>
    <n v="1"/>
    <x v="1"/>
    <x v="1"/>
    <n v="1"/>
    <n v="0"/>
    <n v="0"/>
    <n v="1"/>
    <n v="1"/>
    <n v="0"/>
    <x v="1"/>
    <n v="1"/>
    <n v="0"/>
    <n v="0"/>
    <n v="0"/>
    <x v="0"/>
  </r>
  <r>
    <s v="A0017268R9SKD8U2Y3F"/>
    <x v="0"/>
    <n v="26"/>
    <s v="female"/>
    <x v="2"/>
    <x v="7"/>
    <n v="8868"/>
    <n v="1"/>
    <n v="1"/>
    <n v="1"/>
    <n v="0"/>
    <s v="Stylist A."/>
    <s v="Stylist F."/>
    <s v="Stylists D and E."/>
    <s v="mo-h"/>
    <s v="fa"/>
    <s v="ms-l"/>
    <n v="0"/>
    <x v="2"/>
    <x v="2"/>
    <n v="0"/>
    <n v="1"/>
    <n v="0"/>
    <n v="1"/>
    <n v="0"/>
    <n v="1"/>
    <x v="2"/>
    <n v="0"/>
    <n v="1"/>
    <n v="0"/>
    <n v="0"/>
    <x v="0"/>
  </r>
  <r>
    <s v="A0017268R9SKD8U2Y3F"/>
    <x v="0"/>
    <n v="26"/>
    <s v="female"/>
    <x v="3"/>
    <x v="10"/>
    <n v="22014"/>
    <n v="0"/>
    <n v="0"/>
    <n v="0"/>
    <n v="1"/>
    <s v="NA"/>
    <s v="NA"/>
    <s v="NA"/>
    <s v="NA"/>
    <s v="NA"/>
    <s v="NA"/>
    <s v="NA"/>
    <x v="2"/>
    <x v="2"/>
    <n v="0"/>
    <n v="1"/>
    <n v="0"/>
    <n v="1"/>
    <n v="0"/>
    <n v="1"/>
    <x v="2"/>
    <n v="0"/>
    <n v="1"/>
    <n v="0"/>
    <n v="0"/>
    <x v="0"/>
  </r>
  <r>
    <s v="A0017268R9SKD8U2Y3F"/>
    <x v="0"/>
    <n v="26"/>
    <s v="female"/>
    <x v="4"/>
    <x v="0"/>
    <n v="505289"/>
    <s v="Yes%2C I would answer differently. One question simply asks to list which restaurants serve brunch while the second question seeks advice on which restaurants to visit for brunch. "/>
    <s v="Here and there it was difficult. I didn't know how to answer questions such as%2C &quot;Do they know where XYZ got coffee from?&quot; Well%2C does it count when an individual only mentions one coffee shop when XYZ actually visited five coffee shops? That was hard."/>
    <s v="No"/>
    <s v="NA"/>
    <s v="NA"/>
    <s v="NA"/>
    <s v="NA"/>
    <s v="NA"/>
    <s v="NA"/>
    <s v="NA"/>
    <s v="NA"/>
    <x v="0"/>
    <x v="0"/>
    <s v="NA"/>
    <s v="NA"/>
    <s v="NA"/>
    <s v="NA"/>
    <s v="NA"/>
    <s v="NA"/>
    <x v="0"/>
    <s v="NA"/>
    <s v="NA"/>
    <s v="NA"/>
    <s v="NA"/>
    <x v="0"/>
  </r>
  <r>
    <s v="A2F2DDH12YU4AK"/>
    <x v="0"/>
    <n v="35"/>
    <s v="male"/>
    <x v="0"/>
    <x v="0"/>
    <n v="13670"/>
    <s v="NA"/>
    <s v="NA"/>
    <s v="NA"/>
    <s v="NA"/>
    <s v="NA"/>
    <s v="NA"/>
    <s v="NA"/>
    <s v="NA"/>
    <s v="NA"/>
    <s v="NA"/>
    <s v="NA"/>
    <x v="0"/>
    <x v="0"/>
    <s v="NA"/>
    <s v="NA"/>
    <s v="NA"/>
    <s v="NA"/>
    <s v="NA"/>
    <s v="NA"/>
    <x v="0"/>
    <s v="NA"/>
    <s v="NA"/>
    <s v="NA"/>
    <s v="NA"/>
    <x v="0"/>
  </r>
  <r>
    <s v="A2F2DDH12YU4AK"/>
    <x v="0"/>
    <n v="35"/>
    <s v="male"/>
    <x v="1"/>
    <x v="1"/>
    <n v="20981"/>
    <n v="0"/>
    <n v="0"/>
    <n v="0"/>
    <n v="1"/>
    <s v="NA"/>
    <s v="NA"/>
    <s v="NA"/>
    <s v="NA"/>
    <s v="NA"/>
    <s v="NA"/>
    <s v="NA"/>
    <x v="0"/>
    <x v="0"/>
    <s v="NA"/>
    <s v="NA"/>
    <s v="NA"/>
    <s v="NA"/>
    <s v="NA"/>
    <s v="NA"/>
    <x v="0"/>
    <s v="NA"/>
    <s v="NA"/>
    <s v="NA"/>
    <s v="NA"/>
    <x v="0"/>
  </r>
  <r>
    <s v="A2F2DDH12YU4AK"/>
    <x v="0"/>
    <n v="35"/>
    <s v="male"/>
    <x v="1"/>
    <x v="2"/>
    <n v="26940"/>
    <n v="0"/>
    <n v="1"/>
    <n v="1"/>
    <n v="0"/>
    <s v="NA"/>
    <s v="NA"/>
    <s v="NA"/>
    <s v="NA"/>
    <s v="NA"/>
    <s v="NA"/>
    <s v="NA"/>
    <x v="0"/>
    <x v="0"/>
    <s v="NA"/>
    <s v="NA"/>
    <s v="NA"/>
    <s v="NA"/>
    <s v="NA"/>
    <s v="NA"/>
    <x v="0"/>
    <s v="NA"/>
    <s v="NA"/>
    <s v="NA"/>
    <s v="NA"/>
    <x v="0"/>
  </r>
  <r>
    <s v="A2F2DDH12YU4AK"/>
    <x v="0"/>
    <n v="35"/>
    <s v="male"/>
    <x v="2"/>
    <x v="3"/>
    <n v="25163"/>
    <n v="0"/>
    <n v="0"/>
    <n v="0"/>
    <n v="1"/>
    <s v="Cafe A."/>
    <s v="Cafes D and E."/>
    <s v="Cafes A, B, C, D and E."/>
    <s v="mo-h"/>
    <s v="ms-l"/>
    <s v="exh"/>
    <n v="1"/>
    <x v="2"/>
    <x v="2"/>
    <n v="0"/>
    <n v="1"/>
    <n v="0"/>
    <n v="1"/>
    <n v="0"/>
    <n v="0"/>
    <x v="2"/>
    <n v="0"/>
    <n v="0"/>
    <n v="0"/>
    <n v="1"/>
    <x v="0"/>
  </r>
  <r>
    <s v="A2F2DDH12YU4AK"/>
    <x v="0"/>
    <n v="35"/>
    <s v="male"/>
    <x v="2"/>
    <x v="4"/>
    <n v="19180"/>
    <n v="0"/>
    <n v="0"/>
    <n v="0"/>
    <n v="1"/>
    <s v="Stall E."/>
    <s v="Stalls D and E."/>
    <s v="Stall F."/>
    <s v="mo-l"/>
    <s v="ms-l"/>
    <s v="fa"/>
    <n v="0"/>
    <x v="1"/>
    <x v="1"/>
    <n v="0"/>
    <n v="1"/>
    <n v="0"/>
    <n v="1"/>
    <n v="0"/>
    <n v="0"/>
    <x v="2"/>
    <n v="0"/>
    <n v="0"/>
    <n v="0"/>
    <n v="1"/>
    <x v="0"/>
  </r>
  <r>
    <s v="A2F2DDH12YU4AK"/>
    <x v="0"/>
    <n v="35"/>
    <s v="male"/>
    <x v="3"/>
    <x v="8"/>
    <n v="21684"/>
    <n v="1"/>
    <n v="0"/>
    <n v="0"/>
    <n v="0"/>
    <s v="NA"/>
    <s v="NA"/>
    <s v="NA"/>
    <s v="NA"/>
    <s v="NA"/>
    <s v="NA"/>
    <s v="NA"/>
    <x v="1"/>
    <x v="1"/>
    <n v="0"/>
    <n v="1"/>
    <n v="0"/>
    <n v="1"/>
    <n v="0"/>
    <n v="0"/>
    <x v="2"/>
    <n v="0"/>
    <n v="0"/>
    <n v="0"/>
    <n v="1"/>
    <x v="0"/>
  </r>
  <r>
    <s v="A2F2DDH12YU4AK"/>
    <x v="0"/>
    <n v="35"/>
    <s v="male"/>
    <x v="2"/>
    <x v="7"/>
    <n v="18716"/>
    <n v="0"/>
    <n v="0"/>
    <n v="0"/>
    <n v="1"/>
    <s v="Stylist A."/>
    <s v="Stylist F."/>
    <s v="Stylist E."/>
    <s v="mo-h"/>
    <s v="fa"/>
    <s v="mo-l"/>
    <n v="0"/>
    <x v="2"/>
    <x v="1"/>
    <n v="0"/>
    <n v="0"/>
    <n v="0"/>
    <n v="1"/>
    <n v="0"/>
    <n v="0"/>
    <x v="2"/>
    <n v="0"/>
    <n v="0"/>
    <n v="0"/>
    <n v="1"/>
    <x v="0"/>
  </r>
  <r>
    <s v="A2F2DDH12YU4AK"/>
    <x v="0"/>
    <n v="35"/>
    <s v="male"/>
    <x v="2"/>
    <x v="11"/>
    <n v="6106"/>
    <n v="0"/>
    <n v="0"/>
    <n v="0"/>
    <n v="1"/>
    <s v="Dentists A and B."/>
    <s v="Dentist F."/>
    <s v="Dentists D and E."/>
    <s v="ms-h"/>
    <s v="fa"/>
    <s v="ms-l"/>
    <n v="0"/>
    <x v="1"/>
    <x v="2"/>
    <n v="1"/>
    <n v="1"/>
    <n v="0"/>
    <n v="1"/>
    <n v="0"/>
    <n v="0"/>
    <x v="2"/>
    <n v="0"/>
    <n v="0"/>
    <n v="0"/>
    <n v="1"/>
    <x v="0"/>
  </r>
  <r>
    <s v="A2F2DDH12YU4AK"/>
    <x v="0"/>
    <n v="35"/>
    <s v="male"/>
    <x v="3"/>
    <x v="12"/>
    <n v="20545"/>
    <n v="1"/>
    <n v="1"/>
    <n v="0"/>
    <n v="0"/>
    <s v="NA"/>
    <s v="NA"/>
    <s v="NA"/>
    <s v="NA"/>
    <s v="NA"/>
    <s v="NA"/>
    <s v="NA"/>
    <x v="1"/>
    <x v="2"/>
    <n v="1"/>
    <n v="1"/>
    <n v="0"/>
    <n v="1"/>
    <n v="0"/>
    <n v="0"/>
    <x v="2"/>
    <n v="0"/>
    <n v="0"/>
    <n v="0"/>
    <n v="1"/>
    <x v="0"/>
  </r>
  <r>
    <s v="A2F2DDH12YU4AK"/>
    <x v="0"/>
    <n v="35"/>
    <s v="male"/>
    <x v="2"/>
    <x v="9"/>
    <n v="4890"/>
    <n v="0"/>
    <n v="0"/>
    <n v="0"/>
    <n v="1"/>
    <s v="Store F."/>
    <s v="Store E."/>
    <s v="Stores D and E."/>
    <s v="fa"/>
    <s v="mo-l"/>
    <s v="ms-l"/>
    <n v="0"/>
    <x v="1"/>
    <x v="1"/>
    <n v="0"/>
    <n v="1"/>
    <n v="0"/>
    <n v="1"/>
    <n v="0"/>
    <n v="0"/>
    <x v="2"/>
    <n v="0"/>
    <n v="0"/>
    <n v="0"/>
    <n v="1"/>
    <x v="0"/>
  </r>
  <r>
    <s v="A2F2DDH12YU4AK"/>
    <x v="0"/>
    <n v="35"/>
    <s v="male"/>
    <x v="3"/>
    <x v="10"/>
    <n v="21662"/>
    <n v="0"/>
    <n v="0"/>
    <n v="1"/>
    <n v="0"/>
    <s v="NA"/>
    <s v="NA"/>
    <s v="NA"/>
    <s v="NA"/>
    <s v="NA"/>
    <s v="NA"/>
    <s v="NA"/>
    <x v="1"/>
    <x v="1"/>
    <n v="0"/>
    <n v="1"/>
    <n v="0"/>
    <n v="1"/>
    <n v="0"/>
    <n v="0"/>
    <x v="2"/>
    <n v="0"/>
    <n v="0"/>
    <n v="0"/>
    <n v="1"/>
    <x v="0"/>
  </r>
  <r>
    <s v="A2F2DDH12YU4AK"/>
    <x v="0"/>
    <n v="35"/>
    <s v="male"/>
    <x v="2"/>
    <x v="6"/>
    <n v="5321"/>
    <n v="0"/>
    <n v="0"/>
    <n v="0"/>
    <n v="1"/>
    <s v="Bookstore E."/>
    <s v="Bookstore A."/>
    <s v="Bookstores D and E."/>
    <s v="mo-l"/>
    <s v="mo-h"/>
    <s v="ms-l"/>
    <n v="0"/>
    <x v="2"/>
    <x v="1"/>
    <n v="0"/>
    <n v="1"/>
    <n v="0"/>
    <n v="1"/>
    <n v="0"/>
    <n v="0"/>
    <x v="2"/>
    <n v="0"/>
    <n v="0"/>
    <n v="0"/>
    <n v="1"/>
    <x v="0"/>
  </r>
  <r>
    <s v="A2F2DDH12YU4AK"/>
    <x v="0"/>
    <n v="35"/>
    <s v="male"/>
    <x v="3"/>
    <x v="5"/>
    <n v="21361"/>
    <n v="0"/>
    <n v="0"/>
    <n v="1"/>
    <n v="0"/>
    <s v="NA"/>
    <s v="NA"/>
    <s v="NA"/>
    <s v="NA"/>
    <s v="NA"/>
    <s v="NA"/>
    <s v="NA"/>
    <x v="2"/>
    <x v="1"/>
    <n v="0"/>
    <n v="1"/>
    <n v="0"/>
    <n v="1"/>
    <n v="0"/>
    <n v="0"/>
    <x v="2"/>
    <n v="0"/>
    <n v="0"/>
    <n v="0"/>
    <n v="1"/>
    <x v="0"/>
  </r>
  <r>
    <s v="A2F2DDH12YU4AK"/>
    <x v="0"/>
    <n v="35"/>
    <s v="male"/>
    <x v="4"/>
    <x v="0"/>
    <n v="94599"/>
    <s v="Yes. The first question requests the set of all restaurants that serve brunch%2C the second question is phrased to request more specifically which restaurant to choose."/>
    <s v="No. The question all seemed straight forward and simple to answer."/>
    <s v="No further relevant comment%2C at this time."/>
    <s v="NA"/>
    <s v="NA"/>
    <s v="NA"/>
    <s v="NA"/>
    <s v="NA"/>
    <s v="NA"/>
    <s v="NA"/>
    <s v="NA"/>
    <x v="0"/>
    <x v="0"/>
    <s v="NA"/>
    <s v="NA"/>
    <s v="NA"/>
    <s v="NA"/>
    <s v="NA"/>
    <s v="NA"/>
    <x v="0"/>
    <s v="NA"/>
    <s v="NA"/>
    <s v="NA"/>
    <s v="NA"/>
    <x v="0"/>
  </r>
  <r>
    <s v="A3CZ2S6TCQTJBK"/>
    <x v="0"/>
    <n v="53"/>
    <s v="male"/>
    <x v="0"/>
    <x v="0"/>
    <n v="15973"/>
    <s v="NA"/>
    <s v="NA"/>
    <s v="NA"/>
    <s v="NA"/>
    <s v="NA"/>
    <s v="NA"/>
    <s v="NA"/>
    <s v="NA"/>
    <s v="NA"/>
    <s v="NA"/>
    <s v="NA"/>
    <x v="0"/>
    <x v="0"/>
    <s v="NA"/>
    <s v="NA"/>
    <s v="NA"/>
    <s v="NA"/>
    <s v="NA"/>
    <s v="NA"/>
    <x v="0"/>
    <s v="NA"/>
    <s v="NA"/>
    <s v="NA"/>
    <s v="NA"/>
    <x v="0"/>
  </r>
  <r>
    <s v="A3CZ2S6TCQTJBK"/>
    <x v="0"/>
    <n v="53"/>
    <s v="male"/>
    <x v="1"/>
    <x v="1"/>
    <n v="57650"/>
    <n v="0"/>
    <n v="0"/>
    <n v="0"/>
    <n v="1"/>
    <s v="NA"/>
    <s v="NA"/>
    <s v="NA"/>
    <s v="NA"/>
    <s v="NA"/>
    <s v="NA"/>
    <s v="NA"/>
    <x v="0"/>
    <x v="0"/>
    <s v="NA"/>
    <s v="NA"/>
    <s v="NA"/>
    <s v="NA"/>
    <s v="NA"/>
    <s v="NA"/>
    <x v="0"/>
    <s v="NA"/>
    <s v="NA"/>
    <s v="NA"/>
    <s v="NA"/>
    <x v="0"/>
  </r>
  <r>
    <s v="A3CZ2S6TCQTJBK"/>
    <x v="0"/>
    <n v="53"/>
    <s v="male"/>
    <x v="1"/>
    <x v="2"/>
    <n v="69410"/>
    <n v="0"/>
    <n v="1"/>
    <n v="1"/>
    <n v="0"/>
    <s v="NA"/>
    <s v="NA"/>
    <s v="NA"/>
    <s v="NA"/>
    <s v="NA"/>
    <s v="NA"/>
    <s v="NA"/>
    <x v="0"/>
    <x v="0"/>
    <s v="NA"/>
    <s v="NA"/>
    <s v="NA"/>
    <s v="NA"/>
    <s v="NA"/>
    <s v="NA"/>
    <x v="0"/>
    <s v="NA"/>
    <s v="NA"/>
    <s v="NA"/>
    <s v="NA"/>
    <x v="0"/>
  </r>
  <r>
    <s v="A3CZ2S6TCQTJBK"/>
    <x v="0"/>
    <n v="53"/>
    <s v="male"/>
    <x v="2"/>
    <x v="11"/>
    <n v="82267"/>
    <n v="0"/>
    <n v="0"/>
    <n v="0"/>
    <n v="1"/>
    <s v="Dentists D and E."/>
    <s v="Dentist F."/>
    <s v="Dentist A."/>
    <s v="ms-l"/>
    <s v="fa"/>
    <s v="mo-h"/>
    <n v="0"/>
    <x v="2"/>
    <x v="2"/>
    <n v="0"/>
    <n v="1"/>
    <n v="0"/>
    <n v="1"/>
    <n v="0"/>
    <n v="0"/>
    <x v="2"/>
    <n v="0"/>
    <n v="0"/>
    <n v="0"/>
    <n v="1"/>
    <x v="0"/>
  </r>
  <r>
    <s v="A3CZ2S6TCQTJBK"/>
    <x v="0"/>
    <n v="53"/>
    <s v="male"/>
    <x v="2"/>
    <x v="4"/>
    <n v="102175"/>
    <n v="1"/>
    <n v="1"/>
    <n v="1"/>
    <n v="0"/>
    <s v="Stall A."/>
    <s v="Stalls A and B."/>
    <s v="Stalls D and E."/>
    <s v="mo-h"/>
    <s v="ms-h"/>
    <s v="ms-l"/>
    <n v="0"/>
    <x v="2"/>
    <x v="2"/>
    <n v="1"/>
    <n v="1"/>
    <n v="0"/>
    <n v="1"/>
    <n v="0"/>
    <n v="1"/>
    <x v="2"/>
    <n v="1"/>
    <n v="1"/>
    <n v="0"/>
    <n v="0"/>
    <x v="0"/>
  </r>
  <r>
    <s v="A3CZ2S6TCQTJBK"/>
    <x v="0"/>
    <n v="53"/>
    <s v="male"/>
    <x v="3"/>
    <x v="5"/>
    <n v="72995"/>
    <n v="0"/>
    <n v="1"/>
    <n v="1"/>
    <n v="0"/>
    <s v="NA"/>
    <s v="NA"/>
    <s v="NA"/>
    <s v="NA"/>
    <s v="NA"/>
    <s v="NA"/>
    <s v="NA"/>
    <x v="2"/>
    <x v="2"/>
    <n v="1"/>
    <n v="1"/>
    <n v="0"/>
    <n v="1"/>
    <n v="0"/>
    <n v="1"/>
    <x v="2"/>
    <n v="1"/>
    <n v="1"/>
    <n v="0"/>
    <n v="0"/>
    <x v="0"/>
  </r>
  <r>
    <s v="A3CZ2S6TCQTJBK"/>
    <x v="0"/>
    <n v="53"/>
    <s v="male"/>
    <x v="2"/>
    <x v="6"/>
    <n v="123896"/>
    <n v="0"/>
    <n v="0"/>
    <n v="0"/>
    <n v="1"/>
    <s v="Bookstore A."/>
    <s v="Bookstore E."/>
    <s v="Bookstore F."/>
    <s v="mo-h"/>
    <s v="mo-l"/>
    <s v="fa"/>
    <n v="0"/>
    <x v="2"/>
    <x v="1"/>
    <n v="0"/>
    <n v="0"/>
    <n v="0"/>
    <n v="1"/>
    <n v="0"/>
    <n v="0"/>
    <x v="2"/>
    <n v="0"/>
    <n v="0"/>
    <n v="0"/>
    <n v="1"/>
    <x v="0"/>
  </r>
  <r>
    <s v="A3CZ2S6TCQTJBK"/>
    <x v="0"/>
    <n v="53"/>
    <s v="male"/>
    <x v="2"/>
    <x v="9"/>
    <n v="43060"/>
    <n v="1"/>
    <n v="1"/>
    <n v="1"/>
    <n v="0"/>
    <s v="Store F."/>
    <s v="Store A."/>
    <s v="Stores D and E."/>
    <s v="fa"/>
    <s v="mo-h"/>
    <s v="ms-l"/>
    <n v="0"/>
    <x v="2"/>
    <x v="2"/>
    <n v="0"/>
    <n v="1"/>
    <n v="0"/>
    <n v="1"/>
    <n v="0"/>
    <n v="1"/>
    <x v="2"/>
    <n v="0"/>
    <n v="1"/>
    <n v="0"/>
    <n v="0"/>
    <x v="0"/>
  </r>
  <r>
    <s v="A3CZ2S6TCQTJBK"/>
    <x v="0"/>
    <n v="53"/>
    <s v="male"/>
    <x v="3"/>
    <x v="10"/>
    <n v="144897"/>
    <n v="0"/>
    <n v="0"/>
    <n v="0"/>
    <n v="1"/>
    <s v="NA"/>
    <s v="NA"/>
    <s v="NA"/>
    <s v="NA"/>
    <s v="NA"/>
    <s v="NA"/>
    <s v="NA"/>
    <x v="2"/>
    <x v="2"/>
    <n v="0"/>
    <n v="1"/>
    <n v="0"/>
    <n v="1"/>
    <n v="0"/>
    <n v="1"/>
    <x v="2"/>
    <n v="0"/>
    <n v="1"/>
    <n v="0"/>
    <n v="0"/>
    <x v="0"/>
  </r>
  <r>
    <s v="A3CZ2S6TCQTJBK"/>
    <x v="0"/>
    <n v="53"/>
    <s v="male"/>
    <x v="2"/>
    <x v="3"/>
    <n v="42342"/>
    <n v="0"/>
    <n v="1"/>
    <n v="1"/>
    <n v="0"/>
    <s v="Cafe E."/>
    <s v="Cafes A and B."/>
    <s v="Cafe A."/>
    <s v="mo-l"/>
    <s v="ms-h"/>
    <s v="mo-h"/>
    <n v="0"/>
    <x v="2"/>
    <x v="1"/>
    <n v="1"/>
    <n v="0"/>
    <n v="0"/>
    <n v="1"/>
    <n v="0"/>
    <n v="1"/>
    <x v="2"/>
    <n v="1"/>
    <n v="0"/>
    <n v="0"/>
    <n v="0"/>
    <x v="0"/>
  </r>
  <r>
    <s v="A3CZ2S6TCQTJBK"/>
    <x v="0"/>
    <n v="53"/>
    <s v="male"/>
    <x v="3"/>
    <x v="8"/>
    <n v="56172"/>
    <n v="0"/>
    <n v="1"/>
    <n v="0"/>
    <n v="0"/>
    <s v="NA"/>
    <s v="NA"/>
    <s v="NA"/>
    <s v="NA"/>
    <s v="NA"/>
    <s v="NA"/>
    <s v="NA"/>
    <x v="2"/>
    <x v="1"/>
    <n v="1"/>
    <n v="0"/>
    <n v="0"/>
    <n v="1"/>
    <n v="0"/>
    <n v="1"/>
    <x v="2"/>
    <n v="1"/>
    <n v="0"/>
    <n v="0"/>
    <n v="0"/>
    <x v="0"/>
  </r>
  <r>
    <s v="A3CZ2S6TCQTJBK"/>
    <x v="0"/>
    <n v="53"/>
    <s v="male"/>
    <x v="2"/>
    <x v="7"/>
    <n v="43553"/>
    <n v="1"/>
    <n v="1"/>
    <n v="1"/>
    <n v="0"/>
    <s v="Stylists D and E."/>
    <s v="Stylist A."/>
    <s v="Stylist E."/>
    <s v="ms-l"/>
    <s v="mo-h"/>
    <s v="mo-l"/>
    <n v="0"/>
    <x v="2"/>
    <x v="1"/>
    <n v="0"/>
    <n v="1"/>
    <n v="0"/>
    <n v="1"/>
    <n v="0"/>
    <n v="1"/>
    <x v="1"/>
    <n v="0"/>
    <n v="1"/>
    <n v="0"/>
    <n v="0"/>
    <x v="0"/>
  </r>
  <r>
    <s v="A3CZ2S6TCQTJBK"/>
    <x v="0"/>
    <n v="53"/>
    <s v="male"/>
    <x v="3"/>
    <x v="12"/>
    <n v="30418"/>
    <n v="1"/>
    <n v="0"/>
    <n v="0"/>
    <n v="0"/>
    <s v="NA"/>
    <s v="NA"/>
    <s v="NA"/>
    <s v="NA"/>
    <s v="NA"/>
    <s v="NA"/>
    <s v="NA"/>
    <x v="2"/>
    <x v="1"/>
    <n v="0"/>
    <n v="1"/>
    <n v="0"/>
    <n v="1"/>
    <n v="0"/>
    <n v="1"/>
    <x v="1"/>
    <n v="0"/>
    <n v="1"/>
    <n v="0"/>
    <n v="0"/>
    <x v="0"/>
  </r>
  <r>
    <s v="A3CZ2S6TCQTJBK"/>
    <x v="0"/>
    <n v="53"/>
    <s v="male"/>
    <x v="4"/>
    <x v="0"/>
    <n v="235957"/>
    <s v="The first is asking for just locations. The second implies a question of opinion as to &quot;where should I go for brunch.&quot;"/>
    <s v="I think it was difficult because for me there was a lot of wiggle room as to what would be a correct answer"/>
    <s v="no"/>
    <s v="NA"/>
    <s v="NA"/>
    <s v="NA"/>
    <s v="NA"/>
    <s v="NA"/>
    <s v="NA"/>
    <s v="NA"/>
    <s v="NA"/>
    <x v="0"/>
    <x v="0"/>
    <s v="NA"/>
    <s v="NA"/>
    <s v="NA"/>
    <s v="NA"/>
    <s v="NA"/>
    <s v="NA"/>
    <x v="0"/>
    <s v="NA"/>
    <s v="NA"/>
    <s v="NA"/>
    <s v="NA"/>
    <x v="0"/>
  </r>
  <r>
    <s v="A2OSK4VP3ZOV7O"/>
    <x v="0"/>
    <n v="26"/>
    <s v="female"/>
    <x v="0"/>
    <x v="0"/>
    <n v="62046"/>
    <s v="NA"/>
    <s v="NA"/>
    <s v="NA"/>
    <s v="NA"/>
    <s v="NA"/>
    <s v="NA"/>
    <s v="NA"/>
    <s v="NA"/>
    <s v="NA"/>
    <s v="NA"/>
    <s v="NA"/>
    <x v="0"/>
    <x v="0"/>
    <s v="NA"/>
    <s v="NA"/>
    <s v="NA"/>
    <s v="NA"/>
    <s v="NA"/>
    <s v="NA"/>
    <x v="0"/>
    <s v="NA"/>
    <s v="NA"/>
    <s v="NA"/>
    <s v="NA"/>
    <x v="0"/>
  </r>
  <r>
    <s v="A2OSK4VP3ZOV7O"/>
    <x v="0"/>
    <n v="26"/>
    <s v="female"/>
    <x v="1"/>
    <x v="2"/>
    <n v="59967"/>
    <n v="0"/>
    <n v="0"/>
    <n v="1"/>
    <n v="0"/>
    <s v="NA"/>
    <s v="NA"/>
    <s v="NA"/>
    <s v="NA"/>
    <s v="NA"/>
    <s v="NA"/>
    <s v="NA"/>
    <x v="0"/>
    <x v="0"/>
    <s v="NA"/>
    <s v="NA"/>
    <s v="NA"/>
    <s v="NA"/>
    <s v="NA"/>
    <s v="NA"/>
    <x v="0"/>
    <s v="NA"/>
    <s v="NA"/>
    <s v="NA"/>
    <s v="NA"/>
    <x v="0"/>
  </r>
  <r>
    <s v="A2OSK4VP3ZOV7O"/>
    <x v="0"/>
    <n v="26"/>
    <s v="female"/>
    <x v="1"/>
    <x v="1"/>
    <n v="41077"/>
    <n v="0"/>
    <n v="0"/>
    <n v="0"/>
    <n v="1"/>
    <s v="NA"/>
    <s v="NA"/>
    <s v="NA"/>
    <s v="NA"/>
    <s v="NA"/>
    <s v="NA"/>
    <s v="NA"/>
    <x v="0"/>
    <x v="0"/>
    <s v="NA"/>
    <s v="NA"/>
    <s v="NA"/>
    <s v="NA"/>
    <s v="NA"/>
    <s v="NA"/>
    <x v="0"/>
    <s v="NA"/>
    <s v="NA"/>
    <s v="NA"/>
    <s v="NA"/>
    <x v="0"/>
  </r>
  <r>
    <s v="A2OSK4VP3ZOV7O"/>
    <x v="0"/>
    <n v="26"/>
    <s v="female"/>
    <x v="2"/>
    <x v="11"/>
    <n v="73968"/>
    <n v="0"/>
    <n v="0"/>
    <n v="0"/>
    <n v="1"/>
    <s v="Dentists D and E."/>
    <s v="Dentist E."/>
    <s v="Dentists A and B."/>
    <s v="ms-l"/>
    <s v="mo-l"/>
    <s v="ms-h"/>
    <n v="0"/>
    <x v="1"/>
    <x v="1"/>
    <n v="1"/>
    <n v="1"/>
    <n v="0"/>
    <n v="1"/>
    <n v="0"/>
    <n v="0"/>
    <x v="2"/>
    <n v="0"/>
    <n v="0"/>
    <n v="0"/>
    <n v="1"/>
    <x v="0"/>
  </r>
  <r>
    <s v="A2OSK4VP3ZOV7O"/>
    <x v="0"/>
    <n v="26"/>
    <s v="female"/>
    <x v="2"/>
    <x v="6"/>
    <n v="102483"/>
    <n v="0"/>
    <n v="0"/>
    <n v="1"/>
    <n v="0"/>
    <s v="Bookstore F."/>
    <s v="Bookstores D and E."/>
    <s v="Bookstores A and B."/>
    <s v="fa"/>
    <s v="ms-l"/>
    <s v="ms-h"/>
    <n v="0"/>
    <x v="1"/>
    <x v="2"/>
    <n v="1"/>
    <n v="1"/>
    <n v="0"/>
    <n v="1"/>
    <n v="0"/>
    <n v="0"/>
    <x v="2"/>
    <n v="1"/>
    <n v="0"/>
    <n v="0"/>
    <n v="0"/>
    <x v="0"/>
  </r>
  <r>
    <s v="A2OSK4VP3ZOV7O"/>
    <x v="0"/>
    <n v="26"/>
    <s v="female"/>
    <x v="3"/>
    <x v="8"/>
    <n v="34000"/>
    <n v="1"/>
    <n v="0"/>
    <n v="0"/>
    <n v="0"/>
    <s v="NA"/>
    <s v="NA"/>
    <s v="NA"/>
    <s v="NA"/>
    <s v="NA"/>
    <s v="NA"/>
    <s v="NA"/>
    <x v="1"/>
    <x v="2"/>
    <n v="1"/>
    <n v="1"/>
    <n v="0"/>
    <n v="1"/>
    <n v="0"/>
    <n v="0"/>
    <x v="2"/>
    <n v="1"/>
    <n v="0"/>
    <n v="0"/>
    <n v="0"/>
    <x v="0"/>
  </r>
  <r>
    <s v="A2OSK4VP3ZOV7O"/>
    <x v="0"/>
    <n v="26"/>
    <s v="female"/>
    <x v="2"/>
    <x v="3"/>
    <n v="68963"/>
    <n v="0"/>
    <n v="1"/>
    <n v="0"/>
    <n v="0"/>
    <s v="Cafe F."/>
    <s v="Cafe A."/>
    <s v="Cafes A and B."/>
    <s v="fa"/>
    <s v="mo-h"/>
    <s v="ms-h"/>
    <n v="0"/>
    <x v="2"/>
    <x v="2"/>
    <n v="1"/>
    <n v="0"/>
    <n v="0"/>
    <n v="1"/>
    <n v="0"/>
    <n v="1"/>
    <x v="2"/>
    <n v="0"/>
    <n v="0"/>
    <n v="0"/>
    <n v="0"/>
    <x v="0"/>
  </r>
  <r>
    <s v="A2OSK4VP3ZOV7O"/>
    <x v="0"/>
    <n v="26"/>
    <s v="female"/>
    <x v="2"/>
    <x v="4"/>
    <n v="26027"/>
    <n v="0"/>
    <n v="0"/>
    <n v="0"/>
    <n v="1"/>
    <s v="Stall E."/>
    <s v="Stall F."/>
    <s v="Stalls D and E."/>
    <s v="mo-l"/>
    <s v="fa"/>
    <s v="ms-l"/>
    <n v="0"/>
    <x v="1"/>
    <x v="1"/>
    <n v="0"/>
    <n v="1"/>
    <n v="0"/>
    <n v="1"/>
    <n v="0"/>
    <n v="0"/>
    <x v="2"/>
    <n v="0"/>
    <n v="0"/>
    <n v="0"/>
    <n v="1"/>
    <x v="0"/>
  </r>
  <r>
    <s v="A2OSK4VP3ZOV7O"/>
    <x v="0"/>
    <n v="26"/>
    <s v="female"/>
    <x v="3"/>
    <x v="5"/>
    <n v="114156"/>
    <n v="1"/>
    <n v="0"/>
    <n v="1"/>
    <n v="0"/>
    <s v="NA"/>
    <s v="NA"/>
    <s v="NA"/>
    <s v="NA"/>
    <s v="NA"/>
    <s v="NA"/>
    <s v="NA"/>
    <x v="1"/>
    <x v="1"/>
    <n v="0"/>
    <n v="1"/>
    <n v="0"/>
    <n v="1"/>
    <n v="0"/>
    <n v="0"/>
    <x v="2"/>
    <n v="0"/>
    <n v="0"/>
    <n v="0"/>
    <n v="1"/>
    <x v="0"/>
  </r>
  <r>
    <s v="A2OSK4VP3ZOV7O"/>
    <x v="0"/>
    <n v="26"/>
    <s v="female"/>
    <x v="2"/>
    <x v="7"/>
    <n v="188065"/>
    <n v="0"/>
    <n v="1"/>
    <n v="0"/>
    <n v="0"/>
    <s v="Stylist E."/>
    <s v="Stylists A and B."/>
    <s v="Stylists D and E."/>
    <s v="mo-l"/>
    <s v="ms-h"/>
    <s v="ms-l"/>
    <n v="0"/>
    <x v="1"/>
    <x v="1"/>
    <n v="1"/>
    <n v="1"/>
    <n v="0"/>
    <n v="1"/>
    <n v="0"/>
    <n v="0"/>
    <x v="2"/>
    <n v="1"/>
    <n v="0"/>
    <n v="0"/>
    <n v="0"/>
    <x v="0"/>
  </r>
  <r>
    <s v="A2OSK4VP3ZOV7O"/>
    <x v="0"/>
    <n v="26"/>
    <s v="female"/>
    <x v="3"/>
    <x v="10"/>
    <n v="42413"/>
    <n v="0"/>
    <n v="1"/>
    <n v="0"/>
    <n v="0"/>
    <s v="NA"/>
    <s v="NA"/>
    <s v="NA"/>
    <s v="NA"/>
    <s v="NA"/>
    <s v="NA"/>
    <s v="NA"/>
    <x v="1"/>
    <x v="1"/>
    <n v="1"/>
    <n v="1"/>
    <n v="0"/>
    <n v="1"/>
    <n v="0"/>
    <n v="0"/>
    <x v="2"/>
    <n v="1"/>
    <n v="0"/>
    <n v="0"/>
    <n v="0"/>
    <x v="0"/>
  </r>
  <r>
    <s v="A2OSK4VP3ZOV7O"/>
    <x v="0"/>
    <n v="26"/>
    <s v="female"/>
    <x v="2"/>
    <x v="9"/>
    <n v="47654"/>
    <n v="1"/>
    <n v="0"/>
    <n v="1"/>
    <n v="0"/>
    <s v="Stores A, B, C, D and E."/>
    <s v="Stores D and E."/>
    <s v="Store A."/>
    <s v="exh"/>
    <s v="ms-l"/>
    <s v="mo-h"/>
    <n v="1"/>
    <x v="2"/>
    <x v="2"/>
    <n v="0"/>
    <n v="1"/>
    <n v="0"/>
    <n v="1"/>
    <n v="1"/>
    <n v="1"/>
    <x v="2"/>
    <n v="0"/>
    <n v="0"/>
    <n v="0"/>
    <n v="0"/>
    <x v="0"/>
  </r>
  <r>
    <s v="A2OSK4VP3ZOV7O"/>
    <x v="0"/>
    <n v="26"/>
    <s v="female"/>
    <x v="3"/>
    <x v="12"/>
    <n v="29366"/>
    <n v="1"/>
    <n v="0"/>
    <n v="0"/>
    <n v="0"/>
    <s v="NA"/>
    <s v="NA"/>
    <s v="NA"/>
    <s v="NA"/>
    <s v="NA"/>
    <s v="NA"/>
    <s v="NA"/>
    <x v="2"/>
    <x v="2"/>
    <n v="0"/>
    <n v="1"/>
    <n v="0"/>
    <n v="1"/>
    <n v="1"/>
    <n v="1"/>
    <x v="2"/>
    <n v="0"/>
    <n v="0"/>
    <n v="0"/>
    <n v="0"/>
    <x v="0"/>
  </r>
  <r>
    <s v="A2OSK4VP3ZOV7O"/>
    <x v="0"/>
    <n v="26"/>
    <s v="female"/>
    <x v="4"/>
    <x v="0"/>
    <n v="288554"/>
    <s v="Yes I would answer differently because the first question asking for which location has brunch and second question is asking for a recommendation for brunch."/>
    <s v="No. Because it is pretty simple worded and straight forward."/>
    <s v="great survey!"/>
    <s v="NA"/>
    <s v="NA"/>
    <s v="NA"/>
    <s v="NA"/>
    <s v="NA"/>
    <s v="NA"/>
    <s v="NA"/>
    <s v="NA"/>
    <x v="0"/>
    <x v="0"/>
    <s v="NA"/>
    <s v="NA"/>
    <s v="NA"/>
    <s v="NA"/>
    <s v="NA"/>
    <s v="NA"/>
    <x v="0"/>
    <s v="NA"/>
    <s v="NA"/>
    <s v="NA"/>
    <s v="NA"/>
    <x v="0"/>
  </r>
  <r>
    <s v="AL7UTA8J27TFK"/>
    <x v="0"/>
    <n v="63"/>
    <s v="male"/>
    <x v="0"/>
    <x v="0"/>
    <n v="84619"/>
    <s v="NA"/>
    <s v="NA"/>
    <s v="NA"/>
    <s v="NA"/>
    <s v="NA"/>
    <s v="NA"/>
    <s v="NA"/>
    <s v="NA"/>
    <s v="NA"/>
    <s v="NA"/>
    <s v="NA"/>
    <x v="0"/>
    <x v="0"/>
    <s v="NA"/>
    <s v="NA"/>
    <s v="NA"/>
    <s v="NA"/>
    <s v="NA"/>
    <s v="NA"/>
    <x v="0"/>
    <s v="NA"/>
    <s v="NA"/>
    <s v="NA"/>
    <s v="NA"/>
    <x v="0"/>
  </r>
  <r>
    <s v="AL7UTA8J27TFK"/>
    <x v="0"/>
    <n v="63"/>
    <s v="male"/>
    <x v="1"/>
    <x v="2"/>
    <n v="40633"/>
    <n v="0"/>
    <n v="0"/>
    <n v="1"/>
    <n v="0"/>
    <s v="NA"/>
    <s v="NA"/>
    <s v="NA"/>
    <s v="NA"/>
    <s v="NA"/>
    <s v="NA"/>
    <s v="NA"/>
    <x v="0"/>
    <x v="0"/>
    <s v="NA"/>
    <s v="NA"/>
    <s v="NA"/>
    <s v="NA"/>
    <s v="NA"/>
    <s v="NA"/>
    <x v="0"/>
    <s v="NA"/>
    <s v="NA"/>
    <s v="NA"/>
    <s v="NA"/>
    <x v="0"/>
  </r>
  <r>
    <s v="AL7UTA8J27TFK"/>
    <x v="0"/>
    <n v="63"/>
    <s v="male"/>
    <x v="1"/>
    <x v="1"/>
    <n v="50547"/>
    <n v="0"/>
    <n v="0"/>
    <n v="0"/>
    <n v="1"/>
    <s v="NA"/>
    <s v="NA"/>
    <s v="NA"/>
    <s v="NA"/>
    <s v="NA"/>
    <s v="NA"/>
    <s v="NA"/>
    <x v="0"/>
    <x v="0"/>
    <s v="NA"/>
    <s v="NA"/>
    <s v="NA"/>
    <s v="NA"/>
    <s v="NA"/>
    <s v="NA"/>
    <x v="0"/>
    <s v="NA"/>
    <s v="NA"/>
    <s v="NA"/>
    <s v="NA"/>
    <x v="0"/>
  </r>
  <r>
    <s v="AL7UTA8J27TFK"/>
    <x v="0"/>
    <n v="63"/>
    <s v="male"/>
    <x v="2"/>
    <x v="9"/>
    <n v="88200"/>
    <n v="0"/>
    <n v="0"/>
    <n v="0"/>
    <n v="1"/>
    <s v="Stores A and B."/>
    <s v="Store F."/>
    <s v="Store A."/>
    <s v="ms-h"/>
    <s v="fa"/>
    <s v="mo-h"/>
    <n v="0"/>
    <x v="2"/>
    <x v="2"/>
    <n v="1"/>
    <n v="0"/>
    <n v="0"/>
    <n v="1"/>
    <n v="0"/>
    <n v="0"/>
    <x v="2"/>
    <n v="0"/>
    <n v="0"/>
    <n v="0"/>
    <n v="1"/>
    <x v="0"/>
  </r>
  <r>
    <s v="AL7UTA8J27TFK"/>
    <x v="0"/>
    <n v="63"/>
    <s v="male"/>
    <x v="2"/>
    <x v="3"/>
    <n v="121271"/>
    <n v="1"/>
    <n v="0"/>
    <n v="0"/>
    <n v="0"/>
    <s v="Cafe A."/>
    <s v="Cafes D and E."/>
    <s v="Cafes A and B."/>
    <s v="mo-h"/>
    <s v="ms-l"/>
    <s v="ms-h"/>
    <n v="0"/>
    <x v="2"/>
    <x v="2"/>
    <n v="1"/>
    <n v="1"/>
    <n v="0"/>
    <n v="1"/>
    <n v="0"/>
    <n v="1"/>
    <x v="2"/>
    <n v="0"/>
    <n v="0"/>
    <n v="0"/>
    <n v="0"/>
    <x v="0"/>
  </r>
  <r>
    <s v="AL7UTA8J27TFK"/>
    <x v="0"/>
    <n v="63"/>
    <s v="male"/>
    <x v="3"/>
    <x v="8"/>
    <n v="103100"/>
    <n v="1"/>
    <n v="1"/>
    <n v="0"/>
    <n v="0"/>
    <s v="NA"/>
    <s v="NA"/>
    <s v="NA"/>
    <s v="NA"/>
    <s v="NA"/>
    <s v="NA"/>
    <s v="NA"/>
    <x v="2"/>
    <x v="2"/>
    <n v="1"/>
    <n v="1"/>
    <n v="0"/>
    <n v="1"/>
    <n v="0"/>
    <n v="1"/>
    <x v="2"/>
    <n v="0"/>
    <n v="0"/>
    <n v="0"/>
    <n v="0"/>
    <x v="0"/>
  </r>
  <r>
    <s v="AL7UTA8J27TFK"/>
    <x v="0"/>
    <n v="63"/>
    <s v="male"/>
    <x v="2"/>
    <x v="4"/>
    <n v="48034"/>
    <n v="0"/>
    <n v="0"/>
    <n v="1"/>
    <n v="0"/>
    <s v="Stalls A and B."/>
    <s v="Stall E."/>
    <s v="Stalls A, B, C, D and E."/>
    <s v="ms-h"/>
    <s v="mo-l"/>
    <s v="exh"/>
    <n v="1"/>
    <x v="1"/>
    <x v="1"/>
    <n v="1"/>
    <n v="0"/>
    <n v="0"/>
    <n v="1"/>
    <n v="1"/>
    <n v="0"/>
    <x v="2"/>
    <n v="0"/>
    <n v="0"/>
    <n v="0"/>
    <n v="0"/>
    <x v="0"/>
  </r>
  <r>
    <s v="AL7UTA8J27TFK"/>
    <x v="0"/>
    <n v="63"/>
    <s v="male"/>
    <x v="3"/>
    <x v="5"/>
    <n v="81939"/>
    <n v="0"/>
    <n v="1"/>
    <n v="1"/>
    <n v="0"/>
    <s v="NA"/>
    <s v="NA"/>
    <s v="NA"/>
    <s v="NA"/>
    <s v="NA"/>
    <s v="NA"/>
    <s v="NA"/>
    <x v="1"/>
    <x v="1"/>
    <n v="1"/>
    <n v="0"/>
    <n v="0"/>
    <n v="1"/>
    <n v="1"/>
    <n v="0"/>
    <x v="2"/>
    <n v="0"/>
    <n v="0"/>
    <n v="0"/>
    <n v="0"/>
    <x v="0"/>
  </r>
  <r>
    <s v="AL7UTA8J27TFK"/>
    <x v="0"/>
    <n v="63"/>
    <s v="male"/>
    <x v="2"/>
    <x v="11"/>
    <n v="98202"/>
    <n v="0"/>
    <n v="0"/>
    <n v="0"/>
    <n v="1"/>
    <s v="Dentists A and B."/>
    <s v="Dentists D and E."/>
    <s v="Dentist F."/>
    <s v="ms-h"/>
    <s v="ms-l"/>
    <s v="fa"/>
    <n v="0"/>
    <x v="1"/>
    <x v="2"/>
    <n v="1"/>
    <n v="1"/>
    <n v="0"/>
    <n v="1"/>
    <n v="0"/>
    <n v="0"/>
    <x v="2"/>
    <n v="0"/>
    <n v="0"/>
    <n v="0"/>
    <n v="1"/>
    <x v="0"/>
  </r>
  <r>
    <s v="AL7UTA8J27TFK"/>
    <x v="0"/>
    <n v="63"/>
    <s v="male"/>
    <x v="2"/>
    <x v="7"/>
    <n v="37432"/>
    <n v="1"/>
    <n v="0"/>
    <n v="0"/>
    <n v="0"/>
    <s v="Stylist A."/>
    <s v="Stylists A and B."/>
    <s v="Stylists D and E."/>
    <s v="mo-h"/>
    <s v="ms-h"/>
    <s v="ms-l"/>
    <n v="0"/>
    <x v="2"/>
    <x v="2"/>
    <n v="1"/>
    <n v="1"/>
    <n v="0"/>
    <n v="1"/>
    <n v="0"/>
    <n v="1"/>
    <x v="2"/>
    <n v="0"/>
    <n v="0"/>
    <n v="0"/>
    <n v="0"/>
    <x v="0"/>
  </r>
  <r>
    <s v="AL7UTA8J27TFK"/>
    <x v="0"/>
    <n v="63"/>
    <s v="male"/>
    <x v="3"/>
    <x v="10"/>
    <n v="46579"/>
    <n v="0"/>
    <n v="0"/>
    <n v="1"/>
    <n v="0"/>
    <s v="NA"/>
    <s v="NA"/>
    <s v="NA"/>
    <s v="NA"/>
    <s v="NA"/>
    <s v="NA"/>
    <s v="NA"/>
    <x v="2"/>
    <x v="2"/>
    <n v="1"/>
    <n v="1"/>
    <n v="0"/>
    <n v="1"/>
    <n v="0"/>
    <n v="1"/>
    <x v="2"/>
    <n v="0"/>
    <n v="0"/>
    <n v="0"/>
    <n v="0"/>
    <x v="0"/>
  </r>
  <r>
    <s v="AL7UTA8J27TFK"/>
    <x v="0"/>
    <n v="63"/>
    <s v="male"/>
    <x v="2"/>
    <x v="6"/>
    <n v="44361"/>
    <n v="0"/>
    <n v="0"/>
    <n v="1"/>
    <n v="0"/>
    <s v="Bookstores D and E."/>
    <s v="Bookstore E."/>
    <s v="Bookstores A, B, C, D and E."/>
    <s v="ms-l"/>
    <s v="mo-l"/>
    <s v="exh"/>
    <n v="1"/>
    <x v="1"/>
    <x v="1"/>
    <n v="0"/>
    <n v="1"/>
    <n v="0"/>
    <n v="1"/>
    <n v="1"/>
    <n v="0"/>
    <x v="2"/>
    <n v="0"/>
    <n v="0"/>
    <n v="0"/>
    <n v="0"/>
    <x v="0"/>
  </r>
  <r>
    <s v="AL7UTA8J27TFK"/>
    <x v="0"/>
    <n v="63"/>
    <s v="male"/>
    <x v="3"/>
    <x v="12"/>
    <n v="29055"/>
    <n v="0"/>
    <n v="0"/>
    <n v="0"/>
    <n v="1"/>
    <s v="NA"/>
    <s v="NA"/>
    <s v="NA"/>
    <s v="NA"/>
    <s v="NA"/>
    <s v="NA"/>
    <s v="NA"/>
    <x v="1"/>
    <x v="1"/>
    <n v="0"/>
    <n v="1"/>
    <n v="0"/>
    <n v="1"/>
    <n v="1"/>
    <n v="0"/>
    <x v="2"/>
    <n v="0"/>
    <n v="0"/>
    <n v="0"/>
    <n v="0"/>
    <x v="0"/>
  </r>
  <r>
    <s v="AL7UTA8J27TFK"/>
    <x v="0"/>
    <n v="63"/>
    <s v="male"/>
    <x v="4"/>
    <x v="0"/>
    <n v="264874"/>
    <s v="For the 1st question I would give them a &quot;list&quot; of nearby restaurants. To the 2nd question %2C I would tell them to tru Rosie's place around the corner%2C they have good food."/>
    <s v="Easy%2C It came out naturally."/>
    <s v="I'd would like to win the lottery."/>
    <s v="NA"/>
    <s v="NA"/>
    <s v="NA"/>
    <s v="NA"/>
    <s v="NA"/>
    <s v="NA"/>
    <s v="NA"/>
    <s v="NA"/>
    <x v="0"/>
    <x v="0"/>
    <s v="NA"/>
    <s v="NA"/>
    <s v="NA"/>
    <s v="NA"/>
    <s v="NA"/>
    <s v="NA"/>
    <x v="0"/>
    <s v="NA"/>
    <s v="NA"/>
    <s v="NA"/>
    <s v="NA"/>
    <x v="0"/>
  </r>
  <r>
    <s v="AZ8JL3QNIPY4U"/>
    <x v="0"/>
    <n v="28"/>
    <s v="female"/>
    <x v="0"/>
    <x v="0"/>
    <n v="46424"/>
    <s v="NA"/>
    <s v="NA"/>
    <s v="NA"/>
    <s v="NA"/>
    <s v="NA"/>
    <s v="NA"/>
    <s v="NA"/>
    <s v="NA"/>
    <s v="NA"/>
    <s v="NA"/>
    <s v="NA"/>
    <x v="0"/>
    <x v="0"/>
    <s v="NA"/>
    <s v="NA"/>
    <s v="NA"/>
    <s v="NA"/>
    <s v="NA"/>
    <s v="NA"/>
    <x v="0"/>
    <s v="NA"/>
    <s v="NA"/>
    <s v="NA"/>
    <s v="NA"/>
    <x v="0"/>
  </r>
  <r>
    <s v="AZ8JL3QNIPY4U"/>
    <x v="0"/>
    <n v="28"/>
    <s v="female"/>
    <x v="1"/>
    <x v="1"/>
    <n v="22523"/>
    <n v="0"/>
    <n v="0"/>
    <n v="0"/>
    <n v="1"/>
    <s v="NA"/>
    <s v="NA"/>
    <s v="NA"/>
    <s v="NA"/>
    <s v="NA"/>
    <s v="NA"/>
    <s v="NA"/>
    <x v="0"/>
    <x v="0"/>
    <s v="NA"/>
    <s v="NA"/>
    <s v="NA"/>
    <s v="NA"/>
    <s v="NA"/>
    <s v="NA"/>
    <x v="0"/>
    <s v="NA"/>
    <s v="NA"/>
    <s v="NA"/>
    <s v="NA"/>
    <x v="0"/>
  </r>
  <r>
    <s v="AZ8JL3QNIPY4U"/>
    <x v="0"/>
    <n v="28"/>
    <s v="female"/>
    <x v="1"/>
    <x v="2"/>
    <n v="38718"/>
    <n v="0"/>
    <n v="0"/>
    <n v="1"/>
    <n v="0"/>
    <s v="NA"/>
    <s v="NA"/>
    <s v="NA"/>
    <s v="NA"/>
    <s v="NA"/>
    <s v="NA"/>
    <s v="NA"/>
    <x v="0"/>
    <x v="0"/>
    <s v="NA"/>
    <s v="NA"/>
    <s v="NA"/>
    <s v="NA"/>
    <s v="NA"/>
    <s v="NA"/>
    <x v="0"/>
    <s v="NA"/>
    <s v="NA"/>
    <s v="NA"/>
    <s v="NA"/>
    <x v="0"/>
  </r>
  <r>
    <s v="AZ8JL3QNIPY4U"/>
    <x v="0"/>
    <n v="28"/>
    <s v="female"/>
    <x v="2"/>
    <x v="9"/>
    <n v="58253"/>
    <n v="0"/>
    <n v="0"/>
    <n v="1"/>
    <n v="0"/>
    <s v="Store E."/>
    <s v="Store F."/>
    <s v="Store A."/>
    <s v="mo-l"/>
    <s v="fa"/>
    <s v="mo-h"/>
    <n v="0"/>
    <x v="2"/>
    <x v="1"/>
    <n v="0"/>
    <n v="0"/>
    <n v="0"/>
    <n v="1"/>
    <n v="0"/>
    <n v="1"/>
    <x v="2"/>
    <n v="0"/>
    <n v="0"/>
    <n v="0"/>
    <n v="0"/>
    <x v="0"/>
  </r>
  <r>
    <s v="AZ8JL3QNIPY4U"/>
    <x v="0"/>
    <n v="28"/>
    <s v="female"/>
    <x v="2"/>
    <x v="6"/>
    <n v="31919"/>
    <n v="1"/>
    <n v="0"/>
    <n v="0"/>
    <n v="0"/>
    <s v="Bookstores A, B, C, D and E."/>
    <s v="Bookstore E."/>
    <s v="Bookstore A."/>
    <s v="exh"/>
    <s v="mo-l"/>
    <s v="mo-h"/>
    <n v="1"/>
    <x v="2"/>
    <x v="1"/>
    <n v="0"/>
    <n v="0"/>
    <n v="0"/>
    <n v="1"/>
    <n v="1"/>
    <n v="0"/>
    <x v="2"/>
    <n v="0"/>
    <n v="0"/>
    <n v="0"/>
    <n v="0"/>
    <x v="0"/>
  </r>
  <r>
    <s v="AZ8JL3QNIPY4U"/>
    <x v="0"/>
    <n v="28"/>
    <s v="female"/>
    <x v="3"/>
    <x v="12"/>
    <n v="19015"/>
    <n v="1"/>
    <n v="0"/>
    <n v="0"/>
    <n v="0"/>
    <s v="NA"/>
    <s v="NA"/>
    <s v="NA"/>
    <s v="NA"/>
    <s v="NA"/>
    <s v="NA"/>
    <s v="NA"/>
    <x v="2"/>
    <x v="1"/>
    <n v="0"/>
    <n v="0"/>
    <n v="0"/>
    <n v="1"/>
    <n v="1"/>
    <n v="0"/>
    <x v="2"/>
    <n v="0"/>
    <n v="0"/>
    <n v="0"/>
    <n v="0"/>
    <x v="0"/>
  </r>
  <r>
    <s v="AZ8JL3QNIPY4U"/>
    <x v="0"/>
    <n v="28"/>
    <s v="female"/>
    <x v="2"/>
    <x v="7"/>
    <n v="16231"/>
    <n v="0"/>
    <n v="1"/>
    <n v="0"/>
    <n v="0"/>
    <s v="Stylists D and E."/>
    <s v="Stylist A."/>
    <s v="Stylist E."/>
    <s v="ms-l"/>
    <s v="mo-h"/>
    <s v="mo-l"/>
    <n v="0"/>
    <x v="2"/>
    <x v="1"/>
    <n v="0"/>
    <n v="1"/>
    <n v="0"/>
    <n v="1"/>
    <n v="0"/>
    <n v="1"/>
    <x v="2"/>
    <n v="0"/>
    <n v="0"/>
    <n v="0"/>
    <n v="0"/>
    <x v="0"/>
  </r>
  <r>
    <s v="AZ8JL3QNIPY4U"/>
    <x v="0"/>
    <n v="28"/>
    <s v="female"/>
    <x v="3"/>
    <x v="5"/>
    <n v="20445"/>
    <n v="0"/>
    <n v="0"/>
    <n v="1"/>
    <n v="0"/>
    <s v="NA"/>
    <s v="NA"/>
    <s v="NA"/>
    <s v="NA"/>
    <s v="NA"/>
    <s v="NA"/>
    <s v="NA"/>
    <x v="2"/>
    <x v="1"/>
    <n v="0"/>
    <n v="1"/>
    <n v="0"/>
    <n v="1"/>
    <n v="0"/>
    <n v="1"/>
    <x v="2"/>
    <n v="0"/>
    <n v="0"/>
    <n v="0"/>
    <n v="0"/>
    <x v="0"/>
  </r>
  <r>
    <s v="AZ8JL3QNIPY4U"/>
    <x v="0"/>
    <n v="28"/>
    <s v="female"/>
    <x v="2"/>
    <x v="4"/>
    <n v="20021"/>
    <n v="1"/>
    <n v="0"/>
    <n v="0"/>
    <n v="0"/>
    <s v="Stall A."/>
    <s v="Stall E."/>
    <s v="Stall F."/>
    <s v="mo-h"/>
    <s v="mo-l"/>
    <s v="fa"/>
    <n v="0"/>
    <x v="2"/>
    <x v="1"/>
    <n v="0"/>
    <n v="0"/>
    <n v="0"/>
    <n v="1"/>
    <n v="0"/>
    <n v="1"/>
    <x v="2"/>
    <n v="0"/>
    <n v="0"/>
    <n v="0"/>
    <n v="0"/>
    <x v="0"/>
  </r>
  <r>
    <s v="AZ8JL3QNIPY4U"/>
    <x v="0"/>
    <n v="28"/>
    <s v="female"/>
    <x v="2"/>
    <x v="3"/>
    <n v="14617"/>
    <n v="0"/>
    <n v="1"/>
    <n v="0"/>
    <n v="0"/>
    <s v="Cafe F."/>
    <s v="Cafe A."/>
    <s v="Cafes D and E."/>
    <s v="fa"/>
    <s v="mo-h"/>
    <s v="ms-l"/>
    <n v="0"/>
    <x v="2"/>
    <x v="2"/>
    <n v="0"/>
    <n v="1"/>
    <n v="0"/>
    <n v="1"/>
    <n v="0"/>
    <n v="1"/>
    <x v="2"/>
    <n v="0"/>
    <n v="0"/>
    <n v="0"/>
    <n v="0"/>
    <x v="0"/>
  </r>
  <r>
    <s v="AZ8JL3QNIPY4U"/>
    <x v="0"/>
    <n v="28"/>
    <s v="female"/>
    <x v="3"/>
    <x v="10"/>
    <n v="35178"/>
    <n v="0"/>
    <n v="0"/>
    <n v="0"/>
    <n v="1"/>
    <s v="NA"/>
    <s v="NA"/>
    <s v="NA"/>
    <s v="NA"/>
    <s v="NA"/>
    <s v="NA"/>
    <s v="NA"/>
    <x v="2"/>
    <x v="2"/>
    <n v="0"/>
    <n v="1"/>
    <n v="0"/>
    <n v="1"/>
    <n v="0"/>
    <n v="1"/>
    <x v="2"/>
    <n v="0"/>
    <n v="0"/>
    <n v="0"/>
    <n v="0"/>
    <x v="0"/>
  </r>
  <r>
    <s v="AZ8JL3QNIPY4U"/>
    <x v="0"/>
    <n v="28"/>
    <s v="female"/>
    <x v="2"/>
    <x v="11"/>
    <n v="9821"/>
    <n v="0"/>
    <n v="0"/>
    <n v="0"/>
    <n v="1"/>
    <s v="Dentist F."/>
    <s v="Dentist E."/>
    <s v="Dentists D and E."/>
    <s v="fa"/>
    <s v="mo-l"/>
    <s v="ms-l"/>
    <n v="0"/>
    <x v="1"/>
    <x v="1"/>
    <n v="0"/>
    <n v="1"/>
    <n v="0"/>
    <n v="1"/>
    <n v="0"/>
    <n v="0"/>
    <x v="2"/>
    <n v="0"/>
    <n v="0"/>
    <n v="0"/>
    <n v="1"/>
    <x v="0"/>
  </r>
  <r>
    <s v="AZ8JL3QNIPY4U"/>
    <x v="0"/>
    <n v="28"/>
    <s v="female"/>
    <x v="3"/>
    <x v="8"/>
    <n v="14730"/>
    <n v="1"/>
    <n v="0"/>
    <n v="0"/>
    <n v="0"/>
    <s v="NA"/>
    <s v="NA"/>
    <s v="NA"/>
    <s v="NA"/>
    <s v="NA"/>
    <s v="NA"/>
    <s v="NA"/>
    <x v="1"/>
    <x v="1"/>
    <n v="0"/>
    <n v="1"/>
    <n v="0"/>
    <n v="1"/>
    <n v="0"/>
    <n v="0"/>
    <x v="2"/>
    <n v="0"/>
    <n v="0"/>
    <n v="0"/>
    <n v="1"/>
    <x v="0"/>
  </r>
  <r>
    <s v="AZ8JL3QNIPY4U"/>
    <x v="0"/>
    <n v="28"/>
    <s v="female"/>
    <x v="4"/>
    <x v="0"/>
    <n v="33076"/>
    <s v="Yes%2C I would list the most popular places for brunch in town rather than just what I think is best."/>
    <s v="No%2C it was very easy."/>
    <m/>
    <s v="NA"/>
    <s v="NA"/>
    <s v="NA"/>
    <s v="NA"/>
    <s v="NA"/>
    <s v="NA"/>
    <s v="NA"/>
    <s v="NA"/>
    <x v="0"/>
    <x v="0"/>
    <s v="NA"/>
    <s v="NA"/>
    <s v="NA"/>
    <s v="NA"/>
    <s v="NA"/>
    <s v="NA"/>
    <x v="0"/>
    <s v="NA"/>
    <s v="NA"/>
    <s v="NA"/>
    <s v="NA"/>
    <x v="0"/>
  </r>
  <r>
    <s v="A1CSHXVJJ8BPHH"/>
    <x v="0"/>
    <n v="25"/>
    <s v="male"/>
    <x v="0"/>
    <x v="0"/>
    <n v="18994"/>
    <s v="NA"/>
    <s v="NA"/>
    <s v="NA"/>
    <s v="NA"/>
    <s v="NA"/>
    <s v="NA"/>
    <s v="NA"/>
    <s v="NA"/>
    <s v="NA"/>
    <s v="NA"/>
    <s v="NA"/>
    <x v="0"/>
    <x v="0"/>
    <s v="NA"/>
    <s v="NA"/>
    <s v="NA"/>
    <s v="NA"/>
    <s v="NA"/>
    <s v="NA"/>
    <x v="0"/>
    <s v="NA"/>
    <s v="NA"/>
    <s v="NA"/>
    <s v="NA"/>
    <x v="0"/>
  </r>
  <r>
    <s v="A1CSHXVJJ8BPHH"/>
    <x v="0"/>
    <n v="25"/>
    <s v="male"/>
    <x v="1"/>
    <x v="2"/>
    <n v="2728"/>
    <n v="1"/>
    <n v="0"/>
    <n v="0"/>
    <n v="0"/>
    <s v="NA"/>
    <s v="NA"/>
    <s v="NA"/>
    <s v="NA"/>
    <s v="NA"/>
    <s v="NA"/>
    <s v="NA"/>
    <x v="0"/>
    <x v="0"/>
    <s v="NA"/>
    <s v="NA"/>
    <s v="NA"/>
    <s v="NA"/>
    <s v="NA"/>
    <s v="NA"/>
    <x v="0"/>
    <s v="NA"/>
    <s v="NA"/>
    <s v="NA"/>
    <s v="NA"/>
    <x v="0"/>
  </r>
  <r>
    <s v="A1CSHXVJJ8BPHH"/>
    <x v="0"/>
    <n v="25"/>
    <s v="male"/>
    <x v="1"/>
    <x v="1"/>
    <n v="3415"/>
    <n v="0"/>
    <n v="1"/>
    <n v="0"/>
    <n v="0"/>
    <s v="NA"/>
    <s v="NA"/>
    <s v="NA"/>
    <s v="NA"/>
    <s v="NA"/>
    <s v="NA"/>
    <s v="NA"/>
    <x v="0"/>
    <x v="0"/>
    <s v="NA"/>
    <s v="NA"/>
    <s v="NA"/>
    <s v="NA"/>
    <s v="NA"/>
    <s v="NA"/>
    <x v="0"/>
    <s v="NA"/>
    <s v="NA"/>
    <s v="NA"/>
    <s v="NA"/>
    <x v="0"/>
  </r>
  <r>
    <s v="A1CSHXVJJ8BPHH"/>
    <x v="0"/>
    <n v="25"/>
    <s v="male"/>
    <x v="2"/>
    <x v="6"/>
    <n v="3304"/>
    <n v="0"/>
    <n v="0"/>
    <n v="1"/>
    <n v="0"/>
    <s v="Bookstore E."/>
    <s v="Bookstores A, B, C, D and E."/>
    <s v="Bookstores A and B."/>
    <s v="mo-l"/>
    <s v="exh"/>
    <s v="ms-h"/>
    <n v="1"/>
    <x v="1"/>
    <x v="1"/>
    <n v="1"/>
    <n v="0"/>
    <n v="0"/>
    <n v="1"/>
    <n v="0"/>
    <n v="0"/>
    <x v="2"/>
    <n v="1"/>
    <n v="0"/>
    <n v="0"/>
    <n v="0"/>
    <x v="0"/>
  </r>
  <r>
    <s v="A1CSHXVJJ8BPHH"/>
    <x v="0"/>
    <n v="25"/>
    <s v="male"/>
    <x v="2"/>
    <x v="4"/>
    <n v="3696"/>
    <n v="0"/>
    <n v="0"/>
    <n v="1"/>
    <n v="0"/>
    <s v="Stall F."/>
    <s v="Stalls D and E."/>
    <s v="Stall E."/>
    <s v="fa"/>
    <s v="ms-l"/>
    <s v="mo-l"/>
    <n v="0"/>
    <x v="1"/>
    <x v="1"/>
    <n v="0"/>
    <n v="1"/>
    <n v="0"/>
    <n v="1"/>
    <n v="0"/>
    <n v="0"/>
    <x v="1"/>
    <n v="0"/>
    <n v="0"/>
    <n v="0"/>
    <n v="0"/>
    <x v="0"/>
  </r>
  <r>
    <s v="A1CSHXVJJ8BPHH"/>
    <x v="0"/>
    <n v="25"/>
    <s v="male"/>
    <x v="3"/>
    <x v="8"/>
    <n v="2076"/>
    <n v="0"/>
    <n v="1"/>
    <n v="0"/>
    <n v="0"/>
    <s v="NA"/>
    <s v="NA"/>
    <s v="NA"/>
    <s v="NA"/>
    <s v="NA"/>
    <s v="NA"/>
    <s v="NA"/>
    <x v="1"/>
    <x v="1"/>
    <n v="0"/>
    <n v="1"/>
    <n v="0"/>
    <n v="1"/>
    <n v="0"/>
    <n v="0"/>
    <x v="1"/>
    <n v="0"/>
    <n v="0"/>
    <n v="0"/>
    <n v="0"/>
    <x v="0"/>
  </r>
  <r>
    <s v="A1CSHXVJJ8BPHH"/>
    <x v="0"/>
    <n v="25"/>
    <s v="male"/>
    <x v="2"/>
    <x v="9"/>
    <n v="3660"/>
    <n v="0"/>
    <n v="0"/>
    <n v="0"/>
    <n v="1"/>
    <s v="Stores A and B."/>
    <s v="Store A."/>
    <s v="Store E."/>
    <s v="ms-h"/>
    <s v="mo-h"/>
    <s v="mo-l"/>
    <n v="0"/>
    <x v="2"/>
    <x v="1"/>
    <n v="1"/>
    <n v="0"/>
    <n v="0"/>
    <n v="1"/>
    <n v="0"/>
    <n v="0"/>
    <x v="2"/>
    <n v="0"/>
    <n v="0"/>
    <n v="0"/>
    <n v="1"/>
    <x v="0"/>
  </r>
  <r>
    <s v="A1CSHXVJJ8BPHH"/>
    <x v="0"/>
    <n v="25"/>
    <s v="male"/>
    <x v="2"/>
    <x v="3"/>
    <n v="2492"/>
    <n v="0"/>
    <n v="0"/>
    <n v="1"/>
    <n v="0"/>
    <s v="Cafe E."/>
    <s v="Cafe F."/>
    <s v="Cafe A."/>
    <s v="mo-l"/>
    <s v="fa"/>
    <s v="mo-h"/>
    <n v="0"/>
    <x v="2"/>
    <x v="1"/>
    <n v="0"/>
    <n v="0"/>
    <n v="0"/>
    <n v="1"/>
    <n v="0"/>
    <n v="1"/>
    <x v="2"/>
    <n v="0"/>
    <n v="0"/>
    <n v="0"/>
    <n v="0"/>
    <x v="0"/>
  </r>
  <r>
    <s v="A1CSHXVJJ8BPHH"/>
    <x v="0"/>
    <n v="25"/>
    <s v="male"/>
    <x v="3"/>
    <x v="5"/>
    <n v="1847"/>
    <n v="0"/>
    <n v="0"/>
    <n v="1"/>
    <n v="0"/>
    <s v="NA"/>
    <s v="NA"/>
    <s v="NA"/>
    <s v="NA"/>
    <s v="NA"/>
    <s v="NA"/>
    <s v="NA"/>
    <x v="2"/>
    <x v="1"/>
    <n v="0"/>
    <n v="0"/>
    <n v="0"/>
    <n v="1"/>
    <n v="0"/>
    <n v="1"/>
    <x v="2"/>
    <n v="0"/>
    <n v="0"/>
    <n v="0"/>
    <n v="0"/>
    <x v="0"/>
  </r>
  <r>
    <s v="A1CSHXVJJ8BPHH"/>
    <x v="0"/>
    <n v="25"/>
    <s v="male"/>
    <x v="2"/>
    <x v="11"/>
    <n v="1286"/>
    <n v="0"/>
    <n v="1"/>
    <n v="0"/>
    <n v="0"/>
    <s v="Dentist A."/>
    <s v="Dentists A, B, C, D and E."/>
    <s v="Dentist F."/>
    <s v="mo-h"/>
    <s v="exh"/>
    <s v="fa"/>
    <n v="1"/>
    <x v="2"/>
    <x v="2"/>
    <n v="0"/>
    <n v="0"/>
    <n v="0"/>
    <n v="1"/>
    <n v="1"/>
    <n v="0"/>
    <x v="2"/>
    <n v="0"/>
    <n v="0"/>
    <n v="0"/>
    <n v="0"/>
    <x v="0"/>
  </r>
  <r>
    <s v="A1CSHXVJJ8BPHH"/>
    <x v="0"/>
    <n v="25"/>
    <s v="male"/>
    <x v="3"/>
    <x v="12"/>
    <n v="1416"/>
    <n v="0"/>
    <n v="0"/>
    <n v="0"/>
    <n v="1"/>
    <s v="NA"/>
    <s v="NA"/>
    <s v="NA"/>
    <s v="NA"/>
    <s v="NA"/>
    <s v="NA"/>
    <s v="NA"/>
    <x v="2"/>
    <x v="2"/>
    <n v="0"/>
    <n v="0"/>
    <n v="0"/>
    <n v="1"/>
    <n v="1"/>
    <n v="0"/>
    <x v="2"/>
    <n v="0"/>
    <n v="0"/>
    <n v="0"/>
    <n v="0"/>
    <x v="0"/>
  </r>
  <r>
    <s v="A1CSHXVJJ8BPHH"/>
    <x v="0"/>
    <n v="25"/>
    <s v="male"/>
    <x v="2"/>
    <x v="7"/>
    <n v="3353"/>
    <n v="1"/>
    <n v="0"/>
    <n v="0"/>
    <n v="0"/>
    <s v="Stylist A."/>
    <s v="Stylist E."/>
    <s v="Stylist F."/>
    <s v="mo-h"/>
    <s v="mo-l"/>
    <s v="fa"/>
    <n v="0"/>
    <x v="2"/>
    <x v="1"/>
    <n v="0"/>
    <n v="0"/>
    <n v="0"/>
    <n v="1"/>
    <n v="0"/>
    <n v="1"/>
    <x v="2"/>
    <n v="0"/>
    <n v="0"/>
    <n v="0"/>
    <n v="0"/>
    <x v="0"/>
  </r>
  <r>
    <s v="A1CSHXVJJ8BPHH"/>
    <x v="0"/>
    <n v="25"/>
    <s v="male"/>
    <x v="3"/>
    <x v="10"/>
    <n v="1889"/>
    <n v="0"/>
    <n v="1"/>
    <n v="0"/>
    <n v="0"/>
    <s v="NA"/>
    <s v="NA"/>
    <s v="NA"/>
    <s v="NA"/>
    <s v="NA"/>
    <s v="NA"/>
    <s v="NA"/>
    <x v="2"/>
    <x v="1"/>
    <n v="0"/>
    <n v="0"/>
    <n v="0"/>
    <n v="1"/>
    <n v="0"/>
    <n v="1"/>
    <x v="2"/>
    <n v="0"/>
    <n v="0"/>
    <n v="0"/>
    <n v="0"/>
    <x v="0"/>
  </r>
  <r>
    <s v="A1CSHXVJJ8BPHH"/>
    <x v="0"/>
    <n v="25"/>
    <s v="male"/>
    <x v="4"/>
    <x v="0"/>
    <n v="36363"/>
    <s v="YES I WOULD HAVE ANSWERED THAT DIFFERENTLY FOR SURE WITH A LIST OF PLACES"/>
    <s v="NO"/>
    <s v="NO NOT AT ALL"/>
    <s v="NA"/>
    <s v="NA"/>
    <s v="NA"/>
    <s v="NA"/>
    <s v="NA"/>
    <s v="NA"/>
    <s v="NA"/>
    <s v="NA"/>
    <x v="0"/>
    <x v="0"/>
    <s v="NA"/>
    <s v="NA"/>
    <s v="NA"/>
    <s v="NA"/>
    <s v="NA"/>
    <s v="NA"/>
    <x v="0"/>
    <s v="NA"/>
    <s v="NA"/>
    <s v="NA"/>
    <s v="NA"/>
    <x v="0"/>
  </r>
  <r>
    <s v="A2Q1BS4JJ10J8H"/>
    <x v="0"/>
    <n v="28"/>
    <s v="male"/>
    <x v="0"/>
    <x v="0"/>
    <n v="101306"/>
    <s v="NA"/>
    <s v="NA"/>
    <s v="NA"/>
    <s v="NA"/>
    <s v="NA"/>
    <s v="NA"/>
    <s v="NA"/>
    <s v="NA"/>
    <s v="NA"/>
    <s v="NA"/>
    <s v="NA"/>
    <x v="0"/>
    <x v="0"/>
    <s v="NA"/>
    <s v="NA"/>
    <s v="NA"/>
    <s v="NA"/>
    <s v="NA"/>
    <s v="NA"/>
    <x v="0"/>
    <s v="NA"/>
    <s v="NA"/>
    <s v="NA"/>
    <s v="NA"/>
    <x v="0"/>
  </r>
  <r>
    <s v="A2Q1BS4JJ10J8H"/>
    <x v="0"/>
    <n v="28"/>
    <s v="male"/>
    <x v="1"/>
    <x v="1"/>
    <n v="100639"/>
    <n v="0"/>
    <n v="0"/>
    <n v="0"/>
    <n v="1"/>
    <s v="NA"/>
    <s v="NA"/>
    <s v="NA"/>
    <s v="NA"/>
    <s v="NA"/>
    <s v="NA"/>
    <s v="NA"/>
    <x v="0"/>
    <x v="0"/>
    <s v="NA"/>
    <s v="NA"/>
    <s v="NA"/>
    <s v="NA"/>
    <s v="NA"/>
    <s v="NA"/>
    <x v="0"/>
    <s v="NA"/>
    <s v="NA"/>
    <s v="NA"/>
    <s v="NA"/>
    <x v="0"/>
  </r>
  <r>
    <s v="A2Q1BS4JJ10J8H"/>
    <x v="0"/>
    <n v="28"/>
    <s v="male"/>
    <x v="1"/>
    <x v="2"/>
    <n v="119163"/>
    <n v="0"/>
    <n v="0"/>
    <n v="1"/>
    <n v="0"/>
    <s v="NA"/>
    <s v="NA"/>
    <s v="NA"/>
    <s v="NA"/>
    <s v="NA"/>
    <s v="NA"/>
    <s v="NA"/>
    <x v="0"/>
    <x v="0"/>
    <s v="NA"/>
    <s v="NA"/>
    <s v="NA"/>
    <s v="NA"/>
    <s v="NA"/>
    <s v="NA"/>
    <x v="0"/>
    <s v="NA"/>
    <s v="NA"/>
    <s v="NA"/>
    <s v="NA"/>
    <x v="0"/>
  </r>
  <r>
    <s v="A2Q1BS4JJ10J8H"/>
    <x v="0"/>
    <n v="28"/>
    <s v="male"/>
    <x v="2"/>
    <x v="3"/>
    <n v="202588"/>
    <n v="0"/>
    <n v="0"/>
    <n v="0"/>
    <n v="1"/>
    <s v="Cafes A, B, C, D and E."/>
    <s v="Cafes A and B."/>
    <s v="Cafes D and E."/>
    <s v="exh"/>
    <s v="ms-h"/>
    <s v="ms-l"/>
    <n v="1"/>
    <x v="1"/>
    <x v="2"/>
    <n v="1"/>
    <n v="1"/>
    <n v="0"/>
    <n v="1"/>
    <n v="0"/>
    <n v="0"/>
    <x v="2"/>
    <n v="0"/>
    <n v="0"/>
    <n v="0"/>
    <n v="1"/>
    <x v="0"/>
  </r>
  <r>
    <s v="A2Q1BS4JJ10J8H"/>
    <x v="0"/>
    <n v="28"/>
    <s v="male"/>
    <x v="2"/>
    <x v="11"/>
    <n v="114905"/>
    <n v="0"/>
    <n v="1"/>
    <n v="0"/>
    <n v="0"/>
    <s v="Dentists D and E."/>
    <s v="Dentists A, B, C, D and E."/>
    <s v="Dentists A and B."/>
    <s v="ms-l"/>
    <s v="exh"/>
    <s v="ms-h"/>
    <n v="1"/>
    <x v="1"/>
    <x v="2"/>
    <n v="1"/>
    <n v="1"/>
    <n v="0"/>
    <n v="1"/>
    <n v="1"/>
    <n v="0"/>
    <x v="2"/>
    <n v="0"/>
    <n v="0"/>
    <n v="0"/>
    <n v="0"/>
    <x v="0"/>
  </r>
  <r>
    <s v="A2Q1BS4JJ10J8H"/>
    <x v="0"/>
    <n v="28"/>
    <s v="male"/>
    <x v="3"/>
    <x v="8"/>
    <n v="63207"/>
    <n v="1"/>
    <n v="0"/>
    <n v="0"/>
    <n v="0"/>
    <s v="NA"/>
    <s v="NA"/>
    <s v="NA"/>
    <s v="NA"/>
    <s v="NA"/>
    <s v="NA"/>
    <s v="NA"/>
    <x v="1"/>
    <x v="2"/>
    <n v="1"/>
    <n v="1"/>
    <n v="0"/>
    <n v="1"/>
    <n v="1"/>
    <n v="0"/>
    <x v="2"/>
    <n v="0"/>
    <n v="0"/>
    <n v="0"/>
    <n v="0"/>
    <x v="0"/>
  </r>
  <r>
    <s v="A2Q1BS4JJ10J8H"/>
    <x v="0"/>
    <n v="28"/>
    <s v="male"/>
    <x v="2"/>
    <x v="7"/>
    <n v="72354"/>
    <n v="1"/>
    <n v="0"/>
    <n v="0"/>
    <n v="1"/>
    <s v="Stylist A."/>
    <s v="Stylists D and E."/>
    <s v="Stylist E."/>
    <s v="mo-h"/>
    <s v="ms-l"/>
    <s v="mo-l"/>
    <n v="0"/>
    <x v="2"/>
    <x v="1"/>
    <n v="0"/>
    <n v="1"/>
    <n v="0"/>
    <n v="1"/>
    <n v="0"/>
    <n v="1"/>
    <x v="2"/>
    <n v="0"/>
    <n v="0"/>
    <n v="0"/>
    <n v="1"/>
    <x v="0"/>
  </r>
  <r>
    <s v="A2Q1BS4JJ10J8H"/>
    <x v="0"/>
    <n v="28"/>
    <s v="male"/>
    <x v="3"/>
    <x v="10"/>
    <n v="106301"/>
    <n v="1"/>
    <n v="1"/>
    <n v="0"/>
    <n v="0"/>
    <s v="NA"/>
    <s v="NA"/>
    <s v="NA"/>
    <s v="NA"/>
    <s v="NA"/>
    <s v="NA"/>
    <s v="NA"/>
    <x v="2"/>
    <x v="1"/>
    <n v="0"/>
    <n v="1"/>
    <n v="0"/>
    <n v="1"/>
    <n v="0"/>
    <n v="1"/>
    <x v="2"/>
    <n v="0"/>
    <n v="0"/>
    <n v="0"/>
    <n v="1"/>
    <x v="0"/>
  </r>
  <r>
    <s v="A2Q1BS4JJ10J8H"/>
    <x v="0"/>
    <n v="28"/>
    <s v="male"/>
    <x v="2"/>
    <x v="4"/>
    <n v="33028"/>
    <n v="1"/>
    <n v="1"/>
    <n v="0"/>
    <n v="0"/>
    <s v="Stall A."/>
    <s v="Stalls A and B."/>
    <s v="Stall E."/>
    <s v="mo-h"/>
    <s v="ms-h"/>
    <s v="mo-l"/>
    <n v="0"/>
    <x v="2"/>
    <x v="1"/>
    <n v="1"/>
    <n v="0"/>
    <n v="0"/>
    <n v="1"/>
    <n v="0"/>
    <n v="1"/>
    <x v="2"/>
    <n v="1"/>
    <n v="0"/>
    <n v="0"/>
    <n v="0"/>
    <x v="0"/>
  </r>
  <r>
    <s v="A2Q1BS4JJ10J8H"/>
    <x v="0"/>
    <n v="28"/>
    <s v="male"/>
    <x v="2"/>
    <x v="6"/>
    <n v="37104"/>
    <n v="0"/>
    <n v="0"/>
    <n v="1"/>
    <n v="0"/>
    <s v="Bookstores D and E."/>
    <s v="Bookstore E."/>
    <s v="Bookstores A and B."/>
    <s v="ms-l"/>
    <s v="mo-l"/>
    <s v="ms-h"/>
    <n v="0"/>
    <x v="1"/>
    <x v="1"/>
    <n v="1"/>
    <n v="1"/>
    <n v="0"/>
    <n v="1"/>
    <n v="0"/>
    <n v="0"/>
    <x v="2"/>
    <n v="1"/>
    <n v="0"/>
    <n v="0"/>
    <n v="0"/>
    <x v="0"/>
  </r>
  <r>
    <s v="A2Q1BS4JJ10J8H"/>
    <x v="0"/>
    <n v="28"/>
    <s v="male"/>
    <x v="3"/>
    <x v="12"/>
    <n v="45429"/>
    <n v="1"/>
    <n v="0"/>
    <n v="0"/>
    <n v="1"/>
    <s v="NA"/>
    <s v="NA"/>
    <s v="NA"/>
    <s v="NA"/>
    <s v="NA"/>
    <s v="NA"/>
    <s v="NA"/>
    <x v="1"/>
    <x v="1"/>
    <n v="1"/>
    <n v="1"/>
    <n v="0"/>
    <n v="1"/>
    <n v="0"/>
    <n v="0"/>
    <x v="2"/>
    <n v="1"/>
    <n v="0"/>
    <n v="0"/>
    <n v="0"/>
    <x v="0"/>
  </r>
  <r>
    <s v="A2Q1BS4JJ10J8H"/>
    <x v="0"/>
    <n v="28"/>
    <s v="male"/>
    <x v="2"/>
    <x v="9"/>
    <n v="27637"/>
    <n v="0"/>
    <n v="1"/>
    <n v="1"/>
    <n v="0"/>
    <s v="Stores D and E."/>
    <s v="Stores A, B, C, D and E."/>
    <s v="Stores A and B."/>
    <s v="ms-l"/>
    <s v="exh"/>
    <s v="ms-h"/>
    <n v="1"/>
    <x v="1"/>
    <x v="2"/>
    <n v="1"/>
    <n v="1"/>
    <n v="0"/>
    <n v="1"/>
    <n v="1"/>
    <n v="0"/>
    <x v="2"/>
    <n v="1"/>
    <n v="0"/>
    <n v="0"/>
    <n v="0"/>
    <x v="0"/>
  </r>
  <r>
    <s v="A2Q1BS4JJ10J8H"/>
    <x v="0"/>
    <n v="28"/>
    <s v="male"/>
    <x v="3"/>
    <x v="5"/>
    <n v="61618"/>
    <n v="0"/>
    <n v="1"/>
    <n v="0"/>
    <n v="0"/>
    <s v="NA"/>
    <s v="NA"/>
    <s v="NA"/>
    <s v="NA"/>
    <s v="NA"/>
    <s v="NA"/>
    <s v="NA"/>
    <x v="1"/>
    <x v="2"/>
    <n v="1"/>
    <n v="1"/>
    <n v="0"/>
    <n v="1"/>
    <n v="1"/>
    <n v="0"/>
    <x v="2"/>
    <n v="1"/>
    <n v="0"/>
    <n v="0"/>
    <n v="0"/>
    <x v="0"/>
  </r>
  <r>
    <s v="A2Q1BS4JJ10J8H"/>
    <x v="0"/>
    <n v="28"/>
    <s v="male"/>
    <x v="4"/>
    <x v="0"/>
    <n v="191526"/>
    <s v="no%2C It means the same thing and so the answer also would be the same since i would answer by telling the traveler all the places he can go for brunch."/>
    <s v="no%2C not at all%2C i found it pretty simple and a little enjoyable."/>
    <s v="nothing i can think of%2C thank you for the opportunity."/>
    <s v="NA"/>
    <s v="NA"/>
    <s v="NA"/>
    <s v="NA"/>
    <s v="NA"/>
    <s v="NA"/>
    <s v="NA"/>
    <s v="NA"/>
    <x v="0"/>
    <x v="0"/>
    <s v="NA"/>
    <s v="NA"/>
    <s v="NA"/>
    <s v="NA"/>
    <s v="NA"/>
    <s v="NA"/>
    <x v="0"/>
    <s v="NA"/>
    <s v="NA"/>
    <s v="NA"/>
    <s v="NA"/>
    <x v="0"/>
  </r>
  <r>
    <s v="A3LT7W355XOAKF"/>
    <x v="0"/>
    <n v="61"/>
    <s v="male"/>
    <x v="0"/>
    <x v="0"/>
    <n v="35349"/>
    <s v="NA"/>
    <s v="NA"/>
    <s v="NA"/>
    <s v="NA"/>
    <s v="NA"/>
    <s v="NA"/>
    <s v="NA"/>
    <s v="NA"/>
    <s v="NA"/>
    <s v="NA"/>
    <s v="NA"/>
    <x v="0"/>
    <x v="0"/>
    <s v="NA"/>
    <s v="NA"/>
    <s v="NA"/>
    <s v="NA"/>
    <s v="NA"/>
    <s v="NA"/>
    <x v="0"/>
    <s v="NA"/>
    <s v="NA"/>
    <s v="NA"/>
    <s v="NA"/>
    <x v="0"/>
  </r>
  <r>
    <s v="A3LT7W355XOAKF"/>
    <x v="0"/>
    <n v="61"/>
    <s v="male"/>
    <x v="1"/>
    <x v="2"/>
    <n v="47960"/>
    <n v="0"/>
    <n v="1"/>
    <n v="1"/>
    <n v="0"/>
    <s v="NA"/>
    <s v="NA"/>
    <s v="NA"/>
    <s v="NA"/>
    <s v="NA"/>
    <s v="NA"/>
    <s v="NA"/>
    <x v="0"/>
    <x v="0"/>
    <s v="NA"/>
    <s v="NA"/>
    <s v="NA"/>
    <s v="NA"/>
    <s v="NA"/>
    <s v="NA"/>
    <x v="0"/>
    <s v="NA"/>
    <s v="NA"/>
    <s v="NA"/>
    <s v="NA"/>
    <x v="0"/>
  </r>
  <r>
    <s v="A3LT7W355XOAKF"/>
    <x v="0"/>
    <n v="61"/>
    <s v="male"/>
    <x v="1"/>
    <x v="1"/>
    <n v="37231"/>
    <n v="0"/>
    <n v="0"/>
    <n v="0"/>
    <n v="1"/>
    <s v="NA"/>
    <s v="NA"/>
    <s v="NA"/>
    <s v="NA"/>
    <s v="NA"/>
    <s v="NA"/>
    <s v="NA"/>
    <x v="0"/>
    <x v="0"/>
    <s v="NA"/>
    <s v="NA"/>
    <s v="NA"/>
    <s v="NA"/>
    <s v="NA"/>
    <s v="NA"/>
    <x v="0"/>
    <s v="NA"/>
    <s v="NA"/>
    <s v="NA"/>
    <s v="NA"/>
    <x v="0"/>
  </r>
  <r>
    <s v="A3LT7W355XOAKF"/>
    <x v="0"/>
    <n v="61"/>
    <s v="male"/>
    <x v="2"/>
    <x v="7"/>
    <n v="76195"/>
    <n v="0"/>
    <n v="0"/>
    <n v="0"/>
    <n v="1"/>
    <s v="Stylists A, B, C, D and E."/>
    <s v="Stylist E."/>
    <s v="Stylists A and B."/>
    <s v="exh"/>
    <s v="mo-l"/>
    <s v="ms-h"/>
    <n v="1"/>
    <x v="1"/>
    <x v="1"/>
    <n v="1"/>
    <n v="0"/>
    <n v="0"/>
    <n v="1"/>
    <n v="0"/>
    <n v="0"/>
    <x v="2"/>
    <n v="0"/>
    <n v="0"/>
    <n v="0"/>
    <n v="1"/>
    <x v="0"/>
  </r>
  <r>
    <s v="A3LT7W355XOAKF"/>
    <x v="0"/>
    <n v="61"/>
    <s v="male"/>
    <x v="2"/>
    <x v="4"/>
    <n v="74640"/>
    <n v="0"/>
    <n v="1"/>
    <n v="1"/>
    <n v="0"/>
    <s v="Stall F."/>
    <s v="Stall A."/>
    <s v="Stalls A and B."/>
    <s v="fa"/>
    <s v="mo-h"/>
    <s v="ms-h"/>
    <n v="0"/>
    <x v="2"/>
    <x v="2"/>
    <n v="1"/>
    <n v="0"/>
    <n v="0"/>
    <n v="1"/>
    <n v="0"/>
    <n v="1"/>
    <x v="2"/>
    <n v="1"/>
    <n v="0"/>
    <n v="0"/>
    <n v="0"/>
    <x v="0"/>
  </r>
  <r>
    <s v="A3LT7W355XOAKF"/>
    <x v="0"/>
    <n v="61"/>
    <s v="male"/>
    <x v="3"/>
    <x v="5"/>
    <n v="17434"/>
    <n v="0"/>
    <n v="1"/>
    <n v="1"/>
    <n v="0"/>
    <s v="NA"/>
    <s v="NA"/>
    <s v="NA"/>
    <s v="NA"/>
    <s v="NA"/>
    <s v="NA"/>
    <s v="NA"/>
    <x v="2"/>
    <x v="2"/>
    <n v="1"/>
    <n v="0"/>
    <n v="0"/>
    <n v="1"/>
    <n v="0"/>
    <n v="1"/>
    <x v="2"/>
    <n v="1"/>
    <n v="0"/>
    <n v="0"/>
    <n v="0"/>
    <x v="0"/>
  </r>
  <r>
    <s v="A3LT7W355XOAKF"/>
    <x v="0"/>
    <n v="61"/>
    <s v="male"/>
    <x v="2"/>
    <x v="3"/>
    <n v="46063"/>
    <n v="1"/>
    <n v="1"/>
    <n v="1"/>
    <n v="0"/>
    <s v="Cafe E."/>
    <s v="Cafe F."/>
    <s v="Cafe A."/>
    <s v="mo-l"/>
    <s v="fa"/>
    <s v="mo-h"/>
    <n v="0"/>
    <x v="2"/>
    <x v="1"/>
    <n v="0"/>
    <n v="0"/>
    <n v="0"/>
    <n v="1"/>
    <n v="0"/>
    <n v="1"/>
    <x v="1"/>
    <n v="0"/>
    <n v="0"/>
    <n v="0"/>
    <n v="0"/>
    <x v="0"/>
  </r>
  <r>
    <s v="A3LT7W355XOAKF"/>
    <x v="0"/>
    <n v="61"/>
    <s v="male"/>
    <x v="3"/>
    <x v="10"/>
    <n v="14226"/>
    <n v="0"/>
    <n v="0"/>
    <n v="0"/>
    <n v="1"/>
    <s v="NA"/>
    <s v="NA"/>
    <s v="NA"/>
    <s v="NA"/>
    <s v="NA"/>
    <s v="NA"/>
    <s v="NA"/>
    <x v="2"/>
    <x v="1"/>
    <n v="0"/>
    <n v="0"/>
    <n v="0"/>
    <n v="1"/>
    <n v="0"/>
    <n v="1"/>
    <x v="1"/>
    <n v="0"/>
    <n v="0"/>
    <n v="0"/>
    <n v="0"/>
    <x v="0"/>
  </r>
  <r>
    <s v="A3LT7W355XOAKF"/>
    <x v="0"/>
    <n v="61"/>
    <s v="male"/>
    <x v="2"/>
    <x v="9"/>
    <n v="28011"/>
    <n v="1"/>
    <n v="0"/>
    <n v="1"/>
    <n v="0"/>
    <s v="Store A."/>
    <s v="Store F."/>
    <s v="Stores A and B."/>
    <s v="mo-h"/>
    <s v="fa"/>
    <s v="ms-h"/>
    <n v="0"/>
    <x v="2"/>
    <x v="2"/>
    <n v="1"/>
    <n v="0"/>
    <n v="0"/>
    <n v="1"/>
    <n v="0"/>
    <n v="1"/>
    <x v="2"/>
    <n v="1"/>
    <n v="0"/>
    <n v="0"/>
    <n v="0"/>
    <x v="0"/>
  </r>
  <r>
    <s v="A3LT7W355XOAKF"/>
    <x v="0"/>
    <n v="61"/>
    <s v="male"/>
    <x v="2"/>
    <x v="11"/>
    <n v="33971"/>
    <n v="1"/>
    <n v="1"/>
    <n v="1"/>
    <n v="0"/>
    <s v="Dentist E."/>
    <s v="Dentists D and E."/>
    <s v="Dentist A."/>
    <s v="mo-l"/>
    <s v="ms-l"/>
    <s v="mo-h"/>
    <n v="0"/>
    <x v="2"/>
    <x v="1"/>
    <n v="0"/>
    <n v="1"/>
    <n v="0"/>
    <n v="1"/>
    <n v="0"/>
    <n v="1"/>
    <x v="1"/>
    <n v="0"/>
    <n v="1"/>
    <n v="0"/>
    <n v="0"/>
    <x v="0"/>
  </r>
  <r>
    <s v="A3LT7W355XOAKF"/>
    <x v="0"/>
    <n v="61"/>
    <s v="male"/>
    <x v="3"/>
    <x v="12"/>
    <n v="25876"/>
    <n v="1"/>
    <n v="0"/>
    <n v="0"/>
    <n v="0"/>
    <s v="NA"/>
    <s v="NA"/>
    <s v="NA"/>
    <s v="NA"/>
    <s v="NA"/>
    <s v="NA"/>
    <s v="NA"/>
    <x v="2"/>
    <x v="1"/>
    <n v="0"/>
    <n v="1"/>
    <n v="0"/>
    <n v="1"/>
    <n v="0"/>
    <n v="1"/>
    <x v="1"/>
    <n v="0"/>
    <n v="1"/>
    <n v="0"/>
    <n v="0"/>
    <x v="0"/>
  </r>
  <r>
    <s v="A3LT7W355XOAKF"/>
    <x v="0"/>
    <n v="61"/>
    <s v="male"/>
    <x v="2"/>
    <x v="6"/>
    <n v="14738"/>
    <n v="1"/>
    <n v="1"/>
    <n v="1"/>
    <n v="0"/>
    <s v="Bookstore E."/>
    <s v="Bookstore A."/>
    <s v="Bookstores A, B, C, D and E."/>
    <s v="mo-l"/>
    <s v="mo-h"/>
    <s v="exh"/>
    <n v="1"/>
    <x v="2"/>
    <x v="1"/>
    <n v="0"/>
    <n v="0"/>
    <n v="0"/>
    <n v="1"/>
    <n v="1"/>
    <n v="1"/>
    <x v="1"/>
    <n v="0"/>
    <n v="0"/>
    <n v="0"/>
    <n v="0"/>
    <x v="0"/>
  </r>
  <r>
    <s v="A3LT7W355XOAKF"/>
    <x v="0"/>
    <n v="61"/>
    <s v="male"/>
    <x v="3"/>
    <x v="8"/>
    <n v="21601"/>
    <n v="1"/>
    <n v="1"/>
    <n v="0"/>
    <n v="0"/>
    <s v="NA"/>
    <s v="NA"/>
    <s v="NA"/>
    <s v="NA"/>
    <s v="NA"/>
    <s v="NA"/>
    <s v="NA"/>
    <x v="2"/>
    <x v="1"/>
    <n v="0"/>
    <n v="0"/>
    <n v="0"/>
    <n v="1"/>
    <n v="1"/>
    <n v="1"/>
    <x v="1"/>
    <n v="0"/>
    <n v="0"/>
    <n v="0"/>
    <n v="0"/>
    <x v="0"/>
  </r>
  <r>
    <s v="A3LT7W355XOAKF"/>
    <x v="0"/>
    <n v="61"/>
    <s v="male"/>
    <x v="4"/>
    <x v="0"/>
    <n v="113151"/>
    <s v="Yes as some places like food banks or free places may serve a brunch as well."/>
    <s v="No%2C it all seemed fairly logical and I went by logic."/>
    <s v="no"/>
    <s v="NA"/>
    <s v="NA"/>
    <s v="NA"/>
    <s v="NA"/>
    <s v="NA"/>
    <s v="NA"/>
    <s v="NA"/>
    <s v="NA"/>
    <x v="0"/>
    <x v="0"/>
    <s v="NA"/>
    <s v="NA"/>
    <s v="NA"/>
    <s v="NA"/>
    <s v="NA"/>
    <s v="NA"/>
    <x v="0"/>
    <s v="NA"/>
    <s v="NA"/>
    <s v="NA"/>
    <s v="NA"/>
    <x v="0"/>
  </r>
  <r>
    <s v="A1CGDMOPDIC7EU"/>
    <x v="0"/>
    <n v="40"/>
    <s v="female"/>
    <x v="0"/>
    <x v="0"/>
    <n v="428673"/>
    <s v="NA"/>
    <s v="NA"/>
    <s v="NA"/>
    <s v="NA"/>
    <s v="NA"/>
    <s v="NA"/>
    <s v="NA"/>
    <s v="NA"/>
    <s v="NA"/>
    <s v="NA"/>
    <s v="NA"/>
    <x v="0"/>
    <x v="0"/>
    <s v="NA"/>
    <s v="NA"/>
    <s v="NA"/>
    <s v="NA"/>
    <s v="NA"/>
    <s v="NA"/>
    <x v="0"/>
    <s v="NA"/>
    <s v="NA"/>
    <s v="NA"/>
    <s v="NA"/>
    <x v="0"/>
  </r>
  <r>
    <s v="A1CGDMOPDIC7EU"/>
    <x v="0"/>
    <n v="40"/>
    <s v="female"/>
    <x v="1"/>
    <x v="1"/>
    <n v="44277"/>
    <n v="0"/>
    <n v="0"/>
    <n v="0"/>
    <n v="1"/>
    <s v="NA"/>
    <s v="NA"/>
    <s v="NA"/>
    <s v="NA"/>
    <s v="NA"/>
    <s v="NA"/>
    <s v="NA"/>
    <x v="0"/>
    <x v="0"/>
    <s v="NA"/>
    <s v="NA"/>
    <s v="NA"/>
    <s v="NA"/>
    <s v="NA"/>
    <s v="NA"/>
    <x v="0"/>
    <s v="NA"/>
    <s v="NA"/>
    <s v="NA"/>
    <s v="NA"/>
    <x v="0"/>
  </r>
  <r>
    <s v="A1CGDMOPDIC7EU"/>
    <x v="0"/>
    <n v="40"/>
    <s v="female"/>
    <x v="1"/>
    <x v="2"/>
    <n v="116120"/>
    <n v="0"/>
    <n v="0"/>
    <n v="1"/>
    <n v="0"/>
    <s v="NA"/>
    <s v="NA"/>
    <s v="NA"/>
    <s v="NA"/>
    <s v="NA"/>
    <s v="NA"/>
    <s v="NA"/>
    <x v="0"/>
    <x v="0"/>
    <s v="NA"/>
    <s v="NA"/>
    <s v="NA"/>
    <s v="NA"/>
    <s v="NA"/>
    <s v="NA"/>
    <x v="0"/>
    <s v="NA"/>
    <s v="NA"/>
    <s v="NA"/>
    <s v="NA"/>
    <x v="0"/>
  </r>
  <r>
    <s v="A1CGDMOPDIC7EU"/>
    <x v="0"/>
    <n v="40"/>
    <s v="female"/>
    <x v="2"/>
    <x v="9"/>
    <n v="63963"/>
    <n v="1"/>
    <n v="0"/>
    <n v="0"/>
    <n v="0"/>
    <s v="Store A."/>
    <s v="Stores A and B."/>
    <s v="Stores A, B, C, D and E."/>
    <s v="mo-h"/>
    <s v="ms-h"/>
    <s v="exh"/>
    <n v="1"/>
    <x v="2"/>
    <x v="2"/>
    <n v="1"/>
    <n v="0"/>
    <n v="0"/>
    <n v="1"/>
    <n v="0"/>
    <n v="1"/>
    <x v="2"/>
    <n v="0"/>
    <n v="0"/>
    <n v="0"/>
    <n v="0"/>
    <x v="0"/>
  </r>
  <r>
    <s v="A1CGDMOPDIC7EU"/>
    <x v="0"/>
    <n v="40"/>
    <s v="female"/>
    <x v="2"/>
    <x v="11"/>
    <n v="62379"/>
    <n v="1"/>
    <n v="1"/>
    <n v="1"/>
    <n v="0"/>
    <s v="Dentists D and E."/>
    <s v="Dentists A and B."/>
    <s v="Dentist E."/>
    <s v="ms-l"/>
    <s v="ms-h"/>
    <s v="mo-l"/>
    <n v="0"/>
    <x v="1"/>
    <x v="1"/>
    <n v="1"/>
    <n v="1"/>
    <n v="0"/>
    <n v="1"/>
    <n v="0"/>
    <n v="0"/>
    <x v="1"/>
    <n v="1"/>
    <n v="1"/>
    <n v="0"/>
    <n v="0"/>
    <x v="0"/>
  </r>
  <r>
    <s v="A1CGDMOPDIC7EU"/>
    <x v="0"/>
    <n v="40"/>
    <s v="female"/>
    <x v="3"/>
    <x v="8"/>
    <n v="29757"/>
    <n v="1"/>
    <n v="1"/>
    <n v="0"/>
    <n v="0"/>
    <s v="NA"/>
    <s v="NA"/>
    <s v="NA"/>
    <s v="NA"/>
    <s v="NA"/>
    <s v="NA"/>
    <s v="NA"/>
    <x v="1"/>
    <x v="1"/>
    <n v="1"/>
    <n v="1"/>
    <n v="0"/>
    <n v="1"/>
    <n v="0"/>
    <n v="0"/>
    <x v="1"/>
    <n v="1"/>
    <n v="1"/>
    <n v="0"/>
    <n v="0"/>
    <x v="0"/>
  </r>
  <r>
    <s v="A1CGDMOPDIC7EU"/>
    <x v="0"/>
    <n v="40"/>
    <s v="female"/>
    <x v="2"/>
    <x v="7"/>
    <n v="35235"/>
    <n v="1"/>
    <n v="1"/>
    <n v="1"/>
    <n v="0"/>
    <s v="Stylists D and E."/>
    <s v="Stylist F."/>
    <s v="Stylist E."/>
    <s v="ms-l"/>
    <s v="fa"/>
    <s v="mo-l"/>
    <n v="0"/>
    <x v="1"/>
    <x v="1"/>
    <n v="0"/>
    <n v="1"/>
    <n v="0"/>
    <n v="1"/>
    <n v="0"/>
    <n v="0"/>
    <x v="1"/>
    <n v="0"/>
    <n v="1"/>
    <n v="0"/>
    <n v="0"/>
    <x v="0"/>
  </r>
  <r>
    <s v="A1CGDMOPDIC7EU"/>
    <x v="0"/>
    <n v="40"/>
    <s v="female"/>
    <x v="3"/>
    <x v="10"/>
    <n v="41723"/>
    <n v="0"/>
    <n v="0"/>
    <n v="1"/>
    <n v="0"/>
    <s v="NA"/>
    <s v="NA"/>
    <s v="NA"/>
    <s v="NA"/>
    <s v="NA"/>
    <s v="NA"/>
    <s v="NA"/>
    <x v="1"/>
    <x v="1"/>
    <n v="0"/>
    <n v="1"/>
    <n v="0"/>
    <n v="1"/>
    <n v="0"/>
    <n v="0"/>
    <x v="1"/>
    <n v="0"/>
    <n v="1"/>
    <n v="0"/>
    <n v="0"/>
    <x v="0"/>
  </r>
  <r>
    <s v="A1CGDMOPDIC7EU"/>
    <x v="0"/>
    <n v="40"/>
    <s v="female"/>
    <x v="2"/>
    <x v="4"/>
    <n v="99015"/>
    <n v="0"/>
    <n v="0"/>
    <n v="0"/>
    <n v="1"/>
    <s v="Stall E."/>
    <s v="Stall A."/>
    <s v="Stalls D and E."/>
    <s v="mo-l"/>
    <s v="mo-h"/>
    <s v="ms-l"/>
    <n v="0"/>
    <x v="2"/>
    <x v="1"/>
    <n v="0"/>
    <n v="1"/>
    <n v="0"/>
    <n v="1"/>
    <n v="0"/>
    <n v="0"/>
    <x v="2"/>
    <n v="0"/>
    <n v="0"/>
    <n v="0"/>
    <n v="1"/>
    <x v="0"/>
  </r>
  <r>
    <s v="A1CGDMOPDIC7EU"/>
    <x v="0"/>
    <n v="40"/>
    <s v="female"/>
    <x v="2"/>
    <x v="6"/>
    <n v="150919"/>
    <n v="0"/>
    <n v="1"/>
    <n v="0"/>
    <n v="0"/>
    <s v="Bookstore E."/>
    <s v="Bookstore A."/>
    <s v="Bookstore F."/>
    <s v="mo-l"/>
    <s v="mo-h"/>
    <s v="fa"/>
    <n v="0"/>
    <x v="2"/>
    <x v="1"/>
    <n v="0"/>
    <n v="0"/>
    <n v="0"/>
    <n v="1"/>
    <n v="0"/>
    <n v="1"/>
    <x v="2"/>
    <n v="0"/>
    <n v="0"/>
    <n v="0"/>
    <n v="0"/>
    <x v="0"/>
  </r>
  <r>
    <s v="A1CGDMOPDIC7EU"/>
    <x v="0"/>
    <n v="40"/>
    <s v="female"/>
    <x v="3"/>
    <x v="12"/>
    <n v="25848"/>
    <n v="1"/>
    <n v="1"/>
    <n v="0"/>
    <n v="0"/>
    <s v="NA"/>
    <s v="NA"/>
    <s v="NA"/>
    <s v="NA"/>
    <s v="NA"/>
    <s v="NA"/>
    <s v="NA"/>
    <x v="2"/>
    <x v="1"/>
    <n v="0"/>
    <n v="0"/>
    <n v="0"/>
    <n v="1"/>
    <n v="0"/>
    <n v="1"/>
    <x v="2"/>
    <n v="0"/>
    <n v="0"/>
    <n v="0"/>
    <n v="0"/>
    <x v="0"/>
  </r>
  <r>
    <s v="A1CGDMOPDIC7EU"/>
    <x v="0"/>
    <n v="40"/>
    <s v="female"/>
    <x v="2"/>
    <x v="3"/>
    <n v="103257"/>
    <n v="0"/>
    <n v="1"/>
    <n v="1"/>
    <n v="0"/>
    <s v="Cafe F."/>
    <s v="Cafes A and B."/>
    <s v="Cafe A."/>
    <s v="fa"/>
    <s v="ms-h"/>
    <s v="mo-h"/>
    <n v="0"/>
    <x v="2"/>
    <x v="2"/>
    <n v="1"/>
    <n v="0"/>
    <n v="0"/>
    <n v="1"/>
    <n v="0"/>
    <n v="1"/>
    <x v="2"/>
    <n v="1"/>
    <n v="0"/>
    <n v="0"/>
    <n v="0"/>
    <x v="0"/>
  </r>
  <r>
    <s v="A1CGDMOPDIC7EU"/>
    <x v="0"/>
    <n v="40"/>
    <s v="female"/>
    <x v="3"/>
    <x v="5"/>
    <n v="41856"/>
    <n v="0"/>
    <n v="1"/>
    <n v="1"/>
    <n v="0"/>
    <s v="NA"/>
    <s v="NA"/>
    <s v="NA"/>
    <s v="NA"/>
    <s v="NA"/>
    <s v="NA"/>
    <s v="NA"/>
    <x v="2"/>
    <x v="2"/>
    <n v="1"/>
    <n v="0"/>
    <n v="0"/>
    <n v="1"/>
    <n v="0"/>
    <n v="1"/>
    <x v="2"/>
    <n v="1"/>
    <n v="0"/>
    <n v="0"/>
    <n v="0"/>
    <x v="0"/>
  </r>
  <r>
    <s v="A1CGDMOPDIC7EU"/>
    <x v="0"/>
    <n v="40"/>
    <s v="female"/>
    <x v="4"/>
    <x v="0"/>
    <n v="204352"/>
    <s v="Yes because she could possibly go to a cafe or a food stand for lunch and not a restaurant. The first question asks specifically for restaurants whereas the second doesn't."/>
    <s v="Yes%2C because on some I wasn't really sure what it was asking. I felt like some might be a trick question. "/>
    <s v="no"/>
    <s v="NA"/>
    <s v="NA"/>
    <s v="NA"/>
    <s v="NA"/>
    <s v="NA"/>
    <s v="NA"/>
    <s v="NA"/>
    <s v="NA"/>
    <x v="0"/>
    <x v="0"/>
    <s v="NA"/>
    <s v="NA"/>
    <s v="NA"/>
    <s v="NA"/>
    <s v="NA"/>
    <s v="NA"/>
    <x v="0"/>
    <s v="NA"/>
    <s v="NA"/>
    <s v="NA"/>
    <s v="NA"/>
    <x v="0"/>
  </r>
  <r>
    <s v="A3AY0315YWWNXY"/>
    <x v="0"/>
    <n v="27"/>
    <s v="male"/>
    <x v="0"/>
    <x v="0"/>
    <n v="31207"/>
    <s v="NA"/>
    <s v="NA"/>
    <s v="NA"/>
    <s v="NA"/>
    <s v="NA"/>
    <s v="NA"/>
    <s v="NA"/>
    <s v="NA"/>
    <s v="NA"/>
    <s v="NA"/>
    <s v="NA"/>
    <x v="0"/>
    <x v="0"/>
    <s v="NA"/>
    <s v="NA"/>
    <s v="NA"/>
    <s v="NA"/>
    <s v="NA"/>
    <s v="NA"/>
    <x v="0"/>
    <s v="NA"/>
    <s v="NA"/>
    <s v="NA"/>
    <s v="NA"/>
    <x v="0"/>
  </r>
  <r>
    <s v="A3AY0315YWWNXY"/>
    <x v="0"/>
    <n v="27"/>
    <s v="male"/>
    <x v="1"/>
    <x v="1"/>
    <n v="35582"/>
    <n v="0"/>
    <n v="0"/>
    <n v="0"/>
    <n v="1"/>
    <s v="NA"/>
    <s v="NA"/>
    <s v="NA"/>
    <s v="NA"/>
    <s v="NA"/>
    <s v="NA"/>
    <s v="NA"/>
    <x v="0"/>
    <x v="0"/>
    <s v="NA"/>
    <s v="NA"/>
    <s v="NA"/>
    <s v="NA"/>
    <s v="NA"/>
    <s v="NA"/>
    <x v="0"/>
    <s v="NA"/>
    <s v="NA"/>
    <s v="NA"/>
    <s v="NA"/>
    <x v="0"/>
  </r>
  <r>
    <s v="A3AY0315YWWNXY"/>
    <x v="0"/>
    <n v="27"/>
    <s v="male"/>
    <x v="1"/>
    <x v="2"/>
    <n v="22805"/>
    <n v="0"/>
    <n v="0"/>
    <n v="1"/>
    <n v="0"/>
    <s v="NA"/>
    <s v="NA"/>
    <s v="NA"/>
    <s v="NA"/>
    <s v="NA"/>
    <s v="NA"/>
    <s v="NA"/>
    <x v="0"/>
    <x v="0"/>
    <s v="NA"/>
    <s v="NA"/>
    <s v="NA"/>
    <s v="NA"/>
    <s v="NA"/>
    <s v="NA"/>
    <x v="0"/>
    <s v="NA"/>
    <s v="NA"/>
    <s v="NA"/>
    <s v="NA"/>
    <x v="0"/>
  </r>
  <r>
    <s v="A3AY0315YWWNXY"/>
    <x v="0"/>
    <n v="27"/>
    <s v="male"/>
    <x v="2"/>
    <x v="6"/>
    <n v="50816"/>
    <n v="0"/>
    <n v="0"/>
    <n v="1"/>
    <n v="0"/>
    <s v="Bookstores D and E."/>
    <s v="Bookstore F."/>
    <s v="Bookstore A."/>
    <s v="ms-l"/>
    <s v="fa"/>
    <s v="mo-h"/>
    <n v="0"/>
    <x v="2"/>
    <x v="2"/>
    <n v="0"/>
    <n v="1"/>
    <n v="0"/>
    <n v="1"/>
    <n v="0"/>
    <n v="1"/>
    <x v="2"/>
    <n v="0"/>
    <n v="0"/>
    <n v="0"/>
    <n v="0"/>
    <x v="0"/>
  </r>
  <r>
    <s v="A3AY0315YWWNXY"/>
    <x v="0"/>
    <n v="27"/>
    <s v="male"/>
    <x v="2"/>
    <x v="4"/>
    <n v="32072"/>
    <n v="0"/>
    <n v="1"/>
    <n v="0"/>
    <n v="0"/>
    <s v="Stalls D and E."/>
    <s v="Stalls A and B."/>
    <s v="Stall F."/>
    <s v="ms-l"/>
    <s v="ms-h"/>
    <s v="fa"/>
    <n v="0"/>
    <x v="1"/>
    <x v="2"/>
    <n v="1"/>
    <n v="1"/>
    <n v="0"/>
    <n v="1"/>
    <n v="0"/>
    <n v="0"/>
    <x v="2"/>
    <n v="1"/>
    <n v="0"/>
    <n v="0"/>
    <n v="0"/>
    <x v="0"/>
  </r>
  <r>
    <s v="A3AY0315YWWNXY"/>
    <x v="0"/>
    <n v="27"/>
    <s v="male"/>
    <x v="3"/>
    <x v="12"/>
    <n v="17930"/>
    <n v="1"/>
    <n v="0"/>
    <n v="0"/>
    <n v="0"/>
    <s v="NA"/>
    <s v="NA"/>
    <s v="NA"/>
    <s v="NA"/>
    <s v="NA"/>
    <s v="NA"/>
    <s v="NA"/>
    <x v="1"/>
    <x v="2"/>
    <n v="1"/>
    <n v="1"/>
    <n v="0"/>
    <n v="1"/>
    <n v="0"/>
    <n v="0"/>
    <x v="2"/>
    <n v="1"/>
    <n v="0"/>
    <n v="0"/>
    <n v="0"/>
    <x v="0"/>
  </r>
  <r>
    <s v="A3AY0315YWWNXY"/>
    <x v="0"/>
    <n v="27"/>
    <s v="male"/>
    <x v="2"/>
    <x v="3"/>
    <n v="16719"/>
    <n v="0"/>
    <n v="1"/>
    <n v="1"/>
    <n v="0"/>
    <s v="Cafe E."/>
    <s v="Cafes A, B, C, D and E."/>
    <s v="Cafes A and B."/>
    <s v="mo-l"/>
    <s v="exh"/>
    <s v="ms-h"/>
    <n v="1"/>
    <x v="1"/>
    <x v="1"/>
    <n v="1"/>
    <n v="0"/>
    <n v="0"/>
    <n v="1"/>
    <n v="1"/>
    <n v="0"/>
    <x v="2"/>
    <n v="1"/>
    <n v="0"/>
    <n v="0"/>
    <n v="0"/>
    <x v="0"/>
  </r>
  <r>
    <s v="A3AY0315YWWNXY"/>
    <x v="0"/>
    <n v="27"/>
    <s v="male"/>
    <x v="2"/>
    <x v="11"/>
    <n v="31867"/>
    <n v="1"/>
    <n v="0"/>
    <n v="0"/>
    <n v="0"/>
    <s v="Dentists A, B, C, D and E."/>
    <s v="Dentist F."/>
    <s v="Dentist E."/>
    <s v="exh"/>
    <s v="fa"/>
    <s v="mo-l"/>
    <n v="1"/>
    <x v="1"/>
    <x v="1"/>
    <n v="0"/>
    <n v="0"/>
    <n v="0"/>
    <n v="1"/>
    <n v="1"/>
    <n v="0"/>
    <x v="2"/>
    <n v="0"/>
    <n v="0"/>
    <n v="0"/>
    <n v="0"/>
    <x v="0"/>
  </r>
  <r>
    <s v="A3AY0315YWWNXY"/>
    <x v="0"/>
    <n v="27"/>
    <s v="male"/>
    <x v="3"/>
    <x v="10"/>
    <n v="22802"/>
    <n v="1"/>
    <n v="1"/>
    <n v="0"/>
    <n v="0"/>
    <s v="NA"/>
    <s v="NA"/>
    <s v="NA"/>
    <s v="NA"/>
    <s v="NA"/>
    <s v="NA"/>
    <s v="NA"/>
    <x v="1"/>
    <x v="1"/>
    <n v="0"/>
    <n v="0"/>
    <n v="0"/>
    <n v="1"/>
    <n v="1"/>
    <n v="0"/>
    <x v="2"/>
    <n v="0"/>
    <n v="0"/>
    <n v="0"/>
    <n v="0"/>
    <x v="0"/>
  </r>
  <r>
    <s v="A3AY0315YWWNXY"/>
    <x v="0"/>
    <n v="27"/>
    <s v="male"/>
    <x v="2"/>
    <x v="9"/>
    <n v="118807"/>
    <n v="0"/>
    <n v="0"/>
    <n v="1"/>
    <n v="0"/>
    <s v="Stores D and E."/>
    <s v="Store F."/>
    <s v="Store A."/>
    <s v="ms-l"/>
    <s v="fa"/>
    <s v="mo-h"/>
    <n v="0"/>
    <x v="2"/>
    <x v="2"/>
    <n v="0"/>
    <n v="1"/>
    <n v="0"/>
    <n v="1"/>
    <n v="0"/>
    <n v="1"/>
    <x v="2"/>
    <n v="0"/>
    <n v="0"/>
    <n v="0"/>
    <n v="0"/>
    <x v="0"/>
  </r>
  <r>
    <s v="A3AY0315YWWNXY"/>
    <x v="0"/>
    <n v="27"/>
    <s v="male"/>
    <x v="3"/>
    <x v="8"/>
    <n v="20673"/>
    <n v="1"/>
    <n v="1"/>
    <n v="0"/>
    <n v="0"/>
    <s v="NA"/>
    <s v="NA"/>
    <s v="NA"/>
    <s v="NA"/>
    <s v="NA"/>
    <s v="NA"/>
    <s v="NA"/>
    <x v="2"/>
    <x v="2"/>
    <n v="0"/>
    <n v="1"/>
    <n v="0"/>
    <n v="1"/>
    <n v="0"/>
    <n v="1"/>
    <x v="2"/>
    <n v="0"/>
    <n v="0"/>
    <n v="0"/>
    <n v="0"/>
    <x v="0"/>
  </r>
  <r>
    <s v="A3AY0315YWWNXY"/>
    <x v="0"/>
    <n v="27"/>
    <s v="male"/>
    <x v="2"/>
    <x v="7"/>
    <n v="16961"/>
    <n v="0"/>
    <n v="1"/>
    <n v="1"/>
    <n v="0"/>
    <s v="Stylist F."/>
    <s v="Stylist A."/>
    <s v="Stylists A and B."/>
    <s v="fa"/>
    <s v="mo-h"/>
    <s v="ms-h"/>
    <n v="0"/>
    <x v="2"/>
    <x v="2"/>
    <n v="1"/>
    <n v="0"/>
    <n v="0"/>
    <n v="1"/>
    <n v="0"/>
    <n v="1"/>
    <x v="2"/>
    <n v="1"/>
    <n v="0"/>
    <n v="0"/>
    <n v="0"/>
    <x v="0"/>
  </r>
  <r>
    <s v="A3AY0315YWWNXY"/>
    <x v="0"/>
    <n v="27"/>
    <s v="male"/>
    <x v="3"/>
    <x v="5"/>
    <n v="24671"/>
    <n v="0"/>
    <n v="0"/>
    <n v="1"/>
    <n v="0"/>
    <s v="NA"/>
    <s v="NA"/>
    <s v="NA"/>
    <s v="NA"/>
    <s v="NA"/>
    <s v="NA"/>
    <s v="NA"/>
    <x v="2"/>
    <x v="2"/>
    <n v="1"/>
    <n v="0"/>
    <n v="0"/>
    <n v="1"/>
    <n v="0"/>
    <n v="1"/>
    <x v="2"/>
    <n v="1"/>
    <n v="0"/>
    <n v="0"/>
    <n v="0"/>
    <x v="0"/>
  </r>
  <r>
    <s v="A3AY0315YWWNXY"/>
    <x v="0"/>
    <n v="27"/>
    <s v="male"/>
    <x v="4"/>
    <x v="0"/>
    <n v="70855"/>
    <s v="I would not answer the question differently at all because they are both asking for the same thing."/>
    <s v="Everything was as simple as could be."/>
    <s v="Nothing to add%2C thank you."/>
    <s v="NA"/>
    <s v="NA"/>
    <s v="NA"/>
    <s v="NA"/>
    <s v="NA"/>
    <s v="NA"/>
    <s v="NA"/>
    <s v="NA"/>
    <x v="0"/>
    <x v="0"/>
    <s v="NA"/>
    <s v="NA"/>
    <s v="NA"/>
    <s v="NA"/>
    <s v="NA"/>
    <s v="NA"/>
    <x v="0"/>
    <s v="NA"/>
    <s v="NA"/>
    <s v="NA"/>
    <s v="NA"/>
    <x v="0"/>
  </r>
  <r>
    <s v="AQKB8JSBEMXK9"/>
    <x v="0"/>
    <n v="20"/>
    <s v="female"/>
    <x v="0"/>
    <x v="0"/>
    <n v="173949"/>
    <s v="NA"/>
    <s v="NA"/>
    <s v="NA"/>
    <s v="NA"/>
    <s v="NA"/>
    <s v="NA"/>
    <s v="NA"/>
    <s v="NA"/>
    <s v="NA"/>
    <s v="NA"/>
    <s v="NA"/>
    <x v="0"/>
    <x v="0"/>
    <s v="NA"/>
    <s v="NA"/>
    <s v="NA"/>
    <s v="NA"/>
    <s v="NA"/>
    <s v="NA"/>
    <x v="0"/>
    <s v="NA"/>
    <s v="NA"/>
    <s v="NA"/>
    <s v="NA"/>
    <x v="0"/>
  </r>
  <r>
    <s v="AQKB8JSBEMXK9"/>
    <x v="0"/>
    <n v="20"/>
    <s v="female"/>
    <x v="1"/>
    <x v="1"/>
    <n v="44725"/>
    <n v="0"/>
    <n v="0"/>
    <n v="0"/>
    <n v="1"/>
    <s v="NA"/>
    <s v="NA"/>
    <s v="NA"/>
    <s v="NA"/>
    <s v="NA"/>
    <s v="NA"/>
    <s v="NA"/>
    <x v="0"/>
    <x v="0"/>
    <s v="NA"/>
    <s v="NA"/>
    <s v="NA"/>
    <s v="NA"/>
    <s v="NA"/>
    <s v="NA"/>
    <x v="0"/>
    <s v="NA"/>
    <s v="NA"/>
    <s v="NA"/>
    <s v="NA"/>
    <x v="0"/>
  </r>
  <r>
    <s v="AQKB8JSBEMXK9"/>
    <x v="0"/>
    <n v="20"/>
    <s v="female"/>
    <x v="1"/>
    <x v="2"/>
    <n v="51081"/>
    <n v="0"/>
    <n v="0"/>
    <n v="1"/>
    <n v="0"/>
    <s v="NA"/>
    <s v="NA"/>
    <s v="NA"/>
    <s v="NA"/>
    <s v="NA"/>
    <s v="NA"/>
    <s v="NA"/>
    <x v="0"/>
    <x v="0"/>
    <s v="NA"/>
    <s v="NA"/>
    <s v="NA"/>
    <s v="NA"/>
    <s v="NA"/>
    <s v="NA"/>
    <x v="0"/>
    <s v="NA"/>
    <s v="NA"/>
    <s v="NA"/>
    <s v="NA"/>
    <x v="0"/>
  </r>
  <r>
    <s v="AQKB8JSBEMXK9"/>
    <x v="0"/>
    <n v="20"/>
    <s v="female"/>
    <x v="2"/>
    <x v="6"/>
    <n v="36740"/>
    <n v="0"/>
    <n v="1"/>
    <n v="0"/>
    <n v="0"/>
    <s v="Bookstore F."/>
    <s v="Bookstore A."/>
    <s v="Bookstore E."/>
    <s v="fa"/>
    <s v="mo-h"/>
    <s v="mo-l"/>
    <n v="0"/>
    <x v="2"/>
    <x v="1"/>
    <n v="0"/>
    <n v="0"/>
    <n v="0"/>
    <n v="1"/>
    <n v="0"/>
    <n v="1"/>
    <x v="2"/>
    <n v="0"/>
    <n v="0"/>
    <n v="0"/>
    <n v="0"/>
    <x v="0"/>
  </r>
  <r>
    <s v="AQKB8JSBEMXK9"/>
    <x v="0"/>
    <n v="20"/>
    <s v="female"/>
    <x v="2"/>
    <x v="11"/>
    <n v="213511"/>
    <n v="0"/>
    <n v="0"/>
    <n v="0"/>
    <n v="1"/>
    <s v="Dentist E."/>
    <s v="Dentist A."/>
    <s v="Dentists D and E."/>
    <s v="mo-l"/>
    <s v="mo-h"/>
    <s v="ms-l"/>
    <n v="0"/>
    <x v="2"/>
    <x v="1"/>
    <n v="0"/>
    <n v="1"/>
    <n v="0"/>
    <n v="1"/>
    <n v="0"/>
    <n v="0"/>
    <x v="2"/>
    <n v="0"/>
    <n v="0"/>
    <n v="0"/>
    <n v="1"/>
    <x v="0"/>
  </r>
  <r>
    <s v="AQKB8JSBEMXK9"/>
    <x v="0"/>
    <n v="20"/>
    <s v="female"/>
    <x v="3"/>
    <x v="8"/>
    <n v="77240"/>
    <n v="1"/>
    <n v="1"/>
    <n v="0"/>
    <n v="0"/>
    <s v="NA"/>
    <s v="NA"/>
    <s v="NA"/>
    <s v="NA"/>
    <s v="NA"/>
    <s v="NA"/>
    <s v="NA"/>
    <x v="2"/>
    <x v="1"/>
    <n v="0"/>
    <n v="1"/>
    <n v="0"/>
    <n v="1"/>
    <n v="0"/>
    <n v="0"/>
    <x v="2"/>
    <n v="0"/>
    <n v="0"/>
    <n v="0"/>
    <n v="1"/>
    <x v="0"/>
  </r>
  <r>
    <s v="AQKB8JSBEMXK9"/>
    <x v="0"/>
    <n v="20"/>
    <s v="female"/>
    <x v="2"/>
    <x v="3"/>
    <n v="23019"/>
    <n v="1"/>
    <n v="1"/>
    <n v="1"/>
    <n v="0"/>
    <s v="Cafes D and E."/>
    <s v="Cafes A and B."/>
    <s v="Cafes A, B, C, D and E."/>
    <s v="ms-l"/>
    <s v="ms-h"/>
    <s v="exh"/>
    <n v="1"/>
    <x v="1"/>
    <x v="2"/>
    <n v="1"/>
    <n v="1"/>
    <n v="0"/>
    <n v="1"/>
    <n v="1"/>
    <n v="0"/>
    <x v="2"/>
    <n v="1"/>
    <n v="1"/>
    <n v="0"/>
    <n v="0"/>
    <x v="0"/>
  </r>
  <r>
    <s v="AQKB8JSBEMXK9"/>
    <x v="0"/>
    <n v="20"/>
    <s v="female"/>
    <x v="2"/>
    <x v="4"/>
    <n v="20899"/>
    <n v="1"/>
    <n v="1"/>
    <n v="1"/>
    <n v="0"/>
    <s v="Stalls A and B."/>
    <s v="Stall F."/>
    <s v="Stall E."/>
    <s v="ms-h"/>
    <s v="fa"/>
    <s v="mo-l"/>
    <n v="0"/>
    <x v="1"/>
    <x v="1"/>
    <n v="1"/>
    <n v="0"/>
    <n v="0"/>
    <n v="1"/>
    <n v="0"/>
    <n v="0"/>
    <x v="1"/>
    <n v="1"/>
    <n v="0"/>
    <n v="0"/>
    <n v="0"/>
    <x v="0"/>
  </r>
  <r>
    <s v="AQKB8JSBEMXK9"/>
    <x v="0"/>
    <n v="20"/>
    <s v="female"/>
    <x v="3"/>
    <x v="5"/>
    <n v="160459"/>
    <n v="0"/>
    <n v="1"/>
    <n v="0"/>
    <n v="0"/>
    <s v="NA"/>
    <s v="NA"/>
    <s v="NA"/>
    <s v="NA"/>
    <s v="NA"/>
    <s v="NA"/>
    <s v="NA"/>
    <x v="1"/>
    <x v="1"/>
    <n v="1"/>
    <n v="0"/>
    <n v="0"/>
    <n v="1"/>
    <n v="0"/>
    <n v="0"/>
    <x v="1"/>
    <n v="1"/>
    <n v="0"/>
    <n v="0"/>
    <n v="0"/>
    <x v="0"/>
  </r>
  <r>
    <s v="AQKB8JSBEMXK9"/>
    <x v="0"/>
    <n v="20"/>
    <s v="female"/>
    <x v="2"/>
    <x v="7"/>
    <n v="12585"/>
    <n v="1"/>
    <n v="1"/>
    <n v="1"/>
    <n v="0"/>
    <s v="Stylist F."/>
    <s v="Stylists A and B."/>
    <s v="Stylists D and E."/>
    <s v="fa"/>
    <s v="ms-h"/>
    <s v="ms-l"/>
    <n v="0"/>
    <x v="1"/>
    <x v="2"/>
    <n v="1"/>
    <n v="1"/>
    <n v="0"/>
    <n v="1"/>
    <n v="0"/>
    <n v="0"/>
    <x v="2"/>
    <n v="1"/>
    <n v="1"/>
    <n v="0"/>
    <n v="0"/>
    <x v="0"/>
  </r>
  <r>
    <s v="AQKB8JSBEMXK9"/>
    <x v="0"/>
    <n v="20"/>
    <s v="female"/>
    <x v="3"/>
    <x v="10"/>
    <n v="47913"/>
    <n v="0"/>
    <n v="0"/>
    <n v="1"/>
    <n v="0"/>
    <s v="NA"/>
    <s v="NA"/>
    <s v="NA"/>
    <s v="NA"/>
    <s v="NA"/>
    <s v="NA"/>
    <s v="NA"/>
    <x v="1"/>
    <x v="2"/>
    <n v="1"/>
    <n v="1"/>
    <n v="0"/>
    <n v="1"/>
    <n v="0"/>
    <n v="0"/>
    <x v="2"/>
    <n v="1"/>
    <n v="1"/>
    <n v="0"/>
    <n v="0"/>
    <x v="0"/>
  </r>
  <r>
    <s v="AQKB8JSBEMXK9"/>
    <x v="0"/>
    <n v="20"/>
    <s v="female"/>
    <x v="2"/>
    <x v="9"/>
    <n v="26969"/>
    <n v="1"/>
    <n v="1"/>
    <n v="1"/>
    <n v="0"/>
    <s v="Store E."/>
    <s v="Stores A and B."/>
    <s v="Stores D and E."/>
    <s v="mo-l"/>
    <s v="ms-h"/>
    <s v="ms-l"/>
    <n v="0"/>
    <x v="1"/>
    <x v="1"/>
    <n v="1"/>
    <n v="1"/>
    <n v="0"/>
    <n v="1"/>
    <n v="0"/>
    <n v="0"/>
    <x v="1"/>
    <n v="1"/>
    <n v="1"/>
    <n v="0"/>
    <n v="0"/>
    <x v="0"/>
  </r>
  <r>
    <s v="AQKB8JSBEMXK9"/>
    <x v="0"/>
    <n v="20"/>
    <s v="female"/>
    <x v="3"/>
    <x v="12"/>
    <n v="18042"/>
    <n v="1"/>
    <n v="1"/>
    <n v="0"/>
    <n v="0"/>
    <s v="NA"/>
    <s v="NA"/>
    <s v="NA"/>
    <s v="NA"/>
    <s v="NA"/>
    <s v="NA"/>
    <s v="NA"/>
    <x v="1"/>
    <x v="1"/>
    <n v="1"/>
    <n v="1"/>
    <n v="0"/>
    <n v="1"/>
    <n v="0"/>
    <n v="0"/>
    <x v="1"/>
    <n v="1"/>
    <n v="1"/>
    <n v="0"/>
    <n v="0"/>
    <x v="0"/>
  </r>
  <r>
    <s v="AQKB8JSBEMXK9"/>
    <x v="0"/>
    <n v="20"/>
    <s v="female"/>
    <x v="4"/>
    <x v="0"/>
    <n v="146338"/>
    <s v="No%2C they're basically both asking the same question. "/>
    <s v="Kind of. I didn't know how to answer some of the questions%2C since all the answer choices made sense. "/>
    <m/>
    <s v="NA"/>
    <s v="NA"/>
    <s v="NA"/>
    <s v="NA"/>
    <s v="NA"/>
    <s v="NA"/>
    <s v="NA"/>
    <s v="NA"/>
    <x v="0"/>
    <x v="0"/>
    <s v="NA"/>
    <s v="NA"/>
    <s v="NA"/>
    <s v="NA"/>
    <s v="NA"/>
    <s v="NA"/>
    <x v="0"/>
    <s v="NA"/>
    <s v="NA"/>
    <s v="NA"/>
    <s v="NA"/>
    <x v="0"/>
  </r>
  <r>
    <s v="A8KX1HFH8NE2Q"/>
    <x v="0"/>
    <n v="52"/>
    <s v="male"/>
    <x v="0"/>
    <x v="0"/>
    <n v="235000"/>
    <s v="NA"/>
    <s v="NA"/>
    <s v="NA"/>
    <s v="NA"/>
    <s v="NA"/>
    <s v="NA"/>
    <s v="NA"/>
    <s v="NA"/>
    <s v="NA"/>
    <s v="NA"/>
    <s v="NA"/>
    <x v="0"/>
    <x v="0"/>
    <s v="NA"/>
    <s v="NA"/>
    <s v="NA"/>
    <s v="NA"/>
    <s v="NA"/>
    <s v="NA"/>
    <x v="0"/>
    <s v="NA"/>
    <s v="NA"/>
    <s v="NA"/>
    <s v="NA"/>
    <x v="0"/>
  </r>
  <r>
    <s v="A8KX1HFH8NE2Q"/>
    <x v="0"/>
    <n v="52"/>
    <s v="male"/>
    <x v="1"/>
    <x v="2"/>
    <n v="92415"/>
    <n v="0"/>
    <n v="0"/>
    <n v="0"/>
    <n v="1"/>
    <s v="NA"/>
    <s v="NA"/>
    <s v="NA"/>
    <s v="NA"/>
    <s v="NA"/>
    <s v="NA"/>
    <s v="NA"/>
    <x v="0"/>
    <x v="0"/>
    <s v="NA"/>
    <s v="NA"/>
    <s v="NA"/>
    <s v="NA"/>
    <s v="NA"/>
    <s v="NA"/>
    <x v="0"/>
    <s v="NA"/>
    <s v="NA"/>
    <s v="NA"/>
    <s v="NA"/>
    <x v="0"/>
  </r>
  <r>
    <s v="A8KX1HFH8NE2Q"/>
    <x v="0"/>
    <n v="52"/>
    <s v="male"/>
    <x v="1"/>
    <x v="1"/>
    <n v="32837"/>
    <n v="0"/>
    <n v="0"/>
    <n v="0"/>
    <n v="1"/>
    <s v="NA"/>
    <s v="NA"/>
    <s v="NA"/>
    <s v="NA"/>
    <s v="NA"/>
    <s v="NA"/>
    <s v="NA"/>
    <x v="0"/>
    <x v="0"/>
    <s v="NA"/>
    <s v="NA"/>
    <s v="NA"/>
    <s v="NA"/>
    <s v="NA"/>
    <s v="NA"/>
    <x v="0"/>
    <s v="NA"/>
    <s v="NA"/>
    <s v="NA"/>
    <s v="NA"/>
    <x v="0"/>
  </r>
  <r>
    <s v="A8KX1HFH8NE2Q"/>
    <x v="0"/>
    <n v="52"/>
    <s v="male"/>
    <x v="2"/>
    <x v="4"/>
    <n v="61316"/>
    <n v="0"/>
    <n v="1"/>
    <n v="0"/>
    <n v="0"/>
    <s v="Stall F."/>
    <s v="Stall A."/>
    <s v="Stalls A, B, C, D and E."/>
    <s v="fa"/>
    <s v="mo-h"/>
    <s v="exh"/>
    <n v="1"/>
    <x v="2"/>
    <x v="2"/>
    <n v="0"/>
    <n v="0"/>
    <n v="0"/>
    <n v="1"/>
    <n v="0"/>
    <n v="1"/>
    <x v="2"/>
    <n v="0"/>
    <n v="0"/>
    <n v="0"/>
    <n v="0"/>
    <x v="0"/>
  </r>
  <r>
    <s v="A8KX1HFH8NE2Q"/>
    <x v="0"/>
    <n v="52"/>
    <s v="male"/>
    <x v="2"/>
    <x v="6"/>
    <n v="37749"/>
    <n v="0"/>
    <n v="1"/>
    <n v="0"/>
    <n v="0"/>
    <s v="Bookstores A, B, C, D and E."/>
    <s v="Bookstore A."/>
    <s v="Bookstore E."/>
    <s v="exh"/>
    <s v="mo-h"/>
    <s v="mo-l"/>
    <n v="1"/>
    <x v="2"/>
    <x v="1"/>
    <n v="0"/>
    <n v="0"/>
    <n v="0"/>
    <n v="1"/>
    <n v="0"/>
    <n v="1"/>
    <x v="2"/>
    <n v="0"/>
    <n v="0"/>
    <n v="0"/>
    <n v="0"/>
    <x v="0"/>
  </r>
  <r>
    <s v="A8KX1HFH8NE2Q"/>
    <x v="0"/>
    <n v="52"/>
    <s v="male"/>
    <x v="3"/>
    <x v="8"/>
    <n v="37654"/>
    <n v="1"/>
    <n v="1"/>
    <n v="0"/>
    <n v="0"/>
    <s v="NA"/>
    <s v="NA"/>
    <s v="NA"/>
    <s v="NA"/>
    <s v="NA"/>
    <s v="NA"/>
    <s v="NA"/>
    <x v="2"/>
    <x v="1"/>
    <n v="0"/>
    <n v="0"/>
    <n v="0"/>
    <n v="1"/>
    <n v="0"/>
    <n v="1"/>
    <x v="2"/>
    <n v="0"/>
    <n v="0"/>
    <n v="0"/>
    <n v="0"/>
    <x v="0"/>
  </r>
  <r>
    <s v="A8KX1HFH8NE2Q"/>
    <x v="0"/>
    <n v="52"/>
    <s v="male"/>
    <x v="2"/>
    <x v="9"/>
    <n v="20110"/>
    <n v="1"/>
    <n v="0"/>
    <n v="0"/>
    <n v="0"/>
    <s v="Stores A and B."/>
    <s v="Store E."/>
    <s v="Store F."/>
    <s v="ms-h"/>
    <s v="mo-l"/>
    <s v="fa"/>
    <n v="0"/>
    <x v="1"/>
    <x v="1"/>
    <n v="1"/>
    <n v="0"/>
    <n v="0"/>
    <n v="1"/>
    <n v="0"/>
    <n v="0"/>
    <x v="2"/>
    <n v="1"/>
    <n v="0"/>
    <n v="0"/>
    <n v="0"/>
    <x v="0"/>
  </r>
  <r>
    <s v="A8KX1HFH8NE2Q"/>
    <x v="0"/>
    <n v="52"/>
    <s v="male"/>
    <x v="2"/>
    <x v="11"/>
    <n v="39284"/>
    <n v="0"/>
    <n v="0"/>
    <n v="1"/>
    <n v="0"/>
    <s v="Dentists A and B."/>
    <s v="Dentist E."/>
    <s v="Dentist A."/>
    <s v="ms-h"/>
    <s v="mo-l"/>
    <s v="mo-h"/>
    <n v="0"/>
    <x v="2"/>
    <x v="1"/>
    <n v="1"/>
    <n v="0"/>
    <n v="0"/>
    <n v="1"/>
    <n v="0"/>
    <n v="1"/>
    <x v="2"/>
    <n v="0"/>
    <n v="0"/>
    <n v="0"/>
    <n v="0"/>
    <x v="0"/>
  </r>
  <r>
    <s v="A8KX1HFH8NE2Q"/>
    <x v="0"/>
    <n v="52"/>
    <s v="male"/>
    <x v="3"/>
    <x v="10"/>
    <n v="46454"/>
    <n v="0"/>
    <n v="0"/>
    <n v="0"/>
    <n v="1"/>
    <s v="NA"/>
    <s v="NA"/>
    <s v="NA"/>
    <s v="NA"/>
    <s v="NA"/>
    <s v="NA"/>
    <s v="NA"/>
    <x v="2"/>
    <x v="1"/>
    <n v="1"/>
    <n v="0"/>
    <n v="0"/>
    <n v="1"/>
    <n v="0"/>
    <n v="1"/>
    <x v="2"/>
    <n v="0"/>
    <n v="0"/>
    <n v="0"/>
    <n v="0"/>
    <x v="0"/>
  </r>
  <r>
    <s v="A8KX1HFH8NE2Q"/>
    <x v="0"/>
    <n v="52"/>
    <s v="male"/>
    <x v="2"/>
    <x v="7"/>
    <n v="23989"/>
    <n v="1"/>
    <n v="0"/>
    <n v="0"/>
    <n v="0"/>
    <s v="Stylists A and B."/>
    <s v="Stylists D and E."/>
    <s v="Stylists A, B, C, D and E."/>
    <s v="ms-h"/>
    <s v="ms-l"/>
    <s v="exh"/>
    <n v="1"/>
    <x v="1"/>
    <x v="2"/>
    <n v="1"/>
    <n v="1"/>
    <n v="0"/>
    <n v="1"/>
    <n v="0"/>
    <n v="0"/>
    <x v="2"/>
    <n v="1"/>
    <n v="0"/>
    <n v="0"/>
    <n v="0"/>
    <x v="0"/>
  </r>
  <r>
    <s v="A8KX1HFH8NE2Q"/>
    <x v="0"/>
    <n v="52"/>
    <s v="male"/>
    <x v="3"/>
    <x v="12"/>
    <n v="22285"/>
    <n v="1"/>
    <n v="0"/>
    <n v="0"/>
    <n v="0"/>
    <s v="NA"/>
    <s v="NA"/>
    <s v="NA"/>
    <s v="NA"/>
    <s v="NA"/>
    <s v="NA"/>
    <s v="NA"/>
    <x v="1"/>
    <x v="2"/>
    <n v="1"/>
    <n v="1"/>
    <n v="0"/>
    <n v="1"/>
    <n v="0"/>
    <n v="0"/>
    <x v="2"/>
    <n v="1"/>
    <n v="0"/>
    <n v="0"/>
    <n v="0"/>
    <x v="0"/>
  </r>
  <r>
    <s v="A8KX1HFH8NE2Q"/>
    <x v="0"/>
    <n v="52"/>
    <s v="male"/>
    <x v="2"/>
    <x v="3"/>
    <n v="11371"/>
    <n v="1"/>
    <n v="0"/>
    <n v="0"/>
    <n v="0"/>
    <s v="Cafe A."/>
    <s v="Cafes A and B."/>
    <s v="Cafe E."/>
    <s v="mo-h"/>
    <s v="ms-h"/>
    <s v="mo-l"/>
    <n v="0"/>
    <x v="2"/>
    <x v="1"/>
    <n v="1"/>
    <n v="0"/>
    <n v="0"/>
    <n v="1"/>
    <n v="0"/>
    <n v="1"/>
    <x v="2"/>
    <n v="0"/>
    <n v="0"/>
    <n v="0"/>
    <n v="0"/>
    <x v="0"/>
  </r>
  <r>
    <s v="A8KX1HFH8NE2Q"/>
    <x v="0"/>
    <n v="52"/>
    <s v="male"/>
    <x v="3"/>
    <x v="5"/>
    <n v="664662"/>
    <n v="0"/>
    <n v="1"/>
    <n v="0"/>
    <n v="0"/>
    <s v="NA"/>
    <s v="NA"/>
    <s v="NA"/>
    <s v="NA"/>
    <s v="NA"/>
    <s v="NA"/>
    <s v="NA"/>
    <x v="2"/>
    <x v="1"/>
    <n v="1"/>
    <n v="0"/>
    <n v="0"/>
    <n v="1"/>
    <n v="0"/>
    <n v="1"/>
    <x v="2"/>
    <n v="0"/>
    <n v="0"/>
    <n v="0"/>
    <n v="0"/>
    <x v="0"/>
  </r>
  <r>
    <s v="A8KX1HFH8NE2Q"/>
    <x v="0"/>
    <n v="52"/>
    <s v="male"/>
    <x v="4"/>
    <x v="0"/>
    <n v="248709"/>
    <s v="Yes%2C if a traveler posted those two questions%2C I would probably answer slightly different.  For the question%2C &quot;Which restaurants serve brunch in town?&quot;%2C I would probably give more of an objective answer where I would list every restaurant that serves brunch.  For the question%2C &quot;Where can I go for brunch in town?&quot;%2C I would probably give more of a subjective answer where I would list personal favorites that I recommend."/>
    <s v="I did not find the task difficult.   I think that the instructions were fairly clear.  "/>
    <s v="I would suggest including a progress bar in future iterations of the study as I didn't have a sense as to how many survey questions were remaining. Thanks for the opportunity to participate and good luck with your research!"/>
    <s v="NA"/>
    <s v="NA"/>
    <s v="NA"/>
    <s v="NA"/>
    <s v="NA"/>
    <s v="NA"/>
    <s v="NA"/>
    <s v="NA"/>
    <x v="0"/>
    <x v="0"/>
    <s v="NA"/>
    <s v="NA"/>
    <s v="NA"/>
    <s v="NA"/>
    <s v="NA"/>
    <s v="NA"/>
    <x v="0"/>
    <s v="NA"/>
    <s v="NA"/>
    <s v="NA"/>
    <s v="NA"/>
    <x v="0"/>
  </r>
  <r>
    <s v="AKHH4W14A6AN9"/>
    <x v="0"/>
    <n v="36"/>
    <s v="female"/>
    <x v="0"/>
    <x v="0"/>
    <n v="67135"/>
    <s v="NA"/>
    <s v="NA"/>
    <s v="NA"/>
    <s v="NA"/>
    <s v="NA"/>
    <s v="NA"/>
    <s v="NA"/>
    <s v="NA"/>
    <s v="NA"/>
    <s v="NA"/>
    <s v="NA"/>
    <x v="0"/>
    <x v="0"/>
    <s v="NA"/>
    <s v="NA"/>
    <s v="NA"/>
    <s v="NA"/>
    <s v="NA"/>
    <s v="NA"/>
    <x v="0"/>
    <s v="NA"/>
    <s v="NA"/>
    <s v="NA"/>
    <s v="NA"/>
    <x v="0"/>
  </r>
  <r>
    <s v="AKHH4W14A6AN9"/>
    <x v="0"/>
    <n v="36"/>
    <s v="female"/>
    <x v="1"/>
    <x v="1"/>
    <n v="58026"/>
    <n v="0"/>
    <n v="0"/>
    <n v="0"/>
    <n v="1"/>
    <s v="NA"/>
    <s v="NA"/>
    <s v="NA"/>
    <s v="NA"/>
    <s v="NA"/>
    <s v="NA"/>
    <s v="NA"/>
    <x v="0"/>
    <x v="0"/>
    <s v="NA"/>
    <s v="NA"/>
    <s v="NA"/>
    <s v="NA"/>
    <s v="NA"/>
    <s v="NA"/>
    <x v="0"/>
    <s v="NA"/>
    <s v="NA"/>
    <s v="NA"/>
    <s v="NA"/>
    <x v="0"/>
  </r>
  <r>
    <s v="AKHH4W14A6AN9"/>
    <x v="0"/>
    <n v="36"/>
    <s v="female"/>
    <x v="1"/>
    <x v="2"/>
    <n v="80887"/>
    <n v="0"/>
    <n v="1"/>
    <n v="1"/>
    <n v="0"/>
    <s v="NA"/>
    <s v="NA"/>
    <s v="NA"/>
    <s v="NA"/>
    <s v="NA"/>
    <s v="NA"/>
    <s v="NA"/>
    <x v="0"/>
    <x v="0"/>
    <s v="NA"/>
    <s v="NA"/>
    <s v="NA"/>
    <s v="NA"/>
    <s v="NA"/>
    <s v="NA"/>
    <x v="0"/>
    <s v="NA"/>
    <s v="NA"/>
    <s v="NA"/>
    <s v="NA"/>
    <x v="0"/>
  </r>
  <r>
    <s v="AKHH4W14A6AN9"/>
    <x v="0"/>
    <n v="36"/>
    <s v="female"/>
    <x v="2"/>
    <x v="9"/>
    <n v="31697"/>
    <n v="0"/>
    <n v="0"/>
    <n v="0"/>
    <n v="1"/>
    <s v="Store F."/>
    <s v="Store A."/>
    <s v="Stores A and B."/>
    <s v="fa"/>
    <s v="mo-h"/>
    <s v="ms-h"/>
    <n v="0"/>
    <x v="2"/>
    <x v="2"/>
    <n v="1"/>
    <n v="0"/>
    <n v="0"/>
    <n v="1"/>
    <n v="0"/>
    <n v="0"/>
    <x v="2"/>
    <n v="0"/>
    <n v="0"/>
    <n v="0"/>
    <n v="1"/>
    <x v="0"/>
  </r>
  <r>
    <s v="AKHH4W14A6AN9"/>
    <x v="0"/>
    <n v="36"/>
    <s v="female"/>
    <x v="2"/>
    <x v="11"/>
    <n v="143065"/>
    <n v="0"/>
    <n v="0"/>
    <n v="0"/>
    <n v="1"/>
    <s v="Dentists A and B."/>
    <s v="Dentist F."/>
    <s v="Dentists A, B, C, D and E."/>
    <s v="ms-h"/>
    <s v="fa"/>
    <s v="exh"/>
    <n v="1"/>
    <x v="1"/>
    <x v="2"/>
    <n v="1"/>
    <n v="0"/>
    <n v="0"/>
    <n v="1"/>
    <n v="0"/>
    <n v="0"/>
    <x v="2"/>
    <n v="0"/>
    <n v="0"/>
    <n v="0"/>
    <n v="1"/>
    <x v="0"/>
  </r>
  <r>
    <s v="AKHH4W14A6AN9"/>
    <x v="0"/>
    <n v="36"/>
    <s v="female"/>
    <x v="3"/>
    <x v="10"/>
    <n v="28788"/>
    <n v="0"/>
    <n v="0"/>
    <n v="0"/>
    <n v="1"/>
    <s v="NA"/>
    <s v="NA"/>
    <s v="NA"/>
    <s v="NA"/>
    <s v="NA"/>
    <s v="NA"/>
    <s v="NA"/>
    <x v="1"/>
    <x v="2"/>
    <n v="1"/>
    <n v="0"/>
    <n v="0"/>
    <n v="1"/>
    <n v="0"/>
    <n v="0"/>
    <x v="2"/>
    <n v="0"/>
    <n v="0"/>
    <n v="0"/>
    <n v="1"/>
    <x v="0"/>
  </r>
  <r>
    <s v="AKHH4W14A6AN9"/>
    <x v="0"/>
    <n v="36"/>
    <s v="female"/>
    <x v="2"/>
    <x v="4"/>
    <n v="131419"/>
    <n v="0"/>
    <n v="0"/>
    <n v="0"/>
    <n v="1"/>
    <s v="Stall F."/>
    <s v="Stalls D and E."/>
    <s v="Stall E."/>
    <s v="fa"/>
    <s v="ms-l"/>
    <s v="mo-l"/>
    <n v="0"/>
    <x v="1"/>
    <x v="1"/>
    <n v="0"/>
    <n v="1"/>
    <n v="0"/>
    <n v="1"/>
    <n v="0"/>
    <n v="0"/>
    <x v="2"/>
    <n v="0"/>
    <n v="0"/>
    <n v="0"/>
    <n v="1"/>
    <x v="0"/>
  </r>
  <r>
    <s v="AKHH4W14A6AN9"/>
    <x v="0"/>
    <n v="36"/>
    <s v="female"/>
    <x v="2"/>
    <x v="3"/>
    <n v="25102"/>
    <n v="0"/>
    <n v="0"/>
    <n v="0"/>
    <n v="1"/>
    <s v="Cafe E."/>
    <s v="Cafes D and E."/>
    <s v="Cafes A, B, C, D and E."/>
    <s v="mo-l"/>
    <s v="ms-l"/>
    <s v="exh"/>
    <n v="1"/>
    <x v="1"/>
    <x v="1"/>
    <n v="0"/>
    <n v="1"/>
    <n v="0"/>
    <n v="1"/>
    <n v="0"/>
    <n v="0"/>
    <x v="2"/>
    <n v="0"/>
    <n v="0"/>
    <n v="0"/>
    <n v="1"/>
    <x v="0"/>
  </r>
  <r>
    <s v="AKHH4W14A6AN9"/>
    <x v="0"/>
    <n v="36"/>
    <s v="female"/>
    <x v="3"/>
    <x v="8"/>
    <n v="103533"/>
    <n v="1"/>
    <n v="1"/>
    <n v="0"/>
    <n v="0"/>
    <s v="NA"/>
    <s v="NA"/>
    <s v="NA"/>
    <s v="NA"/>
    <s v="NA"/>
    <s v="NA"/>
    <s v="NA"/>
    <x v="1"/>
    <x v="1"/>
    <n v="0"/>
    <n v="1"/>
    <n v="0"/>
    <n v="1"/>
    <n v="0"/>
    <n v="0"/>
    <x v="2"/>
    <n v="0"/>
    <n v="0"/>
    <n v="0"/>
    <n v="1"/>
    <x v="0"/>
  </r>
  <r>
    <s v="AKHH4W14A6AN9"/>
    <x v="0"/>
    <n v="36"/>
    <s v="female"/>
    <x v="2"/>
    <x v="6"/>
    <n v="23159"/>
    <n v="1"/>
    <n v="1"/>
    <n v="1"/>
    <n v="0"/>
    <s v="Bookstore A."/>
    <s v="Bookstores A and B."/>
    <s v="Bookstores D and E."/>
    <s v="mo-h"/>
    <s v="ms-h"/>
    <s v="ms-l"/>
    <n v="0"/>
    <x v="2"/>
    <x v="2"/>
    <n v="1"/>
    <n v="1"/>
    <n v="0"/>
    <n v="1"/>
    <n v="0"/>
    <n v="1"/>
    <x v="2"/>
    <n v="1"/>
    <n v="1"/>
    <n v="0"/>
    <n v="0"/>
    <x v="0"/>
  </r>
  <r>
    <s v="AKHH4W14A6AN9"/>
    <x v="0"/>
    <n v="36"/>
    <s v="female"/>
    <x v="3"/>
    <x v="5"/>
    <n v="23272"/>
    <n v="0"/>
    <n v="0"/>
    <n v="1"/>
    <n v="0"/>
    <s v="NA"/>
    <s v="NA"/>
    <s v="NA"/>
    <s v="NA"/>
    <s v="NA"/>
    <s v="NA"/>
    <s v="NA"/>
    <x v="2"/>
    <x v="2"/>
    <n v="1"/>
    <n v="1"/>
    <n v="0"/>
    <n v="1"/>
    <n v="0"/>
    <n v="1"/>
    <x v="2"/>
    <n v="1"/>
    <n v="1"/>
    <n v="0"/>
    <n v="0"/>
    <x v="0"/>
  </r>
  <r>
    <s v="AKHH4W14A6AN9"/>
    <x v="0"/>
    <n v="36"/>
    <s v="female"/>
    <x v="2"/>
    <x v="7"/>
    <n v="7856"/>
    <n v="0"/>
    <n v="0"/>
    <n v="0"/>
    <n v="1"/>
    <s v="Stylist E."/>
    <s v="Stylists A, B, C, D and E."/>
    <s v="Stylists D and E."/>
    <s v="mo-l"/>
    <s v="exh"/>
    <s v="ms-l"/>
    <n v="1"/>
    <x v="1"/>
    <x v="1"/>
    <n v="0"/>
    <n v="1"/>
    <n v="0"/>
    <n v="1"/>
    <n v="0"/>
    <n v="0"/>
    <x v="2"/>
    <n v="0"/>
    <n v="0"/>
    <n v="0"/>
    <n v="1"/>
    <x v="0"/>
  </r>
  <r>
    <s v="AKHH4W14A6AN9"/>
    <x v="0"/>
    <n v="36"/>
    <s v="female"/>
    <x v="3"/>
    <x v="12"/>
    <n v="23995"/>
    <n v="1"/>
    <n v="0"/>
    <n v="0"/>
    <n v="0"/>
    <s v="NA"/>
    <s v="NA"/>
    <s v="NA"/>
    <s v="NA"/>
    <s v="NA"/>
    <s v="NA"/>
    <s v="NA"/>
    <x v="1"/>
    <x v="1"/>
    <n v="0"/>
    <n v="1"/>
    <n v="0"/>
    <n v="1"/>
    <n v="0"/>
    <n v="0"/>
    <x v="2"/>
    <n v="0"/>
    <n v="0"/>
    <n v="0"/>
    <n v="1"/>
    <x v="0"/>
  </r>
  <r>
    <s v="AKHH4W14A6AN9"/>
    <x v="0"/>
    <n v="36"/>
    <s v="female"/>
    <x v="4"/>
    <x v="0"/>
    <n v="46286"/>
    <s v="No I think they both asked the same question where to get brunch in town"/>
    <s v="No but I think it's one of those things where it doesn't seem that hard but it's a trick and you actually got it all wrong. I hope I'm wrong."/>
    <s v="Nope. "/>
    <s v="NA"/>
    <s v="NA"/>
    <s v="NA"/>
    <s v="NA"/>
    <s v="NA"/>
    <s v="NA"/>
    <s v="NA"/>
    <s v="NA"/>
    <x v="0"/>
    <x v="0"/>
    <s v="NA"/>
    <s v="NA"/>
    <s v="NA"/>
    <s v="NA"/>
    <s v="NA"/>
    <s v="NA"/>
    <x v="0"/>
    <s v="NA"/>
    <s v="NA"/>
    <s v="NA"/>
    <s v="NA"/>
    <x v="0"/>
  </r>
  <r>
    <s v="A3KCZB9IL6CVH"/>
    <x v="0"/>
    <n v="29"/>
    <s v="male"/>
    <x v="0"/>
    <x v="0"/>
    <n v="77737"/>
    <s v="NA"/>
    <s v="NA"/>
    <s v="NA"/>
    <s v="NA"/>
    <s v="NA"/>
    <s v="NA"/>
    <s v="NA"/>
    <s v="NA"/>
    <s v="NA"/>
    <s v="NA"/>
    <s v="NA"/>
    <x v="0"/>
    <x v="0"/>
    <s v="NA"/>
    <s v="NA"/>
    <s v="NA"/>
    <s v="NA"/>
    <s v="NA"/>
    <s v="NA"/>
    <x v="0"/>
    <s v="NA"/>
    <s v="NA"/>
    <s v="NA"/>
    <s v="NA"/>
    <x v="0"/>
  </r>
  <r>
    <s v="A3KCZB9IL6CVH"/>
    <x v="0"/>
    <n v="29"/>
    <s v="male"/>
    <x v="1"/>
    <x v="1"/>
    <n v="138212"/>
    <n v="0"/>
    <n v="0"/>
    <n v="0"/>
    <n v="1"/>
    <s v="NA"/>
    <s v="NA"/>
    <s v="NA"/>
    <s v="NA"/>
    <s v="NA"/>
    <s v="NA"/>
    <s v="NA"/>
    <x v="0"/>
    <x v="0"/>
    <s v="NA"/>
    <s v="NA"/>
    <s v="NA"/>
    <s v="NA"/>
    <s v="NA"/>
    <s v="NA"/>
    <x v="0"/>
    <s v="NA"/>
    <s v="NA"/>
    <s v="NA"/>
    <s v="NA"/>
    <x v="0"/>
  </r>
  <r>
    <s v="A3KCZB9IL6CVH"/>
    <x v="0"/>
    <n v="29"/>
    <s v="male"/>
    <x v="1"/>
    <x v="2"/>
    <n v="46548"/>
    <n v="0"/>
    <n v="0"/>
    <n v="1"/>
    <n v="0"/>
    <s v="NA"/>
    <s v="NA"/>
    <s v="NA"/>
    <s v="NA"/>
    <s v="NA"/>
    <s v="NA"/>
    <s v="NA"/>
    <x v="0"/>
    <x v="0"/>
    <s v="NA"/>
    <s v="NA"/>
    <s v="NA"/>
    <s v="NA"/>
    <s v="NA"/>
    <s v="NA"/>
    <x v="0"/>
    <s v="NA"/>
    <s v="NA"/>
    <s v="NA"/>
    <s v="NA"/>
    <x v="0"/>
  </r>
  <r>
    <s v="A3KCZB9IL6CVH"/>
    <x v="0"/>
    <n v="29"/>
    <s v="male"/>
    <x v="2"/>
    <x v="11"/>
    <n v="25300"/>
    <n v="0"/>
    <n v="1"/>
    <n v="0"/>
    <n v="0"/>
    <s v="Dentist E."/>
    <s v="Dentists D and E."/>
    <s v="Dentists A and B."/>
    <s v="mo-l"/>
    <s v="ms-l"/>
    <s v="ms-h"/>
    <n v="0"/>
    <x v="1"/>
    <x v="1"/>
    <n v="1"/>
    <n v="1"/>
    <n v="0"/>
    <n v="1"/>
    <n v="0"/>
    <n v="0"/>
    <x v="2"/>
    <n v="0"/>
    <n v="1"/>
    <n v="0"/>
    <n v="0"/>
    <x v="0"/>
  </r>
  <r>
    <s v="A3KCZB9IL6CVH"/>
    <x v="0"/>
    <n v="29"/>
    <s v="male"/>
    <x v="3"/>
    <x v="5"/>
    <n v="1573562"/>
    <n v="0"/>
    <n v="0"/>
    <n v="1"/>
    <n v="0"/>
    <s v="NA"/>
    <s v="NA"/>
    <s v="NA"/>
    <s v="NA"/>
    <s v="NA"/>
    <s v="NA"/>
    <s v="NA"/>
    <x v="1"/>
    <x v="1"/>
    <n v="1"/>
    <n v="1"/>
    <n v="0"/>
    <n v="1"/>
    <n v="0"/>
    <n v="0"/>
    <x v="2"/>
    <n v="0"/>
    <n v="1"/>
    <n v="0"/>
    <n v="0"/>
    <x v="0"/>
  </r>
  <r>
    <s v="A3KCZB9IL6CVH"/>
    <x v="0"/>
    <n v="29"/>
    <s v="male"/>
    <x v="2"/>
    <x v="4"/>
    <n v="78163"/>
    <n v="1"/>
    <n v="0"/>
    <n v="0"/>
    <n v="0"/>
    <s v="Stall A."/>
    <s v="Stall E."/>
    <s v="Stalls A, B, C, D and E."/>
    <s v="mo-h"/>
    <s v="mo-l"/>
    <s v="exh"/>
    <n v="1"/>
    <x v="2"/>
    <x v="1"/>
    <n v="0"/>
    <n v="0"/>
    <n v="0"/>
    <n v="1"/>
    <n v="0"/>
    <n v="1"/>
    <x v="2"/>
    <n v="0"/>
    <n v="0"/>
    <n v="0"/>
    <n v="0"/>
    <x v="0"/>
  </r>
  <r>
    <s v="A3KCZB9IL6CVH"/>
    <x v="0"/>
    <n v="29"/>
    <s v="male"/>
    <x v="2"/>
    <x v="7"/>
    <n v="53036"/>
    <n v="0"/>
    <n v="0"/>
    <n v="0"/>
    <n v="1"/>
    <s v="Stylist E."/>
    <s v="Stylists D and E."/>
    <s v="Stylist F."/>
    <s v="mo-l"/>
    <s v="ms-l"/>
    <s v="fa"/>
    <n v="0"/>
    <x v="1"/>
    <x v="1"/>
    <n v="0"/>
    <n v="1"/>
    <n v="0"/>
    <n v="1"/>
    <n v="0"/>
    <n v="0"/>
    <x v="2"/>
    <n v="0"/>
    <n v="0"/>
    <n v="0"/>
    <n v="1"/>
    <x v="0"/>
  </r>
  <r>
    <s v="A3KCZB9IL6CVH"/>
    <x v="0"/>
    <n v="29"/>
    <s v="male"/>
    <x v="3"/>
    <x v="12"/>
    <n v="46044"/>
    <n v="1"/>
    <n v="0"/>
    <n v="0"/>
    <n v="0"/>
    <s v="NA"/>
    <s v="NA"/>
    <s v="NA"/>
    <s v="NA"/>
    <s v="NA"/>
    <s v="NA"/>
    <s v="NA"/>
    <x v="1"/>
    <x v="1"/>
    <n v="0"/>
    <n v="1"/>
    <n v="0"/>
    <n v="1"/>
    <n v="0"/>
    <n v="0"/>
    <x v="2"/>
    <n v="0"/>
    <n v="0"/>
    <n v="0"/>
    <n v="1"/>
    <x v="0"/>
  </r>
  <r>
    <s v="A3KCZB9IL6CVH"/>
    <x v="0"/>
    <n v="29"/>
    <s v="male"/>
    <x v="2"/>
    <x v="9"/>
    <n v="39917"/>
    <n v="0"/>
    <n v="0"/>
    <n v="1"/>
    <n v="0"/>
    <s v="Store E."/>
    <s v="Stores D and E."/>
    <s v="Stores A and B."/>
    <s v="mo-l"/>
    <s v="ms-l"/>
    <s v="ms-h"/>
    <n v="0"/>
    <x v="1"/>
    <x v="1"/>
    <n v="1"/>
    <n v="1"/>
    <n v="0"/>
    <n v="1"/>
    <n v="0"/>
    <n v="0"/>
    <x v="2"/>
    <n v="1"/>
    <n v="0"/>
    <n v="0"/>
    <n v="0"/>
    <x v="0"/>
  </r>
  <r>
    <s v="A3KCZB9IL6CVH"/>
    <x v="0"/>
    <n v="29"/>
    <s v="male"/>
    <x v="3"/>
    <x v="10"/>
    <n v="74134"/>
    <n v="0"/>
    <n v="0"/>
    <n v="1"/>
    <n v="0"/>
    <s v="NA"/>
    <s v="NA"/>
    <s v="NA"/>
    <s v="NA"/>
    <s v="NA"/>
    <s v="NA"/>
    <s v="NA"/>
    <x v="1"/>
    <x v="1"/>
    <n v="1"/>
    <n v="1"/>
    <n v="0"/>
    <n v="1"/>
    <n v="0"/>
    <n v="0"/>
    <x v="2"/>
    <n v="1"/>
    <n v="0"/>
    <n v="0"/>
    <n v="0"/>
    <x v="0"/>
  </r>
  <r>
    <s v="A3KCZB9IL6CVH"/>
    <x v="0"/>
    <n v="29"/>
    <s v="male"/>
    <x v="2"/>
    <x v="3"/>
    <n v="18596"/>
    <n v="0"/>
    <n v="1"/>
    <n v="1"/>
    <n v="0"/>
    <s v="Cafes D and E."/>
    <s v="Cafe A."/>
    <s v="Cafes A and B."/>
    <s v="ms-l"/>
    <s v="mo-h"/>
    <s v="ms-h"/>
    <n v="0"/>
    <x v="2"/>
    <x v="2"/>
    <n v="1"/>
    <n v="1"/>
    <n v="0"/>
    <n v="1"/>
    <n v="0"/>
    <n v="1"/>
    <x v="2"/>
    <n v="1"/>
    <n v="0"/>
    <n v="0"/>
    <n v="0"/>
    <x v="0"/>
  </r>
  <r>
    <s v="A3KCZB9IL6CVH"/>
    <x v="0"/>
    <n v="29"/>
    <s v="male"/>
    <x v="2"/>
    <x v="6"/>
    <n v="7236"/>
    <n v="0"/>
    <n v="0"/>
    <n v="1"/>
    <n v="0"/>
    <s v="Bookstores A, B, C, D and E."/>
    <s v="Bookstores D and E."/>
    <s v="Bookstores A and B."/>
    <s v="exh"/>
    <s v="ms-l"/>
    <s v="ms-h"/>
    <n v="1"/>
    <x v="1"/>
    <x v="2"/>
    <n v="1"/>
    <n v="1"/>
    <n v="0"/>
    <n v="1"/>
    <n v="0"/>
    <n v="0"/>
    <x v="2"/>
    <n v="1"/>
    <n v="0"/>
    <n v="0"/>
    <n v="0"/>
    <x v="0"/>
  </r>
  <r>
    <s v="A3KCZB9IL6CVH"/>
    <x v="0"/>
    <n v="29"/>
    <s v="male"/>
    <x v="3"/>
    <x v="8"/>
    <n v="15852"/>
    <n v="1"/>
    <n v="1"/>
    <n v="0"/>
    <n v="0"/>
    <s v="NA"/>
    <s v="NA"/>
    <s v="NA"/>
    <s v="NA"/>
    <s v="NA"/>
    <s v="NA"/>
    <s v="NA"/>
    <x v="1"/>
    <x v="2"/>
    <n v="1"/>
    <n v="1"/>
    <n v="0"/>
    <n v="1"/>
    <n v="0"/>
    <n v="0"/>
    <x v="2"/>
    <n v="1"/>
    <n v="0"/>
    <n v="0"/>
    <n v="0"/>
    <x v="0"/>
  </r>
  <r>
    <s v="A3KCZB9IL6CVH"/>
    <x v="0"/>
    <n v="29"/>
    <s v="male"/>
    <x v="4"/>
    <x v="0"/>
    <n v="124244"/>
    <s v="No. Probably give the same answer to the first question."/>
    <s v="a little bit%2C as there can be multiple answer based on the situation"/>
    <s v="thanks a lot for the Hit! have a great day!"/>
    <s v="NA"/>
    <s v="NA"/>
    <s v="NA"/>
    <s v="NA"/>
    <s v="NA"/>
    <s v="NA"/>
    <s v="NA"/>
    <s v="NA"/>
    <x v="0"/>
    <x v="0"/>
    <s v="NA"/>
    <s v="NA"/>
    <s v="NA"/>
    <s v="NA"/>
    <s v="NA"/>
    <s v="NA"/>
    <x v="0"/>
    <s v="NA"/>
    <s v="NA"/>
    <s v="NA"/>
    <s v="NA"/>
    <x v="0"/>
  </r>
  <r>
    <s v="A27K37YQZDPER6"/>
    <x v="0"/>
    <n v="46"/>
    <s v="female"/>
    <x v="0"/>
    <x v="0"/>
    <n v="50573"/>
    <s v="NA"/>
    <s v="NA"/>
    <s v="NA"/>
    <s v="NA"/>
    <s v="NA"/>
    <s v="NA"/>
    <s v="NA"/>
    <s v="NA"/>
    <s v="NA"/>
    <s v="NA"/>
    <s v="NA"/>
    <x v="0"/>
    <x v="0"/>
    <s v="NA"/>
    <s v="NA"/>
    <s v="NA"/>
    <s v="NA"/>
    <s v="NA"/>
    <s v="NA"/>
    <x v="0"/>
    <s v="NA"/>
    <s v="NA"/>
    <s v="NA"/>
    <s v="NA"/>
    <x v="0"/>
  </r>
  <r>
    <s v="A27K37YQZDPER6"/>
    <x v="0"/>
    <n v="46"/>
    <s v="female"/>
    <x v="1"/>
    <x v="2"/>
    <n v="106060"/>
    <n v="0"/>
    <n v="0"/>
    <n v="1"/>
    <n v="0"/>
    <s v="NA"/>
    <s v="NA"/>
    <s v="NA"/>
    <s v="NA"/>
    <s v="NA"/>
    <s v="NA"/>
    <s v="NA"/>
    <x v="0"/>
    <x v="0"/>
    <s v="NA"/>
    <s v="NA"/>
    <s v="NA"/>
    <s v="NA"/>
    <s v="NA"/>
    <s v="NA"/>
    <x v="0"/>
    <s v="NA"/>
    <s v="NA"/>
    <s v="NA"/>
    <s v="NA"/>
    <x v="0"/>
  </r>
  <r>
    <s v="A27K37YQZDPER6"/>
    <x v="0"/>
    <n v="46"/>
    <s v="female"/>
    <x v="1"/>
    <x v="1"/>
    <n v="177589"/>
    <n v="0"/>
    <n v="0"/>
    <n v="0"/>
    <n v="1"/>
    <s v="NA"/>
    <s v="NA"/>
    <s v="NA"/>
    <s v="NA"/>
    <s v="NA"/>
    <s v="NA"/>
    <s v="NA"/>
    <x v="0"/>
    <x v="0"/>
    <s v="NA"/>
    <s v="NA"/>
    <s v="NA"/>
    <s v="NA"/>
    <s v="NA"/>
    <s v="NA"/>
    <x v="0"/>
    <s v="NA"/>
    <s v="NA"/>
    <s v="NA"/>
    <s v="NA"/>
    <x v="0"/>
  </r>
  <r>
    <s v="A27K37YQZDPER6"/>
    <x v="0"/>
    <n v="46"/>
    <s v="female"/>
    <x v="2"/>
    <x v="11"/>
    <n v="97060"/>
    <n v="0"/>
    <n v="0"/>
    <n v="0"/>
    <n v="1"/>
    <s v="Dentists D and E."/>
    <s v="Dentists A and B."/>
    <s v="Dentists A, B, C, D and E."/>
    <s v="ms-l"/>
    <s v="ms-h"/>
    <s v="exh"/>
    <n v="1"/>
    <x v="1"/>
    <x v="2"/>
    <n v="1"/>
    <n v="1"/>
    <n v="0"/>
    <n v="1"/>
    <n v="0"/>
    <n v="0"/>
    <x v="2"/>
    <n v="0"/>
    <n v="0"/>
    <n v="0"/>
    <n v="1"/>
    <x v="0"/>
  </r>
  <r>
    <s v="A27K37YQZDPER6"/>
    <x v="0"/>
    <n v="46"/>
    <s v="female"/>
    <x v="2"/>
    <x v="6"/>
    <n v="186060"/>
    <n v="0"/>
    <n v="0"/>
    <n v="0"/>
    <n v="1"/>
    <s v="Bookstore E."/>
    <s v="Bookstore F."/>
    <s v="Bookstores A and B."/>
    <s v="mo-l"/>
    <s v="fa"/>
    <s v="ms-h"/>
    <n v="0"/>
    <x v="1"/>
    <x v="1"/>
    <n v="1"/>
    <n v="0"/>
    <n v="0"/>
    <n v="1"/>
    <n v="0"/>
    <n v="0"/>
    <x v="2"/>
    <n v="0"/>
    <n v="0"/>
    <n v="0"/>
    <n v="1"/>
    <x v="0"/>
  </r>
  <r>
    <s v="A27K37YQZDPER6"/>
    <x v="0"/>
    <n v="46"/>
    <s v="female"/>
    <x v="3"/>
    <x v="10"/>
    <n v="63676"/>
    <n v="0"/>
    <n v="0"/>
    <n v="1"/>
    <n v="0"/>
    <s v="NA"/>
    <s v="NA"/>
    <s v="NA"/>
    <s v="NA"/>
    <s v="NA"/>
    <s v="NA"/>
    <s v="NA"/>
    <x v="1"/>
    <x v="1"/>
    <n v="1"/>
    <n v="0"/>
    <n v="0"/>
    <n v="1"/>
    <n v="0"/>
    <n v="0"/>
    <x v="2"/>
    <n v="0"/>
    <n v="0"/>
    <n v="0"/>
    <n v="1"/>
    <x v="0"/>
  </r>
  <r>
    <s v="A27K37YQZDPER6"/>
    <x v="0"/>
    <n v="46"/>
    <s v="female"/>
    <x v="2"/>
    <x v="3"/>
    <n v="57603"/>
    <n v="1"/>
    <n v="1"/>
    <n v="1"/>
    <n v="0"/>
    <s v="Cafe A."/>
    <s v="Cafe E."/>
    <s v="Cafes A and B."/>
    <s v="mo-h"/>
    <s v="mo-l"/>
    <s v="ms-h"/>
    <n v="0"/>
    <x v="2"/>
    <x v="1"/>
    <n v="1"/>
    <n v="0"/>
    <n v="0"/>
    <n v="1"/>
    <n v="0"/>
    <n v="1"/>
    <x v="1"/>
    <n v="1"/>
    <n v="0"/>
    <n v="0"/>
    <n v="0"/>
    <x v="0"/>
  </r>
  <r>
    <s v="A27K37YQZDPER6"/>
    <x v="0"/>
    <n v="46"/>
    <s v="female"/>
    <x v="2"/>
    <x v="7"/>
    <n v="86757"/>
    <n v="0"/>
    <n v="1"/>
    <n v="0"/>
    <n v="0"/>
    <s v="Stylist E."/>
    <s v="Stylists A, B, C, D and E."/>
    <s v="Stylists D and E."/>
    <s v="mo-l"/>
    <s v="exh"/>
    <s v="ms-l"/>
    <n v="1"/>
    <x v="1"/>
    <x v="1"/>
    <n v="0"/>
    <n v="1"/>
    <n v="0"/>
    <n v="1"/>
    <n v="1"/>
    <n v="0"/>
    <x v="2"/>
    <n v="0"/>
    <n v="0"/>
    <n v="0"/>
    <n v="0"/>
    <x v="0"/>
  </r>
  <r>
    <s v="A27K37YQZDPER6"/>
    <x v="0"/>
    <n v="46"/>
    <s v="female"/>
    <x v="3"/>
    <x v="8"/>
    <n v="171740"/>
    <n v="0"/>
    <n v="0"/>
    <n v="1"/>
    <n v="0"/>
    <s v="NA"/>
    <s v="NA"/>
    <s v="NA"/>
    <s v="NA"/>
    <s v="NA"/>
    <s v="NA"/>
    <s v="NA"/>
    <x v="1"/>
    <x v="1"/>
    <n v="0"/>
    <n v="1"/>
    <n v="0"/>
    <n v="1"/>
    <n v="1"/>
    <n v="0"/>
    <x v="2"/>
    <n v="0"/>
    <n v="0"/>
    <n v="0"/>
    <n v="0"/>
    <x v="0"/>
  </r>
  <r>
    <s v="A27K37YQZDPER6"/>
    <x v="0"/>
    <n v="46"/>
    <s v="female"/>
    <x v="2"/>
    <x v="9"/>
    <n v="38411"/>
    <n v="0"/>
    <n v="0"/>
    <n v="0"/>
    <n v="1"/>
    <s v="Stores A and B."/>
    <s v="Stores D and E."/>
    <s v="Store E."/>
    <s v="ms-h"/>
    <s v="ms-l"/>
    <s v="mo-l"/>
    <n v="0"/>
    <x v="1"/>
    <x v="1"/>
    <n v="1"/>
    <n v="1"/>
    <n v="0"/>
    <n v="1"/>
    <n v="0"/>
    <n v="0"/>
    <x v="2"/>
    <n v="0"/>
    <n v="0"/>
    <n v="0"/>
    <n v="1"/>
    <x v="0"/>
  </r>
  <r>
    <s v="A27K37YQZDPER6"/>
    <x v="0"/>
    <n v="46"/>
    <s v="female"/>
    <x v="3"/>
    <x v="5"/>
    <n v="169304"/>
    <n v="0"/>
    <n v="0"/>
    <n v="1"/>
    <n v="0"/>
    <s v="NA"/>
    <s v="NA"/>
    <s v="NA"/>
    <s v="NA"/>
    <s v="NA"/>
    <s v="NA"/>
    <s v="NA"/>
    <x v="1"/>
    <x v="1"/>
    <n v="1"/>
    <n v="1"/>
    <n v="0"/>
    <n v="1"/>
    <n v="0"/>
    <n v="0"/>
    <x v="2"/>
    <n v="0"/>
    <n v="0"/>
    <n v="0"/>
    <n v="1"/>
    <x v="0"/>
  </r>
  <r>
    <s v="A27K37YQZDPER6"/>
    <x v="0"/>
    <n v="46"/>
    <s v="female"/>
    <x v="2"/>
    <x v="4"/>
    <n v="30731"/>
    <n v="0"/>
    <n v="0"/>
    <n v="0"/>
    <n v="1"/>
    <s v="Stalls A and B."/>
    <s v="Stall E."/>
    <s v="Stall A."/>
    <s v="ms-h"/>
    <s v="mo-l"/>
    <s v="mo-h"/>
    <n v="0"/>
    <x v="2"/>
    <x v="1"/>
    <n v="1"/>
    <n v="0"/>
    <n v="0"/>
    <n v="1"/>
    <n v="0"/>
    <n v="0"/>
    <x v="2"/>
    <n v="0"/>
    <n v="0"/>
    <n v="0"/>
    <n v="1"/>
    <x v="0"/>
  </r>
  <r>
    <s v="A27K37YQZDPER6"/>
    <x v="0"/>
    <n v="46"/>
    <s v="female"/>
    <x v="3"/>
    <x v="12"/>
    <n v="80690"/>
    <n v="1"/>
    <n v="0"/>
    <n v="0"/>
    <n v="1"/>
    <s v="NA"/>
    <s v="NA"/>
    <s v="NA"/>
    <s v="NA"/>
    <s v="NA"/>
    <s v="NA"/>
    <s v="NA"/>
    <x v="2"/>
    <x v="1"/>
    <n v="1"/>
    <n v="0"/>
    <n v="0"/>
    <n v="1"/>
    <n v="0"/>
    <n v="0"/>
    <x v="2"/>
    <n v="0"/>
    <n v="0"/>
    <n v="0"/>
    <n v="1"/>
    <x v="0"/>
  </r>
  <r>
    <s v="A27K37YQZDPER6"/>
    <x v="0"/>
    <n v="46"/>
    <s v="female"/>
    <x v="4"/>
    <x v="0"/>
    <n v="88976"/>
    <s v="No I think both questions would get the same results.  If the question asked for a recommendation that would be different."/>
    <s v="Not really%2C it was long."/>
    <s v="No"/>
    <s v="NA"/>
    <s v="NA"/>
    <s v="NA"/>
    <s v="NA"/>
    <s v="NA"/>
    <s v="NA"/>
    <s v="NA"/>
    <s v="NA"/>
    <x v="0"/>
    <x v="0"/>
    <s v="NA"/>
    <s v="NA"/>
    <s v="NA"/>
    <s v="NA"/>
    <s v="NA"/>
    <s v="NA"/>
    <x v="0"/>
    <s v="NA"/>
    <s v="NA"/>
    <s v="NA"/>
    <s v="NA"/>
    <x v="0"/>
  </r>
  <r>
    <s v="A3KE35E6VK782J"/>
    <x v="0"/>
    <n v="42"/>
    <s v="male"/>
    <x v="0"/>
    <x v="0"/>
    <n v="51159"/>
    <s v="NA"/>
    <s v="NA"/>
    <s v="NA"/>
    <s v="NA"/>
    <s v="NA"/>
    <s v="NA"/>
    <s v="NA"/>
    <s v="NA"/>
    <s v="NA"/>
    <s v="NA"/>
    <s v="NA"/>
    <x v="0"/>
    <x v="0"/>
    <s v="NA"/>
    <s v="NA"/>
    <s v="NA"/>
    <s v="NA"/>
    <s v="NA"/>
    <s v="NA"/>
    <x v="0"/>
    <s v="NA"/>
    <s v="NA"/>
    <s v="NA"/>
    <s v="NA"/>
    <x v="0"/>
  </r>
  <r>
    <s v="A3KE35E6VK782J"/>
    <x v="0"/>
    <n v="42"/>
    <s v="male"/>
    <x v="1"/>
    <x v="1"/>
    <n v="71762"/>
    <n v="0"/>
    <n v="0"/>
    <n v="0"/>
    <n v="1"/>
    <s v="NA"/>
    <s v="NA"/>
    <s v="NA"/>
    <s v="NA"/>
    <s v="NA"/>
    <s v="NA"/>
    <s v="NA"/>
    <x v="0"/>
    <x v="0"/>
    <s v="NA"/>
    <s v="NA"/>
    <s v="NA"/>
    <s v="NA"/>
    <s v="NA"/>
    <s v="NA"/>
    <x v="0"/>
    <s v="NA"/>
    <s v="NA"/>
    <s v="NA"/>
    <s v="NA"/>
    <x v="0"/>
  </r>
  <r>
    <s v="A3KE35E6VK782J"/>
    <x v="0"/>
    <n v="42"/>
    <s v="male"/>
    <x v="1"/>
    <x v="2"/>
    <n v="123036"/>
    <n v="0"/>
    <n v="1"/>
    <n v="0"/>
    <n v="0"/>
    <s v="NA"/>
    <s v="NA"/>
    <s v="NA"/>
    <s v="NA"/>
    <s v="NA"/>
    <s v="NA"/>
    <s v="NA"/>
    <x v="0"/>
    <x v="0"/>
    <s v="NA"/>
    <s v="NA"/>
    <s v="NA"/>
    <s v="NA"/>
    <s v="NA"/>
    <s v="NA"/>
    <x v="0"/>
    <s v="NA"/>
    <s v="NA"/>
    <s v="NA"/>
    <s v="NA"/>
    <x v="0"/>
  </r>
  <r>
    <s v="A3KE35E6VK782J"/>
    <x v="0"/>
    <n v="42"/>
    <s v="male"/>
    <x v="2"/>
    <x v="4"/>
    <n v="81810"/>
    <n v="0"/>
    <n v="0"/>
    <n v="0"/>
    <n v="1"/>
    <s v="Stall F."/>
    <s v="Stall E."/>
    <s v="Stalls D and E."/>
    <s v="fa"/>
    <s v="mo-l"/>
    <s v="ms-l"/>
    <n v="0"/>
    <x v="1"/>
    <x v="1"/>
    <n v="0"/>
    <n v="1"/>
    <n v="0"/>
    <n v="1"/>
    <n v="0"/>
    <n v="0"/>
    <x v="2"/>
    <n v="0"/>
    <n v="0"/>
    <n v="0"/>
    <n v="1"/>
    <x v="0"/>
  </r>
  <r>
    <s v="A3KE35E6VK782J"/>
    <x v="0"/>
    <n v="42"/>
    <s v="male"/>
    <x v="2"/>
    <x v="9"/>
    <n v="64273"/>
    <n v="1"/>
    <n v="0"/>
    <n v="0"/>
    <n v="0"/>
    <s v="Stores A, B, C, D and E."/>
    <s v="Store A."/>
    <s v="Stores D and E."/>
    <s v="exh"/>
    <s v="mo-h"/>
    <s v="ms-l"/>
    <n v="1"/>
    <x v="2"/>
    <x v="2"/>
    <n v="0"/>
    <n v="1"/>
    <n v="0"/>
    <n v="1"/>
    <n v="1"/>
    <n v="0"/>
    <x v="2"/>
    <n v="0"/>
    <n v="0"/>
    <n v="0"/>
    <n v="0"/>
    <x v="0"/>
  </r>
  <r>
    <s v="A3KE35E6VK782J"/>
    <x v="0"/>
    <n v="42"/>
    <s v="male"/>
    <x v="3"/>
    <x v="5"/>
    <n v="60315"/>
    <n v="0"/>
    <n v="0"/>
    <n v="1"/>
    <n v="0"/>
    <s v="NA"/>
    <s v="NA"/>
    <s v="NA"/>
    <s v="NA"/>
    <s v="NA"/>
    <s v="NA"/>
    <s v="NA"/>
    <x v="2"/>
    <x v="2"/>
    <n v="0"/>
    <n v="1"/>
    <n v="0"/>
    <n v="1"/>
    <n v="1"/>
    <n v="0"/>
    <x v="2"/>
    <n v="0"/>
    <n v="0"/>
    <n v="0"/>
    <n v="0"/>
    <x v="0"/>
  </r>
  <r>
    <s v="A3KE35E6VK782J"/>
    <x v="0"/>
    <n v="42"/>
    <s v="male"/>
    <x v="2"/>
    <x v="3"/>
    <n v="39035"/>
    <n v="1"/>
    <n v="0"/>
    <n v="0"/>
    <n v="0"/>
    <s v="Cafes A and B."/>
    <s v="Cafe F."/>
    <s v="Cafes D and E."/>
    <s v="ms-h"/>
    <s v="fa"/>
    <s v="ms-l"/>
    <n v="0"/>
    <x v="1"/>
    <x v="2"/>
    <n v="1"/>
    <n v="1"/>
    <n v="0"/>
    <n v="1"/>
    <n v="0"/>
    <n v="0"/>
    <x v="2"/>
    <n v="1"/>
    <n v="0"/>
    <n v="0"/>
    <n v="0"/>
    <x v="0"/>
  </r>
  <r>
    <s v="A3KE35E6VK782J"/>
    <x v="0"/>
    <n v="42"/>
    <s v="male"/>
    <x v="2"/>
    <x v="7"/>
    <n v="42778"/>
    <n v="0"/>
    <n v="0"/>
    <n v="1"/>
    <n v="0"/>
    <s v="Stylists A, B, C, D and E."/>
    <s v="Stylist E."/>
    <s v="Stylist A."/>
    <s v="exh"/>
    <s v="mo-l"/>
    <s v="mo-h"/>
    <n v="1"/>
    <x v="2"/>
    <x v="1"/>
    <n v="0"/>
    <n v="0"/>
    <n v="0"/>
    <n v="1"/>
    <n v="0"/>
    <n v="1"/>
    <x v="2"/>
    <n v="0"/>
    <n v="0"/>
    <n v="0"/>
    <n v="0"/>
    <x v="0"/>
  </r>
  <r>
    <s v="A3KE35E6VK782J"/>
    <x v="0"/>
    <n v="42"/>
    <s v="male"/>
    <x v="3"/>
    <x v="12"/>
    <n v="34230"/>
    <n v="1"/>
    <n v="0"/>
    <n v="0"/>
    <n v="0"/>
    <s v="NA"/>
    <s v="NA"/>
    <s v="NA"/>
    <s v="NA"/>
    <s v="NA"/>
    <s v="NA"/>
    <s v="NA"/>
    <x v="2"/>
    <x v="1"/>
    <n v="0"/>
    <n v="0"/>
    <n v="0"/>
    <n v="1"/>
    <n v="0"/>
    <n v="1"/>
    <x v="2"/>
    <n v="0"/>
    <n v="0"/>
    <n v="0"/>
    <n v="0"/>
    <x v="0"/>
  </r>
  <r>
    <s v="A3KE35E6VK782J"/>
    <x v="0"/>
    <n v="42"/>
    <s v="male"/>
    <x v="2"/>
    <x v="11"/>
    <n v="35700"/>
    <n v="1"/>
    <n v="1"/>
    <n v="0"/>
    <n v="0"/>
    <s v="Dentists A and B."/>
    <s v="Dentist A."/>
    <s v="Dentist F."/>
    <s v="ms-h"/>
    <s v="mo-h"/>
    <s v="fa"/>
    <n v="0"/>
    <x v="2"/>
    <x v="2"/>
    <n v="1"/>
    <n v="0"/>
    <n v="0"/>
    <n v="1"/>
    <n v="0"/>
    <n v="1"/>
    <x v="2"/>
    <n v="1"/>
    <n v="0"/>
    <n v="0"/>
    <n v="0"/>
    <x v="0"/>
  </r>
  <r>
    <s v="A3KE35E6VK782J"/>
    <x v="0"/>
    <n v="42"/>
    <s v="male"/>
    <x v="3"/>
    <x v="8"/>
    <n v="56379"/>
    <n v="0"/>
    <n v="0"/>
    <n v="1"/>
    <n v="0"/>
    <s v="NA"/>
    <s v="NA"/>
    <s v="NA"/>
    <s v="NA"/>
    <s v="NA"/>
    <s v="NA"/>
    <s v="NA"/>
    <x v="2"/>
    <x v="2"/>
    <n v="1"/>
    <n v="0"/>
    <n v="0"/>
    <n v="1"/>
    <n v="0"/>
    <n v="1"/>
    <x v="2"/>
    <n v="1"/>
    <n v="0"/>
    <n v="0"/>
    <n v="0"/>
    <x v="0"/>
  </r>
  <r>
    <s v="A3KE35E6VK782J"/>
    <x v="0"/>
    <n v="42"/>
    <s v="male"/>
    <x v="2"/>
    <x v="6"/>
    <n v="34201"/>
    <n v="0"/>
    <n v="1"/>
    <n v="1"/>
    <n v="0"/>
    <s v="Bookstores D and E."/>
    <s v="Bookstores A and B."/>
    <s v="Bookstore A."/>
    <s v="ms-l"/>
    <s v="ms-h"/>
    <s v="mo-h"/>
    <n v="0"/>
    <x v="2"/>
    <x v="2"/>
    <n v="1"/>
    <n v="1"/>
    <n v="0"/>
    <n v="1"/>
    <n v="0"/>
    <n v="1"/>
    <x v="2"/>
    <n v="1"/>
    <n v="0"/>
    <n v="0"/>
    <n v="0"/>
    <x v="0"/>
  </r>
  <r>
    <s v="A3KE35E6VK782J"/>
    <x v="0"/>
    <n v="42"/>
    <s v="male"/>
    <x v="3"/>
    <x v="10"/>
    <n v="43394"/>
    <n v="0"/>
    <n v="0"/>
    <n v="0"/>
    <n v="1"/>
    <s v="NA"/>
    <s v="NA"/>
    <s v="NA"/>
    <s v="NA"/>
    <s v="NA"/>
    <s v="NA"/>
    <s v="NA"/>
    <x v="2"/>
    <x v="2"/>
    <n v="1"/>
    <n v="1"/>
    <n v="0"/>
    <n v="1"/>
    <n v="0"/>
    <n v="1"/>
    <x v="2"/>
    <n v="1"/>
    <n v="0"/>
    <n v="0"/>
    <n v="0"/>
    <x v="0"/>
  </r>
  <r>
    <s v="A3KE35E6VK782J"/>
    <x v="0"/>
    <n v="42"/>
    <s v="male"/>
    <x v="4"/>
    <x v="0"/>
    <n v="120874"/>
    <s v="No. I would answer the same. The restaurants that serve brunch. "/>
    <s v="I found it a little difficult at first until I understood the format."/>
    <s v="no"/>
    <s v="NA"/>
    <s v="NA"/>
    <s v="NA"/>
    <s v="NA"/>
    <s v="NA"/>
    <s v="NA"/>
    <s v="NA"/>
    <s v="NA"/>
    <x v="0"/>
    <x v="0"/>
    <s v="NA"/>
    <s v="NA"/>
    <s v="NA"/>
    <s v="NA"/>
    <s v="NA"/>
    <s v="NA"/>
    <x v="0"/>
    <s v="NA"/>
    <s v="NA"/>
    <s v="NA"/>
    <s v="NA"/>
    <x v="0"/>
  </r>
  <r>
    <s v="AA4O2W236E3FW"/>
    <x v="0"/>
    <n v="47"/>
    <s v="female"/>
    <x v="0"/>
    <x v="0"/>
    <n v="43310"/>
    <s v="NA"/>
    <s v="NA"/>
    <s v="NA"/>
    <s v="NA"/>
    <s v="NA"/>
    <s v="NA"/>
    <s v="NA"/>
    <s v="NA"/>
    <s v="NA"/>
    <s v="NA"/>
    <s v="NA"/>
    <x v="0"/>
    <x v="0"/>
    <s v="NA"/>
    <s v="NA"/>
    <s v="NA"/>
    <s v="NA"/>
    <s v="NA"/>
    <s v="NA"/>
    <x v="0"/>
    <s v="NA"/>
    <s v="NA"/>
    <s v="NA"/>
    <s v="NA"/>
    <x v="0"/>
  </r>
  <r>
    <s v="AA4O2W236E3FW"/>
    <x v="0"/>
    <n v="47"/>
    <s v="female"/>
    <x v="1"/>
    <x v="2"/>
    <n v="78715"/>
    <n v="0"/>
    <n v="0"/>
    <n v="1"/>
    <n v="0"/>
    <s v="NA"/>
    <s v="NA"/>
    <s v="NA"/>
    <s v="NA"/>
    <s v="NA"/>
    <s v="NA"/>
    <s v="NA"/>
    <x v="0"/>
    <x v="0"/>
    <s v="NA"/>
    <s v="NA"/>
    <s v="NA"/>
    <s v="NA"/>
    <s v="NA"/>
    <s v="NA"/>
    <x v="0"/>
    <s v="NA"/>
    <s v="NA"/>
    <s v="NA"/>
    <s v="NA"/>
    <x v="0"/>
  </r>
  <r>
    <s v="AA4O2W236E3FW"/>
    <x v="0"/>
    <n v="47"/>
    <s v="female"/>
    <x v="1"/>
    <x v="1"/>
    <n v="171289"/>
    <n v="0"/>
    <n v="0"/>
    <n v="0"/>
    <n v="0"/>
    <s v="NA"/>
    <s v="NA"/>
    <s v="NA"/>
    <s v="NA"/>
    <s v="NA"/>
    <s v="NA"/>
    <s v="NA"/>
    <x v="0"/>
    <x v="0"/>
    <s v="NA"/>
    <s v="NA"/>
    <s v="NA"/>
    <s v="NA"/>
    <s v="NA"/>
    <s v="NA"/>
    <x v="0"/>
    <s v="NA"/>
    <s v="NA"/>
    <s v="NA"/>
    <s v="NA"/>
    <x v="0"/>
  </r>
  <r>
    <s v="AA4O2W236E3FW"/>
    <x v="0"/>
    <n v="47"/>
    <s v="female"/>
    <x v="2"/>
    <x v="11"/>
    <n v="124717"/>
    <n v="0"/>
    <n v="1"/>
    <n v="0"/>
    <n v="0"/>
    <s v="Dentist F."/>
    <s v="Dentist E."/>
    <s v="Dentists D and E."/>
    <s v="fa"/>
    <s v="mo-l"/>
    <s v="ms-l"/>
    <n v="0"/>
    <x v="1"/>
    <x v="1"/>
    <n v="0"/>
    <n v="1"/>
    <n v="0"/>
    <n v="1"/>
    <n v="0"/>
    <n v="0"/>
    <x v="1"/>
    <n v="0"/>
    <n v="0"/>
    <n v="0"/>
    <n v="0"/>
    <x v="0"/>
  </r>
  <r>
    <s v="AA4O2W236E3FW"/>
    <x v="0"/>
    <n v="47"/>
    <s v="female"/>
    <x v="2"/>
    <x v="7"/>
    <n v="39364"/>
    <n v="0"/>
    <n v="0"/>
    <n v="1"/>
    <n v="0"/>
    <s v="Stylist A."/>
    <s v="Stylist F."/>
    <s v="Stylists A, B, C, D and E."/>
    <s v="mo-h"/>
    <s v="fa"/>
    <s v="exh"/>
    <n v="1"/>
    <x v="2"/>
    <x v="2"/>
    <n v="0"/>
    <n v="0"/>
    <n v="0"/>
    <n v="1"/>
    <n v="1"/>
    <n v="0"/>
    <x v="2"/>
    <n v="0"/>
    <n v="0"/>
    <n v="0"/>
    <n v="0"/>
    <x v="0"/>
  </r>
  <r>
    <s v="AA4O2W236E3FW"/>
    <x v="0"/>
    <n v="47"/>
    <s v="female"/>
    <x v="3"/>
    <x v="8"/>
    <n v="41151"/>
    <n v="1"/>
    <n v="0"/>
    <n v="0"/>
    <n v="0"/>
    <s v="NA"/>
    <s v="NA"/>
    <s v="NA"/>
    <s v="NA"/>
    <s v="NA"/>
    <s v="NA"/>
    <s v="NA"/>
    <x v="2"/>
    <x v="2"/>
    <n v="0"/>
    <n v="0"/>
    <n v="0"/>
    <n v="1"/>
    <n v="1"/>
    <n v="0"/>
    <x v="2"/>
    <n v="0"/>
    <n v="0"/>
    <n v="0"/>
    <n v="0"/>
    <x v="0"/>
  </r>
  <r>
    <s v="AA4O2W236E3FW"/>
    <x v="0"/>
    <n v="47"/>
    <s v="female"/>
    <x v="2"/>
    <x v="3"/>
    <n v="43806"/>
    <n v="0"/>
    <n v="0"/>
    <n v="1"/>
    <n v="0"/>
    <s v="Cafe F."/>
    <s v="Cafe E."/>
    <s v="Cafes D and E."/>
    <s v="fa"/>
    <s v="mo-l"/>
    <s v="ms-l"/>
    <n v="0"/>
    <x v="1"/>
    <x v="1"/>
    <n v="0"/>
    <n v="1"/>
    <n v="0"/>
    <n v="1"/>
    <n v="0"/>
    <n v="0"/>
    <x v="2"/>
    <n v="0"/>
    <n v="1"/>
    <n v="0"/>
    <n v="0"/>
    <x v="0"/>
  </r>
  <r>
    <s v="AA4O2W236E3FW"/>
    <x v="0"/>
    <n v="47"/>
    <s v="female"/>
    <x v="3"/>
    <x v="10"/>
    <n v="55489"/>
    <n v="0"/>
    <n v="1"/>
    <n v="0"/>
    <n v="0"/>
    <s v="NA"/>
    <s v="NA"/>
    <s v="NA"/>
    <s v="NA"/>
    <s v="NA"/>
    <s v="NA"/>
    <s v="NA"/>
    <x v="1"/>
    <x v="1"/>
    <n v="0"/>
    <n v="1"/>
    <n v="0"/>
    <n v="1"/>
    <n v="0"/>
    <n v="0"/>
    <x v="2"/>
    <n v="0"/>
    <n v="1"/>
    <n v="0"/>
    <n v="0"/>
    <x v="0"/>
  </r>
  <r>
    <s v="AA4O2W236E3FW"/>
    <x v="0"/>
    <n v="47"/>
    <s v="female"/>
    <x v="2"/>
    <x v="6"/>
    <n v="97709"/>
    <n v="1"/>
    <n v="0"/>
    <n v="0"/>
    <n v="0"/>
    <s v="Bookstores A and B."/>
    <s v="Bookstore E."/>
    <s v="Bookstore A."/>
    <s v="ms-h"/>
    <s v="mo-l"/>
    <s v="mo-h"/>
    <n v="0"/>
    <x v="2"/>
    <x v="1"/>
    <n v="1"/>
    <n v="0"/>
    <n v="0"/>
    <n v="1"/>
    <n v="0"/>
    <n v="0"/>
    <x v="2"/>
    <n v="1"/>
    <n v="0"/>
    <n v="0"/>
    <n v="0"/>
    <x v="0"/>
  </r>
  <r>
    <s v="AA4O2W236E3FW"/>
    <x v="0"/>
    <n v="47"/>
    <s v="female"/>
    <x v="2"/>
    <x v="9"/>
    <n v="40116"/>
    <n v="0"/>
    <n v="1"/>
    <n v="0"/>
    <n v="0"/>
    <s v="Store F."/>
    <s v="Stores D and E."/>
    <s v="Store E."/>
    <s v="fa"/>
    <s v="ms-l"/>
    <s v="mo-l"/>
    <n v="0"/>
    <x v="1"/>
    <x v="1"/>
    <n v="0"/>
    <n v="1"/>
    <n v="0"/>
    <n v="1"/>
    <n v="0"/>
    <n v="0"/>
    <x v="2"/>
    <n v="0"/>
    <n v="1"/>
    <n v="0"/>
    <n v="0"/>
    <x v="0"/>
  </r>
  <r>
    <s v="AA4O2W236E3FW"/>
    <x v="0"/>
    <n v="47"/>
    <s v="female"/>
    <x v="3"/>
    <x v="12"/>
    <n v="35914"/>
    <n v="1"/>
    <n v="0"/>
    <n v="0"/>
    <n v="0"/>
    <s v="NA"/>
    <s v="NA"/>
    <s v="NA"/>
    <s v="NA"/>
    <s v="NA"/>
    <s v="NA"/>
    <s v="NA"/>
    <x v="1"/>
    <x v="1"/>
    <n v="0"/>
    <n v="1"/>
    <n v="0"/>
    <n v="1"/>
    <n v="0"/>
    <n v="0"/>
    <x v="2"/>
    <n v="0"/>
    <n v="1"/>
    <n v="0"/>
    <n v="0"/>
    <x v="0"/>
  </r>
  <r>
    <s v="AA4O2W236E3FW"/>
    <x v="0"/>
    <n v="47"/>
    <s v="female"/>
    <x v="2"/>
    <x v="4"/>
    <n v="38261"/>
    <n v="1"/>
    <n v="0"/>
    <n v="0"/>
    <n v="0"/>
    <s v="Stalls A and B."/>
    <s v="Stall E."/>
    <s v="Stalls D and E."/>
    <s v="ms-h"/>
    <s v="mo-l"/>
    <s v="ms-l"/>
    <n v="0"/>
    <x v="1"/>
    <x v="1"/>
    <n v="1"/>
    <n v="1"/>
    <n v="0"/>
    <n v="1"/>
    <n v="0"/>
    <n v="0"/>
    <x v="2"/>
    <n v="1"/>
    <n v="0"/>
    <n v="0"/>
    <n v="0"/>
    <x v="0"/>
  </r>
  <r>
    <s v="AA4O2W236E3FW"/>
    <x v="0"/>
    <n v="47"/>
    <s v="female"/>
    <x v="3"/>
    <x v="5"/>
    <n v="31316"/>
    <n v="0"/>
    <n v="1"/>
    <n v="0"/>
    <n v="0"/>
    <s v="NA"/>
    <s v="NA"/>
    <s v="NA"/>
    <s v="NA"/>
    <s v="NA"/>
    <s v="NA"/>
    <s v="NA"/>
    <x v="1"/>
    <x v="1"/>
    <n v="1"/>
    <n v="1"/>
    <n v="0"/>
    <n v="1"/>
    <n v="0"/>
    <n v="0"/>
    <x v="2"/>
    <n v="1"/>
    <n v="0"/>
    <n v="0"/>
    <n v="0"/>
    <x v="0"/>
  </r>
  <r>
    <s v="AA4O2W236E3FW"/>
    <x v="0"/>
    <n v="47"/>
    <s v="female"/>
    <x v="4"/>
    <x v="0"/>
    <n v="80504"/>
    <s v="I would answer the same probably. "/>
    <s v="No. not really. Just had to put it together right."/>
    <s v="No."/>
    <s v="NA"/>
    <s v="NA"/>
    <s v="NA"/>
    <s v="NA"/>
    <s v="NA"/>
    <s v="NA"/>
    <s v="NA"/>
    <s v="NA"/>
    <x v="0"/>
    <x v="0"/>
    <s v="NA"/>
    <s v="NA"/>
    <s v="NA"/>
    <s v="NA"/>
    <s v="NA"/>
    <s v="NA"/>
    <x v="0"/>
    <s v="NA"/>
    <s v="NA"/>
    <s v="NA"/>
    <s v="NA"/>
    <x v="0"/>
  </r>
  <r>
    <s v="A1ODA3Q5H6HTDQ"/>
    <x v="0"/>
    <n v="28"/>
    <s v="female"/>
    <x v="0"/>
    <x v="0"/>
    <n v="38521"/>
    <s v="NA"/>
    <s v="NA"/>
    <s v="NA"/>
    <s v="NA"/>
    <s v="NA"/>
    <s v="NA"/>
    <s v="NA"/>
    <s v="NA"/>
    <s v="NA"/>
    <s v="NA"/>
    <s v="NA"/>
    <x v="0"/>
    <x v="0"/>
    <s v="NA"/>
    <s v="NA"/>
    <s v="NA"/>
    <s v="NA"/>
    <s v="NA"/>
    <s v="NA"/>
    <x v="0"/>
    <s v="NA"/>
    <s v="NA"/>
    <s v="NA"/>
    <s v="NA"/>
    <x v="0"/>
  </r>
  <r>
    <s v="A1ODA3Q5H6HTDQ"/>
    <x v="0"/>
    <n v="28"/>
    <s v="female"/>
    <x v="1"/>
    <x v="1"/>
    <n v="143907"/>
    <n v="0"/>
    <n v="0"/>
    <n v="0"/>
    <n v="1"/>
    <s v="NA"/>
    <s v="NA"/>
    <s v="NA"/>
    <s v="NA"/>
    <s v="NA"/>
    <s v="NA"/>
    <s v="NA"/>
    <x v="0"/>
    <x v="0"/>
    <s v="NA"/>
    <s v="NA"/>
    <s v="NA"/>
    <s v="NA"/>
    <s v="NA"/>
    <s v="NA"/>
    <x v="0"/>
    <s v="NA"/>
    <s v="NA"/>
    <s v="NA"/>
    <s v="NA"/>
    <x v="0"/>
  </r>
  <r>
    <s v="A1ODA3Q5H6HTDQ"/>
    <x v="0"/>
    <n v="28"/>
    <s v="female"/>
    <x v="1"/>
    <x v="2"/>
    <n v="52310"/>
    <n v="0"/>
    <n v="0"/>
    <n v="1"/>
    <n v="0"/>
    <s v="NA"/>
    <s v="NA"/>
    <s v="NA"/>
    <s v="NA"/>
    <s v="NA"/>
    <s v="NA"/>
    <s v="NA"/>
    <x v="0"/>
    <x v="0"/>
    <s v="NA"/>
    <s v="NA"/>
    <s v="NA"/>
    <s v="NA"/>
    <s v="NA"/>
    <s v="NA"/>
    <x v="0"/>
    <s v="NA"/>
    <s v="NA"/>
    <s v="NA"/>
    <s v="NA"/>
    <x v="0"/>
  </r>
  <r>
    <s v="A1ODA3Q5H6HTDQ"/>
    <x v="0"/>
    <n v="28"/>
    <s v="female"/>
    <x v="2"/>
    <x v="9"/>
    <n v="32890"/>
    <n v="0"/>
    <n v="1"/>
    <n v="0"/>
    <n v="0"/>
    <s v="Store E."/>
    <s v="Store A."/>
    <s v="Stores A, B, C, D and E."/>
    <s v="mo-l"/>
    <s v="mo-h"/>
    <s v="exh"/>
    <n v="1"/>
    <x v="2"/>
    <x v="1"/>
    <n v="0"/>
    <n v="0"/>
    <n v="0"/>
    <n v="1"/>
    <n v="0"/>
    <n v="1"/>
    <x v="2"/>
    <n v="0"/>
    <n v="0"/>
    <n v="0"/>
    <n v="0"/>
    <x v="0"/>
  </r>
  <r>
    <s v="A1ODA3Q5H6HTDQ"/>
    <x v="0"/>
    <n v="28"/>
    <s v="female"/>
    <x v="2"/>
    <x v="4"/>
    <n v="31455"/>
    <n v="1"/>
    <n v="0"/>
    <n v="0"/>
    <n v="0"/>
    <s v="Stalls A, B, C, D and E."/>
    <s v="Stall E."/>
    <s v="Stall F."/>
    <s v="exh"/>
    <s v="mo-l"/>
    <s v="fa"/>
    <n v="1"/>
    <x v="1"/>
    <x v="1"/>
    <n v="0"/>
    <n v="0"/>
    <n v="0"/>
    <n v="1"/>
    <n v="1"/>
    <n v="0"/>
    <x v="2"/>
    <n v="0"/>
    <n v="0"/>
    <n v="0"/>
    <n v="0"/>
    <x v="0"/>
  </r>
  <r>
    <s v="A1ODA3Q5H6HTDQ"/>
    <x v="0"/>
    <n v="28"/>
    <s v="female"/>
    <x v="3"/>
    <x v="10"/>
    <n v="76329"/>
    <n v="0"/>
    <n v="1"/>
    <n v="0"/>
    <n v="0"/>
    <s v="NA"/>
    <s v="NA"/>
    <s v="NA"/>
    <s v="NA"/>
    <s v="NA"/>
    <s v="NA"/>
    <s v="NA"/>
    <x v="1"/>
    <x v="1"/>
    <n v="0"/>
    <n v="0"/>
    <n v="0"/>
    <n v="1"/>
    <n v="1"/>
    <n v="0"/>
    <x v="2"/>
    <n v="0"/>
    <n v="0"/>
    <n v="0"/>
    <n v="0"/>
    <x v="0"/>
  </r>
  <r>
    <s v="A1ODA3Q5H6HTDQ"/>
    <x v="0"/>
    <n v="28"/>
    <s v="female"/>
    <x v="2"/>
    <x v="11"/>
    <n v="126083"/>
    <n v="0"/>
    <n v="0"/>
    <n v="0"/>
    <n v="1"/>
    <s v="Dentist A."/>
    <s v="Dentists A and B."/>
    <s v="Dentists D and E."/>
    <s v="mo-h"/>
    <s v="ms-h"/>
    <s v="ms-l"/>
    <n v="0"/>
    <x v="2"/>
    <x v="2"/>
    <n v="1"/>
    <n v="1"/>
    <n v="0"/>
    <n v="1"/>
    <n v="0"/>
    <n v="0"/>
    <x v="2"/>
    <n v="0"/>
    <n v="0"/>
    <n v="0"/>
    <n v="1"/>
    <x v="0"/>
  </r>
  <r>
    <s v="A1ODA3Q5H6HTDQ"/>
    <x v="0"/>
    <n v="28"/>
    <s v="female"/>
    <x v="3"/>
    <x v="8"/>
    <n v="24170"/>
    <n v="1"/>
    <n v="1"/>
    <n v="0"/>
    <n v="0"/>
    <s v="NA"/>
    <s v="NA"/>
    <s v="NA"/>
    <s v="NA"/>
    <s v="NA"/>
    <s v="NA"/>
    <s v="NA"/>
    <x v="2"/>
    <x v="2"/>
    <n v="1"/>
    <n v="1"/>
    <n v="0"/>
    <n v="1"/>
    <n v="0"/>
    <n v="0"/>
    <x v="2"/>
    <n v="0"/>
    <n v="0"/>
    <n v="0"/>
    <n v="1"/>
    <x v="0"/>
  </r>
  <r>
    <s v="A1ODA3Q5H6HTDQ"/>
    <x v="0"/>
    <n v="28"/>
    <s v="female"/>
    <x v="2"/>
    <x v="7"/>
    <n v="22241"/>
    <n v="1"/>
    <n v="1"/>
    <n v="1"/>
    <n v="0"/>
    <s v="Stylist E."/>
    <s v="Stylist F."/>
    <s v="Stylist A."/>
    <s v="mo-l"/>
    <s v="fa"/>
    <s v="mo-h"/>
    <n v="0"/>
    <x v="2"/>
    <x v="1"/>
    <n v="0"/>
    <n v="0"/>
    <n v="0"/>
    <n v="1"/>
    <n v="0"/>
    <n v="1"/>
    <x v="1"/>
    <n v="0"/>
    <n v="0"/>
    <n v="0"/>
    <n v="0"/>
    <x v="0"/>
  </r>
  <r>
    <s v="A1ODA3Q5H6HTDQ"/>
    <x v="0"/>
    <n v="28"/>
    <s v="female"/>
    <x v="2"/>
    <x v="6"/>
    <n v="15717"/>
    <n v="1"/>
    <n v="1"/>
    <n v="1"/>
    <n v="0"/>
    <s v="Bookstore F."/>
    <s v="Bookstore A."/>
    <s v="Bookstores A, B, C, D and E."/>
    <s v="fa"/>
    <s v="mo-h"/>
    <s v="exh"/>
    <n v="1"/>
    <x v="2"/>
    <x v="2"/>
    <n v="0"/>
    <n v="0"/>
    <n v="0"/>
    <n v="1"/>
    <n v="1"/>
    <n v="1"/>
    <x v="2"/>
    <n v="0"/>
    <n v="0"/>
    <n v="0"/>
    <n v="0"/>
    <x v="0"/>
  </r>
  <r>
    <s v="A1ODA3Q5H6HTDQ"/>
    <x v="0"/>
    <n v="28"/>
    <s v="female"/>
    <x v="3"/>
    <x v="12"/>
    <n v="13780"/>
    <n v="1"/>
    <n v="1"/>
    <n v="0"/>
    <n v="0"/>
    <s v="NA"/>
    <s v="NA"/>
    <s v="NA"/>
    <s v="NA"/>
    <s v="NA"/>
    <s v="NA"/>
    <s v="NA"/>
    <x v="2"/>
    <x v="2"/>
    <n v="0"/>
    <n v="0"/>
    <n v="0"/>
    <n v="1"/>
    <n v="1"/>
    <n v="1"/>
    <x v="2"/>
    <n v="0"/>
    <n v="0"/>
    <n v="0"/>
    <n v="0"/>
    <x v="0"/>
  </r>
  <r>
    <s v="A1ODA3Q5H6HTDQ"/>
    <x v="0"/>
    <n v="28"/>
    <s v="female"/>
    <x v="2"/>
    <x v="3"/>
    <n v="15525"/>
    <n v="1"/>
    <n v="1"/>
    <n v="1"/>
    <n v="0"/>
    <s v="Cafes A and B."/>
    <s v="Cafe E."/>
    <s v="Cafe A."/>
    <s v="ms-h"/>
    <s v="mo-l"/>
    <s v="mo-h"/>
    <n v="0"/>
    <x v="2"/>
    <x v="1"/>
    <n v="1"/>
    <n v="0"/>
    <n v="0"/>
    <n v="1"/>
    <n v="0"/>
    <n v="1"/>
    <x v="1"/>
    <n v="1"/>
    <n v="0"/>
    <n v="0"/>
    <n v="0"/>
    <x v="0"/>
  </r>
  <r>
    <s v="A1ODA3Q5H6HTDQ"/>
    <x v="0"/>
    <n v="28"/>
    <s v="female"/>
    <x v="3"/>
    <x v="5"/>
    <n v="39973"/>
    <n v="0"/>
    <n v="1"/>
    <n v="0"/>
    <n v="0"/>
    <s v="NA"/>
    <s v="NA"/>
    <s v="NA"/>
    <s v="NA"/>
    <s v="NA"/>
    <s v="NA"/>
    <s v="NA"/>
    <x v="2"/>
    <x v="1"/>
    <n v="1"/>
    <n v="0"/>
    <n v="0"/>
    <n v="1"/>
    <n v="0"/>
    <n v="1"/>
    <x v="1"/>
    <n v="1"/>
    <n v="0"/>
    <n v="0"/>
    <n v="0"/>
    <x v="0"/>
  </r>
  <r>
    <s v="A1ODA3Q5H6HTDQ"/>
    <x v="0"/>
    <n v="28"/>
    <s v="female"/>
    <x v="4"/>
    <x v="0"/>
    <n v="52562"/>
    <s v="No%2C I'd still give them restaurants that served brunch."/>
    <s v="A little%2C some questions were worded strangely and needed to be reread a few times."/>
    <s v="N/A"/>
    <s v="NA"/>
    <s v="NA"/>
    <s v="NA"/>
    <s v="NA"/>
    <s v="NA"/>
    <s v="NA"/>
    <s v="NA"/>
    <s v="NA"/>
    <x v="0"/>
    <x v="0"/>
    <s v="NA"/>
    <s v="NA"/>
    <s v="NA"/>
    <s v="NA"/>
    <s v="NA"/>
    <s v="NA"/>
    <x v="0"/>
    <s v="NA"/>
    <s v="NA"/>
    <s v="NA"/>
    <s v="NA"/>
    <x v="0"/>
  </r>
  <r>
    <s v="AL36KBFL3ORCD"/>
    <x v="0"/>
    <n v="26"/>
    <s v="female"/>
    <x v="0"/>
    <x v="0"/>
    <n v="59115"/>
    <s v="NA"/>
    <s v="NA"/>
    <s v="NA"/>
    <s v="NA"/>
    <s v="NA"/>
    <s v="NA"/>
    <s v="NA"/>
    <s v="NA"/>
    <s v="NA"/>
    <s v="NA"/>
    <s v="NA"/>
    <x v="0"/>
    <x v="0"/>
    <s v="NA"/>
    <s v="NA"/>
    <s v="NA"/>
    <s v="NA"/>
    <s v="NA"/>
    <s v="NA"/>
    <x v="0"/>
    <s v="NA"/>
    <s v="NA"/>
    <s v="NA"/>
    <s v="NA"/>
    <x v="0"/>
  </r>
  <r>
    <s v="AL36KBFL3ORCD"/>
    <x v="0"/>
    <n v="26"/>
    <s v="female"/>
    <x v="1"/>
    <x v="1"/>
    <n v="40499"/>
    <n v="0"/>
    <n v="0"/>
    <n v="0"/>
    <n v="1"/>
    <s v="NA"/>
    <s v="NA"/>
    <s v="NA"/>
    <s v="NA"/>
    <s v="NA"/>
    <s v="NA"/>
    <s v="NA"/>
    <x v="0"/>
    <x v="0"/>
    <s v="NA"/>
    <s v="NA"/>
    <s v="NA"/>
    <s v="NA"/>
    <s v="NA"/>
    <s v="NA"/>
    <x v="0"/>
    <s v="NA"/>
    <s v="NA"/>
    <s v="NA"/>
    <s v="NA"/>
    <x v="0"/>
  </r>
  <r>
    <s v="AL36KBFL3ORCD"/>
    <x v="0"/>
    <n v="26"/>
    <s v="female"/>
    <x v="1"/>
    <x v="2"/>
    <n v="49967"/>
    <n v="0"/>
    <n v="1"/>
    <n v="1"/>
    <n v="0"/>
    <s v="NA"/>
    <s v="NA"/>
    <s v="NA"/>
    <s v="NA"/>
    <s v="NA"/>
    <s v="NA"/>
    <s v="NA"/>
    <x v="0"/>
    <x v="0"/>
    <s v="NA"/>
    <s v="NA"/>
    <s v="NA"/>
    <s v="NA"/>
    <s v="NA"/>
    <s v="NA"/>
    <x v="0"/>
    <s v="NA"/>
    <s v="NA"/>
    <s v="NA"/>
    <s v="NA"/>
    <x v="0"/>
  </r>
  <r>
    <s v="AL36KBFL3ORCD"/>
    <x v="0"/>
    <n v="26"/>
    <s v="female"/>
    <x v="2"/>
    <x v="7"/>
    <n v="135202"/>
    <n v="1"/>
    <n v="1"/>
    <n v="1"/>
    <n v="0"/>
    <s v="Stylists D and E."/>
    <s v="Stylist E."/>
    <s v="Stylist F."/>
    <s v="ms-l"/>
    <s v="mo-l"/>
    <s v="fa"/>
    <n v="0"/>
    <x v="1"/>
    <x v="1"/>
    <n v="0"/>
    <n v="1"/>
    <n v="0"/>
    <n v="1"/>
    <n v="0"/>
    <n v="0"/>
    <x v="1"/>
    <n v="0"/>
    <n v="1"/>
    <n v="0"/>
    <n v="0"/>
    <x v="0"/>
  </r>
  <r>
    <s v="AL36KBFL3ORCD"/>
    <x v="0"/>
    <n v="26"/>
    <s v="female"/>
    <x v="2"/>
    <x v="3"/>
    <n v="26461"/>
    <n v="0"/>
    <n v="0"/>
    <n v="1"/>
    <n v="0"/>
    <s v="Cafes D and E."/>
    <s v="Cafe E."/>
    <s v="Cafes A, B, C, D and E."/>
    <s v="ms-l"/>
    <s v="mo-l"/>
    <s v="exh"/>
    <n v="1"/>
    <x v="1"/>
    <x v="1"/>
    <n v="0"/>
    <n v="1"/>
    <n v="0"/>
    <n v="1"/>
    <n v="1"/>
    <n v="0"/>
    <x v="2"/>
    <n v="0"/>
    <n v="0"/>
    <n v="0"/>
    <n v="0"/>
    <x v="0"/>
  </r>
  <r>
    <s v="AL36KBFL3ORCD"/>
    <x v="0"/>
    <n v="26"/>
    <s v="female"/>
    <x v="3"/>
    <x v="12"/>
    <n v="19773"/>
    <n v="1"/>
    <n v="0"/>
    <n v="0"/>
    <n v="0"/>
    <s v="NA"/>
    <s v="NA"/>
    <s v="NA"/>
    <s v="NA"/>
    <s v="NA"/>
    <s v="NA"/>
    <s v="NA"/>
    <x v="1"/>
    <x v="1"/>
    <n v="0"/>
    <n v="1"/>
    <n v="0"/>
    <n v="1"/>
    <n v="1"/>
    <n v="0"/>
    <x v="2"/>
    <n v="0"/>
    <n v="0"/>
    <n v="0"/>
    <n v="0"/>
    <x v="0"/>
  </r>
  <r>
    <s v="AL36KBFL3ORCD"/>
    <x v="0"/>
    <n v="26"/>
    <s v="female"/>
    <x v="2"/>
    <x v="4"/>
    <n v="13165"/>
    <n v="0"/>
    <n v="0"/>
    <n v="1"/>
    <n v="0"/>
    <s v="Stalls D and E."/>
    <s v="Stalls A and B."/>
    <s v="Stall E."/>
    <s v="ms-l"/>
    <s v="ms-h"/>
    <s v="mo-l"/>
    <n v="0"/>
    <x v="1"/>
    <x v="1"/>
    <n v="1"/>
    <n v="1"/>
    <n v="0"/>
    <n v="1"/>
    <n v="0"/>
    <n v="0"/>
    <x v="1"/>
    <n v="0"/>
    <n v="0"/>
    <n v="0"/>
    <n v="0"/>
    <x v="0"/>
  </r>
  <r>
    <s v="AL36KBFL3ORCD"/>
    <x v="0"/>
    <n v="26"/>
    <s v="female"/>
    <x v="2"/>
    <x v="6"/>
    <n v="3259"/>
    <n v="0"/>
    <n v="1"/>
    <n v="0"/>
    <n v="0"/>
    <s v="Bookstores A, B, C, D and E."/>
    <s v="Bookstores A and B."/>
    <s v="Bookstore F."/>
    <s v="exh"/>
    <s v="ms-h"/>
    <s v="fa"/>
    <n v="1"/>
    <x v="1"/>
    <x v="2"/>
    <n v="1"/>
    <n v="0"/>
    <n v="0"/>
    <n v="1"/>
    <n v="0"/>
    <n v="0"/>
    <x v="2"/>
    <n v="1"/>
    <n v="0"/>
    <n v="0"/>
    <n v="0"/>
    <x v="0"/>
  </r>
  <r>
    <s v="AL36KBFL3ORCD"/>
    <x v="0"/>
    <n v="26"/>
    <s v="female"/>
    <x v="3"/>
    <x v="8"/>
    <n v="3061"/>
    <n v="0"/>
    <n v="0"/>
    <n v="1"/>
    <n v="0"/>
    <s v="NA"/>
    <s v="NA"/>
    <s v="NA"/>
    <s v="NA"/>
    <s v="NA"/>
    <s v="NA"/>
    <s v="NA"/>
    <x v="1"/>
    <x v="2"/>
    <n v="1"/>
    <n v="0"/>
    <n v="0"/>
    <n v="1"/>
    <n v="0"/>
    <n v="0"/>
    <x v="2"/>
    <n v="1"/>
    <n v="0"/>
    <n v="0"/>
    <n v="0"/>
    <x v="0"/>
  </r>
  <r>
    <s v="AL36KBFL3ORCD"/>
    <x v="0"/>
    <n v="26"/>
    <s v="female"/>
    <x v="2"/>
    <x v="9"/>
    <n v="3298"/>
    <n v="0"/>
    <n v="0"/>
    <n v="1"/>
    <n v="0"/>
    <s v="Store E."/>
    <s v="Stores A, B, C, D and E."/>
    <s v="Stores D and E."/>
    <s v="mo-l"/>
    <s v="exh"/>
    <s v="ms-l"/>
    <n v="1"/>
    <x v="1"/>
    <x v="1"/>
    <n v="0"/>
    <n v="1"/>
    <n v="0"/>
    <n v="1"/>
    <n v="0"/>
    <n v="0"/>
    <x v="2"/>
    <n v="0"/>
    <n v="1"/>
    <n v="0"/>
    <n v="0"/>
    <x v="0"/>
  </r>
  <r>
    <s v="AL36KBFL3ORCD"/>
    <x v="0"/>
    <n v="26"/>
    <s v="female"/>
    <x v="3"/>
    <x v="5"/>
    <n v="4733"/>
    <n v="0"/>
    <n v="1"/>
    <n v="0"/>
    <n v="0"/>
    <s v="NA"/>
    <s v="NA"/>
    <s v="NA"/>
    <s v="NA"/>
    <s v="NA"/>
    <s v="NA"/>
    <s v="NA"/>
    <x v="1"/>
    <x v="1"/>
    <n v="0"/>
    <n v="1"/>
    <n v="0"/>
    <n v="1"/>
    <n v="0"/>
    <n v="0"/>
    <x v="2"/>
    <n v="0"/>
    <n v="1"/>
    <n v="0"/>
    <n v="0"/>
    <x v="0"/>
  </r>
  <r>
    <s v="AL36KBFL3ORCD"/>
    <x v="0"/>
    <n v="26"/>
    <s v="female"/>
    <x v="2"/>
    <x v="11"/>
    <n v="3631"/>
    <n v="1"/>
    <n v="1"/>
    <n v="0"/>
    <n v="0"/>
    <s v="Dentists A and B."/>
    <s v="Dentist F."/>
    <s v="Dentist E."/>
    <s v="ms-h"/>
    <s v="fa"/>
    <s v="mo-l"/>
    <n v="0"/>
    <x v="1"/>
    <x v="1"/>
    <n v="1"/>
    <n v="0"/>
    <n v="0"/>
    <n v="1"/>
    <n v="0"/>
    <n v="0"/>
    <x v="2"/>
    <n v="1"/>
    <n v="0"/>
    <n v="0"/>
    <n v="0"/>
    <x v="0"/>
  </r>
  <r>
    <s v="AL36KBFL3ORCD"/>
    <x v="0"/>
    <n v="26"/>
    <s v="female"/>
    <x v="3"/>
    <x v="10"/>
    <n v="3737"/>
    <n v="0"/>
    <n v="0"/>
    <n v="1"/>
    <n v="0"/>
    <s v="NA"/>
    <s v="NA"/>
    <s v="NA"/>
    <s v="NA"/>
    <s v="NA"/>
    <s v="NA"/>
    <s v="NA"/>
    <x v="1"/>
    <x v="1"/>
    <n v="1"/>
    <n v="0"/>
    <n v="0"/>
    <n v="1"/>
    <n v="0"/>
    <n v="0"/>
    <x v="2"/>
    <n v="1"/>
    <n v="0"/>
    <n v="0"/>
    <n v="0"/>
    <x v="0"/>
  </r>
  <r>
    <s v="AL36KBFL3ORCD"/>
    <x v="0"/>
    <n v="26"/>
    <s v="female"/>
    <x v="4"/>
    <x v="0"/>
    <n v="92763"/>
    <s v="Yes I would list more locations to the first question."/>
    <s v="Yes some things were confusing."/>
    <s v="Interesting survey%2C thanks!"/>
    <s v="NA"/>
    <s v="NA"/>
    <s v="NA"/>
    <s v="NA"/>
    <s v="NA"/>
    <s v="NA"/>
    <s v="NA"/>
    <s v="NA"/>
    <x v="0"/>
    <x v="0"/>
    <s v="NA"/>
    <s v="NA"/>
    <s v="NA"/>
    <s v="NA"/>
    <s v="NA"/>
    <s v="NA"/>
    <x v="0"/>
    <s v="NA"/>
    <s v="NA"/>
    <s v="NA"/>
    <s v="NA"/>
    <x v="0"/>
  </r>
  <r>
    <s v="A9HQ3E0F2AGVO"/>
    <x v="0"/>
    <n v="30"/>
    <s v="female"/>
    <x v="0"/>
    <x v="0"/>
    <n v="63214"/>
    <s v="NA"/>
    <s v="NA"/>
    <s v="NA"/>
    <s v="NA"/>
    <s v="NA"/>
    <s v="NA"/>
    <s v="NA"/>
    <s v="NA"/>
    <s v="NA"/>
    <s v="NA"/>
    <s v="NA"/>
    <x v="0"/>
    <x v="0"/>
    <s v="NA"/>
    <s v="NA"/>
    <s v="NA"/>
    <s v="NA"/>
    <s v="NA"/>
    <s v="NA"/>
    <x v="0"/>
    <s v="NA"/>
    <s v="NA"/>
    <s v="NA"/>
    <s v="NA"/>
    <x v="0"/>
  </r>
  <r>
    <s v="A9HQ3E0F2AGVO"/>
    <x v="0"/>
    <n v="30"/>
    <s v="female"/>
    <x v="1"/>
    <x v="1"/>
    <n v="18749"/>
    <n v="0"/>
    <n v="0"/>
    <n v="0"/>
    <n v="1"/>
    <s v="NA"/>
    <s v="NA"/>
    <s v="NA"/>
    <s v="NA"/>
    <s v="NA"/>
    <s v="NA"/>
    <s v="NA"/>
    <x v="0"/>
    <x v="0"/>
    <s v="NA"/>
    <s v="NA"/>
    <s v="NA"/>
    <s v="NA"/>
    <s v="NA"/>
    <s v="NA"/>
    <x v="0"/>
    <s v="NA"/>
    <s v="NA"/>
    <s v="NA"/>
    <s v="NA"/>
    <x v="0"/>
  </r>
  <r>
    <s v="A9HQ3E0F2AGVO"/>
    <x v="0"/>
    <n v="30"/>
    <s v="female"/>
    <x v="1"/>
    <x v="2"/>
    <n v="91269"/>
    <n v="0"/>
    <n v="1"/>
    <n v="1"/>
    <n v="0"/>
    <s v="NA"/>
    <s v="NA"/>
    <s v="NA"/>
    <s v="NA"/>
    <s v="NA"/>
    <s v="NA"/>
    <s v="NA"/>
    <x v="0"/>
    <x v="0"/>
    <s v="NA"/>
    <s v="NA"/>
    <s v="NA"/>
    <s v="NA"/>
    <s v="NA"/>
    <s v="NA"/>
    <x v="0"/>
    <s v="NA"/>
    <s v="NA"/>
    <s v="NA"/>
    <s v="NA"/>
    <x v="0"/>
  </r>
  <r>
    <s v="A9HQ3E0F2AGVO"/>
    <x v="0"/>
    <n v="30"/>
    <s v="female"/>
    <x v="2"/>
    <x v="6"/>
    <n v="41307"/>
    <n v="0"/>
    <n v="0"/>
    <n v="0"/>
    <n v="1"/>
    <s v="Bookstores A and B."/>
    <s v="Bookstore A."/>
    <s v="Bookstores D and E."/>
    <s v="ms-h"/>
    <s v="mo-h"/>
    <s v="ms-l"/>
    <n v="0"/>
    <x v="2"/>
    <x v="2"/>
    <n v="1"/>
    <n v="1"/>
    <n v="0"/>
    <n v="1"/>
    <n v="0"/>
    <n v="0"/>
    <x v="2"/>
    <n v="0"/>
    <n v="0"/>
    <n v="0"/>
    <n v="1"/>
    <x v="0"/>
  </r>
  <r>
    <s v="A9HQ3E0F2AGVO"/>
    <x v="0"/>
    <n v="30"/>
    <s v="female"/>
    <x v="2"/>
    <x v="9"/>
    <n v="37730"/>
    <n v="0"/>
    <n v="0"/>
    <n v="1"/>
    <n v="0"/>
    <s v="Store F."/>
    <s v="Stores D and E."/>
    <s v="Store A."/>
    <s v="fa"/>
    <s v="ms-l"/>
    <s v="mo-h"/>
    <n v="0"/>
    <x v="2"/>
    <x v="2"/>
    <n v="0"/>
    <n v="1"/>
    <n v="0"/>
    <n v="1"/>
    <n v="0"/>
    <n v="1"/>
    <x v="2"/>
    <n v="0"/>
    <n v="0"/>
    <n v="0"/>
    <n v="0"/>
    <x v="0"/>
  </r>
  <r>
    <s v="A9HQ3E0F2AGVO"/>
    <x v="0"/>
    <n v="30"/>
    <s v="female"/>
    <x v="3"/>
    <x v="8"/>
    <n v="18325"/>
    <n v="1"/>
    <n v="0"/>
    <n v="0"/>
    <n v="0"/>
    <s v="NA"/>
    <s v="NA"/>
    <s v="NA"/>
    <s v="NA"/>
    <s v="NA"/>
    <s v="NA"/>
    <s v="NA"/>
    <x v="2"/>
    <x v="2"/>
    <n v="0"/>
    <n v="1"/>
    <n v="0"/>
    <n v="1"/>
    <n v="0"/>
    <n v="1"/>
    <x v="2"/>
    <n v="0"/>
    <n v="0"/>
    <n v="0"/>
    <n v="0"/>
    <x v="0"/>
  </r>
  <r>
    <s v="A9HQ3E0F2AGVO"/>
    <x v="0"/>
    <n v="30"/>
    <s v="female"/>
    <x v="2"/>
    <x v="3"/>
    <n v="27682"/>
    <n v="0"/>
    <n v="0"/>
    <n v="0"/>
    <n v="1"/>
    <s v="Cafes D and E."/>
    <s v="Cafes A and B."/>
    <s v="Cafe A."/>
    <s v="ms-l"/>
    <s v="ms-h"/>
    <s v="mo-h"/>
    <n v="0"/>
    <x v="2"/>
    <x v="2"/>
    <n v="1"/>
    <n v="1"/>
    <n v="0"/>
    <n v="1"/>
    <n v="0"/>
    <n v="0"/>
    <x v="2"/>
    <n v="0"/>
    <n v="0"/>
    <n v="0"/>
    <n v="1"/>
    <x v="0"/>
  </r>
  <r>
    <s v="A9HQ3E0F2AGVO"/>
    <x v="0"/>
    <n v="30"/>
    <s v="female"/>
    <x v="2"/>
    <x v="7"/>
    <n v="92069"/>
    <n v="0"/>
    <n v="1"/>
    <n v="0"/>
    <n v="0"/>
    <s v="Stylists D and E."/>
    <s v="Stylists A and B."/>
    <s v="Stylist E."/>
    <s v="ms-l"/>
    <s v="ms-h"/>
    <s v="mo-l"/>
    <n v="0"/>
    <x v="1"/>
    <x v="1"/>
    <n v="1"/>
    <n v="1"/>
    <n v="0"/>
    <n v="1"/>
    <n v="0"/>
    <n v="0"/>
    <x v="2"/>
    <n v="1"/>
    <n v="0"/>
    <n v="0"/>
    <n v="0"/>
    <x v="0"/>
  </r>
  <r>
    <s v="A9HQ3E0F2AGVO"/>
    <x v="0"/>
    <n v="30"/>
    <s v="female"/>
    <x v="3"/>
    <x v="10"/>
    <n v="37829"/>
    <n v="0"/>
    <n v="1"/>
    <n v="0"/>
    <n v="0"/>
    <s v="NA"/>
    <s v="NA"/>
    <s v="NA"/>
    <s v="NA"/>
    <s v="NA"/>
    <s v="NA"/>
    <s v="NA"/>
    <x v="1"/>
    <x v="1"/>
    <n v="1"/>
    <n v="1"/>
    <n v="0"/>
    <n v="1"/>
    <n v="0"/>
    <n v="0"/>
    <x v="2"/>
    <n v="1"/>
    <n v="0"/>
    <n v="0"/>
    <n v="0"/>
    <x v="0"/>
  </r>
  <r>
    <s v="A9HQ3E0F2AGVO"/>
    <x v="0"/>
    <n v="30"/>
    <s v="female"/>
    <x v="2"/>
    <x v="11"/>
    <n v="13747"/>
    <n v="0"/>
    <n v="0"/>
    <n v="1"/>
    <n v="0"/>
    <s v="Dentist E."/>
    <s v="Dentists D and E."/>
    <s v="Dentist A."/>
    <s v="mo-l"/>
    <s v="ms-l"/>
    <s v="mo-h"/>
    <n v="0"/>
    <x v="2"/>
    <x v="1"/>
    <n v="0"/>
    <n v="1"/>
    <n v="0"/>
    <n v="1"/>
    <n v="0"/>
    <n v="1"/>
    <x v="2"/>
    <n v="0"/>
    <n v="0"/>
    <n v="0"/>
    <n v="0"/>
    <x v="0"/>
  </r>
  <r>
    <s v="A9HQ3E0F2AGVO"/>
    <x v="0"/>
    <n v="30"/>
    <s v="female"/>
    <x v="3"/>
    <x v="12"/>
    <n v="16885"/>
    <n v="1"/>
    <n v="0"/>
    <n v="0"/>
    <n v="0"/>
    <s v="NA"/>
    <s v="NA"/>
    <s v="NA"/>
    <s v="NA"/>
    <s v="NA"/>
    <s v="NA"/>
    <s v="NA"/>
    <x v="2"/>
    <x v="1"/>
    <n v="0"/>
    <n v="1"/>
    <n v="0"/>
    <n v="1"/>
    <n v="0"/>
    <n v="1"/>
    <x v="2"/>
    <n v="0"/>
    <n v="0"/>
    <n v="0"/>
    <n v="0"/>
    <x v="0"/>
  </r>
  <r>
    <s v="A9HQ3E0F2AGVO"/>
    <x v="0"/>
    <n v="30"/>
    <s v="female"/>
    <x v="2"/>
    <x v="4"/>
    <n v="13124"/>
    <n v="1"/>
    <n v="0"/>
    <n v="0"/>
    <n v="0"/>
    <s v="Stalls A and B."/>
    <s v="Stall F."/>
    <s v="Stall E."/>
    <s v="ms-h"/>
    <s v="fa"/>
    <s v="mo-l"/>
    <n v="0"/>
    <x v="1"/>
    <x v="1"/>
    <n v="1"/>
    <n v="0"/>
    <n v="0"/>
    <n v="1"/>
    <n v="0"/>
    <n v="0"/>
    <x v="2"/>
    <n v="1"/>
    <n v="0"/>
    <n v="0"/>
    <n v="0"/>
    <x v="0"/>
  </r>
  <r>
    <s v="A9HQ3E0F2AGVO"/>
    <x v="0"/>
    <n v="30"/>
    <s v="female"/>
    <x v="3"/>
    <x v="5"/>
    <n v="196364"/>
    <n v="0"/>
    <n v="1"/>
    <n v="0"/>
    <n v="0"/>
    <s v="NA"/>
    <s v="NA"/>
    <s v="NA"/>
    <s v="NA"/>
    <s v="NA"/>
    <s v="NA"/>
    <s v="NA"/>
    <x v="1"/>
    <x v="1"/>
    <n v="1"/>
    <n v="0"/>
    <n v="0"/>
    <n v="1"/>
    <n v="0"/>
    <n v="0"/>
    <x v="2"/>
    <n v="1"/>
    <n v="0"/>
    <n v="0"/>
    <n v="0"/>
    <x v="0"/>
  </r>
  <r>
    <s v="A9HQ3E0F2AGVO"/>
    <x v="0"/>
    <n v="30"/>
    <s v="female"/>
    <x v="4"/>
    <x v="0"/>
    <n v="70348"/>
    <s v="I might make sure to offer restaurants and not stands%2C but ultimately it would probably be very similar."/>
    <s v="Yes; the examples seemed cut and dry but the actual task seemed more ambiguous."/>
    <s v="A progress bar would have been motivating. Thanks!"/>
    <s v="NA"/>
    <s v="NA"/>
    <s v="NA"/>
    <s v="NA"/>
    <s v="NA"/>
    <s v="NA"/>
    <s v="NA"/>
    <s v="NA"/>
    <x v="0"/>
    <x v="0"/>
    <s v="NA"/>
    <s v="NA"/>
    <s v="NA"/>
    <s v="NA"/>
    <s v="NA"/>
    <s v="NA"/>
    <x v="0"/>
    <s v="NA"/>
    <s v="NA"/>
    <s v="NA"/>
    <s v="NA"/>
    <x v="0"/>
  </r>
  <r>
    <s v="A1LC7VHVIFI8BP"/>
    <x v="0"/>
    <n v="24"/>
    <s v="male"/>
    <x v="0"/>
    <x v="0"/>
    <n v="32676"/>
    <s v="NA"/>
    <s v="NA"/>
    <s v="NA"/>
    <s v="NA"/>
    <s v="NA"/>
    <s v="NA"/>
    <s v="NA"/>
    <s v="NA"/>
    <s v="NA"/>
    <s v="NA"/>
    <s v="NA"/>
    <x v="0"/>
    <x v="0"/>
    <s v="NA"/>
    <s v="NA"/>
    <s v="NA"/>
    <s v="NA"/>
    <s v="NA"/>
    <s v="NA"/>
    <x v="0"/>
    <s v="NA"/>
    <s v="NA"/>
    <s v="NA"/>
    <s v="NA"/>
    <x v="0"/>
  </r>
  <r>
    <s v="A1LC7VHVIFI8BP"/>
    <x v="0"/>
    <n v="24"/>
    <s v="male"/>
    <x v="1"/>
    <x v="1"/>
    <n v="18787"/>
    <n v="0"/>
    <n v="0"/>
    <n v="1"/>
    <n v="0"/>
    <s v="NA"/>
    <s v="NA"/>
    <s v="NA"/>
    <s v="NA"/>
    <s v="NA"/>
    <s v="NA"/>
    <s v="NA"/>
    <x v="0"/>
    <x v="0"/>
    <s v="NA"/>
    <s v="NA"/>
    <s v="NA"/>
    <s v="NA"/>
    <s v="NA"/>
    <s v="NA"/>
    <x v="0"/>
    <s v="NA"/>
    <s v="NA"/>
    <s v="NA"/>
    <s v="NA"/>
    <x v="0"/>
  </r>
  <r>
    <s v="A1LC7VHVIFI8BP"/>
    <x v="0"/>
    <n v="24"/>
    <s v="male"/>
    <x v="1"/>
    <x v="2"/>
    <n v="5509"/>
    <n v="0"/>
    <n v="0"/>
    <n v="1"/>
    <n v="0"/>
    <s v="NA"/>
    <s v="NA"/>
    <s v="NA"/>
    <s v="NA"/>
    <s v="NA"/>
    <s v="NA"/>
    <s v="NA"/>
    <x v="0"/>
    <x v="0"/>
    <s v="NA"/>
    <s v="NA"/>
    <s v="NA"/>
    <s v="NA"/>
    <s v="NA"/>
    <s v="NA"/>
    <x v="0"/>
    <s v="NA"/>
    <s v="NA"/>
    <s v="NA"/>
    <s v="NA"/>
    <x v="0"/>
  </r>
  <r>
    <s v="A1LC7VHVIFI8BP"/>
    <x v="0"/>
    <n v="24"/>
    <s v="male"/>
    <x v="2"/>
    <x v="3"/>
    <n v="14733"/>
    <n v="0"/>
    <n v="1"/>
    <n v="0"/>
    <n v="0"/>
    <s v="Cafes D and E."/>
    <s v="Cafes A and B."/>
    <s v="Cafes A, B, C, D and E."/>
    <s v="ms-l"/>
    <s v="ms-h"/>
    <s v="exh"/>
    <n v="1"/>
    <x v="1"/>
    <x v="2"/>
    <n v="1"/>
    <n v="1"/>
    <n v="0"/>
    <n v="1"/>
    <n v="0"/>
    <n v="0"/>
    <x v="2"/>
    <n v="1"/>
    <n v="0"/>
    <n v="0"/>
    <n v="0"/>
    <x v="0"/>
  </r>
  <r>
    <s v="A1LC7VHVIFI8BP"/>
    <x v="0"/>
    <n v="24"/>
    <s v="male"/>
    <x v="2"/>
    <x v="6"/>
    <n v="3776"/>
    <n v="0"/>
    <n v="0"/>
    <n v="1"/>
    <n v="0"/>
    <s v="Bookstore E."/>
    <s v="Bookstores A and B."/>
    <s v="Bookstores D and E."/>
    <s v="mo-l"/>
    <s v="ms-h"/>
    <s v="ms-l"/>
    <n v="0"/>
    <x v="1"/>
    <x v="1"/>
    <n v="1"/>
    <n v="1"/>
    <n v="0"/>
    <n v="1"/>
    <n v="0"/>
    <n v="0"/>
    <x v="2"/>
    <n v="0"/>
    <n v="1"/>
    <n v="0"/>
    <n v="0"/>
    <x v="0"/>
  </r>
  <r>
    <s v="A1LC7VHVIFI8BP"/>
    <x v="0"/>
    <n v="24"/>
    <s v="male"/>
    <x v="3"/>
    <x v="5"/>
    <n v="2762"/>
    <n v="0"/>
    <n v="1"/>
    <n v="0"/>
    <n v="0"/>
    <s v="NA"/>
    <s v="NA"/>
    <s v="NA"/>
    <s v="NA"/>
    <s v="NA"/>
    <s v="NA"/>
    <s v="NA"/>
    <x v="1"/>
    <x v="1"/>
    <n v="1"/>
    <n v="1"/>
    <n v="0"/>
    <n v="1"/>
    <n v="0"/>
    <n v="0"/>
    <x v="2"/>
    <n v="0"/>
    <n v="1"/>
    <n v="0"/>
    <n v="0"/>
    <x v="0"/>
  </r>
  <r>
    <s v="A1LC7VHVIFI8BP"/>
    <x v="0"/>
    <n v="24"/>
    <s v="male"/>
    <x v="2"/>
    <x v="4"/>
    <n v="3072"/>
    <n v="1"/>
    <n v="0"/>
    <n v="0"/>
    <n v="0"/>
    <s v="Stalls A and B."/>
    <s v="Stall F."/>
    <s v="Stall E."/>
    <s v="ms-h"/>
    <s v="fa"/>
    <s v="mo-l"/>
    <n v="0"/>
    <x v="1"/>
    <x v="1"/>
    <n v="1"/>
    <n v="0"/>
    <n v="0"/>
    <n v="1"/>
    <n v="0"/>
    <n v="0"/>
    <x v="2"/>
    <n v="1"/>
    <n v="0"/>
    <n v="0"/>
    <n v="0"/>
    <x v="0"/>
  </r>
  <r>
    <s v="A1LC7VHVIFI8BP"/>
    <x v="0"/>
    <n v="24"/>
    <s v="male"/>
    <x v="2"/>
    <x v="11"/>
    <n v="3189"/>
    <n v="0"/>
    <n v="1"/>
    <n v="0"/>
    <n v="0"/>
    <s v="Dentist F."/>
    <s v="Dentists D and E."/>
    <s v="Dentists A and B."/>
    <s v="fa"/>
    <s v="ms-l"/>
    <s v="ms-h"/>
    <n v="0"/>
    <x v="1"/>
    <x v="2"/>
    <n v="1"/>
    <n v="1"/>
    <n v="0"/>
    <n v="1"/>
    <n v="0"/>
    <n v="0"/>
    <x v="2"/>
    <n v="0"/>
    <n v="1"/>
    <n v="0"/>
    <n v="0"/>
    <x v="0"/>
  </r>
  <r>
    <s v="A1LC7VHVIFI8BP"/>
    <x v="0"/>
    <n v="24"/>
    <s v="male"/>
    <x v="3"/>
    <x v="8"/>
    <n v="4214"/>
    <n v="0"/>
    <n v="0"/>
    <n v="1"/>
    <n v="0"/>
    <s v="NA"/>
    <s v="NA"/>
    <s v="NA"/>
    <s v="NA"/>
    <s v="NA"/>
    <s v="NA"/>
    <s v="NA"/>
    <x v="1"/>
    <x v="2"/>
    <n v="1"/>
    <n v="1"/>
    <n v="0"/>
    <n v="1"/>
    <n v="0"/>
    <n v="0"/>
    <x v="2"/>
    <n v="0"/>
    <n v="1"/>
    <n v="0"/>
    <n v="0"/>
    <x v="0"/>
  </r>
  <r>
    <s v="A1LC7VHVIFI8BP"/>
    <x v="0"/>
    <n v="24"/>
    <s v="male"/>
    <x v="2"/>
    <x v="7"/>
    <n v="4028"/>
    <n v="1"/>
    <n v="0"/>
    <n v="0"/>
    <n v="0"/>
    <s v="Stylists A and B."/>
    <s v="Stylist A."/>
    <s v="Stylists D and E."/>
    <s v="ms-h"/>
    <s v="mo-h"/>
    <s v="ms-l"/>
    <n v="0"/>
    <x v="2"/>
    <x v="2"/>
    <n v="1"/>
    <n v="1"/>
    <n v="0"/>
    <n v="1"/>
    <n v="0"/>
    <n v="0"/>
    <x v="2"/>
    <n v="1"/>
    <n v="0"/>
    <n v="0"/>
    <n v="0"/>
    <x v="0"/>
  </r>
  <r>
    <s v="A1LC7VHVIFI8BP"/>
    <x v="0"/>
    <n v="24"/>
    <s v="male"/>
    <x v="3"/>
    <x v="10"/>
    <n v="3422"/>
    <n v="0"/>
    <n v="1"/>
    <n v="0"/>
    <n v="0"/>
    <s v="NA"/>
    <s v="NA"/>
    <s v="NA"/>
    <s v="NA"/>
    <s v="NA"/>
    <s v="NA"/>
    <s v="NA"/>
    <x v="2"/>
    <x v="2"/>
    <n v="1"/>
    <n v="1"/>
    <n v="0"/>
    <n v="1"/>
    <n v="0"/>
    <n v="0"/>
    <x v="2"/>
    <n v="1"/>
    <n v="0"/>
    <n v="0"/>
    <n v="0"/>
    <x v="0"/>
  </r>
  <r>
    <s v="A1LC7VHVIFI8BP"/>
    <x v="0"/>
    <n v="24"/>
    <s v="male"/>
    <x v="2"/>
    <x v="9"/>
    <n v="18595"/>
    <n v="0"/>
    <n v="0"/>
    <n v="1"/>
    <n v="0"/>
    <s v="Stores A, B, C, D and E."/>
    <s v="Stores A and B."/>
    <s v="Store E."/>
    <s v="exh"/>
    <s v="ms-h"/>
    <s v="mo-l"/>
    <n v="1"/>
    <x v="1"/>
    <x v="1"/>
    <n v="1"/>
    <n v="0"/>
    <n v="0"/>
    <n v="1"/>
    <n v="0"/>
    <n v="0"/>
    <x v="1"/>
    <n v="0"/>
    <n v="0"/>
    <n v="0"/>
    <n v="0"/>
    <x v="0"/>
  </r>
  <r>
    <s v="A1LC7VHVIFI8BP"/>
    <x v="0"/>
    <n v="24"/>
    <s v="male"/>
    <x v="3"/>
    <x v="12"/>
    <n v="3532"/>
    <n v="0"/>
    <n v="0"/>
    <n v="1"/>
    <n v="0"/>
    <s v="NA"/>
    <s v="NA"/>
    <s v="NA"/>
    <s v="NA"/>
    <s v="NA"/>
    <s v="NA"/>
    <s v="NA"/>
    <x v="1"/>
    <x v="1"/>
    <n v="1"/>
    <n v="0"/>
    <n v="0"/>
    <n v="1"/>
    <n v="0"/>
    <n v="0"/>
    <x v="1"/>
    <n v="0"/>
    <n v="0"/>
    <n v="0"/>
    <n v="0"/>
    <x v="0"/>
  </r>
  <r>
    <s v="A1LC7VHVIFI8BP"/>
    <x v="0"/>
    <n v="24"/>
    <s v="male"/>
    <x v="4"/>
    <x v="0"/>
    <n v="98157"/>
    <s v="The travel website that compiles millions of holidaymakers' star ratings could."/>
    <s v="Collect a list of all your tasks."/>
    <s v="no"/>
    <s v="NA"/>
    <s v="NA"/>
    <s v="NA"/>
    <s v="NA"/>
    <s v="NA"/>
    <s v="NA"/>
    <s v="NA"/>
    <s v="NA"/>
    <x v="0"/>
    <x v="0"/>
    <s v="NA"/>
    <s v="NA"/>
    <s v="NA"/>
    <s v="NA"/>
    <s v="NA"/>
    <s v="NA"/>
    <x v="0"/>
    <s v="NA"/>
    <s v="NA"/>
    <s v="NA"/>
    <s v="NA"/>
    <x v="0"/>
  </r>
  <r>
    <s v="ACFJI8D9OGJTL"/>
    <x v="0"/>
    <n v="34"/>
    <s v="female"/>
    <x v="0"/>
    <x v="0"/>
    <n v="28990"/>
    <s v="NA"/>
    <s v="NA"/>
    <s v="NA"/>
    <s v="NA"/>
    <s v="NA"/>
    <s v="NA"/>
    <s v="NA"/>
    <s v="NA"/>
    <s v="NA"/>
    <s v="NA"/>
    <s v="NA"/>
    <x v="0"/>
    <x v="0"/>
    <s v="NA"/>
    <s v="NA"/>
    <s v="NA"/>
    <s v="NA"/>
    <s v="NA"/>
    <s v="NA"/>
    <x v="0"/>
    <s v="NA"/>
    <s v="NA"/>
    <s v="NA"/>
    <s v="NA"/>
    <x v="0"/>
  </r>
  <r>
    <s v="ACFJI8D9OGJTL"/>
    <x v="0"/>
    <n v="34"/>
    <s v="female"/>
    <x v="1"/>
    <x v="2"/>
    <n v="52303"/>
    <n v="0"/>
    <n v="0"/>
    <n v="1"/>
    <n v="0"/>
    <s v="NA"/>
    <s v="NA"/>
    <s v="NA"/>
    <s v="NA"/>
    <s v="NA"/>
    <s v="NA"/>
    <s v="NA"/>
    <x v="0"/>
    <x v="0"/>
    <s v="NA"/>
    <s v="NA"/>
    <s v="NA"/>
    <s v="NA"/>
    <s v="NA"/>
    <s v="NA"/>
    <x v="0"/>
    <s v="NA"/>
    <s v="NA"/>
    <s v="NA"/>
    <s v="NA"/>
    <x v="0"/>
  </r>
  <r>
    <s v="ACFJI8D9OGJTL"/>
    <x v="0"/>
    <n v="34"/>
    <s v="female"/>
    <x v="1"/>
    <x v="1"/>
    <n v="58412"/>
    <n v="0"/>
    <n v="0"/>
    <n v="0"/>
    <n v="1"/>
    <s v="NA"/>
    <s v="NA"/>
    <s v="NA"/>
    <s v="NA"/>
    <s v="NA"/>
    <s v="NA"/>
    <s v="NA"/>
    <x v="0"/>
    <x v="0"/>
    <s v="NA"/>
    <s v="NA"/>
    <s v="NA"/>
    <s v="NA"/>
    <s v="NA"/>
    <s v="NA"/>
    <x v="0"/>
    <s v="NA"/>
    <s v="NA"/>
    <s v="NA"/>
    <s v="NA"/>
    <x v="0"/>
  </r>
  <r>
    <s v="ACFJI8D9OGJTL"/>
    <x v="0"/>
    <n v="34"/>
    <s v="female"/>
    <x v="2"/>
    <x v="11"/>
    <n v="58102"/>
    <n v="0"/>
    <n v="0"/>
    <n v="0"/>
    <n v="1"/>
    <s v="Dentist A."/>
    <s v="Dentist F."/>
    <s v="Dentists A and B."/>
    <s v="mo-h"/>
    <s v="fa"/>
    <s v="ms-h"/>
    <n v="0"/>
    <x v="2"/>
    <x v="2"/>
    <n v="1"/>
    <n v="0"/>
    <n v="0"/>
    <n v="1"/>
    <n v="0"/>
    <n v="0"/>
    <x v="2"/>
    <n v="0"/>
    <n v="0"/>
    <n v="0"/>
    <n v="1"/>
    <x v="0"/>
  </r>
  <r>
    <s v="ACFJI8D9OGJTL"/>
    <x v="0"/>
    <n v="34"/>
    <s v="female"/>
    <x v="2"/>
    <x v="7"/>
    <n v="156598"/>
    <n v="0"/>
    <n v="0"/>
    <n v="0"/>
    <n v="1"/>
    <s v="Stylist A."/>
    <s v="Stylists D and E."/>
    <s v="Stylists A, B, C, D and E."/>
    <s v="mo-h"/>
    <s v="ms-l"/>
    <s v="exh"/>
    <n v="1"/>
    <x v="2"/>
    <x v="2"/>
    <n v="0"/>
    <n v="1"/>
    <n v="0"/>
    <n v="1"/>
    <n v="0"/>
    <n v="0"/>
    <x v="2"/>
    <n v="0"/>
    <n v="0"/>
    <n v="0"/>
    <n v="1"/>
    <x v="0"/>
  </r>
  <r>
    <s v="ACFJI8D9OGJTL"/>
    <x v="0"/>
    <n v="34"/>
    <s v="female"/>
    <x v="3"/>
    <x v="5"/>
    <n v="145328"/>
    <n v="1"/>
    <n v="1"/>
    <n v="1"/>
    <n v="0"/>
    <s v="NA"/>
    <s v="NA"/>
    <s v="NA"/>
    <s v="NA"/>
    <s v="NA"/>
    <s v="NA"/>
    <s v="NA"/>
    <x v="2"/>
    <x v="2"/>
    <n v="0"/>
    <n v="1"/>
    <n v="0"/>
    <n v="1"/>
    <n v="0"/>
    <n v="0"/>
    <x v="2"/>
    <n v="0"/>
    <n v="0"/>
    <n v="0"/>
    <n v="1"/>
    <x v="0"/>
  </r>
  <r>
    <s v="ACFJI8D9OGJTL"/>
    <x v="0"/>
    <n v="34"/>
    <s v="female"/>
    <x v="2"/>
    <x v="3"/>
    <n v="81101"/>
    <n v="0"/>
    <n v="0"/>
    <n v="0"/>
    <n v="1"/>
    <s v="Cafe E."/>
    <s v="Cafes A, B, C, D and E."/>
    <s v="Cafe F."/>
    <s v="mo-l"/>
    <s v="exh"/>
    <s v="fa"/>
    <n v="1"/>
    <x v="1"/>
    <x v="1"/>
    <n v="0"/>
    <n v="0"/>
    <n v="0"/>
    <n v="1"/>
    <n v="0"/>
    <n v="0"/>
    <x v="2"/>
    <n v="0"/>
    <n v="0"/>
    <n v="0"/>
    <n v="1"/>
    <x v="0"/>
  </r>
  <r>
    <s v="ACFJI8D9OGJTL"/>
    <x v="0"/>
    <n v="34"/>
    <s v="female"/>
    <x v="2"/>
    <x v="6"/>
    <n v="108496"/>
    <n v="1"/>
    <n v="1"/>
    <n v="1"/>
    <n v="0"/>
    <s v="Bookstore E."/>
    <s v="Bookstores D and E."/>
    <s v="Bookstore F."/>
    <s v="mo-l"/>
    <s v="ms-l"/>
    <s v="fa"/>
    <n v="0"/>
    <x v="1"/>
    <x v="1"/>
    <n v="0"/>
    <n v="1"/>
    <n v="0"/>
    <n v="1"/>
    <n v="0"/>
    <n v="0"/>
    <x v="1"/>
    <n v="0"/>
    <n v="1"/>
    <n v="0"/>
    <n v="0"/>
    <x v="0"/>
  </r>
  <r>
    <s v="ACFJI8D9OGJTL"/>
    <x v="0"/>
    <n v="34"/>
    <s v="female"/>
    <x v="3"/>
    <x v="10"/>
    <n v="56057"/>
    <n v="0"/>
    <n v="0"/>
    <n v="0"/>
    <n v="0"/>
    <s v="NA"/>
    <s v="NA"/>
    <s v="NA"/>
    <s v="NA"/>
    <s v="NA"/>
    <s v="NA"/>
    <s v="NA"/>
    <x v="1"/>
    <x v="1"/>
    <n v="0"/>
    <n v="1"/>
    <n v="0"/>
    <n v="1"/>
    <n v="0"/>
    <n v="0"/>
    <x v="1"/>
    <n v="0"/>
    <n v="1"/>
    <n v="0"/>
    <n v="0"/>
    <x v="0"/>
  </r>
  <r>
    <s v="ACFJI8D9OGJTL"/>
    <x v="0"/>
    <n v="34"/>
    <s v="female"/>
    <x v="2"/>
    <x v="9"/>
    <n v="40164"/>
    <n v="0"/>
    <n v="0"/>
    <n v="0"/>
    <n v="1"/>
    <s v="Stores A and B."/>
    <s v="Stores D and E."/>
    <s v="Store A."/>
    <s v="ms-h"/>
    <s v="ms-l"/>
    <s v="mo-h"/>
    <n v="0"/>
    <x v="2"/>
    <x v="2"/>
    <n v="1"/>
    <n v="1"/>
    <n v="0"/>
    <n v="1"/>
    <n v="0"/>
    <n v="0"/>
    <x v="2"/>
    <n v="0"/>
    <n v="0"/>
    <n v="0"/>
    <n v="1"/>
    <x v="0"/>
  </r>
  <r>
    <s v="ACFJI8D9OGJTL"/>
    <x v="0"/>
    <n v="34"/>
    <s v="female"/>
    <x v="3"/>
    <x v="8"/>
    <n v="105092"/>
    <n v="1"/>
    <n v="0"/>
    <n v="0"/>
    <n v="0"/>
    <s v="NA"/>
    <s v="NA"/>
    <s v="NA"/>
    <s v="NA"/>
    <s v="NA"/>
    <s v="NA"/>
    <s v="NA"/>
    <x v="2"/>
    <x v="2"/>
    <n v="1"/>
    <n v="1"/>
    <n v="0"/>
    <n v="1"/>
    <n v="0"/>
    <n v="0"/>
    <x v="2"/>
    <n v="0"/>
    <n v="0"/>
    <n v="0"/>
    <n v="1"/>
    <x v="0"/>
  </r>
  <r>
    <s v="ACFJI8D9OGJTL"/>
    <x v="0"/>
    <n v="34"/>
    <s v="female"/>
    <x v="2"/>
    <x v="4"/>
    <n v="92421"/>
    <n v="0"/>
    <n v="0"/>
    <n v="0"/>
    <n v="1"/>
    <s v="Stall E."/>
    <s v="Stall A."/>
    <s v="Stalls A and B."/>
    <s v="mo-l"/>
    <s v="mo-h"/>
    <s v="ms-h"/>
    <n v="0"/>
    <x v="2"/>
    <x v="1"/>
    <n v="1"/>
    <n v="0"/>
    <n v="0"/>
    <n v="1"/>
    <n v="0"/>
    <n v="0"/>
    <x v="2"/>
    <n v="0"/>
    <n v="0"/>
    <n v="0"/>
    <n v="1"/>
    <x v="0"/>
  </r>
  <r>
    <s v="ACFJI8D9OGJTL"/>
    <x v="0"/>
    <n v="34"/>
    <s v="female"/>
    <x v="3"/>
    <x v="12"/>
    <n v="51560"/>
    <n v="1"/>
    <n v="0"/>
    <n v="0"/>
    <n v="0"/>
    <s v="NA"/>
    <s v="NA"/>
    <s v="NA"/>
    <s v="NA"/>
    <s v="NA"/>
    <s v="NA"/>
    <s v="NA"/>
    <x v="2"/>
    <x v="1"/>
    <n v="1"/>
    <n v="0"/>
    <n v="0"/>
    <n v="1"/>
    <n v="0"/>
    <n v="0"/>
    <x v="2"/>
    <n v="0"/>
    <n v="0"/>
    <n v="0"/>
    <n v="1"/>
    <x v="0"/>
  </r>
  <r>
    <s v="ACFJI8D9OGJTL"/>
    <x v="0"/>
    <n v="34"/>
    <s v="female"/>
    <x v="4"/>
    <x v="0"/>
    <n v="126575"/>
    <s v="No%2C I would just give the name of a couple of choices for both questions."/>
    <s v="It was a little confusing but not bad just had to think harder."/>
    <s v="fun survey"/>
    <s v="NA"/>
    <s v="NA"/>
    <s v="NA"/>
    <s v="NA"/>
    <s v="NA"/>
    <s v="NA"/>
    <s v="NA"/>
    <s v="NA"/>
    <x v="0"/>
    <x v="0"/>
    <s v="NA"/>
    <s v="NA"/>
    <s v="NA"/>
    <s v="NA"/>
    <s v="NA"/>
    <s v="NA"/>
    <x v="0"/>
    <s v="NA"/>
    <s v="NA"/>
    <s v="NA"/>
    <s v="NA"/>
    <x v="0"/>
  </r>
  <r>
    <s v="A221N4JDWK8XK0"/>
    <x v="0"/>
    <n v="28"/>
    <s v="male"/>
    <x v="0"/>
    <x v="0"/>
    <n v="44420"/>
    <s v="NA"/>
    <s v="NA"/>
    <s v="NA"/>
    <s v="NA"/>
    <s v="NA"/>
    <s v="NA"/>
    <s v="NA"/>
    <s v="NA"/>
    <s v="NA"/>
    <s v="NA"/>
    <s v="NA"/>
    <x v="0"/>
    <x v="0"/>
    <s v="NA"/>
    <s v="NA"/>
    <s v="NA"/>
    <s v="NA"/>
    <s v="NA"/>
    <s v="NA"/>
    <x v="0"/>
    <s v="NA"/>
    <s v="NA"/>
    <s v="NA"/>
    <s v="NA"/>
    <x v="0"/>
  </r>
  <r>
    <s v="A221N4JDWK8XK0"/>
    <x v="0"/>
    <n v="28"/>
    <s v="male"/>
    <x v="1"/>
    <x v="1"/>
    <n v="45546"/>
    <n v="0"/>
    <n v="1"/>
    <n v="1"/>
    <n v="0"/>
    <s v="NA"/>
    <s v="NA"/>
    <s v="NA"/>
    <s v="NA"/>
    <s v="NA"/>
    <s v="NA"/>
    <s v="NA"/>
    <x v="0"/>
    <x v="0"/>
    <s v="NA"/>
    <s v="NA"/>
    <s v="NA"/>
    <s v="NA"/>
    <s v="NA"/>
    <s v="NA"/>
    <x v="0"/>
    <s v="NA"/>
    <s v="NA"/>
    <s v="NA"/>
    <s v="NA"/>
    <x v="0"/>
  </r>
  <r>
    <s v="A221N4JDWK8XK0"/>
    <x v="0"/>
    <n v="28"/>
    <s v="male"/>
    <x v="1"/>
    <x v="2"/>
    <n v="190989"/>
    <n v="0"/>
    <n v="0"/>
    <n v="1"/>
    <n v="0"/>
    <s v="NA"/>
    <s v="NA"/>
    <s v="NA"/>
    <s v="NA"/>
    <s v="NA"/>
    <s v="NA"/>
    <s v="NA"/>
    <x v="0"/>
    <x v="0"/>
    <s v="NA"/>
    <s v="NA"/>
    <s v="NA"/>
    <s v="NA"/>
    <s v="NA"/>
    <s v="NA"/>
    <x v="0"/>
    <s v="NA"/>
    <s v="NA"/>
    <s v="NA"/>
    <s v="NA"/>
    <x v="0"/>
  </r>
  <r>
    <s v="A221N4JDWK8XK0"/>
    <x v="0"/>
    <n v="28"/>
    <s v="male"/>
    <x v="2"/>
    <x v="4"/>
    <n v="62426"/>
    <n v="1"/>
    <n v="0"/>
    <n v="0"/>
    <n v="0"/>
    <s v="Stall F."/>
    <s v="Stall A."/>
    <s v="Stalls D and E."/>
    <s v="fa"/>
    <s v="mo-h"/>
    <s v="ms-l"/>
    <n v="0"/>
    <x v="2"/>
    <x v="2"/>
    <n v="0"/>
    <n v="1"/>
    <n v="0"/>
    <n v="1"/>
    <n v="0"/>
    <n v="0"/>
    <x v="2"/>
    <n v="0"/>
    <n v="0"/>
    <n v="0"/>
    <n v="0"/>
    <x v="0"/>
  </r>
  <r>
    <s v="A221N4JDWK8XK0"/>
    <x v="0"/>
    <n v="28"/>
    <s v="male"/>
    <x v="2"/>
    <x v="9"/>
    <n v="32641"/>
    <n v="0"/>
    <n v="1"/>
    <n v="0"/>
    <n v="0"/>
    <s v="Store E."/>
    <s v="Stores A, B, C, D and E."/>
    <s v="Store A."/>
    <s v="mo-l"/>
    <s v="exh"/>
    <s v="mo-h"/>
    <n v="1"/>
    <x v="2"/>
    <x v="1"/>
    <n v="0"/>
    <n v="0"/>
    <n v="0"/>
    <n v="1"/>
    <n v="1"/>
    <n v="0"/>
    <x v="2"/>
    <n v="0"/>
    <n v="0"/>
    <n v="0"/>
    <n v="0"/>
    <x v="0"/>
  </r>
  <r>
    <s v="A221N4JDWK8XK0"/>
    <x v="0"/>
    <n v="28"/>
    <s v="male"/>
    <x v="3"/>
    <x v="8"/>
    <n v="13424"/>
    <n v="0"/>
    <n v="0"/>
    <n v="1"/>
    <n v="0"/>
    <s v="NA"/>
    <s v="NA"/>
    <s v="NA"/>
    <s v="NA"/>
    <s v="NA"/>
    <s v="NA"/>
    <s v="NA"/>
    <x v="2"/>
    <x v="1"/>
    <n v="0"/>
    <n v="0"/>
    <n v="0"/>
    <n v="1"/>
    <n v="1"/>
    <n v="0"/>
    <x v="2"/>
    <n v="0"/>
    <n v="0"/>
    <n v="0"/>
    <n v="0"/>
    <x v="0"/>
  </r>
  <r>
    <s v="A221N4JDWK8XK0"/>
    <x v="0"/>
    <n v="28"/>
    <s v="male"/>
    <x v="2"/>
    <x v="7"/>
    <n v="6093"/>
    <n v="0"/>
    <n v="0"/>
    <n v="1"/>
    <n v="0"/>
    <s v="Stylists A and B."/>
    <s v="Stylist E."/>
    <s v="Stylist A."/>
    <s v="ms-h"/>
    <s v="mo-l"/>
    <s v="mo-h"/>
    <n v="0"/>
    <x v="2"/>
    <x v="1"/>
    <n v="1"/>
    <n v="0"/>
    <n v="0"/>
    <n v="1"/>
    <n v="0"/>
    <n v="1"/>
    <x v="2"/>
    <n v="0"/>
    <n v="0"/>
    <n v="0"/>
    <n v="0"/>
    <x v="0"/>
  </r>
  <r>
    <s v="A221N4JDWK8XK0"/>
    <x v="0"/>
    <n v="28"/>
    <s v="male"/>
    <x v="2"/>
    <x v="6"/>
    <n v="4562"/>
    <n v="0"/>
    <n v="0"/>
    <n v="1"/>
    <n v="0"/>
    <s v="Bookstore E."/>
    <s v="Bookstores A, B, C, D and E."/>
    <s v="Bookstores A and B."/>
    <s v="mo-l"/>
    <s v="exh"/>
    <s v="ms-h"/>
    <n v="1"/>
    <x v="1"/>
    <x v="1"/>
    <n v="1"/>
    <n v="0"/>
    <n v="0"/>
    <n v="1"/>
    <n v="0"/>
    <n v="0"/>
    <x v="2"/>
    <n v="1"/>
    <n v="0"/>
    <n v="0"/>
    <n v="0"/>
    <x v="0"/>
  </r>
  <r>
    <s v="A221N4JDWK8XK0"/>
    <x v="0"/>
    <n v="28"/>
    <s v="male"/>
    <x v="3"/>
    <x v="10"/>
    <n v="4719"/>
    <n v="1"/>
    <n v="0"/>
    <n v="0"/>
    <n v="0"/>
    <s v="NA"/>
    <s v="NA"/>
    <s v="NA"/>
    <s v="NA"/>
    <s v="NA"/>
    <s v="NA"/>
    <s v="NA"/>
    <x v="1"/>
    <x v="1"/>
    <n v="1"/>
    <n v="0"/>
    <n v="0"/>
    <n v="1"/>
    <n v="0"/>
    <n v="0"/>
    <x v="2"/>
    <n v="1"/>
    <n v="0"/>
    <n v="0"/>
    <n v="0"/>
    <x v="0"/>
  </r>
  <r>
    <s v="A221N4JDWK8XK0"/>
    <x v="0"/>
    <n v="28"/>
    <s v="male"/>
    <x v="2"/>
    <x v="11"/>
    <n v="4609"/>
    <n v="0"/>
    <n v="1"/>
    <n v="0"/>
    <n v="0"/>
    <s v="Dentists A and B."/>
    <s v="Dentists D and E."/>
    <s v="Dentist E."/>
    <s v="ms-h"/>
    <s v="ms-l"/>
    <s v="mo-l"/>
    <n v="0"/>
    <x v="1"/>
    <x v="1"/>
    <n v="1"/>
    <n v="1"/>
    <n v="0"/>
    <n v="1"/>
    <n v="0"/>
    <n v="0"/>
    <x v="2"/>
    <n v="0"/>
    <n v="1"/>
    <n v="0"/>
    <n v="0"/>
    <x v="0"/>
  </r>
  <r>
    <s v="A221N4JDWK8XK0"/>
    <x v="0"/>
    <n v="28"/>
    <s v="male"/>
    <x v="3"/>
    <x v="5"/>
    <n v="3544"/>
    <n v="1"/>
    <n v="0"/>
    <n v="0"/>
    <n v="0"/>
    <s v="NA"/>
    <s v="NA"/>
    <s v="NA"/>
    <s v="NA"/>
    <s v="NA"/>
    <s v="NA"/>
    <s v="NA"/>
    <x v="1"/>
    <x v="1"/>
    <n v="1"/>
    <n v="1"/>
    <n v="0"/>
    <n v="1"/>
    <n v="0"/>
    <n v="0"/>
    <x v="2"/>
    <n v="0"/>
    <n v="1"/>
    <n v="0"/>
    <n v="0"/>
    <x v="0"/>
  </r>
  <r>
    <s v="A221N4JDWK8XK0"/>
    <x v="0"/>
    <n v="28"/>
    <s v="male"/>
    <x v="2"/>
    <x v="3"/>
    <n v="3829"/>
    <n v="0"/>
    <n v="1"/>
    <n v="0"/>
    <n v="0"/>
    <s v="Cafe F."/>
    <s v="Cafes A and B."/>
    <s v="Cafes D and E."/>
    <s v="fa"/>
    <s v="ms-h"/>
    <s v="ms-l"/>
    <n v="0"/>
    <x v="1"/>
    <x v="2"/>
    <n v="1"/>
    <n v="1"/>
    <n v="0"/>
    <n v="1"/>
    <n v="0"/>
    <n v="0"/>
    <x v="2"/>
    <n v="1"/>
    <n v="0"/>
    <n v="0"/>
    <n v="0"/>
    <x v="0"/>
  </r>
  <r>
    <s v="A221N4JDWK8XK0"/>
    <x v="0"/>
    <n v="28"/>
    <s v="male"/>
    <x v="3"/>
    <x v="12"/>
    <n v="30104"/>
    <n v="1"/>
    <n v="0"/>
    <n v="0"/>
    <n v="0"/>
    <s v="NA"/>
    <s v="NA"/>
    <s v="NA"/>
    <s v="NA"/>
    <s v="NA"/>
    <s v="NA"/>
    <s v="NA"/>
    <x v="1"/>
    <x v="2"/>
    <n v="1"/>
    <n v="1"/>
    <n v="0"/>
    <n v="1"/>
    <n v="0"/>
    <n v="0"/>
    <x v="2"/>
    <n v="1"/>
    <n v="0"/>
    <n v="0"/>
    <n v="0"/>
    <x v="0"/>
  </r>
  <r>
    <s v="A221N4JDWK8XK0"/>
    <x v="0"/>
    <n v="28"/>
    <s v="male"/>
    <x v="4"/>
    <x v="0"/>
    <n v="3029"/>
    <m/>
    <m/>
    <m/>
    <s v="NA"/>
    <s v="NA"/>
    <s v="NA"/>
    <s v="NA"/>
    <s v="NA"/>
    <s v="NA"/>
    <s v="NA"/>
    <s v="NA"/>
    <x v="0"/>
    <x v="0"/>
    <s v="NA"/>
    <s v="NA"/>
    <s v="NA"/>
    <s v="NA"/>
    <s v="NA"/>
    <s v="NA"/>
    <x v="0"/>
    <s v="NA"/>
    <s v="NA"/>
    <s v="NA"/>
    <s v="NA"/>
    <x v="0"/>
  </r>
  <r>
    <s v="A1KTPYX40PRLVW"/>
    <x v="0"/>
    <n v="30"/>
    <s v="female"/>
    <x v="0"/>
    <x v="0"/>
    <n v="26352"/>
    <s v="NA"/>
    <s v="NA"/>
    <s v="NA"/>
    <s v="NA"/>
    <s v="NA"/>
    <s v="NA"/>
    <s v="NA"/>
    <s v="NA"/>
    <s v="NA"/>
    <s v="NA"/>
    <s v="NA"/>
    <x v="0"/>
    <x v="0"/>
    <s v="NA"/>
    <s v="NA"/>
    <s v="NA"/>
    <s v="NA"/>
    <s v="NA"/>
    <s v="NA"/>
    <x v="0"/>
    <s v="NA"/>
    <s v="NA"/>
    <s v="NA"/>
    <s v="NA"/>
    <x v="0"/>
  </r>
  <r>
    <s v="A1KTPYX40PRLVW"/>
    <x v="0"/>
    <n v="30"/>
    <s v="female"/>
    <x v="1"/>
    <x v="2"/>
    <n v="45044"/>
    <n v="0"/>
    <n v="1"/>
    <n v="1"/>
    <n v="0"/>
    <s v="NA"/>
    <s v="NA"/>
    <s v="NA"/>
    <s v="NA"/>
    <s v="NA"/>
    <s v="NA"/>
    <s v="NA"/>
    <x v="0"/>
    <x v="0"/>
    <s v="NA"/>
    <s v="NA"/>
    <s v="NA"/>
    <s v="NA"/>
    <s v="NA"/>
    <s v="NA"/>
    <x v="0"/>
    <s v="NA"/>
    <s v="NA"/>
    <s v="NA"/>
    <s v="NA"/>
    <x v="0"/>
  </r>
  <r>
    <s v="A1KTPYX40PRLVW"/>
    <x v="0"/>
    <n v="30"/>
    <s v="female"/>
    <x v="1"/>
    <x v="1"/>
    <n v="33770"/>
    <n v="0"/>
    <n v="0"/>
    <n v="0"/>
    <n v="1"/>
    <s v="NA"/>
    <s v="NA"/>
    <s v="NA"/>
    <s v="NA"/>
    <s v="NA"/>
    <s v="NA"/>
    <s v="NA"/>
    <x v="0"/>
    <x v="0"/>
    <s v="NA"/>
    <s v="NA"/>
    <s v="NA"/>
    <s v="NA"/>
    <s v="NA"/>
    <s v="NA"/>
    <x v="0"/>
    <s v="NA"/>
    <s v="NA"/>
    <s v="NA"/>
    <s v="NA"/>
    <x v="0"/>
  </r>
  <r>
    <s v="A1KTPYX40PRLVW"/>
    <x v="0"/>
    <n v="30"/>
    <s v="female"/>
    <x v="2"/>
    <x v="4"/>
    <n v="58515"/>
    <n v="0"/>
    <n v="1"/>
    <n v="1"/>
    <n v="0"/>
    <s v="Stall F."/>
    <s v="Stalls A and B."/>
    <s v="Stall A."/>
    <s v="fa"/>
    <s v="ms-h"/>
    <s v="mo-h"/>
    <n v="0"/>
    <x v="2"/>
    <x v="2"/>
    <n v="1"/>
    <n v="0"/>
    <n v="0"/>
    <n v="1"/>
    <n v="0"/>
    <n v="1"/>
    <x v="2"/>
    <n v="1"/>
    <n v="0"/>
    <n v="0"/>
    <n v="0"/>
    <x v="0"/>
  </r>
  <r>
    <s v="A1KTPYX40PRLVW"/>
    <x v="0"/>
    <n v="30"/>
    <s v="female"/>
    <x v="3"/>
    <x v="12"/>
    <n v="24302"/>
    <n v="1"/>
    <n v="0"/>
    <n v="0"/>
    <n v="0"/>
    <s v="NA"/>
    <s v="NA"/>
    <s v="NA"/>
    <s v="NA"/>
    <s v="NA"/>
    <s v="NA"/>
    <s v="NA"/>
    <x v="2"/>
    <x v="2"/>
    <n v="1"/>
    <n v="0"/>
    <n v="0"/>
    <n v="1"/>
    <n v="0"/>
    <n v="1"/>
    <x v="2"/>
    <n v="1"/>
    <n v="0"/>
    <n v="0"/>
    <n v="0"/>
    <x v="0"/>
  </r>
  <r>
    <s v="A1KTPYX40PRLVW"/>
    <x v="0"/>
    <n v="30"/>
    <s v="female"/>
    <x v="2"/>
    <x v="3"/>
    <n v="36060"/>
    <n v="0"/>
    <n v="1"/>
    <n v="0"/>
    <n v="0"/>
    <s v="Cafe E."/>
    <s v="Cafes A and B."/>
    <s v="Cafes D and E."/>
    <s v="mo-l"/>
    <s v="ms-h"/>
    <s v="ms-l"/>
    <n v="0"/>
    <x v="1"/>
    <x v="1"/>
    <n v="1"/>
    <n v="1"/>
    <n v="0"/>
    <n v="1"/>
    <n v="0"/>
    <n v="0"/>
    <x v="2"/>
    <n v="1"/>
    <n v="0"/>
    <n v="0"/>
    <n v="0"/>
    <x v="0"/>
  </r>
  <r>
    <s v="A1KTPYX40PRLVW"/>
    <x v="0"/>
    <n v="30"/>
    <s v="female"/>
    <x v="2"/>
    <x v="11"/>
    <n v="252944"/>
    <n v="0"/>
    <n v="0"/>
    <n v="0"/>
    <n v="1"/>
    <s v="Dentist E."/>
    <s v="Dentist A."/>
    <s v="Dentists D and E."/>
    <s v="mo-l"/>
    <s v="mo-h"/>
    <s v="ms-l"/>
    <n v="0"/>
    <x v="2"/>
    <x v="1"/>
    <n v="0"/>
    <n v="1"/>
    <n v="0"/>
    <n v="1"/>
    <n v="0"/>
    <n v="0"/>
    <x v="2"/>
    <n v="0"/>
    <n v="0"/>
    <n v="0"/>
    <n v="1"/>
    <x v="0"/>
  </r>
  <r>
    <s v="A1KTPYX40PRLVW"/>
    <x v="0"/>
    <n v="30"/>
    <s v="female"/>
    <x v="3"/>
    <x v="5"/>
    <n v="53972"/>
    <n v="0"/>
    <n v="1"/>
    <n v="0"/>
    <n v="0"/>
    <s v="NA"/>
    <s v="NA"/>
    <s v="NA"/>
    <s v="NA"/>
    <s v="NA"/>
    <s v="NA"/>
    <s v="NA"/>
    <x v="2"/>
    <x v="1"/>
    <n v="0"/>
    <n v="1"/>
    <n v="0"/>
    <n v="1"/>
    <n v="0"/>
    <n v="0"/>
    <x v="2"/>
    <n v="0"/>
    <n v="0"/>
    <n v="0"/>
    <n v="1"/>
    <x v="0"/>
  </r>
  <r>
    <s v="A1KTPYX40PRLVW"/>
    <x v="0"/>
    <n v="30"/>
    <s v="female"/>
    <x v="2"/>
    <x v="6"/>
    <n v="27310"/>
    <n v="1"/>
    <n v="0"/>
    <n v="0"/>
    <n v="0"/>
    <s v="Bookstore A."/>
    <s v="Bookstore E."/>
    <s v="Bookstore F."/>
    <s v="mo-h"/>
    <s v="mo-l"/>
    <s v="fa"/>
    <n v="0"/>
    <x v="2"/>
    <x v="1"/>
    <n v="0"/>
    <n v="0"/>
    <n v="0"/>
    <n v="1"/>
    <n v="0"/>
    <n v="1"/>
    <x v="2"/>
    <n v="0"/>
    <n v="0"/>
    <n v="0"/>
    <n v="0"/>
    <x v="0"/>
  </r>
  <r>
    <s v="A1KTPYX40PRLVW"/>
    <x v="0"/>
    <n v="30"/>
    <s v="female"/>
    <x v="3"/>
    <x v="10"/>
    <n v="46438"/>
    <n v="0"/>
    <n v="0"/>
    <n v="0"/>
    <n v="1"/>
    <s v="NA"/>
    <s v="NA"/>
    <s v="NA"/>
    <s v="NA"/>
    <s v="NA"/>
    <s v="NA"/>
    <s v="NA"/>
    <x v="2"/>
    <x v="1"/>
    <n v="0"/>
    <n v="0"/>
    <n v="0"/>
    <n v="1"/>
    <n v="0"/>
    <n v="1"/>
    <x v="2"/>
    <n v="0"/>
    <n v="0"/>
    <n v="0"/>
    <n v="0"/>
    <x v="0"/>
  </r>
  <r>
    <s v="A1KTPYX40PRLVW"/>
    <x v="0"/>
    <n v="30"/>
    <s v="female"/>
    <x v="2"/>
    <x v="9"/>
    <n v="21421"/>
    <n v="0"/>
    <n v="1"/>
    <n v="0"/>
    <n v="0"/>
    <s v="Stores D and E."/>
    <s v="Store A."/>
    <s v="Store F."/>
    <s v="ms-l"/>
    <s v="mo-h"/>
    <s v="fa"/>
    <n v="0"/>
    <x v="2"/>
    <x v="2"/>
    <n v="0"/>
    <n v="1"/>
    <n v="0"/>
    <n v="1"/>
    <n v="0"/>
    <n v="1"/>
    <x v="2"/>
    <n v="0"/>
    <n v="0"/>
    <n v="0"/>
    <n v="0"/>
    <x v="0"/>
  </r>
  <r>
    <s v="A1KTPYX40PRLVW"/>
    <x v="0"/>
    <n v="30"/>
    <s v="female"/>
    <x v="2"/>
    <x v="7"/>
    <n v="3389"/>
    <n v="0"/>
    <n v="0"/>
    <n v="0"/>
    <n v="0"/>
    <s v="Stylists A, B, C, D and E."/>
    <s v="Stylists D and E."/>
    <s v="Stylists A and B."/>
    <s v="exh"/>
    <s v="ms-l"/>
    <s v="ms-h"/>
    <n v="1"/>
    <x v="1"/>
    <x v="2"/>
    <n v="1"/>
    <n v="1"/>
    <n v="0"/>
    <n v="1"/>
    <n v="0"/>
    <n v="0"/>
    <x v="2"/>
    <n v="0"/>
    <n v="0"/>
    <n v="0"/>
    <n v="0"/>
    <x v="0"/>
  </r>
  <r>
    <s v="A1KTPYX40PRLVW"/>
    <x v="0"/>
    <n v="30"/>
    <s v="female"/>
    <x v="3"/>
    <x v="8"/>
    <n v="19036"/>
    <n v="0"/>
    <n v="0"/>
    <n v="0"/>
    <n v="1"/>
    <s v="NA"/>
    <s v="NA"/>
    <s v="NA"/>
    <s v="NA"/>
    <s v="NA"/>
    <s v="NA"/>
    <s v="NA"/>
    <x v="1"/>
    <x v="2"/>
    <n v="1"/>
    <n v="1"/>
    <n v="0"/>
    <n v="1"/>
    <n v="0"/>
    <n v="0"/>
    <x v="2"/>
    <n v="0"/>
    <n v="0"/>
    <n v="0"/>
    <n v="0"/>
    <x v="0"/>
  </r>
  <r>
    <s v="A1KTPYX40PRLVW"/>
    <x v="0"/>
    <n v="30"/>
    <s v="female"/>
    <x v="4"/>
    <x v="0"/>
    <n v="65078"/>
    <s v="I would answer in the same way. To me%2C both questions are asking the same thing."/>
    <s v="Very easy. It was simple to understand."/>
    <s v="Fun HIT! Thank you. :)"/>
    <s v="NA"/>
    <s v="NA"/>
    <s v="NA"/>
    <s v="NA"/>
    <s v="NA"/>
    <s v="NA"/>
    <s v="NA"/>
    <s v="NA"/>
    <x v="0"/>
    <x v="0"/>
    <s v="NA"/>
    <s v="NA"/>
    <s v="NA"/>
    <s v="NA"/>
    <s v="NA"/>
    <s v="NA"/>
    <x v="0"/>
    <s v="NA"/>
    <s v="NA"/>
    <s v="NA"/>
    <s v="NA"/>
    <x v="0"/>
  </r>
  <r>
    <s v="AL6WVETPGOW1A"/>
    <x v="0"/>
    <n v="29"/>
    <s v="male"/>
    <x v="0"/>
    <x v="0"/>
    <n v="1132067"/>
    <s v="NA"/>
    <s v="NA"/>
    <s v="NA"/>
    <s v="NA"/>
    <s v="NA"/>
    <s v="NA"/>
    <s v="NA"/>
    <s v="NA"/>
    <s v="NA"/>
    <s v="NA"/>
    <s v="NA"/>
    <x v="0"/>
    <x v="0"/>
    <s v="NA"/>
    <s v="NA"/>
    <s v="NA"/>
    <s v="NA"/>
    <s v="NA"/>
    <s v="NA"/>
    <x v="0"/>
    <s v="NA"/>
    <s v="NA"/>
    <s v="NA"/>
    <s v="NA"/>
    <x v="0"/>
  </r>
  <r>
    <s v="AL6WVETPGOW1A"/>
    <x v="0"/>
    <n v="29"/>
    <s v="male"/>
    <x v="1"/>
    <x v="2"/>
    <n v="25000"/>
    <n v="0"/>
    <n v="0"/>
    <n v="1"/>
    <n v="0"/>
    <s v="NA"/>
    <s v="NA"/>
    <s v="NA"/>
    <s v="NA"/>
    <s v="NA"/>
    <s v="NA"/>
    <s v="NA"/>
    <x v="0"/>
    <x v="0"/>
    <s v="NA"/>
    <s v="NA"/>
    <s v="NA"/>
    <s v="NA"/>
    <s v="NA"/>
    <s v="NA"/>
    <x v="0"/>
    <s v="NA"/>
    <s v="NA"/>
    <s v="NA"/>
    <s v="NA"/>
    <x v="0"/>
  </r>
  <r>
    <s v="AL6WVETPGOW1A"/>
    <x v="0"/>
    <n v="29"/>
    <s v="male"/>
    <x v="1"/>
    <x v="1"/>
    <n v="36265"/>
    <n v="0"/>
    <n v="1"/>
    <n v="1"/>
    <n v="0"/>
    <s v="NA"/>
    <s v="NA"/>
    <s v="NA"/>
    <s v="NA"/>
    <s v="NA"/>
    <s v="NA"/>
    <s v="NA"/>
    <x v="0"/>
    <x v="0"/>
    <s v="NA"/>
    <s v="NA"/>
    <s v="NA"/>
    <s v="NA"/>
    <s v="NA"/>
    <s v="NA"/>
    <x v="0"/>
    <s v="NA"/>
    <s v="NA"/>
    <s v="NA"/>
    <s v="NA"/>
    <x v="0"/>
  </r>
  <r>
    <s v="AL6WVETPGOW1A"/>
    <x v="0"/>
    <n v="29"/>
    <s v="male"/>
    <x v="2"/>
    <x v="7"/>
    <n v="28688"/>
    <n v="0"/>
    <n v="0"/>
    <n v="1"/>
    <n v="0"/>
    <s v="Stylist E."/>
    <s v="Stylists A, B, C, D and E."/>
    <s v="Stylists D and E."/>
    <s v="mo-l"/>
    <s v="exh"/>
    <s v="ms-l"/>
    <n v="1"/>
    <x v="1"/>
    <x v="1"/>
    <n v="0"/>
    <n v="1"/>
    <n v="0"/>
    <n v="1"/>
    <n v="0"/>
    <n v="0"/>
    <x v="2"/>
    <n v="0"/>
    <n v="1"/>
    <n v="0"/>
    <n v="0"/>
    <x v="0"/>
  </r>
  <r>
    <s v="AL6WVETPGOW1A"/>
    <x v="0"/>
    <n v="29"/>
    <s v="male"/>
    <x v="2"/>
    <x v="3"/>
    <n v="13250"/>
    <n v="1"/>
    <n v="0"/>
    <n v="0"/>
    <n v="0"/>
    <s v="Cafe F."/>
    <s v="Cafe A."/>
    <s v="Cafes D and E."/>
    <s v="fa"/>
    <s v="mo-h"/>
    <s v="ms-l"/>
    <n v="0"/>
    <x v="2"/>
    <x v="2"/>
    <n v="0"/>
    <n v="1"/>
    <n v="0"/>
    <n v="1"/>
    <n v="0"/>
    <n v="0"/>
    <x v="2"/>
    <n v="0"/>
    <n v="0"/>
    <n v="0"/>
    <n v="0"/>
    <x v="0"/>
  </r>
  <r>
    <s v="AL6WVETPGOW1A"/>
    <x v="0"/>
    <n v="29"/>
    <s v="male"/>
    <x v="3"/>
    <x v="8"/>
    <n v="3882"/>
    <n v="0"/>
    <n v="1"/>
    <n v="0"/>
    <n v="0"/>
    <s v="NA"/>
    <s v="NA"/>
    <s v="NA"/>
    <s v="NA"/>
    <s v="NA"/>
    <s v="NA"/>
    <s v="NA"/>
    <x v="2"/>
    <x v="2"/>
    <n v="0"/>
    <n v="1"/>
    <n v="0"/>
    <n v="1"/>
    <n v="0"/>
    <n v="0"/>
    <x v="2"/>
    <n v="0"/>
    <n v="0"/>
    <n v="0"/>
    <n v="0"/>
    <x v="0"/>
  </r>
  <r>
    <s v="AL6WVETPGOW1A"/>
    <x v="0"/>
    <n v="29"/>
    <s v="male"/>
    <x v="2"/>
    <x v="11"/>
    <n v="4523"/>
    <n v="0"/>
    <n v="0"/>
    <n v="1"/>
    <n v="0"/>
    <s v="Dentist A."/>
    <s v="Dentists A and B."/>
    <s v="Dentists D and E."/>
    <s v="mo-h"/>
    <s v="ms-h"/>
    <s v="ms-l"/>
    <n v="0"/>
    <x v="2"/>
    <x v="2"/>
    <n v="1"/>
    <n v="1"/>
    <n v="0"/>
    <n v="1"/>
    <n v="0"/>
    <n v="0"/>
    <x v="2"/>
    <n v="0"/>
    <n v="1"/>
    <n v="0"/>
    <n v="0"/>
    <x v="0"/>
  </r>
  <r>
    <s v="AL6WVETPGOW1A"/>
    <x v="0"/>
    <n v="29"/>
    <s v="male"/>
    <x v="2"/>
    <x v="6"/>
    <n v="4051"/>
    <n v="0"/>
    <n v="0"/>
    <n v="1"/>
    <n v="0"/>
    <s v="Bookstore F."/>
    <s v="Bookstores A and B."/>
    <s v="Bookstores D and E."/>
    <s v="fa"/>
    <s v="ms-h"/>
    <s v="ms-l"/>
    <n v="0"/>
    <x v="1"/>
    <x v="2"/>
    <n v="1"/>
    <n v="1"/>
    <n v="0"/>
    <n v="1"/>
    <n v="0"/>
    <n v="0"/>
    <x v="2"/>
    <n v="0"/>
    <n v="1"/>
    <n v="0"/>
    <n v="0"/>
    <x v="0"/>
  </r>
  <r>
    <s v="AL6WVETPGOW1A"/>
    <x v="0"/>
    <n v="29"/>
    <s v="male"/>
    <x v="3"/>
    <x v="10"/>
    <n v="5989"/>
    <n v="0"/>
    <n v="0"/>
    <n v="1"/>
    <n v="0"/>
    <s v="NA"/>
    <s v="NA"/>
    <s v="NA"/>
    <s v="NA"/>
    <s v="NA"/>
    <s v="NA"/>
    <s v="NA"/>
    <x v="1"/>
    <x v="2"/>
    <n v="1"/>
    <n v="1"/>
    <n v="0"/>
    <n v="1"/>
    <n v="0"/>
    <n v="0"/>
    <x v="2"/>
    <n v="0"/>
    <n v="1"/>
    <n v="0"/>
    <n v="0"/>
    <x v="0"/>
  </r>
  <r>
    <s v="AL6WVETPGOW1A"/>
    <x v="0"/>
    <n v="29"/>
    <s v="male"/>
    <x v="2"/>
    <x v="9"/>
    <n v="20572"/>
    <n v="0"/>
    <n v="0"/>
    <n v="1"/>
    <n v="0"/>
    <s v="Stores A and B."/>
    <s v="Store A."/>
    <s v="Store E."/>
    <s v="ms-h"/>
    <s v="mo-h"/>
    <s v="mo-l"/>
    <n v="0"/>
    <x v="2"/>
    <x v="1"/>
    <n v="1"/>
    <n v="0"/>
    <n v="0"/>
    <n v="1"/>
    <n v="0"/>
    <n v="0"/>
    <x v="1"/>
    <n v="0"/>
    <n v="0"/>
    <n v="0"/>
    <n v="0"/>
    <x v="0"/>
  </r>
  <r>
    <s v="AL6WVETPGOW1A"/>
    <x v="0"/>
    <n v="29"/>
    <s v="male"/>
    <x v="3"/>
    <x v="5"/>
    <n v="3341"/>
    <n v="0"/>
    <n v="0"/>
    <n v="1"/>
    <n v="0"/>
    <s v="NA"/>
    <s v="NA"/>
    <s v="NA"/>
    <s v="NA"/>
    <s v="NA"/>
    <s v="NA"/>
    <s v="NA"/>
    <x v="2"/>
    <x v="1"/>
    <n v="1"/>
    <n v="0"/>
    <n v="0"/>
    <n v="1"/>
    <n v="0"/>
    <n v="0"/>
    <x v="1"/>
    <n v="0"/>
    <n v="0"/>
    <n v="0"/>
    <n v="0"/>
    <x v="0"/>
  </r>
  <r>
    <s v="AL6WVETPGOW1A"/>
    <x v="0"/>
    <n v="29"/>
    <s v="male"/>
    <x v="2"/>
    <x v="4"/>
    <n v="7744"/>
    <n v="1"/>
    <n v="0"/>
    <n v="0"/>
    <n v="0"/>
    <s v="Stalls D and E."/>
    <s v="Stall E."/>
    <s v="Stall F."/>
    <s v="ms-l"/>
    <s v="mo-l"/>
    <s v="fa"/>
    <n v="0"/>
    <x v="1"/>
    <x v="1"/>
    <n v="0"/>
    <n v="1"/>
    <n v="0"/>
    <n v="1"/>
    <n v="0"/>
    <n v="0"/>
    <x v="2"/>
    <n v="0"/>
    <n v="1"/>
    <n v="0"/>
    <n v="0"/>
    <x v="0"/>
  </r>
  <r>
    <s v="AL6WVETPGOW1A"/>
    <x v="0"/>
    <n v="29"/>
    <s v="male"/>
    <x v="3"/>
    <x v="12"/>
    <n v="2901"/>
    <n v="0"/>
    <n v="1"/>
    <n v="0"/>
    <n v="0"/>
    <s v="NA"/>
    <s v="NA"/>
    <s v="NA"/>
    <s v="NA"/>
    <s v="NA"/>
    <s v="NA"/>
    <s v="NA"/>
    <x v="1"/>
    <x v="1"/>
    <n v="0"/>
    <n v="1"/>
    <n v="0"/>
    <n v="1"/>
    <n v="0"/>
    <n v="0"/>
    <x v="2"/>
    <n v="0"/>
    <n v="1"/>
    <n v="0"/>
    <n v="0"/>
    <x v="0"/>
  </r>
  <r>
    <s v="AL6WVETPGOW1A"/>
    <x v="0"/>
    <n v="29"/>
    <s v="male"/>
    <x v="4"/>
    <x v="0"/>
    <n v="12406"/>
    <m/>
    <m/>
    <m/>
    <s v="NA"/>
    <s v="NA"/>
    <s v="NA"/>
    <s v="NA"/>
    <s v="NA"/>
    <s v="NA"/>
    <s v="NA"/>
    <s v="NA"/>
    <x v="0"/>
    <x v="0"/>
    <s v="NA"/>
    <s v="NA"/>
    <s v="NA"/>
    <s v="NA"/>
    <s v="NA"/>
    <s v="NA"/>
    <x v="0"/>
    <s v="NA"/>
    <s v="NA"/>
    <s v="NA"/>
    <s v="NA"/>
    <x v="0"/>
  </r>
  <r>
    <s v="A372F1FDPWXBY3"/>
    <x v="0"/>
    <n v="36"/>
    <s v="female"/>
    <x v="0"/>
    <x v="0"/>
    <n v="31603"/>
    <s v="NA"/>
    <s v="NA"/>
    <s v="NA"/>
    <s v="NA"/>
    <s v="NA"/>
    <s v="NA"/>
    <s v="NA"/>
    <s v="NA"/>
    <s v="NA"/>
    <s v="NA"/>
    <s v="NA"/>
    <x v="0"/>
    <x v="0"/>
    <s v="NA"/>
    <s v="NA"/>
    <s v="NA"/>
    <s v="NA"/>
    <s v="NA"/>
    <s v="NA"/>
    <x v="0"/>
    <s v="NA"/>
    <s v="NA"/>
    <s v="NA"/>
    <s v="NA"/>
    <x v="0"/>
  </r>
  <r>
    <s v="A372F1FDPWXBY3"/>
    <x v="0"/>
    <n v="36"/>
    <s v="female"/>
    <x v="1"/>
    <x v="1"/>
    <n v="33423"/>
    <n v="0"/>
    <n v="0"/>
    <n v="0"/>
    <n v="1"/>
    <s v="NA"/>
    <s v="NA"/>
    <s v="NA"/>
    <s v="NA"/>
    <s v="NA"/>
    <s v="NA"/>
    <s v="NA"/>
    <x v="0"/>
    <x v="0"/>
    <s v="NA"/>
    <s v="NA"/>
    <s v="NA"/>
    <s v="NA"/>
    <s v="NA"/>
    <s v="NA"/>
    <x v="0"/>
    <s v="NA"/>
    <s v="NA"/>
    <s v="NA"/>
    <s v="NA"/>
    <x v="0"/>
  </r>
  <r>
    <s v="A372F1FDPWXBY3"/>
    <x v="0"/>
    <n v="36"/>
    <s v="female"/>
    <x v="1"/>
    <x v="2"/>
    <n v="45056"/>
    <n v="0"/>
    <n v="0"/>
    <n v="1"/>
    <n v="0"/>
    <s v="NA"/>
    <s v="NA"/>
    <s v="NA"/>
    <s v="NA"/>
    <s v="NA"/>
    <s v="NA"/>
    <s v="NA"/>
    <x v="0"/>
    <x v="0"/>
    <s v="NA"/>
    <s v="NA"/>
    <s v="NA"/>
    <s v="NA"/>
    <s v="NA"/>
    <s v="NA"/>
    <x v="0"/>
    <s v="NA"/>
    <s v="NA"/>
    <s v="NA"/>
    <s v="NA"/>
    <x v="0"/>
  </r>
  <r>
    <s v="A372F1FDPWXBY3"/>
    <x v="0"/>
    <n v="36"/>
    <s v="female"/>
    <x v="2"/>
    <x v="7"/>
    <n v="53778"/>
    <n v="1"/>
    <n v="1"/>
    <n v="1"/>
    <n v="0"/>
    <s v="Stylist A."/>
    <s v="Stylist E."/>
    <s v="Stylists A and B."/>
    <s v="mo-h"/>
    <s v="mo-l"/>
    <s v="ms-h"/>
    <n v="0"/>
    <x v="2"/>
    <x v="1"/>
    <n v="1"/>
    <n v="0"/>
    <n v="0"/>
    <n v="1"/>
    <n v="0"/>
    <n v="1"/>
    <x v="1"/>
    <n v="1"/>
    <n v="0"/>
    <n v="0"/>
    <n v="0"/>
    <x v="0"/>
  </r>
  <r>
    <s v="A372F1FDPWXBY3"/>
    <x v="0"/>
    <n v="36"/>
    <s v="female"/>
    <x v="2"/>
    <x v="11"/>
    <n v="38511"/>
    <n v="1"/>
    <n v="1"/>
    <n v="1"/>
    <n v="0"/>
    <s v="Dentists A and B."/>
    <s v="Dentist E."/>
    <s v="Dentist F."/>
    <s v="ms-h"/>
    <s v="mo-l"/>
    <s v="fa"/>
    <n v="0"/>
    <x v="1"/>
    <x v="1"/>
    <n v="1"/>
    <n v="0"/>
    <n v="0"/>
    <n v="1"/>
    <n v="0"/>
    <n v="0"/>
    <x v="1"/>
    <n v="1"/>
    <n v="0"/>
    <n v="0"/>
    <n v="0"/>
    <x v="0"/>
  </r>
  <r>
    <s v="A372F1FDPWXBY3"/>
    <x v="0"/>
    <n v="36"/>
    <s v="female"/>
    <x v="3"/>
    <x v="12"/>
    <n v="20842"/>
    <n v="1"/>
    <n v="0"/>
    <n v="0"/>
    <n v="0"/>
    <s v="NA"/>
    <s v="NA"/>
    <s v="NA"/>
    <s v="NA"/>
    <s v="NA"/>
    <s v="NA"/>
    <s v="NA"/>
    <x v="1"/>
    <x v="1"/>
    <n v="1"/>
    <n v="0"/>
    <n v="0"/>
    <n v="1"/>
    <n v="0"/>
    <n v="0"/>
    <x v="1"/>
    <n v="1"/>
    <n v="0"/>
    <n v="0"/>
    <n v="0"/>
    <x v="0"/>
  </r>
  <r>
    <s v="A372F1FDPWXBY3"/>
    <x v="0"/>
    <n v="36"/>
    <s v="female"/>
    <x v="2"/>
    <x v="6"/>
    <n v="36594"/>
    <n v="1"/>
    <n v="1"/>
    <n v="1"/>
    <n v="0"/>
    <s v="Bookstore F."/>
    <s v="Bookstores A and B."/>
    <s v="Bookstores A, B, C, D and E."/>
    <s v="fa"/>
    <s v="ms-h"/>
    <s v="exh"/>
    <n v="1"/>
    <x v="1"/>
    <x v="2"/>
    <n v="1"/>
    <n v="0"/>
    <n v="0"/>
    <n v="1"/>
    <n v="1"/>
    <n v="0"/>
    <x v="2"/>
    <n v="1"/>
    <n v="0"/>
    <n v="0"/>
    <n v="0"/>
    <x v="0"/>
  </r>
  <r>
    <s v="A372F1FDPWXBY3"/>
    <x v="0"/>
    <n v="36"/>
    <s v="female"/>
    <x v="2"/>
    <x v="4"/>
    <n v="30839"/>
    <n v="1"/>
    <n v="1"/>
    <n v="1"/>
    <n v="0"/>
    <s v="Stalls A and B."/>
    <s v="Stalls D and E."/>
    <s v="Stall A."/>
    <s v="ms-h"/>
    <s v="ms-l"/>
    <s v="mo-h"/>
    <n v="0"/>
    <x v="2"/>
    <x v="2"/>
    <n v="1"/>
    <n v="1"/>
    <n v="0"/>
    <n v="1"/>
    <n v="0"/>
    <n v="1"/>
    <x v="2"/>
    <n v="1"/>
    <n v="1"/>
    <n v="0"/>
    <n v="0"/>
    <x v="0"/>
  </r>
  <r>
    <s v="A372F1FDPWXBY3"/>
    <x v="0"/>
    <n v="36"/>
    <s v="female"/>
    <x v="3"/>
    <x v="8"/>
    <n v="27830"/>
    <n v="1"/>
    <n v="0"/>
    <n v="0"/>
    <n v="0"/>
    <s v="NA"/>
    <s v="NA"/>
    <s v="NA"/>
    <s v="NA"/>
    <s v="NA"/>
    <s v="NA"/>
    <s v="NA"/>
    <x v="2"/>
    <x v="2"/>
    <n v="1"/>
    <n v="1"/>
    <n v="0"/>
    <n v="1"/>
    <n v="0"/>
    <n v="1"/>
    <x v="2"/>
    <n v="1"/>
    <n v="1"/>
    <n v="0"/>
    <n v="0"/>
    <x v="0"/>
  </r>
  <r>
    <s v="A372F1FDPWXBY3"/>
    <x v="0"/>
    <n v="36"/>
    <s v="female"/>
    <x v="2"/>
    <x v="3"/>
    <n v="15805"/>
    <n v="1"/>
    <n v="1"/>
    <n v="1"/>
    <n v="0"/>
    <s v="Cafe E."/>
    <s v="Cafe A."/>
    <s v="Cafes D and E."/>
    <s v="mo-l"/>
    <s v="mo-h"/>
    <s v="ms-l"/>
    <n v="0"/>
    <x v="2"/>
    <x v="1"/>
    <n v="0"/>
    <n v="1"/>
    <n v="0"/>
    <n v="1"/>
    <n v="0"/>
    <n v="1"/>
    <x v="1"/>
    <n v="0"/>
    <n v="1"/>
    <n v="0"/>
    <n v="0"/>
    <x v="0"/>
  </r>
  <r>
    <s v="A372F1FDPWXBY3"/>
    <x v="0"/>
    <n v="36"/>
    <s v="female"/>
    <x v="3"/>
    <x v="10"/>
    <n v="31305"/>
    <n v="0"/>
    <n v="0"/>
    <n v="0"/>
    <n v="1"/>
    <s v="NA"/>
    <s v="NA"/>
    <s v="NA"/>
    <s v="NA"/>
    <s v="NA"/>
    <s v="NA"/>
    <s v="NA"/>
    <x v="2"/>
    <x v="1"/>
    <n v="0"/>
    <n v="1"/>
    <n v="0"/>
    <n v="1"/>
    <n v="0"/>
    <n v="1"/>
    <x v="1"/>
    <n v="0"/>
    <n v="1"/>
    <n v="0"/>
    <n v="0"/>
    <x v="0"/>
  </r>
  <r>
    <s v="A372F1FDPWXBY3"/>
    <x v="0"/>
    <n v="36"/>
    <s v="female"/>
    <x v="2"/>
    <x v="9"/>
    <n v="21882"/>
    <n v="1"/>
    <n v="1"/>
    <n v="1"/>
    <n v="0"/>
    <s v="Store F."/>
    <s v="Stores A and B."/>
    <s v="Stores D and E."/>
    <s v="fa"/>
    <s v="ms-h"/>
    <s v="ms-l"/>
    <n v="0"/>
    <x v="1"/>
    <x v="2"/>
    <n v="1"/>
    <n v="1"/>
    <n v="0"/>
    <n v="1"/>
    <n v="0"/>
    <n v="0"/>
    <x v="2"/>
    <n v="1"/>
    <n v="1"/>
    <n v="0"/>
    <n v="0"/>
    <x v="0"/>
  </r>
  <r>
    <s v="A372F1FDPWXBY3"/>
    <x v="0"/>
    <n v="36"/>
    <s v="female"/>
    <x v="3"/>
    <x v="5"/>
    <n v="27883"/>
    <n v="0"/>
    <n v="0"/>
    <n v="1"/>
    <n v="0"/>
    <s v="NA"/>
    <s v="NA"/>
    <s v="NA"/>
    <s v="NA"/>
    <s v="NA"/>
    <s v="NA"/>
    <s v="NA"/>
    <x v="1"/>
    <x v="2"/>
    <n v="1"/>
    <n v="1"/>
    <n v="0"/>
    <n v="1"/>
    <n v="0"/>
    <n v="0"/>
    <x v="2"/>
    <n v="1"/>
    <n v="1"/>
    <n v="0"/>
    <n v="0"/>
    <x v="0"/>
  </r>
  <r>
    <s v="A372F1FDPWXBY3"/>
    <x v="0"/>
    <n v="36"/>
    <s v="female"/>
    <x v="4"/>
    <x v="0"/>
    <n v="134709"/>
    <s v="I would answer them both the same. I see them both as asking the same thing."/>
    <s v="Mostly it was not difficult. I just went with my gut feeling."/>
    <s v="No."/>
    <s v="NA"/>
    <s v="NA"/>
    <s v="NA"/>
    <s v="NA"/>
    <s v="NA"/>
    <s v="NA"/>
    <s v="NA"/>
    <s v="NA"/>
    <x v="0"/>
    <x v="0"/>
    <s v="NA"/>
    <s v="NA"/>
    <s v="NA"/>
    <s v="NA"/>
    <s v="NA"/>
    <s v="NA"/>
    <x v="0"/>
    <s v="NA"/>
    <s v="NA"/>
    <s v="NA"/>
    <s v="NA"/>
    <x v="0"/>
  </r>
  <r>
    <s v="A3V8RZYN8NBK2O"/>
    <x v="0"/>
    <n v="26"/>
    <s v="female"/>
    <x v="0"/>
    <x v="0"/>
    <n v="20095"/>
    <s v="NA"/>
    <s v="NA"/>
    <s v="NA"/>
    <s v="NA"/>
    <s v="NA"/>
    <s v="NA"/>
    <s v="NA"/>
    <s v="NA"/>
    <s v="NA"/>
    <s v="NA"/>
    <s v="NA"/>
    <x v="0"/>
    <x v="0"/>
    <s v="NA"/>
    <s v="NA"/>
    <s v="NA"/>
    <s v="NA"/>
    <s v="NA"/>
    <s v="NA"/>
    <x v="0"/>
    <s v="NA"/>
    <s v="NA"/>
    <s v="NA"/>
    <s v="NA"/>
    <x v="0"/>
  </r>
  <r>
    <s v="A3V8RZYN8NBK2O"/>
    <x v="0"/>
    <n v="26"/>
    <s v="female"/>
    <x v="1"/>
    <x v="2"/>
    <n v="69483"/>
    <n v="0"/>
    <n v="0"/>
    <n v="1"/>
    <n v="0"/>
    <s v="NA"/>
    <s v="NA"/>
    <s v="NA"/>
    <s v="NA"/>
    <s v="NA"/>
    <s v="NA"/>
    <s v="NA"/>
    <x v="0"/>
    <x v="0"/>
    <s v="NA"/>
    <s v="NA"/>
    <s v="NA"/>
    <s v="NA"/>
    <s v="NA"/>
    <s v="NA"/>
    <x v="0"/>
    <s v="NA"/>
    <s v="NA"/>
    <s v="NA"/>
    <s v="NA"/>
    <x v="0"/>
  </r>
  <r>
    <s v="A3V8RZYN8NBK2O"/>
    <x v="0"/>
    <n v="26"/>
    <s v="female"/>
    <x v="1"/>
    <x v="1"/>
    <n v="34671"/>
    <n v="0"/>
    <n v="0"/>
    <n v="0"/>
    <n v="1"/>
    <s v="NA"/>
    <s v="NA"/>
    <s v="NA"/>
    <s v="NA"/>
    <s v="NA"/>
    <s v="NA"/>
    <s v="NA"/>
    <x v="0"/>
    <x v="0"/>
    <s v="NA"/>
    <s v="NA"/>
    <s v="NA"/>
    <s v="NA"/>
    <s v="NA"/>
    <s v="NA"/>
    <x v="0"/>
    <s v="NA"/>
    <s v="NA"/>
    <s v="NA"/>
    <s v="NA"/>
    <x v="0"/>
  </r>
  <r>
    <s v="A3V8RZYN8NBK2O"/>
    <x v="0"/>
    <n v="26"/>
    <s v="female"/>
    <x v="2"/>
    <x v="7"/>
    <n v="56817"/>
    <n v="0"/>
    <n v="0"/>
    <n v="0"/>
    <n v="1"/>
    <s v="Stylist F."/>
    <s v="Stylist E."/>
    <s v="Stylist A."/>
    <s v="fa"/>
    <s v="mo-l"/>
    <s v="mo-h"/>
    <n v="0"/>
    <x v="2"/>
    <x v="1"/>
    <n v="0"/>
    <n v="0"/>
    <n v="0"/>
    <n v="1"/>
    <n v="0"/>
    <n v="0"/>
    <x v="2"/>
    <n v="0"/>
    <n v="0"/>
    <n v="0"/>
    <n v="1"/>
    <x v="0"/>
  </r>
  <r>
    <s v="A3V8RZYN8NBK2O"/>
    <x v="0"/>
    <n v="26"/>
    <s v="female"/>
    <x v="2"/>
    <x v="3"/>
    <n v="35532"/>
    <n v="1"/>
    <n v="0"/>
    <n v="0"/>
    <n v="0"/>
    <s v="Cafe A."/>
    <s v="Cafe E."/>
    <s v="Cafes D and E."/>
    <s v="mo-h"/>
    <s v="mo-l"/>
    <s v="ms-l"/>
    <n v="0"/>
    <x v="2"/>
    <x v="1"/>
    <n v="0"/>
    <n v="1"/>
    <n v="0"/>
    <n v="1"/>
    <n v="0"/>
    <n v="1"/>
    <x v="2"/>
    <n v="0"/>
    <n v="0"/>
    <n v="0"/>
    <n v="0"/>
    <x v="0"/>
  </r>
  <r>
    <s v="A3V8RZYN8NBK2O"/>
    <x v="0"/>
    <n v="26"/>
    <s v="female"/>
    <x v="3"/>
    <x v="5"/>
    <n v="45426"/>
    <n v="0"/>
    <n v="0"/>
    <n v="1"/>
    <n v="0"/>
    <s v="NA"/>
    <s v="NA"/>
    <s v="NA"/>
    <s v="NA"/>
    <s v="NA"/>
    <s v="NA"/>
    <s v="NA"/>
    <x v="2"/>
    <x v="1"/>
    <n v="0"/>
    <n v="1"/>
    <n v="0"/>
    <n v="1"/>
    <n v="0"/>
    <n v="1"/>
    <x v="2"/>
    <n v="0"/>
    <n v="0"/>
    <n v="0"/>
    <n v="0"/>
    <x v="0"/>
  </r>
  <r>
    <s v="A3V8RZYN8NBK2O"/>
    <x v="0"/>
    <n v="26"/>
    <s v="female"/>
    <x v="2"/>
    <x v="6"/>
    <n v="104868"/>
    <n v="0"/>
    <n v="1"/>
    <n v="0"/>
    <n v="0"/>
    <s v="Bookstore E."/>
    <s v="Bookstore A."/>
    <s v="Bookstores D and E."/>
    <s v="mo-l"/>
    <s v="mo-h"/>
    <s v="ms-l"/>
    <n v="0"/>
    <x v="2"/>
    <x v="1"/>
    <n v="0"/>
    <n v="1"/>
    <n v="0"/>
    <n v="1"/>
    <n v="0"/>
    <n v="1"/>
    <x v="2"/>
    <n v="0"/>
    <n v="0"/>
    <n v="0"/>
    <n v="0"/>
    <x v="0"/>
  </r>
  <r>
    <s v="A3V8RZYN8NBK2O"/>
    <x v="0"/>
    <n v="26"/>
    <s v="female"/>
    <x v="2"/>
    <x v="9"/>
    <n v="92411"/>
    <n v="0"/>
    <n v="0"/>
    <n v="1"/>
    <n v="0"/>
    <s v="Store E."/>
    <s v="Stores D and E."/>
    <s v="Stores A and B."/>
    <s v="mo-l"/>
    <s v="ms-l"/>
    <s v="ms-h"/>
    <n v="0"/>
    <x v="1"/>
    <x v="1"/>
    <n v="1"/>
    <n v="1"/>
    <n v="0"/>
    <n v="1"/>
    <n v="0"/>
    <n v="0"/>
    <x v="2"/>
    <n v="1"/>
    <n v="0"/>
    <n v="0"/>
    <n v="0"/>
    <x v="0"/>
  </r>
  <r>
    <s v="A3V8RZYN8NBK2O"/>
    <x v="0"/>
    <n v="26"/>
    <s v="female"/>
    <x v="3"/>
    <x v="12"/>
    <n v="16868"/>
    <n v="1"/>
    <n v="0"/>
    <n v="0"/>
    <n v="0"/>
    <s v="NA"/>
    <s v="NA"/>
    <s v="NA"/>
    <s v="NA"/>
    <s v="NA"/>
    <s v="NA"/>
    <s v="NA"/>
    <x v="1"/>
    <x v="1"/>
    <n v="1"/>
    <n v="1"/>
    <n v="0"/>
    <n v="1"/>
    <n v="0"/>
    <n v="0"/>
    <x v="2"/>
    <n v="1"/>
    <n v="0"/>
    <n v="0"/>
    <n v="0"/>
    <x v="0"/>
  </r>
  <r>
    <s v="A3V8RZYN8NBK2O"/>
    <x v="0"/>
    <n v="26"/>
    <s v="female"/>
    <x v="2"/>
    <x v="11"/>
    <n v="139213"/>
    <n v="0"/>
    <n v="0"/>
    <n v="1"/>
    <n v="0"/>
    <s v="Dentist E."/>
    <s v="Dentists D and E."/>
    <s v="Dentists A, B, C, D and E."/>
    <s v="mo-l"/>
    <s v="ms-l"/>
    <s v="exh"/>
    <n v="1"/>
    <x v="1"/>
    <x v="1"/>
    <n v="0"/>
    <n v="1"/>
    <n v="0"/>
    <n v="1"/>
    <n v="1"/>
    <n v="0"/>
    <x v="2"/>
    <n v="0"/>
    <n v="0"/>
    <n v="0"/>
    <n v="0"/>
    <x v="0"/>
  </r>
  <r>
    <s v="A3V8RZYN8NBK2O"/>
    <x v="0"/>
    <n v="26"/>
    <s v="female"/>
    <x v="3"/>
    <x v="10"/>
    <n v="25936"/>
    <n v="0"/>
    <n v="1"/>
    <n v="0"/>
    <n v="0"/>
    <s v="NA"/>
    <s v="NA"/>
    <s v="NA"/>
    <s v="NA"/>
    <s v="NA"/>
    <s v="NA"/>
    <s v="NA"/>
    <x v="1"/>
    <x v="1"/>
    <n v="0"/>
    <n v="1"/>
    <n v="0"/>
    <n v="1"/>
    <n v="1"/>
    <n v="0"/>
    <x v="2"/>
    <n v="0"/>
    <n v="0"/>
    <n v="0"/>
    <n v="0"/>
    <x v="0"/>
  </r>
  <r>
    <s v="A3V8RZYN8NBK2O"/>
    <x v="0"/>
    <n v="26"/>
    <s v="female"/>
    <x v="2"/>
    <x v="4"/>
    <n v="1690510"/>
    <n v="1"/>
    <n v="1"/>
    <n v="1"/>
    <n v="0"/>
    <s v="Stall E."/>
    <s v="Stall A."/>
    <s v="Stalls A, B, C, D and E."/>
    <s v="mo-l"/>
    <s v="mo-h"/>
    <s v="exh"/>
    <n v="1"/>
    <x v="2"/>
    <x v="1"/>
    <n v="0"/>
    <n v="0"/>
    <n v="0"/>
    <n v="1"/>
    <n v="1"/>
    <n v="1"/>
    <x v="1"/>
    <n v="0"/>
    <n v="0"/>
    <n v="0"/>
    <n v="0"/>
    <x v="0"/>
  </r>
  <r>
    <s v="A3V8RZYN8NBK2O"/>
    <x v="0"/>
    <n v="26"/>
    <s v="female"/>
    <x v="3"/>
    <x v="8"/>
    <n v="56982"/>
    <n v="1"/>
    <n v="1"/>
    <n v="0"/>
    <n v="0"/>
    <s v="NA"/>
    <s v="NA"/>
    <s v="NA"/>
    <s v="NA"/>
    <s v="NA"/>
    <s v="NA"/>
    <s v="NA"/>
    <x v="2"/>
    <x v="1"/>
    <n v="0"/>
    <n v="0"/>
    <n v="0"/>
    <n v="1"/>
    <n v="1"/>
    <n v="1"/>
    <x v="1"/>
    <n v="0"/>
    <n v="0"/>
    <n v="0"/>
    <n v="0"/>
    <x v="0"/>
  </r>
  <r>
    <s v="A3V8RZYN8NBK2O"/>
    <x v="0"/>
    <n v="26"/>
    <s v="female"/>
    <x v="4"/>
    <x v="0"/>
    <n v="66282"/>
    <s v="No i wouldn't because both questions are the same"/>
    <s v="No%2C it was just super long"/>
    <s v="Nothing%2C good survey"/>
    <s v="NA"/>
    <s v="NA"/>
    <s v="NA"/>
    <s v="NA"/>
    <s v="NA"/>
    <s v="NA"/>
    <s v="NA"/>
    <s v="NA"/>
    <x v="0"/>
    <x v="0"/>
    <s v="NA"/>
    <s v="NA"/>
    <s v="NA"/>
    <s v="NA"/>
    <s v="NA"/>
    <s v="NA"/>
    <x v="0"/>
    <s v="NA"/>
    <s v="NA"/>
    <s v="NA"/>
    <s v="NA"/>
    <x v="0"/>
  </r>
  <r>
    <s v="A107RJSS561Y7R"/>
    <x v="0"/>
    <n v="32"/>
    <s v="male"/>
    <x v="0"/>
    <x v="0"/>
    <n v="46562"/>
    <s v="NA"/>
    <s v="NA"/>
    <s v="NA"/>
    <s v="NA"/>
    <s v="NA"/>
    <s v="NA"/>
    <s v="NA"/>
    <s v="NA"/>
    <s v="NA"/>
    <s v="NA"/>
    <s v="NA"/>
    <x v="0"/>
    <x v="0"/>
    <s v="NA"/>
    <s v="NA"/>
    <s v="NA"/>
    <s v="NA"/>
    <s v="NA"/>
    <s v="NA"/>
    <x v="0"/>
    <s v="NA"/>
    <s v="NA"/>
    <s v="NA"/>
    <s v="NA"/>
    <x v="0"/>
  </r>
  <r>
    <s v="A107RJSS561Y7R"/>
    <x v="0"/>
    <n v="32"/>
    <s v="male"/>
    <x v="1"/>
    <x v="1"/>
    <n v="35700"/>
    <n v="0"/>
    <n v="0"/>
    <n v="0"/>
    <n v="1"/>
    <s v="NA"/>
    <s v="NA"/>
    <s v="NA"/>
    <s v="NA"/>
    <s v="NA"/>
    <s v="NA"/>
    <s v="NA"/>
    <x v="0"/>
    <x v="0"/>
    <s v="NA"/>
    <s v="NA"/>
    <s v="NA"/>
    <s v="NA"/>
    <s v="NA"/>
    <s v="NA"/>
    <x v="0"/>
    <s v="NA"/>
    <s v="NA"/>
    <s v="NA"/>
    <s v="NA"/>
    <x v="0"/>
  </r>
  <r>
    <s v="A107RJSS561Y7R"/>
    <x v="0"/>
    <n v="32"/>
    <s v="male"/>
    <x v="1"/>
    <x v="2"/>
    <n v="31240"/>
    <n v="0"/>
    <n v="0"/>
    <n v="1"/>
    <n v="0"/>
    <s v="NA"/>
    <s v="NA"/>
    <s v="NA"/>
    <s v="NA"/>
    <s v="NA"/>
    <s v="NA"/>
    <s v="NA"/>
    <x v="0"/>
    <x v="0"/>
    <s v="NA"/>
    <s v="NA"/>
    <s v="NA"/>
    <s v="NA"/>
    <s v="NA"/>
    <s v="NA"/>
    <x v="0"/>
    <s v="NA"/>
    <s v="NA"/>
    <s v="NA"/>
    <s v="NA"/>
    <x v="0"/>
  </r>
  <r>
    <s v="A107RJSS561Y7R"/>
    <x v="0"/>
    <n v="32"/>
    <s v="male"/>
    <x v="2"/>
    <x v="6"/>
    <n v="52151"/>
    <n v="0"/>
    <n v="0"/>
    <n v="1"/>
    <n v="0"/>
    <s v="Bookstores D and E."/>
    <s v="Bookstores A and B."/>
    <s v="Bookstore A."/>
    <s v="ms-l"/>
    <s v="ms-h"/>
    <s v="mo-h"/>
    <n v="0"/>
    <x v="2"/>
    <x v="2"/>
    <n v="1"/>
    <n v="1"/>
    <n v="0"/>
    <n v="1"/>
    <n v="0"/>
    <n v="1"/>
    <x v="2"/>
    <n v="0"/>
    <n v="0"/>
    <n v="0"/>
    <n v="0"/>
    <x v="0"/>
  </r>
  <r>
    <s v="A107RJSS561Y7R"/>
    <x v="0"/>
    <n v="32"/>
    <s v="male"/>
    <x v="2"/>
    <x v="11"/>
    <n v="17439"/>
    <n v="0"/>
    <n v="0"/>
    <n v="0"/>
    <n v="1"/>
    <s v="Dentists D and E."/>
    <s v="Dentist E."/>
    <s v="Dentist F."/>
    <s v="ms-l"/>
    <s v="mo-l"/>
    <s v="fa"/>
    <n v="0"/>
    <x v="1"/>
    <x v="1"/>
    <n v="0"/>
    <n v="1"/>
    <n v="0"/>
    <n v="1"/>
    <n v="0"/>
    <n v="0"/>
    <x v="2"/>
    <n v="0"/>
    <n v="0"/>
    <n v="0"/>
    <n v="1"/>
    <x v="0"/>
  </r>
  <r>
    <s v="A107RJSS561Y7R"/>
    <x v="0"/>
    <n v="32"/>
    <s v="male"/>
    <x v="3"/>
    <x v="12"/>
    <n v="16499"/>
    <n v="1"/>
    <n v="0"/>
    <n v="0"/>
    <n v="0"/>
    <s v="NA"/>
    <s v="NA"/>
    <s v="NA"/>
    <s v="NA"/>
    <s v="NA"/>
    <s v="NA"/>
    <s v="NA"/>
    <x v="1"/>
    <x v="1"/>
    <n v="0"/>
    <n v="1"/>
    <n v="0"/>
    <n v="1"/>
    <n v="0"/>
    <n v="0"/>
    <x v="2"/>
    <n v="0"/>
    <n v="0"/>
    <n v="0"/>
    <n v="1"/>
    <x v="0"/>
  </r>
  <r>
    <s v="A107RJSS561Y7R"/>
    <x v="0"/>
    <n v="32"/>
    <s v="male"/>
    <x v="2"/>
    <x v="3"/>
    <n v="5879"/>
    <n v="0"/>
    <n v="0"/>
    <n v="1"/>
    <n v="0"/>
    <s v="Cafes D and E."/>
    <s v="Cafes A and B."/>
    <s v="Cafe A."/>
    <s v="ms-l"/>
    <s v="ms-h"/>
    <s v="mo-h"/>
    <n v="0"/>
    <x v="2"/>
    <x v="2"/>
    <n v="1"/>
    <n v="1"/>
    <n v="0"/>
    <n v="1"/>
    <n v="0"/>
    <n v="1"/>
    <x v="2"/>
    <n v="0"/>
    <n v="0"/>
    <n v="0"/>
    <n v="0"/>
    <x v="0"/>
  </r>
  <r>
    <s v="A107RJSS561Y7R"/>
    <x v="0"/>
    <n v="32"/>
    <s v="male"/>
    <x v="3"/>
    <x v="10"/>
    <n v="45758"/>
    <n v="0"/>
    <n v="0"/>
    <n v="0"/>
    <n v="1"/>
    <s v="NA"/>
    <s v="NA"/>
    <s v="NA"/>
    <s v="NA"/>
    <s v="NA"/>
    <s v="NA"/>
    <s v="NA"/>
    <x v="2"/>
    <x v="2"/>
    <n v="1"/>
    <n v="1"/>
    <n v="0"/>
    <n v="1"/>
    <n v="0"/>
    <n v="1"/>
    <x v="2"/>
    <n v="0"/>
    <n v="0"/>
    <n v="0"/>
    <n v="0"/>
    <x v="0"/>
  </r>
  <r>
    <s v="A107RJSS561Y7R"/>
    <x v="0"/>
    <n v="32"/>
    <s v="male"/>
    <x v="2"/>
    <x v="7"/>
    <n v="5956"/>
    <n v="1"/>
    <n v="0"/>
    <n v="0"/>
    <n v="0"/>
    <s v="Stylist A."/>
    <s v="Stylists A and B."/>
    <s v="Stylist E."/>
    <s v="mo-h"/>
    <s v="ms-h"/>
    <s v="mo-l"/>
    <n v="0"/>
    <x v="2"/>
    <x v="1"/>
    <n v="1"/>
    <n v="0"/>
    <n v="0"/>
    <n v="1"/>
    <n v="0"/>
    <n v="1"/>
    <x v="2"/>
    <n v="0"/>
    <n v="0"/>
    <n v="0"/>
    <n v="0"/>
    <x v="0"/>
  </r>
  <r>
    <s v="A107RJSS561Y7R"/>
    <x v="0"/>
    <n v="32"/>
    <s v="male"/>
    <x v="2"/>
    <x v="9"/>
    <n v="5088"/>
    <n v="0"/>
    <n v="0"/>
    <n v="1"/>
    <n v="0"/>
    <s v="Store E."/>
    <s v="Stores D and E."/>
    <s v="Store A."/>
    <s v="mo-l"/>
    <s v="ms-l"/>
    <s v="mo-h"/>
    <n v="0"/>
    <x v="2"/>
    <x v="1"/>
    <n v="0"/>
    <n v="1"/>
    <n v="0"/>
    <n v="1"/>
    <n v="0"/>
    <n v="1"/>
    <x v="2"/>
    <n v="0"/>
    <n v="0"/>
    <n v="0"/>
    <n v="0"/>
    <x v="0"/>
  </r>
  <r>
    <s v="A107RJSS561Y7R"/>
    <x v="0"/>
    <n v="32"/>
    <s v="male"/>
    <x v="3"/>
    <x v="5"/>
    <n v="60187"/>
    <n v="1"/>
    <n v="0"/>
    <n v="0"/>
    <n v="0"/>
    <s v="NA"/>
    <s v="NA"/>
    <s v="NA"/>
    <s v="NA"/>
    <s v="NA"/>
    <s v="NA"/>
    <s v="NA"/>
    <x v="2"/>
    <x v="1"/>
    <n v="0"/>
    <n v="1"/>
    <n v="0"/>
    <n v="1"/>
    <n v="0"/>
    <n v="1"/>
    <x v="2"/>
    <n v="0"/>
    <n v="0"/>
    <n v="0"/>
    <n v="0"/>
    <x v="0"/>
  </r>
  <r>
    <s v="A107RJSS561Y7R"/>
    <x v="0"/>
    <n v="32"/>
    <s v="male"/>
    <x v="2"/>
    <x v="4"/>
    <n v="3074"/>
    <n v="1"/>
    <n v="0"/>
    <n v="0"/>
    <n v="0"/>
    <s v="Stall A."/>
    <s v="Stalls D and E."/>
    <s v="Stalls A and B."/>
    <s v="mo-h"/>
    <s v="ms-l"/>
    <s v="ms-h"/>
    <n v="0"/>
    <x v="2"/>
    <x v="2"/>
    <n v="1"/>
    <n v="1"/>
    <n v="0"/>
    <n v="1"/>
    <n v="0"/>
    <n v="1"/>
    <x v="2"/>
    <n v="0"/>
    <n v="0"/>
    <n v="0"/>
    <n v="0"/>
    <x v="0"/>
  </r>
  <r>
    <s v="A107RJSS561Y7R"/>
    <x v="0"/>
    <n v="32"/>
    <s v="male"/>
    <x v="3"/>
    <x v="8"/>
    <n v="22364"/>
    <n v="1"/>
    <n v="1"/>
    <n v="0"/>
    <n v="0"/>
    <s v="NA"/>
    <s v="NA"/>
    <s v="NA"/>
    <s v="NA"/>
    <s v="NA"/>
    <s v="NA"/>
    <s v="NA"/>
    <x v="2"/>
    <x v="2"/>
    <n v="1"/>
    <n v="1"/>
    <n v="0"/>
    <n v="1"/>
    <n v="0"/>
    <n v="1"/>
    <x v="2"/>
    <n v="0"/>
    <n v="0"/>
    <n v="0"/>
    <n v="0"/>
    <x v="0"/>
  </r>
  <r>
    <s v="A107RJSS561Y7R"/>
    <x v="0"/>
    <n v="32"/>
    <s v="male"/>
    <x v="4"/>
    <x v="0"/>
    <n v="50576"/>
    <s v="yes i would answer differently because one question is more specific than the other."/>
    <s v="no it was simple enough"/>
    <s v="fun!"/>
    <s v="NA"/>
    <s v="NA"/>
    <s v="NA"/>
    <s v="NA"/>
    <s v="NA"/>
    <s v="NA"/>
    <s v="NA"/>
    <s v="NA"/>
    <x v="0"/>
    <x v="0"/>
    <s v="NA"/>
    <s v="NA"/>
    <s v="NA"/>
    <s v="NA"/>
    <s v="NA"/>
    <s v="NA"/>
    <x v="0"/>
    <s v="NA"/>
    <s v="NA"/>
    <s v="NA"/>
    <s v="NA"/>
    <x v="0"/>
  </r>
  <r>
    <s v="A2NZ7RMSBXESNI"/>
    <x v="0"/>
    <n v="63"/>
    <s v="female"/>
    <x v="0"/>
    <x v="0"/>
    <n v="27100"/>
    <s v="NA"/>
    <s v="NA"/>
    <s v="NA"/>
    <s v="NA"/>
    <s v="NA"/>
    <s v="NA"/>
    <s v="NA"/>
    <s v="NA"/>
    <s v="NA"/>
    <s v="NA"/>
    <s v="NA"/>
    <x v="0"/>
    <x v="0"/>
    <s v="NA"/>
    <s v="NA"/>
    <s v="NA"/>
    <s v="NA"/>
    <s v="NA"/>
    <s v="NA"/>
    <x v="0"/>
    <s v="NA"/>
    <s v="NA"/>
    <s v="NA"/>
    <s v="NA"/>
    <x v="0"/>
  </r>
  <r>
    <s v="A2NZ7RMSBXESNI"/>
    <x v="0"/>
    <n v="63"/>
    <s v="female"/>
    <x v="1"/>
    <x v="2"/>
    <n v="63461"/>
    <n v="1"/>
    <n v="0"/>
    <n v="1"/>
    <n v="0"/>
    <s v="NA"/>
    <s v="NA"/>
    <s v="NA"/>
    <s v="NA"/>
    <s v="NA"/>
    <s v="NA"/>
    <s v="NA"/>
    <x v="0"/>
    <x v="0"/>
    <s v="NA"/>
    <s v="NA"/>
    <s v="NA"/>
    <s v="NA"/>
    <s v="NA"/>
    <s v="NA"/>
    <x v="0"/>
    <s v="NA"/>
    <s v="NA"/>
    <s v="NA"/>
    <s v="NA"/>
    <x v="0"/>
  </r>
  <r>
    <s v="A2NZ7RMSBXESNI"/>
    <x v="0"/>
    <n v="63"/>
    <s v="female"/>
    <x v="1"/>
    <x v="1"/>
    <n v="58698"/>
    <n v="0"/>
    <n v="0"/>
    <n v="0"/>
    <n v="1"/>
    <s v="NA"/>
    <s v="NA"/>
    <s v="NA"/>
    <s v="NA"/>
    <s v="NA"/>
    <s v="NA"/>
    <s v="NA"/>
    <x v="0"/>
    <x v="0"/>
    <s v="NA"/>
    <s v="NA"/>
    <s v="NA"/>
    <s v="NA"/>
    <s v="NA"/>
    <s v="NA"/>
    <x v="0"/>
    <s v="NA"/>
    <s v="NA"/>
    <s v="NA"/>
    <s v="NA"/>
    <x v="0"/>
  </r>
  <r>
    <s v="A2NZ7RMSBXESNI"/>
    <x v="0"/>
    <n v="63"/>
    <s v="female"/>
    <x v="2"/>
    <x v="3"/>
    <n v="56971"/>
    <n v="1"/>
    <n v="1"/>
    <n v="0"/>
    <n v="0"/>
    <s v="Cafes A and B."/>
    <s v="Cafe A."/>
    <s v="Cafes D and E."/>
    <s v="ms-h"/>
    <s v="mo-h"/>
    <s v="ms-l"/>
    <n v="0"/>
    <x v="2"/>
    <x v="2"/>
    <n v="1"/>
    <n v="1"/>
    <n v="0"/>
    <n v="1"/>
    <n v="0"/>
    <n v="1"/>
    <x v="2"/>
    <n v="1"/>
    <n v="0"/>
    <n v="0"/>
    <n v="0"/>
    <x v="0"/>
  </r>
  <r>
    <s v="A2NZ7RMSBXESNI"/>
    <x v="0"/>
    <n v="63"/>
    <s v="female"/>
    <x v="2"/>
    <x v="4"/>
    <n v="22782"/>
    <n v="0"/>
    <n v="1"/>
    <n v="0"/>
    <n v="0"/>
    <s v="Stalls D and E."/>
    <s v="Stalls A and B."/>
    <s v="Stall E."/>
    <s v="ms-l"/>
    <s v="ms-h"/>
    <s v="mo-l"/>
    <n v="0"/>
    <x v="1"/>
    <x v="1"/>
    <n v="1"/>
    <n v="1"/>
    <n v="0"/>
    <n v="1"/>
    <n v="0"/>
    <n v="0"/>
    <x v="2"/>
    <n v="1"/>
    <n v="0"/>
    <n v="0"/>
    <n v="0"/>
    <x v="0"/>
  </r>
  <r>
    <s v="A2NZ7RMSBXESNI"/>
    <x v="0"/>
    <n v="63"/>
    <s v="female"/>
    <x v="3"/>
    <x v="5"/>
    <n v="34447"/>
    <n v="0"/>
    <n v="1"/>
    <n v="0"/>
    <n v="0"/>
    <s v="NA"/>
    <s v="NA"/>
    <s v="NA"/>
    <s v="NA"/>
    <s v="NA"/>
    <s v="NA"/>
    <s v="NA"/>
    <x v="1"/>
    <x v="1"/>
    <n v="1"/>
    <n v="1"/>
    <n v="0"/>
    <n v="1"/>
    <n v="0"/>
    <n v="0"/>
    <x v="2"/>
    <n v="1"/>
    <n v="0"/>
    <n v="0"/>
    <n v="0"/>
    <x v="0"/>
  </r>
  <r>
    <s v="A2NZ7RMSBXESNI"/>
    <x v="0"/>
    <n v="63"/>
    <s v="female"/>
    <x v="2"/>
    <x v="6"/>
    <n v="30806"/>
    <n v="0"/>
    <n v="0"/>
    <n v="0"/>
    <n v="1"/>
    <s v="Bookstore F."/>
    <s v="Bookstores D and E."/>
    <s v="Bookstore E."/>
    <s v="fa"/>
    <s v="ms-l"/>
    <s v="mo-l"/>
    <n v="0"/>
    <x v="1"/>
    <x v="1"/>
    <n v="0"/>
    <n v="1"/>
    <n v="0"/>
    <n v="1"/>
    <n v="0"/>
    <n v="0"/>
    <x v="2"/>
    <n v="0"/>
    <n v="0"/>
    <n v="0"/>
    <n v="1"/>
    <x v="0"/>
  </r>
  <r>
    <s v="A2NZ7RMSBXESNI"/>
    <x v="0"/>
    <n v="63"/>
    <s v="female"/>
    <x v="2"/>
    <x v="11"/>
    <n v="18025"/>
    <n v="0"/>
    <n v="1"/>
    <n v="0"/>
    <n v="1"/>
    <s v="Dentists D and E."/>
    <s v="Dentists A and B."/>
    <s v="Dentist F."/>
    <s v="ms-l"/>
    <s v="ms-h"/>
    <s v="fa"/>
    <n v="0"/>
    <x v="1"/>
    <x v="2"/>
    <n v="1"/>
    <n v="1"/>
    <n v="0"/>
    <n v="1"/>
    <n v="0"/>
    <n v="0"/>
    <x v="2"/>
    <n v="1"/>
    <n v="0"/>
    <n v="0"/>
    <n v="1"/>
    <x v="0"/>
  </r>
  <r>
    <s v="A2NZ7RMSBXESNI"/>
    <x v="0"/>
    <n v="63"/>
    <s v="female"/>
    <x v="3"/>
    <x v="8"/>
    <n v="32168"/>
    <n v="0"/>
    <n v="0"/>
    <n v="0"/>
    <n v="1"/>
    <s v="NA"/>
    <s v="NA"/>
    <s v="NA"/>
    <s v="NA"/>
    <s v="NA"/>
    <s v="NA"/>
    <s v="NA"/>
    <x v="1"/>
    <x v="2"/>
    <n v="1"/>
    <n v="1"/>
    <n v="0"/>
    <n v="1"/>
    <n v="0"/>
    <n v="0"/>
    <x v="2"/>
    <n v="1"/>
    <n v="0"/>
    <n v="0"/>
    <n v="1"/>
    <x v="0"/>
  </r>
  <r>
    <s v="A2NZ7RMSBXESNI"/>
    <x v="0"/>
    <n v="63"/>
    <s v="female"/>
    <x v="2"/>
    <x v="7"/>
    <n v="21170"/>
    <n v="0"/>
    <n v="0"/>
    <n v="0"/>
    <n v="1"/>
    <s v="Stylist F."/>
    <s v="Stylist E."/>
    <s v="Stylists D and E."/>
    <s v="fa"/>
    <s v="mo-l"/>
    <s v="ms-l"/>
    <n v="0"/>
    <x v="1"/>
    <x v="1"/>
    <n v="0"/>
    <n v="1"/>
    <n v="0"/>
    <n v="1"/>
    <n v="0"/>
    <n v="0"/>
    <x v="2"/>
    <n v="0"/>
    <n v="0"/>
    <n v="0"/>
    <n v="1"/>
    <x v="0"/>
  </r>
  <r>
    <s v="A2NZ7RMSBXESNI"/>
    <x v="0"/>
    <n v="63"/>
    <s v="female"/>
    <x v="3"/>
    <x v="12"/>
    <n v="23394"/>
    <n v="1"/>
    <n v="1"/>
    <n v="0"/>
    <n v="0"/>
    <s v="NA"/>
    <s v="NA"/>
    <s v="NA"/>
    <s v="NA"/>
    <s v="NA"/>
    <s v="NA"/>
    <s v="NA"/>
    <x v="1"/>
    <x v="1"/>
    <n v="0"/>
    <n v="1"/>
    <n v="0"/>
    <n v="1"/>
    <n v="0"/>
    <n v="0"/>
    <x v="2"/>
    <n v="0"/>
    <n v="0"/>
    <n v="0"/>
    <n v="1"/>
    <x v="0"/>
  </r>
  <r>
    <s v="A2NZ7RMSBXESNI"/>
    <x v="0"/>
    <n v="63"/>
    <s v="female"/>
    <x v="2"/>
    <x v="9"/>
    <n v="18525"/>
    <n v="0"/>
    <n v="0"/>
    <n v="1"/>
    <n v="0"/>
    <s v="Store E."/>
    <s v="Stores D and E."/>
    <s v="Store A."/>
    <s v="mo-l"/>
    <s v="ms-l"/>
    <s v="mo-h"/>
    <n v="0"/>
    <x v="2"/>
    <x v="1"/>
    <n v="0"/>
    <n v="1"/>
    <n v="0"/>
    <n v="1"/>
    <n v="0"/>
    <n v="1"/>
    <x v="2"/>
    <n v="0"/>
    <n v="0"/>
    <n v="0"/>
    <n v="0"/>
    <x v="0"/>
  </r>
  <r>
    <s v="A2NZ7RMSBXESNI"/>
    <x v="0"/>
    <n v="63"/>
    <s v="female"/>
    <x v="3"/>
    <x v="10"/>
    <n v="28352"/>
    <n v="0"/>
    <n v="0"/>
    <n v="0"/>
    <n v="1"/>
    <s v="NA"/>
    <s v="NA"/>
    <s v="NA"/>
    <s v="NA"/>
    <s v="NA"/>
    <s v="NA"/>
    <s v="NA"/>
    <x v="2"/>
    <x v="1"/>
    <n v="0"/>
    <n v="1"/>
    <n v="0"/>
    <n v="1"/>
    <n v="0"/>
    <n v="1"/>
    <x v="2"/>
    <n v="0"/>
    <n v="0"/>
    <n v="0"/>
    <n v="0"/>
    <x v="0"/>
  </r>
  <r>
    <s v="A2NZ7RMSBXESNI"/>
    <x v="0"/>
    <n v="63"/>
    <s v="female"/>
    <x v="4"/>
    <x v="0"/>
    <n v="53409"/>
    <s v="No%2C I would say which restaurants serve brunch in town."/>
    <s v="Not really"/>
    <s v="Thank you"/>
    <s v="NA"/>
    <s v="NA"/>
    <s v="NA"/>
    <s v="NA"/>
    <s v="NA"/>
    <s v="NA"/>
    <s v="NA"/>
    <s v="NA"/>
    <x v="0"/>
    <x v="0"/>
    <s v="NA"/>
    <s v="NA"/>
    <s v="NA"/>
    <s v="NA"/>
    <s v="NA"/>
    <s v="NA"/>
    <x v="0"/>
    <s v="NA"/>
    <s v="NA"/>
    <s v="NA"/>
    <s v="NA"/>
    <x v="0"/>
  </r>
  <r>
    <s v="A2WKZI3JQCE3Z6"/>
    <x v="0"/>
    <n v="47"/>
    <s v="male"/>
    <x v="0"/>
    <x v="0"/>
    <n v="364536"/>
    <s v="NA"/>
    <s v="NA"/>
    <s v="NA"/>
    <s v="NA"/>
    <s v="NA"/>
    <s v="NA"/>
    <s v="NA"/>
    <s v="NA"/>
    <s v="NA"/>
    <s v="NA"/>
    <s v="NA"/>
    <x v="0"/>
    <x v="0"/>
    <s v="NA"/>
    <s v="NA"/>
    <s v="NA"/>
    <s v="NA"/>
    <s v="NA"/>
    <s v="NA"/>
    <x v="0"/>
    <s v="NA"/>
    <s v="NA"/>
    <s v="NA"/>
    <s v="NA"/>
    <x v="0"/>
  </r>
  <r>
    <s v="A2WKZI3JQCE3Z6"/>
    <x v="0"/>
    <n v="47"/>
    <s v="male"/>
    <x v="1"/>
    <x v="2"/>
    <n v="54297"/>
    <n v="0"/>
    <n v="1"/>
    <n v="1"/>
    <n v="0"/>
    <s v="NA"/>
    <s v="NA"/>
    <s v="NA"/>
    <s v="NA"/>
    <s v="NA"/>
    <s v="NA"/>
    <s v="NA"/>
    <x v="0"/>
    <x v="0"/>
    <s v="NA"/>
    <s v="NA"/>
    <s v="NA"/>
    <s v="NA"/>
    <s v="NA"/>
    <s v="NA"/>
    <x v="0"/>
    <s v="NA"/>
    <s v="NA"/>
    <s v="NA"/>
    <s v="NA"/>
    <x v="0"/>
  </r>
  <r>
    <s v="A2WKZI3JQCE3Z6"/>
    <x v="0"/>
    <n v="47"/>
    <s v="male"/>
    <x v="1"/>
    <x v="1"/>
    <n v="33266"/>
    <n v="0"/>
    <n v="0"/>
    <n v="0"/>
    <n v="1"/>
    <s v="NA"/>
    <s v="NA"/>
    <s v="NA"/>
    <s v="NA"/>
    <s v="NA"/>
    <s v="NA"/>
    <s v="NA"/>
    <x v="0"/>
    <x v="0"/>
    <s v="NA"/>
    <s v="NA"/>
    <s v="NA"/>
    <s v="NA"/>
    <s v="NA"/>
    <s v="NA"/>
    <x v="0"/>
    <s v="NA"/>
    <s v="NA"/>
    <s v="NA"/>
    <s v="NA"/>
    <x v="0"/>
  </r>
  <r>
    <s v="A2WKZI3JQCE3Z6"/>
    <x v="0"/>
    <n v="47"/>
    <s v="male"/>
    <x v="2"/>
    <x v="6"/>
    <n v="45085"/>
    <n v="0"/>
    <n v="1"/>
    <n v="0"/>
    <n v="0"/>
    <s v="Bookstores D and E."/>
    <s v="Bookstore A."/>
    <s v="Bookstore F."/>
    <s v="ms-l"/>
    <s v="mo-h"/>
    <s v="fa"/>
    <n v="0"/>
    <x v="2"/>
    <x v="2"/>
    <n v="0"/>
    <n v="1"/>
    <n v="0"/>
    <n v="1"/>
    <n v="0"/>
    <n v="1"/>
    <x v="2"/>
    <n v="0"/>
    <n v="0"/>
    <n v="0"/>
    <n v="0"/>
    <x v="0"/>
  </r>
  <r>
    <s v="A2WKZI3JQCE3Z6"/>
    <x v="0"/>
    <n v="47"/>
    <s v="male"/>
    <x v="2"/>
    <x v="11"/>
    <n v="61944"/>
    <n v="0"/>
    <n v="0"/>
    <n v="0"/>
    <n v="1"/>
    <s v="Dentist E."/>
    <s v="Dentist A."/>
    <s v="Dentists A, B, C, D and E."/>
    <s v="mo-l"/>
    <s v="mo-h"/>
    <s v="exh"/>
    <n v="1"/>
    <x v="2"/>
    <x v="1"/>
    <n v="0"/>
    <n v="0"/>
    <n v="0"/>
    <n v="1"/>
    <n v="0"/>
    <n v="0"/>
    <x v="2"/>
    <n v="0"/>
    <n v="0"/>
    <n v="0"/>
    <n v="1"/>
    <x v="0"/>
  </r>
  <r>
    <s v="A2WKZI3JQCE3Z6"/>
    <x v="0"/>
    <n v="47"/>
    <s v="male"/>
    <x v="3"/>
    <x v="10"/>
    <n v="46581"/>
    <n v="1"/>
    <n v="1"/>
    <n v="0"/>
    <n v="0"/>
    <s v="NA"/>
    <s v="NA"/>
    <s v="NA"/>
    <s v="NA"/>
    <s v="NA"/>
    <s v="NA"/>
    <s v="NA"/>
    <x v="2"/>
    <x v="1"/>
    <n v="0"/>
    <n v="0"/>
    <n v="0"/>
    <n v="1"/>
    <n v="0"/>
    <n v="0"/>
    <x v="2"/>
    <n v="0"/>
    <n v="0"/>
    <n v="0"/>
    <n v="1"/>
    <x v="0"/>
  </r>
  <r>
    <s v="A2WKZI3JQCE3Z6"/>
    <x v="0"/>
    <n v="47"/>
    <s v="male"/>
    <x v="2"/>
    <x v="4"/>
    <n v="30260"/>
    <n v="1"/>
    <n v="0"/>
    <n v="1"/>
    <n v="0"/>
    <s v="Stall A."/>
    <s v="Stall F."/>
    <s v="Stalls A, B, C, D and E."/>
    <s v="mo-h"/>
    <s v="fa"/>
    <s v="exh"/>
    <n v="1"/>
    <x v="2"/>
    <x v="2"/>
    <n v="0"/>
    <n v="0"/>
    <n v="0"/>
    <n v="1"/>
    <n v="1"/>
    <n v="1"/>
    <x v="2"/>
    <n v="0"/>
    <n v="0"/>
    <n v="0"/>
    <n v="0"/>
    <x v="0"/>
  </r>
  <r>
    <s v="A2WKZI3JQCE3Z6"/>
    <x v="0"/>
    <n v="47"/>
    <s v="male"/>
    <x v="2"/>
    <x v="3"/>
    <n v="16599"/>
    <n v="1"/>
    <n v="1"/>
    <n v="1"/>
    <n v="0"/>
    <s v="Cafes A and B."/>
    <s v="Cafes A, B, C, D and E."/>
    <s v="Cafe E."/>
    <s v="ms-h"/>
    <s v="exh"/>
    <s v="mo-l"/>
    <n v="1"/>
    <x v="1"/>
    <x v="1"/>
    <n v="1"/>
    <n v="0"/>
    <n v="0"/>
    <n v="1"/>
    <n v="1"/>
    <n v="0"/>
    <x v="1"/>
    <n v="1"/>
    <n v="0"/>
    <n v="0"/>
    <n v="0"/>
    <x v="0"/>
  </r>
  <r>
    <s v="A2WKZI3JQCE3Z6"/>
    <x v="0"/>
    <n v="47"/>
    <s v="male"/>
    <x v="3"/>
    <x v="12"/>
    <n v="23491"/>
    <n v="1"/>
    <n v="1"/>
    <n v="0"/>
    <n v="0"/>
    <s v="NA"/>
    <s v="NA"/>
    <s v="NA"/>
    <s v="NA"/>
    <s v="NA"/>
    <s v="NA"/>
    <s v="NA"/>
    <x v="1"/>
    <x v="1"/>
    <n v="1"/>
    <n v="0"/>
    <n v="0"/>
    <n v="1"/>
    <n v="1"/>
    <n v="0"/>
    <x v="1"/>
    <n v="1"/>
    <n v="0"/>
    <n v="0"/>
    <n v="0"/>
    <x v="0"/>
  </r>
  <r>
    <s v="A2WKZI3JQCE3Z6"/>
    <x v="0"/>
    <n v="47"/>
    <s v="male"/>
    <x v="2"/>
    <x v="9"/>
    <n v="18195"/>
    <n v="1"/>
    <n v="1"/>
    <n v="1"/>
    <n v="0"/>
    <s v="Stores D and E."/>
    <s v="Store F."/>
    <s v="Store A."/>
    <s v="ms-l"/>
    <s v="fa"/>
    <s v="mo-h"/>
    <n v="0"/>
    <x v="2"/>
    <x v="2"/>
    <n v="0"/>
    <n v="1"/>
    <n v="0"/>
    <n v="1"/>
    <n v="0"/>
    <n v="1"/>
    <x v="2"/>
    <n v="0"/>
    <n v="1"/>
    <n v="0"/>
    <n v="0"/>
    <x v="0"/>
  </r>
  <r>
    <s v="A2WKZI3JQCE3Z6"/>
    <x v="0"/>
    <n v="47"/>
    <s v="male"/>
    <x v="3"/>
    <x v="8"/>
    <n v="36090"/>
    <n v="1"/>
    <n v="1"/>
    <n v="0"/>
    <n v="0"/>
    <s v="NA"/>
    <s v="NA"/>
    <s v="NA"/>
    <s v="NA"/>
    <s v="NA"/>
    <s v="NA"/>
    <s v="NA"/>
    <x v="2"/>
    <x v="2"/>
    <n v="0"/>
    <n v="1"/>
    <n v="0"/>
    <n v="1"/>
    <n v="0"/>
    <n v="1"/>
    <x v="2"/>
    <n v="0"/>
    <n v="1"/>
    <n v="0"/>
    <n v="0"/>
    <x v="0"/>
  </r>
  <r>
    <s v="A2WKZI3JQCE3Z6"/>
    <x v="0"/>
    <n v="47"/>
    <s v="male"/>
    <x v="2"/>
    <x v="7"/>
    <n v="23669"/>
    <n v="1"/>
    <n v="1"/>
    <n v="1"/>
    <n v="0"/>
    <s v="Stylists A and B."/>
    <s v="Stylist E."/>
    <s v="Stylists D and E."/>
    <s v="ms-h"/>
    <s v="mo-l"/>
    <s v="ms-l"/>
    <n v="0"/>
    <x v="1"/>
    <x v="1"/>
    <n v="1"/>
    <n v="1"/>
    <n v="0"/>
    <n v="1"/>
    <n v="0"/>
    <n v="0"/>
    <x v="1"/>
    <n v="1"/>
    <n v="1"/>
    <n v="0"/>
    <n v="0"/>
    <x v="0"/>
  </r>
  <r>
    <s v="A2WKZI3JQCE3Z6"/>
    <x v="0"/>
    <n v="47"/>
    <s v="male"/>
    <x v="3"/>
    <x v="5"/>
    <n v="26037"/>
    <n v="0"/>
    <n v="1"/>
    <n v="1"/>
    <n v="0"/>
    <s v="NA"/>
    <s v="NA"/>
    <s v="NA"/>
    <s v="NA"/>
    <s v="NA"/>
    <s v="NA"/>
    <s v="NA"/>
    <x v="1"/>
    <x v="1"/>
    <n v="1"/>
    <n v="1"/>
    <n v="0"/>
    <n v="1"/>
    <n v="0"/>
    <n v="0"/>
    <x v="1"/>
    <n v="1"/>
    <n v="1"/>
    <n v="0"/>
    <n v="0"/>
    <x v="0"/>
  </r>
  <r>
    <s v="A2WKZI3JQCE3Z6"/>
    <x v="0"/>
    <n v="47"/>
    <s v="male"/>
    <x v="4"/>
    <x v="0"/>
    <n v="71047"/>
    <s v="I wouldn't because colloquially these are equal."/>
    <s v="No%2C but I modified my a%2Cb%2Cc%2Cd%2Ce%2Cf answers to include everyone%2C because maybe the friends don't know EVERYWHERE someone shopped but they had partial information."/>
    <s v="Nah."/>
    <s v="NA"/>
    <s v="NA"/>
    <s v="NA"/>
    <s v="NA"/>
    <s v="NA"/>
    <s v="NA"/>
    <s v="NA"/>
    <s v="NA"/>
    <x v="0"/>
    <x v="0"/>
    <s v="NA"/>
    <s v="NA"/>
    <s v="NA"/>
    <s v="NA"/>
    <s v="NA"/>
    <s v="NA"/>
    <x v="0"/>
    <s v="NA"/>
    <s v="NA"/>
    <s v="NA"/>
    <s v="NA"/>
    <x v="0"/>
  </r>
  <r>
    <s v="A5TI9UQEPLNWI"/>
    <x v="0"/>
    <n v="43"/>
    <s v="male"/>
    <x v="0"/>
    <x v="0"/>
    <n v="40829"/>
    <s v="NA"/>
    <s v="NA"/>
    <s v="NA"/>
    <s v="NA"/>
    <s v="NA"/>
    <s v="NA"/>
    <s v="NA"/>
    <s v="NA"/>
    <s v="NA"/>
    <s v="NA"/>
    <s v="NA"/>
    <x v="0"/>
    <x v="0"/>
    <s v="NA"/>
    <s v="NA"/>
    <s v="NA"/>
    <s v="NA"/>
    <s v="NA"/>
    <s v="NA"/>
    <x v="0"/>
    <s v="NA"/>
    <s v="NA"/>
    <s v="NA"/>
    <s v="NA"/>
    <x v="0"/>
  </r>
  <r>
    <s v="A5TI9UQEPLNWI"/>
    <x v="0"/>
    <n v="43"/>
    <s v="male"/>
    <x v="1"/>
    <x v="2"/>
    <n v="48308"/>
    <n v="0"/>
    <n v="0"/>
    <n v="1"/>
    <n v="0"/>
    <s v="NA"/>
    <s v="NA"/>
    <s v="NA"/>
    <s v="NA"/>
    <s v="NA"/>
    <s v="NA"/>
    <s v="NA"/>
    <x v="0"/>
    <x v="0"/>
    <s v="NA"/>
    <s v="NA"/>
    <s v="NA"/>
    <s v="NA"/>
    <s v="NA"/>
    <s v="NA"/>
    <x v="0"/>
    <s v="NA"/>
    <s v="NA"/>
    <s v="NA"/>
    <s v="NA"/>
    <x v="0"/>
  </r>
  <r>
    <s v="A5TI9UQEPLNWI"/>
    <x v="0"/>
    <n v="43"/>
    <s v="male"/>
    <x v="1"/>
    <x v="1"/>
    <n v="96787"/>
    <n v="0"/>
    <n v="0"/>
    <n v="0"/>
    <n v="1"/>
    <s v="NA"/>
    <s v="NA"/>
    <s v="NA"/>
    <s v="NA"/>
    <s v="NA"/>
    <s v="NA"/>
    <s v="NA"/>
    <x v="0"/>
    <x v="0"/>
    <s v="NA"/>
    <s v="NA"/>
    <s v="NA"/>
    <s v="NA"/>
    <s v="NA"/>
    <s v="NA"/>
    <x v="0"/>
    <s v="NA"/>
    <s v="NA"/>
    <s v="NA"/>
    <s v="NA"/>
    <x v="0"/>
  </r>
  <r>
    <s v="A5TI9UQEPLNWI"/>
    <x v="0"/>
    <n v="43"/>
    <s v="male"/>
    <x v="2"/>
    <x v="11"/>
    <n v="66321"/>
    <n v="0"/>
    <n v="0"/>
    <n v="0"/>
    <n v="1"/>
    <s v="Dentists A and B."/>
    <s v="Dentists D and E."/>
    <s v="Dentist E."/>
    <s v="ms-h"/>
    <s v="ms-l"/>
    <s v="mo-l"/>
    <n v="0"/>
    <x v="1"/>
    <x v="1"/>
    <n v="1"/>
    <n v="1"/>
    <n v="0"/>
    <n v="1"/>
    <n v="0"/>
    <n v="0"/>
    <x v="2"/>
    <n v="0"/>
    <n v="0"/>
    <n v="0"/>
    <n v="1"/>
    <x v="0"/>
  </r>
  <r>
    <s v="A5TI9UQEPLNWI"/>
    <x v="0"/>
    <n v="43"/>
    <s v="male"/>
    <x v="2"/>
    <x v="3"/>
    <n v="20017"/>
    <n v="0"/>
    <n v="0"/>
    <n v="0"/>
    <n v="1"/>
    <s v="Cafe A."/>
    <s v="Cafe E."/>
    <s v="Cafe F."/>
    <s v="mo-h"/>
    <s v="mo-l"/>
    <s v="fa"/>
    <n v="0"/>
    <x v="2"/>
    <x v="1"/>
    <n v="0"/>
    <n v="0"/>
    <n v="0"/>
    <n v="1"/>
    <n v="0"/>
    <n v="0"/>
    <x v="2"/>
    <n v="0"/>
    <n v="0"/>
    <n v="0"/>
    <n v="1"/>
    <x v="0"/>
  </r>
  <r>
    <s v="A5TI9UQEPLNWI"/>
    <x v="0"/>
    <n v="43"/>
    <s v="male"/>
    <x v="3"/>
    <x v="10"/>
    <n v="46427"/>
    <n v="1"/>
    <n v="1"/>
    <n v="1"/>
    <n v="0"/>
    <s v="NA"/>
    <s v="NA"/>
    <s v="NA"/>
    <s v="NA"/>
    <s v="NA"/>
    <s v="NA"/>
    <s v="NA"/>
    <x v="2"/>
    <x v="1"/>
    <n v="0"/>
    <n v="0"/>
    <n v="0"/>
    <n v="1"/>
    <n v="0"/>
    <n v="0"/>
    <x v="2"/>
    <n v="0"/>
    <n v="0"/>
    <n v="0"/>
    <n v="1"/>
    <x v="0"/>
  </r>
  <r>
    <s v="A5TI9UQEPLNWI"/>
    <x v="0"/>
    <n v="43"/>
    <s v="male"/>
    <x v="2"/>
    <x v="4"/>
    <n v="14860"/>
    <n v="0"/>
    <n v="0"/>
    <n v="0"/>
    <n v="1"/>
    <s v="Stall A."/>
    <s v="Stalls D and E."/>
    <s v="Stall F."/>
    <s v="mo-h"/>
    <s v="ms-l"/>
    <s v="fa"/>
    <n v="0"/>
    <x v="2"/>
    <x v="2"/>
    <n v="0"/>
    <n v="1"/>
    <n v="0"/>
    <n v="1"/>
    <n v="0"/>
    <n v="0"/>
    <x v="2"/>
    <n v="0"/>
    <n v="0"/>
    <n v="0"/>
    <n v="1"/>
    <x v="0"/>
  </r>
  <r>
    <s v="A5TI9UQEPLNWI"/>
    <x v="0"/>
    <n v="43"/>
    <s v="male"/>
    <x v="2"/>
    <x v="6"/>
    <n v="17335"/>
    <n v="0"/>
    <n v="0"/>
    <n v="0"/>
    <n v="1"/>
    <s v="Bookstores A and B."/>
    <s v="Bookstore A."/>
    <s v="Bookstore F."/>
    <s v="ms-h"/>
    <s v="mo-h"/>
    <s v="fa"/>
    <n v="0"/>
    <x v="2"/>
    <x v="2"/>
    <n v="1"/>
    <n v="0"/>
    <n v="0"/>
    <n v="1"/>
    <n v="0"/>
    <n v="0"/>
    <x v="2"/>
    <n v="0"/>
    <n v="0"/>
    <n v="0"/>
    <n v="1"/>
    <x v="0"/>
  </r>
  <r>
    <s v="A5TI9UQEPLNWI"/>
    <x v="0"/>
    <n v="43"/>
    <s v="male"/>
    <x v="3"/>
    <x v="8"/>
    <n v="106665"/>
    <n v="1"/>
    <n v="0"/>
    <n v="0"/>
    <n v="0"/>
    <s v="NA"/>
    <s v="NA"/>
    <s v="NA"/>
    <s v="NA"/>
    <s v="NA"/>
    <s v="NA"/>
    <s v="NA"/>
    <x v="2"/>
    <x v="2"/>
    <n v="1"/>
    <n v="0"/>
    <n v="0"/>
    <n v="1"/>
    <n v="0"/>
    <n v="0"/>
    <x v="2"/>
    <n v="0"/>
    <n v="0"/>
    <n v="0"/>
    <n v="1"/>
    <x v="0"/>
  </r>
  <r>
    <s v="A5TI9UQEPLNWI"/>
    <x v="0"/>
    <n v="43"/>
    <s v="male"/>
    <x v="2"/>
    <x v="9"/>
    <n v="17595"/>
    <n v="1"/>
    <n v="0"/>
    <n v="0"/>
    <n v="0"/>
    <s v="Stores A, B, C, D and E."/>
    <s v="Store A."/>
    <s v="Stores A and B."/>
    <s v="exh"/>
    <s v="mo-h"/>
    <s v="ms-h"/>
    <n v="1"/>
    <x v="2"/>
    <x v="2"/>
    <n v="1"/>
    <n v="0"/>
    <n v="0"/>
    <n v="1"/>
    <n v="1"/>
    <n v="0"/>
    <x v="2"/>
    <n v="0"/>
    <n v="0"/>
    <n v="0"/>
    <n v="0"/>
    <x v="0"/>
  </r>
  <r>
    <s v="A5TI9UQEPLNWI"/>
    <x v="0"/>
    <n v="43"/>
    <s v="male"/>
    <x v="3"/>
    <x v="5"/>
    <n v="58604"/>
    <n v="0"/>
    <n v="1"/>
    <n v="0"/>
    <n v="0"/>
    <s v="NA"/>
    <s v="NA"/>
    <s v="NA"/>
    <s v="NA"/>
    <s v="NA"/>
    <s v="NA"/>
    <s v="NA"/>
    <x v="2"/>
    <x v="2"/>
    <n v="1"/>
    <n v="0"/>
    <n v="0"/>
    <n v="1"/>
    <n v="1"/>
    <n v="0"/>
    <x v="2"/>
    <n v="0"/>
    <n v="0"/>
    <n v="0"/>
    <n v="0"/>
    <x v="0"/>
  </r>
  <r>
    <s v="A5TI9UQEPLNWI"/>
    <x v="0"/>
    <n v="43"/>
    <s v="male"/>
    <x v="2"/>
    <x v="7"/>
    <n v="25962"/>
    <n v="0"/>
    <n v="0"/>
    <n v="0"/>
    <n v="1"/>
    <s v="Stylist E."/>
    <s v="Stylist A."/>
    <s v="Stylists D and E."/>
    <s v="mo-l"/>
    <s v="mo-h"/>
    <s v="ms-l"/>
    <n v="0"/>
    <x v="2"/>
    <x v="1"/>
    <n v="0"/>
    <n v="1"/>
    <n v="0"/>
    <n v="1"/>
    <n v="0"/>
    <n v="0"/>
    <x v="2"/>
    <n v="0"/>
    <n v="0"/>
    <n v="0"/>
    <n v="1"/>
    <x v="0"/>
  </r>
  <r>
    <s v="A5TI9UQEPLNWI"/>
    <x v="0"/>
    <n v="43"/>
    <s v="male"/>
    <x v="3"/>
    <x v="12"/>
    <n v="39077"/>
    <n v="1"/>
    <n v="0"/>
    <n v="0"/>
    <n v="0"/>
    <s v="NA"/>
    <s v="NA"/>
    <s v="NA"/>
    <s v="NA"/>
    <s v="NA"/>
    <s v="NA"/>
    <s v="NA"/>
    <x v="2"/>
    <x v="1"/>
    <n v="0"/>
    <n v="1"/>
    <n v="0"/>
    <n v="1"/>
    <n v="0"/>
    <n v="0"/>
    <x v="2"/>
    <n v="0"/>
    <n v="0"/>
    <n v="0"/>
    <n v="1"/>
    <x v="0"/>
  </r>
  <r>
    <s v="A5TI9UQEPLNWI"/>
    <x v="0"/>
    <n v="43"/>
    <s v="male"/>
    <x v="4"/>
    <x v="0"/>
    <n v="162322"/>
    <s v="Yes%2C I would give just a list of restaurants serving brunch for the &quot;which&quot; question%2C and more of a ranked selection of favorites for the &quot;can&quot; question."/>
    <s v="Not too difficult. Just tried to give answers based on my first impression."/>
    <s v="A bit long for a dollar if you want thoughtful answers from the crowd."/>
    <s v="NA"/>
    <s v="NA"/>
    <s v="NA"/>
    <s v="NA"/>
    <s v="NA"/>
    <s v="NA"/>
    <s v="NA"/>
    <s v="NA"/>
    <x v="0"/>
    <x v="0"/>
    <s v="NA"/>
    <s v="NA"/>
    <s v="NA"/>
    <s v="NA"/>
    <s v="NA"/>
    <s v="NA"/>
    <x v="0"/>
    <s v="NA"/>
    <s v="NA"/>
    <s v="NA"/>
    <s v="NA"/>
    <x v="0"/>
  </r>
  <r>
    <s v="A1HXEXQTZCJ1DW"/>
    <x v="0"/>
    <n v="34"/>
    <s v="female"/>
    <x v="0"/>
    <x v="0"/>
    <n v="38558"/>
    <s v="NA"/>
    <s v="NA"/>
    <s v="NA"/>
    <s v="NA"/>
    <s v="NA"/>
    <s v="NA"/>
    <s v="NA"/>
    <s v="NA"/>
    <s v="NA"/>
    <s v="NA"/>
    <s v="NA"/>
    <x v="0"/>
    <x v="0"/>
    <s v="NA"/>
    <s v="NA"/>
    <s v="NA"/>
    <s v="NA"/>
    <s v="NA"/>
    <s v="NA"/>
    <x v="0"/>
    <s v="NA"/>
    <s v="NA"/>
    <s v="NA"/>
    <s v="NA"/>
    <x v="0"/>
  </r>
  <r>
    <s v="A1HXEXQTZCJ1DW"/>
    <x v="0"/>
    <n v="34"/>
    <s v="female"/>
    <x v="1"/>
    <x v="1"/>
    <n v="75959"/>
    <n v="0"/>
    <n v="0"/>
    <n v="0"/>
    <n v="1"/>
    <s v="NA"/>
    <s v="NA"/>
    <s v="NA"/>
    <s v="NA"/>
    <s v="NA"/>
    <s v="NA"/>
    <s v="NA"/>
    <x v="0"/>
    <x v="0"/>
    <s v="NA"/>
    <s v="NA"/>
    <s v="NA"/>
    <s v="NA"/>
    <s v="NA"/>
    <s v="NA"/>
    <x v="0"/>
    <s v="NA"/>
    <s v="NA"/>
    <s v="NA"/>
    <s v="NA"/>
    <x v="0"/>
  </r>
  <r>
    <s v="A1HXEXQTZCJ1DW"/>
    <x v="0"/>
    <n v="34"/>
    <s v="female"/>
    <x v="1"/>
    <x v="2"/>
    <n v="79821"/>
    <n v="0"/>
    <n v="1"/>
    <n v="1"/>
    <n v="0"/>
    <s v="NA"/>
    <s v="NA"/>
    <s v="NA"/>
    <s v="NA"/>
    <s v="NA"/>
    <s v="NA"/>
    <s v="NA"/>
    <x v="0"/>
    <x v="0"/>
    <s v="NA"/>
    <s v="NA"/>
    <s v="NA"/>
    <s v="NA"/>
    <s v="NA"/>
    <s v="NA"/>
    <x v="0"/>
    <s v="NA"/>
    <s v="NA"/>
    <s v="NA"/>
    <s v="NA"/>
    <x v="0"/>
  </r>
  <r>
    <s v="A1HXEXQTZCJ1DW"/>
    <x v="0"/>
    <n v="34"/>
    <s v="female"/>
    <x v="2"/>
    <x v="6"/>
    <n v="142043"/>
    <n v="0"/>
    <n v="0"/>
    <n v="0"/>
    <n v="1"/>
    <s v="Bookstore A."/>
    <s v="Bookstore F."/>
    <s v="Bookstore E."/>
    <s v="mo-h"/>
    <s v="fa"/>
    <s v="mo-l"/>
    <n v="0"/>
    <x v="2"/>
    <x v="1"/>
    <n v="0"/>
    <n v="0"/>
    <n v="0"/>
    <n v="1"/>
    <n v="0"/>
    <n v="0"/>
    <x v="2"/>
    <n v="0"/>
    <n v="0"/>
    <n v="0"/>
    <n v="1"/>
    <x v="0"/>
  </r>
  <r>
    <s v="A1HXEXQTZCJ1DW"/>
    <x v="0"/>
    <n v="34"/>
    <s v="female"/>
    <x v="2"/>
    <x v="11"/>
    <n v="37381"/>
    <n v="0"/>
    <n v="0"/>
    <n v="0"/>
    <n v="1"/>
    <s v="Dentist A."/>
    <s v="Dentists D and E."/>
    <s v="Dentist E."/>
    <s v="mo-h"/>
    <s v="ms-l"/>
    <s v="mo-l"/>
    <n v="0"/>
    <x v="2"/>
    <x v="1"/>
    <n v="0"/>
    <n v="1"/>
    <n v="0"/>
    <n v="1"/>
    <n v="0"/>
    <n v="0"/>
    <x v="2"/>
    <n v="0"/>
    <n v="0"/>
    <n v="0"/>
    <n v="1"/>
    <x v="0"/>
  </r>
  <r>
    <s v="A1HXEXQTZCJ1DW"/>
    <x v="0"/>
    <n v="34"/>
    <s v="female"/>
    <x v="3"/>
    <x v="12"/>
    <n v="34993"/>
    <n v="1"/>
    <n v="1"/>
    <n v="0"/>
    <n v="0"/>
    <s v="NA"/>
    <s v="NA"/>
    <s v="NA"/>
    <s v="NA"/>
    <s v="NA"/>
    <s v="NA"/>
    <s v="NA"/>
    <x v="2"/>
    <x v="1"/>
    <n v="0"/>
    <n v="1"/>
    <n v="0"/>
    <n v="1"/>
    <n v="0"/>
    <n v="0"/>
    <x v="2"/>
    <n v="0"/>
    <n v="0"/>
    <n v="0"/>
    <n v="1"/>
    <x v="0"/>
  </r>
  <r>
    <s v="A1HXEXQTZCJ1DW"/>
    <x v="0"/>
    <n v="34"/>
    <s v="female"/>
    <x v="2"/>
    <x v="7"/>
    <n v="58005"/>
    <n v="0"/>
    <n v="0"/>
    <n v="1"/>
    <n v="0"/>
    <s v="Stylist E."/>
    <s v="Stylists D and E."/>
    <s v="Stylists A and B."/>
    <s v="mo-l"/>
    <s v="ms-l"/>
    <s v="ms-h"/>
    <n v="0"/>
    <x v="1"/>
    <x v="1"/>
    <n v="1"/>
    <n v="1"/>
    <n v="0"/>
    <n v="1"/>
    <n v="0"/>
    <n v="0"/>
    <x v="2"/>
    <n v="1"/>
    <n v="0"/>
    <n v="0"/>
    <n v="0"/>
    <x v="0"/>
  </r>
  <r>
    <s v="A1HXEXQTZCJ1DW"/>
    <x v="0"/>
    <n v="34"/>
    <s v="female"/>
    <x v="2"/>
    <x v="3"/>
    <n v="37442"/>
    <n v="0"/>
    <n v="0"/>
    <n v="1"/>
    <n v="0"/>
    <s v="Cafe E."/>
    <s v="Cafes D and E."/>
    <s v="Cafe A."/>
    <s v="mo-l"/>
    <s v="ms-l"/>
    <s v="mo-h"/>
    <n v="0"/>
    <x v="2"/>
    <x v="1"/>
    <n v="0"/>
    <n v="1"/>
    <n v="0"/>
    <n v="1"/>
    <n v="0"/>
    <n v="1"/>
    <x v="2"/>
    <n v="0"/>
    <n v="0"/>
    <n v="0"/>
    <n v="0"/>
    <x v="0"/>
  </r>
  <r>
    <s v="A1HXEXQTZCJ1DW"/>
    <x v="0"/>
    <n v="34"/>
    <s v="female"/>
    <x v="3"/>
    <x v="8"/>
    <n v="55854"/>
    <n v="1"/>
    <n v="1"/>
    <n v="0"/>
    <n v="0"/>
    <s v="NA"/>
    <s v="NA"/>
    <s v="NA"/>
    <s v="NA"/>
    <s v="NA"/>
    <s v="NA"/>
    <s v="NA"/>
    <x v="2"/>
    <x v="1"/>
    <n v="0"/>
    <n v="1"/>
    <n v="0"/>
    <n v="1"/>
    <n v="0"/>
    <n v="1"/>
    <x v="2"/>
    <n v="0"/>
    <n v="0"/>
    <n v="0"/>
    <n v="0"/>
    <x v="0"/>
  </r>
  <r>
    <s v="A1HXEXQTZCJ1DW"/>
    <x v="0"/>
    <n v="34"/>
    <s v="female"/>
    <x v="2"/>
    <x v="4"/>
    <n v="19773"/>
    <n v="1"/>
    <n v="0"/>
    <n v="0"/>
    <n v="0"/>
    <s v="Stall A."/>
    <s v="Stall F."/>
    <s v="Stall E."/>
    <s v="mo-h"/>
    <s v="fa"/>
    <s v="mo-l"/>
    <n v="0"/>
    <x v="2"/>
    <x v="1"/>
    <n v="0"/>
    <n v="0"/>
    <n v="0"/>
    <n v="1"/>
    <n v="0"/>
    <n v="1"/>
    <x v="2"/>
    <n v="0"/>
    <n v="0"/>
    <n v="0"/>
    <n v="0"/>
    <x v="0"/>
  </r>
  <r>
    <s v="A1HXEXQTZCJ1DW"/>
    <x v="0"/>
    <n v="34"/>
    <s v="female"/>
    <x v="3"/>
    <x v="5"/>
    <n v="49280"/>
    <n v="1"/>
    <n v="1"/>
    <n v="1"/>
    <n v="0"/>
    <s v="NA"/>
    <s v="NA"/>
    <s v="NA"/>
    <s v="NA"/>
    <s v="NA"/>
    <s v="NA"/>
    <s v="NA"/>
    <x v="2"/>
    <x v="1"/>
    <n v="0"/>
    <n v="0"/>
    <n v="0"/>
    <n v="1"/>
    <n v="0"/>
    <n v="1"/>
    <x v="2"/>
    <n v="0"/>
    <n v="0"/>
    <n v="0"/>
    <n v="0"/>
    <x v="0"/>
  </r>
  <r>
    <s v="A1HXEXQTZCJ1DW"/>
    <x v="0"/>
    <n v="34"/>
    <s v="female"/>
    <x v="2"/>
    <x v="9"/>
    <n v="25028"/>
    <n v="1"/>
    <n v="0"/>
    <n v="0"/>
    <n v="0"/>
    <s v="Stores A and B."/>
    <s v="Stores D and E."/>
    <s v="Store E."/>
    <s v="ms-h"/>
    <s v="ms-l"/>
    <s v="mo-l"/>
    <n v="0"/>
    <x v="1"/>
    <x v="1"/>
    <n v="1"/>
    <n v="1"/>
    <n v="0"/>
    <n v="1"/>
    <n v="0"/>
    <n v="0"/>
    <x v="2"/>
    <n v="1"/>
    <n v="0"/>
    <n v="0"/>
    <n v="0"/>
    <x v="0"/>
  </r>
  <r>
    <s v="A1HXEXQTZCJ1DW"/>
    <x v="0"/>
    <n v="34"/>
    <s v="female"/>
    <x v="3"/>
    <x v="10"/>
    <n v="21911"/>
    <n v="1"/>
    <n v="1"/>
    <n v="0"/>
    <n v="0"/>
    <s v="NA"/>
    <s v="NA"/>
    <s v="NA"/>
    <s v="NA"/>
    <s v="NA"/>
    <s v="NA"/>
    <s v="NA"/>
    <x v="1"/>
    <x v="1"/>
    <n v="1"/>
    <n v="1"/>
    <n v="0"/>
    <n v="1"/>
    <n v="0"/>
    <n v="0"/>
    <x v="2"/>
    <n v="1"/>
    <n v="0"/>
    <n v="0"/>
    <n v="0"/>
    <x v="0"/>
  </r>
  <r>
    <s v="A1HXEXQTZCJ1DW"/>
    <x v="0"/>
    <n v="34"/>
    <s v="female"/>
    <x v="4"/>
    <x v="0"/>
    <n v="78876"/>
    <s v="it's basically the same question so no"/>
    <s v="I didnt really understand the ranking questions"/>
    <m/>
    <s v="NA"/>
    <s v="NA"/>
    <s v="NA"/>
    <s v="NA"/>
    <s v="NA"/>
    <s v="NA"/>
    <s v="NA"/>
    <s v="NA"/>
    <x v="0"/>
    <x v="0"/>
    <s v="NA"/>
    <s v="NA"/>
    <s v="NA"/>
    <s v="NA"/>
    <s v="NA"/>
    <s v="NA"/>
    <x v="0"/>
    <s v="NA"/>
    <s v="NA"/>
    <s v="NA"/>
    <s v="NA"/>
    <x v="0"/>
  </r>
  <r>
    <s v="A1E1ZAHNCSVLIT"/>
    <x v="0"/>
    <n v="39"/>
    <s v="male"/>
    <x v="0"/>
    <x v="0"/>
    <n v="84444"/>
    <s v="NA"/>
    <s v="NA"/>
    <s v="NA"/>
    <s v="NA"/>
    <s v="NA"/>
    <s v="NA"/>
    <s v="NA"/>
    <s v="NA"/>
    <s v="NA"/>
    <s v="NA"/>
    <s v="NA"/>
    <x v="0"/>
    <x v="0"/>
    <s v="NA"/>
    <s v="NA"/>
    <s v="NA"/>
    <s v="NA"/>
    <s v="NA"/>
    <s v="NA"/>
    <x v="0"/>
    <s v="NA"/>
    <s v="NA"/>
    <s v="NA"/>
    <s v="NA"/>
    <x v="0"/>
  </r>
  <r>
    <s v="A1E1ZAHNCSVLIT"/>
    <x v="0"/>
    <n v="39"/>
    <s v="male"/>
    <x v="1"/>
    <x v="2"/>
    <n v="85193"/>
    <n v="0"/>
    <n v="1"/>
    <n v="1"/>
    <n v="0"/>
    <s v="NA"/>
    <s v="NA"/>
    <s v="NA"/>
    <s v="NA"/>
    <s v="NA"/>
    <s v="NA"/>
    <s v="NA"/>
    <x v="0"/>
    <x v="0"/>
    <s v="NA"/>
    <s v="NA"/>
    <s v="NA"/>
    <s v="NA"/>
    <s v="NA"/>
    <s v="NA"/>
    <x v="0"/>
    <s v="NA"/>
    <s v="NA"/>
    <s v="NA"/>
    <s v="NA"/>
    <x v="0"/>
  </r>
  <r>
    <s v="A1E1ZAHNCSVLIT"/>
    <x v="0"/>
    <n v="39"/>
    <s v="male"/>
    <x v="1"/>
    <x v="1"/>
    <n v="58012"/>
    <n v="0"/>
    <n v="0"/>
    <n v="0"/>
    <n v="1"/>
    <s v="NA"/>
    <s v="NA"/>
    <s v="NA"/>
    <s v="NA"/>
    <s v="NA"/>
    <s v="NA"/>
    <s v="NA"/>
    <x v="0"/>
    <x v="0"/>
    <s v="NA"/>
    <s v="NA"/>
    <s v="NA"/>
    <s v="NA"/>
    <s v="NA"/>
    <s v="NA"/>
    <x v="0"/>
    <s v="NA"/>
    <s v="NA"/>
    <s v="NA"/>
    <s v="NA"/>
    <x v="0"/>
  </r>
  <r>
    <s v="A1E1ZAHNCSVLIT"/>
    <x v="0"/>
    <n v="39"/>
    <s v="male"/>
    <x v="2"/>
    <x v="6"/>
    <n v="88019"/>
    <n v="1"/>
    <n v="1"/>
    <n v="1"/>
    <n v="0"/>
    <s v="Bookstore E."/>
    <s v="Bookstore A."/>
    <s v="Bookstore F."/>
    <s v="mo-l"/>
    <s v="mo-h"/>
    <s v="fa"/>
    <n v="0"/>
    <x v="2"/>
    <x v="1"/>
    <n v="0"/>
    <n v="0"/>
    <n v="0"/>
    <n v="1"/>
    <n v="0"/>
    <n v="1"/>
    <x v="1"/>
    <n v="0"/>
    <n v="0"/>
    <n v="0"/>
    <n v="0"/>
    <x v="0"/>
  </r>
  <r>
    <s v="A1E1ZAHNCSVLIT"/>
    <x v="0"/>
    <n v="39"/>
    <s v="male"/>
    <x v="2"/>
    <x v="7"/>
    <n v="66975"/>
    <n v="1"/>
    <n v="1"/>
    <n v="1"/>
    <n v="0"/>
    <s v="Stylist A."/>
    <s v="Stylists A and B."/>
    <s v="Stylist E."/>
    <s v="mo-h"/>
    <s v="ms-h"/>
    <s v="mo-l"/>
    <n v="0"/>
    <x v="2"/>
    <x v="1"/>
    <n v="1"/>
    <n v="0"/>
    <n v="0"/>
    <n v="1"/>
    <n v="0"/>
    <n v="1"/>
    <x v="1"/>
    <n v="1"/>
    <n v="0"/>
    <n v="0"/>
    <n v="0"/>
    <x v="0"/>
  </r>
  <r>
    <s v="A1E1ZAHNCSVLIT"/>
    <x v="0"/>
    <n v="39"/>
    <s v="male"/>
    <x v="3"/>
    <x v="10"/>
    <n v="64932"/>
    <n v="0"/>
    <n v="1"/>
    <n v="0"/>
    <n v="0"/>
    <s v="NA"/>
    <s v="NA"/>
    <s v="NA"/>
    <s v="NA"/>
    <s v="NA"/>
    <s v="NA"/>
    <s v="NA"/>
    <x v="2"/>
    <x v="1"/>
    <n v="1"/>
    <n v="0"/>
    <n v="0"/>
    <n v="1"/>
    <n v="0"/>
    <n v="1"/>
    <x v="1"/>
    <n v="1"/>
    <n v="0"/>
    <n v="0"/>
    <n v="0"/>
    <x v="0"/>
  </r>
  <r>
    <s v="A1E1ZAHNCSVLIT"/>
    <x v="0"/>
    <n v="39"/>
    <s v="male"/>
    <x v="2"/>
    <x v="4"/>
    <n v="61139"/>
    <n v="0"/>
    <n v="0"/>
    <n v="1"/>
    <n v="0"/>
    <s v="Stall A."/>
    <s v="Stalls A and B."/>
    <s v="Stall F."/>
    <s v="mo-h"/>
    <s v="ms-h"/>
    <s v="fa"/>
    <n v="0"/>
    <x v="2"/>
    <x v="2"/>
    <n v="1"/>
    <n v="0"/>
    <n v="0"/>
    <n v="1"/>
    <n v="0"/>
    <n v="0"/>
    <x v="2"/>
    <n v="0"/>
    <n v="0"/>
    <n v="0"/>
    <n v="0"/>
    <x v="0"/>
  </r>
  <r>
    <s v="A1E1ZAHNCSVLIT"/>
    <x v="0"/>
    <n v="39"/>
    <s v="male"/>
    <x v="3"/>
    <x v="12"/>
    <n v="35018"/>
    <n v="1"/>
    <n v="0"/>
    <n v="0"/>
    <n v="0"/>
    <s v="NA"/>
    <s v="NA"/>
    <s v="NA"/>
    <s v="NA"/>
    <s v="NA"/>
    <s v="NA"/>
    <s v="NA"/>
    <x v="2"/>
    <x v="2"/>
    <n v="1"/>
    <n v="0"/>
    <n v="0"/>
    <n v="1"/>
    <n v="0"/>
    <n v="0"/>
    <x v="2"/>
    <n v="0"/>
    <n v="0"/>
    <n v="0"/>
    <n v="0"/>
    <x v="0"/>
  </r>
  <r>
    <s v="A1E1ZAHNCSVLIT"/>
    <x v="0"/>
    <n v="39"/>
    <s v="male"/>
    <x v="2"/>
    <x v="9"/>
    <n v="47395"/>
    <n v="1"/>
    <n v="1"/>
    <n v="1"/>
    <n v="1"/>
    <s v="Stores A and B."/>
    <s v="Store F."/>
    <s v="Stores A, B, C, D and E."/>
    <s v="ms-h"/>
    <s v="fa"/>
    <s v="exh"/>
    <n v="1"/>
    <x v="1"/>
    <x v="2"/>
    <n v="1"/>
    <n v="0"/>
    <n v="0"/>
    <n v="1"/>
    <n v="1"/>
    <n v="0"/>
    <x v="2"/>
    <n v="1"/>
    <n v="0"/>
    <n v="0"/>
    <n v="1"/>
    <x v="0"/>
  </r>
  <r>
    <s v="A1E1ZAHNCSVLIT"/>
    <x v="0"/>
    <n v="39"/>
    <s v="male"/>
    <x v="2"/>
    <x v="3"/>
    <n v="44221"/>
    <n v="1"/>
    <n v="1"/>
    <n v="1"/>
    <n v="0"/>
    <s v="Cafes D and E."/>
    <s v="Cafe A."/>
    <s v="Cafes A and B."/>
    <s v="ms-l"/>
    <s v="mo-h"/>
    <s v="ms-h"/>
    <n v="0"/>
    <x v="2"/>
    <x v="2"/>
    <n v="1"/>
    <n v="1"/>
    <n v="0"/>
    <n v="1"/>
    <n v="0"/>
    <n v="1"/>
    <x v="2"/>
    <n v="1"/>
    <n v="1"/>
    <n v="0"/>
    <n v="0"/>
    <x v="0"/>
  </r>
  <r>
    <s v="A1E1ZAHNCSVLIT"/>
    <x v="0"/>
    <n v="39"/>
    <s v="male"/>
    <x v="3"/>
    <x v="5"/>
    <n v="60907"/>
    <n v="0"/>
    <n v="1"/>
    <n v="1"/>
    <n v="0"/>
    <s v="NA"/>
    <s v="NA"/>
    <s v="NA"/>
    <s v="NA"/>
    <s v="NA"/>
    <s v="NA"/>
    <s v="NA"/>
    <x v="2"/>
    <x v="2"/>
    <n v="1"/>
    <n v="1"/>
    <n v="0"/>
    <n v="1"/>
    <n v="0"/>
    <n v="1"/>
    <x v="2"/>
    <n v="1"/>
    <n v="1"/>
    <n v="0"/>
    <n v="0"/>
    <x v="0"/>
  </r>
  <r>
    <s v="A1E1ZAHNCSVLIT"/>
    <x v="0"/>
    <n v="39"/>
    <s v="male"/>
    <x v="2"/>
    <x v="11"/>
    <n v="17558"/>
    <n v="1"/>
    <n v="1"/>
    <n v="0"/>
    <n v="0"/>
    <s v="Dentists A and B."/>
    <s v="Dentists A, B, C, D and E."/>
    <s v="Dentist F."/>
    <s v="ms-h"/>
    <s v="exh"/>
    <s v="fa"/>
    <n v="1"/>
    <x v="1"/>
    <x v="2"/>
    <n v="1"/>
    <n v="0"/>
    <n v="0"/>
    <n v="1"/>
    <n v="1"/>
    <n v="0"/>
    <x v="2"/>
    <n v="1"/>
    <n v="0"/>
    <n v="0"/>
    <n v="0"/>
    <x v="0"/>
  </r>
  <r>
    <s v="A1E1ZAHNCSVLIT"/>
    <x v="0"/>
    <n v="39"/>
    <s v="male"/>
    <x v="3"/>
    <x v="8"/>
    <n v="39363"/>
    <n v="1"/>
    <n v="1"/>
    <n v="0"/>
    <n v="0"/>
    <s v="NA"/>
    <s v="NA"/>
    <s v="NA"/>
    <s v="NA"/>
    <s v="NA"/>
    <s v="NA"/>
    <s v="NA"/>
    <x v="1"/>
    <x v="2"/>
    <n v="1"/>
    <n v="0"/>
    <n v="0"/>
    <n v="1"/>
    <n v="1"/>
    <n v="0"/>
    <x v="2"/>
    <n v="1"/>
    <n v="0"/>
    <n v="0"/>
    <n v="0"/>
    <x v="0"/>
  </r>
  <r>
    <s v="A1E1ZAHNCSVLIT"/>
    <x v="0"/>
    <n v="39"/>
    <s v="male"/>
    <x v="4"/>
    <x v="0"/>
    <n v="96714"/>
    <s v="No%2C I feel this is basically the same question just rephrased."/>
    <s v="Yes I was confused with a lot of the wording and the bubble set up."/>
    <s v="thank you"/>
    <s v="NA"/>
    <s v="NA"/>
    <s v="NA"/>
    <s v="NA"/>
    <s v="NA"/>
    <s v="NA"/>
    <s v="NA"/>
    <s v="NA"/>
    <x v="0"/>
    <x v="0"/>
    <s v="NA"/>
    <s v="NA"/>
    <s v="NA"/>
    <s v="NA"/>
    <s v="NA"/>
    <s v="NA"/>
    <x v="0"/>
    <s v="NA"/>
    <s v="NA"/>
    <s v="NA"/>
    <s v="NA"/>
    <x v="0"/>
  </r>
  <r>
    <s v="A1FS8SBR4SDWYG"/>
    <x v="0"/>
    <n v="32"/>
    <s v="female"/>
    <x v="0"/>
    <x v="0"/>
    <n v="72469"/>
    <s v="NA"/>
    <s v="NA"/>
    <s v="NA"/>
    <s v="NA"/>
    <s v="NA"/>
    <s v="NA"/>
    <s v="NA"/>
    <s v="NA"/>
    <s v="NA"/>
    <s v="NA"/>
    <s v="NA"/>
    <x v="0"/>
    <x v="0"/>
    <s v="NA"/>
    <s v="NA"/>
    <s v="NA"/>
    <s v="NA"/>
    <s v="NA"/>
    <s v="NA"/>
    <x v="0"/>
    <s v="NA"/>
    <s v="NA"/>
    <s v="NA"/>
    <s v="NA"/>
    <x v="0"/>
  </r>
  <r>
    <s v="A1FS8SBR4SDWYG"/>
    <x v="0"/>
    <n v="32"/>
    <s v="female"/>
    <x v="1"/>
    <x v="1"/>
    <n v="23651"/>
    <n v="0"/>
    <n v="0"/>
    <n v="0"/>
    <n v="1"/>
    <s v="NA"/>
    <s v="NA"/>
    <s v="NA"/>
    <s v="NA"/>
    <s v="NA"/>
    <s v="NA"/>
    <s v="NA"/>
    <x v="0"/>
    <x v="0"/>
    <s v="NA"/>
    <s v="NA"/>
    <s v="NA"/>
    <s v="NA"/>
    <s v="NA"/>
    <s v="NA"/>
    <x v="0"/>
    <s v="NA"/>
    <s v="NA"/>
    <s v="NA"/>
    <s v="NA"/>
    <x v="0"/>
  </r>
  <r>
    <s v="A1FS8SBR4SDWYG"/>
    <x v="0"/>
    <n v="32"/>
    <s v="female"/>
    <x v="1"/>
    <x v="2"/>
    <n v="26937"/>
    <n v="0"/>
    <n v="0"/>
    <n v="1"/>
    <n v="0"/>
    <s v="NA"/>
    <s v="NA"/>
    <s v="NA"/>
    <s v="NA"/>
    <s v="NA"/>
    <s v="NA"/>
    <s v="NA"/>
    <x v="0"/>
    <x v="0"/>
    <s v="NA"/>
    <s v="NA"/>
    <s v="NA"/>
    <s v="NA"/>
    <s v="NA"/>
    <s v="NA"/>
    <x v="0"/>
    <s v="NA"/>
    <s v="NA"/>
    <s v="NA"/>
    <s v="NA"/>
    <x v="0"/>
  </r>
  <r>
    <s v="A1FS8SBR4SDWYG"/>
    <x v="0"/>
    <n v="32"/>
    <s v="female"/>
    <x v="2"/>
    <x v="11"/>
    <n v="48418"/>
    <n v="0"/>
    <n v="0"/>
    <n v="0"/>
    <n v="1"/>
    <s v="Dentist F."/>
    <s v="Dentists D and E."/>
    <s v="Dentist E."/>
    <s v="fa"/>
    <s v="ms-l"/>
    <s v="mo-l"/>
    <n v="0"/>
    <x v="1"/>
    <x v="1"/>
    <n v="0"/>
    <n v="1"/>
    <n v="0"/>
    <n v="1"/>
    <n v="0"/>
    <n v="0"/>
    <x v="2"/>
    <n v="0"/>
    <n v="0"/>
    <n v="0"/>
    <n v="1"/>
    <x v="0"/>
  </r>
  <r>
    <s v="A1FS8SBR4SDWYG"/>
    <x v="0"/>
    <n v="32"/>
    <s v="female"/>
    <x v="2"/>
    <x v="6"/>
    <n v="39951"/>
    <n v="1"/>
    <n v="1"/>
    <n v="1"/>
    <n v="0"/>
    <s v="Bookstore E."/>
    <s v="Bookstore F."/>
    <s v="Bookstore A."/>
    <s v="mo-l"/>
    <s v="fa"/>
    <s v="mo-h"/>
    <n v="0"/>
    <x v="2"/>
    <x v="1"/>
    <n v="0"/>
    <n v="0"/>
    <n v="0"/>
    <n v="1"/>
    <n v="0"/>
    <n v="1"/>
    <x v="1"/>
    <n v="0"/>
    <n v="0"/>
    <n v="0"/>
    <n v="0"/>
    <x v="0"/>
  </r>
  <r>
    <s v="A1FS8SBR4SDWYG"/>
    <x v="0"/>
    <n v="32"/>
    <s v="female"/>
    <x v="3"/>
    <x v="8"/>
    <n v="20435"/>
    <n v="1"/>
    <n v="1"/>
    <n v="0"/>
    <n v="0"/>
    <s v="NA"/>
    <s v="NA"/>
    <s v="NA"/>
    <s v="NA"/>
    <s v="NA"/>
    <s v="NA"/>
    <s v="NA"/>
    <x v="2"/>
    <x v="1"/>
    <n v="0"/>
    <n v="0"/>
    <n v="0"/>
    <n v="1"/>
    <n v="0"/>
    <n v="1"/>
    <x v="1"/>
    <n v="0"/>
    <n v="0"/>
    <n v="0"/>
    <n v="0"/>
    <x v="0"/>
  </r>
  <r>
    <s v="A1FS8SBR4SDWYG"/>
    <x v="0"/>
    <n v="32"/>
    <s v="female"/>
    <x v="2"/>
    <x v="3"/>
    <n v="23142"/>
    <n v="1"/>
    <n v="1"/>
    <n v="1"/>
    <n v="0"/>
    <s v="Cafe A."/>
    <s v="Cafes A and B."/>
    <s v="Cafe E."/>
    <s v="mo-h"/>
    <s v="ms-h"/>
    <s v="mo-l"/>
    <n v="0"/>
    <x v="2"/>
    <x v="1"/>
    <n v="1"/>
    <n v="0"/>
    <n v="0"/>
    <n v="1"/>
    <n v="0"/>
    <n v="1"/>
    <x v="1"/>
    <n v="1"/>
    <n v="0"/>
    <n v="0"/>
    <n v="0"/>
    <x v="0"/>
  </r>
  <r>
    <s v="A1FS8SBR4SDWYG"/>
    <x v="0"/>
    <n v="32"/>
    <s v="female"/>
    <x v="3"/>
    <x v="5"/>
    <n v="28452"/>
    <n v="0"/>
    <n v="0"/>
    <n v="1"/>
    <n v="0"/>
    <s v="NA"/>
    <s v="NA"/>
    <s v="NA"/>
    <s v="NA"/>
    <s v="NA"/>
    <s v="NA"/>
    <s v="NA"/>
    <x v="2"/>
    <x v="1"/>
    <n v="1"/>
    <n v="0"/>
    <n v="0"/>
    <n v="1"/>
    <n v="0"/>
    <n v="1"/>
    <x v="1"/>
    <n v="1"/>
    <n v="0"/>
    <n v="0"/>
    <n v="0"/>
    <x v="0"/>
  </r>
  <r>
    <s v="A1FS8SBR4SDWYG"/>
    <x v="0"/>
    <n v="32"/>
    <s v="female"/>
    <x v="2"/>
    <x v="4"/>
    <n v="49658"/>
    <n v="0"/>
    <n v="0"/>
    <n v="0"/>
    <n v="1"/>
    <s v="Stall F."/>
    <s v="Stall E."/>
    <s v="Stalls A and B."/>
    <s v="fa"/>
    <s v="mo-l"/>
    <s v="ms-h"/>
    <n v="0"/>
    <x v="1"/>
    <x v="1"/>
    <n v="1"/>
    <n v="0"/>
    <n v="0"/>
    <n v="1"/>
    <n v="0"/>
    <n v="0"/>
    <x v="2"/>
    <n v="0"/>
    <n v="0"/>
    <n v="0"/>
    <n v="1"/>
    <x v="0"/>
  </r>
  <r>
    <s v="A1FS8SBR4SDWYG"/>
    <x v="0"/>
    <n v="32"/>
    <s v="female"/>
    <x v="2"/>
    <x v="9"/>
    <n v="25847"/>
    <n v="0"/>
    <n v="0"/>
    <n v="0"/>
    <n v="1"/>
    <s v="Stores D and E."/>
    <s v="Stores A and B."/>
    <s v="Stores A, B, C, D and E."/>
    <s v="ms-l"/>
    <s v="ms-h"/>
    <s v="exh"/>
    <n v="1"/>
    <x v="1"/>
    <x v="2"/>
    <n v="1"/>
    <n v="1"/>
    <n v="0"/>
    <n v="1"/>
    <n v="0"/>
    <n v="0"/>
    <x v="2"/>
    <n v="0"/>
    <n v="0"/>
    <n v="0"/>
    <n v="1"/>
    <x v="0"/>
  </r>
  <r>
    <s v="A1FS8SBR4SDWYG"/>
    <x v="0"/>
    <n v="32"/>
    <s v="female"/>
    <x v="3"/>
    <x v="12"/>
    <n v="21479"/>
    <n v="1"/>
    <n v="0"/>
    <n v="0"/>
    <n v="0"/>
    <s v="NA"/>
    <s v="NA"/>
    <s v="NA"/>
    <s v="NA"/>
    <s v="NA"/>
    <s v="NA"/>
    <s v="NA"/>
    <x v="1"/>
    <x v="2"/>
    <n v="1"/>
    <n v="1"/>
    <n v="0"/>
    <n v="1"/>
    <n v="0"/>
    <n v="0"/>
    <x v="2"/>
    <n v="0"/>
    <n v="0"/>
    <n v="0"/>
    <n v="1"/>
    <x v="0"/>
  </r>
  <r>
    <s v="A1FS8SBR4SDWYG"/>
    <x v="0"/>
    <n v="32"/>
    <s v="female"/>
    <x v="2"/>
    <x v="7"/>
    <n v="25202"/>
    <n v="1"/>
    <n v="1"/>
    <n v="1"/>
    <n v="0"/>
    <s v="Stylist F."/>
    <s v="Stylists D and E."/>
    <s v="Stylist A."/>
    <s v="fa"/>
    <s v="ms-l"/>
    <s v="mo-h"/>
    <n v="0"/>
    <x v="2"/>
    <x v="2"/>
    <n v="0"/>
    <n v="1"/>
    <n v="0"/>
    <n v="1"/>
    <n v="0"/>
    <n v="1"/>
    <x v="2"/>
    <n v="0"/>
    <n v="1"/>
    <n v="0"/>
    <n v="0"/>
    <x v="0"/>
  </r>
  <r>
    <s v="A1FS8SBR4SDWYG"/>
    <x v="0"/>
    <n v="32"/>
    <s v="female"/>
    <x v="3"/>
    <x v="10"/>
    <n v="36611"/>
    <n v="1"/>
    <n v="1"/>
    <n v="1"/>
    <n v="0"/>
    <s v="NA"/>
    <s v="NA"/>
    <s v="NA"/>
    <s v="NA"/>
    <s v="NA"/>
    <s v="NA"/>
    <s v="NA"/>
    <x v="2"/>
    <x v="2"/>
    <n v="0"/>
    <n v="1"/>
    <n v="0"/>
    <n v="1"/>
    <n v="0"/>
    <n v="1"/>
    <x v="2"/>
    <n v="0"/>
    <n v="1"/>
    <n v="0"/>
    <n v="0"/>
    <x v="0"/>
  </r>
  <r>
    <s v="A1FS8SBR4SDWYG"/>
    <x v="0"/>
    <n v="32"/>
    <s v="female"/>
    <x v="4"/>
    <x v="0"/>
    <n v="64019"/>
    <s v="No%2C because brunch is served at restaurants so it's the same question. "/>
    <s v="Yes. I wasn't sure who knew things -- if it was who knew the entire answer or who had bits and pieces of information."/>
    <s v="No"/>
    <s v="NA"/>
    <s v="NA"/>
    <s v="NA"/>
    <s v="NA"/>
    <s v="NA"/>
    <s v="NA"/>
    <s v="NA"/>
    <s v="NA"/>
    <x v="0"/>
    <x v="0"/>
    <s v="NA"/>
    <s v="NA"/>
    <s v="NA"/>
    <s v="NA"/>
    <s v="NA"/>
    <s v="NA"/>
    <x v="0"/>
    <s v="NA"/>
    <s v="NA"/>
    <s v="NA"/>
    <s v="NA"/>
    <x v="0"/>
  </r>
  <r>
    <s v="A24L4Y8HCZSUIF"/>
    <x v="0"/>
    <n v="27"/>
    <s v="female"/>
    <x v="0"/>
    <x v="0"/>
    <n v="23177"/>
    <s v="NA"/>
    <s v="NA"/>
    <s v="NA"/>
    <s v="NA"/>
    <s v="NA"/>
    <s v="NA"/>
    <s v="NA"/>
    <s v="NA"/>
    <s v="NA"/>
    <s v="NA"/>
    <s v="NA"/>
    <x v="0"/>
    <x v="0"/>
    <s v="NA"/>
    <s v="NA"/>
    <s v="NA"/>
    <s v="NA"/>
    <s v="NA"/>
    <s v="NA"/>
    <x v="0"/>
    <s v="NA"/>
    <s v="NA"/>
    <s v="NA"/>
    <s v="NA"/>
    <x v="0"/>
  </r>
  <r>
    <s v="A24L4Y8HCZSUIF"/>
    <x v="0"/>
    <n v="27"/>
    <s v="female"/>
    <x v="1"/>
    <x v="2"/>
    <n v="76970"/>
    <n v="0"/>
    <n v="0"/>
    <n v="1"/>
    <n v="1"/>
    <s v="NA"/>
    <s v="NA"/>
    <s v="NA"/>
    <s v="NA"/>
    <s v="NA"/>
    <s v="NA"/>
    <s v="NA"/>
    <x v="0"/>
    <x v="0"/>
    <s v="NA"/>
    <s v="NA"/>
    <s v="NA"/>
    <s v="NA"/>
    <s v="NA"/>
    <s v="NA"/>
    <x v="0"/>
    <s v="NA"/>
    <s v="NA"/>
    <s v="NA"/>
    <s v="NA"/>
    <x v="0"/>
  </r>
  <r>
    <s v="A24L4Y8HCZSUIF"/>
    <x v="0"/>
    <n v="27"/>
    <s v="female"/>
    <x v="1"/>
    <x v="1"/>
    <n v="37238"/>
    <n v="0"/>
    <n v="0"/>
    <n v="0"/>
    <n v="1"/>
    <s v="NA"/>
    <s v="NA"/>
    <s v="NA"/>
    <s v="NA"/>
    <s v="NA"/>
    <s v="NA"/>
    <s v="NA"/>
    <x v="0"/>
    <x v="0"/>
    <s v="NA"/>
    <s v="NA"/>
    <s v="NA"/>
    <s v="NA"/>
    <s v="NA"/>
    <s v="NA"/>
    <x v="0"/>
    <s v="NA"/>
    <s v="NA"/>
    <s v="NA"/>
    <s v="NA"/>
    <x v="0"/>
  </r>
  <r>
    <s v="A24L4Y8HCZSUIF"/>
    <x v="0"/>
    <n v="27"/>
    <s v="female"/>
    <x v="2"/>
    <x v="9"/>
    <n v="47120"/>
    <n v="0"/>
    <n v="0"/>
    <n v="0"/>
    <n v="1"/>
    <s v="Store A."/>
    <s v="Store F."/>
    <s v="Store E."/>
    <s v="mo-h"/>
    <s v="fa"/>
    <s v="mo-l"/>
    <n v="0"/>
    <x v="2"/>
    <x v="1"/>
    <n v="0"/>
    <n v="0"/>
    <n v="0"/>
    <n v="1"/>
    <n v="0"/>
    <n v="0"/>
    <x v="2"/>
    <n v="0"/>
    <n v="0"/>
    <n v="0"/>
    <n v="1"/>
    <x v="0"/>
  </r>
  <r>
    <s v="A24L4Y8HCZSUIF"/>
    <x v="0"/>
    <n v="27"/>
    <s v="female"/>
    <x v="3"/>
    <x v="8"/>
    <n v="29617"/>
    <n v="1"/>
    <n v="1"/>
    <n v="0"/>
    <n v="0"/>
    <s v="NA"/>
    <s v="NA"/>
    <s v="NA"/>
    <s v="NA"/>
    <s v="NA"/>
    <s v="NA"/>
    <s v="NA"/>
    <x v="2"/>
    <x v="1"/>
    <n v="0"/>
    <n v="0"/>
    <n v="0"/>
    <n v="1"/>
    <n v="0"/>
    <n v="0"/>
    <x v="2"/>
    <n v="0"/>
    <n v="0"/>
    <n v="0"/>
    <n v="1"/>
    <x v="0"/>
  </r>
  <r>
    <s v="A24L4Y8HCZSUIF"/>
    <x v="0"/>
    <n v="27"/>
    <s v="female"/>
    <x v="2"/>
    <x v="7"/>
    <n v="49908"/>
    <n v="1"/>
    <n v="1"/>
    <n v="1"/>
    <n v="0"/>
    <s v="Stylists D and E."/>
    <s v="Stylists A, B, C, D and E."/>
    <s v="Stylist A."/>
    <s v="ms-l"/>
    <s v="exh"/>
    <s v="mo-h"/>
    <n v="1"/>
    <x v="2"/>
    <x v="2"/>
    <n v="0"/>
    <n v="1"/>
    <n v="0"/>
    <n v="1"/>
    <n v="1"/>
    <n v="1"/>
    <x v="2"/>
    <n v="0"/>
    <n v="1"/>
    <n v="0"/>
    <n v="0"/>
    <x v="0"/>
  </r>
  <r>
    <s v="A24L4Y8HCZSUIF"/>
    <x v="0"/>
    <n v="27"/>
    <s v="female"/>
    <x v="2"/>
    <x v="3"/>
    <n v="34060"/>
    <n v="1"/>
    <n v="1"/>
    <n v="1"/>
    <n v="0"/>
    <s v="Cafes A and B."/>
    <s v="Cafe E."/>
    <s v="Cafes A, B, C, D and E."/>
    <s v="ms-h"/>
    <s v="mo-l"/>
    <s v="exh"/>
    <n v="1"/>
    <x v="1"/>
    <x v="1"/>
    <n v="1"/>
    <n v="0"/>
    <n v="0"/>
    <n v="1"/>
    <n v="1"/>
    <n v="0"/>
    <x v="1"/>
    <n v="1"/>
    <n v="0"/>
    <n v="0"/>
    <n v="0"/>
    <x v="0"/>
  </r>
  <r>
    <s v="A24L4Y8HCZSUIF"/>
    <x v="0"/>
    <n v="27"/>
    <s v="female"/>
    <x v="3"/>
    <x v="5"/>
    <n v="42723"/>
    <n v="0"/>
    <n v="1"/>
    <n v="0"/>
    <n v="0"/>
    <s v="NA"/>
    <s v="NA"/>
    <s v="NA"/>
    <s v="NA"/>
    <s v="NA"/>
    <s v="NA"/>
    <s v="NA"/>
    <x v="1"/>
    <x v="1"/>
    <n v="1"/>
    <n v="0"/>
    <n v="0"/>
    <n v="1"/>
    <n v="1"/>
    <n v="0"/>
    <x v="1"/>
    <n v="1"/>
    <n v="0"/>
    <n v="0"/>
    <n v="0"/>
    <x v="0"/>
  </r>
  <r>
    <s v="A24L4Y8HCZSUIF"/>
    <x v="0"/>
    <n v="27"/>
    <s v="female"/>
    <x v="2"/>
    <x v="4"/>
    <n v="26722"/>
    <n v="1"/>
    <n v="1"/>
    <n v="1"/>
    <n v="0"/>
    <s v="Stalls A and B."/>
    <s v="Stall A."/>
    <s v="Stall F."/>
    <s v="ms-h"/>
    <s v="mo-h"/>
    <s v="fa"/>
    <n v="0"/>
    <x v="2"/>
    <x v="2"/>
    <n v="1"/>
    <n v="0"/>
    <n v="0"/>
    <n v="1"/>
    <n v="0"/>
    <n v="1"/>
    <x v="2"/>
    <n v="1"/>
    <n v="0"/>
    <n v="0"/>
    <n v="0"/>
    <x v="0"/>
  </r>
  <r>
    <s v="A24L4Y8HCZSUIF"/>
    <x v="0"/>
    <n v="27"/>
    <s v="female"/>
    <x v="3"/>
    <x v="10"/>
    <n v="59048"/>
    <n v="0"/>
    <n v="0"/>
    <n v="0"/>
    <n v="1"/>
    <s v="NA"/>
    <s v="NA"/>
    <s v="NA"/>
    <s v="NA"/>
    <s v="NA"/>
    <s v="NA"/>
    <s v="NA"/>
    <x v="2"/>
    <x v="2"/>
    <n v="1"/>
    <n v="0"/>
    <n v="0"/>
    <n v="1"/>
    <n v="0"/>
    <n v="1"/>
    <x v="2"/>
    <n v="1"/>
    <n v="0"/>
    <n v="0"/>
    <n v="0"/>
    <x v="0"/>
  </r>
  <r>
    <s v="A24L4Y8HCZSUIF"/>
    <x v="0"/>
    <n v="27"/>
    <s v="female"/>
    <x v="2"/>
    <x v="11"/>
    <n v="11866"/>
    <n v="1"/>
    <n v="1"/>
    <n v="1"/>
    <n v="0"/>
    <s v="Dentists A and B."/>
    <s v="Dentist F."/>
    <s v="Dentists D and E."/>
    <s v="ms-h"/>
    <s v="fa"/>
    <s v="ms-l"/>
    <n v="0"/>
    <x v="1"/>
    <x v="2"/>
    <n v="1"/>
    <n v="1"/>
    <n v="0"/>
    <n v="1"/>
    <n v="0"/>
    <n v="0"/>
    <x v="2"/>
    <n v="1"/>
    <n v="1"/>
    <n v="0"/>
    <n v="0"/>
    <x v="0"/>
  </r>
  <r>
    <s v="A24L4Y8HCZSUIF"/>
    <x v="0"/>
    <n v="27"/>
    <s v="female"/>
    <x v="2"/>
    <x v="6"/>
    <n v="21919"/>
    <n v="1"/>
    <n v="1"/>
    <n v="1"/>
    <n v="0"/>
    <s v="Bookstore E."/>
    <s v="Bookstore A."/>
    <s v="Bookstores D and E."/>
    <s v="mo-l"/>
    <s v="mo-h"/>
    <s v="ms-l"/>
    <n v="0"/>
    <x v="2"/>
    <x v="1"/>
    <n v="0"/>
    <n v="1"/>
    <n v="0"/>
    <n v="1"/>
    <n v="0"/>
    <n v="1"/>
    <x v="1"/>
    <n v="0"/>
    <n v="1"/>
    <n v="0"/>
    <n v="0"/>
    <x v="0"/>
  </r>
  <r>
    <s v="A24L4Y8HCZSUIF"/>
    <x v="0"/>
    <n v="27"/>
    <s v="female"/>
    <x v="3"/>
    <x v="12"/>
    <n v="34799"/>
    <n v="1"/>
    <n v="1"/>
    <n v="0"/>
    <n v="0"/>
    <s v="NA"/>
    <s v="NA"/>
    <s v="NA"/>
    <s v="NA"/>
    <s v="NA"/>
    <s v="NA"/>
    <s v="NA"/>
    <x v="2"/>
    <x v="1"/>
    <n v="0"/>
    <n v="1"/>
    <n v="0"/>
    <n v="1"/>
    <n v="0"/>
    <n v="1"/>
    <x v="1"/>
    <n v="0"/>
    <n v="1"/>
    <n v="0"/>
    <n v="0"/>
    <x v="0"/>
  </r>
  <r>
    <s v="A24L4Y8HCZSUIF"/>
    <x v="0"/>
    <n v="27"/>
    <s v="female"/>
    <x v="4"/>
    <x v="0"/>
    <n v="105735"/>
    <s v="I would not answer differently because the questions are both asking about eating brunch. It is implied that people eat brunch at a restaurant. "/>
    <s v="It was somewhat confusing because it made me realize how wacky the English language can be with ambiguities. "/>
    <s v="No%2C fascinating study that is going to make me question what people really mean when they talk now! %0A"/>
    <s v="NA"/>
    <s v="NA"/>
    <s v="NA"/>
    <s v="NA"/>
    <s v="NA"/>
    <s v="NA"/>
    <s v="NA"/>
    <s v="NA"/>
    <x v="0"/>
    <x v="0"/>
    <s v="NA"/>
    <s v="NA"/>
    <s v="NA"/>
    <s v="NA"/>
    <s v="NA"/>
    <s v="NA"/>
    <x v="0"/>
    <s v="NA"/>
    <s v="NA"/>
    <s v="NA"/>
    <s v="NA"/>
    <x v="0"/>
  </r>
  <r>
    <s v="A1PAMVTKGCXSWQ"/>
    <x v="0"/>
    <n v="19"/>
    <s v="male"/>
    <x v="0"/>
    <x v="0"/>
    <n v="16281"/>
    <s v="NA"/>
    <s v="NA"/>
    <s v="NA"/>
    <s v="NA"/>
    <s v="NA"/>
    <s v="NA"/>
    <s v="NA"/>
    <s v="NA"/>
    <s v="NA"/>
    <s v="NA"/>
    <s v="NA"/>
    <x v="0"/>
    <x v="0"/>
    <s v="NA"/>
    <s v="NA"/>
    <s v="NA"/>
    <s v="NA"/>
    <s v="NA"/>
    <s v="NA"/>
    <x v="0"/>
    <s v="NA"/>
    <s v="NA"/>
    <s v="NA"/>
    <s v="NA"/>
    <x v="0"/>
  </r>
  <r>
    <s v="A1PAMVTKGCXSWQ"/>
    <x v="0"/>
    <n v="19"/>
    <s v="male"/>
    <x v="1"/>
    <x v="2"/>
    <n v="25249"/>
    <n v="0"/>
    <n v="0"/>
    <n v="1"/>
    <n v="0"/>
    <s v="NA"/>
    <s v="NA"/>
    <s v="NA"/>
    <s v="NA"/>
    <s v="NA"/>
    <s v="NA"/>
    <s v="NA"/>
    <x v="0"/>
    <x v="0"/>
    <s v="NA"/>
    <s v="NA"/>
    <s v="NA"/>
    <s v="NA"/>
    <s v="NA"/>
    <s v="NA"/>
    <x v="0"/>
    <s v="NA"/>
    <s v="NA"/>
    <s v="NA"/>
    <s v="NA"/>
    <x v="0"/>
  </r>
  <r>
    <s v="A1PAMVTKGCXSWQ"/>
    <x v="0"/>
    <n v="19"/>
    <s v="male"/>
    <x v="1"/>
    <x v="1"/>
    <n v="35665"/>
    <n v="0"/>
    <n v="1"/>
    <n v="0"/>
    <n v="0"/>
    <s v="NA"/>
    <s v="NA"/>
    <s v="NA"/>
    <s v="NA"/>
    <s v="NA"/>
    <s v="NA"/>
    <s v="NA"/>
    <x v="0"/>
    <x v="0"/>
    <s v="NA"/>
    <s v="NA"/>
    <s v="NA"/>
    <s v="NA"/>
    <s v="NA"/>
    <s v="NA"/>
    <x v="0"/>
    <s v="NA"/>
    <s v="NA"/>
    <s v="NA"/>
    <s v="NA"/>
    <x v="0"/>
  </r>
  <r>
    <s v="A1PAMVTKGCXSWQ"/>
    <x v="0"/>
    <n v="19"/>
    <s v="male"/>
    <x v="2"/>
    <x v="6"/>
    <n v="22389"/>
    <n v="1"/>
    <n v="1"/>
    <n v="0"/>
    <n v="0"/>
    <s v="Bookstores A and B."/>
    <s v="Bookstore A."/>
    <s v="Bookstore F."/>
    <s v="ms-h"/>
    <s v="mo-h"/>
    <s v="fa"/>
    <n v="0"/>
    <x v="2"/>
    <x v="2"/>
    <n v="1"/>
    <n v="0"/>
    <n v="0"/>
    <n v="1"/>
    <n v="0"/>
    <n v="1"/>
    <x v="2"/>
    <n v="1"/>
    <n v="0"/>
    <n v="0"/>
    <n v="0"/>
    <x v="0"/>
  </r>
  <r>
    <s v="A1PAMVTKGCXSWQ"/>
    <x v="0"/>
    <n v="19"/>
    <s v="male"/>
    <x v="3"/>
    <x v="12"/>
    <n v="54925"/>
    <n v="1"/>
    <n v="0"/>
    <n v="0"/>
    <n v="0"/>
    <s v="NA"/>
    <s v="NA"/>
    <s v="NA"/>
    <s v="NA"/>
    <s v="NA"/>
    <s v="NA"/>
    <s v="NA"/>
    <x v="2"/>
    <x v="2"/>
    <n v="1"/>
    <n v="0"/>
    <n v="0"/>
    <n v="1"/>
    <n v="0"/>
    <n v="1"/>
    <x v="2"/>
    <n v="1"/>
    <n v="0"/>
    <n v="0"/>
    <n v="0"/>
    <x v="0"/>
  </r>
  <r>
    <s v="A1PAMVTKGCXSWQ"/>
    <x v="0"/>
    <n v="19"/>
    <s v="male"/>
    <x v="2"/>
    <x v="3"/>
    <n v="10769"/>
    <n v="1"/>
    <n v="0"/>
    <n v="1"/>
    <n v="0"/>
    <s v="Cafes A and B."/>
    <s v="Cafes D and E."/>
    <s v="Cafe A."/>
    <s v="ms-h"/>
    <s v="ms-l"/>
    <s v="mo-h"/>
    <n v="0"/>
    <x v="2"/>
    <x v="2"/>
    <n v="1"/>
    <n v="1"/>
    <n v="0"/>
    <n v="1"/>
    <n v="0"/>
    <n v="1"/>
    <x v="2"/>
    <n v="1"/>
    <n v="0"/>
    <n v="0"/>
    <n v="0"/>
    <x v="0"/>
  </r>
  <r>
    <s v="A1PAMVTKGCXSWQ"/>
    <x v="0"/>
    <n v="19"/>
    <s v="male"/>
    <x v="2"/>
    <x v="4"/>
    <n v="22836"/>
    <n v="0"/>
    <n v="1"/>
    <n v="1"/>
    <n v="0"/>
    <s v="Stalls A and B."/>
    <s v="Stalls D and E."/>
    <s v="Stall E."/>
    <s v="ms-h"/>
    <s v="ms-l"/>
    <s v="mo-l"/>
    <n v="0"/>
    <x v="1"/>
    <x v="1"/>
    <n v="1"/>
    <n v="1"/>
    <n v="0"/>
    <n v="1"/>
    <n v="0"/>
    <n v="0"/>
    <x v="1"/>
    <n v="0"/>
    <n v="1"/>
    <n v="0"/>
    <n v="0"/>
    <x v="0"/>
  </r>
  <r>
    <s v="A1PAMVTKGCXSWQ"/>
    <x v="0"/>
    <n v="19"/>
    <s v="male"/>
    <x v="3"/>
    <x v="5"/>
    <n v="23673"/>
    <n v="0"/>
    <n v="1"/>
    <n v="1"/>
    <n v="0"/>
    <s v="NA"/>
    <s v="NA"/>
    <s v="NA"/>
    <s v="NA"/>
    <s v="NA"/>
    <s v="NA"/>
    <s v="NA"/>
    <x v="1"/>
    <x v="1"/>
    <n v="1"/>
    <n v="1"/>
    <n v="0"/>
    <n v="1"/>
    <n v="0"/>
    <n v="0"/>
    <x v="1"/>
    <n v="0"/>
    <n v="1"/>
    <n v="0"/>
    <n v="0"/>
    <x v="0"/>
  </r>
  <r>
    <s v="A1PAMVTKGCXSWQ"/>
    <x v="0"/>
    <n v="19"/>
    <s v="male"/>
    <x v="2"/>
    <x v="7"/>
    <n v="9806"/>
    <n v="0"/>
    <n v="1"/>
    <n v="1"/>
    <n v="0"/>
    <s v="Stylists D and E."/>
    <s v="Stylist E."/>
    <s v="Stylist F."/>
    <s v="ms-l"/>
    <s v="mo-l"/>
    <s v="fa"/>
    <n v="0"/>
    <x v="1"/>
    <x v="1"/>
    <n v="0"/>
    <n v="1"/>
    <n v="0"/>
    <n v="1"/>
    <n v="0"/>
    <n v="0"/>
    <x v="1"/>
    <n v="0"/>
    <n v="0"/>
    <n v="0"/>
    <n v="0"/>
    <x v="0"/>
  </r>
  <r>
    <s v="A1PAMVTKGCXSWQ"/>
    <x v="0"/>
    <n v="19"/>
    <s v="male"/>
    <x v="3"/>
    <x v="10"/>
    <n v="10737"/>
    <n v="0"/>
    <n v="0"/>
    <n v="0"/>
    <n v="1"/>
    <s v="NA"/>
    <s v="NA"/>
    <s v="NA"/>
    <s v="NA"/>
    <s v="NA"/>
    <s v="NA"/>
    <s v="NA"/>
    <x v="1"/>
    <x v="1"/>
    <n v="0"/>
    <n v="1"/>
    <n v="0"/>
    <n v="1"/>
    <n v="0"/>
    <n v="0"/>
    <x v="1"/>
    <n v="0"/>
    <n v="0"/>
    <n v="0"/>
    <n v="0"/>
    <x v="0"/>
  </r>
  <r>
    <s v="A1PAMVTKGCXSWQ"/>
    <x v="0"/>
    <n v="19"/>
    <s v="male"/>
    <x v="2"/>
    <x v="9"/>
    <n v="9740"/>
    <n v="1"/>
    <n v="0"/>
    <n v="1"/>
    <n v="0"/>
    <s v="Stores D and E."/>
    <s v="Stores A, B, C, D and E."/>
    <s v="Store E."/>
    <s v="ms-l"/>
    <s v="exh"/>
    <s v="mo-l"/>
    <n v="1"/>
    <x v="1"/>
    <x v="1"/>
    <n v="0"/>
    <n v="1"/>
    <n v="0"/>
    <n v="1"/>
    <n v="0"/>
    <n v="0"/>
    <x v="1"/>
    <n v="0"/>
    <n v="1"/>
    <n v="0"/>
    <n v="0"/>
    <x v="0"/>
  </r>
  <r>
    <s v="A1PAMVTKGCXSWQ"/>
    <x v="0"/>
    <n v="19"/>
    <s v="male"/>
    <x v="2"/>
    <x v="11"/>
    <n v="14954"/>
    <n v="1"/>
    <n v="0"/>
    <n v="1"/>
    <n v="0"/>
    <s v="Dentists D and E."/>
    <s v="Dentists A and B."/>
    <s v="Dentists A, B, C, D and E."/>
    <s v="ms-l"/>
    <s v="ms-h"/>
    <s v="exh"/>
    <n v="1"/>
    <x v="1"/>
    <x v="2"/>
    <n v="1"/>
    <n v="1"/>
    <n v="0"/>
    <n v="1"/>
    <n v="1"/>
    <n v="0"/>
    <x v="2"/>
    <n v="0"/>
    <n v="1"/>
    <n v="0"/>
    <n v="0"/>
    <x v="0"/>
  </r>
  <r>
    <s v="A1PAMVTKGCXSWQ"/>
    <x v="0"/>
    <n v="19"/>
    <s v="male"/>
    <x v="3"/>
    <x v="8"/>
    <n v="55672"/>
    <n v="1"/>
    <n v="1"/>
    <n v="0"/>
    <n v="0"/>
    <s v="NA"/>
    <s v="NA"/>
    <s v="NA"/>
    <s v="NA"/>
    <s v="NA"/>
    <s v="NA"/>
    <s v="NA"/>
    <x v="1"/>
    <x v="2"/>
    <n v="1"/>
    <n v="1"/>
    <n v="0"/>
    <n v="1"/>
    <n v="1"/>
    <n v="0"/>
    <x v="2"/>
    <n v="0"/>
    <n v="1"/>
    <n v="0"/>
    <n v="0"/>
    <x v="0"/>
  </r>
  <r>
    <s v="A1PAMVTKGCXSWQ"/>
    <x v="0"/>
    <n v="19"/>
    <s v="male"/>
    <x v="4"/>
    <x v="0"/>
    <n v="43423"/>
    <s v="Shes asking for the best in the second%2C whereas in the first she is just wondering which restaurants serve brunch."/>
    <s v="It was fairly simple%2C kind of a lot of reading%2C but simple."/>
    <s v="No"/>
    <s v="NA"/>
    <s v="NA"/>
    <s v="NA"/>
    <s v="NA"/>
    <s v="NA"/>
    <s v="NA"/>
    <s v="NA"/>
    <s v="NA"/>
    <x v="0"/>
    <x v="0"/>
    <s v="NA"/>
    <s v="NA"/>
    <s v="NA"/>
    <s v="NA"/>
    <s v="NA"/>
    <s v="NA"/>
    <x v="0"/>
    <s v="NA"/>
    <s v="NA"/>
    <s v="NA"/>
    <s v="NA"/>
    <x v="0"/>
  </r>
  <r>
    <s v="A3VD9VK9NLEVMN"/>
    <x v="0"/>
    <n v="27"/>
    <s v="female"/>
    <x v="0"/>
    <x v="0"/>
    <n v="53508"/>
    <s v="NA"/>
    <s v="NA"/>
    <s v="NA"/>
    <s v="NA"/>
    <s v="NA"/>
    <s v="NA"/>
    <s v="NA"/>
    <s v="NA"/>
    <s v="NA"/>
    <s v="NA"/>
    <s v="NA"/>
    <x v="0"/>
    <x v="0"/>
    <s v="NA"/>
    <s v="NA"/>
    <s v="NA"/>
    <s v="NA"/>
    <s v="NA"/>
    <s v="NA"/>
    <x v="0"/>
    <s v="NA"/>
    <s v="NA"/>
    <s v="NA"/>
    <s v="NA"/>
    <x v="0"/>
  </r>
  <r>
    <s v="A3VD9VK9NLEVMN"/>
    <x v="0"/>
    <n v="27"/>
    <s v="female"/>
    <x v="1"/>
    <x v="2"/>
    <n v="10526"/>
    <n v="1"/>
    <n v="1"/>
    <n v="1"/>
    <n v="0"/>
    <s v="NA"/>
    <s v="NA"/>
    <s v="NA"/>
    <s v="NA"/>
    <s v="NA"/>
    <s v="NA"/>
    <s v="NA"/>
    <x v="0"/>
    <x v="0"/>
    <s v="NA"/>
    <s v="NA"/>
    <s v="NA"/>
    <s v="NA"/>
    <s v="NA"/>
    <s v="NA"/>
    <x v="0"/>
    <s v="NA"/>
    <s v="NA"/>
    <s v="NA"/>
    <s v="NA"/>
    <x v="0"/>
  </r>
  <r>
    <s v="A3VD9VK9NLEVMN"/>
    <x v="0"/>
    <n v="27"/>
    <s v="female"/>
    <x v="1"/>
    <x v="1"/>
    <n v="20915"/>
    <n v="0"/>
    <n v="1"/>
    <n v="1"/>
    <n v="0"/>
    <s v="NA"/>
    <s v="NA"/>
    <s v="NA"/>
    <s v="NA"/>
    <s v="NA"/>
    <s v="NA"/>
    <s v="NA"/>
    <x v="0"/>
    <x v="0"/>
    <s v="NA"/>
    <s v="NA"/>
    <s v="NA"/>
    <s v="NA"/>
    <s v="NA"/>
    <s v="NA"/>
    <x v="0"/>
    <s v="NA"/>
    <s v="NA"/>
    <s v="NA"/>
    <s v="NA"/>
    <x v="0"/>
  </r>
  <r>
    <s v="A3VD9VK9NLEVMN"/>
    <x v="0"/>
    <n v="27"/>
    <s v="female"/>
    <x v="2"/>
    <x v="4"/>
    <n v="14660"/>
    <n v="1"/>
    <n v="1"/>
    <n v="1"/>
    <n v="0"/>
    <s v="Stalls A and B."/>
    <s v="Stall E."/>
    <s v="Stall A."/>
    <s v="ms-h"/>
    <s v="mo-l"/>
    <s v="mo-h"/>
    <n v="0"/>
    <x v="2"/>
    <x v="1"/>
    <n v="1"/>
    <n v="0"/>
    <n v="0"/>
    <n v="1"/>
    <n v="0"/>
    <n v="1"/>
    <x v="1"/>
    <n v="1"/>
    <n v="0"/>
    <n v="0"/>
    <n v="0"/>
    <x v="0"/>
  </r>
  <r>
    <s v="A3VD9VK9NLEVMN"/>
    <x v="0"/>
    <n v="27"/>
    <s v="female"/>
    <x v="3"/>
    <x v="12"/>
    <n v="18469"/>
    <n v="0"/>
    <n v="0"/>
    <n v="1"/>
    <n v="0"/>
    <s v="NA"/>
    <s v="NA"/>
    <s v="NA"/>
    <s v="NA"/>
    <s v="NA"/>
    <s v="NA"/>
    <s v="NA"/>
    <x v="2"/>
    <x v="1"/>
    <n v="1"/>
    <n v="0"/>
    <n v="0"/>
    <n v="1"/>
    <n v="0"/>
    <n v="1"/>
    <x v="1"/>
    <n v="1"/>
    <n v="0"/>
    <n v="0"/>
    <n v="0"/>
    <x v="0"/>
  </r>
  <r>
    <s v="A3VD9VK9NLEVMN"/>
    <x v="0"/>
    <n v="27"/>
    <s v="female"/>
    <x v="2"/>
    <x v="11"/>
    <n v="18940"/>
    <n v="0"/>
    <n v="0"/>
    <n v="0"/>
    <n v="1"/>
    <s v="Dentists D and E."/>
    <s v="Dentist E."/>
    <s v="Dentist A."/>
    <s v="ms-l"/>
    <s v="mo-l"/>
    <s v="mo-h"/>
    <n v="0"/>
    <x v="2"/>
    <x v="1"/>
    <n v="0"/>
    <n v="1"/>
    <n v="0"/>
    <n v="1"/>
    <n v="0"/>
    <n v="0"/>
    <x v="2"/>
    <n v="0"/>
    <n v="0"/>
    <n v="0"/>
    <n v="1"/>
    <x v="0"/>
  </r>
  <r>
    <s v="A3VD9VK9NLEVMN"/>
    <x v="0"/>
    <n v="27"/>
    <s v="female"/>
    <x v="2"/>
    <x v="9"/>
    <n v="9116"/>
    <n v="0"/>
    <n v="0"/>
    <n v="1"/>
    <n v="0"/>
    <s v="Store F."/>
    <s v="Store E."/>
    <s v="Stores A and B."/>
    <s v="fa"/>
    <s v="mo-l"/>
    <s v="ms-h"/>
    <n v="0"/>
    <x v="1"/>
    <x v="1"/>
    <n v="1"/>
    <n v="0"/>
    <n v="0"/>
    <n v="1"/>
    <n v="0"/>
    <n v="0"/>
    <x v="2"/>
    <n v="1"/>
    <n v="0"/>
    <n v="0"/>
    <n v="0"/>
    <x v="0"/>
  </r>
  <r>
    <s v="A3VD9VK9NLEVMN"/>
    <x v="0"/>
    <n v="27"/>
    <s v="female"/>
    <x v="3"/>
    <x v="8"/>
    <n v="8102"/>
    <n v="0"/>
    <n v="0"/>
    <n v="1"/>
    <n v="0"/>
    <s v="NA"/>
    <s v="NA"/>
    <s v="NA"/>
    <s v="NA"/>
    <s v="NA"/>
    <s v="NA"/>
    <s v="NA"/>
    <x v="1"/>
    <x v="1"/>
    <n v="1"/>
    <n v="0"/>
    <n v="0"/>
    <n v="1"/>
    <n v="0"/>
    <n v="0"/>
    <x v="2"/>
    <n v="1"/>
    <n v="0"/>
    <n v="0"/>
    <n v="0"/>
    <x v="0"/>
  </r>
  <r>
    <s v="A3VD9VK9NLEVMN"/>
    <x v="0"/>
    <n v="27"/>
    <s v="female"/>
    <x v="2"/>
    <x v="6"/>
    <n v="9882"/>
    <n v="1"/>
    <n v="1"/>
    <n v="1"/>
    <n v="0"/>
    <s v="Bookstore A."/>
    <s v="Bookstore E."/>
    <s v="Bookstores A and B."/>
    <s v="mo-h"/>
    <s v="mo-l"/>
    <s v="ms-h"/>
    <n v="0"/>
    <x v="2"/>
    <x v="1"/>
    <n v="1"/>
    <n v="0"/>
    <n v="0"/>
    <n v="1"/>
    <n v="0"/>
    <n v="1"/>
    <x v="1"/>
    <n v="1"/>
    <n v="0"/>
    <n v="0"/>
    <n v="0"/>
    <x v="0"/>
  </r>
  <r>
    <s v="A3VD9VK9NLEVMN"/>
    <x v="0"/>
    <n v="27"/>
    <s v="female"/>
    <x v="3"/>
    <x v="10"/>
    <n v="23334"/>
    <n v="1"/>
    <n v="1"/>
    <n v="1"/>
    <n v="0"/>
    <s v="NA"/>
    <s v="NA"/>
    <s v="NA"/>
    <s v="NA"/>
    <s v="NA"/>
    <s v="NA"/>
    <s v="NA"/>
    <x v="2"/>
    <x v="1"/>
    <n v="1"/>
    <n v="0"/>
    <n v="0"/>
    <n v="1"/>
    <n v="0"/>
    <n v="1"/>
    <x v="1"/>
    <n v="1"/>
    <n v="0"/>
    <n v="0"/>
    <n v="0"/>
    <x v="0"/>
  </r>
  <r>
    <s v="A3VD9VK9NLEVMN"/>
    <x v="0"/>
    <n v="27"/>
    <s v="female"/>
    <x v="2"/>
    <x v="3"/>
    <n v="10772"/>
    <n v="0"/>
    <n v="0"/>
    <n v="1"/>
    <n v="0"/>
    <s v="Cafe E."/>
    <s v="Cafes A and B."/>
    <s v="Cafes D and E."/>
    <s v="mo-l"/>
    <s v="ms-h"/>
    <s v="ms-l"/>
    <n v="0"/>
    <x v="1"/>
    <x v="1"/>
    <n v="1"/>
    <n v="1"/>
    <n v="0"/>
    <n v="1"/>
    <n v="0"/>
    <n v="0"/>
    <x v="2"/>
    <n v="0"/>
    <n v="1"/>
    <n v="0"/>
    <n v="0"/>
    <x v="0"/>
  </r>
  <r>
    <s v="A3VD9VK9NLEVMN"/>
    <x v="0"/>
    <n v="27"/>
    <s v="female"/>
    <x v="2"/>
    <x v="7"/>
    <n v="7142"/>
    <n v="1"/>
    <n v="1"/>
    <n v="1"/>
    <n v="0"/>
    <s v="Stylist A."/>
    <s v="Stylists A and B."/>
    <s v="Stylist F."/>
    <s v="mo-h"/>
    <s v="ms-h"/>
    <s v="fa"/>
    <n v="0"/>
    <x v="2"/>
    <x v="2"/>
    <n v="1"/>
    <n v="0"/>
    <n v="0"/>
    <n v="1"/>
    <n v="0"/>
    <n v="1"/>
    <x v="2"/>
    <n v="1"/>
    <n v="0"/>
    <n v="0"/>
    <n v="0"/>
    <x v="0"/>
  </r>
  <r>
    <s v="A3VD9VK9NLEVMN"/>
    <x v="0"/>
    <n v="27"/>
    <s v="female"/>
    <x v="3"/>
    <x v="5"/>
    <n v="4789"/>
    <n v="1"/>
    <n v="1"/>
    <n v="0"/>
    <n v="0"/>
    <s v="NA"/>
    <s v="NA"/>
    <s v="NA"/>
    <s v="NA"/>
    <s v="NA"/>
    <s v="NA"/>
    <s v="NA"/>
    <x v="2"/>
    <x v="2"/>
    <n v="1"/>
    <n v="0"/>
    <n v="0"/>
    <n v="1"/>
    <n v="0"/>
    <n v="1"/>
    <x v="2"/>
    <n v="1"/>
    <n v="0"/>
    <n v="0"/>
    <n v="0"/>
    <x v="0"/>
  </r>
  <r>
    <s v="A3VD9VK9NLEVMN"/>
    <x v="0"/>
    <n v="27"/>
    <s v="female"/>
    <x v="4"/>
    <x v="0"/>
    <n v="80158"/>
    <s v="NICE THIS TRAVELERR TRIP ADVISOR THE QESTIONS. "/>
    <s v="NOTHING TO TASK DIFFICULT. THAT IS VERY EASY"/>
    <s v="NOTHING"/>
    <s v="NA"/>
    <s v="NA"/>
    <s v="NA"/>
    <s v="NA"/>
    <s v="NA"/>
    <s v="NA"/>
    <s v="NA"/>
    <s v="NA"/>
    <x v="0"/>
    <x v="0"/>
    <s v="NA"/>
    <s v="NA"/>
    <s v="NA"/>
    <s v="NA"/>
    <s v="NA"/>
    <s v="NA"/>
    <x v="0"/>
    <s v="NA"/>
    <s v="NA"/>
    <s v="NA"/>
    <s v="NA"/>
    <x v="0"/>
  </r>
  <r>
    <s v="A1IJ86B8ZRKXBI"/>
    <x v="0"/>
    <n v="41"/>
    <s v="male"/>
    <x v="0"/>
    <x v="0"/>
    <n v="117291"/>
    <s v="NA"/>
    <s v="NA"/>
    <s v="NA"/>
    <s v="NA"/>
    <s v="NA"/>
    <s v="NA"/>
    <s v="NA"/>
    <s v="NA"/>
    <s v="NA"/>
    <s v="NA"/>
    <s v="NA"/>
    <x v="0"/>
    <x v="0"/>
    <s v="NA"/>
    <s v="NA"/>
    <s v="NA"/>
    <s v="NA"/>
    <s v="NA"/>
    <s v="NA"/>
    <x v="0"/>
    <s v="NA"/>
    <s v="NA"/>
    <s v="NA"/>
    <s v="NA"/>
    <x v="0"/>
  </r>
  <r>
    <s v="A1IJ86B8ZRKXBI"/>
    <x v="0"/>
    <n v="41"/>
    <s v="male"/>
    <x v="1"/>
    <x v="1"/>
    <n v="35916"/>
    <n v="0"/>
    <n v="0"/>
    <n v="0"/>
    <n v="1"/>
    <s v="NA"/>
    <s v="NA"/>
    <s v="NA"/>
    <s v="NA"/>
    <s v="NA"/>
    <s v="NA"/>
    <s v="NA"/>
    <x v="0"/>
    <x v="0"/>
    <s v="NA"/>
    <s v="NA"/>
    <s v="NA"/>
    <s v="NA"/>
    <s v="NA"/>
    <s v="NA"/>
    <x v="0"/>
    <s v="NA"/>
    <s v="NA"/>
    <s v="NA"/>
    <s v="NA"/>
    <x v="0"/>
  </r>
  <r>
    <s v="A1IJ86B8ZRKXBI"/>
    <x v="0"/>
    <n v="41"/>
    <s v="male"/>
    <x v="1"/>
    <x v="2"/>
    <n v="40761"/>
    <n v="0"/>
    <n v="1"/>
    <n v="1"/>
    <n v="0"/>
    <s v="NA"/>
    <s v="NA"/>
    <s v="NA"/>
    <s v="NA"/>
    <s v="NA"/>
    <s v="NA"/>
    <s v="NA"/>
    <x v="0"/>
    <x v="0"/>
    <s v="NA"/>
    <s v="NA"/>
    <s v="NA"/>
    <s v="NA"/>
    <s v="NA"/>
    <s v="NA"/>
    <x v="0"/>
    <s v="NA"/>
    <s v="NA"/>
    <s v="NA"/>
    <s v="NA"/>
    <x v="0"/>
  </r>
  <r>
    <s v="A1IJ86B8ZRKXBI"/>
    <x v="0"/>
    <n v="41"/>
    <s v="male"/>
    <x v="2"/>
    <x v="6"/>
    <n v="48712"/>
    <n v="0"/>
    <n v="1"/>
    <n v="1"/>
    <n v="0"/>
    <s v="Bookstores D and E."/>
    <s v="Bookstore A."/>
    <s v="Bookstores A and B."/>
    <s v="ms-l"/>
    <s v="mo-h"/>
    <s v="ms-h"/>
    <n v="0"/>
    <x v="2"/>
    <x v="2"/>
    <n v="1"/>
    <n v="1"/>
    <n v="0"/>
    <n v="1"/>
    <n v="0"/>
    <n v="1"/>
    <x v="2"/>
    <n v="1"/>
    <n v="0"/>
    <n v="0"/>
    <n v="0"/>
    <x v="0"/>
  </r>
  <r>
    <s v="A1IJ86B8ZRKXBI"/>
    <x v="0"/>
    <n v="41"/>
    <s v="male"/>
    <x v="2"/>
    <x v="4"/>
    <n v="31100"/>
    <n v="0"/>
    <n v="0"/>
    <n v="1"/>
    <n v="0"/>
    <s v="Stall E."/>
    <s v="Stalls D and E."/>
    <s v="Stalls A and B."/>
    <s v="mo-l"/>
    <s v="ms-l"/>
    <s v="ms-h"/>
    <n v="0"/>
    <x v="1"/>
    <x v="1"/>
    <n v="1"/>
    <n v="1"/>
    <n v="0"/>
    <n v="1"/>
    <n v="0"/>
    <n v="0"/>
    <x v="2"/>
    <n v="1"/>
    <n v="0"/>
    <n v="0"/>
    <n v="0"/>
    <x v="0"/>
  </r>
  <r>
    <s v="A1IJ86B8ZRKXBI"/>
    <x v="0"/>
    <n v="41"/>
    <s v="male"/>
    <x v="3"/>
    <x v="10"/>
    <n v="32644"/>
    <n v="0"/>
    <n v="0"/>
    <n v="0"/>
    <n v="1"/>
    <s v="NA"/>
    <s v="NA"/>
    <s v="NA"/>
    <s v="NA"/>
    <s v="NA"/>
    <s v="NA"/>
    <s v="NA"/>
    <x v="1"/>
    <x v="1"/>
    <n v="1"/>
    <n v="1"/>
    <n v="0"/>
    <n v="1"/>
    <n v="0"/>
    <n v="0"/>
    <x v="2"/>
    <n v="1"/>
    <n v="0"/>
    <n v="0"/>
    <n v="0"/>
    <x v="0"/>
  </r>
  <r>
    <s v="A1IJ86B8ZRKXBI"/>
    <x v="0"/>
    <n v="41"/>
    <s v="male"/>
    <x v="2"/>
    <x v="9"/>
    <n v="24139"/>
    <n v="0"/>
    <n v="0"/>
    <n v="1"/>
    <n v="0"/>
    <s v="Stores A, B, C, D and E."/>
    <s v="Store E."/>
    <s v="Store A."/>
    <s v="exh"/>
    <s v="mo-l"/>
    <s v="mo-h"/>
    <n v="1"/>
    <x v="2"/>
    <x v="1"/>
    <n v="0"/>
    <n v="0"/>
    <n v="0"/>
    <n v="1"/>
    <n v="0"/>
    <n v="1"/>
    <x v="2"/>
    <n v="0"/>
    <n v="0"/>
    <n v="0"/>
    <n v="0"/>
    <x v="0"/>
  </r>
  <r>
    <s v="A1IJ86B8ZRKXBI"/>
    <x v="0"/>
    <n v="41"/>
    <s v="male"/>
    <x v="2"/>
    <x v="7"/>
    <n v="25930"/>
    <n v="0"/>
    <n v="1"/>
    <n v="1"/>
    <n v="0"/>
    <s v="Stylist E."/>
    <s v="Stylists A and B."/>
    <s v="Stylist A."/>
    <s v="mo-l"/>
    <s v="ms-h"/>
    <s v="mo-h"/>
    <n v="0"/>
    <x v="2"/>
    <x v="1"/>
    <n v="1"/>
    <n v="0"/>
    <n v="0"/>
    <n v="1"/>
    <n v="0"/>
    <n v="1"/>
    <x v="2"/>
    <n v="1"/>
    <n v="0"/>
    <n v="0"/>
    <n v="0"/>
    <x v="0"/>
  </r>
  <r>
    <s v="A1IJ86B8ZRKXBI"/>
    <x v="0"/>
    <n v="41"/>
    <s v="male"/>
    <x v="3"/>
    <x v="8"/>
    <n v="26845"/>
    <n v="1"/>
    <n v="1"/>
    <n v="0"/>
    <n v="0"/>
    <s v="NA"/>
    <s v="NA"/>
    <s v="NA"/>
    <s v="NA"/>
    <s v="NA"/>
    <s v="NA"/>
    <s v="NA"/>
    <x v="2"/>
    <x v="1"/>
    <n v="1"/>
    <n v="0"/>
    <n v="0"/>
    <n v="1"/>
    <n v="0"/>
    <n v="1"/>
    <x v="2"/>
    <n v="1"/>
    <n v="0"/>
    <n v="0"/>
    <n v="0"/>
    <x v="0"/>
  </r>
  <r>
    <s v="A1IJ86B8ZRKXBI"/>
    <x v="0"/>
    <n v="41"/>
    <s v="male"/>
    <x v="2"/>
    <x v="11"/>
    <n v="19643"/>
    <n v="1"/>
    <n v="0"/>
    <n v="0"/>
    <n v="0"/>
    <s v="Dentist A."/>
    <s v="Dentists D and E."/>
    <s v="Dentist E."/>
    <s v="mo-h"/>
    <s v="ms-l"/>
    <s v="mo-l"/>
    <n v="0"/>
    <x v="2"/>
    <x v="1"/>
    <n v="0"/>
    <n v="1"/>
    <n v="0"/>
    <n v="1"/>
    <n v="0"/>
    <n v="1"/>
    <x v="2"/>
    <n v="0"/>
    <n v="0"/>
    <n v="0"/>
    <n v="0"/>
    <x v="0"/>
  </r>
  <r>
    <s v="A1IJ86B8ZRKXBI"/>
    <x v="0"/>
    <n v="41"/>
    <s v="male"/>
    <x v="3"/>
    <x v="5"/>
    <n v="34509"/>
    <n v="0"/>
    <n v="0"/>
    <n v="1"/>
    <n v="0"/>
    <s v="NA"/>
    <s v="NA"/>
    <s v="NA"/>
    <s v="NA"/>
    <s v="NA"/>
    <s v="NA"/>
    <s v="NA"/>
    <x v="2"/>
    <x v="1"/>
    <n v="0"/>
    <n v="1"/>
    <n v="0"/>
    <n v="1"/>
    <n v="0"/>
    <n v="1"/>
    <x v="2"/>
    <n v="0"/>
    <n v="0"/>
    <n v="0"/>
    <n v="0"/>
    <x v="0"/>
  </r>
  <r>
    <s v="A1IJ86B8ZRKXBI"/>
    <x v="0"/>
    <n v="41"/>
    <s v="male"/>
    <x v="2"/>
    <x v="3"/>
    <n v="19738"/>
    <n v="0"/>
    <n v="0"/>
    <n v="1"/>
    <n v="0"/>
    <s v="Cafes D and E."/>
    <s v="Cafe E."/>
    <s v="Cafe A."/>
    <s v="ms-l"/>
    <s v="mo-l"/>
    <s v="mo-h"/>
    <n v="0"/>
    <x v="2"/>
    <x v="1"/>
    <n v="0"/>
    <n v="1"/>
    <n v="0"/>
    <n v="1"/>
    <n v="0"/>
    <n v="1"/>
    <x v="2"/>
    <n v="0"/>
    <n v="0"/>
    <n v="0"/>
    <n v="0"/>
    <x v="0"/>
  </r>
  <r>
    <s v="A1IJ86B8ZRKXBI"/>
    <x v="0"/>
    <n v="41"/>
    <s v="male"/>
    <x v="3"/>
    <x v="12"/>
    <n v="23595"/>
    <n v="1"/>
    <n v="0"/>
    <n v="0"/>
    <n v="0"/>
    <s v="NA"/>
    <s v="NA"/>
    <s v="NA"/>
    <s v="NA"/>
    <s v="NA"/>
    <s v="NA"/>
    <s v="NA"/>
    <x v="2"/>
    <x v="1"/>
    <n v="0"/>
    <n v="1"/>
    <n v="0"/>
    <n v="1"/>
    <n v="0"/>
    <n v="1"/>
    <x v="2"/>
    <n v="0"/>
    <n v="0"/>
    <n v="0"/>
    <n v="0"/>
    <x v="0"/>
  </r>
  <r>
    <s v="A1IJ86B8ZRKXBI"/>
    <x v="0"/>
    <n v="41"/>
    <s v="male"/>
    <x v="4"/>
    <x v="0"/>
    <n v="92371"/>
    <s v="No%2C the questions are equivalent."/>
    <s v="no"/>
    <s v="no"/>
    <s v="NA"/>
    <s v="NA"/>
    <s v="NA"/>
    <s v="NA"/>
    <s v="NA"/>
    <s v="NA"/>
    <s v="NA"/>
    <s v="NA"/>
    <x v="0"/>
    <x v="0"/>
    <s v="NA"/>
    <s v="NA"/>
    <s v="NA"/>
    <s v="NA"/>
    <s v="NA"/>
    <s v="NA"/>
    <x v="0"/>
    <s v="NA"/>
    <s v="NA"/>
    <s v="NA"/>
    <s v="NA"/>
    <x v="0"/>
  </r>
  <r>
    <s v="A269SNLVQZNFE6"/>
    <x v="3"/>
    <n v="34"/>
    <s v="female"/>
    <x v="0"/>
    <x v="0"/>
    <n v="31092"/>
    <s v="NA"/>
    <s v="NA"/>
    <s v="NA"/>
    <s v="NA"/>
    <s v="NA"/>
    <s v="NA"/>
    <s v="NA"/>
    <s v="NA"/>
    <s v="NA"/>
    <s v="NA"/>
    <s v="NA"/>
    <x v="0"/>
    <x v="0"/>
    <s v="NA"/>
    <s v="NA"/>
    <s v="NA"/>
    <s v="NA"/>
    <s v="NA"/>
    <s v="NA"/>
    <x v="0"/>
    <s v="NA"/>
    <s v="NA"/>
    <s v="NA"/>
    <s v="NA"/>
    <x v="0"/>
  </r>
  <r>
    <s v="A269SNLVQZNFE6"/>
    <x v="3"/>
    <n v="34"/>
    <s v="female"/>
    <x v="1"/>
    <x v="2"/>
    <n v="76386"/>
    <n v="0"/>
    <n v="0"/>
    <n v="1"/>
    <n v="0"/>
    <s v="NA"/>
    <s v="NA"/>
    <s v="NA"/>
    <s v="NA"/>
    <s v="NA"/>
    <s v="NA"/>
    <s v="NA"/>
    <x v="0"/>
    <x v="0"/>
    <s v="NA"/>
    <s v="NA"/>
    <s v="NA"/>
    <s v="NA"/>
    <s v="NA"/>
    <s v="NA"/>
    <x v="0"/>
    <s v="NA"/>
    <s v="NA"/>
    <s v="NA"/>
    <s v="NA"/>
    <x v="0"/>
  </r>
  <r>
    <s v="A269SNLVQZNFE6"/>
    <x v="3"/>
    <n v="34"/>
    <s v="female"/>
    <x v="1"/>
    <x v="1"/>
    <n v="59123"/>
    <n v="0"/>
    <n v="0"/>
    <n v="0"/>
    <n v="1"/>
    <s v="NA"/>
    <s v="NA"/>
    <s v="NA"/>
    <s v="NA"/>
    <s v="NA"/>
    <s v="NA"/>
    <s v="NA"/>
    <x v="0"/>
    <x v="0"/>
    <s v="NA"/>
    <s v="NA"/>
    <s v="NA"/>
    <s v="NA"/>
    <s v="NA"/>
    <s v="NA"/>
    <x v="0"/>
    <s v="NA"/>
    <s v="NA"/>
    <s v="NA"/>
    <s v="NA"/>
    <x v="0"/>
  </r>
  <r>
    <s v="A269SNLVQZNFE6"/>
    <x v="3"/>
    <n v="34"/>
    <s v="female"/>
    <x v="2"/>
    <x v="4"/>
    <n v="70804"/>
    <n v="0"/>
    <n v="0"/>
    <n v="0"/>
    <n v="1"/>
    <s v="Stall A."/>
    <s v="Stalls A and B."/>
    <s v="Stall E."/>
    <s v="mo-h"/>
    <s v="ms-h"/>
    <s v="mo-l"/>
    <n v="0"/>
    <x v="2"/>
    <x v="1"/>
    <n v="1"/>
    <n v="0"/>
    <n v="0"/>
    <n v="1"/>
    <n v="0"/>
    <n v="0"/>
    <x v="2"/>
    <n v="0"/>
    <n v="0"/>
    <n v="0"/>
    <n v="1"/>
    <x v="0"/>
  </r>
  <r>
    <s v="A269SNLVQZNFE6"/>
    <x v="3"/>
    <n v="34"/>
    <s v="female"/>
    <x v="2"/>
    <x v="9"/>
    <n v="50455"/>
    <n v="0"/>
    <n v="1"/>
    <n v="0"/>
    <n v="0"/>
    <s v="Stores D and E."/>
    <s v="Store A."/>
    <s v="Stores A and B."/>
    <s v="ms-l"/>
    <s v="mo-h"/>
    <s v="ms-h"/>
    <n v="0"/>
    <x v="2"/>
    <x v="2"/>
    <n v="1"/>
    <n v="1"/>
    <n v="0"/>
    <n v="1"/>
    <n v="0"/>
    <n v="1"/>
    <x v="2"/>
    <n v="0"/>
    <n v="0"/>
    <n v="0"/>
    <n v="0"/>
    <x v="0"/>
  </r>
  <r>
    <s v="A269SNLVQZNFE6"/>
    <x v="3"/>
    <n v="34"/>
    <s v="female"/>
    <x v="3"/>
    <x v="8"/>
    <n v="37654"/>
    <n v="1"/>
    <n v="0"/>
    <n v="0"/>
    <n v="0"/>
    <s v="NA"/>
    <s v="NA"/>
    <s v="NA"/>
    <s v="NA"/>
    <s v="NA"/>
    <s v="NA"/>
    <s v="NA"/>
    <x v="2"/>
    <x v="2"/>
    <n v="1"/>
    <n v="1"/>
    <n v="0"/>
    <n v="1"/>
    <n v="0"/>
    <n v="1"/>
    <x v="2"/>
    <n v="0"/>
    <n v="0"/>
    <n v="0"/>
    <n v="0"/>
    <x v="0"/>
  </r>
  <r>
    <s v="A269SNLVQZNFE6"/>
    <x v="3"/>
    <n v="34"/>
    <s v="female"/>
    <x v="2"/>
    <x v="6"/>
    <n v="51754"/>
    <n v="0"/>
    <n v="1"/>
    <n v="0"/>
    <n v="0"/>
    <s v="Bookstore A."/>
    <s v="Bookstores A and B."/>
    <s v="Bookstores D and E."/>
    <s v="mo-h"/>
    <s v="ms-h"/>
    <s v="ms-l"/>
    <n v="0"/>
    <x v="2"/>
    <x v="2"/>
    <n v="1"/>
    <n v="1"/>
    <n v="0"/>
    <n v="1"/>
    <n v="0"/>
    <n v="0"/>
    <x v="2"/>
    <n v="1"/>
    <n v="0"/>
    <n v="0"/>
    <n v="0"/>
    <x v="0"/>
  </r>
  <r>
    <s v="A269SNLVQZNFE6"/>
    <x v="3"/>
    <n v="34"/>
    <s v="female"/>
    <x v="3"/>
    <x v="12"/>
    <n v="49326"/>
    <n v="1"/>
    <n v="0"/>
    <n v="0"/>
    <n v="0"/>
    <s v="NA"/>
    <s v="NA"/>
    <s v="NA"/>
    <s v="NA"/>
    <s v="NA"/>
    <s v="NA"/>
    <s v="NA"/>
    <x v="2"/>
    <x v="2"/>
    <n v="1"/>
    <n v="1"/>
    <n v="0"/>
    <n v="1"/>
    <n v="0"/>
    <n v="0"/>
    <x v="2"/>
    <n v="1"/>
    <n v="0"/>
    <n v="0"/>
    <n v="0"/>
    <x v="0"/>
  </r>
  <r>
    <s v="A269SNLVQZNFE6"/>
    <x v="3"/>
    <n v="34"/>
    <s v="female"/>
    <x v="2"/>
    <x v="3"/>
    <n v="34495"/>
    <n v="0"/>
    <n v="1"/>
    <n v="0"/>
    <n v="0"/>
    <s v="Cafe E."/>
    <s v="Cafes A, B, C, D and E."/>
    <s v="Cafe A."/>
    <s v="mo-l"/>
    <s v="exh"/>
    <s v="mo-h"/>
    <n v="1"/>
    <x v="2"/>
    <x v="1"/>
    <n v="0"/>
    <n v="0"/>
    <n v="0"/>
    <n v="1"/>
    <n v="1"/>
    <n v="0"/>
    <x v="2"/>
    <n v="0"/>
    <n v="0"/>
    <n v="0"/>
    <n v="0"/>
    <x v="0"/>
  </r>
  <r>
    <s v="A269SNLVQZNFE6"/>
    <x v="3"/>
    <n v="34"/>
    <s v="female"/>
    <x v="2"/>
    <x v="11"/>
    <n v="40838"/>
    <n v="0"/>
    <n v="1"/>
    <n v="0"/>
    <n v="0"/>
    <s v="Dentists D and E."/>
    <s v="Dentists A, B, C, D and E."/>
    <s v="Dentists A and B."/>
    <s v="ms-l"/>
    <s v="exh"/>
    <s v="ms-h"/>
    <n v="1"/>
    <x v="1"/>
    <x v="2"/>
    <n v="1"/>
    <n v="1"/>
    <n v="0"/>
    <n v="1"/>
    <n v="1"/>
    <n v="0"/>
    <x v="2"/>
    <n v="0"/>
    <n v="0"/>
    <n v="0"/>
    <n v="0"/>
    <x v="0"/>
  </r>
  <r>
    <s v="A269SNLVQZNFE6"/>
    <x v="3"/>
    <n v="34"/>
    <s v="female"/>
    <x v="3"/>
    <x v="10"/>
    <n v="57021"/>
    <n v="0"/>
    <n v="0"/>
    <n v="0"/>
    <n v="1"/>
    <s v="NA"/>
    <s v="NA"/>
    <s v="NA"/>
    <s v="NA"/>
    <s v="NA"/>
    <s v="NA"/>
    <s v="NA"/>
    <x v="1"/>
    <x v="2"/>
    <n v="1"/>
    <n v="1"/>
    <n v="0"/>
    <n v="1"/>
    <n v="1"/>
    <n v="0"/>
    <x v="2"/>
    <n v="0"/>
    <n v="0"/>
    <n v="0"/>
    <n v="0"/>
    <x v="0"/>
  </r>
  <r>
    <s v="A269SNLVQZNFE6"/>
    <x v="3"/>
    <n v="34"/>
    <s v="female"/>
    <x v="2"/>
    <x v="7"/>
    <n v="30921"/>
    <n v="1"/>
    <n v="0"/>
    <n v="0"/>
    <n v="0"/>
    <s v="Stylists A, B, C, D and E."/>
    <s v="Stylist E."/>
    <s v="Stylist A."/>
    <s v="exh"/>
    <s v="mo-l"/>
    <s v="mo-h"/>
    <n v="1"/>
    <x v="2"/>
    <x v="1"/>
    <n v="0"/>
    <n v="0"/>
    <n v="0"/>
    <n v="1"/>
    <n v="1"/>
    <n v="0"/>
    <x v="2"/>
    <n v="0"/>
    <n v="0"/>
    <n v="0"/>
    <n v="0"/>
    <x v="0"/>
  </r>
  <r>
    <s v="A269SNLVQZNFE6"/>
    <x v="3"/>
    <n v="34"/>
    <s v="female"/>
    <x v="3"/>
    <x v="5"/>
    <n v="101157"/>
    <n v="0"/>
    <n v="0"/>
    <n v="1"/>
    <n v="0"/>
    <s v="NA"/>
    <s v="NA"/>
    <s v="NA"/>
    <s v="NA"/>
    <s v="NA"/>
    <s v="NA"/>
    <s v="NA"/>
    <x v="2"/>
    <x v="1"/>
    <n v="0"/>
    <n v="0"/>
    <n v="0"/>
    <n v="1"/>
    <n v="1"/>
    <n v="0"/>
    <x v="2"/>
    <n v="0"/>
    <n v="0"/>
    <n v="0"/>
    <n v="0"/>
    <x v="0"/>
  </r>
  <r>
    <s v="A269SNLVQZNFE6"/>
    <x v="3"/>
    <n v="34"/>
    <s v="female"/>
    <x v="4"/>
    <x v="0"/>
    <n v="93743"/>
    <s v="I would answer both questions in listing locations that serve brunch in town"/>
    <s v="no"/>
    <s v="no"/>
    <s v="NA"/>
    <s v="NA"/>
    <s v="NA"/>
    <s v="NA"/>
    <s v="NA"/>
    <s v="NA"/>
    <s v="NA"/>
    <s v="NA"/>
    <x v="0"/>
    <x v="0"/>
    <s v="NA"/>
    <s v="NA"/>
    <s v="NA"/>
    <s v="NA"/>
    <s v="NA"/>
    <s v="NA"/>
    <x v="0"/>
    <s v="NA"/>
    <s v="NA"/>
    <s v="NA"/>
    <s v="NA"/>
    <x v="0"/>
  </r>
  <r>
    <s v="A3NK47PYLGRNFC"/>
    <x v="0"/>
    <n v="20"/>
    <s v="male"/>
    <x v="0"/>
    <x v="0"/>
    <n v="26785"/>
    <s v="NA"/>
    <s v="NA"/>
    <s v="NA"/>
    <s v="NA"/>
    <s v="NA"/>
    <s v="NA"/>
    <s v="NA"/>
    <s v="NA"/>
    <s v="NA"/>
    <s v="NA"/>
    <s v="NA"/>
    <x v="0"/>
    <x v="0"/>
    <s v="NA"/>
    <s v="NA"/>
    <s v="NA"/>
    <s v="NA"/>
    <s v="NA"/>
    <s v="NA"/>
    <x v="0"/>
    <s v="NA"/>
    <s v="NA"/>
    <s v="NA"/>
    <s v="NA"/>
    <x v="0"/>
  </r>
  <r>
    <s v="A3NK47PYLGRNFC"/>
    <x v="0"/>
    <n v="20"/>
    <s v="male"/>
    <x v="1"/>
    <x v="2"/>
    <n v="37877"/>
    <n v="0"/>
    <n v="1"/>
    <n v="1"/>
    <n v="0"/>
    <s v="NA"/>
    <s v="NA"/>
    <s v="NA"/>
    <s v="NA"/>
    <s v="NA"/>
    <s v="NA"/>
    <s v="NA"/>
    <x v="0"/>
    <x v="0"/>
    <s v="NA"/>
    <s v="NA"/>
    <s v="NA"/>
    <s v="NA"/>
    <s v="NA"/>
    <s v="NA"/>
    <x v="0"/>
    <s v="NA"/>
    <s v="NA"/>
    <s v="NA"/>
    <s v="NA"/>
    <x v="0"/>
  </r>
  <r>
    <s v="A3NK47PYLGRNFC"/>
    <x v="0"/>
    <n v="20"/>
    <s v="male"/>
    <x v="1"/>
    <x v="1"/>
    <n v="33291"/>
    <n v="0"/>
    <n v="0"/>
    <n v="0"/>
    <n v="1"/>
    <s v="NA"/>
    <s v="NA"/>
    <s v="NA"/>
    <s v="NA"/>
    <s v="NA"/>
    <s v="NA"/>
    <s v="NA"/>
    <x v="0"/>
    <x v="0"/>
    <s v="NA"/>
    <s v="NA"/>
    <s v="NA"/>
    <s v="NA"/>
    <s v="NA"/>
    <s v="NA"/>
    <x v="0"/>
    <s v="NA"/>
    <s v="NA"/>
    <s v="NA"/>
    <s v="NA"/>
    <x v="0"/>
  </r>
  <r>
    <s v="A3NK47PYLGRNFC"/>
    <x v="0"/>
    <n v="20"/>
    <s v="male"/>
    <x v="2"/>
    <x v="7"/>
    <n v="70635"/>
    <n v="1"/>
    <n v="1"/>
    <n v="1"/>
    <n v="0"/>
    <s v="Stylists A, B, C, D and E."/>
    <s v="Stylists A and B."/>
    <s v="Stylists D and E."/>
    <s v="exh"/>
    <s v="ms-h"/>
    <s v="ms-l"/>
    <n v="1"/>
    <x v="1"/>
    <x v="2"/>
    <n v="1"/>
    <n v="1"/>
    <n v="0"/>
    <n v="1"/>
    <n v="1"/>
    <n v="0"/>
    <x v="2"/>
    <n v="1"/>
    <n v="1"/>
    <n v="0"/>
    <n v="0"/>
    <x v="0"/>
  </r>
  <r>
    <s v="A3NK47PYLGRNFC"/>
    <x v="0"/>
    <n v="20"/>
    <s v="male"/>
    <x v="3"/>
    <x v="8"/>
    <n v="40699"/>
    <n v="1"/>
    <n v="1"/>
    <n v="0"/>
    <n v="0"/>
    <s v="NA"/>
    <s v="NA"/>
    <s v="NA"/>
    <s v="NA"/>
    <s v="NA"/>
    <s v="NA"/>
    <s v="NA"/>
    <x v="1"/>
    <x v="2"/>
    <n v="1"/>
    <n v="1"/>
    <n v="0"/>
    <n v="1"/>
    <n v="1"/>
    <n v="0"/>
    <x v="2"/>
    <n v="1"/>
    <n v="1"/>
    <n v="0"/>
    <n v="0"/>
    <x v="0"/>
  </r>
  <r>
    <s v="A3NK47PYLGRNFC"/>
    <x v="0"/>
    <n v="20"/>
    <s v="male"/>
    <x v="2"/>
    <x v="11"/>
    <n v="82772"/>
    <n v="0"/>
    <n v="0"/>
    <n v="0"/>
    <n v="1"/>
    <s v="Dentists A and B."/>
    <s v="Dentist A."/>
    <s v="Dentist F."/>
    <s v="ms-h"/>
    <s v="mo-h"/>
    <s v="fa"/>
    <n v="0"/>
    <x v="2"/>
    <x v="2"/>
    <n v="1"/>
    <n v="0"/>
    <n v="0"/>
    <n v="1"/>
    <n v="0"/>
    <n v="0"/>
    <x v="2"/>
    <n v="0"/>
    <n v="0"/>
    <n v="0"/>
    <n v="1"/>
    <x v="0"/>
  </r>
  <r>
    <s v="A3NK47PYLGRNFC"/>
    <x v="0"/>
    <n v="20"/>
    <s v="male"/>
    <x v="2"/>
    <x v="3"/>
    <n v="20083"/>
    <n v="1"/>
    <n v="1"/>
    <n v="1"/>
    <n v="0"/>
    <s v="Cafe E."/>
    <s v="Cafe F."/>
    <s v="Cafe A."/>
    <s v="mo-l"/>
    <s v="fa"/>
    <s v="mo-h"/>
    <n v="0"/>
    <x v="2"/>
    <x v="1"/>
    <n v="0"/>
    <n v="0"/>
    <n v="0"/>
    <n v="1"/>
    <n v="0"/>
    <n v="1"/>
    <x v="1"/>
    <n v="0"/>
    <n v="0"/>
    <n v="0"/>
    <n v="0"/>
    <x v="0"/>
  </r>
  <r>
    <s v="A3NK47PYLGRNFC"/>
    <x v="0"/>
    <n v="20"/>
    <s v="male"/>
    <x v="3"/>
    <x v="5"/>
    <n v="29973"/>
    <n v="0"/>
    <n v="1"/>
    <n v="1"/>
    <n v="0"/>
    <s v="NA"/>
    <s v="NA"/>
    <s v="NA"/>
    <s v="NA"/>
    <s v="NA"/>
    <s v="NA"/>
    <s v="NA"/>
    <x v="2"/>
    <x v="1"/>
    <n v="0"/>
    <n v="0"/>
    <n v="0"/>
    <n v="1"/>
    <n v="0"/>
    <n v="1"/>
    <x v="1"/>
    <n v="0"/>
    <n v="0"/>
    <n v="0"/>
    <n v="0"/>
    <x v="0"/>
  </r>
  <r>
    <s v="A3NK47PYLGRNFC"/>
    <x v="0"/>
    <n v="20"/>
    <s v="male"/>
    <x v="2"/>
    <x v="9"/>
    <n v="22629"/>
    <n v="1"/>
    <n v="1"/>
    <n v="1"/>
    <n v="0"/>
    <s v="Stores A and B."/>
    <s v="Stores D and E."/>
    <s v="Stores A, B, C, D and E."/>
    <s v="ms-h"/>
    <s v="ms-l"/>
    <s v="exh"/>
    <n v="1"/>
    <x v="1"/>
    <x v="2"/>
    <n v="1"/>
    <n v="1"/>
    <n v="0"/>
    <n v="1"/>
    <n v="1"/>
    <n v="0"/>
    <x v="2"/>
    <n v="1"/>
    <n v="1"/>
    <n v="0"/>
    <n v="0"/>
    <x v="0"/>
  </r>
  <r>
    <s v="A3NK47PYLGRNFC"/>
    <x v="0"/>
    <n v="20"/>
    <s v="male"/>
    <x v="3"/>
    <x v="12"/>
    <n v="21902"/>
    <n v="1"/>
    <n v="1"/>
    <n v="0"/>
    <n v="0"/>
    <s v="NA"/>
    <s v="NA"/>
    <s v="NA"/>
    <s v="NA"/>
    <s v="NA"/>
    <s v="NA"/>
    <s v="NA"/>
    <x v="1"/>
    <x v="2"/>
    <n v="1"/>
    <n v="1"/>
    <n v="0"/>
    <n v="1"/>
    <n v="1"/>
    <n v="0"/>
    <x v="2"/>
    <n v="1"/>
    <n v="1"/>
    <n v="0"/>
    <n v="0"/>
    <x v="0"/>
  </r>
  <r>
    <s v="A3NK47PYLGRNFC"/>
    <x v="0"/>
    <n v="20"/>
    <s v="male"/>
    <x v="2"/>
    <x v="6"/>
    <n v="29293"/>
    <n v="1"/>
    <n v="1"/>
    <n v="1"/>
    <n v="0"/>
    <s v="Bookstore A."/>
    <s v="Bookstore E."/>
    <s v="Bookstores D and E."/>
    <s v="mo-h"/>
    <s v="mo-l"/>
    <s v="ms-l"/>
    <n v="0"/>
    <x v="2"/>
    <x v="1"/>
    <n v="0"/>
    <n v="1"/>
    <n v="0"/>
    <n v="1"/>
    <n v="0"/>
    <n v="1"/>
    <x v="1"/>
    <n v="0"/>
    <n v="1"/>
    <n v="0"/>
    <n v="0"/>
    <x v="0"/>
  </r>
  <r>
    <s v="A3NK47PYLGRNFC"/>
    <x v="0"/>
    <n v="20"/>
    <s v="male"/>
    <x v="2"/>
    <x v="4"/>
    <n v="31787"/>
    <n v="1"/>
    <n v="1"/>
    <n v="1"/>
    <n v="0"/>
    <s v="Stall E."/>
    <s v="Stalls D and E."/>
    <s v="Stalls A and B."/>
    <s v="mo-l"/>
    <s v="ms-l"/>
    <s v="ms-h"/>
    <n v="0"/>
    <x v="1"/>
    <x v="1"/>
    <n v="1"/>
    <n v="1"/>
    <n v="0"/>
    <n v="1"/>
    <n v="0"/>
    <n v="0"/>
    <x v="1"/>
    <n v="1"/>
    <n v="1"/>
    <n v="0"/>
    <n v="0"/>
    <x v="0"/>
  </r>
  <r>
    <s v="A3NK47PYLGRNFC"/>
    <x v="0"/>
    <n v="20"/>
    <s v="male"/>
    <x v="3"/>
    <x v="10"/>
    <n v="41050"/>
    <n v="1"/>
    <n v="1"/>
    <n v="0"/>
    <n v="0"/>
    <s v="NA"/>
    <s v="NA"/>
    <s v="NA"/>
    <s v="NA"/>
    <s v="NA"/>
    <s v="NA"/>
    <s v="NA"/>
    <x v="1"/>
    <x v="1"/>
    <n v="1"/>
    <n v="1"/>
    <n v="0"/>
    <n v="1"/>
    <n v="0"/>
    <n v="0"/>
    <x v="1"/>
    <n v="1"/>
    <n v="1"/>
    <n v="0"/>
    <n v="0"/>
    <x v="0"/>
  </r>
  <r>
    <s v="A3NK47PYLGRNFC"/>
    <x v="0"/>
    <n v="20"/>
    <s v="male"/>
    <x v="4"/>
    <x v="0"/>
    <n v="200602"/>
    <s v="No. Both questions specify what exactly they're looking for and where%2C and the structure does not change the meaning of this question."/>
    <s v="No. It's not a complicated request. I imagine that more subjective%2C open-ended questions may be interpreted differently based on how they're worded%2C but not an objective question like that."/>
    <m/>
    <s v="NA"/>
    <s v="NA"/>
    <s v="NA"/>
    <s v="NA"/>
    <s v="NA"/>
    <s v="NA"/>
    <s v="NA"/>
    <s v="NA"/>
    <x v="0"/>
    <x v="0"/>
    <s v="NA"/>
    <s v="NA"/>
    <s v="NA"/>
    <s v="NA"/>
    <s v="NA"/>
    <s v="NA"/>
    <x v="0"/>
    <s v="NA"/>
    <s v="NA"/>
    <s v="NA"/>
    <s v="NA"/>
    <x v="0"/>
  </r>
  <r>
    <s v="AVXEDARJC5HLU"/>
    <x v="0"/>
    <n v="43"/>
    <s v="male"/>
    <x v="0"/>
    <x v="0"/>
    <n v="93590"/>
    <s v="NA"/>
    <s v="NA"/>
    <s v="NA"/>
    <s v="NA"/>
    <s v="NA"/>
    <s v="NA"/>
    <s v="NA"/>
    <s v="NA"/>
    <s v="NA"/>
    <s v="NA"/>
    <s v="NA"/>
    <x v="0"/>
    <x v="0"/>
    <s v="NA"/>
    <s v="NA"/>
    <s v="NA"/>
    <s v="NA"/>
    <s v="NA"/>
    <s v="NA"/>
    <x v="0"/>
    <s v="NA"/>
    <s v="NA"/>
    <s v="NA"/>
    <s v="NA"/>
    <x v="0"/>
  </r>
  <r>
    <s v="AVXEDARJC5HLU"/>
    <x v="0"/>
    <n v="43"/>
    <s v="male"/>
    <x v="1"/>
    <x v="2"/>
    <n v="17867"/>
    <n v="0"/>
    <n v="0"/>
    <n v="1"/>
    <n v="0"/>
    <s v="NA"/>
    <s v="NA"/>
    <s v="NA"/>
    <s v="NA"/>
    <s v="NA"/>
    <s v="NA"/>
    <s v="NA"/>
    <x v="0"/>
    <x v="0"/>
    <s v="NA"/>
    <s v="NA"/>
    <s v="NA"/>
    <s v="NA"/>
    <s v="NA"/>
    <s v="NA"/>
    <x v="0"/>
    <s v="NA"/>
    <s v="NA"/>
    <s v="NA"/>
    <s v="NA"/>
    <x v="0"/>
  </r>
  <r>
    <s v="AVXEDARJC5HLU"/>
    <x v="0"/>
    <n v="43"/>
    <s v="male"/>
    <x v="1"/>
    <x v="1"/>
    <n v="14013"/>
    <n v="0"/>
    <n v="0"/>
    <n v="0"/>
    <n v="1"/>
    <s v="NA"/>
    <s v="NA"/>
    <s v="NA"/>
    <s v="NA"/>
    <s v="NA"/>
    <s v="NA"/>
    <s v="NA"/>
    <x v="0"/>
    <x v="0"/>
    <s v="NA"/>
    <s v="NA"/>
    <s v="NA"/>
    <s v="NA"/>
    <s v="NA"/>
    <s v="NA"/>
    <x v="0"/>
    <s v="NA"/>
    <s v="NA"/>
    <s v="NA"/>
    <s v="NA"/>
    <x v="0"/>
  </r>
  <r>
    <s v="AVXEDARJC5HLU"/>
    <x v="0"/>
    <n v="43"/>
    <s v="male"/>
    <x v="2"/>
    <x v="6"/>
    <n v="17648"/>
    <n v="1"/>
    <n v="1"/>
    <n v="1"/>
    <n v="0"/>
    <s v="Bookstore A."/>
    <s v="Bookstore E."/>
    <s v="Bookstores D and E."/>
    <s v="mo-h"/>
    <s v="mo-l"/>
    <s v="ms-l"/>
    <n v="0"/>
    <x v="2"/>
    <x v="1"/>
    <n v="0"/>
    <n v="1"/>
    <n v="0"/>
    <n v="1"/>
    <n v="0"/>
    <n v="1"/>
    <x v="1"/>
    <n v="0"/>
    <n v="1"/>
    <n v="0"/>
    <n v="0"/>
    <x v="0"/>
  </r>
  <r>
    <s v="AVXEDARJC5HLU"/>
    <x v="0"/>
    <n v="43"/>
    <s v="male"/>
    <x v="3"/>
    <x v="8"/>
    <n v="17876"/>
    <n v="1"/>
    <n v="0"/>
    <n v="0"/>
    <n v="0"/>
    <s v="NA"/>
    <s v="NA"/>
    <s v="NA"/>
    <s v="NA"/>
    <s v="NA"/>
    <s v="NA"/>
    <s v="NA"/>
    <x v="2"/>
    <x v="1"/>
    <n v="0"/>
    <n v="1"/>
    <n v="0"/>
    <n v="1"/>
    <n v="0"/>
    <n v="1"/>
    <x v="1"/>
    <n v="0"/>
    <n v="1"/>
    <n v="0"/>
    <n v="0"/>
    <x v="0"/>
  </r>
  <r>
    <s v="AVXEDARJC5HLU"/>
    <x v="0"/>
    <n v="43"/>
    <s v="male"/>
    <x v="2"/>
    <x v="11"/>
    <n v="22692"/>
    <n v="1"/>
    <n v="1"/>
    <n v="1"/>
    <n v="0"/>
    <s v="Dentists D and E."/>
    <s v="Dentist A."/>
    <s v="Dentist F."/>
    <s v="ms-l"/>
    <s v="mo-h"/>
    <s v="fa"/>
    <n v="0"/>
    <x v="2"/>
    <x v="2"/>
    <n v="0"/>
    <n v="1"/>
    <n v="0"/>
    <n v="1"/>
    <n v="0"/>
    <n v="1"/>
    <x v="2"/>
    <n v="0"/>
    <n v="1"/>
    <n v="0"/>
    <n v="0"/>
    <x v="0"/>
  </r>
  <r>
    <s v="AVXEDARJC5HLU"/>
    <x v="0"/>
    <n v="43"/>
    <s v="male"/>
    <x v="2"/>
    <x v="4"/>
    <n v="9861"/>
    <n v="1"/>
    <n v="1"/>
    <n v="1"/>
    <n v="0"/>
    <s v="Stalls D and E."/>
    <s v="Stalls A and B."/>
    <s v="Stall E."/>
    <s v="ms-l"/>
    <s v="ms-h"/>
    <s v="mo-l"/>
    <n v="0"/>
    <x v="1"/>
    <x v="1"/>
    <n v="1"/>
    <n v="1"/>
    <n v="0"/>
    <n v="1"/>
    <n v="0"/>
    <n v="0"/>
    <x v="1"/>
    <n v="1"/>
    <n v="1"/>
    <n v="0"/>
    <n v="0"/>
    <x v="0"/>
  </r>
  <r>
    <s v="AVXEDARJC5HLU"/>
    <x v="0"/>
    <n v="43"/>
    <s v="male"/>
    <x v="3"/>
    <x v="12"/>
    <n v="54448"/>
    <n v="1"/>
    <n v="0"/>
    <n v="0"/>
    <n v="0"/>
    <s v="NA"/>
    <s v="NA"/>
    <s v="NA"/>
    <s v="NA"/>
    <s v="NA"/>
    <s v="NA"/>
    <s v="NA"/>
    <x v="1"/>
    <x v="1"/>
    <n v="1"/>
    <n v="1"/>
    <n v="0"/>
    <n v="1"/>
    <n v="0"/>
    <n v="0"/>
    <x v="1"/>
    <n v="1"/>
    <n v="1"/>
    <n v="0"/>
    <n v="0"/>
    <x v="0"/>
  </r>
  <r>
    <s v="AVXEDARJC5HLU"/>
    <x v="0"/>
    <n v="43"/>
    <s v="male"/>
    <x v="2"/>
    <x v="7"/>
    <n v="131434"/>
    <n v="1"/>
    <n v="1"/>
    <n v="1"/>
    <n v="0"/>
    <s v="Stylists D and E."/>
    <s v="Stylists A, B, C, D and E."/>
    <s v="Stylist E."/>
    <s v="ms-l"/>
    <s v="exh"/>
    <s v="mo-l"/>
    <n v="1"/>
    <x v="1"/>
    <x v="1"/>
    <n v="0"/>
    <n v="1"/>
    <n v="0"/>
    <n v="1"/>
    <n v="1"/>
    <n v="0"/>
    <x v="1"/>
    <n v="0"/>
    <n v="1"/>
    <n v="0"/>
    <n v="0"/>
    <x v="0"/>
  </r>
  <r>
    <s v="AVXEDARJC5HLU"/>
    <x v="0"/>
    <n v="43"/>
    <s v="male"/>
    <x v="3"/>
    <x v="10"/>
    <n v="35441"/>
    <n v="0"/>
    <n v="0"/>
    <n v="1"/>
    <n v="0"/>
    <s v="NA"/>
    <s v="NA"/>
    <s v="NA"/>
    <s v="NA"/>
    <s v="NA"/>
    <s v="NA"/>
    <s v="NA"/>
    <x v="1"/>
    <x v="1"/>
    <n v="0"/>
    <n v="1"/>
    <n v="0"/>
    <n v="1"/>
    <n v="1"/>
    <n v="0"/>
    <x v="1"/>
    <n v="0"/>
    <n v="1"/>
    <n v="0"/>
    <n v="0"/>
    <x v="0"/>
  </r>
  <r>
    <s v="AVXEDARJC5HLU"/>
    <x v="0"/>
    <n v="43"/>
    <s v="male"/>
    <x v="2"/>
    <x v="9"/>
    <n v="101386"/>
    <n v="1"/>
    <n v="1"/>
    <n v="1"/>
    <n v="0"/>
    <s v="Store E."/>
    <s v="Stores D and E."/>
    <s v="Store A."/>
    <s v="mo-l"/>
    <s v="ms-l"/>
    <s v="mo-h"/>
    <n v="0"/>
    <x v="2"/>
    <x v="1"/>
    <n v="0"/>
    <n v="1"/>
    <n v="0"/>
    <n v="1"/>
    <n v="0"/>
    <n v="1"/>
    <x v="1"/>
    <n v="0"/>
    <n v="1"/>
    <n v="0"/>
    <n v="0"/>
    <x v="0"/>
  </r>
  <r>
    <s v="AVXEDARJC5HLU"/>
    <x v="0"/>
    <n v="43"/>
    <s v="male"/>
    <x v="2"/>
    <x v="3"/>
    <n v="9973"/>
    <n v="1"/>
    <n v="1"/>
    <n v="1"/>
    <n v="0"/>
    <s v="Cafes D and E."/>
    <s v="Cafe F."/>
    <s v="Cafes A and B."/>
    <s v="ms-l"/>
    <s v="fa"/>
    <s v="ms-h"/>
    <n v="0"/>
    <x v="1"/>
    <x v="2"/>
    <n v="1"/>
    <n v="1"/>
    <n v="0"/>
    <n v="1"/>
    <n v="0"/>
    <n v="0"/>
    <x v="2"/>
    <n v="1"/>
    <n v="1"/>
    <n v="0"/>
    <n v="0"/>
    <x v="0"/>
  </r>
  <r>
    <s v="AVXEDARJC5HLU"/>
    <x v="0"/>
    <n v="43"/>
    <s v="male"/>
    <x v="3"/>
    <x v="5"/>
    <n v="88973"/>
    <n v="0"/>
    <n v="1"/>
    <n v="0"/>
    <n v="0"/>
    <s v="NA"/>
    <s v="NA"/>
    <s v="NA"/>
    <s v="NA"/>
    <s v="NA"/>
    <s v="NA"/>
    <s v="NA"/>
    <x v="1"/>
    <x v="2"/>
    <n v="1"/>
    <n v="1"/>
    <n v="0"/>
    <n v="1"/>
    <n v="0"/>
    <n v="0"/>
    <x v="2"/>
    <n v="1"/>
    <n v="1"/>
    <n v="0"/>
    <n v="0"/>
    <x v="0"/>
  </r>
  <r>
    <s v="AVXEDARJC5HLU"/>
    <x v="0"/>
    <n v="43"/>
    <s v="male"/>
    <x v="4"/>
    <x v="0"/>
    <n v="59311"/>
    <s v="Its the same question so no need to answer differently"/>
    <s v="no. Because its simple. And kinda sad that people actually study stuff like this"/>
    <s v="no"/>
    <s v="NA"/>
    <s v="NA"/>
    <s v="NA"/>
    <s v="NA"/>
    <s v="NA"/>
    <s v="NA"/>
    <s v="NA"/>
    <s v="NA"/>
    <x v="0"/>
    <x v="0"/>
    <s v="NA"/>
    <s v="NA"/>
    <s v="NA"/>
    <s v="NA"/>
    <s v="NA"/>
    <s v="NA"/>
    <x v="0"/>
    <s v="NA"/>
    <s v="NA"/>
    <s v="NA"/>
    <s v="NA"/>
    <x v="0"/>
  </r>
  <r>
    <s v="A3QPVH0DRW0ZQV"/>
    <x v="0"/>
    <n v="41"/>
    <s v="female"/>
    <x v="0"/>
    <x v="0"/>
    <n v="83546"/>
    <s v="NA"/>
    <s v="NA"/>
    <s v="NA"/>
    <s v="NA"/>
    <s v="NA"/>
    <s v="NA"/>
    <s v="NA"/>
    <s v="NA"/>
    <s v="NA"/>
    <s v="NA"/>
    <s v="NA"/>
    <x v="0"/>
    <x v="0"/>
    <s v="NA"/>
    <s v="NA"/>
    <s v="NA"/>
    <s v="NA"/>
    <s v="NA"/>
    <s v="NA"/>
    <x v="0"/>
    <s v="NA"/>
    <s v="NA"/>
    <s v="NA"/>
    <s v="NA"/>
    <x v="0"/>
  </r>
  <r>
    <s v="A3QPVH0DRW0ZQV"/>
    <x v="0"/>
    <n v="41"/>
    <s v="female"/>
    <x v="1"/>
    <x v="2"/>
    <n v="37796"/>
    <n v="0"/>
    <n v="0"/>
    <n v="1"/>
    <n v="0"/>
    <s v="NA"/>
    <s v="NA"/>
    <s v="NA"/>
    <s v="NA"/>
    <s v="NA"/>
    <s v="NA"/>
    <s v="NA"/>
    <x v="0"/>
    <x v="0"/>
    <s v="NA"/>
    <s v="NA"/>
    <s v="NA"/>
    <s v="NA"/>
    <s v="NA"/>
    <s v="NA"/>
    <x v="0"/>
    <s v="NA"/>
    <s v="NA"/>
    <s v="NA"/>
    <s v="NA"/>
    <x v="0"/>
  </r>
  <r>
    <s v="A3QPVH0DRW0ZQV"/>
    <x v="0"/>
    <n v="41"/>
    <s v="female"/>
    <x v="1"/>
    <x v="1"/>
    <n v="43047"/>
    <n v="0"/>
    <n v="0"/>
    <n v="0"/>
    <n v="1"/>
    <s v="NA"/>
    <s v="NA"/>
    <s v="NA"/>
    <s v="NA"/>
    <s v="NA"/>
    <s v="NA"/>
    <s v="NA"/>
    <x v="0"/>
    <x v="0"/>
    <s v="NA"/>
    <s v="NA"/>
    <s v="NA"/>
    <s v="NA"/>
    <s v="NA"/>
    <s v="NA"/>
    <x v="0"/>
    <s v="NA"/>
    <s v="NA"/>
    <s v="NA"/>
    <s v="NA"/>
    <x v="0"/>
  </r>
  <r>
    <s v="A3QPVH0DRW0ZQV"/>
    <x v="0"/>
    <n v="41"/>
    <s v="female"/>
    <x v="2"/>
    <x v="11"/>
    <n v="66526"/>
    <n v="0"/>
    <n v="0"/>
    <n v="0"/>
    <n v="1"/>
    <s v="Dentist E."/>
    <s v="Dentist A."/>
    <s v="Dentists A and B."/>
    <s v="mo-l"/>
    <s v="mo-h"/>
    <s v="ms-h"/>
    <n v="0"/>
    <x v="2"/>
    <x v="1"/>
    <n v="1"/>
    <n v="0"/>
    <n v="0"/>
    <n v="1"/>
    <n v="0"/>
    <n v="0"/>
    <x v="2"/>
    <n v="0"/>
    <n v="0"/>
    <n v="0"/>
    <n v="1"/>
    <x v="0"/>
  </r>
  <r>
    <s v="A3QPVH0DRW0ZQV"/>
    <x v="0"/>
    <n v="41"/>
    <s v="female"/>
    <x v="2"/>
    <x v="3"/>
    <n v="120435"/>
    <n v="0"/>
    <n v="0"/>
    <n v="0"/>
    <n v="1"/>
    <s v="Cafe F."/>
    <s v="Cafes D and E."/>
    <s v="Cafe E."/>
    <s v="fa"/>
    <s v="ms-l"/>
    <s v="mo-l"/>
    <n v="0"/>
    <x v="1"/>
    <x v="1"/>
    <n v="0"/>
    <n v="1"/>
    <n v="0"/>
    <n v="1"/>
    <n v="0"/>
    <n v="0"/>
    <x v="2"/>
    <n v="0"/>
    <n v="0"/>
    <n v="0"/>
    <n v="1"/>
    <x v="0"/>
  </r>
  <r>
    <s v="A3QPVH0DRW0ZQV"/>
    <x v="0"/>
    <n v="41"/>
    <s v="female"/>
    <x v="3"/>
    <x v="8"/>
    <n v="84802"/>
    <n v="1"/>
    <n v="1"/>
    <n v="0"/>
    <n v="0"/>
    <s v="NA"/>
    <s v="NA"/>
    <s v="NA"/>
    <s v="NA"/>
    <s v="NA"/>
    <s v="NA"/>
    <s v="NA"/>
    <x v="1"/>
    <x v="1"/>
    <n v="0"/>
    <n v="1"/>
    <n v="0"/>
    <n v="1"/>
    <n v="0"/>
    <n v="0"/>
    <x v="2"/>
    <n v="0"/>
    <n v="0"/>
    <n v="0"/>
    <n v="1"/>
    <x v="0"/>
  </r>
  <r>
    <s v="A3QPVH0DRW0ZQV"/>
    <x v="0"/>
    <n v="41"/>
    <s v="female"/>
    <x v="2"/>
    <x v="7"/>
    <n v="84506"/>
    <n v="1"/>
    <n v="0"/>
    <n v="0"/>
    <n v="0"/>
    <s v="Stylists A and B."/>
    <s v="Stylist E."/>
    <s v="Stylists D and E."/>
    <s v="ms-h"/>
    <s v="mo-l"/>
    <s v="ms-l"/>
    <n v="0"/>
    <x v="1"/>
    <x v="1"/>
    <n v="1"/>
    <n v="1"/>
    <n v="0"/>
    <n v="1"/>
    <n v="0"/>
    <n v="0"/>
    <x v="2"/>
    <n v="1"/>
    <n v="0"/>
    <n v="0"/>
    <n v="0"/>
    <x v="0"/>
  </r>
  <r>
    <s v="A3QPVH0DRW0ZQV"/>
    <x v="0"/>
    <n v="41"/>
    <s v="female"/>
    <x v="3"/>
    <x v="10"/>
    <n v="47144"/>
    <n v="0"/>
    <n v="1"/>
    <n v="0"/>
    <n v="0"/>
    <s v="NA"/>
    <s v="NA"/>
    <s v="NA"/>
    <s v="NA"/>
    <s v="NA"/>
    <s v="NA"/>
    <s v="NA"/>
    <x v="1"/>
    <x v="1"/>
    <n v="1"/>
    <n v="1"/>
    <n v="0"/>
    <n v="1"/>
    <n v="0"/>
    <n v="0"/>
    <x v="2"/>
    <n v="1"/>
    <n v="0"/>
    <n v="0"/>
    <n v="0"/>
    <x v="0"/>
  </r>
  <r>
    <s v="A3QPVH0DRW0ZQV"/>
    <x v="0"/>
    <n v="41"/>
    <s v="female"/>
    <x v="2"/>
    <x v="9"/>
    <n v="58810"/>
    <n v="1"/>
    <n v="0"/>
    <n v="0"/>
    <n v="0"/>
    <s v="Store A."/>
    <s v="Stores A and B."/>
    <s v="Store F."/>
    <s v="mo-h"/>
    <s v="ms-h"/>
    <s v="fa"/>
    <n v="0"/>
    <x v="2"/>
    <x v="2"/>
    <n v="1"/>
    <n v="0"/>
    <n v="0"/>
    <n v="1"/>
    <n v="0"/>
    <n v="1"/>
    <x v="2"/>
    <n v="0"/>
    <n v="0"/>
    <n v="0"/>
    <n v="0"/>
    <x v="0"/>
  </r>
  <r>
    <s v="A3QPVH0DRW0ZQV"/>
    <x v="0"/>
    <n v="41"/>
    <s v="female"/>
    <x v="2"/>
    <x v="6"/>
    <n v="44961"/>
    <n v="0"/>
    <n v="1"/>
    <n v="0"/>
    <n v="0"/>
    <s v="Bookstores D and E."/>
    <s v="Bookstores A and B."/>
    <s v="Bookstore E."/>
    <s v="ms-l"/>
    <s v="ms-h"/>
    <s v="mo-l"/>
    <n v="0"/>
    <x v="1"/>
    <x v="1"/>
    <n v="1"/>
    <n v="1"/>
    <n v="0"/>
    <n v="1"/>
    <n v="0"/>
    <n v="0"/>
    <x v="2"/>
    <n v="1"/>
    <n v="0"/>
    <n v="0"/>
    <n v="0"/>
    <x v="0"/>
  </r>
  <r>
    <s v="A3QPVH0DRW0ZQV"/>
    <x v="0"/>
    <n v="41"/>
    <s v="female"/>
    <x v="3"/>
    <x v="5"/>
    <n v="66899"/>
    <n v="1"/>
    <n v="1"/>
    <n v="0"/>
    <n v="0"/>
    <s v="NA"/>
    <s v="NA"/>
    <s v="NA"/>
    <s v="NA"/>
    <s v="NA"/>
    <s v="NA"/>
    <s v="NA"/>
    <x v="1"/>
    <x v="1"/>
    <n v="1"/>
    <n v="1"/>
    <n v="0"/>
    <n v="1"/>
    <n v="0"/>
    <n v="0"/>
    <x v="2"/>
    <n v="1"/>
    <n v="0"/>
    <n v="0"/>
    <n v="0"/>
    <x v="0"/>
  </r>
  <r>
    <s v="A3QPVH0DRW0ZQV"/>
    <x v="0"/>
    <n v="41"/>
    <s v="female"/>
    <x v="2"/>
    <x v="4"/>
    <n v="40246"/>
    <n v="0"/>
    <n v="0"/>
    <n v="0"/>
    <n v="1"/>
    <s v="Stalls A and B."/>
    <s v="Stall E."/>
    <s v="Stalls D and E."/>
    <s v="ms-h"/>
    <s v="mo-l"/>
    <s v="ms-l"/>
    <n v="0"/>
    <x v="1"/>
    <x v="1"/>
    <n v="1"/>
    <n v="1"/>
    <n v="0"/>
    <n v="1"/>
    <n v="0"/>
    <n v="0"/>
    <x v="2"/>
    <n v="0"/>
    <n v="0"/>
    <n v="0"/>
    <n v="1"/>
    <x v="0"/>
  </r>
  <r>
    <s v="A3QPVH0DRW0ZQV"/>
    <x v="0"/>
    <n v="41"/>
    <s v="female"/>
    <x v="3"/>
    <x v="12"/>
    <n v="64827"/>
    <n v="0"/>
    <n v="0"/>
    <n v="0"/>
    <n v="1"/>
    <s v="NA"/>
    <s v="NA"/>
    <s v="NA"/>
    <s v="NA"/>
    <s v="NA"/>
    <s v="NA"/>
    <s v="NA"/>
    <x v="1"/>
    <x v="1"/>
    <n v="1"/>
    <n v="1"/>
    <n v="0"/>
    <n v="1"/>
    <n v="0"/>
    <n v="0"/>
    <x v="2"/>
    <n v="0"/>
    <n v="0"/>
    <n v="0"/>
    <n v="1"/>
    <x v="0"/>
  </r>
  <r>
    <s v="A3QPVH0DRW0ZQV"/>
    <x v="0"/>
    <n v="41"/>
    <s v="female"/>
    <x v="4"/>
    <x v="0"/>
    <n v="105567"/>
    <s v="No%2C it would be the same thing. The question is just structured differently."/>
    <s v="It was not difficult but I definitely have never done a HIT like this before."/>
    <s v="No"/>
    <s v="NA"/>
    <s v="NA"/>
    <s v="NA"/>
    <s v="NA"/>
    <s v="NA"/>
    <s v="NA"/>
    <s v="NA"/>
    <s v="NA"/>
    <x v="0"/>
    <x v="0"/>
    <s v="NA"/>
    <s v="NA"/>
    <s v="NA"/>
    <s v="NA"/>
    <s v="NA"/>
    <s v="NA"/>
    <x v="0"/>
    <s v="NA"/>
    <s v="NA"/>
    <s v="NA"/>
    <s v="NA"/>
    <x v="0"/>
  </r>
  <r>
    <s v="A30K9F91VNW9BL"/>
    <x v="0"/>
    <n v="38"/>
    <s v="male"/>
    <x v="0"/>
    <x v="0"/>
    <n v="52365"/>
    <s v="NA"/>
    <s v="NA"/>
    <s v="NA"/>
    <s v="NA"/>
    <s v="NA"/>
    <s v="NA"/>
    <s v="NA"/>
    <s v="NA"/>
    <s v="NA"/>
    <s v="NA"/>
    <s v="NA"/>
    <x v="0"/>
    <x v="0"/>
    <s v="NA"/>
    <s v="NA"/>
    <s v="NA"/>
    <s v="NA"/>
    <s v="NA"/>
    <s v="NA"/>
    <x v="0"/>
    <s v="NA"/>
    <s v="NA"/>
    <s v="NA"/>
    <s v="NA"/>
    <x v="0"/>
  </r>
  <r>
    <s v="A30K9F91VNW9BL"/>
    <x v="0"/>
    <n v="38"/>
    <s v="male"/>
    <x v="1"/>
    <x v="2"/>
    <n v="50773"/>
    <n v="0"/>
    <n v="1"/>
    <n v="1"/>
    <n v="0"/>
    <s v="NA"/>
    <s v="NA"/>
    <s v="NA"/>
    <s v="NA"/>
    <s v="NA"/>
    <s v="NA"/>
    <s v="NA"/>
    <x v="0"/>
    <x v="0"/>
    <s v="NA"/>
    <s v="NA"/>
    <s v="NA"/>
    <s v="NA"/>
    <s v="NA"/>
    <s v="NA"/>
    <x v="0"/>
    <s v="NA"/>
    <s v="NA"/>
    <s v="NA"/>
    <s v="NA"/>
    <x v="0"/>
  </r>
  <r>
    <s v="A30K9F91VNW9BL"/>
    <x v="0"/>
    <n v="38"/>
    <s v="male"/>
    <x v="1"/>
    <x v="1"/>
    <n v="46692"/>
    <n v="0"/>
    <n v="0"/>
    <n v="0"/>
    <n v="1"/>
    <s v="NA"/>
    <s v="NA"/>
    <s v="NA"/>
    <s v="NA"/>
    <s v="NA"/>
    <s v="NA"/>
    <s v="NA"/>
    <x v="0"/>
    <x v="0"/>
    <s v="NA"/>
    <s v="NA"/>
    <s v="NA"/>
    <s v="NA"/>
    <s v="NA"/>
    <s v="NA"/>
    <x v="0"/>
    <s v="NA"/>
    <s v="NA"/>
    <s v="NA"/>
    <s v="NA"/>
    <x v="0"/>
  </r>
  <r>
    <s v="A30K9F91VNW9BL"/>
    <x v="0"/>
    <n v="38"/>
    <s v="male"/>
    <x v="2"/>
    <x v="7"/>
    <n v="73286"/>
    <n v="1"/>
    <n v="1"/>
    <n v="1"/>
    <n v="0"/>
    <s v="Stylist F."/>
    <s v="Stylists D and E."/>
    <s v="Stylist A."/>
    <s v="fa"/>
    <s v="ms-l"/>
    <s v="mo-h"/>
    <n v="0"/>
    <x v="2"/>
    <x v="2"/>
    <n v="0"/>
    <n v="1"/>
    <n v="0"/>
    <n v="1"/>
    <n v="0"/>
    <n v="1"/>
    <x v="2"/>
    <n v="0"/>
    <n v="1"/>
    <n v="0"/>
    <n v="0"/>
    <x v="0"/>
  </r>
  <r>
    <s v="A30K9F91VNW9BL"/>
    <x v="0"/>
    <n v="38"/>
    <s v="male"/>
    <x v="3"/>
    <x v="5"/>
    <n v="38698"/>
    <n v="1"/>
    <n v="1"/>
    <n v="1"/>
    <n v="0"/>
    <s v="NA"/>
    <s v="NA"/>
    <s v="NA"/>
    <s v="NA"/>
    <s v="NA"/>
    <s v="NA"/>
    <s v="NA"/>
    <x v="2"/>
    <x v="2"/>
    <n v="0"/>
    <n v="1"/>
    <n v="0"/>
    <n v="1"/>
    <n v="0"/>
    <n v="1"/>
    <x v="2"/>
    <n v="0"/>
    <n v="1"/>
    <n v="0"/>
    <n v="0"/>
    <x v="0"/>
  </r>
  <r>
    <s v="A30K9F91VNW9BL"/>
    <x v="0"/>
    <n v="38"/>
    <s v="male"/>
    <x v="2"/>
    <x v="3"/>
    <n v="25074"/>
    <n v="1"/>
    <n v="1"/>
    <n v="1"/>
    <n v="0"/>
    <s v="Cafe A."/>
    <s v="Cafe E."/>
    <s v="Cafes A and B."/>
    <s v="mo-h"/>
    <s v="mo-l"/>
    <s v="ms-h"/>
    <n v="0"/>
    <x v="2"/>
    <x v="1"/>
    <n v="1"/>
    <n v="0"/>
    <n v="0"/>
    <n v="1"/>
    <n v="0"/>
    <n v="1"/>
    <x v="1"/>
    <n v="1"/>
    <n v="0"/>
    <n v="0"/>
    <n v="0"/>
    <x v="0"/>
  </r>
  <r>
    <s v="A30K9F91VNW9BL"/>
    <x v="0"/>
    <n v="38"/>
    <s v="male"/>
    <x v="2"/>
    <x v="9"/>
    <n v="18800"/>
    <n v="1"/>
    <n v="1"/>
    <n v="1"/>
    <n v="0"/>
    <s v="Store E."/>
    <s v="Stores A, B, C, D and E."/>
    <s v="Store A."/>
    <s v="mo-l"/>
    <s v="exh"/>
    <s v="mo-h"/>
    <n v="1"/>
    <x v="2"/>
    <x v="1"/>
    <n v="0"/>
    <n v="0"/>
    <n v="0"/>
    <n v="1"/>
    <n v="1"/>
    <n v="1"/>
    <x v="1"/>
    <n v="0"/>
    <n v="0"/>
    <n v="0"/>
    <n v="0"/>
    <x v="0"/>
  </r>
  <r>
    <s v="A30K9F91VNW9BL"/>
    <x v="0"/>
    <n v="38"/>
    <s v="male"/>
    <x v="3"/>
    <x v="12"/>
    <n v="26089"/>
    <n v="1"/>
    <n v="0"/>
    <n v="0"/>
    <n v="0"/>
    <s v="NA"/>
    <s v="NA"/>
    <s v="NA"/>
    <s v="NA"/>
    <s v="NA"/>
    <s v="NA"/>
    <s v="NA"/>
    <x v="2"/>
    <x v="1"/>
    <n v="0"/>
    <n v="0"/>
    <n v="0"/>
    <n v="1"/>
    <n v="1"/>
    <n v="1"/>
    <x v="1"/>
    <n v="0"/>
    <n v="0"/>
    <n v="0"/>
    <n v="0"/>
    <x v="0"/>
  </r>
  <r>
    <s v="A30K9F91VNW9BL"/>
    <x v="0"/>
    <n v="38"/>
    <s v="male"/>
    <x v="2"/>
    <x v="4"/>
    <n v="48693"/>
    <n v="0"/>
    <n v="0"/>
    <n v="1"/>
    <n v="0"/>
    <s v="Stall E."/>
    <s v="Stalls D and E."/>
    <s v="Stall A."/>
    <s v="mo-l"/>
    <s v="ms-l"/>
    <s v="mo-h"/>
    <n v="0"/>
    <x v="2"/>
    <x v="1"/>
    <n v="0"/>
    <n v="1"/>
    <n v="0"/>
    <n v="1"/>
    <n v="0"/>
    <n v="1"/>
    <x v="2"/>
    <n v="0"/>
    <n v="0"/>
    <n v="0"/>
    <n v="0"/>
    <x v="0"/>
  </r>
  <r>
    <s v="A30K9F91VNW9BL"/>
    <x v="0"/>
    <n v="38"/>
    <s v="male"/>
    <x v="3"/>
    <x v="8"/>
    <n v="28372"/>
    <n v="1"/>
    <n v="1"/>
    <n v="0"/>
    <n v="0"/>
    <s v="NA"/>
    <s v="NA"/>
    <s v="NA"/>
    <s v="NA"/>
    <s v="NA"/>
    <s v="NA"/>
    <s v="NA"/>
    <x v="2"/>
    <x v="1"/>
    <n v="0"/>
    <n v="1"/>
    <n v="0"/>
    <n v="1"/>
    <n v="0"/>
    <n v="1"/>
    <x v="2"/>
    <n v="0"/>
    <n v="0"/>
    <n v="0"/>
    <n v="0"/>
    <x v="0"/>
  </r>
  <r>
    <s v="A30K9F91VNW9BL"/>
    <x v="0"/>
    <n v="38"/>
    <s v="male"/>
    <x v="2"/>
    <x v="11"/>
    <n v="24112"/>
    <n v="0"/>
    <n v="0"/>
    <n v="0"/>
    <n v="1"/>
    <s v="Dentists D and E."/>
    <s v="Dentist A."/>
    <s v="Dentists A, B, C, D and E."/>
    <s v="ms-l"/>
    <s v="mo-h"/>
    <s v="exh"/>
    <n v="1"/>
    <x v="2"/>
    <x v="2"/>
    <n v="0"/>
    <n v="1"/>
    <n v="0"/>
    <n v="1"/>
    <n v="0"/>
    <n v="0"/>
    <x v="2"/>
    <n v="0"/>
    <n v="0"/>
    <n v="0"/>
    <n v="1"/>
    <x v="0"/>
  </r>
  <r>
    <s v="A30K9F91VNW9BL"/>
    <x v="0"/>
    <n v="38"/>
    <s v="male"/>
    <x v="2"/>
    <x v="6"/>
    <n v="22268"/>
    <n v="0"/>
    <n v="0"/>
    <n v="1"/>
    <n v="0"/>
    <s v="Bookstores D and E."/>
    <s v="Bookstore E."/>
    <s v="Bookstores A, B, C, D and E."/>
    <s v="ms-l"/>
    <s v="mo-l"/>
    <s v="exh"/>
    <n v="1"/>
    <x v="1"/>
    <x v="1"/>
    <n v="0"/>
    <n v="1"/>
    <n v="0"/>
    <n v="1"/>
    <n v="1"/>
    <n v="0"/>
    <x v="2"/>
    <n v="0"/>
    <n v="0"/>
    <n v="0"/>
    <n v="0"/>
    <x v="0"/>
  </r>
  <r>
    <s v="A30K9F91VNW9BL"/>
    <x v="0"/>
    <n v="38"/>
    <s v="male"/>
    <x v="3"/>
    <x v="10"/>
    <n v="32828"/>
    <n v="0"/>
    <n v="0"/>
    <n v="1"/>
    <n v="0"/>
    <s v="NA"/>
    <s v="NA"/>
    <s v="NA"/>
    <s v="NA"/>
    <s v="NA"/>
    <s v="NA"/>
    <s v="NA"/>
    <x v="1"/>
    <x v="1"/>
    <n v="0"/>
    <n v="1"/>
    <n v="0"/>
    <n v="1"/>
    <n v="1"/>
    <n v="0"/>
    <x v="2"/>
    <n v="0"/>
    <n v="0"/>
    <n v="0"/>
    <n v="0"/>
    <x v="0"/>
  </r>
  <r>
    <s v="A30K9F91VNW9BL"/>
    <x v="0"/>
    <n v="38"/>
    <s v="male"/>
    <x v="4"/>
    <x v="0"/>
    <n v="140514"/>
    <s v="I think I would give them the best option I knew so that they would have a good experience%2C so either question would have a similar response from me."/>
    <s v="I am afraid that I did not do this task correctly due to the way it was formatted. The pyramid style of paragraph was confusing."/>
    <s v="Thank you."/>
    <s v="NA"/>
    <s v="NA"/>
    <s v="NA"/>
    <s v="NA"/>
    <s v="NA"/>
    <s v="NA"/>
    <s v="NA"/>
    <s v="NA"/>
    <x v="0"/>
    <x v="0"/>
    <s v="NA"/>
    <s v="NA"/>
    <s v="NA"/>
    <s v="NA"/>
    <s v="NA"/>
    <s v="NA"/>
    <x v="0"/>
    <s v="NA"/>
    <s v="NA"/>
    <s v="NA"/>
    <s v="NA"/>
    <x v="0"/>
  </r>
  <r>
    <s v="AWAW665TQQP2F"/>
    <x v="0"/>
    <n v="35"/>
    <s v="female"/>
    <x v="0"/>
    <x v="0"/>
    <n v="45455"/>
    <s v="NA"/>
    <s v="NA"/>
    <s v="NA"/>
    <s v="NA"/>
    <s v="NA"/>
    <s v="NA"/>
    <s v="NA"/>
    <s v="NA"/>
    <s v="NA"/>
    <s v="NA"/>
    <s v="NA"/>
    <x v="0"/>
    <x v="0"/>
    <s v="NA"/>
    <s v="NA"/>
    <s v="NA"/>
    <s v="NA"/>
    <s v="NA"/>
    <s v="NA"/>
    <x v="0"/>
    <s v="NA"/>
    <s v="NA"/>
    <s v="NA"/>
    <s v="NA"/>
    <x v="0"/>
  </r>
  <r>
    <s v="AWAW665TQQP2F"/>
    <x v="0"/>
    <n v="35"/>
    <s v="female"/>
    <x v="1"/>
    <x v="2"/>
    <n v="32819"/>
    <n v="0"/>
    <n v="0"/>
    <n v="1"/>
    <n v="0"/>
    <s v="NA"/>
    <s v="NA"/>
    <s v="NA"/>
    <s v="NA"/>
    <s v="NA"/>
    <s v="NA"/>
    <s v="NA"/>
    <x v="0"/>
    <x v="0"/>
    <s v="NA"/>
    <s v="NA"/>
    <s v="NA"/>
    <s v="NA"/>
    <s v="NA"/>
    <s v="NA"/>
    <x v="0"/>
    <s v="NA"/>
    <s v="NA"/>
    <s v="NA"/>
    <s v="NA"/>
    <x v="0"/>
  </r>
  <r>
    <s v="AWAW665TQQP2F"/>
    <x v="0"/>
    <n v="35"/>
    <s v="female"/>
    <x v="1"/>
    <x v="1"/>
    <n v="22825"/>
    <n v="0"/>
    <n v="0"/>
    <n v="0"/>
    <n v="1"/>
    <s v="NA"/>
    <s v="NA"/>
    <s v="NA"/>
    <s v="NA"/>
    <s v="NA"/>
    <s v="NA"/>
    <s v="NA"/>
    <x v="0"/>
    <x v="0"/>
    <s v="NA"/>
    <s v="NA"/>
    <s v="NA"/>
    <s v="NA"/>
    <s v="NA"/>
    <s v="NA"/>
    <x v="0"/>
    <s v="NA"/>
    <s v="NA"/>
    <s v="NA"/>
    <s v="NA"/>
    <x v="0"/>
  </r>
  <r>
    <s v="AWAW665TQQP2F"/>
    <x v="0"/>
    <n v="35"/>
    <s v="female"/>
    <x v="2"/>
    <x v="11"/>
    <n v="42145"/>
    <n v="0"/>
    <n v="0"/>
    <n v="0"/>
    <n v="1"/>
    <s v="Dentist E."/>
    <s v="Dentists D and E."/>
    <s v="Dentist F."/>
    <s v="mo-l"/>
    <s v="ms-l"/>
    <s v="fa"/>
    <n v="0"/>
    <x v="1"/>
    <x v="1"/>
    <n v="0"/>
    <n v="1"/>
    <n v="0"/>
    <n v="1"/>
    <n v="0"/>
    <n v="0"/>
    <x v="2"/>
    <n v="0"/>
    <n v="0"/>
    <n v="0"/>
    <n v="1"/>
    <x v="0"/>
  </r>
  <r>
    <s v="AWAW665TQQP2F"/>
    <x v="0"/>
    <n v="35"/>
    <s v="female"/>
    <x v="2"/>
    <x v="4"/>
    <n v="44318"/>
    <n v="0"/>
    <n v="0"/>
    <n v="0"/>
    <n v="1"/>
    <s v="Stall A."/>
    <s v="Stall E."/>
    <s v="Stall F."/>
    <s v="mo-h"/>
    <s v="mo-l"/>
    <s v="fa"/>
    <n v="0"/>
    <x v="2"/>
    <x v="1"/>
    <n v="0"/>
    <n v="0"/>
    <n v="0"/>
    <n v="1"/>
    <n v="0"/>
    <n v="0"/>
    <x v="2"/>
    <n v="0"/>
    <n v="0"/>
    <n v="0"/>
    <n v="1"/>
    <x v="0"/>
  </r>
  <r>
    <s v="AWAW665TQQP2F"/>
    <x v="0"/>
    <n v="35"/>
    <s v="female"/>
    <x v="3"/>
    <x v="8"/>
    <n v="41873"/>
    <n v="1"/>
    <n v="1"/>
    <n v="0"/>
    <n v="0"/>
    <s v="NA"/>
    <s v="NA"/>
    <s v="NA"/>
    <s v="NA"/>
    <s v="NA"/>
    <s v="NA"/>
    <s v="NA"/>
    <x v="2"/>
    <x v="1"/>
    <n v="0"/>
    <n v="0"/>
    <n v="0"/>
    <n v="1"/>
    <n v="0"/>
    <n v="0"/>
    <x v="2"/>
    <n v="0"/>
    <n v="0"/>
    <n v="0"/>
    <n v="1"/>
    <x v="0"/>
  </r>
  <r>
    <s v="AWAW665TQQP2F"/>
    <x v="0"/>
    <n v="35"/>
    <s v="female"/>
    <x v="2"/>
    <x v="7"/>
    <n v="90956"/>
    <n v="0"/>
    <n v="0"/>
    <n v="0"/>
    <n v="1"/>
    <s v="Stylist F."/>
    <s v="Stylists A and B."/>
    <s v="Stylists D and E."/>
    <s v="fa"/>
    <s v="ms-h"/>
    <s v="ms-l"/>
    <n v="0"/>
    <x v="1"/>
    <x v="2"/>
    <n v="1"/>
    <n v="1"/>
    <n v="0"/>
    <n v="1"/>
    <n v="0"/>
    <n v="0"/>
    <x v="2"/>
    <n v="0"/>
    <n v="0"/>
    <n v="0"/>
    <n v="1"/>
    <x v="0"/>
  </r>
  <r>
    <s v="AWAW665TQQP2F"/>
    <x v="0"/>
    <n v="35"/>
    <s v="female"/>
    <x v="3"/>
    <x v="5"/>
    <n v="25902"/>
    <n v="1"/>
    <n v="1"/>
    <n v="1"/>
    <n v="0"/>
    <s v="NA"/>
    <s v="NA"/>
    <s v="NA"/>
    <s v="NA"/>
    <s v="NA"/>
    <s v="NA"/>
    <s v="NA"/>
    <x v="1"/>
    <x v="2"/>
    <n v="1"/>
    <n v="1"/>
    <n v="0"/>
    <n v="1"/>
    <n v="0"/>
    <n v="0"/>
    <x v="2"/>
    <n v="0"/>
    <n v="0"/>
    <n v="0"/>
    <n v="1"/>
    <x v="0"/>
  </r>
  <r>
    <s v="AWAW665TQQP2F"/>
    <x v="0"/>
    <n v="35"/>
    <s v="female"/>
    <x v="2"/>
    <x v="9"/>
    <n v="19037"/>
    <n v="1"/>
    <n v="1"/>
    <n v="1"/>
    <n v="0"/>
    <s v="Store A."/>
    <s v="Stores A and B."/>
    <s v="Store F."/>
    <s v="mo-h"/>
    <s v="ms-h"/>
    <s v="fa"/>
    <n v="0"/>
    <x v="2"/>
    <x v="2"/>
    <n v="1"/>
    <n v="0"/>
    <n v="0"/>
    <n v="1"/>
    <n v="0"/>
    <n v="1"/>
    <x v="2"/>
    <n v="1"/>
    <n v="0"/>
    <n v="0"/>
    <n v="0"/>
    <x v="0"/>
  </r>
  <r>
    <s v="AWAW665TQQP2F"/>
    <x v="0"/>
    <n v="35"/>
    <s v="female"/>
    <x v="2"/>
    <x v="6"/>
    <n v="27856"/>
    <n v="1"/>
    <n v="1"/>
    <n v="1"/>
    <n v="0"/>
    <s v="Bookstore E."/>
    <s v="Bookstores A and B."/>
    <s v="Bookstore A."/>
    <s v="mo-l"/>
    <s v="ms-h"/>
    <s v="mo-h"/>
    <n v="0"/>
    <x v="2"/>
    <x v="1"/>
    <n v="1"/>
    <n v="0"/>
    <n v="0"/>
    <n v="1"/>
    <n v="0"/>
    <n v="1"/>
    <x v="1"/>
    <n v="1"/>
    <n v="0"/>
    <n v="0"/>
    <n v="0"/>
    <x v="0"/>
  </r>
  <r>
    <s v="AWAW665TQQP2F"/>
    <x v="0"/>
    <n v="35"/>
    <s v="female"/>
    <x v="3"/>
    <x v="10"/>
    <n v="31384"/>
    <n v="0"/>
    <n v="1"/>
    <n v="1"/>
    <n v="0"/>
    <s v="NA"/>
    <s v="NA"/>
    <s v="NA"/>
    <s v="NA"/>
    <s v="NA"/>
    <s v="NA"/>
    <s v="NA"/>
    <x v="2"/>
    <x v="1"/>
    <n v="1"/>
    <n v="0"/>
    <n v="0"/>
    <n v="1"/>
    <n v="0"/>
    <n v="1"/>
    <x v="1"/>
    <n v="1"/>
    <n v="0"/>
    <n v="0"/>
    <n v="0"/>
    <x v="0"/>
  </r>
  <r>
    <s v="AWAW665TQQP2F"/>
    <x v="0"/>
    <n v="35"/>
    <s v="female"/>
    <x v="2"/>
    <x v="3"/>
    <n v="16383"/>
    <n v="1"/>
    <n v="1"/>
    <n v="1"/>
    <n v="0"/>
    <s v="Cafe A."/>
    <s v="Cafes D and E."/>
    <s v="Cafes A, B, C, D and E."/>
    <s v="mo-h"/>
    <s v="ms-l"/>
    <s v="exh"/>
    <n v="1"/>
    <x v="2"/>
    <x v="2"/>
    <n v="0"/>
    <n v="1"/>
    <n v="0"/>
    <n v="1"/>
    <n v="1"/>
    <n v="1"/>
    <x v="2"/>
    <n v="0"/>
    <n v="1"/>
    <n v="0"/>
    <n v="0"/>
    <x v="0"/>
  </r>
  <r>
    <s v="AWAW665TQQP2F"/>
    <x v="0"/>
    <n v="35"/>
    <s v="female"/>
    <x v="3"/>
    <x v="12"/>
    <n v="20034"/>
    <n v="1"/>
    <n v="1"/>
    <n v="0"/>
    <n v="0"/>
    <s v="NA"/>
    <s v="NA"/>
    <s v="NA"/>
    <s v="NA"/>
    <s v="NA"/>
    <s v="NA"/>
    <s v="NA"/>
    <x v="2"/>
    <x v="2"/>
    <n v="0"/>
    <n v="1"/>
    <n v="0"/>
    <n v="1"/>
    <n v="1"/>
    <n v="1"/>
    <x v="2"/>
    <n v="0"/>
    <n v="1"/>
    <n v="0"/>
    <n v="0"/>
    <x v="0"/>
  </r>
  <r>
    <s v="AWAW665TQQP2F"/>
    <x v="0"/>
    <n v="35"/>
    <s v="female"/>
    <x v="4"/>
    <x v="0"/>
    <n v="69506"/>
    <s v="No because they basically mean the same thing. If a restaurant serves brunch then you can go there."/>
    <s v="I did not but I did have to think on a couple of them a bit more because it's a matter of minute details. I like things like this."/>
    <s v="Thank you for allowing me to participate."/>
    <s v="NA"/>
    <s v="NA"/>
    <s v="NA"/>
    <s v="NA"/>
    <s v="NA"/>
    <s v="NA"/>
    <s v="NA"/>
    <s v="NA"/>
    <x v="0"/>
    <x v="0"/>
    <s v="NA"/>
    <s v="NA"/>
    <s v="NA"/>
    <s v="NA"/>
    <s v="NA"/>
    <s v="NA"/>
    <x v="0"/>
    <s v="NA"/>
    <s v="NA"/>
    <s v="NA"/>
    <s v="NA"/>
    <x v="0"/>
  </r>
  <r>
    <s v="A250FES5PFCGK9"/>
    <x v="0"/>
    <n v="36"/>
    <s v="male"/>
    <x v="0"/>
    <x v="0"/>
    <n v="53923"/>
    <s v="NA"/>
    <s v="NA"/>
    <s v="NA"/>
    <s v="NA"/>
    <s v="NA"/>
    <s v="NA"/>
    <s v="NA"/>
    <s v="NA"/>
    <s v="NA"/>
    <s v="NA"/>
    <s v="NA"/>
    <x v="0"/>
    <x v="0"/>
    <s v="NA"/>
    <s v="NA"/>
    <s v="NA"/>
    <s v="NA"/>
    <s v="NA"/>
    <s v="NA"/>
    <x v="0"/>
    <s v="NA"/>
    <s v="NA"/>
    <s v="NA"/>
    <s v="NA"/>
    <x v="0"/>
  </r>
  <r>
    <s v="A250FES5PFCGK9"/>
    <x v="0"/>
    <n v="36"/>
    <s v="male"/>
    <x v="1"/>
    <x v="2"/>
    <n v="39353"/>
    <n v="0"/>
    <n v="0"/>
    <n v="1"/>
    <n v="0"/>
    <s v="NA"/>
    <s v="NA"/>
    <s v="NA"/>
    <s v="NA"/>
    <s v="NA"/>
    <s v="NA"/>
    <s v="NA"/>
    <x v="0"/>
    <x v="0"/>
    <s v="NA"/>
    <s v="NA"/>
    <s v="NA"/>
    <s v="NA"/>
    <s v="NA"/>
    <s v="NA"/>
    <x v="0"/>
    <s v="NA"/>
    <s v="NA"/>
    <s v="NA"/>
    <s v="NA"/>
    <x v="0"/>
  </r>
  <r>
    <s v="A250FES5PFCGK9"/>
    <x v="0"/>
    <n v="36"/>
    <s v="male"/>
    <x v="1"/>
    <x v="1"/>
    <n v="51089"/>
    <n v="0"/>
    <n v="0"/>
    <n v="0"/>
    <n v="1"/>
    <s v="NA"/>
    <s v="NA"/>
    <s v="NA"/>
    <s v="NA"/>
    <s v="NA"/>
    <s v="NA"/>
    <s v="NA"/>
    <x v="0"/>
    <x v="0"/>
    <s v="NA"/>
    <s v="NA"/>
    <s v="NA"/>
    <s v="NA"/>
    <s v="NA"/>
    <s v="NA"/>
    <x v="0"/>
    <s v="NA"/>
    <s v="NA"/>
    <s v="NA"/>
    <s v="NA"/>
    <x v="0"/>
  </r>
  <r>
    <s v="A250FES5PFCGK9"/>
    <x v="0"/>
    <n v="36"/>
    <s v="male"/>
    <x v="2"/>
    <x v="4"/>
    <n v="105867"/>
    <n v="0"/>
    <n v="0"/>
    <n v="1"/>
    <n v="0"/>
    <s v="Stall E."/>
    <s v="Stalls D and E."/>
    <s v="Stall A."/>
    <s v="mo-l"/>
    <s v="ms-l"/>
    <s v="mo-h"/>
    <n v="0"/>
    <x v="2"/>
    <x v="1"/>
    <n v="0"/>
    <n v="1"/>
    <n v="0"/>
    <n v="1"/>
    <n v="0"/>
    <n v="1"/>
    <x v="2"/>
    <n v="0"/>
    <n v="0"/>
    <n v="0"/>
    <n v="0"/>
    <x v="0"/>
  </r>
  <r>
    <s v="A250FES5PFCGK9"/>
    <x v="0"/>
    <n v="36"/>
    <s v="male"/>
    <x v="3"/>
    <x v="10"/>
    <n v="46093"/>
    <n v="0"/>
    <n v="0"/>
    <n v="0"/>
    <n v="1"/>
    <s v="NA"/>
    <s v="NA"/>
    <s v="NA"/>
    <s v="NA"/>
    <s v="NA"/>
    <s v="NA"/>
    <s v="NA"/>
    <x v="2"/>
    <x v="1"/>
    <n v="0"/>
    <n v="1"/>
    <n v="0"/>
    <n v="1"/>
    <n v="0"/>
    <n v="1"/>
    <x v="2"/>
    <n v="0"/>
    <n v="0"/>
    <n v="0"/>
    <n v="0"/>
    <x v="0"/>
  </r>
  <r>
    <s v="A250FES5PFCGK9"/>
    <x v="0"/>
    <n v="36"/>
    <s v="male"/>
    <x v="2"/>
    <x v="3"/>
    <n v="39965"/>
    <n v="1"/>
    <n v="1"/>
    <n v="1"/>
    <n v="0"/>
    <s v="Cafe A."/>
    <s v="Cafe E."/>
    <s v="Cafe F."/>
    <s v="mo-h"/>
    <s v="mo-l"/>
    <s v="fa"/>
    <n v="0"/>
    <x v="2"/>
    <x v="1"/>
    <n v="0"/>
    <n v="0"/>
    <n v="0"/>
    <n v="1"/>
    <n v="0"/>
    <n v="1"/>
    <x v="1"/>
    <n v="0"/>
    <n v="0"/>
    <n v="0"/>
    <n v="0"/>
    <x v="0"/>
  </r>
  <r>
    <s v="A250FES5PFCGK9"/>
    <x v="0"/>
    <n v="36"/>
    <s v="male"/>
    <x v="2"/>
    <x v="7"/>
    <n v="29057"/>
    <n v="1"/>
    <n v="1"/>
    <n v="1"/>
    <n v="0"/>
    <s v="Stylist E."/>
    <s v="Stylist A."/>
    <s v="Stylists A and B."/>
    <s v="mo-l"/>
    <s v="mo-h"/>
    <s v="ms-h"/>
    <n v="0"/>
    <x v="2"/>
    <x v="1"/>
    <n v="1"/>
    <n v="0"/>
    <n v="0"/>
    <n v="1"/>
    <n v="0"/>
    <n v="1"/>
    <x v="1"/>
    <n v="1"/>
    <n v="0"/>
    <n v="0"/>
    <n v="0"/>
    <x v="0"/>
  </r>
  <r>
    <s v="A250FES5PFCGK9"/>
    <x v="0"/>
    <n v="36"/>
    <s v="male"/>
    <x v="3"/>
    <x v="5"/>
    <n v="41072"/>
    <n v="0"/>
    <n v="0"/>
    <n v="0"/>
    <n v="1"/>
    <s v="NA"/>
    <s v="NA"/>
    <s v="NA"/>
    <s v="NA"/>
    <s v="NA"/>
    <s v="NA"/>
    <s v="NA"/>
    <x v="2"/>
    <x v="1"/>
    <n v="1"/>
    <n v="0"/>
    <n v="0"/>
    <n v="1"/>
    <n v="0"/>
    <n v="1"/>
    <x v="1"/>
    <n v="1"/>
    <n v="0"/>
    <n v="0"/>
    <n v="0"/>
    <x v="0"/>
  </r>
  <r>
    <s v="A250FES5PFCGK9"/>
    <x v="0"/>
    <n v="36"/>
    <s v="male"/>
    <x v="2"/>
    <x v="9"/>
    <n v="33027"/>
    <n v="1"/>
    <n v="1"/>
    <n v="1"/>
    <n v="0"/>
    <s v="Store E."/>
    <s v="Stores A and B."/>
    <s v="Store A."/>
    <s v="mo-l"/>
    <s v="ms-h"/>
    <s v="mo-h"/>
    <n v="0"/>
    <x v="2"/>
    <x v="1"/>
    <n v="1"/>
    <n v="0"/>
    <n v="0"/>
    <n v="1"/>
    <n v="0"/>
    <n v="1"/>
    <x v="1"/>
    <n v="1"/>
    <n v="0"/>
    <n v="0"/>
    <n v="0"/>
    <x v="0"/>
  </r>
  <r>
    <s v="A250FES5PFCGK9"/>
    <x v="0"/>
    <n v="36"/>
    <s v="male"/>
    <x v="3"/>
    <x v="12"/>
    <n v="26951"/>
    <n v="1"/>
    <n v="0"/>
    <n v="0"/>
    <n v="0"/>
    <s v="NA"/>
    <s v="NA"/>
    <s v="NA"/>
    <s v="NA"/>
    <s v="NA"/>
    <s v="NA"/>
    <s v="NA"/>
    <x v="2"/>
    <x v="1"/>
    <n v="1"/>
    <n v="0"/>
    <n v="0"/>
    <n v="1"/>
    <n v="0"/>
    <n v="1"/>
    <x v="1"/>
    <n v="1"/>
    <n v="0"/>
    <n v="0"/>
    <n v="0"/>
    <x v="0"/>
  </r>
  <r>
    <s v="A250FES5PFCGK9"/>
    <x v="0"/>
    <n v="36"/>
    <s v="male"/>
    <x v="2"/>
    <x v="11"/>
    <n v="36806"/>
    <n v="1"/>
    <n v="1"/>
    <n v="1"/>
    <n v="0"/>
    <s v="Dentists A and B."/>
    <s v="Dentist A."/>
    <s v="Dentist E."/>
    <s v="ms-h"/>
    <s v="mo-h"/>
    <s v="mo-l"/>
    <n v="0"/>
    <x v="2"/>
    <x v="1"/>
    <n v="1"/>
    <n v="0"/>
    <n v="0"/>
    <n v="1"/>
    <n v="0"/>
    <n v="1"/>
    <x v="1"/>
    <n v="1"/>
    <n v="0"/>
    <n v="0"/>
    <n v="0"/>
    <x v="0"/>
  </r>
  <r>
    <s v="A250FES5PFCGK9"/>
    <x v="0"/>
    <n v="36"/>
    <s v="male"/>
    <x v="2"/>
    <x v="6"/>
    <n v="17298"/>
    <n v="1"/>
    <n v="1"/>
    <n v="1"/>
    <n v="0"/>
    <s v="Bookstore F."/>
    <s v="Bookstore E."/>
    <s v="Bookstore A."/>
    <s v="fa"/>
    <s v="mo-l"/>
    <s v="mo-h"/>
    <n v="0"/>
    <x v="2"/>
    <x v="1"/>
    <n v="0"/>
    <n v="0"/>
    <n v="0"/>
    <n v="1"/>
    <n v="0"/>
    <n v="1"/>
    <x v="1"/>
    <n v="0"/>
    <n v="0"/>
    <n v="0"/>
    <n v="0"/>
    <x v="0"/>
  </r>
  <r>
    <s v="A250FES5PFCGK9"/>
    <x v="0"/>
    <n v="36"/>
    <s v="male"/>
    <x v="3"/>
    <x v="8"/>
    <n v="46735"/>
    <n v="1"/>
    <n v="1"/>
    <n v="0"/>
    <n v="0"/>
    <s v="NA"/>
    <s v="NA"/>
    <s v="NA"/>
    <s v="NA"/>
    <s v="NA"/>
    <s v="NA"/>
    <s v="NA"/>
    <x v="2"/>
    <x v="1"/>
    <n v="0"/>
    <n v="0"/>
    <n v="0"/>
    <n v="1"/>
    <n v="0"/>
    <n v="1"/>
    <x v="1"/>
    <n v="0"/>
    <n v="0"/>
    <n v="0"/>
    <n v="0"/>
    <x v="0"/>
  </r>
  <r>
    <s v="A250FES5PFCGK9"/>
    <x v="0"/>
    <n v="36"/>
    <s v="male"/>
    <x v="4"/>
    <x v="0"/>
    <n v="87211"/>
    <s v="No. The query would yield the same response."/>
    <s v="A little. The concept of &quot;knowing&quot; is ambiguous in all instances of third parties."/>
    <m/>
    <s v="NA"/>
    <s v="NA"/>
    <s v="NA"/>
    <s v="NA"/>
    <s v="NA"/>
    <s v="NA"/>
    <s v="NA"/>
    <s v="NA"/>
    <x v="0"/>
    <x v="0"/>
    <s v="NA"/>
    <s v="NA"/>
    <s v="NA"/>
    <s v="NA"/>
    <s v="NA"/>
    <s v="NA"/>
    <x v="0"/>
    <s v="NA"/>
    <s v="NA"/>
    <s v="NA"/>
    <s v="NA"/>
    <x v="0"/>
  </r>
  <r>
    <s v="ABI1EI8UQK6LK"/>
    <x v="0"/>
    <n v="61"/>
    <s v="female"/>
    <x v="0"/>
    <x v="0"/>
    <n v="99435"/>
    <s v="NA"/>
    <s v="NA"/>
    <s v="NA"/>
    <s v="NA"/>
    <s v="NA"/>
    <s v="NA"/>
    <s v="NA"/>
    <s v="NA"/>
    <s v="NA"/>
    <s v="NA"/>
    <s v="NA"/>
    <x v="0"/>
    <x v="0"/>
    <s v="NA"/>
    <s v="NA"/>
    <s v="NA"/>
    <s v="NA"/>
    <s v="NA"/>
    <s v="NA"/>
    <x v="0"/>
    <s v="NA"/>
    <s v="NA"/>
    <s v="NA"/>
    <s v="NA"/>
    <x v="0"/>
  </r>
  <r>
    <s v="ABI1EI8UQK6LK"/>
    <x v="0"/>
    <n v="61"/>
    <s v="female"/>
    <x v="1"/>
    <x v="1"/>
    <n v="65239"/>
    <n v="0"/>
    <n v="0"/>
    <n v="0"/>
    <n v="1"/>
    <s v="NA"/>
    <s v="NA"/>
    <s v="NA"/>
    <s v="NA"/>
    <s v="NA"/>
    <s v="NA"/>
    <s v="NA"/>
    <x v="0"/>
    <x v="0"/>
    <s v="NA"/>
    <s v="NA"/>
    <s v="NA"/>
    <s v="NA"/>
    <s v="NA"/>
    <s v="NA"/>
    <x v="0"/>
    <s v="NA"/>
    <s v="NA"/>
    <s v="NA"/>
    <s v="NA"/>
    <x v="0"/>
  </r>
  <r>
    <s v="ABI1EI8UQK6LK"/>
    <x v="0"/>
    <n v="61"/>
    <s v="female"/>
    <x v="1"/>
    <x v="2"/>
    <n v="69627"/>
    <n v="0"/>
    <n v="0"/>
    <n v="1"/>
    <n v="0"/>
    <s v="NA"/>
    <s v="NA"/>
    <s v="NA"/>
    <s v="NA"/>
    <s v="NA"/>
    <s v="NA"/>
    <s v="NA"/>
    <x v="0"/>
    <x v="0"/>
    <s v="NA"/>
    <s v="NA"/>
    <s v="NA"/>
    <s v="NA"/>
    <s v="NA"/>
    <s v="NA"/>
    <x v="0"/>
    <s v="NA"/>
    <s v="NA"/>
    <s v="NA"/>
    <s v="NA"/>
    <x v="0"/>
  </r>
  <r>
    <s v="ABI1EI8UQK6LK"/>
    <x v="0"/>
    <n v="61"/>
    <s v="female"/>
    <x v="2"/>
    <x v="4"/>
    <n v="66977"/>
    <n v="0"/>
    <n v="0"/>
    <n v="0"/>
    <n v="1"/>
    <s v="Stalls A and B."/>
    <s v="Stalls A, B, C, D and E."/>
    <s v="Stall F."/>
    <s v="ms-h"/>
    <s v="exh"/>
    <s v="fa"/>
    <n v="1"/>
    <x v="1"/>
    <x v="2"/>
    <n v="1"/>
    <n v="0"/>
    <n v="0"/>
    <n v="1"/>
    <n v="0"/>
    <n v="0"/>
    <x v="2"/>
    <n v="0"/>
    <n v="0"/>
    <n v="0"/>
    <n v="1"/>
    <x v="0"/>
  </r>
  <r>
    <s v="ABI1EI8UQK6LK"/>
    <x v="0"/>
    <n v="61"/>
    <s v="female"/>
    <x v="2"/>
    <x v="7"/>
    <n v="183409"/>
    <n v="0"/>
    <n v="0"/>
    <n v="0"/>
    <n v="1"/>
    <s v="Stylists A and B."/>
    <s v="Stylists A, B, C, D and E."/>
    <s v="Stylist E."/>
    <s v="ms-h"/>
    <s v="exh"/>
    <s v="mo-l"/>
    <n v="1"/>
    <x v="1"/>
    <x v="1"/>
    <n v="1"/>
    <n v="0"/>
    <n v="0"/>
    <n v="1"/>
    <n v="0"/>
    <n v="0"/>
    <x v="2"/>
    <n v="0"/>
    <n v="0"/>
    <n v="0"/>
    <n v="1"/>
    <x v="0"/>
  </r>
  <r>
    <s v="ABI1EI8UQK6LK"/>
    <x v="0"/>
    <n v="61"/>
    <s v="female"/>
    <x v="3"/>
    <x v="12"/>
    <n v="54530"/>
    <n v="1"/>
    <n v="0"/>
    <n v="0"/>
    <n v="0"/>
    <s v="NA"/>
    <s v="NA"/>
    <s v="NA"/>
    <s v="NA"/>
    <s v="NA"/>
    <s v="NA"/>
    <s v="NA"/>
    <x v="1"/>
    <x v="1"/>
    <n v="1"/>
    <n v="0"/>
    <n v="0"/>
    <n v="1"/>
    <n v="0"/>
    <n v="0"/>
    <x v="2"/>
    <n v="0"/>
    <n v="0"/>
    <n v="0"/>
    <n v="1"/>
    <x v="0"/>
  </r>
  <r>
    <s v="ABI1EI8UQK6LK"/>
    <x v="0"/>
    <n v="61"/>
    <s v="female"/>
    <x v="2"/>
    <x v="9"/>
    <n v="70970"/>
    <n v="0"/>
    <n v="0"/>
    <n v="0"/>
    <n v="1"/>
    <s v="Store F."/>
    <s v="Stores A and B."/>
    <s v="Stores D and E."/>
    <s v="fa"/>
    <s v="ms-h"/>
    <s v="ms-l"/>
    <n v="0"/>
    <x v="1"/>
    <x v="2"/>
    <n v="1"/>
    <n v="1"/>
    <n v="0"/>
    <n v="1"/>
    <n v="0"/>
    <n v="0"/>
    <x v="2"/>
    <n v="0"/>
    <n v="0"/>
    <n v="0"/>
    <n v="1"/>
    <x v="0"/>
  </r>
  <r>
    <s v="ABI1EI8UQK6LK"/>
    <x v="0"/>
    <n v="61"/>
    <s v="female"/>
    <x v="2"/>
    <x v="11"/>
    <n v="37557"/>
    <n v="1"/>
    <n v="1"/>
    <n v="1"/>
    <n v="0"/>
    <s v="Dentist A."/>
    <s v="Dentist E."/>
    <s v="Dentists A, B, C, D and E."/>
    <s v="mo-h"/>
    <s v="mo-l"/>
    <s v="exh"/>
    <n v="1"/>
    <x v="2"/>
    <x v="1"/>
    <n v="0"/>
    <n v="0"/>
    <n v="0"/>
    <n v="1"/>
    <n v="1"/>
    <n v="1"/>
    <x v="1"/>
    <n v="0"/>
    <n v="0"/>
    <n v="0"/>
    <n v="0"/>
    <x v="0"/>
  </r>
  <r>
    <s v="ABI1EI8UQK6LK"/>
    <x v="0"/>
    <n v="61"/>
    <s v="female"/>
    <x v="3"/>
    <x v="5"/>
    <n v="124319"/>
    <n v="0"/>
    <n v="0"/>
    <n v="1"/>
    <n v="0"/>
    <s v="NA"/>
    <s v="NA"/>
    <s v="NA"/>
    <s v="NA"/>
    <s v="NA"/>
    <s v="NA"/>
    <s v="NA"/>
    <x v="2"/>
    <x v="1"/>
    <n v="0"/>
    <n v="0"/>
    <n v="0"/>
    <n v="1"/>
    <n v="1"/>
    <n v="1"/>
    <x v="1"/>
    <n v="0"/>
    <n v="0"/>
    <n v="0"/>
    <n v="0"/>
    <x v="0"/>
  </r>
  <r>
    <s v="ABI1EI8UQK6LK"/>
    <x v="0"/>
    <n v="61"/>
    <s v="female"/>
    <x v="2"/>
    <x v="6"/>
    <n v="62601"/>
    <n v="0"/>
    <n v="1"/>
    <n v="0"/>
    <n v="0"/>
    <s v="Bookstores D and E."/>
    <s v="Bookstore A."/>
    <s v="Bookstore E."/>
    <s v="ms-l"/>
    <s v="mo-h"/>
    <s v="mo-l"/>
    <n v="0"/>
    <x v="2"/>
    <x v="1"/>
    <n v="0"/>
    <n v="1"/>
    <n v="0"/>
    <n v="1"/>
    <n v="0"/>
    <n v="1"/>
    <x v="2"/>
    <n v="0"/>
    <n v="0"/>
    <n v="0"/>
    <n v="0"/>
    <x v="0"/>
  </r>
  <r>
    <s v="ABI1EI8UQK6LK"/>
    <x v="0"/>
    <n v="61"/>
    <s v="female"/>
    <x v="3"/>
    <x v="8"/>
    <n v="39689"/>
    <n v="1"/>
    <n v="0"/>
    <n v="0"/>
    <n v="0"/>
    <s v="NA"/>
    <s v="NA"/>
    <s v="NA"/>
    <s v="NA"/>
    <s v="NA"/>
    <s v="NA"/>
    <s v="NA"/>
    <x v="2"/>
    <x v="1"/>
    <n v="0"/>
    <n v="1"/>
    <n v="0"/>
    <n v="1"/>
    <n v="0"/>
    <n v="1"/>
    <x v="2"/>
    <n v="0"/>
    <n v="0"/>
    <n v="0"/>
    <n v="0"/>
    <x v="0"/>
  </r>
  <r>
    <s v="ABI1EI8UQK6LK"/>
    <x v="0"/>
    <n v="61"/>
    <s v="female"/>
    <x v="2"/>
    <x v="3"/>
    <n v="64599"/>
    <n v="0"/>
    <n v="0"/>
    <n v="0"/>
    <n v="1"/>
    <s v="Cafe E."/>
    <s v="Cafe A."/>
    <s v="Cafes D and E."/>
    <s v="mo-l"/>
    <s v="mo-h"/>
    <s v="ms-l"/>
    <n v="0"/>
    <x v="2"/>
    <x v="1"/>
    <n v="0"/>
    <n v="1"/>
    <n v="0"/>
    <n v="1"/>
    <n v="0"/>
    <n v="0"/>
    <x v="2"/>
    <n v="0"/>
    <n v="0"/>
    <n v="0"/>
    <n v="1"/>
    <x v="0"/>
  </r>
  <r>
    <s v="ABI1EI8UQK6LK"/>
    <x v="0"/>
    <n v="61"/>
    <s v="female"/>
    <x v="3"/>
    <x v="10"/>
    <n v="64081"/>
    <n v="0"/>
    <n v="0"/>
    <n v="0"/>
    <n v="1"/>
    <s v="NA"/>
    <s v="NA"/>
    <s v="NA"/>
    <s v="NA"/>
    <s v="NA"/>
    <s v="NA"/>
    <s v="NA"/>
    <x v="2"/>
    <x v="1"/>
    <n v="0"/>
    <n v="1"/>
    <n v="0"/>
    <n v="1"/>
    <n v="0"/>
    <n v="0"/>
    <x v="2"/>
    <n v="0"/>
    <n v="0"/>
    <n v="0"/>
    <n v="1"/>
    <x v="0"/>
  </r>
  <r>
    <s v="ABI1EI8UQK6LK"/>
    <x v="0"/>
    <n v="61"/>
    <s v="female"/>
    <x v="4"/>
    <x v="0"/>
    <n v="217327"/>
    <s v="No. The questions both mean the same thing and require the same answers."/>
    <s v="Yes%2C on the multiple choice questions that asked who knew something. I would have liked an additional choice &quot;there's no way for us to know&quot;. The other questions seemed pretty easy."/>
    <s v="Thanks!"/>
    <s v="NA"/>
    <s v="NA"/>
    <s v="NA"/>
    <s v="NA"/>
    <s v="NA"/>
    <s v="NA"/>
    <s v="NA"/>
    <s v="NA"/>
    <x v="0"/>
    <x v="0"/>
    <s v="NA"/>
    <s v="NA"/>
    <s v="NA"/>
    <s v="NA"/>
    <s v="NA"/>
    <s v="NA"/>
    <x v="0"/>
    <s v="NA"/>
    <s v="NA"/>
    <s v="NA"/>
    <s v="NA"/>
    <x v="0"/>
  </r>
  <r>
    <s v="A3JT22BLG866CK"/>
    <x v="0"/>
    <n v="34"/>
    <s v="male"/>
    <x v="0"/>
    <x v="0"/>
    <n v="839343"/>
    <s v="NA"/>
    <s v="NA"/>
    <s v="NA"/>
    <s v="NA"/>
    <s v="NA"/>
    <s v="NA"/>
    <s v="NA"/>
    <s v="NA"/>
    <s v="NA"/>
    <s v="NA"/>
    <s v="NA"/>
    <x v="0"/>
    <x v="0"/>
    <s v="NA"/>
    <s v="NA"/>
    <s v="NA"/>
    <s v="NA"/>
    <s v="NA"/>
    <s v="NA"/>
    <x v="0"/>
    <s v="NA"/>
    <s v="NA"/>
    <s v="NA"/>
    <s v="NA"/>
    <x v="0"/>
  </r>
  <r>
    <s v="A3JT22BLG866CK"/>
    <x v="0"/>
    <n v="34"/>
    <s v="male"/>
    <x v="1"/>
    <x v="1"/>
    <n v="30788"/>
    <n v="0"/>
    <n v="0"/>
    <n v="0"/>
    <n v="1"/>
    <s v="NA"/>
    <s v="NA"/>
    <s v="NA"/>
    <s v="NA"/>
    <s v="NA"/>
    <s v="NA"/>
    <s v="NA"/>
    <x v="0"/>
    <x v="0"/>
    <s v="NA"/>
    <s v="NA"/>
    <s v="NA"/>
    <s v="NA"/>
    <s v="NA"/>
    <s v="NA"/>
    <x v="0"/>
    <s v="NA"/>
    <s v="NA"/>
    <s v="NA"/>
    <s v="NA"/>
    <x v="0"/>
  </r>
  <r>
    <s v="A3JT22BLG866CK"/>
    <x v="0"/>
    <n v="34"/>
    <s v="male"/>
    <x v="1"/>
    <x v="2"/>
    <n v="38044"/>
    <n v="0"/>
    <n v="0"/>
    <n v="1"/>
    <n v="0"/>
    <s v="NA"/>
    <s v="NA"/>
    <s v="NA"/>
    <s v="NA"/>
    <s v="NA"/>
    <s v="NA"/>
    <s v="NA"/>
    <x v="0"/>
    <x v="0"/>
    <s v="NA"/>
    <s v="NA"/>
    <s v="NA"/>
    <s v="NA"/>
    <s v="NA"/>
    <s v="NA"/>
    <x v="0"/>
    <s v="NA"/>
    <s v="NA"/>
    <s v="NA"/>
    <s v="NA"/>
    <x v="0"/>
  </r>
  <r>
    <s v="A3JT22BLG866CK"/>
    <x v="0"/>
    <n v="34"/>
    <s v="male"/>
    <x v="2"/>
    <x v="7"/>
    <n v="43128"/>
    <n v="1"/>
    <n v="0"/>
    <n v="0"/>
    <n v="0"/>
    <s v="Stylist E."/>
    <s v="Stylists A, B, C, D and E."/>
    <s v="Stylist A."/>
    <s v="mo-l"/>
    <s v="exh"/>
    <s v="mo-h"/>
    <n v="1"/>
    <x v="2"/>
    <x v="1"/>
    <n v="0"/>
    <n v="0"/>
    <n v="0"/>
    <n v="1"/>
    <n v="0"/>
    <n v="0"/>
    <x v="1"/>
    <n v="0"/>
    <n v="0"/>
    <n v="0"/>
    <n v="0"/>
    <x v="0"/>
  </r>
  <r>
    <s v="A3JT22BLG866CK"/>
    <x v="0"/>
    <n v="34"/>
    <s v="male"/>
    <x v="2"/>
    <x v="9"/>
    <n v="16811"/>
    <n v="0"/>
    <n v="1"/>
    <n v="0"/>
    <n v="0"/>
    <s v="Store E."/>
    <s v="Store A."/>
    <s v="Stores D and E."/>
    <s v="mo-l"/>
    <s v="mo-h"/>
    <s v="ms-l"/>
    <n v="0"/>
    <x v="2"/>
    <x v="1"/>
    <n v="0"/>
    <n v="1"/>
    <n v="0"/>
    <n v="1"/>
    <n v="0"/>
    <n v="1"/>
    <x v="2"/>
    <n v="0"/>
    <n v="0"/>
    <n v="0"/>
    <n v="0"/>
    <x v="0"/>
  </r>
  <r>
    <s v="A3JT22BLG866CK"/>
    <x v="0"/>
    <n v="34"/>
    <s v="male"/>
    <x v="3"/>
    <x v="5"/>
    <n v="24585"/>
    <n v="0"/>
    <n v="0"/>
    <n v="1"/>
    <n v="0"/>
    <s v="NA"/>
    <s v="NA"/>
    <s v="NA"/>
    <s v="NA"/>
    <s v="NA"/>
    <s v="NA"/>
    <s v="NA"/>
    <x v="2"/>
    <x v="1"/>
    <n v="0"/>
    <n v="1"/>
    <n v="0"/>
    <n v="1"/>
    <n v="0"/>
    <n v="1"/>
    <x v="2"/>
    <n v="0"/>
    <n v="0"/>
    <n v="0"/>
    <n v="0"/>
    <x v="0"/>
  </r>
  <r>
    <s v="A3JT22BLG866CK"/>
    <x v="0"/>
    <n v="34"/>
    <s v="male"/>
    <x v="2"/>
    <x v="4"/>
    <n v="10952"/>
    <n v="0"/>
    <n v="0"/>
    <n v="1"/>
    <n v="0"/>
    <s v="Stall E."/>
    <s v="Stalls A and B."/>
    <s v="Stall A."/>
    <s v="mo-l"/>
    <s v="ms-h"/>
    <s v="mo-h"/>
    <n v="0"/>
    <x v="2"/>
    <x v="1"/>
    <n v="1"/>
    <n v="0"/>
    <n v="0"/>
    <n v="1"/>
    <n v="0"/>
    <n v="1"/>
    <x v="2"/>
    <n v="0"/>
    <n v="0"/>
    <n v="0"/>
    <n v="0"/>
    <x v="0"/>
  </r>
  <r>
    <s v="A3JT22BLG866CK"/>
    <x v="0"/>
    <n v="34"/>
    <s v="male"/>
    <x v="2"/>
    <x v="3"/>
    <n v="13927"/>
    <n v="1"/>
    <n v="0"/>
    <n v="0"/>
    <n v="0"/>
    <s v="Cafe E."/>
    <s v="Cafe F."/>
    <s v="Cafes A, B, C, D and E."/>
    <s v="mo-l"/>
    <s v="fa"/>
    <s v="exh"/>
    <n v="1"/>
    <x v="1"/>
    <x v="1"/>
    <n v="0"/>
    <n v="0"/>
    <n v="0"/>
    <n v="1"/>
    <n v="0"/>
    <n v="0"/>
    <x v="1"/>
    <n v="0"/>
    <n v="0"/>
    <n v="0"/>
    <n v="0"/>
    <x v="0"/>
  </r>
  <r>
    <s v="A3JT22BLG866CK"/>
    <x v="0"/>
    <n v="34"/>
    <s v="male"/>
    <x v="3"/>
    <x v="10"/>
    <n v="21169"/>
    <n v="0"/>
    <n v="1"/>
    <n v="0"/>
    <n v="0"/>
    <s v="NA"/>
    <s v="NA"/>
    <s v="NA"/>
    <s v="NA"/>
    <s v="NA"/>
    <s v="NA"/>
    <s v="NA"/>
    <x v="1"/>
    <x v="1"/>
    <n v="0"/>
    <n v="0"/>
    <n v="0"/>
    <n v="1"/>
    <n v="0"/>
    <n v="0"/>
    <x v="1"/>
    <n v="0"/>
    <n v="0"/>
    <n v="0"/>
    <n v="0"/>
    <x v="0"/>
  </r>
  <r>
    <s v="A3JT22BLG866CK"/>
    <x v="0"/>
    <n v="34"/>
    <s v="male"/>
    <x v="2"/>
    <x v="6"/>
    <n v="6630"/>
    <n v="1"/>
    <n v="0"/>
    <n v="0"/>
    <n v="0"/>
    <s v="Bookstore A."/>
    <s v="Bookstores A, B, C, D and E."/>
    <s v="Bookstores A and B."/>
    <s v="mo-h"/>
    <s v="exh"/>
    <s v="ms-h"/>
    <n v="1"/>
    <x v="2"/>
    <x v="2"/>
    <n v="1"/>
    <n v="0"/>
    <n v="0"/>
    <n v="1"/>
    <n v="0"/>
    <n v="1"/>
    <x v="2"/>
    <n v="0"/>
    <n v="0"/>
    <n v="0"/>
    <n v="0"/>
    <x v="0"/>
  </r>
  <r>
    <s v="A3JT22BLG866CK"/>
    <x v="0"/>
    <n v="34"/>
    <s v="male"/>
    <x v="3"/>
    <x v="8"/>
    <n v="14248"/>
    <n v="1"/>
    <n v="0"/>
    <n v="0"/>
    <n v="0"/>
    <s v="NA"/>
    <s v="NA"/>
    <s v="NA"/>
    <s v="NA"/>
    <s v="NA"/>
    <s v="NA"/>
    <s v="NA"/>
    <x v="2"/>
    <x v="2"/>
    <n v="1"/>
    <n v="0"/>
    <n v="0"/>
    <n v="1"/>
    <n v="0"/>
    <n v="1"/>
    <x v="2"/>
    <n v="0"/>
    <n v="0"/>
    <n v="0"/>
    <n v="0"/>
    <x v="0"/>
  </r>
  <r>
    <s v="A3JT22BLG866CK"/>
    <x v="0"/>
    <n v="34"/>
    <s v="male"/>
    <x v="2"/>
    <x v="11"/>
    <n v="5008"/>
    <n v="1"/>
    <n v="0"/>
    <n v="0"/>
    <n v="0"/>
    <s v="Dentist A."/>
    <s v="Dentists D and E."/>
    <s v="Dentists A and B."/>
    <s v="mo-h"/>
    <s v="ms-l"/>
    <s v="ms-h"/>
    <n v="0"/>
    <x v="2"/>
    <x v="2"/>
    <n v="1"/>
    <n v="1"/>
    <n v="0"/>
    <n v="1"/>
    <n v="0"/>
    <n v="1"/>
    <x v="2"/>
    <n v="0"/>
    <n v="0"/>
    <n v="0"/>
    <n v="0"/>
    <x v="0"/>
  </r>
  <r>
    <s v="A3JT22BLG866CK"/>
    <x v="0"/>
    <n v="34"/>
    <s v="male"/>
    <x v="3"/>
    <x v="12"/>
    <n v="39096"/>
    <n v="0"/>
    <n v="1"/>
    <n v="0"/>
    <n v="0"/>
    <s v="NA"/>
    <s v="NA"/>
    <s v="NA"/>
    <s v="NA"/>
    <s v="NA"/>
    <s v="NA"/>
    <s v="NA"/>
    <x v="2"/>
    <x v="2"/>
    <n v="1"/>
    <n v="1"/>
    <n v="0"/>
    <n v="1"/>
    <n v="0"/>
    <n v="1"/>
    <x v="2"/>
    <n v="0"/>
    <n v="0"/>
    <n v="0"/>
    <n v="0"/>
    <x v="0"/>
  </r>
  <r>
    <s v="A3JT22BLG866CK"/>
    <x v="0"/>
    <n v="34"/>
    <s v="male"/>
    <x v="4"/>
    <x v="0"/>
    <n v="67033"/>
    <s v="I would add recommendations for the latter. If it was the former%2C I would just list which restaurants have brunch. "/>
    <s v="No%2C it just takes some time to read."/>
    <s v="None"/>
    <s v="NA"/>
    <s v="NA"/>
    <s v="NA"/>
    <s v="NA"/>
    <s v="NA"/>
    <s v="NA"/>
    <s v="NA"/>
    <s v="NA"/>
    <x v="0"/>
    <x v="0"/>
    <s v="NA"/>
    <s v="NA"/>
    <s v="NA"/>
    <s v="NA"/>
    <s v="NA"/>
    <s v="NA"/>
    <x v="0"/>
    <s v="NA"/>
    <s v="NA"/>
    <s v="NA"/>
    <s v="NA"/>
    <x v="0"/>
  </r>
  <r>
    <s v="AGC3T6724JUAF"/>
    <x v="0"/>
    <n v="23"/>
    <s v="female"/>
    <x v="0"/>
    <x v="0"/>
    <n v="36691"/>
    <s v="NA"/>
    <s v="NA"/>
    <s v="NA"/>
    <s v="NA"/>
    <s v="NA"/>
    <s v="NA"/>
    <s v="NA"/>
    <s v="NA"/>
    <s v="NA"/>
    <s v="NA"/>
    <s v="NA"/>
    <x v="0"/>
    <x v="0"/>
    <s v="NA"/>
    <s v="NA"/>
    <s v="NA"/>
    <s v="NA"/>
    <s v="NA"/>
    <s v="NA"/>
    <x v="0"/>
    <s v="NA"/>
    <s v="NA"/>
    <s v="NA"/>
    <s v="NA"/>
    <x v="0"/>
  </r>
  <r>
    <s v="AGC3T6724JUAF"/>
    <x v="0"/>
    <n v="23"/>
    <s v="female"/>
    <x v="1"/>
    <x v="2"/>
    <n v="97692"/>
    <n v="0"/>
    <n v="0"/>
    <n v="0"/>
    <n v="1"/>
    <s v="NA"/>
    <s v="NA"/>
    <s v="NA"/>
    <s v="NA"/>
    <s v="NA"/>
    <s v="NA"/>
    <s v="NA"/>
    <x v="0"/>
    <x v="0"/>
    <s v="NA"/>
    <s v="NA"/>
    <s v="NA"/>
    <s v="NA"/>
    <s v="NA"/>
    <s v="NA"/>
    <x v="0"/>
    <s v="NA"/>
    <s v="NA"/>
    <s v="NA"/>
    <s v="NA"/>
    <x v="0"/>
  </r>
  <r>
    <s v="AGC3T6724JUAF"/>
    <x v="0"/>
    <n v="23"/>
    <s v="female"/>
    <x v="1"/>
    <x v="1"/>
    <n v="43947"/>
    <n v="0"/>
    <n v="0"/>
    <n v="0"/>
    <n v="1"/>
    <s v="NA"/>
    <s v="NA"/>
    <s v="NA"/>
    <s v="NA"/>
    <s v="NA"/>
    <s v="NA"/>
    <s v="NA"/>
    <x v="0"/>
    <x v="0"/>
    <s v="NA"/>
    <s v="NA"/>
    <s v="NA"/>
    <s v="NA"/>
    <s v="NA"/>
    <s v="NA"/>
    <x v="0"/>
    <s v="NA"/>
    <s v="NA"/>
    <s v="NA"/>
    <s v="NA"/>
    <x v="0"/>
  </r>
  <r>
    <s v="AGC3T6724JUAF"/>
    <x v="0"/>
    <n v="23"/>
    <s v="female"/>
    <x v="2"/>
    <x v="4"/>
    <n v="95461"/>
    <n v="0"/>
    <n v="1"/>
    <n v="0"/>
    <n v="0"/>
    <s v="Stall E."/>
    <s v="Stall A."/>
    <s v="Stalls A and B."/>
    <s v="mo-l"/>
    <s v="mo-h"/>
    <s v="ms-h"/>
    <n v="0"/>
    <x v="2"/>
    <x v="1"/>
    <n v="1"/>
    <n v="0"/>
    <n v="0"/>
    <n v="1"/>
    <n v="0"/>
    <n v="1"/>
    <x v="2"/>
    <n v="0"/>
    <n v="0"/>
    <n v="0"/>
    <n v="0"/>
    <x v="0"/>
  </r>
  <r>
    <s v="AGC3T6724JUAF"/>
    <x v="0"/>
    <n v="23"/>
    <s v="female"/>
    <x v="2"/>
    <x v="6"/>
    <n v="43288"/>
    <n v="0"/>
    <n v="1"/>
    <n v="0"/>
    <n v="0"/>
    <s v="Bookstore E."/>
    <s v="Bookstore A."/>
    <s v="Bookstores A and B."/>
    <s v="mo-l"/>
    <s v="mo-h"/>
    <s v="ms-h"/>
    <n v="0"/>
    <x v="2"/>
    <x v="1"/>
    <n v="1"/>
    <n v="0"/>
    <n v="0"/>
    <n v="1"/>
    <n v="0"/>
    <n v="1"/>
    <x v="2"/>
    <n v="0"/>
    <n v="0"/>
    <n v="0"/>
    <n v="0"/>
    <x v="0"/>
  </r>
  <r>
    <s v="AGC3T6724JUAF"/>
    <x v="0"/>
    <n v="23"/>
    <s v="female"/>
    <x v="3"/>
    <x v="5"/>
    <n v="28182"/>
    <n v="0"/>
    <n v="0"/>
    <n v="1"/>
    <n v="0"/>
    <s v="NA"/>
    <s v="NA"/>
    <s v="NA"/>
    <s v="NA"/>
    <s v="NA"/>
    <s v="NA"/>
    <s v="NA"/>
    <x v="2"/>
    <x v="1"/>
    <n v="1"/>
    <n v="0"/>
    <n v="0"/>
    <n v="1"/>
    <n v="0"/>
    <n v="1"/>
    <x v="2"/>
    <n v="0"/>
    <n v="0"/>
    <n v="0"/>
    <n v="0"/>
    <x v="0"/>
  </r>
  <r>
    <s v="AGC3T6724JUAF"/>
    <x v="0"/>
    <n v="23"/>
    <s v="female"/>
    <x v="2"/>
    <x v="11"/>
    <n v="34116"/>
    <n v="0"/>
    <n v="1"/>
    <n v="0"/>
    <n v="0"/>
    <s v="Dentists A and B."/>
    <s v="Dentist A."/>
    <s v="Dentist E."/>
    <s v="ms-h"/>
    <s v="mo-h"/>
    <s v="mo-l"/>
    <n v="0"/>
    <x v="2"/>
    <x v="1"/>
    <n v="1"/>
    <n v="0"/>
    <n v="0"/>
    <n v="1"/>
    <n v="0"/>
    <n v="1"/>
    <x v="2"/>
    <n v="0"/>
    <n v="0"/>
    <n v="0"/>
    <n v="0"/>
    <x v="0"/>
  </r>
  <r>
    <s v="AGC3T6724JUAF"/>
    <x v="0"/>
    <n v="23"/>
    <s v="female"/>
    <x v="2"/>
    <x v="9"/>
    <n v="10287"/>
    <n v="0"/>
    <n v="0"/>
    <n v="1"/>
    <n v="0"/>
    <s v="Stores A, B, C, D and E."/>
    <s v="Stores A and B."/>
    <s v="Store A."/>
    <s v="exh"/>
    <s v="ms-h"/>
    <s v="mo-h"/>
    <n v="1"/>
    <x v="2"/>
    <x v="2"/>
    <n v="1"/>
    <n v="0"/>
    <n v="0"/>
    <n v="1"/>
    <n v="0"/>
    <n v="1"/>
    <x v="2"/>
    <n v="0"/>
    <n v="0"/>
    <n v="0"/>
    <n v="0"/>
    <x v="0"/>
  </r>
  <r>
    <s v="AGC3T6724JUAF"/>
    <x v="0"/>
    <n v="23"/>
    <s v="female"/>
    <x v="3"/>
    <x v="10"/>
    <n v="24989"/>
    <n v="0"/>
    <n v="0"/>
    <n v="0"/>
    <n v="1"/>
    <s v="NA"/>
    <s v="NA"/>
    <s v="NA"/>
    <s v="NA"/>
    <s v="NA"/>
    <s v="NA"/>
    <s v="NA"/>
    <x v="2"/>
    <x v="2"/>
    <n v="1"/>
    <n v="0"/>
    <n v="0"/>
    <n v="1"/>
    <n v="0"/>
    <n v="1"/>
    <x v="2"/>
    <n v="0"/>
    <n v="0"/>
    <n v="0"/>
    <n v="0"/>
    <x v="0"/>
  </r>
  <r>
    <s v="AGC3T6724JUAF"/>
    <x v="0"/>
    <n v="23"/>
    <s v="female"/>
    <x v="2"/>
    <x v="3"/>
    <n v="15173"/>
    <n v="0"/>
    <n v="0"/>
    <n v="0"/>
    <n v="1"/>
    <s v="Cafes A and B."/>
    <s v="Cafe E."/>
    <s v="Cafes D and E."/>
    <s v="ms-h"/>
    <s v="mo-l"/>
    <s v="ms-l"/>
    <n v="0"/>
    <x v="1"/>
    <x v="1"/>
    <n v="1"/>
    <n v="1"/>
    <n v="0"/>
    <n v="1"/>
    <n v="0"/>
    <n v="0"/>
    <x v="2"/>
    <n v="0"/>
    <n v="0"/>
    <n v="0"/>
    <n v="1"/>
    <x v="0"/>
  </r>
  <r>
    <s v="AGC3T6724JUAF"/>
    <x v="0"/>
    <n v="23"/>
    <s v="female"/>
    <x v="3"/>
    <x v="12"/>
    <n v="19411"/>
    <n v="0"/>
    <n v="0"/>
    <n v="0"/>
    <n v="1"/>
    <s v="NA"/>
    <s v="NA"/>
    <s v="NA"/>
    <s v="NA"/>
    <s v="NA"/>
    <s v="NA"/>
    <s v="NA"/>
    <x v="1"/>
    <x v="1"/>
    <n v="1"/>
    <n v="1"/>
    <n v="0"/>
    <n v="1"/>
    <n v="0"/>
    <n v="0"/>
    <x v="2"/>
    <n v="0"/>
    <n v="0"/>
    <n v="0"/>
    <n v="1"/>
    <x v="0"/>
  </r>
  <r>
    <s v="AGC3T6724JUAF"/>
    <x v="0"/>
    <n v="23"/>
    <s v="female"/>
    <x v="2"/>
    <x v="7"/>
    <n v="17585"/>
    <n v="0"/>
    <n v="1"/>
    <n v="0"/>
    <n v="0"/>
    <s v="Stylists A and B."/>
    <s v="Stylist A."/>
    <s v="Stylists D and E."/>
    <s v="ms-h"/>
    <s v="mo-h"/>
    <s v="ms-l"/>
    <n v="0"/>
    <x v="2"/>
    <x v="2"/>
    <n v="1"/>
    <n v="1"/>
    <n v="0"/>
    <n v="1"/>
    <n v="0"/>
    <n v="1"/>
    <x v="2"/>
    <n v="0"/>
    <n v="0"/>
    <n v="0"/>
    <n v="0"/>
    <x v="0"/>
  </r>
  <r>
    <s v="AGC3T6724JUAF"/>
    <x v="0"/>
    <n v="23"/>
    <s v="female"/>
    <x v="3"/>
    <x v="8"/>
    <n v="21791"/>
    <n v="1"/>
    <n v="0"/>
    <n v="0"/>
    <n v="0"/>
    <s v="NA"/>
    <s v="NA"/>
    <s v="NA"/>
    <s v="NA"/>
    <s v="NA"/>
    <s v="NA"/>
    <s v="NA"/>
    <x v="2"/>
    <x v="2"/>
    <n v="1"/>
    <n v="1"/>
    <n v="0"/>
    <n v="1"/>
    <n v="0"/>
    <n v="1"/>
    <x v="2"/>
    <n v="0"/>
    <n v="0"/>
    <n v="0"/>
    <n v="0"/>
    <x v="0"/>
  </r>
  <r>
    <s v="AGC3T6724JUAF"/>
    <x v="0"/>
    <n v="23"/>
    <s v="female"/>
    <x v="4"/>
    <x v="0"/>
    <n v="100499"/>
    <s v="Yes%2C because brunch-specific meals are different than any types of meal that can be eaten during brunch hours."/>
    <s v="It was too annoying for the payment given to be honest."/>
    <m/>
    <s v="NA"/>
    <s v="NA"/>
    <s v="NA"/>
    <s v="NA"/>
    <s v="NA"/>
    <s v="NA"/>
    <s v="NA"/>
    <s v="NA"/>
    <x v="0"/>
    <x v="0"/>
    <s v="NA"/>
    <s v="NA"/>
    <s v="NA"/>
    <s v="NA"/>
    <s v="NA"/>
    <s v="NA"/>
    <x v="0"/>
    <s v="NA"/>
    <s v="NA"/>
    <s v="NA"/>
    <s v="NA"/>
    <x v="0"/>
  </r>
  <r>
    <s v="A2NA2OJT15COZY"/>
    <x v="4"/>
    <n v="36"/>
    <s v="male"/>
    <x v="0"/>
    <x v="0"/>
    <n v="16997"/>
    <s v="NA"/>
    <s v="NA"/>
    <s v="NA"/>
    <s v="NA"/>
    <s v="NA"/>
    <s v="NA"/>
    <s v="NA"/>
    <s v="NA"/>
    <s v="NA"/>
    <s v="NA"/>
    <s v="NA"/>
    <x v="0"/>
    <x v="0"/>
    <s v="NA"/>
    <s v="NA"/>
    <s v="NA"/>
    <s v="NA"/>
    <s v="NA"/>
    <s v="NA"/>
    <x v="0"/>
    <s v="NA"/>
    <s v="NA"/>
    <s v="NA"/>
    <s v="NA"/>
    <x v="0"/>
  </r>
  <r>
    <s v="A2NA2OJT15COZY"/>
    <x v="4"/>
    <n v="36"/>
    <s v="male"/>
    <x v="1"/>
    <x v="2"/>
    <n v="38549"/>
    <n v="0"/>
    <n v="1"/>
    <n v="1"/>
    <n v="0"/>
    <s v="NA"/>
    <s v="NA"/>
    <s v="NA"/>
    <s v="NA"/>
    <s v="NA"/>
    <s v="NA"/>
    <s v="NA"/>
    <x v="0"/>
    <x v="0"/>
    <s v="NA"/>
    <s v="NA"/>
    <s v="NA"/>
    <s v="NA"/>
    <s v="NA"/>
    <s v="NA"/>
    <x v="0"/>
    <s v="NA"/>
    <s v="NA"/>
    <s v="NA"/>
    <s v="NA"/>
    <x v="0"/>
  </r>
  <r>
    <s v="A2NA2OJT15COZY"/>
    <x v="4"/>
    <n v="36"/>
    <s v="male"/>
    <x v="1"/>
    <x v="1"/>
    <n v="25546"/>
    <n v="0"/>
    <n v="0"/>
    <n v="0"/>
    <n v="1"/>
    <s v="NA"/>
    <s v="NA"/>
    <s v="NA"/>
    <s v="NA"/>
    <s v="NA"/>
    <s v="NA"/>
    <s v="NA"/>
    <x v="0"/>
    <x v="0"/>
    <s v="NA"/>
    <s v="NA"/>
    <s v="NA"/>
    <s v="NA"/>
    <s v="NA"/>
    <s v="NA"/>
    <x v="0"/>
    <s v="NA"/>
    <s v="NA"/>
    <s v="NA"/>
    <s v="NA"/>
    <x v="0"/>
  </r>
  <r>
    <s v="A2NA2OJT15COZY"/>
    <x v="4"/>
    <n v="36"/>
    <s v="male"/>
    <x v="2"/>
    <x v="6"/>
    <n v="45466"/>
    <n v="1"/>
    <n v="0"/>
    <n v="0"/>
    <n v="0"/>
    <s v="Bookstores A and B."/>
    <s v="Bookstore F."/>
    <s v="Bookstore E."/>
    <s v="ms-h"/>
    <s v="fa"/>
    <s v="mo-l"/>
    <n v="0"/>
    <x v="1"/>
    <x v="1"/>
    <n v="1"/>
    <n v="0"/>
    <n v="0"/>
    <n v="1"/>
    <n v="0"/>
    <n v="0"/>
    <x v="2"/>
    <n v="1"/>
    <n v="0"/>
    <n v="0"/>
    <n v="0"/>
    <x v="0"/>
  </r>
  <r>
    <s v="A2NA2OJT15COZY"/>
    <x v="4"/>
    <n v="36"/>
    <s v="male"/>
    <x v="2"/>
    <x v="9"/>
    <n v="39297"/>
    <n v="1"/>
    <n v="0"/>
    <n v="1"/>
    <n v="0"/>
    <s v="Stores D and E."/>
    <s v="Stores A, B, C, D and E."/>
    <s v="Store E."/>
    <s v="ms-l"/>
    <s v="exh"/>
    <s v="mo-l"/>
    <n v="1"/>
    <x v="1"/>
    <x v="1"/>
    <n v="0"/>
    <n v="1"/>
    <n v="0"/>
    <n v="1"/>
    <n v="0"/>
    <n v="0"/>
    <x v="1"/>
    <n v="0"/>
    <n v="1"/>
    <n v="0"/>
    <n v="0"/>
    <x v="0"/>
  </r>
  <r>
    <s v="A2NA2OJT15COZY"/>
    <x v="4"/>
    <n v="36"/>
    <s v="male"/>
    <x v="3"/>
    <x v="5"/>
    <n v="28806"/>
    <n v="0"/>
    <n v="1"/>
    <n v="1"/>
    <n v="0"/>
    <s v="NA"/>
    <s v="NA"/>
    <s v="NA"/>
    <s v="NA"/>
    <s v="NA"/>
    <s v="NA"/>
    <s v="NA"/>
    <x v="1"/>
    <x v="1"/>
    <n v="0"/>
    <n v="1"/>
    <n v="0"/>
    <n v="1"/>
    <n v="0"/>
    <n v="0"/>
    <x v="1"/>
    <n v="0"/>
    <n v="1"/>
    <n v="0"/>
    <n v="0"/>
    <x v="0"/>
  </r>
  <r>
    <s v="A2NA2OJT15COZY"/>
    <x v="4"/>
    <n v="36"/>
    <s v="male"/>
    <x v="2"/>
    <x v="4"/>
    <n v="27886"/>
    <n v="1"/>
    <n v="1"/>
    <n v="0"/>
    <n v="0"/>
    <s v="Stall A."/>
    <s v="Stalls A and B."/>
    <s v="Stall E."/>
    <s v="mo-h"/>
    <s v="ms-h"/>
    <s v="mo-l"/>
    <n v="0"/>
    <x v="2"/>
    <x v="1"/>
    <n v="1"/>
    <n v="0"/>
    <n v="0"/>
    <n v="1"/>
    <n v="0"/>
    <n v="1"/>
    <x v="2"/>
    <n v="1"/>
    <n v="0"/>
    <n v="0"/>
    <n v="0"/>
    <x v="0"/>
  </r>
  <r>
    <s v="A2NA2OJT15COZY"/>
    <x v="4"/>
    <n v="36"/>
    <s v="male"/>
    <x v="3"/>
    <x v="10"/>
    <n v="36632"/>
    <n v="0"/>
    <n v="1"/>
    <n v="0"/>
    <n v="0"/>
    <s v="NA"/>
    <s v="NA"/>
    <s v="NA"/>
    <s v="NA"/>
    <s v="NA"/>
    <s v="NA"/>
    <s v="NA"/>
    <x v="2"/>
    <x v="1"/>
    <n v="1"/>
    <n v="0"/>
    <n v="0"/>
    <n v="1"/>
    <n v="0"/>
    <n v="1"/>
    <x v="2"/>
    <n v="1"/>
    <n v="0"/>
    <n v="0"/>
    <n v="0"/>
    <x v="0"/>
  </r>
  <r>
    <s v="A2NA2OJT15COZY"/>
    <x v="4"/>
    <n v="36"/>
    <s v="male"/>
    <x v="2"/>
    <x v="3"/>
    <n v="13164"/>
    <n v="1"/>
    <n v="0"/>
    <n v="0"/>
    <n v="0"/>
    <s v="Cafes A and B."/>
    <s v="Cafes D and E."/>
    <s v="Cafe A."/>
    <s v="ms-h"/>
    <s v="ms-l"/>
    <s v="mo-h"/>
    <n v="0"/>
    <x v="2"/>
    <x v="2"/>
    <n v="1"/>
    <n v="1"/>
    <n v="0"/>
    <n v="1"/>
    <n v="0"/>
    <n v="0"/>
    <x v="2"/>
    <n v="1"/>
    <n v="0"/>
    <n v="0"/>
    <n v="0"/>
    <x v="0"/>
  </r>
  <r>
    <s v="A2NA2OJT15COZY"/>
    <x v="4"/>
    <n v="36"/>
    <s v="male"/>
    <x v="2"/>
    <x v="7"/>
    <n v="13910"/>
    <n v="1"/>
    <n v="0"/>
    <n v="0"/>
    <n v="0"/>
    <s v="Stylist A."/>
    <s v="Stylists D and E."/>
    <s v="Stylist E."/>
    <s v="mo-h"/>
    <s v="ms-l"/>
    <s v="mo-l"/>
    <n v="0"/>
    <x v="2"/>
    <x v="1"/>
    <n v="0"/>
    <n v="1"/>
    <n v="0"/>
    <n v="1"/>
    <n v="0"/>
    <n v="1"/>
    <x v="2"/>
    <n v="0"/>
    <n v="0"/>
    <n v="0"/>
    <n v="0"/>
    <x v="0"/>
  </r>
  <r>
    <s v="A2NA2OJT15COZY"/>
    <x v="4"/>
    <n v="36"/>
    <s v="male"/>
    <x v="3"/>
    <x v="8"/>
    <n v="15212"/>
    <n v="1"/>
    <n v="1"/>
    <n v="0"/>
    <n v="0"/>
    <s v="NA"/>
    <s v="NA"/>
    <s v="NA"/>
    <s v="NA"/>
    <s v="NA"/>
    <s v="NA"/>
    <s v="NA"/>
    <x v="2"/>
    <x v="1"/>
    <n v="0"/>
    <n v="1"/>
    <n v="0"/>
    <n v="1"/>
    <n v="0"/>
    <n v="1"/>
    <x v="2"/>
    <n v="0"/>
    <n v="0"/>
    <n v="0"/>
    <n v="0"/>
    <x v="0"/>
  </r>
  <r>
    <s v="A2NA2OJT15COZY"/>
    <x v="4"/>
    <n v="36"/>
    <s v="male"/>
    <x v="2"/>
    <x v="11"/>
    <n v="15234"/>
    <n v="0"/>
    <n v="0"/>
    <n v="1"/>
    <n v="0"/>
    <s v="Dentists A, B, C, D and E."/>
    <s v="Dentist E."/>
    <s v="Dentists A and B."/>
    <s v="exh"/>
    <s v="mo-l"/>
    <s v="ms-h"/>
    <n v="1"/>
    <x v="1"/>
    <x v="1"/>
    <n v="1"/>
    <n v="0"/>
    <n v="0"/>
    <n v="1"/>
    <n v="0"/>
    <n v="0"/>
    <x v="2"/>
    <n v="1"/>
    <n v="0"/>
    <n v="0"/>
    <n v="0"/>
    <x v="0"/>
  </r>
  <r>
    <s v="A2NA2OJT15COZY"/>
    <x v="4"/>
    <n v="36"/>
    <s v="male"/>
    <x v="3"/>
    <x v="12"/>
    <n v="12414"/>
    <n v="1"/>
    <n v="1"/>
    <n v="0"/>
    <n v="0"/>
    <s v="NA"/>
    <s v="NA"/>
    <s v="NA"/>
    <s v="NA"/>
    <s v="NA"/>
    <s v="NA"/>
    <s v="NA"/>
    <x v="1"/>
    <x v="1"/>
    <n v="1"/>
    <n v="0"/>
    <n v="0"/>
    <n v="1"/>
    <n v="0"/>
    <n v="0"/>
    <x v="2"/>
    <n v="1"/>
    <n v="0"/>
    <n v="0"/>
    <n v="0"/>
    <x v="0"/>
  </r>
  <r>
    <s v="A2NA2OJT15COZY"/>
    <x v="4"/>
    <n v="36"/>
    <s v="male"/>
    <x v="4"/>
    <x v="0"/>
    <n v="67412"/>
    <s v="I'd provide a list for the first question%2C but a single recommendation for the second one."/>
    <s v="No%2C it was fairly straightforward."/>
    <s v="Nope."/>
    <s v="NA"/>
    <s v="NA"/>
    <s v="NA"/>
    <s v="NA"/>
    <s v="NA"/>
    <s v="NA"/>
    <s v="NA"/>
    <s v="NA"/>
    <x v="0"/>
    <x v="0"/>
    <s v="NA"/>
    <s v="NA"/>
    <s v="NA"/>
    <s v="NA"/>
    <s v="NA"/>
    <s v="NA"/>
    <x v="0"/>
    <s v="NA"/>
    <s v="NA"/>
    <s v="NA"/>
    <s v="NA"/>
    <x v="0"/>
  </r>
  <r>
    <s v="AVD6HMIO1HLFI"/>
    <x v="0"/>
    <n v="29"/>
    <s v="male"/>
    <x v="0"/>
    <x v="0"/>
    <n v="54065"/>
    <s v="NA"/>
    <s v="NA"/>
    <s v="NA"/>
    <s v="NA"/>
    <s v="NA"/>
    <s v="NA"/>
    <s v="NA"/>
    <s v="NA"/>
    <s v="NA"/>
    <s v="NA"/>
    <s v="NA"/>
    <x v="0"/>
    <x v="0"/>
    <s v="NA"/>
    <s v="NA"/>
    <s v="NA"/>
    <s v="NA"/>
    <s v="NA"/>
    <s v="NA"/>
    <x v="0"/>
    <s v="NA"/>
    <s v="NA"/>
    <s v="NA"/>
    <s v="NA"/>
    <x v="0"/>
  </r>
  <r>
    <s v="AVD6HMIO1HLFI"/>
    <x v="0"/>
    <n v="29"/>
    <s v="male"/>
    <x v="1"/>
    <x v="2"/>
    <n v="49575"/>
    <n v="0"/>
    <n v="0"/>
    <n v="1"/>
    <n v="0"/>
    <s v="NA"/>
    <s v="NA"/>
    <s v="NA"/>
    <s v="NA"/>
    <s v="NA"/>
    <s v="NA"/>
    <s v="NA"/>
    <x v="0"/>
    <x v="0"/>
    <s v="NA"/>
    <s v="NA"/>
    <s v="NA"/>
    <s v="NA"/>
    <s v="NA"/>
    <s v="NA"/>
    <x v="0"/>
    <s v="NA"/>
    <s v="NA"/>
    <s v="NA"/>
    <s v="NA"/>
    <x v="0"/>
  </r>
  <r>
    <s v="AVD6HMIO1HLFI"/>
    <x v="0"/>
    <n v="29"/>
    <s v="male"/>
    <x v="1"/>
    <x v="1"/>
    <n v="104298"/>
    <n v="0"/>
    <n v="0"/>
    <n v="0"/>
    <n v="1"/>
    <s v="NA"/>
    <s v="NA"/>
    <s v="NA"/>
    <s v="NA"/>
    <s v="NA"/>
    <s v="NA"/>
    <s v="NA"/>
    <x v="0"/>
    <x v="0"/>
    <s v="NA"/>
    <s v="NA"/>
    <s v="NA"/>
    <s v="NA"/>
    <s v="NA"/>
    <s v="NA"/>
    <x v="0"/>
    <s v="NA"/>
    <s v="NA"/>
    <s v="NA"/>
    <s v="NA"/>
    <x v="0"/>
  </r>
  <r>
    <s v="AVD6HMIO1HLFI"/>
    <x v="0"/>
    <n v="29"/>
    <s v="male"/>
    <x v="2"/>
    <x v="6"/>
    <n v="93982"/>
    <n v="1"/>
    <n v="1"/>
    <n v="1"/>
    <n v="0"/>
    <s v="Bookstores D and E."/>
    <s v="Bookstore A."/>
    <s v="Bookstore E."/>
    <s v="ms-l"/>
    <s v="mo-h"/>
    <s v="mo-l"/>
    <n v="0"/>
    <x v="2"/>
    <x v="1"/>
    <n v="0"/>
    <n v="1"/>
    <n v="0"/>
    <n v="1"/>
    <n v="0"/>
    <n v="1"/>
    <x v="1"/>
    <n v="0"/>
    <n v="1"/>
    <n v="0"/>
    <n v="0"/>
    <x v="0"/>
  </r>
  <r>
    <s v="AVD6HMIO1HLFI"/>
    <x v="0"/>
    <n v="29"/>
    <s v="male"/>
    <x v="2"/>
    <x v="11"/>
    <n v="563242"/>
    <n v="1"/>
    <n v="1"/>
    <n v="1"/>
    <n v="0"/>
    <s v="Dentists A, B, C, D and E."/>
    <s v="Dentist F."/>
    <s v="Dentists A and B."/>
    <s v="exh"/>
    <s v="fa"/>
    <s v="ms-h"/>
    <n v="1"/>
    <x v="1"/>
    <x v="2"/>
    <n v="1"/>
    <n v="0"/>
    <n v="0"/>
    <n v="1"/>
    <n v="1"/>
    <n v="0"/>
    <x v="2"/>
    <n v="1"/>
    <n v="0"/>
    <n v="0"/>
    <n v="0"/>
    <x v="0"/>
  </r>
  <r>
    <s v="AVD6HMIO1HLFI"/>
    <x v="0"/>
    <n v="29"/>
    <s v="male"/>
    <x v="3"/>
    <x v="10"/>
    <n v="70538"/>
    <n v="0"/>
    <n v="0"/>
    <n v="0"/>
    <n v="1"/>
    <s v="NA"/>
    <s v="NA"/>
    <s v="NA"/>
    <s v="NA"/>
    <s v="NA"/>
    <s v="NA"/>
    <s v="NA"/>
    <x v="1"/>
    <x v="2"/>
    <n v="1"/>
    <n v="0"/>
    <n v="0"/>
    <n v="1"/>
    <n v="1"/>
    <n v="0"/>
    <x v="2"/>
    <n v="1"/>
    <n v="0"/>
    <n v="0"/>
    <n v="0"/>
    <x v="0"/>
  </r>
  <r>
    <s v="AVD6HMIO1HLFI"/>
    <x v="0"/>
    <n v="29"/>
    <s v="male"/>
    <x v="2"/>
    <x v="3"/>
    <n v="45210"/>
    <n v="1"/>
    <n v="1"/>
    <n v="1"/>
    <n v="0"/>
    <s v="Cafes D and E."/>
    <s v="Cafe E."/>
    <s v="Cafes A, B, C, D and E."/>
    <s v="ms-l"/>
    <s v="mo-l"/>
    <s v="exh"/>
    <n v="1"/>
    <x v="1"/>
    <x v="1"/>
    <n v="0"/>
    <n v="1"/>
    <n v="0"/>
    <n v="1"/>
    <n v="1"/>
    <n v="0"/>
    <x v="1"/>
    <n v="0"/>
    <n v="1"/>
    <n v="0"/>
    <n v="0"/>
    <x v="0"/>
  </r>
  <r>
    <s v="AVD6HMIO1HLFI"/>
    <x v="0"/>
    <n v="29"/>
    <s v="male"/>
    <x v="2"/>
    <x v="9"/>
    <n v="35996"/>
    <n v="0"/>
    <n v="0"/>
    <n v="0"/>
    <n v="1"/>
    <s v="Store A."/>
    <s v="Stores A and B."/>
    <s v="Store F."/>
    <s v="mo-h"/>
    <s v="ms-h"/>
    <s v="fa"/>
    <n v="0"/>
    <x v="2"/>
    <x v="2"/>
    <n v="1"/>
    <n v="0"/>
    <n v="0"/>
    <n v="1"/>
    <n v="0"/>
    <n v="0"/>
    <x v="2"/>
    <n v="0"/>
    <n v="0"/>
    <n v="0"/>
    <n v="1"/>
    <x v="0"/>
  </r>
  <r>
    <s v="AVD6HMIO1HLFI"/>
    <x v="0"/>
    <n v="29"/>
    <s v="male"/>
    <x v="3"/>
    <x v="8"/>
    <n v="58506"/>
    <n v="1"/>
    <n v="1"/>
    <n v="0"/>
    <n v="0"/>
    <s v="NA"/>
    <s v="NA"/>
    <s v="NA"/>
    <s v="NA"/>
    <s v="NA"/>
    <s v="NA"/>
    <s v="NA"/>
    <x v="2"/>
    <x v="2"/>
    <n v="1"/>
    <n v="0"/>
    <n v="0"/>
    <n v="1"/>
    <n v="0"/>
    <n v="0"/>
    <x v="2"/>
    <n v="0"/>
    <n v="0"/>
    <n v="0"/>
    <n v="1"/>
    <x v="0"/>
  </r>
  <r>
    <s v="AVD6HMIO1HLFI"/>
    <x v="0"/>
    <n v="29"/>
    <s v="male"/>
    <x v="2"/>
    <x v="7"/>
    <n v="39150"/>
    <n v="1"/>
    <n v="1"/>
    <n v="1"/>
    <n v="0"/>
    <s v="Stylists D and E."/>
    <s v="Stylist F."/>
    <s v="Stylists A and B."/>
    <s v="ms-l"/>
    <s v="fa"/>
    <s v="ms-h"/>
    <n v="0"/>
    <x v="1"/>
    <x v="2"/>
    <n v="1"/>
    <n v="1"/>
    <n v="0"/>
    <n v="1"/>
    <n v="0"/>
    <n v="0"/>
    <x v="2"/>
    <n v="1"/>
    <n v="1"/>
    <n v="0"/>
    <n v="0"/>
    <x v="0"/>
  </r>
  <r>
    <s v="AVD6HMIO1HLFI"/>
    <x v="0"/>
    <n v="29"/>
    <s v="male"/>
    <x v="3"/>
    <x v="12"/>
    <n v="23674"/>
    <n v="1"/>
    <n v="0"/>
    <n v="0"/>
    <n v="0"/>
    <s v="NA"/>
    <s v="NA"/>
    <s v="NA"/>
    <s v="NA"/>
    <s v="NA"/>
    <s v="NA"/>
    <s v="NA"/>
    <x v="1"/>
    <x v="2"/>
    <n v="1"/>
    <n v="1"/>
    <n v="0"/>
    <n v="1"/>
    <n v="0"/>
    <n v="0"/>
    <x v="2"/>
    <n v="1"/>
    <n v="1"/>
    <n v="0"/>
    <n v="0"/>
    <x v="0"/>
  </r>
  <r>
    <s v="AVD6HMIO1HLFI"/>
    <x v="0"/>
    <n v="29"/>
    <s v="male"/>
    <x v="2"/>
    <x v="4"/>
    <n v="31731"/>
    <n v="0"/>
    <n v="0"/>
    <n v="0"/>
    <n v="1"/>
    <s v="Stall E."/>
    <s v="Stall F."/>
    <s v="Stalls A and B."/>
    <s v="mo-l"/>
    <s v="fa"/>
    <s v="ms-h"/>
    <n v="0"/>
    <x v="1"/>
    <x v="1"/>
    <n v="1"/>
    <n v="0"/>
    <n v="0"/>
    <n v="1"/>
    <n v="0"/>
    <n v="0"/>
    <x v="2"/>
    <n v="0"/>
    <n v="0"/>
    <n v="0"/>
    <n v="1"/>
    <x v="0"/>
  </r>
  <r>
    <s v="AVD6HMIO1HLFI"/>
    <x v="0"/>
    <n v="29"/>
    <s v="male"/>
    <x v="3"/>
    <x v="5"/>
    <n v="56800"/>
    <n v="0"/>
    <n v="1"/>
    <n v="1"/>
    <n v="0"/>
    <s v="NA"/>
    <s v="NA"/>
    <s v="NA"/>
    <s v="NA"/>
    <s v="NA"/>
    <s v="NA"/>
    <s v="NA"/>
    <x v="1"/>
    <x v="1"/>
    <n v="1"/>
    <n v="0"/>
    <n v="0"/>
    <n v="1"/>
    <n v="0"/>
    <n v="0"/>
    <x v="2"/>
    <n v="0"/>
    <n v="0"/>
    <n v="0"/>
    <n v="1"/>
    <x v="0"/>
  </r>
  <r>
    <s v="AVD6HMIO1HLFI"/>
    <x v="0"/>
    <n v="29"/>
    <s v="male"/>
    <x v="4"/>
    <x v="0"/>
    <n v="166393"/>
    <s v="No%2C they are the same question."/>
    <s v="It was confusing. On many of them%2C I wasn't sure if I should answer that everyone knows%2C or no one knows.  It wasn't clear if the questions were asking about a specific instance%2C or if all of them (A%2C B%2C C%2C etc.) were right."/>
    <m/>
    <s v="NA"/>
    <s v="NA"/>
    <s v="NA"/>
    <s v="NA"/>
    <s v="NA"/>
    <s v="NA"/>
    <s v="NA"/>
    <s v="NA"/>
    <x v="0"/>
    <x v="0"/>
    <s v="NA"/>
    <s v="NA"/>
    <s v="NA"/>
    <s v="NA"/>
    <s v="NA"/>
    <s v="NA"/>
    <x v="0"/>
    <s v="NA"/>
    <s v="NA"/>
    <s v="NA"/>
    <s v="NA"/>
    <x v="0"/>
  </r>
  <r>
    <s v="A3DTPUNCHRVGP4"/>
    <x v="0"/>
    <n v="30"/>
    <s v="male"/>
    <x v="0"/>
    <x v="0"/>
    <n v="27766"/>
    <s v="NA"/>
    <s v="NA"/>
    <s v="NA"/>
    <s v="NA"/>
    <s v="NA"/>
    <s v="NA"/>
    <s v="NA"/>
    <s v="NA"/>
    <s v="NA"/>
    <s v="NA"/>
    <s v="NA"/>
    <x v="0"/>
    <x v="0"/>
    <s v="NA"/>
    <s v="NA"/>
    <s v="NA"/>
    <s v="NA"/>
    <s v="NA"/>
    <s v="NA"/>
    <x v="0"/>
    <s v="NA"/>
    <s v="NA"/>
    <s v="NA"/>
    <s v="NA"/>
    <x v="0"/>
  </r>
  <r>
    <s v="A3DTPUNCHRVGP4"/>
    <x v="0"/>
    <n v="30"/>
    <s v="male"/>
    <x v="1"/>
    <x v="2"/>
    <n v="71826"/>
    <n v="0"/>
    <n v="1"/>
    <n v="1"/>
    <n v="0"/>
    <s v="NA"/>
    <s v="NA"/>
    <s v="NA"/>
    <s v="NA"/>
    <s v="NA"/>
    <s v="NA"/>
    <s v="NA"/>
    <x v="0"/>
    <x v="0"/>
    <s v="NA"/>
    <s v="NA"/>
    <s v="NA"/>
    <s v="NA"/>
    <s v="NA"/>
    <s v="NA"/>
    <x v="0"/>
    <s v="NA"/>
    <s v="NA"/>
    <s v="NA"/>
    <s v="NA"/>
    <x v="0"/>
  </r>
  <r>
    <s v="A3DTPUNCHRVGP4"/>
    <x v="0"/>
    <n v="30"/>
    <s v="male"/>
    <x v="1"/>
    <x v="1"/>
    <n v="47117"/>
    <n v="0"/>
    <n v="0"/>
    <n v="0"/>
    <n v="1"/>
    <s v="NA"/>
    <s v="NA"/>
    <s v="NA"/>
    <s v="NA"/>
    <s v="NA"/>
    <s v="NA"/>
    <s v="NA"/>
    <x v="0"/>
    <x v="0"/>
    <s v="NA"/>
    <s v="NA"/>
    <s v="NA"/>
    <s v="NA"/>
    <s v="NA"/>
    <s v="NA"/>
    <x v="0"/>
    <s v="NA"/>
    <s v="NA"/>
    <s v="NA"/>
    <s v="NA"/>
    <x v="0"/>
  </r>
  <r>
    <s v="A3DTPUNCHRVGP4"/>
    <x v="0"/>
    <n v="30"/>
    <s v="male"/>
    <x v="2"/>
    <x v="6"/>
    <n v="59428"/>
    <n v="0"/>
    <n v="0"/>
    <n v="0"/>
    <n v="1"/>
    <s v="Bookstore A."/>
    <s v="Bookstores A and B."/>
    <s v="Bookstores D and E."/>
    <s v="mo-h"/>
    <s v="ms-h"/>
    <s v="ms-l"/>
    <n v="0"/>
    <x v="2"/>
    <x v="2"/>
    <n v="1"/>
    <n v="1"/>
    <n v="0"/>
    <n v="1"/>
    <n v="0"/>
    <n v="0"/>
    <x v="2"/>
    <n v="0"/>
    <n v="0"/>
    <n v="0"/>
    <n v="1"/>
    <x v="0"/>
  </r>
  <r>
    <s v="A3DTPUNCHRVGP4"/>
    <x v="0"/>
    <n v="30"/>
    <s v="male"/>
    <x v="2"/>
    <x v="4"/>
    <n v="44663"/>
    <n v="0"/>
    <n v="0"/>
    <n v="0"/>
    <n v="1"/>
    <s v="Stall A."/>
    <s v="Stalls A, B, C, D and E."/>
    <s v="Stalls A and B."/>
    <s v="mo-h"/>
    <s v="exh"/>
    <s v="ms-h"/>
    <n v="1"/>
    <x v="2"/>
    <x v="2"/>
    <n v="1"/>
    <n v="0"/>
    <n v="0"/>
    <n v="1"/>
    <n v="0"/>
    <n v="0"/>
    <x v="2"/>
    <n v="0"/>
    <n v="0"/>
    <n v="0"/>
    <n v="1"/>
    <x v="0"/>
  </r>
  <r>
    <s v="A3DTPUNCHRVGP4"/>
    <x v="0"/>
    <n v="30"/>
    <s v="male"/>
    <x v="3"/>
    <x v="10"/>
    <n v="54825"/>
    <n v="0"/>
    <n v="0"/>
    <n v="1"/>
    <n v="0"/>
    <s v="NA"/>
    <s v="NA"/>
    <s v="NA"/>
    <s v="NA"/>
    <s v="NA"/>
    <s v="NA"/>
    <s v="NA"/>
    <x v="2"/>
    <x v="2"/>
    <n v="1"/>
    <n v="0"/>
    <n v="0"/>
    <n v="1"/>
    <n v="0"/>
    <n v="0"/>
    <x v="2"/>
    <n v="0"/>
    <n v="0"/>
    <n v="0"/>
    <n v="1"/>
    <x v="0"/>
  </r>
  <r>
    <s v="A3DTPUNCHRVGP4"/>
    <x v="0"/>
    <n v="30"/>
    <s v="male"/>
    <x v="2"/>
    <x v="9"/>
    <n v="32557"/>
    <n v="0"/>
    <n v="0"/>
    <n v="0"/>
    <n v="1"/>
    <s v="Stores A and B."/>
    <s v="Store A."/>
    <s v="Stores D and E."/>
    <s v="ms-h"/>
    <s v="mo-h"/>
    <s v="ms-l"/>
    <n v="0"/>
    <x v="2"/>
    <x v="2"/>
    <n v="1"/>
    <n v="1"/>
    <n v="0"/>
    <n v="1"/>
    <n v="0"/>
    <n v="0"/>
    <x v="2"/>
    <n v="0"/>
    <n v="0"/>
    <n v="0"/>
    <n v="1"/>
    <x v="0"/>
  </r>
  <r>
    <s v="A3DTPUNCHRVGP4"/>
    <x v="0"/>
    <n v="30"/>
    <s v="male"/>
    <x v="3"/>
    <x v="12"/>
    <n v="31534"/>
    <n v="1"/>
    <n v="0"/>
    <n v="0"/>
    <n v="0"/>
    <s v="NA"/>
    <s v="NA"/>
    <s v="NA"/>
    <s v="NA"/>
    <s v="NA"/>
    <s v="NA"/>
    <s v="NA"/>
    <x v="2"/>
    <x v="2"/>
    <n v="1"/>
    <n v="1"/>
    <n v="0"/>
    <n v="1"/>
    <n v="0"/>
    <n v="0"/>
    <x v="2"/>
    <n v="0"/>
    <n v="0"/>
    <n v="0"/>
    <n v="1"/>
    <x v="0"/>
  </r>
  <r>
    <s v="A3DTPUNCHRVGP4"/>
    <x v="0"/>
    <n v="30"/>
    <s v="male"/>
    <x v="2"/>
    <x v="11"/>
    <n v="32463"/>
    <n v="0"/>
    <n v="0"/>
    <n v="0"/>
    <n v="1"/>
    <s v="Dentist E."/>
    <s v="Dentist A."/>
    <s v="Dentists A and B."/>
    <s v="mo-l"/>
    <s v="mo-h"/>
    <s v="ms-h"/>
    <n v="0"/>
    <x v="2"/>
    <x v="1"/>
    <n v="1"/>
    <n v="0"/>
    <n v="0"/>
    <n v="1"/>
    <n v="0"/>
    <n v="0"/>
    <x v="2"/>
    <n v="0"/>
    <n v="0"/>
    <n v="0"/>
    <n v="1"/>
    <x v="0"/>
  </r>
  <r>
    <s v="A3DTPUNCHRVGP4"/>
    <x v="0"/>
    <n v="30"/>
    <s v="male"/>
    <x v="2"/>
    <x v="7"/>
    <n v="36681"/>
    <n v="0"/>
    <n v="0"/>
    <n v="0"/>
    <n v="1"/>
    <s v="Stylist E."/>
    <s v="Stylist F."/>
    <s v="Stylist A."/>
    <s v="mo-l"/>
    <s v="fa"/>
    <s v="mo-h"/>
    <n v="0"/>
    <x v="2"/>
    <x v="1"/>
    <n v="0"/>
    <n v="0"/>
    <n v="0"/>
    <n v="1"/>
    <n v="0"/>
    <n v="0"/>
    <x v="2"/>
    <n v="0"/>
    <n v="0"/>
    <n v="0"/>
    <n v="1"/>
    <x v="0"/>
  </r>
  <r>
    <s v="A3DTPUNCHRVGP4"/>
    <x v="0"/>
    <n v="30"/>
    <s v="male"/>
    <x v="3"/>
    <x v="8"/>
    <n v="27901"/>
    <n v="1"/>
    <n v="0"/>
    <n v="0"/>
    <n v="0"/>
    <s v="NA"/>
    <s v="NA"/>
    <s v="NA"/>
    <s v="NA"/>
    <s v="NA"/>
    <s v="NA"/>
    <s v="NA"/>
    <x v="2"/>
    <x v="1"/>
    <n v="0"/>
    <n v="0"/>
    <n v="0"/>
    <n v="1"/>
    <n v="0"/>
    <n v="0"/>
    <x v="2"/>
    <n v="0"/>
    <n v="0"/>
    <n v="0"/>
    <n v="1"/>
    <x v="0"/>
  </r>
  <r>
    <s v="A3DTPUNCHRVGP4"/>
    <x v="0"/>
    <n v="30"/>
    <s v="male"/>
    <x v="2"/>
    <x v="3"/>
    <n v="36462"/>
    <n v="0"/>
    <n v="0"/>
    <n v="0"/>
    <n v="1"/>
    <s v="Cafes A and B."/>
    <s v="Cafe A."/>
    <s v="Cafe E."/>
    <s v="ms-h"/>
    <s v="mo-h"/>
    <s v="mo-l"/>
    <n v="0"/>
    <x v="2"/>
    <x v="1"/>
    <n v="1"/>
    <n v="0"/>
    <n v="0"/>
    <n v="1"/>
    <n v="0"/>
    <n v="0"/>
    <x v="2"/>
    <n v="0"/>
    <n v="0"/>
    <n v="0"/>
    <n v="1"/>
    <x v="0"/>
  </r>
  <r>
    <s v="A3DTPUNCHRVGP4"/>
    <x v="0"/>
    <n v="30"/>
    <s v="male"/>
    <x v="3"/>
    <x v="5"/>
    <n v="41250"/>
    <n v="0"/>
    <n v="1"/>
    <n v="0"/>
    <n v="0"/>
    <s v="NA"/>
    <s v="NA"/>
    <s v="NA"/>
    <s v="NA"/>
    <s v="NA"/>
    <s v="NA"/>
    <s v="NA"/>
    <x v="2"/>
    <x v="1"/>
    <n v="1"/>
    <n v="0"/>
    <n v="0"/>
    <n v="1"/>
    <n v="0"/>
    <n v="0"/>
    <x v="2"/>
    <n v="0"/>
    <n v="0"/>
    <n v="0"/>
    <n v="1"/>
    <x v="0"/>
  </r>
  <r>
    <s v="A3DTPUNCHRVGP4"/>
    <x v="0"/>
    <n v="30"/>
    <s v="male"/>
    <x v="4"/>
    <x v="0"/>
    <n v="128172"/>
    <s v="The question is the same just written in a different way. The only difference in the answer is the context. In response to the first question I would just give a list of places. In response to the second questions I would say &quot;You can go to....&quot;"/>
    <s v="I didn't think the task was difficult. It seemed straight forward and was interesting to take part in."/>
    <s v="No additional comments."/>
    <s v="NA"/>
    <s v="NA"/>
    <s v="NA"/>
    <s v="NA"/>
    <s v="NA"/>
    <s v="NA"/>
    <s v="NA"/>
    <s v="NA"/>
    <x v="0"/>
    <x v="0"/>
    <s v="NA"/>
    <s v="NA"/>
    <s v="NA"/>
    <s v="NA"/>
    <s v="NA"/>
    <s v="NA"/>
    <x v="0"/>
    <s v="NA"/>
    <s v="NA"/>
    <s v="NA"/>
    <s v="NA"/>
    <x v="0"/>
  </r>
  <r>
    <s v="A1JQ3GAFW1XZYZ"/>
    <x v="0"/>
    <n v="21"/>
    <s v="male"/>
    <x v="0"/>
    <x v="0"/>
    <n v="82756"/>
    <s v="NA"/>
    <s v="NA"/>
    <s v="NA"/>
    <s v="NA"/>
    <s v="NA"/>
    <s v="NA"/>
    <s v="NA"/>
    <s v="NA"/>
    <s v="NA"/>
    <s v="NA"/>
    <s v="NA"/>
    <x v="0"/>
    <x v="0"/>
    <s v="NA"/>
    <s v="NA"/>
    <s v="NA"/>
    <s v="NA"/>
    <s v="NA"/>
    <s v="NA"/>
    <x v="0"/>
    <s v="NA"/>
    <s v="NA"/>
    <s v="NA"/>
    <s v="NA"/>
    <x v="1"/>
  </r>
  <r>
    <s v="A1JQ3GAFW1XZYZ"/>
    <x v="0"/>
    <n v="21"/>
    <s v="male"/>
    <x v="1"/>
    <x v="2"/>
    <n v="5812"/>
    <n v="0"/>
    <n v="1"/>
    <n v="0"/>
    <n v="0"/>
    <s v="NA"/>
    <s v="NA"/>
    <s v="NA"/>
    <s v="NA"/>
    <s v="NA"/>
    <s v="NA"/>
    <s v="NA"/>
    <x v="0"/>
    <x v="0"/>
    <s v="NA"/>
    <s v="NA"/>
    <s v="NA"/>
    <s v="NA"/>
    <s v="NA"/>
    <s v="NA"/>
    <x v="0"/>
    <s v="NA"/>
    <s v="NA"/>
    <s v="NA"/>
    <s v="NA"/>
    <x v="1"/>
  </r>
  <r>
    <s v="A1JQ3GAFW1XZYZ"/>
    <x v="0"/>
    <n v="21"/>
    <s v="male"/>
    <x v="1"/>
    <x v="1"/>
    <n v="2900"/>
    <n v="0"/>
    <n v="1"/>
    <n v="0"/>
    <n v="0"/>
    <s v="NA"/>
    <s v="NA"/>
    <s v="NA"/>
    <s v="NA"/>
    <s v="NA"/>
    <s v="NA"/>
    <s v="NA"/>
    <x v="0"/>
    <x v="0"/>
    <s v="NA"/>
    <s v="NA"/>
    <s v="NA"/>
    <s v="NA"/>
    <s v="NA"/>
    <s v="NA"/>
    <x v="0"/>
    <s v="NA"/>
    <s v="NA"/>
    <s v="NA"/>
    <s v="NA"/>
    <x v="1"/>
  </r>
  <r>
    <s v="A1JQ3GAFW1XZYZ"/>
    <x v="0"/>
    <n v="21"/>
    <s v="male"/>
    <x v="2"/>
    <x v="6"/>
    <n v="4852"/>
    <n v="1"/>
    <n v="0"/>
    <n v="0"/>
    <n v="0"/>
    <s v="Bookstore A."/>
    <s v="Bookstores D and E."/>
    <s v="Bookstore E."/>
    <s v="mo-h"/>
    <s v="ms-l"/>
    <s v="mo-l"/>
    <n v="0"/>
    <x v="2"/>
    <x v="1"/>
    <n v="0"/>
    <n v="1"/>
    <n v="0"/>
    <n v="1"/>
    <n v="0"/>
    <n v="1"/>
    <x v="2"/>
    <n v="0"/>
    <n v="0"/>
    <n v="0"/>
    <n v="0"/>
    <x v="1"/>
  </r>
  <r>
    <s v="A1JQ3GAFW1XZYZ"/>
    <x v="0"/>
    <n v="21"/>
    <s v="male"/>
    <x v="2"/>
    <x v="11"/>
    <n v="2733"/>
    <n v="1"/>
    <n v="0"/>
    <n v="0"/>
    <n v="0"/>
    <s v="Dentist E."/>
    <s v="Dentist A."/>
    <s v="Dentist F."/>
    <s v="mo-l"/>
    <s v="mo-h"/>
    <s v="fa"/>
    <n v="0"/>
    <x v="2"/>
    <x v="1"/>
    <n v="0"/>
    <n v="0"/>
    <n v="0"/>
    <n v="1"/>
    <n v="0"/>
    <n v="0"/>
    <x v="1"/>
    <n v="0"/>
    <n v="0"/>
    <n v="0"/>
    <n v="0"/>
    <x v="1"/>
  </r>
  <r>
    <s v="A1JQ3GAFW1XZYZ"/>
    <x v="0"/>
    <n v="21"/>
    <s v="male"/>
    <x v="3"/>
    <x v="10"/>
    <n v="2668"/>
    <n v="1"/>
    <n v="0"/>
    <n v="0"/>
    <n v="0"/>
    <s v="NA"/>
    <s v="NA"/>
    <s v="NA"/>
    <s v="NA"/>
    <s v="NA"/>
    <s v="NA"/>
    <s v="NA"/>
    <x v="2"/>
    <x v="1"/>
    <n v="0"/>
    <n v="0"/>
    <n v="0"/>
    <n v="1"/>
    <n v="0"/>
    <n v="0"/>
    <x v="1"/>
    <n v="0"/>
    <n v="0"/>
    <n v="0"/>
    <n v="0"/>
    <x v="1"/>
  </r>
  <r>
    <s v="A1JQ3GAFW1XZYZ"/>
    <x v="0"/>
    <n v="21"/>
    <s v="male"/>
    <x v="2"/>
    <x v="3"/>
    <n v="2685"/>
    <n v="1"/>
    <n v="0"/>
    <n v="0"/>
    <n v="0"/>
    <s v="Cafe A."/>
    <s v="Cafes D and E."/>
    <s v="Cafe E."/>
    <s v="mo-h"/>
    <s v="ms-l"/>
    <s v="mo-l"/>
    <n v="0"/>
    <x v="2"/>
    <x v="1"/>
    <n v="0"/>
    <n v="1"/>
    <n v="0"/>
    <n v="1"/>
    <n v="0"/>
    <n v="1"/>
    <x v="2"/>
    <n v="0"/>
    <n v="0"/>
    <n v="0"/>
    <n v="0"/>
    <x v="1"/>
  </r>
  <r>
    <s v="A1JQ3GAFW1XZYZ"/>
    <x v="0"/>
    <n v="21"/>
    <s v="male"/>
    <x v="3"/>
    <x v="8"/>
    <n v="1949"/>
    <n v="0"/>
    <n v="0"/>
    <n v="0"/>
    <n v="0"/>
    <s v="NA"/>
    <s v="NA"/>
    <s v="NA"/>
    <s v="NA"/>
    <s v="NA"/>
    <s v="NA"/>
    <s v="NA"/>
    <x v="2"/>
    <x v="1"/>
    <n v="0"/>
    <n v="1"/>
    <n v="0"/>
    <n v="1"/>
    <n v="0"/>
    <n v="1"/>
    <x v="2"/>
    <n v="0"/>
    <n v="0"/>
    <n v="0"/>
    <n v="0"/>
    <x v="1"/>
  </r>
  <r>
    <s v="A1JQ3GAFW1XZYZ"/>
    <x v="0"/>
    <n v="21"/>
    <s v="male"/>
    <x v="2"/>
    <x v="7"/>
    <n v="2957"/>
    <n v="0"/>
    <n v="1"/>
    <n v="0"/>
    <n v="0"/>
    <s v="Stylist A."/>
    <s v="Stylist E."/>
    <s v="Stylists D and E."/>
    <s v="mo-h"/>
    <s v="mo-l"/>
    <s v="ms-l"/>
    <n v="0"/>
    <x v="2"/>
    <x v="1"/>
    <n v="0"/>
    <n v="1"/>
    <n v="0"/>
    <n v="1"/>
    <n v="0"/>
    <n v="0"/>
    <x v="1"/>
    <n v="0"/>
    <n v="0"/>
    <n v="0"/>
    <n v="0"/>
    <x v="1"/>
  </r>
  <r>
    <s v="A1JQ3GAFW1XZYZ"/>
    <x v="0"/>
    <n v="21"/>
    <s v="male"/>
    <x v="2"/>
    <x v="4"/>
    <n v="6229"/>
    <n v="0"/>
    <n v="1"/>
    <n v="0"/>
    <n v="0"/>
    <s v="Stalls A and B."/>
    <s v="Stalls A, B, C, D and E."/>
    <s v="Stalls D and E."/>
    <s v="ms-h"/>
    <s v="exh"/>
    <s v="ms-l"/>
    <n v="1"/>
    <x v="1"/>
    <x v="2"/>
    <n v="1"/>
    <n v="1"/>
    <n v="0"/>
    <n v="1"/>
    <n v="1"/>
    <n v="0"/>
    <x v="2"/>
    <n v="0"/>
    <n v="0"/>
    <n v="0"/>
    <n v="0"/>
    <x v="1"/>
  </r>
  <r>
    <s v="A1JQ3GAFW1XZYZ"/>
    <x v="0"/>
    <n v="21"/>
    <s v="male"/>
    <x v="3"/>
    <x v="5"/>
    <n v="8269"/>
    <n v="0"/>
    <n v="1"/>
    <n v="0"/>
    <n v="0"/>
    <s v="NA"/>
    <s v="NA"/>
    <s v="NA"/>
    <s v="NA"/>
    <s v="NA"/>
    <s v="NA"/>
    <s v="NA"/>
    <x v="1"/>
    <x v="2"/>
    <n v="1"/>
    <n v="1"/>
    <n v="0"/>
    <n v="1"/>
    <n v="1"/>
    <n v="0"/>
    <x v="2"/>
    <n v="0"/>
    <n v="0"/>
    <n v="0"/>
    <n v="0"/>
    <x v="1"/>
  </r>
  <r>
    <s v="A1JQ3GAFW1XZYZ"/>
    <x v="0"/>
    <n v="21"/>
    <s v="male"/>
    <x v="2"/>
    <x v="9"/>
    <n v="5316"/>
    <n v="1"/>
    <n v="0"/>
    <n v="0"/>
    <n v="0"/>
    <s v="Stores D and E."/>
    <s v="Stores A and B."/>
    <s v="Store A."/>
    <s v="ms-l"/>
    <s v="ms-h"/>
    <s v="mo-h"/>
    <n v="0"/>
    <x v="2"/>
    <x v="2"/>
    <n v="1"/>
    <n v="1"/>
    <n v="0"/>
    <n v="1"/>
    <n v="0"/>
    <n v="0"/>
    <x v="2"/>
    <n v="0"/>
    <n v="1"/>
    <n v="0"/>
    <n v="0"/>
    <x v="1"/>
  </r>
  <r>
    <s v="A1JQ3GAFW1XZYZ"/>
    <x v="0"/>
    <n v="21"/>
    <s v="male"/>
    <x v="3"/>
    <x v="12"/>
    <n v="2110"/>
    <n v="1"/>
    <n v="0"/>
    <n v="0"/>
    <n v="0"/>
    <s v="NA"/>
    <s v="NA"/>
    <s v="NA"/>
    <s v="NA"/>
    <s v="NA"/>
    <s v="NA"/>
    <s v="NA"/>
    <x v="2"/>
    <x v="2"/>
    <n v="1"/>
    <n v="1"/>
    <n v="0"/>
    <n v="1"/>
    <n v="0"/>
    <n v="0"/>
    <x v="2"/>
    <n v="0"/>
    <n v="1"/>
    <n v="0"/>
    <n v="0"/>
    <x v="1"/>
  </r>
  <r>
    <s v="A1JQ3GAFW1XZYZ"/>
    <x v="0"/>
    <n v="21"/>
    <s v="male"/>
    <x v="4"/>
    <x v="0"/>
    <n v="20125"/>
    <s v="good"/>
    <s v="good"/>
    <s v="good"/>
    <s v="NA"/>
    <s v="NA"/>
    <s v="NA"/>
    <s v="NA"/>
    <s v="NA"/>
    <s v="NA"/>
    <s v="NA"/>
    <s v="NA"/>
    <x v="0"/>
    <x v="0"/>
    <s v="NA"/>
    <s v="NA"/>
    <s v="NA"/>
    <s v="NA"/>
    <s v="NA"/>
    <s v="NA"/>
    <x v="0"/>
    <s v="NA"/>
    <s v="NA"/>
    <s v="NA"/>
    <s v="NA"/>
    <x v="1"/>
  </r>
  <r>
    <s v="A251YA0XPAWWIQ"/>
    <x v="0"/>
    <n v="32"/>
    <s v="female"/>
    <x v="0"/>
    <x v="0"/>
    <n v="27655"/>
    <s v="NA"/>
    <s v="NA"/>
    <s v="NA"/>
    <s v="NA"/>
    <s v="NA"/>
    <s v="NA"/>
    <s v="NA"/>
    <s v="NA"/>
    <s v="NA"/>
    <s v="NA"/>
    <s v="NA"/>
    <x v="0"/>
    <x v="0"/>
    <s v="NA"/>
    <s v="NA"/>
    <s v="NA"/>
    <s v="NA"/>
    <s v="NA"/>
    <s v="NA"/>
    <x v="0"/>
    <s v="NA"/>
    <s v="NA"/>
    <s v="NA"/>
    <s v="NA"/>
    <x v="1"/>
  </r>
  <r>
    <s v="A251YA0XPAWWIQ"/>
    <x v="0"/>
    <n v="32"/>
    <s v="female"/>
    <x v="1"/>
    <x v="1"/>
    <n v="23445"/>
    <n v="0"/>
    <n v="0"/>
    <n v="0"/>
    <n v="1"/>
    <s v="NA"/>
    <s v="NA"/>
    <s v="NA"/>
    <s v="NA"/>
    <s v="NA"/>
    <s v="NA"/>
    <s v="NA"/>
    <x v="0"/>
    <x v="0"/>
    <s v="NA"/>
    <s v="NA"/>
    <s v="NA"/>
    <s v="NA"/>
    <s v="NA"/>
    <s v="NA"/>
    <x v="0"/>
    <s v="NA"/>
    <s v="NA"/>
    <s v="NA"/>
    <s v="NA"/>
    <x v="1"/>
  </r>
  <r>
    <s v="A251YA0XPAWWIQ"/>
    <x v="0"/>
    <n v="32"/>
    <s v="female"/>
    <x v="1"/>
    <x v="2"/>
    <n v="17950"/>
    <n v="0"/>
    <n v="1"/>
    <n v="0"/>
    <n v="0"/>
    <s v="NA"/>
    <s v="NA"/>
    <s v="NA"/>
    <s v="NA"/>
    <s v="NA"/>
    <s v="NA"/>
    <s v="NA"/>
    <x v="0"/>
    <x v="0"/>
    <s v="NA"/>
    <s v="NA"/>
    <s v="NA"/>
    <s v="NA"/>
    <s v="NA"/>
    <s v="NA"/>
    <x v="0"/>
    <s v="NA"/>
    <s v="NA"/>
    <s v="NA"/>
    <s v="NA"/>
    <x v="1"/>
  </r>
  <r>
    <s v="A251YA0XPAWWIQ"/>
    <x v="0"/>
    <n v="32"/>
    <s v="female"/>
    <x v="2"/>
    <x v="11"/>
    <n v="32496"/>
    <n v="0"/>
    <n v="0"/>
    <n v="1"/>
    <n v="0"/>
    <s v="Dentists D and E."/>
    <s v="Dentists A and B."/>
    <s v="Dentist E."/>
    <s v="ms-l"/>
    <s v="ms-h"/>
    <s v="mo-l"/>
    <n v="0"/>
    <x v="1"/>
    <x v="1"/>
    <n v="1"/>
    <n v="1"/>
    <n v="0"/>
    <n v="1"/>
    <n v="0"/>
    <n v="0"/>
    <x v="1"/>
    <n v="0"/>
    <n v="0"/>
    <n v="0"/>
    <n v="0"/>
    <x v="1"/>
  </r>
  <r>
    <s v="A251YA0XPAWWIQ"/>
    <x v="0"/>
    <n v="32"/>
    <s v="female"/>
    <x v="2"/>
    <x v="6"/>
    <n v="8003"/>
    <n v="0"/>
    <n v="0"/>
    <n v="1"/>
    <n v="0"/>
    <s v="Bookstores A and B."/>
    <s v="Bookstores A, B, C, D and E."/>
    <s v="Bookstore A."/>
    <s v="ms-h"/>
    <s v="exh"/>
    <s v="mo-h"/>
    <n v="1"/>
    <x v="2"/>
    <x v="2"/>
    <n v="1"/>
    <n v="0"/>
    <n v="0"/>
    <n v="1"/>
    <n v="0"/>
    <n v="1"/>
    <x v="2"/>
    <n v="0"/>
    <n v="0"/>
    <n v="0"/>
    <n v="0"/>
    <x v="1"/>
  </r>
  <r>
    <s v="A251YA0XPAWWIQ"/>
    <x v="0"/>
    <n v="32"/>
    <s v="female"/>
    <x v="3"/>
    <x v="10"/>
    <n v="3347"/>
    <n v="0"/>
    <n v="0"/>
    <n v="1"/>
    <n v="0"/>
    <s v="NA"/>
    <s v="NA"/>
    <s v="NA"/>
    <s v="NA"/>
    <s v="NA"/>
    <s v="NA"/>
    <s v="NA"/>
    <x v="2"/>
    <x v="2"/>
    <n v="1"/>
    <n v="0"/>
    <n v="0"/>
    <n v="1"/>
    <n v="0"/>
    <n v="1"/>
    <x v="2"/>
    <n v="0"/>
    <n v="0"/>
    <n v="0"/>
    <n v="0"/>
    <x v="1"/>
  </r>
  <r>
    <s v="A251YA0XPAWWIQ"/>
    <x v="0"/>
    <n v="32"/>
    <s v="female"/>
    <x v="2"/>
    <x v="7"/>
    <n v="4341"/>
    <n v="0"/>
    <n v="0"/>
    <n v="1"/>
    <n v="0"/>
    <s v="Stylist F."/>
    <s v="Stylist E."/>
    <s v="Stylist A."/>
    <s v="fa"/>
    <s v="mo-l"/>
    <s v="mo-h"/>
    <n v="0"/>
    <x v="2"/>
    <x v="1"/>
    <n v="0"/>
    <n v="0"/>
    <n v="0"/>
    <n v="1"/>
    <n v="0"/>
    <n v="1"/>
    <x v="2"/>
    <n v="0"/>
    <n v="0"/>
    <n v="0"/>
    <n v="0"/>
    <x v="1"/>
  </r>
  <r>
    <s v="A251YA0XPAWWIQ"/>
    <x v="0"/>
    <n v="32"/>
    <s v="female"/>
    <x v="3"/>
    <x v="12"/>
    <n v="7565"/>
    <n v="0"/>
    <n v="0"/>
    <n v="1"/>
    <n v="0"/>
    <s v="NA"/>
    <s v="NA"/>
    <s v="NA"/>
    <s v="NA"/>
    <s v="NA"/>
    <s v="NA"/>
    <s v="NA"/>
    <x v="2"/>
    <x v="1"/>
    <n v="0"/>
    <n v="0"/>
    <n v="0"/>
    <n v="1"/>
    <n v="0"/>
    <n v="1"/>
    <x v="2"/>
    <n v="0"/>
    <n v="0"/>
    <n v="0"/>
    <n v="0"/>
    <x v="1"/>
  </r>
  <r>
    <s v="A251YA0XPAWWIQ"/>
    <x v="0"/>
    <n v="32"/>
    <s v="female"/>
    <x v="2"/>
    <x v="4"/>
    <n v="5535"/>
    <n v="0"/>
    <n v="0"/>
    <n v="1"/>
    <n v="0"/>
    <s v="Stalls A and B."/>
    <s v="Stall E."/>
    <s v="Stall F."/>
    <s v="ms-h"/>
    <s v="mo-l"/>
    <s v="fa"/>
    <n v="0"/>
    <x v="1"/>
    <x v="1"/>
    <n v="1"/>
    <n v="0"/>
    <n v="0"/>
    <n v="1"/>
    <n v="0"/>
    <n v="0"/>
    <x v="2"/>
    <n v="0"/>
    <n v="0"/>
    <n v="0"/>
    <n v="0"/>
    <x v="1"/>
  </r>
  <r>
    <s v="A251YA0XPAWWIQ"/>
    <x v="0"/>
    <n v="32"/>
    <s v="female"/>
    <x v="2"/>
    <x v="9"/>
    <n v="3813"/>
    <n v="0"/>
    <n v="0"/>
    <n v="1"/>
    <n v="0"/>
    <s v="Stores D and E."/>
    <s v="Store A."/>
    <s v="Store E."/>
    <s v="ms-l"/>
    <s v="mo-h"/>
    <s v="mo-l"/>
    <n v="0"/>
    <x v="2"/>
    <x v="1"/>
    <n v="0"/>
    <n v="1"/>
    <n v="0"/>
    <n v="1"/>
    <n v="0"/>
    <n v="0"/>
    <x v="1"/>
    <n v="0"/>
    <n v="0"/>
    <n v="0"/>
    <n v="0"/>
    <x v="1"/>
  </r>
  <r>
    <s v="A251YA0XPAWWIQ"/>
    <x v="0"/>
    <n v="32"/>
    <s v="female"/>
    <x v="3"/>
    <x v="8"/>
    <n v="13521"/>
    <n v="0"/>
    <n v="0"/>
    <n v="1"/>
    <n v="0"/>
    <s v="NA"/>
    <s v="NA"/>
    <s v="NA"/>
    <s v="NA"/>
    <s v="NA"/>
    <s v="NA"/>
    <s v="NA"/>
    <x v="2"/>
    <x v="1"/>
    <n v="0"/>
    <n v="1"/>
    <n v="0"/>
    <n v="1"/>
    <n v="0"/>
    <n v="0"/>
    <x v="1"/>
    <n v="0"/>
    <n v="0"/>
    <n v="0"/>
    <n v="0"/>
    <x v="1"/>
  </r>
  <r>
    <s v="A251YA0XPAWWIQ"/>
    <x v="0"/>
    <n v="32"/>
    <s v="female"/>
    <x v="2"/>
    <x v="3"/>
    <n v="5374"/>
    <n v="1"/>
    <n v="0"/>
    <n v="0"/>
    <n v="0"/>
    <s v="Cafes D and E."/>
    <s v="Cafe A."/>
    <s v="Cafe E."/>
    <s v="ms-l"/>
    <s v="mo-h"/>
    <s v="mo-l"/>
    <n v="0"/>
    <x v="2"/>
    <x v="1"/>
    <n v="0"/>
    <n v="1"/>
    <n v="0"/>
    <n v="1"/>
    <n v="0"/>
    <n v="0"/>
    <x v="2"/>
    <n v="0"/>
    <n v="1"/>
    <n v="0"/>
    <n v="0"/>
    <x v="1"/>
  </r>
  <r>
    <s v="A251YA0XPAWWIQ"/>
    <x v="0"/>
    <n v="32"/>
    <s v="female"/>
    <x v="3"/>
    <x v="5"/>
    <n v="3742"/>
    <n v="0"/>
    <n v="0"/>
    <n v="1"/>
    <n v="0"/>
    <s v="NA"/>
    <s v="NA"/>
    <s v="NA"/>
    <s v="NA"/>
    <s v="NA"/>
    <s v="NA"/>
    <s v="NA"/>
    <x v="2"/>
    <x v="1"/>
    <n v="0"/>
    <n v="1"/>
    <n v="0"/>
    <n v="1"/>
    <n v="0"/>
    <n v="0"/>
    <x v="2"/>
    <n v="0"/>
    <n v="1"/>
    <n v="0"/>
    <n v="0"/>
    <x v="1"/>
  </r>
  <r>
    <s v="A251YA0XPAWWIQ"/>
    <x v="0"/>
    <n v="32"/>
    <s v="female"/>
    <x v="4"/>
    <x v="0"/>
    <n v="3967"/>
    <m/>
    <m/>
    <m/>
    <s v="NA"/>
    <s v="NA"/>
    <s v="NA"/>
    <s v="NA"/>
    <s v="NA"/>
    <s v="NA"/>
    <s v="NA"/>
    <s v="NA"/>
    <x v="0"/>
    <x v="0"/>
    <s v="NA"/>
    <s v="NA"/>
    <s v="NA"/>
    <s v="NA"/>
    <s v="NA"/>
    <s v="NA"/>
    <x v="0"/>
    <s v="NA"/>
    <s v="NA"/>
    <s v="NA"/>
    <s v="NA"/>
    <x v="1"/>
  </r>
  <r>
    <s v="A3PLDW841STU8B"/>
    <x v="0"/>
    <n v="21"/>
    <s v="male"/>
    <x v="0"/>
    <x v="0"/>
    <n v="35676"/>
    <s v="NA"/>
    <s v="NA"/>
    <s v="NA"/>
    <s v="NA"/>
    <s v="NA"/>
    <s v="NA"/>
    <s v="NA"/>
    <s v="NA"/>
    <s v="NA"/>
    <s v="NA"/>
    <s v="NA"/>
    <x v="0"/>
    <x v="0"/>
    <s v="NA"/>
    <s v="NA"/>
    <s v="NA"/>
    <s v="NA"/>
    <s v="NA"/>
    <s v="NA"/>
    <x v="0"/>
    <s v="NA"/>
    <s v="NA"/>
    <s v="NA"/>
    <s v="NA"/>
    <x v="1"/>
  </r>
  <r>
    <s v="A3PLDW841STU8B"/>
    <x v="0"/>
    <n v="21"/>
    <s v="male"/>
    <x v="1"/>
    <x v="1"/>
    <n v="28897"/>
    <n v="1"/>
    <n v="0"/>
    <n v="0"/>
    <n v="0"/>
    <s v="NA"/>
    <s v="NA"/>
    <s v="NA"/>
    <s v="NA"/>
    <s v="NA"/>
    <s v="NA"/>
    <s v="NA"/>
    <x v="0"/>
    <x v="0"/>
    <s v="NA"/>
    <s v="NA"/>
    <s v="NA"/>
    <s v="NA"/>
    <s v="NA"/>
    <s v="NA"/>
    <x v="0"/>
    <s v="NA"/>
    <s v="NA"/>
    <s v="NA"/>
    <s v="NA"/>
    <x v="1"/>
  </r>
  <r>
    <s v="A3PLDW841STU8B"/>
    <x v="0"/>
    <n v="21"/>
    <s v="male"/>
    <x v="1"/>
    <x v="2"/>
    <n v="5361"/>
    <n v="0"/>
    <n v="0"/>
    <n v="1"/>
    <n v="0"/>
    <s v="NA"/>
    <s v="NA"/>
    <s v="NA"/>
    <s v="NA"/>
    <s v="NA"/>
    <s v="NA"/>
    <s v="NA"/>
    <x v="0"/>
    <x v="0"/>
    <s v="NA"/>
    <s v="NA"/>
    <s v="NA"/>
    <s v="NA"/>
    <s v="NA"/>
    <s v="NA"/>
    <x v="0"/>
    <s v="NA"/>
    <s v="NA"/>
    <s v="NA"/>
    <s v="NA"/>
    <x v="1"/>
  </r>
  <r>
    <s v="A3PLDW841STU8B"/>
    <x v="0"/>
    <n v="21"/>
    <s v="male"/>
    <x v="2"/>
    <x v="3"/>
    <n v="6496"/>
    <n v="0"/>
    <n v="1"/>
    <n v="0"/>
    <n v="0"/>
    <s v="Cafe F."/>
    <s v="Cafe E."/>
    <s v="Cafes A and B."/>
    <s v="fa"/>
    <s v="mo-l"/>
    <s v="ms-h"/>
    <n v="0"/>
    <x v="1"/>
    <x v="1"/>
    <n v="1"/>
    <n v="0"/>
    <n v="0"/>
    <n v="1"/>
    <n v="0"/>
    <n v="0"/>
    <x v="1"/>
    <n v="0"/>
    <n v="0"/>
    <n v="0"/>
    <n v="0"/>
    <x v="1"/>
  </r>
  <r>
    <s v="A3PLDW841STU8B"/>
    <x v="0"/>
    <n v="21"/>
    <s v="male"/>
    <x v="3"/>
    <x v="10"/>
    <n v="4533"/>
    <n v="1"/>
    <n v="0"/>
    <n v="0"/>
    <n v="0"/>
    <s v="NA"/>
    <s v="NA"/>
    <s v="NA"/>
    <s v="NA"/>
    <s v="NA"/>
    <s v="NA"/>
    <s v="NA"/>
    <x v="1"/>
    <x v="1"/>
    <n v="1"/>
    <n v="0"/>
    <n v="0"/>
    <n v="1"/>
    <n v="0"/>
    <n v="0"/>
    <x v="1"/>
    <n v="0"/>
    <n v="0"/>
    <n v="0"/>
    <n v="0"/>
    <x v="1"/>
  </r>
  <r>
    <s v="A3PLDW841STU8B"/>
    <x v="0"/>
    <n v="21"/>
    <s v="male"/>
    <x v="2"/>
    <x v="4"/>
    <n v="3773"/>
    <n v="0"/>
    <n v="0"/>
    <n v="1"/>
    <n v="0"/>
    <s v="Stall E."/>
    <s v="Stall A."/>
    <s v="Stall F."/>
    <s v="mo-l"/>
    <s v="mo-h"/>
    <s v="fa"/>
    <n v="0"/>
    <x v="2"/>
    <x v="1"/>
    <n v="0"/>
    <n v="0"/>
    <n v="0"/>
    <n v="1"/>
    <n v="0"/>
    <n v="0"/>
    <x v="2"/>
    <n v="0"/>
    <n v="0"/>
    <n v="0"/>
    <n v="0"/>
    <x v="1"/>
  </r>
  <r>
    <s v="A3PLDW841STU8B"/>
    <x v="0"/>
    <n v="21"/>
    <s v="male"/>
    <x v="2"/>
    <x v="6"/>
    <n v="3994"/>
    <n v="0"/>
    <n v="0"/>
    <n v="1"/>
    <n v="0"/>
    <s v="Bookstores D and E."/>
    <s v="Bookstore E."/>
    <s v="Bookstore F."/>
    <s v="ms-l"/>
    <s v="mo-l"/>
    <s v="fa"/>
    <n v="0"/>
    <x v="1"/>
    <x v="1"/>
    <n v="0"/>
    <n v="1"/>
    <n v="0"/>
    <n v="1"/>
    <n v="0"/>
    <n v="0"/>
    <x v="2"/>
    <n v="0"/>
    <n v="0"/>
    <n v="0"/>
    <n v="0"/>
    <x v="1"/>
  </r>
  <r>
    <s v="A3PLDW841STU8B"/>
    <x v="0"/>
    <n v="21"/>
    <s v="male"/>
    <x v="3"/>
    <x v="5"/>
    <n v="2433"/>
    <n v="0"/>
    <n v="0"/>
    <n v="1"/>
    <n v="0"/>
    <s v="NA"/>
    <s v="NA"/>
    <s v="NA"/>
    <s v="NA"/>
    <s v="NA"/>
    <s v="NA"/>
    <s v="NA"/>
    <x v="1"/>
    <x v="1"/>
    <n v="0"/>
    <n v="1"/>
    <n v="0"/>
    <n v="1"/>
    <n v="0"/>
    <n v="0"/>
    <x v="2"/>
    <n v="0"/>
    <n v="0"/>
    <n v="0"/>
    <n v="0"/>
    <x v="1"/>
  </r>
  <r>
    <s v="A3PLDW841STU8B"/>
    <x v="0"/>
    <n v="21"/>
    <s v="male"/>
    <x v="2"/>
    <x v="9"/>
    <n v="2977"/>
    <n v="0"/>
    <n v="1"/>
    <n v="0"/>
    <n v="0"/>
    <s v="Store F."/>
    <s v="Stores D and E."/>
    <s v="Stores A, B, C, D and E."/>
    <s v="fa"/>
    <s v="ms-l"/>
    <s v="exh"/>
    <n v="1"/>
    <x v="1"/>
    <x v="2"/>
    <n v="0"/>
    <n v="1"/>
    <n v="0"/>
    <n v="1"/>
    <n v="0"/>
    <n v="0"/>
    <x v="2"/>
    <n v="0"/>
    <n v="1"/>
    <n v="0"/>
    <n v="0"/>
    <x v="1"/>
  </r>
  <r>
    <s v="A3PLDW841STU8B"/>
    <x v="0"/>
    <n v="21"/>
    <s v="male"/>
    <x v="3"/>
    <x v="8"/>
    <n v="3155"/>
    <n v="0"/>
    <n v="0"/>
    <n v="1"/>
    <n v="0"/>
    <s v="NA"/>
    <s v="NA"/>
    <s v="NA"/>
    <s v="NA"/>
    <s v="NA"/>
    <s v="NA"/>
    <s v="NA"/>
    <x v="1"/>
    <x v="2"/>
    <n v="0"/>
    <n v="1"/>
    <n v="0"/>
    <n v="1"/>
    <n v="0"/>
    <n v="0"/>
    <x v="2"/>
    <n v="0"/>
    <n v="1"/>
    <n v="0"/>
    <n v="0"/>
    <x v="1"/>
  </r>
  <r>
    <s v="A3PLDW841STU8B"/>
    <x v="0"/>
    <n v="21"/>
    <s v="male"/>
    <x v="2"/>
    <x v="7"/>
    <n v="4169"/>
    <n v="0"/>
    <n v="1"/>
    <n v="0"/>
    <n v="0"/>
    <s v="Stylist E."/>
    <s v="Stylist A."/>
    <s v="Stylists A, B, C, D and E."/>
    <s v="mo-l"/>
    <s v="mo-h"/>
    <s v="exh"/>
    <n v="1"/>
    <x v="2"/>
    <x v="1"/>
    <n v="0"/>
    <n v="0"/>
    <n v="0"/>
    <n v="1"/>
    <n v="0"/>
    <n v="1"/>
    <x v="2"/>
    <n v="0"/>
    <n v="0"/>
    <n v="0"/>
    <n v="0"/>
    <x v="1"/>
  </r>
  <r>
    <s v="A3PLDW841STU8B"/>
    <x v="0"/>
    <n v="21"/>
    <s v="male"/>
    <x v="2"/>
    <x v="11"/>
    <n v="2273"/>
    <n v="1"/>
    <n v="0"/>
    <n v="0"/>
    <n v="0"/>
    <s v="Dentists A and B."/>
    <s v="Dentist E."/>
    <s v="Dentists A, B, C, D and E."/>
    <s v="ms-h"/>
    <s v="mo-l"/>
    <s v="exh"/>
    <n v="1"/>
    <x v="1"/>
    <x v="1"/>
    <n v="1"/>
    <n v="0"/>
    <n v="0"/>
    <n v="1"/>
    <n v="0"/>
    <n v="0"/>
    <x v="2"/>
    <n v="1"/>
    <n v="0"/>
    <n v="0"/>
    <n v="0"/>
    <x v="1"/>
  </r>
  <r>
    <s v="A3PLDW841STU8B"/>
    <x v="0"/>
    <n v="21"/>
    <s v="male"/>
    <x v="3"/>
    <x v="12"/>
    <n v="1882"/>
    <n v="0"/>
    <n v="1"/>
    <n v="0"/>
    <n v="0"/>
    <s v="NA"/>
    <s v="NA"/>
    <s v="NA"/>
    <s v="NA"/>
    <s v="NA"/>
    <s v="NA"/>
    <s v="NA"/>
    <x v="1"/>
    <x v="1"/>
    <n v="1"/>
    <n v="0"/>
    <n v="0"/>
    <n v="1"/>
    <n v="0"/>
    <n v="0"/>
    <x v="2"/>
    <n v="1"/>
    <n v="0"/>
    <n v="0"/>
    <n v="0"/>
    <x v="1"/>
  </r>
  <r>
    <s v="A3PLDW841STU8B"/>
    <x v="0"/>
    <n v="21"/>
    <s v="male"/>
    <x v="4"/>
    <x v="0"/>
    <n v="114571"/>
    <s v="good"/>
    <s v="very good"/>
    <s v="knoweldge"/>
    <s v="NA"/>
    <s v="NA"/>
    <s v="NA"/>
    <s v="NA"/>
    <s v="NA"/>
    <s v="NA"/>
    <s v="NA"/>
    <s v="NA"/>
    <x v="0"/>
    <x v="0"/>
    <s v="NA"/>
    <s v="NA"/>
    <s v="NA"/>
    <s v="NA"/>
    <s v="NA"/>
    <s v="NA"/>
    <x v="0"/>
    <s v="NA"/>
    <s v="NA"/>
    <s v="NA"/>
    <s v="NA"/>
    <x v="1"/>
  </r>
  <r>
    <s v="A3A4UFCFF9DMW3"/>
    <x v="0"/>
    <n v="22"/>
    <s v="male"/>
    <x v="0"/>
    <x v="0"/>
    <n v="28126"/>
    <s v="NA"/>
    <s v="NA"/>
    <s v="NA"/>
    <s v="NA"/>
    <s v="NA"/>
    <s v="NA"/>
    <s v="NA"/>
    <s v="NA"/>
    <s v="NA"/>
    <s v="NA"/>
    <s v="NA"/>
    <x v="0"/>
    <x v="0"/>
    <s v="NA"/>
    <s v="NA"/>
    <s v="NA"/>
    <s v="NA"/>
    <s v="NA"/>
    <s v="NA"/>
    <x v="0"/>
    <s v="NA"/>
    <s v="NA"/>
    <s v="NA"/>
    <s v="NA"/>
    <x v="1"/>
  </r>
  <r>
    <s v="A3A4UFCFF9DMW3"/>
    <x v="0"/>
    <n v="22"/>
    <s v="male"/>
    <x v="1"/>
    <x v="1"/>
    <n v="10890"/>
    <n v="0"/>
    <n v="0"/>
    <n v="1"/>
    <n v="0"/>
    <s v="NA"/>
    <s v="NA"/>
    <s v="NA"/>
    <s v="NA"/>
    <s v="NA"/>
    <s v="NA"/>
    <s v="NA"/>
    <x v="0"/>
    <x v="0"/>
    <s v="NA"/>
    <s v="NA"/>
    <s v="NA"/>
    <s v="NA"/>
    <s v="NA"/>
    <s v="NA"/>
    <x v="0"/>
    <s v="NA"/>
    <s v="NA"/>
    <s v="NA"/>
    <s v="NA"/>
    <x v="1"/>
  </r>
  <r>
    <s v="A3A4UFCFF9DMW3"/>
    <x v="0"/>
    <n v="22"/>
    <s v="male"/>
    <x v="1"/>
    <x v="2"/>
    <n v="10071"/>
    <n v="1"/>
    <n v="0"/>
    <n v="0"/>
    <n v="0"/>
    <s v="NA"/>
    <s v="NA"/>
    <s v="NA"/>
    <s v="NA"/>
    <s v="NA"/>
    <s v="NA"/>
    <s v="NA"/>
    <x v="0"/>
    <x v="0"/>
    <s v="NA"/>
    <s v="NA"/>
    <s v="NA"/>
    <s v="NA"/>
    <s v="NA"/>
    <s v="NA"/>
    <x v="0"/>
    <s v="NA"/>
    <s v="NA"/>
    <s v="NA"/>
    <s v="NA"/>
    <x v="1"/>
  </r>
  <r>
    <s v="A3A4UFCFF9DMW3"/>
    <x v="0"/>
    <n v="22"/>
    <s v="male"/>
    <x v="2"/>
    <x v="11"/>
    <n v="5944"/>
    <n v="0"/>
    <n v="1"/>
    <n v="0"/>
    <n v="0"/>
    <s v="Dentists A and B."/>
    <s v="Dentist E."/>
    <s v="Dentist A."/>
    <s v="ms-h"/>
    <s v="mo-l"/>
    <s v="mo-h"/>
    <n v="0"/>
    <x v="2"/>
    <x v="1"/>
    <n v="1"/>
    <n v="0"/>
    <n v="0"/>
    <n v="1"/>
    <n v="0"/>
    <n v="0"/>
    <x v="1"/>
    <n v="0"/>
    <n v="0"/>
    <n v="0"/>
    <n v="0"/>
    <x v="1"/>
  </r>
  <r>
    <s v="A3A4UFCFF9DMW3"/>
    <x v="0"/>
    <n v="22"/>
    <s v="male"/>
    <x v="2"/>
    <x v="6"/>
    <n v="7010"/>
    <n v="0"/>
    <n v="0"/>
    <n v="1"/>
    <n v="0"/>
    <s v="Bookstore E."/>
    <s v="Bookstores A and B."/>
    <s v="Bookstores D and E."/>
    <s v="mo-l"/>
    <s v="ms-h"/>
    <s v="ms-l"/>
    <n v="0"/>
    <x v="1"/>
    <x v="1"/>
    <n v="1"/>
    <n v="1"/>
    <n v="0"/>
    <n v="1"/>
    <n v="0"/>
    <n v="0"/>
    <x v="2"/>
    <n v="0"/>
    <n v="1"/>
    <n v="0"/>
    <n v="0"/>
    <x v="1"/>
  </r>
  <r>
    <s v="A3A4UFCFF9DMW3"/>
    <x v="0"/>
    <n v="22"/>
    <s v="male"/>
    <x v="3"/>
    <x v="12"/>
    <n v="5275"/>
    <n v="0"/>
    <n v="1"/>
    <n v="0"/>
    <n v="0"/>
    <s v="NA"/>
    <s v="NA"/>
    <s v="NA"/>
    <s v="NA"/>
    <s v="NA"/>
    <s v="NA"/>
    <s v="NA"/>
    <x v="1"/>
    <x v="1"/>
    <n v="1"/>
    <n v="1"/>
    <n v="0"/>
    <n v="1"/>
    <n v="0"/>
    <n v="0"/>
    <x v="2"/>
    <n v="0"/>
    <n v="1"/>
    <n v="0"/>
    <n v="0"/>
    <x v="1"/>
  </r>
  <r>
    <s v="A3A4UFCFF9DMW3"/>
    <x v="0"/>
    <n v="22"/>
    <s v="male"/>
    <x v="2"/>
    <x v="9"/>
    <n v="6752"/>
    <n v="0"/>
    <n v="0"/>
    <n v="1"/>
    <n v="0"/>
    <s v="Stores D and E."/>
    <s v="Stores A, B, C, D and E."/>
    <s v="Store E."/>
    <s v="ms-l"/>
    <s v="exh"/>
    <s v="mo-l"/>
    <n v="1"/>
    <x v="1"/>
    <x v="1"/>
    <n v="0"/>
    <n v="1"/>
    <n v="0"/>
    <n v="1"/>
    <n v="0"/>
    <n v="0"/>
    <x v="1"/>
    <n v="0"/>
    <n v="0"/>
    <n v="0"/>
    <n v="0"/>
    <x v="1"/>
  </r>
  <r>
    <s v="A3A4UFCFF9DMW3"/>
    <x v="0"/>
    <n v="22"/>
    <s v="male"/>
    <x v="3"/>
    <x v="5"/>
    <n v="3195"/>
    <n v="0"/>
    <n v="1"/>
    <n v="0"/>
    <n v="0"/>
    <s v="NA"/>
    <s v="NA"/>
    <s v="NA"/>
    <s v="NA"/>
    <s v="NA"/>
    <s v="NA"/>
    <s v="NA"/>
    <x v="1"/>
    <x v="1"/>
    <n v="0"/>
    <n v="1"/>
    <n v="0"/>
    <n v="1"/>
    <n v="0"/>
    <n v="0"/>
    <x v="1"/>
    <n v="0"/>
    <n v="0"/>
    <n v="0"/>
    <n v="0"/>
    <x v="1"/>
  </r>
  <r>
    <s v="A3A4UFCFF9DMW3"/>
    <x v="0"/>
    <n v="22"/>
    <s v="male"/>
    <x v="2"/>
    <x v="7"/>
    <n v="4028"/>
    <n v="0"/>
    <n v="1"/>
    <n v="0"/>
    <n v="0"/>
    <s v="Stylists A and B."/>
    <s v="Stylist E."/>
    <s v="Stylists D and E."/>
    <s v="ms-h"/>
    <s v="mo-l"/>
    <s v="ms-l"/>
    <n v="0"/>
    <x v="1"/>
    <x v="1"/>
    <n v="1"/>
    <n v="1"/>
    <n v="0"/>
    <n v="1"/>
    <n v="0"/>
    <n v="0"/>
    <x v="1"/>
    <n v="0"/>
    <n v="0"/>
    <n v="0"/>
    <n v="0"/>
    <x v="1"/>
  </r>
  <r>
    <s v="A3A4UFCFF9DMW3"/>
    <x v="0"/>
    <n v="22"/>
    <s v="male"/>
    <x v="2"/>
    <x v="4"/>
    <n v="2209"/>
    <n v="0"/>
    <n v="1"/>
    <n v="0"/>
    <n v="0"/>
    <s v="Stall A."/>
    <s v="Stalls D and E."/>
    <s v="Stall F."/>
    <s v="mo-h"/>
    <s v="ms-l"/>
    <s v="fa"/>
    <n v="0"/>
    <x v="2"/>
    <x v="2"/>
    <n v="0"/>
    <n v="1"/>
    <n v="0"/>
    <n v="1"/>
    <n v="0"/>
    <n v="0"/>
    <x v="2"/>
    <n v="0"/>
    <n v="1"/>
    <n v="0"/>
    <n v="0"/>
    <x v="1"/>
  </r>
  <r>
    <s v="A3A4UFCFF9DMW3"/>
    <x v="0"/>
    <n v="22"/>
    <s v="male"/>
    <x v="3"/>
    <x v="10"/>
    <n v="4421"/>
    <n v="1"/>
    <n v="0"/>
    <n v="0"/>
    <n v="0"/>
    <s v="NA"/>
    <s v="NA"/>
    <s v="NA"/>
    <s v="NA"/>
    <s v="NA"/>
    <s v="NA"/>
    <s v="NA"/>
    <x v="2"/>
    <x v="2"/>
    <n v="0"/>
    <n v="1"/>
    <n v="0"/>
    <n v="1"/>
    <n v="0"/>
    <n v="0"/>
    <x v="2"/>
    <n v="0"/>
    <n v="1"/>
    <n v="0"/>
    <n v="0"/>
    <x v="1"/>
  </r>
  <r>
    <s v="A3A4UFCFF9DMW3"/>
    <x v="0"/>
    <n v="22"/>
    <s v="male"/>
    <x v="2"/>
    <x v="3"/>
    <n v="4430"/>
    <n v="1"/>
    <n v="0"/>
    <n v="0"/>
    <n v="0"/>
    <s v="Cafe E."/>
    <s v="Cafes D and E."/>
    <s v="Cafes A and B."/>
    <s v="mo-l"/>
    <s v="ms-l"/>
    <s v="ms-h"/>
    <n v="0"/>
    <x v="1"/>
    <x v="1"/>
    <n v="1"/>
    <n v="1"/>
    <n v="0"/>
    <n v="1"/>
    <n v="0"/>
    <n v="0"/>
    <x v="1"/>
    <n v="0"/>
    <n v="0"/>
    <n v="0"/>
    <n v="0"/>
    <x v="1"/>
  </r>
  <r>
    <s v="A3A4UFCFF9DMW3"/>
    <x v="0"/>
    <n v="22"/>
    <s v="male"/>
    <x v="3"/>
    <x v="8"/>
    <n v="2267"/>
    <n v="0"/>
    <n v="1"/>
    <n v="0"/>
    <n v="0"/>
    <s v="NA"/>
    <s v="NA"/>
    <s v="NA"/>
    <s v="NA"/>
    <s v="NA"/>
    <s v="NA"/>
    <s v="NA"/>
    <x v="1"/>
    <x v="1"/>
    <n v="1"/>
    <n v="1"/>
    <n v="0"/>
    <n v="1"/>
    <n v="0"/>
    <n v="0"/>
    <x v="1"/>
    <n v="0"/>
    <n v="0"/>
    <n v="0"/>
    <n v="0"/>
    <x v="1"/>
  </r>
  <r>
    <s v="A3A4UFCFF9DMW3"/>
    <x v="0"/>
    <n v="22"/>
    <s v="male"/>
    <x v="4"/>
    <x v="0"/>
    <n v="87152"/>
    <s v="good"/>
    <s v="no"/>
    <s v="very good"/>
    <s v="NA"/>
    <s v="NA"/>
    <s v="NA"/>
    <s v="NA"/>
    <s v="NA"/>
    <s v="NA"/>
    <s v="NA"/>
    <s v="NA"/>
    <x v="0"/>
    <x v="0"/>
    <s v="NA"/>
    <s v="NA"/>
    <s v="NA"/>
    <s v="NA"/>
    <s v="NA"/>
    <s v="NA"/>
    <x v="0"/>
    <s v="NA"/>
    <s v="NA"/>
    <s v="NA"/>
    <s v="NA"/>
    <x v="1"/>
  </r>
  <r>
    <s v="A1WKF2VH7TV0H2"/>
    <x v="0"/>
    <n v="22"/>
    <s v="female"/>
    <x v="0"/>
    <x v="0"/>
    <n v="12128"/>
    <s v="NA"/>
    <s v="NA"/>
    <s v="NA"/>
    <s v="NA"/>
    <s v="NA"/>
    <s v="NA"/>
    <s v="NA"/>
    <s v="NA"/>
    <s v="NA"/>
    <s v="NA"/>
    <s v="NA"/>
    <x v="0"/>
    <x v="0"/>
    <s v="NA"/>
    <s v="NA"/>
    <s v="NA"/>
    <s v="NA"/>
    <s v="NA"/>
    <s v="NA"/>
    <x v="0"/>
    <s v="NA"/>
    <s v="NA"/>
    <s v="NA"/>
    <s v="NA"/>
    <x v="1"/>
  </r>
  <r>
    <s v="A1WKF2VH7TV0H2"/>
    <x v="0"/>
    <n v="22"/>
    <s v="female"/>
    <x v="1"/>
    <x v="2"/>
    <n v="12421"/>
    <n v="0"/>
    <n v="0"/>
    <n v="1"/>
    <n v="0"/>
    <s v="NA"/>
    <s v="NA"/>
    <s v="NA"/>
    <s v="NA"/>
    <s v="NA"/>
    <s v="NA"/>
    <s v="NA"/>
    <x v="0"/>
    <x v="0"/>
    <s v="NA"/>
    <s v="NA"/>
    <s v="NA"/>
    <s v="NA"/>
    <s v="NA"/>
    <s v="NA"/>
    <x v="0"/>
    <s v="NA"/>
    <s v="NA"/>
    <s v="NA"/>
    <s v="NA"/>
    <x v="1"/>
  </r>
  <r>
    <s v="A1WKF2VH7TV0H2"/>
    <x v="0"/>
    <n v="22"/>
    <s v="female"/>
    <x v="1"/>
    <x v="1"/>
    <n v="14637"/>
    <n v="0"/>
    <n v="0"/>
    <n v="0"/>
    <n v="1"/>
    <s v="NA"/>
    <s v="NA"/>
    <s v="NA"/>
    <s v="NA"/>
    <s v="NA"/>
    <s v="NA"/>
    <s v="NA"/>
    <x v="0"/>
    <x v="0"/>
    <s v="NA"/>
    <s v="NA"/>
    <s v="NA"/>
    <s v="NA"/>
    <s v="NA"/>
    <s v="NA"/>
    <x v="0"/>
    <s v="NA"/>
    <s v="NA"/>
    <s v="NA"/>
    <s v="NA"/>
    <x v="1"/>
  </r>
  <r>
    <s v="A1WKF2VH7TV0H2"/>
    <x v="0"/>
    <n v="22"/>
    <s v="female"/>
    <x v="2"/>
    <x v="11"/>
    <n v="13399"/>
    <n v="1"/>
    <n v="1"/>
    <n v="1"/>
    <n v="0"/>
    <s v="Dentists D and E."/>
    <s v="Dentist A."/>
    <s v="Dentists A, B, C, D and E."/>
    <s v="ms-l"/>
    <s v="mo-h"/>
    <s v="exh"/>
    <n v="1"/>
    <x v="2"/>
    <x v="2"/>
    <n v="0"/>
    <n v="1"/>
    <n v="0"/>
    <n v="1"/>
    <n v="1"/>
    <n v="1"/>
    <x v="2"/>
    <n v="0"/>
    <n v="1"/>
    <n v="0"/>
    <n v="0"/>
    <x v="1"/>
  </r>
  <r>
    <s v="A1WKF2VH7TV0H2"/>
    <x v="0"/>
    <n v="22"/>
    <s v="female"/>
    <x v="2"/>
    <x v="9"/>
    <n v="7786"/>
    <n v="1"/>
    <n v="1"/>
    <n v="1"/>
    <n v="0"/>
    <s v="Store A."/>
    <s v="Store E."/>
    <s v="Store F."/>
    <s v="mo-h"/>
    <s v="mo-l"/>
    <s v="fa"/>
    <n v="0"/>
    <x v="2"/>
    <x v="1"/>
    <n v="0"/>
    <n v="0"/>
    <n v="0"/>
    <n v="1"/>
    <n v="0"/>
    <n v="1"/>
    <x v="1"/>
    <n v="0"/>
    <n v="0"/>
    <n v="0"/>
    <n v="0"/>
    <x v="1"/>
  </r>
  <r>
    <s v="A1WKF2VH7TV0H2"/>
    <x v="0"/>
    <n v="22"/>
    <s v="female"/>
    <x v="3"/>
    <x v="5"/>
    <n v="16051"/>
    <n v="1"/>
    <n v="1"/>
    <n v="1"/>
    <n v="0"/>
    <s v="NA"/>
    <s v="NA"/>
    <s v="NA"/>
    <s v="NA"/>
    <s v="NA"/>
    <s v="NA"/>
    <s v="NA"/>
    <x v="2"/>
    <x v="1"/>
    <n v="0"/>
    <n v="0"/>
    <n v="0"/>
    <n v="1"/>
    <n v="0"/>
    <n v="1"/>
    <x v="1"/>
    <n v="0"/>
    <n v="0"/>
    <n v="0"/>
    <n v="0"/>
    <x v="1"/>
  </r>
  <r>
    <s v="A1WKF2VH7TV0H2"/>
    <x v="0"/>
    <n v="22"/>
    <s v="female"/>
    <x v="2"/>
    <x v="4"/>
    <n v="16402"/>
    <n v="0"/>
    <n v="1"/>
    <n v="1"/>
    <n v="0"/>
    <s v="Stalls D and E."/>
    <s v="Stall A."/>
    <s v="Stalls A and B."/>
    <s v="ms-l"/>
    <s v="mo-h"/>
    <s v="ms-h"/>
    <n v="0"/>
    <x v="2"/>
    <x v="2"/>
    <n v="1"/>
    <n v="1"/>
    <n v="0"/>
    <n v="1"/>
    <n v="0"/>
    <n v="1"/>
    <x v="2"/>
    <n v="1"/>
    <n v="0"/>
    <n v="0"/>
    <n v="0"/>
    <x v="1"/>
  </r>
  <r>
    <s v="A1WKF2VH7TV0H2"/>
    <x v="0"/>
    <n v="22"/>
    <s v="female"/>
    <x v="2"/>
    <x v="3"/>
    <n v="29700"/>
    <n v="0"/>
    <n v="1"/>
    <n v="0"/>
    <n v="0"/>
    <s v="Cafe F."/>
    <s v="Cafes A and B."/>
    <s v="Cafe E."/>
    <s v="fa"/>
    <s v="ms-h"/>
    <s v="mo-l"/>
    <n v="0"/>
    <x v="1"/>
    <x v="1"/>
    <n v="1"/>
    <n v="0"/>
    <n v="0"/>
    <n v="1"/>
    <n v="0"/>
    <n v="0"/>
    <x v="2"/>
    <n v="1"/>
    <n v="0"/>
    <n v="0"/>
    <n v="0"/>
    <x v="1"/>
  </r>
  <r>
    <s v="A1WKF2VH7TV0H2"/>
    <x v="0"/>
    <n v="22"/>
    <s v="female"/>
    <x v="3"/>
    <x v="8"/>
    <n v="5321"/>
    <n v="1"/>
    <n v="1"/>
    <n v="0"/>
    <n v="0"/>
    <s v="NA"/>
    <s v="NA"/>
    <s v="NA"/>
    <s v="NA"/>
    <s v="NA"/>
    <s v="NA"/>
    <s v="NA"/>
    <x v="1"/>
    <x v="1"/>
    <n v="1"/>
    <n v="0"/>
    <n v="0"/>
    <n v="1"/>
    <n v="0"/>
    <n v="0"/>
    <x v="2"/>
    <n v="1"/>
    <n v="0"/>
    <n v="0"/>
    <n v="0"/>
    <x v="1"/>
  </r>
  <r>
    <s v="A1WKF2VH7TV0H2"/>
    <x v="0"/>
    <n v="22"/>
    <s v="female"/>
    <x v="2"/>
    <x v="7"/>
    <n v="9980"/>
    <n v="0"/>
    <n v="1"/>
    <n v="1"/>
    <n v="0"/>
    <s v="Stylists D and E."/>
    <s v="Stylists A and B."/>
    <s v="Stylist A."/>
    <s v="ms-l"/>
    <s v="ms-h"/>
    <s v="mo-h"/>
    <n v="0"/>
    <x v="2"/>
    <x v="2"/>
    <n v="1"/>
    <n v="1"/>
    <n v="0"/>
    <n v="1"/>
    <n v="0"/>
    <n v="1"/>
    <x v="2"/>
    <n v="1"/>
    <n v="0"/>
    <n v="0"/>
    <n v="0"/>
    <x v="1"/>
  </r>
  <r>
    <s v="A1WKF2VH7TV0H2"/>
    <x v="0"/>
    <n v="22"/>
    <s v="female"/>
    <x v="3"/>
    <x v="12"/>
    <n v="10001"/>
    <n v="1"/>
    <n v="0"/>
    <n v="0"/>
    <n v="0"/>
    <s v="NA"/>
    <s v="NA"/>
    <s v="NA"/>
    <s v="NA"/>
    <s v="NA"/>
    <s v="NA"/>
    <s v="NA"/>
    <x v="2"/>
    <x v="2"/>
    <n v="1"/>
    <n v="1"/>
    <n v="0"/>
    <n v="1"/>
    <n v="0"/>
    <n v="1"/>
    <x v="2"/>
    <n v="1"/>
    <n v="0"/>
    <n v="0"/>
    <n v="0"/>
    <x v="1"/>
  </r>
  <r>
    <s v="A1WKF2VH7TV0H2"/>
    <x v="0"/>
    <n v="22"/>
    <s v="female"/>
    <x v="2"/>
    <x v="6"/>
    <n v="2810"/>
    <n v="0"/>
    <n v="0"/>
    <n v="1"/>
    <n v="0"/>
    <s v="Bookstores D and E."/>
    <s v="Bookstore E."/>
    <s v="Bookstore A."/>
    <s v="ms-l"/>
    <s v="mo-l"/>
    <s v="mo-h"/>
    <n v="0"/>
    <x v="2"/>
    <x v="1"/>
    <n v="0"/>
    <n v="1"/>
    <n v="0"/>
    <n v="1"/>
    <n v="0"/>
    <n v="1"/>
    <x v="2"/>
    <n v="0"/>
    <n v="0"/>
    <n v="0"/>
    <n v="0"/>
    <x v="1"/>
  </r>
  <r>
    <s v="A1WKF2VH7TV0H2"/>
    <x v="0"/>
    <n v="22"/>
    <s v="female"/>
    <x v="3"/>
    <x v="10"/>
    <n v="8993"/>
    <n v="0"/>
    <n v="0"/>
    <n v="0"/>
    <n v="1"/>
    <s v="NA"/>
    <s v="NA"/>
    <s v="NA"/>
    <s v="NA"/>
    <s v="NA"/>
    <s v="NA"/>
    <s v="NA"/>
    <x v="2"/>
    <x v="1"/>
    <n v="0"/>
    <n v="1"/>
    <n v="0"/>
    <n v="1"/>
    <n v="0"/>
    <n v="1"/>
    <x v="2"/>
    <n v="0"/>
    <n v="0"/>
    <n v="0"/>
    <n v="0"/>
    <x v="1"/>
  </r>
  <r>
    <s v="A1WKF2VH7TV0H2"/>
    <x v="0"/>
    <n v="22"/>
    <s v="female"/>
    <x v="4"/>
    <x v="0"/>
    <n v="20332"/>
    <s v="Yes%2C it's 2 different questions."/>
    <s v="No%2C because it's not hard."/>
    <s v="No."/>
    <s v="NA"/>
    <s v="NA"/>
    <s v="NA"/>
    <s v="NA"/>
    <s v="NA"/>
    <s v="NA"/>
    <s v="NA"/>
    <s v="NA"/>
    <x v="0"/>
    <x v="0"/>
    <s v="NA"/>
    <s v="NA"/>
    <s v="NA"/>
    <s v="NA"/>
    <s v="NA"/>
    <s v="NA"/>
    <x v="0"/>
    <s v="NA"/>
    <s v="NA"/>
    <s v="NA"/>
    <s v="NA"/>
    <x v="1"/>
  </r>
  <r>
    <s v="ADUACF4TW5833"/>
    <x v="0"/>
    <n v="28"/>
    <s v="male"/>
    <x v="0"/>
    <x v="0"/>
    <n v="38642"/>
    <s v="NA"/>
    <s v="NA"/>
    <s v="NA"/>
    <s v="NA"/>
    <s v="NA"/>
    <s v="NA"/>
    <s v="NA"/>
    <s v="NA"/>
    <s v="NA"/>
    <s v="NA"/>
    <s v="NA"/>
    <x v="0"/>
    <x v="0"/>
    <s v="NA"/>
    <s v="NA"/>
    <s v="NA"/>
    <s v="NA"/>
    <s v="NA"/>
    <s v="NA"/>
    <x v="0"/>
    <s v="NA"/>
    <s v="NA"/>
    <s v="NA"/>
    <s v="NA"/>
    <x v="1"/>
  </r>
  <r>
    <s v="ADUACF4TW5833"/>
    <x v="0"/>
    <n v="28"/>
    <s v="male"/>
    <x v="1"/>
    <x v="2"/>
    <n v="7892"/>
    <n v="1"/>
    <n v="0"/>
    <n v="0"/>
    <n v="0"/>
    <s v="NA"/>
    <s v="NA"/>
    <s v="NA"/>
    <s v="NA"/>
    <s v="NA"/>
    <s v="NA"/>
    <s v="NA"/>
    <x v="0"/>
    <x v="0"/>
    <s v="NA"/>
    <s v="NA"/>
    <s v="NA"/>
    <s v="NA"/>
    <s v="NA"/>
    <s v="NA"/>
    <x v="0"/>
    <s v="NA"/>
    <s v="NA"/>
    <s v="NA"/>
    <s v="NA"/>
    <x v="1"/>
  </r>
  <r>
    <s v="ADUACF4TW5833"/>
    <x v="0"/>
    <n v="28"/>
    <s v="male"/>
    <x v="1"/>
    <x v="1"/>
    <n v="4194"/>
    <n v="1"/>
    <n v="0"/>
    <n v="0"/>
    <n v="0"/>
    <s v="NA"/>
    <s v="NA"/>
    <s v="NA"/>
    <s v="NA"/>
    <s v="NA"/>
    <s v="NA"/>
    <s v="NA"/>
    <x v="0"/>
    <x v="0"/>
    <s v="NA"/>
    <s v="NA"/>
    <s v="NA"/>
    <s v="NA"/>
    <s v="NA"/>
    <s v="NA"/>
    <x v="0"/>
    <s v="NA"/>
    <s v="NA"/>
    <s v="NA"/>
    <s v="NA"/>
    <x v="1"/>
  </r>
  <r>
    <s v="ADUACF4TW5833"/>
    <x v="0"/>
    <n v="28"/>
    <s v="male"/>
    <x v="2"/>
    <x v="11"/>
    <n v="5956"/>
    <n v="0"/>
    <n v="0"/>
    <n v="1"/>
    <n v="0"/>
    <s v="Dentists A, B, C, D and E."/>
    <s v="Dentists D and E."/>
    <s v="Dentist A."/>
    <s v="exh"/>
    <s v="ms-l"/>
    <s v="mo-h"/>
    <n v="1"/>
    <x v="2"/>
    <x v="2"/>
    <n v="0"/>
    <n v="1"/>
    <n v="0"/>
    <n v="1"/>
    <n v="0"/>
    <n v="1"/>
    <x v="2"/>
    <n v="0"/>
    <n v="0"/>
    <n v="0"/>
    <n v="0"/>
    <x v="1"/>
  </r>
  <r>
    <s v="ADUACF4TW5833"/>
    <x v="0"/>
    <n v="28"/>
    <s v="male"/>
    <x v="2"/>
    <x v="3"/>
    <n v="3661"/>
    <n v="1"/>
    <n v="0"/>
    <n v="0"/>
    <n v="0"/>
    <s v="Cafes D and E."/>
    <s v="Cafe E."/>
    <s v="Cafes A and B."/>
    <s v="ms-l"/>
    <s v="mo-l"/>
    <s v="ms-h"/>
    <n v="0"/>
    <x v="1"/>
    <x v="1"/>
    <n v="1"/>
    <n v="1"/>
    <n v="0"/>
    <n v="1"/>
    <n v="0"/>
    <n v="0"/>
    <x v="2"/>
    <n v="0"/>
    <n v="1"/>
    <n v="0"/>
    <n v="0"/>
    <x v="1"/>
  </r>
  <r>
    <s v="ADUACF4TW5833"/>
    <x v="0"/>
    <n v="28"/>
    <s v="male"/>
    <x v="3"/>
    <x v="8"/>
    <n v="2951"/>
    <n v="0"/>
    <n v="0"/>
    <n v="0"/>
    <n v="0"/>
    <s v="NA"/>
    <s v="NA"/>
    <s v="NA"/>
    <s v="NA"/>
    <s v="NA"/>
    <s v="NA"/>
    <s v="NA"/>
    <x v="1"/>
    <x v="1"/>
    <n v="1"/>
    <n v="1"/>
    <n v="0"/>
    <n v="1"/>
    <n v="0"/>
    <n v="0"/>
    <x v="2"/>
    <n v="0"/>
    <n v="1"/>
    <n v="0"/>
    <n v="0"/>
    <x v="1"/>
  </r>
  <r>
    <s v="ADUACF4TW5833"/>
    <x v="0"/>
    <n v="28"/>
    <s v="male"/>
    <x v="2"/>
    <x v="9"/>
    <n v="8286"/>
    <n v="1"/>
    <n v="0"/>
    <n v="0"/>
    <n v="0"/>
    <s v="Store A."/>
    <s v="Store F."/>
    <s v="Store E."/>
    <s v="mo-h"/>
    <s v="fa"/>
    <s v="mo-l"/>
    <n v="0"/>
    <x v="2"/>
    <x v="1"/>
    <n v="0"/>
    <n v="0"/>
    <n v="0"/>
    <n v="1"/>
    <n v="0"/>
    <n v="1"/>
    <x v="2"/>
    <n v="0"/>
    <n v="0"/>
    <n v="0"/>
    <n v="0"/>
    <x v="1"/>
  </r>
  <r>
    <s v="ADUACF4TW5833"/>
    <x v="0"/>
    <n v="28"/>
    <s v="male"/>
    <x v="3"/>
    <x v="5"/>
    <n v="2520"/>
    <n v="1"/>
    <n v="0"/>
    <n v="0"/>
    <n v="0"/>
    <s v="NA"/>
    <s v="NA"/>
    <s v="NA"/>
    <s v="NA"/>
    <s v="NA"/>
    <s v="NA"/>
    <s v="NA"/>
    <x v="2"/>
    <x v="1"/>
    <n v="0"/>
    <n v="0"/>
    <n v="0"/>
    <n v="1"/>
    <n v="0"/>
    <n v="1"/>
    <x v="2"/>
    <n v="0"/>
    <n v="0"/>
    <n v="0"/>
    <n v="0"/>
    <x v="1"/>
  </r>
  <r>
    <s v="ADUACF4TW5833"/>
    <x v="0"/>
    <n v="28"/>
    <s v="male"/>
    <x v="2"/>
    <x v="6"/>
    <n v="4266"/>
    <n v="1"/>
    <n v="0"/>
    <n v="0"/>
    <n v="0"/>
    <s v="Bookstores A, B, C, D and E."/>
    <s v="Bookstore A."/>
    <s v="Bookstores A and B."/>
    <s v="exh"/>
    <s v="mo-h"/>
    <s v="ms-h"/>
    <n v="1"/>
    <x v="2"/>
    <x v="2"/>
    <n v="1"/>
    <n v="0"/>
    <n v="0"/>
    <n v="1"/>
    <n v="1"/>
    <n v="0"/>
    <x v="2"/>
    <n v="0"/>
    <n v="0"/>
    <n v="0"/>
    <n v="0"/>
    <x v="1"/>
  </r>
  <r>
    <s v="ADUACF4TW5833"/>
    <x v="0"/>
    <n v="28"/>
    <s v="male"/>
    <x v="2"/>
    <x v="7"/>
    <n v="3726"/>
    <n v="1"/>
    <n v="0"/>
    <n v="0"/>
    <n v="0"/>
    <s v="Stylists D and E."/>
    <s v="Stylists A, B, C, D and E."/>
    <s v="Stylist A."/>
    <s v="ms-l"/>
    <s v="exh"/>
    <s v="mo-h"/>
    <n v="1"/>
    <x v="2"/>
    <x v="2"/>
    <n v="0"/>
    <n v="1"/>
    <n v="0"/>
    <n v="1"/>
    <n v="0"/>
    <n v="0"/>
    <x v="2"/>
    <n v="0"/>
    <n v="1"/>
    <n v="0"/>
    <n v="0"/>
    <x v="1"/>
  </r>
  <r>
    <s v="ADUACF4TW5833"/>
    <x v="0"/>
    <n v="28"/>
    <s v="male"/>
    <x v="3"/>
    <x v="12"/>
    <n v="2968"/>
    <n v="1"/>
    <n v="0"/>
    <n v="0"/>
    <n v="0"/>
    <s v="NA"/>
    <s v="NA"/>
    <s v="NA"/>
    <s v="NA"/>
    <s v="NA"/>
    <s v="NA"/>
    <s v="NA"/>
    <x v="2"/>
    <x v="2"/>
    <n v="0"/>
    <n v="1"/>
    <n v="0"/>
    <n v="1"/>
    <n v="0"/>
    <n v="0"/>
    <x v="2"/>
    <n v="0"/>
    <n v="1"/>
    <n v="0"/>
    <n v="0"/>
    <x v="1"/>
  </r>
  <r>
    <s v="ADUACF4TW5833"/>
    <x v="0"/>
    <n v="28"/>
    <s v="male"/>
    <x v="2"/>
    <x v="4"/>
    <n v="3738"/>
    <n v="1"/>
    <n v="0"/>
    <n v="0"/>
    <n v="0"/>
    <s v="Stalls D and E."/>
    <s v="Stall E."/>
    <s v="Stalls A, B, C, D and E."/>
    <s v="ms-l"/>
    <s v="mo-l"/>
    <s v="exh"/>
    <n v="1"/>
    <x v="1"/>
    <x v="1"/>
    <n v="0"/>
    <n v="1"/>
    <n v="0"/>
    <n v="1"/>
    <n v="0"/>
    <n v="0"/>
    <x v="2"/>
    <n v="0"/>
    <n v="1"/>
    <n v="0"/>
    <n v="0"/>
    <x v="1"/>
  </r>
  <r>
    <s v="ADUACF4TW5833"/>
    <x v="0"/>
    <n v="28"/>
    <s v="male"/>
    <x v="3"/>
    <x v="10"/>
    <n v="2177"/>
    <n v="1"/>
    <n v="0"/>
    <n v="0"/>
    <n v="0"/>
    <s v="NA"/>
    <s v="NA"/>
    <s v="NA"/>
    <s v="NA"/>
    <s v="NA"/>
    <s v="NA"/>
    <s v="NA"/>
    <x v="1"/>
    <x v="1"/>
    <n v="0"/>
    <n v="1"/>
    <n v="0"/>
    <n v="1"/>
    <n v="0"/>
    <n v="0"/>
    <x v="2"/>
    <n v="0"/>
    <n v="1"/>
    <n v="0"/>
    <n v="0"/>
    <x v="1"/>
  </r>
  <r>
    <s v="ADUACF4TW5833"/>
    <x v="0"/>
    <n v="28"/>
    <s v="male"/>
    <x v="4"/>
    <x v="0"/>
    <n v="116004"/>
    <s v="Best Sunday Brunch in Mumbai Menu%2C Photos"/>
    <s v="small bites are served on cocktail sticks."/>
    <s v="Here are the places to have brunch"/>
    <s v="NA"/>
    <s v="NA"/>
    <s v="NA"/>
    <s v="NA"/>
    <s v="NA"/>
    <s v="NA"/>
    <s v="NA"/>
    <s v="NA"/>
    <x v="0"/>
    <x v="0"/>
    <s v="NA"/>
    <s v="NA"/>
    <s v="NA"/>
    <s v="NA"/>
    <s v="NA"/>
    <s v="NA"/>
    <x v="0"/>
    <s v="NA"/>
    <s v="NA"/>
    <s v="NA"/>
    <s v="NA"/>
    <x v="1"/>
  </r>
  <r>
    <s v="ABZ1LM3J8REE6"/>
    <x v="0"/>
    <n v="58"/>
    <s v="male"/>
    <x v="0"/>
    <x v="0"/>
    <n v="41002"/>
    <s v="NA"/>
    <s v="NA"/>
    <s v="NA"/>
    <s v="NA"/>
    <s v="NA"/>
    <s v="NA"/>
    <s v="NA"/>
    <s v="NA"/>
    <s v="NA"/>
    <s v="NA"/>
    <s v="NA"/>
    <x v="0"/>
    <x v="0"/>
    <s v="NA"/>
    <s v="NA"/>
    <s v="NA"/>
    <s v="NA"/>
    <s v="NA"/>
    <s v="NA"/>
    <x v="0"/>
    <s v="NA"/>
    <s v="NA"/>
    <s v="NA"/>
    <s v="NA"/>
    <x v="1"/>
  </r>
  <r>
    <s v="ABZ1LM3J8REE6"/>
    <x v="0"/>
    <n v="58"/>
    <s v="male"/>
    <x v="1"/>
    <x v="1"/>
    <n v="14755"/>
    <n v="1"/>
    <n v="0"/>
    <n v="0"/>
    <n v="0"/>
    <s v="NA"/>
    <s v="NA"/>
    <s v="NA"/>
    <s v="NA"/>
    <s v="NA"/>
    <s v="NA"/>
    <s v="NA"/>
    <x v="0"/>
    <x v="0"/>
    <s v="NA"/>
    <s v="NA"/>
    <s v="NA"/>
    <s v="NA"/>
    <s v="NA"/>
    <s v="NA"/>
    <x v="0"/>
    <s v="NA"/>
    <s v="NA"/>
    <s v="NA"/>
    <s v="NA"/>
    <x v="1"/>
  </r>
  <r>
    <s v="ABZ1LM3J8REE6"/>
    <x v="0"/>
    <n v="58"/>
    <s v="male"/>
    <x v="1"/>
    <x v="2"/>
    <n v="15940"/>
    <n v="1"/>
    <n v="0"/>
    <n v="0"/>
    <n v="0"/>
    <s v="NA"/>
    <s v="NA"/>
    <s v="NA"/>
    <s v="NA"/>
    <s v="NA"/>
    <s v="NA"/>
    <s v="NA"/>
    <x v="0"/>
    <x v="0"/>
    <s v="NA"/>
    <s v="NA"/>
    <s v="NA"/>
    <s v="NA"/>
    <s v="NA"/>
    <s v="NA"/>
    <x v="0"/>
    <s v="NA"/>
    <s v="NA"/>
    <s v="NA"/>
    <s v="NA"/>
    <x v="1"/>
  </r>
  <r>
    <s v="ABZ1LM3J8REE6"/>
    <x v="0"/>
    <n v="58"/>
    <s v="male"/>
    <x v="2"/>
    <x v="9"/>
    <n v="14414"/>
    <n v="0"/>
    <n v="1"/>
    <n v="0"/>
    <n v="0"/>
    <s v="Stores A, B, C, D and E."/>
    <s v="Store A."/>
    <s v="Store E."/>
    <s v="exh"/>
    <s v="mo-h"/>
    <s v="mo-l"/>
    <n v="1"/>
    <x v="2"/>
    <x v="1"/>
    <n v="0"/>
    <n v="0"/>
    <n v="0"/>
    <n v="1"/>
    <n v="0"/>
    <n v="1"/>
    <x v="2"/>
    <n v="0"/>
    <n v="0"/>
    <n v="0"/>
    <n v="0"/>
    <x v="1"/>
  </r>
  <r>
    <s v="ABZ1LM3J8REE6"/>
    <x v="0"/>
    <n v="58"/>
    <s v="male"/>
    <x v="3"/>
    <x v="8"/>
    <n v="29365"/>
    <n v="1"/>
    <n v="1"/>
    <n v="1"/>
    <n v="1"/>
    <s v="NA"/>
    <s v="NA"/>
    <s v="NA"/>
    <s v="NA"/>
    <s v="NA"/>
    <s v="NA"/>
    <s v="NA"/>
    <x v="2"/>
    <x v="1"/>
    <n v="0"/>
    <n v="0"/>
    <n v="0"/>
    <n v="1"/>
    <n v="0"/>
    <n v="1"/>
    <x v="2"/>
    <n v="0"/>
    <n v="0"/>
    <n v="0"/>
    <n v="0"/>
    <x v="1"/>
  </r>
  <r>
    <s v="ABZ1LM3J8REE6"/>
    <x v="0"/>
    <n v="58"/>
    <s v="male"/>
    <x v="2"/>
    <x v="3"/>
    <n v="9687"/>
    <n v="0"/>
    <n v="0"/>
    <n v="0"/>
    <n v="0"/>
    <s v="Cafes D and E."/>
    <s v="Cafe A."/>
    <s v="Cafe E."/>
    <s v="ms-l"/>
    <s v="mo-h"/>
    <s v="mo-l"/>
    <n v="0"/>
    <x v="2"/>
    <x v="1"/>
    <n v="0"/>
    <n v="1"/>
    <n v="0"/>
    <n v="1"/>
    <n v="0"/>
    <n v="0"/>
    <x v="2"/>
    <n v="0"/>
    <n v="0"/>
    <n v="0"/>
    <n v="0"/>
    <x v="1"/>
  </r>
  <r>
    <s v="ABZ1LM3J8REE6"/>
    <x v="0"/>
    <n v="58"/>
    <s v="male"/>
    <x v="2"/>
    <x v="11"/>
    <n v="9434"/>
    <n v="0"/>
    <n v="0"/>
    <n v="1"/>
    <n v="0"/>
    <s v="Dentists A and B."/>
    <s v="Dentist E."/>
    <s v="Dentists D and E."/>
    <s v="ms-h"/>
    <s v="mo-l"/>
    <s v="ms-l"/>
    <n v="0"/>
    <x v="1"/>
    <x v="1"/>
    <n v="1"/>
    <n v="1"/>
    <n v="0"/>
    <n v="1"/>
    <n v="0"/>
    <n v="0"/>
    <x v="2"/>
    <n v="0"/>
    <n v="1"/>
    <n v="0"/>
    <n v="0"/>
    <x v="1"/>
  </r>
  <r>
    <s v="ABZ1LM3J8REE6"/>
    <x v="0"/>
    <n v="58"/>
    <s v="male"/>
    <x v="3"/>
    <x v="12"/>
    <n v="5580"/>
    <n v="1"/>
    <n v="0"/>
    <n v="0"/>
    <n v="0"/>
    <s v="NA"/>
    <s v="NA"/>
    <s v="NA"/>
    <s v="NA"/>
    <s v="NA"/>
    <s v="NA"/>
    <s v="NA"/>
    <x v="1"/>
    <x v="1"/>
    <n v="1"/>
    <n v="1"/>
    <n v="0"/>
    <n v="1"/>
    <n v="0"/>
    <n v="0"/>
    <x v="2"/>
    <n v="0"/>
    <n v="1"/>
    <n v="0"/>
    <n v="0"/>
    <x v="1"/>
  </r>
  <r>
    <s v="ABZ1LM3J8REE6"/>
    <x v="0"/>
    <n v="58"/>
    <s v="male"/>
    <x v="2"/>
    <x v="6"/>
    <n v="8792"/>
    <n v="0"/>
    <n v="1"/>
    <n v="0"/>
    <n v="0"/>
    <s v="Bookstores A and B."/>
    <s v="Bookstore E."/>
    <s v="Bookstore A."/>
    <s v="ms-h"/>
    <s v="mo-l"/>
    <s v="mo-h"/>
    <n v="0"/>
    <x v="2"/>
    <x v="1"/>
    <n v="1"/>
    <n v="0"/>
    <n v="0"/>
    <n v="1"/>
    <n v="0"/>
    <n v="0"/>
    <x v="1"/>
    <n v="0"/>
    <n v="0"/>
    <n v="0"/>
    <n v="0"/>
    <x v="1"/>
  </r>
  <r>
    <s v="ABZ1LM3J8REE6"/>
    <x v="0"/>
    <n v="58"/>
    <s v="male"/>
    <x v="3"/>
    <x v="5"/>
    <n v="12728"/>
    <n v="1"/>
    <n v="1"/>
    <n v="1"/>
    <n v="1"/>
    <s v="NA"/>
    <s v="NA"/>
    <s v="NA"/>
    <s v="NA"/>
    <s v="NA"/>
    <s v="NA"/>
    <s v="NA"/>
    <x v="2"/>
    <x v="1"/>
    <n v="1"/>
    <n v="0"/>
    <n v="0"/>
    <n v="1"/>
    <n v="0"/>
    <n v="0"/>
    <x v="1"/>
    <n v="0"/>
    <n v="0"/>
    <n v="0"/>
    <n v="0"/>
    <x v="1"/>
  </r>
  <r>
    <s v="ABZ1LM3J8REE6"/>
    <x v="0"/>
    <n v="58"/>
    <s v="male"/>
    <x v="2"/>
    <x v="7"/>
    <n v="11206"/>
    <n v="1"/>
    <n v="1"/>
    <n v="1"/>
    <n v="0"/>
    <s v="Stylist E."/>
    <s v="Stylists A and B."/>
    <s v="Stylists A, B, C, D and E."/>
    <s v="mo-l"/>
    <s v="ms-h"/>
    <s v="exh"/>
    <n v="1"/>
    <x v="1"/>
    <x v="1"/>
    <n v="1"/>
    <n v="0"/>
    <n v="0"/>
    <n v="1"/>
    <n v="1"/>
    <n v="0"/>
    <x v="1"/>
    <n v="1"/>
    <n v="0"/>
    <n v="0"/>
    <n v="0"/>
    <x v="1"/>
  </r>
  <r>
    <s v="ABZ1LM3J8REE6"/>
    <x v="0"/>
    <n v="58"/>
    <s v="male"/>
    <x v="2"/>
    <x v="4"/>
    <n v="9360"/>
    <n v="1"/>
    <n v="1"/>
    <n v="1"/>
    <n v="0"/>
    <s v="Stall F."/>
    <s v="Stalls A, B, C, D and E."/>
    <s v="Stalls D and E."/>
    <s v="fa"/>
    <s v="exh"/>
    <s v="ms-l"/>
    <n v="1"/>
    <x v="1"/>
    <x v="2"/>
    <n v="0"/>
    <n v="1"/>
    <n v="0"/>
    <n v="1"/>
    <n v="1"/>
    <n v="0"/>
    <x v="2"/>
    <n v="0"/>
    <n v="1"/>
    <n v="0"/>
    <n v="0"/>
    <x v="1"/>
  </r>
  <r>
    <s v="ABZ1LM3J8REE6"/>
    <x v="0"/>
    <n v="58"/>
    <s v="male"/>
    <x v="3"/>
    <x v="10"/>
    <n v="5436"/>
    <n v="0"/>
    <n v="1"/>
    <n v="0"/>
    <n v="0"/>
    <s v="NA"/>
    <s v="NA"/>
    <s v="NA"/>
    <s v="NA"/>
    <s v="NA"/>
    <s v="NA"/>
    <s v="NA"/>
    <x v="1"/>
    <x v="2"/>
    <n v="0"/>
    <n v="1"/>
    <n v="0"/>
    <n v="1"/>
    <n v="1"/>
    <n v="0"/>
    <x v="2"/>
    <n v="0"/>
    <n v="1"/>
    <n v="0"/>
    <n v="0"/>
    <x v="1"/>
  </r>
  <r>
    <s v="ABZ1LM3J8REE6"/>
    <x v="0"/>
    <n v="58"/>
    <s v="male"/>
    <x v="4"/>
    <x v="0"/>
    <n v="87111"/>
    <s v="the quality is good"/>
    <s v="no because is an knowledgeable task"/>
    <s v="good"/>
    <s v="NA"/>
    <s v="NA"/>
    <s v="NA"/>
    <s v="NA"/>
    <s v="NA"/>
    <s v="NA"/>
    <s v="NA"/>
    <s v="NA"/>
    <x v="0"/>
    <x v="0"/>
    <s v="NA"/>
    <s v="NA"/>
    <s v="NA"/>
    <s v="NA"/>
    <s v="NA"/>
    <s v="NA"/>
    <x v="0"/>
    <s v="NA"/>
    <s v="NA"/>
    <s v="NA"/>
    <s v="NA"/>
    <x v="1"/>
  </r>
  <r>
    <s v="A1WL6K3EUA2WOX"/>
    <x v="0"/>
    <n v="72"/>
    <s v="male"/>
    <x v="0"/>
    <x v="0"/>
    <n v="24087"/>
    <s v="NA"/>
    <s v="NA"/>
    <s v="NA"/>
    <s v="NA"/>
    <s v="NA"/>
    <s v="NA"/>
    <s v="NA"/>
    <s v="NA"/>
    <s v="NA"/>
    <s v="NA"/>
    <s v="NA"/>
    <x v="0"/>
    <x v="0"/>
    <s v="NA"/>
    <s v="NA"/>
    <s v="NA"/>
    <s v="NA"/>
    <s v="NA"/>
    <s v="NA"/>
    <x v="0"/>
    <s v="NA"/>
    <s v="NA"/>
    <s v="NA"/>
    <s v="NA"/>
    <x v="1"/>
  </r>
  <r>
    <s v="A1WL6K3EUA2WOX"/>
    <x v="0"/>
    <n v="72"/>
    <s v="male"/>
    <x v="1"/>
    <x v="2"/>
    <n v="48521"/>
    <n v="1"/>
    <n v="1"/>
    <n v="1"/>
    <n v="1"/>
    <s v="NA"/>
    <s v="NA"/>
    <s v="NA"/>
    <s v="NA"/>
    <s v="NA"/>
    <s v="NA"/>
    <s v="NA"/>
    <x v="0"/>
    <x v="0"/>
    <s v="NA"/>
    <s v="NA"/>
    <s v="NA"/>
    <s v="NA"/>
    <s v="NA"/>
    <s v="NA"/>
    <x v="0"/>
    <s v="NA"/>
    <s v="NA"/>
    <s v="NA"/>
    <s v="NA"/>
    <x v="1"/>
  </r>
  <r>
    <s v="A1WL6K3EUA2WOX"/>
    <x v="0"/>
    <n v="72"/>
    <s v="male"/>
    <x v="1"/>
    <x v="1"/>
    <n v="10292"/>
    <n v="1"/>
    <n v="1"/>
    <n v="1"/>
    <n v="1"/>
    <s v="NA"/>
    <s v="NA"/>
    <s v="NA"/>
    <s v="NA"/>
    <s v="NA"/>
    <s v="NA"/>
    <s v="NA"/>
    <x v="0"/>
    <x v="0"/>
    <s v="NA"/>
    <s v="NA"/>
    <s v="NA"/>
    <s v="NA"/>
    <s v="NA"/>
    <s v="NA"/>
    <x v="0"/>
    <s v="NA"/>
    <s v="NA"/>
    <s v="NA"/>
    <s v="NA"/>
    <x v="1"/>
  </r>
  <r>
    <s v="A1WL6K3EUA2WOX"/>
    <x v="0"/>
    <n v="72"/>
    <s v="male"/>
    <x v="2"/>
    <x v="9"/>
    <n v="10261"/>
    <n v="1"/>
    <n v="1"/>
    <n v="1"/>
    <n v="0"/>
    <s v="Store E."/>
    <s v="Stores D and E."/>
    <s v="Stores A, B, C, D and E."/>
    <s v="mo-l"/>
    <s v="ms-l"/>
    <s v="exh"/>
    <n v="1"/>
    <x v="1"/>
    <x v="1"/>
    <n v="0"/>
    <n v="1"/>
    <n v="0"/>
    <n v="1"/>
    <n v="1"/>
    <n v="0"/>
    <x v="1"/>
    <n v="0"/>
    <n v="1"/>
    <n v="0"/>
    <n v="0"/>
    <x v="1"/>
  </r>
  <r>
    <s v="A1WL6K3EUA2WOX"/>
    <x v="0"/>
    <n v="72"/>
    <s v="male"/>
    <x v="2"/>
    <x v="7"/>
    <n v="7855"/>
    <n v="1"/>
    <n v="1"/>
    <n v="1"/>
    <n v="0"/>
    <s v="Stylist E."/>
    <s v="Stylist F."/>
    <s v="Stylists D and E."/>
    <s v="mo-l"/>
    <s v="fa"/>
    <s v="ms-l"/>
    <n v="0"/>
    <x v="1"/>
    <x v="1"/>
    <n v="0"/>
    <n v="1"/>
    <n v="0"/>
    <n v="1"/>
    <n v="0"/>
    <n v="0"/>
    <x v="1"/>
    <n v="0"/>
    <n v="1"/>
    <n v="0"/>
    <n v="0"/>
    <x v="1"/>
  </r>
  <r>
    <s v="A1WL6K3EUA2WOX"/>
    <x v="0"/>
    <n v="72"/>
    <s v="male"/>
    <x v="3"/>
    <x v="8"/>
    <n v="6078"/>
    <n v="1"/>
    <n v="1"/>
    <n v="1"/>
    <n v="0"/>
    <s v="NA"/>
    <s v="NA"/>
    <s v="NA"/>
    <s v="NA"/>
    <s v="NA"/>
    <s v="NA"/>
    <s v="NA"/>
    <x v="1"/>
    <x v="1"/>
    <n v="0"/>
    <n v="1"/>
    <n v="0"/>
    <n v="1"/>
    <n v="0"/>
    <n v="0"/>
    <x v="1"/>
    <n v="0"/>
    <n v="1"/>
    <n v="0"/>
    <n v="0"/>
    <x v="1"/>
  </r>
  <r>
    <s v="A1WL6K3EUA2WOX"/>
    <x v="0"/>
    <n v="72"/>
    <s v="male"/>
    <x v="2"/>
    <x v="4"/>
    <n v="5102"/>
    <n v="1"/>
    <n v="1"/>
    <n v="1"/>
    <n v="0"/>
    <s v="Stalls A, B, C, D and E."/>
    <s v="Stall E."/>
    <s v="Stalls D and E."/>
    <s v="exh"/>
    <s v="mo-l"/>
    <s v="ms-l"/>
    <n v="1"/>
    <x v="1"/>
    <x v="1"/>
    <n v="0"/>
    <n v="1"/>
    <n v="0"/>
    <n v="1"/>
    <n v="1"/>
    <n v="0"/>
    <x v="1"/>
    <n v="0"/>
    <n v="1"/>
    <n v="0"/>
    <n v="0"/>
    <x v="1"/>
  </r>
  <r>
    <s v="A1WL6K3EUA2WOX"/>
    <x v="0"/>
    <n v="72"/>
    <s v="male"/>
    <x v="2"/>
    <x v="6"/>
    <n v="5806"/>
    <n v="1"/>
    <n v="1"/>
    <n v="1"/>
    <n v="0"/>
    <s v="Bookstores A and B."/>
    <s v="Bookstores D and E."/>
    <s v="Bookstore E."/>
    <s v="ms-h"/>
    <s v="ms-l"/>
    <s v="mo-l"/>
    <n v="0"/>
    <x v="1"/>
    <x v="1"/>
    <n v="1"/>
    <n v="1"/>
    <n v="0"/>
    <n v="1"/>
    <n v="0"/>
    <n v="0"/>
    <x v="1"/>
    <n v="1"/>
    <n v="1"/>
    <n v="0"/>
    <n v="0"/>
    <x v="1"/>
  </r>
  <r>
    <s v="A1WL6K3EUA2WOX"/>
    <x v="0"/>
    <n v="72"/>
    <s v="male"/>
    <x v="3"/>
    <x v="10"/>
    <n v="32986"/>
    <n v="0"/>
    <n v="1"/>
    <n v="0"/>
    <n v="0"/>
    <s v="NA"/>
    <s v="NA"/>
    <s v="NA"/>
    <s v="NA"/>
    <s v="NA"/>
    <s v="NA"/>
    <s v="NA"/>
    <x v="1"/>
    <x v="1"/>
    <n v="1"/>
    <n v="1"/>
    <n v="0"/>
    <n v="1"/>
    <n v="0"/>
    <n v="0"/>
    <x v="1"/>
    <n v="1"/>
    <n v="1"/>
    <n v="0"/>
    <n v="0"/>
    <x v="1"/>
  </r>
  <r>
    <s v="A1WL6K3EUA2WOX"/>
    <x v="0"/>
    <n v="72"/>
    <s v="male"/>
    <x v="2"/>
    <x v="3"/>
    <n v="6180"/>
    <n v="1"/>
    <n v="1"/>
    <n v="1"/>
    <n v="0"/>
    <s v="Cafe A."/>
    <s v="Cafe E."/>
    <s v="Cafes D and E."/>
    <s v="mo-h"/>
    <s v="mo-l"/>
    <s v="ms-l"/>
    <n v="0"/>
    <x v="2"/>
    <x v="1"/>
    <n v="0"/>
    <n v="1"/>
    <n v="0"/>
    <n v="1"/>
    <n v="0"/>
    <n v="1"/>
    <x v="1"/>
    <n v="0"/>
    <n v="1"/>
    <n v="0"/>
    <n v="0"/>
    <x v="1"/>
  </r>
  <r>
    <s v="A1WL6K3EUA2WOX"/>
    <x v="0"/>
    <n v="72"/>
    <s v="male"/>
    <x v="3"/>
    <x v="5"/>
    <n v="5060"/>
    <n v="1"/>
    <n v="1"/>
    <n v="1"/>
    <n v="0"/>
    <s v="NA"/>
    <s v="NA"/>
    <s v="NA"/>
    <s v="NA"/>
    <s v="NA"/>
    <s v="NA"/>
    <s v="NA"/>
    <x v="2"/>
    <x v="1"/>
    <n v="0"/>
    <n v="1"/>
    <n v="0"/>
    <n v="1"/>
    <n v="0"/>
    <n v="1"/>
    <x v="1"/>
    <n v="0"/>
    <n v="1"/>
    <n v="0"/>
    <n v="0"/>
    <x v="1"/>
  </r>
  <r>
    <s v="A1WL6K3EUA2WOX"/>
    <x v="0"/>
    <n v="72"/>
    <s v="male"/>
    <x v="2"/>
    <x v="11"/>
    <n v="7998"/>
    <n v="1"/>
    <n v="1"/>
    <n v="1"/>
    <n v="0"/>
    <s v="Dentist A."/>
    <s v="Dentists A, B, C, D and E."/>
    <s v="Dentists A and B."/>
    <s v="mo-h"/>
    <s v="exh"/>
    <s v="ms-h"/>
    <n v="1"/>
    <x v="2"/>
    <x v="2"/>
    <n v="1"/>
    <n v="0"/>
    <n v="0"/>
    <n v="1"/>
    <n v="1"/>
    <n v="1"/>
    <x v="2"/>
    <n v="1"/>
    <n v="0"/>
    <n v="0"/>
    <n v="0"/>
    <x v="1"/>
  </r>
  <r>
    <s v="A1WL6K3EUA2WOX"/>
    <x v="0"/>
    <n v="72"/>
    <s v="male"/>
    <x v="3"/>
    <x v="12"/>
    <n v="5336"/>
    <n v="1"/>
    <n v="1"/>
    <n v="1"/>
    <n v="0"/>
    <s v="NA"/>
    <s v="NA"/>
    <s v="NA"/>
    <s v="NA"/>
    <s v="NA"/>
    <s v="NA"/>
    <s v="NA"/>
    <x v="2"/>
    <x v="2"/>
    <n v="1"/>
    <n v="0"/>
    <n v="0"/>
    <n v="1"/>
    <n v="1"/>
    <n v="1"/>
    <x v="2"/>
    <n v="1"/>
    <n v="0"/>
    <n v="0"/>
    <n v="0"/>
    <x v="1"/>
  </r>
  <r>
    <s v="A1WL6K3EUA2WOX"/>
    <x v="0"/>
    <n v="72"/>
    <s v="male"/>
    <x v="4"/>
    <x v="0"/>
    <n v="49188"/>
    <s v="SHE SAYS GO FOR THE TOWN"/>
    <s v="NO"/>
    <s v="NICE TASK"/>
    <s v="NA"/>
    <s v="NA"/>
    <s v="NA"/>
    <s v="NA"/>
    <s v="NA"/>
    <s v="NA"/>
    <s v="NA"/>
    <s v="NA"/>
    <x v="0"/>
    <x v="0"/>
    <s v="NA"/>
    <s v="NA"/>
    <s v="NA"/>
    <s v="NA"/>
    <s v="NA"/>
    <s v="NA"/>
    <x v="0"/>
    <s v="NA"/>
    <s v="NA"/>
    <s v="NA"/>
    <s v="NA"/>
    <x v="1"/>
  </r>
  <r>
    <s v="A2APHZ2KOI1MPI"/>
    <x v="0"/>
    <n v="51"/>
    <s v="male"/>
    <x v="0"/>
    <x v="0"/>
    <n v="41911"/>
    <s v="NA"/>
    <s v="NA"/>
    <s v="NA"/>
    <s v="NA"/>
    <s v="NA"/>
    <s v="NA"/>
    <s v="NA"/>
    <s v="NA"/>
    <s v="NA"/>
    <s v="NA"/>
    <s v="NA"/>
    <x v="0"/>
    <x v="0"/>
    <s v="NA"/>
    <s v="NA"/>
    <s v="NA"/>
    <s v="NA"/>
    <s v="NA"/>
    <s v="NA"/>
    <x v="0"/>
    <s v="NA"/>
    <s v="NA"/>
    <s v="NA"/>
    <s v="NA"/>
    <x v="1"/>
  </r>
  <r>
    <s v="A2APHZ2KOI1MPI"/>
    <x v="0"/>
    <n v="51"/>
    <s v="male"/>
    <x v="1"/>
    <x v="2"/>
    <n v="38289"/>
    <n v="1"/>
    <n v="1"/>
    <n v="1"/>
    <n v="0"/>
    <s v="NA"/>
    <s v="NA"/>
    <s v="NA"/>
    <s v="NA"/>
    <s v="NA"/>
    <s v="NA"/>
    <s v="NA"/>
    <x v="0"/>
    <x v="0"/>
    <s v="NA"/>
    <s v="NA"/>
    <s v="NA"/>
    <s v="NA"/>
    <s v="NA"/>
    <s v="NA"/>
    <x v="0"/>
    <s v="NA"/>
    <s v="NA"/>
    <s v="NA"/>
    <s v="NA"/>
    <x v="1"/>
  </r>
  <r>
    <s v="A2APHZ2KOI1MPI"/>
    <x v="0"/>
    <n v="51"/>
    <s v="male"/>
    <x v="1"/>
    <x v="1"/>
    <n v="28666"/>
    <n v="1"/>
    <n v="1"/>
    <n v="1"/>
    <n v="0"/>
    <s v="NA"/>
    <s v="NA"/>
    <s v="NA"/>
    <s v="NA"/>
    <s v="NA"/>
    <s v="NA"/>
    <s v="NA"/>
    <x v="0"/>
    <x v="0"/>
    <s v="NA"/>
    <s v="NA"/>
    <s v="NA"/>
    <s v="NA"/>
    <s v="NA"/>
    <s v="NA"/>
    <x v="0"/>
    <s v="NA"/>
    <s v="NA"/>
    <s v="NA"/>
    <s v="NA"/>
    <x v="1"/>
  </r>
  <r>
    <s v="A2APHZ2KOI1MPI"/>
    <x v="0"/>
    <n v="51"/>
    <s v="male"/>
    <x v="2"/>
    <x v="4"/>
    <n v="45014"/>
    <n v="1"/>
    <n v="1"/>
    <n v="0"/>
    <n v="0"/>
    <s v="Stalls D and E."/>
    <s v="Stall F."/>
    <s v="Stalls A and B."/>
    <s v="ms-l"/>
    <s v="fa"/>
    <s v="ms-h"/>
    <n v="0"/>
    <x v="1"/>
    <x v="2"/>
    <n v="1"/>
    <n v="1"/>
    <n v="0"/>
    <n v="1"/>
    <n v="0"/>
    <n v="0"/>
    <x v="2"/>
    <n v="0"/>
    <n v="1"/>
    <n v="0"/>
    <n v="0"/>
    <x v="1"/>
  </r>
  <r>
    <s v="A2APHZ2KOI1MPI"/>
    <x v="0"/>
    <n v="51"/>
    <s v="male"/>
    <x v="2"/>
    <x v="9"/>
    <n v="6157"/>
    <n v="1"/>
    <n v="1"/>
    <n v="0"/>
    <n v="0"/>
    <s v="Stores A and B."/>
    <s v="Stores D and E."/>
    <s v="Store A."/>
    <s v="ms-h"/>
    <s v="ms-l"/>
    <s v="mo-h"/>
    <n v="0"/>
    <x v="2"/>
    <x v="2"/>
    <n v="1"/>
    <n v="1"/>
    <n v="0"/>
    <n v="1"/>
    <n v="0"/>
    <n v="0"/>
    <x v="2"/>
    <n v="1"/>
    <n v="1"/>
    <n v="0"/>
    <n v="0"/>
    <x v="1"/>
  </r>
  <r>
    <s v="A2APHZ2KOI1MPI"/>
    <x v="0"/>
    <n v="51"/>
    <s v="male"/>
    <x v="3"/>
    <x v="10"/>
    <n v="22222"/>
    <n v="1"/>
    <n v="1"/>
    <n v="0"/>
    <n v="0"/>
    <s v="NA"/>
    <s v="NA"/>
    <s v="NA"/>
    <s v="NA"/>
    <s v="NA"/>
    <s v="NA"/>
    <s v="NA"/>
    <x v="2"/>
    <x v="2"/>
    <n v="1"/>
    <n v="1"/>
    <n v="0"/>
    <n v="1"/>
    <n v="0"/>
    <n v="0"/>
    <x v="2"/>
    <n v="1"/>
    <n v="1"/>
    <n v="0"/>
    <n v="0"/>
    <x v="1"/>
  </r>
  <r>
    <s v="A2APHZ2KOI1MPI"/>
    <x v="0"/>
    <n v="51"/>
    <s v="male"/>
    <x v="2"/>
    <x v="11"/>
    <n v="9090"/>
    <n v="1"/>
    <n v="1"/>
    <n v="0"/>
    <n v="0"/>
    <s v="Dentists D and E."/>
    <s v="Dentist E."/>
    <s v="Dentists A and B."/>
    <s v="ms-l"/>
    <s v="mo-l"/>
    <s v="ms-h"/>
    <n v="0"/>
    <x v="1"/>
    <x v="1"/>
    <n v="1"/>
    <n v="1"/>
    <n v="0"/>
    <n v="1"/>
    <n v="0"/>
    <n v="0"/>
    <x v="1"/>
    <n v="0"/>
    <n v="1"/>
    <n v="0"/>
    <n v="0"/>
    <x v="1"/>
  </r>
  <r>
    <s v="A2APHZ2KOI1MPI"/>
    <x v="0"/>
    <n v="51"/>
    <s v="male"/>
    <x v="2"/>
    <x v="7"/>
    <n v="5078"/>
    <n v="0"/>
    <n v="1"/>
    <n v="1"/>
    <n v="0"/>
    <s v="Stylist A."/>
    <s v="Stylists D and E."/>
    <s v="Stylist E."/>
    <s v="mo-h"/>
    <s v="ms-l"/>
    <s v="mo-l"/>
    <n v="0"/>
    <x v="2"/>
    <x v="1"/>
    <n v="0"/>
    <n v="1"/>
    <n v="0"/>
    <n v="1"/>
    <n v="0"/>
    <n v="0"/>
    <x v="1"/>
    <n v="0"/>
    <n v="1"/>
    <n v="0"/>
    <n v="0"/>
    <x v="1"/>
  </r>
  <r>
    <s v="A2APHZ2KOI1MPI"/>
    <x v="0"/>
    <n v="51"/>
    <s v="male"/>
    <x v="3"/>
    <x v="12"/>
    <n v="4777"/>
    <n v="0"/>
    <n v="1"/>
    <n v="1"/>
    <n v="0"/>
    <s v="NA"/>
    <s v="NA"/>
    <s v="NA"/>
    <s v="NA"/>
    <s v="NA"/>
    <s v="NA"/>
    <s v="NA"/>
    <x v="2"/>
    <x v="1"/>
    <n v="0"/>
    <n v="1"/>
    <n v="0"/>
    <n v="1"/>
    <n v="0"/>
    <n v="0"/>
    <x v="1"/>
    <n v="0"/>
    <n v="1"/>
    <n v="0"/>
    <n v="0"/>
    <x v="1"/>
  </r>
  <r>
    <s v="A2APHZ2KOI1MPI"/>
    <x v="0"/>
    <n v="51"/>
    <s v="male"/>
    <x v="2"/>
    <x v="3"/>
    <n v="9766"/>
    <n v="1"/>
    <n v="1"/>
    <n v="0"/>
    <n v="0"/>
    <s v="Cafe E."/>
    <s v="Cafe F."/>
    <s v="Cafe A."/>
    <s v="mo-l"/>
    <s v="fa"/>
    <s v="mo-h"/>
    <n v="0"/>
    <x v="2"/>
    <x v="1"/>
    <n v="0"/>
    <n v="0"/>
    <n v="0"/>
    <n v="1"/>
    <n v="0"/>
    <n v="0"/>
    <x v="1"/>
    <n v="0"/>
    <n v="0"/>
    <n v="0"/>
    <n v="0"/>
    <x v="1"/>
  </r>
  <r>
    <s v="A2APHZ2KOI1MPI"/>
    <x v="0"/>
    <n v="51"/>
    <s v="male"/>
    <x v="3"/>
    <x v="5"/>
    <n v="5645"/>
    <n v="1"/>
    <n v="1"/>
    <n v="0"/>
    <n v="0"/>
    <s v="NA"/>
    <s v="NA"/>
    <s v="NA"/>
    <s v="NA"/>
    <s v="NA"/>
    <s v="NA"/>
    <s v="NA"/>
    <x v="2"/>
    <x v="1"/>
    <n v="0"/>
    <n v="0"/>
    <n v="0"/>
    <n v="1"/>
    <n v="0"/>
    <n v="0"/>
    <x v="1"/>
    <n v="0"/>
    <n v="0"/>
    <n v="0"/>
    <n v="0"/>
    <x v="1"/>
  </r>
  <r>
    <s v="A2APHZ2KOI1MPI"/>
    <x v="0"/>
    <n v="51"/>
    <s v="male"/>
    <x v="2"/>
    <x v="6"/>
    <n v="4521"/>
    <n v="0"/>
    <n v="1"/>
    <n v="1"/>
    <n v="0"/>
    <s v="Bookstore A."/>
    <s v="Bookstores D and E."/>
    <s v="Bookstore E."/>
    <s v="mo-h"/>
    <s v="ms-l"/>
    <s v="mo-l"/>
    <n v="0"/>
    <x v="2"/>
    <x v="1"/>
    <n v="0"/>
    <n v="1"/>
    <n v="0"/>
    <n v="1"/>
    <n v="0"/>
    <n v="0"/>
    <x v="1"/>
    <n v="0"/>
    <n v="1"/>
    <n v="0"/>
    <n v="0"/>
    <x v="1"/>
  </r>
  <r>
    <s v="A2APHZ2KOI1MPI"/>
    <x v="0"/>
    <n v="51"/>
    <s v="male"/>
    <x v="3"/>
    <x v="8"/>
    <n v="4498"/>
    <n v="1"/>
    <n v="1"/>
    <n v="0"/>
    <n v="0"/>
    <s v="NA"/>
    <s v="NA"/>
    <s v="NA"/>
    <s v="NA"/>
    <s v="NA"/>
    <s v="NA"/>
    <s v="NA"/>
    <x v="2"/>
    <x v="1"/>
    <n v="0"/>
    <n v="1"/>
    <n v="0"/>
    <n v="1"/>
    <n v="0"/>
    <n v="0"/>
    <x v="1"/>
    <n v="0"/>
    <n v="1"/>
    <n v="0"/>
    <n v="0"/>
    <x v="1"/>
  </r>
  <r>
    <s v="A2APHZ2KOI1MPI"/>
    <x v="0"/>
    <n v="51"/>
    <s v="male"/>
    <x v="4"/>
    <x v="0"/>
    <n v="58911"/>
    <s v="she is also go for that place so ask that"/>
    <s v="no difficult"/>
    <s v="good"/>
    <s v="NA"/>
    <s v="NA"/>
    <s v="NA"/>
    <s v="NA"/>
    <s v="NA"/>
    <s v="NA"/>
    <s v="NA"/>
    <s v="NA"/>
    <x v="0"/>
    <x v="0"/>
    <s v="NA"/>
    <s v="NA"/>
    <s v="NA"/>
    <s v="NA"/>
    <s v="NA"/>
    <s v="NA"/>
    <x v="0"/>
    <s v="NA"/>
    <s v="NA"/>
    <s v="NA"/>
    <s v="NA"/>
    <x v="1"/>
  </r>
  <r>
    <s v="A1C7XI68SED8JE"/>
    <x v="0"/>
    <n v="35"/>
    <s v="female"/>
    <x v="0"/>
    <x v="0"/>
    <n v="29931"/>
    <s v="NA"/>
    <s v="NA"/>
    <s v="NA"/>
    <s v="NA"/>
    <s v="NA"/>
    <s v="NA"/>
    <s v="NA"/>
    <s v="NA"/>
    <s v="NA"/>
    <s v="NA"/>
    <s v="NA"/>
    <x v="0"/>
    <x v="0"/>
    <s v="NA"/>
    <s v="NA"/>
    <s v="NA"/>
    <s v="NA"/>
    <s v="NA"/>
    <s v="NA"/>
    <x v="0"/>
    <s v="NA"/>
    <s v="NA"/>
    <s v="NA"/>
    <s v="NA"/>
    <x v="1"/>
  </r>
  <r>
    <s v="A1C7XI68SED8JE"/>
    <x v="0"/>
    <n v="35"/>
    <s v="female"/>
    <x v="1"/>
    <x v="1"/>
    <n v="39429"/>
    <n v="0"/>
    <n v="0"/>
    <n v="0"/>
    <n v="1"/>
    <s v="NA"/>
    <s v="NA"/>
    <s v="NA"/>
    <s v="NA"/>
    <s v="NA"/>
    <s v="NA"/>
    <s v="NA"/>
    <x v="0"/>
    <x v="0"/>
    <s v="NA"/>
    <s v="NA"/>
    <s v="NA"/>
    <s v="NA"/>
    <s v="NA"/>
    <s v="NA"/>
    <x v="0"/>
    <s v="NA"/>
    <s v="NA"/>
    <s v="NA"/>
    <s v="NA"/>
    <x v="1"/>
  </r>
  <r>
    <s v="A1C7XI68SED8JE"/>
    <x v="0"/>
    <n v="35"/>
    <s v="female"/>
    <x v="1"/>
    <x v="2"/>
    <n v="39903"/>
    <n v="0"/>
    <n v="0"/>
    <n v="1"/>
    <n v="0"/>
    <s v="NA"/>
    <s v="NA"/>
    <s v="NA"/>
    <s v="NA"/>
    <s v="NA"/>
    <s v="NA"/>
    <s v="NA"/>
    <x v="0"/>
    <x v="0"/>
    <s v="NA"/>
    <s v="NA"/>
    <s v="NA"/>
    <s v="NA"/>
    <s v="NA"/>
    <s v="NA"/>
    <x v="0"/>
    <s v="NA"/>
    <s v="NA"/>
    <s v="NA"/>
    <s v="NA"/>
    <x v="1"/>
  </r>
  <r>
    <s v="A1C7XI68SED8JE"/>
    <x v="0"/>
    <n v="35"/>
    <s v="female"/>
    <x v="2"/>
    <x v="9"/>
    <n v="38899"/>
    <n v="1"/>
    <n v="1"/>
    <n v="1"/>
    <n v="0"/>
    <s v="Stores A, B, C, D and E."/>
    <s v="Stores A and B."/>
    <s v="Store E."/>
    <s v="exh"/>
    <s v="ms-h"/>
    <s v="mo-l"/>
    <n v="1"/>
    <x v="1"/>
    <x v="1"/>
    <n v="1"/>
    <n v="0"/>
    <n v="0"/>
    <n v="1"/>
    <n v="1"/>
    <n v="0"/>
    <x v="1"/>
    <n v="1"/>
    <n v="0"/>
    <n v="0"/>
    <n v="0"/>
    <x v="1"/>
  </r>
  <r>
    <s v="A1C7XI68SED8JE"/>
    <x v="0"/>
    <n v="35"/>
    <s v="female"/>
    <x v="2"/>
    <x v="3"/>
    <n v="21350"/>
    <n v="1"/>
    <n v="1"/>
    <n v="1"/>
    <n v="0"/>
    <s v="Cafe E."/>
    <s v="Cafes A, B, C, D and E."/>
    <s v="Cafe A."/>
    <s v="mo-l"/>
    <s v="exh"/>
    <s v="mo-h"/>
    <n v="1"/>
    <x v="2"/>
    <x v="1"/>
    <n v="0"/>
    <n v="0"/>
    <n v="0"/>
    <n v="1"/>
    <n v="1"/>
    <n v="1"/>
    <x v="1"/>
    <n v="0"/>
    <n v="0"/>
    <n v="0"/>
    <n v="0"/>
    <x v="1"/>
  </r>
  <r>
    <s v="A1C7XI68SED8JE"/>
    <x v="0"/>
    <n v="35"/>
    <s v="female"/>
    <x v="3"/>
    <x v="12"/>
    <n v="19325"/>
    <n v="1"/>
    <n v="1"/>
    <n v="0"/>
    <n v="0"/>
    <s v="NA"/>
    <s v="NA"/>
    <s v="NA"/>
    <s v="NA"/>
    <s v="NA"/>
    <s v="NA"/>
    <s v="NA"/>
    <x v="2"/>
    <x v="1"/>
    <n v="0"/>
    <n v="0"/>
    <n v="0"/>
    <n v="1"/>
    <n v="1"/>
    <n v="1"/>
    <x v="1"/>
    <n v="0"/>
    <n v="0"/>
    <n v="0"/>
    <n v="0"/>
    <x v="1"/>
  </r>
  <r>
    <s v="A1C7XI68SED8JE"/>
    <x v="0"/>
    <n v="35"/>
    <s v="female"/>
    <x v="2"/>
    <x v="6"/>
    <n v="20586"/>
    <n v="1"/>
    <n v="1"/>
    <n v="1"/>
    <n v="0"/>
    <s v="Bookstores A and B."/>
    <s v="Bookstores A, B, C, D and E."/>
    <s v="Bookstores D and E."/>
    <s v="ms-h"/>
    <s v="exh"/>
    <s v="ms-l"/>
    <n v="1"/>
    <x v="1"/>
    <x v="2"/>
    <n v="1"/>
    <n v="1"/>
    <n v="0"/>
    <n v="1"/>
    <n v="1"/>
    <n v="0"/>
    <x v="2"/>
    <n v="1"/>
    <n v="1"/>
    <n v="0"/>
    <n v="0"/>
    <x v="1"/>
  </r>
  <r>
    <s v="A1C7XI68SED8JE"/>
    <x v="0"/>
    <n v="35"/>
    <s v="female"/>
    <x v="2"/>
    <x v="7"/>
    <n v="17740"/>
    <n v="1"/>
    <n v="1"/>
    <n v="1"/>
    <n v="0"/>
    <s v="Stylists D and E."/>
    <s v="Stylists A and B."/>
    <s v="Stylists A, B, C, D and E."/>
    <s v="ms-l"/>
    <s v="ms-h"/>
    <s v="exh"/>
    <n v="1"/>
    <x v="1"/>
    <x v="2"/>
    <n v="1"/>
    <n v="1"/>
    <n v="0"/>
    <n v="1"/>
    <n v="1"/>
    <n v="0"/>
    <x v="2"/>
    <n v="1"/>
    <n v="1"/>
    <n v="0"/>
    <n v="0"/>
    <x v="1"/>
  </r>
  <r>
    <s v="A1C7XI68SED8JE"/>
    <x v="0"/>
    <n v="35"/>
    <s v="female"/>
    <x v="3"/>
    <x v="8"/>
    <n v="33433"/>
    <n v="1"/>
    <n v="0"/>
    <n v="0"/>
    <n v="0"/>
    <s v="NA"/>
    <s v="NA"/>
    <s v="NA"/>
    <s v="NA"/>
    <s v="NA"/>
    <s v="NA"/>
    <s v="NA"/>
    <x v="1"/>
    <x v="2"/>
    <n v="1"/>
    <n v="1"/>
    <n v="0"/>
    <n v="1"/>
    <n v="1"/>
    <n v="0"/>
    <x v="2"/>
    <n v="1"/>
    <n v="1"/>
    <n v="0"/>
    <n v="0"/>
    <x v="1"/>
  </r>
  <r>
    <s v="A1C7XI68SED8JE"/>
    <x v="0"/>
    <n v="35"/>
    <s v="female"/>
    <x v="2"/>
    <x v="4"/>
    <n v="19551"/>
    <n v="1"/>
    <n v="1"/>
    <n v="1"/>
    <n v="0"/>
    <s v="Stall A."/>
    <s v="Stalls A and B."/>
    <s v="Stall E."/>
    <s v="mo-h"/>
    <s v="ms-h"/>
    <s v="mo-l"/>
    <n v="0"/>
    <x v="2"/>
    <x v="1"/>
    <n v="1"/>
    <n v="0"/>
    <n v="0"/>
    <n v="1"/>
    <n v="0"/>
    <n v="1"/>
    <x v="1"/>
    <n v="1"/>
    <n v="0"/>
    <n v="0"/>
    <n v="0"/>
    <x v="1"/>
  </r>
  <r>
    <s v="A1C7XI68SED8JE"/>
    <x v="0"/>
    <n v="35"/>
    <s v="female"/>
    <x v="3"/>
    <x v="5"/>
    <n v="23026"/>
    <n v="0"/>
    <n v="0"/>
    <n v="1"/>
    <n v="0"/>
    <s v="NA"/>
    <s v="NA"/>
    <s v="NA"/>
    <s v="NA"/>
    <s v="NA"/>
    <s v="NA"/>
    <s v="NA"/>
    <x v="2"/>
    <x v="1"/>
    <n v="1"/>
    <n v="0"/>
    <n v="0"/>
    <n v="1"/>
    <n v="0"/>
    <n v="1"/>
    <x v="1"/>
    <n v="1"/>
    <n v="0"/>
    <n v="0"/>
    <n v="0"/>
    <x v="1"/>
  </r>
  <r>
    <s v="A1C7XI68SED8JE"/>
    <x v="0"/>
    <n v="35"/>
    <s v="female"/>
    <x v="2"/>
    <x v="11"/>
    <n v="12873"/>
    <n v="0"/>
    <n v="1"/>
    <n v="0"/>
    <n v="0"/>
    <s v="Dentist F."/>
    <s v="Dentists D and E."/>
    <s v="Dentist E."/>
    <s v="fa"/>
    <s v="ms-l"/>
    <s v="mo-l"/>
    <n v="0"/>
    <x v="1"/>
    <x v="1"/>
    <n v="0"/>
    <n v="1"/>
    <n v="0"/>
    <n v="1"/>
    <n v="0"/>
    <n v="0"/>
    <x v="2"/>
    <n v="0"/>
    <n v="1"/>
    <n v="0"/>
    <n v="0"/>
    <x v="1"/>
  </r>
  <r>
    <s v="A1C7XI68SED8JE"/>
    <x v="0"/>
    <n v="35"/>
    <s v="female"/>
    <x v="3"/>
    <x v="10"/>
    <n v="21163"/>
    <n v="1"/>
    <n v="1"/>
    <n v="0"/>
    <n v="0"/>
    <s v="NA"/>
    <s v="NA"/>
    <s v="NA"/>
    <s v="NA"/>
    <s v="NA"/>
    <s v="NA"/>
    <s v="NA"/>
    <x v="1"/>
    <x v="1"/>
    <n v="0"/>
    <n v="1"/>
    <n v="0"/>
    <n v="1"/>
    <n v="0"/>
    <n v="0"/>
    <x v="2"/>
    <n v="0"/>
    <n v="1"/>
    <n v="0"/>
    <n v="0"/>
    <x v="1"/>
  </r>
  <r>
    <s v="A1C7XI68SED8JE"/>
    <x v="0"/>
    <n v="35"/>
    <s v="female"/>
    <x v="4"/>
    <x v="0"/>
    <n v="27099"/>
    <s v="no%2C it's the same thing"/>
    <m/>
    <m/>
    <s v="NA"/>
    <s v="NA"/>
    <s v="NA"/>
    <s v="NA"/>
    <s v="NA"/>
    <s v="NA"/>
    <s v="NA"/>
    <s v="NA"/>
    <x v="0"/>
    <x v="0"/>
    <s v="NA"/>
    <s v="NA"/>
    <s v="NA"/>
    <s v="NA"/>
    <s v="NA"/>
    <s v="NA"/>
    <x v="0"/>
    <s v="NA"/>
    <s v="NA"/>
    <s v="NA"/>
    <s v="NA"/>
    <x v="1"/>
  </r>
  <r>
    <s v="A15340BRCER2UO"/>
    <x v="0"/>
    <n v="38"/>
    <s v="male"/>
    <x v="0"/>
    <x v="0"/>
    <n v="39463"/>
    <s v="NA"/>
    <s v="NA"/>
    <s v="NA"/>
    <s v="NA"/>
    <s v="NA"/>
    <s v="NA"/>
    <s v="NA"/>
    <s v="NA"/>
    <s v="NA"/>
    <s v="NA"/>
    <s v="NA"/>
    <x v="0"/>
    <x v="0"/>
    <s v="NA"/>
    <s v="NA"/>
    <s v="NA"/>
    <s v="NA"/>
    <s v="NA"/>
    <s v="NA"/>
    <x v="0"/>
    <s v="NA"/>
    <s v="NA"/>
    <s v="NA"/>
    <s v="NA"/>
    <x v="1"/>
  </r>
  <r>
    <s v="A15340BRCER2UO"/>
    <x v="0"/>
    <n v="38"/>
    <s v="male"/>
    <x v="1"/>
    <x v="1"/>
    <n v="25302"/>
    <n v="0"/>
    <n v="0"/>
    <n v="0"/>
    <n v="1"/>
    <s v="NA"/>
    <s v="NA"/>
    <s v="NA"/>
    <s v="NA"/>
    <s v="NA"/>
    <s v="NA"/>
    <s v="NA"/>
    <x v="0"/>
    <x v="0"/>
    <s v="NA"/>
    <s v="NA"/>
    <s v="NA"/>
    <s v="NA"/>
    <s v="NA"/>
    <s v="NA"/>
    <x v="0"/>
    <s v="NA"/>
    <s v="NA"/>
    <s v="NA"/>
    <s v="NA"/>
    <x v="1"/>
  </r>
  <r>
    <s v="A15340BRCER2UO"/>
    <x v="0"/>
    <n v="38"/>
    <s v="male"/>
    <x v="1"/>
    <x v="2"/>
    <n v="22346"/>
    <n v="0"/>
    <n v="0"/>
    <n v="1"/>
    <n v="0"/>
    <s v="NA"/>
    <s v="NA"/>
    <s v="NA"/>
    <s v="NA"/>
    <s v="NA"/>
    <s v="NA"/>
    <s v="NA"/>
    <x v="0"/>
    <x v="0"/>
    <s v="NA"/>
    <s v="NA"/>
    <s v="NA"/>
    <s v="NA"/>
    <s v="NA"/>
    <s v="NA"/>
    <x v="0"/>
    <s v="NA"/>
    <s v="NA"/>
    <s v="NA"/>
    <s v="NA"/>
    <x v="1"/>
  </r>
  <r>
    <s v="A15340BRCER2UO"/>
    <x v="0"/>
    <n v="38"/>
    <s v="male"/>
    <x v="2"/>
    <x v="7"/>
    <n v="42898"/>
    <n v="0"/>
    <n v="1"/>
    <n v="0"/>
    <n v="0"/>
    <s v="Stylist F."/>
    <s v="Stylist A."/>
    <s v="Stylists D and E."/>
    <s v="fa"/>
    <s v="mo-h"/>
    <s v="ms-l"/>
    <n v="0"/>
    <x v="2"/>
    <x v="2"/>
    <n v="0"/>
    <n v="1"/>
    <n v="0"/>
    <n v="1"/>
    <n v="0"/>
    <n v="1"/>
    <x v="2"/>
    <n v="0"/>
    <n v="0"/>
    <n v="0"/>
    <n v="0"/>
    <x v="1"/>
  </r>
  <r>
    <s v="A15340BRCER2UO"/>
    <x v="0"/>
    <n v="38"/>
    <s v="male"/>
    <x v="2"/>
    <x v="9"/>
    <n v="16610"/>
    <n v="1"/>
    <n v="0"/>
    <n v="0"/>
    <n v="0"/>
    <s v="Store A."/>
    <s v="Stores A, B, C, D and E."/>
    <s v="Stores D and E."/>
    <s v="mo-h"/>
    <s v="exh"/>
    <s v="ms-l"/>
    <n v="1"/>
    <x v="2"/>
    <x v="2"/>
    <n v="0"/>
    <n v="1"/>
    <n v="0"/>
    <n v="1"/>
    <n v="0"/>
    <n v="1"/>
    <x v="2"/>
    <n v="0"/>
    <n v="0"/>
    <n v="0"/>
    <n v="0"/>
    <x v="1"/>
  </r>
  <r>
    <s v="A15340BRCER2UO"/>
    <x v="0"/>
    <n v="38"/>
    <s v="male"/>
    <x v="3"/>
    <x v="5"/>
    <n v="24107"/>
    <n v="1"/>
    <n v="1"/>
    <n v="1"/>
    <n v="0"/>
    <s v="NA"/>
    <s v="NA"/>
    <s v="NA"/>
    <s v="NA"/>
    <s v="NA"/>
    <s v="NA"/>
    <s v="NA"/>
    <x v="2"/>
    <x v="2"/>
    <n v="0"/>
    <n v="1"/>
    <n v="0"/>
    <n v="1"/>
    <n v="0"/>
    <n v="1"/>
    <x v="2"/>
    <n v="0"/>
    <n v="0"/>
    <n v="0"/>
    <n v="0"/>
    <x v="1"/>
  </r>
  <r>
    <s v="A15340BRCER2UO"/>
    <x v="0"/>
    <n v="38"/>
    <s v="male"/>
    <x v="2"/>
    <x v="3"/>
    <n v="13939"/>
    <n v="1"/>
    <n v="0"/>
    <n v="0"/>
    <n v="0"/>
    <s v="Cafes A, B, C, D and E."/>
    <s v="Cafe E."/>
    <s v="Cafe F."/>
    <s v="exh"/>
    <s v="mo-l"/>
    <s v="fa"/>
    <n v="1"/>
    <x v="1"/>
    <x v="1"/>
    <n v="0"/>
    <n v="0"/>
    <n v="0"/>
    <n v="1"/>
    <n v="1"/>
    <n v="0"/>
    <x v="2"/>
    <n v="0"/>
    <n v="0"/>
    <n v="0"/>
    <n v="0"/>
    <x v="1"/>
  </r>
  <r>
    <s v="A15340BRCER2UO"/>
    <x v="0"/>
    <n v="38"/>
    <s v="male"/>
    <x v="2"/>
    <x v="4"/>
    <n v="15443"/>
    <n v="1"/>
    <n v="0"/>
    <n v="0"/>
    <n v="0"/>
    <s v="Stall A."/>
    <s v="Stalls A and B."/>
    <s v="Stall F."/>
    <s v="mo-h"/>
    <s v="ms-h"/>
    <s v="fa"/>
    <n v="0"/>
    <x v="2"/>
    <x v="2"/>
    <n v="1"/>
    <n v="0"/>
    <n v="0"/>
    <n v="1"/>
    <n v="0"/>
    <n v="1"/>
    <x v="2"/>
    <n v="0"/>
    <n v="0"/>
    <n v="0"/>
    <n v="0"/>
    <x v="1"/>
  </r>
  <r>
    <s v="A15340BRCER2UO"/>
    <x v="0"/>
    <n v="38"/>
    <s v="male"/>
    <x v="3"/>
    <x v="8"/>
    <n v="20191"/>
    <n v="1"/>
    <n v="0"/>
    <n v="0"/>
    <n v="0"/>
    <s v="NA"/>
    <s v="NA"/>
    <s v="NA"/>
    <s v="NA"/>
    <s v="NA"/>
    <s v="NA"/>
    <s v="NA"/>
    <x v="2"/>
    <x v="2"/>
    <n v="1"/>
    <n v="0"/>
    <n v="0"/>
    <n v="1"/>
    <n v="0"/>
    <n v="1"/>
    <x v="2"/>
    <n v="0"/>
    <n v="0"/>
    <n v="0"/>
    <n v="0"/>
    <x v="1"/>
  </r>
  <r>
    <s v="A15340BRCER2UO"/>
    <x v="0"/>
    <n v="38"/>
    <s v="male"/>
    <x v="2"/>
    <x v="11"/>
    <n v="7121"/>
    <n v="1"/>
    <n v="0"/>
    <n v="0"/>
    <n v="0"/>
    <s v="Dentist A."/>
    <s v="Dentists D and E."/>
    <s v="Dentist F."/>
    <s v="mo-h"/>
    <s v="ms-l"/>
    <s v="fa"/>
    <n v="0"/>
    <x v="2"/>
    <x v="2"/>
    <n v="0"/>
    <n v="1"/>
    <n v="0"/>
    <n v="1"/>
    <n v="0"/>
    <n v="1"/>
    <x v="2"/>
    <n v="0"/>
    <n v="0"/>
    <n v="0"/>
    <n v="0"/>
    <x v="1"/>
  </r>
  <r>
    <s v="A15340BRCER2UO"/>
    <x v="0"/>
    <n v="38"/>
    <s v="male"/>
    <x v="3"/>
    <x v="12"/>
    <n v="7587"/>
    <n v="1"/>
    <n v="0"/>
    <n v="0"/>
    <n v="0"/>
    <s v="NA"/>
    <s v="NA"/>
    <s v="NA"/>
    <s v="NA"/>
    <s v="NA"/>
    <s v="NA"/>
    <s v="NA"/>
    <x v="2"/>
    <x v="2"/>
    <n v="0"/>
    <n v="1"/>
    <n v="0"/>
    <n v="1"/>
    <n v="0"/>
    <n v="1"/>
    <x v="2"/>
    <n v="0"/>
    <n v="0"/>
    <n v="0"/>
    <n v="0"/>
    <x v="1"/>
  </r>
  <r>
    <s v="A15340BRCER2UO"/>
    <x v="0"/>
    <n v="38"/>
    <s v="male"/>
    <x v="2"/>
    <x v="6"/>
    <n v="9974"/>
    <n v="0"/>
    <n v="1"/>
    <n v="0"/>
    <n v="0"/>
    <s v="Bookstore E."/>
    <s v="Bookstores A and B."/>
    <s v="Bookstores A, B, C, D and E."/>
    <s v="mo-l"/>
    <s v="ms-h"/>
    <s v="exh"/>
    <n v="1"/>
    <x v="1"/>
    <x v="1"/>
    <n v="1"/>
    <n v="0"/>
    <n v="0"/>
    <n v="1"/>
    <n v="0"/>
    <n v="0"/>
    <x v="2"/>
    <n v="1"/>
    <n v="0"/>
    <n v="0"/>
    <n v="0"/>
    <x v="1"/>
  </r>
  <r>
    <s v="A15340BRCER2UO"/>
    <x v="0"/>
    <n v="38"/>
    <s v="male"/>
    <x v="3"/>
    <x v="10"/>
    <n v="31465"/>
    <n v="0"/>
    <n v="0"/>
    <n v="1"/>
    <n v="0"/>
    <s v="NA"/>
    <s v="NA"/>
    <s v="NA"/>
    <s v="NA"/>
    <s v="NA"/>
    <s v="NA"/>
    <s v="NA"/>
    <x v="1"/>
    <x v="1"/>
    <n v="1"/>
    <n v="0"/>
    <n v="0"/>
    <n v="1"/>
    <n v="0"/>
    <n v="0"/>
    <x v="2"/>
    <n v="1"/>
    <n v="0"/>
    <n v="0"/>
    <n v="0"/>
    <x v="1"/>
  </r>
  <r>
    <s v="A15340BRCER2UO"/>
    <x v="0"/>
    <n v="38"/>
    <s v="male"/>
    <x v="4"/>
    <x v="0"/>
    <n v="53222"/>
    <s v="No%2C to me they both mean the same thing"/>
    <s v="It was fine. A little strange and took some concentration%2C but nothing too difficult"/>
    <s v="No further comment%2C thanks"/>
    <s v="NA"/>
    <s v="NA"/>
    <s v="NA"/>
    <s v="NA"/>
    <s v="NA"/>
    <s v="NA"/>
    <s v="NA"/>
    <s v="NA"/>
    <x v="0"/>
    <x v="0"/>
    <s v="NA"/>
    <s v="NA"/>
    <s v="NA"/>
    <s v="NA"/>
    <s v="NA"/>
    <s v="NA"/>
    <x v="0"/>
    <s v="NA"/>
    <s v="NA"/>
    <s v="NA"/>
    <s v="NA"/>
    <x v="1"/>
  </r>
  <r>
    <s v="AL5UXD1GLG4X0"/>
    <x v="0"/>
    <n v="34"/>
    <s v="female"/>
    <x v="0"/>
    <x v="0"/>
    <n v="41492"/>
    <s v="NA"/>
    <s v="NA"/>
    <s v="NA"/>
    <s v="NA"/>
    <s v="NA"/>
    <s v="NA"/>
    <s v="NA"/>
    <s v="NA"/>
    <s v="NA"/>
    <s v="NA"/>
    <s v="NA"/>
    <x v="0"/>
    <x v="0"/>
    <s v="NA"/>
    <s v="NA"/>
    <s v="NA"/>
    <s v="NA"/>
    <s v="NA"/>
    <s v="NA"/>
    <x v="0"/>
    <s v="NA"/>
    <s v="NA"/>
    <s v="NA"/>
    <s v="NA"/>
    <x v="1"/>
  </r>
  <r>
    <s v="AL5UXD1GLG4X0"/>
    <x v="0"/>
    <n v="34"/>
    <s v="female"/>
    <x v="1"/>
    <x v="2"/>
    <n v="30787"/>
    <n v="0"/>
    <n v="1"/>
    <n v="0"/>
    <n v="0"/>
    <s v="NA"/>
    <s v="NA"/>
    <s v="NA"/>
    <s v="NA"/>
    <s v="NA"/>
    <s v="NA"/>
    <s v="NA"/>
    <x v="0"/>
    <x v="0"/>
    <s v="NA"/>
    <s v="NA"/>
    <s v="NA"/>
    <s v="NA"/>
    <s v="NA"/>
    <s v="NA"/>
    <x v="0"/>
    <s v="NA"/>
    <s v="NA"/>
    <s v="NA"/>
    <s v="NA"/>
    <x v="1"/>
  </r>
  <r>
    <s v="AL5UXD1GLG4X0"/>
    <x v="0"/>
    <n v="34"/>
    <s v="female"/>
    <x v="1"/>
    <x v="1"/>
    <n v="40157"/>
    <n v="0"/>
    <n v="0"/>
    <n v="0"/>
    <n v="1"/>
    <s v="NA"/>
    <s v="NA"/>
    <s v="NA"/>
    <s v="NA"/>
    <s v="NA"/>
    <s v="NA"/>
    <s v="NA"/>
    <x v="0"/>
    <x v="0"/>
    <s v="NA"/>
    <s v="NA"/>
    <s v="NA"/>
    <s v="NA"/>
    <s v="NA"/>
    <s v="NA"/>
    <x v="0"/>
    <s v="NA"/>
    <s v="NA"/>
    <s v="NA"/>
    <s v="NA"/>
    <x v="1"/>
  </r>
  <r>
    <s v="AL5UXD1GLG4X0"/>
    <x v="0"/>
    <n v="34"/>
    <s v="female"/>
    <x v="2"/>
    <x v="9"/>
    <n v="64706"/>
    <n v="1"/>
    <n v="0"/>
    <n v="0"/>
    <n v="0"/>
    <s v="Stores A and B."/>
    <s v="Store E."/>
    <s v="Stores D and E."/>
    <s v="ms-h"/>
    <s v="mo-l"/>
    <s v="ms-l"/>
    <n v="0"/>
    <x v="1"/>
    <x v="1"/>
    <n v="1"/>
    <n v="1"/>
    <n v="0"/>
    <n v="1"/>
    <n v="0"/>
    <n v="0"/>
    <x v="2"/>
    <n v="1"/>
    <n v="0"/>
    <n v="0"/>
    <n v="0"/>
    <x v="1"/>
  </r>
  <r>
    <s v="AL5UXD1GLG4X0"/>
    <x v="0"/>
    <n v="34"/>
    <s v="female"/>
    <x v="2"/>
    <x v="6"/>
    <n v="33536"/>
    <n v="1"/>
    <n v="0"/>
    <n v="0"/>
    <n v="0"/>
    <s v="Bookstores A and B."/>
    <s v="Bookstore F."/>
    <s v="Bookstores A, B, C, D and E."/>
    <s v="ms-h"/>
    <s v="fa"/>
    <s v="exh"/>
    <n v="1"/>
    <x v="1"/>
    <x v="2"/>
    <n v="1"/>
    <n v="0"/>
    <n v="0"/>
    <n v="1"/>
    <n v="0"/>
    <n v="0"/>
    <x v="2"/>
    <n v="1"/>
    <n v="0"/>
    <n v="0"/>
    <n v="0"/>
    <x v="1"/>
  </r>
  <r>
    <s v="AL5UXD1GLG4X0"/>
    <x v="0"/>
    <n v="34"/>
    <s v="female"/>
    <x v="3"/>
    <x v="8"/>
    <n v="24101"/>
    <n v="1"/>
    <n v="0"/>
    <n v="0"/>
    <n v="0"/>
    <s v="NA"/>
    <s v="NA"/>
    <s v="NA"/>
    <s v="NA"/>
    <s v="NA"/>
    <s v="NA"/>
    <s v="NA"/>
    <x v="1"/>
    <x v="2"/>
    <n v="1"/>
    <n v="0"/>
    <n v="0"/>
    <n v="1"/>
    <n v="0"/>
    <n v="0"/>
    <x v="2"/>
    <n v="1"/>
    <n v="0"/>
    <n v="0"/>
    <n v="0"/>
    <x v="1"/>
  </r>
  <r>
    <s v="AL5UXD1GLG4X0"/>
    <x v="0"/>
    <n v="34"/>
    <s v="female"/>
    <x v="2"/>
    <x v="4"/>
    <n v="25074"/>
    <n v="1"/>
    <n v="0"/>
    <n v="0"/>
    <n v="0"/>
    <s v="Stall A."/>
    <s v="Stall E."/>
    <s v="Stalls D and E."/>
    <s v="mo-h"/>
    <s v="mo-l"/>
    <s v="ms-l"/>
    <n v="0"/>
    <x v="2"/>
    <x v="1"/>
    <n v="0"/>
    <n v="1"/>
    <n v="0"/>
    <n v="1"/>
    <n v="0"/>
    <n v="1"/>
    <x v="2"/>
    <n v="0"/>
    <n v="0"/>
    <n v="0"/>
    <n v="0"/>
    <x v="1"/>
  </r>
  <r>
    <s v="AL5UXD1GLG4X0"/>
    <x v="0"/>
    <n v="34"/>
    <s v="female"/>
    <x v="3"/>
    <x v="10"/>
    <n v="53100"/>
    <n v="0"/>
    <n v="1"/>
    <n v="1"/>
    <n v="0"/>
    <s v="NA"/>
    <s v="NA"/>
    <s v="NA"/>
    <s v="NA"/>
    <s v="NA"/>
    <s v="NA"/>
    <s v="NA"/>
    <x v="2"/>
    <x v="1"/>
    <n v="0"/>
    <n v="1"/>
    <n v="0"/>
    <n v="1"/>
    <n v="0"/>
    <n v="1"/>
    <x v="2"/>
    <n v="0"/>
    <n v="0"/>
    <n v="0"/>
    <n v="0"/>
    <x v="1"/>
  </r>
  <r>
    <s v="AL5UXD1GLG4X0"/>
    <x v="0"/>
    <n v="34"/>
    <s v="female"/>
    <x v="2"/>
    <x v="3"/>
    <n v="22202"/>
    <n v="0"/>
    <n v="0"/>
    <n v="1"/>
    <n v="0"/>
    <s v="Cafe E."/>
    <s v="Cafes D and E."/>
    <s v="Cafe A."/>
    <s v="mo-l"/>
    <s v="ms-l"/>
    <s v="mo-h"/>
    <n v="0"/>
    <x v="2"/>
    <x v="1"/>
    <n v="0"/>
    <n v="1"/>
    <n v="0"/>
    <n v="1"/>
    <n v="0"/>
    <n v="1"/>
    <x v="2"/>
    <n v="0"/>
    <n v="0"/>
    <n v="0"/>
    <n v="0"/>
    <x v="1"/>
  </r>
  <r>
    <s v="AL5UXD1GLG4X0"/>
    <x v="0"/>
    <n v="34"/>
    <s v="female"/>
    <x v="2"/>
    <x v="7"/>
    <n v="14873"/>
    <n v="0"/>
    <n v="1"/>
    <n v="0"/>
    <n v="0"/>
    <s v="Stylist E."/>
    <s v="Stylists A, B, C, D and E."/>
    <s v="Stylist F."/>
    <s v="mo-l"/>
    <s v="exh"/>
    <s v="fa"/>
    <n v="1"/>
    <x v="1"/>
    <x v="1"/>
    <n v="0"/>
    <n v="0"/>
    <n v="0"/>
    <n v="1"/>
    <n v="1"/>
    <n v="0"/>
    <x v="2"/>
    <n v="0"/>
    <n v="0"/>
    <n v="0"/>
    <n v="0"/>
    <x v="1"/>
  </r>
  <r>
    <s v="AL5UXD1GLG4X0"/>
    <x v="0"/>
    <n v="34"/>
    <s v="female"/>
    <x v="3"/>
    <x v="12"/>
    <n v="15509"/>
    <n v="1"/>
    <n v="0"/>
    <n v="0"/>
    <n v="0"/>
    <s v="NA"/>
    <s v="NA"/>
    <s v="NA"/>
    <s v="NA"/>
    <s v="NA"/>
    <s v="NA"/>
    <s v="NA"/>
    <x v="1"/>
    <x v="1"/>
    <n v="0"/>
    <n v="0"/>
    <n v="0"/>
    <n v="1"/>
    <n v="1"/>
    <n v="0"/>
    <x v="2"/>
    <n v="0"/>
    <n v="0"/>
    <n v="0"/>
    <n v="0"/>
    <x v="1"/>
  </r>
  <r>
    <s v="AL5UXD1GLG4X0"/>
    <x v="0"/>
    <n v="34"/>
    <s v="female"/>
    <x v="2"/>
    <x v="11"/>
    <n v="13567"/>
    <n v="1"/>
    <n v="0"/>
    <n v="0"/>
    <n v="0"/>
    <s v="Dentist A."/>
    <s v="Dentists A and B."/>
    <s v="Dentists D and E."/>
    <s v="mo-h"/>
    <s v="ms-h"/>
    <s v="ms-l"/>
    <n v="0"/>
    <x v="2"/>
    <x v="2"/>
    <n v="1"/>
    <n v="1"/>
    <n v="0"/>
    <n v="1"/>
    <n v="0"/>
    <n v="1"/>
    <x v="2"/>
    <n v="0"/>
    <n v="0"/>
    <n v="0"/>
    <n v="0"/>
    <x v="1"/>
  </r>
  <r>
    <s v="AL5UXD1GLG4X0"/>
    <x v="0"/>
    <n v="34"/>
    <s v="female"/>
    <x v="3"/>
    <x v="5"/>
    <n v="21468"/>
    <n v="1"/>
    <n v="0"/>
    <n v="1"/>
    <n v="0"/>
    <s v="NA"/>
    <s v="NA"/>
    <s v="NA"/>
    <s v="NA"/>
    <s v="NA"/>
    <s v="NA"/>
    <s v="NA"/>
    <x v="2"/>
    <x v="2"/>
    <n v="1"/>
    <n v="1"/>
    <n v="0"/>
    <n v="1"/>
    <n v="0"/>
    <n v="1"/>
    <x v="2"/>
    <n v="0"/>
    <n v="0"/>
    <n v="0"/>
    <n v="0"/>
    <x v="1"/>
  </r>
  <r>
    <s v="AL5UXD1GLG4X0"/>
    <x v="0"/>
    <n v="34"/>
    <s v="female"/>
    <x v="4"/>
    <x v="0"/>
    <n v="50414"/>
    <s v="no%2C answer would be the same"/>
    <s v="not too difficult. Just had to pay attention"/>
    <s v="it was interesting"/>
    <s v="NA"/>
    <s v="NA"/>
    <s v="NA"/>
    <s v="NA"/>
    <s v="NA"/>
    <s v="NA"/>
    <s v="NA"/>
    <s v="NA"/>
    <x v="0"/>
    <x v="0"/>
    <s v="NA"/>
    <s v="NA"/>
    <s v="NA"/>
    <s v="NA"/>
    <s v="NA"/>
    <s v="NA"/>
    <x v="0"/>
    <s v="NA"/>
    <s v="NA"/>
    <s v="NA"/>
    <s v="NA"/>
    <x v="1"/>
  </r>
  <r>
    <s v="A17DXR1QC8GWL8"/>
    <x v="0"/>
    <n v="33"/>
    <s v="female"/>
    <x v="0"/>
    <x v="0"/>
    <n v="10542"/>
    <s v="NA"/>
    <s v="NA"/>
    <s v="NA"/>
    <s v="NA"/>
    <s v="NA"/>
    <s v="NA"/>
    <s v="NA"/>
    <s v="NA"/>
    <s v="NA"/>
    <s v="NA"/>
    <s v="NA"/>
    <x v="0"/>
    <x v="0"/>
    <s v="NA"/>
    <s v="NA"/>
    <s v="NA"/>
    <s v="NA"/>
    <s v="NA"/>
    <s v="NA"/>
    <x v="0"/>
    <s v="NA"/>
    <s v="NA"/>
    <s v="NA"/>
    <s v="NA"/>
    <x v="1"/>
  </r>
  <r>
    <s v="A17DXR1QC8GWL8"/>
    <x v="0"/>
    <n v="33"/>
    <s v="female"/>
    <x v="1"/>
    <x v="1"/>
    <n v="23362"/>
    <n v="0"/>
    <n v="0"/>
    <n v="0"/>
    <n v="1"/>
    <s v="NA"/>
    <s v="NA"/>
    <s v="NA"/>
    <s v="NA"/>
    <s v="NA"/>
    <s v="NA"/>
    <s v="NA"/>
    <x v="0"/>
    <x v="0"/>
    <s v="NA"/>
    <s v="NA"/>
    <s v="NA"/>
    <s v="NA"/>
    <s v="NA"/>
    <s v="NA"/>
    <x v="0"/>
    <s v="NA"/>
    <s v="NA"/>
    <s v="NA"/>
    <s v="NA"/>
    <x v="1"/>
  </r>
  <r>
    <s v="A17DXR1QC8GWL8"/>
    <x v="0"/>
    <n v="33"/>
    <s v="female"/>
    <x v="1"/>
    <x v="2"/>
    <n v="24515"/>
    <n v="0"/>
    <n v="0"/>
    <n v="1"/>
    <n v="0"/>
    <s v="NA"/>
    <s v="NA"/>
    <s v="NA"/>
    <s v="NA"/>
    <s v="NA"/>
    <s v="NA"/>
    <s v="NA"/>
    <x v="0"/>
    <x v="0"/>
    <s v="NA"/>
    <s v="NA"/>
    <s v="NA"/>
    <s v="NA"/>
    <s v="NA"/>
    <s v="NA"/>
    <x v="0"/>
    <s v="NA"/>
    <s v="NA"/>
    <s v="NA"/>
    <s v="NA"/>
    <x v="1"/>
  </r>
  <r>
    <s v="A17DXR1QC8GWL8"/>
    <x v="0"/>
    <n v="33"/>
    <s v="female"/>
    <x v="2"/>
    <x v="11"/>
    <n v="28134"/>
    <n v="0"/>
    <n v="0"/>
    <n v="0"/>
    <n v="1"/>
    <s v="Dentist A."/>
    <s v="Dentists D and E."/>
    <s v="Dentist E."/>
    <s v="mo-h"/>
    <s v="ms-l"/>
    <s v="mo-l"/>
    <n v="0"/>
    <x v="2"/>
    <x v="1"/>
    <n v="0"/>
    <n v="1"/>
    <n v="0"/>
    <n v="1"/>
    <n v="0"/>
    <n v="0"/>
    <x v="2"/>
    <n v="0"/>
    <n v="0"/>
    <n v="0"/>
    <n v="1"/>
    <x v="1"/>
  </r>
  <r>
    <s v="A17DXR1QC8GWL8"/>
    <x v="0"/>
    <n v="33"/>
    <s v="female"/>
    <x v="2"/>
    <x v="4"/>
    <n v="32398"/>
    <n v="0"/>
    <n v="0"/>
    <n v="0"/>
    <n v="1"/>
    <s v="Stall A."/>
    <s v="Stalls A, B, C, D and E."/>
    <s v="Stalls A and B."/>
    <s v="mo-h"/>
    <s v="exh"/>
    <s v="ms-h"/>
    <n v="1"/>
    <x v="2"/>
    <x v="2"/>
    <n v="1"/>
    <n v="0"/>
    <n v="0"/>
    <n v="1"/>
    <n v="0"/>
    <n v="0"/>
    <x v="2"/>
    <n v="0"/>
    <n v="0"/>
    <n v="0"/>
    <n v="1"/>
    <x v="1"/>
  </r>
  <r>
    <s v="A17DXR1QC8GWL8"/>
    <x v="0"/>
    <n v="33"/>
    <s v="female"/>
    <x v="3"/>
    <x v="5"/>
    <n v="21143"/>
    <n v="0"/>
    <n v="1"/>
    <n v="0"/>
    <n v="0"/>
    <s v="NA"/>
    <s v="NA"/>
    <s v="NA"/>
    <s v="NA"/>
    <s v="NA"/>
    <s v="NA"/>
    <s v="NA"/>
    <x v="2"/>
    <x v="2"/>
    <n v="1"/>
    <n v="0"/>
    <n v="0"/>
    <n v="1"/>
    <n v="0"/>
    <n v="0"/>
    <x v="2"/>
    <n v="0"/>
    <n v="0"/>
    <n v="0"/>
    <n v="1"/>
    <x v="1"/>
  </r>
  <r>
    <s v="A17DXR1QC8GWL8"/>
    <x v="0"/>
    <n v="33"/>
    <s v="female"/>
    <x v="2"/>
    <x v="9"/>
    <n v="17541"/>
    <n v="0"/>
    <n v="0"/>
    <n v="0"/>
    <n v="1"/>
    <s v="Store A."/>
    <s v="Store E."/>
    <s v="Stores A and B."/>
    <s v="mo-h"/>
    <s v="mo-l"/>
    <s v="ms-h"/>
    <n v="0"/>
    <x v="2"/>
    <x v="1"/>
    <n v="1"/>
    <n v="0"/>
    <n v="0"/>
    <n v="1"/>
    <n v="0"/>
    <n v="0"/>
    <x v="2"/>
    <n v="0"/>
    <n v="0"/>
    <n v="0"/>
    <n v="1"/>
    <x v="1"/>
  </r>
  <r>
    <s v="A17DXR1QC8GWL8"/>
    <x v="0"/>
    <n v="33"/>
    <s v="female"/>
    <x v="3"/>
    <x v="12"/>
    <n v="11509"/>
    <n v="1"/>
    <n v="0"/>
    <n v="0"/>
    <n v="0"/>
    <s v="NA"/>
    <s v="NA"/>
    <s v="NA"/>
    <s v="NA"/>
    <s v="NA"/>
    <s v="NA"/>
    <s v="NA"/>
    <x v="2"/>
    <x v="1"/>
    <n v="1"/>
    <n v="0"/>
    <n v="0"/>
    <n v="1"/>
    <n v="0"/>
    <n v="0"/>
    <x v="2"/>
    <n v="0"/>
    <n v="0"/>
    <n v="0"/>
    <n v="1"/>
    <x v="1"/>
  </r>
  <r>
    <s v="A17DXR1QC8GWL8"/>
    <x v="0"/>
    <n v="33"/>
    <s v="female"/>
    <x v="2"/>
    <x v="3"/>
    <n v="13317"/>
    <n v="0"/>
    <n v="0"/>
    <n v="0"/>
    <n v="1"/>
    <s v="Cafe F."/>
    <s v="Cafes D and E."/>
    <s v="Cafe A."/>
    <s v="fa"/>
    <s v="ms-l"/>
    <s v="mo-h"/>
    <n v="0"/>
    <x v="2"/>
    <x v="2"/>
    <n v="0"/>
    <n v="1"/>
    <n v="0"/>
    <n v="1"/>
    <n v="0"/>
    <n v="0"/>
    <x v="2"/>
    <n v="0"/>
    <n v="0"/>
    <n v="0"/>
    <n v="1"/>
    <x v="1"/>
  </r>
  <r>
    <s v="A17DXR1QC8GWL8"/>
    <x v="0"/>
    <n v="33"/>
    <s v="female"/>
    <x v="2"/>
    <x v="7"/>
    <n v="13750"/>
    <n v="0"/>
    <n v="0"/>
    <n v="0"/>
    <n v="1"/>
    <s v="Stylists A and B."/>
    <s v="Stylists D and E."/>
    <s v="Stylist F."/>
    <s v="ms-h"/>
    <s v="ms-l"/>
    <s v="fa"/>
    <n v="0"/>
    <x v="1"/>
    <x v="2"/>
    <n v="1"/>
    <n v="1"/>
    <n v="0"/>
    <n v="1"/>
    <n v="0"/>
    <n v="0"/>
    <x v="2"/>
    <n v="0"/>
    <n v="0"/>
    <n v="0"/>
    <n v="1"/>
    <x v="1"/>
  </r>
  <r>
    <s v="A17DXR1QC8GWL8"/>
    <x v="0"/>
    <n v="33"/>
    <s v="female"/>
    <x v="3"/>
    <x v="10"/>
    <n v="23877"/>
    <n v="0"/>
    <n v="0"/>
    <n v="0"/>
    <n v="1"/>
    <s v="NA"/>
    <s v="NA"/>
    <s v="NA"/>
    <s v="NA"/>
    <s v="NA"/>
    <s v="NA"/>
    <s v="NA"/>
    <x v="1"/>
    <x v="2"/>
    <n v="1"/>
    <n v="1"/>
    <n v="0"/>
    <n v="1"/>
    <n v="0"/>
    <n v="0"/>
    <x v="2"/>
    <n v="0"/>
    <n v="0"/>
    <n v="0"/>
    <n v="1"/>
    <x v="1"/>
  </r>
  <r>
    <s v="A17DXR1QC8GWL8"/>
    <x v="0"/>
    <n v="33"/>
    <s v="female"/>
    <x v="2"/>
    <x v="6"/>
    <n v="17478"/>
    <n v="0"/>
    <n v="0"/>
    <n v="0"/>
    <n v="1"/>
    <s v="Bookstores D and E."/>
    <s v="Bookstore E."/>
    <s v="Bookstores A and B."/>
    <s v="ms-l"/>
    <s v="mo-l"/>
    <s v="ms-h"/>
    <n v="0"/>
    <x v="1"/>
    <x v="1"/>
    <n v="1"/>
    <n v="1"/>
    <n v="0"/>
    <n v="1"/>
    <n v="0"/>
    <n v="0"/>
    <x v="2"/>
    <n v="0"/>
    <n v="0"/>
    <n v="0"/>
    <n v="1"/>
    <x v="1"/>
  </r>
  <r>
    <s v="A17DXR1QC8GWL8"/>
    <x v="0"/>
    <n v="33"/>
    <s v="female"/>
    <x v="3"/>
    <x v="8"/>
    <n v="20352"/>
    <n v="1"/>
    <n v="1"/>
    <n v="0"/>
    <n v="0"/>
    <s v="NA"/>
    <s v="NA"/>
    <s v="NA"/>
    <s v="NA"/>
    <s v="NA"/>
    <s v="NA"/>
    <s v="NA"/>
    <x v="1"/>
    <x v="1"/>
    <n v="1"/>
    <n v="1"/>
    <n v="0"/>
    <n v="1"/>
    <n v="0"/>
    <n v="0"/>
    <x v="2"/>
    <n v="0"/>
    <n v="0"/>
    <n v="0"/>
    <n v="1"/>
    <x v="1"/>
  </r>
  <r>
    <s v="A17DXR1QC8GWL8"/>
    <x v="0"/>
    <n v="33"/>
    <s v="female"/>
    <x v="4"/>
    <x v="0"/>
    <n v="78934"/>
    <s v="No%2C in essence it is the same question"/>
    <s v="A little%2C some of the questions were ambiguous. For example%2C none of the acquaintances could have been absolutely sure were (e.g.) someone got their knitting yarn from unless they had seen it or heard testimony. So we can't say for sure that they know."/>
    <s v="no"/>
    <s v="NA"/>
    <s v="NA"/>
    <s v="NA"/>
    <s v="NA"/>
    <s v="NA"/>
    <s v="NA"/>
    <s v="NA"/>
    <s v="NA"/>
    <x v="0"/>
    <x v="0"/>
    <s v="NA"/>
    <s v="NA"/>
    <s v="NA"/>
    <s v="NA"/>
    <s v="NA"/>
    <s v="NA"/>
    <x v="0"/>
    <s v="NA"/>
    <s v="NA"/>
    <s v="NA"/>
    <s v="NA"/>
    <x v="1"/>
  </r>
  <r>
    <s v="A55V2U9UG3Z47"/>
    <x v="0"/>
    <n v="38"/>
    <s v="female"/>
    <x v="0"/>
    <x v="0"/>
    <n v="32343"/>
    <s v="NA"/>
    <s v="NA"/>
    <s v="NA"/>
    <s v="NA"/>
    <s v="NA"/>
    <s v="NA"/>
    <s v="NA"/>
    <s v="NA"/>
    <s v="NA"/>
    <s v="NA"/>
    <s v="NA"/>
    <x v="0"/>
    <x v="0"/>
    <s v="NA"/>
    <s v="NA"/>
    <s v="NA"/>
    <s v="NA"/>
    <s v="NA"/>
    <s v="NA"/>
    <x v="0"/>
    <s v="NA"/>
    <s v="NA"/>
    <s v="NA"/>
    <s v="NA"/>
    <x v="1"/>
  </r>
  <r>
    <s v="A55V2U9UG3Z47"/>
    <x v="0"/>
    <n v="38"/>
    <s v="female"/>
    <x v="1"/>
    <x v="1"/>
    <n v="25977"/>
    <n v="0"/>
    <n v="0"/>
    <n v="0"/>
    <n v="1"/>
    <s v="NA"/>
    <s v="NA"/>
    <s v="NA"/>
    <s v="NA"/>
    <s v="NA"/>
    <s v="NA"/>
    <s v="NA"/>
    <x v="0"/>
    <x v="0"/>
    <s v="NA"/>
    <s v="NA"/>
    <s v="NA"/>
    <s v="NA"/>
    <s v="NA"/>
    <s v="NA"/>
    <x v="0"/>
    <s v="NA"/>
    <s v="NA"/>
    <s v="NA"/>
    <s v="NA"/>
    <x v="1"/>
  </r>
  <r>
    <s v="A55V2U9UG3Z47"/>
    <x v="0"/>
    <n v="38"/>
    <s v="female"/>
    <x v="1"/>
    <x v="2"/>
    <n v="24656"/>
    <n v="0"/>
    <n v="0"/>
    <n v="1"/>
    <n v="0"/>
    <s v="NA"/>
    <s v="NA"/>
    <s v="NA"/>
    <s v="NA"/>
    <s v="NA"/>
    <s v="NA"/>
    <s v="NA"/>
    <x v="0"/>
    <x v="0"/>
    <s v="NA"/>
    <s v="NA"/>
    <s v="NA"/>
    <s v="NA"/>
    <s v="NA"/>
    <s v="NA"/>
    <x v="0"/>
    <s v="NA"/>
    <s v="NA"/>
    <s v="NA"/>
    <s v="NA"/>
    <x v="1"/>
  </r>
  <r>
    <s v="A55V2U9UG3Z47"/>
    <x v="0"/>
    <n v="38"/>
    <s v="female"/>
    <x v="2"/>
    <x v="11"/>
    <n v="38172"/>
    <n v="0"/>
    <n v="0"/>
    <n v="0"/>
    <n v="1"/>
    <s v="Dentist A."/>
    <s v="Dentists A, B, C, D and E."/>
    <s v="Dentists D and E."/>
    <s v="mo-h"/>
    <s v="exh"/>
    <s v="ms-l"/>
    <n v="1"/>
    <x v="2"/>
    <x v="2"/>
    <n v="0"/>
    <n v="1"/>
    <n v="0"/>
    <n v="1"/>
    <n v="0"/>
    <n v="0"/>
    <x v="2"/>
    <n v="0"/>
    <n v="0"/>
    <n v="0"/>
    <n v="1"/>
    <x v="1"/>
  </r>
  <r>
    <s v="A55V2U9UG3Z47"/>
    <x v="0"/>
    <n v="38"/>
    <s v="female"/>
    <x v="2"/>
    <x v="3"/>
    <n v="37618"/>
    <n v="0"/>
    <n v="1"/>
    <n v="0"/>
    <n v="0"/>
    <s v="Cafe F."/>
    <s v="Cafes A and B."/>
    <s v="Cafe E."/>
    <s v="fa"/>
    <s v="ms-h"/>
    <s v="mo-l"/>
    <n v="0"/>
    <x v="1"/>
    <x v="1"/>
    <n v="1"/>
    <n v="0"/>
    <n v="0"/>
    <n v="1"/>
    <n v="0"/>
    <n v="0"/>
    <x v="2"/>
    <n v="1"/>
    <n v="0"/>
    <n v="0"/>
    <n v="0"/>
    <x v="1"/>
  </r>
  <r>
    <s v="A55V2U9UG3Z47"/>
    <x v="0"/>
    <n v="38"/>
    <s v="female"/>
    <x v="3"/>
    <x v="8"/>
    <n v="16654"/>
    <n v="1"/>
    <n v="1"/>
    <n v="0"/>
    <n v="0"/>
    <s v="NA"/>
    <s v="NA"/>
    <s v="NA"/>
    <s v="NA"/>
    <s v="NA"/>
    <s v="NA"/>
    <s v="NA"/>
    <x v="1"/>
    <x v="1"/>
    <n v="1"/>
    <n v="0"/>
    <n v="0"/>
    <n v="1"/>
    <n v="0"/>
    <n v="0"/>
    <x v="2"/>
    <n v="1"/>
    <n v="0"/>
    <n v="0"/>
    <n v="0"/>
    <x v="1"/>
  </r>
  <r>
    <s v="A55V2U9UG3Z47"/>
    <x v="0"/>
    <n v="38"/>
    <s v="female"/>
    <x v="2"/>
    <x v="6"/>
    <n v="19340"/>
    <n v="1"/>
    <n v="0"/>
    <n v="0"/>
    <n v="0"/>
    <s v="Bookstore A."/>
    <s v="Bookstore F."/>
    <s v="Bookstore E."/>
    <s v="mo-h"/>
    <s v="fa"/>
    <s v="mo-l"/>
    <n v="0"/>
    <x v="2"/>
    <x v="1"/>
    <n v="0"/>
    <n v="0"/>
    <n v="0"/>
    <n v="1"/>
    <n v="0"/>
    <n v="1"/>
    <x v="2"/>
    <n v="0"/>
    <n v="0"/>
    <n v="0"/>
    <n v="0"/>
    <x v="1"/>
  </r>
  <r>
    <s v="A55V2U9UG3Z47"/>
    <x v="0"/>
    <n v="38"/>
    <s v="female"/>
    <x v="2"/>
    <x v="9"/>
    <n v="20945"/>
    <n v="0"/>
    <n v="1"/>
    <n v="0"/>
    <n v="0"/>
    <s v="Store F."/>
    <s v="Stores A and B."/>
    <s v="Store E."/>
    <s v="fa"/>
    <s v="ms-h"/>
    <s v="mo-l"/>
    <n v="0"/>
    <x v="1"/>
    <x v="1"/>
    <n v="1"/>
    <n v="0"/>
    <n v="0"/>
    <n v="1"/>
    <n v="0"/>
    <n v="0"/>
    <x v="2"/>
    <n v="1"/>
    <n v="0"/>
    <n v="0"/>
    <n v="0"/>
    <x v="1"/>
  </r>
  <r>
    <s v="A55V2U9UG3Z47"/>
    <x v="0"/>
    <n v="38"/>
    <s v="female"/>
    <x v="3"/>
    <x v="12"/>
    <n v="11738"/>
    <n v="1"/>
    <n v="0"/>
    <n v="0"/>
    <n v="0"/>
    <s v="NA"/>
    <s v="NA"/>
    <s v="NA"/>
    <s v="NA"/>
    <s v="NA"/>
    <s v="NA"/>
    <s v="NA"/>
    <x v="1"/>
    <x v="1"/>
    <n v="1"/>
    <n v="0"/>
    <n v="0"/>
    <n v="1"/>
    <n v="0"/>
    <n v="0"/>
    <x v="2"/>
    <n v="1"/>
    <n v="0"/>
    <n v="0"/>
    <n v="0"/>
    <x v="1"/>
  </r>
  <r>
    <s v="A55V2U9UG3Z47"/>
    <x v="0"/>
    <n v="38"/>
    <s v="female"/>
    <x v="2"/>
    <x v="7"/>
    <n v="17692"/>
    <n v="0"/>
    <n v="1"/>
    <n v="0"/>
    <n v="0"/>
    <s v="Stylists D and E."/>
    <s v="Stylist A."/>
    <s v="Stylists A and B."/>
    <s v="ms-l"/>
    <s v="mo-h"/>
    <s v="ms-h"/>
    <n v="0"/>
    <x v="2"/>
    <x v="2"/>
    <n v="1"/>
    <n v="1"/>
    <n v="0"/>
    <n v="1"/>
    <n v="0"/>
    <n v="1"/>
    <x v="2"/>
    <n v="0"/>
    <n v="0"/>
    <n v="0"/>
    <n v="0"/>
    <x v="1"/>
  </r>
  <r>
    <s v="A55V2U9UG3Z47"/>
    <x v="0"/>
    <n v="38"/>
    <s v="female"/>
    <x v="3"/>
    <x v="5"/>
    <n v="21411"/>
    <n v="0"/>
    <n v="0"/>
    <n v="1"/>
    <n v="0"/>
    <s v="NA"/>
    <s v="NA"/>
    <s v="NA"/>
    <s v="NA"/>
    <s v="NA"/>
    <s v="NA"/>
    <s v="NA"/>
    <x v="2"/>
    <x v="2"/>
    <n v="1"/>
    <n v="1"/>
    <n v="0"/>
    <n v="1"/>
    <n v="0"/>
    <n v="1"/>
    <x v="2"/>
    <n v="0"/>
    <n v="0"/>
    <n v="0"/>
    <n v="0"/>
    <x v="1"/>
  </r>
  <r>
    <s v="A55V2U9UG3Z47"/>
    <x v="0"/>
    <n v="38"/>
    <s v="female"/>
    <x v="2"/>
    <x v="4"/>
    <n v="27010"/>
    <n v="0"/>
    <n v="0"/>
    <n v="1"/>
    <n v="0"/>
    <s v="Stall E."/>
    <s v="Stalls A, B, C, D and E."/>
    <s v="Stall A."/>
    <s v="mo-l"/>
    <s v="exh"/>
    <s v="mo-h"/>
    <n v="1"/>
    <x v="2"/>
    <x v="1"/>
    <n v="0"/>
    <n v="0"/>
    <n v="0"/>
    <n v="1"/>
    <n v="0"/>
    <n v="1"/>
    <x v="2"/>
    <n v="0"/>
    <n v="0"/>
    <n v="0"/>
    <n v="0"/>
    <x v="1"/>
  </r>
  <r>
    <s v="A55V2U9UG3Z47"/>
    <x v="0"/>
    <n v="38"/>
    <s v="female"/>
    <x v="3"/>
    <x v="10"/>
    <n v="27572"/>
    <n v="0"/>
    <n v="0"/>
    <n v="1"/>
    <n v="0"/>
    <s v="NA"/>
    <s v="NA"/>
    <s v="NA"/>
    <s v="NA"/>
    <s v="NA"/>
    <s v="NA"/>
    <s v="NA"/>
    <x v="2"/>
    <x v="1"/>
    <n v="0"/>
    <n v="0"/>
    <n v="0"/>
    <n v="1"/>
    <n v="0"/>
    <n v="1"/>
    <x v="2"/>
    <n v="0"/>
    <n v="0"/>
    <n v="0"/>
    <n v="0"/>
    <x v="1"/>
  </r>
  <r>
    <s v="A55V2U9UG3Z47"/>
    <x v="0"/>
    <n v="38"/>
    <s v="female"/>
    <x v="4"/>
    <x v="0"/>
    <n v="36054"/>
    <s v="No%2C I feel both sentences could be used interchangeably. "/>
    <s v="No%2C it was actually very interesting to complete. "/>
    <m/>
    <s v="NA"/>
    <s v="NA"/>
    <s v="NA"/>
    <s v="NA"/>
    <s v="NA"/>
    <s v="NA"/>
    <s v="NA"/>
    <s v="NA"/>
    <x v="0"/>
    <x v="0"/>
    <s v="NA"/>
    <s v="NA"/>
    <s v="NA"/>
    <s v="NA"/>
    <s v="NA"/>
    <s v="NA"/>
    <x v="0"/>
    <s v="NA"/>
    <s v="NA"/>
    <s v="NA"/>
    <s v="NA"/>
    <x v="1"/>
  </r>
  <r>
    <s v="A35BY30TC8WCL4"/>
    <x v="0"/>
    <n v="29"/>
    <s v="male"/>
    <x v="0"/>
    <x v="0"/>
    <n v="27200"/>
    <s v="NA"/>
    <s v="NA"/>
    <s v="NA"/>
    <s v="NA"/>
    <s v="NA"/>
    <s v="NA"/>
    <s v="NA"/>
    <s v="NA"/>
    <s v="NA"/>
    <s v="NA"/>
    <s v="NA"/>
    <x v="0"/>
    <x v="0"/>
    <s v="NA"/>
    <s v="NA"/>
    <s v="NA"/>
    <s v="NA"/>
    <s v="NA"/>
    <s v="NA"/>
    <x v="0"/>
    <s v="NA"/>
    <s v="NA"/>
    <s v="NA"/>
    <s v="NA"/>
    <x v="1"/>
  </r>
  <r>
    <s v="A35BY30TC8WCL4"/>
    <x v="0"/>
    <n v="29"/>
    <s v="male"/>
    <x v="1"/>
    <x v="1"/>
    <n v="17200"/>
    <n v="0"/>
    <n v="0"/>
    <n v="0"/>
    <n v="1"/>
    <s v="NA"/>
    <s v="NA"/>
    <s v="NA"/>
    <s v="NA"/>
    <s v="NA"/>
    <s v="NA"/>
    <s v="NA"/>
    <x v="0"/>
    <x v="0"/>
    <s v="NA"/>
    <s v="NA"/>
    <s v="NA"/>
    <s v="NA"/>
    <s v="NA"/>
    <s v="NA"/>
    <x v="0"/>
    <s v="NA"/>
    <s v="NA"/>
    <s v="NA"/>
    <s v="NA"/>
    <x v="1"/>
  </r>
  <r>
    <s v="A35BY30TC8WCL4"/>
    <x v="0"/>
    <n v="29"/>
    <s v="male"/>
    <x v="1"/>
    <x v="2"/>
    <n v="29100"/>
    <n v="0"/>
    <n v="1"/>
    <n v="1"/>
    <n v="0"/>
    <s v="NA"/>
    <s v="NA"/>
    <s v="NA"/>
    <s v="NA"/>
    <s v="NA"/>
    <s v="NA"/>
    <s v="NA"/>
    <x v="0"/>
    <x v="0"/>
    <s v="NA"/>
    <s v="NA"/>
    <s v="NA"/>
    <s v="NA"/>
    <s v="NA"/>
    <s v="NA"/>
    <x v="0"/>
    <s v="NA"/>
    <s v="NA"/>
    <s v="NA"/>
    <s v="NA"/>
    <x v="1"/>
  </r>
  <r>
    <s v="A35BY30TC8WCL4"/>
    <x v="0"/>
    <n v="29"/>
    <s v="male"/>
    <x v="2"/>
    <x v="4"/>
    <n v="26800"/>
    <n v="1"/>
    <n v="1"/>
    <n v="1"/>
    <n v="0"/>
    <s v="Stalls A, B, C, D and E."/>
    <s v="Stall A."/>
    <s v="Stall F."/>
    <s v="exh"/>
    <s v="mo-h"/>
    <s v="fa"/>
    <n v="1"/>
    <x v="2"/>
    <x v="2"/>
    <n v="0"/>
    <n v="0"/>
    <n v="0"/>
    <n v="1"/>
    <n v="1"/>
    <n v="1"/>
    <x v="2"/>
    <n v="0"/>
    <n v="0"/>
    <n v="0"/>
    <n v="0"/>
    <x v="1"/>
  </r>
  <r>
    <s v="A35BY30TC8WCL4"/>
    <x v="0"/>
    <n v="29"/>
    <s v="male"/>
    <x v="2"/>
    <x v="9"/>
    <n v="25100"/>
    <n v="0"/>
    <n v="0"/>
    <n v="0"/>
    <n v="1"/>
    <s v="Stores D and E."/>
    <s v="Store A."/>
    <s v="Store E."/>
    <s v="ms-l"/>
    <s v="mo-h"/>
    <s v="mo-l"/>
    <n v="0"/>
    <x v="2"/>
    <x v="1"/>
    <n v="0"/>
    <n v="1"/>
    <n v="0"/>
    <n v="1"/>
    <n v="0"/>
    <n v="0"/>
    <x v="2"/>
    <n v="0"/>
    <n v="0"/>
    <n v="0"/>
    <n v="1"/>
    <x v="1"/>
  </r>
  <r>
    <s v="A35BY30TC8WCL4"/>
    <x v="0"/>
    <n v="29"/>
    <s v="male"/>
    <x v="3"/>
    <x v="8"/>
    <n v="15600"/>
    <n v="1"/>
    <n v="1"/>
    <n v="0"/>
    <n v="0"/>
    <s v="NA"/>
    <s v="NA"/>
    <s v="NA"/>
    <s v="NA"/>
    <s v="NA"/>
    <s v="NA"/>
    <s v="NA"/>
    <x v="2"/>
    <x v="1"/>
    <n v="0"/>
    <n v="1"/>
    <n v="0"/>
    <n v="1"/>
    <n v="0"/>
    <n v="0"/>
    <x v="2"/>
    <n v="0"/>
    <n v="0"/>
    <n v="0"/>
    <n v="1"/>
    <x v="1"/>
  </r>
  <r>
    <s v="A35BY30TC8WCL4"/>
    <x v="0"/>
    <n v="29"/>
    <s v="male"/>
    <x v="2"/>
    <x v="3"/>
    <n v="11500"/>
    <n v="0"/>
    <n v="0"/>
    <n v="0"/>
    <n v="1"/>
    <s v="Cafes A, B, C, D and E."/>
    <s v="Cafe A."/>
    <s v="Cafes D and E."/>
    <s v="exh"/>
    <s v="mo-h"/>
    <s v="ms-l"/>
    <n v="1"/>
    <x v="2"/>
    <x v="2"/>
    <n v="0"/>
    <n v="1"/>
    <n v="0"/>
    <n v="1"/>
    <n v="0"/>
    <n v="0"/>
    <x v="2"/>
    <n v="0"/>
    <n v="0"/>
    <n v="0"/>
    <n v="1"/>
    <x v="1"/>
  </r>
  <r>
    <s v="A35BY30TC8WCL4"/>
    <x v="0"/>
    <n v="29"/>
    <s v="male"/>
    <x v="3"/>
    <x v="5"/>
    <n v="31200"/>
    <n v="0"/>
    <n v="0"/>
    <n v="1"/>
    <n v="0"/>
    <s v="NA"/>
    <s v="NA"/>
    <s v="NA"/>
    <s v="NA"/>
    <s v="NA"/>
    <s v="NA"/>
    <s v="NA"/>
    <x v="2"/>
    <x v="2"/>
    <n v="0"/>
    <n v="1"/>
    <n v="0"/>
    <n v="1"/>
    <n v="0"/>
    <n v="0"/>
    <x v="2"/>
    <n v="0"/>
    <n v="0"/>
    <n v="0"/>
    <n v="1"/>
    <x v="1"/>
  </r>
  <r>
    <s v="A35BY30TC8WCL4"/>
    <x v="0"/>
    <n v="29"/>
    <s v="male"/>
    <x v="2"/>
    <x v="11"/>
    <n v="8500"/>
    <n v="0"/>
    <n v="0"/>
    <n v="0"/>
    <n v="1"/>
    <s v="Dentists D and E."/>
    <s v="Dentist A."/>
    <s v="Dentists A and B."/>
    <s v="ms-l"/>
    <s v="mo-h"/>
    <s v="ms-h"/>
    <n v="0"/>
    <x v="2"/>
    <x v="2"/>
    <n v="1"/>
    <n v="1"/>
    <n v="0"/>
    <n v="1"/>
    <n v="0"/>
    <n v="0"/>
    <x v="2"/>
    <n v="0"/>
    <n v="0"/>
    <n v="0"/>
    <n v="1"/>
    <x v="1"/>
  </r>
  <r>
    <s v="A35BY30TC8WCL4"/>
    <x v="0"/>
    <n v="29"/>
    <s v="male"/>
    <x v="2"/>
    <x v="7"/>
    <n v="6700"/>
    <n v="0"/>
    <n v="0"/>
    <n v="0"/>
    <n v="1"/>
    <s v="Stylists A, B, C, D and E."/>
    <s v="Stylists D and E."/>
    <s v="Stylists A and B."/>
    <s v="exh"/>
    <s v="ms-l"/>
    <s v="ms-h"/>
    <n v="1"/>
    <x v="1"/>
    <x v="2"/>
    <n v="1"/>
    <n v="1"/>
    <n v="0"/>
    <n v="1"/>
    <n v="0"/>
    <n v="0"/>
    <x v="2"/>
    <n v="0"/>
    <n v="0"/>
    <n v="0"/>
    <n v="1"/>
    <x v="1"/>
  </r>
  <r>
    <s v="A35BY30TC8WCL4"/>
    <x v="0"/>
    <n v="29"/>
    <s v="male"/>
    <x v="3"/>
    <x v="12"/>
    <n v="15200"/>
    <n v="1"/>
    <n v="0"/>
    <n v="0"/>
    <n v="0"/>
    <s v="NA"/>
    <s v="NA"/>
    <s v="NA"/>
    <s v="NA"/>
    <s v="NA"/>
    <s v="NA"/>
    <s v="NA"/>
    <x v="1"/>
    <x v="2"/>
    <n v="1"/>
    <n v="1"/>
    <n v="0"/>
    <n v="1"/>
    <n v="0"/>
    <n v="0"/>
    <x v="2"/>
    <n v="0"/>
    <n v="0"/>
    <n v="0"/>
    <n v="1"/>
    <x v="1"/>
  </r>
  <r>
    <s v="A35BY30TC8WCL4"/>
    <x v="0"/>
    <n v="29"/>
    <s v="male"/>
    <x v="2"/>
    <x v="6"/>
    <n v="56000"/>
    <n v="0"/>
    <n v="0"/>
    <n v="0"/>
    <n v="1"/>
    <s v="Bookstore A."/>
    <s v="Bookstores A and B."/>
    <s v="Bookstores D and E."/>
    <s v="mo-h"/>
    <s v="ms-h"/>
    <s v="ms-l"/>
    <n v="0"/>
    <x v="2"/>
    <x v="2"/>
    <n v="1"/>
    <n v="1"/>
    <n v="0"/>
    <n v="1"/>
    <n v="0"/>
    <n v="0"/>
    <x v="2"/>
    <n v="0"/>
    <n v="0"/>
    <n v="0"/>
    <n v="1"/>
    <x v="1"/>
  </r>
  <r>
    <s v="A35BY30TC8WCL4"/>
    <x v="0"/>
    <n v="29"/>
    <s v="male"/>
    <x v="3"/>
    <x v="10"/>
    <n v="45300"/>
    <n v="0"/>
    <n v="0"/>
    <n v="0"/>
    <n v="1"/>
    <s v="NA"/>
    <s v="NA"/>
    <s v="NA"/>
    <s v="NA"/>
    <s v="NA"/>
    <s v="NA"/>
    <s v="NA"/>
    <x v="2"/>
    <x v="2"/>
    <n v="1"/>
    <n v="1"/>
    <n v="0"/>
    <n v="1"/>
    <n v="0"/>
    <n v="0"/>
    <x v="2"/>
    <n v="0"/>
    <n v="0"/>
    <n v="0"/>
    <n v="1"/>
    <x v="1"/>
  </r>
  <r>
    <s v="A35BY30TC8WCL4"/>
    <x v="0"/>
    <n v="29"/>
    <s v="male"/>
    <x v="4"/>
    <x v="0"/>
    <n v="102600"/>
    <s v="No. I don't see much difference between the two. If the traveler said%2C where should I go%2C it would be different%2C but where can I is asking the same thing as the first question."/>
    <s v="Don't think so%2C was just straightforward."/>
    <s v="Nope."/>
    <s v="NA"/>
    <s v="NA"/>
    <s v="NA"/>
    <s v="NA"/>
    <s v="NA"/>
    <s v="NA"/>
    <s v="NA"/>
    <s v="NA"/>
    <x v="0"/>
    <x v="0"/>
    <s v="NA"/>
    <s v="NA"/>
    <s v="NA"/>
    <s v="NA"/>
    <s v="NA"/>
    <s v="NA"/>
    <x v="0"/>
    <s v="NA"/>
    <s v="NA"/>
    <s v="NA"/>
    <s v="NA"/>
    <x v="1"/>
  </r>
  <r>
    <s v="A39PWM9C4U0TEP"/>
    <x v="0"/>
    <n v="40"/>
    <s v="male"/>
    <x v="0"/>
    <x v="0"/>
    <n v="63155"/>
    <s v="NA"/>
    <s v="NA"/>
    <s v="NA"/>
    <s v="NA"/>
    <s v="NA"/>
    <s v="NA"/>
    <s v="NA"/>
    <s v="NA"/>
    <s v="NA"/>
    <s v="NA"/>
    <s v="NA"/>
    <x v="0"/>
    <x v="0"/>
    <s v="NA"/>
    <s v="NA"/>
    <s v="NA"/>
    <s v="NA"/>
    <s v="NA"/>
    <s v="NA"/>
    <x v="0"/>
    <s v="NA"/>
    <s v="NA"/>
    <s v="NA"/>
    <s v="NA"/>
    <x v="1"/>
  </r>
  <r>
    <s v="A39PWM9C4U0TEP"/>
    <x v="0"/>
    <n v="40"/>
    <s v="male"/>
    <x v="1"/>
    <x v="1"/>
    <n v="52091"/>
    <n v="0"/>
    <n v="0"/>
    <n v="0"/>
    <n v="1"/>
    <s v="NA"/>
    <s v="NA"/>
    <s v="NA"/>
    <s v="NA"/>
    <s v="NA"/>
    <s v="NA"/>
    <s v="NA"/>
    <x v="0"/>
    <x v="0"/>
    <s v="NA"/>
    <s v="NA"/>
    <s v="NA"/>
    <s v="NA"/>
    <s v="NA"/>
    <s v="NA"/>
    <x v="0"/>
    <s v="NA"/>
    <s v="NA"/>
    <s v="NA"/>
    <s v="NA"/>
    <x v="1"/>
  </r>
  <r>
    <s v="A39PWM9C4U0TEP"/>
    <x v="0"/>
    <n v="40"/>
    <s v="male"/>
    <x v="1"/>
    <x v="2"/>
    <n v="39191"/>
    <n v="0"/>
    <n v="1"/>
    <n v="0"/>
    <n v="0"/>
    <s v="NA"/>
    <s v="NA"/>
    <s v="NA"/>
    <s v="NA"/>
    <s v="NA"/>
    <s v="NA"/>
    <s v="NA"/>
    <x v="0"/>
    <x v="0"/>
    <s v="NA"/>
    <s v="NA"/>
    <s v="NA"/>
    <s v="NA"/>
    <s v="NA"/>
    <s v="NA"/>
    <x v="0"/>
    <s v="NA"/>
    <s v="NA"/>
    <s v="NA"/>
    <s v="NA"/>
    <x v="1"/>
  </r>
  <r>
    <s v="A39PWM9C4U0TEP"/>
    <x v="0"/>
    <n v="40"/>
    <s v="male"/>
    <x v="2"/>
    <x v="6"/>
    <n v="35357"/>
    <n v="1"/>
    <n v="1"/>
    <n v="1"/>
    <n v="0"/>
    <s v="Bookstores A, B, C, D and E."/>
    <s v="Bookstores D and E."/>
    <s v="Bookstore A."/>
    <s v="exh"/>
    <s v="ms-l"/>
    <s v="mo-h"/>
    <n v="1"/>
    <x v="2"/>
    <x v="2"/>
    <n v="0"/>
    <n v="1"/>
    <n v="0"/>
    <n v="1"/>
    <n v="1"/>
    <n v="1"/>
    <x v="2"/>
    <n v="0"/>
    <n v="1"/>
    <n v="0"/>
    <n v="0"/>
    <x v="1"/>
  </r>
  <r>
    <s v="A39PWM9C4U0TEP"/>
    <x v="0"/>
    <n v="40"/>
    <s v="male"/>
    <x v="2"/>
    <x v="4"/>
    <n v="26005"/>
    <n v="1"/>
    <n v="1"/>
    <n v="1"/>
    <n v="0"/>
    <s v="Stalls D and E."/>
    <s v="Stall F."/>
    <s v="Stall E."/>
    <s v="ms-l"/>
    <s v="fa"/>
    <s v="mo-l"/>
    <n v="0"/>
    <x v="1"/>
    <x v="1"/>
    <n v="0"/>
    <n v="1"/>
    <n v="0"/>
    <n v="1"/>
    <n v="0"/>
    <n v="0"/>
    <x v="1"/>
    <n v="0"/>
    <n v="1"/>
    <n v="0"/>
    <n v="0"/>
    <x v="1"/>
  </r>
  <r>
    <s v="A39PWM9C4U0TEP"/>
    <x v="0"/>
    <n v="40"/>
    <s v="male"/>
    <x v="3"/>
    <x v="12"/>
    <n v="38592"/>
    <n v="1"/>
    <n v="1"/>
    <n v="0"/>
    <n v="0"/>
    <s v="NA"/>
    <s v="NA"/>
    <s v="NA"/>
    <s v="NA"/>
    <s v="NA"/>
    <s v="NA"/>
    <s v="NA"/>
    <x v="1"/>
    <x v="1"/>
    <n v="0"/>
    <n v="1"/>
    <n v="0"/>
    <n v="1"/>
    <n v="0"/>
    <n v="0"/>
    <x v="1"/>
    <n v="0"/>
    <n v="1"/>
    <n v="0"/>
    <n v="0"/>
    <x v="1"/>
  </r>
  <r>
    <s v="A39PWM9C4U0TEP"/>
    <x v="0"/>
    <n v="40"/>
    <s v="male"/>
    <x v="2"/>
    <x v="3"/>
    <n v="18726"/>
    <n v="1"/>
    <n v="1"/>
    <n v="1"/>
    <n v="0"/>
    <s v="Cafe A."/>
    <s v="Cafes A, B, C, D and E."/>
    <s v="Cafes D and E."/>
    <s v="mo-h"/>
    <s v="exh"/>
    <s v="ms-l"/>
    <n v="1"/>
    <x v="2"/>
    <x v="2"/>
    <n v="0"/>
    <n v="1"/>
    <n v="0"/>
    <n v="1"/>
    <n v="1"/>
    <n v="1"/>
    <x v="2"/>
    <n v="0"/>
    <n v="1"/>
    <n v="0"/>
    <n v="0"/>
    <x v="1"/>
  </r>
  <r>
    <s v="A39PWM9C4U0TEP"/>
    <x v="0"/>
    <n v="40"/>
    <s v="male"/>
    <x v="2"/>
    <x v="11"/>
    <n v="32512"/>
    <n v="0"/>
    <n v="0"/>
    <n v="0"/>
    <n v="1"/>
    <s v="Dentist A."/>
    <s v="Dentist E."/>
    <s v="Dentists D and E."/>
    <s v="mo-h"/>
    <s v="mo-l"/>
    <s v="ms-l"/>
    <n v="0"/>
    <x v="2"/>
    <x v="1"/>
    <n v="0"/>
    <n v="1"/>
    <n v="0"/>
    <n v="1"/>
    <n v="0"/>
    <n v="0"/>
    <x v="2"/>
    <n v="0"/>
    <n v="0"/>
    <n v="0"/>
    <n v="1"/>
    <x v="1"/>
  </r>
  <r>
    <s v="A39PWM9C4U0TEP"/>
    <x v="0"/>
    <n v="40"/>
    <s v="male"/>
    <x v="3"/>
    <x v="10"/>
    <n v="34543"/>
    <n v="0"/>
    <n v="0"/>
    <n v="0"/>
    <n v="1"/>
    <s v="NA"/>
    <s v="NA"/>
    <s v="NA"/>
    <s v="NA"/>
    <s v="NA"/>
    <s v="NA"/>
    <s v="NA"/>
    <x v="2"/>
    <x v="1"/>
    <n v="0"/>
    <n v="1"/>
    <n v="0"/>
    <n v="1"/>
    <n v="0"/>
    <n v="0"/>
    <x v="2"/>
    <n v="0"/>
    <n v="0"/>
    <n v="0"/>
    <n v="1"/>
    <x v="1"/>
  </r>
  <r>
    <s v="A39PWM9C4U0TEP"/>
    <x v="0"/>
    <n v="40"/>
    <s v="male"/>
    <x v="2"/>
    <x v="9"/>
    <n v="12931"/>
    <n v="1"/>
    <n v="1"/>
    <n v="1"/>
    <n v="0"/>
    <s v="Stores D and E."/>
    <s v="Store E."/>
    <s v="Stores A and B."/>
    <s v="ms-l"/>
    <s v="mo-l"/>
    <s v="ms-h"/>
    <n v="0"/>
    <x v="1"/>
    <x v="1"/>
    <n v="1"/>
    <n v="1"/>
    <n v="0"/>
    <n v="1"/>
    <n v="0"/>
    <n v="0"/>
    <x v="1"/>
    <n v="1"/>
    <n v="1"/>
    <n v="0"/>
    <n v="0"/>
    <x v="1"/>
  </r>
  <r>
    <s v="A39PWM9C4U0TEP"/>
    <x v="0"/>
    <n v="40"/>
    <s v="male"/>
    <x v="3"/>
    <x v="8"/>
    <n v="23106"/>
    <n v="1"/>
    <n v="1"/>
    <n v="0"/>
    <n v="0"/>
    <s v="NA"/>
    <s v="NA"/>
    <s v="NA"/>
    <s v="NA"/>
    <s v="NA"/>
    <s v="NA"/>
    <s v="NA"/>
    <x v="1"/>
    <x v="1"/>
    <n v="1"/>
    <n v="1"/>
    <n v="0"/>
    <n v="1"/>
    <n v="0"/>
    <n v="0"/>
    <x v="1"/>
    <n v="1"/>
    <n v="1"/>
    <n v="0"/>
    <n v="0"/>
    <x v="1"/>
  </r>
  <r>
    <s v="A39PWM9C4U0TEP"/>
    <x v="0"/>
    <n v="40"/>
    <s v="male"/>
    <x v="2"/>
    <x v="7"/>
    <n v="12036"/>
    <n v="1"/>
    <n v="1"/>
    <n v="1"/>
    <n v="0"/>
    <s v="Stylists D and E."/>
    <s v="Stylists A and B."/>
    <s v="Stylists A, B, C, D and E."/>
    <s v="ms-l"/>
    <s v="ms-h"/>
    <s v="exh"/>
    <n v="1"/>
    <x v="1"/>
    <x v="2"/>
    <n v="1"/>
    <n v="1"/>
    <n v="0"/>
    <n v="1"/>
    <n v="1"/>
    <n v="0"/>
    <x v="2"/>
    <n v="1"/>
    <n v="1"/>
    <n v="0"/>
    <n v="0"/>
    <x v="1"/>
  </r>
  <r>
    <s v="A39PWM9C4U0TEP"/>
    <x v="0"/>
    <n v="40"/>
    <s v="male"/>
    <x v="3"/>
    <x v="5"/>
    <n v="26698"/>
    <n v="1"/>
    <n v="0"/>
    <n v="1"/>
    <n v="0"/>
    <s v="NA"/>
    <s v="NA"/>
    <s v="NA"/>
    <s v="NA"/>
    <s v="NA"/>
    <s v="NA"/>
    <s v="NA"/>
    <x v="1"/>
    <x v="2"/>
    <n v="1"/>
    <n v="1"/>
    <n v="0"/>
    <n v="1"/>
    <n v="1"/>
    <n v="0"/>
    <x v="2"/>
    <n v="1"/>
    <n v="1"/>
    <n v="0"/>
    <n v="0"/>
    <x v="1"/>
  </r>
  <r>
    <s v="A39PWM9C4U0TEP"/>
    <x v="0"/>
    <n v="40"/>
    <s v="male"/>
    <x v="4"/>
    <x v="0"/>
    <n v="81076"/>
    <s v="Yes%2C I think the first question would just to be list all places that serve brunch.  The second question I would answer with my opinion on what it worth checking out and what is not."/>
    <s v="A little%2C I wasn't sure if I was correct or not."/>
    <s v="This was interesting."/>
    <s v="NA"/>
    <s v="NA"/>
    <s v="NA"/>
    <s v="NA"/>
    <s v="NA"/>
    <s v="NA"/>
    <s v="NA"/>
    <s v="NA"/>
    <x v="0"/>
    <x v="0"/>
    <s v="NA"/>
    <s v="NA"/>
    <s v="NA"/>
    <s v="NA"/>
    <s v="NA"/>
    <s v="NA"/>
    <x v="0"/>
    <s v="NA"/>
    <s v="NA"/>
    <s v="NA"/>
    <s v="NA"/>
    <x v="1"/>
  </r>
  <r>
    <s v="A1WLRHL0U23N38"/>
    <x v="0"/>
    <n v="28"/>
    <s v="female"/>
    <x v="0"/>
    <x v="0"/>
    <n v="19758"/>
    <s v="NA"/>
    <s v="NA"/>
    <s v="NA"/>
    <s v="NA"/>
    <s v="NA"/>
    <s v="NA"/>
    <s v="NA"/>
    <s v="NA"/>
    <s v="NA"/>
    <s v="NA"/>
    <s v="NA"/>
    <x v="0"/>
    <x v="0"/>
    <s v="NA"/>
    <s v="NA"/>
    <s v="NA"/>
    <s v="NA"/>
    <s v="NA"/>
    <s v="NA"/>
    <x v="0"/>
    <s v="NA"/>
    <s v="NA"/>
    <s v="NA"/>
    <s v="NA"/>
    <x v="1"/>
  </r>
  <r>
    <s v="A1WLRHL0U23N38"/>
    <x v="0"/>
    <n v="28"/>
    <s v="female"/>
    <x v="1"/>
    <x v="2"/>
    <n v="95862"/>
    <n v="0"/>
    <n v="1"/>
    <n v="1"/>
    <n v="0"/>
    <s v="NA"/>
    <s v="NA"/>
    <s v="NA"/>
    <s v="NA"/>
    <s v="NA"/>
    <s v="NA"/>
    <s v="NA"/>
    <x v="0"/>
    <x v="0"/>
    <s v="NA"/>
    <s v="NA"/>
    <s v="NA"/>
    <s v="NA"/>
    <s v="NA"/>
    <s v="NA"/>
    <x v="0"/>
    <s v="NA"/>
    <s v="NA"/>
    <s v="NA"/>
    <s v="NA"/>
    <x v="1"/>
  </r>
  <r>
    <s v="A1WLRHL0U23N38"/>
    <x v="0"/>
    <n v="28"/>
    <s v="female"/>
    <x v="1"/>
    <x v="1"/>
    <n v="25242"/>
    <n v="0"/>
    <n v="0"/>
    <n v="0"/>
    <n v="1"/>
    <s v="NA"/>
    <s v="NA"/>
    <s v="NA"/>
    <s v="NA"/>
    <s v="NA"/>
    <s v="NA"/>
    <s v="NA"/>
    <x v="0"/>
    <x v="0"/>
    <s v="NA"/>
    <s v="NA"/>
    <s v="NA"/>
    <s v="NA"/>
    <s v="NA"/>
    <s v="NA"/>
    <x v="0"/>
    <s v="NA"/>
    <s v="NA"/>
    <s v="NA"/>
    <s v="NA"/>
    <x v="1"/>
  </r>
  <r>
    <s v="A1WLRHL0U23N38"/>
    <x v="0"/>
    <n v="28"/>
    <s v="female"/>
    <x v="2"/>
    <x v="11"/>
    <n v="56570"/>
    <n v="0"/>
    <n v="0"/>
    <n v="1"/>
    <n v="0"/>
    <s v="Dentists A and B."/>
    <s v="Dentist E."/>
    <s v="Dentists A, B, C, D and E."/>
    <s v="ms-h"/>
    <s v="mo-l"/>
    <s v="exh"/>
    <n v="1"/>
    <x v="1"/>
    <x v="1"/>
    <n v="1"/>
    <n v="0"/>
    <n v="0"/>
    <n v="1"/>
    <n v="1"/>
    <n v="0"/>
    <x v="2"/>
    <n v="0"/>
    <n v="0"/>
    <n v="0"/>
    <n v="0"/>
    <x v="1"/>
  </r>
  <r>
    <s v="A1WLRHL0U23N38"/>
    <x v="0"/>
    <n v="28"/>
    <s v="female"/>
    <x v="2"/>
    <x v="6"/>
    <n v="43883"/>
    <n v="1"/>
    <n v="0"/>
    <n v="0"/>
    <n v="0"/>
    <s v="Bookstores A, B, C, D and E."/>
    <s v="Bookstores D and E."/>
    <s v="Bookstores A and B."/>
    <s v="exh"/>
    <s v="ms-l"/>
    <s v="ms-h"/>
    <n v="1"/>
    <x v="1"/>
    <x v="2"/>
    <n v="1"/>
    <n v="1"/>
    <n v="0"/>
    <n v="1"/>
    <n v="1"/>
    <n v="0"/>
    <x v="2"/>
    <n v="0"/>
    <n v="0"/>
    <n v="0"/>
    <n v="0"/>
    <x v="1"/>
  </r>
  <r>
    <s v="A1WLRHL0U23N38"/>
    <x v="0"/>
    <n v="28"/>
    <s v="female"/>
    <x v="3"/>
    <x v="10"/>
    <n v="24028"/>
    <n v="0"/>
    <n v="0"/>
    <n v="0"/>
    <n v="1"/>
    <s v="NA"/>
    <s v="NA"/>
    <s v="NA"/>
    <s v="NA"/>
    <s v="NA"/>
    <s v="NA"/>
    <s v="NA"/>
    <x v="1"/>
    <x v="2"/>
    <n v="1"/>
    <n v="1"/>
    <n v="0"/>
    <n v="1"/>
    <n v="1"/>
    <n v="0"/>
    <x v="2"/>
    <n v="0"/>
    <n v="0"/>
    <n v="0"/>
    <n v="0"/>
    <x v="1"/>
  </r>
  <r>
    <s v="A1WLRHL0U23N38"/>
    <x v="0"/>
    <n v="28"/>
    <s v="female"/>
    <x v="2"/>
    <x v="7"/>
    <n v="32979"/>
    <n v="0"/>
    <n v="0"/>
    <n v="1"/>
    <n v="0"/>
    <s v="Stylist E."/>
    <s v="Stylist F."/>
    <s v="Stylists D and E."/>
    <s v="mo-l"/>
    <s v="fa"/>
    <s v="ms-l"/>
    <n v="0"/>
    <x v="1"/>
    <x v="1"/>
    <n v="0"/>
    <n v="1"/>
    <n v="0"/>
    <n v="1"/>
    <n v="0"/>
    <n v="0"/>
    <x v="2"/>
    <n v="0"/>
    <n v="1"/>
    <n v="0"/>
    <n v="0"/>
    <x v="1"/>
  </r>
  <r>
    <s v="A1WLRHL0U23N38"/>
    <x v="0"/>
    <n v="28"/>
    <s v="female"/>
    <x v="3"/>
    <x v="8"/>
    <n v="12773"/>
    <n v="0"/>
    <n v="1"/>
    <n v="0"/>
    <n v="0"/>
    <s v="NA"/>
    <s v="NA"/>
    <s v="NA"/>
    <s v="NA"/>
    <s v="NA"/>
    <s v="NA"/>
    <s v="NA"/>
    <x v="1"/>
    <x v="1"/>
    <n v="0"/>
    <n v="1"/>
    <n v="0"/>
    <n v="1"/>
    <n v="0"/>
    <n v="0"/>
    <x v="2"/>
    <n v="0"/>
    <n v="1"/>
    <n v="0"/>
    <n v="0"/>
    <x v="1"/>
  </r>
  <r>
    <s v="A1WLRHL0U23N38"/>
    <x v="0"/>
    <n v="28"/>
    <s v="female"/>
    <x v="2"/>
    <x v="4"/>
    <n v="8328"/>
    <n v="1"/>
    <n v="0"/>
    <n v="0"/>
    <n v="0"/>
    <s v="Stall F."/>
    <s v="Stall E."/>
    <s v="Stall A."/>
    <s v="fa"/>
    <s v="mo-l"/>
    <s v="mo-h"/>
    <n v="0"/>
    <x v="2"/>
    <x v="1"/>
    <n v="0"/>
    <n v="0"/>
    <n v="0"/>
    <n v="1"/>
    <n v="0"/>
    <n v="0"/>
    <x v="2"/>
    <n v="0"/>
    <n v="0"/>
    <n v="0"/>
    <n v="0"/>
    <x v="1"/>
  </r>
  <r>
    <s v="A1WLRHL0U23N38"/>
    <x v="0"/>
    <n v="28"/>
    <s v="female"/>
    <x v="2"/>
    <x v="3"/>
    <n v="23546"/>
    <n v="1"/>
    <n v="1"/>
    <n v="1"/>
    <n v="0"/>
    <s v="Cafe E."/>
    <s v="Cafes A and B."/>
    <s v="Cafe F."/>
    <s v="mo-l"/>
    <s v="ms-h"/>
    <s v="fa"/>
    <n v="0"/>
    <x v="1"/>
    <x v="1"/>
    <n v="1"/>
    <n v="0"/>
    <n v="0"/>
    <n v="1"/>
    <n v="0"/>
    <n v="0"/>
    <x v="1"/>
    <n v="1"/>
    <n v="0"/>
    <n v="0"/>
    <n v="0"/>
    <x v="1"/>
  </r>
  <r>
    <s v="A1WLRHL0U23N38"/>
    <x v="0"/>
    <n v="28"/>
    <s v="female"/>
    <x v="3"/>
    <x v="5"/>
    <n v="8127"/>
    <n v="0"/>
    <n v="0"/>
    <n v="1"/>
    <n v="0"/>
    <s v="NA"/>
    <s v="NA"/>
    <s v="NA"/>
    <s v="NA"/>
    <s v="NA"/>
    <s v="NA"/>
    <s v="NA"/>
    <x v="1"/>
    <x v="1"/>
    <n v="1"/>
    <n v="0"/>
    <n v="0"/>
    <n v="1"/>
    <n v="0"/>
    <n v="0"/>
    <x v="1"/>
    <n v="1"/>
    <n v="0"/>
    <n v="0"/>
    <n v="0"/>
    <x v="1"/>
  </r>
  <r>
    <s v="A1WLRHL0U23N38"/>
    <x v="0"/>
    <n v="28"/>
    <s v="female"/>
    <x v="2"/>
    <x v="9"/>
    <n v="8369"/>
    <n v="0"/>
    <n v="0"/>
    <n v="1"/>
    <n v="0"/>
    <s v="Store A."/>
    <s v="Store E."/>
    <s v="Stores A, B, C, D and E."/>
    <s v="mo-h"/>
    <s v="mo-l"/>
    <s v="exh"/>
    <n v="1"/>
    <x v="2"/>
    <x v="1"/>
    <n v="0"/>
    <n v="0"/>
    <n v="0"/>
    <n v="1"/>
    <n v="1"/>
    <n v="0"/>
    <x v="2"/>
    <n v="0"/>
    <n v="0"/>
    <n v="0"/>
    <n v="0"/>
    <x v="1"/>
  </r>
  <r>
    <s v="A1WLRHL0U23N38"/>
    <x v="0"/>
    <n v="28"/>
    <s v="female"/>
    <x v="3"/>
    <x v="12"/>
    <n v="12011"/>
    <n v="1"/>
    <n v="0"/>
    <n v="0"/>
    <n v="0"/>
    <s v="NA"/>
    <s v="NA"/>
    <s v="NA"/>
    <s v="NA"/>
    <s v="NA"/>
    <s v="NA"/>
    <s v="NA"/>
    <x v="2"/>
    <x v="1"/>
    <n v="0"/>
    <n v="0"/>
    <n v="0"/>
    <n v="1"/>
    <n v="1"/>
    <n v="0"/>
    <x v="2"/>
    <n v="0"/>
    <n v="0"/>
    <n v="0"/>
    <n v="0"/>
    <x v="1"/>
  </r>
  <r>
    <s v="A1WLRHL0U23N38"/>
    <x v="0"/>
    <n v="28"/>
    <s v="female"/>
    <x v="4"/>
    <x v="0"/>
    <n v="74927"/>
    <s v="No%2C because both are asking the same thing about where brunch is served."/>
    <s v="Not really. Just plain English is simple."/>
    <s v="none"/>
    <s v="NA"/>
    <s v="NA"/>
    <s v="NA"/>
    <s v="NA"/>
    <s v="NA"/>
    <s v="NA"/>
    <s v="NA"/>
    <s v="NA"/>
    <x v="0"/>
    <x v="0"/>
    <s v="NA"/>
    <s v="NA"/>
    <s v="NA"/>
    <s v="NA"/>
    <s v="NA"/>
    <s v="NA"/>
    <x v="0"/>
    <s v="NA"/>
    <s v="NA"/>
    <s v="NA"/>
    <s v="NA"/>
    <x v="1"/>
  </r>
  <r>
    <s v="AW9WE7LS8R57M"/>
    <x v="0"/>
    <n v="30"/>
    <s v="male"/>
    <x v="0"/>
    <x v="0"/>
    <n v="65535"/>
    <s v="NA"/>
    <s v="NA"/>
    <s v="NA"/>
    <s v="NA"/>
    <s v="NA"/>
    <s v="NA"/>
    <s v="NA"/>
    <s v="NA"/>
    <s v="NA"/>
    <s v="NA"/>
    <s v="NA"/>
    <x v="0"/>
    <x v="0"/>
    <s v="NA"/>
    <s v="NA"/>
    <s v="NA"/>
    <s v="NA"/>
    <s v="NA"/>
    <s v="NA"/>
    <x v="0"/>
    <s v="NA"/>
    <s v="NA"/>
    <s v="NA"/>
    <s v="NA"/>
    <x v="1"/>
  </r>
  <r>
    <s v="AW9WE7LS8R57M"/>
    <x v="0"/>
    <n v="30"/>
    <s v="male"/>
    <x v="1"/>
    <x v="1"/>
    <n v="45666"/>
    <n v="0"/>
    <n v="0"/>
    <n v="0"/>
    <n v="1"/>
    <s v="NA"/>
    <s v="NA"/>
    <s v="NA"/>
    <s v="NA"/>
    <s v="NA"/>
    <s v="NA"/>
    <s v="NA"/>
    <x v="0"/>
    <x v="0"/>
    <s v="NA"/>
    <s v="NA"/>
    <s v="NA"/>
    <s v="NA"/>
    <s v="NA"/>
    <s v="NA"/>
    <x v="0"/>
    <s v="NA"/>
    <s v="NA"/>
    <s v="NA"/>
    <s v="NA"/>
    <x v="1"/>
  </r>
  <r>
    <s v="AW9WE7LS8R57M"/>
    <x v="0"/>
    <n v="30"/>
    <s v="male"/>
    <x v="1"/>
    <x v="2"/>
    <n v="83418"/>
    <n v="0"/>
    <n v="0"/>
    <n v="1"/>
    <n v="0"/>
    <s v="NA"/>
    <s v="NA"/>
    <s v="NA"/>
    <s v="NA"/>
    <s v="NA"/>
    <s v="NA"/>
    <s v="NA"/>
    <x v="0"/>
    <x v="0"/>
    <s v="NA"/>
    <s v="NA"/>
    <s v="NA"/>
    <s v="NA"/>
    <s v="NA"/>
    <s v="NA"/>
    <x v="0"/>
    <s v="NA"/>
    <s v="NA"/>
    <s v="NA"/>
    <s v="NA"/>
    <x v="1"/>
  </r>
  <r>
    <s v="AW9WE7LS8R57M"/>
    <x v="0"/>
    <n v="30"/>
    <s v="male"/>
    <x v="2"/>
    <x v="9"/>
    <n v="85472"/>
    <n v="0"/>
    <n v="1"/>
    <n v="0"/>
    <n v="0"/>
    <s v="Stores D and E."/>
    <s v="Stores A and B."/>
    <s v="Store E."/>
    <s v="ms-l"/>
    <s v="ms-h"/>
    <s v="mo-l"/>
    <n v="0"/>
    <x v="1"/>
    <x v="1"/>
    <n v="1"/>
    <n v="1"/>
    <n v="0"/>
    <n v="1"/>
    <n v="0"/>
    <n v="0"/>
    <x v="2"/>
    <n v="1"/>
    <n v="0"/>
    <n v="0"/>
    <n v="0"/>
    <x v="1"/>
  </r>
  <r>
    <s v="AW9WE7LS8R57M"/>
    <x v="0"/>
    <n v="30"/>
    <s v="male"/>
    <x v="3"/>
    <x v="10"/>
    <n v="67621"/>
    <n v="0"/>
    <n v="0"/>
    <n v="1"/>
    <n v="0"/>
    <s v="NA"/>
    <s v="NA"/>
    <s v="NA"/>
    <s v="NA"/>
    <s v="NA"/>
    <s v="NA"/>
    <s v="NA"/>
    <x v="1"/>
    <x v="1"/>
    <n v="1"/>
    <n v="1"/>
    <n v="0"/>
    <n v="1"/>
    <n v="0"/>
    <n v="0"/>
    <x v="2"/>
    <n v="1"/>
    <n v="0"/>
    <n v="0"/>
    <n v="0"/>
    <x v="1"/>
  </r>
  <r>
    <s v="AW9WE7LS8R57M"/>
    <x v="0"/>
    <n v="30"/>
    <s v="male"/>
    <x v="2"/>
    <x v="3"/>
    <n v="24333"/>
    <n v="0"/>
    <n v="0"/>
    <n v="1"/>
    <n v="0"/>
    <s v="Cafes D and E."/>
    <s v="Cafe F."/>
    <s v="Cafe A."/>
    <s v="ms-l"/>
    <s v="fa"/>
    <s v="mo-h"/>
    <n v="0"/>
    <x v="2"/>
    <x v="2"/>
    <n v="0"/>
    <n v="1"/>
    <n v="0"/>
    <n v="1"/>
    <n v="0"/>
    <n v="1"/>
    <x v="2"/>
    <n v="0"/>
    <n v="0"/>
    <n v="0"/>
    <n v="0"/>
    <x v="1"/>
  </r>
  <r>
    <s v="AW9WE7LS8R57M"/>
    <x v="0"/>
    <n v="30"/>
    <s v="male"/>
    <x v="2"/>
    <x v="6"/>
    <n v="7887"/>
    <n v="0"/>
    <n v="1"/>
    <n v="0"/>
    <n v="0"/>
    <s v="Bookstores A and B."/>
    <s v="Bookstores D and E."/>
    <s v="Bookstore A."/>
    <s v="ms-h"/>
    <s v="ms-l"/>
    <s v="mo-h"/>
    <n v="0"/>
    <x v="2"/>
    <x v="2"/>
    <n v="1"/>
    <n v="1"/>
    <n v="0"/>
    <n v="1"/>
    <n v="0"/>
    <n v="0"/>
    <x v="2"/>
    <n v="0"/>
    <n v="1"/>
    <n v="0"/>
    <n v="0"/>
    <x v="1"/>
  </r>
  <r>
    <s v="AW9WE7LS8R57M"/>
    <x v="0"/>
    <n v="30"/>
    <s v="male"/>
    <x v="3"/>
    <x v="12"/>
    <n v="14694"/>
    <n v="0"/>
    <n v="1"/>
    <n v="1"/>
    <n v="0"/>
    <s v="NA"/>
    <s v="NA"/>
    <s v="NA"/>
    <s v="NA"/>
    <s v="NA"/>
    <s v="NA"/>
    <s v="NA"/>
    <x v="2"/>
    <x v="2"/>
    <n v="1"/>
    <n v="1"/>
    <n v="0"/>
    <n v="1"/>
    <n v="0"/>
    <n v="0"/>
    <x v="2"/>
    <n v="0"/>
    <n v="1"/>
    <n v="0"/>
    <n v="0"/>
    <x v="1"/>
  </r>
  <r>
    <s v="AW9WE7LS8R57M"/>
    <x v="0"/>
    <n v="30"/>
    <s v="male"/>
    <x v="2"/>
    <x v="7"/>
    <n v="16054"/>
    <n v="1"/>
    <n v="0"/>
    <n v="0"/>
    <n v="0"/>
    <s v="Stylist E."/>
    <s v="Stylist A."/>
    <s v="Stylists D and E."/>
    <s v="mo-l"/>
    <s v="mo-h"/>
    <s v="ms-l"/>
    <n v="0"/>
    <x v="2"/>
    <x v="1"/>
    <n v="0"/>
    <n v="1"/>
    <n v="0"/>
    <n v="1"/>
    <n v="0"/>
    <n v="0"/>
    <x v="1"/>
    <n v="0"/>
    <n v="0"/>
    <n v="0"/>
    <n v="0"/>
    <x v="1"/>
  </r>
  <r>
    <s v="AW9WE7LS8R57M"/>
    <x v="0"/>
    <n v="30"/>
    <s v="male"/>
    <x v="3"/>
    <x v="5"/>
    <n v="15416"/>
    <n v="0"/>
    <n v="0"/>
    <n v="1"/>
    <n v="0"/>
    <s v="NA"/>
    <s v="NA"/>
    <s v="NA"/>
    <s v="NA"/>
    <s v="NA"/>
    <s v="NA"/>
    <s v="NA"/>
    <x v="2"/>
    <x v="1"/>
    <n v="0"/>
    <n v="1"/>
    <n v="0"/>
    <n v="1"/>
    <n v="0"/>
    <n v="0"/>
    <x v="1"/>
    <n v="0"/>
    <n v="0"/>
    <n v="0"/>
    <n v="0"/>
    <x v="1"/>
  </r>
  <r>
    <s v="AW9WE7LS8R57M"/>
    <x v="0"/>
    <n v="30"/>
    <s v="male"/>
    <x v="2"/>
    <x v="4"/>
    <n v="11806"/>
    <n v="0"/>
    <n v="1"/>
    <n v="0"/>
    <n v="0"/>
    <s v="Stall A."/>
    <s v="Stalls A and B."/>
    <s v="Stalls D and E."/>
    <s v="mo-h"/>
    <s v="ms-h"/>
    <s v="ms-l"/>
    <n v="0"/>
    <x v="2"/>
    <x v="2"/>
    <n v="1"/>
    <n v="1"/>
    <n v="0"/>
    <n v="1"/>
    <n v="0"/>
    <n v="0"/>
    <x v="2"/>
    <n v="1"/>
    <n v="0"/>
    <n v="0"/>
    <n v="0"/>
    <x v="1"/>
  </r>
  <r>
    <s v="AW9WE7LS8R57M"/>
    <x v="0"/>
    <n v="30"/>
    <s v="male"/>
    <x v="2"/>
    <x v="11"/>
    <n v="4333"/>
    <n v="0"/>
    <n v="0"/>
    <n v="1"/>
    <n v="0"/>
    <s v="Dentist F."/>
    <s v="Dentist A."/>
    <s v="Dentists D and E."/>
    <s v="fa"/>
    <s v="mo-h"/>
    <s v="ms-l"/>
    <n v="0"/>
    <x v="2"/>
    <x v="2"/>
    <n v="0"/>
    <n v="1"/>
    <n v="0"/>
    <n v="1"/>
    <n v="0"/>
    <n v="0"/>
    <x v="2"/>
    <n v="0"/>
    <n v="1"/>
    <n v="0"/>
    <n v="0"/>
    <x v="1"/>
  </r>
  <r>
    <s v="AW9WE7LS8R57M"/>
    <x v="0"/>
    <n v="30"/>
    <s v="male"/>
    <x v="3"/>
    <x v="8"/>
    <n v="5038"/>
    <n v="0"/>
    <n v="0"/>
    <n v="1"/>
    <n v="0"/>
    <s v="NA"/>
    <s v="NA"/>
    <s v="NA"/>
    <s v="NA"/>
    <s v="NA"/>
    <s v="NA"/>
    <s v="NA"/>
    <x v="2"/>
    <x v="2"/>
    <n v="0"/>
    <n v="1"/>
    <n v="0"/>
    <n v="1"/>
    <n v="0"/>
    <n v="0"/>
    <x v="2"/>
    <n v="0"/>
    <n v="1"/>
    <n v="0"/>
    <n v="0"/>
    <x v="1"/>
  </r>
  <r>
    <s v="AW9WE7LS8R57M"/>
    <x v="0"/>
    <n v="30"/>
    <s v="male"/>
    <x v="4"/>
    <x v="0"/>
    <n v="90457"/>
    <s v="wherever she can go to brunch"/>
    <s v="no this is not difficult"/>
    <s v="good"/>
    <s v="NA"/>
    <s v="NA"/>
    <s v="NA"/>
    <s v="NA"/>
    <s v="NA"/>
    <s v="NA"/>
    <s v="NA"/>
    <s v="NA"/>
    <x v="0"/>
    <x v="0"/>
    <s v="NA"/>
    <s v="NA"/>
    <s v="NA"/>
    <s v="NA"/>
    <s v="NA"/>
    <s v="NA"/>
    <x v="0"/>
    <s v="NA"/>
    <s v="NA"/>
    <s v="NA"/>
    <s v="NA"/>
    <x v="1"/>
  </r>
  <r>
    <s v="A1PZIN8H1VI6SY"/>
    <x v="0"/>
    <n v="40"/>
    <s v="male"/>
    <x v="0"/>
    <x v="0"/>
    <n v="25265"/>
    <s v="NA"/>
    <s v="NA"/>
    <s v="NA"/>
    <s v="NA"/>
    <s v="NA"/>
    <s v="NA"/>
    <s v="NA"/>
    <s v="NA"/>
    <s v="NA"/>
    <s v="NA"/>
    <s v="NA"/>
    <x v="0"/>
    <x v="0"/>
    <s v="NA"/>
    <s v="NA"/>
    <s v="NA"/>
    <s v="NA"/>
    <s v="NA"/>
    <s v="NA"/>
    <x v="0"/>
    <s v="NA"/>
    <s v="NA"/>
    <s v="NA"/>
    <s v="NA"/>
    <x v="1"/>
  </r>
  <r>
    <s v="A1PZIN8H1VI6SY"/>
    <x v="0"/>
    <n v="40"/>
    <s v="male"/>
    <x v="1"/>
    <x v="1"/>
    <n v="76513"/>
    <n v="0"/>
    <n v="0"/>
    <n v="0"/>
    <n v="1"/>
    <s v="NA"/>
    <s v="NA"/>
    <s v="NA"/>
    <s v="NA"/>
    <s v="NA"/>
    <s v="NA"/>
    <s v="NA"/>
    <x v="0"/>
    <x v="0"/>
    <s v="NA"/>
    <s v="NA"/>
    <s v="NA"/>
    <s v="NA"/>
    <s v="NA"/>
    <s v="NA"/>
    <x v="0"/>
    <s v="NA"/>
    <s v="NA"/>
    <s v="NA"/>
    <s v="NA"/>
    <x v="1"/>
  </r>
  <r>
    <s v="A1PZIN8H1VI6SY"/>
    <x v="0"/>
    <n v="40"/>
    <s v="male"/>
    <x v="1"/>
    <x v="2"/>
    <n v="61828"/>
    <n v="0"/>
    <n v="0"/>
    <n v="1"/>
    <n v="0"/>
    <s v="NA"/>
    <s v="NA"/>
    <s v="NA"/>
    <s v="NA"/>
    <s v="NA"/>
    <s v="NA"/>
    <s v="NA"/>
    <x v="0"/>
    <x v="0"/>
    <s v="NA"/>
    <s v="NA"/>
    <s v="NA"/>
    <s v="NA"/>
    <s v="NA"/>
    <s v="NA"/>
    <x v="0"/>
    <s v="NA"/>
    <s v="NA"/>
    <s v="NA"/>
    <s v="NA"/>
    <x v="1"/>
  </r>
  <r>
    <s v="A1PZIN8H1VI6SY"/>
    <x v="0"/>
    <n v="40"/>
    <s v="male"/>
    <x v="2"/>
    <x v="3"/>
    <n v="64591"/>
    <n v="0"/>
    <n v="0"/>
    <n v="0"/>
    <n v="1"/>
    <s v="Cafes A and B."/>
    <s v="Cafe F."/>
    <s v="Cafes D and E."/>
    <s v="ms-h"/>
    <s v="fa"/>
    <s v="ms-l"/>
    <n v="0"/>
    <x v="1"/>
    <x v="2"/>
    <n v="1"/>
    <n v="1"/>
    <n v="0"/>
    <n v="1"/>
    <n v="0"/>
    <n v="0"/>
    <x v="2"/>
    <n v="0"/>
    <n v="0"/>
    <n v="0"/>
    <n v="1"/>
    <x v="1"/>
  </r>
  <r>
    <s v="A1PZIN8H1VI6SY"/>
    <x v="0"/>
    <n v="40"/>
    <s v="male"/>
    <x v="2"/>
    <x v="9"/>
    <n v="27004"/>
    <n v="1"/>
    <n v="0"/>
    <n v="0"/>
    <n v="1"/>
    <s v="Stores D and E."/>
    <s v="Store E."/>
    <s v="Store F."/>
    <s v="ms-l"/>
    <s v="mo-l"/>
    <s v="fa"/>
    <n v="0"/>
    <x v="1"/>
    <x v="1"/>
    <n v="0"/>
    <n v="1"/>
    <n v="0"/>
    <n v="1"/>
    <n v="0"/>
    <n v="0"/>
    <x v="2"/>
    <n v="0"/>
    <n v="1"/>
    <n v="0"/>
    <n v="1"/>
    <x v="1"/>
  </r>
  <r>
    <s v="A1PZIN8H1VI6SY"/>
    <x v="0"/>
    <n v="40"/>
    <s v="male"/>
    <x v="3"/>
    <x v="10"/>
    <n v="31013"/>
    <n v="0"/>
    <n v="1"/>
    <n v="0"/>
    <n v="0"/>
    <s v="NA"/>
    <s v="NA"/>
    <s v="NA"/>
    <s v="NA"/>
    <s v="NA"/>
    <s v="NA"/>
    <s v="NA"/>
    <x v="1"/>
    <x v="1"/>
    <n v="0"/>
    <n v="1"/>
    <n v="0"/>
    <n v="1"/>
    <n v="0"/>
    <n v="0"/>
    <x v="2"/>
    <n v="0"/>
    <n v="1"/>
    <n v="0"/>
    <n v="1"/>
    <x v="1"/>
  </r>
  <r>
    <s v="A1PZIN8H1VI6SY"/>
    <x v="0"/>
    <n v="40"/>
    <s v="male"/>
    <x v="2"/>
    <x v="11"/>
    <n v="16461"/>
    <n v="0"/>
    <n v="1"/>
    <n v="0"/>
    <n v="0"/>
    <s v="Dentists A, B, C, D and E."/>
    <s v="Dentists A and B."/>
    <s v="Dentist F."/>
    <s v="exh"/>
    <s v="ms-h"/>
    <s v="fa"/>
    <n v="1"/>
    <x v="1"/>
    <x v="2"/>
    <n v="1"/>
    <n v="0"/>
    <n v="0"/>
    <n v="1"/>
    <n v="0"/>
    <n v="0"/>
    <x v="2"/>
    <n v="1"/>
    <n v="0"/>
    <n v="0"/>
    <n v="0"/>
    <x v="1"/>
  </r>
  <r>
    <s v="A1PZIN8H1VI6SY"/>
    <x v="0"/>
    <n v="40"/>
    <s v="male"/>
    <x v="2"/>
    <x v="6"/>
    <n v="12076"/>
    <n v="1"/>
    <n v="0"/>
    <n v="0"/>
    <n v="0"/>
    <s v="Bookstore A."/>
    <s v="Bookstores A and B."/>
    <s v="Bookstore E."/>
    <s v="mo-h"/>
    <s v="ms-h"/>
    <s v="mo-l"/>
    <n v="0"/>
    <x v="2"/>
    <x v="1"/>
    <n v="1"/>
    <n v="0"/>
    <n v="0"/>
    <n v="1"/>
    <n v="0"/>
    <n v="1"/>
    <x v="2"/>
    <n v="0"/>
    <n v="0"/>
    <n v="0"/>
    <n v="0"/>
    <x v="1"/>
  </r>
  <r>
    <s v="A1PZIN8H1VI6SY"/>
    <x v="0"/>
    <n v="40"/>
    <s v="male"/>
    <x v="3"/>
    <x v="12"/>
    <n v="18642"/>
    <n v="0"/>
    <n v="0"/>
    <n v="0"/>
    <n v="1"/>
    <s v="NA"/>
    <s v="NA"/>
    <s v="NA"/>
    <s v="NA"/>
    <s v="NA"/>
    <s v="NA"/>
    <s v="NA"/>
    <x v="2"/>
    <x v="1"/>
    <n v="1"/>
    <n v="0"/>
    <n v="0"/>
    <n v="1"/>
    <n v="0"/>
    <n v="1"/>
    <x v="2"/>
    <n v="0"/>
    <n v="0"/>
    <n v="0"/>
    <n v="0"/>
    <x v="1"/>
  </r>
  <r>
    <s v="A1PZIN8H1VI6SY"/>
    <x v="0"/>
    <n v="40"/>
    <s v="male"/>
    <x v="2"/>
    <x v="4"/>
    <n v="7523"/>
    <n v="0"/>
    <n v="1"/>
    <n v="1"/>
    <n v="0"/>
    <s v="Stalls D and E."/>
    <s v="Stalls A and B."/>
    <s v="Stall F."/>
    <s v="ms-l"/>
    <s v="ms-h"/>
    <s v="fa"/>
    <n v="0"/>
    <x v="1"/>
    <x v="2"/>
    <n v="1"/>
    <n v="1"/>
    <n v="0"/>
    <n v="1"/>
    <n v="0"/>
    <n v="0"/>
    <x v="2"/>
    <n v="1"/>
    <n v="0"/>
    <n v="0"/>
    <n v="0"/>
    <x v="1"/>
  </r>
  <r>
    <s v="A1PZIN8H1VI6SY"/>
    <x v="0"/>
    <n v="40"/>
    <s v="male"/>
    <x v="3"/>
    <x v="5"/>
    <n v="3382"/>
    <n v="0"/>
    <n v="1"/>
    <n v="0"/>
    <n v="0"/>
    <s v="NA"/>
    <s v="NA"/>
    <s v="NA"/>
    <s v="NA"/>
    <s v="NA"/>
    <s v="NA"/>
    <s v="NA"/>
    <x v="1"/>
    <x v="2"/>
    <n v="1"/>
    <n v="1"/>
    <n v="0"/>
    <n v="1"/>
    <n v="0"/>
    <n v="0"/>
    <x v="2"/>
    <n v="1"/>
    <n v="0"/>
    <n v="0"/>
    <n v="0"/>
    <x v="1"/>
  </r>
  <r>
    <s v="A1PZIN8H1VI6SY"/>
    <x v="0"/>
    <n v="40"/>
    <s v="male"/>
    <x v="2"/>
    <x v="7"/>
    <n v="5380"/>
    <n v="0"/>
    <n v="0"/>
    <n v="0"/>
    <n v="1"/>
    <s v="Stylist A."/>
    <s v="Stylists A and B."/>
    <s v="Stylists D and E."/>
    <s v="mo-h"/>
    <s v="ms-h"/>
    <s v="ms-l"/>
    <n v="0"/>
    <x v="2"/>
    <x v="2"/>
    <n v="1"/>
    <n v="1"/>
    <n v="0"/>
    <n v="1"/>
    <n v="0"/>
    <n v="0"/>
    <x v="2"/>
    <n v="0"/>
    <n v="0"/>
    <n v="0"/>
    <n v="1"/>
    <x v="1"/>
  </r>
  <r>
    <s v="A1PZIN8H1VI6SY"/>
    <x v="0"/>
    <n v="40"/>
    <s v="male"/>
    <x v="3"/>
    <x v="8"/>
    <n v="28159"/>
    <n v="0"/>
    <n v="0"/>
    <n v="0"/>
    <n v="1"/>
    <s v="NA"/>
    <s v="NA"/>
    <s v="NA"/>
    <s v="NA"/>
    <s v="NA"/>
    <s v="NA"/>
    <s v="NA"/>
    <x v="2"/>
    <x v="2"/>
    <n v="1"/>
    <n v="1"/>
    <n v="0"/>
    <n v="1"/>
    <n v="0"/>
    <n v="0"/>
    <x v="2"/>
    <n v="0"/>
    <n v="0"/>
    <n v="0"/>
    <n v="1"/>
    <x v="1"/>
  </r>
  <r>
    <s v="A1PZIN8H1VI6SY"/>
    <x v="0"/>
    <n v="40"/>
    <s v="male"/>
    <x v="4"/>
    <x v="0"/>
    <n v="118764"/>
    <s v="because its more gentil to ask where can i go for brunch in town than the other way to talk%2C allways we need to talk saft and easy to  the persons thats the better way to do the things in your life"/>
    <s v="very easy to do "/>
    <s v="very good survey"/>
    <s v="NA"/>
    <s v="NA"/>
    <s v="NA"/>
    <s v="NA"/>
    <s v="NA"/>
    <s v="NA"/>
    <s v="NA"/>
    <s v="NA"/>
    <x v="0"/>
    <x v="0"/>
    <s v="NA"/>
    <s v="NA"/>
    <s v="NA"/>
    <s v="NA"/>
    <s v="NA"/>
    <s v="NA"/>
    <x v="0"/>
    <s v="NA"/>
    <s v="NA"/>
    <s v="NA"/>
    <s v="NA"/>
    <x v="1"/>
  </r>
  <r>
    <s v="A173XG3NZ7JPT7"/>
    <x v="0"/>
    <n v="41"/>
    <s v="female"/>
    <x v="0"/>
    <x v="0"/>
    <n v="99167"/>
    <s v="NA"/>
    <s v="NA"/>
    <s v="NA"/>
    <s v="NA"/>
    <s v="NA"/>
    <s v="NA"/>
    <s v="NA"/>
    <s v="NA"/>
    <s v="NA"/>
    <s v="NA"/>
    <s v="NA"/>
    <x v="0"/>
    <x v="0"/>
    <s v="NA"/>
    <s v="NA"/>
    <s v="NA"/>
    <s v="NA"/>
    <s v="NA"/>
    <s v="NA"/>
    <x v="0"/>
    <s v="NA"/>
    <s v="NA"/>
    <s v="NA"/>
    <s v="NA"/>
    <x v="1"/>
  </r>
  <r>
    <s v="A173XG3NZ7JPT7"/>
    <x v="0"/>
    <n v="41"/>
    <s v="female"/>
    <x v="1"/>
    <x v="1"/>
    <n v="37633"/>
    <n v="0"/>
    <n v="0"/>
    <n v="0"/>
    <n v="1"/>
    <s v="NA"/>
    <s v="NA"/>
    <s v="NA"/>
    <s v="NA"/>
    <s v="NA"/>
    <s v="NA"/>
    <s v="NA"/>
    <x v="0"/>
    <x v="0"/>
    <s v="NA"/>
    <s v="NA"/>
    <s v="NA"/>
    <s v="NA"/>
    <s v="NA"/>
    <s v="NA"/>
    <x v="0"/>
    <s v="NA"/>
    <s v="NA"/>
    <s v="NA"/>
    <s v="NA"/>
    <x v="1"/>
  </r>
  <r>
    <s v="A173XG3NZ7JPT7"/>
    <x v="0"/>
    <n v="41"/>
    <s v="female"/>
    <x v="1"/>
    <x v="2"/>
    <n v="33990"/>
    <n v="0"/>
    <n v="0"/>
    <n v="1"/>
    <n v="0"/>
    <s v="NA"/>
    <s v="NA"/>
    <s v="NA"/>
    <s v="NA"/>
    <s v="NA"/>
    <s v="NA"/>
    <s v="NA"/>
    <x v="0"/>
    <x v="0"/>
    <s v="NA"/>
    <s v="NA"/>
    <s v="NA"/>
    <s v="NA"/>
    <s v="NA"/>
    <s v="NA"/>
    <x v="0"/>
    <s v="NA"/>
    <s v="NA"/>
    <s v="NA"/>
    <s v="NA"/>
    <x v="1"/>
  </r>
  <r>
    <s v="A173XG3NZ7JPT7"/>
    <x v="0"/>
    <n v="41"/>
    <s v="female"/>
    <x v="2"/>
    <x v="6"/>
    <n v="39910"/>
    <n v="1"/>
    <n v="1"/>
    <n v="1"/>
    <n v="0"/>
    <s v="Bookstores D and E."/>
    <s v="Bookstores A, B, C, D and E."/>
    <s v="Bookstore A."/>
    <s v="ms-l"/>
    <s v="exh"/>
    <s v="mo-h"/>
    <n v="1"/>
    <x v="2"/>
    <x v="2"/>
    <n v="0"/>
    <n v="1"/>
    <n v="0"/>
    <n v="1"/>
    <n v="1"/>
    <n v="1"/>
    <x v="2"/>
    <n v="0"/>
    <n v="1"/>
    <n v="0"/>
    <n v="0"/>
    <x v="1"/>
  </r>
  <r>
    <s v="A173XG3NZ7JPT7"/>
    <x v="0"/>
    <n v="41"/>
    <s v="female"/>
    <x v="3"/>
    <x v="5"/>
    <n v="32008"/>
    <n v="1"/>
    <n v="1"/>
    <n v="1"/>
    <n v="0"/>
    <s v="NA"/>
    <s v="NA"/>
    <s v="NA"/>
    <s v="NA"/>
    <s v="NA"/>
    <s v="NA"/>
    <s v="NA"/>
    <x v="2"/>
    <x v="2"/>
    <n v="0"/>
    <n v="1"/>
    <n v="0"/>
    <n v="1"/>
    <n v="1"/>
    <n v="1"/>
    <x v="2"/>
    <n v="0"/>
    <n v="1"/>
    <n v="0"/>
    <n v="0"/>
    <x v="1"/>
  </r>
  <r>
    <s v="A173XG3NZ7JPT7"/>
    <x v="0"/>
    <n v="41"/>
    <s v="female"/>
    <x v="2"/>
    <x v="3"/>
    <n v="26180"/>
    <n v="1"/>
    <n v="1"/>
    <n v="1"/>
    <n v="0"/>
    <s v="Cafe A."/>
    <s v="Cafes A and B."/>
    <s v="Cafe E."/>
    <s v="mo-h"/>
    <s v="ms-h"/>
    <s v="mo-l"/>
    <n v="0"/>
    <x v="2"/>
    <x v="1"/>
    <n v="1"/>
    <n v="0"/>
    <n v="0"/>
    <n v="1"/>
    <n v="0"/>
    <n v="1"/>
    <x v="1"/>
    <n v="1"/>
    <n v="0"/>
    <n v="0"/>
    <n v="0"/>
    <x v="1"/>
  </r>
  <r>
    <s v="A173XG3NZ7JPT7"/>
    <x v="0"/>
    <n v="41"/>
    <s v="female"/>
    <x v="2"/>
    <x v="11"/>
    <n v="23362"/>
    <n v="1"/>
    <n v="1"/>
    <n v="1"/>
    <n v="0"/>
    <s v="Dentist E."/>
    <s v="Dentists A, B, C, D and E."/>
    <s v="Dentists A and B."/>
    <s v="mo-l"/>
    <s v="exh"/>
    <s v="ms-h"/>
    <n v="1"/>
    <x v="1"/>
    <x v="1"/>
    <n v="1"/>
    <n v="0"/>
    <n v="0"/>
    <n v="1"/>
    <n v="1"/>
    <n v="0"/>
    <x v="1"/>
    <n v="1"/>
    <n v="0"/>
    <n v="0"/>
    <n v="0"/>
    <x v="1"/>
  </r>
  <r>
    <s v="A173XG3NZ7JPT7"/>
    <x v="0"/>
    <n v="41"/>
    <s v="female"/>
    <x v="3"/>
    <x v="8"/>
    <n v="35127"/>
    <n v="1"/>
    <n v="1"/>
    <n v="0"/>
    <n v="0"/>
    <s v="NA"/>
    <s v="NA"/>
    <s v="NA"/>
    <s v="NA"/>
    <s v="NA"/>
    <s v="NA"/>
    <s v="NA"/>
    <x v="1"/>
    <x v="1"/>
    <n v="1"/>
    <n v="0"/>
    <n v="0"/>
    <n v="1"/>
    <n v="1"/>
    <n v="0"/>
    <x v="1"/>
    <n v="1"/>
    <n v="0"/>
    <n v="0"/>
    <n v="0"/>
    <x v="1"/>
  </r>
  <r>
    <s v="A173XG3NZ7JPT7"/>
    <x v="0"/>
    <n v="41"/>
    <s v="female"/>
    <x v="2"/>
    <x v="4"/>
    <n v="24755"/>
    <n v="1"/>
    <n v="1"/>
    <n v="1"/>
    <n v="0"/>
    <s v="Stalls A, B, C, D and E."/>
    <s v="Stall F."/>
    <s v="Stall E."/>
    <s v="exh"/>
    <s v="fa"/>
    <s v="mo-l"/>
    <n v="1"/>
    <x v="1"/>
    <x v="1"/>
    <n v="0"/>
    <n v="0"/>
    <n v="0"/>
    <n v="1"/>
    <n v="1"/>
    <n v="0"/>
    <x v="1"/>
    <n v="0"/>
    <n v="0"/>
    <n v="0"/>
    <n v="0"/>
    <x v="1"/>
  </r>
  <r>
    <s v="A173XG3NZ7JPT7"/>
    <x v="0"/>
    <n v="41"/>
    <s v="female"/>
    <x v="3"/>
    <x v="10"/>
    <n v="37496"/>
    <n v="0"/>
    <n v="0"/>
    <n v="1"/>
    <n v="0"/>
    <s v="NA"/>
    <s v="NA"/>
    <s v="NA"/>
    <s v="NA"/>
    <s v="NA"/>
    <s v="NA"/>
    <s v="NA"/>
    <x v="1"/>
    <x v="1"/>
    <n v="0"/>
    <n v="0"/>
    <n v="0"/>
    <n v="1"/>
    <n v="1"/>
    <n v="0"/>
    <x v="1"/>
    <n v="0"/>
    <n v="0"/>
    <n v="0"/>
    <n v="0"/>
    <x v="1"/>
  </r>
  <r>
    <s v="A173XG3NZ7JPT7"/>
    <x v="0"/>
    <n v="41"/>
    <s v="female"/>
    <x v="2"/>
    <x v="7"/>
    <n v="17558"/>
    <n v="1"/>
    <n v="1"/>
    <n v="1"/>
    <n v="0"/>
    <s v="Stylists D and E."/>
    <s v="Stylist E."/>
    <s v="Stylist A."/>
    <s v="ms-l"/>
    <s v="mo-l"/>
    <s v="mo-h"/>
    <n v="0"/>
    <x v="2"/>
    <x v="1"/>
    <n v="0"/>
    <n v="1"/>
    <n v="0"/>
    <n v="1"/>
    <n v="0"/>
    <n v="1"/>
    <x v="1"/>
    <n v="0"/>
    <n v="1"/>
    <n v="0"/>
    <n v="0"/>
    <x v="1"/>
  </r>
  <r>
    <s v="A173XG3NZ7JPT7"/>
    <x v="0"/>
    <n v="41"/>
    <s v="female"/>
    <x v="2"/>
    <x v="9"/>
    <n v="22080"/>
    <n v="1"/>
    <n v="1"/>
    <n v="1"/>
    <n v="0"/>
    <s v="Stores A, B, C, D and E."/>
    <s v="Stores A and B."/>
    <s v="Store A."/>
    <s v="exh"/>
    <s v="ms-h"/>
    <s v="mo-h"/>
    <n v="1"/>
    <x v="2"/>
    <x v="2"/>
    <n v="1"/>
    <n v="0"/>
    <n v="0"/>
    <n v="1"/>
    <n v="1"/>
    <n v="1"/>
    <x v="2"/>
    <n v="1"/>
    <n v="0"/>
    <n v="0"/>
    <n v="0"/>
    <x v="1"/>
  </r>
  <r>
    <s v="A173XG3NZ7JPT7"/>
    <x v="0"/>
    <n v="41"/>
    <s v="female"/>
    <x v="3"/>
    <x v="12"/>
    <n v="18059"/>
    <n v="1"/>
    <n v="1"/>
    <n v="0"/>
    <n v="0"/>
    <s v="NA"/>
    <s v="NA"/>
    <s v="NA"/>
    <s v="NA"/>
    <s v="NA"/>
    <s v="NA"/>
    <s v="NA"/>
    <x v="2"/>
    <x v="2"/>
    <n v="1"/>
    <n v="0"/>
    <n v="0"/>
    <n v="1"/>
    <n v="1"/>
    <n v="1"/>
    <x v="2"/>
    <n v="1"/>
    <n v="0"/>
    <n v="0"/>
    <n v="0"/>
    <x v="1"/>
  </r>
  <r>
    <s v="A173XG3NZ7JPT7"/>
    <x v="0"/>
    <n v="41"/>
    <s v="female"/>
    <x v="4"/>
    <x v="0"/>
    <n v="82484"/>
    <s v="No.  Both involve restaurants that would serve brunch.  If a restaurant serves brunch then that would be included in my response of where the traveler could go for brunch."/>
    <s v="I don't think it was difficult but I think it is subjective so I think there could be different responses."/>
    <s v="No.  Interesting.  Thank you."/>
    <s v="NA"/>
    <s v="NA"/>
    <s v="NA"/>
    <s v="NA"/>
    <s v="NA"/>
    <s v="NA"/>
    <s v="NA"/>
    <s v="NA"/>
    <x v="0"/>
    <x v="0"/>
    <s v="NA"/>
    <s v="NA"/>
    <s v="NA"/>
    <s v="NA"/>
    <s v="NA"/>
    <s v="NA"/>
    <x v="0"/>
    <s v="NA"/>
    <s v="NA"/>
    <s v="NA"/>
    <s v="NA"/>
    <x v="1"/>
  </r>
  <r>
    <s v="A10LLZZHZVGWRW"/>
    <x v="0"/>
    <n v="28"/>
    <s v="female"/>
    <x v="0"/>
    <x v="0"/>
    <n v="12614"/>
    <s v="NA"/>
    <s v="NA"/>
    <s v="NA"/>
    <s v="NA"/>
    <s v="NA"/>
    <s v="NA"/>
    <s v="NA"/>
    <s v="NA"/>
    <s v="NA"/>
    <s v="NA"/>
    <s v="NA"/>
    <x v="0"/>
    <x v="0"/>
    <s v="NA"/>
    <s v="NA"/>
    <s v="NA"/>
    <s v="NA"/>
    <s v="NA"/>
    <s v="NA"/>
    <x v="0"/>
    <s v="NA"/>
    <s v="NA"/>
    <s v="NA"/>
    <s v="NA"/>
    <x v="1"/>
  </r>
  <r>
    <s v="A10LLZZHZVGWRW"/>
    <x v="0"/>
    <n v="28"/>
    <s v="female"/>
    <x v="1"/>
    <x v="1"/>
    <n v="26487"/>
    <n v="0"/>
    <n v="0"/>
    <n v="0"/>
    <n v="1"/>
    <s v="NA"/>
    <s v="NA"/>
    <s v="NA"/>
    <s v="NA"/>
    <s v="NA"/>
    <s v="NA"/>
    <s v="NA"/>
    <x v="0"/>
    <x v="0"/>
    <s v="NA"/>
    <s v="NA"/>
    <s v="NA"/>
    <s v="NA"/>
    <s v="NA"/>
    <s v="NA"/>
    <x v="0"/>
    <s v="NA"/>
    <s v="NA"/>
    <s v="NA"/>
    <s v="NA"/>
    <x v="1"/>
  </r>
  <r>
    <s v="A10LLZZHZVGWRW"/>
    <x v="0"/>
    <n v="28"/>
    <s v="female"/>
    <x v="1"/>
    <x v="2"/>
    <n v="30313"/>
    <n v="0"/>
    <n v="0"/>
    <n v="0"/>
    <n v="1"/>
    <s v="NA"/>
    <s v="NA"/>
    <s v="NA"/>
    <s v="NA"/>
    <s v="NA"/>
    <s v="NA"/>
    <s v="NA"/>
    <x v="0"/>
    <x v="0"/>
    <s v="NA"/>
    <s v="NA"/>
    <s v="NA"/>
    <s v="NA"/>
    <s v="NA"/>
    <s v="NA"/>
    <x v="0"/>
    <s v="NA"/>
    <s v="NA"/>
    <s v="NA"/>
    <s v="NA"/>
    <x v="1"/>
  </r>
  <r>
    <s v="A10LLZZHZVGWRW"/>
    <x v="0"/>
    <n v="28"/>
    <s v="female"/>
    <x v="2"/>
    <x v="6"/>
    <n v="24713"/>
    <n v="1"/>
    <n v="1"/>
    <n v="0"/>
    <n v="0"/>
    <s v="Bookstores D and E."/>
    <s v="Bookstore E."/>
    <s v="Bookstores A, B, C, D and E."/>
    <s v="ms-l"/>
    <s v="mo-l"/>
    <s v="exh"/>
    <n v="1"/>
    <x v="1"/>
    <x v="1"/>
    <n v="0"/>
    <n v="1"/>
    <n v="0"/>
    <n v="1"/>
    <n v="0"/>
    <n v="0"/>
    <x v="1"/>
    <n v="0"/>
    <n v="1"/>
    <n v="0"/>
    <n v="0"/>
    <x v="1"/>
  </r>
  <r>
    <s v="A10LLZZHZVGWRW"/>
    <x v="0"/>
    <n v="28"/>
    <s v="female"/>
    <x v="3"/>
    <x v="10"/>
    <n v="23521"/>
    <n v="0"/>
    <n v="1"/>
    <n v="1"/>
    <n v="0"/>
    <s v="NA"/>
    <s v="NA"/>
    <s v="NA"/>
    <s v="NA"/>
    <s v="NA"/>
    <s v="NA"/>
    <s v="NA"/>
    <x v="1"/>
    <x v="1"/>
    <n v="0"/>
    <n v="1"/>
    <n v="0"/>
    <n v="1"/>
    <n v="0"/>
    <n v="0"/>
    <x v="1"/>
    <n v="0"/>
    <n v="1"/>
    <n v="0"/>
    <n v="0"/>
    <x v="1"/>
  </r>
  <r>
    <s v="A10LLZZHZVGWRW"/>
    <x v="0"/>
    <n v="28"/>
    <s v="female"/>
    <x v="2"/>
    <x v="9"/>
    <n v="32778"/>
    <n v="1"/>
    <n v="0"/>
    <n v="1"/>
    <n v="0"/>
    <s v="Stores D and E."/>
    <s v="Store A."/>
    <s v="Store E."/>
    <s v="ms-l"/>
    <s v="mo-h"/>
    <s v="mo-l"/>
    <n v="0"/>
    <x v="2"/>
    <x v="1"/>
    <n v="0"/>
    <n v="1"/>
    <n v="0"/>
    <n v="1"/>
    <n v="0"/>
    <n v="0"/>
    <x v="1"/>
    <n v="0"/>
    <n v="1"/>
    <n v="0"/>
    <n v="0"/>
    <x v="1"/>
  </r>
  <r>
    <s v="A10LLZZHZVGWRW"/>
    <x v="0"/>
    <n v="28"/>
    <s v="female"/>
    <x v="2"/>
    <x v="11"/>
    <n v="20330"/>
    <n v="0"/>
    <n v="0"/>
    <n v="0"/>
    <n v="1"/>
    <s v="Dentists D and E."/>
    <s v="Dentist E."/>
    <s v="Dentists A and B."/>
    <s v="ms-l"/>
    <s v="mo-l"/>
    <s v="ms-h"/>
    <n v="0"/>
    <x v="1"/>
    <x v="1"/>
    <n v="1"/>
    <n v="1"/>
    <n v="0"/>
    <n v="1"/>
    <n v="0"/>
    <n v="0"/>
    <x v="2"/>
    <n v="0"/>
    <n v="0"/>
    <n v="0"/>
    <n v="1"/>
    <x v="1"/>
  </r>
  <r>
    <s v="A10LLZZHZVGWRW"/>
    <x v="0"/>
    <n v="28"/>
    <s v="female"/>
    <x v="3"/>
    <x v="12"/>
    <n v="45071"/>
    <n v="1"/>
    <n v="0"/>
    <n v="0"/>
    <n v="0"/>
    <s v="NA"/>
    <s v="NA"/>
    <s v="NA"/>
    <s v="NA"/>
    <s v="NA"/>
    <s v="NA"/>
    <s v="NA"/>
    <x v="1"/>
    <x v="1"/>
    <n v="1"/>
    <n v="1"/>
    <n v="0"/>
    <n v="1"/>
    <n v="0"/>
    <n v="0"/>
    <x v="2"/>
    <n v="0"/>
    <n v="0"/>
    <n v="0"/>
    <n v="1"/>
    <x v="1"/>
  </r>
  <r>
    <s v="A10LLZZHZVGWRW"/>
    <x v="0"/>
    <n v="28"/>
    <s v="female"/>
    <x v="2"/>
    <x v="4"/>
    <n v="15332"/>
    <n v="1"/>
    <n v="0"/>
    <n v="0"/>
    <n v="0"/>
    <s v="Stalls A and B."/>
    <s v="Stalls D and E."/>
    <s v="Stall E."/>
    <s v="ms-h"/>
    <s v="ms-l"/>
    <s v="mo-l"/>
    <n v="0"/>
    <x v="1"/>
    <x v="1"/>
    <n v="1"/>
    <n v="1"/>
    <n v="0"/>
    <n v="1"/>
    <n v="0"/>
    <n v="0"/>
    <x v="2"/>
    <n v="1"/>
    <n v="0"/>
    <n v="0"/>
    <n v="0"/>
    <x v="1"/>
  </r>
  <r>
    <s v="A10LLZZHZVGWRW"/>
    <x v="0"/>
    <n v="28"/>
    <s v="female"/>
    <x v="3"/>
    <x v="8"/>
    <n v="25315"/>
    <n v="1"/>
    <n v="1"/>
    <n v="0"/>
    <n v="0"/>
    <s v="NA"/>
    <s v="NA"/>
    <s v="NA"/>
    <s v="NA"/>
    <s v="NA"/>
    <s v="NA"/>
    <s v="NA"/>
    <x v="1"/>
    <x v="1"/>
    <n v="1"/>
    <n v="1"/>
    <n v="0"/>
    <n v="1"/>
    <n v="0"/>
    <n v="0"/>
    <x v="2"/>
    <n v="1"/>
    <n v="0"/>
    <n v="0"/>
    <n v="0"/>
    <x v="1"/>
  </r>
  <r>
    <s v="A10LLZZHZVGWRW"/>
    <x v="0"/>
    <n v="28"/>
    <s v="female"/>
    <x v="2"/>
    <x v="7"/>
    <n v="8668"/>
    <n v="1"/>
    <n v="1"/>
    <n v="0"/>
    <n v="0"/>
    <s v="Stylist A."/>
    <s v="Stylists A and B."/>
    <s v="Stylist F."/>
    <s v="mo-h"/>
    <s v="ms-h"/>
    <s v="fa"/>
    <n v="0"/>
    <x v="2"/>
    <x v="2"/>
    <n v="1"/>
    <n v="0"/>
    <n v="0"/>
    <n v="1"/>
    <n v="0"/>
    <n v="1"/>
    <x v="2"/>
    <n v="1"/>
    <n v="0"/>
    <n v="0"/>
    <n v="0"/>
    <x v="1"/>
  </r>
  <r>
    <s v="A10LLZZHZVGWRW"/>
    <x v="0"/>
    <n v="28"/>
    <s v="female"/>
    <x v="2"/>
    <x v="3"/>
    <n v="17474"/>
    <n v="1"/>
    <n v="0"/>
    <n v="0"/>
    <n v="0"/>
    <s v="Cafes A and B."/>
    <s v="Cafe F."/>
    <s v="Cafes D and E."/>
    <s v="ms-h"/>
    <s v="fa"/>
    <s v="ms-l"/>
    <n v="0"/>
    <x v="1"/>
    <x v="2"/>
    <n v="1"/>
    <n v="1"/>
    <n v="0"/>
    <n v="1"/>
    <n v="0"/>
    <n v="0"/>
    <x v="2"/>
    <n v="1"/>
    <n v="0"/>
    <n v="0"/>
    <n v="0"/>
    <x v="1"/>
  </r>
  <r>
    <s v="A10LLZZHZVGWRW"/>
    <x v="0"/>
    <n v="28"/>
    <s v="female"/>
    <x v="3"/>
    <x v="5"/>
    <n v="43999"/>
    <n v="0"/>
    <n v="1"/>
    <n v="1"/>
    <n v="0"/>
    <s v="NA"/>
    <s v="NA"/>
    <s v="NA"/>
    <s v="NA"/>
    <s v="NA"/>
    <s v="NA"/>
    <s v="NA"/>
    <x v="1"/>
    <x v="2"/>
    <n v="1"/>
    <n v="1"/>
    <n v="0"/>
    <n v="1"/>
    <n v="0"/>
    <n v="0"/>
    <x v="2"/>
    <n v="1"/>
    <n v="0"/>
    <n v="0"/>
    <n v="0"/>
    <x v="1"/>
  </r>
  <r>
    <s v="A10LLZZHZVGWRW"/>
    <x v="0"/>
    <n v="28"/>
    <s v="female"/>
    <x v="4"/>
    <x v="0"/>
    <n v="65077"/>
    <s v="Yes - 'which restaurants serve brunch' is a very general question that will generate a long list whereas 'where should I go' will lead me to offer a few choice favorites."/>
    <s v="a little bit challenging%2C but more because it was different than most surveys than anything in particular."/>
    <s v="nope - thanks!"/>
    <s v="NA"/>
    <s v="NA"/>
    <s v="NA"/>
    <s v="NA"/>
    <s v="NA"/>
    <s v="NA"/>
    <s v="NA"/>
    <s v="NA"/>
    <x v="0"/>
    <x v="0"/>
    <s v="NA"/>
    <s v="NA"/>
    <s v="NA"/>
    <s v="NA"/>
    <s v="NA"/>
    <s v="NA"/>
    <x v="0"/>
    <s v="NA"/>
    <s v="NA"/>
    <s v="NA"/>
    <s v="NA"/>
    <x v="1"/>
  </r>
  <r>
    <s v="A2541C8MY0BYV3"/>
    <x v="0"/>
    <n v="29"/>
    <s v="male"/>
    <x v="0"/>
    <x v="0"/>
    <n v="11258"/>
    <s v="NA"/>
    <s v="NA"/>
    <s v="NA"/>
    <s v="NA"/>
    <s v="NA"/>
    <s v="NA"/>
    <s v="NA"/>
    <s v="NA"/>
    <s v="NA"/>
    <s v="NA"/>
    <s v="NA"/>
    <x v="0"/>
    <x v="0"/>
    <s v="NA"/>
    <s v="NA"/>
    <s v="NA"/>
    <s v="NA"/>
    <s v="NA"/>
    <s v="NA"/>
    <x v="0"/>
    <s v="NA"/>
    <s v="NA"/>
    <s v="NA"/>
    <s v="NA"/>
    <x v="1"/>
  </r>
  <r>
    <s v="A2541C8MY0BYV3"/>
    <x v="0"/>
    <n v="29"/>
    <s v="male"/>
    <x v="1"/>
    <x v="1"/>
    <n v="27850"/>
    <n v="0"/>
    <n v="0"/>
    <n v="0"/>
    <n v="1"/>
    <s v="NA"/>
    <s v="NA"/>
    <s v="NA"/>
    <s v="NA"/>
    <s v="NA"/>
    <s v="NA"/>
    <s v="NA"/>
    <x v="0"/>
    <x v="0"/>
    <s v="NA"/>
    <s v="NA"/>
    <s v="NA"/>
    <s v="NA"/>
    <s v="NA"/>
    <s v="NA"/>
    <x v="0"/>
    <s v="NA"/>
    <s v="NA"/>
    <s v="NA"/>
    <s v="NA"/>
    <x v="1"/>
  </r>
  <r>
    <s v="A2541C8MY0BYV3"/>
    <x v="0"/>
    <n v="29"/>
    <s v="male"/>
    <x v="1"/>
    <x v="2"/>
    <n v="18317"/>
    <n v="0"/>
    <n v="0"/>
    <n v="1"/>
    <n v="0"/>
    <s v="NA"/>
    <s v="NA"/>
    <s v="NA"/>
    <s v="NA"/>
    <s v="NA"/>
    <s v="NA"/>
    <s v="NA"/>
    <x v="0"/>
    <x v="0"/>
    <s v="NA"/>
    <s v="NA"/>
    <s v="NA"/>
    <s v="NA"/>
    <s v="NA"/>
    <s v="NA"/>
    <x v="0"/>
    <s v="NA"/>
    <s v="NA"/>
    <s v="NA"/>
    <s v="NA"/>
    <x v="1"/>
  </r>
  <r>
    <s v="A2541C8MY0BYV3"/>
    <x v="0"/>
    <n v="29"/>
    <s v="male"/>
    <x v="2"/>
    <x v="3"/>
    <n v="19928"/>
    <n v="0"/>
    <n v="1"/>
    <n v="1"/>
    <n v="0"/>
    <s v="Cafes D and E."/>
    <s v="Cafes A, B, C, D and E."/>
    <s v="Cafe A."/>
    <s v="ms-l"/>
    <s v="exh"/>
    <s v="mo-h"/>
    <n v="1"/>
    <x v="2"/>
    <x v="2"/>
    <n v="0"/>
    <n v="1"/>
    <n v="0"/>
    <n v="1"/>
    <n v="1"/>
    <n v="1"/>
    <x v="2"/>
    <n v="0"/>
    <n v="0"/>
    <n v="0"/>
    <n v="0"/>
    <x v="1"/>
  </r>
  <r>
    <s v="A2541C8MY0BYV3"/>
    <x v="0"/>
    <n v="29"/>
    <s v="male"/>
    <x v="2"/>
    <x v="4"/>
    <n v="12777"/>
    <n v="0"/>
    <n v="0"/>
    <n v="1"/>
    <n v="0"/>
    <s v="Stalls A, B, C, D and E."/>
    <s v="Stalls D and E."/>
    <s v="Stalls A and B."/>
    <s v="exh"/>
    <s v="ms-l"/>
    <s v="ms-h"/>
    <n v="1"/>
    <x v="1"/>
    <x v="2"/>
    <n v="1"/>
    <n v="1"/>
    <n v="0"/>
    <n v="1"/>
    <n v="0"/>
    <n v="0"/>
    <x v="2"/>
    <n v="1"/>
    <n v="0"/>
    <n v="0"/>
    <n v="0"/>
    <x v="1"/>
  </r>
  <r>
    <s v="A2541C8MY0BYV3"/>
    <x v="0"/>
    <n v="29"/>
    <s v="male"/>
    <x v="3"/>
    <x v="12"/>
    <n v="14393"/>
    <n v="1"/>
    <n v="1"/>
    <n v="0"/>
    <n v="0"/>
    <s v="NA"/>
    <s v="NA"/>
    <s v="NA"/>
    <s v="NA"/>
    <s v="NA"/>
    <s v="NA"/>
    <s v="NA"/>
    <x v="1"/>
    <x v="2"/>
    <n v="1"/>
    <n v="1"/>
    <n v="0"/>
    <n v="1"/>
    <n v="0"/>
    <n v="0"/>
    <x v="2"/>
    <n v="1"/>
    <n v="0"/>
    <n v="0"/>
    <n v="0"/>
    <x v="1"/>
  </r>
  <r>
    <s v="A2541C8MY0BYV3"/>
    <x v="0"/>
    <n v="29"/>
    <s v="male"/>
    <x v="2"/>
    <x v="9"/>
    <n v="8198"/>
    <n v="0"/>
    <n v="1"/>
    <n v="1"/>
    <n v="0"/>
    <s v="Store E."/>
    <s v="Stores A and B."/>
    <s v="Store A."/>
    <s v="mo-l"/>
    <s v="ms-h"/>
    <s v="mo-h"/>
    <n v="0"/>
    <x v="2"/>
    <x v="1"/>
    <n v="1"/>
    <n v="0"/>
    <n v="0"/>
    <n v="1"/>
    <n v="0"/>
    <n v="1"/>
    <x v="2"/>
    <n v="1"/>
    <n v="0"/>
    <n v="0"/>
    <n v="0"/>
    <x v="1"/>
  </r>
  <r>
    <s v="A2541C8MY0BYV3"/>
    <x v="0"/>
    <n v="29"/>
    <s v="male"/>
    <x v="2"/>
    <x v="6"/>
    <n v="8290"/>
    <n v="0"/>
    <n v="0"/>
    <n v="1"/>
    <n v="0"/>
    <s v="Bookstore E."/>
    <s v="Bookstores A, B, C, D and E."/>
    <s v="Bookstore A."/>
    <s v="mo-l"/>
    <s v="exh"/>
    <s v="mo-h"/>
    <n v="1"/>
    <x v="2"/>
    <x v="1"/>
    <n v="0"/>
    <n v="0"/>
    <n v="0"/>
    <n v="1"/>
    <n v="0"/>
    <n v="1"/>
    <x v="2"/>
    <n v="0"/>
    <n v="0"/>
    <n v="0"/>
    <n v="0"/>
    <x v="1"/>
  </r>
  <r>
    <s v="A2541C8MY0BYV3"/>
    <x v="0"/>
    <n v="29"/>
    <s v="male"/>
    <x v="3"/>
    <x v="5"/>
    <n v="22362"/>
    <n v="0"/>
    <n v="0"/>
    <n v="1"/>
    <n v="0"/>
    <s v="NA"/>
    <s v="NA"/>
    <s v="NA"/>
    <s v="NA"/>
    <s v="NA"/>
    <s v="NA"/>
    <s v="NA"/>
    <x v="2"/>
    <x v="1"/>
    <n v="0"/>
    <n v="0"/>
    <n v="0"/>
    <n v="1"/>
    <n v="0"/>
    <n v="1"/>
    <x v="2"/>
    <n v="0"/>
    <n v="0"/>
    <n v="0"/>
    <n v="0"/>
    <x v="1"/>
  </r>
  <r>
    <s v="A2541C8MY0BYV3"/>
    <x v="0"/>
    <n v="29"/>
    <s v="male"/>
    <x v="2"/>
    <x v="7"/>
    <n v="7023"/>
    <n v="1"/>
    <n v="1"/>
    <n v="0"/>
    <n v="0"/>
    <s v="Stylists A and B."/>
    <s v="Stylist A."/>
    <s v="Stylist E."/>
    <s v="ms-h"/>
    <s v="mo-h"/>
    <s v="mo-l"/>
    <n v="0"/>
    <x v="2"/>
    <x v="1"/>
    <n v="1"/>
    <n v="0"/>
    <n v="0"/>
    <n v="1"/>
    <n v="0"/>
    <n v="1"/>
    <x v="2"/>
    <n v="1"/>
    <n v="0"/>
    <n v="0"/>
    <n v="0"/>
    <x v="1"/>
  </r>
  <r>
    <s v="A2541C8MY0BYV3"/>
    <x v="0"/>
    <n v="29"/>
    <s v="male"/>
    <x v="3"/>
    <x v="8"/>
    <n v="9584"/>
    <n v="1"/>
    <n v="0"/>
    <n v="0"/>
    <n v="0"/>
    <s v="NA"/>
    <s v="NA"/>
    <s v="NA"/>
    <s v="NA"/>
    <s v="NA"/>
    <s v="NA"/>
    <s v="NA"/>
    <x v="2"/>
    <x v="1"/>
    <n v="1"/>
    <n v="0"/>
    <n v="0"/>
    <n v="1"/>
    <n v="0"/>
    <n v="1"/>
    <x v="2"/>
    <n v="1"/>
    <n v="0"/>
    <n v="0"/>
    <n v="0"/>
    <x v="1"/>
  </r>
  <r>
    <s v="A2541C8MY0BYV3"/>
    <x v="0"/>
    <n v="29"/>
    <s v="male"/>
    <x v="2"/>
    <x v="11"/>
    <n v="11158"/>
    <n v="1"/>
    <n v="1"/>
    <n v="0"/>
    <n v="0"/>
    <s v="Dentist A."/>
    <s v="Dentists A and B."/>
    <s v="Dentist F."/>
    <s v="mo-h"/>
    <s v="ms-h"/>
    <s v="fa"/>
    <n v="0"/>
    <x v="2"/>
    <x v="2"/>
    <n v="1"/>
    <n v="0"/>
    <n v="0"/>
    <n v="1"/>
    <n v="0"/>
    <n v="1"/>
    <x v="2"/>
    <n v="1"/>
    <n v="0"/>
    <n v="0"/>
    <n v="0"/>
    <x v="1"/>
  </r>
  <r>
    <s v="A2541C8MY0BYV3"/>
    <x v="0"/>
    <n v="29"/>
    <s v="male"/>
    <x v="3"/>
    <x v="10"/>
    <n v="21406"/>
    <n v="1"/>
    <n v="1"/>
    <n v="0"/>
    <n v="0"/>
    <s v="NA"/>
    <s v="NA"/>
    <s v="NA"/>
    <s v="NA"/>
    <s v="NA"/>
    <s v="NA"/>
    <s v="NA"/>
    <x v="2"/>
    <x v="2"/>
    <n v="1"/>
    <n v="0"/>
    <n v="0"/>
    <n v="1"/>
    <n v="0"/>
    <n v="1"/>
    <x v="2"/>
    <n v="1"/>
    <n v="0"/>
    <n v="0"/>
    <n v="0"/>
    <x v="1"/>
  </r>
  <r>
    <s v="A2541C8MY0BYV3"/>
    <x v="0"/>
    <n v="29"/>
    <s v="male"/>
    <x v="4"/>
    <x v="0"/>
    <n v="32406"/>
    <s v="No. I think they both mean the same thing."/>
    <s v="Yes because some of the answers sound the same."/>
    <s v="No."/>
    <s v="NA"/>
    <s v="NA"/>
    <s v="NA"/>
    <s v="NA"/>
    <s v="NA"/>
    <s v="NA"/>
    <s v="NA"/>
    <s v="NA"/>
    <x v="0"/>
    <x v="0"/>
    <s v="NA"/>
    <s v="NA"/>
    <s v="NA"/>
    <s v="NA"/>
    <s v="NA"/>
    <s v="NA"/>
    <x v="0"/>
    <s v="NA"/>
    <s v="NA"/>
    <s v="NA"/>
    <s v="NA"/>
    <x v="1"/>
  </r>
  <r>
    <s v="A2GV053CR3O08G"/>
    <x v="0"/>
    <n v="28"/>
    <s v="male"/>
    <x v="0"/>
    <x v="0"/>
    <n v="46273"/>
    <s v="NA"/>
    <s v="NA"/>
    <s v="NA"/>
    <s v="NA"/>
    <s v="NA"/>
    <s v="NA"/>
    <s v="NA"/>
    <s v="NA"/>
    <s v="NA"/>
    <s v="NA"/>
    <s v="NA"/>
    <x v="0"/>
    <x v="0"/>
    <s v="NA"/>
    <s v="NA"/>
    <s v="NA"/>
    <s v="NA"/>
    <s v="NA"/>
    <s v="NA"/>
    <x v="0"/>
    <s v="NA"/>
    <s v="NA"/>
    <s v="NA"/>
    <s v="NA"/>
    <x v="1"/>
  </r>
  <r>
    <s v="A2GV053CR3O08G"/>
    <x v="0"/>
    <n v="28"/>
    <s v="male"/>
    <x v="1"/>
    <x v="2"/>
    <n v="13602"/>
    <n v="1"/>
    <n v="1"/>
    <n v="1"/>
    <n v="1"/>
    <s v="NA"/>
    <s v="NA"/>
    <s v="NA"/>
    <s v="NA"/>
    <s v="NA"/>
    <s v="NA"/>
    <s v="NA"/>
    <x v="0"/>
    <x v="0"/>
    <s v="NA"/>
    <s v="NA"/>
    <s v="NA"/>
    <s v="NA"/>
    <s v="NA"/>
    <s v="NA"/>
    <x v="0"/>
    <s v="NA"/>
    <s v="NA"/>
    <s v="NA"/>
    <s v="NA"/>
    <x v="1"/>
  </r>
  <r>
    <s v="A2GV053CR3O08G"/>
    <x v="0"/>
    <n v="28"/>
    <s v="male"/>
    <x v="1"/>
    <x v="1"/>
    <n v="37076"/>
    <n v="0"/>
    <n v="0"/>
    <n v="0"/>
    <n v="1"/>
    <s v="NA"/>
    <s v="NA"/>
    <s v="NA"/>
    <s v="NA"/>
    <s v="NA"/>
    <s v="NA"/>
    <s v="NA"/>
    <x v="0"/>
    <x v="0"/>
    <s v="NA"/>
    <s v="NA"/>
    <s v="NA"/>
    <s v="NA"/>
    <s v="NA"/>
    <s v="NA"/>
    <x v="0"/>
    <s v="NA"/>
    <s v="NA"/>
    <s v="NA"/>
    <s v="NA"/>
    <x v="1"/>
  </r>
  <r>
    <s v="A2GV053CR3O08G"/>
    <x v="0"/>
    <n v="28"/>
    <s v="male"/>
    <x v="2"/>
    <x v="6"/>
    <n v="25757"/>
    <n v="0"/>
    <n v="0"/>
    <n v="1"/>
    <n v="0"/>
    <s v="Bookstore E."/>
    <s v="Bookstores D and E."/>
    <s v="Bookstore A."/>
    <s v="mo-l"/>
    <s v="ms-l"/>
    <s v="mo-h"/>
    <n v="0"/>
    <x v="2"/>
    <x v="1"/>
    <n v="0"/>
    <n v="1"/>
    <n v="0"/>
    <n v="1"/>
    <n v="0"/>
    <n v="1"/>
    <x v="2"/>
    <n v="0"/>
    <n v="0"/>
    <n v="0"/>
    <n v="0"/>
    <x v="1"/>
  </r>
  <r>
    <s v="A2GV053CR3O08G"/>
    <x v="0"/>
    <n v="28"/>
    <s v="male"/>
    <x v="2"/>
    <x v="9"/>
    <n v="14910"/>
    <n v="0"/>
    <n v="0"/>
    <n v="1"/>
    <n v="0"/>
    <s v="Store E."/>
    <s v="Stores D and E."/>
    <s v="Stores A and B."/>
    <s v="mo-l"/>
    <s v="ms-l"/>
    <s v="ms-h"/>
    <n v="0"/>
    <x v="1"/>
    <x v="1"/>
    <n v="1"/>
    <n v="1"/>
    <n v="0"/>
    <n v="1"/>
    <n v="0"/>
    <n v="0"/>
    <x v="2"/>
    <n v="1"/>
    <n v="0"/>
    <n v="0"/>
    <n v="0"/>
    <x v="1"/>
  </r>
  <r>
    <s v="A2GV053CR3O08G"/>
    <x v="0"/>
    <n v="28"/>
    <s v="male"/>
    <x v="3"/>
    <x v="8"/>
    <n v="16492"/>
    <n v="0"/>
    <n v="0"/>
    <n v="1"/>
    <n v="0"/>
    <s v="NA"/>
    <s v="NA"/>
    <s v="NA"/>
    <s v="NA"/>
    <s v="NA"/>
    <s v="NA"/>
    <s v="NA"/>
    <x v="1"/>
    <x v="1"/>
    <n v="1"/>
    <n v="1"/>
    <n v="0"/>
    <n v="1"/>
    <n v="0"/>
    <n v="0"/>
    <x v="2"/>
    <n v="1"/>
    <n v="0"/>
    <n v="0"/>
    <n v="0"/>
    <x v="1"/>
  </r>
  <r>
    <s v="A2GV053CR3O08G"/>
    <x v="0"/>
    <n v="28"/>
    <s v="male"/>
    <x v="2"/>
    <x v="7"/>
    <n v="9188"/>
    <n v="0"/>
    <n v="0"/>
    <n v="1"/>
    <n v="0"/>
    <s v="Stylist E."/>
    <s v="Stylists A and B."/>
    <s v="Stylists D and E."/>
    <s v="mo-l"/>
    <s v="ms-h"/>
    <s v="ms-l"/>
    <n v="0"/>
    <x v="1"/>
    <x v="1"/>
    <n v="1"/>
    <n v="1"/>
    <n v="0"/>
    <n v="1"/>
    <n v="0"/>
    <n v="0"/>
    <x v="2"/>
    <n v="0"/>
    <n v="1"/>
    <n v="0"/>
    <n v="0"/>
    <x v="1"/>
  </r>
  <r>
    <s v="A2GV053CR3O08G"/>
    <x v="0"/>
    <n v="28"/>
    <s v="male"/>
    <x v="2"/>
    <x v="11"/>
    <n v="5846"/>
    <n v="0"/>
    <n v="0"/>
    <n v="1"/>
    <n v="0"/>
    <s v="Dentists A and B."/>
    <s v="Dentist F."/>
    <s v="Dentist A."/>
    <s v="ms-h"/>
    <s v="fa"/>
    <s v="mo-h"/>
    <n v="0"/>
    <x v="2"/>
    <x v="2"/>
    <n v="1"/>
    <n v="0"/>
    <n v="0"/>
    <n v="1"/>
    <n v="0"/>
    <n v="1"/>
    <x v="2"/>
    <n v="0"/>
    <n v="0"/>
    <n v="0"/>
    <n v="0"/>
    <x v="1"/>
  </r>
  <r>
    <s v="A2GV053CR3O08G"/>
    <x v="0"/>
    <n v="28"/>
    <s v="male"/>
    <x v="3"/>
    <x v="10"/>
    <n v="7287"/>
    <n v="0"/>
    <n v="1"/>
    <n v="0"/>
    <n v="0"/>
    <s v="NA"/>
    <s v="NA"/>
    <s v="NA"/>
    <s v="NA"/>
    <s v="NA"/>
    <s v="NA"/>
    <s v="NA"/>
    <x v="2"/>
    <x v="2"/>
    <n v="1"/>
    <n v="0"/>
    <n v="0"/>
    <n v="1"/>
    <n v="0"/>
    <n v="1"/>
    <x v="2"/>
    <n v="0"/>
    <n v="0"/>
    <n v="0"/>
    <n v="0"/>
    <x v="1"/>
  </r>
  <r>
    <s v="A2GV053CR3O08G"/>
    <x v="0"/>
    <n v="28"/>
    <s v="male"/>
    <x v="2"/>
    <x v="4"/>
    <n v="11405"/>
    <n v="0"/>
    <n v="0"/>
    <n v="1"/>
    <n v="0"/>
    <s v="Stalls A and B."/>
    <s v="Stalls D and E."/>
    <s v="Stall E."/>
    <s v="ms-h"/>
    <s v="ms-l"/>
    <s v="mo-l"/>
    <n v="0"/>
    <x v="1"/>
    <x v="1"/>
    <n v="1"/>
    <n v="1"/>
    <n v="0"/>
    <n v="1"/>
    <n v="0"/>
    <n v="0"/>
    <x v="1"/>
    <n v="0"/>
    <n v="0"/>
    <n v="0"/>
    <n v="0"/>
    <x v="1"/>
  </r>
  <r>
    <s v="A2GV053CR3O08G"/>
    <x v="0"/>
    <n v="28"/>
    <s v="male"/>
    <x v="3"/>
    <x v="12"/>
    <n v="8835"/>
    <n v="0"/>
    <n v="1"/>
    <n v="0"/>
    <n v="0"/>
    <s v="NA"/>
    <s v="NA"/>
    <s v="NA"/>
    <s v="NA"/>
    <s v="NA"/>
    <s v="NA"/>
    <s v="NA"/>
    <x v="1"/>
    <x v="1"/>
    <n v="1"/>
    <n v="1"/>
    <n v="0"/>
    <n v="1"/>
    <n v="0"/>
    <n v="0"/>
    <x v="1"/>
    <n v="0"/>
    <n v="0"/>
    <n v="0"/>
    <n v="0"/>
    <x v="1"/>
  </r>
  <r>
    <s v="A2GV053CR3O08G"/>
    <x v="0"/>
    <n v="28"/>
    <s v="male"/>
    <x v="2"/>
    <x v="3"/>
    <n v="9324"/>
    <n v="0"/>
    <n v="0"/>
    <n v="1"/>
    <n v="0"/>
    <s v="Cafe A."/>
    <s v="Cafes D and E."/>
    <s v="Cafe F."/>
    <s v="mo-h"/>
    <s v="ms-l"/>
    <s v="fa"/>
    <n v="0"/>
    <x v="2"/>
    <x v="2"/>
    <n v="0"/>
    <n v="1"/>
    <n v="0"/>
    <n v="1"/>
    <n v="0"/>
    <n v="0"/>
    <x v="2"/>
    <n v="0"/>
    <n v="0"/>
    <n v="0"/>
    <n v="0"/>
    <x v="1"/>
  </r>
  <r>
    <s v="A2GV053CR3O08G"/>
    <x v="0"/>
    <n v="28"/>
    <s v="male"/>
    <x v="3"/>
    <x v="5"/>
    <n v="20847"/>
    <n v="0"/>
    <n v="0"/>
    <n v="1"/>
    <n v="0"/>
    <s v="NA"/>
    <s v="NA"/>
    <s v="NA"/>
    <s v="NA"/>
    <s v="NA"/>
    <s v="NA"/>
    <s v="NA"/>
    <x v="2"/>
    <x v="2"/>
    <n v="0"/>
    <n v="1"/>
    <n v="0"/>
    <n v="1"/>
    <n v="0"/>
    <n v="0"/>
    <x v="2"/>
    <n v="0"/>
    <n v="0"/>
    <n v="0"/>
    <n v="0"/>
    <x v="1"/>
  </r>
  <r>
    <s v="A2GV053CR3O08G"/>
    <x v="0"/>
    <n v="28"/>
    <s v="male"/>
    <x v="4"/>
    <x v="0"/>
    <n v="352710"/>
    <s v="With more spots than ever serving up the city‚Äôs favorite meal of the week%2C restaurants around Pittsburgh have taken brunching to the next level%2C offering so much more than bacon and eggs. From quiet caf√©s to bustling food halls%2C these best-of-the-best spots can help to satisfy your weekend morning cravings for French toast%2C eggs Benedict%2C and cocktails that were made for day-drinking."/>
    <s v="NO"/>
    <s v="IT INTEREST TO KNOW MORE "/>
    <s v="NA"/>
    <s v="NA"/>
    <s v="NA"/>
    <s v="NA"/>
    <s v="NA"/>
    <s v="NA"/>
    <s v="NA"/>
    <s v="NA"/>
    <x v="0"/>
    <x v="0"/>
    <s v="NA"/>
    <s v="NA"/>
    <s v="NA"/>
    <s v="NA"/>
    <s v="NA"/>
    <s v="NA"/>
    <x v="0"/>
    <s v="NA"/>
    <s v="NA"/>
    <s v="NA"/>
    <s v="NA"/>
    <x v="1"/>
  </r>
  <r>
    <s v="A30UE6DWFNUCWX"/>
    <x v="0"/>
    <n v="29"/>
    <s v="female"/>
    <x v="0"/>
    <x v="0"/>
    <n v="36654"/>
    <s v="NA"/>
    <s v="NA"/>
    <s v="NA"/>
    <s v="NA"/>
    <s v="NA"/>
    <s v="NA"/>
    <s v="NA"/>
    <s v="NA"/>
    <s v="NA"/>
    <s v="NA"/>
    <s v="NA"/>
    <x v="0"/>
    <x v="0"/>
    <s v="NA"/>
    <s v="NA"/>
    <s v="NA"/>
    <s v="NA"/>
    <s v="NA"/>
    <s v="NA"/>
    <x v="0"/>
    <s v="NA"/>
    <s v="NA"/>
    <s v="NA"/>
    <s v="NA"/>
    <x v="1"/>
  </r>
  <r>
    <s v="A30UE6DWFNUCWX"/>
    <x v="0"/>
    <n v="29"/>
    <s v="female"/>
    <x v="1"/>
    <x v="1"/>
    <n v="32685"/>
    <n v="0"/>
    <n v="0"/>
    <n v="0"/>
    <n v="1"/>
    <s v="NA"/>
    <s v="NA"/>
    <s v="NA"/>
    <s v="NA"/>
    <s v="NA"/>
    <s v="NA"/>
    <s v="NA"/>
    <x v="0"/>
    <x v="0"/>
    <s v="NA"/>
    <s v="NA"/>
    <s v="NA"/>
    <s v="NA"/>
    <s v="NA"/>
    <s v="NA"/>
    <x v="0"/>
    <s v="NA"/>
    <s v="NA"/>
    <s v="NA"/>
    <s v="NA"/>
    <x v="1"/>
  </r>
  <r>
    <s v="A30UE6DWFNUCWX"/>
    <x v="0"/>
    <n v="29"/>
    <s v="female"/>
    <x v="1"/>
    <x v="2"/>
    <n v="39910"/>
    <n v="0"/>
    <n v="0"/>
    <n v="1"/>
    <n v="0"/>
    <s v="NA"/>
    <s v="NA"/>
    <s v="NA"/>
    <s v="NA"/>
    <s v="NA"/>
    <s v="NA"/>
    <s v="NA"/>
    <x v="0"/>
    <x v="0"/>
    <s v="NA"/>
    <s v="NA"/>
    <s v="NA"/>
    <s v="NA"/>
    <s v="NA"/>
    <s v="NA"/>
    <x v="0"/>
    <s v="NA"/>
    <s v="NA"/>
    <s v="NA"/>
    <s v="NA"/>
    <x v="1"/>
  </r>
  <r>
    <s v="A30UE6DWFNUCWX"/>
    <x v="0"/>
    <n v="29"/>
    <s v="female"/>
    <x v="2"/>
    <x v="4"/>
    <n v="87776"/>
    <n v="0"/>
    <n v="0"/>
    <n v="0"/>
    <n v="1"/>
    <s v="Stall A."/>
    <s v="Stalls D and E."/>
    <s v="Stall E."/>
    <s v="mo-h"/>
    <s v="ms-l"/>
    <s v="mo-l"/>
    <n v="0"/>
    <x v="2"/>
    <x v="1"/>
    <n v="0"/>
    <n v="1"/>
    <n v="0"/>
    <n v="1"/>
    <n v="0"/>
    <n v="0"/>
    <x v="2"/>
    <n v="0"/>
    <n v="0"/>
    <n v="0"/>
    <n v="1"/>
    <x v="1"/>
  </r>
  <r>
    <s v="A30UE6DWFNUCWX"/>
    <x v="0"/>
    <n v="29"/>
    <s v="female"/>
    <x v="2"/>
    <x v="9"/>
    <n v="27414"/>
    <n v="0"/>
    <n v="0"/>
    <n v="0"/>
    <n v="1"/>
    <s v="Store F."/>
    <s v="Stores A and B."/>
    <s v="Store E."/>
    <s v="fa"/>
    <s v="ms-h"/>
    <s v="mo-l"/>
    <n v="0"/>
    <x v="1"/>
    <x v="1"/>
    <n v="1"/>
    <n v="0"/>
    <n v="0"/>
    <n v="1"/>
    <n v="0"/>
    <n v="0"/>
    <x v="2"/>
    <n v="0"/>
    <n v="0"/>
    <n v="0"/>
    <n v="1"/>
    <x v="1"/>
  </r>
  <r>
    <s v="A30UE6DWFNUCWX"/>
    <x v="0"/>
    <n v="29"/>
    <s v="female"/>
    <x v="3"/>
    <x v="12"/>
    <n v="29968"/>
    <n v="1"/>
    <n v="0"/>
    <n v="0"/>
    <n v="0"/>
    <s v="NA"/>
    <s v="NA"/>
    <s v="NA"/>
    <s v="NA"/>
    <s v="NA"/>
    <s v="NA"/>
    <s v="NA"/>
    <x v="1"/>
    <x v="1"/>
    <n v="1"/>
    <n v="0"/>
    <n v="0"/>
    <n v="1"/>
    <n v="0"/>
    <n v="0"/>
    <x v="2"/>
    <n v="0"/>
    <n v="0"/>
    <n v="0"/>
    <n v="1"/>
    <x v="1"/>
  </r>
  <r>
    <s v="A30UE6DWFNUCWX"/>
    <x v="0"/>
    <n v="29"/>
    <s v="female"/>
    <x v="2"/>
    <x v="6"/>
    <n v="23618"/>
    <n v="0"/>
    <n v="0"/>
    <n v="0"/>
    <n v="1"/>
    <s v="Bookstores D and E."/>
    <s v="Bookstore A."/>
    <s v="Bookstore F."/>
    <s v="ms-l"/>
    <s v="mo-h"/>
    <s v="fa"/>
    <n v="0"/>
    <x v="2"/>
    <x v="2"/>
    <n v="0"/>
    <n v="1"/>
    <n v="0"/>
    <n v="1"/>
    <n v="0"/>
    <n v="0"/>
    <x v="2"/>
    <n v="0"/>
    <n v="0"/>
    <n v="0"/>
    <n v="1"/>
    <x v="1"/>
  </r>
  <r>
    <s v="A30UE6DWFNUCWX"/>
    <x v="0"/>
    <n v="29"/>
    <s v="female"/>
    <x v="2"/>
    <x v="11"/>
    <n v="20342"/>
    <n v="0"/>
    <n v="0"/>
    <n v="0"/>
    <n v="1"/>
    <s v="Dentist A."/>
    <s v="Dentists D and E."/>
    <s v="Dentists A and B."/>
    <s v="mo-h"/>
    <s v="ms-l"/>
    <s v="ms-h"/>
    <n v="0"/>
    <x v="2"/>
    <x v="2"/>
    <n v="1"/>
    <n v="1"/>
    <n v="0"/>
    <n v="1"/>
    <n v="0"/>
    <n v="0"/>
    <x v="2"/>
    <n v="0"/>
    <n v="0"/>
    <n v="0"/>
    <n v="1"/>
    <x v="1"/>
  </r>
  <r>
    <s v="A30UE6DWFNUCWX"/>
    <x v="0"/>
    <n v="29"/>
    <s v="female"/>
    <x v="3"/>
    <x v="10"/>
    <n v="64264"/>
    <n v="0"/>
    <n v="1"/>
    <n v="0"/>
    <n v="0"/>
    <s v="NA"/>
    <s v="NA"/>
    <s v="NA"/>
    <s v="NA"/>
    <s v="NA"/>
    <s v="NA"/>
    <s v="NA"/>
    <x v="2"/>
    <x v="2"/>
    <n v="1"/>
    <n v="1"/>
    <n v="0"/>
    <n v="1"/>
    <n v="0"/>
    <n v="0"/>
    <x v="2"/>
    <n v="0"/>
    <n v="0"/>
    <n v="0"/>
    <n v="1"/>
    <x v="1"/>
  </r>
  <r>
    <s v="A30UE6DWFNUCWX"/>
    <x v="0"/>
    <n v="29"/>
    <s v="female"/>
    <x v="2"/>
    <x v="7"/>
    <n v="19310"/>
    <n v="0"/>
    <n v="0"/>
    <n v="0"/>
    <n v="1"/>
    <s v="Stylist F."/>
    <s v="Stylist A."/>
    <s v="Stylists D and E."/>
    <s v="fa"/>
    <s v="mo-h"/>
    <s v="ms-l"/>
    <n v="0"/>
    <x v="2"/>
    <x v="2"/>
    <n v="0"/>
    <n v="1"/>
    <n v="0"/>
    <n v="1"/>
    <n v="0"/>
    <n v="0"/>
    <x v="2"/>
    <n v="0"/>
    <n v="0"/>
    <n v="0"/>
    <n v="1"/>
    <x v="1"/>
  </r>
  <r>
    <s v="A30UE6DWFNUCWX"/>
    <x v="0"/>
    <n v="29"/>
    <s v="female"/>
    <x v="3"/>
    <x v="5"/>
    <n v="43648"/>
    <n v="0"/>
    <n v="1"/>
    <n v="1"/>
    <n v="0"/>
    <s v="NA"/>
    <s v="NA"/>
    <s v="NA"/>
    <s v="NA"/>
    <s v="NA"/>
    <s v="NA"/>
    <s v="NA"/>
    <x v="2"/>
    <x v="2"/>
    <n v="0"/>
    <n v="1"/>
    <n v="0"/>
    <n v="1"/>
    <n v="0"/>
    <n v="0"/>
    <x v="2"/>
    <n v="0"/>
    <n v="0"/>
    <n v="0"/>
    <n v="1"/>
    <x v="1"/>
  </r>
  <r>
    <s v="A30UE6DWFNUCWX"/>
    <x v="0"/>
    <n v="29"/>
    <s v="female"/>
    <x v="2"/>
    <x v="3"/>
    <n v="20613"/>
    <n v="0"/>
    <n v="0"/>
    <n v="0"/>
    <n v="1"/>
    <s v="Cafes A and B."/>
    <s v="Cafe A."/>
    <s v="Cafe E."/>
    <s v="ms-h"/>
    <s v="mo-h"/>
    <s v="mo-l"/>
    <n v="0"/>
    <x v="2"/>
    <x v="1"/>
    <n v="1"/>
    <n v="0"/>
    <n v="0"/>
    <n v="1"/>
    <n v="0"/>
    <n v="0"/>
    <x v="2"/>
    <n v="0"/>
    <n v="0"/>
    <n v="0"/>
    <n v="1"/>
    <x v="1"/>
  </r>
  <r>
    <s v="A30UE6DWFNUCWX"/>
    <x v="0"/>
    <n v="29"/>
    <s v="female"/>
    <x v="3"/>
    <x v="8"/>
    <n v="31629"/>
    <n v="1"/>
    <n v="0"/>
    <n v="0"/>
    <n v="0"/>
    <s v="NA"/>
    <s v="NA"/>
    <s v="NA"/>
    <s v="NA"/>
    <s v="NA"/>
    <s v="NA"/>
    <s v="NA"/>
    <x v="2"/>
    <x v="1"/>
    <n v="1"/>
    <n v="0"/>
    <n v="0"/>
    <n v="1"/>
    <n v="0"/>
    <n v="0"/>
    <x v="2"/>
    <n v="0"/>
    <n v="0"/>
    <n v="0"/>
    <n v="1"/>
    <x v="1"/>
  </r>
  <r>
    <s v="A30UE6DWFNUCWX"/>
    <x v="0"/>
    <n v="29"/>
    <s v="female"/>
    <x v="4"/>
    <x v="0"/>
    <n v="130580"/>
    <s v="I will answer it differently%2C since in first question s/he asked which are the restaurants that serve brunch%2C while if s/he asks second question I will answer with one or two restaurant names which are best for him/her according to me."/>
    <s v="I didn't find it difficult at all. The short scenarios were easy to understand and so are the questions."/>
    <s v="No."/>
    <s v="NA"/>
    <s v="NA"/>
    <s v="NA"/>
    <s v="NA"/>
    <s v="NA"/>
    <s v="NA"/>
    <s v="NA"/>
    <s v="NA"/>
    <x v="0"/>
    <x v="0"/>
    <s v="NA"/>
    <s v="NA"/>
    <s v="NA"/>
    <s v="NA"/>
    <s v="NA"/>
    <s v="NA"/>
    <x v="0"/>
    <s v="NA"/>
    <s v="NA"/>
    <s v="NA"/>
    <s v="NA"/>
    <x v="1"/>
  </r>
  <r>
    <s v="A2A3X2W4YS9X8A"/>
    <x v="0"/>
    <n v="38"/>
    <s v="male"/>
    <x v="0"/>
    <x v="0"/>
    <n v="43102"/>
    <s v="NA"/>
    <s v="NA"/>
    <s v="NA"/>
    <s v="NA"/>
    <s v="NA"/>
    <s v="NA"/>
    <s v="NA"/>
    <s v="NA"/>
    <s v="NA"/>
    <s v="NA"/>
    <s v="NA"/>
    <x v="0"/>
    <x v="0"/>
    <s v="NA"/>
    <s v="NA"/>
    <s v="NA"/>
    <s v="NA"/>
    <s v="NA"/>
    <s v="NA"/>
    <x v="0"/>
    <s v="NA"/>
    <s v="NA"/>
    <s v="NA"/>
    <s v="NA"/>
    <x v="1"/>
  </r>
  <r>
    <s v="A2A3X2W4YS9X8A"/>
    <x v="0"/>
    <n v="38"/>
    <s v="male"/>
    <x v="1"/>
    <x v="1"/>
    <n v="51348"/>
    <n v="0"/>
    <n v="0"/>
    <n v="0"/>
    <n v="1"/>
    <s v="NA"/>
    <s v="NA"/>
    <s v="NA"/>
    <s v="NA"/>
    <s v="NA"/>
    <s v="NA"/>
    <s v="NA"/>
    <x v="0"/>
    <x v="0"/>
    <s v="NA"/>
    <s v="NA"/>
    <s v="NA"/>
    <s v="NA"/>
    <s v="NA"/>
    <s v="NA"/>
    <x v="0"/>
    <s v="NA"/>
    <s v="NA"/>
    <s v="NA"/>
    <s v="NA"/>
    <x v="1"/>
  </r>
  <r>
    <s v="A2A3X2W4YS9X8A"/>
    <x v="0"/>
    <n v="38"/>
    <s v="male"/>
    <x v="1"/>
    <x v="2"/>
    <n v="42363"/>
    <n v="0"/>
    <n v="0"/>
    <n v="1"/>
    <n v="0"/>
    <s v="NA"/>
    <s v="NA"/>
    <s v="NA"/>
    <s v="NA"/>
    <s v="NA"/>
    <s v="NA"/>
    <s v="NA"/>
    <x v="0"/>
    <x v="0"/>
    <s v="NA"/>
    <s v="NA"/>
    <s v="NA"/>
    <s v="NA"/>
    <s v="NA"/>
    <s v="NA"/>
    <x v="0"/>
    <s v="NA"/>
    <s v="NA"/>
    <s v="NA"/>
    <s v="NA"/>
    <x v="1"/>
  </r>
  <r>
    <s v="A2A3X2W4YS9X8A"/>
    <x v="0"/>
    <n v="38"/>
    <s v="male"/>
    <x v="2"/>
    <x v="6"/>
    <n v="39695"/>
    <n v="1"/>
    <n v="1"/>
    <n v="1"/>
    <n v="0"/>
    <s v="Bookstore F."/>
    <s v="Bookstore E."/>
    <s v="Bookstore A."/>
    <s v="fa"/>
    <s v="mo-l"/>
    <s v="mo-h"/>
    <n v="0"/>
    <x v="2"/>
    <x v="1"/>
    <n v="0"/>
    <n v="0"/>
    <n v="0"/>
    <n v="1"/>
    <n v="0"/>
    <n v="1"/>
    <x v="1"/>
    <n v="0"/>
    <n v="0"/>
    <n v="0"/>
    <n v="0"/>
    <x v="1"/>
  </r>
  <r>
    <s v="A2A3X2W4YS9X8A"/>
    <x v="0"/>
    <n v="38"/>
    <s v="male"/>
    <x v="2"/>
    <x v="3"/>
    <n v="43084"/>
    <n v="1"/>
    <n v="1"/>
    <n v="1"/>
    <n v="0"/>
    <s v="Cafes D and E."/>
    <s v="Cafe E."/>
    <s v="Cafe A."/>
    <s v="ms-l"/>
    <s v="mo-l"/>
    <s v="mo-h"/>
    <n v="0"/>
    <x v="2"/>
    <x v="1"/>
    <n v="0"/>
    <n v="1"/>
    <n v="0"/>
    <n v="1"/>
    <n v="0"/>
    <n v="1"/>
    <x v="1"/>
    <n v="0"/>
    <n v="1"/>
    <n v="0"/>
    <n v="0"/>
    <x v="1"/>
  </r>
  <r>
    <s v="A2A3X2W4YS9X8A"/>
    <x v="0"/>
    <n v="38"/>
    <s v="male"/>
    <x v="3"/>
    <x v="8"/>
    <n v="26261"/>
    <n v="1"/>
    <n v="1"/>
    <n v="0"/>
    <n v="0"/>
    <s v="NA"/>
    <s v="NA"/>
    <s v="NA"/>
    <s v="NA"/>
    <s v="NA"/>
    <s v="NA"/>
    <s v="NA"/>
    <x v="2"/>
    <x v="1"/>
    <n v="0"/>
    <n v="1"/>
    <n v="0"/>
    <n v="1"/>
    <n v="0"/>
    <n v="1"/>
    <x v="1"/>
    <n v="0"/>
    <n v="1"/>
    <n v="0"/>
    <n v="0"/>
    <x v="1"/>
  </r>
  <r>
    <s v="A2A3X2W4YS9X8A"/>
    <x v="0"/>
    <n v="38"/>
    <s v="male"/>
    <x v="2"/>
    <x v="11"/>
    <n v="40514"/>
    <n v="0"/>
    <n v="0"/>
    <n v="0"/>
    <n v="1"/>
    <s v="Dentist A."/>
    <s v="Dentists A and B."/>
    <s v="Dentists D and E."/>
    <s v="mo-h"/>
    <s v="ms-h"/>
    <s v="ms-l"/>
    <n v="0"/>
    <x v="2"/>
    <x v="2"/>
    <n v="1"/>
    <n v="1"/>
    <n v="0"/>
    <n v="1"/>
    <n v="0"/>
    <n v="0"/>
    <x v="2"/>
    <n v="0"/>
    <n v="0"/>
    <n v="0"/>
    <n v="1"/>
    <x v="1"/>
  </r>
  <r>
    <s v="A2A3X2W4YS9X8A"/>
    <x v="0"/>
    <n v="38"/>
    <s v="male"/>
    <x v="2"/>
    <x v="7"/>
    <n v="44225"/>
    <n v="0"/>
    <n v="0"/>
    <n v="0"/>
    <n v="1"/>
    <s v="Stylist F."/>
    <s v="Stylists D and E."/>
    <s v="Stylist E."/>
    <s v="fa"/>
    <s v="ms-l"/>
    <s v="mo-l"/>
    <n v="0"/>
    <x v="1"/>
    <x v="1"/>
    <n v="0"/>
    <n v="1"/>
    <n v="0"/>
    <n v="1"/>
    <n v="0"/>
    <n v="0"/>
    <x v="2"/>
    <n v="0"/>
    <n v="0"/>
    <n v="0"/>
    <n v="1"/>
    <x v="1"/>
  </r>
  <r>
    <s v="A2A3X2W4YS9X8A"/>
    <x v="0"/>
    <n v="38"/>
    <s v="male"/>
    <x v="3"/>
    <x v="12"/>
    <n v="25099"/>
    <n v="1"/>
    <n v="0"/>
    <n v="0"/>
    <n v="0"/>
    <s v="NA"/>
    <s v="NA"/>
    <s v="NA"/>
    <s v="NA"/>
    <s v="NA"/>
    <s v="NA"/>
    <s v="NA"/>
    <x v="1"/>
    <x v="1"/>
    <n v="0"/>
    <n v="1"/>
    <n v="0"/>
    <n v="1"/>
    <n v="0"/>
    <n v="0"/>
    <x v="2"/>
    <n v="0"/>
    <n v="0"/>
    <n v="0"/>
    <n v="1"/>
    <x v="1"/>
  </r>
  <r>
    <s v="A2A3X2W4YS9X8A"/>
    <x v="0"/>
    <n v="38"/>
    <s v="male"/>
    <x v="2"/>
    <x v="9"/>
    <n v="23179"/>
    <n v="0"/>
    <n v="0"/>
    <n v="0"/>
    <n v="1"/>
    <s v="Store E."/>
    <s v="Stores D and E."/>
    <s v="Store F."/>
    <s v="mo-l"/>
    <s v="ms-l"/>
    <s v="fa"/>
    <n v="0"/>
    <x v="1"/>
    <x v="1"/>
    <n v="0"/>
    <n v="1"/>
    <n v="0"/>
    <n v="1"/>
    <n v="0"/>
    <n v="0"/>
    <x v="2"/>
    <n v="0"/>
    <n v="0"/>
    <n v="0"/>
    <n v="1"/>
    <x v="1"/>
  </r>
  <r>
    <s v="A2A3X2W4YS9X8A"/>
    <x v="0"/>
    <n v="38"/>
    <s v="male"/>
    <x v="3"/>
    <x v="5"/>
    <n v="31957"/>
    <n v="0"/>
    <n v="0"/>
    <n v="1"/>
    <n v="0"/>
    <s v="NA"/>
    <s v="NA"/>
    <s v="NA"/>
    <s v="NA"/>
    <s v="NA"/>
    <s v="NA"/>
    <s v="NA"/>
    <x v="1"/>
    <x v="1"/>
    <n v="0"/>
    <n v="1"/>
    <n v="0"/>
    <n v="1"/>
    <n v="0"/>
    <n v="0"/>
    <x v="2"/>
    <n v="0"/>
    <n v="0"/>
    <n v="0"/>
    <n v="1"/>
    <x v="1"/>
  </r>
  <r>
    <s v="A2A3X2W4YS9X8A"/>
    <x v="0"/>
    <n v="38"/>
    <s v="male"/>
    <x v="2"/>
    <x v="4"/>
    <n v="33800"/>
    <n v="0"/>
    <n v="0"/>
    <n v="1"/>
    <n v="0"/>
    <s v="Stalls D and E."/>
    <s v="Stall E."/>
    <s v="Stall A."/>
    <s v="ms-l"/>
    <s v="mo-l"/>
    <s v="mo-h"/>
    <n v="0"/>
    <x v="2"/>
    <x v="1"/>
    <n v="0"/>
    <n v="1"/>
    <n v="0"/>
    <n v="1"/>
    <n v="0"/>
    <n v="1"/>
    <x v="2"/>
    <n v="0"/>
    <n v="0"/>
    <n v="0"/>
    <n v="0"/>
    <x v="1"/>
  </r>
  <r>
    <s v="A2A3X2W4YS9X8A"/>
    <x v="0"/>
    <n v="38"/>
    <s v="male"/>
    <x v="3"/>
    <x v="10"/>
    <n v="39558"/>
    <n v="0"/>
    <n v="0"/>
    <n v="0"/>
    <n v="1"/>
    <s v="NA"/>
    <s v="NA"/>
    <s v="NA"/>
    <s v="NA"/>
    <s v="NA"/>
    <s v="NA"/>
    <s v="NA"/>
    <x v="2"/>
    <x v="1"/>
    <n v="0"/>
    <n v="1"/>
    <n v="0"/>
    <n v="1"/>
    <n v="0"/>
    <n v="1"/>
    <x v="2"/>
    <n v="0"/>
    <n v="0"/>
    <n v="0"/>
    <n v="0"/>
    <x v="1"/>
  </r>
  <r>
    <s v="A2A3X2W4YS9X8A"/>
    <x v="0"/>
    <n v="38"/>
    <s v="male"/>
    <x v="4"/>
    <x v="0"/>
    <n v="55591"/>
    <s v="Yes%2C I view the first question as please list all of the possible places.  I view the second one as where do you suggest I go."/>
    <s v="No%2C it was pretty straight forward."/>
    <s v="no."/>
    <s v="NA"/>
    <s v="NA"/>
    <s v="NA"/>
    <s v="NA"/>
    <s v="NA"/>
    <s v="NA"/>
    <s v="NA"/>
    <s v="NA"/>
    <x v="0"/>
    <x v="0"/>
    <s v="NA"/>
    <s v="NA"/>
    <s v="NA"/>
    <s v="NA"/>
    <s v="NA"/>
    <s v="NA"/>
    <x v="0"/>
    <s v="NA"/>
    <s v="NA"/>
    <s v="NA"/>
    <s v="NA"/>
    <x v="1"/>
  </r>
  <r>
    <s v="A19D2W1PR68NO"/>
    <x v="0"/>
    <n v="43"/>
    <s v="male"/>
    <x v="0"/>
    <x v="0"/>
    <n v="35992"/>
    <s v="NA"/>
    <s v="NA"/>
    <s v="NA"/>
    <s v="NA"/>
    <s v="NA"/>
    <s v="NA"/>
    <s v="NA"/>
    <s v="NA"/>
    <s v="NA"/>
    <s v="NA"/>
    <s v="NA"/>
    <x v="0"/>
    <x v="0"/>
    <s v="NA"/>
    <s v="NA"/>
    <s v="NA"/>
    <s v="NA"/>
    <s v="NA"/>
    <s v="NA"/>
    <x v="0"/>
    <s v="NA"/>
    <s v="NA"/>
    <s v="NA"/>
    <s v="NA"/>
    <x v="1"/>
  </r>
  <r>
    <s v="A19D2W1PR68NO"/>
    <x v="0"/>
    <n v="43"/>
    <s v="male"/>
    <x v="1"/>
    <x v="1"/>
    <n v="37939"/>
    <n v="0"/>
    <n v="0"/>
    <n v="0"/>
    <n v="1"/>
    <s v="NA"/>
    <s v="NA"/>
    <s v="NA"/>
    <s v="NA"/>
    <s v="NA"/>
    <s v="NA"/>
    <s v="NA"/>
    <x v="0"/>
    <x v="0"/>
    <s v="NA"/>
    <s v="NA"/>
    <s v="NA"/>
    <s v="NA"/>
    <s v="NA"/>
    <s v="NA"/>
    <x v="0"/>
    <s v="NA"/>
    <s v="NA"/>
    <s v="NA"/>
    <s v="NA"/>
    <x v="1"/>
  </r>
  <r>
    <s v="A19D2W1PR68NO"/>
    <x v="0"/>
    <n v="43"/>
    <s v="male"/>
    <x v="1"/>
    <x v="2"/>
    <n v="53435"/>
    <n v="0"/>
    <n v="0"/>
    <n v="1"/>
    <n v="0"/>
    <s v="NA"/>
    <s v="NA"/>
    <s v="NA"/>
    <s v="NA"/>
    <s v="NA"/>
    <s v="NA"/>
    <s v="NA"/>
    <x v="0"/>
    <x v="0"/>
    <s v="NA"/>
    <s v="NA"/>
    <s v="NA"/>
    <s v="NA"/>
    <s v="NA"/>
    <s v="NA"/>
    <x v="0"/>
    <s v="NA"/>
    <s v="NA"/>
    <s v="NA"/>
    <s v="NA"/>
    <x v="1"/>
  </r>
  <r>
    <s v="A19D2W1PR68NO"/>
    <x v="0"/>
    <n v="43"/>
    <s v="male"/>
    <x v="2"/>
    <x v="9"/>
    <n v="61523"/>
    <n v="1"/>
    <n v="1"/>
    <n v="1"/>
    <n v="0"/>
    <s v="Stores A, B, C, D and E."/>
    <s v="Store A."/>
    <s v="Stores A and B."/>
    <s v="exh"/>
    <s v="mo-h"/>
    <s v="ms-h"/>
    <n v="1"/>
    <x v="2"/>
    <x v="2"/>
    <n v="1"/>
    <n v="0"/>
    <n v="0"/>
    <n v="1"/>
    <n v="1"/>
    <n v="1"/>
    <x v="2"/>
    <n v="1"/>
    <n v="0"/>
    <n v="0"/>
    <n v="0"/>
    <x v="1"/>
  </r>
  <r>
    <s v="A19D2W1PR68NO"/>
    <x v="0"/>
    <n v="43"/>
    <s v="male"/>
    <x v="3"/>
    <x v="10"/>
    <n v="39766"/>
    <n v="0"/>
    <n v="0"/>
    <n v="0"/>
    <n v="1"/>
    <s v="NA"/>
    <s v="NA"/>
    <s v="NA"/>
    <s v="NA"/>
    <s v="NA"/>
    <s v="NA"/>
    <s v="NA"/>
    <x v="2"/>
    <x v="2"/>
    <n v="1"/>
    <n v="0"/>
    <n v="0"/>
    <n v="1"/>
    <n v="1"/>
    <n v="1"/>
    <x v="2"/>
    <n v="1"/>
    <n v="0"/>
    <n v="0"/>
    <n v="0"/>
    <x v="1"/>
  </r>
  <r>
    <s v="A19D2W1PR68NO"/>
    <x v="0"/>
    <n v="43"/>
    <s v="male"/>
    <x v="2"/>
    <x v="7"/>
    <n v="31890"/>
    <n v="1"/>
    <n v="1"/>
    <n v="1"/>
    <n v="0"/>
    <s v="Stylists A and B."/>
    <s v="Stylist A."/>
    <s v="Stylists A, B, C, D and E."/>
    <s v="ms-h"/>
    <s v="mo-h"/>
    <s v="exh"/>
    <n v="1"/>
    <x v="2"/>
    <x v="2"/>
    <n v="1"/>
    <n v="0"/>
    <n v="0"/>
    <n v="1"/>
    <n v="1"/>
    <n v="1"/>
    <x v="2"/>
    <n v="1"/>
    <n v="0"/>
    <n v="0"/>
    <n v="0"/>
    <x v="1"/>
  </r>
  <r>
    <s v="A19D2W1PR68NO"/>
    <x v="0"/>
    <n v="43"/>
    <s v="male"/>
    <x v="2"/>
    <x v="4"/>
    <n v="26749"/>
    <n v="1"/>
    <n v="1"/>
    <n v="1"/>
    <n v="0"/>
    <s v="Stalls D and E."/>
    <s v="Stalls A and B."/>
    <s v="Stall A."/>
    <s v="ms-l"/>
    <s v="ms-h"/>
    <s v="mo-h"/>
    <n v="0"/>
    <x v="2"/>
    <x v="2"/>
    <n v="1"/>
    <n v="1"/>
    <n v="0"/>
    <n v="1"/>
    <n v="0"/>
    <n v="1"/>
    <x v="2"/>
    <n v="1"/>
    <n v="1"/>
    <n v="0"/>
    <n v="0"/>
    <x v="1"/>
  </r>
  <r>
    <s v="A19D2W1PR68NO"/>
    <x v="0"/>
    <n v="43"/>
    <s v="male"/>
    <x v="3"/>
    <x v="12"/>
    <n v="22286"/>
    <n v="1"/>
    <n v="1"/>
    <n v="0"/>
    <n v="0"/>
    <s v="NA"/>
    <s v="NA"/>
    <s v="NA"/>
    <s v="NA"/>
    <s v="NA"/>
    <s v="NA"/>
    <s v="NA"/>
    <x v="2"/>
    <x v="2"/>
    <n v="1"/>
    <n v="1"/>
    <n v="0"/>
    <n v="1"/>
    <n v="0"/>
    <n v="1"/>
    <x v="2"/>
    <n v="1"/>
    <n v="1"/>
    <n v="0"/>
    <n v="0"/>
    <x v="1"/>
  </r>
  <r>
    <s v="A19D2W1PR68NO"/>
    <x v="0"/>
    <n v="43"/>
    <s v="male"/>
    <x v="2"/>
    <x v="3"/>
    <n v="24443"/>
    <n v="1"/>
    <n v="1"/>
    <n v="1"/>
    <n v="0"/>
    <s v="Cafes A, B, C, D and E."/>
    <s v="Cafe E."/>
    <s v="Cafe A."/>
    <s v="exh"/>
    <s v="mo-l"/>
    <s v="mo-h"/>
    <n v="1"/>
    <x v="2"/>
    <x v="1"/>
    <n v="0"/>
    <n v="0"/>
    <n v="0"/>
    <n v="1"/>
    <n v="1"/>
    <n v="1"/>
    <x v="1"/>
    <n v="0"/>
    <n v="0"/>
    <n v="0"/>
    <n v="0"/>
    <x v="1"/>
  </r>
  <r>
    <s v="A19D2W1PR68NO"/>
    <x v="0"/>
    <n v="43"/>
    <s v="male"/>
    <x v="3"/>
    <x v="8"/>
    <n v="34443"/>
    <n v="1"/>
    <n v="0"/>
    <n v="0"/>
    <n v="0"/>
    <s v="NA"/>
    <s v="NA"/>
    <s v="NA"/>
    <s v="NA"/>
    <s v="NA"/>
    <s v="NA"/>
    <s v="NA"/>
    <x v="2"/>
    <x v="1"/>
    <n v="0"/>
    <n v="0"/>
    <n v="0"/>
    <n v="1"/>
    <n v="1"/>
    <n v="1"/>
    <x v="1"/>
    <n v="0"/>
    <n v="0"/>
    <n v="0"/>
    <n v="0"/>
    <x v="1"/>
  </r>
  <r>
    <s v="A19D2W1PR68NO"/>
    <x v="0"/>
    <n v="43"/>
    <s v="male"/>
    <x v="2"/>
    <x v="6"/>
    <n v="72467"/>
    <n v="1"/>
    <n v="1"/>
    <n v="1"/>
    <n v="0"/>
    <s v="Bookstore A."/>
    <s v="Bookstores A and B."/>
    <s v="Bookstores A, B, C, D and E."/>
    <s v="mo-h"/>
    <s v="ms-h"/>
    <s v="exh"/>
    <n v="1"/>
    <x v="2"/>
    <x v="2"/>
    <n v="1"/>
    <n v="0"/>
    <n v="0"/>
    <n v="1"/>
    <n v="1"/>
    <n v="1"/>
    <x v="2"/>
    <n v="1"/>
    <n v="0"/>
    <n v="0"/>
    <n v="0"/>
    <x v="1"/>
  </r>
  <r>
    <s v="A19D2W1PR68NO"/>
    <x v="0"/>
    <n v="43"/>
    <s v="male"/>
    <x v="2"/>
    <x v="11"/>
    <n v="28183"/>
    <n v="0"/>
    <n v="0"/>
    <n v="0"/>
    <n v="1"/>
    <s v="Dentist A."/>
    <s v="Dentist E."/>
    <s v="Dentists D and E."/>
    <s v="mo-h"/>
    <s v="mo-l"/>
    <s v="ms-l"/>
    <n v="0"/>
    <x v="2"/>
    <x v="1"/>
    <n v="0"/>
    <n v="1"/>
    <n v="0"/>
    <n v="1"/>
    <n v="0"/>
    <n v="0"/>
    <x v="2"/>
    <n v="0"/>
    <n v="0"/>
    <n v="0"/>
    <n v="1"/>
    <x v="1"/>
  </r>
  <r>
    <s v="A19D2W1PR68NO"/>
    <x v="0"/>
    <n v="43"/>
    <s v="male"/>
    <x v="3"/>
    <x v="5"/>
    <n v="48726"/>
    <n v="0"/>
    <n v="0"/>
    <n v="1"/>
    <n v="0"/>
    <s v="NA"/>
    <s v="NA"/>
    <s v="NA"/>
    <s v="NA"/>
    <s v="NA"/>
    <s v="NA"/>
    <s v="NA"/>
    <x v="2"/>
    <x v="1"/>
    <n v="0"/>
    <n v="1"/>
    <n v="0"/>
    <n v="1"/>
    <n v="0"/>
    <n v="0"/>
    <x v="2"/>
    <n v="0"/>
    <n v="0"/>
    <n v="0"/>
    <n v="1"/>
    <x v="1"/>
  </r>
  <r>
    <s v="A19D2W1PR68NO"/>
    <x v="0"/>
    <n v="43"/>
    <s v="male"/>
    <x v="4"/>
    <x v="0"/>
    <n v="41764"/>
    <s v="No%2C the questions mean essentially the same thing."/>
    <s v="No%2C I speak English."/>
    <s v="No"/>
    <s v="NA"/>
    <s v="NA"/>
    <s v="NA"/>
    <s v="NA"/>
    <s v="NA"/>
    <s v="NA"/>
    <s v="NA"/>
    <s v="NA"/>
    <x v="0"/>
    <x v="0"/>
    <s v="NA"/>
    <s v="NA"/>
    <s v="NA"/>
    <s v="NA"/>
    <s v="NA"/>
    <s v="NA"/>
    <x v="0"/>
    <s v="NA"/>
    <s v="NA"/>
    <s v="NA"/>
    <s v="NA"/>
    <x v="1"/>
  </r>
  <r>
    <s v="A26FRAYAIDR4NV"/>
    <x v="0"/>
    <n v="30"/>
    <s v="female"/>
    <x v="0"/>
    <x v="0"/>
    <n v="30557"/>
    <s v="NA"/>
    <s v="NA"/>
    <s v="NA"/>
    <s v="NA"/>
    <s v="NA"/>
    <s v="NA"/>
    <s v="NA"/>
    <s v="NA"/>
    <s v="NA"/>
    <s v="NA"/>
    <s v="NA"/>
    <x v="0"/>
    <x v="0"/>
    <s v="NA"/>
    <s v="NA"/>
    <s v="NA"/>
    <s v="NA"/>
    <s v="NA"/>
    <s v="NA"/>
    <x v="0"/>
    <s v="NA"/>
    <s v="NA"/>
    <s v="NA"/>
    <s v="NA"/>
    <x v="1"/>
  </r>
  <r>
    <s v="A26FRAYAIDR4NV"/>
    <x v="0"/>
    <n v="30"/>
    <s v="female"/>
    <x v="1"/>
    <x v="1"/>
    <n v="25204"/>
    <n v="0"/>
    <n v="0"/>
    <n v="1"/>
    <n v="0"/>
    <s v="NA"/>
    <s v="NA"/>
    <s v="NA"/>
    <s v="NA"/>
    <s v="NA"/>
    <s v="NA"/>
    <s v="NA"/>
    <x v="0"/>
    <x v="0"/>
    <s v="NA"/>
    <s v="NA"/>
    <s v="NA"/>
    <s v="NA"/>
    <s v="NA"/>
    <s v="NA"/>
    <x v="0"/>
    <s v="NA"/>
    <s v="NA"/>
    <s v="NA"/>
    <s v="NA"/>
    <x v="1"/>
  </r>
  <r>
    <s v="A26FRAYAIDR4NV"/>
    <x v="0"/>
    <n v="30"/>
    <s v="female"/>
    <x v="1"/>
    <x v="2"/>
    <n v="28008"/>
    <n v="0"/>
    <n v="0"/>
    <n v="1"/>
    <n v="0"/>
    <s v="NA"/>
    <s v="NA"/>
    <s v="NA"/>
    <s v="NA"/>
    <s v="NA"/>
    <s v="NA"/>
    <s v="NA"/>
    <x v="0"/>
    <x v="0"/>
    <s v="NA"/>
    <s v="NA"/>
    <s v="NA"/>
    <s v="NA"/>
    <s v="NA"/>
    <s v="NA"/>
    <x v="0"/>
    <s v="NA"/>
    <s v="NA"/>
    <s v="NA"/>
    <s v="NA"/>
    <x v="1"/>
  </r>
  <r>
    <s v="A26FRAYAIDR4NV"/>
    <x v="0"/>
    <n v="30"/>
    <s v="female"/>
    <x v="2"/>
    <x v="7"/>
    <n v="55518"/>
    <n v="0"/>
    <n v="0"/>
    <n v="0"/>
    <n v="1"/>
    <s v="Stylists A, B, C, D and E."/>
    <s v="Stylist F."/>
    <s v="Stylist A."/>
    <s v="exh"/>
    <s v="fa"/>
    <s v="mo-h"/>
    <n v="1"/>
    <x v="2"/>
    <x v="2"/>
    <n v="0"/>
    <n v="0"/>
    <n v="0"/>
    <n v="1"/>
    <n v="0"/>
    <n v="0"/>
    <x v="2"/>
    <n v="0"/>
    <n v="0"/>
    <n v="0"/>
    <n v="1"/>
    <x v="1"/>
  </r>
  <r>
    <s v="A26FRAYAIDR4NV"/>
    <x v="0"/>
    <n v="30"/>
    <s v="female"/>
    <x v="2"/>
    <x v="6"/>
    <n v="74773"/>
    <n v="1"/>
    <n v="0"/>
    <n v="0"/>
    <n v="0"/>
    <s v="Bookstore A."/>
    <s v="Bookstore E."/>
    <s v="Bookstores A and B."/>
    <s v="mo-h"/>
    <s v="mo-l"/>
    <s v="ms-h"/>
    <n v="0"/>
    <x v="2"/>
    <x v="1"/>
    <n v="1"/>
    <n v="0"/>
    <n v="0"/>
    <n v="1"/>
    <n v="0"/>
    <n v="1"/>
    <x v="2"/>
    <n v="0"/>
    <n v="0"/>
    <n v="0"/>
    <n v="0"/>
    <x v="1"/>
  </r>
  <r>
    <s v="A26FRAYAIDR4NV"/>
    <x v="0"/>
    <n v="30"/>
    <s v="female"/>
    <x v="3"/>
    <x v="10"/>
    <n v="46857"/>
    <n v="0"/>
    <n v="1"/>
    <n v="0"/>
    <n v="0"/>
    <s v="NA"/>
    <s v="NA"/>
    <s v="NA"/>
    <s v="NA"/>
    <s v="NA"/>
    <s v="NA"/>
    <s v="NA"/>
    <x v="2"/>
    <x v="1"/>
    <n v="1"/>
    <n v="0"/>
    <n v="0"/>
    <n v="1"/>
    <n v="0"/>
    <n v="1"/>
    <x v="2"/>
    <n v="0"/>
    <n v="0"/>
    <n v="0"/>
    <n v="0"/>
    <x v="1"/>
  </r>
  <r>
    <s v="A26FRAYAIDR4NV"/>
    <x v="0"/>
    <n v="30"/>
    <s v="female"/>
    <x v="2"/>
    <x v="4"/>
    <n v="28392"/>
    <n v="0"/>
    <n v="1"/>
    <n v="0"/>
    <n v="0"/>
    <s v="Stalls A and B."/>
    <s v="Stall A."/>
    <s v="Stall F."/>
    <s v="ms-h"/>
    <s v="mo-h"/>
    <s v="fa"/>
    <n v="0"/>
    <x v="2"/>
    <x v="2"/>
    <n v="1"/>
    <n v="0"/>
    <n v="0"/>
    <n v="1"/>
    <n v="0"/>
    <n v="1"/>
    <x v="2"/>
    <n v="0"/>
    <n v="0"/>
    <n v="0"/>
    <n v="0"/>
    <x v="1"/>
  </r>
  <r>
    <s v="A26FRAYAIDR4NV"/>
    <x v="0"/>
    <n v="30"/>
    <s v="female"/>
    <x v="2"/>
    <x v="9"/>
    <n v="25722"/>
    <n v="1"/>
    <n v="0"/>
    <n v="0"/>
    <n v="0"/>
    <s v="Stores D and E."/>
    <s v="Store E."/>
    <s v="Store F."/>
    <s v="ms-l"/>
    <s v="mo-l"/>
    <s v="fa"/>
    <n v="0"/>
    <x v="1"/>
    <x v="1"/>
    <n v="0"/>
    <n v="1"/>
    <n v="0"/>
    <n v="1"/>
    <n v="0"/>
    <n v="0"/>
    <x v="2"/>
    <n v="0"/>
    <n v="1"/>
    <n v="0"/>
    <n v="0"/>
    <x v="1"/>
  </r>
  <r>
    <s v="A26FRAYAIDR4NV"/>
    <x v="0"/>
    <n v="30"/>
    <s v="female"/>
    <x v="3"/>
    <x v="8"/>
    <n v="29818"/>
    <n v="0"/>
    <n v="1"/>
    <n v="0"/>
    <n v="0"/>
    <s v="NA"/>
    <s v="NA"/>
    <s v="NA"/>
    <s v="NA"/>
    <s v="NA"/>
    <s v="NA"/>
    <s v="NA"/>
    <x v="1"/>
    <x v="1"/>
    <n v="0"/>
    <n v="1"/>
    <n v="0"/>
    <n v="1"/>
    <n v="0"/>
    <n v="0"/>
    <x v="2"/>
    <n v="0"/>
    <n v="1"/>
    <n v="0"/>
    <n v="0"/>
    <x v="1"/>
  </r>
  <r>
    <s v="A26FRAYAIDR4NV"/>
    <x v="0"/>
    <n v="30"/>
    <s v="female"/>
    <x v="2"/>
    <x v="3"/>
    <n v="6507"/>
    <n v="0"/>
    <n v="1"/>
    <n v="0"/>
    <n v="0"/>
    <s v="Cafes A and B."/>
    <s v="Cafe E."/>
    <s v="Cafe A."/>
    <s v="ms-h"/>
    <s v="mo-l"/>
    <s v="mo-h"/>
    <n v="0"/>
    <x v="2"/>
    <x v="1"/>
    <n v="1"/>
    <n v="0"/>
    <n v="0"/>
    <n v="1"/>
    <n v="0"/>
    <n v="0"/>
    <x v="1"/>
    <n v="0"/>
    <n v="0"/>
    <n v="0"/>
    <n v="0"/>
    <x v="1"/>
  </r>
  <r>
    <s v="A26FRAYAIDR4NV"/>
    <x v="0"/>
    <n v="30"/>
    <s v="female"/>
    <x v="3"/>
    <x v="12"/>
    <n v="35048"/>
    <n v="1"/>
    <n v="0"/>
    <n v="0"/>
    <n v="0"/>
    <s v="NA"/>
    <s v="NA"/>
    <s v="NA"/>
    <s v="NA"/>
    <s v="NA"/>
    <s v="NA"/>
    <s v="NA"/>
    <x v="2"/>
    <x v="1"/>
    <n v="1"/>
    <n v="0"/>
    <n v="0"/>
    <n v="1"/>
    <n v="0"/>
    <n v="0"/>
    <x v="1"/>
    <n v="0"/>
    <n v="0"/>
    <n v="0"/>
    <n v="0"/>
    <x v="1"/>
  </r>
  <r>
    <s v="A26FRAYAIDR4NV"/>
    <x v="0"/>
    <n v="30"/>
    <s v="female"/>
    <x v="2"/>
    <x v="11"/>
    <n v="43147"/>
    <n v="0"/>
    <n v="1"/>
    <n v="0"/>
    <n v="0"/>
    <s v="Dentist A."/>
    <s v="Dentist E."/>
    <s v="Dentists A and B."/>
    <s v="mo-h"/>
    <s v="mo-l"/>
    <s v="ms-h"/>
    <n v="0"/>
    <x v="2"/>
    <x v="1"/>
    <n v="1"/>
    <n v="0"/>
    <n v="0"/>
    <n v="1"/>
    <n v="0"/>
    <n v="0"/>
    <x v="1"/>
    <n v="0"/>
    <n v="0"/>
    <n v="0"/>
    <n v="0"/>
    <x v="1"/>
  </r>
  <r>
    <s v="A26FRAYAIDR4NV"/>
    <x v="0"/>
    <n v="30"/>
    <s v="female"/>
    <x v="3"/>
    <x v="5"/>
    <n v="5621"/>
    <n v="0"/>
    <n v="1"/>
    <n v="0"/>
    <n v="0"/>
    <s v="NA"/>
    <s v="NA"/>
    <s v="NA"/>
    <s v="NA"/>
    <s v="NA"/>
    <s v="NA"/>
    <s v="NA"/>
    <x v="2"/>
    <x v="1"/>
    <n v="1"/>
    <n v="0"/>
    <n v="0"/>
    <n v="1"/>
    <n v="0"/>
    <n v="0"/>
    <x v="1"/>
    <n v="0"/>
    <n v="0"/>
    <n v="0"/>
    <n v="0"/>
    <x v="1"/>
  </r>
  <r>
    <s v="A26FRAYAIDR4NV"/>
    <x v="0"/>
    <n v="30"/>
    <s v="female"/>
    <x v="4"/>
    <x v="0"/>
    <n v="50556"/>
    <m/>
    <s v="yes"/>
    <s v="nice"/>
    <s v="NA"/>
    <s v="NA"/>
    <s v="NA"/>
    <s v="NA"/>
    <s v="NA"/>
    <s v="NA"/>
    <s v="NA"/>
    <s v="NA"/>
    <x v="0"/>
    <x v="0"/>
    <s v="NA"/>
    <s v="NA"/>
    <s v="NA"/>
    <s v="NA"/>
    <s v="NA"/>
    <s v="NA"/>
    <x v="0"/>
    <s v="NA"/>
    <s v="NA"/>
    <s v="NA"/>
    <s v="NA"/>
    <x v="1"/>
  </r>
  <r>
    <s v="A3JODCUHJMCSA2"/>
    <x v="0"/>
    <n v="32"/>
    <s v="female"/>
    <x v="0"/>
    <x v="0"/>
    <n v="49069"/>
    <s v="NA"/>
    <s v="NA"/>
    <s v="NA"/>
    <s v="NA"/>
    <s v="NA"/>
    <s v="NA"/>
    <s v="NA"/>
    <s v="NA"/>
    <s v="NA"/>
    <s v="NA"/>
    <s v="NA"/>
    <x v="0"/>
    <x v="0"/>
    <s v="NA"/>
    <s v="NA"/>
    <s v="NA"/>
    <s v="NA"/>
    <s v="NA"/>
    <s v="NA"/>
    <x v="0"/>
    <s v="NA"/>
    <s v="NA"/>
    <s v="NA"/>
    <s v="NA"/>
    <x v="1"/>
  </r>
  <r>
    <s v="A3JODCUHJMCSA2"/>
    <x v="0"/>
    <n v="32"/>
    <s v="female"/>
    <x v="1"/>
    <x v="1"/>
    <n v="31463"/>
    <n v="0"/>
    <n v="0"/>
    <n v="0"/>
    <n v="1"/>
    <s v="NA"/>
    <s v="NA"/>
    <s v="NA"/>
    <s v="NA"/>
    <s v="NA"/>
    <s v="NA"/>
    <s v="NA"/>
    <x v="0"/>
    <x v="0"/>
    <s v="NA"/>
    <s v="NA"/>
    <s v="NA"/>
    <s v="NA"/>
    <s v="NA"/>
    <s v="NA"/>
    <x v="0"/>
    <s v="NA"/>
    <s v="NA"/>
    <s v="NA"/>
    <s v="NA"/>
    <x v="1"/>
  </r>
  <r>
    <s v="A3JODCUHJMCSA2"/>
    <x v="0"/>
    <n v="32"/>
    <s v="female"/>
    <x v="1"/>
    <x v="2"/>
    <n v="41507"/>
    <n v="0"/>
    <n v="1"/>
    <n v="1"/>
    <n v="0"/>
    <s v="NA"/>
    <s v="NA"/>
    <s v="NA"/>
    <s v="NA"/>
    <s v="NA"/>
    <s v="NA"/>
    <s v="NA"/>
    <x v="0"/>
    <x v="0"/>
    <s v="NA"/>
    <s v="NA"/>
    <s v="NA"/>
    <s v="NA"/>
    <s v="NA"/>
    <s v="NA"/>
    <x v="0"/>
    <s v="NA"/>
    <s v="NA"/>
    <s v="NA"/>
    <s v="NA"/>
    <x v="1"/>
  </r>
  <r>
    <s v="A3JODCUHJMCSA2"/>
    <x v="0"/>
    <n v="32"/>
    <s v="female"/>
    <x v="2"/>
    <x v="4"/>
    <n v="32715"/>
    <n v="1"/>
    <n v="0"/>
    <n v="0"/>
    <n v="0"/>
    <s v="Stalls A and B."/>
    <s v="Stall F."/>
    <s v="Stalls A, B, C, D and E."/>
    <s v="ms-h"/>
    <s v="fa"/>
    <s v="exh"/>
    <n v="1"/>
    <x v="1"/>
    <x v="2"/>
    <n v="1"/>
    <n v="0"/>
    <n v="0"/>
    <n v="1"/>
    <n v="0"/>
    <n v="0"/>
    <x v="2"/>
    <n v="1"/>
    <n v="0"/>
    <n v="0"/>
    <n v="0"/>
    <x v="1"/>
  </r>
  <r>
    <s v="A3JODCUHJMCSA2"/>
    <x v="0"/>
    <n v="32"/>
    <s v="female"/>
    <x v="3"/>
    <x v="12"/>
    <n v="14612"/>
    <n v="1"/>
    <n v="0"/>
    <n v="0"/>
    <n v="0"/>
    <s v="NA"/>
    <s v="NA"/>
    <s v="NA"/>
    <s v="NA"/>
    <s v="NA"/>
    <s v="NA"/>
    <s v="NA"/>
    <x v="1"/>
    <x v="2"/>
    <n v="1"/>
    <n v="0"/>
    <n v="0"/>
    <n v="1"/>
    <n v="0"/>
    <n v="0"/>
    <x v="2"/>
    <n v="1"/>
    <n v="0"/>
    <n v="0"/>
    <n v="0"/>
    <x v="1"/>
  </r>
  <r>
    <s v="A3JODCUHJMCSA2"/>
    <x v="0"/>
    <n v="32"/>
    <s v="female"/>
    <x v="2"/>
    <x v="9"/>
    <n v="23381"/>
    <n v="0"/>
    <n v="0"/>
    <n v="0"/>
    <n v="1"/>
    <s v="Stores D and E."/>
    <s v="Store F."/>
    <s v="Store E."/>
    <s v="ms-l"/>
    <s v="fa"/>
    <s v="mo-l"/>
    <n v="0"/>
    <x v="1"/>
    <x v="1"/>
    <n v="0"/>
    <n v="1"/>
    <n v="0"/>
    <n v="1"/>
    <n v="0"/>
    <n v="0"/>
    <x v="2"/>
    <n v="0"/>
    <n v="0"/>
    <n v="0"/>
    <n v="1"/>
    <x v="1"/>
  </r>
  <r>
    <s v="A3JODCUHJMCSA2"/>
    <x v="0"/>
    <n v="32"/>
    <s v="female"/>
    <x v="2"/>
    <x v="6"/>
    <n v="18212"/>
    <n v="0"/>
    <n v="1"/>
    <n v="0"/>
    <n v="0"/>
    <s v="Bookstore E."/>
    <s v="Bookstores A and B."/>
    <s v="Bookstore F."/>
    <s v="mo-l"/>
    <s v="ms-h"/>
    <s v="fa"/>
    <n v="0"/>
    <x v="1"/>
    <x v="1"/>
    <n v="1"/>
    <n v="0"/>
    <n v="0"/>
    <n v="1"/>
    <n v="0"/>
    <n v="0"/>
    <x v="2"/>
    <n v="1"/>
    <n v="0"/>
    <n v="0"/>
    <n v="0"/>
    <x v="1"/>
  </r>
  <r>
    <s v="A3JODCUHJMCSA2"/>
    <x v="0"/>
    <n v="32"/>
    <s v="female"/>
    <x v="3"/>
    <x v="10"/>
    <n v="24937"/>
    <n v="0"/>
    <n v="1"/>
    <n v="0"/>
    <n v="0"/>
    <s v="NA"/>
    <s v="NA"/>
    <s v="NA"/>
    <s v="NA"/>
    <s v="NA"/>
    <s v="NA"/>
    <s v="NA"/>
    <x v="1"/>
    <x v="1"/>
    <n v="1"/>
    <n v="0"/>
    <n v="0"/>
    <n v="1"/>
    <n v="0"/>
    <n v="0"/>
    <x v="2"/>
    <n v="1"/>
    <n v="0"/>
    <n v="0"/>
    <n v="0"/>
    <x v="1"/>
  </r>
  <r>
    <s v="A3JODCUHJMCSA2"/>
    <x v="0"/>
    <n v="32"/>
    <s v="female"/>
    <x v="2"/>
    <x v="7"/>
    <n v="38960"/>
    <n v="0"/>
    <n v="0"/>
    <n v="0"/>
    <n v="1"/>
    <s v="Stylist F."/>
    <s v="Stylists D and E."/>
    <s v="Stylist E."/>
    <s v="fa"/>
    <s v="ms-l"/>
    <s v="mo-l"/>
    <n v="0"/>
    <x v="1"/>
    <x v="1"/>
    <n v="0"/>
    <n v="1"/>
    <n v="0"/>
    <n v="1"/>
    <n v="0"/>
    <n v="0"/>
    <x v="2"/>
    <n v="0"/>
    <n v="0"/>
    <n v="0"/>
    <n v="1"/>
    <x v="1"/>
  </r>
  <r>
    <s v="A3JODCUHJMCSA2"/>
    <x v="0"/>
    <n v="32"/>
    <s v="female"/>
    <x v="3"/>
    <x v="5"/>
    <n v="38871"/>
    <n v="0"/>
    <n v="1"/>
    <n v="1"/>
    <n v="0"/>
    <s v="NA"/>
    <s v="NA"/>
    <s v="NA"/>
    <s v="NA"/>
    <s v="NA"/>
    <s v="NA"/>
    <s v="NA"/>
    <x v="1"/>
    <x v="1"/>
    <n v="0"/>
    <n v="1"/>
    <n v="0"/>
    <n v="1"/>
    <n v="0"/>
    <n v="0"/>
    <x v="2"/>
    <n v="0"/>
    <n v="0"/>
    <n v="0"/>
    <n v="1"/>
    <x v="1"/>
  </r>
  <r>
    <s v="A3JODCUHJMCSA2"/>
    <x v="0"/>
    <n v="32"/>
    <s v="female"/>
    <x v="2"/>
    <x v="3"/>
    <n v="13705"/>
    <n v="1"/>
    <n v="0"/>
    <n v="0"/>
    <n v="0"/>
    <s v="Cafes A and B."/>
    <s v="Cafe E."/>
    <s v="Cafe F."/>
    <s v="ms-h"/>
    <s v="mo-l"/>
    <s v="fa"/>
    <n v="0"/>
    <x v="1"/>
    <x v="1"/>
    <n v="1"/>
    <n v="0"/>
    <n v="0"/>
    <n v="1"/>
    <n v="0"/>
    <n v="0"/>
    <x v="2"/>
    <n v="1"/>
    <n v="0"/>
    <n v="0"/>
    <n v="0"/>
    <x v="1"/>
  </r>
  <r>
    <s v="A3JODCUHJMCSA2"/>
    <x v="0"/>
    <n v="32"/>
    <s v="female"/>
    <x v="2"/>
    <x v="11"/>
    <n v="21386"/>
    <n v="0"/>
    <n v="0"/>
    <n v="1"/>
    <n v="0"/>
    <s v="Dentist F."/>
    <s v="Dentist E."/>
    <s v="Dentist A."/>
    <s v="fa"/>
    <s v="mo-l"/>
    <s v="mo-h"/>
    <n v="0"/>
    <x v="2"/>
    <x v="1"/>
    <n v="0"/>
    <n v="0"/>
    <n v="0"/>
    <n v="1"/>
    <n v="0"/>
    <n v="1"/>
    <x v="2"/>
    <n v="0"/>
    <n v="0"/>
    <n v="0"/>
    <n v="0"/>
    <x v="1"/>
  </r>
  <r>
    <s v="A3JODCUHJMCSA2"/>
    <x v="0"/>
    <n v="32"/>
    <s v="female"/>
    <x v="3"/>
    <x v="8"/>
    <n v="23754"/>
    <n v="1"/>
    <n v="1"/>
    <n v="0"/>
    <n v="0"/>
    <s v="NA"/>
    <s v="NA"/>
    <s v="NA"/>
    <s v="NA"/>
    <s v="NA"/>
    <s v="NA"/>
    <s v="NA"/>
    <x v="2"/>
    <x v="1"/>
    <n v="0"/>
    <n v="0"/>
    <n v="0"/>
    <n v="1"/>
    <n v="0"/>
    <n v="1"/>
    <x v="2"/>
    <n v="0"/>
    <n v="0"/>
    <n v="0"/>
    <n v="0"/>
    <x v="1"/>
  </r>
  <r>
    <s v="A3JODCUHJMCSA2"/>
    <x v="0"/>
    <n v="32"/>
    <s v="female"/>
    <x v="4"/>
    <x v="0"/>
    <n v="31803"/>
    <s v="No%2C it's basically the same question just worded differently"/>
    <s v="Somewhat"/>
    <s v="N/A"/>
    <s v="NA"/>
    <s v="NA"/>
    <s v="NA"/>
    <s v="NA"/>
    <s v="NA"/>
    <s v="NA"/>
    <s v="NA"/>
    <s v="NA"/>
    <x v="0"/>
    <x v="0"/>
    <s v="NA"/>
    <s v="NA"/>
    <s v="NA"/>
    <s v="NA"/>
    <s v="NA"/>
    <s v="NA"/>
    <x v="0"/>
    <s v="NA"/>
    <s v="NA"/>
    <s v="NA"/>
    <s v="NA"/>
    <x v="1"/>
  </r>
  <r>
    <s v="A03172343NB8PHOPICC1"/>
    <x v="0"/>
    <n v="22"/>
    <s v="male"/>
    <x v="0"/>
    <x v="0"/>
    <n v="28659"/>
    <s v="NA"/>
    <s v="NA"/>
    <s v="NA"/>
    <s v="NA"/>
    <s v="NA"/>
    <s v="NA"/>
    <s v="NA"/>
    <s v="NA"/>
    <s v="NA"/>
    <s v="NA"/>
    <s v="NA"/>
    <x v="0"/>
    <x v="0"/>
    <s v="NA"/>
    <s v="NA"/>
    <s v="NA"/>
    <s v="NA"/>
    <s v="NA"/>
    <s v="NA"/>
    <x v="0"/>
    <s v="NA"/>
    <s v="NA"/>
    <s v="NA"/>
    <s v="NA"/>
    <x v="1"/>
  </r>
  <r>
    <s v="A03172343NB8PHOPICC1"/>
    <x v="0"/>
    <n v="22"/>
    <s v="male"/>
    <x v="1"/>
    <x v="1"/>
    <n v="11261"/>
    <n v="0"/>
    <n v="0"/>
    <n v="0"/>
    <n v="1"/>
    <s v="NA"/>
    <s v="NA"/>
    <s v="NA"/>
    <s v="NA"/>
    <s v="NA"/>
    <s v="NA"/>
    <s v="NA"/>
    <x v="0"/>
    <x v="0"/>
    <s v="NA"/>
    <s v="NA"/>
    <s v="NA"/>
    <s v="NA"/>
    <s v="NA"/>
    <s v="NA"/>
    <x v="0"/>
    <s v="NA"/>
    <s v="NA"/>
    <s v="NA"/>
    <s v="NA"/>
    <x v="1"/>
  </r>
  <r>
    <s v="A03172343NB8PHOPICC1"/>
    <x v="0"/>
    <n v="22"/>
    <s v="male"/>
    <x v="1"/>
    <x v="2"/>
    <n v="19182"/>
    <n v="0"/>
    <n v="0"/>
    <n v="1"/>
    <n v="0"/>
    <s v="NA"/>
    <s v="NA"/>
    <s v="NA"/>
    <s v="NA"/>
    <s v="NA"/>
    <s v="NA"/>
    <s v="NA"/>
    <x v="0"/>
    <x v="0"/>
    <s v="NA"/>
    <s v="NA"/>
    <s v="NA"/>
    <s v="NA"/>
    <s v="NA"/>
    <s v="NA"/>
    <x v="0"/>
    <s v="NA"/>
    <s v="NA"/>
    <s v="NA"/>
    <s v="NA"/>
    <x v="1"/>
  </r>
  <r>
    <s v="A03172343NB8PHOPICC1"/>
    <x v="0"/>
    <n v="22"/>
    <s v="male"/>
    <x v="2"/>
    <x v="7"/>
    <n v="17095"/>
    <n v="0"/>
    <n v="0"/>
    <n v="1"/>
    <n v="0"/>
    <s v="Stylists D and E."/>
    <s v="Stylist F."/>
    <s v="Stylist A."/>
    <s v="ms-l"/>
    <s v="fa"/>
    <s v="mo-h"/>
    <n v="0"/>
    <x v="2"/>
    <x v="2"/>
    <n v="0"/>
    <n v="1"/>
    <n v="0"/>
    <n v="1"/>
    <n v="0"/>
    <n v="1"/>
    <x v="2"/>
    <n v="0"/>
    <n v="0"/>
    <n v="0"/>
    <n v="0"/>
    <x v="1"/>
  </r>
  <r>
    <s v="A03172343NB8PHOPICC1"/>
    <x v="0"/>
    <n v="22"/>
    <s v="male"/>
    <x v="3"/>
    <x v="5"/>
    <n v="7755"/>
    <n v="0"/>
    <n v="0"/>
    <n v="1"/>
    <n v="0"/>
    <s v="NA"/>
    <s v="NA"/>
    <s v="NA"/>
    <s v="NA"/>
    <s v="NA"/>
    <s v="NA"/>
    <s v="NA"/>
    <x v="2"/>
    <x v="2"/>
    <n v="0"/>
    <n v="1"/>
    <n v="0"/>
    <n v="1"/>
    <n v="0"/>
    <n v="1"/>
    <x v="2"/>
    <n v="0"/>
    <n v="0"/>
    <n v="0"/>
    <n v="0"/>
    <x v="1"/>
  </r>
  <r>
    <s v="A03172343NB8PHOPICC1"/>
    <x v="0"/>
    <n v="22"/>
    <s v="male"/>
    <x v="2"/>
    <x v="6"/>
    <n v="8261"/>
    <n v="1"/>
    <n v="1"/>
    <n v="1"/>
    <n v="0"/>
    <s v="Bookstore E."/>
    <s v="Bookstores D and E."/>
    <s v="Bookstores A and B."/>
    <s v="mo-l"/>
    <s v="ms-l"/>
    <s v="ms-h"/>
    <n v="0"/>
    <x v="1"/>
    <x v="1"/>
    <n v="1"/>
    <n v="1"/>
    <n v="0"/>
    <n v="1"/>
    <n v="0"/>
    <n v="0"/>
    <x v="1"/>
    <n v="1"/>
    <n v="1"/>
    <n v="0"/>
    <n v="0"/>
    <x v="1"/>
  </r>
  <r>
    <s v="A03172343NB8PHOPICC1"/>
    <x v="0"/>
    <n v="22"/>
    <s v="male"/>
    <x v="2"/>
    <x v="9"/>
    <n v="2349"/>
    <n v="0"/>
    <n v="1"/>
    <n v="0"/>
    <n v="0"/>
    <s v="Store E."/>
    <s v="Store A."/>
    <s v="Stores A, B, C, D and E."/>
    <s v="mo-l"/>
    <s v="mo-h"/>
    <s v="exh"/>
    <n v="1"/>
    <x v="2"/>
    <x v="1"/>
    <n v="0"/>
    <n v="0"/>
    <n v="0"/>
    <n v="1"/>
    <n v="0"/>
    <n v="1"/>
    <x v="2"/>
    <n v="0"/>
    <n v="0"/>
    <n v="0"/>
    <n v="0"/>
    <x v="1"/>
  </r>
  <r>
    <s v="A03172343NB8PHOPICC1"/>
    <x v="0"/>
    <n v="22"/>
    <s v="male"/>
    <x v="3"/>
    <x v="12"/>
    <n v="5874"/>
    <n v="1"/>
    <n v="1"/>
    <n v="1"/>
    <n v="0"/>
    <s v="NA"/>
    <s v="NA"/>
    <s v="NA"/>
    <s v="NA"/>
    <s v="NA"/>
    <s v="NA"/>
    <s v="NA"/>
    <x v="2"/>
    <x v="1"/>
    <n v="0"/>
    <n v="0"/>
    <n v="0"/>
    <n v="1"/>
    <n v="0"/>
    <n v="1"/>
    <x v="2"/>
    <n v="0"/>
    <n v="0"/>
    <n v="0"/>
    <n v="0"/>
    <x v="1"/>
  </r>
  <r>
    <s v="A03172343NB8PHOPICC1"/>
    <x v="0"/>
    <n v="22"/>
    <s v="male"/>
    <x v="2"/>
    <x v="4"/>
    <n v="6006"/>
    <n v="1"/>
    <n v="1"/>
    <n v="1"/>
    <n v="0"/>
    <s v="Stalls A, B, C, D and E."/>
    <s v="Stalls D and E."/>
    <s v="Stall A."/>
    <s v="exh"/>
    <s v="ms-l"/>
    <s v="mo-h"/>
    <n v="1"/>
    <x v="2"/>
    <x v="2"/>
    <n v="0"/>
    <n v="1"/>
    <n v="0"/>
    <n v="1"/>
    <n v="1"/>
    <n v="1"/>
    <x v="2"/>
    <n v="0"/>
    <n v="1"/>
    <n v="0"/>
    <n v="0"/>
    <x v="1"/>
  </r>
  <r>
    <s v="A03172343NB8PHOPICC1"/>
    <x v="0"/>
    <n v="22"/>
    <s v="male"/>
    <x v="3"/>
    <x v="8"/>
    <n v="62657"/>
    <n v="1"/>
    <n v="1"/>
    <n v="0"/>
    <n v="0"/>
    <s v="NA"/>
    <s v="NA"/>
    <s v="NA"/>
    <s v="NA"/>
    <s v="NA"/>
    <s v="NA"/>
    <s v="NA"/>
    <x v="2"/>
    <x v="2"/>
    <n v="0"/>
    <n v="1"/>
    <n v="0"/>
    <n v="1"/>
    <n v="1"/>
    <n v="1"/>
    <x v="2"/>
    <n v="0"/>
    <n v="1"/>
    <n v="0"/>
    <n v="0"/>
    <x v="1"/>
  </r>
  <r>
    <s v="A03172343NB8PHOPICC1"/>
    <x v="0"/>
    <n v="22"/>
    <s v="male"/>
    <x v="2"/>
    <x v="3"/>
    <n v="39362"/>
    <n v="1"/>
    <n v="1"/>
    <n v="1"/>
    <n v="0"/>
    <s v="Cafes A and B."/>
    <s v="Cafe E."/>
    <s v="Cafe A."/>
    <s v="ms-h"/>
    <s v="mo-l"/>
    <s v="mo-h"/>
    <n v="0"/>
    <x v="2"/>
    <x v="1"/>
    <n v="1"/>
    <n v="0"/>
    <n v="0"/>
    <n v="1"/>
    <n v="0"/>
    <n v="1"/>
    <x v="1"/>
    <n v="1"/>
    <n v="0"/>
    <n v="0"/>
    <n v="0"/>
    <x v="1"/>
  </r>
  <r>
    <s v="A03172343NB8PHOPICC1"/>
    <x v="0"/>
    <n v="22"/>
    <s v="male"/>
    <x v="2"/>
    <x v="11"/>
    <n v="4774"/>
    <n v="1"/>
    <n v="1"/>
    <n v="1"/>
    <n v="0"/>
    <s v="Dentists A, B, C, D and E."/>
    <s v="Dentist E."/>
    <s v="Dentists D and E."/>
    <s v="exh"/>
    <s v="mo-l"/>
    <s v="ms-l"/>
    <n v="1"/>
    <x v="1"/>
    <x v="1"/>
    <n v="0"/>
    <n v="1"/>
    <n v="0"/>
    <n v="1"/>
    <n v="1"/>
    <n v="0"/>
    <x v="1"/>
    <n v="0"/>
    <n v="1"/>
    <n v="0"/>
    <n v="0"/>
    <x v="1"/>
  </r>
  <r>
    <s v="A03172343NB8PHOPICC1"/>
    <x v="0"/>
    <n v="22"/>
    <s v="male"/>
    <x v="3"/>
    <x v="10"/>
    <n v="121720"/>
    <n v="0"/>
    <n v="0"/>
    <n v="0"/>
    <n v="1"/>
    <s v="NA"/>
    <s v="NA"/>
    <s v="NA"/>
    <s v="NA"/>
    <s v="NA"/>
    <s v="NA"/>
    <s v="NA"/>
    <x v="1"/>
    <x v="1"/>
    <n v="0"/>
    <n v="1"/>
    <n v="0"/>
    <n v="1"/>
    <n v="1"/>
    <n v="0"/>
    <x v="1"/>
    <n v="0"/>
    <n v="1"/>
    <n v="0"/>
    <n v="0"/>
    <x v="1"/>
  </r>
  <r>
    <s v="A03172343NB8PHOPICC1"/>
    <x v="0"/>
    <n v="22"/>
    <s v="male"/>
    <x v="4"/>
    <x v="0"/>
    <n v="404571"/>
    <s v="No%2C I think they are basically the same question that would warrant the same answer."/>
    <s v="A bit difficult because it was a little bit repetitive."/>
    <s v="Overall%2C I enjoyed it."/>
    <s v="NA"/>
    <s v="NA"/>
    <s v="NA"/>
    <s v="NA"/>
    <s v="NA"/>
    <s v="NA"/>
    <s v="NA"/>
    <s v="NA"/>
    <x v="0"/>
    <x v="0"/>
    <s v="NA"/>
    <s v="NA"/>
    <s v="NA"/>
    <s v="NA"/>
    <s v="NA"/>
    <s v="NA"/>
    <x v="0"/>
    <s v="NA"/>
    <s v="NA"/>
    <s v="NA"/>
    <s v="NA"/>
    <x v="1"/>
  </r>
  <r>
    <s v="ADOVF9SBJJK33"/>
    <x v="0"/>
    <n v="32"/>
    <s v="male"/>
    <x v="0"/>
    <x v="0"/>
    <n v="26595"/>
    <s v="NA"/>
    <s v="NA"/>
    <s v="NA"/>
    <s v="NA"/>
    <s v="NA"/>
    <s v="NA"/>
    <s v="NA"/>
    <s v="NA"/>
    <s v="NA"/>
    <s v="NA"/>
    <s v="NA"/>
    <x v="0"/>
    <x v="0"/>
    <s v="NA"/>
    <s v="NA"/>
    <s v="NA"/>
    <s v="NA"/>
    <s v="NA"/>
    <s v="NA"/>
    <x v="0"/>
    <s v="NA"/>
    <s v="NA"/>
    <s v="NA"/>
    <s v="NA"/>
    <x v="1"/>
  </r>
  <r>
    <s v="ADOVF9SBJJK33"/>
    <x v="0"/>
    <n v="32"/>
    <s v="male"/>
    <x v="1"/>
    <x v="1"/>
    <n v="31410"/>
    <n v="0"/>
    <n v="0"/>
    <n v="0"/>
    <n v="1"/>
    <s v="NA"/>
    <s v="NA"/>
    <s v="NA"/>
    <s v="NA"/>
    <s v="NA"/>
    <s v="NA"/>
    <s v="NA"/>
    <x v="0"/>
    <x v="0"/>
    <s v="NA"/>
    <s v="NA"/>
    <s v="NA"/>
    <s v="NA"/>
    <s v="NA"/>
    <s v="NA"/>
    <x v="0"/>
    <s v="NA"/>
    <s v="NA"/>
    <s v="NA"/>
    <s v="NA"/>
    <x v="1"/>
  </r>
  <r>
    <s v="ADOVF9SBJJK33"/>
    <x v="0"/>
    <n v="32"/>
    <s v="male"/>
    <x v="1"/>
    <x v="2"/>
    <n v="46599"/>
    <n v="0"/>
    <n v="1"/>
    <n v="1"/>
    <n v="0"/>
    <s v="NA"/>
    <s v="NA"/>
    <s v="NA"/>
    <s v="NA"/>
    <s v="NA"/>
    <s v="NA"/>
    <s v="NA"/>
    <x v="0"/>
    <x v="0"/>
    <s v="NA"/>
    <s v="NA"/>
    <s v="NA"/>
    <s v="NA"/>
    <s v="NA"/>
    <s v="NA"/>
    <x v="0"/>
    <s v="NA"/>
    <s v="NA"/>
    <s v="NA"/>
    <s v="NA"/>
    <x v="1"/>
  </r>
  <r>
    <s v="ADOVF9SBJJK33"/>
    <x v="0"/>
    <n v="32"/>
    <s v="male"/>
    <x v="2"/>
    <x v="11"/>
    <n v="49793"/>
    <n v="0"/>
    <n v="0"/>
    <n v="0"/>
    <n v="1"/>
    <s v="Dentist F."/>
    <s v="Dentists A and B."/>
    <s v="Dentists D and E."/>
    <s v="fa"/>
    <s v="ms-h"/>
    <s v="ms-l"/>
    <n v="0"/>
    <x v="1"/>
    <x v="2"/>
    <n v="1"/>
    <n v="1"/>
    <n v="0"/>
    <n v="1"/>
    <n v="0"/>
    <n v="0"/>
    <x v="2"/>
    <n v="0"/>
    <n v="0"/>
    <n v="0"/>
    <n v="1"/>
    <x v="1"/>
  </r>
  <r>
    <s v="ADOVF9SBJJK33"/>
    <x v="0"/>
    <n v="32"/>
    <s v="male"/>
    <x v="2"/>
    <x v="9"/>
    <n v="74737"/>
    <n v="0"/>
    <n v="1"/>
    <n v="1"/>
    <n v="0"/>
    <s v="Store F."/>
    <s v="Stores A, B, C, D and E."/>
    <s v="Stores A and B."/>
    <s v="fa"/>
    <s v="exh"/>
    <s v="ms-h"/>
    <n v="1"/>
    <x v="1"/>
    <x v="2"/>
    <n v="1"/>
    <n v="0"/>
    <n v="0"/>
    <n v="1"/>
    <n v="1"/>
    <n v="0"/>
    <x v="2"/>
    <n v="1"/>
    <n v="0"/>
    <n v="0"/>
    <n v="0"/>
    <x v="1"/>
  </r>
  <r>
    <s v="ADOVF9SBJJK33"/>
    <x v="0"/>
    <n v="32"/>
    <s v="male"/>
    <x v="3"/>
    <x v="8"/>
    <n v="24781"/>
    <n v="1"/>
    <n v="1"/>
    <n v="0"/>
    <n v="0"/>
    <s v="NA"/>
    <s v="NA"/>
    <s v="NA"/>
    <s v="NA"/>
    <s v="NA"/>
    <s v="NA"/>
    <s v="NA"/>
    <x v="1"/>
    <x v="2"/>
    <n v="1"/>
    <n v="0"/>
    <n v="0"/>
    <n v="1"/>
    <n v="1"/>
    <n v="0"/>
    <x v="2"/>
    <n v="1"/>
    <n v="0"/>
    <n v="0"/>
    <n v="0"/>
    <x v="1"/>
  </r>
  <r>
    <s v="ADOVF9SBJJK33"/>
    <x v="0"/>
    <n v="32"/>
    <s v="male"/>
    <x v="2"/>
    <x v="4"/>
    <n v="33144"/>
    <n v="1"/>
    <n v="0"/>
    <n v="0"/>
    <n v="0"/>
    <s v="Stall A."/>
    <s v="Stalls D and E."/>
    <s v="Stall F."/>
    <s v="mo-h"/>
    <s v="ms-l"/>
    <s v="fa"/>
    <n v="0"/>
    <x v="2"/>
    <x v="2"/>
    <n v="0"/>
    <n v="1"/>
    <n v="0"/>
    <n v="1"/>
    <n v="0"/>
    <n v="1"/>
    <x v="2"/>
    <n v="0"/>
    <n v="0"/>
    <n v="0"/>
    <n v="0"/>
    <x v="1"/>
  </r>
  <r>
    <s v="ADOVF9SBJJK33"/>
    <x v="0"/>
    <n v="32"/>
    <s v="male"/>
    <x v="2"/>
    <x v="7"/>
    <n v="21077"/>
    <n v="0"/>
    <n v="0"/>
    <n v="1"/>
    <n v="0"/>
    <s v="Stylist F."/>
    <s v="Stylists D and E."/>
    <s v="Stylist A."/>
    <s v="fa"/>
    <s v="ms-l"/>
    <s v="mo-h"/>
    <n v="0"/>
    <x v="2"/>
    <x v="2"/>
    <n v="0"/>
    <n v="1"/>
    <n v="0"/>
    <n v="1"/>
    <n v="0"/>
    <n v="1"/>
    <x v="2"/>
    <n v="0"/>
    <n v="0"/>
    <n v="0"/>
    <n v="0"/>
    <x v="1"/>
  </r>
  <r>
    <s v="ADOVF9SBJJK33"/>
    <x v="0"/>
    <n v="32"/>
    <s v="male"/>
    <x v="3"/>
    <x v="10"/>
    <n v="31388"/>
    <n v="0"/>
    <n v="0"/>
    <n v="0"/>
    <n v="1"/>
    <s v="NA"/>
    <s v="NA"/>
    <s v="NA"/>
    <s v="NA"/>
    <s v="NA"/>
    <s v="NA"/>
    <s v="NA"/>
    <x v="2"/>
    <x v="2"/>
    <n v="0"/>
    <n v="1"/>
    <n v="0"/>
    <n v="1"/>
    <n v="0"/>
    <n v="1"/>
    <x v="2"/>
    <n v="0"/>
    <n v="0"/>
    <n v="0"/>
    <n v="0"/>
    <x v="1"/>
  </r>
  <r>
    <s v="ADOVF9SBJJK33"/>
    <x v="0"/>
    <n v="32"/>
    <s v="male"/>
    <x v="2"/>
    <x v="3"/>
    <n v="20181"/>
    <n v="1"/>
    <n v="1"/>
    <n v="0"/>
    <n v="0"/>
    <s v="Cafe A."/>
    <s v="Cafes A and B."/>
    <s v="Cafes D and E."/>
    <s v="mo-h"/>
    <s v="ms-h"/>
    <s v="ms-l"/>
    <n v="0"/>
    <x v="2"/>
    <x v="2"/>
    <n v="1"/>
    <n v="1"/>
    <n v="0"/>
    <n v="1"/>
    <n v="0"/>
    <n v="1"/>
    <x v="2"/>
    <n v="1"/>
    <n v="0"/>
    <n v="0"/>
    <n v="0"/>
    <x v="1"/>
  </r>
  <r>
    <s v="ADOVF9SBJJK33"/>
    <x v="0"/>
    <n v="32"/>
    <s v="male"/>
    <x v="3"/>
    <x v="5"/>
    <n v="41000"/>
    <n v="0"/>
    <n v="1"/>
    <n v="1"/>
    <n v="0"/>
    <s v="NA"/>
    <s v="NA"/>
    <s v="NA"/>
    <s v="NA"/>
    <s v="NA"/>
    <s v="NA"/>
    <s v="NA"/>
    <x v="2"/>
    <x v="2"/>
    <n v="1"/>
    <n v="1"/>
    <n v="0"/>
    <n v="1"/>
    <n v="0"/>
    <n v="1"/>
    <x v="2"/>
    <n v="1"/>
    <n v="0"/>
    <n v="0"/>
    <n v="0"/>
    <x v="1"/>
  </r>
  <r>
    <s v="ADOVF9SBJJK33"/>
    <x v="0"/>
    <n v="32"/>
    <s v="male"/>
    <x v="2"/>
    <x v="6"/>
    <n v="23652"/>
    <n v="1"/>
    <n v="0"/>
    <n v="1"/>
    <n v="0"/>
    <s v="Bookstores A, B, C, D and E."/>
    <s v="Bookstore E."/>
    <s v="Bookstore A."/>
    <s v="exh"/>
    <s v="mo-l"/>
    <s v="mo-h"/>
    <n v="1"/>
    <x v="2"/>
    <x v="1"/>
    <n v="0"/>
    <n v="0"/>
    <n v="0"/>
    <n v="1"/>
    <n v="1"/>
    <n v="1"/>
    <x v="2"/>
    <n v="0"/>
    <n v="0"/>
    <n v="0"/>
    <n v="0"/>
    <x v="1"/>
  </r>
  <r>
    <s v="ADOVF9SBJJK33"/>
    <x v="0"/>
    <n v="32"/>
    <s v="male"/>
    <x v="3"/>
    <x v="12"/>
    <n v="22279"/>
    <n v="1"/>
    <n v="0"/>
    <n v="0"/>
    <n v="0"/>
    <s v="NA"/>
    <s v="NA"/>
    <s v="NA"/>
    <s v="NA"/>
    <s v="NA"/>
    <s v="NA"/>
    <s v="NA"/>
    <x v="2"/>
    <x v="1"/>
    <n v="0"/>
    <n v="0"/>
    <n v="0"/>
    <n v="1"/>
    <n v="1"/>
    <n v="1"/>
    <x v="2"/>
    <n v="0"/>
    <n v="0"/>
    <n v="0"/>
    <n v="0"/>
    <x v="1"/>
  </r>
  <r>
    <s v="ADOVF9SBJJK33"/>
    <x v="0"/>
    <n v="32"/>
    <s v="male"/>
    <x v="4"/>
    <x v="0"/>
    <n v="106748"/>
    <s v="No because I consider anyplace that serves brunch to be a restaurant as well so it's the same question to me."/>
    <s v="Sort of. I dont think I did well. Some of the A/B/C/D type questions confused me."/>
    <s v="No"/>
    <s v="NA"/>
    <s v="NA"/>
    <s v="NA"/>
    <s v="NA"/>
    <s v="NA"/>
    <s v="NA"/>
    <s v="NA"/>
    <s v="NA"/>
    <x v="0"/>
    <x v="0"/>
    <s v="NA"/>
    <s v="NA"/>
    <s v="NA"/>
    <s v="NA"/>
    <s v="NA"/>
    <s v="NA"/>
    <x v="0"/>
    <s v="NA"/>
    <s v="NA"/>
    <s v="NA"/>
    <s v="NA"/>
    <x v="1"/>
  </r>
  <r>
    <s v="A2EW08X2I87RXL"/>
    <x v="0"/>
    <n v="34"/>
    <s v="male"/>
    <x v="0"/>
    <x v="0"/>
    <n v="21175"/>
    <s v="NA"/>
    <s v="NA"/>
    <s v="NA"/>
    <s v="NA"/>
    <s v="NA"/>
    <s v="NA"/>
    <s v="NA"/>
    <s v="NA"/>
    <s v="NA"/>
    <s v="NA"/>
    <s v="NA"/>
    <x v="0"/>
    <x v="0"/>
    <s v="NA"/>
    <s v="NA"/>
    <s v="NA"/>
    <s v="NA"/>
    <s v="NA"/>
    <s v="NA"/>
    <x v="0"/>
    <s v="NA"/>
    <s v="NA"/>
    <s v="NA"/>
    <s v="NA"/>
    <x v="1"/>
  </r>
  <r>
    <s v="A2EW08X2I87RXL"/>
    <x v="0"/>
    <n v="34"/>
    <s v="male"/>
    <x v="1"/>
    <x v="2"/>
    <n v="52992"/>
    <n v="0"/>
    <n v="0"/>
    <n v="1"/>
    <n v="0"/>
    <s v="NA"/>
    <s v="NA"/>
    <s v="NA"/>
    <s v="NA"/>
    <s v="NA"/>
    <s v="NA"/>
    <s v="NA"/>
    <x v="0"/>
    <x v="0"/>
    <s v="NA"/>
    <s v="NA"/>
    <s v="NA"/>
    <s v="NA"/>
    <s v="NA"/>
    <s v="NA"/>
    <x v="0"/>
    <s v="NA"/>
    <s v="NA"/>
    <s v="NA"/>
    <s v="NA"/>
    <x v="1"/>
  </r>
  <r>
    <s v="A2EW08X2I87RXL"/>
    <x v="0"/>
    <n v="34"/>
    <s v="male"/>
    <x v="1"/>
    <x v="1"/>
    <n v="66176"/>
    <n v="0"/>
    <n v="0"/>
    <n v="0"/>
    <n v="1"/>
    <s v="NA"/>
    <s v="NA"/>
    <s v="NA"/>
    <s v="NA"/>
    <s v="NA"/>
    <s v="NA"/>
    <s v="NA"/>
    <x v="0"/>
    <x v="0"/>
    <s v="NA"/>
    <s v="NA"/>
    <s v="NA"/>
    <s v="NA"/>
    <s v="NA"/>
    <s v="NA"/>
    <x v="0"/>
    <s v="NA"/>
    <s v="NA"/>
    <s v="NA"/>
    <s v="NA"/>
    <x v="1"/>
  </r>
  <r>
    <s v="A2EW08X2I87RXL"/>
    <x v="0"/>
    <n v="34"/>
    <s v="male"/>
    <x v="2"/>
    <x v="6"/>
    <n v="82567"/>
    <n v="1"/>
    <n v="1"/>
    <n v="1"/>
    <n v="0"/>
    <s v="Bookstore E."/>
    <s v="Bookstores D and E."/>
    <s v="Bookstores A and B."/>
    <s v="mo-l"/>
    <s v="ms-l"/>
    <s v="ms-h"/>
    <n v="0"/>
    <x v="1"/>
    <x v="1"/>
    <n v="1"/>
    <n v="1"/>
    <n v="0"/>
    <n v="1"/>
    <n v="0"/>
    <n v="0"/>
    <x v="1"/>
    <n v="1"/>
    <n v="1"/>
    <n v="0"/>
    <n v="0"/>
    <x v="1"/>
  </r>
  <r>
    <s v="A2EW08X2I87RXL"/>
    <x v="0"/>
    <n v="34"/>
    <s v="male"/>
    <x v="2"/>
    <x v="4"/>
    <n v="96553"/>
    <n v="0"/>
    <n v="0"/>
    <n v="0"/>
    <n v="1"/>
    <s v="Stall A."/>
    <s v="Stall E."/>
    <s v="Stalls A and B."/>
    <s v="mo-h"/>
    <s v="mo-l"/>
    <s v="ms-h"/>
    <n v="0"/>
    <x v="2"/>
    <x v="1"/>
    <n v="1"/>
    <n v="0"/>
    <n v="0"/>
    <n v="1"/>
    <n v="0"/>
    <n v="0"/>
    <x v="2"/>
    <n v="0"/>
    <n v="0"/>
    <n v="0"/>
    <n v="1"/>
    <x v="1"/>
  </r>
  <r>
    <s v="A2EW08X2I87RXL"/>
    <x v="0"/>
    <n v="34"/>
    <s v="male"/>
    <x v="3"/>
    <x v="10"/>
    <n v="54799"/>
    <n v="0"/>
    <n v="0"/>
    <n v="0"/>
    <n v="1"/>
    <s v="NA"/>
    <s v="NA"/>
    <s v="NA"/>
    <s v="NA"/>
    <s v="NA"/>
    <s v="NA"/>
    <s v="NA"/>
    <x v="2"/>
    <x v="1"/>
    <n v="1"/>
    <n v="0"/>
    <n v="0"/>
    <n v="1"/>
    <n v="0"/>
    <n v="0"/>
    <x v="2"/>
    <n v="0"/>
    <n v="0"/>
    <n v="0"/>
    <n v="1"/>
    <x v="1"/>
  </r>
  <r>
    <s v="A2EW08X2I87RXL"/>
    <x v="0"/>
    <n v="34"/>
    <s v="male"/>
    <x v="2"/>
    <x v="9"/>
    <n v="61842"/>
    <n v="1"/>
    <n v="1"/>
    <n v="1"/>
    <n v="0"/>
    <s v="Store E."/>
    <s v="Stores A and B."/>
    <s v="Stores A, B, C, D and E."/>
    <s v="mo-l"/>
    <s v="ms-h"/>
    <s v="exh"/>
    <n v="1"/>
    <x v="1"/>
    <x v="1"/>
    <n v="1"/>
    <n v="0"/>
    <n v="0"/>
    <n v="1"/>
    <n v="1"/>
    <n v="0"/>
    <x v="1"/>
    <n v="1"/>
    <n v="0"/>
    <n v="0"/>
    <n v="0"/>
    <x v="1"/>
  </r>
  <r>
    <s v="A2EW08X2I87RXL"/>
    <x v="0"/>
    <n v="34"/>
    <s v="male"/>
    <x v="3"/>
    <x v="5"/>
    <n v="86253"/>
    <n v="1"/>
    <n v="1"/>
    <n v="1"/>
    <n v="0"/>
    <s v="NA"/>
    <s v="NA"/>
    <s v="NA"/>
    <s v="NA"/>
    <s v="NA"/>
    <s v="NA"/>
    <s v="NA"/>
    <x v="1"/>
    <x v="1"/>
    <n v="1"/>
    <n v="0"/>
    <n v="0"/>
    <n v="1"/>
    <n v="1"/>
    <n v="0"/>
    <x v="1"/>
    <n v="1"/>
    <n v="0"/>
    <n v="0"/>
    <n v="0"/>
    <x v="1"/>
  </r>
  <r>
    <s v="A2EW08X2I87RXL"/>
    <x v="0"/>
    <n v="34"/>
    <s v="male"/>
    <x v="2"/>
    <x v="11"/>
    <n v="16290"/>
    <n v="0"/>
    <n v="0"/>
    <n v="0"/>
    <n v="1"/>
    <s v="Dentist E."/>
    <s v="Dentist A."/>
    <s v="Dentists A and B."/>
    <s v="mo-l"/>
    <s v="mo-h"/>
    <s v="ms-h"/>
    <n v="0"/>
    <x v="2"/>
    <x v="1"/>
    <n v="1"/>
    <n v="0"/>
    <n v="0"/>
    <n v="1"/>
    <n v="0"/>
    <n v="0"/>
    <x v="2"/>
    <n v="0"/>
    <n v="0"/>
    <n v="0"/>
    <n v="1"/>
    <x v="1"/>
  </r>
  <r>
    <s v="A2EW08X2I87RXL"/>
    <x v="0"/>
    <n v="34"/>
    <s v="male"/>
    <x v="2"/>
    <x v="3"/>
    <n v="13459"/>
    <n v="1"/>
    <n v="1"/>
    <n v="1"/>
    <n v="0"/>
    <s v="Cafe E."/>
    <s v="Cafes D and E."/>
    <s v="Cafe A."/>
    <s v="mo-l"/>
    <s v="ms-l"/>
    <s v="mo-h"/>
    <n v="0"/>
    <x v="2"/>
    <x v="1"/>
    <n v="0"/>
    <n v="1"/>
    <n v="0"/>
    <n v="1"/>
    <n v="0"/>
    <n v="1"/>
    <x v="1"/>
    <n v="0"/>
    <n v="1"/>
    <n v="0"/>
    <n v="0"/>
    <x v="1"/>
  </r>
  <r>
    <s v="A2EW08X2I87RXL"/>
    <x v="0"/>
    <n v="34"/>
    <s v="male"/>
    <x v="3"/>
    <x v="12"/>
    <n v="19302"/>
    <n v="0"/>
    <n v="1"/>
    <n v="0"/>
    <n v="0"/>
    <s v="NA"/>
    <s v="NA"/>
    <s v="NA"/>
    <s v="NA"/>
    <s v="NA"/>
    <s v="NA"/>
    <s v="NA"/>
    <x v="2"/>
    <x v="1"/>
    <n v="0"/>
    <n v="1"/>
    <n v="0"/>
    <n v="1"/>
    <n v="0"/>
    <n v="1"/>
    <x v="1"/>
    <n v="0"/>
    <n v="1"/>
    <n v="0"/>
    <n v="0"/>
    <x v="1"/>
  </r>
  <r>
    <s v="A2EW08X2I87RXL"/>
    <x v="0"/>
    <n v="34"/>
    <s v="male"/>
    <x v="2"/>
    <x v="7"/>
    <n v="11092"/>
    <n v="0"/>
    <n v="0"/>
    <n v="0"/>
    <n v="1"/>
    <s v="Stylists D and E."/>
    <s v="Stylist E."/>
    <s v="Stylists A and B."/>
    <s v="ms-l"/>
    <s v="mo-l"/>
    <s v="ms-h"/>
    <n v="0"/>
    <x v="1"/>
    <x v="1"/>
    <n v="1"/>
    <n v="1"/>
    <n v="0"/>
    <n v="1"/>
    <n v="0"/>
    <n v="0"/>
    <x v="2"/>
    <n v="0"/>
    <n v="0"/>
    <n v="0"/>
    <n v="1"/>
    <x v="1"/>
  </r>
  <r>
    <s v="A2EW08X2I87RXL"/>
    <x v="0"/>
    <n v="34"/>
    <s v="male"/>
    <x v="3"/>
    <x v="8"/>
    <n v="4209"/>
    <n v="0"/>
    <n v="0"/>
    <n v="0"/>
    <n v="1"/>
    <s v="NA"/>
    <s v="NA"/>
    <s v="NA"/>
    <s v="NA"/>
    <s v="NA"/>
    <s v="NA"/>
    <s v="NA"/>
    <x v="1"/>
    <x v="1"/>
    <n v="1"/>
    <n v="1"/>
    <n v="0"/>
    <n v="1"/>
    <n v="0"/>
    <n v="0"/>
    <x v="2"/>
    <n v="0"/>
    <n v="0"/>
    <n v="0"/>
    <n v="1"/>
    <x v="1"/>
  </r>
  <r>
    <s v="A2EW08X2I87RXL"/>
    <x v="0"/>
    <n v="34"/>
    <s v="male"/>
    <x v="4"/>
    <x v="0"/>
    <n v="87078"/>
    <s v="No%2C the answer will be same."/>
    <s v="Not difficult%2C because It was interesting "/>
    <s v="None"/>
    <s v="NA"/>
    <s v="NA"/>
    <s v="NA"/>
    <s v="NA"/>
    <s v="NA"/>
    <s v="NA"/>
    <s v="NA"/>
    <s v="NA"/>
    <x v="0"/>
    <x v="0"/>
    <s v="NA"/>
    <s v="NA"/>
    <s v="NA"/>
    <s v="NA"/>
    <s v="NA"/>
    <s v="NA"/>
    <x v="0"/>
    <s v="NA"/>
    <s v="NA"/>
    <s v="NA"/>
    <s v="NA"/>
    <x v="1"/>
  </r>
  <r>
    <s v="ALF9AAZGQP4K5"/>
    <x v="0"/>
    <n v="30"/>
    <s v="male"/>
    <x v="0"/>
    <x v="0"/>
    <n v="52388"/>
    <s v="NA"/>
    <s v="NA"/>
    <s v="NA"/>
    <s v="NA"/>
    <s v="NA"/>
    <s v="NA"/>
    <s v="NA"/>
    <s v="NA"/>
    <s v="NA"/>
    <s v="NA"/>
    <s v="NA"/>
    <x v="0"/>
    <x v="0"/>
    <s v="NA"/>
    <s v="NA"/>
    <s v="NA"/>
    <s v="NA"/>
    <s v="NA"/>
    <s v="NA"/>
    <x v="0"/>
    <s v="NA"/>
    <s v="NA"/>
    <s v="NA"/>
    <s v="NA"/>
    <x v="1"/>
  </r>
  <r>
    <s v="ALF9AAZGQP4K5"/>
    <x v="0"/>
    <n v="30"/>
    <s v="male"/>
    <x v="1"/>
    <x v="1"/>
    <n v="35779"/>
    <n v="0"/>
    <n v="0"/>
    <n v="0"/>
    <n v="1"/>
    <s v="NA"/>
    <s v="NA"/>
    <s v="NA"/>
    <s v="NA"/>
    <s v="NA"/>
    <s v="NA"/>
    <s v="NA"/>
    <x v="0"/>
    <x v="0"/>
    <s v="NA"/>
    <s v="NA"/>
    <s v="NA"/>
    <s v="NA"/>
    <s v="NA"/>
    <s v="NA"/>
    <x v="0"/>
    <s v="NA"/>
    <s v="NA"/>
    <s v="NA"/>
    <s v="NA"/>
    <x v="1"/>
  </r>
  <r>
    <s v="ALF9AAZGQP4K5"/>
    <x v="0"/>
    <n v="30"/>
    <s v="male"/>
    <x v="1"/>
    <x v="2"/>
    <n v="37927"/>
    <n v="0"/>
    <n v="0"/>
    <n v="1"/>
    <n v="0"/>
    <s v="NA"/>
    <s v="NA"/>
    <s v="NA"/>
    <s v="NA"/>
    <s v="NA"/>
    <s v="NA"/>
    <s v="NA"/>
    <x v="0"/>
    <x v="0"/>
    <s v="NA"/>
    <s v="NA"/>
    <s v="NA"/>
    <s v="NA"/>
    <s v="NA"/>
    <s v="NA"/>
    <x v="0"/>
    <s v="NA"/>
    <s v="NA"/>
    <s v="NA"/>
    <s v="NA"/>
    <x v="1"/>
  </r>
  <r>
    <s v="ALF9AAZGQP4K5"/>
    <x v="0"/>
    <n v="30"/>
    <s v="male"/>
    <x v="2"/>
    <x v="6"/>
    <n v="76729"/>
    <n v="0"/>
    <n v="0"/>
    <n v="0"/>
    <n v="1"/>
    <s v="Bookstore E."/>
    <s v="Bookstores A and B."/>
    <s v="Bookstore A."/>
    <s v="mo-l"/>
    <s v="ms-h"/>
    <s v="mo-h"/>
    <n v="0"/>
    <x v="2"/>
    <x v="1"/>
    <n v="1"/>
    <n v="0"/>
    <n v="0"/>
    <n v="1"/>
    <n v="0"/>
    <n v="0"/>
    <x v="2"/>
    <n v="0"/>
    <n v="0"/>
    <n v="0"/>
    <n v="1"/>
    <x v="1"/>
  </r>
  <r>
    <s v="ALF9AAZGQP4K5"/>
    <x v="0"/>
    <n v="30"/>
    <s v="male"/>
    <x v="3"/>
    <x v="10"/>
    <n v="51004"/>
    <n v="1"/>
    <n v="1"/>
    <n v="0"/>
    <n v="0"/>
    <s v="NA"/>
    <s v="NA"/>
    <s v="NA"/>
    <s v="NA"/>
    <s v="NA"/>
    <s v="NA"/>
    <s v="NA"/>
    <x v="2"/>
    <x v="1"/>
    <n v="1"/>
    <n v="0"/>
    <n v="0"/>
    <n v="1"/>
    <n v="0"/>
    <n v="0"/>
    <x v="2"/>
    <n v="0"/>
    <n v="0"/>
    <n v="0"/>
    <n v="1"/>
    <x v="1"/>
  </r>
  <r>
    <s v="ALF9AAZGQP4K5"/>
    <x v="0"/>
    <n v="30"/>
    <s v="male"/>
    <x v="2"/>
    <x v="9"/>
    <n v="36024"/>
    <n v="0"/>
    <n v="0"/>
    <n v="1"/>
    <n v="0"/>
    <s v="Store E."/>
    <s v="Store F."/>
    <s v="Store A."/>
    <s v="mo-l"/>
    <s v="fa"/>
    <s v="mo-h"/>
    <n v="0"/>
    <x v="2"/>
    <x v="1"/>
    <n v="0"/>
    <n v="0"/>
    <n v="0"/>
    <n v="1"/>
    <n v="0"/>
    <n v="1"/>
    <x v="2"/>
    <n v="0"/>
    <n v="0"/>
    <n v="0"/>
    <n v="0"/>
    <x v="1"/>
  </r>
  <r>
    <s v="ALF9AAZGQP4K5"/>
    <x v="0"/>
    <n v="30"/>
    <s v="male"/>
    <x v="2"/>
    <x v="11"/>
    <n v="31351"/>
    <n v="0"/>
    <n v="1"/>
    <n v="1"/>
    <n v="0"/>
    <s v="Dentist E."/>
    <s v="Dentists A and B."/>
    <s v="Dentist A."/>
    <s v="mo-l"/>
    <s v="ms-h"/>
    <s v="mo-h"/>
    <n v="0"/>
    <x v="2"/>
    <x v="1"/>
    <n v="1"/>
    <n v="0"/>
    <n v="0"/>
    <n v="1"/>
    <n v="0"/>
    <n v="1"/>
    <x v="2"/>
    <n v="1"/>
    <n v="0"/>
    <n v="0"/>
    <n v="0"/>
    <x v="1"/>
  </r>
  <r>
    <s v="ALF9AAZGQP4K5"/>
    <x v="0"/>
    <n v="30"/>
    <s v="male"/>
    <x v="3"/>
    <x v="5"/>
    <n v="48689"/>
    <n v="0"/>
    <n v="0"/>
    <n v="1"/>
    <n v="0"/>
    <s v="NA"/>
    <s v="NA"/>
    <s v="NA"/>
    <s v="NA"/>
    <s v="NA"/>
    <s v="NA"/>
    <s v="NA"/>
    <x v="2"/>
    <x v="1"/>
    <n v="1"/>
    <n v="0"/>
    <n v="0"/>
    <n v="1"/>
    <n v="0"/>
    <n v="1"/>
    <x v="2"/>
    <n v="1"/>
    <n v="0"/>
    <n v="0"/>
    <n v="0"/>
    <x v="1"/>
  </r>
  <r>
    <s v="ALF9AAZGQP4K5"/>
    <x v="0"/>
    <n v="30"/>
    <s v="male"/>
    <x v="2"/>
    <x v="4"/>
    <n v="19486"/>
    <n v="0"/>
    <n v="0"/>
    <n v="0"/>
    <n v="1"/>
    <s v="Stall F."/>
    <s v="Stalls D and E."/>
    <s v="Stall A."/>
    <s v="fa"/>
    <s v="ms-l"/>
    <s v="mo-h"/>
    <n v="0"/>
    <x v="2"/>
    <x v="2"/>
    <n v="0"/>
    <n v="1"/>
    <n v="0"/>
    <n v="1"/>
    <n v="0"/>
    <n v="0"/>
    <x v="2"/>
    <n v="0"/>
    <n v="0"/>
    <n v="0"/>
    <n v="1"/>
    <x v="1"/>
  </r>
  <r>
    <s v="ALF9AAZGQP4K5"/>
    <x v="0"/>
    <n v="30"/>
    <s v="male"/>
    <x v="3"/>
    <x v="12"/>
    <n v="31836"/>
    <n v="1"/>
    <n v="0"/>
    <n v="0"/>
    <n v="0"/>
    <s v="NA"/>
    <s v="NA"/>
    <s v="NA"/>
    <s v="NA"/>
    <s v="NA"/>
    <s v="NA"/>
    <s v="NA"/>
    <x v="2"/>
    <x v="2"/>
    <n v="0"/>
    <n v="1"/>
    <n v="0"/>
    <n v="1"/>
    <n v="0"/>
    <n v="0"/>
    <x v="2"/>
    <n v="0"/>
    <n v="0"/>
    <n v="0"/>
    <n v="1"/>
    <x v="1"/>
  </r>
  <r>
    <s v="ALF9AAZGQP4K5"/>
    <x v="0"/>
    <n v="30"/>
    <s v="male"/>
    <x v="2"/>
    <x v="3"/>
    <n v="56689"/>
    <n v="0"/>
    <n v="0"/>
    <n v="1"/>
    <n v="0"/>
    <s v="Cafes A, B, C, D and E."/>
    <s v="Cafe E."/>
    <s v="Cafes A and B."/>
    <s v="exh"/>
    <s v="mo-l"/>
    <s v="ms-h"/>
    <n v="1"/>
    <x v="1"/>
    <x v="1"/>
    <n v="1"/>
    <n v="0"/>
    <n v="0"/>
    <n v="1"/>
    <n v="0"/>
    <n v="0"/>
    <x v="2"/>
    <n v="1"/>
    <n v="0"/>
    <n v="0"/>
    <n v="0"/>
    <x v="1"/>
  </r>
  <r>
    <s v="ALF9AAZGQP4K5"/>
    <x v="0"/>
    <n v="30"/>
    <s v="male"/>
    <x v="2"/>
    <x v="7"/>
    <n v="16992"/>
    <n v="0"/>
    <n v="0"/>
    <n v="1"/>
    <n v="0"/>
    <s v="Stylists D and E."/>
    <s v="Stylist F."/>
    <s v="Stylists A, B, C, D and E."/>
    <s v="ms-l"/>
    <s v="fa"/>
    <s v="exh"/>
    <n v="1"/>
    <x v="1"/>
    <x v="2"/>
    <n v="0"/>
    <n v="1"/>
    <n v="0"/>
    <n v="1"/>
    <n v="1"/>
    <n v="0"/>
    <x v="2"/>
    <n v="0"/>
    <n v="0"/>
    <n v="0"/>
    <n v="0"/>
    <x v="1"/>
  </r>
  <r>
    <s v="ALF9AAZGQP4K5"/>
    <x v="0"/>
    <n v="30"/>
    <s v="male"/>
    <x v="3"/>
    <x v="8"/>
    <n v="26983"/>
    <n v="1"/>
    <n v="1"/>
    <n v="0"/>
    <n v="0"/>
    <s v="NA"/>
    <s v="NA"/>
    <s v="NA"/>
    <s v="NA"/>
    <s v="NA"/>
    <s v="NA"/>
    <s v="NA"/>
    <x v="1"/>
    <x v="2"/>
    <n v="0"/>
    <n v="1"/>
    <n v="0"/>
    <n v="1"/>
    <n v="1"/>
    <n v="0"/>
    <x v="2"/>
    <n v="0"/>
    <n v="0"/>
    <n v="0"/>
    <n v="0"/>
    <x v="1"/>
  </r>
  <r>
    <s v="ALF9AAZGQP4K5"/>
    <x v="0"/>
    <n v="30"/>
    <s v="male"/>
    <x v="4"/>
    <x v="0"/>
    <n v="63497"/>
    <s v="i would asnwer the same unless there were places other than restaurants that serve brunch"/>
    <s v="just aggravating and monotonous"/>
    <s v="no"/>
    <s v="NA"/>
    <s v="NA"/>
    <s v="NA"/>
    <s v="NA"/>
    <s v="NA"/>
    <s v="NA"/>
    <s v="NA"/>
    <s v="NA"/>
    <x v="0"/>
    <x v="0"/>
    <s v="NA"/>
    <s v="NA"/>
    <s v="NA"/>
    <s v="NA"/>
    <s v="NA"/>
    <s v="NA"/>
    <x v="0"/>
    <s v="NA"/>
    <s v="NA"/>
    <s v="NA"/>
    <s v="NA"/>
    <x v="1"/>
  </r>
  <r>
    <s v="A28LPPFS7FW2SD"/>
    <x v="0"/>
    <n v="50"/>
    <s v="male"/>
    <x v="0"/>
    <x v="0"/>
    <n v="39041"/>
    <s v="NA"/>
    <s v="NA"/>
    <s v="NA"/>
    <s v="NA"/>
    <s v="NA"/>
    <s v="NA"/>
    <s v="NA"/>
    <s v="NA"/>
    <s v="NA"/>
    <s v="NA"/>
    <s v="NA"/>
    <x v="0"/>
    <x v="0"/>
    <s v="NA"/>
    <s v="NA"/>
    <s v="NA"/>
    <s v="NA"/>
    <s v="NA"/>
    <s v="NA"/>
    <x v="0"/>
    <s v="NA"/>
    <s v="NA"/>
    <s v="NA"/>
    <s v="NA"/>
    <x v="1"/>
  </r>
  <r>
    <s v="A28LPPFS7FW2SD"/>
    <x v="0"/>
    <n v="50"/>
    <s v="male"/>
    <x v="1"/>
    <x v="2"/>
    <n v="7386"/>
    <n v="1"/>
    <n v="0"/>
    <n v="0"/>
    <n v="0"/>
    <s v="NA"/>
    <s v="NA"/>
    <s v="NA"/>
    <s v="NA"/>
    <s v="NA"/>
    <s v="NA"/>
    <s v="NA"/>
    <x v="0"/>
    <x v="0"/>
    <s v="NA"/>
    <s v="NA"/>
    <s v="NA"/>
    <s v="NA"/>
    <s v="NA"/>
    <s v="NA"/>
    <x v="0"/>
    <s v="NA"/>
    <s v="NA"/>
    <s v="NA"/>
    <s v="NA"/>
    <x v="1"/>
  </r>
  <r>
    <s v="A28LPPFS7FW2SD"/>
    <x v="0"/>
    <n v="50"/>
    <s v="male"/>
    <x v="1"/>
    <x v="1"/>
    <n v="8287"/>
    <n v="1"/>
    <n v="0"/>
    <n v="0"/>
    <n v="0"/>
    <s v="NA"/>
    <s v="NA"/>
    <s v="NA"/>
    <s v="NA"/>
    <s v="NA"/>
    <s v="NA"/>
    <s v="NA"/>
    <x v="0"/>
    <x v="0"/>
    <s v="NA"/>
    <s v="NA"/>
    <s v="NA"/>
    <s v="NA"/>
    <s v="NA"/>
    <s v="NA"/>
    <x v="0"/>
    <s v="NA"/>
    <s v="NA"/>
    <s v="NA"/>
    <s v="NA"/>
    <x v="1"/>
  </r>
  <r>
    <s v="A28LPPFS7FW2SD"/>
    <x v="0"/>
    <n v="50"/>
    <s v="male"/>
    <x v="2"/>
    <x v="6"/>
    <n v="12015"/>
    <n v="1"/>
    <n v="1"/>
    <n v="1"/>
    <n v="0"/>
    <s v="Bookstore A."/>
    <s v="Bookstore F."/>
    <s v="Bookstore E."/>
    <s v="mo-h"/>
    <s v="fa"/>
    <s v="mo-l"/>
    <n v="0"/>
    <x v="2"/>
    <x v="1"/>
    <n v="0"/>
    <n v="0"/>
    <n v="0"/>
    <n v="1"/>
    <n v="0"/>
    <n v="1"/>
    <x v="1"/>
    <n v="0"/>
    <n v="0"/>
    <n v="0"/>
    <n v="0"/>
    <x v="1"/>
  </r>
  <r>
    <s v="A28LPPFS7FW2SD"/>
    <x v="0"/>
    <n v="50"/>
    <s v="male"/>
    <x v="3"/>
    <x v="8"/>
    <n v="8798"/>
    <n v="1"/>
    <n v="1"/>
    <n v="1"/>
    <n v="0"/>
    <s v="NA"/>
    <s v="NA"/>
    <s v="NA"/>
    <s v="NA"/>
    <s v="NA"/>
    <s v="NA"/>
    <s v="NA"/>
    <x v="2"/>
    <x v="1"/>
    <n v="0"/>
    <n v="0"/>
    <n v="0"/>
    <n v="1"/>
    <n v="0"/>
    <n v="1"/>
    <x v="1"/>
    <n v="0"/>
    <n v="0"/>
    <n v="0"/>
    <n v="0"/>
    <x v="1"/>
  </r>
  <r>
    <s v="A28LPPFS7FW2SD"/>
    <x v="0"/>
    <n v="50"/>
    <s v="male"/>
    <x v="2"/>
    <x v="3"/>
    <n v="13969"/>
    <n v="1"/>
    <n v="1"/>
    <n v="1"/>
    <n v="0"/>
    <s v="Cafe E."/>
    <s v="Cafes D and E."/>
    <s v="Cafe A."/>
    <s v="mo-l"/>
    <s v="ms-l"/>
    <s v="mo-h"/>
    <n v="0"/>
    <x v="2"/>
    <x v="1"/>
    <n v="0"/>
    <n v="1"/>
    <n v="0"/>
    <n v="1"/>
    <n v="0"/>
    <n v="1"/>
    <x v="1"/>
    <n v="0"/>
    <n v="1"/>
    <n v="0"/>
    <n v="0"/>
    <x v="1"/>
  </r>
  <r>
    <s v="A28LPPFS7FW2SD"/>
    <x v="0"/>
    <n v="50"/>
    <s v="male"/>
    <x v="2"/>
    <x v="7"/>
    <n v="11167"/>
    <n v="1"/>
    <n v="1"/>
    <n v="1"/>
    <n v="0"/>
    <s v="Stylists A, B, C, D and E."/>
    <s v="Stylist A."/>
    <s v="Stylists A and B."/>
    <s v="exh"/>
    <s v="mo-h"/>
    <s v="ms-h"/>
    <n v="1"/>
    <x v="2"/>
    <x v="2"/>
    <n v="1"/>
    <n v="0"/>
    <n v="0"/>
    <n v="1"/>
    <n v="1"/>
    <n v="1"/>
    <x v="2"/>
    <n v="1"/>
    <n v="0"/>
    <n v="0"/>
    <n v="0"/>
    <x v="1"/>
  </r>
  <r>
    <s v="A28LPPFS7FW2SD"/>
    <x v="0"/>
    <n v="50"/>
    <s v="male"/>
    <x v="3"/>
    <x v="12"/>
    <n v="10458"/>
    <n v="1"/>
    <n v="1"/>
    <n v="1"/>
    <n v="0"/>
    <s v="NA"/>
    <s v="NA"/>
    <s v="NA"/>
    <s v="NA"/>
    <s v="NA"/>
    <s v="NA"/>
    <s v="NA"/>
    <x v="2"/>
    <x v="2"/>
    <n v="1"/>
    <n v="0"/>
    <n v="0"/>
    <n v="1"/>
    <n v="1"/>
    <n v="1"/>
    <x v="2"/>
    <n v="1"/>
    <n v="0"/>
    <n v="0"/>
    <n v="0"/>
    <x v="1"/>
  </r>
  <r>
    <s v="A28LPPFS7FW2SD"/>
    <x v="0"/>
    <n v="50"/>
    <s v="male"/>
    <x v="2"/>
    <x v="11"/>
    <n v="11049"/>
    <n v="0"/>
    <n v="0"/>
    <n v="1"/>
    <n v="0"/>
    <s v="Dentists D and E."/>
    <s v="Dentists A and B."/>
    <s v="Dentist F."/>
    <s v="ms-l"/>
    <s v="ms-h"/>
    <s v="fa"/>
    <n v="0"/>
    <x v="1"/>
    <x v="2"/>
    <n v="1"/>
    <n v="1"/>
    <n v="0"/>
    <n v="1"/>
    <n v="0"/>
    <n v="0"/>
    <x v="2"/>
    <n v="0"/>
    <n v="0"/>
    <n v="0"/>
    <n v="0"/>
    <x v="1"/>
  </r>
  <r>
    <s v="A28LPPFS7FW2SD"/>
    <x v="0"/>
    <n v="50"/>
    <s v="male"/>
    <x v="3"/>
    <x v="5"/>
    <n v="7236"/>
    <n v="0"/>
    <n v="1"/>
    <n v="0"/>
    <n v="0"/>
    <s v="NA"/>
    <s v="NA"/>
    <s v="NA"/>
    <s v="NA"/>
    <s v="NA"/>
    <s v="NA"/>
    <s v="NA"/>
    <x v="1"/>
    <x v="2"/>
    <n v="1"/>
    <n v="1"/>
    <n v="0"/>
    <n v="1"/>
    <n v="0"/>
    <n v="0"/>
    <x v="2"/>
    <n v="0"/>
    <n v="0"/>
    <n v="0"/>
    <n v="0"/>
    <x v="1"/>
  </r>
  <r>
    <s v="A28LPPFS7FW2SD"/>
    <x v="0"/>
    <n v="50"/>
    <s v="male"/>
    <x v="2"/>
    <x v="9"/>
    <n v="11499"/>
    <n v="0"/>
    <n v="1"/>
    <n v="1"/>
    <n v="0"/>
    <s v="Stores A and B."/>
    <s v="Stores D and E."/>
    <s v="Store E."/>
    <s v="ms-h"/>
    <s v="ms-l"/>
    <s v="mo-l"/>
    <n v="0"/>
    <x v="1"/>
    <x v="1"/>
    <n v="1"/>
    <n v="1"/>
    <n v="0"/>
    <n v="1"/>
    <n v="0"/>
    <n v="0"/>
    <x v="1"/>
    <n v="0"/>
    <n v="1"/>
    <n v="0"/>
    <n v="0"/>
    <x v="1"/>
  </r>
  <r>
    <s v="A28LPPFS7FW2SD"/>
    <x v="0"/>
    <n v="50"/>
    <s v="male"/>
    <x v="2"/>
    <x v="4"/>
    <n v="8246"/>
    <n v="0"/>
    <n v="1"/>
    <n v="0"/>
    <n v="0"/>
    <s v="Stalls D and E."/>
    <s v="Stalls A, B, C, D and E."/>
    <s v="Stall E."/>
    <s v="ms-l"/>
    <s v="exh"/>
    <s v="mo-l"/>
    <n v="1"/>
    <x v="1"/>
    <x v="1"/>
    <n v="0"/>
    <n v="1"/>
    <n v="0"/>
    <n v="1"/>
    <n v="1"/>
    <n v="0"/>
    <x v="2"/>
    <n v="0"/>
    <n v="0"/>
    <n v="0"/>
    <n v="0"/>
    <x v="1"/>
  </r>
  <r>
    <s v="A28LPPFS7FW2SD"/>
    <x v="0"/>
    <n v="50"/>
    <s v="male"/>
    <x v="3"/>
    <x v="10"/>
    <n v="5747"/>
    <n v="0"/>
    <n v="0"/>
    <n v="1"/>
    <n v="0"/>
    <s v="NA"/>
    <s v="NA"/>
    <s v="NA"/>
    <s v="NA"/>
    <s v="NA"/>
    <s v="NA"/>
    <s v="NA"/>
    <x v="1"/>
    <x v="1"/>
    <n v="0"/>
    <n v="1"/>
    <n v="0"/>
    <n v="1"/>
    <n v="1"/>
    <n v="0"/>
    <x v="2"/>
    <n v="0"/>
    <n v="0"/>
    <n v="0"/>
    <n v="0"/>
    <x v="1"/>
  </r>
  <r>
    <s v="A28LPPFS7FW2SD"/>
    <x v="0"/>
    <n v="50"/>
    <s v="male"/>
    <x v="4"/>
    <x v="0"/>
    <n v="105161"/>
    <s v="the quality is important"/>
    <s v="no because its to concerntration"/>
    <s v="good"/>
    <s v="NA"/>
    <s v="NA"/>
    <s v="NA"/>
    <s v="NA"/>
    <s v="NA"/>
    <s v="NA"/>
    <s v="NA"/>
    <s v="NA"/>
    <x v="0"/>
    <x v="0"/>
    <s v="NA"/>
    <s v="NA"/>
    <s v="NA"/>
    <s v="NA"/>
    <s v="NA"/>
    <s v="NA"/>
    <x v="0"/>
    <s v="NA"/>
    <s v="NA"/>
    <s v="NA"/>
    <s v="NA"/>
    <x v="1"/>
  </r>
  <r>
    <s v="A38YLXHJTSE5VD"/>
    <x v="2"/>
    <n v="30"/>
    <s v="other"/>
    <x v="0"/>
    <x v="0"/>
    <n v="30903"/>
    <s v="NA"/>
    <s v="NA"/>
    <s v="NA"/>
    <s v="NA"/>
    <s v="NA"/>
    <s v="NA"/>
    <s v="NA"/>
    <s v="NA"/>
    <s v="NA"/>
    <s v="NA"/>
    <s v="NA"/>
    <x v="0"/>
    <x v="0"/>
    <s v="NA"/>
    <s v="NA"/>
    <s v="NA"/>
    <s v="NA"/>
    <s v="NA"/>
    <s v="NA"/>
    <x v="0"/>
    <s v="NA"/>
    <s v="NA"/>
    <s v="NA"/>
    <s v="NA"/>
    <x v="1"/>
  </r>
  <r>
    <s v="A38YLXHJTSE5VD"/>
    <x v="2"/>
    <n v="30"/>
    <s v="other"/>
    <x v="1"/>
    <x v="2"/>
    <n v="69876"/>
    <n v="0"/>
    <n v="1"/>
    <n v="1"/>
    <n v="0"/>
    <s v="NA"/>
    <s v="NA"/>
    <s v="NA"/>
    <s v="NA"/>
    <s v="NA"/>
    <s v="NA"/>
    <s v="NA"/>
    <x v="0"/>
    <x v="0"/>
    <s v="NA"/>
    <s v="NA"/>
    <s v="NA"/>
    <s v="NA"/>
    <s v="NA"/>
    <s v="NA"/>
    <x v="0"/>
    <s v="NA"/>
    <s v="NA"/>
    <s v="NA"/>
    <s v="NA"/>
    <x v="1"/>
  </r>
  <r>
    <s v="A38YLXHJTSE5VD"/>
    <x v="2"/>
    <n v="30"/>
    <s v="other"/>
    <x v="1"/>
    <x v="1"/>
    <n v="66814"/>
    <n v="0"/>
    <n v="0"/>
    <n v="0"/>
    <n v="1"/>
    <s v="NA"/>
    <s v="NA"/>
    <s v="NA"/>
    <s v="NA"/>
    <s v="NA"/>
    <s v="NA"/>
    <s v="NA"/>
    <x v="0"/>
    <x v="0"/>
    <s v="NA"/>
    <s v="NA"/>
    <s v="NA"/>
    <s v="NA"/>
    <s v="NA"/>
    <s v="NA"/>
    <x v="0"/>
    <s v="NA"/>
    <s v="NA"/>
    <s v="NA"/>
    <s v="NA"/>
    <x v="1"/>
  </r>
  <r>
    <s v="A38YLXHJTSE5VD"/>
    <x v="2"/>
    <n v="30"/>
    <s v="other"/>
    <x v="2"/>
    <x v="3"/>
    <n v="30087"/>
    <n v="0"/>
    <n v="0"/>
    <n v="0"/>
    <n v="1"/>
    <s v="Cafe A."/>
    <s v="Cafes D and E."/>
    <s v="Cafes A and B."/>
    <s v="mo-h"/>
    <s v="ms-l"/>
    <s v="ms-h"/>
    <n v="0"/>
    <x v="2"/>
    <x v="2"/>
    <n v="1"/>
    <n v="1"/>
    <n v="0"/>
    <n v="1"/>
    <n v="0"/>
    <n v="0"/>
    <x v="2"/>
    <n v="0"/>
    <n v="0"/>
    <n v="0"/>
    <n v="1"/>
    <x v="1"/>
  </r>
  <r>
    <s v="A38YLXHJTSE5VD"/>
    <x v="2"/>
    <n v="30"/>
    <s v="other"/>
    <x v="2"/>
    <x v="7"/>
    <n v="35700"/>
    <n v="0"/>
    <n v="0"/>
    <n v="0"/>
    <n v="1"/>
    <s v="Stylist F."/>
    <s v="Stylists A and B."/>
    <s v="Stylists A, B, C, D and E."/>
    <s v="fa"/>
    <s v="ms-h"/>
    <s v="exh"/>
    <n v="1"/>
    <x v="1"/>
    <x v="2"/>
    <n v="1"/>
    <n v="0"/>
    <n v="0"/>
    <n v="1"/>
    <n v="0"/>
    <n v="0"/>
    <x v="2"/>
    <n v="0"/>
    <n v="0"/>
    <n v="0"/>
    <n v="1"/>
    <x v="1"/>
  </r>
  <r>
    <s v="A38YLXHJTSE5VD"/>
    <x v="2"/>
    <n v="30"/>
    <s v="other"/>
    <x v="3"/>
    <x v="12"/>
    <n v="28290"/>
    <n v="1"/>
    <n v="0"/>
    <n v="0"/>
    <n v="0"/>
    <s v="NA"/>
    <s v="NA"/>
    <s v="NA"/>
    <s v="NA"/>
    <s v="NA"/>
    <s v="NA"/>
    <s v="NA"/>
    <x v="1"/>
    <x v="2"/>
    <n v="1"/>
    <n v="0"/>
    <n v="0"/>
    <n v="1"/>
    <n v="0"/>
    <n v="0"/>
    <x v="2"/>
    <n v="0"/>
    <n v="0"/>
    <n v="0"/>
    <n v="1"/>
    <x v="1"/>
  </r>
  <r>
    <s v="A38YLXHJTSE5VD"/>
    <x v="2"/>
    <n v="30"/>
    <s v="other"/>
    <x v="2"/>
    <x v="11"/>
    <n v="42658"/>
    <n v="0"/>
    <n v="0"/>
    <n v="0"/>
    <n v="1"/>
    <s v="Dentist F."/>
    <s v="Dentists A and B."/>
    <s v="Dentist A."/>
    <s v="fa"/>
    <s v="ms-h"/>
    <s v="mo-h"/>
    <n v="0"/>
    <x v="2"/>
    <x v="2"/>
    <n v="1"/>
    <n v="0"/>
    <n v="0"/>
    <n v="1"/>
    <n v="0"/>
    <n v="0"/>
    <x v="2"/>
    <n v="0"/>
    <n v="0"/>
    <n v="0"/>
    <n v="1"/>
    <x v="1"/>
  </r>
  <r>
    <s v="A38YLXHJTSE5VD"/>
    <x v="2"/>
    <n v="30"/>
    <s v="other"/>
    <x v="3"/>
    <x v="10"/>
    <n v="45294"/>
    <n v="0"/>
    <n v="0"/>
    <n v="0"/>
    <n v="1"/>
    <s v="NA"/>
    <s v="NA"/>
    <s v="NA"/>
    <s v="NA"/>
    <s v="NA"/>
    <s v="NA"/>
    <s v="NA"/>
    <x v="2"/>
    <x v="2"/>
    <n v="1"/>
    <n v="0"/>
    <n v="0"/>
    <n v="1"/>
    <n v="0"/>
    <n v="0"/>
    <x v="2"/>
    <n v="0"/>
    <n v="0"/>
    <n v="0"/>
    <n v="1"/>
    <x v="1"/>
  </r>
  <r>
    <s v="A38YLXHJTSE5VD"/>
    <x v="2"/>
    <n v="30"/>
    <s v="other"/>
    <x v="2"/>
    <x v="9"/>
    <n v="122021"/>
    <n v="1"/>
    <n v="1"/>
    <n v="1"/>
    <n v="0"/>
    <s v="Stores D and E."/>
    <s v="Store A."/>
    <s v="Stores A and B."/>
    <s v="ms-l"/>
    <s v="mo-h"/>
    <s v="ms-h"/>
    <n v="0"/>
    <x v="2"/>
    <x v="2"/>
    <n v="1"/>
    <n v="1"/>
    <n v="0"/>
    <n v="1"/>
    <n v="0"/>
    <n v="1"/>
    <x v="2"/>
    <n v="1"/>
    <n v="1"/>
    <n v="0"/>
    <n v="0"/>
    <x v="1"/>
  </r>
  <r>
    <s v="A38YLXHJTSE5VD"/>
    <x v="2"/>
    <n v="30"/>
    <s v="other"/>
    <x v="2"/>
    <x v="6"/>
    <n v="33138"/>
    <n v="1"/>
    <n v="1"/>
    <n v="1"/>
    <n v="0"/>
    <s v="Bookstores A, B, C, D and E."/>
    <s v="Bookstores D and E."/>
    <s v="Bookstore F."/>
    <s v="exh"/>
    <s v="ms-l"/>
    <s v="fa"/>
    <n v="1"/>
    <x v="1"/>
    <x v="2"/>
    <n v="0"/>
    <n v="1"/>
    <n v="0"/>
    <n v="1"/>
    <n v="1"/>
    <n v="0"/>
    <x v="2"/>
    <n v="0"/>
    <n v="1"/>
    <n v="0"/>
    <n v="0"/>
    <x v="1"/>
  </r>
  <r>
    <s v="A38YLXHJTSE5VD"/>
    <x v="2"/>
    <n v="30"/>
    <s v="other"/>
    <x v="3"/>
    <x v="5"/>
    <n v="43560"/>
    <n v="1"/>
    <n v="1"/>
    <n v="1"/>
    <n v="0"/>
    <s v="NA"/>
    <s v="NA"/>
    <s v="NA"/>
    <s v="NA"/>
    <s v="NA"/>
    <s v="NA"/>
    <s v="NA"/>
    <x v="1"/>
    <x v="2"/>
    <n v="0"/>
    <n v="1"/>
    <n v="0"/>
    <n v="1"/>
    <n v="1"/>
    <n v="0"/>
    <x v="2"/>
    <n v="0"/>
    <n v="1"/>
    <n v="0"/>
    <n v="0"/>
    <x v="1"/>
  </r>
  <r>
    <s v="A38YLXHJTSE5VD"/>
    <x v="2"/>
    <n v="30"/>
    <s v="other"/>
    <x v="2"/>
    <x v="4"/>
    <n v="26338"/>
    <n v="0"/>
    <n v="0"/>
    <n v="0"/>
    <n v="1"/>
    <s v="Stalls D and E."/>
    <s v="Stalls A, B, C, D and E."/>
    <s v="Stalls A and B."/>
    <s v="ms-l"/>
    <s v="exh"/>
    <s v="ms-h"/>
    <n v="1"/>
    <x v="1"/>
    <x v="2"/>
    <n v="1"/>
    <n v="1"/>
    <n v="0"/>
    <n v="1"/>
    <n v="0"/>
    <n v="0"/>
    <x v="2"/>
    <n v="0"/>
    <n v="0"/>
    <n v="0"/>
    <n v="1"/>
    <x v="1"/>
  </r>
  <r>
    <s v="A38YLXHJTSE5VD"/>
    <x v="2"/>
    <n v="30"/>
    <s v="other"/>
    <x v="3"/>
    <x v="8"/>
    <n v="26824"/>
    <n v="0"/>
    <n v="0"/>
    <n v="1"/>
    <n v="0"/>
    <s v="NA"/>
    <s v="NA"/>
    <s v="NA"/>
    <s v="NA"/>
    <s v="NA"/>
    <s v="NA"/>
    <s v="NA"/>
    <x v="1"/>
    <x v="2"/>
    <n v="1"/>
    <n v="1"/>
    <n v="0"/>
    <n v="1"/>
    <n v="0"/>
    <n v="0"/>
    <x v="2"/>
    <n v="0"/>
    <n v="0"/>
    <n v="0"/>
    <n v="1"/>
    <x v="1"/>
  </r>
  <r>
    <s v="A38YLXHJTSE5VD"/>
    <x v="2"/>
    <n v="30"/>
    <s v="other"/>
    <x v="4"/>
    <x v="0"/>
    <n v="97523"/>
    <s v="Yes for the first question I would answer all the places you can go for brunch and for the second I would say the places I like."/>
    <s v="Yes some of them it was hard to determine who knew what."/>
    <s v="No"/>
    <s v="NA"/>
    <s v="NA"/>
    <s v="NA"/>
    <s v="NA"/>
    <s v="NA"/>
    <s v="NA"/>
    <s v="NA"/>
    <s v="NA"/>
    <x v="0"/>
    <x v="0"/>
    <s v="NA"/>
    <s v="NA"/>
    <s v="NA"/>
    <s v="NA"/>
    <s v="NA"/>
    <s v="NA"/>
    <x v="0"/>
    <s v="NA"/>
    <s v="NA"/>
    <s v="NA"/>
    <s v="NA"/>
    <x v="1"/>
  </r>
  <r>
    <s v="AWZCVOUD0LPT"/>
    <x v="5"/>
    <n v="26"/>
    <s v="female"/>
    <x v="0"/>
    <x v="0"/>
    <n v="27483"/>
    <s v="NA"/>
    <s v="NA"/>
    <s v="NA"/>
    <s v="NA"/>
    <s v="NA"/>
    <s v="NA"/>
    <s v="NA"/>
    <s v="NA"/>
    <s v="NA"/>
    <s v="NA"/>
    <s v="NA"/>
    <x v="0"/>
    <x v="0"/>
    <s v="NA"/>
    <s v="NA"/>
    <s v="NA"/>
    <s v="NA"/>
    <s v="NA"/>
    <s v="NA"/>
    <x v="0"/>
    <s v="NA"/>
    <s v="NA"/>
    <s v="NA"/>
    <s v="NA"/>
    <x v="1"/>
  </r>
  <r>
    <s v="AWZCVOUD0LPT"/>
    <x v="5"/>
    <n v="26"/>
    <s v="female"/>
    <x v="1"/>
    <x v="2"/>
    <n v="52501"/>
    <n v="0"/>
    <n v="0"/>
    <n v="1"/>
    <n v="0"/>
    <s v="NA"/>
    <s v="NA"/>
    <s v="NA"/>
    <s v="NA"/>
    <s v="NA"/>
    <s v="NA"/>
    <s v="NA"/>
    <x v="0"/>
    <x v="0"/>
    <s v="NA"/>
    <s v="NA"/>
    <s v="NA"/>
    <s v="NA"/>
    <s v="NA"/>
    <s v="NA"/>
    <x v="0"/>
    <s v="NA"/>
    <s v="NA"/>
    <s v="NA"/>
    <s v="NA"/>
    <x v="1"/>
  </r>
  <r>
    <s v="AWZCVOUD0LPT"/>
    <x v="5"/>
    <n v="26"/>
    <s v="female"/>
    <x v="1"/>
    <x v="1"/>
    <n v="45398"/>
    <n v="0"/>
    <n v="1"/>
    <n v="1"/>
    <n v="0"/>
    <s v="NA"/>
    <s v="NA"/>
    <s v="NA"/>
    <s v="NA"/>
    <s v="NA"/>
    <s v="NA"/>
    <s v="NA"/>
    <x v="0"/>
    <x v="0"/>
    <s v="NA"/>
    <s v="NA"/>
    <s v="NA"/>
    <s v="NA"/>
    <s v="NA"/>
    <s v="NA"/>
    <x v="0"/>
    <s v="NA"/>
    <s v="NA"/>
    <s v="NA"/>
    <s v="NA"/>
    <x v="1"/>
  </r>
  <r>
    <s v="AWZCVOUD0LPT"/>
    <x v="5"/>
    <n v="26"/>
    <s v="female"/>
    <x v="2"/>
    <x v="11"/>
    <n v="95146"/>
    <n v="0"/>
    <n v="0"/>
    <n v="0"/>
    <n v="1"/>
    <s v="Dentists D and E."/>
    <s v="Dentist A."/>
    <s v="Dentists A and B."/>
    <s v="ms-l"/>
    <s v="mo-h"/>
    <s v="ms-h"/>
    <n v="0"/>
    <x v="2"/>
    <x v="2"/>
    <n v="1"/>
    <n v="1"/>
    <n v="0"/>
    <n v="1"/>
    <n v="0"/>
    <n v="0"/>
    <x v="2"/>
    <n v="0"/>
    <n v="0"/>
    <n v="0"/>
    <n v="1"/>
    <x v="1"/>
  </r>
  <r>
    <s v="AWZCVOUD0LPT"/>
    <x v="5"/>
    <n v="26"/>
    <s v="female"/>
    <x v="2"/>
    <x v="9"/>
    <n v="32282"/>
    <n v="0"/>
    <n v="1"/>
    <n v="0"/>
    <n v="0"/>
    <s v="Store A."/>
    <s v="Stores D and E."/>
    <s v="Store E."/>
    <s v="mo-h"/>
    <s v="ms-l"/>
    <s v="mo-l"/>
    <n v="0"/>
    <x v="2"/>
    <x v="1"/>
    <n v="0"/>
    <n v="1"/>
    <n v="0"/>
    <n v="1"/>
    <n v="0"/>
    <n v="0"/>
    <x v="2"/>
    <n v="0"/>
    <n v="1"/>
    <n v="0"/>
    <n v="0"/>
    <x v="1"/>
  </r>
  <r>
    <s v="AWZCVOUD0LPT"/>
    <x v="5"/>
    <n v="26"/>
    <s v="female"/>
    <x v="3"/>
    <x v="8"/>
    <n v="18530"/>
    <n v="0"/>
    <n v="1"/>
    <n v="0"/>
    <n v="0"/>
    <s v="NA"/>
    <s v="NA"/>
    <s v="NA"/>
    <s v="NA"/>
    <s v="NA"/>
    <s v="NA"/>
    <s v="NA"/>
    <x v="2"/>
    <x v="1"/>
    <n v="0"/>
    <n v="1"/>
    <n v="0"/>
    <n v="1"/>
    <n v="0"/>
    <n v="0"/>
    <x v="2"/>
    <n v="0"/>
    <n v="1"/>
    <n v="0"/>
    <n v="0"/>
    <x v="1"/>
  </r>
  <r>
    <s v="AWZCVOUD0LPT"/>
    <x v="5"/>
    <n v="26"/>
    <s v="female"/>
    <x v="2"/>
    <x v="7"/>
    <n v="22183"/>
    <n v="0"/>
    <n v="1"/>
    <n v="0"/>
    <n v="0"/>
    <s v="Stylist E."/>
    <s v="Stylist A."/>
    <s v="Stylist F."/>
    <s v="mo-l"/>
    <s v="mo-h"/>
    <s v="fa"/>
    <n v="0"/>
    <x v="2"/>
    <x v="1"/>
    <n v="0"/>
    <n v="0"/>
    <n v="0"/>
    <n v="1"/>
    <n v="0"/>
    <n v="1"/>
    <x v="2"/>
    <n v="0"/>
    <n v="0"/>
    <n v="0"/>
    <n v="0"/>
    <x v="1"/>
  </r>
  <r>
    <s v="AWZCVOUD0LPT"/>
    <x v="5"/>
    <n v="26"/>
    <s v="female"/>
    <x v="3"/>
    <x v="12"/>
    <n v="4518"/>
    <n v="0"/>
    <n v="1"/>
    <n v="0"/>
    <n v="0"/>
    <s v="NA"/>
    <s v="NA"/>
    <s v="NA"/>
    <s v="NA"/>
    <s v="NA"/>
    <s v="NA"/>
    <s v="NA"/>
    <x v="2"/>
    <x v="1"/>
    <n v="0"/>
    <n v="0"/>
    <n v="0"/>
    <n v="1"/>
    <n v="0"/>
    <n v="1"/>
    <x v="2"/>
    <n v="0"/>
    <n v="0"/>
    <n v="0"/>
    <n v="0"/>
    <x v="1"/>
  </r>
  <r>
    <s v="AWZCVOUD0LPT"/>
    <x v="5"/>
    <n v="26"/>
    <s v="female"/>
    <x v="2"/>
    <x v="3"/>
    <n v="43527"/>
    <n v="1"/>
    <n v="0"/>
    <n v="0"/>
    <n v="1"/>
    <s v="Cafe A."/>
    <s v="Cafe F."/>
    <s v="Cafes D and E."/>
    <s v="mo-h"/>
    <s v="fa"/>
    <s v="ms-l"/>
    <n v="0"/>
    <x v="2"/>
    <x v="2"/>
    <n v="0"/>
    <n v="1"/>
    <n v="0"/>
    <n v="1"/>
    <n v="0"/>
    <n v="1"/>
    <x v="2"/>
    <n v="0"/>
    <n v="0"/>
    <n v="0"/>
    <n v="1"/>
    <x v="1"/>
  </r>
  <r>
    <s v="AWZCVOUD0LPT"/>
    <x v="5"/>
    <n v="26"/>
    <s v="female"/>
    <x v="2"/>
    <x v="6"/>
    <n v="14249"/>
    <n v="1"/>
    <n v="0"/>
    <n v="0"/>
    <n v="1"/>
    <s v="Bookstores D and E."/>
    <s v="Bookstore E."/>
    <s v="Bookstores A and B."/>
    <s v="ms-l"/>
    <s v="mo-l"/>
    <s v="ms-h"/>
    <n v="0"/>
    <x v="1"/>
    <x v="1"/>
    <n v="1"/>
    <n v="1"/>
    <n v="0"/>
    <n v="1"/>
    <n v="0"/>
    <n v="0"/>
    <x v="2"/>
    <n v="0"/>
    <n v="1"/>
    <n v="0"/>
    <n v="1"/>
    <x v="1"/>
  </r>
  <r>
    <s v="AWZCVOUD0LPT"/>
    <x v="5"/>
    <n v="26"/>
    <s v="female"/>
    <x v="3"/>
    <x v="10"/>
    <n v="3416"/>
    <n v="0"/>
    <n v="1"/>
    <n v="0"/>
    <n v="0"/>
    <s v="NA"/>
    <s v="NA"/>
    <s v="NA"/>
    <s v="NA"/>
    <s v="NA"/>
    <s v="NA"/>
    <s v="NA"/>
    <x v="1"/>
    <x v="1"/>
    <n v="1"/>
    <n v="1"/>
    <n v="0"/>
    <n v="1"/>
    <n v="0"/>
    <n v="0"/>
    <x v="2"/>
    <n v="0"/>
    <n v="1"/>
    <n v="0"/>
    <n v="1"/>
    <x v="1"/>
  </r>
  <r>
    <s v="AWZCVOUD0LPT"/>
    <x v="5"/>
    <n v="26"/>
    <s v="female"/>
    <x v="2"/>
    <x v="4"/>
    <n v="4834"/>
    <n v="0"/>
    <n v="0"/>
    <n v="1"/>
    <n v="0"/>
    <s v="Stall A."/>
    <s v="Stalls D and E."/>
    <s v="Stall E."/>
    <s v="mo-h"/>
    <s v="ms-l"/>
    <s v="mo-l"/>
    <n v="0"/>
    <x v="2"/>
    <x v="1"/>
    <n v="0"/>
    <n v="1"/>
    <n v="0"/>
    <n v="1"/>
    <n v="0"/>
    <n v="0"/>
    <x v="1"/>
    <n v="0"/>
    <n v="0"/>
    <n v="0"/>
    <n v="0"/>
    <x v="1"/>
  </r>
  <r>
    <s v="AWZCVOUD0LPT"/>
    <x v="5"/>
    <n v="26"/>
    <s v="female"/>
    <x v="3"/>
    <x v="5"/>
    <n v="4349"/>
    <n v="0"/>
    <n v="1"/>
    <n v="0"/>
    <n v="0"/>
    <s v="NA"/>
    <s v="NA"/>
    <s v="NA"/>
    <s v="NA"/>
    <s v="NA"/>
    <s v="NA"/>
    <s v="NA"/>
    <x v="2"/>
    <x v="1"/>
    <n v="0"/>
    <n v="1"/>
    <n v="0"/>
    <n v="1"/>
    <n v="0"/>
    <n v="0"/>
    <x v="1"/>
    <n v="0"/>
    <n v="0"/>
    <n v="0"/>
    <n v="0"/>
    <x v="1"/>
  </r>
  <r>
    <s v="AWZCVOUD0LPT"/>
    <x v="5"/>
    <n v="26"/>
    <s v="female"/>
    <x v="4"/>
    <x v="0"/>
    <n v="4868"/>
    <m/>
    <m/>
    <m/>
    <s v="NA"/>
    <s v="NA"/>
    <s v="NA"/>
    <s v="NA"/>
    <s v="NA"/>
    <s v="NA"/>
    <s v="NA"/>
    <s v="NA"/>
    <x v="0"/>
    <x v="0"/>
    <s v="NA"/>
    <s v="NA"/>
    <s v="NA"/>
    <s v="NA"/>
    <s v="NA"/>
    <s v="NA"/>
    <x v="0"/>
    <s v="NA"/>
    <s v="NA"/>
    <s v="NA"/>
    <s v="NA"/>
    <x v="1"/>
  </r>
  <r>
    <s v="AZCGSVDT79E6X"/>
    <x v="0"/>
    <n v="24"/>
    <s v="male"/>
    <x v="0"/>
    <x v="0"/>
    <n v="10745"/>
    <s v="NA"/>
    <s v="NA"/>
    <s v="NA"/>
    <s v="NA"/>
    <s v="NA"/>
    <s v="NA"/>
    <s v="NA"/>
    <s v="NA"/>
    <s v="NA"/>
    <s v="NA"/>
    <s v="NA"/>
    <x v="0"/>
    <x v="0"/>
    <s v="NA"/>
    <s v="NA"/>
    <s v="NA"/>
    <s v="NA"/>
    <s v="NA"/>
    <s v="NA"/>
    <x v="0"/>
    <s v="NA"/>
    <s v="NA"/>
    <s v="NA"/>
    <s v="NA"/>
    <x v="1"/>
  </r>
  <r>
    <s v="AZCGSVDT79E6X"/>
    <x v="0"/>
    <n v="24"/>
    <s v="male"/>
    <x v="1"/>
    <x v="1"/>
    <n v="21711"/>
    <n v="0"/>
    <n v="0"/>
    <n v="0"/>
    <n v="1"/>
    <s v="NA"/>
    <s v="NA"/>
    <s v="NA"/>
    <s v="NA"/>
    <s v="NA"/>
    <s v="NA"/>
    <s v="NA"/>
    <x v="0"/>
    <x v="0"/>
    <s v="NA"/>
    <s v="NA"/>
    <s v="NA"/>
    <s v="NA"/>
    <s v="NA"/>
    <s v="NA"/>
    <x v="0"/>
    <s v="NA"/>
    <s v="NA"/>
    <s v="NA"/>
    <s v="NA"/>
    <x v="1"/>
  </r>
  <r>
    <s v="AZCGSVDT79E6X"/>
    <x v="0"/>
    <n v="24"/>
    <s v="male"/>
    <x v="1"/>
    <x v="2"/>
    <n v="15797"/>
    <n v="0"/>
    <n v="0"/>
    <n v="1"/>
    <n v="0"/>
    <s v="NA"/>
    <s v="NA"/>
    <s v="NA"/>
    <s v="NA"/>
    <s v="NA"/>
    <s v="NA"/>
    <s v="NA"/>
    <x v="0"/>
    <x v="0"/>
    <s v="NA"/>
    <s v="NA"/>
    <s v="NA"/>
    <s v="NA"/>
    <s v="NA"/>
    <s v="NA"/>
    <x v="0"/>
    <s v="NA"/>
    <s v="NA"/>
    <s v="NA"/>
    <s v="NA"/>
    <x v="1"/>
  </r>
  <r>
    <s v="AZCGSVDT79E6X"/>
    <x v="0"/>
    <n v="24"/>
    <s v="male"/>
    <x v="2"/>
    <x v="7"/>
    <n v="57391"/>
    <n v="1"/>
    <n v="0"/>
    <n v="0"/>
    <n v="0"/>
    <s v="Stylists A and B."/>
    <s v="Stylist E."/>
    <s v="Stylist A."/>
    <s v="ms-h"/>
    <s v="mo-l"/>
    <s v="mo-h"/>
    <n v="0"/>
    <x v="2"/>
    <x v="1"/>
    <n v="1"/>
    <n v="0"/>
    <n v="0"/>
    <n v="1"/>
    <n v="0"/>
    <n v="0"/>
    <x v="2"/>
    <n v="1"/>
    <n v="0"/>
    <n v="0"/>
    <n v="0"/>
    <x v="1"/>
  </r>
  <r>
    <s v="AZCGSVDT79E6X"/>
    <x v="0"/>
    <n v="24"/>
    <s v="male"/>
    <x v="2"/>
    <x v="9"/>
    <n v="26572"/>
    <n v="0"/>
    <n v="1"/>
    <n v="0"/>
    <n v="0"/>
    <s v="Stores D and E."/>
    <s v="Stores A, B, C, D and E."/>
    <s v="Store E."/>
    <s v="ms-l"/>
    <s v="exh"/>
    <s v="mo-l"/>
    <n v="1"/>
    <x v="1"/>
    <x v="1"/>
    <n v="0"/>
    <n v="1"/>
    <n v="0"/>
    <n v="1"/>
    <n v="1"/>
    <n v="0"/>
    <x v="2"/>
    <n v="0"/>
    <n v="0"/>
    <n v="0"/>
    <n v="0"/>
    <x v="1"/>
  </r>
  <r>
    <s v="AZCGSVDT79E6X"/>
    <x v="0"/>
    <n v="24"/>
    <s v="male"/>
    <x v="3"/>
    <x v="5"/>
    <n v="26443"/>
    <n v="0"/>
    <n v="0"/>
    <n v="1"/>
    <n v="0"/>
    <s v="NA"/>
    <s v="NA"/>
    <s v="NA"/>
    <s v="NA"/>
    <s v="NA"/>
    <s v="NA"/>
    <s v="NA"/>
    <x v="1"/>
    <x v="1"/>
    <n v="0"/>
    <n v="1"/>
    <n v="0"/>
    <n v="1"/>
    <n v="1"/>
    <n v="0"/>
    <x v="2"/>
    <n v="0"/>
    <n v="0"/>
    <n v="0"/>
    <n v="0"/>
    <x v="1"/>
  </r>
  <r>
    <s v="AZCGSVDT79E6X"/>
    <x v="0"/>
    <n v="24"/>
    <s v="male"/>
    <x v="2"/>
    <x v="6"/>
    <n v="32748"/>
    <n v="1"/>
    <n v="1"/>
    <n v="1"/>
    <n v="0"/>
    <s v="Bookstores A, B, C, D and E."/>
    <s v="Bookstores A and B."/>
    <s v="Bookstore E."/>
    <s v="exh"/>
    <s v="ms-h"/>
    <s v="mo-l"/>
    <n v="1"/>
    <x v="1"/>
    <x v="1"/>
    <n v="1"/>
    <n v="0"/>
    <n v="0"/>
    <n v="1"/>
    <n v="1"/>
    <n v="0"/>
    <x v="1"/>
    <n v="1"/>
    <n v="0"/>
    <n v="0"/>
    <n v="0"/>
    <x v="1"/>
  </r>
  <r>
    <s v="AZCGSVDT79E6X"/>
    <x v="0"/>
    <n v="24"/>
    <s v="male"/>
    <x v="3"/>
    <x v="10"/>
    <n v="29890"/>
    <n v="1"/>
    <n v="1"/>
    <n v="1"/>
    <n v="0"/>
    <s v="NA"/>
    <s v="NA"/>
    <s v="NA"/>
    <s v="NA"/>
    <s v="NA"/>
    <s v="NA"/>
    <s v="NA"/>
    <x v="1"/>
    <x v="1"/>
    <n v="1"/>
    <n v="0"/>
    <n v="0"/>
    <n v="1"/>
    <n v="1"/>
    <n v="0"/>
    <x v="1"/>
    <n v="1"/>
    <n v="0"/>
    <n v="0"/>
    <n v="0"/>
    <x v="1"/>
  </r>
  <r>
    <s v="AZCGSVDT79E6X"/>
    <x v="0"/>
    <n v="24"/>
    <s v="male"/>
    <x v="2"/>
    <x v="3"/>
    <n v="43901"/>
    <n v="0"/>
    <n v="1"/>
    <n v="0"/>
    <n v="0"/>
    <s v="Cafe E."/>
    <s v="Cafes A and B."/>
    <s v="Cafes D and E."/>
    <s v="mo-l"/>
    <s v="ms-h"/>
    <s v="ms-l"/>
    <n v="0"/>
    <x v="1"/>
    <x v="1"/>
    <n v="1"/>
    <n v="1"/>
    <n v="0"/>
    <n v="1"/>
    <n v="0"/>
    <n v="0"/>
    <x v="2"/>
    <n v="1"/>
    <n v="0"/>
    <n v="0"/>
    <n v="0"/>
    <x v="1"/>
  </r>
  <r>
    <s v="AZCGSVDT79E6X"/>
    <x v="0"/>
    <n v="24"/>
    <s v="male"/>
    <x v="2"/>
    <x v="4"/>
    <n v="19279"/>
    <n v="1"/>
    <n v="1"/>
    <n v="0"/>
    <n v="0"/>
    <s v="Stall A."/>
    <s v="Stalls A and B."/>
    <s v="Stalls D and E."/>
    <s v="mo-h"/>
    <s v="ms-h"/>
    <s v="ms-l"/>
    <n v="0"/>
    <x v="2"/>
    <x v="2"/>
    <n v="1"/>
    <n v="1"/>
    <n v="0"/>
    <n v="1"/>
    <n v="0"/>
    <n v="1"/>
    <x v="2"/>
    <n v="1"/>
    <n v="0"/>
    <n v="0"/>
    <n v="0"/>
    <x v="1"/>
  </r>
  <r>
    <s v="AZCGSVDT79E6X"/>
    <x v="0"/>
    <n v="24"/>
    <s v="male"/>
    <x v="3"/>
    <x v="8"/>
    <n v="37451"/>
    <n v="1"/>
    <n v="1"/>
    <n v="0"/>
    <n v="0"/>
    <s v="NA"/>
    <s v="NA"/>
    <s v="NA"/>
    <s v="NA"/>
    <s v="NA"/>
    <s v="NA"/>
    <s v="NA"/>
    <x v="2"/>
    <x v="2"/>
    <n v="1"/>
    <n v="1"/>
    <n v="0"/>
    <n v="1"/>
    <n v="0"/>
    <n v="1"/>
    <x v="2"/>
    <n v="1"/>
    <n v="0"/>
    <n v="0"/>
    <n v="0"/>
    <x v="1"/>
  </r>
  <r>
    <s v="AZCGSVDT79E6X"/>
    <x v="0"/>
    <n v="24"/>
    <s v="male"/>
    <x v="2"/>
    <x v="11"/>
    <n v="28542"/>
    <n v="0"/>
    <n v="0"/>
    <n v="0"/>
    <n v="1"/>
    <s v="Dentist E."/>
    <s v="Dentist F."/>
    <s v="Dentists D and E."/>
    <s v="mo-l"/>
    <s v="fa"/>
    <s v="ms-l"/>
    <n v="0"/>
    <x v="1"/>
    <x v="1"/>
    <n v="0"/>
    <n v="1"/>
    <n v="0"/>
    <n v="1"/>
    <n v="0"/>
    <n v="0"/>
    <x v="2"/>
    <n v="0"/>
    <n v="0"/>
    <n v="0"/>
    <n v="1"/>
    <x v="1"/>
  </r>
  <r>
    <s v="AZCGSVDT79E6X"/>
    <x v="0"/>
    <n v="24"/>
    <s v="male"/>
    <x v="3"/>
    <x v="12"/>
    <n v="36323"/>
    <n v="1"/>
    <n v="0"/>
    <n v="0"/>
    <n v="0"/>
    <s v="NA"/>
    <s v="NA"/>
    <s v="NA"/>
    <s v="NA"/>
    <s v="NA"/>
    <s v="NA"/>
    <s v="NA"/>
    <x v="1"/>
    <x v="1"/>
    <n v="0"/>
    <n v="1"/>
    <n v="0"/>
    <n v="1"/>
    <n v="0"/>
    <n v="0"/>
    <x v="2"/>
    <n v="0"/>
    <n v="0"/>
    <n v="0"/>
    <n v="1"/>
    <x v="1"/>
  </r>
  <r>
    <s v="AZCGSVDT79E6X"/>
    <x v="0"/>
    <n v="24"/>
    <s v="male"/>
    <x v="4"/>
    <x v="0"/>
    <n v="74983"/>
    <s v="No%2C  they are asking a the same question%2C about what places serve brunch."/>
    <s v="No%2C it was easy to understand with how the information was presented to me."/>
    <s v="It was fun and interesting to complete."/>
    <s v="NA"/>
    <s v="NA"/>
    <s v="NA"/>
    <s v="NA"/>
    <s v="NA"/>
    <s v="NA"/>
    <s v="NA"/>
    <s v="NA"/>
    <x v="0"/>
    <x v="0"/>
    <s v="NA"/>
    <s v="NA"/>
    <s v="NA"/>
    <s v="NA"/>
    <s v="NA"/>
    <s v="NA"/>
    <x v="0"/>
    <s v="NA"/>
    <s v="NA"/>
    <s v="NA"/>
    <s v="NA"/>
    <x v="1"/>
  </r>
  <r>
    <s v="A3UN1F1EOHKKE6"/>
    <x v="0"/>
    <n v="37"/>
    <s v="male"/>
    <x v="0"/>
    <x v="0"/>
    <n v="51842"/>
    <s v="NA"/>
    <s v="NA"/>
    <s v="NA"/>
    <s v="NA"/>
    <s v="NA"/>
    <s v="NA"/>
    <s v="NA"/>
    <s v="NA"/>
    <s v="NA"/>
    <s v="NA"/>
    <s v="NA"/>
    <x v="0"/>
    <x v="0"/>
    <s v="NA"/>
    <s v="NA"/>
    <s v="NA"/>
    <s v="NA"/>
    <s v="NA"/>
    <s v="NA"/>
    <x v="0"/>
    <s v="NA"/>
    <s v="NA"/>
    <s v="NA"/>
    <s v="NA"/>
    <x v="1"/>
  </r>
  <r>
    <s v="A3UN1F1EOHKKE6"/>
    <x v="0"/>
    <n v="37"/>
    <s v="male"/>
    <x v="1"/>
    <x v="2"/>
    <n v="36017"/>
    <n v="0"/>
    <n v="0"/>
    <n v="1"/>
    <n v="0"/>
    <s v="NA"/>
    <s v="NA"/>
    <s v="NA"/>
    <s v="NA"/>
    <s v="NA"/>
    <s v="NA"/>
    <s v="NA"/>
    <x v="0"/>
    <x v="0"/>
    <s v="NA"/>
    <s v="NA"/>
    <s v="NA"/>
    <s v="NA"/>
    <s v="NA"/>
    <s v="NA"/>
    <x v="0"/>
    <s v="NA"/>
    <s v="NA"/>
    <s v="NA"/>
    <s v="NA"/>
    <x v="1"/>
  </r>
  <r>
    <s v="A3UN1F1EOHKKE6"/>
    <x v="0"/>
    <n v="37"/>
    <s v="male"/>
    <x v="1"/>
    <x v="1"/>
    <n v="39746"/>
    <n v="0"/>
    <n v="0"/>
    <n v="0"/>
    <n v="1"/>
    <s v="NA"/>
    <s v="NA"/>
    <s v="NA"/>
    <s v="NA"/>
    <s v="NA"/>
    <s v="NA"/>
    <s v="NA"/>
    <x v="0"/>
    <x v="0"/>
    <s v="NA"/>
    <s v="NA"/>
    <s v="NA"/>
    <s v="NA"/>
    <s v="NA"/>
    <s v="NA"/>
    <x v="0"/>
    <s v="NA"/>
    <s v="NA"/>
    <s v="NA"/>
    <s v="NA"/>
    <x v="1"/>
  </r>
  <r>
    <s v="A3UN1F1EOHKKE6"/>
    <x v="0"/>
    <n v="37"/>
    <s v="male"/>
    <x v="2"/>
    <x v="3"/>
    <n v="40651"/>
    <n v="0"/>
    <n v="0"/>
    <n v="1"/>
    <n v="0"/>
    <s v="Cafes D and E."/>
    <s v="Cafe E."/>
    <s v="Cafes A and B."/>
    <s v="ms-l"/>
    <s v="mo-l"/>
    <s v="ms-h"/>
    <n v="0"/>
    <x v="1"/>
    <x v="1"/>
    <n v="1"/>
    <n v="1"/>
    <n v="0"/>
    <n v="1"/>
    <n v="0"/>
    <n v="0"/>
    <x v="2"/>
    <n v="1"/>
    <n v="0"/>
    <n v="0"/>
    <n v="0"/>
    <x v="1"/>
  </r>
  <r>
    <s v="A3UN1F1EOHKKE6"/>
    <x v="0"/>
    <n v="37"/>
    <s v="male"/>
    <x v="2"/>
    <x v="9"/>
    <n v="28801"/>
    <n v="0"/>
    <n v="1"/>
    <n v="1"/>
    <n v="0"/>
    <s v="Stores D and E."/>
    <s v="Store A."/>
    <s v="Stores A and B."/>
    <s v="ms-l"/>
    <s v="mo-h"/>
    <s v="ms-h"/>
    <n v="0"/>
    <x v="2"/>
    <x v="2"/>
    <n v="1"/>
    <n v="1"/>
    <n v="0"/>
    <n v="1"/>
    <n v="0"/>
    <n v="1"/>
    <x v="2"/>
    <n v="1"/>
    <n v="0"/>
    <n v="0"/>
    <n v="0"/>
    <x v="1"/>
  </r>
  <r>
    <s v="A3UN1F1EOHKKE6"/>
    <x v="0"/>
    <n v="37"/>
    <s v="male"/>
    <x v="3"/>
    <x v="5"/>
    <n v="65519"/>
    <n v="0"/>
    <n v="1"/>
    <n v="1"/>
    <n v="0"/>
    <s v="NA"/>
    <s v="NA"/>
    <s v="NA"/>
    <s v="NA"/>
    <s v="NA"/>
    <s v="NA"/>
    <s v="NA"/>
    <x v="2"/>
    <x v="2"/>
    <n v="1"/>
    <n v="1"/>
    <n v="0"/>
    <n v="1"/>
    <n v="0"/>
    <n v="1"/>
    <x v="2"/>
    <n v="1"/>
    <n v="0"/>
    <n v="0"/>
    <n v="0"/>
    <x v="1"/>
  </r>
  <r>
    <s v="A3UN1F1EOHKKE6"/>
    <x v="0"/>
    <n v="37"/>
    <s v="male"/>
    <x v="2"/>
    <x v="11"/>
    <n v="39418"/>
    <n v="1"/>
    <n v="1"/>
    <n v="1"/>
    <n v="0"/>
    <s v="Dentists A, B, C, D and E."/>
    <s v="Dentist F."/>
    <s v="Dentist E."/>
    <s v="exh"/>
    <s v="fa"/>
    <s v="mo-l"/>
    <n v="1"/>
    <x v="1"/>
    <x v="1"/>
    <n v="0"/>
    <n v="0"/>
    <n v="0"/>
    <n v="1"/>
    <n v="1"/>
    <n v="0"/>
    <x v="1"/>
    <n v="0"/>
    <n v="0"/>
    <n v="0"/>
    <n v="0"/>
    <x v="1"/>
  </r>
  <r>
    <s v="A3UN1F1EOHKKE6"/>
    <x v="0"/>
    <n v="37"/>
    <s v="male"/>
    <x v="3"/>
    <x v="10"/>
    <n v="58258"/>
    <n v="1"/>
    <n v="1"/>
    <n v="0"/>
    <n v="0"/>
    <s v="NA"/>
    <s v="NA"/>
    <s v="NA"/>
    <s v="NA"/>
    <s v="NA"/>
    <s v="NA"/>
    <s v="NA"/>
    <x v="1"/>
    <x v="1"/>
    <n v="0"/>
    <n v="0"/>
    <n v="0"/>
    <n v="1"/>
    <n v="1"/>
    <n v="0"/>
    <x v="1"/>
    <n v="0"/>
    <n v="0"/>
    <n v="0"/>
    <n v="0"/>
    <x v="1"/>
  </r>
  <r>
    <s v="A3UN1F1EOHKKE6"/>
    <x v="0"/>
    <n v="37"/>
    <s v="male"/>
    <x v="2"/>
    <x v="4"/>
    <n v="35364"/>
    <n v="1"/>
    <n v="0"/>
    <n v="0"/>
    <n v="0"/>
    <s v="Stalls A and B."/>
    <s v="Stall E."/>
    <s v="Stalls D and E."/>
    <s v="ms-h"/>
    <s v="mo-l"/>
    <s v="ms-l"/>
    <n v="0"/>
    <x v="1"/>
    <x v="1"/>
    <n v="1"/>
    <n v="1"/>
    <n v="0"/>
    <n v="1"/>
    <n v="0"/>
    <n v="0"/>
    <x v="2"/>
    <n v="1"/>
    <n v="0"/>
    <n v="0"/>
    <n v="0"/>
    <x v="1"/>
  </r>
  <r>
    <s v="A3UN1F1EOHKKE6"/>
    <x v="0"/>
    <n v="37"/>
    <s v="male"/>
    <x v="2"/>
    <x v="6"/>
    <n v="21800"/>
    <n v="0"/>
    <n v="0"/>
    <n v="1"/>
    <n v="0"/>
    <s v="Bookstores D and E."/>
    <s v="Bookstore E."/>
    <s v="Bookstore A."/>
    <s v="ms-l"/>
    <s v="mo-l"/>
    <s v="mo-h"/>
    <n v="0"/>
    <x v="2"/>
    <x v="1"/>
    <n v="0"/>
    <n v="1"/>
    <n v="0"/>
    <n v="1"/>
    <n v="0"/>
    <n v="1"/>
    <x v="2"/>
    <n v="0"/>
    <n v="0"/>
    <n v="0"/>
    <n v="0"/>
    <x v="1"/>
  </r>
  <r>
    <s v="A3UN1F1EOHKKE6"/>
    <x v="0"/>
    <n v="37"/>
    <s v="male"/>
    <x v="3"/>
    <x v="8"/>
    <n v="19341"/>
    <n v="1"/>
    <n v="1"/>
    <n v="0"/>
    <n v="0"/>
    <s v="NA"/>
    <s v="NA"/>
    <s v="NA"/>
    <s v="NA"/>
    <s v="NA"/>
    <s v="NA"/>
    <s v="NA"/>
    <x v="2"/>
    <x v="1"/>
    <n v="0"/>
    <n v="1"/>
    <n v="0"/>
    <n v="1"/>
    <n v="0"/>
    <n v="1"/>
    <x v="2"/>
    <n v="0"/>
    <n v="0"/>
    <n v="0"/>
    <n v="0"/>
    <x v="1"/>
  </r>
  <r>
    <s v="A3UN1F1EOHKKE6"/>
    <x v="0"/>
    <n v="37"/>
    <s v="male"/>
    <x v="2"/>
    <x v="7"/>
    <n v="22496"/>
    <n v="0"/>
    <n v="0"/>
    <n v="1"/>
    <n v="0"/>
    <s v="Stylist F."/>
    <s v="Stylist E."/>
    <s v="Stylists A, B, C, D and E."/>
    <s v="fa"/>
    <s v="mo-l"/>
    <s v="exh"/>
    <n v="1"/>
    <x v="1"/>
    <x v="1"/>
    <n v="0"/>
    <n v="0"/>
    <n v="0"/>
    <n v="1"/>
    <n v="1"/>
    <n v="0"/>
    <x v="2"/>
    <n v="0"/>
    <n v="0"/>
    <n v="0"/>
    <n v="0"/>
    <x v="1"/>
  </r>
  <r>
    <s v="A3UN1F1EOHKKE6"/>
    <x v="0"/>
    <n v="37"/>
    <s v="male"/>
    <x v="3"/>
    <x v="12"/>
    <n v="15179"/>
    <n v="1"/>
    <n v="0"/>
    <n v="0"/>
    <n v="0"/>
    <s v="NA"/>
    <s v="NA"/>
    <s v="NA"/>
    <s v="NA"/>
    <s v="NA"/>
    <s v="NA"/>
    <s v="NA"/>
    <x v="1"/>
    <x v="1"/>
    <n v="0"/>
    <n v="0"/>
    <n v="0"/>
    <n v="1"/>
    <n v="1"/>
    <n v="0"/>
    <x v="2"/>
    <n v="0"/>
    <n v="0"/>
    <n v="0"/>
    <n v="0"/>
    <x v="1"/>
  </r>
  <r>
    <s v="A3UN1F1EOHKKE6"/>
    <x v="0"/>
    <n v="37"/>
    <s v="male"/>
    <x v="4"/>
    <x v="0"/>
    <n v="161720"/>
    <s v="I would answer the same way%2C because I think that both questions are asking the same thing. Brunch is served in restaurants%2C and that fact can be assumed when the question is phrased the second way."/>
    <s v="Sometimes it was difficult because there seemed to be a level of philosophy in some of the questions and answers "/>
    <s v="Nothing else."/>
    <s v="NA"/>
    <s v="NA"/>
    <s v="NA"/>
    <s v="NA"/>
    <s v="NA"/>
    <s v="NA"/>
    <s v="NA"/>
    <s v="NA"/>
    <x v="0"/>
    <x v="0"/>
    <s v="NA"/>
    <s v="NA"/>
    <s v="NA"/>
    <s v="NA"/>
    <s v="NA"/>
    <s v="NA"/>
    <x v="0"/>
    <s v="NA"/>
    <s v="NA"/>
    <s v="NA"/>
    <s v="NA"/>
    <x v="1"/>
  </r>
  <r>
    <s v="AXP8EG22MPZY8"/>
    <x v="0"/>
    <n v="38"/>
    <s v="male"/>
    <x v="0"/>
    <x v="0"/>
    <n v="27416"/>
    <s v="NA"/>
    <s v="NA"/>
    <s v="NA"/>
    <s v="NA"/>
    <s v="NA"/>
    <s v="NA"/>
    <s v="NA"/>
    <s v="NA"/>
    <s v="NA"/>
    <s v="NA"/>
    <s v="NA"/>
    <x v="0"/>
    <x v="0"/>
    <s v="NA"/>
    <s v="NA"/>
    <s v="NA"/>
    <s v="NA"/>
    <s v="NA"/>
    <s v="NA"/>
    <x v="0"/>
    <s v="NA"/>
    <s v="NA"/>
    <s v="NA"/>
    <s v="NA"/>
    <x v="1"/>
  </r>
  <r>
    <s v="AXP8EG22MPZY8"/>
    <x v="0"/>
    <n v="38"/>
    <s v="male"/>
    <x v="1"/>
    <x v="1"/>
    <n v="56233"/>
    <n v="0"/>
    <n v="0"/>
    <n v="0"/>
    <n v="1"/>
    <s v="NA"/>
    <s v="NA"/>
    <s v="NA"/>
    <s v="NA"/>
    <s v="NA"/>
    <s v="NA"/>
    <s v="NA"/>
    <x v="0"/>
    <x v="0"/>
    <s v="NA"/>
    <s v="NA"/>
    <s v="NA"/>
    <s v="NA"/>
    <s v="NA"/>
    <s v="NA"/>
    <x v="0"/>
    <s v="NA"/>
    <s v="NA"/>
    <s v="NA"/>
    <s v="NA"/>
    <x v="1"/>
  </r>
  <r>
    <s v="AXP8EG22MPZY8"/>
    <x v="0"/>
    <n v="38"/>
    <s v="male"/>
    <x v="1"/>
    <x v="2"/>
    <n v="57853"/>
    <n v="0"/>
    <n v="0"/>
    <n v="1"/>
    <n v="0"/>
    <s v="NA"/>
    <s v="NA"/>
    <s v="NA"/>
    <s v="NA"/>
    <s v="NA"/>
    <s v="NA"/>
    <s v="NA"/>
    <x v="0"/>
    <x v="0"/>
    <s v="NA"/>
    <s v="NA"/>
    <s v="NA"/>
    <s v="NA"/>
    <s v="NA"/>
    <s v="NA"/>
    <x v="0"/>
    <s v="NA"/>
    <s v="NA"/>
    <s v="NA"/>
    <s v="NA"/>
    <x v="1"/>
  </r>
  <r>
    <s v="AXP8EG22MPZY8"/>
    <x v="0"/>
    <n v="38"/>
    <s v="male"/>
    <x v="2"/>
    <x v="9"/>
    <n v="82888"/>
    <n v="1"/>
    <n v="1"/>
    <n v="1"/>
    <n v="0"/>
    <s v="Stores A and B."/>
    <s v="Store A."/>
    <s v="Stores D and E."/>
    <s v="ms-h"/>
    <s v="mo-h"/>
    <s v="ms-l"/>
    <n v="0"/>
    <x v="2"/>
    <x v="2"/>
    <n v="1"/>
    <n v="1"/>
    <n v="0"/>
    <n v="1"/>
    <n v="0"/>
    <n v="1"/>
    <x v="2"/>
    <n v="1"/>
    <n v="1"/>
    <n v="0"/>
    <n v="0"/>
    <x v="1"/>
  </r>
  <r>
    <s v="AXP8EG22MPZY8"/>
    <x v="0"/>
    <n v="38"/>
    <s v="male"/>
    <x v="2"/>
    <x v="3"/>
    <n v="37884"/>
    <n v="1"/>
    <n v="0"/>
    <n v="1"/>
    <n v="0"/>
    <s v="Cafes D and E."/>
    <s v="Cafes A, B, C, D and E."/>
    <s v="Cafe E."/>
    <s v="ms-l"/>
    <s v="exh"/>
    <s v="mo-l"/>
    <n v="1"/>
    <x v="1"/>
    <x v="1"/>
    <n v="0"/>
    <n v="1"/>
    <n v="0"/>
    <n v="1"/>
    <n v="0"/>
    <n v="0"/>
    <x v="1"/>
    <n v="0"/>
    <n v="1"/>
    <n v="0"/>
    <n v="0"/>
    <x v="1"/>
  </r>
  <r>
    <s v="AXP8EG22MPZY8"/>
    <x v="0"/>
    <n v="38"/>
    <s v="male"/>
    <x v="3"/>
    <x v="5"/>
    <n v="108712"/>
    <n v="1"/>
    <n v="1"/>
    <n v="1"/>
    <n v="0"/>
    <s v="NA"/>
    <s v="NA"/>
    <s v="NA"/>
    <s v="NA"/>
    <s v="NA"/>
    <s v="NA"/>
    <s v="NA"/>
    <x v="1"/>
    <x v="1"/>
    <n v="0"/>
    <n v="1"/>
    <n v="0"/>
    <n v="1"/>
    <n v="0"/>
    <n v="0"/>
    <x v="1"/>
    <n v="0"/>
    <n v="1"/>
    <n v="0"/>
    <n v="0"/>
    <x v="1"/>
  </r>
  <r>
    <s v="AXP8EG22MPZY8"/>
    <x v="0"/>
    <n v="38"/>
    <s v="male"/>
    <x v="2"/>
    <x v="6"/>
    <n v="39584"/>
    <n v="1"/>
    <n v="1"/>
    <n v="1"/>
    <n v="0"/>
    <s v="Bookstores A and B."/>
    <s v="Bookstores D and E."/>
    <s v="Bookstore A."/>
    <s v="ms-h"/>
    <s v="ms-l"/>
    <s v="mo-h"/>
    <n v="0"/>
    <x v="2"/>
    <x v="2"/>
    <n v="1"/>
    <n v="1"/>
    <n v="0"/>
    <n v="1"/>
    <n v="0"/>
    <n v="1"/>
    <x v="2"/>
    <n v="1"/>
    <n v="1"/>
    <n v="0"/>
    <n v="0"/>
    <x v="1"/>
  </r>
  <r>
    <s v="AXP8EG22MPZY8"/>
    <x v="0"/>
    <n v="38"/>
    <s v="male"/>
    <x v="2"/>
    <x v="4"/>
    <n v="24629"/>
    <n v="1"/>
    <n v="1"/>
    <n v="1"/>
    <n v="0"/>
    <s v="Stalls D and E."/>
    <s v="Stall E."/>
    <s v="Stall F."/>
    <s v="ms-l"/>
    <s v="mo-l"/>
    <s v="fa"/>
    <n v="0"/>
    <x v="1"/>
    <x v="1"/>
    <n v="0"/>
    <n v="1"/>
    <n v="0"/>
    <n v="1"/>
    <n v="0"/>
    <n v="0"/>
    <x v="1"/>
    <n v="0"/>
    <n v="1"/>
    <n v="0"/>
    <n v="0"/>
    <x v="1"/>
  </r>
  <r>
    <s v="AXP8EG22MPZY8"/>
    <x v="0"/>
    <n v="38"/>
    <s v="male"/>
    <x v="3"/>
    <x v="8"/>
    <n v="28934"/>
    <n v="1"/>
    <n v="1"/>
    <n v="0"/>
    <n v="0"/>
    <s v="NA"/>
    <s v="NA"/>
    <s v="NA"/>
    <s v="NA"/>
    <s v="NA"/>
    <s v="NA"/>
    <s v="NA"/>
    <x v="1"/>
    <x v="1"/>
    <n v="0"/>
    <n v="1"/>
    <n v="0"/>
    <n v="1"/>
    <n v="0"/>
    <n v="0"/>
    <x v="1"/>
    <n v="0"/>
    <n v="1"/>
    <n v="0"/>
    <n v="0"/>
    <x v="1"/>
  </r>
  <r>
    <s v="AXP8EG22MPZY8"/>
    <x v="0"/>
    <n v="38"/>
    <s v="male"/>
    <x v="2"/>
    <x v="11"/>
    <n v="48368"/>
    <n v="0"/>
    <n v="0"/>
    <n v="0"/>
    <n v="1"/>
    <s v="Dentist A."/>
    <s v="Dentists D and E."/>
    <s v="Dentist F."/>
    <s v="mo-h"/>
    <s v="ms-l"/>
    <s v="fa"/>
    <n v="0"/>
    <x v="2"/>
    <x v="2"/>
    <n v="0"/>
    <n v="1"/>
    <n v="0"/>
    <n v="1"/>
    <n v="0"/>
    <n v="0"/>
    <x v="2"/>
    <n v="0"/>
    <n v="0"/>
    <n v="0"/>
    <n v="1"/>
    <x v="1"/>
  </r>
  <r>
    <s v="AXP8EG22MPZY8"/>
    <x v="0"/>
    <n v="38"/>
    <s v="male"/>
    <x v="3"/>
    <x v="10"/>
    <n v="66215"/>
    <n v="1"/>
    <n v="0"/>
    <n v="1"/>
    <n v="0"/>
    <s v="NA"/>
    <s v="NA"/>
    <s v="NA"/>
    <s v="NA"/>
    <s v="NA"/>
    <s v="NA"/>
    <s v="NA"/>
    <x v="2"/>
    <x v="2"/>
    <n v="0"/>
    <n v="1"/>
    <n v="0"/>
    <n v="1"/>
    <n v="0"/>
    <n v="0"/>
    <x v="2"/>
    <n v="0"/>
    <n v="0"/>
    <n v="0"/>
    <n v="1"/>
    <x v="1"/>
  </r>
  <r>
    <s v="AXP8EG22MPZY8"/>
    <x v="0"/>
    <n v="38"/>
    <s v="male"/>
    <x v="2"/>
    <x v="7"/>
    <n v="45951"/>
    <n v="1"/>
    <n v="1"/>
    <n v="1"/>
    <n v="0"/>
    <s v="Stylists D and E."/>
    <s v="Stylist A."/>
    <s v="Stylists A and B."/>
    <s v="ms-l"/>
    <s v="mo-h"/>
    <s v="ms-h"/>
    <n v="0"/>
    <x v="2"/>
    <x v="2"/>
    <n v="1"/>
    <n v="1"/>
    <n v="0"/>
    <n v="1"/>
    <n v="0"/>
    <n v="1"/>
    <x v="2"/>
    <n v="1"/>
    <n v="1"/>
    <n v="0"/>
    <n v="0"/>
    <x v="1"/>
  </r>
  <r>
    <s v="AXP8EG22MPZY8"/>
    <x v="0"/>
    <n v="38"/>
    <s v="male"/>
    <x v="3"/>
    <x v="12"/>
    <n v="27949"/>
    <n v="0"/>
    <n v="0"/>
    <n v="0"/>
    <n v="1"/>
    <s v="NA"/>
    <s v="NA"/>
    <s v="NA"/>
    <s v="NA"/>
    <s v="NA"/>
    <s v="NA"/>
    <s v="NA"/>
    <x v="2"/>
    <x v="2"/>
    <n v="1"/>
    <n v="1"/>
    <n v="0"/>
    <n v="1"/>
    <n v="0"/>
    <n v="1"/>
    <x v="2"/>
    <n v="1"/>
    <n v="1"/>
    <n v="0"/>
    <n v="0"/>
    <x v="1"/>
  </r>
  <r>
    <s v="AXP8EG22MPZY8"/>
    <x v="0"/>
    <n v="38"/>
    <s v="male"/>
    <x v="4"/>
    <x v="0"/>
    <n v="56415"/>
    <s v="No I would answer the same"/>
    <s v="No%2C because it is easy"/>
    <s v="No"/>
    <s v="NA"/>
    <s v="NA"/>
    <s v="NA"/>
    <s v="NA"/>
    <s v="NA"/>
    <s v="NA"/>
    <s v="NA"/>
    <s v="NA"/>
    <x v="0"/>
    <x v="0"/>
    <s v="NA"/>
    <s v="NA"/>
    <s v="NA"/>
    <s v="NA"/>
    <s v="NA"/>
    <s v="NA"/>
    <x v="0"/>
    <s v="NA"/>
    <s v="NA"/>
    <s v="NA"/>
    <s v="NA"/>
    <x v="1"/>
  </r>
  <r>
    <s v="A1XATJA7ENOGWB"/>
    <x v="0"/>
    <n v="46"/>
    <s v="male"/>
    <x v="0"/>
    <x v="0"/>
    <n v="29437"/>
    <s v="NA"/>
    <s v="NA"/>
    <s v="NA"/>
    <s v="NA"/>
    <s v="NA"/>
    <s v="NA"/>
    <s v="NA"/>
    <s v="NA"/>
    <s v="NA"/>
    <s v="NA"/>
    <s v="NA"/>
    <x v="0"/>
    <x v="0"/>
    <s v="NA"/>
    <s v="NA"/>
    <s v="NA"/>
    <s v="NA"/>
    <s v="NA"/>
    <s v="NA"/>
    <x v="0"/>
    <s v="NA"/>
    <s v="NA"/>
    <s v="NA"/>
    <s v="NA"/>
    <x v="1"/>
  </r>
  <r>
    <s v="A1XATJA7ENOGWB"/>
    <x v="0"/>
    <n v="46"/>
    <s v="male"/>
    <x v="1"/>
    <x v="1"/>
    <n v="36014"/>
    <n v="0"/>
    <n v="0"/>
    <n v="0"/>
    <n v="1"/>
    <s v="NA"/>
    <s v="NA"/>
    <s v="NA"/>
    <s v="NA"/>
    <s v="NA"/>
    <s v="NA"/>
    <s v="NA"/>
    <x v="0"/>
    <x v="0"/>
    <s v="NA"/>
    <s v="NA"/>
    <s v="NA"/>
    <s v="NA"/>
    <s v="NA"/>
    <s v="NA"/>
    <x v="0"/>
    <s v="NA"/>
    <s v="NA"/>
    <s v="NA"/>
    <s v="NA"/>
    <x v="1"/>
  </r>
  <r>
    <s v="A1XATJA7ENOGWB"/>
    <x v="0"/>
    <n v="46"/>
    <s v="male"/>
    <x v="1"/>
    <x v="2"/>
    <n v="46658"/>
    <n v="0"/>
    <n v="0"/>
    <n v="1"/>
    <n v="0"/>
    <s v="NA"/>
    <s v="NA"/>
    <s v="NA"/>
    <s v="NA"/>
    <s v="NA"/>
    <s v="NA"/>
    <s v="NA"/>
    <x v="0"/>
    <x v="0"/>
    <s v="NA"/>
    <s v="NA"/>
    <s v="NA"/>
    <s v="NA"/>
    <s v="NA"/>
    <s v="NA"/>
    <x v="0"/>
    <s v="NA"/>
    <s v="NA"/>
    <s v="NA"/>
    <s v="NA"/>
    <x v="1"/>
  </r>
  <r>
    <s v="A1XATJA7ENOGWB"/>
    <x v="0"/>
    <n v="46"/>
    <s v="male"/>
    <x v="2"/>
    <x v="6"/>
    <n v="177704"/>
    <n v="1"/>
    <n v="1"/>
    <n v="1"/>
    <n v="0"/>
    <s v="Bookstores A, B, C, D and E."/>
    <s v="Bookstores A and B."/>
    <s v="Bookstore E."/>
    <s v="exh"/>
    <s v="ms-h"/>
    <s v="mo-l"/>
    <n v="1"/>
    <x v="1"/>
    <x v="1"/>
    <n v="1"/>
    <n v="0"/>
    <n v="0"/>
    <n v="1"/>
    <n v="1"/>
    <n v="0"/>
    <x v="1"/>
    <n v="1"/>
    <n v="0"/>
    <n v="0"/>
    <n v="0"/>
    <x v="1"/>
  </r>
  <r>
    <s v="A1XATJA7ENOGWB"/>
    <x v="0"/>
    <n v="46"/>
    <s v="male"/>
    <x v="2"/>
    <x v="11"/>
    <n v="17861"/>
    <n v="1"/>
    <n v="1"/>
    <n v="1"/>
    <n v="0"/>
    <s v="Dentists A and B."/>
    <s v="Dentists A, B, C, D and E."/>
    <s v="Dentist A."/>
    <s v="ms-h"/>
    <s v="exh"/>
    <s v="mo-h"/>
    <n v="1"/>
    <x v="2"/>
    <x v="2"/>
    <n v="1"/>
    <n v="0"/>
    <n v="0"/>
    <n v="1"/>
    <n v="1"/>
    <n v="1"/>
    <x v="2"/>
    <n v="1"/>
    <n v="0"/>
    <n v="0"/>
    <n v="0"/>
    <x v="1"/>
  </r>
  <r>
    <s v="A1XATJA7ENOGWB"/>
    <x v="0"/>
    <n v="46"/>
    <s v="male"/>
    <x v="3"/>
    <x v="10"/>
    <n v="85503"/>
    <n v="0"/>
    <n v="0"/>
    <n v="0"/>
    <n v="1"/>
    <s v="NA"/>
    <s v="NA"/>
    <s v="NA"/>
    <s v="NA"/>
    <s v="NA"/>
    <s v="NA"/>
    <s v="NA"/>
    <x v="2"/>
    <x v="2"/>
    <n v="1"/>
    <n v="0"/>
    <n v="0"/>
    <n v="1"/>
    <n v="1"/>
    <n v="1"/>
    <x v="2"/>
    <n v="1"/>
    <n v="0"/>
    <n v="0"/>
    <n v="0"/>
    <x v="1"/>
  </r>
  <r>
    <s v="A1XATJA7ENOGWB"/>
    <x v="0"/>
    <n v="46"/>
    <s v="male"/>
    <x v="2"/>
    <x v="7"/>
    <n v="34905"/>
    <n v="1"/>
    <n v="1"/>
    <n v="1"/>
    <n v="0"/>
    <s v="Stylist A."/>
    <s v="Stylist F."/>
    <s v="Stylists D and E."/>
    <s v="mo-h"/>
    <s v="fa"/>
    <s v="ms-l"/>
    <n v="0"/>
    <x v="2"/>
    <x v="2"/>
    <n v="0"/>
    <n v="1"/>
    <n v="0"/>
    <n v="1"/>
    <n v="0"/>
    <n v="1"/>
    <x v="2"/>
    <n v="0"/>
    <n v="1"/>
    <n v="0"/>
    <n v="0"/>
    <x v="1"/>
  </r>
  <r>
    <s v="A1XATJA7ENOGWB"/>
    <x v="0"/>
    <n v="46"/>
    <s v="male"/>
    <x v="3"/>
    <x v="5"/>
    <n v="49566"/>
    <n v="0"/>
    <n v="1"/>
    <n v="0"/>
    <n v="0"/>
    <s v="NA"/>
    <s v="NA"/>
    <s v="NA"/>
    <s v="NA"/>
    <s v="NA"/>
    <s v="NA"/>
    <s v="NA"/>
    <x v="2"/>
    <x v="2"/>
    <n v="0"/>
    <n v="1"/>
    <n v="0"/>
    <n v="1"/>
    <n v="0"/>
    <n v="1"/>
    <x v="2"/>
    <n v="0"/>
    <n v="1"/>
    <n v="0"/>
    <n v="0"/>
    <x v="1"/>
  </r>
  <r>
    <s v="A1XATJA7ENOGWB"/>
    <x v="0"/>
    <n v="46"/>
    <s v="male"/>
    <x v="2"/>
    <x v="9"/>
    <n v="18699"/>
    <n v="1"/>
    <n v="1"/>
    <n v="1"/>
    <n v="0"/>
    <s v="Store E."/>
    <s v="Store A."/>
    <s v="Stores D and E."/>
    <s v="mo-l"/>
    <s v="mo-h"/>
    <s v="ms-l"/>
    <n v="0"/>
    <x v="2"/>
    <x v="1"/>
    <n v="0"/>
    <n v="1"/>
    <n v="0"/>
    <n v="1"/>
    <n v="0"/>
    <n v="1"/>
    <x v="1"/>
    <n v="0"/>
    <n v="1"/>
    <n v="0"/>
    <n v="0"/>
    <x v="1"/>
  </r>
  <r>
    <s v="A1XATJA7ENOGWB"/>
    <x v="0"/>
    <n v="46"/>
    <s v="male"/>
    <x v="2"/>
    <x v="3"/>
    <n v="14950"/>
    <n v="1"/>
    <n v="1"/>
    <n v="1"/>
    <n v="0"/>
    <s v="Cafes A and B."/>
    <s v="Cafe E."/>
    <s v="Cafe A."/>
    <s v="ms-h"/>
    <s v="mo-l"/>
    <s v="mo-h"/>
    <n v="0"/>
    <x v="2"/>
    <x v="1"/>
    <n v="1"/>
    <n v="0"/>
    <n v="0"/>
    <n v="1"/>
    <n v="0"/>
    <n v="1"/>
    <x v="1"/>
    <n v="1"/>
    <n v="0"/>
    <n v="0"/>
    <n v="0"/>
    <x v="1"/>
  </r>
  <r>
    <s v="A1XATJA7ENOGWB"/>
    <x v="0"/>
    <n v="46"/>
    <s v="male"/>
    <x v="3"/>
    <x v="8"/>
    <n v="41348"/>
    <n v="0"/>
    <n v="0"/>
    <n v="0"/>
    <n v="1"/>
    <s v="NA"/>
    <s v="NA"/>
    <s v="NA"/>
    <s v="NA"/>
    <s v="NA"/>
    <s v="NA"/>
    <s v="NA"/>
    <x v="2"/>
    <x v="1"/>
    <n v="1"/>
    <n v="0"/>
    <n v="0"/>
    <n v="1"/>
    <n v="0"/>
    <n v="1"/>
    <x v="1"/>
    <n v="1"/>
    <n v="0"/>
    <n v="0"/>
    <n v="0"/>
    <x v="1"/>
  </r>
  <r>
    <s v="A1XATJA7ENOGWB"/>
    <x v="0"/>
    <n v="46"/>
    <s v="male"/>
    <x v="2"/>
    <x v="4"/>
    <n v="22845"/>
    <n v="1"/>
    <n v="1"/>
    <n v="1"/>
    <n v="0"/>
    <s v="Stalls D and E."/>
    <s v="Stalls A, B, C, D and E."/>
    <s v="Stalls A and B."/>
    <s v="ms-l"/>
    <s v="exh"/>
    <s v="ms-h"/>
    <n v="1"/>
    <x v="1"/>
    <x v="2"/>
    <n v="1"/>
    <n v="1"/>
    <n v="0"/>
    <n v="1"/>
    <n v="1"/>
    <n v="0"/>
    <x v="2"/>
    <n v="1"/>
    <n v="1"/>
    <n v="0"/>
    <n v="0"/>
    <x v="1"/>
  </r>
  <r>
    <s v="A1XATJA7ENOGWB"/>
    <x v="0"/>
    <n v="46"/>
    <s v="male"/>
    <x v="3"/>
    <x v="12"/>
    <n v="41852"/>
    <n v="1"/>
    <n v="0"/>
    <n v="0"/>
    <n v="0"/>
    <s v="NA"/>
    <s v="NA"/>
    <s v="NA"/>
    <s v="NA"/>
    <s v="NA"/>
    <s v="NA"/>
    <s v="NA"/>
    <x v="1"/>
    <x v="2"/>
    <n v="1"/>
    <n v="1"/>
    <n v="0"/>
    <n v="1"/>
    <n v="1"/>
    <n v="0"/>
    <x v="2"/>
    <n v="1"/>
    <n v="1"/>
    <n v="0"/>
    <n v="0"/>
    <x v="1"/>
  </r>
  <r>
    <s v="A1XATJA7ENOGWB"/>
    <x v="0"/>
    <n v="46"/>
    <s v="male"/>
    <x v="4"/>
    <x v="0"/>
    <n v="50141"/>
    <s v="No%2C the traveler is still asking the same thing."/>
    <s v="No"/>
    <s v="No"/>
    <s v="NA"/>
    <s v="NA"/>
    <s v="NA"/>
    <s v="NA"/>
    <s v="NA"/>
    <s v="NA"/>
    <s v="NA"/>
    <s v="NA"/>
    <x v="0"/>
    <x v="0"/>
    <s v="NA"/>
    <s v="NA"/>
    <s v="NA"/>
    <s v="NA"/>
    <s v="NA"/>
    <s v="NA"/>
    <x v="0"/>
    <s v="NA"/>
    <s v="NA"/>
    <s v="NA"/>
    <s v="NA"/>
    <x v="1"/>
  </r>
  <r>
    <s v="A2W5Q0IVJUS7Y6"/>
    <x v="0"/>
    <n v="67"/>
    <s v="male"/>
    <x v="0"/>
    <x v="0"/>
    <n v="82416"/>
    <s v="NA"/>
    <s v="NA"/>
    <s v="NA"/>
    <s v="NA"/>
    <s v="NA"/>
    <s v="NA"/>
    <s v="NA"/>
    <s v="NA"/>
    <s v="NA"/>
    <s v="NA"/>
    <s v="NA"/>
    <x v="0"/>
    <x v="0"/>
    <s v="NA"/>
    <s v="NA"/>
    <s v="NA"/>
    <s v="NA"/>
    <s v="NA"/>
    <s v="NA"/>
    <x v="0"/>
    <s v="NA"/>
    <s v="NA"/>
    <s v="NA"/>
    <s v="NA"/>
    <x v="1"/>
  </r>
  <r>
    <s v="A2W5Q0IVJUS7Y6"/>
    <x v="0"/>
    <n v="67"/>
    <s v="male"/>
    <x v="1"/>
    <x v="1"/>
    <n v="54660"/>
    <n v="0"/>
    <n v="0"/>
    <n v="0"/>
    <n v="1"/>
    <s v="NA"/>
    <s v="NA"/>
    <s v="NA"/>
    <s v="NA"/>
    <s v="NA"/>
    <s v="NA"/>
    <s v="NA"/>
    <x v="0"/>
    <x v="0"/>
    <s v="NA"/>
    <s v="NA"/>
    <s v="NA"/>
    <s v="NA"/>
    <s v="NA"/>
    <s v="NA"/>
    <x v="0"/>
    <s v="NA"/>
    <s v="NA"/>
    <s v="NA"/>
    <s v="NA"/>
    <x v="1"/>
  </r>
  <r>
    <s v="A2W5Q0IVJUS7Y6"/>
    <x v="0"/>
    <n v="67"/>
    <s v="male"/>
    <x v="1"/>
    <x v="2"/>
    <n v="31088"/>
    <n v="0"/>
    <n v="0"/>
    <n v="1"/>
    <n v="0"/>
    <s v="NA"/>
    <s v="NA"/>
    <s v="NA"/>
    <s v="NA"/>
    <s v="NA"/>
    <s v="NA"/>
    <s v="NA"/>
    <x v="0"/>
    <x v="0"/>
    <s v="NA"/>
    <s v="NA"/>
    <s v="NA"/>
    <s v="NA"/>
    <s v="NA"/>
    <s v="NA"/>
    <x v="0"/>
    <s v="NA"/>
    <s v="NA"/>
    <s v="NA"/>
    <s v="NA"/>
    <x v="1"/>
  </r>
  <r>
    <s v="A2W5Q0IVJUS7Y6"/>
    <x v="0"/>
    <n v="67"/>
    <s v="male"/>
    <x v="2"/>
    <x v="11"/>
    <n v="69247"/>
    <n v="0"/>
    <n v="1"/>
    <n v="1"/>
    <n v="0"/>
    <s v="Dentists A and B."/>
    <s v="Dentist E."/>
    <s v="Dentist A."/>
    <s v="ms-h"/>
    <s v="mo-l"/>
    <s v="mo-h"/>
    <n v="0"/>
    <x v="2"/>
    <x v="1"/>
    <n v="1"/>
    <n v="0"/>
    <n v="0"/>
    <n v="1"/>
    <n v="0"/>
    <n v="1"/>
    <x v="1"/>
    <n v="0"/>
    <n v="0"/>
    <n v="0"/>
    <n v="0"/>
    <x v="1"/>
  </r>
  <r>
    <s v="A2W5Q0IVJUS7Y6"/>
    <x v="0"/>
    <n v="67"/>
    <s v="male"/>
    <x v="3"/>
    <x v="5"/>
    <n v="26375"/>
    <n v="0"/>
    <n v="0"/>
    <n v="1"/>
    <n v="0"/>
    <s v="NA"/>
    <s v="NA"/>
    <s v="NA"/>
    <s v="NA"/>
    <s v="NA"/>
    <s v="NA"/>
    <s v="NA"/>
    <x v="2"/>
    <x v="1"/>
    <n v="1"/>
    <n v="0"/>
    <n v="0"/>
    <n v="1"/>
    <n v="0"/>
    <n v="1"/>
    <x v="1"/>
    <n v="0"/>
    <n v="0"/>
    <n v="0"/>
    <n v="0"/>
    <x v="1"/>
  </r>
  <r>
    <s v="A2W5Q0IVJUS7Y6"/>
    <x v="0"/>
    <n v="67"/>
    <s v="male"/>
    <x v="2"/>
    <x v="7"/>
    <n v="27034"/>
    <n v="0"/>
    <n v="1"/>
    <n v="0"/>
    <n v="0"/>
    <s v="Stylists D and E."/>
    <s v="Stylists A and B."/>
    <s v="Stylist E."/>
    <s v="ms-l"/>
    <s v="ms-h"/>
    <s v="mo-l"/>
    <n v="0"/>
    <x v="1"/>
    <x v="1"/>
    <n v="1"/>
    <n v="1"/>
    <n v="0"/>
    <n v="1"/>
    <n v="0"/>
    <n v="0"/>
    <x v="2"/>
    <n v="1"/>
    <n v="0"/>
    <n v="0"/>
    <n v="0"/>
    <x v="1"/>
  </r>
  <r>
    <s v="A2W5Q0IVJUS7Y6"/>
    <x v="0"/>
    <n v="67"/>
    <s v="male"/>
    <x v="2"/>
    <x v="9"/>
    <n v="35766"/>
    <n v="1"/>
    <n v="1"/>
    <n v="1"/>
    <n v="0"/>
    <s v="Store F."/>
    <s v="Store A."/>
    <s v="Stores A and B."/>
    <s v="fa"/>
    <s v="mo-h"/>
    <s v="ms-h"/>
    <n v="0"/>
    <x v="2"/>
    <x v="2"/>
    <n v="1"/>
    <n v="0"/>
    <n v="0"/>
    <n v="1"/>
    <n v="0"/>
    <n v="1"/>
    <x v="2"/>
    <n v="1"/>
    <n v="0"/>
    <n v="0"/>
    <n v="0"/>
    <x v="1"/>
  </r>
  <r>
    <s v="A2W5Q0IVJUS7Y6"/>
    <x v="0"/>
    <n v="67"/>
    <s v="male"/>
    <x v="3"/>
    <x v="12"/>
    <n v="18848"/>
    <n v="1"/>
    <n v="1"/>
    <n v="0"/>
    <n v="0"/>
    <s v="NA"/>
    <s v="NA"/>
    <s v="NA"/>
    <s v="NA"/>
    <s v="NA"/>
    <s v="NA"/>
    <s v="NA"/>
    <x v="2"/>
    <x v="2"/>
    <n v="1"/>
    <n v="0"/>
    <n v="0"/>
    <n v="1"/>
    <n v="0"/>
    <n v="1"/>
    <x v="2"/>
    <n v="1"/>
    <n v="0"/>
    <n v="0"/>
    <n v="0"/>
    <x v="1"/>
  </r>
  <r>
    <s v="A2W5Q0IVJUS7Y6"/>
    <x v="0"/>
    <n v="67"/>
    <s v="male"/>
    <x v="2"/>
    <x v="3"/>
    <n v="25903"/>
    <n v="1"/>
    <n v="1"/>
    <n v="0"/>
    <n v="0"/>
    <s v="Cafe E."/>
    <s v="Cafe A."/>
    <s v="Cafes A and B."/>
    <s v="mo-l"/>
    <s v="mo-h"/>
    <s v="ms-h"/>
    <n v="0"/>
    <x v="2"/>
    <x v="1"/>
    <n v="1"/>
    <n v="0"/>
    <n v="0"/>
    <n v="1"/>
    <n v="0"/>
    <n v="1"/>
    <x v="1"/>
    <n v="0"/>
    <n v="0"/>
    <n v="0"/>
    <n v="0"/>
    <x v="1"/>
  </r>
  <r>
    <s v="A2W5Q0IVJUS7Y6"/>
    <x v="0"/>
    <n v="67"/>
    <s v="male"/>
    <x v="3"/>
    <x v="8"/>
    <n v="39317"/>
    <n v="1"/>
    <n v="1"/>
    <n v="0"/>
    <n v="0"/>
    <s v="NA"/>
    <s v="NA"/>
    <s v="NA"/>
    <s v="NA"/>
    <s v="NA"/>
    <s v="NA"/>
    <s v="NA"/>
    <x v="2"/>
    <x v="1"/>
    <n v="1"/>
    <n v="0"/>
    <n v="0"/>
    <n v="1"/>
    <n v="0"/>
    <n v="1"/>
    <x v="1"/>
    <n v="0"/>
    <n v="0"/>
    <n v="0"/>
    <n v="0"/>
    <x v="1"/>
  </r>
  <r>
    <s v="A2W5Q0IVJUS7Y6"/>
    <x v="0"/>
    <n v="67"/>
    <s v="male"/>
    <x v="2"/>
    <x v="4"/>
    <n v="31056"/>
    <n v="1"/>
    <n v="1"/>
    <n v="1"/>
    <n v="0"/>
    <s v="Stall E."/>
    <s v="Stall A."/>
    <s v="Stalls D and E."/>
    <s v="mo-l"/>
    <s v="mo-h"/>
    <s v="ms-l"/>
    <n v="0"/>
    <x v="2"/>
    <x v="1"/>
    <n v="0"/>
    <n v="1"/>
    <n v="0"/>
    <n v="1"/>
    <n v="0"/>
    <n v="1"/>
    <x v="1"/>
    <n v="0"/>
    <n v="1"/>
    <n v="0"/>
    <n v="0"/>
    <x v="1"/>
  </r>
  <r>
    <s v="A2W5Q0IVJUS7Y6"/>
    <x v="0"/>
    <n v="67"/>
    <s v="male"/>
    <x v="2"/>
    <x v="6"/>
    <n v="34015"/>
    <n v="1"/>
    <n v="1"/>
    <n v="1"/>
    <n v="0"/>
    <s v="Bookstores A, B, C, D and E."/>
    <s v="Bookstore A."/>
    <s v="Bookstores A and B."/>
    <s v="exh"/>
    <s v="mo-h"/>
    <s v="ms-h"/>
    <n v="1"/>
    <x v="2"/>
    <x v="2"/>
    <n v="1"/>
    <n v="0"/>
    <n v="0"/>
    <n v="1"/>
    <n v="1"/>
    <n v="1"/>
    <x v="2"/>
    <n v="1"/>
    <n v="0"/>
    <n v="0"/>
    <n v="0"/>
    <x v="1"/>
  </r>
  <r>
    <s v="A2W5Q0IVJUS7Y6"/>
    <x v="0"/>
    <n v="67"/>
    <s v="male"/>
    <x v="3"/>
    <x v="10"/>
    <n v="28496"/>
    <n v="1"/>
    <n v="1"/>
    <n v="0"/>
    <n v="0"/>
    <s v="NA"/>
    <s v="NA"/>
    <s v="NA"/>
    <s v="NA"/>
    <s v="NA"/>
    <s v="NA"/>
    <s v="NA"/>
    <x v="2"/>
    <x v="2"/>
    <n v="1"/>
    <n v="0"/>
    <n v="0"/>
    <n v="1"/>
    <n v="1"/>
    <n v="1"/>
    <x v="2"/>
    <n v="1"/>
    <n v="0"/>
    <n v="0"/>
    <n v="0"/>
    <x v="1"/>
  </r>
  <r>
    <s v="A2W5Q0IVJUS7Y6"/>
    <x v="0"/>
    <n v="67"/>
    <s v="male"/>
    <x v="4"/>
    <x v="0"/>
    <n v="301156"/>
    <s v="No%2Ca traveler would 0nly go to a restaurant."/>
    <s v="Yes%2C a little but I think a traveler only go to a restaurant and not somewhere else."/>
    <s v="thank you"/>
    <s v="NA"/>
    <s v="NA"/>
    <s v="NA"/>
    <s v="NA"/>
    <s v="NA"/>
    <s v="NA"/>
    <s v="NA"/>
    <s v="NA"/>
    <x v="0"/>
    <x v="0"/>
    <s v="NA"/>
    <s v="NA"/>
    <s v="NA"/>
    <s v="NA"/>
    <s v="NA"/>
    <s v="NA"/>
    <x v="0"/>
    <s v="NA"/>
    <s v="NA"/>
    <s v="NA"/>
    <s v="NA"/>
    <x v="1"/>
  </r>
  <r>
    <s v="AKAPWAUEDPVGV"/>
    <x v="0"/>
    <n v="30"/>
    <s v="female"/>
    <x v="0"/>
    <x v="0"/>
    <n v="96179"/>
    <s v="NA"/>
    <s v="NA"/>
    <s v="NA"/>
    <s v="NA"/>
    <s v="NA"/>
    <s v="NA"/>
    <s v="NA"/>
    <s v="NA"/>
    <s v="NA"/>
    <s v="NA"/>
    <s v="NA"/>
    <x v="0"/>
    <x v="0"/>
    <s v="NA"/>
    <s v="NA"/>
    <s v="NA"/>
    <s v="NA"/>
    <s v="NA"/>
    <s v="NA"/>
    <x v="0"/>
    <s v="NA"/>
    <s v="NA"/>
    <s v="NA"/>
    <s v="NA"/>
    <x v="1"/>
  </r>
  <r>
    <s v="AKAPWAUEDPVGV"/>
    <x v="0"/>
    <n v="30"/>
    <s v="female"/>
    <x v="1"/>
    <x v="1"/>
    <n v="18711"/>
    <n v="1"/>
    <n v="0"/>
    <n v="1"/>
    <n v="0"/>
    <s v="NA"/>
    <s v="NA"/>
    <s v="NA"/>
    <s v="NA"/>
    <s v="NA"/>
    <s v="NA"/>
    <s v="NA"/>
    <x v="0"/>
    <x v="0"/>
    <s v="NA"/>
    <s v="NA"/>
    <s v="NA"/>
    <s v="NA"/>
    <s v="NA"/>
    <s v="NA"/>
    <x v="0"/>
    <s v="NA"/>
    <s v="NA"/>
    <s v="NA"/>
    <s v="NA"/>
    <x v="1"/>
  </r>
  <r>
    <s v="AKAPWAUEDPVGV"/>
    <x v="0"/>
    <n v="30"/>
    <s v="female"/>
    <x v="1"/>
    <x v="2"/>
    <n v="157969"/>
    <n v="0"/>
    <n v="1"/>
    <n v="1"/>
    <n v="0"/>
    <s v="NA"/>
    <s v="NA"/>
    <s v="NA"/>
    <s v="NA"/>
    <s v="NA"/>
    <s v="NA"/>
    <s v="NA"/>
    <x v="0"/>
    <x v="0"/>
    <s v="NA"/>
    <s v="NA"/>
    <s v="NA"/>
    <s v="NA"/>
    <s v="NA"/>
    <s v="NA"/>
    <x v="0"/>
    <s v="NA"/>
    <s v="NA"/>
    <s v="NA"/>
    <s v="NA"/>
    <x v="1"/>
  </r>
  <r>
    <s v="AKAPWAUEDPVGV"/>
    <x v="0"/>
    <n v="30"/>
    <s v="female"/>
    <x v="2"/>
    <x v="3"/>
    <n v="47236"/>
    <n v="0"/>
    <n v="1"/>
    <n v="0"/>
    <n v="0"/>
    <s v="Cafes D and E."/>
    <s v="Cafes A and B."/>
    <s v="Cafe A."/>
    <s v="ms-l"/>
    <s v="ms-h"/>
    <s v="mo-h"/>
    <n v="0"/>
    <x v="2"/>
    <x v="2"/>
    <n v="1"/>
    <n v="1"/>
    <n v="0"/>
    <n v="1"/>
    <n v="0"/>
    <n v="0"/>
    <x v="2"/>
    <n v="1"/>
    <n v="0"/>
    <n v="0"/>
    <n v="0"/>
    <x v="1"/>
  </r>
  <r>
    <s v="AKAPWAUEDPVGV"/>
    <x v="0"/>
    <n v="30"/>
    <s v="female"/>
    <x v="2"/>
    <x v="6"/>
    <n v="16545"/>
    <n v="0"/>
    <n v="1"/>
    <n v="0"/>
    <n v="0"/>
    <s v="Bookstores D and E."/>
    <s v="Bookstores A and B."/>
    <s v="Bookstores A, B, C, D and E."/>
    <s v="ms-l"/>
    <s v="ms-h"/>
    <s v="exh"/>
    <n v="1"/>
    <x v="1"/>
    <x v="2"/>
    <n v="1"/>
    <n v="1"/>
    <n v="0"/>
    <n v="1"/>
    <n v="0"/>
    <n v="0"/>
    <x v="2"/>
    <n v="1"/>
    <n v="0"/>
    <n v="0"/>
    <n v="0"/>
    <x v="1"/>
  </r>
  <r>
    <s v="AKAPWAUEDPVGV"/>
    <x v="0"/>
    <n v="30"/>
    <s v="female"/>
    <x v="3"/>
    <x v="10"/>
    <n v="5534"/>
    <n v="0"/>
    <n v="0"/>
    <n v="1"/>
    <n v="0"/>
    <s v="NA"/>
    <s v="NA"/>
    <s v="NA"/>
    <s v="NA"/>
    <s v="NA"/>
    <s v="NA"/>
    <s v="NA"/>
    <x v="1"/>
    <x v="2"/>
    <n v="1"/>
    <n v="1"/>
    <n v="0"/>
    <n v="1"/>
    <n v="0"/>
    <n v="0"/>
    <x v="2"/>
    <n v="1"/>
    <n v="0"/>
    <n v="0"/>
    <n v="0"/>
    <x v="1"/>
  </r>
  <r>
    <s v="AKAPWAUEDPVGV"/>
    <x v="0"/>
    <n v="30"/>
    <s v="female"/>
    <x v="2"/>
    <x v="7"/>
    <n v="13047"/>
    <n v="0"/>
    <n v="1"/>
    <n v="0"/>
    <n v="0"/>
    <s v="Stylists D and E."/>
    <s v="Stylist E."/>
    <s v="Stylist A."/>
    <s v="ms-l"/>
    <s v="mo-l"/>
    <s v="mo-h"/>
    <n v="0"/>
    <x v="2"/>
    <x v="1"/>
    <n v="0"/>
    <n v="1"/>
    <n v="0"/>
    <n v="1"/>
    <n v="0"/>
    <n v="0"/>
    <x v="1"/>
    <n v="0"/>
    <n v="0"/>
    <n v="0"/>
    <n v="0"/>
    <x v="1"/>
  </r>
  <r>
    <s v="AKAPWAUEDPVGV"/>
    <x v="0"/>
    <n v="30"/>
    <s v="female"/>
    <x v="3"/>
    <x v="12"/>
    <n v="3843"/>
    <n v="0"/>
    <n v="1"/>
    <n v="0"/>
    <n v="0"/>
    <s v="NA"/>
    <s v="NA"/>
    <s v="NA"/>
    <s v="NA"/>
    <s v="NA"/>
    <s v="NA"/>
    <s v="NA"/>
    <x v="2"/>
    <x v="1"/>
    <n v="0"/>
    <n v="1"/>
    <n v="0"/>
    <n v="1"/>
    <n v="0"/>
    <n v="0"/>
    <x v="1"/>
    <n v="0"/>
    <n v="0"/>
    <n v="0"/>
    <n v="0"/>
    <x v="1"/>
  </r>
  <r>
    <s v="AKAPWAUEDPVGV"/>
    <x v="0"/>
    <n v="30"/>
    <s v="female"/>
    <x v="2"/>
    <x v="11"/>
    <n v="4461"/>
    <n v="0"/>
    <n v="1"/>
    <n v="0"/>
    <n v="0"/>
    <s v="Dentist F."/>
    <s v="Dentists D and E."/>
    <s v="Dentists A, B, C, D and E."/>
    <s v="fa"/>
    <s v="ms-l"/>
    <s v="exh"/>
    <n v="1"/>
    <x v="1"/>
    <x v="2"/>
    <n v="0"/>
    <n v="1"/>
    <n v="0"/>
    <n v="1"/>
    <n v="0"/>
    <n v="0"/>
    <x v="2"/>
    <n v="0"/>
    <n v="1"/>
    <n v="0"/>
    <n v="0"/>
    <x v="1"/>
  </r>
  <r>
    <s v="AKAPWAUEDPVGV"/>
    <x v="0"/>
    <n v="30"/>
    <s v="female"/>
    <x v="2"/>
    <x v="9"/>
    <n v="8213"/>
    <n v="0"/>
    <n v="0"/>
    <n v="1"/>
    <n v="0"/>
    <s v="Stores A, B, C, D and E."/>
    <s v="Store A."/>
    <s v="Stores D and E."/>
    <s v="exh"/>
    <s v="mo-h"/>
    <s v="ms-l"/>
    <n v="1"/>
    <x v="2"/>
    <x v="2"/>
    <n v="0"/>
    <n v="1"/>
    <n v="0"/>
    <n v="1"/>
    <n v="0"/>
    <n v="0"/>
    <x v="2"/>
    <n v="0"/>
    <n v="1"/>
    <n v="0"/>
    <n v="0"/>
    <x v="1"/>
  </r>
  <r>
    <s v="AKAPWAUEDPVGV"/>
    <x v="0"/>
    <n v="30"/>
    <s v="female"/>
    <x v="3"/>
    <x v="5"/>
    <n v="4222"/>
    <n v="0"/>
    <n v="0"/>
    <n v="1"/>
    <n v="0"/>
    <s v="NA"/>
    <s v="NA"/>
    <s v="NA"/>
    <s v="NA"/>
    <s v="NA"/>
    <s v="NA"/>
    <s v="NA"/>
    <x v="2"/>
    <x v="2"/>
    <n v="0"/>
    <n v="1"/>
    <n v="0"/>
    <n v="1"/>
    <n v="0"/>
    <n v="0"/>
    <x v="2"/>
    <n v="0"/>
    <n v="1"/>
    <n v="0"/>
    <n v="0"/>
    <x v="1"/>
  </r>
  <r>
    <s v="AKAPWAUEDPVGV"/>
    <x v="0"/>
    <n v="30"/>
    <s v="female"/>
    <x v="2"/>
    <x v="4"/>
    <n v="6699"/>
    <n v="0"/>
    <n v="0"/>
    <n v="1"/>
    <n v="0"/>
    <s v="Stalls A and B."/>
    <s v="Stalls D and E."/>
    <s v="Stall F."/>
    <s v="ms-h"/>
    <s v="ms-l"/>
    <s v="fa"/>
    <n v="0"/>
    <x v="1"/>
    <x v="2"/>
    <n v="1"/>
    <n v="1"/>
    <n v="0"/>
    <n v="1"/>
    <n v="0"/>
    <n v="0"/>
    <x v="2"/>
    <n v="0"/>
    <n v="0"/>
    <n v="0"/>
    <n v="0"/>
    <x v="1"/>
  </r>
  <r>
    <s v="AKAPWAUEDPVGV"/>
    <x v="0"/>
    <n v="30"/>
    <s v="female"/>
    <x v="3"/>
    <x v="8"/>
    <n v="10224"/>
    <n v="0"/>
    <n v="1"/>
    <n v="0"/>
    <n v="0"/>
    <s v="NA"/>
    <s v="NA"/>
    <s v="NA"/>
    <s v="NA"/>
    <s v="NA"/>
    <s v="NA"/>
    <s v="NA"/>
    <x v="1"/>
    <x v="2"/>
    <n v="1"/>
    <n v="1"/>
    <n v="0"/>
    <n v="1"/>
    <n v="0"/>
    <n v="0"/>
    <x v="2"/>
    <n v="0"/>
    <n v="0"/>
    <n v="0"/>
    <n v="0"/>
    <x v="1"/>
  </r>
  <r>
    <s v="AKAPWAUEDPVGV"/>
    <x v="0"/>
    <n v="30"/>
    <s v="female"/>
    <x v="4"/>
    <x v="0"/>
    <n v="279010"/>
    <s v="almost every restaurants save the brunch but the specific restaurants are more useful than others"/>
    <s v="no"/>
    <s v="it's interesting"/>
    <s v="NA"/>
    <s v="NA"/>
    <s v="NA"/>
    <s v="NA"/>
    <s v="NA"/>
    <s v="NA"/>
    <s v="NA"/>
    <s v="NA"/>
    <x v="0"/>
    <x v="0"/>
    <s v="NA"/>
    <s v="NA"/>
    <s v="NA"/>
    <s v="NA"/>
    <s v="NA"/>
    <s v="NA"/>
    <x v="0"/>
    <s v="NA"/>
    <s v="NA"/>
    <s v="NA"/>
    <s v="NA"/>
    <x v="1"/>
  </r>
  <r>
    <s v="A39BSJLRE2AQD4"/>
    <x v="0"/>
    <n v="35"/>
    <s v="male"/>
    <x v="0"/>
    <x v="0"/>
    <n v="41695"/>
    <s v="NA"/>
    <s v="NA"/>
    <s v="NA"/>
    <s v="NA"/>
    <s v="NA"/>
    <s v="NA"/>
    <s v="NA"/>
    <s v="NA"/>
    <s v="NA"/>
    <s v="NA"/>
    <s v="NA"/>
    <x v="0"/>
    <x v="0"/>
    <s v="NA"/>
    <s v="NA"/>
    <s v="NA"/>
    <s v="NA"/>
    <s v="NA"/>
    <s v="NA"/>
    <x v="0"/>
    <s v="NA"/>
    <s v="NA"/>
    <s v="NA"/>
    <s v="NA"/>
    <x v="1"/>
  </r>
  <r>
    <s v="A39BSJLRE2AQD4"/>
    <x v="0"/>
    <n v="35"/>
    <s v="male"/>
    <x v="1"/>
    <x v="1"/>
    <n v="67488"/>
    <n v="1"/>
    <n v="1"/>
    <n v="0"/>
    <n v="0"/>
    <s v="NA"/>
    <s v="NA"/>
    <s v="NA"/>
    <s v="NA"/>
    <s v="NA"/>
    <s v="NA"/>
    <s v="NA"/>
    <x v="0"/>
    <x v="0"/>
    <s v="NA"/>
    <s v="NA"/>
    <s v="NA"/>
    <s v="NA"/>
    <s v="NA"/>
    <s v="NA"/>
    <x v="0"/>
    <s v="NA"/>
    <s v="NA"/>
    <s v="NA"/>
    <s v="NA"/>
    <x v="1"/>
  </r>
  <r>
    <s v="A39BSJLRE2AQD4"/>
    <x v="0"/>
    <n v="35"/>
    <s v="male"/>
    <x v="1"/>
    <x v="2"/>
    <n v="21589"/>
    <n v="1"/>
    <n v="1"/>
    <n v="1"/>
    <n v="0"/>
    <s v="NA"/>
    <s v="NA"/>
    <s v="NA"/>
    <s v="NA"/>
    <s v="NA"/>
    <s v="NA"/>
    <s v="NA"/>
    <x v="0"/>
    <x v="0"/>
    <s v="NA"/>
    <s v="NA"/>
    <s v="NA"/>
    <s v="NA"/>
    <s v="NA"/>
    <s v="NA"/>
    <x v="0"/>
    <s v="NA"/>
    <s v="NA"/>
    <s v="NA"/>
    <s v="NA"/>
    <x v="1"/>
  </r>
  <r>
    <s v="A39BSJLRE2AQD4"/>
    <x v="0"/>
    <n v="35"/>
    <s v="male"/>
    <x v="2"/>
    <x v="6"/>
    <n v="106597"/>
    <n v="1"/>
    <n v="1"/>
    <n v="0"/>
    <n v="0"/>
    <s v="Bookstores D and E."/>
    <s v="Bookstores A and B."/>
    <s v="Bookstore E."/>
    <s v="ms-l"/>
    <s v="ms-h"/>
    <s v="mo-l"/>
    <n v="0"/>
    <x v="1"/>
    <x v="1"/>
    <n v="1"/>
    <n v="1"/>
    <n v="0"/>
    <n v="1"/>
    <n v="0"/>
    <n v="0"/>
    <x v="2"/>
    <n v="1"/>
    <n v="1"/>
    <n v="0"/>
    <n v="0"/>
    <x v="1"/>
  </r>
  <r>
    <s v="A39BSJLRE2AQD4"/>
    <x v="0"/>
    <n v="35"/>
    <s v="male"/>
    <x v="3"/>
    <x v="5"/>
    <n v="41849"/>
    <n v="1"/>
    <n v="1"/>
    <n v="0"/>
    <n v="0"/>
    <s v="NA"/>
    <s v="NA"/>
    <s v="NA"/>
    <s v="NA"/>
    <s v="NA"/>
    <s v="NA"/>
    <s v="NA"/>
    <x v="1"/>
    <x v="1"/>
    <n v="1"/>
    <n v="1"/>
    <n v="0"/>
    <n v="1"/>
    <n v="0"/>
    <n v="0"/>
    <x v="2"/>
    <n v="1"/>
    <n v="1"/>
    <n v="0"/>
    <n v="0"/>
    <x v="1"/>
  </r>
  <r>
    <s v="A39BSJLRE2AQD4"/>
    <x v="0"/>
    <n v="35"/>
    <s v="male"/>
    <x v="2"/>
    <x v="7"/>
    <n v="21429"/>
    <n v="0"/>
    <n v="1"/>
    <n v="0"/>
    <n v="0"/>
    <s v="Stylist E."/>
    <s v="Stylists D and E."/>
    <s v="Stylist F."/>
    <s v="mo-l"/>
    <s v="ms-l"/>
    <s v="fa"/>
    <n v="0"/>
    <x v="1"/>
    <x v="1"/>
    <n v="0"/>
    <n v="1"/>
    <n v="0"/>
    <n v="1"/>
    <n v="0"/>
    <n v="0"/>
    <x v="2"/>
    <n v="0"/>
    <n v="1"/>
    <n v="0"/>
    <n v="0"/>
    <x v="1"/>
  </r>
  <r>
    <s v="A39BSJLRE2AQD4"/>
    <x v="0"/>
    <n v="35"/>
    <s v="male"/>
    <x v="2"/>
    <x v="9"/>
    <n v="8682"/>
    <n v="0"/>
    <n v="1"/>
    <n v="0"/>
    <n v="0"/>
    <s v="Stores A and B."/>
    <s v="Store F."/>
    <s v="Store A."/>
    <s v="ms-h"/>
    <s v="fa"/>
    <s v="mo-h"/>
    <n v="0"/>
    <x v="2"/>
    <x v="2"/>
    <n v="1"/>
    <n v="0"/>
    <n v="0"/>
    <n v="1"/>
    <n v="0"/>
    <n v="0"/>
    <x v="2"/>
    <n v="0"/>
    <n v="0"/>
    <n v="0"/>
    <n v="0"/>
    <x v="1"/>
  </r>
  <r>
    <s v="A39BSJLRE2AQD4"/>
    <x v="0"/>
    <n v="35"/>
    <s v="male"/>
    <x v="3"/>
    <x v="12"/>
    <n v="11255"/>
    <n v="0"/>
    <n v="1"/>
    <n v="0"/>
    <n v="0"/>
    <s v="NA"/>
    <s v="NA"/>
    <s v="NA"/>
    <s v="NA"/>
    <s v="NA"/>
    <s v="NA"/>
    <s v="NA"/>
    <x v="2"/>
    <x v="2"/>
    <n v="1"/>
    <n v="0"/>
    <n v="0"/>
    <n v="1"/>
    <n v="0"/>
    <n v="0"/>
    <x v="2"/>
    <n v="0"/>
    <n v="0"/>
    <n v="0"/>
    <n v="0"/>
    <x v="1"/>
  </r>
  <r>
    <s v="A39BSJLRE2AQD4"/>
    <x v="0"/>
    <n v="35"/>
    <s v="male"/>
    <x v="2"/>
    <x v="4"/>
    <n v="17957"/>
    <n v="1"/>
    <n v="1"/>
    <n v="0"/>
    <n v="0"/>
    <s v="Stall F."/>
    <s v="Stall E."/>
    <s v="Stalls D and E."/>
    <s v="fa"/>
    <s v="mo-l"/>
    <s v="ms-l"/>
    <n v="0"/>
    <x v="1"/>
    <x v="1"/>
    <n v="0"/>
    <n v="1"/>
    <n v="0"/>
    <n v="1"/>
    <n v="0"/>
    <n v="0"/>
    <x v="1"/>
    <n v="0"/>
    <n v="0"/>
    <n v="0"/>
    <n v="0"/>
    <x v="1"/>
  </r>
  <r>
    <s v="A39BSJLRE2AQD4"/>
    <x v="0"/>
    <n v="35"/>
    <s v="male"/>
    <x v="3"/>
    <x v="8"/>
    <n v="14512"/>
    <n v="1"/>
    <n v="1"/>
    <n v="0"/>
    <n v="0"/>
    <s v="NA"/>
    <s v="NA"/>
    <s v="NA"/>
    <s v="NA"/>
    <s v="NA"/>
    <s v="NA"/>
    <s v="NA"/>
    <x v="1"/>
    <x v="1"/>
    <n v="0"/>
    <n v="1"/>
    <n v="0"/>
    <n v="1"/>
    <n v="0"/>
    <n v="0"/>
    <x v="1"/>
    <n v="0"/>
    <n v="0"/>
    <n v="0"/>
    <n v="0"/>
    <x v="1"/>
  </r>
  <r>
    <s v="A39BSJLRE2AQD4"/>
    <x v="0"/>
    <n v="35"/>
    <s v="male"/>
    <x v="2"/>
    <x v="3"/>
    <n v="18280"/>
    <n v="0"/>
    <n v="1"/>
    <n v="0"/>
    <n v="0"/>
    <s v="Cafes D and E."/>
    <s v="Cafes A, B, C, D and E."/>
    <s v="Cafe E."/>
    <s v="ms-l"/>
    <s v="exh"/>
    <s v="mo-l"/>
    <n v="1"/>
    <x v="1"/>
    <x v="1"/>
    <n v="0"/>
    <n v="1"/>
    <n v="0"/>
    <n v="1"/>
    <n v="1"/>
    <n v="0"/>
    <x v="2"/>
    <n v="0"/>
    <n v="0"/>
    <n v="0"/>
    <n v="0"/>
    <x v="1"/>
  </r>
  <r>
    <s v="A39BSJLRE2AQD4"/>
    <x v="0"/>
    <n v="35"/>
    <s v="male"/>
    <x v="2"/>
    <x v="11"/>
    <n v="6206"/>
    <n v="0"/>
    <n v="0"/>
    <n v="1"/>
    <n v="0"/>
    <s v="Dentist A."/>
    <s v="Dentist E."/>
    <s v="Dentists D and E."/>
    <s v="mo-h"/>
    <s v="mo-l"/>
    <s v="ms-l"/>
    <n v="0"/>
    <x v="2"/>
    <x v="1"/>
    <n v="0"/>
    <n v="1"/>
    <n v="0"/>
    <n v="1"/>
    <n v="0"/>
    <n v="0"/>
    <x v="2"/>
    <n v="0"/>
    <n v="1"/>
    <n v="0"/>
    <n v="0"/>
    <x v="1"/>
  </r>
  <r>
    <s v="A39BSJLRE2AQD4"/>
    <x v="0"/>
    <n v="35"/>
    <s v="male"/>
    <x v="3"/>
    <x v="10"/>
    <n v="9423"/>
    <n v="0"/>
    <n v="1"/>
    <n v="0"/>
    <n v="0"/>
    <s v="NA"/>
    <s v="NA"/>
    <s v="NA"/>
    <s v="NA"/>
    <s v="NA"/>
    <s v="NA"/>
    <s v="NA"/>
    <x v="2"/>
    <x v="1"/>
    <n v="0"/>
    <n v="1"/>
    <n v="0"/>
    <n v="1"/>
    <n v="0"/>
    <n v="0"/>
    <x v="2"/>
    <n v="0"/>
    <n v="1"/>
    <n v="0"/>
    <n v="0"/>
    <x v="1"/>
  </r>
  <r>
    <s v="A39BSJLRE2AQD4"/>
    <x v="0"/>
    <n v="35"/>
    <s v="male"/>
    <x v="4"/>
    <x v="0"/>
    <n v="502341"/>
    <s v="Brunch%2C that long and lazy late morning mean which stretches in to the early afternoon."/>
    <s v="No difficult its very good."/>
    <s v="Nice"/>
    <s v="NA"/>
    <s v="NA"/>
    <s v="NA"/>
    <s v="NA"/>
    <s v="NA"/>
    <s v="NA"/>
    <s v="NA"/>
    <s v="NA"/>
    <x v="0"/>
    <x v="0"/>
    <s v="NA"/>
    <s v="NA"/>
    <s v="NA"/>
    <s v="NA"/>
    <s v="NA"/>
    <s v="NA"/>
    <x v="0"/>
    <s v="NA"/>
    <s v="NA"/>
    <s v="NA"/>
    <s v="NA"/>
    <x v="1"/>
  </r>
  <r>
    <s v="A125AOX978LDG7"/>
    <x v="2"/>
    <n v="34"/>
    <s v="female"/>
    <x v="0"/>
    <x v="0"/>
    <n v="37078"/>
    <s v="NA"/>
    <s v="NA"/>
    <s v="NA"/>
    <s v="NA"/>
    <s v="NA"/>
    <s v="NA"/>
    <s v="NA"/>
    <s v="NA"/>
    <s v="NA"/>
    <s v="NA"/>
    <s v="NA"/>
    <x v="0"/>
    <x v="0"/>
    <s v="NA"/>
    <s v="NA"/>
    <s v="NA"/>
    <s v="NA"/>
    <s v="NA"/>
    <s v="NA"/>
    <x v="0"/>
    <s v="NA"/>
    <s v="NA"/>
    <s v="NA"/>
    <s v="NA"/>
    <x v="1"/>
  </r>
  <r>
    <s v="A125AOX978LDG7"/>
    <x v="2"/>
    <n v="34"/>
    <s v="female"/>
    <x v="1"/>
    <x v="1"/>
    <n v="49209"/>
    <n v="0"/>
    <n v="0"/>
    <n v="0"/>
    <n v="1"/>
    <s v="NA"/>
    <s v="NA"/>
    <s v="NA"/>
    <s v="NA"/>
    <s v="NA"/>
    <s v="NA"/>
    <s v="NA"/>
    <x v="0"/>
    <x v="0"/>
    <s v="NA"/>
    <s v="NA"/>
    <s v="NA"/>
    <s v="NA"/>
    <s v="NA"/>
    <s v="NA"/>
    <x v="0"/>
    <s v="NA"/>
    <s v="NA"/>
    <s v="NA"/>
    <s v="NA"/>
    <x v="1"/>
  </r>
  <r>
    <s v="A125AOX978LDG7"/>
    <x v="2"/>
    <n v="34"/>
    <s v="female"/>
    <x v="1"/>
    <x v="2"/>
    <n v="60560"/>
    <n v="0"/>
    <n v="0"/>
    <n v="0"/>
    <n v="1"/>
    <s v="NA"/>
    <s v="NA"/>
    <s v="NA"/>
    <s v="NA"/>
    <s v="NA"/>
    <s v="NA"/>
    <s v="NA"/>
    <x v="0"/>
    <x v="0"/>
    <s v="NA"/>
    <s v="NA"/>
    <s v="NA"/>
    <s v="NA"/>
    <s v="NA"/>
    <s v="NA"/>
    <x v="0"/>
    <s v="NA"/>
    <s v="NA"/>
    <s v="NA"/>
    <s v="NA"/>
    <x v="1"/>
  </r>
  <r>
    <s v="A125AOX978LDG7"/>
    <x v="2"/>
    <n v="34"/>
    <s v="female"/>
    <x v="2"/>
    <x v="6"/>
    <n v="69833"/>
    <n v="1"/>
    <n v="1"/>
    <n v="1"/>
    <n v="0"/>
    <s v="Bookstores A and B."/>
    <s v="Bookstores D and E."/>
    <s v="Bookstore F."/>
    <s v="ms-h"/>
    <s v="ms-l"/>
    <s v="fa"/>
    <n v="0"/>
    <x v="1"/>
    <x v="2"/>
    <n v="1"/>
    <n v="1"/>
    <n v="0"/>
    <n v="1"/>
    <n v="0"/>
    <n v="0"/>
    <x v="2"/>
    <n v="1"/>
    <n v="1"/>
    <n v="0"/>
    <n v="0"/>
    <x v="1"/>
  </r>
  <r>
    <s v="A125AOX978LDG7"/>
    <x v="2"/>
    <n v="34"/>
    <s v="female"/>
    <x v="2"/>
    <x v="9"/>
    <n v="59838"/>
    <n v="1"/>
    <n v="1"/>
    <n v="1"/>
    <n v="0"/>
    <s v="Store E."/>
    <s v="Store A."/>
    <s v="Stores A and B."/>
    <s v="mo-l"/>
    <s v="mo-h"/>
    <s v="ms-h"/>
    <n v="0"/>
    <x v="2"/>
    <x v="1"/>
    <n v="1"/>
    <n v="0"/>
    <n v="0"/>
    <n v="1"/>
    <n v="0"/>
    <n v="1"/>
    <x v="1"/>
    <n v="1"/>
    <n v="0"/>
    <n v="0"/>
    <n v="0"/>
    <x v="1"/>
  </r>
  <r>
    <s v="A125AOX978LDG7"/>
    <x v="2"/>
    <n v="34"/>
    <s v="female"/>
    <x v="3"/>
    <x v="12"/>
    <n v="28031"/>
    <n v="1"/>
    <n v="0"/>
    <n v="0"/>
    <n v="0"/>
    <s v="NA"/>
    <s v="NA"/>
    <s v="NA"/>
    <s v="NA"/>
    <s v="NA"/>
    <s v="NA"/>
    <s v="NA"/>
    <x v="2"/>
    <x v="1"/>
    <n v="1"/>
    <n v="0"/>
    <n v="0"/>
    <n v="1"/>
    <n v="0"/>
    <n v="1"/>
    <x v="1"/>
    <n v="1"/>
    <n v="0"/>
    <n v="0"/>
    <n v="0"/>
    <x v="1"/>
  </r>
  <r>
    <s v="A125AOX978LDG7"/>
    <x v="2"/>
    <n v="34"/>
    <s v="female"/>
    <x v="2"/>
    <x v="7"/>
    <n v="26132"/>
    <n v="1"/>
    <n v="1"/>
    <n v="1"/>
    <n v="0"/>
    <s v="Stylists D and E."/>
    <s v="Stylist E."/>
    <s v="Stylists A and B."/>
    <s v="ms-l"/>
    <s v="mo-l"/>
    <s v="ms-h"/>
    <n v="0"/>
    <x v="1"/>
    <x v="1"/>
    <n v="1"/>
    <n v="1"/>
    <n v="0"/>
    <n v="1"/>
    <n v="0"/>
    <n v="0"/>
    <x v="1"/>
    <n v="1"/>
    <n v="1"/>
    <n v="0"/>
    <n v="0"/>
    <x v="1"/>
  </r>
  <r>
    <s v="A125AOX978LDG7"/>
    <x v="2"/>
    <n v="34"/>
    <s v="female"/>
    <x v="2"/>
    <x v="11"/>
    <n v="27980"/>
    <n v="0"/>
    <n v="0"/>
    <n v="0"/>
    <n v="1"/>
    <s v="Dentists A and B."/>
    <s v="Dentists D and E."/>
    <s v="Dentist F."/>
    <s v="ms-h"/>
    <s v="ms-l"/>
    <s v="fa"/>
    <n v="0"/>
    <x v="1"/>
    <x v="2"/>
    <n v="1"/>
    <n v="1"/>
    <n v="0"/>
    <n v="1"/>
    <n v="0"/>
    <n v="0"/>
    <x v="2"/>
    <n v="0"/>
    <n v="0"/>
    <n v="0"/>
    <n v="1"/>
    <x v="1"/>
  </r>
  <r>
    <s v="A125AOX978LDG7"/>
    <x v="2"/>
    <n v="34"/>
    <s v="female"/>
    <x v="3"/>
    <x v="10"/>
    <n v="31461"/>
    <n v="0"/>
    <n v="0"/>
    <n v="0"/>
    <n v="1"/>
    <s v="NA"/>
    <s v="NA"/>
    <s v="NA"/>
    <s v="NA"/>
    <s v="NA"/>
    <s v="NA"/>
    <s v="NA"/>
    <x v="1"/>
    <x v="2"/>
    <n v="1"/>
    <n v="1"/>
    <n v="0"/>
    <n v="1"/>
    <n v="0"/>
    <n v="0"/>
    <x v="2"/>
    <n v="0"/>
    <n v="0"/>
    <n v="0"/>
    <n v="1"/>
    <x v="1"/>
  </r>
  <r>
    <s v="A125AOX978LDG7"/>
    <x v="2"/>
    <n v="34"/>
    <s v="female"/>
    <x v="2"/>
    <x v="4"/>
    <n v="54201"/>
    <n v="1"/>
    <n v="1"/>
    <n v="1"/>
    <n v="0"/>
    <s v="Stall A."/>
    <s v="Stall E."/>
    <s v="Stalls D and E."/>
    <s v="mo-h"/>
    <s v="mo-l"/>
    <s v="ms-l"/>
    <n v="0"/>
    <x v="2"/>
    <x v="1"/>
    <n v="0"/>
    <n v="1"/>
    <n v="0"/>
    <n v="1"/>
    <n v="0"/>
    <n v="1"/>
    <x v="1"/>
    <n v="0"/>
    <n v="1"/>
    <n v="0"/>
    <n v="0"/>
    <x v="1"/>
  </r>
  <r>
    <s v="A125AOX978LDG7"/>
    <x v="2"/>
    <n v="34"/>
    <s v="female"/>
    <x v="3"/>
    <x v="8"/>
    <n v="33830"/>
    <n v="1"/>
    <n v="0"/>
    <n v="0"/>
    <n v="0"/>
    <s v="NA"/>
    <s v="NA"/>
    <s v="NA"/>
    <s v="NA"/>
    <s v="NA"/>
    <s v="NA"/>
    <s v="NA"/>
    <x v="2"/>
    <x v="1"/>
    <n v="0"/>
    <n v="1"/>
    <n v="0"/>
    <n v="1"/>
    <n v="0"/>
    <n v="1"/>
    <x v="1"/>
    <n v="0"/>
    <n v="1"/>
    <n v="0"/>
    <n v="0"/>
    <x v="1"/>
  </r>
  <r>
    <s v="A125AOX978LDG7"/>
    <x v="2"/>
    <n v="34"/>
    <s v="female"/>
    <x v="2"/>
    <x v="3"/>
    <n v="28087"/>
    <n v="1"/>
    <n v="1"/>
    <n v="1"/>
    <n v="0"/>
    <s v="Cafe E."/>
    <s v="Cafe A."/>
    <s v="Cafes A and B."/>
    <s v="mo-l"/>
    <s v="mo-h"/>
    <s v="ms-h"/>
    <n v="0"/>
    <x v="2"/>
    <x v="1"/>
    <n v="1"/>
    <n v="0"/>
    <n v="0"/>
    <n v="1"/>
    <n v="0"/>
    <n v="1"/>
    <x v="1"/>
    <n v="1"/>
    <n v="0"/>
    <n v="0"/>
    <n v="0"/>
    <x v="1"/>
  </r>
  <r>
    <s v="A125AOX978LDG7"/>
    <x v="2"/>
    <n v="34"/>
    <s v="female"/>
    <x v="3"/>
    <x v="5"/>
    <n v="30029"/>
    <n v="0"/>
    <n v="0"/>
    <n v="0"/>
    <n v="1"/>
    <s v="NA"/>
    <s v="NA"/>
    <s v="NA"/>
    <s v="NA"/>
    <s v="NA"/>
    <s v="NA"/>
    <s v="NA"/>
    <x v="2"/>
    <x v="1"/>
    <n v="1"/>
    <n v="0"/>
    <n v="0"/>
    <n v="1"/>
    <n v="0"/>
    <n v="1"/>
    <x v="1"/>
    <n v="1"/>
    <n v="0"/>
    <n v="0"/>
    <n v="0"/>
    <x v="1"/>
  </r>
  <r>
    <s v="A125AOX978LDG7"/>
    <x v="2"/>
    <n v="34"/>
    <s v="female"/>
    <x v="4"/>
    <x v="0"/>
    <n v="131511"/>
    <s v="I wouldn‚Äôt answer differently because the questions are the same except they are worded differently.¬†"/>
    <s v="No."/>
    <s v="Not at the moment.¬†"/>
    <s v="NA"/>
    <s v="NA"/>
    <s v="NA"/>
    <s v="NA"/>
    <s v="NA"/>
    <s v="NA"/>
    <s v="NA"/>
    <s v="NA"/>
    <x v="0"/>
    <x v="0"/>
    <s v="NA"/>
    <s v="NA"/>
    <s v="NA"/>
    <s v="NA"/>
    <s v="NA"/>
    <s v="NA"/>
    <x v="0"/>
    <s v="NA"/>
    <s v="NA"/>
    <s v="NA"/>
    <s v="NA"/>
    <x v="1"/>
  </r>
  <r>
    <s v="A20Q6LGMUJLJDG"/>
    <x v="0"/>
    <n v="40"/>
    <s v="female"/>
    <x v="0"/>
    <x v="0"/>
    <n v="42851"/>
    <s v="NA"/>
    <s v="NA"/>
    <s v="NA"/>
    <s v="NA"/>
    <s v="NA"/>
    <s v="NA"/>
    <s v="NA"/>
    <s v="NA"/>
    <s v="NA"/>
    <s v="NA"/>
    <s v="NA"/>
    <x v="0"/>
    <x v="0"/>
    <s v="NA"/>
    <s v="NA"/>
    <s v="NA"/>
    <s v="NA"/>
    <s v="NA"/>
    <s v="NA"/>
    <x v="0"/>
    <s v="NA"/>
    <s v="NA"/>
    <s v="NA"/>
    <s v="NA"/>
    <x v="1"/>
  </r>
  <r>
    <s v="A20Q6LGMUJLJDG"/>
    <x v="0"/>
    <n v="40"/>
    <s v="female"/>
    <x v="1"/>
    <x v="2"/>
    <n v="56702"/>
    <n v="0"/>
    <n v="0"/>
    <n v="1"/>
    <n v="0"/>
    <s v="NA"/>
    <s v="NA"/>
    <s v="NA"/>
    <s v="NA"/>
    <s v="NA"/>
    <s v="NA"/>
    <s v="NA"/>
    <x v="0"/>
    <x v="0"/>
    <s v="NA"/>
    <s v="NA"/>
    <s v="NA"/>
    <s v="NA"/>
    <s v="NA"/>
    <s v="NA"/>
    <x v="0"/>
    <s v="NA"/>
    <s v="NA"/>
    <s v="NA"/>
    <s v="NA"/>
    <x v="1"/>
  </r>
  <r>
    <s v="A20Q6LGMUJLJDG"/>
    <x v="0"/>
    <n v="40"/>
    <s v="female"/>
    <x v="1"/>
    <x v="1"/>
    <n v="58060"/>
    <n v="0"/>
    <n v="1"/>
    <n v="0"/>
    <n v="0"/>
    <s v="NA"/>
    <s v="NA"/>
    <s v="NA"/>
    <s v="NA"/>
    <s v="NA"/>
    <s v="NA"/>
    <s v="NA"/>
    <x v="0"/>
    <x v="0"/>
    <s v="NA"/>
    <s v="NA"/>
    <s v="NA"/>
    <s v="NA"/>
    <s v="NA"/>
    <s v="NA"/>
    <x v="0"/>
    <s v="NA"/>
    <s v="NA"/>
    <s v="NA"/>
    <s v="NA"/>
    <x v="1"/>
  </r>
  <r>
    <s v="A20Q6LGMUJLJDG"/>
    <x v="0"/>
    <n v="40"/>
    <s v="female"/>
    <x v="2"/>
    <x v="9"/>
    <n v="235265"/>
    <n v="0"/>
    <n v="1"/>
    <n v="0"/>
    <n v="0"/>
    <s v="Stores D and E."/>
    <s v="Store A."/>
    <s v="Stores A and B."/>
    <s v="ms-l"/>
    <s v="mo-h"/>
    <s v="ms-h"/>
    <n v="0"/>
    <x v="2"/>
    <x v="2"/>
    <n v="1"/>
    <n v="1"/>
    <n v="0"/>
    <n v="1"/>
    <n v="0"/>
    <n v="1"/>
    <x v="2"/>
    <n v="0"/>
    <n v="0"/>
    <n v="0"/>
    <n v="0"/>
    <x v="1"/>
  </r>
  <r>
    <s v="A20Q6LGMUJLJDG"/>
    <x v="0"/>
    <n v="40"/>
    <s v="female"/>
    <x v="2"/>
    <x v="3"/>
    <n v="72552"/>
    <n v="1"/>
    <n v="1"/>
    <n v="1"/>
    <n v="0"/>
    <s v="Cafe A."/>
    <s v="Cafe F."/>
    <s v="Cafes A and B."/>
    <s v="mo-h"/>
    <s v="fa"/>
    <s v="ms-h"/>
    <n v="0"/>
    <x v="2"/>
    <x v="2"/>
    <n v="1"/>
    <n v="0"/>
    <n v="0"/>
    <n v="1"/>
    <n v="0"/>
    <n v="1"/>
    <x v="2"/>
    <n v="1"/>
    <n v="0"/>
    <n v="0"/>
    <n v="0"/>
    <x v="1"/>
  </r>
  <r>
    <s v="A20Q6LGMUJLJDG"/>
    <x v="0"/>
    <n v="40"/>
    <s v="female"/>
    <x v="3"/>
    <x v="10"/>
    <n v="14094"/>
    <n v="0"/>
    <n v="1"/>
    <n v="0"/>
    <n v="0"/>
    <s v="NA"/>
    <s v="NA"/>
    <s v="NA"/>
    <s v="NA"/>
    <s v="NA"/>
    <s v="NA"/>
    <s v="NA"/>
    <x v="2"/>
    <x v="2"/>
    <n v="1"/>
    <n v="0"/>
    <n v="0"/>
    <n v="1"/>
    <n v="0"/>
    <n v="1"/>
    <x v="2"/>
    <n v="1"/>
    <n v="0"/>
    <n v="0"/>
    <n v="0"/>
    <x v="1"/>
  </r>
  <r>
    <s v="A20Q6LGMUJLJDG"/>
    <x v="0"/>
    <n v="40"/>
    <s v="female"/>
    <x v="2"/>
    <x v="7"/>
    <n v="9770"/>
    <n v="0"/>
    <n v="0"/>
    <n v="1"/>
    <n v="0"/>
    <s v="Stylist A."/>
    <s v="Stylists D and E."/>
    <s v="Stylists A and B."/>
    <s v="mo-h"/>
    <s v="ms-l"/>
    <s v="ms-h"/>
    <n v="0"/>
    <x v="2"/>
    <x v="2"/>
    <n v="1"/>
    <n v="1"/>
    <n v="0"/>
    <n v="1"/>
    <n v="0"/>
    <n v="0"/>
    <x v="2"/>
    <n v="1"/>
    <n v="0"/>
    <n v="0"/>
    <n v="0"/>
    <x v="1"/>
  </r>
  <r>
    <s v="A20Q6LGMUJLJDG"/>
    <x v="0"/>
    <n v="40"/>
    <s v="female"/>
    <x v="2"/>
    <x v="4"/>
    <n v="9526"/>
    <n v="1"/>
    <n v="0"/>
    <n v="0"/>
    <n v="0"/>
    <s v="Stall A."/>
    <s v="Stall E."/>
    <s v="Stalls A, B, C, D and E."/>
    <s v="mo-h"/>
    <s v="mo-l"/>
    <s v="exh"/>
    <n v="1"/>
    <x v="2"/>
    <x v="1"/>
    <n v="0"/>
    <n v="0"/>
    <n v="0"/>
    <n v="1"/>
    <n v="0"/>
    <n v="1"/>
    <x v="2"/>
    <n v="0"/>
    <n v="0"/>
    <n v="0"/>
    <n v="0"/>
    <x v="1"/>
  </r>
  <r>
    <s v="A20Q6LGMUJLJDG"/>
    <x v="0"/>
    <n v="40"/>
    <s v="female"/>
    <x v="3"/>
    <x v="8"/>
    <n v="9655"/>
    <n v="0"/>
    <n v="1"/>
    <n v="0"/>
    <n v="0"/>
    <s v="NA"/>
    <s v="NA"/>
    <s v="NA"/>
    <s v="NA"/>
    <s v="NA"/>
    <s v="NA"/>
    <s v="NA"/>
    <x v="2"/>
    <x v="1"/>
    <n v="0"/>
    <n v="0"/>
    <n v="0"/>
    <n v="1"/>
    <n v="0"/>
    <n v="1"/>
    <x v="2"/>
    <n v="0"/>
    <n v="0"/>
    <n v="0"/>
    <n v="0"/>
    <x v="1"/>
  </r>
  <r>
    <s v="A20Q6LGMUJLJDG"/>
    <x v="0"/>
    <n v="40"/>
    <s v="female"/>
    <x v="2"/>
    <x v="11"/>
    <n v="18617"/>
    <n v="0"/>
    <n v="1"/>
    <n v="0"/>
    <n v="0"/>
    <s v="Dentist F."/>
    <s v="Dentist A."/>
    <s v="Dentists D and E."/>
    <s v="fa"/>
    <s v="mo-h"/>
    <s v="ms-l"/>
    <n v="0"/>
    <x v="2"/>
    <x v="2"/>
    <n v="0"/>
    <n v="1"/>
    <n v="0"/>
    <n v="1"/>
    <n v="0"/>
    <n v="1"/>
    <x v="2"/>
    <n v="0"/>
    <n v="0"/>
    <n v="0"/>
    <n v="0"/>
    <x v="1"/>
  </r>
  <r>
    <s v="A20Q6LGMUJLJDG"/>
    <x v="0"/>
    <n v="40"/>
    <s v="female"/>
    <x v="3"/>
    <x v="12"/>
    <n v="44457"/>
    <n v="1"/>
    <n v="0"/>
    <n v="0"/>
    <n v="0"/>
    <s v="NA"/>
    <s v="NA"/>
    <s v="NA"/>
    <s v="NA"/>
    <s v="NA"/>
    <s v="NA"/>
    <s v="NA"/>
    <x v="2"/>
    <x v="2"/>
    <n v="0"/>
    <n v="1"/>
    <n v="0"/>
    <n v="1"/>
    <n v="0"/>
    <n v="1"/>
    <x v="2"/>
    <n v="0"/>
    <n v="0"/>
    <n v="0"/>
    <n v="0"/>
    <x v="1"/>
  </r>
  <r>
    <s v="A20Q6LGMUJLJDG"/>
    <x v="0"/>
    <n v="40"/>
    <s v="female"/>
    <x v="2"/>
    <x v="6"/>
    <n v="91577"/>
    <n v="1"/>
    <n v="0"/>
    <n v="0"/>
    <n v="0"/>
    <s v="Bookstores D and E."/>
    <s v="Bookstore A."/>
    <s v="Bookstores A and B."/>
    <s v="ms-l"/>
    <s v="mo-h"/>
    <s v="ms-h"/>
    <n v="0"/>
    <x v="2"/>
    <x v="2"/>
    <n v="1"/>
    <n v="1"/>
    <n v="0"/>
    <n v="1"/>
    <n v="0"/>
    <n v="0"/>
    <x v="2"/>
    <n v="0"/>
    <n v="1"/>
    <n v="0"/>
    <n v="0"/>
    <x v="1"/>
  </r>
  <r>
    <s v="A20Q6LGMUJLJDG"/>
    <x v="0"/>
    <n v="40"/>
    <s v="female"/>
    <x v="3"/>
    <x v="5"/>
    <n v="29877"/>
    <n v="0"/>
    <n v="1"/>
    <n v="0"/>
    <n v="0"/>
    <s v="NA"/>
    <s v="NA"/>
    <s v="NA"/>
    <s v="NA"/>
    <s v="NA"/>
    <s v="NA"/>
    <s v="NA"/>
    <x v="2"/>
    <x v="2"/>
    <n v="1"/>
    <n v="1"/>
    <n v="0"/>
    <n v="1"/>
    <n v="0"/>
    <n v="0"/>
    <x v="2"/>
    <n v="0"/>
    <n v="1"/>
    <n v="0"/>
    <n v="0"/>
    <x v="1"/>
  </r>
  <r>
    <s v="A20Q6LGMUJLJDG"/>
    <x v="0"/>
    <n v="40"/>
    <s v="female"/>
    <x v="4"/>
    <x v="0"/>
    <n v="146257"/>
    <s v="NONE"/>
    <s v="NO"/>
    <s v="NICE"/>
    <s v="NA"/>
    <s v="NA"/>
    <s v="NA"/>
    <s v="NA"/>
    <s v="NA"/>
    <s v="NA"/>
    <s v="NA"/>
    <s v="NA"/>
    <x v="0"/>
    <x v="0"/>
    <s v="NA"/>
    <s v="NA"/>
    <s v="NA"/>
    <s v="NA"/>
    <s v="NA"/>
    <s v="NA"/>
    <x v="0"/>
    <s v="NA"/>
    <s v="NA"/>
    <s v="NA"/>
    <s v="NA"/>
    <x v="1"/>
  </r>
  <r>
    <s v="A264G2H7KNNP3C"/>
    <x v="0"/>
    <n v="31"/>
    <s v="male"/>
    <x v="0"/>
    <x v="0"/>
    <n v="31531"/>
    <s v="NA"/>
    <s v="NA"/>
    <s v="NA"/>
    <s v="NA"/>
    <s v="NA"/>
    <s v="NA"/>
    <s v="NA"/>
    <s v="NA"/>
    <s v="NA"/>
    <s v="NA"/>
    <s v="NA"/>
    <x v="0"/>
    <x v="0"/>
    <s v="NA"/>
    <s v="NA"/>
    <s v="NA"/>
    <s v="NA"/>
    <s v="NA"/>
    <s v="NA"/>
    <x v="0"/>
    <s v="NA"/>
    <s v="NA"/>
    <s v="NA"/>
    <s v="NA"/>
    <x v="1"/>
  </r>
  <r>
    <s v="A264G2H7KNNP3C"/>
    <x v="0"/>
    <n v="31"/>
    <s v="male"/>
    <x v="1"/>
    <x v="1"/>
    <n v="59373"/>
    <n v="0"/>
    <n v="0"/>
    <n v="0"/>
    <n v="1"/>
    <s v="NA"/>
    <s v="NA"/>
    <s v="NA"/>
    <s v="NA"/>
    <s v="NA"/>
    <s v="NA"/>
    <s v="NA"/>
    <x v="0"/>
    <x v="0"/>
    <s v="NA"/>
    <s v="NA"/>
    <s v="NA"/>
    <s v="NA"/>
    <s v="NA"/>
    <s v="NA"/>
    <x v="0"/>
    <s v="NA"/>
    <s v="NA"/>
    <s v="NA"/>
    <s v="NA"/>
    <x v="1"/>
  </r>
  <r>
    <s v="A264G2H7KNNP3C"/>
    <x v="0"/>
    <n v="31"/>
    <s v="male"/>
    <x v="1"/>
    <x v="2"/>
    <n v="58597"/>
    <n v="0"/>
    <n v="0"/>
    <n v="1"/>
    <n v="0"/>
    <s v="NA"/>
    <s v="NA"/>
    <s v="NA"/>
    <s v="NA"/>
    <s v="NA"/>
    <s v="NA"/>
    <s v="NA"/>
    <x v="0"/>
    <x v="0"/>
    <s v="NA"/>
    <s v="NA"/>
    <s v="NA"/>
    <s v="NA"/>
    <s v="NA"/>
    <s v="NA"/>
    <x v="0"/>
    <s v="NA"/>
    <s v="NA"/>
    <s v="NA"/>
    <s v="NA"/>
    <x v="1"/>
  </r>
  <r>
    <s v="A264G2H7KNNP3C"/>
    <x v="0"/>
    <n v="31"/>
    <s v="male"/>
    <x v="2"/>
    <x v="6"/>
    <n v="39805"/>
    <n v="0"/>
    <n v="1"/>
    <n v="0"/>
    <n v="0"/>
    <s v="Bookstore E."/>
    <s v="Bookstore A."/>
    <s v="Bookstore F."/>
    <s v="mo-l"/>
    <s v="mo-h"/>
    <s v="fa"/>
    <n v="0"/>
    <x v="2"/>
    <x v="1"/>
    <n v="0"/>
    <n v="0"/>
    <n v="0"/>
    <n v="1"/>
    <n v="0"/>
    <n v="1"/>
    <x v="2"/>
    <n v="0"/>
    <n v="0"/>
    <n v="0"/>
    <n v="0"/>
    <x v="1"/>
  </r>
  <r>
    <s v="A264G2H7KNNP3C"/>
    <x v="0"/>
    <n v="31"/>
    <s v="male"/>
    <x v="2"/>
    <x v="9"/>
    <n v="73008"/>
    <n v="0"/>
    <n v="1"/>
    <n v="1"/>
    <n v="0"/>
    <s v="Store F."/>
    <s v="Store A."/>
    <s v="Stores A, B, C, D and E."/>
    <s v="fa"/>
    <s v="mo-h"/>
    <s v="exh"/>
    <n v="1"/>
    <x v="2"/>
    <x v="2"/>
    <n v="0"/>
    <n v="0"/>
    <n v="0"/>
    <n v="1"/>
    <n v="1"/>
    <n v="1"/>
    <x v="2"/>
    <n v="0"/>
    <n v="0"/>
    <n v="0"/>
    <n v="0"/>
    <x v="1"/>
  </r>
  <r>
    <s v="A264G2H7KNNP3C"/>
    <x v="0"/>
    <n v="31"/>
    <s v="male"/>
    <x v="3"/>
    <x v="12"/>
    <n v="37400"/>
    <n v="1"/>
    <n v="0"/>
    <n v="0"/>
    <n v="0"/>
    <s v="NA"/>
    <s v="NA"/>
    <s v="NA"/>
    <s v="NA"/>
    <s v="NA"/>
    <s v="NA"/>
    <s v="NA"/>
    <x v="2"/>
    <x v="2"/>
    <n v="0"/>
    <n v="0"/>
    <n v="0"/>
    <n v="1"/>
    <n v="1"/>
    <n v="1"/>
    <x v="2"/>
    <n v="0"/>
    <n v="0"/>
    <n v="0"/>
    <n v="0"/>
    <x v="1"/>
  </r>
  <r>
    <s v="A264G2H7KNNP3C"/>
    <x v="0"/>
    <n v="31"/>
    <s v="male"/>
    <x v="2"/>
    <x v="3"/>
    <n v="16805"/>
    <n v="0"/>
    <n v="1"/>
    <n v="1"/>
    <n v="0"/>
    <s v="Cafes D and E."/>
    <s v="Cafe A."/>
    <s v="Cafes A and B."/>
    <s v="ms-l"/>
    <s v="mo-h"/>
    <s v="ms-h"/>
    <n v="0"/>
    <x v="2"/>
    <x v="2"/>
    <n v="1"/>
    <n v="1"/>
    <n v="0"/>
    <n v="1"/>
    <n v="0"/>
    <n v="1"/>
    <x v="2"/>
    <n v="1"/>
    <n v="0"/>
    <n v="0"/>
    <n v="0"/>
    <x v="1"/>
  </r>
  <r>
    <s v="A264G2H7KNNP3C"/>
    <x v="0"/>
    <n v="31"/>
    <s v="male"/>
    <x v="3"/>
    <x v="8"/>
    <n v="33558"/>
    <n v="1"/>
    <n v="1"/>
    <n v="0"/>
    <n v="0"/>
    <s v="NA"/>
    <s v="NA"/>
    <s v="NA"/>
    <s v="NA"/>
    <s v="NA"/>
    <s v="NA"/>
    <s v="NA"/>
    <x v="2"/>
    <x v="2"/>
    <n v="1"/>
    <n v="1"/>
    <n v="0"/>
    <n v="1"/>
    <n v="0"/>
    <n v="1"/>
    <x v="2"/>
    <n v="1"/>
    <n v="0"/>
    <n v="0"/>
    <n v="0"/>
    <x v="1"/>
  </r>
  <r>
    <s v="A264G2H7KNNP3C"/>
    <x v="0"/>
    <n v="31"/>
    <s v="male"/>
    <x v="2"/>
    <x v="11"/>
    <n v="30877"/>
    <n v="0"/>
    <n v="0"/>
    <n v="0"/>
    <n v="1"/>
    <s v="Dentists A and B."/>
    <s v="Dentist A."/>
    <s v="Dentist E."/>
    <s v="ms-h"/>
    <s v="mo-h"/>
    <s v="mo-l"/>
    <n v="0"/>
    <x v="2"/>
    <x v="1"/>
    <n v="1"/>
    <n v="0"/>
    <n v="0"/>
    <n v="1"/>
    <n v="0"/>
    <n v="0"/>
    <x v="2"/>
    <n v="0"/>
    <n v="0"/>
    <n v="0"/>
    <n v="1"/>
    <x v="1"/>
  </r>
  <r>
    <s v="A264G2H7KNNP3C"/>
    <x v="0"/>
    <n v="31"/>
    <s v="male"/>
    <x v="2"/>
    <x v="7"/>
    <n v="119003"/>
    <n v="0"/>
    <n v="1"/>
    <n v="0"/>
    <n v="0"/>
    <s v="Stylist E."/>
    <s v="Stylists A and B."/>
    <s v="Stylist F."/>
    <s v="mo-l"/>
    <s v="ms-h"/>
    <s v="fa"/>
    <n v="0"/>
    <x v="1"/>
    <x v="1"/>
    <n v="1"/>
    <n v="0"/>
    <n v="0"/>
    <n v="1"/>
    <n v="0"/>
    <n v="0"/>
    <x v="2"/>
    <n v="1"/>
    <n v="0"/>
    <n v="0"/>
    <n v="0"/>
    <x v="1"/>
  </r>
  <r>
    <s v="A264G2H7KNNP3C"/>
    <x v="0"/>
    <n v="31"/>
    <s v="male"/>
    <x v="3"/>
    <x v="5"/>
    <n v="26788"/>
    <n v="0"/>
    <n v="1"/>
    <n v="0"/>
    <n v="0"/>
    <s v="NA"/>
    <s v="NA"/>
    <s v="NA"/>
    <s v="NA"/>
    <s v="NA"/>
    <s v="NA"/>
    <s v="NA"/>
    <x v="1"/>
    <x v="1"/>
    <n v="1"/>
    <n v="0"/>
    <n v="0"/>
    <n v="1"/>
    <n v="0"/>
    <n v="0"/>
    <x v="2"/>
    <n v="1"/>
    <n v="0"/>
    <n v="0"/>
    <n v="0"/>
    <x v="1"/>
  </r>
  <r>
    <s v="A264G2H7KNNP3C"/>
    <x v="0"/>
    <n v="31"/>
    <s v="male"/>
    <x v="2"/>
    <x v="4"/>
    <n v="61427"/>
    <n v="0"/>
    <n v="0"/>
    <n v="0"/>
    <n v="1"/>
    <s v="Stall E."/>
    <s v="Stalls A and B."/>
    <s v="Stall A."/>
    <s v="mo-l"/>
    <s v="ms-h"/>
    <s v="mo-h"/>
    <n v="0"/>
    <x v="2"/>
    <x v="1"/>
    <n v="1"/>
    <n v="0"/>
    <n v="0"/>
    <n v="1"/>
    <n v="0"/>
    <n v="0"/>
    <x v="2"/>
    <n v="0"/>
    <n v="0"/>
    <n v="0"/>
    <n v="1"/>
    <x v="1"/>
  </r>
  <r>
    <s v="A264G2H7KNNP3C"/>
    <x v="0"/>
    <n v="31"/>
    <s v="male"/>
    <x v="3"/>
    <x v="10"/>
    <n v="25295"/>
    <n v="0"/>
    <n v="0"/>
    <n v="0"/>
    <n v="1"/>
    <s v="NA"/>
    <s v="NA"/>
    <s v="NA"/>
    <s v="NA"/>
    <s v="NA"/>
    <s v="NA"/>
    <s v="NA"/>
    <x v="2"/>
    <x v="1"/>
    <n v="1"/>
    <n v="0"/>
    <n v="0"/>
    <n v="1"/>
    <n v="0"/>
    <n v="0"/>
    <x v="2"/>
    <n v="0"/>
    <n v="0"/>
    <n v="0"/>
    <n v="1"/>
    <x v="1"/>
  </r>
  <r>
    <s v="A264G2H7KNNP3C"/>
    <x v="0"/>
    <n v="31"/>
    <s v="male"/>
    <x v="4"/>
    <x v="0"/>
    <n v="351807"/>
    <s v="The difference is knowing what places serve brunch%2C -or- what place would I suggest someone go specifically."/>
    <s v="It was not difficult. It felt to be a very simple survey on understanding of language of speech. "/>
    <m/>
    <s v="NA"/>
    <s v="NA"/>
    <s v="NA"/>
    <s v="NA"/>
    <s v="NA"/>
    <s v="NA"/>
    <s v="NA"/>
    <s v="NA"/>
    <x v="0"/>
    <x v="0"/>
    <s v="NA"/>
    <s v="NA"/>
    <s v="NA"/>
    <s v="NA"/>
    <s v="NA"/>
    <s v="NA"/>
    <x v="0"/>
    <s v="NA"/>
    <s v="NA"/>
    <s v="NA"/>
    <s v="NA"/>
    <x v="1"/>
  </r>
  <r>
    <s v="A2RC8VX4LS3WQW"/>
    <x v="0"/>
    <n v="29"/>
    <s v="female"/>
    <x v="0"/>
    <x v="0"/>
    <n v="176206"/>
    <s v="NA"/>
    <s v="NA"/>
    <s v="NA"/>
    <s v="NA"/>
    <s v="NA"/>
    <s v="NA"/>
    <s v="NA"/>
    <s v="NA"/>
    <s v="NA"/>
    <s v="NA"/>
    <s v="NA"/>
    <x v="0"/>
    <x v="0"/>
    <s v="NA"/>
    <s v="NA"/>
    <s v="NA"/>
    <s v="NA"/>
    <s v="NA"/>
    <s v="NA"/>
    <x v="0"/>
    <s v="NA"/>
    <s v="NA"/>
    <s v="NA"/>
    <s v="NA"/>
    <x v="1"/>
  </r>
  <r>
    <s v="A2RC8VX4LS3WQW"/>
    <x v="0"/>
    <n v="29"/>
    <s v="female"/>
    <x v="1"/>
    <x v="2"/>
    <n v="43383"/>
    <n v="0"/>
    <n v="0"/>
    <n v="1"/>
    <n v="0"/>
    <s v="NA"/>
    <s v="NA"/>
    <s v="NA"/>
    <s v="NA"/>
    <s v="NA"/>
    <s v="NA"/>
    <s v="NA"/>
    <x v="0"/>
    <x v="0"/>
    <s v="NA"/>
    <s v="NA"/>
    <s v="NA"/>
    <s v="NA"/>
    <s v="NA"/>
    <s v="NA"/>
    <x v="0"/>
    <s v="NA"/>
    <s v="NA"/>
    <s v="NA"/>
    <s v="NA"/>
    <x v="1"/>
  </r>
  <r>
    <s v="A2RC8VX4LS3WQW"/>
    <x v="0"/>
    <n v="29"/>
    <s v="female"/>
    <x v="1"/>
    <x v="1"/>
    <n v="37896"/>
    <n v="0"/>
    <n v="0"/>
    <n v="0"/>
    <n v="1"/>
    <s v="NA"/>
    <s v="NA"/>
    <s v="NA"/>
    <s v="NA"/>
    <s v="NA"/>
    <s v="NA"/>
    <s v="NA"/>
    <x v="0"/>
    <x v="0"/>
    <s v="NA"/>
    <s v="NA"/>
    <s v="NA"/>
    <s v="NA"/>
    <s v="NA"/>
    <s v="NA"/>
    <x v="0"/>
    <s v="NA"/>
    <s v="NA"/>
    <s v="NA"/>
    <s v="NA"/>
    <x v="1"/>
  </r>
  <r>
    <s v="A2RC8VX4LS3WQW"/>
    <x v="0"/>
    <n v="29"/>
    <s v="female"/>
    <x v="2"/>
    <x v="9"/>
    <n v="101767"/>
    <n v="0"/>
    <n v="0"/>
    <n v="0"/>
    <n v="1"/>
    <s v="Store E."/>
    <s v="Stores A and B."/>
    <s v="Stores D and E."/>
    <s v="mo-l"/>
    <s v="ms-h"/>
    <s v="ms-l"/>
    <n v="0"/>
    <x v="1"/>
    <x v="1"/>
    <n v="1"/>
    <n v="1"/>
    <n v="0"/>
    <n v="1"/>
    <n v="0"/>
    <n v="0"/>
    <x v="2"/>
    <n v="0"/>
    <n v="0"/>
    <n v="0"/>
    <n v="1"/>
    <x v="1"/>
  </r>
  <r>
    <s v="A2RC8VX4LS3WQW"/>
    <x v="0"/>
    <n v="29"/>
    <s v="female"/>
    <x v="2"/>
    <x v="7"/>
    <n v="46061"/>
    <n v="1"/>
    <n v="1"/>
    <n v="1"/>
    <n v="0"/>
    <s v="Stylist A."/>
    <s v="Stylists A and B."/>
    <s v="Stylists D and E."/>
    <s v="mo-h"/>
    <s v="ms-h"/>
    <s v="ms-l"/>
    <n v="0"/>
    <x v="2"/>
    <x v="2"/>
    <n v="1"/>
    <n v="1"/>
    <n v="0"/>
    <n v="1"/>
    <n v="0"/>
    <n v="1"/>
    <x v="2"/>
    <n v="1"/>
    <n v="1"/>
    <n v="0"/>
    <n v="0"/>
    <x v="1"/>
  </r>
  <r>
    <s v="A2RC8VX4LS3WQW"/>
    <x v="0"/>
    <n v="29"/>
    <s v="female"/>
    <x v="3"/>
    <x v="10"/>
    <n v="53968"/>
    <n v="0"/>
    <n v="0"/>
    <n v="1"/>
    <n v="0"/>
    <s v="NA"/>
    <s v="NA"/>
    <s v="NA"/>
    <s v="NA"/>
    <s v="NA"/>
    <s v="NA"/>
    <s v="NA"/>
    <x v="2"/>
    <x v="2"/>
    <n v="1"/>
    <n v="1"/>
    <n v="0"/>
    <n v="1"/>
    <n v="0"/>
    <n v="1"/>
    <x v="2"/>
    <n v="1"/>
    <n v="1"/>
    <n v="0"/>
    <n v="0"/>
    <x v="1"/>
  </r>
  <r>
    <s v="A2RC8VX4LS3WQW"/>
    <x v="0"/>
    <n v="29"/>
    <s v="female"/>
    <x v="2"/>
    <x v="4"/>
    <n v="46282"/>
    <n v="0"/>
    <n v="0"/>
    <n v="0"/>
    <n v="1"/>
    <s v="Stalls A and B."/>
    <s v="Stall F."/>
    <s v="Stall E."/>
    <s v="ms-h"/>
    <s v="fa"/>
    <s v="mo-l"/>
    <n v="0"/>
    <x v="1"/>
    <x v="1"/>
    <n v="1"/>
    <n v="0"/>
    <n v="0"/>
    <n v="1"/>
    <n v="0"/>
    <n v="0"/>
    <x v="2"/>
    <n v="0"/>
    <n v="0"/>
    <n v="0"/>
    <n v="1"/>
    <x v="1"/>
  </r>
  <r>
    <s v="A2RC8VX4LS3WQW"/>
    <x v="0"/>
    <n v="29"/>
    <s v="female"/>
    <x v="3"/>
    <x v="5"/>
    <n v="37714"/>
    <n v="0"/>
    <n v="0"/>
    <n v="1"/>
    <n v="0"/>
    <s v="NA"/>
    <s v="NA"/>
    <s v="NA"/>
    <s v="NA"/>
    <s v="NA"/>
    <s v="NA"/>
    <s v="NA"/>
    <x v="1"/>
    <x v="1"/>
    <n v="1"/>
    <n v="0"/>
    <n v="0"/>
    <n v="1"/>
    <n v="0"/>
    <n v="0"/>
    <x v="2"/>
    <n v="0"/>
    <n v="0"/>
    <n v="0"/>
    <n v="1"/>
    <x v="1"/>
  </r>
  <r>
    <s v="A2RC8VX4LS3WQW"/>
    <x v="0"/>
    <n v="29"/>
    <s v="female"/>
    <x v="2"/>
    <x v="11"/>
    <n v="51582"/>
    <n v="0"/>
    <n v="0"/>
    <n v="0"/>
    <n v="1"/>
    <s v="Dentist E."/>
    <s v="Dentist A."/>
    <s v="Dentists D and E."/>
    <s v="mo-l"/>
    <s v="mo-h"/>
    <s v="ms-l"/>
    <n v="0"/>
    <x v="2"/>
    <x v="1"/>
    <n v="0"/>
    <n v="1"/>
    <n v="0"/>
    <n v="1"/>
    <n v="0"/>
    <n v="0"/>
    <x v="2"/>
    <n v="0"/>
    <n v="0"/>
    <n v="0"/>
    <n v="1"/>
    <x v="1"/>
  </r>
  <r>
    <s v="A2RC8VX4LS3WQW"/>
    <x v="0"/>
    <n v="29"/>
    <s v="female"/>
    <x v="2"/>
    <x v="3"/>
    <n v="35810"/>
    <n v="0"/>
    <n v="0"/>
    <n v="0"/>
    <n v="1"/>
    <s v="Cafe F."/>
    <s v="Cafes A and B."/>
    <s v="Cafe E."/>
    <s v="fa"/>
    <s v="ms-h"/>
    <s v="mo-l"/>
    <n v="0"/>
    <x v="1"/>
    <x v="1"/>
    <n v="1"/>
    <n v="0"/>
    <n v="0"/>
    <n v="1"/>
    <n v="0"/>
    <n v="0"/>
    <x v="2"/>
    <n v="0"/>
    <n v="0"/>
    <n v="0"/>
    <n v="1"/>
    <x v="1"/>
  </r>
  <r>
    <s v="A2RC8VX4LS3WQW"/>
    <x v="0"/>
    <n v="29"/>
    <s v="female"/>
    <x v="3"/>
    <x v="8"/>
    <n v="27847"/>
    <n v="1"/>
    <n v="0"/>
    <n v="0"/>
    <n v="0"/>
    <s v="NA"/>
    <s v="NA"/>
    <s v="NA"/>
    <s v="NA"/>
    <s v="NA"/>
    <s v="NA"/>
    <s v="NA"/>
    <x v="1"/>
    <x v="1"/>
    <n v="1"/>
    <n v="0"/>
    <n v="0"/>
    <n v="1"/>
    <n v="0"/>
    <n v="0"/>
    <x v="2"/>
    <n v="0"/>
    <n v="0"/>
    <n v="0"/>
    <n v="1"/>
    <x v="1"/>
  </r>
  <r>
    <s v="A2RC8VX4LS3WQW"/>
    <x v="0"/>
    <n v="29"/>
    <s v="female"/>
    <x v="2"/>
    <x v="6"/>
    <n v="14307"/>
    <n v="0"/>
    <n v="0"/>
    <n v="0"/>
    <n v="1"/>
    <s v="Bookstore F."/>
    <s v="Bookstores D and E."/>
    <s v="Bookstores A and B."/>
    <s v="fa"/>
    <s v="ms-l"/>
    <s v="ms-h"/>
    <n v="0"/>
    <x v="1"/>
    <x v="2"/>
    <n v="1"/>
    <n v="1"/>
    <n v="0"/>
    <n v="1"/>
    <n v="0"/>
    <n v="0"/>
    <x v="2"/>
    <n v="0"/>
    <n v="0"/>
    <n v="0"/>
    <n v="1"/>
    <x v="1"/>
  </r>
  <r>
    <s v="A2RC8VX4LS3WQW"/>
    <x v="0"/>
    <n v="29"/>
    <s v="female"/>
    <x v="3"/>
    <x v="12"/>
    <n v="28998"/>
    <n v="1"/>
    <n v="0"/>
    <n v="0"/>
    <n v="0"/>
    <s v="NA"/>
    <s v="NA"/>
    <s v="NA"/>
    <s v="NA"/>
    <s v="NA"/>
    <s v="NA"/>
    <s v="NA"/>
    <x v="1"/>
    <x v="2"/>
    <n v="1"/>
    <n v="1"/>
    <n v="0"/>
    <n v="1"/>
    <n v="0"/>
    <n v="0"/>
    <x v="2"/>
    <n v="0"/>
    <n v="0"/>
    <n v="0"/>
    <n v="1"/>
    <x v="1"/>
  </r>
  <r>
    <s v="A2RC8VX4LS3WQW"/>
    <x v="0"/>
    <n v="29"/>
    <s v="female"/>
    <x v="4"/>
    <x v="0"/>
    <n v="77872"/>
    <s v="Yes%2C one question is asking for a list of places. While the other one is seeking a recommendation.¬†"/>
    <s v="No%2C tad bit confusing."/>
    <s v="No"/>
    <s v="NA"/>
    <s v="NA"/>
    <s v="NA"/>
    <s v="NA"/>
    <s v="NA"/>
    <s v="NA"/>
    <s v="NA"/>
    <s v="NA"/>
    <x v="0"/>
    <x v="0"/>
    <s v="NA"/>
    <s v="NA"/>
    <s v="NA"/>
    <s v="NA"/>
    <s v="NA"/>
    <s v="NA"/>
    <x v="0"/>
    <s v="NA"/>
    <s v="NA"/>
    <s v="NA"/>
    <s v="NA"/>
    <x v="1"/>
  </r>
  <r>
    <s v="A12569NJ7KY1KX"/>
    <x v="0"/>
    <n v="35"/>
    <s v="female"/>
    <x v="0"/>
    <x v="0"/>
    <n v="41964"/>
    <s v="NA"/>
    <s v="NA"/>
    <s v="NA"/>
    <s v="NA"/>
    <s v="NA"/>
    <s v="NA"/>
    <s v="NA"/>
    <s v="NA"/>
    <s v="NA"/>
    <s v="NA"/>
    <s v="NA"/>
    <x v="0"/>
    <x v="0"/>
    <s v="NA"/>
    <s v="NA"/>
    <s v="NA"/>
    <s v="NA"/>
    <s v="NA"/>
    <s v="NA"/>
    <x v="0"/>
    <s v="NA"/>
    <s v="NA"/>
    <s v="NA"/>
    <s v="NA"/>
    <x v="1"/>
  </r>
  <r>
    <s v="A12569NJ7KY1KX"/>
    <x v="0"/>
    <n v="35"/>
    <s v="female"/>
    <x v="1"/>
    <x v="2"/>
    <n v="52040"/>
    <n v="0"/>
    <n v="0"/>
    <n v="1"/>
    <n v="0"/>
    <s v="NA"/>
    <s v="NA"/>
    <s v="NA"/>
    <s v="NA"/>
    <s v="NA"/>
    <s v="NA"/>
    <s v="NA"/>
    <x v="0"/>
    <x v="0"/>
    <s v="NA"/>
    <s v="NA"/>
    <s v="NA"/>
    <s v="NA"/>
    <s v="NA"/>
    <s v="NA"/>
    <x v="0"/>
    <s v="NA"/>
    <s v="NA"/>
    <s v="NA"/>
    <s v="NA"/>
    <x v="1"/>
  </r>
  <r>
    <s v="A12569NJ7KY1KX"/>
    <x v="0"/>
    <n v="35"/>
    <s v="female"/>
    <x v="1"/>
    <x v="1"/>
    <n v="53865"/>
    <n v="0"/>
    <n v="0"/>
    <n v="1"/>
    <n v="0"/>
    <s v="NA"/>
    <s v="NA"/>
    <s v="NA"/>
    <s v="NA"/>
    <s v="NA"/>
    <s v="NA"/>
    <s v="NA"/>
    <x v="0"/>
    <x v="0"/>
    <s v="NA"/>
    <s v="NA"/>
    <s v="NA"/>
    <s v="NA"/>
    <s v="NA"/>
    <s v="NA"/>
    <x v="0"/>
    <s v="NA"/>
    <s v="NA"/>
    <s v="NA"/>
    <s v="NA"/>
    <x v="1"/>
  </r>
  <r>
    <s v="A12569NJ7KY1KX"/>
    <x v="0"/>
    <n v="35"/>
    <s v="female"/>
    <x v="2"/>
    <x v="11"/>
    <n v="34303"/>
    <n v="1"/>
    <n v="0"/>
    <n v="0"/>
    <n v="0"/>
    <s v="Dentist E."/>
    <s v="Dentists D and E."/>
    <s v="Dentist A."/>
    <s v="mo-l"/>
    <s v="ms-l"/>
    <s v="mo-h"/>
    <n v="0"/>
    <x v="2"/>
    <x v="1"/>
    <n v="0"/>
    <n v="1"/>
    <n v="0"/>
    <n v="1"/>
    <n v="0"/>
    <n v="0"/>
    <x v="1"/>
    <n v="0"/>
    <n v="0"/>
    <n v="0"/>
    <n v="0"/>
    <x v="1"/>
  </r>
  <r>
    <s v="A12569NJ7KY1KX"/>
    <x v="0"/>
    <n v="35"/>
    <s v="female"/>
    <x v="2"/>
    <x v="4"/>
    <n v="49713"/>
    <n v="0"/>
    <n v="1"/>
    <n v="0"/>
    <n v="0"/>
    <s v="Stalls D and E."/>
    <s v="Stalls A and B."/>
    <s v="Stall A."/>
    <s v="ms-l"/>
    <s v="ms-h"/>
    <s v="mo-h"/>
    <n v="0"/>
    <x v="2"/>
    <x v="2"/>
    <n v="1"/>
    <n v="1"/>
    <n v="0"/>
    <n v="1"/>
    <n v="0"/>
    <n v="0"/>
    <x v="2"/>
    <n v="1"/>
    <n v="0"/>
    <n v="0"/>
    <n v="0"/>
    <x v="1"/>
  </r>
  <r>
    <s v="A12569NJ7KY1KX"/>
    <x v="0"/>
    <n v="35"/>
    <s v="female"/>
    <x v="3"/>
    <x v="12"/>
    <n v="28213"/>
    <n v="1"/>
    <n v="0"/>
    <n v="0"/>
    <n v="0"/>
    <s v="NA"/>
    <s v="NA"/>
    <s v="NA"/>
    <s v="NA"/>
    <s v="NA"/>
    <s v="NA"/>
    <s v="NA"/>
    <x v="2"/>
    <x v="2"/>
    <n v="1"/>
    <n v="1"/>
    <n v="0"/>
    <n v="1"/>
    <n v="0"/>
    <n v="0"/>
    <x v="2"/>
    <n v="1"/>
    <n v="0"/>
    <n v="0"/>
    <n v="0"/>
    <x v="1"/>
  </r>
  <r>
    <s v="A12569NJ7KY1KX"/>
    <x v="0"/>
    <n v="35"/>
    <s v="female"/>
    <x v="2"/>
    <x v="3"/>
    <n v="36757"/>
    <n v="0"/>
    <n v="0"/>
    <n v="1"/>
    <n v="0"/>
    <s v="Cafes D and E."/>
    <s v="Cafe E."/>
    <s v="Cafes A and B."/>
    <s v="ms-l"/>
    <s v="mo-l"/>
    <s v="ms-h"/>
    <n v="0"/>
    <x v="1"/>
    <x v="1"/>
    <n v="1"/>
    <n v="1"/>
    <n v="0"/>
    <n v="1"/>
    <n v="0"/>
    <n v="0"/>
    <x v="2"/>
    <n v="1"/>
    <n v="0"/>
    <n v="0"/>
    <n v="0"/>
    <x v="1"/>
  </r>
  <r>
    <s v="A12569NJ7KY1KX"/>
    <x v="0"/>
    <n v="35"/>
    <s v="female"/>
    <x v="3"/>
    <x v="8"/>
    <n v="36610"/>
    <n v="1"/>
    <n v="0"/>
    <n v="0"/>
    <n v="0"/>
    <s v="NA"/>
    <s v="NA"/>
    <s v="NA"/>
    <s v="NA"/>
    <s v="NA"/>
    <s v="NA"/>
    <s v="NA"/>
    <x v="1"/>
    <x v="1"/>
    <n v="1"/>
    <n v="1"/>
    <n v="0"/>
    <n v="1"/>
    <n v="0"/>
    <n v="0"/>
    <x v="2"/>
    <n v="1"/>
    <n v="0"/>
    <n v="0"/>
    <n v="0"/>
    <x v="1"/>
  </r>
  <r>
    <s v="A12569NJ7KY1KX"/>
    <x v="0"/>
    <n v="35"/>
    <s v="female"/>
    <x v="2"/>
    <x v="9"/>
    <n v="50767"/>
    <n v="0"/>
    <n v="1"/>
    <n v="0"/>
    <n v="0"/>
    <s v="Store A."/>
    <s v="Stores A, B, C, D and E."/>
    <s v="Stores D and E."/>
    <s v="mo-h"/>
    <s v="exh"/>
    <s v="ms-l"/>
    <n v="1"/>
    <x v="2"/>
    <x v="2"/>
    <n v="0"/>
    <n v="1"/>
    <n v="0"/>
    <n v="1"/>
    <n v="1"/>
    <n v="0"/>
    <x v="2"/>
    <n v="0"/>
    <n v="0"/>
    <n v="0"/>
    <n v="0"/>
    <x v="1"/>
  </r>
  <r>
    <s v="A12569NJ7KY1KX"/>
    <x v="0"/>
    <n v="35"/>
    <s v="female"/>
    <x v="2"/>
    <x v="6"/>
    <n v="9098"/>
    <n v="1"/>
    <n v="0"/>
    <n v="0"/>
    <n v="0"/>
    <s v="Bookstores A and B."/>
    <s v="Bookstore F."/>
    <s v="Bookstore E."/>
    <s v="ms-h"/>
    <s v="fa"/>
    <s v="mo-l"/>
    <n v="0"/>
    <x v="1"/>
    <x v="1"/>
    <n v="1"/>
    <n v="0"/>
    <n v="0"/>
    <n v="1"/>
    <n v="0"/>
    <n v="0"/>
    <x v="2"/>
    <n v="1"/>
    <n v="0"/>
    <n v="0"/>
    <n v="0"/>
    <x v="1"/>
  </r>
  <r>
    <s v="A12569NJ7KY1KX"/>
    <x v="0"/>
    <n v="35"/>
    <s v="female"/>
    <x v="3"/>
    <x v="10"/>
    <n v="23243"/>
    <n v="0"/>
    <n v="0"/>
    <n v="1"/>
    <n v="0"/>
    <s v="NA"/>
    <s v="NA"/>
    <s v="NA"/>
    <s v="NA"/>
    <s v="NA"/>
    <s v="NA"/>
    <s v="NA"/>
    <x v="1"/>
    <x v="1"/>
    <n v="1"/>
    <n v="0"/>
    <n v="0"/>
    <n v="1"/>
    <n v="0"/>
    <n v="0"/>
    <x v="2"/>
    <n v="1"/>
    <n v="0"/>
    <n v="0"/>
    <n v="0"/>
    <x v="1"/>
  </r>
  <r>
    <s v="A12569NJ7KY1KX"/>
    <x v="0"/>
    <n v="35"/>
    <s v="female"/>
    <x v="2"/>
    <x v="7"/>
    <n v="4840"/>
    <n v="0"/>
    <n v="1"/>
    <n v="0"/>
    <n v="0"/>
    <s v="Stylists A, B, C, D and E."/>
    <s v="Stylist A."/>
    <s v="Stylist E."/>
    <s v="exh"/>
    <s v="mo-h"/>
    <s v="mo-l"/>
    <n v="1"/>
    <x v="2"/>
    <x v="1"/>
    <n v="0"/>
    <n v="0"/>
    <n v="0"/>
    <n v="1"/>
    <n v="0"/>
    <n v="1"/>
    <x v="2"/>
    <n v="0"/>
    <n v="0"/>
    <n v="0"/>
    <n v="0"/>
    <x v="1"/>
  </r>
  <r>
    <s v="A12569NJ7KY1KX"/>
    <x v="0"/>
    <n v="35"/>
    <s v="female"/>
    <x v="3"/>
    <x v="5"/>
    <n v="25275"/>
    <n v="0"/>
    <n v="1"/>
    <n v="0"/>
    <n v="0"/>
    <s v="NA"/>
    <s v="NA"/>
    <s v="NA"/>
    <s v="NA"/>
    <s v="NA"/>
    <s v="NA"/>
    <s v="NA"/>
    <x v="2"/>
    <x v="1"/>
    <n v="0"/>
    <n v="0"/>
    <n v="0"/>
    <n v="1"/>
    <n v="0"/>
    <n v="1"/>
    <x v="2"/>
    <n v="0"/>
    <n v="0"/>
    <n v="0"/>
    <n v="0"/>
    <x v="1"/>
  </r>
  <r>
    <s v="A12569NJ7KY1KX"/>
    <x v="0"/>
    <n v="35"/>
    <s v="female"/>
    <x v="4"/>
    <x v="0"/>
    <n v="95765"/>
    <s v="GRT %0ACOFFE DAY%0ARELIANCE%0A%0A"/>
    <s v="NO"/>
    <s v="NO ELSE"/>
    <s v="NA"/>
    <s v="NA"/>
    <s v="NA"/>
    <s v="NA"/>
    <s v="NA"/>
    <s v="NA"/>
    <s v="NA"/>
    <s v="NA"/>
    <x v="0"/>
    <x v="0"/>
    <s v="NA"/>
    <s v="NA"/>
    <s v="NA"/>
    <s v="NA"/>
    <s v="NA"/>
    <s v="NA"/>
    <x v="0"/>
    <s v="NA"/>
    <s v="NA"/>
    <s v="NA"/>
    <s v="NA"/>
    <x v="1"/>
  </r>
  <r>
    <s v="A30FCN88F8DZOT"/>
    <x v="0"/>
    <n v="28"/>
    <s v="male"/>
    <x v="0"/>
    <x v="0"/>
    <n v="17529"/>
    <s v="NA"/>
    <s v="NA"/>
    <s v="NA"/>
    <s v="NA"/>
    <s v="NA"/>
    <s v="NA"/>
    <s v="NA"/>
    <s v="NA"/>
    <s v="NA"/>
    <s v="NA"/>
    <s v="NA"/>
    <x v="0"/>
    <x v="0"/>
    <s v="NA"/>
    <s v="NA"/>
    <s v="NA"/>
    <s v="NA"/>
    <s v="NA"/>
    <s v="NA"/>
    <x v="0"/>
    <s v="NA"/>
    <s v="NA"/>
    <s v="NA"/>
    <s v="NA"/>
    <x v="1"/>
  </r>
  <r>
    <s v="A30FCN88F8DZOT"/>
    <x v="0"/>
    <n v="28"/>
    <s v="male"/>
    <x v="1"/>
    <x v="1"/>
    <n v="45221"/>
    <n v="0"/>
    <n v="1"/>
    <n v="0"/>
    <n v="0"/>
    <s v="NA"/>
    <s v="NA"/>
    <s v="NA"/>
    <s v="NA"/>
    <s v="NA"/>
    <s v="NA"/>
    <s v="NA"/>
    <x v="0"/>
    <x v="0"/>
    <s v="NA"/>
    <s v="NA"/>
    <s v="NA"/>
    <s v="NA"/>
    <s v="NA"/>
    <s v="NA"/>
    <x v="0"/>
    <s v="NA"/>
    <s v="NA"/>
    <s v="NA"/>
    <s v="NA"/>
    <x v="1"/>
  </r>
  <r>
    <s v="A30FCN88F8DZOT"/>
    <x v="0"/>
    <n v="28"/>
    <s v="male"/>
    <x v="1"/>
    <x v="2"/>
    <n v="85098"/>
    <n v="0"/>
    <n v="0"/>
    <n v="1"/>
    <n v="0"/>
    <s v="NA"/>
    <s v="NA"/>
    <s v="NA"/>
    <s v="NA"/>
    <s v="NA"/>
    <s v="NA"/>
    <s v="NA"/>
    <x v="0"/>
    <x v="0"/>
    <s v="NA"/>
    <s v="NA"/>
    <s v="NA"/>
    <s v="NA"/>
    <s v="NA"/>
    <s v="NA"/>
    <x v="0"/>
    <s v="NA"/>
    <s v="NA"/>
    <s v="NA"/>
    <s v="NA"/>
    <x v="1"/>
  </r>
  <r>
    <s v="A30FCN88F8DZOT"/>
    <x v="0"/>
    <n v="28"/>
    <s v="male"/>
    <x v="2"/>
    <x v="7"/>
    <n v="129047"/>
    <n v="1"/>
    <n v="1"/>
    <n v="0"/>
    <n v="0"/>
    <s v="Stylists A and B."/>
    <s v="Stylist A."/>
    <s v="Stylist E."/>
    <s v="ms-h"/>
    <s v="mo-h"/>
    <s v="mo-l"/>
    <n v="0"/>
    <x v="2"/>
    <x v="1"/>
    <n v="1"/>
    <n v="0"/>
    <n v="0"/>
    <n v="1"/>
    <n v="0"/>
    <n v="1"/>
    <x v="2"/>
    <n v="1"/>
    <n v="0"/>
    <n v="0"/>
    <n v="0"/>
    <x v="1"/>
  </r>
  <r>
    <s v="A30FCN88F8DZOT"/>
    <x v="0"/>
    <n v="28"/>
    <s v="male"/>
    <x v="2"/>
    <x v="6"/>
    <n v="15740"/>
    <n v="1"/>
    <n v="0"/>
    <n v="0"/>
    <n v="0"/>
    <s v="Bookstore A."/>
    <s v="Bookstore E."/>
    <s v="Bookstore F."/>
    <s v="mo-h"/>
    <s v="mo-l"/>
    <s v="fa"/>
    <n v="0"/>
    <x v="2"/>
    <x v="1"/>
    <n v="0"/>
    <n v="0"/>
    <n v="0"/>
    <n v="1"/>
    <n v="0"/>
    <n v="1"/>
    <x v="2"/>
    <n v="0"/>
    <n v="0"/>
    <n v="0"/>
    <n v="0"/>
    <x v="1"/>
  </r>
  <r>
    <s v="A30FCN88F8DZOT"/>
    <x v="0"/>
    <n v="28"/>
    <s v="male"/>
    <x v="3"/>
    <x v="10"/>
    <n v="75763"/>
    <n v="0"/>
    <n v="1"/>
    <n v="0"/>
    <n v="0"/>
    <s v="NA"/>
    <s v="NA"/>
    <s v="NA"/>
    <s v="NA"/>
    <s v="NA"/>
    <s v="NA"/>
    <s v="NA"/>
    <x v="2"/>
    <x v="1"/>
    <n v="0"/>
    <n v="0"/>
    <n v="0"/>
    <n v="1"/>
    <n v="0"/>
    <n v="1"/>
    <x v="2"/>
    <n v="0"/>
    <n v="0"/>
    <n v="0"/>
    <n v="0"/>
    <x v="1"/>
  </r>
  <r>
    <s v="A30FCN88F8DZOT"/>
    <x v="0"/>
    <n v="28"/>
    <s v="male"/>
    <x v="2"/>
    <x v="3"/>
    <n v="103515"/>
    <n v="0"/>
    <n v="0"/>
    <n v="1"/>
    <n v="0"/>
    <s v="Cafes D and E."/>
    <s v="Cafes A, B, C, D and E."/>
    <s v="Cafes A and B."/>
    <s v="ms-l"/>
    <s v="exh"/>
    <s v="ms-h"/>
    <n v="1"/>
    <x v="1"/>
    <x v="2"/>
    <n v="1"/>
    <n v="1"/>
    <n v="0"/>
    <n v="1"/>
    <n v="0"/>
    <n v="0"/>
    <x v="2"/>
    <n v="1"/>
    <n v="0"/>
    <n v="0"/>
    <n v="0"/>
    <x v="1"/>
  </r>
  <r>
    <s v="A30FCN88F8DZOT"/>
    <x v="0"/>
    <n v="28"/>
    <s v="male"/>
    <x v="2"/>
    <x v="4"/>
    <n v="69108"/>
    <n v="0"/>
    <n v="0"/>
    <n v="0"/>
    <n v="1"/>
    <s v="Stalls D and E."/>
    <s v="Stalls A, B, C, D and E."/>
    <s v="Stall E."/>
    <s v="ms-l"/>
    <s v="exh"/>
    <s v="mo-l"/>
    <n v="1"/>
    <x v="1"/>
    <x v="1"/>
    <n v="0"/>
    <n v="1"/>
    <n v="0"/>
    <n v="1"/>
    <n v="0"/>
    <n v="0"/>
    <x v="2"/>
    <n v="0"/>
    <n v="0"/>
    <n v="0"/>
    <n v="1"/>
    <x v="1"/>
  </r>
  <r>
    <s v="A30FCN88F8DZOT"/>
    <x v="0"/>
    <n v="28"/>
    <s v="male"/>
    <x v="3"/>
    <x v="12"/>
    <n v="59245"/>
    <n v="0"/>
    <n v="0"/>
    <n v="1"/>
    <n v="0"/>
    <s v="NA"/>
    <s v="NA"/>
    <s v="NA"/>
    <s v="NA"/>
    <s v="NA"/>
    <s v="NA"/>
    <s v="NA"/>
    <x v="1"/>
    <x v="1"/>
    <n v="0"/>
    <n v="1"/>
    <n v="0"/>
    <n v="1"/>
    <n v="0"/>
    <n v="0"/>
    <x v="2"/>
    <n v="0"/>
    <n v="0"/>
    <n v="0"/>
    <n v="1"/>
    <x v="1"/>
  </r>
  <r>
    <s v="A30FCN88F8DZOT"/>
    <x v="0"/>
    <n v="28"/>
    <s v="male"/>
    <x v="2"/>
    <x v="11"/>
    <n v="40115"/>
    <n v="0"/>
    <n v="0"/>
    <n v="0"/>
    <n v="1"/>
    <s v="Dentist E."/>
    <s v="Dentists D and E."/>
    <s v="Dentists A, B, C, D and E."/>
    <s v="mo-l"/>
    <s v="ms-l"/>
    <s v="exh"/>
    <n v="1"/>
    <x v="1"/>
    <x v="1"/>
    <n v="0"/>
    <n v="1"/>
    <n v="0"/>
    <n v="1"/>
    <n v="0"/>
    <n v="0"/>
    <x v="2"/>
    <n v="0"/>
    <n v="0"/>
    <n v="0"/>
    <n v="1"/>
    <x v="1"/>
  </r>
  <r>
    <s v="A30FCN88F8DZOT"/>
    <x v="0"/>
    <n v="28"/>
    <s v="male"/>
    <x v="3"/>
    <x v="8"/>
    <n v="81711"/>
    <n v="0"/>
    <n v="0"/>
    <n v="0"/>
    <n v="1"/>
    <s v="NA"/>
    <s v="NA"/>
    <s v="NA"/>
    <s v="NA"/>
    <s v="NA"/>
    <s v="NA"/>
    <s v="NA"/>
    <x v="1"/>
    <x v="1"/>
    <n v="0"/>
    <n v="1"/>
    <n v="0"/>
    <n v="1"/>
    <n v="0"/>
    <n v="0"/>
    <x v="2"/>
    <n v="0"/>
    <n v="0"/>
    <n v="0"/>
    <n v="1"/>
    <x v="1"/>
  </r>
  <r>
    <s v="A30FCN88F8DZOT"/>
    <x v="0"/>
    <n v="28"/>
    <s v="male"/>
    <x v="2"/>
    <x v="9"/>
    <n v="19076"/>
    <n v="1"/>
    <n v="0"/>
    <n v="0"/>
    <n v="0"/>
    <s v="Stores A and B."/>
    <s v="Store F."/>
    <s v="Stores D and E."/>
    <s v="ms-h"/>
    <s v="fa"/>
    <s v="ms-l"/>
    <n v="0"/>
    <x v="1"/>
    <x v="2"/>
    <n v="1"/>
    <n v="1"/>
    <n v="0"/>
    <n v="1"/>
    <n v="0"/>
    <n v="0"/>
    <x v="2"/>
    <n v="1"/>
    <n v="0"/>
    <n v="0"/>
    <n v="0"/>
    <x v="1"/>
  </r>
  <r>
    <s v="A30FCN88F8DZOT"/>
    <x v="0"/>
    <n v="28"/>
    <s v="male"/>
    <x v="3"/>
    <x v="5"/>
    <n v="108551"/>
    <n v="0"/>
    <n v="0"/>
    <n v="1"/>
    <n v="0"/>
    <s v="NA"/>
    <s v="NA"/>
    <s v="NA"/>
    <s v="NA"/>
    <s v="NA"/>
    <s v="NA"/>
    <s v="NA"/>
    <x v="1"/>
    <x v="2"/>
    <n v="1"/>
    <n v="1"/>
    <n v="0"/>
    <n v="1"/>
    <n v="0"/>
    <n v="0"/>
    <x v="2"/>
    <n v="1"/>
    <n v="0"/>
    <n v="0"/>
    <n v="0"/>
    <x v="1"/>
  </r>
  <r>
    <s v="A30FCN88F8DZOT"/>
    <x v="0"/>
    <n v="28"/>
    <s v="male"/>
    <x v="4"/>
    <x v="0"/>
    <n v="124887"/>
    <s v="IS THERE IS ANY OTHER RESTAURANTS WHO SERVE BRUNCH IN TOWN ..?"/>
    <s v="NO .. ITS A BIT EASY TO DO IF WE READ THE STATEMENTS CAREFULLY"/>
    <s v="NOTHING"/>
    <s v="NA"/>
    <s v="NA"/>
    <s v="NA"/>
    <s v="NA"/>
    <s v="NA"/>
    <s v="NA"/>
    <s v="NA"/>
    <s v="NA"/>
    <x v="0"/>
    <x v="0"/>
    <s v="NA"/>
    <s v="NA"/>
    <s v="NA"/>
    <s v="NA"/>
    <s v="NA"/>
    <s v="NA"/>
    <x v="0"/>
    <s v="NA"/>
    <s v="NA"/>
    <s v="NA"/>
    <s v="NA"/>
    <x v="1"/>
  </r>
  <r>
    <s v="A2W1QLIYADUJU3"/>
    <x v="0"/>
    <n v="37"/>
    <s v="male"/>
    <x v="0"/>
    <x v="0"/>
    <n v="50749"/>
    <s v="NA"/>
    <s v="NA"/>
    <s v="NA"/>
    <s v="NA"/>
    <s v="NA"/>
    <s v="NA"/>
    <s v="NA"/>
    <s v="NA"/>
    <s v="NA"/>
    <s v="NA"/>
    <s v="NA"/>
    <x v="0"/>
    <x v="0"/>
    <s v="NA"/>
    <s v="NA"/>
    <s v="NA"/>
    <s v="NA"/>
    <s v="NA"/>
    <s v="NA"/>
    <x v="0"/>
    <s v="NA"/>
    <s v="NA"/>
    <s v="NA"/>
    <s v="NA"/>
    <x v="1"/>
  </r>
  <r>
    <s v="A2W1QLIYADUJU3"/>
    <x v="0"/>
    <n v="37"/>
    <s v="male"/>
    <x v="1"/>
    <x v="2"/>
    <n v="30838"/>
    <n v="1"/>
    <n v="1"/>
    <n v="1"/>
    <n v="0"/>
    <s v="NA"/>
    <s v="NA"/>
    <s v="NA"/>
    <s v="NA"/>
    <s v="NA"/>
    <s v="NA"/>
    <s v="NA"/>
    <x v="0"/>
    <x v="0"/>
    <s v="NA"/>
    <s v="NA"/>
    <s v="NA"/>
    <s v="NA"/>
    <s v="NA"/>
    <s v="NA"/>
    <x v="0"/>
    <s v="NA"/>
    <s v="NA"/>
    <s v="NA"/>
    <s v="NA"/>
    <x v="1"/>
  </r>
  <r>
    <s v="A2W1QLIYADUJU3"/>
    <x v="0"/>
    <n v="37"/>
    <s v="male"/>
    <x v="1"/>
    <x v="1"/>
    <n v="11941"/>
    <n v="1"/>
    <n v="1"/>
    <n v="1"/>
    <n v="0"/>
    <s v="NA"/>
    <s v="NA"/>
    <s v="NA"/>
    <s v="NA"/>
    <s v="NA"/>
    <s v="NA"/>
    <s v="NA"/>
    <x v="0"/>
    <x v="0"/>
    <s v="NA"/>
    <s v="NA"/>
    <s v="NA"/>
    <s v="NA"/>
    <s v="NA"/>
    <s v="NA"/>
    <x v="0"/>
    <s v="NA"/>
    <s v="NA"/>
    <s v="NA"/>
    <s v="NA"/>
    <x v="1"/>
  </r>
  <r>
    <s v="A2W1QLIYADUJU3"/>
    <x v="0"/>
    <n v="37"/>
    <s v="male"/>
    <x v="2"/>
    <x v="7"/>
    <n v="138682"/>
    <n v="1"/>
    <n v="1"/>
    <n v="0"/>
    <n v="0"/>
    <s v="Stylist A."/>
    <s v="Stylists D and E."/>
    <s v="Stylists A and B."/>
    <s v="mo-h"/>
    <s v="ms-l"/>
    <s v="ms-h"/>
    <n v="0"/>
    <x v="2"/>
    <x v="2"/>
    <n v="1"/>
    <n v="1"/>
    <n v="0"/>
    <n v="1"/>
    <n v="0"/>
    <n v="1"/>
    <x v="2"/>
    <n v="0"/>
    <n v="1"/>
    <n v="0"/>
    <n v="0"/>
    <x v="1"/>
  </r>
  <r>
    <s v="A2W1QLIYADUJU3"/>
    <x v="0"/>
    <n v="37"/>
    <s v="male"/>
    <x v="2"/>
    <x v="11"/>
    <n v="6211"/>
    <n v="1"/>
    <n v="1"/>
    <n v="1"/>
    <n v="0"/>
    <s v="Dentists D and E."/>
    <s v="Dentist E."/>
    <s v="Dentists A and B."/>
    <s v="ms-l"/>
    <s v="mo-l"/>
    <s v="ms-h"/>
    <n v="0"/>
    <x v="1"/>
    <x v="1"/>
    <n v="1"/>
    <n v="1"/>
    <n v="0"/>
    <n v="1"/>
    <n v="0"/>
    <n v="0"/>
    <x v="1"/>
    <n v="1"/>
    <n v="1"/>
    <n v="0"/>
    <n v="0"/>
    <x v="1"/>
  </r>
  <r>
    <s v="A2W1QLIYADUJU3"/>
    <x v="0"/>
    <n v="37"/>
    <s v="male"/>
    <x v="3"/>
    <x v="10"/>
    <n v="20630"/>
    <n v="1"/>
    <n v="0"/>
    <n v="0"/>
    <n v="0"/>
    <s v="NA"/>
    <s v="NA"/>
    <s v="NA"/>
    <s v="NA"/>
    <s v="NA"/>
    <s v="NA"/>
    <s v="NA"/>
    <x v="1"/>
    <x v="1"/>
    <n v="1"/>
    <n v="1"/>
    <n v="0"/>
    <n v="1"/>
    <n v="0"/>
    <n v="0"/>
    <x v="1"/>
    <n v="1"/>
    <n v="1"/>
    <n v="0"/>
    <n v="0"/>
    <x v="1"/>
  </r>
  <r>
    <s v="A2W1QLIYADUJU3"/>
    <x v="0"/>
    <n v="37"/>
    <s v="male"/>
    <x v="2"/>
    <x v="6"/>
    <n v="10359"/>
    <n v="1"/>
    <n v="1"/>
    <n v="0"/>
    <n v="0"/>
    <s v="Bookstores D and E."/>
    <s v="Bookstores A and B."/>
    <s v="Bookstore F."/>
    <s v="ms-l"/>
    <s v="ms-h"/>
    <s v="fa"/>
    <n v="0"/>
    <x v="1"/>
    <x v="2"/>
    <n v="1"/>
    <n v="1"/>
    <n v="0"/>
    <n v="1"/>
    <n v="0"/>
    <n v="0"/>
    <x v="2"/>
    <n v="1"/>
    <n v="1"/>
    <n v="0"/>
    <n v="0"/>
    <x v="1"/>
  </r>
  <r>
    <s v="A2W1QLIYADUJU3"/>
    <x v="0"/>
    <n v="37"/>
    <s v="male"/>
    <x v="3"/>
    <x v="12"/>
    <n v="48525"/>
    <n v="1"/>
    <n v="0"/>
    <n v="0"/>
    <n v="0"/>
    <s v="NA"/>
    <s v="NA"/>
    <s v="NA"/>
    <s v="NA"/>
    <s v="NA"/>
    <s v="NA"/>
    <s v="NA"/>
    <x v="1"/>
    <x v="2"/>
    <n v="1"/>
    <n v="1"/>
    <n v="0"/>
    <n v="1"/>
    <n v="0"/>
    <n v="0"/>
    <x v="2"/>
    <n v="1"/>
    <n v="1"/>
    <n v="0"/>
    <n v="0"/>
    <x v="1"/>
  </r>
  <r>
    <s v="A2W1QLIYADUJU3"/>
    <x v="0"/>
    <n v="37"/>
    <s v="male"/>
    <x v="2"/>
    <x v="4"/>
    <n v="92971"/>
    <n v="0"/>
    <n v="1"/>
    <n v="0"/>
    <n v="0"/>
    <s v="Stall F."/>
    <s v="Stalls D and E."/>
    <s v="Stall E."/>
    <s v="fa"/>
    <s v="ms-l"/>
    <s v="mo-l"/>
    <n v="0"/>
    <x v="1"/>
    <x v="1"/>
    <n v="0"/>
    <n v="1"/>
    <n v="0"/>
    <n v="1"/>
    <n v="0"/>
    <n v="0"/>
    <x v="2"/>
    <n v="0"/>
    <n v="1"/>
    <n v="0"/>
    <n v="0"/>
    <x v="1"/>
  </r>
  <r>
    <s v="A2W1QLIYADUJU3"/>
    <x v="0"/>
    <n v="37"/>
    <s v="male"/>
    <x v="2"/>
    <x v="3"/>
    <n v="48913"/>
    <n v="1"/>
    <n v="0"/>
    <n v="0"/>
    <n v="0"/>
    <s v="Cafes D and E."/>
    <s v="Cafe F."/>
    <s v="Cafe A."/>
    <s v="ms-l"/>
    <s v="fa"/>
    <s v="mo-h"/>
    <n v="0"/>
    <x v="2"/>
    <x v="2"/>
    <n v="0"/>
    <n v="1"/>
    <n v="0"/>
    <n v="1"/>
    <n v="0"/>
    <n v="0"/>
    <x v="2"/>
    <n v="0"/>
    <n v="1"/>
    <n v="0"/>
    <n v="0"/>
    <x v="1"/>
  </r>
  <r>
    <s v="A2W1QLIYADUJU3"/>
    <x v="0"/>
    <n v="37"/>
    <s v="male"/>
    <x v="3"/>
    <x v="8"/>
    <n v="46863"/>
    <n v="1"/>
    <n v="0"/>
    <n v="0"/>
    <n v="0"/>
    <s v="NA"/>
    <s v="NA"/>
    <s v="NA"/>
    <s v="NA"/>
    <s v="NA"/>
    <s v="NA"/>
    <s v="NA"/>
    <x v="2"/>
    <x v="2"/>
    <n v="0"/>
    <n v="1"/>
    <n v="0"/>
    <n v="1"/>
    <n v="0"/>
    <n v="0"/>
    <x v="2"/>
    <n v="0"/>
    <n v="1"/>
    <n v="0"/>
    <n v="0"/>
    <x v="1"/>
  </r>
  <r>
    <s v="A2W1QLIYADUJU3"/>
    <x v="0"/>
    <n v="37"/>
    <s v="male"/>
    <x v="2"/>
    <x v="9"/>
    <n v="45741"/>
    <n v="0"/>
    <n v="0"/>
    <n v="1"/>
    <n v="0"/>
    <s v="Store E."/>
    <s v="Store A."/>
    <s v="Stores A and B."/>
    <s v="mo-l"/>
    <s v="mo-h"/>
    <s v="ms-h"/>
    <n v="0"/>
    <x v="2"/>
    <x v="1"/>
    <n v="1"/>
    <n v="0"/>
    <n v="0"/>
    <n v="1"/>
    <n v="0"/>
    <n v="0"/>
    <x v="2"/>
    <n v="1"/>
    <n v="0"/>
    <n v="0"/>
    <n v="0"/>
    <x v="1"/>
  </r>
  <r>
    <s v="A2W1QLIYADUJU3"/>
    <x v="0"/>
    <n v="37"/>
    <s v="male"/>
    <x v="3"/>
    <x v="5"/>
    <n v="17725"/>
    <n v="1"/>
    <n v="0"/>
    <n v="0"/>
    <n v="0"/>
    <s v="NA"/>
    <s v="NA"/>
    <s v="NA"/>
    <s v="NA"/>
    <s v="NA"/>
    <s v="NA"/>
    <s v="NA"/>
    <x v="2"/>
    <x v="1"/>
    <n v="1"/>
    <n v="0"/>
    <n v="0"/>
    <n v="1"/>
    <n v="0"/>
    <n v="0"/>
    <x v="2"/>
    <n v="1"/>
    <n v="0"/>
    <n v="0"/>
    <n v="0"/>
    <x v="1"/>
  </r>
  <r>
    <s v="A2W1QLIYADUJU3"/>
    <x v="0"/>
    <n v="37"/>
    <s v="male"/>
    <x v="4"/>
    <x v="0"/>
    <n v="676334"/>
    <s v="brunch that long and lazy latter morning mean witch stretches into early afternoon."/>
    <s v="Nothing because easily understanding"/>
    <s v="nice and this study very useful."/>
    <s v="NA"/>
    <s v="NA"/>
    <s v="NA"/>
    <s v="NA"/>
    <s v="NA"/>
    <s v="NA"/>
    <s v="NA"/>
    <s v="NA"/>
    <x v="0"/>
    <x v="0"/>
    <s v="NA"/>
    <s v="NA"/>
    <s v="NA"/>
    <s v="NA"/>
    <s v="NA"/>
    <s v="NA"/>
    <x v="0"/>
    <s v="NA"/>
    <s v="NA"/>
    <s v="NA"/>
    <s v="NA"/>
    <x v="1"/>
  </r>
  <r>
    <s v="A1TSQCY9QR6RM7"/>
    <x v="0"/>
    <n v="55"/>
    <s v="female"/>
    <x v="0"/>
    <x v="0"/>
    <n v="32474"/>
    <s v="NA"/>
    <s v="NA"/>
    <s v="NA"/>
    <s v="NA"/>
    <s v="NA"/>
    <s v="NA"/>
    <s v="NA"/>
    <s v="NA"/>
    <s v="NA"/>
    <s v="NA"/>
    <s v="NA"/>
    <x v="0"/>
    <x v="0"/>
    <s v="NA"/>
    <s v="NA"/>
    <s v="NA"/>
    <s v="NA"/>
    <s v="NA"/>
    <s v="NA"/>
    <x v="0"/>
    <s v="NA"/>
    <s v="NA"/>
    <s v="NA"/>
    <s v="NA"/>
    <x v="1"/>
  </r>
  <r>
    <s v="A1TSQCY9QR6RM7"/>
    <x v="0"/>
    <n v="55"/>
    <s v="female"/>
    <x v="1"/>
    <x v="2"/>
    <n v="65642"/>
    <n v="0"/>
    <n v="1"/>
    <n v="1"/>
    <n v="0"/>
    <s v="NA"/>
    <s v="NA"/>
    <s v="NA"/>
    <s v="NA"/>
    <s v="NA"/>
    <s v="NA"/>
    <s v="NA"/>
    <x v="0"/>
    <x v="0"/>
    <s v="NA"/>
    <s v="NA"/>
    <s v="NA"/>
    <s v="NA"/>
    <s v="NA"/>
    <s v="NA"/>
    <x v="0"/>
    <s v="NA"/>
    <s v="NA"/>
    <s v="NA"/>
    <s v="NA"/>
    <x v="1"/>
  </r>
  <r>
    <s v="A1TSQCY9QR6RM7"/>
    <x v="0"/>
    <n v="55"/>
    <s v="female"/>
    <x v="1"/>
    <x v="1"/>
    <n v="55182"/>
    <n v="0"/>
    <n v="0"/>
    <n v="0"/>
    <n v="1"/>
    <s v="NA"/>
    <s v="NA"/>
    <s v="NA"/>
    <s v="NA"/>
    <s v="NA"/>
    <s v="NA"/>
    <s v="NA"/>
    <x v="0"/>
    <x v="0"/>
    <s v="NA"/>
    <s v="NA"/>
    <s v="NA"/>
    <s v="NA"/>
    <s v="NA"/>
    <s v="NA"/>
    <x v="0"/>
    <s v="NA"/>
    <s v="NA"/>
    <s v="NA"/>
    <s v="NA"/>
    <x v="1"/>
  </r>
  <r>
    <s v="A1TSQCY9QR6RM7"/>
    <x v="0"/>
    <n v="55"/>
    <s v="female"/>
    <x v="2"/>
    <x v="9"/>
    <n v="113948"/>
    <n v="1"/>
    <n v="0"/>
    <n v="0"/>
    <n v="0"/>
    <s v="Stores A and B."/>
    <s v="Stores A, B, C, D and E."/>
    <s v="Store E."/>
    <s v="ms-h"/>
    <s v="exh"/>
    <s v="mo-l"/>
    <n v="1"/>
    <x v="1"/>
    <x v="1"/>
    <n v="1"/>
    <n v="0"/>
    <n v="0"/>
    <n v="1"/>
    <n v="0"/>
    <n v="0"/>
    <x v="2"/>
    <n v="1"/>
    <n v="0"/>
    <n v="0"/>
    <n v="0"/>
    <x v="1"/>
  </r>
  <r>
    <s v="A1TSQCY9QR6RM7"/>
    <x v="0"/>
    <n v="55"/>
    <s v="female"/>
    <x v="2"/>
    <x v="6"/>
    <n v="48188"/>
    <n v="0"/>
    <n v="0"/>
    <n v="0"/>
    <n v="1"/>
    <s v="Bookstores A and B."/>
    <s v="Bookstore E."/>
    <s v="Bookstores D and E."/>
    <s v="ms-h"/>
    <s v="mo-l"/>
    <s v="ms-l"/>
    <n v="0"/>
    <x v="1"/>
    <x v="1"/>
    <n v="1"/>
    <n v="1"/>
    <n v="0"/>
    <n v="1"/>
    <n v="0"/>
    <n v="0"/>
    <x v="2"/>
    <n v="0"/>
    <n v="0"/>
    <n v="0"/>
    <n v="1"/>
    <x v="1"/>
  </r>
  <r>
    <s v="A1TSQCY9QR6RM7"/>
    <x v="0"/>
    <n v="55"/>
    <s v="female"/>
    <x v="3"/>
    <x v="12"/>
    <n v="28492"/>
    <n v="1"/>
    <n v="0"/>
    <n v="0"/>
    <n v="0"/>
    <s v="NA"/>
    <s v="NA"/>
    <s v="NA"/>
    <s v="NA"/>
    <s v="NA"/>
    <s v="NA"/>
    <s v="NA"/>
    <x v="1"/>
    <x v="1"/>
    <n v="1"/>
    <n v="1"/>
    <n v="0"/>
    <n v="1"/>
    <n v="0"/>
    <n v="0"/>
    <x v="2"/>
    <n v="0"/>
    <n v="0"/>
    <n v="0"/>
    <n v="1"/>
    <x v="1"/>
  </r>
  <r>
    <s v="A1TSQCY9QR6RM7"/>
    <x v="0"/>
    <n v="55"/>
    <s v="female"/>
    <x v="2"/>
    <x v="11"/>
    <n v="50700"/>
    <n v="0"/>
    <n v="0"/>
    <n v="0"/>
    <n v="1"/>
    <s v="Dentist A."/>
    <s v="Dentists A and B."/>
    <s v="Dentists A, B, C, D and E."/>
    <s v="mo-h"/>
    <s v="ms-h"/>
    <s v="exh"/>
    <n v="1"/>
    <x v="2"/>
    <x v="2"/>
    <n v="1"/>
    <n v="0"/>
    <n v="0"/>
    <n v="1"/>
    <n v="0"/>
    <n v="0"/>
    <x v="2"/>
    <n v="0"/>
    <n v="0"/>
    <n v="0"/>
    <n v="1"/>
    <x v="1"/>
  </r>
  <r>
    <s v="A1TSQCY9QR6RM7"/>
    <x v="0"/>
    <n v="55"/>
    <s v="female"/>
    <x v="3"/>
    <x v="10"/>
    <n v="51515"/>
    <n v="0"/>
    <n v="0"/>
    <n v="0"/>
    <n v="1"/>
    <s v="NA"/>
    <s v="NA"/>
    <s v="NA"/>
    <s v="NA"/>
    <s v="NA"/>
    <s v="NA"/>
    <s v="NA"/>
    <x v="2"/>
    <x v="2"/>
    <n v="1"/>
    <n v="0"/>
    <n v="0"/>
    <n v="1"/>
    <n v="0"/>
    <n v="0"/>
    <x v="2"/>
    <n v="0"/>
    <n v="0"/>
    <n v="0"/>
    <n v="1"/>
    <x v="1"/>
  </r>
  <r>
    <s v="A1TSQCY9QR6RM7"/>
    <x v="0"/>
    <n v="55"/>
    <s v="female"/>
    <x v="2"/>
    <x v="3"/>
    <n v="38667"/>
    <n v="0"/>
    <n v="0"/>
    <n v="0"/>
    <n v="1"/>
    <s v="Cafes D and E."/>
    <s v="Cafe A."/>
    <s v="Cafe E."/>
    <s v="ms-l"/>
    <s v="mo-h"/>
    <s v="mo-l"/>
    <n v="0"/>
    <x v="2"/>
    <x v="1"/>
    <n v="0"/>
    <n v="1"/>
    <n v="0"/>
    <n v="1"/>
    <n v="0"/>
    <n v="0"/>
    <x v="2"/>
    <n v="0"/>
    <n v="0"/>
    <n v="0"/>
    <n v="1"/>
    <x v="1"/>
  </r>
  <r>
    <s v="A1TSQCY9QR6RM7"/>
    <x v="0"/>
    <n v="55"/>
    <s v="female"/>
    <x v="2"/>
    <x v="4"/>
    <n v="27476"/>
    <n v="0"/>
    <n v="1"/>
    <n v="0"/>
    <n v="0"/>
    <s v="Stalls D and E."/>
    <s v="Stalls A and B."/>
    <s v="Stall E."/>
    <s v="ms-l"/>
    <s v="ms-h"/>
    <s v="mo-l"/>
    <n v="0"/>
    <x v="1"/>
    <x v="1"/>
    <n v="1"/>
    <n v="1"/>
    <n v="0"/>
    <n v="1"/>
    <n v="0"/>
    <n v="0"/>
    <x v="2"/>
    <n v="1"/>
    <n v="0"/>
    <n v="0"/>
    <n v="0"/>
    <x v="1"/>
  </r>
  <r>
    <s v="A1TSQCY9QR6RM7"/>
    <x v="0"/>
    <n v="55"/>
    <s v="female"/>
    <x v="3"/>
    <x v="5"/>
    <n v="59136"/>
    <n v="0"/>
    <n v="0"/>
    <n v="1"/>
    <n v="0"/>
    <s v="NA"/>
    <s v="NA"/>
    <s v="NA"/>
    <s v="NA"/>
    <s v="NA"/>
    <s v="NA"/>
    <s v="NA"/>
    <x v="1"/>
    <x v="1"/>
    <n v="1"/>
    <n v="1"/>
    <n v="0"/>
    <n v="1"/>
    <n v="0"/>
    <n v="0"/>
    <x v="2"/>
    <n v="1"/>
    <n v="0"/>
    <n v="0"/>
    <n v="0"/>
    <x v="1"/>
  </r>
  <r>
    <s v="A1TSQCY9QR6RM7"/>
    <x v="0"/>
    <n v="55"/>
    <s v="female"/>
    <x v="2"/>
    <x v="7"/>
    <n v="75412"/>
    <n v="1"/>
    <n v="0"/>
    <n v="0"/>
    <n v="0"/>
    <s v="Stylist E."/>
    <s v="Stylist A."/>
    <s v="Stylists D and E."/>
    <s v="mo-l"/>
    <s v="mo-h"/>
    <s v="ms-l"/>
    <n v="0"/>
    <x v="2"/>
    <x v="1"/>
    <n v="0"/>
    <n v="1"/>
    <n v="0"/>
    <n v="1"/>
    <n v="0"/>
    <n v="0"/>
    <x v="1"/>
    <n v="0"/>
    <n v="0"/>
    <n v="0"/>
    <n v="0"/>
    <x v="1"/>
  </r>
  <r>
    <s v="A1TSQCY9QR6RM7"/>
    <x v="0"/>
    <n v="55"/>
    <s v="female"/>
    <x v="3"/>
    <x v="8"/>
    <n v="27264"/>
    <n v="1"/>
    <n v="0"/>
    <n v="0"/>
    <n v="0"/>
    <s v="NA"/>
    <s v="NA"/>
    <s v="NA"/>
    <s v="NA"/>
    <s v="NA"/>
    <s v="NA"/>
    <s v="NA"/>
    <x v="2"/>
    <x v="1"/>
    <n v="0"/>
    <n v="1"/>
    <n v="0"/>
    <n v="1"/>
    <n v="0"/>
    <n v="0"/>
    <x v="1"/>
    <n v="0"/>
    <n v="0"/>
    <n v="0"/>
    <n v="0"/>
    <x v="1"/>
  </r>
  <r>
    <s v="A1TSQCY9QR6RM7"/>
    <x v="0"/>
    <n v="55"/>
    <s v="female"/>
    <x v="4"/>
    <x v="0"/>
    <n v="312056"/>
    <s v="No%2C the answer would remain the same however I might ask for further clarification as to what kind of restaurant she prefers."/>
    <s v="Somewhat%2C yes. %0AI found myself inferring when I shouldn't and not sure if that was the acceptable answer."/>
    <s v="Yes. %0AThere was an inconsistency in one of the questions. In one of the stories%2C the question asks about coworker opinions and the answers refer to relatives. %0ANot sure if that was intentional but I wanted to point it out.%0A Dee asks%2C &quot;Where does Joe go for his dental work?%0ACoworker 1 says%2C &quot;Dentist A.&quot;%0A%0ACoworker 2 says%2C &quot;Dentists A and B.&quot;%0A%0ACoworker 3 says%2C &quot;Dentists A%2C B%2C C%2C D and E.&quot;%0A%0A%0AWho knows where Joe goes for his dental work? (Choose all that apply)%0ARelative 1  Relative 2  Relative 3  No one"/>
    <s v="NA"/>
    <s v="NA"/>
    <s v="NA"/>
    <s v="NA"/>
    <s v="NA"/>
    <s v="NA"/>
    <s v="NA"/>
    <s v="NA"/>
    <x v="0"/>
    <x v="0"/>
    <s v="NA"/>
    <s v="NA"/>
    <s v="NA"/>
    <s v="NA"/>
    <s v="NA"/>
    <s v="NA"/>
    <x v="0"/>
    <s v="NA"/>
    <s v="NA"/>
    <s v="NA"/>
    <s v="NA"/>
    <x v="1"/>
  </r>
  <r>
    <s v="A1CJZOKUD5J0H1"/>
    <x v="0"/>
    <n v="27"/>
    <s v="female"/>
    <x v="0"/>
    <x v="0"/>
    <n v="488227"/>
    <s v="NA"/>
    <s v="NA"/>
    <s v="NA"/>
    <s v="NA"/>
    <s v="NA"/>
    <s v="NA"/>
    <s v="NA"/>
    <s v="NA"/>
    <s v="NA"/>
    <s v="NA"/>
    <s v="NA"/>
    <x v="0"/>
    <x v="0"/>
    <s v="NA"/>
    <s v="NA"/>
    <s v="NA"/>
    <s v="NA"/>
    <s v="NA"/>
    <s v="NA"/>
    <x v="0"/>
    <s v="NA"/>
    <s v="NA"/>
    <s v="NA"/>
    <s v="NA"/>
    <x v="1"/>
  </r>
  <r>
    <s v="A1CJZOKUD5J0H1"/>
    <x v="0"/>
    <n v="27"/>
    <s v="female"/>
    <x v="1"/>
    <x v="1"/>
    <n v="73833"/>
    <n v="0"/>
    <n v="0"/>
    <n v="0"/>
    <n v="1"/>
    <s v="NA"/>
    <s v="NA"/>
    <s v="NA"/>
    <s v="NA"/>
    <s v="NA"/>
    <s v="NA"/>
    <s v="NA"/>
    <x v="0"/>
    <x v="0"/>
    <s v="NA"/>
    <s v="NA"/>
    <s v="NA"/>
    <s v="NA"/>
    <s v="NA"/>
    <s v="NA"/>
    <x v="0"/>
    <s v="NA"/>
    <s v="NA"/>
    <s v="NA"/>
    <s v="NA"/>
    <x v="1"/>
  </r>
  <r>
    <s v="A1CJZOKUD5J0H1"/>
    <x v="0"/>
    <n v="27"/>
    <s v="female"/>
    <x v="1"/>
    <x v="2"/>
    <n v="7830"/>
    <n v="0"/>
    <n v="0"/>
    <n v="1"/>
    <n v="0"/>
    <s v="NA"/>
    <s v="NA"/>
    <s v="NA"/>
    <s v="NA"/>
    <s v="NA"/>
    <s v="NA"/>
    <s v="NA"/>
    <x v="0"/>
    <x v="0"/>
    <s v="NA"/>
    <s v="NA"/>
    <s v="NA"/>
    <s v="NA"/>
    <s v="NA"/>
    <s v="NA"/>
    <x v="0"/>
    <s v="NA"/>
    <s v="NA"/>
    <s v="NA"/>
    <s v="NA"/>
    <x v="1"/>
  </r>
  <r>
    <s v="A1CJZOKUD5J0H1"/>
    <x v="0"/>
    <n v="27"/>
    <s v="female"/>
    <x v="2"/>
    <x v="7"/>
    <n v="281691"/>
    <n v="1"/>
    <n v="1"/>
    <n v="0"/>
    <n v="0"/>
    <s v="Stylist E."/>
    <s v="Stylist F."/>
    <s v="Stylist A."/>
    <s v="mo-l"/>
    <s v="fa"/>
    <s v="mo-h"/>
    <n v="0"/>
    <x v="2"/>
    <x v="1"/>
    <n v="0"/>
    <n v="0"/>
    <n v="0"/>
    <n v="1"/>
    <n v="0"/>
    <n v="0"/>
    <x v="1"/>
    <n v="0"/>
    <n v="0"/>
    <n v="0"/>
    <n v="0"/>
    <x v="1"/>
  </r>
  <r>
    <s v="A1CJZOKUD5J0H1"/>
    <x v="0"/>
    <n v="27"/>
    <s v="female"/>
    <x v="2"/>
    <x v="6"/>
    <n v="32654"/>
    <n v="0"/>
    <n v="1"/>
    <n v="1"/>
    <n v="0"/>
    <s v="Bookstore A."/>
    <s v="Bookstores A and B."/>
    <s v="Bookstore F."/>
    <s v="mo-h"/>
    <s v="ms-h"/>
    <s v="fa"/>
    <n v="0"/>
    <x v="2"/>
    <x v="2"/>
    <n v="1"/>
    <n v="0"/>
    <n v="0"/>
    <n v="1"/>
    <n v="0"/>
    <n v="0"/>
    <x v="2"/>
    <n v="1"/>
    <n v="0"/>
    <n v="0"/>
    <n v="0"/>
    <x v="1"/>
  </r>
  <r>
    <s v="A1CJZOKUD5J0H1"/>
    <x v="0"/>
    <n v="27"/>
    <s v="female"/>
    <x v="3"/>
    <x v="12"/>
    <n v="3805"/>
    <n v="1"/>
    <n v="1"/>
    <n v="0"/>
    <n v="0"/>
    <s v="NA"/>
    <s v="NA"/>
    <s v="NA"/>
    <s v="NA"/>
    <s v="NA"/>
    <s v="NA"/>
    <s v="NA"/>
    <x v="2"/>
    <x v="2"/>
    <n v="1"/>
    <n v="0"/>
    <n v="0"/>
    <n v="1"/>
    <n v="0"/>
    <n v="0"/>
    <x v="2"/>
    <n v="1"/>
    <n v="0"/>
    <n v="0"/>
    <n v="0"/>
    <x v="1"/>
  </r>
  <r>
    <s v="A1CJZOKUD5J0H1"/>
    <x v="0"/>
    <n v="27"/>
    <s v="female"/>
    <x v="2"/>
    <x v="3"/>
    <n v="3640"/>
    <n v="0"/>
    <n v="1"/>
    <n v="1"/>
    <n v="0"/>
    <s v="Cafe E."/>
    <s v="Cafe A."/>
    <s v="Cafes D and E."/>
    <s v="mo-l"/>
    <s v="mo-h"/>
    <s v="ms-l"/>
    <n v="0"/>
    <x v="2"/>
    <x v="1"/>
    <n v="0"/>
    <n v="1"/>
    <n v="0"/>
    <n v="1"/>
    <n v="0"/>
    <n v="1"/>
    <x v="2"/>
    <n v="0"/>
    <n v="1"/>
    <n v="0"/>
    <n v="0"/>
    <x v="1"/>
  </r>
  <r>
    <s v="A1CJZOKUD5J0H1"/>
    <x v="0"/>
    <n v="27"/>
    <s v="female"/>
    <x v="2"/>
    <x v="11"/>
    <n v="3316"/>
    <n v="1"/>
    <n v="1"/>
    <n v="1"/>
    <n v="0"/>
    <s v="Dentist A."/>
    <s v="Dentists A and B."/>
    <s v="Dentist F."/>
    <s v="mo-h"/>
    <s v="ms-h"/>
    <s v="fa"/>
    <n v="0"/>
    <x v="2"/>
    <x v="2"/>
    <n v="1"/>
    <n v="0"/>
    <n v="0"/>
    <n v="1"/>
    <n v="0"/>
    <n v="1"/>
    <x v="2"/>
    <n v="1"/>
    <n v="0"/>
    <n v="0"/>
    <n v="0"/>
    <x v="1"/>
  </r>
  <r>
    <s v="A1CJZOKUD5J0H1"/>
    <x v="0"/>
    <n v="27"/>
    <s v="female"/>
    <x v="3"/>
    <x v="10"/>
    <n v="2371"/>
    <n v="0"/>
    <n v="1"/>
    <n v="1"/>
    <n v="0"/>
    <s v="NA"/>
    <s v="NA"/>
    <s v="NA"/>
    <s v="NA"/>
    <s v="NA"/>
    <s v="NA"/>
    <s v="NA"/>
    <x v="2"/>
    <x v="2"/>
    <n v="1"/>
    <n v="0"/>
    <n v="0"/>
    <n v="1"/>
    <n v="0"/>
    <n v="1"/>
    <x v="2"/>
    <n v="1"/>
    <n v="0"/>
    <n v="0"/>
    <n v="0"/>
    <x v="1"/>
  </r>
  <r>
    <s v="A1CJZOKUD5J0H1"/>
    <x v="0"/>
    <n v="27"/>
    <s v="female"/>
    <x v="2"/>
    <x v="4"/>
    <n v="3504"/>
    <n v="0"/>
    <n v="1"/>
    <n v="1"/>
    <n v="0"/>
    <s v="Stall A."/>
    <s v="Stall E."/>
    <s v="Stalls D and E."/>
    <s v="mo-h"/>
    <s v="mo-l"/>
    <s v="ms-l"/>
    <n v="0"/>
    <x v="2"/>
    <x v="1"/>
    <n v="0"/>
    <n v="1"/>
    <n v="0"/>
    <n v="1"/>
    <n v="0"/>
    <n v="0"/>
    <x v="1"/>
    <n v="0"/>
    <n v="1"/>
    <n v="0"/>
    <n v="0"/>
    <x v="1"/>
  </r>
  <r>
    <s v="A1CJZOKUD5J0H1"/>
    <x v="0"/>
    <n v="27"/>
    <s v="female"/>
    <x v="3"/>
    <x v="5"/>
    <n v="2714"/>
    <n v="1"/>
    <n v="1"/>
    <n v="0"/>
    <n v="0"/>
    <s v="NA"/>
    <s v="NA"/>
    <s v="NA"/>
    <s v="NA"/>
    <s v="NA"/>
    <s v="NA"/>
    <s v="NA"/>
    <x v="2"/>
    <x v="1"/>
    <n v="0"/>
    <n v="1"/>
    <n v="0"/>
    <n v="1"/>
    <n v="0"/>
    <n v="0"/>
    <x v="1"/>
    <n v="0"/>
    <n v="1"/>
    <n v="0"/>
    <n v="0"/>
    <x v="1"/>
  </r>
  <r>
    <s v="A1CJZOKUD5J0H1"/>
    <x v="0"/>
    <n v="27"/>
    <s v="female"/>
    <x v="2"/>
    <x v="9"/>
    <n v="2407"/>
    <n v="0"/>
    <n v="1"/>
    <n v="1"/>
    <n v="0"/>
    <s v="Store F."/>
    <s v="Store A."/>
    <s v="Stores D and E."/>
    <s v="fa"/>
    <s v="mo-h"/>
    <s v="ms-l"/>
    <n v="0"/>
    <x v="2"/>
    <x v="2"/>
    <n v="0"/>
    <n v="1"/>
    <n v="0"/>
    <n v="1"/>
    <n v="0"/>
    <n v="1"/>
    <x v="2"/>
    <n v="0"/>
    <n v="1"/>
    <n v="0"/>
    <n v="0"/>
    <x v="1"/>
  </r>
  <r>
    <s v="A1CJZOKUD5J0H1"/>
    <x v="0"/>
    <n v="27"/>
    <s v="female"/>
    <x v="3"/>
    <x v="8"/>
    <n v="3755"/>
    <n v="0"/>
    <n v="1"/>
    <n v="1"/>
    <n v="0"/>
    <s v="NA"/>
    <s v="NA"/>
    <s v="NA"/>
    <s v="NA"/>
    <s v="NA"/>
    <s v="NA"/>
    <s v="NA"/>
    <x v="2"/>
    <x v="2"/>
    <n v="0"/>
    <n v="1"/>
    <n v="0"/>
    <n v="1"/>
    <n v="0"/>
    <n v="1"/>
    <x v="2"/>
    <n v="0"/>
    <n v="1"/>
    <n v="0"/>
    <n v="0"/>
    <x v="1"/>
  </r>
  <r>
    <s v="A1CJZOKUD5J0H1"/>
    <x v="0"/>
    <n v="27"/>
    <s v="female"/>
    <x v="4"/>
    <x v="0"/>
    <n v="277347"/>
    <s v="If you‚Äôre looking for a classic French brunch%2C head to Bastille in North Old Town. Choose from cocktails like the Kir Royal or the Parisian Morning with orange juice%2C aperol and sparkling wine%2C paired perfectly with hors d‚Äôoeuvres%2C soups%2C salads and sandwiches. Brunch specialties include the steak and eggs%2C the Galette au Saumon Fum√© and more. Bonus: their brunch desserts will win over any sweets-lover%2C with options like cookies and cream with house-baked cookies and ice cream%2C a rotating menu of bread puddings and more."/>
    <s v="NO DIFFICULT"/>
    <s v="NO"/>
    <s v="NA"/>
    <s v="NA"/>
    <s v="NA"/>
    <s v="NA"/>
    <s v="NA"/>
    <s v="NA"/>
    <s v="NA"/>
    <s v="NA"/>
    <x v="0"/>
    <x v="0"/>
    <s v="NA"/>
    <s v="NA"/>
    <s v="NA"/>
    <s v="NA"/>
    <s v="NA"/>
    <s v="NA"/>
    <x v="0"/>
    <s v="NA"/>
    <s v="NA"/>
    <s v="NA"/>
    <s v="NA"/>
    <x v="1"/>
  </r>
  <r>
    <s v="A2W046PDRTCZW7"/>
    <x v="0"/>
    <n v="36"/>
    <s v="male"/>
    <x v="0"/>
    <x v="0"/>
    <n v="37718"/>
    <s v="NA"/>
    <s v="NA"/>
    <s v="NA"/>
    <s v="NA"/>
    <s v="NA"/>
    <s v="NA"/>
    <s v="NA"/>
    <s v="NA"/>
    <s v="NA"/>
    <s v="NA"/>
    <s v="NA"/>
    <x v="0"/>
    <x v="0"/>
    <s v="NA"/>
    <s v="NA"/>
    <s v="NA"/>
    <s v="NA"/>
    <s v="NA"/>
    <s v="NA"/>
    <x v="0"/>
    <s v="NA"/>
    <s v="NA"/>
    <s v="NA"/>
    <s v="NA"/>
    <x v="1"/>
  </r>
  <r>
    <s v="A2W046PDRTCZW7"/>
    <x v="0"/>
    <n v="36"/>
    <s v="male"/>
    <x v="1"/>
    <x v="2"/>
    <n v="113593"/>
    <n v="0"/>
    <n v="0"/>
    <n v="1"/>
    <n v="0"/>
    <s v="NA"/>
    <s v="NA"/>
    <s v="NA"/>
    <s v="NA"/>
    <s v="NA"/>
    <s v="NA"/>
    <s v="NA"/>
    <x v="0"/>
    <x v="0"/>
    <s v="NA"/>
    <s v="NA"/>
    <s v="NA"/>
    <s v="NA"/>
    <s v="NA"/>
    <s v="NA"/>
    <x v="0"/>
    <s v="NA"/>
    <s v="NA"/>
    <s v="NA"/>
    <s v="NA"/>
    <x v="1"/>
  </r>
  <r>
    <s v="A2W046PDRTCZW7"/>
    <x v="0"/>
    <n v="36"/>
    <s v="male"/>
    <x v="1"/>
    <x v="1"/>
    <n v="62748"/>
    <n v="0"/>
    <n v="0"/>
    <n v="0"/>
    <n v="1"/>
    <s v="NA"/>
    <s v="NA"/>
    <s v="NA"/>
    <s v="NA"/>
    <s v="NA"/>
    <s v="NA"/>
    <s v="NA"/>
    <x v="0"/>
    <x v="0"/>
    <s v="NA"/>
    <s v="NA"/>
    <s v="NA"/>
    <s v="NA"/>
    <s v="NA"/>
    <s v="NA"/>
    <x v="0"/>
    <s v="NA"/>
    <s v="NA"/>
    <s v="NA"/>
    <s v="NA"/>
    <x v="1"/>
  </r>
  <r>
    <s v="A2W046PDRTCZW7"/>
    <x v="0"/>
    <n v="36"/>
    <s v="male"/>
    <x v="2"/>
    <x v="11"/>
    <n v="57578"/>
    <n v="0"/>
    <n v="0"/>
    <n v="0"/>
    <n v="1"/>
    <s v="Dentist E."/>
    <s v="Dentists D and E."/>
    <s v="Dentists A, B, C, D and E."/>
    <s v="mo-l"/>
    <s v="ms-l"/>
    <s v="exh"/>
    <n v="1"/>
    <x v="1"/>
    <x v="1"/>
    <n v="0"/>
    <n v="1"/>
    <n v="0"/>
    <n v="1"/>
    <n v="0"/>
    <n v="0"/>
    <x v="2"/>
    <n v="0"/>
    <n v="0"/>
    <n v="0"/>
    <n v="1"/>
    <x v="1"/>
  </r>
  <r>
    <s v="A2W046PDRTCZW7"/>
    <x v="0"/>
    <n v="36"/>
    <s v="male"/>
    <x v="2"/>
    <x v="3"/>
    <n v="80968"/>
    <n v="0"/>
    <n v="1"/>
    <n v="0"/>
    <n v="0"/>
    <s v="Cafes A and B."/>
    <s v="Cafes A, B, C, D and E."/>
    <s v="Cafe E."/>
    <s v="ms-h"/>
    <s v="exh"/>
    <s v="mo-l"/>
    <n v="1"/>
    <x v="1"/>
    <x v="1"/>
    <n v="1"/>
    <n v="0"/>
    <n v="0"/>
    <n v="1"/>
    <n v="1"/>
    <n v="0"/>
    <x v="2"/>
    <n v="0"/>
    <n v="0"/>
    <n v="0"/>
    <n v="0"/>
    <x v="1"/>
  </r>
  <r>
    <s v="A2W046PDRTCZW7"/>
    <x v="0"/>
    <n v="36"/>
    <s v="male"/>
    <x v="3"/>
    <x v="10"/>
    <n v="68012"/>
    <n v="0"/>
    <n v="1"/>
    <n v="0"/>
    <n v="0"/>
    <s v="NA"/>
    <s v="NA"/>
    <s v="NA"/>
    <s v="NA"/>
    <s v="NA"/>
    <s v="NA"/>
    <s v="NA"/>
    <x v="1"/>
    <x v="1"/>
    <n v="1"/>
    <n v="0"/>
    <n v="0"/>
    <n v="1"/>
    <n v="1"/>
    <n v="0"/>
    <x v="2"/>
    <n v="0"/>
    <n v="0"/>
    <n v="0"/>
    <n v="0"/>
    <x v="1"/>
  </r>
  <r>
    <s v="A2W046PDRTCZW7"/>
    <x v="0"/>
    <n v="36"/>
    <s v="male"/>
    <x v="2"/>
    <x v="9"/>
    <n v="48391"/>
    <n v="0"/>
    <n v="1"/>
    <n v="0"/>
    <n v="0"/>
    <s v="Stores A and B."/>
    <s v="Stores A, B, C, D and E."/>
    <s v="Store E."/>
    <s v="ms-h"/>
    <s v="exh"/>
    <s v="mo-l"/>
    <n v="1"/>
    <x v="1"/>
    <x v="1"/>
    <n v="1"/>
    <n v="0"/>
    <n v="0"/>
    <n v="1"/>
    <n v="1"/>
    <n v="0"/>
    <x v="2"/>
    <n v="0"/>
    <n v="0"/>
    <n v="0"/>
    <n v="0"/>
    <x v="1"/>
  </r>
  <r>
    <s v="A2W046PDRTCZW7"/>
    <x v="0"/>
    <n v="36"/>
    <s v="male"/>
    <x v="3"/>
    <x v="12"/>
    <n v="30474"/>
    <n v="1"/>
    <n v="0"/>
    <n v="0"/>
    <n v="0"/>
    <s v="NA"/>
    <s v="NA"/>
    <s v="NA"/>
    <s v="NA"/>
    <s v="NA"/>
    <s v="NA"/>
    <s v="NA"/>
    <x v="1"/>
    <x v="1"/>
    <n v="1"/>
    <n v="0"/>
    <n v="0"/>
    <n v="1"/>
    <n v="1"/>
    <n v="0"/>
    <x v="2"/>
    <n v="0"/>
    <n v="0"/>
    <n v="0"/>
    <n v="0"/>
    <x v="1"/>
  </r>
  <r>
    <s v="A2W046PDRTCZW7"/>
    <x v="0"/>
    <n v="36"/>
    <s v="male"/>
    <x v="2"/>
    <x v="4"/>
    <n v="58494"/>
    <n v="0"/>
    <n v="0"/>
    <n v="1"/>
    <n v="0"/>
    <s v="Stalls A and B."/>
    <s v="Stall E."/>
    <s v="Stalls A, B, C, D and E."/>
    <s v="ms-h"/>
    <s v="mo-l"/>
    <s v="exh"/>
    <n v="1"/>
    <x v="1"/>
    <x v="1"/>
    <n v="1"/>
    <n v="0"/>
    <n v="0"/>
    <n v="1"/>
    <n v="1"/>
    <n v="0"/>
    <x v="2"/>
    <n v="0"/>
    <n v="0"/>
    <n v="0"/>
    <n v="0"/>
    <x v="1"/>
  </r>
  <r>
    <s v="A2W046PDRTCZW7"/>
    <x v="0"/>
    <n v="36"/>
    <s v="male"/>
    <x v="2"/>
    <x v="7"/>
    <n v="96028"/>
    <n v="0"/>
    <n v="0"/>
    <n v="0"/>
    <n v="1"/>
    <s v="Stylist F."/>
    <s v="Stylist A."/>
    <s v="Stylists A and B."/>
    <s v="fa"/>
    <s v="mo-h"/>
    <s v="ms-h"/>
    <n v="0"/>
    <x v="2"/>
    <x v="2"/>
    <n v="1"/>
    <n v="0"/>
    <n v="0"/>
    <n v="1"/>
    <n v="0"/>
    <n v="0"/>
    <x v="2"/>
    <n v="0"/>
    <n v="0"/>
    <n v="0"/>
    <n v="1"/>
    <x v="1"/>
  </r>
  <r>
    <s v="A2W046PDRTCZW7"/>
    <x v="0"/>
    <n v="36"/>
    <s v="male"/>
    <x v="3"/>
    <x v="8"/>
    <n v="47605"/>
    <n v="1"/>
    <n v="0"/>
    <n v="0"/>
    <n v="0"/>
    <s v="NA"/>
    <s v="NA"/>
    <s v="NA"/>
    <s v="NA"/>
    <s v="NA"/>
    <s v="NA"/>
    <s v="NA"/>
    <x v="2"/>
    <x v="2"/>
    <n v="1"/>
    <n v="0"/>
    <n v="0"/>
    <n v="1"/>
    <n v="0"/>
    <n v="0"/>
    <x v="2"/>
    <n v="0"/>
    <n v="0"/>
    <n v="0"/>
    <n v="1"/>
    <x v="1"/>
  </r>
  <r>
    <s v="A2W046PDRTCZW7"/>
    <x v="0"/>
    <n v="36"/>
    <s v="male"/>
    <x v="2"/>
    <x v="6"/>
    <n v="40392"/>
    <n v="0"/>
    <n v="0"/>
    <n v="0"/>
    <n v="1"/>
    <s v="Bookstore F."/>
    <s v="Bookstores A and B."/>
    <s v="Bookstore A."/>
    <s v="fa"/>
    <s v="ms-h"/>
    <s v="mo-h"/>
    <n v="0"/>
    <x v="2"/>
    <x v="2"/>
    <n v="1"/>
    <n v="0"/>
    <n v="0"/>
    <n v="1"/>
    <n v="0"/>
    <n v="0"/>
    <x v="2"/>
    <n v="0"/>
    <n v="0"/>
    <n v="0"/>
    <n v="1"/>
    <x v="1"/>
  </r>
  <r>
    <s v="A2W046PDRTCZW7"/>
    <x v="0"/>
    <n v="36"/>
    <s v="male"/>
    <x v="3"/>
    <x v="5"/>
    <n v="73907"/>
    <n v="0"/>
    <n v="0"/>
    <n v="1"/>
    <n v="0"/>
    <s v="NA"/>
    <s v="NA"/>
    <s v="NA"/>
    <s v="NA"/>
    <s v="NA"/>
    <s v="NA"/>
    <s v="NA"/>
    <x v="2"/>
    <x v="2"/>
    <n v="1"/>
    <n v="0"/>
    <n v="0"/>
    <n v="1"/>
    <n v="0"/>
    <n v="0"/>
    <x v="2"/>
    <n v="0"/>
    <n v="0"/>
    <n v="0"/>
    <n v="1"/>
    <x v="1"/>
  </r>
  <r>
    <s v="A2W046PDRTCZW7"/>
    <x v="0"/>
    <n v="36"/>
    <s v="male"/>
    <x v="4"/>
    <x v="0"/>
    <n v="248691"/>
    <s v="Both will have similar answers but not the same. For the first question%2C I can give restaurant names while for the second question I can give some brief information about the restaurants."/>
    <s v="Little bit difficult as few options were confusing and most them were similar to each other."/>
    <s v="No"/>
    <s v="NA"/>
    <s v="NA"/>
    <s v="NA"/>
    <s v="NA"/>
    <s v="NA"/>
    <s v="NA"/>
    <s v="NA"/>
    <s v="NA"/>
    <x v="0"/>
    <x v="0"/>
    <s v="NA"/>
    <s v="NA"/>
    <s v="NA"/>
    <s v="NA"/>
    <s v="NA"/>
    <s v="NA"/>
    <x v="0"/>
    <s v="NA"/>
    <s v="NA"/>
    <s v="NA"/>
    <s v="NA"/>
    <x v="1"/>
  </r>
  <r>
    <s v="A2SZRPGIEYRCG6"/>
    <x v="0"/>
    <n v="35"/>
    <s v="male"/>
    <x v="0"/>
    <x v="0"/>
    <n v="90535"/>
    <s v="NA"/>
    <s v="NA"/>
    <s v="NA"/>
    <s v="NA"/>
    <s v="NA"/>
    <s v="NA"/>
    <s v="NA"/>
    <s v="NA"/>
    <s v="NA"/>
    <s v="NA"/>
    <s v="NA"/>
    <x v="0"/>
    <x v="0"/>
    <s v="NA"/>
    <s v="NA"/>
    <s v="NA"/>
    <s v="NA"/>
    <s v="NA"/>
    <s v="NA"/>
    <x v="0"/>
    <s v="NA"/>
    <s v="NA"/>
    <s v="NA"/>
    <s v="NA"/>
    <x v="1"/>
  </r>
  <r>
    <s v="A2SZRPGIEYRCG6"/>
    <x v="0"/>
    <n v="35"/>
    <s v="male"/>
    <x v="1"/>
    <x v="2"/>
    <n v="104763"/>
    <n v="0"/>
    <n v="1"/>
    <n v="0"/>
    <n v="0"/>
    <s v="NA"/>
    <s v="NA"/>
    <s v="NA"/>
    <s v="NA"/>
    <s v="NA"/>
    <s v="NA"/>
    <s v="NA"/>
    <x v="0"/>
    <x v="0"/>
    <s v="NA"/>
    <s v="NA"/>
    <s v="NA"/>
    <s v="NA"/>
    <s v="NA"/>
    <s v="NA"/>
    <x v="0"/>
    <s v="NA"/>
    <s v="NA"/>
    <s v="NA"/>
    <s v="NA"/>
    <x v="1"/>
  </r>
  <r>
    <s v="A2SZRPGIEYRCG6"/>
    <x v="0"/>
    <n v="35"/>
    <s v="male"/>
    <x v="1"/>
    <x v="1"/>
    <n v="128014"/>
    <n v="0"/>
    <n v="0"/>
    <n v="0"/>
    <n v="1"/>
    <s v="NA"/>
    <s v="NA"/>
    <s v="NA"/>
    <s v="NA"/>
    <s v="NA"/>
    <s v="NA"/>
    <s v="NA"/>
    <x v="0"/>
    <x v="0"/>
    <s v="NA"/>
    <s v="NA"/>
    <s v="NA"/>
    <s v="NA"/>
    <s v="NA"/>
    <s v="NA"/>
    <x v="0"/>
    <s v="NA"/>
    <s v="NA"/>
    <s v="NA"/>
    <s v="NA"/>
    <x v="1"/>
  </r>
  <r>
    <s v="A2SZRPGIEYRCG6"/>
    <x v="0"/>
    <n v="35"/>
    <s v="male"/>
    <x v="2"/>
    <x v="3"/>
    <n v="105885"/>
    <n v="0"/>
    <n v="1"/>
    <n v="0"/>
    <n v="0"/>
    <s v="Cafe E."/>
    <s v="Cafes A, B, C, D and E."/>
    <s v="Cafe A."/>
    <s v="mo-l"/>
    <s v="exh"/>
    <s v="mo-h"/>
    <n v="1"/>
    <x v="2"/>
    <x v="1"/>
    <n v="0"/>
    <n v="0"/>
    <n v="0"/>
    <n v="1"/>
    <n v="1"/>
    <n v="0"/>
    <x v="2"/>
    <n v="0"/>
    <n v="0"/>
    <n v="0"/>
    <n v="0"/>
    <x v="1"/>
  </r>
  <r>
    <s v="A2SZRPGIEYRCG6"/>
    <x v="0"/>
    <n v="35"/>
    <s v="male"/>
    <x v="2"/>
    <x v="4"/>
    <n v="46576"/>
    <n v="1"/>
    <n v="0"/>
    <n v="0"/>
    <n v="0"/>
    <s v="Stall A."/>
    <s v="Stalls D and E."/>
    <s v="Stall E."/>
    <s v="mo-h"/>
    <s v="ms-l"/>
    <s v="mo-l"/>
    <n v="0"/>
    <x v="2"/>
    <x v="1"/>
    <n v="0"/>
    <n v="1"/>
    <n v="0"/>
    <n v="1"/>
    <n v="0"/>
    <n v="1"/>
    <x v="2"/>
    <n v="0"/>
    <n v="0"/>
    <n v="0"/>
    <n v="0"/>
    <x v="1"/>
  </r>
  <r>
    <s v="A2SZRPGIEYRCG6"/>
    <x v="0"/>
    <n v="35"/>
    <s v="male"/>
    <x v="3"/>
    <x v="8"/>
    <n v="40683"/>
    <n v="1"/>
    <n v="0"/>
    <n v="0"/>
    <n v="0"/>
    <s v="NA"/>
    <s v="NA"/>
    <s v="NA"/>
    <s v="NA"/>
    <s v="NA"/>
    <s v="NA"/>
    <s v="NA"/>
    <x v="2"/>
    <x v="1"/>
    <n v="0"/>
    <n v="1"/>
    <n v="0"/>
    <n v="1"/>
    <n v="0"/>
    <n v="1"/>
    <x v="2"/>
    <n v="0"/>
    <n v="0"/>
    <n v="0"/>
    <n v="0"/>
    <x v="1"/>
  </r>
  <r>
    <s v="A2SZRPGIEYRCG6"/>
    <x v="0"/>
    <n v="35"/>
    <s v="male"/>
    <x v="2"/>
    <x v="6"/>
    <n v="58433"/>
    <n v="1"/>
    <n v="1"/>
    <n v="1"/>
    <n v="0"/>
    <s v="Bookstores A, B, C, D and E."/>
    <s v="Bookstore E."/>
    <s v="Bookstores A and B."/>
    <s v="exh"/>
    <s v="mo-l"/>
    <s v="ms-h"/>
    <n v="1"/>
    <x v="1"/>
    <x v="1"/>
    <n v="1"/>
    <n v="0"/>
    <n v="0"/>
    <n v="1"/>
    <n v="1"/>
    <n v="0"/>
    <x v="1"/>
    <n v="1"/>
    <n v="0"/>
    <n v="0"/>
    <n v="0"/>
    <x v="1"/>
  </r>
  <r>
    <s v="A2SZRPGIEYRCG6"/>
    <x v="0"/>
    <n v="35"/>
    <s v="male"/>
    <x v="2"/>
    <x v="7"/>
    <n v="57217"/>
    <n v="1"/>
    <n v="1"/>
    <n v="1"/>
    <n v="0"/>
    <s v="Stylist A."/>
    <s v="Stylists A, B, C, D and E."/>
    <s v="Stylists A and B."/>
    <s v="mo-h"/>
    <s v="exh"/>
    <s v="ms-h"/>
    <n v="1"/>
    <x v="2"/>
    <x v="2"/>
    <n v="1"/>
    <n v="0"/>
    <n v="0"/>
    <n v="1"/>
    <n v="1"/>
    <n v="1"/>
    <x v="2"/>
    <n v="1"/>
    <n v="0"/>
    <n v="0"/>
    <n v="0"/>
    <x v="1"/>
  </r>
  <r>
    <s v="A2SZRPGIEYRCG6"/>
    <x v="0"/>
    <n v="35"/>
    <s v="male"/>
    <x v="3"/>
    <x v="5"/>
    <n v="57039"/>
    <n v="0"/>
    <n v="0"/>
    <n v="1"/>
    <n v="0"/>
    <s v="NA"/>
    <s v="NA"/>
    <s v="NA"/>
    <s v="NA"/>
    <s v="NA"/>
    <s v="NA"/>
    <s v="NA"/>
    <x v="2"/>
    <x v="2"/>
    <n v="1"/>
    <n v="0"/>
    <n v="0"/>
    <n v="1"/>
    <n v="1"/>
    <n v="1"/>
    <x v="2"/>
    <n v="1"/>
    <n v="0"/>
    <n v="0"/>
    <n v="0"/>
    <x v="1"/>
  </r>
  <r>
    <s v="A2SZRPGIEYRCG6"/>
    <x v="0"/>
    <n v="35"/>
    <s v="male"/>
    <x v="2"/>
    <x v="11"/>
    <n v="42952"/>
    <n v="0"/>
    <n v="1"/>
    <n v="0"/>
    <n v="0"/>
    <s v="Dentist F."/>
    <s v="Dentist A."/>
    <s v="Dentists D and E."/>
    <s v="fa"/>
    <s v="mo-h"/>
    <s v="ms-l"/>
    <n v="0"/>
    <x v="2"/>
    <x v="2"/>
    <n v="0"/>
    <n v="1"/>
    <n v="0"/>
    <n v="1"/>
    <n v="0"/>
    <n v="1"/>
    <x v="2"/>
    <n v="0"/>
    <n v="0"/>
    <n v="0"/>
    <n v="0"/>
    <x v="1"/>
  </r>
  <r>
    <s v="A2SZRPGIEYRCG6"/>
    <x v="0"/>
    <n v="35"/>
    <s v="male"/>
    <x v="3"/>
    <x v="12"/>
    <n v="108191"/>
    <n v="0"/>
    <n v="0"/>
    <n v="0"/>
    <n v="1"/>
    <s v="NA"/>
    <s v="NA"/>
    <s v="NA"/>
    <s v="NA"/>
    <s v="NA"/>
    <s v="NA"/>
    <s v="NA"/>
    <x v="2"/>
    <x v="2"/>
    <n v="0"/>
    <n v="1"/>
    <n v="0"/>
    <n v="1"/>
    <n v="0"/>
    <n v="1"/>
    <x v="2"/>
    <n v="0"/>
    <n v="0"/>
    <n v="0"/>
    <n v="0"/>
    <x v="1"/>
  </r>
  <r>
    <s v="A2SZRPGIEYRCG6"/>
    <x v="0"/>
    <n v="35"/>
    <s v="male"/>
    <x v="2"/>
    <x v="9"/>
    <n v="101450"/>
    <n v="1"/>
    <n v="1"/>
    <n v="1"/>
    <n v="0"/>
    <s v="Store A."/>
    <s v="Store F."/>
    <s v="Stores D and E."/>
    <s v="mo-h"/>
    <s v="fa"/>
    <s v="ms-l"/>
    <n v="0"/>
    <x v="2"/>
    <x v="2"/>
    <n v="0"/>
    <n v="1"/>
    <n v="0"/>
    <n v="1"/>
    <n v="0"/>
    <n v="1"/>
    <x v="2"/>
    <n v="0"/>
    <n v="1"/>
    <n v="0"/>
    <n v="0"/>
    <x v="1"/>
  </r>
  <r>
    <s v="A2SZRPGIEYRCG6"/>
    <x v="0"/>
    <n v="35"/>
    <s v="male"/>
    <x v="3"/>
    <x v="10"/>
    <n v="112006"/>
    <n v="0"/>
    <n v="0"/>
    <n v="1"/>
    <n v="1"/>
    <s v="NA"/>
    <s v="NA"/>
    <s v="NA"/>
    <s v="NA"/>
    <s v="NA"/>
    <s v="NA"/>
    <s v="NA"/>
    <x v="2"/>
    <x v="2"/>
    <n v="0"/>
    <n v="1"/>
    <n v="0"/>
    <n v="1"/>
    <n v="0"/>
    <n v="1"/>
    <x v="2"/>
    <n v="0"/>
    <n v="1"/>
    <n v="0"/>
    <n v="0"/>
    <x v="1"/>
  </r>
  <r>
    <s v="A2SZRPGIEYRCG6"/>
    <x v="0"/>
    <n v="35"/>
    <s v="male"/>
    <x v="4"/>
    <x v="0"/>
    <n v="83250"/>
    <s v="NO IDEA"/>
    <s v="NO"/>
    <s v="NOTHING"/>
    <s v="NA"/>
    <s v="NA"/>
    <s v="NA"/>
    <s v="NA"/>
    <s v="NA"/>
    <s v="NA"/>
    <s v="NA"/>
    <s v="NA"/>
    <x v="0"/>
    <x v="0"/>
    <s v="NA"/>
    <s v="NA"/>
    <s v="NA"/>
    <s v="NA"/>
    <s v="NA"/>
    <s v="NA"/>
    <x v="0"/>
    <s v="NA"/>
    <s v="NA"/>
    <s v="NA"/>
    <s v="NA"/>
    <x v="1"/>
  </r>
  <r>
    <s v="A2LV5432PV1S39"/>
    <x v="0"/>
    <n v="31"/>
    <s v="male"/>
    <x v="0"/>
    <x v="0"/>
    <n v="306920"/>
    <s v="NA"/>
    <s v="NA"/>
    <s v="NA"/>
    <s v="NA"/>
    <s v="NA"/>
    <s v="NA"/>
    <s v="NA"/>
    <s v="NA"/>
    <s v="NA"/>
    <s v="NA"/>
    <s v="NA"/>
    <x v="0"/>
    <x v="0"/>
    <s v="NA"/>
    <s v="NA"/>
    <s v="NA"/>
    <s v="NA"/>
    <s v="NA"/>
    <s v="NA"/>
    <x v="0"/>
    <s v="NA"/>
    <s v="NA"/>
    <s v="NA"/>
    <s v="NA"/>
    <x v="1"/>
  </r>
  <r>
    <s v="A2LV5432PV1S39"/>
    <x v="0"/>
    <n v="31"/>
    <s v="male"/>
    <x v="1"/>
    <x v="1"/>
    <n v="29288"/>
    <n v="0"/>
    <n v="0"/>
    <n v="0"/>
    <n v="1"/>
    <s v="NA"/>
    <s v="NA"/>
    <s v="NA"/>
    <s v="NA"/>
    <s v="NA"/>
    <s v="NA"/>
    <s v="NA"/>
    <x v="0"/>
    <x v="0"/>
    <s v="NA"/>
    <s v="NA"/>
    <s v="NA"/>
    <s v="NA"/>
    <s v="NA"/>
    <s v="NA"/>
    <x v="0"/>
    <s v="NA"/>
    <s v="NA"/>
    <s v="NA"/>
    <s v="NA"/>
    <x v="1"/>
  </r>
  <r>
    <s v="A2LV5432PV1S39"/>
    <x v="0"/>
    <n v="31"/>
    <s v="male"/>
    <x v="1"/>
    <x v="2"/>
    <n v="39004"/>
    <n v="0"/>
    <n v="0"/>
    <n v="1"/>
    <n v="0"/>
    <s v="NA"/>
    <s v="NA"/>
    <s v="NA"/>
    <s v="NA"/>
    <s v="NA"/>
    <s v="NA"/>
    <s v="NA"/>
    <x v="0"/>
    <x v="0"/>
    <s v="NA"/>
    <s v="NA"/>
    <s v="NA"/>
    <s v="NA"/>
    <s v="NA"/>
    <s v="NA"/>
    <x v="0"/>
    <s v="NA"/>
    <s v="NA"/>
    <s v="NA"/>
    <s v="NA"/>
    <x v="1"/>
  </r>
  <r>
    <s v="A2LV5432PV1S39"/>
    <x v="0"/>
    <n v="31"/>
    <s v="male"/>
    <x v="2"/>
    <x v="7"/>
    <n v="83351"/>
    <n v="1"/>
    <n v="1"/>
    <n v="1"/>
    <n v="0"/>
    <s v="Stylists D and E."/>
    <s v="Stylist F."/>
    <s v="Stylist A."/>
    <s v="ms-l"/>
    <s v="fa"/>
    <s v="mo-h"/>
    <n v="0"/>
    <x v="2"/>
    <x v="2"/>
    <n v="0"/>
    <n v="1"/>
    <n v="0"/>
    <n v="1"/>
    <n v="0"/>
    <n v="1"/>
    <x v="2"/>
    <n v="0"/>
    <n v="1"/>
    <n v="0"/>
    <n v="0"/>
    <x v="1"/>
  </r>
  <r>
    <s v="A2LV5432PV1S39"/>
    <x v="0"/>
    <n v="31"/>
    <s v="male"/>
    <x v="2"/>
    <x v="11"/>
    <n v="33074"/>
    <n v="1"/>
    <n v="1"/>
    <n v="1"/>
    <n v="0"/>
    <s v="Dentist E."/>
    <s v="Dentists D and E."/>
    <s v="Dentist A."/>
    <s v="mo-l"/>
    <s v="ms-l"/>
    <s v="mo-h"/>
    <n v="0"/>
    <x v="2"/>
    <x v="1"/>
    <n v="0"/>
    <n v="1"/>
    <n v="0"/>
    <n v="1"/>
    <n v="0"/>
    <n v="1"/>
    <x v="1"/>
    <n v="0"/>
    <n v="1"/>
    <n v="0"/>
    <n v="0"/>
    <x v="1"/>
  </r>
  <r>
    <s v="A2LV5432PV1S39"/>
    <x v="0"/>
    <n v="31"/>
    <s v="male"/>
    <x v="3"/>
    <x v="8"/>
    <n v="53831"/>
    <n v="0"/>
    <n v="0"/>
    <n v="0"/>
    <n v="1"/>
    <s v="NA"/>
    <s v="NA"/>
    <s v="NA"/>
    <s v="NA"/>
    <s v="NA"/>
    <s v="NA"/>
    <s v="NA"/>
    <x v="2"/>
    <x v="1"/>
    <n v="0"/>
    <n v="1"/>
    <n v="0"/>
    <n v="1"/>
    <n v="0"/>
    <n v="1"/>
    <x v="1"/>
    <n v="0"/>
    <n v="1"/>
    <n v="0"/>
    <n v="0"/>
    <x v="1"/>
  </r>
  <r>
    <s v="A2LV5432PV1S39"/>
    <x v="0"/>
    <n v="31"/>
    <s v="male"/>
    <x v="2"/>
    <x v="9"/>
    <n v="94707"/>
    <n v="1"/>
    <n v="1"/>
    <n v="1"/>
    <n v="0"/>
    <s v="Store A."/>
    <s v="Stores A and B."/>
    <s v="Stores D and E."/>
    <s v="mo-h"/>
    <s v="ms-h"/>
    <s v="ms-l"/>
    <n v="0"/>
    <x v="2"/>
    <x v="2"/>
    <n v="1"/>
    <n v="1"/>
    <n v="0"/>
    <n v="1"/>
    <n v="0"/>
    <n v="1"/>
    <x v="2"/>
    <n v="1"/>
    <n v="1"/>
    <n v="0"/>
    <n v="0"/>
    <x v="1"/>
  </r>
  <r>
    <s v="A2LV5432PV1S39"/>
    <x v="0"/>
    <n v="31"/>
    <s v="male"/>
    <x v="3"/>
    <x v="5"/>
    <n v="57685"/>
    <n v="1"/>
    <n v="1"/>
    <n v="1"/>
    <n v="0"/>
    <s v="NA"/>
    <s v="NA"/>
    <s v="NA"/>
    <s v="NA"/>
    <s v="NA"/>
    <s v="NA"/>
    <s v="NA"/>
    <x v="2"/>
    <x v="2"/>
    <n v="1"/>
    <n v="1"/>
    <n v="0"/>
    <n v="1"/>
    <n v="0"/>
    <n v="1"/>
    <x v="2"/>
    <n v="1"/>
    <n v="1"/>
    <n v="0"/>
    <n v="0"/>
    <x v="1"/>
  </r>
  <r>
    <s v="A2LV5432PV1S39"/>
    <x v="0"/>
    <n v="31"/>
    <s v="male"/>
    <x v="2"/>
    <x v="4"/>
    <n v="88782"/>
    <n v="1"/>
    <n v="1"/>
    <n v="1"/>
    <n v="0"/>
    <s v="Stall A."/>
    <s v="Stalls A and B."/>
    <s v="Stall E."/>
    <s v="mo-h"/>
    <s v="ms-h"/>
    <s v="mo-l"/>
    <n v="0"/>
    <x v="2"/>
    <x v="1"/>
    <n v="1"/>
    <n v="0"/>
    <n v="0"/>
    <n v="1"/>
    <n v="0"/>
    <n v="1"/>
    <x v="1"/>
    <n v="1"/>
    <n v="0"/>
    <n v="0"/>
    <n v="0"/>
    <x v="1"/>
  </r>
  <r>
    <s v="A2LV5432PV1S39"/>
    <x v="0"/>
    <n v="31"/>
    <s v="male"/>
    <x v="2"/>
    <x v="3"/>
    <n v="169000"/>
    <n v="1"/>
    <n v="1"/>
    <n v="1"/>
    <n v="0"/>
    <s v="Cafes A and B."/>
    <s v="Cafe F."/>
    <s v="Cafe A."/>
    <s v="ms-h"/>
    <s v="fa"/>
    <s v="mo-h"/>
    <n v="0"/>
    <x v="2"/>
    <x v="2"/>
    <n v="1"/>
    <n v="0"/>
    <n v="0"/>
    <n v="1"/>
    <n v="0"/>
    <n v="1"/>
    <x v="2"/>
    <n v="1"/>
    <n v="0"/>
    <n v="0"/>
    <n v="0"/>
    <x v="1"/>
  </r>
  <r>
    <s v="A2LV5432PV1S39"/>
    <x v="0"/>
    <n v="31"/>
    <s v="male"/>
    <x v="3"/>
    <x v="10"/>
    <n v="83675"/>
    <n v="0"/>
    <n v="1"/>
    <n v="1"/>
    <n v="0"/>
    <s v="NA"/>
    <s v="NA"/>
    <s v="NA"/>
    <s v="NA"/>
    <s v="NA"/>
    <s v="NA"/>
    <s v="NA"/>
    <x v="2"/>
    <x v="2"/>
    <n v="1"/>
    <n v="0"/>
    <n v="0"/>
    <n v="1"/>
    <n v="0"/>
    <n v="1"/>
    <x v="2"/>
    <n v="1"/>
    <n v="0"/>
    <n v="0"/>
    <n v="0"/>
    <x v="1"/>
  </r>
  <r>
    <s v="A2LV5432PV1S39"/>
    <x v="0"/>
    <n v="31"/>
    <s v="male"/>
    <x v="2"/>
    <x v="6"/>
    <n v="125707"/>
    <n v="1"/>
    <n v="1"/>
    <n v="1"/>
    <n v="0"/>
    <s v="Bookstore A."/>
    <s v="Bookstores D and E."/>
    <s v="Bookstores A, B, C, D and E."/>
    <s v="mo-h"/>
    <s v="ms-l"/>
    <s v="exh"/>
    <n v="1"/>
    <x v="2"/>
    <x v="2"/>
    <n v="0"/>
    <n v="1"/>
    <n v="0"/>
    <n v="1"/>
    <n v="1"/>
    <n v="1"/>
    <x v="2"/>
    <n v="0"/>
    <n v="1"/>
    <n v="0"/>
    <n v="0"/>
    <x v="1"/>
  </r>
  <r>
    <s v="A2LV5432PV1S39"/>
    <x v="0"/>
    <n v="31"/>
    <s v="male"/>
    <x v="3"/>
    <x v="12"/>
    <n v="99700"/>
    <n v="1"/>
    <n v="1"/>
    <n v="0"/>
    <n v="0"/>
    <s v="NA"/>
    <s v="NA"/>
    <s v="NA"/>
    <s v="NA"/>
    <s v="NA"/>
    <s v="NA"/>
    <s v="NA"/>
    <x v="2"/>
    <x v="2"/>
    <n v="0"/>
    <n v="1"/>
    <n v="0"/>
    <n v="1"/>
    <n v="1"/>
    <n v="1"/>
    <x v="2"/>
    <n v="0"/>
    <n v="1"/>
    <n v="0"/>
    <n v="0"/>
    <x v="1"/>
  </r>
  <r>
    <s v="A2LV5432PV1S39"/>
    <x v="0"/>
    <n v="31"/>
    <s v="male"/>
    <x v="4"/>
    <x v="0"/>
    <n v="17672"/>
    <s v="No they're both the same question."/>
    <s v="No it was simple to read and understand."/>
    <s v="No"/>
    <s v="NA"/>
    <s v="NA"/>
    <s v="NA"/>
    <s v="NA"/>
    <s v="NA"/>
    <s v="NA"/>
    <s v="NA"/>
    <s v="NA"/>
    <x v="0"/>
    <x v="0"/>
    <s v="NA"/>
    <s v="NA"/>
    <s v="NA"/>
    <s v="NA"/>
    <s v="NA"/>
    <s v="NA"/>
    <x v="0"/>
    <s v="NA"/>
    <s v="NA"/>
    <s v="NA"/>
    <s v="NA"/>
    <x v="1"/>
  </r>
  <r>
    <s v="A1BZNPQ0H7ZSER"/>
    <x v="0"/>
    <n v="36"/>
    <s v="male"/>
    <x v="0"/>
    <x v="0"/>
    <n v="219366"/>
    <s v="NA"/>
    <s v="NA"/>
    <s v="NA"/>
    <s v="NA"/>
    <s v="NA"/>
    <s v="NA"/>
    <s v="NA"/>
    <s v="NA"/>
    <s v="NA"/>
    <s v="NA"/>
    <s v="NA"/>
    <x v="0"/>
    <x v="0"/>
    <s v="NA"/>
    <s v="NA"/>
    <s v="NA"/>
    <s v="NA"/>
    <s v="NA"/>
    <s v="NA"/>
    <x v="0"/>
    <s v="NA"/>
    <s v="NA"/>
    <s v="NA"/>
    <s v="NA"/>
    <x v="1"/>
  </r>
  <r>
    <s v="A1BZNPQ0H7ZSER"/>
    <x v="0"/>
    <n v="36"/>
    <s v="male"/>
    <x v="1"/>
    <x v="2"/>
    <n v="326499"/>
    <n v="0"/>
    <n v="0"/>
    <n v="1"/>
    <n v="0"/>
    <s v="NA"/>
    <s v="NA"/>
    <s v="NA"/>
    <s v="NA"/>
    <s v="NA"/>
    <s v="NA"/>
    <s v="NA"/>
    <x v="0"/>
    <x v="0"/>
    <s v="NA"/>
    <s v="NA"/>
    <s v="NA"/>
    <s v="NA"/>
    <s v="NA"/>
    <s v="NA"/>
    <x v="0"/>
    <s v="NA"/>
    <s v="NA"/>
    <s v="NA"/>
    <s v="NA"/>
    <x v="1"/>
  </r>
  <r>
    <s v="A1BZNPQ0H7ZSER"/>
    <x v="0"/>
    <n v="36"/>
    <s v="male"/>
    <x v="1"/>
    <x v="1"/>
    <n v="148107"/>
    <n v="0"/>
    <n v="0"/>
    <n v="0"/>
    <n v="1"/>
    <s v="NA"/>
    <s v="NA"/>
    <s v="NA"/>
    <s v="NA"/>
    <s v="NA"/>
    <s v="NA"/>
    <s v="NA"/>
    <x v="0"/>
    <x v="0"/>
    <s v="NA"/>
    <s v="NA"/>
    <s v="NA"/>
    <s v="NA"/>
    <s v="NA"/>
    <s v="NA"/>
    <x v="0"/>
    <s v="NA"/>
    <s v="NA"/>
    <s v="NA"/>
    <s v="NA"/>
    <x v="1"/>
  </r>
  <r>
    <s v="A1BZNPQ0H7ZSER"/>
    <x v="0"/>
    <n v="36"/>
    <s v="male"/>
    <x v="2"/>
    <x v="9"/>
    <n v="80575"/>
    <n v="1"/>
    <n v="1"/>
    <n v="1"/>
    <n v="0"/>
    <s v="Store A."/>
    <s v="Stores A, B, C, D and E."/>
    <s v="Stores A and B."/>
    <s v="mo-h"/>
    <s v="exh"/>
    <s v="ms-h"/>
    <n v="1"/>
    <x v="2"/>
    <x v="2"/>
    <n v="1"/>
    <n v="0"/>
    <n v="0"/>
    <n v="1"/>
    <n v="1"/>
    <n v="1"/>
    <x v="2"/>
    <n v="1"/>
    <n v="0"/>
    <n v="0"/>
    <n v="0"/>
    <x v="1"/>
  </r>
  <r>
    <s v="A1BZNPQ0H7ZSER"/>
    <x v="0"/>
    <n v="36"/>
    <s v="male"/>
    <x v="2"/>
    <x v="6"/>
    <n v="42268"/>
    <n v="1"/>
    <n v="1"/>
    <n v="1"/>
    <n v="0"/>
    <s v="Bookstores A and B."/>
    <s v="Bookstores D and E."/>
    <s v="Bookstore A."/>
    <s v="ms-h"/>
    <s v="ms-l"/>
    <s v="mo-h"/>
    <n v="0"/>
    <x v="2"/>
    <x v="2"/>
    <n v="1"/>
    <n v="1"/>
    <n v="0"/>
    <n v="1"/>
    <n v="0"/>
    <n v="1"/>
    <x v="2"/>
    <n v="1"/>
    <n v="1"/>
    <n v="0"/>
    <n v="0"/>
    <x v="1"/>
  </r>
  <r>
    <s v="A1BZNPQ0H7ZSER"/>
    <x v="0"/>
    <n v="36"/>
    <s v="male"/>
    <x v="3"/>
    <x v="5"/>
    <n v="97940"/>
    <n v="0"/>
    <n v="1"/>
    <n v="1"/>
    <n v="0"/>
    <s v="NA"/>
    <s v="NA"/>
    <s v="NA"/>
    <s v="NA"/>
    <s v="NA"/>
    <s v="NA"/>
    <s v="NA"/>
    <x v="2"/>
    <x v="2"/>
    <n v="1"/>
    <n v="1"/>
    <n v="0"/>
    <n v="1"/>
    <n v="0"/>
    <n v="1"/>
    <x v="2"/>
    <n v="1"/>
    <n v="1"/>
    <n v="0"/>
    <n v="0"/>
    <x v="1"/>
  </r>
  <r>
    <s v="A1BZNPQ0H7ZSER"/>
    <x v="0"/>
    <n v="36"/>
    <s v="male"/>
    <x v="2"/>
    <x v="4"/>
    <n v="83376"/>
    <n v="1"/>
    <n v="1"/>
    <n v="1"/>
    <n v="0"/>
    <s v="Stall E."/>
    <s v="Stalls A and B."/>
    <s v="Stalls A, B, C, D and E."/>
    <s v="mo-l"/>
    <s v="ms-h"/>
    <s v="exh"/>
    <n v="1"/>
    <x v="1"/>
    <x v="1"/>
    <n v="1"/>
    <n v="0"/>
    <n v="0"/>
    <n v="1"/>
    <n v="1"/>
    <n v="0"/>
    <x v="1"/>
    <n v="1"/>
    <n v="0"/>
    <n v="0"/>
    <n v="0"/>
    <x v="1"/>
  </r>
  <r>
    <s v="A1BZNPQ0H7ZSER"/>
    <x v="0"/>
    <n v="36"/>
    <s v="male"/>
    <x v="2"/>
    <x v="3"/>
    <n v="82325"/>
    <n v="1"/>
    <n v="1"/>
    <n v="1"/>
    <n v="0"/>
    <s v="Cafe A."/>
    <s v="Cafes A, B, C, D and E."/>
    <s v="Cafe E."/>
    <s v="mo-h"/>
    <s v="exh"/>
    <s v="mo-l"/>
    <n v="1"/>
    <x v="2"/>
    <x v="1"/>
    <n v="0"/>
    <n v="0"/>
    <n v="0"/>
    <n v="1"/>
    <n v="1"/>
    <n v="1"/>
    <x v="1"/>
    <n v="0"/>
    <n v="0"/>
    <n v="0"/>
    <n v="0"/>
    <x v="1"/>
  </r>
  <r>
    <s v="A1BZNPQ0H7ZSER"/>
    <x v="0"/>
    <n v="36"/>
    <s v="male"/>
    <x v="3"/>
    <x v="8"/>
    <n v="14833"/>
    <n v="1"/>
    <n v="0"/>
    <n v="0"/>
    <n v="0"/>
    <s v="NA"/>
    <s v="NA"/>
    <s v="NA"/>
    <s v="NA"/>
    <s v="NA"/>
    <s v="NA"/>
    <s v="NA"/>
    <x v="2"/>
    <x v="1"/>
    <n v="0"/>
    <n v="0"/>
    <n v="0"/>
    <n v="1"/>
    <n v="1"/>
    <n v="1"/>
    <x v="1"/>
    <n v="0"/>
    <n v="0"/>
    <n v="0"/>
    <n v="0"/>
    <x v="1"/>
  </r>
  <r>
    <s v="A1BZNPQ0H7ZSER"/>
    <x v="0"/>
    <n v="36"/>
    <s v="male"/>
    <x v="2"/>
    <x v="11"/>
    <n v="12779"/>
    <n v="1"/>
    <n v="1"/>
    <n v="1"/>
    <n v="0"/>
    <s v="Dentists D and E."/>
    <s v="Dentists A and B."/>
    <s v="Dentist E."/>
    <s v="ms-l"/>
    <s v="ms-h"/>
    <s v="mo-l"/>
    <n v="0"/>
    <x v="1"/>
    <x v="1"/>
    <n v="1"/>
    <n v="1"/>
    <n v="0"/>
    <n v="1"/>
    <n v="0"/>
    <n v="0"/>
    <x v="1"/>
    <n v="1"/>
    <n v="1"/>
    <n v="0"/>
    <n v="0"/>
    <x v="1"/>
  </r>
  <r>
    <s v="A1BZNPQ0H7ZSER"/>
    <x v="0"/>
    <n v="36"/>
    <s v="male"/>
    <x v="3"/>
    <x v="12"/>
    <n v="22744"/>
    <n v="1"/>
    <n v="0"/>
    <n v="0"/>
    <n v="0"/>
    <s v="NA"/>
    <s v="NA"/>
    <s v="NA"/>
    <s v="NA"/>
    <s v="NA"/>
    <s v="NA"/>
    <s v="NA"/>
    <x v="1"/>
    <x v="1"/>
    <n v="1"/>
    <n v="1"/>
    <n v="0"/>
    <n v="1"/>
    <n v="0"/>
    <n v="0"/>
    <x v="1"/>
    <n v="1"/>
    <n v="1"/>
    <n v="0"/>
    <n v="0"/>
    <x v="1"/>
  </r>
  <r>
    <s v="A1BZNPQ0H7ZSER"/>
    <x v="0"/>
    <n v="36"/>
    <s v="male"/>
    <x v="2"/>
    <x v="7"/>
    <n v="7258"/>
    <n v="1"/>
    <n v="1"/>
    <n v="1"/>
    <n v="0"/>
    <s v="Stylists A and B."/>
    <s v="Stylists A, B, C, D and E."/>
    <s v="Stylists D and E."/>
    <s v="ms-h"/>
    <s v="exh"/>
    <s v="ms-l"/>
    <n v="1"/>
    <x v="1"/>
    <x v="2"/>
    <n v="1"/>
    <n v="1"/>
    <n v="0"/>
    <n v="1"/>
    <n v="1"/>
    <n v="0"/>
    <x v="2"/>
    <n v="1"/>
    <n v="1"/>
    <n v="0"/>
    <n v="0"/>
    <x v="1"/>
  </r>
  <r>
    <s v="A1BZNPQ0H7ZSER"/>
    <x v="0"/>
    <n v="36"/>
    <s v="male"/>
    <x v="3"/>
    <x v="10"/>
    <n v="31807"/>
    <n v="1"/>
    <n v="1"/>
    <n v="1"/>
    <n v="0"/>
    <s v="NA"/>
    <s v="NA"/>
    <s v="NA"/>
    <s v="NA"/>
    <s v="NA"/>
    <s v="NA"/>
    <s v="NA"/>
    <x v="1"/>
    <x v="2"/>
    <n v="1"/>
    <n v="1"/>
    <n v="0"/>
    <n v="1"/>
    <n v="1"/>
    <n v="0"/>
    <x v="2"/>
    <n v="1"/>
    <n v="1"/>
    <n v="0"/>
    <n v="0"/>
    <x v="1"/>
  </r>
  <r>
    <s v="A1BZNPQ0H7ZSER"/>
    <x v="0"/>
    <n v="36"/>
    <s v="male"/>
    <x v="4"/>
    <x v="0"/>
    <n v="92931"/>
    <s v="No%2C they are both asking which restaurants serve brunch%2C and it should be safe to assume that they have access to any of them."/>
    <s v="no%2C it seemed straightforward if you stuck with grammar rules"/>
    <s v="no"/>
    <s v="NA"/>
    <s v="NA"/>
    <s v="NA"/>
    <s v="NA"/>
    <s v="NA"/>
    <s v="NA"/>
    <s v="NA"/>
    <s v="NA"/>
    <x v="0"/>
    <x v="0"/>
    <s v="NA"/>
    <s v="NA"/>
    <s v="NA"/>
    <s v="NA"/>
    <s v="NA"/>
    <s v="NA"/>
    <x v="0"/>
    <s v="NA"/>
    <s v="NA"/>
    <s v="NA"/>
    <s v="NA"/>
    <x v="1"/>
  </r>
  <r>
    <s v="AC7Z8O1RETQC4"/>
    <x v="0"/>
    <n v="27"/>
    <s v="female"/>
    <x v="0"/>
    <x v="0"/>
    <n v="13817"/>
    <s v="NA"/>
    <s v="NA"/>
    <s v="NA"/>
    <s v="NA"/>
    <s v="NA"/>
    <s v="NA"/>
    <s v="NA"/>
    <s v="NA"/>
    <s v="NA"/>
    <s v="NA"/>
    <s v="NA"/>
    <x v="0"/>
    <x v="0"/>
    <s v="NA"/>
    <s v="NA"/>
    <s v="NA"/>
    <s v="NA"/>
    <s v="NA"/>
    <s v="NA"/>
    <x v="0"/>
    <s v="NA"/>
    <s v="NA"/>
    <s v="NA"/>
    <s v="NA"/>
    <x v="1"/>
  </r>
  <r>
    <s v="AC7Z8O1RETQC4"/>
    <x v="0"/>
    <n v="27"/>
    <s v="female"/>
    <x v="1"/>
    <x v="2"/>
    <n v="20526"/>
    <n v="0"/>
    <n v="0"/>
    <n v="1"/>
    <n v="0"/>
    <s v="NA"/>
    <s v="NA"/>
    <s v="NA"/>
    <s v="NA"/>
    <s v="NA"/>
    <s v="NA"/>
    <s v="NA"/>
    <x v="0"/>
    <x v="0"/>
    <s v="NA"/>
    <s v="NA"/>
    <s v="NA"/>
    <s v="NA"/>
    <s v="NA"/>
    <s v="NA"/>
    <x v="0"/>
    <s v="NA"/>
    <s v="NA"/>
    <s v="NA"/>
    <s v="NA"/>
    <x v="1"/>
  </r>
  <r>
    <s v="AC7Z8O1RETQC4"/>
    <x v="0"/>
    <n v="27"/>
    <s v="female"/>
    <x v="1"/>
    <x v="1"/>
    <n v="11661"/>
    <n v="0"/>
    <n v="0"/>
    <n v="0"/>
    <n v="1"/>
    <s v="NA"/>
    <s v="NA"/>
    <s v="NA"/>
    <s v="NA"/>
    <s v="NA"/>
    <s v="NA"/>
    <s v="NA"/>
    <x v="0"/>
    <x v="0"/>
    <s v="NA"/>
    <s v="NA"/>
    <s v="NA"/>
    <s v="NA"/>
    <s v="NA"/>
    <s v="NA"/>
    <x v="0"/>
    <s v="NA"/>
    <s v="NA"/>
    <s v="NA"/>
    <s v="NA"/>
    <x v="1"/>
  </r>
  <r>
    <s v="AC7Z8O1RETQC4"/>
    <x v="0"/>
    <n v="27"/>
    <s v="female"/>
    <x v="2"/>
    <x v="3"/>
    <n v="64929"/>
    <n v="1"/>
    <n v="1"/>
    <n v="1"/>
    <n v="0"/>
    <s v="Cafe E."/>
    <s v="Cafe A."/>
    <s v="Cafes A and B."/>
    <s v="mo-l"/>
    <s v="mo-h"/>
    <s v="ms-h"/>
    <n v="0"/>
    <x v="2"/>
    <x v="1"/>
    <n v="1"/>
    <n v="0"/>
    <n v="0"/>
    <n v="1"/>
    <n v="0"/>
    <n v="1"/>
    <x v="1"/>
    <n v="1"/>
    <n v="0"/>
    <n v="0"/>
    <n v="0"/>
    <x v="1"/>
  </r>
  <r>
    <s v="AC7Z8O1RETQC4"/>
    <x v="0"/>
    <n v="27"/>
    <s v="female"/>
    <x v="2"/>
    <x v="9"/>
    <n v="4806"/>
    <n v="1"/>
    <n v="1"/>
    <n v="1"/>
    <n v="0"/>
    <s v="Stores D and E."/>
    <s v="Stores A and B."/>
    <s v="Store A."/>
    <s v="ms-l"/>
    <s v="ms-h"/>
    <s v="mo-h"/>
    <n v="0"/>
    <x v="2"/>
    <x v="2"/>
    <n v="1"/>
    <n v="1"/>
    <n v="0"/>
    <n v="1"/>
    <n v="0"/>
    <n v="1"/>
    <x v="2"/>
    <n v="1"/>
    <n v="1"/>
    <n v="0"/>
    <n v="0"/>
    <x v="1"/>
  </r>
  <r>
    <s v="AC7Z8O1RETQC4"/>
    <x v="0"/>
    <n v="27"/>
    <s v="female"/>
    <x v="3"/>
    <x v="10"/>
    <n v="24299"/>
    <n v="1"/>
    <n v="1"/>
    <n v="0"/>
    <n v="0"/>
    <s v="NA"/>
    <s v="NA"/>
    <s v="NA"/>
    <s v="NA"/>
    <s v="NA"/>
    <s v="NA"/>
    <s v="NA"/>
    <x v="2"/>
    <x v="2"/>
    <n v="1"/>
    <n v="1"/>
    <n v="0"/>
    <n v="1"/>
    <n v="0"/>
    <n v="1"/>
    <x v="2"/>
    <n v="1"/>
    <n v="1"/>
    <n v="0"/>
    <n v="0"/>
    <x v="1"/>
  </r>
  <r>
    <s v="AC7Z8O1RETQC4"/>
    <x v="0"/>
    <n v="27"/>
    <s v="female"/>
    <x v="2"/>
    <x v="4"/>
    <n v="5220"/>
    <n v="1"/>
    <n v="1"/>
    <n v="1"/>
    <n v="0"/>
    <s v="Stall E."/>
    <s v="Stall F."/>
    <s v="Stalls D and E."/>
    <s v="mo-l"/>
    <s v="fa"/>
    <s v="ms-l"/>
    <n v="0"/>
    <x v="1"/>
    <x v="1"/>
    <n v="0"/>
    <n v="1"/>
    <n v="0"/>
    <n v="1"/>
    <n v="0"/>
    <n v="0"/>
    <x v="1"/>
    <n v="0"/>
    <n v="1"/>
    <n v="0"/>
    <n v="0"/>
    <x v="1"/>
  </r>
  <r>
    <s v="AC7Z8O1RETQC4"/>
    <x v="0"/>
    <n v="27"/>
    <s v="female"/>
    <x v="3"/>
    <x v="12"/>
    <n v="7478"/>
    <n v="1"/>
    <n v="1"/>
    <n v="1"/>
    <n v="0"/>
    <s v="NA"/>
    <s v="NA"/>
    <s v="NA"/>
    <s v="NA"/>
    <s v="NA"/>
    <s v="NA"/>
    <s v="NA"/>
    <x v="1"/>
    <x v="1"/>
    <n v="0"/>
    <n v="1"/>
    <n v="0"/>
    <n v="1"/>
    <n v="0"/>
    <n v="0"/>
    <x v="1"/>
    <n v="0"/>
    <n v="1"/>
    <n v="0"/>
    <n v="0"/>
    <x v="1"/>
  </r>
  <r>
    <s v="AC7Z8O1RETQC4"/>
    <x v="0"/>
    <n v="27"/>
    <s v="female"/>
    <x v="2"/>
    <x v="6"/>
    <n v="4701"/>
    <n v="1"/>
    <n v="1"/>
    <n v="1"/>
    <n v="0"/>
    <s v="Bookstore F."/>
    <s v="Bookstore E."/>
    <s v="Bookstores A, B, C, D and E."/>
    <s v="fa"/>
    <s v="mo-l"/>
    <s v="exh"/>
    <n v="1"/>
    <x v="1"/>
    <x v="1"/>
    <n v="0"/>
    <n v="0"/>
    <n v="0"/>
    <n v="1"/>
    <n v="1"/>
    <n v="0"/>
    <x v="1"/>
    <n v="0"/>
    <n v="0"/>
    <n v="0"/>
    <n v="0"/>
    <x v="1"/>
  </r>
  <r>
    <s v="AC7Z8O1RETQC4"/>
    <x v="0"/>
    <n v="27"/>
    <s v="female"/>
    <x v="2"/>
    <x v="11"/>
    <n v="7644"/>
    <n v="1"/>
    <n v="1"/>
    <n v="1"/>
    <n v="0"/>
    <s v="Dentists A and B."/>
    <s v="Dentists D and E."/>
    <s v="Dentist A."/>
    <s v="ms-h"/>
    <s v="ms-l"/>
    <s v="mo-h"/>
    <n v="0"/>
    <x v="2"/>
    <x v="2"/>
    <n v="1"/>
    <n v="1"/>
    <n v="0"/>
    <n v="1"/>
    <n v="0"/>
    <n v="1"/>
    <x v="2"/>
    <n v="1"/>
    <n v="1"/>
    <n v="0"/>
    <n v="0"/>
    <x v="1"/>
  </r>
  <r>
    <s v="AC7Z8O1RETQC4"/>
    <x v="0"/>
    <n v="27"/>
    <s v="female"/>
    <x v="3"/>
    <x v="8"/>
    <n v="50115"/>
    <n v="0"/>
    <n v="0"/>
    <n v="1"/>
    <n v="0"/>
    <s v="NA"/>
    <s v="NA"/>
    <s v="NA"/>
    <s v="NA"/>
    <s v="NA"/>
    <s v="NA"/>
    <s v="NA"/>
    <x v="2"/>
    <x v="2"/>
    <n v="1"/>
    <n v="1"/>
    <n v="0"/>
    <n v="1"/>
    <n v="0"/>
    <n v="1"/>
    <x v="2"/>
    <n v="1"/>
    <n v="1"/>
    <n v="0"/>
    <n v="0"/>
    <x v="1"/>
  </r>
  <r>
    <s v="AC7Z8O1RETQC4"/>
    <x v="0"/>
    <n v="27"/>
    <s v="female"/>
    <x v="2"/>
    <x v="7"/>
    <n v="10003"/>
    <n v="1"/>
    <n v="1"/>
    <n v="1"/>
    <n v="0"/>
    <s v="Stylist A."/>
    <s v="Stylists A and B."/>
    <s v="Stylist F."/>
    <s v="mo-h"/>
    <s v="ms-h"/>
    <s v="fa"/>
    <n v="0"/>
    <x v="2"/>
    <x v="2"/>
    <n v="1"/>
    <n v="0"/>
    <n v="0"/>
    <n v="1"/>
    <n v="0"/>
    <n v="1"/>
    <x v="2"/>
    <n v="1"/>
    <n v="0"/>
    <n v="0"/>
    <n v="0"/>
    <x v="1"/>
  </r>
  <r>
    <s v="AC7Z8O1RETQC4"/>
    <x v="0"/>
    <n v="27"/>
    <s v="female"/>
    <x v="3"/>
    <x v="5"/>
    <n v="14861"/>
    <n v="1"/>
    <n v="1"/>
    <n v="1"/>
    <n v="0"/>
    <s v="NA"/>
    <s v="NA"/>
    <s v="NA"/>
    <s v="NA"/>
    <s v="NA"/>
    <s v="NA"/>
    <s v="NA"/>
    <x v="2"/>
    <x v="2"/>
    <n v="1"/>
    <n v="0"/>
    <n v="0"/>
    <n v="1"/>
    <n v="0"/>
    <n v="1"/>
    <x v="2"/>
    <n v="1"/>
    <n v="0"/>
    <n v="0"/>
    <n v="0"/>
    <x v="1"/>
  </r>
  <r>
    <s v="AC7Z8O1RETQC4"/>
    <x v="0"/>
    <n v="27"/>
    <s v="female"/>
    <x v="4"/>
    <x v="0"/>
    <n v="718260"/>
    <s v="I CHOOSE NEARABLE HOTEL. I WILL EAT TASTY FOOD AND VARIETIES OF FOOD. SO I GO TO BEST HOTEL IN MY TRIP."/>
    <s v="LITTLE DIFFICULT"/>
    <s v="NO"/>
    <s v="NA"/>
    <s v="NA"/>
    <s v="NA"/>
    <s v="NA"/>
    <s v="NA"/>
    <s v="NA"/>
    <s v="NA"/>
    <s v="NA"/>
    <x v="0"/>
    <x v="0"/>
    <s v="NA"/>
    <s v="NA"/>
    <s v="NA"/>
    <s v="NA"/>
    <s v="NA"/>
    <s v="NA"/>
    <x v="0"/>
    <s v="NA"/>
    <s v="NA"/>
    <s v="NA"/>
    <s v="NA"/>
    <x v="1"/>
  </r>
  <r>
    <s v="A15SJZQBR8I3B3"/>
    <x v="0"/>
    <n v="44"/>
    <s v="female"/>
    <x v="0"/>
    <x v="0"/>
    <n v="374020"/>
    <s v="NA"/>
    <s v="NA"/>
    <s v="NA"/>
    <s v="NA"/>
    <s v="NA"/>
    <s v="NA"/>
    <s v="NA"/>
    <s v="NA"/>
    <s v="NA"/>
    <s v="NA"/>
    <s v="NA"/>
    <x v="0"/>
    <x v="0"/>
    <s v="NA"/>
    <s v="NA"/>
    <s v="NA"/>
    <s v="NA"/>
    <s v="NA"/>
    <s v="NA"/>
    <x v="0"/>
    <s v="NA"/>
    <s v="NA"/>
    <s v="NA"/>
    <s v="NA"/>
    <x v="1"/>
  </r>
  <r>
    <s v="A15SJZQBR8I3B3"/>
    <x v="0"/>
    <n v="44"/>
    <s v="female"/>
    <x v="1"/>
    <x v="2"/>
    <n v="75695"/>
    <n v="0"/>
    <n v="0"/>
    <n v="1"/>
    <n v="0"/>
    <s v="NA"/>
    <s v="NA"/>
    <s v="NA"/>
    <s v="NA"/>
    <s v="NA"/>
    <s v="NA"/>
    <s v="NA"/>
    <x v="0"/>
    <x v="0"/>
    <s v="NA"/>
    <s v="NA"/>
    <s v="NA"/>
    <s v="NA"/>
    <s v="NA"/>
    <s v="NA"/>
    <x v="0"/>
    <s v="NA"/>
    <s v="NA"/>
    <s v="NA"/>
    <s v="NA"/>
    <x v="1"/>
  </r>
  <r>
    <s v="A15SJZQBR8I3B3"/>
    <x v="0"/>
    <n v="44"/>
    <s v="female"/>
    <x v="1"/>
    <x v="1"/>
    <n v="77304"/>
    <n v="0"/>
    <n v="0"/>
    <n v="0"/>
    <n v="1"/>
    <s v="NA"/>
    <s v="NA"/>
    <s v="NA"/>
    <s v="NA"/>
    <s v="NA"/>
    <s v="NA"/>
    <s v="NA"/>
    <x v="0"/>
    <x v="0"/>
    <s v="NA"/>
    <s v="NA"/>
    <s v="NA"/>
    <s v="NA"/>
    <s v="NA"/>
    <s v="NA"/>
    <x v="0"/>
    <s v="NA"/>
    <s v="NA"/>
    <s v="NA"/>
    <s v="NA"/>
    <x v="1"/>
  </r>
  <r>
    <s v="A15SJZQBR8I3B3"/>
    <x v="0"/>
    <n v="44"/>
    <s v="female"/>
    <x v="2"/>
    <x v="3"/>
    <n v="76268"/>
    <n v="0"/>
    <n v="0"/>
    <n v="0"/>
    <n v="1"/>
    <s v="Cafe A."/>
    <s v="Cafes A, B, C, D and E."/>
    <s v="Cafes D and E."/>
    <s v="mo-h"/>
    <s v="exh"/>
    <s v="ms-l"/>
    <n v="1"/>
    <x v="2"/>
    <x v="2"/>
    <n v="0"/>
    <n v="1"/>
    <n v="0"/>
    <n v="1"/>
    <n v="0"/>
    <n v="0"/>
    <x v="2"/>
    <n v="0"/>
    <n v="0"/>
    <n v="0"/>
    <n v="1"/>
    <x v="1"/>
  </r>
  <r>
    <s v="A15SJZQBR8I3B3"/>
    <x v="0"/>
    <n v="44"/>
    <s v="female"/>
    <x v="2"/>
    <x v="4"/>
    <n v="102929"/>
    <n v="1"/>
    <n v="1"/>
    <n v="1"/>
    <n v="0"/>
    <s v="Stalls D and E."/>
    <s v="Stall A."/>
    <s v="Stall E."/>
    <s v="ms-l"/>
    <s v="mo-h"/>
    <s v="mo-l"/>
    <n v="0"/>
    <x v="2"/>
    <x v="1"/>
    <n v="0"/>
    <n v="1"/>
    <n v="0"/>
    <n v="1"/>
    <n v="0"/>
    <n v="1"/>
    <x v="1"/>
    <n v="0"/>
    <n v="1"/>
    <n v="0"/>
    <n v="0"/>
    <x v="1"/>
  </r>
  <r>
    <s v="A15SJZQBR8I3B3"/>
    <x v="0"/>
    <n v="44"/>
    <s v="female"/>
    <x v="3"/>
    <x v="8"/>
    <n v="63094"/>
    <n v="1"/>
    <n v="1"/>
    <n v="0"/>
    <n v="0"/>
    <s v="NA"/>
    <s v="NA"/>
    <s v="NA"/>
    <s v="NA"/>
    <s v="NA"/>
    <s v="NA"/>
    <s v="NA"/>
    <x v="2"/>
    <x v="1"/>
    <n v="0"/>
    <n v="1"/>
    <n v="0"/>
    <n v="1"/>
    <n v="0"/>
    <n v="1"/>
    <x v="1"/>
    <n v="0"/>
    <n v="1"/>
    <n v="0"/>
    <n v="0"/>
    <x v="1"/>
  </r>
  <r>
    <s v="A15SJZQBR8I3B3"/>
    <x v="0"/>
    <n v="44"/>
    <s v="female"/>
    <x v="2"/>
    <x v="6"/>
    <n v="50070"/>
    <n v="1"/>
    <n v="1"/>
    <n v="1"/>
    <n v="0"/>
    <s v="Bookstore A."/>
    <s v="Bookstores A and B."/>
    <s v="Bookstores D and E."/>
    <s v="mo-h"/>
    <s v="ms-h"/>
    <s v="ms-l"/>
    <n v="0"/>
    <x v="2"/>
    <x v="2"/>
    <n v="1"/>
    <n v="1"/>
    <n v="0"/>
    <n v="1"/>
    <n v="0"/>
    <n v="1"/>
    <x v="2"/>
    <n v="1"/>
    <n v="1"/>
    <n v="0"/>
    <n v="0"/>
    <x v="1"/>
  </r>
  <r>
    <s v="A15SJZQBR8I3B3"/>
    <x v="0"/>
    <n v="44"/>
    <s v="female"/>
    <x v="2"/>
    <x v="7"/>
    <n v="78915"/>
    <n v="0"/>
    <n v="1"/>
    <n v="0"/>
    <n v="0"/>
    <s v="Stylist E."/>
    <s v="Stylists A and B."/>
    <s v="Stylists D and E."/>
    <s v="mo-l"/>
    <s v="ms-h"/>
    <s v="ms-l"/>
    <n v="0"/>
    <x v="1"/>
    <x v="1"/>
    <n v="1"/>
    <n v="1"/>
    <n v="0"/>
    <n v="1"/>
    <n v="0"/>
    <n v="0"/>
    <x v="2"/>
    <n v="1"/>
    <n v="0"/>
    <n v="0"/>
    <n v="0"/>
    <x v="1"/>
  </r>
  <r>
    <s v="A15SJZQBR8I3B3"/>
    <x v="0"/>
    <n v="44"/>
    <s v="female"/>
    <x v="3"/>
    <x v="12"/>
    <n v="54215"/>
    <n v="1"/>
    <n v="1"/>
    <n v="0"/>
    <n v="0"/>
    <s v="NA"/>
    <s v="NA"/>
    <s v="NA"/>
    <s v="NA"/>
    <s v="NA"/>
    <s v="NA"/>
    <s v="NA"/>
    <x v="1"/>
    <x v="1"/>
    <n v="1"/>
    <n v="1"/>
    <n v="0"/>
    <n v="1"/>
    <n v="0"/>
    <n v="0"/>
    <x v="2"/>
    <n v="1"/>
    <n v="0"/>
    <n v="0"/>
    <n v="0"/>
    <x v="1"/>
  </r>
  <r>
    <s v="A15SJZQBR8I3B3"/>
    <x v="0"/>
    <n v="44"/>
    <s v="female"/>
    <x v="2"/>
    <x v="9"/>
    <n v="63412"/>
    <n v="1"/>
    <n v="0"/>
    <n v="0"/>
    <n v="0"/>
    <s v="Store F."/>
    <s v="Store E."/>
    <s v="Store A."/>
    <s v="fa"/>
    <s v="mo-l"/>
    <s v="mo-h"/>
    <n v="0"/>
    <x v="2"/>
    <x v="1"/>
    <n v="0"/>
    <n v="0"/>
    <n v="0"/>
    <n v="1"/>
    <n v="0"/>
    <n v="0"/>
    <x v="2"/>
    <n v="0"/>
    <n v="0"/>
    <n v="0"/>
    <n v="0"/>
    <x v="1"/>
  </r>
  <r>
    <s v="A15SJZQBR8I3B3"/>
    <x v="0"/>
    <n v="44"/>
    <s v="female"/>
    <x v="3"/>
    <x v="10"/>
    <n v="80472"/>
    <n v="1"/>
    <n v="1"/>
    <n v="1"/>
    <n v="0"/>
    <s v="NA"/>
    <s v="NA"/>
    <s v="NA"/>
    <s v="NA"/>
    <s v="NA"/>
    <s v="NA"/>
    <s v="NA"/>
    <x v="2"/>
    <x v="1"/>
    <n v="0"/>
    <n v="0"/>
    <n v="0"/>
    <n v="1"/>
    <n v="0"/>
    <n v="0"/>
    <x v="2"/>
    <n v="0"/>
    <n v="0"/>
    <n v="0"/>
    <n v="0"/>
    <x v="1"/>
  </r>
  <r>
    <s v="A15SJZQBR8I3B3"/>
    <x v="0"/>
    <n v="44"/>
    <s v="female"/>
    <x v="2"/>
    <x v="11"/>
    <n v="41082"/>
    <n v="1"/>
    <n v="1"/>
    <n v="1"/>
    <n v="0"/>
    <s v="Dentists D and E."/>
    <s v="Dentist A."/>
    <s v="Dentists A and B."/>
    <s v="ms-l"/>
    <s v="mo-h"/>
    <s v="ms-h"/>
    <n v="0"/>
    <x v="2"/>
    <x v="2"/>
    <n v="1"/>
    <n v="1"/>
    <n v="0"/>
    <n v="1"/>
    <n v="0"/>
    <n v="1"/>
    <x v="2"/>
    <n v="1"/>
    <n v="1"/>
    <n v="0"/>
    <n v="0"/>
    <x v="1"/>
  </r>
  <r>
    <s v="A15SJZQBR8I3B3"/>
    <x v="0"/>
    <n v="44"/>
    <s v="female"/>
    <x v="3"/>
    <x v="5"/>
    <n v="54147"/>
    <n v="0"/>
    <n v="0"/>
    <n v="1"/>
    <n v="0"/>
    <s v="NA"/>
    <s v="NA"/>
    <s v="NA"/>
    <s v="NA"/>
    <s v="NA"/>
    <s v="NA"/>
    <s v="NA"/>
    <x v="2"/>
    <x v="2"/>
    <n v="1"/>
    <n v="1"/>
    <n v="0"/>
    <n v="1"/>
    <n v="0"/>
    <n v="1"/>
    <x v="2"/>
    <n v="1"/>
    <n v="1"/>
    <n v="0"/>
    <n v="0"/>
    <x v="1"/>
  </r>
  <r>
    <s v="A15SJZQBR8I3B3"/>
    <x v="0"/>
    <n v="44"/>
    <s v="female"/>
    <x v="4"/>
    <x v="0"/>
    <n v="207734"/>
    <s v="No I would not have responded differently. It's the same question."/>
    <s v="At times it was difficult. The reason is because I was second guessing myself. "/>
    <s v="No."/>
    <s v="NA"/>
    <s v="NA"/>
    <s v="NA"/>
    <s v="NA"/>
    <s v="NA"/>
    <s v="NA"/>
    <s v="NA"/>
    <s v="NA"/>
    <x v="0"/>
    <x v="0"/>
    <s v="NA"/>
    <s v="NA"/>
    <s v="NA"/>
    <s v="NA"/>
    <s v="NA"/>
    <s v="NA"/>
    <x v="0"/>
    <s v="NA"/>
    <s v="NA"/>
    <s v="NA"/>
    <s v="NA"/>
    <x v="1"/>
  </r>
  <r>
    <s v="A12IHTKQFQIPD1"/>
    <x v="0"/>
    <n v="34"/>
    <s v="male"/>
    <x v="0"/>
    <x v="0"/>
    <n v="45323"/>
    <s v="NA"/>
    <s v="NA"/>
    <s v="NA"/>
    <s v="NA"/>
    <s v="NA"/>
    <s v="NA"/>
    <s v="NA"/>
    <s v="NA"/>
    <s v="NA"/>
    <s v="NA"/>
    <s v="NA"/>
    <x v="0"/>
    <x v="0"/>
    <s v="NA"/>
    <s v="NA"/>
    <s v="NA"/>
    <s v="NA"/>
    <s v="NA"/>
    <s v="NA"/>
    <x v="0"/>
    <s v="NA"/>
    <s v="NA"/>
    <s v="NA"/>
    <s v="NA"/>
    <x v="1"/>
  </r>
  <r>
    <s v="A12IHTKQFQIPD1"/>
    <x v="0"/>
    <n v="34"/>
    <s v="male"/>
    <x v="1"/>
    <x v="2"/>
    <n v="113563"/>
    <n v="0"/>
    <n v="0"/>
    <n v="1"/>
    <n v="0"/>
    <s v="NA"/>
    <s v="NA"/>
    <s v="NA"/>
    <s v="NA"/>
    <s v="NA"/>
    <s v="NA"/>
    <s v="NA"/>
    <x v="0"/>
    <x v="0"/>
    <s v="NA"/>
    <s v="NA"/>
    <s v="NA"/>
    <s v="NA"/>
    <s v="NA"/>
    <s v="NA"/>
    <x v="0"/>
    <s v="NA"/>
    <s v="NA"/>
    <s v="NA"/>
    <s v="NA"/>
    <x v="1"/>
  </r>
  <r>
    <s v="A12IHTKQFQIPD1"/>
    <x v="0"/>
    <n v="34"/>
    <s v="male"/>
    <x v="1"/>
    <x v="1"/>
    <n v="43679"/>
    <n v="0"/>
    <n v="0"/>
    <n v="0"/>
    <n v="1"/>
    <s v="NA"/>
    <s v="NA"/>
    <s v="NA"/>
    <s v="NA"/>
    <s v="NA"/>
    <s v="NA"/>
    <s v="NA"/>
    <x v="0"/>
    <x v="0"/>
    <s v="NA"/>
    <s v="NA"/>
    <s v="NA"/>
    <s v="NA"/>
    <s v="NA"/>
    <s v="NA"/>
    <x v="0"/>
    <s v="NA"/>
    <s v="NA"/>
    <s v="NA"/>
    <s v="NA"/>
    <x v="1"/>
  </r>
  <r>
    <s v="A12IHTKQFQIPD1"/>
    <x v="0"/>
    <n v="34"/>
    <s v="male"/>
    <x v="2"/>
    <x v="9"/>
    <n v="76122"/>
    <n v="0"/>
    <n v="1"/>
    <n v="0"/>
    <n v="0"/>
    <s v="Stores A and B."/>
    <s v="Stores A, B, C, D and E."/>
    <s v="Store E."/>
    <s v="ms-h"/>
    <s v="exh"/>
    <s v="mo-l"/>
    <n v="1"/>
    <x v="1"/>
    <x v="1"/>
    <n v="1"/>
    <n v="0"/>
    <n v="0"/>
    <n v="1"/>
    <n v="1"/>
    <n v="0"/>
    <x v="2"/>
    <n v="0"/>
    <n v="0"/>
    <n v="0"/>
    <n v="0"/>
    <x v="1"/>
  </r>
  <r>
    <s v="A12IHTKQFQIPD1"/>
    <x v="0"/>
    <n v="34"/>
    <s v="male"/>
    <x v="3"/>
    <x v="5"/>
    <n v="54322"/>
    <n v="0"/>
    <n v="0"/>
    <n v="1"/>
    <n v="0"/>
    <s v="NA"/>
    <s v="NA"/>
    <s v="NA"/>
    <s v="NA"/>
    <s v="NA"/>
    <s v="NA"/>
    <s v="NA"/>
    <x v="1"/>
    <x v="1"/>
    <n v="1"/>
    <n v="0"/>
    <n v="0"/>
    <n v="1"/>
    <n v="1"/>
    <n v="0"/>
    <x v="2"/>
    <n v="0"/>
    <n v="0"/>
    <n v="0"/>
    <n v="0"/>
    <x v="1"/>
  </r>
  <r>
    <s v="A12IHTKQFQIPD1"/>
    <x v="0"/>
    <n v="34"/>
    <s v="male"/>
    <x v="2"/>
    <x v="4"/>
    <n v="350330"/>
    <n v="0"/>
    <n v="1"/>
    <n v="0"/>
    <n v="0"/>
    <s v="Stall A."/>
    <s v="Stalls A, B, C, D and E."/>
    <s v="Stall E."/>
    <s v="mo-h"/>
    <s v="exh"/>
    <s v="mo-l"/>
    <n v="1"/>
    <x v="2"/>
    <x v="1"/>
    <n v="0"/>
    <n v="0"/>
    <n v="0"/>
    <n v="1"/>
    <n v="1"/>
    <n v="0"/>
    <x v="2"/>
    <n v="0"/>
    <n v="0"/>
    <n v="0"/>
    <n v="0"/>
    <x v="1"/>
  </r>
  <r>
    <s v="A12IHTKQFQIPD1"/>
    <x v="0"/>
    <n v="34"/>
    <s v="male"/>
    <x v="2"/>
    <x v="7"/>
    <n v="353230"/>
    <n v="1"/>
    <n v="0"/>
    <n v="0"/>
    <n v="0"/>
    <s v="Stylists A, B, C, D and E."/>
    <s v="Stylists A and B."/>
    <s v="Stylists D and E."/>
    <s v="exh"/>
    <s v="ms-h"/>
    <s v="ms-l"/>
    <n v="1"/>
    <x v="1"/>
    <x v="2"/>
    <n v="1"/>
    <n v="1"/>
    <n v="0"/>
    <n v="1"/>
    <n v="1"/>
    <n v="0"/>
    <x v="2"/>
    <n v="0"/>
    <n v="0"/>
    <n v="0"/>
    <n v="0"/>
    <x v="1"/>
  </r>
  <r>
    <s v="A12IHTKQFQIPD1"/>
    <x v="0"/>
    <n v="34"/>
    <s v="male"/>
    <x v="3"/>
    <x v="8"/>
    <n v="21996"/>
    <n v="1"/>
    <n v="0"/>
    <n v="0"/>
    <n v="0"/>
    <s v="NA"/>
    <s v="NA"/>
    <s v="NA"/>
    <s v="NA"/>
    <s v="NA"/>
    <s v="NA"/>
    <s v="NA"/>
    <x v="1"/>
    <x v="2"/>
    <n v="1"/>
    <n v="1"/>
    <n v="0"/>
    <n v="1"/>
    <n v="1"/>
    <n v="0"/>
    <x v="2"/>
    <n v="0"/>
    <n v="0"/>
    <n v="0"/>
    <n v="0"/>
    <x v="1"/>
  </r>
  <r>
    <s v="A12IHTKQFQIPD1"/>
    <x v="0"/>
    <n v="34"/>
    <s v="male"/>
    <x v="2"/>
    <x v="11"/>
    <n v="26988"/>
    <n v="0"/>
    <n v="0"/>
    <n v="0"/>
    <n v="1"/>
    <s v="Dentist A."/>
    <s v="Dentists A, B, C, D and E."/>
    <s v="Dentist F."/>
    <s v="mo-h"/>
    <s v="exh"/>
    <s v="fa"/>
    <n v="1"/>
    <x v="2"/>
    <x v="2"/>
    <n v="0"/>
    <n v="0"/>
    <n v="0"/>
    <n v="1"/>
    <n v="0"/>
    <n v="0"/>
    <x v="2"/>
    <n v="0"/>
    <n v="0"/>
    <n v="0"/>
    <n v="1"/>
    <x v="1"/>
  </r>
  <r>
    <s v="A12IHTKQFQIPD1"/>
    <x v="0"/>
    <n v="34"/>
    <s v="male"/>
    <x v="3"/>
    <x v="12"/>
    <n v="24214"/>
    <n v="0"/>
    <n v="1"/>
    <n v="0"/>
    <n v="0"/>
    <s v="NA"/>
    <s v="NA"/>
    <s v="NA"/>
    <s v="NA"/>
    <s v="NA"/>
    <s v="NA"/>
    <s v="NA"/>
    <x v="2"/>
    <x v="2"/>
    <n v="0"/>
    <n v="0"/>
    <n v="0"/>
    <n v="1"/>
    <n v="0"/>
    <n v="0"/>
    <x v="2"/>
    <n v="0"/>
    <n v="0"/>
    <n v="0"/>
    <n v="1"/>
    <x v="1"/>
  </r>
  <r>
    <s v="A12IHTKQFQIPD1"/>
    <x v="0"/>
    <n v="34"/>
    <s v="male"/>
    <x v="2"/>
    <x v="6"/>
    <n v="9415"/>
    <n v="0"/>
    <n v="1"/>
    <n v="0"/>
    <n v="0"/>
    <s v="Bookstores D and E."/>
    <s v="Bookstore A."/>
    <s v="Bookstore E."/>
    <s v="ms-l"/>
    <s v="mo-h"/>
    <s v="mo-l"/>
    <n v="0"/>
    <x v="2"/>
    <x v="1"/>
    <n v="0"/>
    <n v="1"/>
    <n v="0"/>
    <n v="1"/>
    <n v="0"/>
    <n v="1"/>
    <x v="2"/>
    <n v="0"/>
    <n v="0"/>
    <n v="0"/>
    <n v="0"/>
    <x v="1"/>
  </r>
  <r>
    <s v="A12IHTKQFQIPD1"/>
    <x v="0"/>
    <n v="34"/>
    <s v="male"/>
    <x v="2"/>
    <x v="3"/>
    <n v="15412"/>
    <n v="1"/>
    <n v="0"/>
    <n v="0"/>
    <n v="0"/>
    <s v="Cafes A and B."/>
    <s v="Cafes D and E."/>
    <s v="Cafe E."/>
    <s v="ms-h"/>
    <s v="ms-l"/>
    <s v="mo-l"/>
    <n v="0"/>
    <x v="1"/>
    <x v="1"/>
    <n v="1"/>
    <n v="1"/>
    <n v="0"/>
    <n v="1"/>
    <n v="0"/>
    <n v="0"/>
    <x v="2"/>
    <n v="1"/>
    <n v="0"/>
    <n v="0"/>
    <n v="0"/>
    <x v="1"/>
  </r>
  <r>
    <s v="A12IHTKQFQIPD1"/>
    <x v="0"/>
    <n v="34"/>
    <s v="male"/>
    <x v="3"/>
    <x v="10"/>
    <n v="34849"/>
    <n v="0"/>
    <n v="0"/>
    <n v="0"/>
    <n v="1"/>
    <s v="NA"/>
    <s v="NA"/>
    <s v="NA"/>
    <s v="NA"/>
    <s v="NA"/>
    <s v="NA"/>
    <s v="NA"/>
    <x v="1"/>
    <x v="1"/>
    <n v="1"/>
    <n v="1"/>
    <n v="0"/>
    <n v="1"/>
    <n v="0"/>
    <n v="0"/>
    <x v="2"/>
    <n v="1"/>
    <n v="0"/>
    <n v="0"/>
    <n v="0"/>
    <x v="1"/>
  </r>
  <r>
    <s v="A12IHTKQFQIPD1"/>
    <x v="0"/>
    <n v="34"/>
    <s v="male"/>
    <x v="4"/>
    <x v="0"/>
    <n v="63405"/>
    <s v="No both questions are nearly identical. "/>
    <s v="no%2C because it was multiple choice. "/>
    <s v="no"/>
    <s v="NA"/>
    <s v="NA"/>
    <s v="NA"/>
    <s v="NA"/>
    <s v="NA"/>
    <s v="NA"/>
    <s v="NA"/>
    <s v="NA"/>
    <x v="0"/>
    <x v="0"/>
    <s v="NA"/>
    <s v="NA"/>
    <s v="NA"/>
    <s v="NA"/>
    <s v="NA"/>
    <s v="NA"/>
    <x v="0"/>
    <s v="NA"/>
    <s v="NA"/>
    <s v="NA"/>
    <s v="NA"/>
    <x v="1"/>
  </r>
  <r>
    <s v="A2KPTC4K228GM3"/>
    <x v="0"/>
    <n v="27"/>
    <s v="male"/>
    <x v="0"/>
    <x v="0"/>
    <n v="14788"/>
    <s v="NA"/>
    <s v="NA"/>
    <s v="NA"/>
    <s v="NA"/>
    <s v="NA"/>
    <s v="NA"/>
    <s v="NA"/>
    <s v="NA"/>
    <s v="NA"/>
    <s v="NA"/>
    <s v="NA"/>
    <x v="0"/>
    <x v="0"/>
    <s v="NA"/>
    <s v="NA"/>
    <s v="NA"/>
    <s v="NA"/>
    <s v="NA"/>
    <s v="NA"/>
    <x v="0"/>
    <s v="NA"/>
    <s v="NA"/>
    <s v="NA"/>
    <s v="NA"/>
    <x v="1"/>
  </r>
  <r>
    <s v="A2KPTC4K228GM3"/>
    <x v="0"/>
    <n v="27"/>
    <s v="male"/>
    <x v="1"/>
    <x v="2"/>
    <n v="2186"/>
    <n v="0"/>
    <n v="0"/>
    <n v="1"/>
    <n v="0"/>
    <s v="NA"/>
    <s v="NA"/>
    <s v="NA"/>
    <s v="NA"/>
    <s v="NA"/>
    <s v="NA"/>
    <s v="NA"/>
    <x v="0"/>
    <x v="0"/>
    <s v="NA"/>
    <s v="NA"/>
    <s v="NA"/>
    <s v="NA"/>
    <s v="NA"/>
    <s v="NA"/>
    <x v="0"/>
    <s v="NA"/>
    <s v="NA"/>
    <s v="NA"/>
    <s v="NA"/>
    <x v="1"/>
  </r>
  <r>
    <s v="A2KPTC4K228GM3"/>
    <x v="0"/>
    <n v="27"/>
    <s v="male"/>
    <x v="1"/>
    <x v="1"/>
    <n v="3927"/>
    <n v="0"/>
    <n v="0"/>
    <n v="0"/>
    <n v="1"/>
    <s v="NA"/>
    <s v="NA"/>
    <s v="NA"/>
    <s v="NA"/>
    <s v="NA"/>
    <s v="NA"/>
    <s v="NA"/>
    <x v="0"/>
    <x v="0"/>
    <s v="NA"/>
    <s v="NA"/>
    <s v="NA"/>
    <s v="NA"/>
    <s v="NA"/>
    <s v="NA"/>
    <x v="0"/>
    <s v="NA"/>
    <s v="NA"/>
    <s v="NA"/>
    <s v="NA"/>
    <x v="1"/>
  </r>
  <r>
    <s v="A2KPTC4K228GM3"/>
    <x v="0"/>
    <n v="27"/>
    <s v="male"/>
    <x v="2"/>
    <x v="6"/>
    <n v="3986"/>
    <n v="1"/>
    <n v="1"/>
    <n v="1"/>
    <n v="0"/>
    <s v="Bookstore A."/>
    <s v="Bookstores D and E."/>
    <s v="Bookstore E."/>
    <s v="mo-h"/>
    <s v="ms-l"/>
    <s v="mo-l"/>
    <n v="0"/>
    <x v="2"/>
    <x v="1"/>
    <n v="0"/>
    <n v="1"/>
    <n v="0"/>
    <n v="1"/>
    <n v="0"/>
    <n v="1"/>
    <x v="1"/>
    <n v="0"/>
    <n v="1"/>
    <n v="0"/>
    <n v="0"/>
    <x v="1"/>
  </r>
  <r>
    <s v="A2KPTC4K228GM3"/>
    <x v="0"/>
    <n v="27"/>
    <s v="male"/>
    <x v="2"/>
    <x v="7"/>
    <n v="2259"/>
    <n v="1"/>
    <n v="1"/>
    <n v="1"/>
    <n v="0"/>
    <s v="Stylists D and E."/>
    <s v="Stylist A."/>
    <s v="Stylist E."/>
    <s v="ms-l"/>
    <s v="mo-h"/>
    <s v="mo-l"/>
    <n v="0"/>
    <x v="2"/>
    <x v="1"/>
    <n v="0"/>
    <n v="1"/>
    <n v="0"/>
    <n v="1"/>
    <n v="0"/>
    <n v="1"/>
    <x v="1"/>
    <n v="0"/>
    <n v="1"/>
    <n v="0"/>
    <n v="0"/>
    <x v="1"/>
  </r>
  <r>
    <s v="A2KPTC4K228GM3"/>
    <x v="0"/>
    <n v="27"/>
    <s v="male"/>
    <x v="3"/>
    <x v="12"/>
    <n v="3283"/>
    <n v="1"/>
    <n v="1"/>
    <n v="1"/>
    <n v="0"/>
    <s v="NA"/>
    <s v="NA"/>
    <s v="NA"/>
    <s v="NA"/>
    <s v="NA"/>
    <s v="NA"/>
    <s v="NA"/>
    <x v="2"/>
    <x v="1"/>
    <n v="0"/>
    <n v="1"/>
    <n v="0"/>
    <n v="1"/>
    <n v="0"/>
    <n v="1"/>
    <x v="1"/>
    <n v="0"/>
    <n v="1"/>
    <n v="0"/>
    <n v="0"/>
    <x v="1"/>
  </r>
  <r>
    <s v="A2KPTC4K228GM3"/>
    <x v="0"/>
    <n v="27"/>
    <s v="male"/>
    <x v="2"/>
    <x v="11"/>
    <n v="4633"/>
    <n v="1"/>
    <n v="1"/>
    <n v="1"/>
    <n v="0"/>
    <s v="Dentist E."/>
    <s v="Dentists A and B."/>
    <s v="Dentists D and E."/>
    <s v="mo-l"/>
    <s v="ms-h"/>
    <s v="ms-l"/>
    <n v="0"/>
    <x v="1"/>
    <x v="1"/>
    <n v="1"/>
    <n v="1"/>
    <n v="0"/>
    <n v="1"/>
    <n v="0"/>
    <n v="0"/>
    <x v="1"/>
    <n v="1"/>
    <n v="1"/>
    <n v="0"/>
    <n v="0"/>
    <x v="1"/>
  </r>
  <r>
    <s v="A2KPTC4K228GM3"/>
    <x v="0"/>
    <n v="27"/>
    <s v="male"/>
    <x v="2"/>
    <x v="3"/>
    <n v="3876"/>
    <n v="1"/>
    <n v="1"/>
    <n v="1"/>
    <n v="0"/>
    <s v="Cafe F."/>
    <s v="Cafes A and B."/>
    <s v="Cafes D and E."/>
    <s v="fa"/>
    <s v="ms-h"/>
    <s v="ms-l"/>
    <n v="0"/>
    <x v="1"/>
    <x v="2"/>
    <n v="1"/>
    <n v="1"/>
    <n v="0"/>
    <n v="1"/>
    <n v="0"/>
    <n v="0"/>
    <x v="2"/>
    <n v="1"/>
    <n v="1"/>
    <n v="0"/>
    <n v="0"/>
    <x v="1"/>
  </r>
  <r>
    <s v="A2KPTC4K228GM3"/>
    <x v="0"/>
    <n v="27"/>
    <s v="male"/>
    <x v="3"/>
    <x v="8"/>
    <n v="4514"/>
    <n v="1"/>
    <n v="1"/>
    <n v="1"/>
    <n v="0"/>
    <s v="NA"/>
    <s v="NA"/>
    <s v="NA"/>
    <s v="NA"/>
    <s v="NA"/>
    <s v="NA"/>
    <s v="NA"/>
    <x v="1"/>
    <x v="2"/>
    <n v="1"/>
    <n v="1"/>
    <n v="0"/>
    <n v="1"/>
    <n v="0"/>
    <n v="0"/>
    <x v="2"/>
    <n v="1"/>
    <n v="1"/>
    <n v="0"/>
    <n v="0"/>
    <x v="1"/>
  </r>
  <r>
    <s v="A2KPTC4K228GM3"/>
    <x v="0"/>
    <n v="27"/>
    <s v="male"/>
    <x v="2"/>
    <x v="9"/>
    <n v="8993"/>
    <n v="1"/>
    <n v="1"/>
    <n v="1"/>
    <n v="0"/>
    <s v="Stores A, B, C, D and E."/>
    <s v="Store E."/>
    <s v="Stores A and B."/>
    <s v="exh"/>
    <s v="mo-l"/>
    <s v="ms-h"/>
    <n v="1"/>
    <x v="1"/>
    <x v="1"/>
    <n v="1"/>
    <n v="0"/>
    <n v="0"/>
    <n v="1"/>
    <n v="1"/>
    <n v="0"/>
    <x v="1"/>
    <n v="1"/>
    <n v="0"/>
    <n v="0"/>
    <n v="0"/>
    <x v="1"/>
  </r>
  <r>
    <s v="A2KPTC4K228GM3"/>
    <x v="0"/>
    <n v="27"/>
    <s v="male"/>
    <x v="3"/>
    <x v="10"/>
    <n v="3116"/>
    <n v="1"/>
    <n v="1"/>
    <n v="1"/>
    <n v="0"/>
    <s v="NA"/>
    <s v="NA"/>
    <s v="NA"/>
    <s v="NA"/>
    <s v="NA"/>
    <s v="NA"/>
    <s v="NA"/>
    <x v="1"/>
    <x v="1"/>
    <n v="1"/>
    <n v="0"/>
    <n v="0"/>
    <n v="1"/>
    <n v="1"/>
    <n v="0"/>
    <x v="1"/>
    <n v="1"/>
    <n v="0"/>
    <n v="0"/>
    <n v="0"/>
    <x v="1"/>
  </r>
  <r>
    <s v="A2KPTC4K228GM3"/>
    <x v="0"/>
    <n v="27"/>
    <s v="male"/>
    <x v="2"/>
    <x v="4"/>
    <n v="9765"/>
    <n v="1"/>
    <n v="1"/>
    <n v="1"/>
    <n v="0"/>
    <s v="Stall E."/>
    <s v="Stall F."/>
    <s v="Stalls A, B, C, D and E."/>
    <s v="mo-l"/>
    <s v="fa"/>
    <s v="exh"/>
    <n v="1"/>
    <x v="1"/>
    <x v="1"/>
    <n v="0"/>
    <n v="0"/>
    <n v="0"/>
    <n v="1"/>
    <n v="1"/>
    <n v="0"/>
    <x v="1"/>
    <n v="0"/>
    <n v="0"/>
    <n v="0"/>
    <n v="0"/>
    <x v="1"/>
  </r>
  <r>
    <s v="A2KPTC4K228GM3"/>
    <x v="0"/>
    <n v="27"/>
    <s v="male"/>
    <x v="3"/>
    <x v="5"/>
    <n v="4404"/>
    <n v="1"/>
    <n v="1"/>
    <n v="1"/>
    <n v="0"/>
    <s v="NA"/>
    <s v="NA"/>
    <s v="NA"/>
    <s v="NA"/>
    <s v="NA"/>
    <s v="NA"/>
    <s v="NA"/>
    <x v="1"/>
    <x v="1"/>
    <n v="0"/>
    <n v="0"/>
    <n v="0"/>
    <n v="1"/>
    <n v="1"/>
    <n v="0"/>
    <x v="1"/>
    <n v="0"/>
    <n v="0"/>
    <n v="0"/>
    <n v="0"/>
    <x v="1"/>
  </r>
  <r>
    <s v="A2KPTC4K228GM3"/>
    <x v="0"/>
    <n v="27"/>
    <s v="male"/>
    <x v="4"/>
    <x v="0"/>
    <n v="406867"/>
    <s v="I CHOOSE NEARABLE HOTEL TO MY TRIP. I WILL EAT TASTY FOOD AND VARIETIES OF FOOD. SO I GO TO BEST HOTEL IN MY TRIP.%0A%0A"/>
    <s v="LITTLE DIFFICULT"/>
    <s v="NOTHING.THIS SURVEY IS VERY NICE"/>
    <s v="NA"/>
    <s v="NA"/>
    <s v="NA"/>
    <s v="NA"/>
    <s v="NA"/>
    <s v="NA"/>
    <s v="NA"/>
    <s v="NA"/>
    <x v="0"/>
    <x v="0"/>
    <s v="NA"/>
    <s v="NA"/>
    <s v="NA"/>
    <s v="NA"/>
    <s v="NA"/>
    <s v="NA"/>
    <x v="0"/>
    <s v="NA"/>
    <s v="NA"/>
    <s v="NA"/>
    <s v="NA"/>
    <x v="1"/>
  </r>
  <r>
    <s v="A38JCBX2DD2ILP"/>
    <x v="0"/>
    <n v="28"/>
    <s v="female"/>
    <x v="0"/>
    <x v="0"/>
    <n v="14787"/>
    <s v="NA"/>
    <s v="NA"/>
    <s v="NA"/>
    <s v="NA"/>
    <s v="NA"/>
    <s v="NA"/>
    <s v="NA"/>
    <s v="NA"/>
    <s v="NA"/>
    <s v="NA"/>
    <s v="NA"/>
    <x v="0"/>
    <x v="0"/>
    <s v="NA"/>
    <s v="NA"/>
    <s v="NA"/>
    <s v="NA"/>
    <s v="NA"/>
    <s v="NA"/>
    <x v="0"/>
    <s v="NA"/>
    <s v="NA"/>
    <s v="NA"/>
    <s v="NA"/>
    <x v="1"/>
  </r>
  <r>
    <s v="A38JCBX2DD2ILP"/>
    <x v="0"/>
    <n v="28"/>
    <s v="female"/>
    <x v="1"/>
    <x v="2"/>
    <n v="49514"/>
    <n v="0"/>
    <n v="0"/>
    <n v="1"/>
    <n v="0"/>
    <s v="NA"/>
    <s v="NA"/>
    <s v="NA"/>
    <s v="NA"/>
    <s v="NA"/>
    <s v="NA"/>
    <s v="NA"/>
    <x v="0"/>
    <x v="0"/>
    <s v="NA"/>
    <s v="NA"/>
    <s v="NA"/>
    <s v="NA"/>
    <s v="NA"/>
    <s v="NA"/>
    <x v="0"/>
    <s v="NA"/>
    <s v="NA"/>
    <s v="NA"/>
    <s v="NA"/>
    <x v="1"/>
  </r>
  <r>
    <s v="A38JCBX2DD2ILP"/>
    <x v="0"/>
    <n v="28"/>
    <s v="female"/>
    <x v="1"/>
    <x v="1"/>
    <n v="3443"/>
    <n v="0"/>
    <n v="0"/>
    <n v="0"/>
    <n v="1"/>
    <s v="NA"/>
    <s v="NA"/>
    <s v="NA"/>
    <s v="NA"/>
    <s v="NA"/>
    <s v="NA"/>
    <s v="NA"/>
    <x v="0"/>
    <x v="0"/>
    <s v="NA"/>
    <s v="NA"/>
    <s v="NA"/>
    <s v="NA"/>
    <s v="NA"/>
    <s v="NA"/>
    <x v="0"/>
    <s v="NA"/>
    <s v="NA"/>
    <s v="NA"/>
    <s v="NA"/>
    <x v="1"/>
  </r>
  <r>
    <s v="A38JCBX2DD2ILP"/>
    <x v="0"/>
    <n v="28"/>
    <s v="female"/>
    <x v="2"/>
    <x v="9"/>
    <n v="101551"/>
    <n v="1"/>
    <n v="1"/>
    <n v="1"/>
    <n v="0"/>
    <s v="Store A."/>
    <s v="Stores A and B."/>
    <s v="Stores D and E."/>
    <s v="mo-h"/>
    <s v="ms-h"/>
    <s v="ms-l"/>
    <n v="0"/>
    <x v="2"/>
    <x v="2"/>
    <n v="1"/>
    <n v="1"/>
    <n v="0"/>
    <n v="1"/>
    <n v="0"/>
    <n v="1"/>
    <x v="2"/>
    <n v="1"/>
    <n v="1"/>
    <n v="0"/>
    <n v="0"/>
    <x v="1"/>
  </r>
  <r>
    <s v="A38JCBX2DD2ILP"/>
    <x v="0"/>
    <n v="28"/>
    <s v="female"/>
    <x v="2"/>
    <x v="7"/>
    <n v="32256"/>
    <n v="1"/>
    <n v="1"/>
    <n v="0"/>
    <n v="0"/>
    <s v="Stylists A and B."/>
    <s v="Stylist E."/>
    <s v="Stylist A."/>
    <s v="ms-h"/>
    <s v="mo-l"/>
    <s v="mo-h"/>
    <n v="0"/>
    <x v="2"/>
    <x v="1"/>
    <n v="1"/>
    <n v="0"/>
    <n v="0"/>
    <n v="1"/>
    <n v="0"/>
    <n v="0"/>
    <x v="1"/>
    <n v="1"/>
    <n v="0"/>
    <n v="0"/>
    <n v="0"/>
    <x v="1"/>
  </r>
  <r>
    <s v="A38JCBX2DD2ILP"/>
    <x v="0"/>
    <n v="28"/>
    <s v="female"/>
    <x v="3"/>
    <x v="5"/>
    <n v="25688"/>
    <n v="1"/>
    <n v="1"/>
    <n v="1"/>
    <n v="0"/>
    <s v="NA"/>
    <s v="NA"/>
    <s v="NA"/>
    <s v="NA"/>
    <s v="NA"/>
    <s v="NA"/>
    <s v="NA"/>
    <x v="2"/>
    <x v="1"/>
    <n v="1"/>
    <n v="0"/>
    <n v="0"/>
    <n v="1"/>
    <n v="0"/>
    <n v="0"/>
    <x v="1"/>
    <n v="1"/>
    <n v="0"/>
    <n v="0"/>
    <n v="0"/>
    <x v="1"/>
  </r>
  <r>
    <s v="A38JCBX2DD2ILP"/>
    <x v="0"/>
    <n v="28"/>
    <s v="female"/>
    <x v="2"/>
    <x v="4"/>
    <n v="10361"/>
    <n v="1"/>
    <n v="1"/>
    <n v="1"/>
    <n v="0"/>
    <s v="Stall E."/>
    <s v="Stall F."/>
    <s v="Stalls D and E."/>
    <s v="mo-l"/>
    <s v="fa"/>
    <s v="ms-l"/>
    <n v="0"/>
    <x v="1"/>
    <x v="1"/>
    <n v="0"/>
    <n v="1"/>
    <n v="0"/>
    <n v="1"/>
    <n v="0"/>
    <n v="0"/>
    <x v="1"/>
    <n v="0"/>
    <n v="1"/>
    <n v="0"/>
    <n v="0"/>
    <x v="1"/>
  </r>
  <r>
    <s v="A38JCBX2DD2ILP"/>
    <x v="0"/>
    <n v="28"/>
    <s v="female"/>
    <x v="3"/>
    <x v="10"/>
    <n v="6634"/>
    <n v="1"/>
    <n v="1"/>
    <n v="1"/>
    <n v="0"/>
    <s v="NA"/>
    <s v="NA"/>
    <s v="NA"/>
    <s v="NA"/>
    <s v="NA"/>
    <s v="NA"/>
    <s v="NA"/>
    <x v="1"/>
    <x v="1"/>
    <n v="0"/>
    <n v="1"/>
    <n v="0"/>
    <n v="1"/>
    <n v="0"/>
    <n v="0"/>
    <x v="1"/>
    <n v="0"/>
    <n v="1"/>
    <n v="0"/>
    <n v="0"/>
    <x v="1"/>
  </r>
  <r>
    <s v="A38JCBX2DD2ILP"/>
    <x v="0"/>
    <n v="28"/>
    <s v="female"/>
    <x v="2"/>
    <x v="11"/>
    <n v="7314"/>
    <n v="0"/>
    <n v="1"/>
    <n v="1"/>
    <n v="0"/>
    <s v="Dentists D and E."/>
    <s v="Dentist A."/>
    <s v="Dentists A, B, C, D and E."/>
    <s v="ms-l"/>
    <s v="mo-h"/>
    <s v="exh"/>
    <n v="1"/>
    <x v="2"/>
    <x v="2"/>
    <n v="0"/>
    <n v="1"/>
    <n v="0"/>
    <n v="1"/>
    <n v="1"/>
    <n v="1"/>
    <x v="2"/>
    <n v="0"/>
    <n v="0"/>
    <n v="0"/>
    <n v="0"/>
    <x v="1"/>
  </r>
  <r>
    <s v="A38JCBX2DD2ILP"/>
    <x v="0"/>
    <n v="28"/>
    <s v="female"/>
    <x v="2"/>
    <x v="6"/>
    <n v="36240"/>
    <n v="1"/>
    <n v="1"/>
    <n v="1"/>
    <n v="0"/>
    <s v="Bookstores D and E."/>
    <s v="Bookstores A, B, C, D and E."/>
    <s v="Bookstores A and B."/>
    <s v="ms-l"/>
    <s v="exh"/>
    <s v="ms-h"/>
    <n v="1"/>
    <x v="1"/>
    <x v="2"/>
    <n v="1"/>
    <n v="1"/>
    <n v="0"/>
    <n v="1"/>
    <n v="1"/>
    <n v="0"/>
    <x v="2"/>
    <n v="1"/>
    <n v="1"/>
    <n v="0"/>
    <n v="0"/>
    <x v="1"/>
  </r>
  <r>
    <s v="A38JCBX2DD2ILP"/>
    <x v="0"/>
    <n v="28"/>
    <s v="female"/>
    <x v="3"/>
    <x v="8"/>
    <n v="83931"/>
    <n v="1"/>
    <n v="1"/>
    <n v="1"/>
    <n v="0"/>
    <s v="NA"/>
    <s v="NA"/>
    <s v="NA"/>
    <s v="NA"/>
    <s v="NA"/>
    <s v="NA"/>
    <s v="NA"/>
    <x v="1"/>
    <x v="2"/>
    <n v="1"/>
    <n v="1"/>
    <n v="0"/>
    <n v="1"/>
    <n v="1"/>
    <n v="0"/>
    <x v="2"/>
    <n v="1"/>
    <n v="1"/>
    <n v="0"/>
    <n v="0"/>
    <x v="1"/>
  </r>
  <r>
    <s v="A38JCBX2DD2ILP"/>
    <x v="0"/>
    <n v="28"/>
    <s v="female"/>
    <x v="2"/>
    <x v="3"/>
    <n v="3904"/>
    <n v="1"/>
    <n v="1"/>
    <n v="1"/>
    <n v="0"/>
    <s v="Cafe F."/>
    <s v="Cafes D and E."/>
    <s v="Cafes A and B."/>
    <s v="fa"/>
    <s v="ms-l"/>
    <s v="ms-h"/>
    <n v="0"/>
    <x v="1"/>
    <x v="2"/>
    <n v="1"/>
    <n v="1"/>
    <n v="0"/>
    <n v="1"/>
    <n v="0"/>
    <n v="0"/>
    <x v="2"/>
    <n v="1"/>
    <n v="1"/>
    <n v="0"/>
    <n v="0"/>
    <x v="1"/>
  </r>
  <r>
    <s v="A38JCBX2DD2ILP"/>
    <x v="0"/>
    <n v="28"/>
    <s v="female"/>
    <x v="3"/>
    <x v="12"/>
    <n v="38728"/>
    <n v="1"/>
    <n v="1"/>
    <n v="1"/>
    <n v="0"/>
    <s v="NA"/>
    <s v="NA"/>
    <s v="NA"/>
    <s v="NA"/>
    <s v="NA"/>
    <s v="NA"/>
    <s v="NA"/>
    <x v="1"/>
    <x v="2"/>
    <n v="1"/>
    <n v="1"/>
    <n v="0"/>
    <n v="1"/>
    <n v="0"/>
    <n v="0"/>
    <x v="2"/>
    <n v="1"/>
    <n v="1"/>
    <n v="0"/>
    <n v="0"/>
    <x v="1"/>
  </r>
  <r>
    <s v="A38JCBX2DD2ILP"/>
    <x v="0"/>
    <n v="28"/>
    <s v="female"/>
    <x v="4"/>
    <x v="0"/>
    <n v="48955"/>
    <s v="I CHOOSE NEARABLE HOTEL. I WILL EAT TASTY FOOD AND VARIETIES OF FOOD. SO I GO TO BEST HOTEL IN MY TRIP.%0A%0A"/>
    <s v="DIFFICULT"/>
    <s v="NO"/>
    <s v="NA"/>
    <s v="NA"/>
    <s v="NA"/>
    <s v="NA"/>
    <s v="NA"/>
    <s v="NA"/>
    <s v="NA"/>
    <s v="NA"/>
    <x v="0"/>
    <x v="0"/>
    <s v="NA"/>
    <s v="NA"/>
    <s v="NA"/>
    <s v="NA"/>
    <s v="NA"/>
    <s v="NA"/>
    <x v="0"/>
    <s v="NA"/>
    <s v="NA"/>
    <s v="NA"/>
    <s v="NA"/>
    <x v="1"/>
  </r>
  <r>
    <s v="A1Q16A7AICS0C4"/>
    <x v="0"/>
    <n v="27"/>
    <s v="female"/>
    <x v="0"/>
    <x v="0"/>
    <n v="38415"/>
    <s v="NA"/>
    <s v="NA"/>
    <s v="NA"/>
    <s v="NA"/>
    <s v="NA"/>
    <s v="NA"/>
    <s v="NA"/>
    <s v="NA"/>
    <s v="NA"/>
    <s v="NA"/>
    <s v="NA"/>
    <x v="0"/>
    <x v="0"/>
    <s v="NA"/>
    <s v="NA"/>
    <s v="NA"/>
    <s v="NA"/>
    <s v="NA"/>
    <s v="NA"/>
    <x v="0"/>
    <s v="NA"/>
    <s v="NA"/>
    <s v="NA"/>
    <s v="NA"/>
    <x v="1"/>
  </r>
  <r>
    <s v="A1Q16A7AICS0C4"/>
    <x v="0"/>
    <n v="27"/>
    <s v="female"/>
    <x v="1"/>
    <x v="2"/>
    <n v="259694"/>
    <n v="0"/>
    <n v="0"/>
    <n v="1"/>
    <n v="0"/>
    <s v="NA"/>
    <s v="NA"/>
    <s v="NA"/>
    <s v="NA"/>
    <s v="NA"/>
    <s v="NA"/>
    <s v="NA"/>
    <x v="0"/>
    <x v="0"/>
    <s v="NA"/>
    <s v="NA"/>
    <s v="NA"/>
    <s v="NA"/>
    <s v="NA"/>
    <s v="NA"/>
    <x v="0"/>
    <s v="NA"/>
    <s v="NA"/>
    <s v="NA"/>
    <s v="NA"/>
    <x v="1"/>
  </r>
  <r>
    <s v="A1Q16A7AICS0C4"/>
    <x v="0"/>
    <n v="27"/>
    <s v="female"/>
    <x v="1"/>
    <x v="1"/>
    <n v="549771"/>
    <n v="1"/>
    <n v="1"/>
    <n v="1"/>
    <n v="0"/>
    <s v="NA"/>
    <s v="NA"/>
    <s v="NA"/>
    <s v="NA"/>
    <s v="NA"/>
    <s v="NA"/>
    <s v="NA"/>
    <x v="0"/>
    <x v="0"/>
    <s v="NA"/>
    <s v="NA"/>
    <s v="NA"/>
    <s v="NA"/>
    <s v="NA"/>
    <s v="NA"/>
    <x v="0"/>
    <s v="NA"/>
    <s v="NA"/>
    <s v="NA"/>
    <s v="NA"/>
    <x v="1"/>
  </r>
  <r>
    <s v="A1Q16A7AICS0C4"/>
    <x v="0"/>
    <n v="27"/>
    <s v="female"/>
    <x v="2"/>
    <x v="11"/>
    <n v="151574"/>
    <n v="0"/>
    <n v="1"/>
    <n v="1"/>
    <n v="0"/>
    <s v="Dentists A and B."/>
    <s v="Dentists D and E."/>
    <s v="Dentist A."/>
    <s v="ms-h"/>
    <s v="ms-l"/>
    <s v="mo-h"/>
    <n v="0"/>
    <x v="2"/>
    <x v="2"/>
    <n v="1"/>
    <n v="1"/>
    <n v="0"/>
    <n v="1"/>
    <n v="0"/>
    <n v="1"/>
    <x v="2"/>
    <n v="0"/>
    <n v="1"/>
    <n v="0"/>
    <n v="0"/>
    <x v="1"/>
  </r>
  <r>
    <s v="A1Q16A7AICS0C4"/>
    <x v="0"/>
    <n v="27"/>
    <s v="female"/>
    <x v="2"/>
    <x v="9"/>
    <n v="8175"/>
    <n v="0"/>
    <n v="0"/>
    <n v="1"/>
    <n v="0"/>
    <s v="Stores A and B."/>
    <s v="Store F."/>
    <s v="Store A."/>
    <s v="ms-h"/>
    <s v="fa"/>
    <s v="mo-h"/>
    <n v="0"/>
    <x v="2"/>
    <x v="2"/>
    <n v="1"/>
    <n v="0"/>
    <n v="0"/>
    <n v="1"/>
    <n v="0"/>
    <n v="1"/>
    <x v="2"/>
    <n v="0"/>
    <n v="0"/>
    <n v="0"/>
    <n v="0"/>
    <x v="1"/>
  </r>
  <r>
    <s v="A1Q16A7AICS0C4"/>
    <x v="0"/>
    <n v="27"/>
    <s v="female"/>
    <x v="3"/>
    <x v="8"/>
    <n v="3020"/>
    <n v="0"/>
    <n v="0"/>
    <n v="1"/>
    <n v="0"/>
    <s v="NA"/>
    <s v="NA"/>
    <s v="NA"/>
    <s v="NA"/>
    <s v="NA"/>
    <s v="NA"/>
    <s v="NA"/>
    <x v="2"/>
    <x v="2"/>
    <n v="1"/>
    <n v="0"/>
    <n v="0"/>
    <n v="1"/>
    <n v="0"/>
    <n v="1"/>
    <x v="2"/>
    <n v="0"/>
    <n v="0"/>
    <n v="0"/>
    <n v="0"/>
    <x v="1"/>
  </r>
  <r>
    <s v="A1Q16A7AICS0C4"/>
    <x v="0"/>
    <n v="27"/>
    <s v="female"/>
    <x v="2"/>
    <x v="3"/>
    <n v="2594"/>
    <n v="0"/>
    <n v="1"/>
    <n v="0"/>
    <n v="0"/>
    <s v="Cafes A and B."/>
    <s v="Cafe E."/>
    <s v="Cafes D and E."/>
    <s v="ms-h"/>
    <s v="mo-l"/>
    <s v="ms-l"/>
    <n v="0"/>
    <x v="1"/>
    <x v="1"/>
    <n v="1"/>
    <n v="1"/>
    <n v="0"/>
    <n v="1"/>
    <n v="0"/>
    <n v="0"/>
    <x v="1"/>
    <n v="0"/>
    <n v="0"/>
    <n v="0"/>
    <n v="0"/>
    <x v="1"/>
  </r>
  <r>
    <s v="A1Q16A7AICS0C4"/>
    <x v="0"/>
    <n v="27"/>
    <s v="female"/>
    <x v="3"/>
    <x v="12"/>
    <n v="2545"/>
    <n v="0"/>
    <n v="1"/>
    <n v="0"/>
    <n v="0"/>
    <s v="NA"/>
    <s v="NA"/>
    <s v="NA"/>
    <s v="NA"/>
    <s v="NA"/>
    <s v="NA"/>
    <s v="NA"/>
    <x v="1"/>
    <x v="1"/>
    <n v="1"/>
    <n v="1"/>
    <n v="0"/>
    <n v="1"/>
    <n v="0"/>
    <n v="0"/>
    <x v="1"/>
    <n v="0"/>
    <n v="0"/>
    <n v="0"/>
    <n v="0"/>
    <x v="1"/>
  </r>
  <r>
    <s v="A1Q16A7AICS0C4"/>
    <x v="0"/>
    <n v="27"/>
    <s v="female"/>
    <x v="2"/>
    <x v="4"/>
    <n v="6102"/>
    <n v="1"/>
    <n v="1"/>
    <n v="0"/>
    <n v="0"/>
    <s v="Stalls D and E."/>
    <s v="Stall E."/>
    <s v="Stall F."/>
    <s v="ms-l"/>
    <s v="mo-l"/>
    <s v="fa"/>
    <n v="0"/>
    <x v="1"/>
    <x v="1"/>
    <n v="0"/>
    <n v="1"/>
    <n v="0"/>
    <n v="1"/>
    <n v="0"/>
    <n v="0"/>
    <x v="1"/>
    <n v="0"/>
    <n v="1"/>
    <n v="0"/>
    <n v="0"/>
    <x v="1"/>
  </r>
  <r>
    <s v="A1Q16A7AICS0C4"/>
    <x v="0"/>
    <n v="27"/>
    <s v="female"/>
    <x v="2"/>
    <x v="6"/>
    <n v="2356"/>
    <n v="0"/>
    <n v="1"/>
    <n v="0"/>
    <n v="0"/>
    <s v="Bookstore E."/>
    <s v="Bookstore A."/>
    <s v="Bookstores A, B, C, D and E."/>
    <s v="mo-l"/>
    <s v="mo-h"/>
    <s v="exh"/>
    <n v="1"/>
    <x v="2"/>
    <x v="1"/>
    <n v="0"/>
    <n v="0"/>
    <n v="0"/>
    <n v="1"/>
    <n v="0"/>
    <n v="1"/>
    <x v="2"/>
    <n v="0"/>
    <n v="0"/>
    <n v="0"/>
    <n v="0"/>
    <x v="1"/>
  </r>
  <r>
    <s v="A1Q16A7AICS0C4"/>
    <x v="0"/>
    <n v="27"/>
    <s v="female"/>
    <x v="3"/>
    <x v="10"/>
    <n v="4237"/>
    <n v="1"/>
    <n v="1"/>
    <n v="0"/>
    <n v="0"/>
    <s v="NA"/>
    <s v="NA"/>
    <s v="NA"/>
    <s v="NA"/>
    <s v="NA"/>
    <s v="NA"/>
    <s v="NA"/>
    <x v="2"/>
    <x v="1"/>
    <n v="0"/>
    <n v="0"/>
    <n v="0"/>
    <n v="1"/>
    <n v="0"/>
    <n v="1"/>
    <x v="2"/>
    <n v="0"/>
    <n v="0"/>
    <n v="0"/>
    <n v="0"/>
    <x v="1"/>
  </r>
  <r>
    <s v="A1Q16A7AICS0C4"/>
    <x v="0"/>
    <n v="27"/>
    <s v="female"/>
    <x v="2"/>
    <x v="7"/>
    <n v="23439"/>
    <n v="0"/>
    <n v="1"/>
    <n v="1"/>
    <n v="0"/>
    <s v="Stylist A."/>
    <s v="Stylist F."/>
    <s v="Stylist E."/>
    <s v="mo-h"/>
    <s v="fa"/>
    <s v="mo-l"/>
    <n v="0"/>
    <x v="2"/>
    <x v="1"/>
    <n v="0"/>
    <n v="0"/>
    <n v="0"/>
    <n v="1"/>
    <n v="0"/>
    <n v="0"/>
    <x v="1"/>
    <n v="0"/>
    <n v="0"/>
    <n v="0"/>
    <n v="0"/>
    <x v="1"/>
  </r>
  <r>
    <s v="A1Q16A7AICS0C4"/>
    <x v="0"/>
    <n v="27"/>
    <s v="female"/>
    <x v="3"/>
    <x v="5"/>
    <n v="3510"/>
    <n v="0"/>
    <n v="1"/>
    <n v="1"/>
    <n v="0"/>
    <s v="NA"/>
    <s v="NA"/>
    <s v="NA"/>
    <s v="NA"/>
    <s v="NA"/>
    <s v="NA"/>
    <s v="NA"/>
    <x v="2"/>
    <x v="1"/>
    <n v="0"/>
    <n v="0"/>
    <n v="0"/>
    <n v="1"/>
    <n v="0"/>
    <n v="0"/>
    <x v="1"/>
    <n v="0"/>
    <n v="0"/>
    <n v="0"/>
    <n v="0"/>
    <x v="1"/>
  </r>
  <r>
    <s v="A1Q16A7AICS0C4"/>
    <x v="0"/>
    <n v="27"/>
    <s v="female"/>
    <x v="4"/>
    <x v="0"/>
    <n v="51474"/>
    <s v="I CHOOSE NEARABLE HOTEL. I WILL EAT TASTY FOOD AND VARIETIES OF FOOD. SO I GO TO BEST HOTEL IN MY TRIP.%0A%0A"/>
    <s v="DIFFICULT"/>
    <s v="NO"/>
    <s v="NA"/>
    <s v="NA"/>
    <s v="NA"/>
    <s v="NA"/>
    <s v="NA"/>
    <s v="NA"/>
    <s v="NA"/>
    <s v="NA"/>
    <x v="0"/>
    <x v="0"/>
    <s v="NA"/>
    <s v="NA"/>
    <s v="NA"/>
    <s v="NA"/>
    <s v="NA"/>
    <s v="NA"/>
    <x v="0"/>
    <s v="NA"/>
    <s v="NA"/>
    <s v="NA"/>
    <s v="NA"/>
    <x v="1"/>
  </r>
  <r>
    <s v="A1SHLWKA0UH1IS"/>
    <x v="0"/>
    <n v="53"/>
    <s v="female"/>
    <x v="0"/>
    <x v="0"/>
    <n v="556595"/>
    <s v="NA"/>
    <s v="NA"/>
    <s v="NA"/>
    <s v="NA"/>
    <s v="NA"/>
    <s v="NA"/>
    <s v="NA"/>
    <s v="NA"/>
    <s v="NA"/>
    <s v="NA"/>
    <s v="NA"/>
    <x v="0"/>
    <x v="0"/>
    <s v="NA"/>
    <s v="NA"/>
    <s v="NA"/>
    <s v="NA"/>
    <s v="NA"/>
    <s v="NA"/>
    <x v="0"/>
    <s v="NA"/>
    <s v="NA"/>
    <s v="NA"/>
    <s v="NA"/>
    <x v="1"/>
  </r>
  <r>
    <s v="A1SHLWKA0UH1IS"/>
    <x v="0"/>
    <n v="53"/>
    <s v="female"/>
    <x v="1"/>
    <x v="1"/>
    <n v="47918"/>
    <n v="0"/>
    <n v="0"/>
    <n v="0"/>
    <n v="1"/>
    <s v="NA"/>
    <s v="NA"/>
    <s v="NA"/>
    <s v="NA"/>
    <s v="NA"/>
    <s v="NA"/>
    <s v="NA"/>
    <x v="0"/>
    <x v="0"/>
    <s v="NA"/>
    <s v="NA"/>
    <s v="NA"/>
    <s v="NA"/>
    <s v="NA"/>
    <s v="NA"/>
    <x v="0"/>
    <s v="NA"/>
    <s v="NA"/>
    <s v="NA"/>
    <s v="NA"/>
    <x v="1"/>
  </r>
  <r>
    <s v="A1SHLWKA0UH1IS"/>
    <x v="0"/>
    <n v="53"/>
    <s v="female"/>
    <x v="1"/>
    <x v="2"/>
    <n v="103144"/>
    <n v="0"/>
    <n v="0"/>
    <n v="0"/>
    <n v="1"/>
    <s v="NA"/>
    <s v="NA"/>
    <s v="NA"/>
    <s v="NA"/>
    <s v="NA"/>
    <s v="NA"/>
    <s v="NA"/>
    <x v="0"/>
    <x v="0"/>
    <s v="NA"/>
    <s v="NA"/>
    <s v="NA"/>
    <s v="NA"/>
    <s v="NA"/>
    <s v="NA"/>
    <x v="0"/>
    <s v="NA"/>
    <s v="NA"/>
    <s v="NA"/>
    <s v="NA"/>
    <x v="1"/>
  </r>
  <r>
    <s v="A1SHLWKA0UH1IS"/>
    <x v="0"/>
    <n v="53"/>
    <s v="female"/>
    <x v="2"/>
    <x v="11"/>
    <n v="63327"/>
    <n v="0"/>
    <n v="0"/>
    <n v="0"/>
    <n v="1"/>
    <s v="Dentists D and E."/>
    <s v="Dentist F."/>
    <s v="Dentist E."/>
    <s v="ms-l"/>
    <s v="fa"/>
    <s v="mo-l"/>
    <n v="0"/>
    <x v="1"/>
    <x v="1"/>
    <n v="0"/>
    <n v="1"/>
    <n v="0"/>
    <n v="1"/>
    <n v="0"/>
    <n v="0"/>
    <x v="2"/>
    <n v="0"/>
    <n v="0"/>
    <n v="0"/>
    <n v="1"/>
    <x v="1"/>
  </r>
  <r>
    <s v="A1SHLWKA0UH1IS"/>
    <x v="0"/>
    <n v="53"/>
    <s v="female"/>
    <x v="2"/>
    <x v="6"/>
    <n v="66542"/>
    <n v="0"/>
    <n v="0"/>
    <n v="1"/>
    <n v="0"/>
    <s v="Bookstore F."/>
    <s v="Bookstore E."/>
    <s v="Bookstores A and B."/>
    <s v="fa"/>
    <s v="mo-l"/>
    <s v="ms-h"/>
    <n v="0"/>
    <x v="1"/>
    <x v="1"/>
    <n v="1"/>
    <n v="0"/>
    <n v="0"/>
    <n v="1"/>
    <n v="0"/>
    <n v="0"/>
    <x v="2"/>
    <n v="1"/>
    <n v="0"/>
    <n v="0"/>
    <n v="0"/>
    <x v="1"/>
  </r>
  <r>
    <s v="A1SHLWKA0UH1IS"/>
    <x v="0"/>
    <n v="53"/>
    <s v="female"/>
    <x v="3"/>
    <x v="10"/>
    <n v="66608"/>
    <n v="1"/>
    <n v="1"/>
    <n v="1"/>
    <n v="0"/>
    <s v="NA"/>
    <s v="NA"/>
    <s v="NA"/>
    <s v="NA"/>
    <s v="NA"/>
    <s v="NA"/>
    <s v="NA"/>
    <x v="1"/>
    <x v="1"/>
    <n v="1"/>
    <n v="0"/>
    <n v="0"/>
    <n v="1"/>
    <n v="0"/>
    <n v="0"/>
    <x v="2"/>
    <n v="1"/>
    <n v="0"/>
    <n v="0"/>
    <n v="0"/>
    <x v="1"/>
  </r>
  <r>
    <s v="A1SHLWKA0UH1IS"/>
    <x v="0"/>
    <n v="53"/>
    <s v="female"/>
    <x v="2"/>
    <x v="4"/>
    <n v="33908"/>
    <n v="1"/>
    <n v="0"/>
    <n v="1"/>
    <n v="0"/>
    <s v="Stalls A and B."/>
    <s v="Stall E."/>
    <s v="Stall A."/>
    <s v="ms-h"/>
    <s v="mo-l"/>
    <s v="mo-h"/>
    <n v="0"/>
    <x v="2"/>
    <x v="1"/>
    <n v="1"/>
    <n v="0"/>
    <n v="0"/>
    <n v="1"/>
    <n v="0"/>
    <n v="1"/>
    <x v="2"/>
    <n v="1"/>
    <n v="0"/>
    <n v="0"/>
    <n v="0"/>
    <x v="1"/>
  </r>
  <r>
    <s v="A1SHLWKA0UH1IS"/>
    <x v="0"/>
    <n v="53"/>
    <s v="female"/>
    <x v="2"/>
    <x v="3"/>
    <n v="18606"/>
    <n v="0"/>
    <n v="1"/>
    <n v="1"/>
    <n v="0"/>
    <s v="Cafes D and E."/>
    <s v="Cafes A and B."/>
    <s v="Cafe A."/>
    <s v="ms-l"/>
    <s v="ms-h"/>
    <s v="mo-h"/>
    <n v="0"/>
    <x v="2"/>
    <x v="2"/>
    <n v="1"/>
    <n v="1"/>
    <n v="0"/>
    <n v="1"/>
    <n v="0"/>
    <n v="1"/>
    <x v="2"/>
    <n v="1"/>
    <n v="0"/>
    <n v="0"/>
    <n v="0"/>
    <x v="1"/>
  </r>
  <r>
    <s v="A1SHLWKA0UH1IS"/>
    <x v="0"/>
    <n v="53"/>
    <s v="female"/>
    <x v="3"/>
    <x v="12"/>
    <n v="23342"/>
    <n v="1"/>
    <n v="0"/>
    <n v="0"/>
    <n v="0"/>
    <s v="NA"/>
    <s v="NA"/>
    <s v="NA"/>
    <s v="NA"/>
    <s v="NA"/>
    <s v="NA"/>
    <s v="NA"/>
    <x v="2"/>
    <x v="2"/>
    <n v="1"/>
    <n v="1"/>
    <n v="0"/>
    <n v="1"/>
    <n v="0"/>
    <n v="1"/>
    <x v="2"/>
    <n v="1"/>
    <n v="0"/>
    <n v="0"/>
    <n v="0"/>
    <x v="1"/>
  </r>
  <r>
    <s v="A1SHLWKA0UH1IS"/>
    <x v="0"/>
    <n v="53"/>
    <s v="female"/>
    <x v="2"/>
    <x v="7"/>
    <n v="28910"/>
    <n v="0"/>
    <n v="0"/>
    <n v="0"/>
    <n v="1"/>
    <s v="Stylist F."/>
    <s v="Stylists A, B, C, D and E."/>
    <s v="Stylist E."/>
    <s v="fa"/>
    <s v="exh"/>
    <s v="mo-l"/>
    <n v="1"/>
    <x v="1"/>
    <x v="1"/>
    <n v="0"/>
    <n v="0"/>
    <n v="0"/>
    <n v="1"/>
    <n v="0"/>
    <n v="0"/>
    <x v="2"/>
    <n v="0"/>
    <n v="0"/>
    <n v="0"/>
    <n v="1"/>
    <x v="1"/>
  </r>
  <r>
    <s v="A1SHLWKA0UH1IS"/>
    <x v="0"/>
    <n v="53"/>
    <s v="female"/>
    <x v="3"/>
    <x v="5"/>
    <n v="132600"/>
    <n v="0"/>
    <n v="0"/>
    <n v="1"/>
    <n v="0"/>
    <s v="NA"/>
    <s v="NA"/>
    <s v="NA"/>
    <s v="NA"/>
    <s v="NA"/>
    <s v="NA"/>
    <s v="NA"/>
    <x v="1"/>
    <x v="1"/>
    <n v="0"/>
    <n v="0"/>
    <n v="0"/>
    <n v="1"/>
    <n v="0"/>
    <n v="0"/>
    <x v="2"/>
    <n v="0"/>
    <n v="0"/>
    <n v="0"/>
    <n v="1"/>
    <x v="1"/>
  </r>
  <r>
    <s v="A1SHLWKA0UH1IS"/>
    <x v="0"/>
    <n v="53"/>
    <s v="female"/>
    <x v="2"/>
    <x v="9"/>
    <n v="39869"/>
    <n v="0"/>
    <n v="1"/>
    <n v="1"/>
    <n v="0"/>
    <s v="Store F."/>
    <s v="Store E."/>
    <s v="Stores A, B, C, D and E."/>
    <s v="fa"/>
    <s v="mo-l"/>
    <s v="exh"/>
    <n v="1"/>
    <x v="1"/>
    <x v="1"/>
    <n v="0"/>
    <n v="0"/>
    <n v="0"/>
    <n v="1"/>
    <n v="1"/>
    <n v="0"/>
    <x v="1"/>
    <n v="0"/>
    <n v="0"/>
    <n v="0"/>
    <n v="0"/>
    <x v="1"/>
  </r>
  <r>
    <s v="A1SHLWKA0UH1IS"/>
    <x v="0"/>
    <n v="53"/>
    <s v="female"/>
    <x v="3"/>
    <x v="8"/>
    <n v="30773"/>
    <n v="1"/>
    <n v="0"/>
    <n v="0"/>
    <n v="0"/>
    <s v="NA"/>
    <s v="NA"/>
    <s v="NA"/>
    <s v="NA"/>
    <s v="NA"/>
    <s v="NA"/>
    <s v="NA"/>
    <x v="1"/>
    <x v="1"/>
    <n v="0"/>
    <n v="0"/>
    <n v="0"/>
    <n v="1"/>
    <n v="1"/>
    <n v="0"/>
    <x v="1"/>
    <n v="0"/>
    <n v="0"/>
    <n v="0"/>
    <n v="0"/>
    <x v="1"/>
  </r>
  <r>
    <s v="A1SHLWKA0UH1IS"/>
    <x v="0"/>
    <n v="53"/>
    <s v="female"/>
    <x v="4"/>
    <x v="0"/>
    <n v="229179"/>
    <s v="For question 1 I'd probably just give a list of all restaurants that serve brunch. For Q2 I'd give the restaurants that I thought served the best brunch. "/>
    <s v="A little. A few times I questioned myself%2C thinking there could be more than one answer when I only ended up choosing one. Or choosing all of the sentences in one of the last exercises%2C when two sounded awkward but I could still imagine someone saying them and being understood. "/>
    <s v="That was interesting. "/>
    <s v="NA"/>
    <s v="NA"/>
    <s v="NA"/>
    <s v="NA"/>
    <s v="NA"/>
    <s v="NA"/>
    <s v="NA"/>
    <s v="NA"/>
    <x v="0"/>
    <x v="0"/>
    <s v="NA"/>
    <s v="NA"/>
    <s v="NA"/>
    <s v="NA"/>
    <s v="NA"/>
    <s v="NA"/>
    <x v="0"/>
    <s v="NA"/>
    <s v="NA"/>
    <s v="NA"/>
    <s v="NA"/>
    <x v="1"/>
  </r>
  <r>
    <s v="A23OS0HQ12VVOR"/>
    <x v="0"/>
    <n v="31"/>
    <s v="male"/>
    <x v="0"/>
    <x v="0"/>
    <n v="23430"/>
    <s v="NA"/>
    <s v="NA"/>
    <s v="NA"/>
    <s v="NA"/>
    <s v="NA"/>
    <s v="NA"/>
    <s v="NA"/>
    <s v="NA"/>
    <s v="NA"/>
    <s v="NA"/>
    <s v="NA"/>
    <x v="0"/>
    <x v="0"/>
    <s v="NA"/>
    <s v="NA"/>
    <s v="NA"/>
    <s v="NA"/>
    <s v="NA"/>
    <s v="NA"/>
    <x v="0"/>
    <s v="NA"/>
    <s v="NA"/>
    <s v="NA"/>
    <s v="NA"/>
    <x v="1"/>
  </r>
  <r>
    <s v="A23OS0HQ12VVOR"/>
    <x v="0"/>
    <n v="31"/>
    <s v="male"/>
    <x v="1"/>
    <x v="1"/>
    <n v="42628"/>
    <n v="0"/>
    <n v="0"/>
    <n v="0"/>
    <n v="1"/>
    <s v="NA"/>
    <s v="NA"/>
    <s v="NA"/>
    <s v="NA"/>
    <s v="NA"/>
    <s v="NA"/>
    <s v="NA"/>
    <x v="0"/>
    <x v="0"/>
    <s v="NA"/>
    <s v="NA"/>
    <s v="NA"/>
    <s v="NA"/>
    <s v="NA"/>
    <s v="NA"/>
    <x v="0"/>
    <s v="NA"/>
    <s v="NA"/>
    <s v="NA"/>
    <s v="NA"/>
    <x v="1"/>
  </r>
  <r>
    <s v="A23OS0HQ12VVOR"/>
    <x v="0"/>
    <n v="31"/>
    <s v="male"/>
    <x v="1"/>
    <x v="2"/>
    <n v="37544"/>
    <n v="0"/>
    <n v="0"/>
    <n v="1"/>
    <n v="0"/>
    <s v="NA"/>
    <s v="NA"/>
    <s v="NA"/>
    <s v="NA"/>
    <s v="NA"/>
    <s v="NA"/>
    <s v="NA"/>
    <x v="0"/>
    <x v="0"/>
    <s v="NA"/>
    <s v="NA"/>
    <s v="NA"/>
    <s v="NA"/>
    <s v="NA"/>
    <s v="NA"/>
    <x v="0"/>
    <s v="NA"/>
    <s v="NA"/>
    <s v="NA"/>
    <s v="NA"/>
    <x v="1"/>
  </r>
  <r>
    <s v="A23OS0HQ12VVOR"/>
    <x v="0"/>
    <n v="31"/>
    <s v="male"/>
    <x v="2"/>
    <x v="9"/>
    <n v="239716"/>
    <n v="0"/>
    <n v="1"/>
    <n v="0"/>
    <n v="0"/>
    <s v="Store F."/>
    <s v="Stores A, B, C, D and E."/>
    <s v="Stores D and E."/>
    <s v="fa"/>
    <s v="exh"/>
    <s v="ms-l"/>
    <n v="1"/>
    <x v="1"/>
    <x v="2"/>
    <n v="0"/>
    <n v="1"/>
    <n v="0"/>
    <n v="1"/>
    <n v="1"/>
    <n v="0"/>
    <x v="2"/>
    <n v="0"/>
    <n v="0"/>
    <n v="0"/>
    <n v="0"/>
    <x v="1"/>
  </r>
  <r>
    <s v="A23OS0HQ12VVOR"/>
    <x v="0"/>
    <n v="31"/>
    <s v="male"/>
    <x v="3"/>
    <x v="8"/>
    <n v="28268"/>
    <n v="1"/>
    <n v="1"/>
    <n v="0"/>
    <n v="0"/>
    <s v="NA"/>
    <s v="NA"/>
    <s v="NA"/>
    <s v="NA"/>
    <s v="NA"/>
    <s v="NA"/>
    <s v="NA"/>
    <x v="1"/>
    <x v="2"/>
    <n v="0"/>
    <n v="1"/>
    <n v="0"/>
    <n v="1"/>
    <n v="1"/>
    <n v="0"/>
    <x v="2"/>
    <n v="0"/>
    <n v="0"/>
    <n v="0"/>
    <n v="0"/>
    <x v="1"/>
  </r>
  <r>
    <s v="A23OS0HQ12VVOR"/>
    <x v="0"/>
    <n v="31"/>
    <s v="male"/>
    <x v="2"/>
    <x v="3"/>
    <n v="305790"/>
    <n v="0"/>
    <n v="1"/>
    <n v="0"/>
    <n v="0"/>
    <s v="Cafe E."/>
    <s v="Cafes A and B."/>
    <s v="Cafes A, B, C, D and E."/>
    <s v="mo-l"/>
    <s v="ms-h"/>
    <s v="exh"/>
    <n v="1"/>
    <x v="1"/>
    <x v="1"/>
    <n v="1"/>
    <n v="0"/>
    <n v="0"/>
    <n v="1"/>
    <n v="0"/>
    <n v="0"/>
    <x v="2"/>
    <n v="1"/>
    <n v="0"/>
    <n v="0"/>
    <n v="0"/>
    <x v="1"/>
  </r>
  <r>
    <s v="A23OS0HQ12VVOR"/>
    <x v="0"/>
    <n v="31"/>
    <s v="male"/>
    <x v="2"/>
    <x v="7"/>
    <n v="64146"/>
    <n v="1"/>
    <n v="0"/>
    <n v="0"/>
    <n v="0"/>
    <s v="Stylist A."/>
    <s v="Stylist E."/>
    <s v="Stylists A and B."/>
    <s v="mo-h"/>
    <s v="mo-l"/>
    <s v="ms-h"/>
    <n v="0"/>
    <x v="2"/>
    <x v="1"/>
    <n v="1"/>
    <n v="0"/>
    <n v="0"/>
    <n v="1"/>
    <n v="0"/>
    <n v="1"/>
    <x v="2"/>
    <n v="0"/>
    <n v="0"/>
    <n v="0"/>
    <n v="0"/>
    <x v="1"/>
  </r>
  <r>
    <s v="A23OS0HQ12VVOR"/>
    <x v="0"/>
    <n v="31"/>
    <s v="male"/>
    <x v="3"/>
    <x v="5"/>
    <n v="25964"/>
    <n v="0"/>
    <n v="1"/>
    <n v="0"/>
    <n v="0"/>
    <s v="NA"/>
    <s v="NA"/>
    <s v="NA"/>
    <s v="NA"/>
    <s v="NA"/>
    <s v="NA"/>
    <s v="NA"/>
    <x v="2"/>
    <x v="1"/>
    <n v="1"/>
    <n v="0"/>
    <n v="0"/>
    <n v="1"/>
    <n v="0"/>
    <n v="1"/>
    <x v="2"/>
    <n v="0"/>
    <n v="0"/>
    <n v="0"/>
    <n v="0"/>
    <x v="1"/>
  </r>
  <r>
    <s v="A23OS0HQ12VVOR"/>
    <x v="0"/>
    <n v="31"/>
    <s v="male"/>
    <x v="2"/>
    <x v="11"/>
    <n v="11946"/>
    <n v="0"/>
    <n v="0"/>
    <n v="1"/>
    <n v="0"/>
    <s v="Dentists D and E."/>
    <s v="Dentist F."/>
    <s v="Dentist A."/>
    <s v="ms-l"/>
    <s v="fa"/>
    <s v="mo-h"/>
    <n v="0"/>
    <x v="2"/>
    <x v="2"/>
    <n v="0"/>
    <n v="1"/>
    <n v="0"/>
    <n v="1"/>
    <n v="0"/>
    <n v="1"/>
    <x v="2"/>
    <n v="0"/>
    <n v="0"/>
    <n v="0"/>
    <n v="0"/>
    <x v="1"/>
  </r>
  <r>
    <s v="A23OS0HQ12VVOR"/>
    <x v="0"/>
    <n v="31"/>
    <s v="male"/>
    <x v="3"/>
    <x v="12"/>
    <n v="17150"/>
    <n v="1"/>
    <n v="0"/>
    <n v="0"/>
    <n v="0"/>
    <s v="NA"/>
    <s v="NA"/>
    <s v="NA"/>
    <s v="NA"/>
    <s v="NA"/>
    <s v="NA"/>
    <s v="NA"/>
    <x v="2"/>
    <x v="2"/>
    <n v="0"/>
    <n v="1"/>
    <n v="0"/>
    <n v="1"/>
    <n v="0"/>
    <n v="1"/>
    <x v="2"/>
    <n v="0"/>
    <n v="0"/>
    <n v="0"/>
    <n v="0"/>
    <x v="1"/>
  </r>
  <r>
    <s v="A23OS0HQ12VVOR"/>
    <x v="0"/>
    <n v="31"/>
    <s v="male"/>
    <x v="2"/>
    <x v="6"/>
    <n v="11584"/>
    <n v="0"/>
    <n v="0"/>
    <n v="1"/>
    <n v="0"/>
    <s v="Bookstore E."/>
    <s v="Bookstores A, B, C, D and E."/>
    <s v="Bookstores A and B."/>
    <s v="mo-l"/>
    <s v="exh"/>
    <s v="ms-h"/>
    <n v="1"/>
    <x v="1"/>
    <x v="1"/>
    <n v="1"/>
    <n v="0"/>
    <n v="0"/>
    <n v="1"/>
    <n v="0"/>
    <n v="0"/>
    <x v="2"/>
    <n v="1"/>
    <n v="0"/>
    <n v="0"/>
    <n v="0"/>
    <x v="1"/>
  </r>
  <r>
    <s v="A23OS0HQ12VVOR"/>
    <x v="0"/>
    <n v="31"/>
    <s v="male"/>
    <x v="2"/>
    <x v="4"/>
    <n v="11332"/>
    <n v="0"/>
    <n v="0"/>
    <n v="1"/>
    <n v="0"/>
    <s v="Stalls A, B, C, D and E."/>
    <s v="Stalls D and E."/>
    <s v="Stall A."/>
    <s v="exh"/>
    <s v="ms-l"/>
    <s v="mo-h"/>
    <n v="1"/>
    <x v="2"/>
    <x v="2"/>
    <n v="0"/>
    <n v="1"/>
    <n v="0"/>
    <n v="1"/>
    <n v="0"/>
    <n v="1"/>
    <x v="2"/>
    <n v="0"/>
    <n v="0"/>
    <n v="0"/>
    <n v="0"/>
    <x v="1"/>
  </r>
  <r>
    <s v="A23OS0HQ12VVOR"/>
    <x v="0"/>
    <n v="31"/>
    <s v="male"/>
    <x v="3"/>
    <x v="10"/>
    <n v="19516"/>
    <n v="0"/>
    <n v="1"/>
    <n v="0"/>
    <n v="0"/>
    <s v="NA"/>
    <s v="NA"/>
    <s v="NA"/>
    <s v="NA"/>
    <s v="NA"/>
    <s v="NA"/>
    <s v="NA"/>
    <x v="2"/>
    <x v="2"/>
    <n v="0"/>
    <n v="1"/>
    <n v="0"/>
    <n v="1"/>
    <n v="0"/>
    <n v="1"/>
    <x v="2"/>
    <n v="0"/>
    <n v="0"/>
    <n v="0"/>
    <n v="0"/>
    <x v="1"/>
  </r>
  <r>
    <s v="A23OS0HQ12VVOR"/>
    <x v="0"/>
    <n v="31"/>
    <s v="male"/>
    <x v="4"/>
    <x v="0"/>
    <n v="80280"/>
    <s v="No%2C it's the same question but phrased in a different way - they both have the same meaning."/>
    <s v="Not really%2C some of the tasks were a bit tough but only because of how they were worded"/>
    <s v="No"/>
    <s v="NA"/>
    <s v="NA"/>
    <s v="NA"/>
    <s v="NA"/>
    <s v="NA"/>
    <s v="NA"/>
    <s v="NA"/>
    <s v="NA"/>
    <x v="0"/>
    <x v="0"/>
    <s v="NA"/>
    <s v="NA"/>
    <s v="NA"/>
    <s v="NA"/>
    <s v="NA"/>
    <s v="NA"/>
    <x v="0"/>
    <s v="NA"/>
    <s v="NA"/>
    <s v="NA"/>
    <s v="NA"/>
    <x v="1"/>
  </r>
  <r>
    <s v="A2JIY3NSLQJWAE"/>
    <x v="0"/>
    <n v="27"/>
    <s v="female"/>
    <x v="0"/>
    <x v="0"/>
    <n v="151345"/>
    <s v="NA"/>
    <s v="NA"/>
    <s v="NA"/>
    <s v="NA"/>
    <s v="NA"/>
    <s v="NA"/>
    <s v="NA"/>
    <s v="NA"/>
    <s v="NA"/>
    <s v="NA"/>
    <s v="NA"/>
    <x v="0"/>
    <x v="0"/>
    <s v="NA"/>
    <s v="NA"/>
    <s v="NA"/>
    <s v="NA"/>
    <s v="NA"/>
    <s v="NA"/>
    <x v="0"/>
    <s v="NA"/>
    <s v="NA"/>
    <s v="NA"/>
    <s v="NA"/>
    <x v="1"/>
  </r>
  <r>
    <s v="A2JIY3NSLQJWAE"/>
    <x v="0"/>
    <n v="27"/>
    <s v="female"/>
    <x v="1"/>
    <x v="2"/>
    <n v="576383"/>
    <n v="0"/>
    <n v="0"/>
    <n v="1"/>
    <n v="0"/>
    <s v="NA"/>
    <s v="NA"/>
    <s v="NA"/>
    <s v="NA"/>
    <s v="NA"/>
    <s v="NA"/>
    <s v="NA"/>
    <x v="0"/>
    <x v="0"/>
    <s v="NA"/>
    <s v="NA"/>
    <s v="NA"/>
    <s v="NA"/>
    <s v="NA"/>
    <s v="NA"/>
    <x v="0"/>
    <s v="NA"/>
    <s v="NA"/>
    <s v="NA"/>
    <s v="NA"/>
    <x v="1"/>
  </r>
  <r>
    <s v="A2JIY3NSLQJWAE"/>
    <x v="0"/>
    <n v="27"/>
    <s v="female"/>
    <x v="1"/>
    <x v="1"/>
    <n v="9018"/>
    <n v="0"/>
    <n v="0"/>
    <n v="0"/>
    <n v="1"/>
    <s v="NA"/>
    <s v="NA"/>
    <s v="NA"/>
    <s v="NA"/>
    <s v="NA"/>
    <s v="NA"/>
    <s v="NA"/>
    <x v="0"/>
    <x v="0"/>
    <s v="NA"/>
    <s v="NA"/>
    <s v="NA"/>
    <s v="NA"/>
    <s v="NA"/>
    <s v="NA"/>
    <x v="0"/>
    <s v="NA"/>
    <s v="NA"/>
    <s v="NA"/>
    <s v="NA"/>
    <x v="1"/>
  </r>
  <r>
    <s v="A2JIY3NSLQJWAE"/>
    <x v="0"/>
    <n v="27"/>
    <s v="female"/>
    <x v="2"/>
    <x v="6"/>
    <n v="277159"/>
    <n v="0"/>
    <n v="1"/>
    <n v="1"/>
    <n v="0"/>
    <s v="Bookstore E."/>
    <s v="Bookstores A, B, C, D and E."/>
    <s v="Bookstore A."/>
    <s v="mo-l"/>
    <s v="exh"/>
    <s v="mo-h"/>
    <n v="1"/>
    <x v="2"/>
    <x v="1"/>
    <n v="0"/>
    <n v="0"/>
    <n v="0"/>
    <n v="1"/>
    <n v="1"/>
    <n v="1"/>
    <x v="2"/>
    <n v="0"/>
    <n v="0"/>
    <n v="0"/>
    <n v="0"/>
    <x v="1"/>
  </r>
  <r>
    <s v="A2JIY3NSLQJWAE"/>
    <x v="0"/>
    <n v="27"/>
    <s v="female"/>
    <x v="3"/>
    <x v="10"/>
    <n v="95230"/>
    <n v="0"/>
    <n v="1"/>
    <n v="1"/>
    <n v="0"/>
    <s v="NA"/>
    <s v="NA"/>
    <s v="NA"/>
    <s v="NA"/>
    <s v="NA"/>
    <s v="NA"/>
    <s v="NA"/>
    <x v="2"/>
    <x v="1"/>
    <n v="0"/>
    <n v="0"/>
    <n v="0"/>
    <n v="1"/>
    <n v="1"/>
    <n v="1"/>
    <x v="2"/>
    <n v="0"/>
    <n v="0"/>
    <n v="0"/>
    <n v="0"/>
    <x v="1"/>
  </r>
  <r>
    <s v="A2JIY3NSLQJWAE"/>
    <x v="0"/>
    <n v="27"/>
    <s v="female"/>
    <x v="2"/>
    <x v="9"/>
    <n v="23047"/>
    <n v="1"/>
    <n v="1"/>
    <n v="1"/>
    <n v="0"/>
    <s v="Stores A and B."/>
    <s v="Store F."/>
    <s v="Store E."/>
    <s v="ms-h"/>
    <s v="fa"/>
    <s v="mo-l"/>
    <n v="0"/>
    <x v="1"/>
    <x v="1"/>
    <n v="1"/>
    <n v="0"/>
    <n v="0"/>
    <n v="1"/>
    <n v="0"/>
    <n v="0"/>
    <x v="1"/>
    <n v="1"/>
    <n v="0"/>
    <n v="0"/>
    <n v="0"/>
    <x v="1"/>
  </r>
  <r>
    <s v="A2JIY3NSLQJWAE"/>
    <x v="0"/>
    <n v="27"/>
    <s v="female"/>
    <x v="2"/>
    <x v="11"/>
    <n v="10306"/>
    <n v="1"/>
    <n v="1"/>
    <n v="1"/>
    <n v="0"/>
    <s v="Dentists D and E."/>
    <s v="Dentists A and B."/>
    <s v="Dentist A."/>
    <s v="ms-l"/>
    <s v="ms-h"/>
    <s v="mo-h"/>
    <n v="0"/>
    <x v="2"/>
    <x v="2"/>
    <n v="1"/>
    <n v="1"/>
    <n v="0"/>
    <n v="1"/>
    <n v="0"/>
    <n v="1"/>
    <x v="2"/>
    <n v="1"/>
    <n v="1"/>
    <n v="0"/>
    <n v="0"/>
    <x v="1"/>
  </r>
  <r>
    <s v="A2JIY3NSLQJWAE"/>
    <x v="0"/>
    <n v="27"/>
    <s v="female"/>
    <x v="3"/>
    <x v="5"/>
    <n v="8549"/>
    <n v="1"/>
    <n v="1"/>
    <n v="1"/>
    <n v="0"/>
    <s v="NA"/>
    <s v="NA"/>
    <s v="NA"/>
    <s v="NA"/>
    <s v="NA"/>
    <s v="NA"/>
    <s v="NA"/>
    <x v="2"/>
    <x v="2"/>
    <n v="1"/>
    <n v="1"/>
    <n v="0"/>
    <n v="1"/>
    <n v="0"/>
    <n v="1"/>
    <x v="2"/>
    <n v="1"/>
    <n v="1"/>
    <n v="0"/>
    <n v="0"/>
    <x v="1"/>
  </r>
  <r>
    <s v="A2JIY3NSLQJWAE"/>
    <x v="0"/>
    <n v="27"/>
    <s v="female"/>
    <x v="2"/>
    <x v="4"/>
    <n v="5833"/>
    <n v="0"/>
    <n v="1"/>
    <n v="1"/>
    <n v="0"/>
    <s v="Stalls D and E."/>
    <s v="Stall A."/>
    <s v="Stall E."/>
    <s v="ms-l"/>
    <s v="mo-h"/>
    <s v="mo-l"/>
    <n v="0"/>
    <x v="2"/>
    <x v="1"/>
    <n v="0"/>
    <n v="1"/>
    <n v="0"/>
    <n v="1"/>
    <n v="0"/>
    <n v="1"/>
    <x v="1"/>
    <n v="0"/>
    <n v="0"/>
    <n v="0"/>
    <n v="0"/>
    <x v="1"/>
  </r>
  <r>
    <s v="A2JIY3NSLQJWAE"/>
    <x v="0"/>
    <n v="27"/>
    <s v="female"/>
    <x v="3"/>
    <x v="8"/>
    <n v="5186"/>
    <n v="0"/>
    <n v="1"/>
    <n v="1"/>
    <n v="0"/>
    <s v="NA"/>
    <s v="NA"/>
    <s v="NA"/>
    <s v="NA"/>
    <s v="NA"/>
    <s v="NA"/>
    <s v="NA"/>
    <x v="2"/>
    <x v="1"/>
    <n v="0"/>
    <n v="1"/>
    <n v="0"/>
    <n v="1"/>
    <n v="0"/>
    <n v="1"/>
    <x v="1"/>
    <n v="0"/>
    <n v="0"/>
    <n v="0"/>
    <n v="0"/>
    <x v="1"/>
  </r>
  <r>
    <s v="A2JIY3NSLQJWAE"/>
    <x v="0"/>
    <n v="27"/>
    <s v="female"/>
    <x v="2"/>
    <x v="3"/>
    <n v="6243"/>
    <n v="1"/>
    <n v="1"/>
    <n v="0"/>
    <n v="0"/>
    <s v="Cafe F."/>
    <s v="Cafes A, B, C, D and E."/>
    <s v="Cafe A."/>
    <s v="fa"/>
    <s v="exh"/>
    <s v="mo-h"/>
    <n v="1"/>
    <x v="2"/>
    <x v="2"/>
    <n v="0"/>
    <n v="0"/>
    <n v="0"/>
    <n v="1"/>
    <n v="1"/>
    <n v="0"/>
    <x v="2"/>
    <n v="0"/>
    <n v="0"/>
    <n v="0"/>
    <n v="0"/>
    <x v="1"/>
  </r>
  <r>
    <s v="A2JIY3NSLQJWAE"/>
    <x v="0"/>
    <n v="27"/>
    <s v="female"/>
    <x v="2"/>
    <x v="7"/>
    <n v="14323"/>
    <n v="0"/>
    <n v="1"/>
    <n v="1"/>
    <n v="0"/>
    <s v="Stylists A and B."/>
    <s v="Stylists A, B, C, D and E."/>
    <s v="Stylist A."/>
    <s v="ms-h"/>
    <s v="exh"/>
    <s v="mo-h"/>
    <n v="1"/>
    <x v="2"/>
    <x v="2"/>
    <n v="1"/>
    <n v="0"/>
    <n v="0"/>
    <n v="1"/>
    <n v="1"/>
    <n v="1"/>
    <x v="2"/>
    <n v="0"/>
    <n v="0"/>
    <n v="0"/>
    <n v="0"/>
    <x v="1"/>
  </r>
  <r>
    <s v="A2JIY3NSLQJWAE"/>
    <x v="0"/>
    <n v="27"/>
    <s v="female"/>
    <x v="3"/>
    <x v="12"/>
    <n v="14161"/>
    <n v="1"/>
    <n v="1"/>
    <n v="0"/>
    <n v="0"/>
    <s v="NA"/>
    <s v="NA"/>
    <s v="NA"/>
    <s v="NA"/>
    <s v="NA"/>
    <s v="NA"/>
    <s v="NA"/>
    <x v="2"/>
    <x v="2"/>
    <n v="1"/>
    <n v="0"/>
    <n v="0"/>
    <n v="1"/>
    <n v="1"/>
    <n v="1"/>
    <x v="2"/>
    <n v="0"/>
    <n v="0"/>
    <n v="0"/>
    <n v="0"/>
    <x v="1"/>
  </r>
  <r>
    <s v="A2JIY3NSLQJWAE"/>
    <x v="0"/>
    <n v="27"/>
    <s v="female"/>
    <x v="4"/>
    <x v="0"/>
    <n v="192748"/>
    <s v="We began with scones and also ordered pimiento cheese spread for the table‚Äîthis is a Southern restaurant%2C after all. The pimiento cheese spread was perfectly presented‚Äîserved in a mini mason jar atop a wooden rectangular cutting board with crackers%2Cits very interesting"/>
    <s v="nothing%2Cvery nice survey"/>
    <s v="no"/>
    <s v="NA"/>
    <s v="NA"/>
    <s v="NA"/>
    <s v="NA"/>
    <s v="NA"/>
    <s v="NA"/>
    <s v="NA"/>
    <s v="NA"/>
    <x v="0"/>
    <x v="0"/>
    <s v="NA"/>
    <s v="NA"/>
    <s v="NA"/>
    <s v="NA"/>
    <s v="NA"/>
    <s v="NA"/>
    <x v="0"/>
    <s v="NA"/>
    <s v="NA"/>
    <s v="NA"/>
    <s v="NA"/>
    <x v="1"/>
  </r>
  <r>
    <s v="AZXTZQBZ1F4UV"/>
    <x v="0"/>
    <n v="27"/>
    <s v="male"/>
    <x v="0"/>
    <x v="0"/>
    <n v="206329"/>
    <s v="NA"/>
    <s v="NA"/>
    <s v="NA"/>
    <s v="NA"/>
    <s v="NA"/>
    <s v="NA"/>
    <s v="NA"/>
    <s v="NA"/>
    <s v="NA"/>
    <s v="NA"/>
    <s v="NA"/>
    <x v="0"/>
    <x v="0"/>
    <s v="NA"/>
    <s v="NA"/>
    <s v="NA"/>
    <s v="NA"/>
    <s v="NA"/>
    <s v="NA"/>
    <x v="0"/>
    <s v="NA"/>
    <s v="NA"/>
    <s v="NA"/>
    <s v="NA"/>
    <x v="1"/>
  </r>
  <r>
    <s v="AZXTZQBZ1F4UV"/>
    <x v="0"/>
    <n v="27"/>
    <s v="male"/>
    <x v="1"/>
    <x v="2"/>
    <n v="725328"/>
    <n v="0"/>
    <n v="0"/>
    <n v="1"/>
    <n v="0"/>
    <s v="NA"/>
    <s v="NA"/>
    <s v="NA"/>
    <s v="NA"/>
    <s v="NA"/>
    <s v="NA"/>
    <s v="NA"/>
    <x v="0"/>
    <x v="0"/>
    <s v="NA"/>
    <s v="NA"/>
    <s v="NA"/>
    <s v="NA"/>
    <s v="NA"/>
    <s v="NA"/>
    <x v="0"/>
    <s v="NA"/>
    <s v="NA"/>
    <s v="NA"/>
    <s v="NA"/>
    <x v="1"/>
  </r>
  <r>
    <s v="AZXTZQBZ1F4UV"/>
    <x v="0"/>
    <n v="27"/>
    <s v="male"/>
    <x v="1"/>
    <x v="1"/>
    <n v="234694"/>
    <n v="1"/>
    <n v="1"/>
    <n v="1"/>
    <n v="0"/>
    <s v="NA"/>
    <s v="NA"/>
    <s v="NA"/>
    <s v="NA"/>
    <s v="NA"/>
    <s v="NA"/>
    <s v="NA"/>
    <x v="0"/>
    <x v="0"/>
    <s v="NA"/>
    <s v="NA"/>
    <s v="NA"/>
    <s v="NA"/>
    <s v="NA"/>
    <s v="NA"/>
    <x v="0"/>
    <s v="NA"/>
    <s v="NA"/>
    <s v="NA"/>
    <s v="NA"/>
    <x v="1"/>
  </r>
  <r>
    <s v="AZXTZQBZ1F4UV"/>
    <x v="0"/>
    <n v="27"/>
    <s v="male"/>
    <x v="2"/>
    <x v="6"/>
    <n v="248751"/>
    <n v="1"/>
    <n v="1"/>
    <n v="1"/>
    <n v="0"/>
    <s v="Bookstores D and E."/>
    <s v="Bookstores A and B."/>
    <s v="Bookstore F."/>
    <s v="ms-l"/>
    <s v="ms-h"/>
    <s v="fa"/>
    <n v="0"/>
    <x v="1"/>
    <x v="2"/>
    <n v="1"/>
    <n v="1"/>
    <n v="0"/>
    <n v="1"/>
    <n v="0"/>
    <n v="0"/>
    <x v="2"/>
    <n v="1"/>
    <n v="1"/>
    <n v="0"/>
    <n v="0"/>
    <x v="1"/>
  </r>
  <r>
    <s v="AZXTZQBZ1F4UV"/>
    <x v="0"/>
    <n v="27"/>
    <s v="male"/>
    <x v="2"/>
    <x v="3"/>
    <n v="61874"/>
    <n v="1"/>
    <n v="1"/>
    <n v="1"/>
    <n v="0"/>
    <s v="Cafe E."/>
    <s v="Cafe F."/>
    <s v="Cafes D and E."/>
    <s v="mo-l"/>
    <s v="fa"/>
    <s v="ms-l"/>
    <n v="0"/>
    <x v="1"/>
    <x v="1"/>
    <n v="0"/>
    <n v="1"/>
    <n v="0"/>
    <n v="1"/>
    <n v="0"/>
    <n v="0"/>
    <x v="1"/>
    <n v="0"/>
    <n v="1"/>
    <n v="0"/>
    <n v="0"/>
    <x v="1"/>
  </r>
  <r>
    <s v="AZXTZQBZ1F4UV"/>
    <x v="0"/>
    <n v="27"/>
    <s v="male"/>
    <x v="3"/>
    <x v="5"/>
    <n v="59280"/>
    <n v="1"/>
    <n v="1"/>
    <n v="0"/>
    <n v="0"/>
    <s v="NA"/>
    <s v="NA"/>
    <s v="NA"/>
    <s v="NA"/>
    <s v="NA"/>
    <s v="NA"/>
    <s v="NA"/>
    <x v="1"/>
    <x v="1"/>
    <n v="0"/>
    <n v="1"/>
    <n v="0"/>
    <n v="1"/>
    <n v="0"/>
    <n v="0"/>
    <x v="1"/>
    <n v="0"/>
    <n v="1"/>
    <n v="0"/>
    <n v="0"/>
    <x v="1"/>
  </r>
  <r>
    <s v="AZXTZQBZ1F4UV"/>
    <x v="0"/>
    <n v="27"/>
    <s v="male"/>
    <x v="2"/>
    <x v="7"/>
    <n v="93750"/>
    <n v="1"/>
    <n v="1"/>
    <n v="1"/>
    <n v="0"/>
    <s v="Stylist F."/>
    <s v="Stylists A, B, C, D and E."/>
    <s v="Stylist A."/>
    <s v="fa"/>
    <s v="exh"/>
    <s v="mo-h"/>
    <n v="1"/>
    <x v="2"/>
    <x v="2"/>
    <n v="0"/>
    <n v="0"/>
    <n v="0"/>
    <n v="1"/>
    <n v="1"/>
    <n v="1"/>
    <x v="2"/>
    <n v="0"/>
    <n v="0"/>
    <n v="0"/>
    <n v="0"/>
    <x v="1"/>
  </r>
  <r>
    <s v="AZXTZQBZ1F4UV"/>
    <x v="0"/>
    <n v="27"/>
    <s v="male"/>
    <x v="3"/>
    <x v="12"/>
    <n v="11857"/>
    <n v="1"/>
    <n v="1"/>
    <n v="0"/>
    <n v="0"/>
    <s v="NA"/>
    <s v="NA"/>
    <s v="NA"/>
    <s v="NA"/>
    <s v="NA"/>
    <s v="NA"/>
    <s v="NA"/>
    <x v="2"/>
    <x v="2"/>
    <n v="0"/>
    <n v="0"/>
    <n v="0"/>
    <n v="1"/>
    <n v="1"/>
    <n v="1"/>
    <x v="2"/>
    <n v="0"/>
    <n v="0"/>
    <n v="0"/>
    <n v="0"/>
    <x v="1"/>
  </r>
  <r>
    <s v="AZXTZQBZ1F4UV"/>
    <x v="0"/>
    <n v="27"/>
    <s v="male"/>
    <x v="2"/>
    <x v="9"/>
    <n v="15639"/>
    <n v="1"/>
    <n v="1"/>
    <n v="1"/>
    <n v="0"/>
    <s v="Stores A, B, C, D and E."/>
    <s v="Store E."/>
    <s v="Stores D and E."/>
    <s v="exh"/>
    <s v="mo-l"/>
    <s v="ms-l"/>
    <n v="1"/>
    <x v="1"/>
    <x v="1"/>
    <n v="0"/>
    <n v="1"/>
    <n v="0"/>
    <n v="1"/>
    <n v="1"/>
    <n v="0"/>
    <x v="1"/>
    <n v="0"/>
    <n v="1"/>
    <n v="0"/>
    <n v="0"/>
    <x v="1"/>
  </r>
  <r>
    <s v="AZXTZQBZ1F4UV"/>
    <x v="0"/>
    <n v="27"/>
    <s v="male"/>
    <x v="2"/>
    <x v="11"/>
    <n v="8606"/>
    <n v="1"/>
    <n v="1"/>
    <n v="1"/>
    <n v="0"/>
    <s v="Dentists A and B."/>
    <s v="Dentists D and E."/>
    <s v="Dentists A, B, C, D and E."/>
    <s v="ms-h"/>
    <s v="ms-l"/>
    <s v="exh"/>
    <n v="1"/>
    <x v="1"/>
    <x v="2"/>
    <n v="1"/>
    <n v="1"/>
    <n v="0"/>
    <n v="1"/>
    <n v="1"/>
    <n v="0"/>
    <x v="2"/>
    <n v="1"/>
    <n v="1"/>
    <n v="0"/>
    <n v="0"/>
    <x v="1"/>
  </r>
  <r>
    <s v="AZXTZQBZ1F4UV"/>
    <x v="0"/>
    <n v="27"/>
    <s v="male"/>
    <x v="3"/>
    <x v="8"/>
    <n v="15549"/>
    <n v="1"/>
    <n v="1"/>
    <n v="1"/>
    <n v="0"/>
    <s v="NA"/>
    <s v="NA"/>
    <s v="NA"/>
    <s v="NA"/>
    <s v="NA"/>
    <s v="NA"/>
    <s v="NA"/>
    <x v="1"/>
    <x v="2"/>
    <n v="1"/>
    <n v="1"/>
    <n v="0"/>
    <n v="1"/>
    <n v="1"/>
    <n v="0"/>
    <x v="2"/>
    <n v="1"/>
    <n v="1"/>
    <n v="0"/>
    <n v="0"/>
    <x v="1"/>
  </r>
  <r>
    <s v="AZXTZQBZ1F4UV"/>
    <x v="0"/>
    <n v="27"/>
    <s v="male"/>
    <x v="2"/>
    <x v="4"/>
    <n v="4950"/>
    <n v="1"/>
    <n v="1"/>
    <n v="0"/>
    <n v="0"/>
    <s v="Stalls A, B, C, D and E."/>
    <s v="Stall A."/>
    <s v="Stall E."/>
    <s v="exh"/>
    <s v="mo-h"/>
    <s v="mo-l"/>
    <n v="1"/>
    <x v="2"/>
    <x v="1"/>
    <n v="0"/>
    <n v="0"/>
    <n v="0"/>
    <n v="1"/>
    <n v="1"/>
    <n v="1"/>
    <x v="2"/>
    <n v="0"/>
    <n v="0"/>
    <n v="0"/>
    <n v="0"/>
    <x v="1"/>
  </r>
  <r>
    <s v="AZXTZQBZ1F4UV"/>
    <x v="0"/>
    <n v="27"/>
    <s v="male"/>
    <x v="3"/>
    <x v="10"/>
    <n v="5917"/>
    <n v="0"/>
    <n v="1"/>
    <n v="1"/>
    <n v="0"/>
    <s v="NA"/>
    <s v="NA"/>
    <s v="NA"/>
    <s v="NA"/>
    <s v="NA"/>
    <s v="NA"/>
    <s v="NA"/>
    <x v="2"/>
    <x v="1"/>
    <n v="0"/>
    <n v="0"/>
    <n v="0"/>
    <n v="1"/>
    <n v="1"/>
    <n v="1"/>
    <x v="2"/>
    <n v="0"/>
    <n v="0"/>
    <n v="0"/>
    <n v="0"/>
    <x v="1"/>
  </r>
  <r>
    <s v="AZXTZQBZ1F4UV"/>
    <x v="0"/>
    <n v="27"/>
    <s v="male"/>
    <x v="4"/>
    <x v="0"/>
    <n v="45693"/>
    <s v="I CHOOSE NEARABLE HOTEL. I WILL EAT TASTY FOOD AND VARIETIES OF FOOD. SO I GO TO BEST HOTEL IN MY TRIP.%0A%0A"/>
    <s v="it's very difficult"/>
    <s v="no nothing"/>
    <s v="NA"/>
    <s v="NA"/>
    <s v="NA"/>
    <s v="NA"/>
    <s v="NA"/>
    <s v="NA"/>
    <s v="NA"/>
    <s v="NA"/>
    <x v="0"/>
    <x v="0"/>
    <s v="NA"/>
    <s v="NA"/>
    <s v="NA"/>
    <s v="NA"/>
    <s v="NA"/>
    <s v="NA"/>
    <x v="0"/>
    <s v="NA"/>
    <s v="NA"/>
    <s v="NA"/>
    <s v="NA"/>
    <x v="1"/>
  </r>
  <r>
    <s v="A120PN22KW0VPY"/>
    <x v="0"/>
    <n v="64"/>
    <s v="female"/>
    <x v="0"/>
    <x v="0"/>
    <n v="109809"/>
    <s v="NA"/>
    <s v="NA"/>
    <s v="NA"/>
    <s v="NA"/>
    <s v="NA"/>
    <s v="NA"/>
    <s v="NA"/>
    <s v="NA"/>
    <s v="NA"/>
    <s v="NA"/>
    <s v="NA"/>
    <x v="0"/>
    <x v="0"/>
    <s v="NA"/>
    <s v="NA"/>
    <s v="NA"/>
    <s v="NA"/>
    <s v="NA"/>
    <s v="NA"/>
    <x v="0"/>
    <s v="NA"/>
    <s v="NA"/>
    <s v="NA"/>
    <s v="NA"/>
    <x v="1"/>
  </r>
  <r>
    <s v="A120PN22KW0VPY"/>
    <x v="0"/>
    <n v="64"/>
    <s v="female"/>
    <x v="1"/>
    <x v="2"/>
    <n v="108871"/>
    <n v="0"/>
    <n v="0"/>
    <n v="1"/>
    <n v="0"/>
    <s v="NA"/>
    <s v="NA"/>
    <s v="NA"/>
    <s v="NA"/>
    <s v="NA"/>
    <s v="NA"/>
    <s v="NA"/>
    <x v="0"/>
    <x v="0"/>
    <s v="NA"/>
    <s v="NA"/>
    <s v="NA"/>
    <s v="NA"/>
    <s v="NA"/>
    <s v="NA"/>
    <x v="0"/>
    <s v="NA"/>
    <s v="NA"/>
    <s v="NA"/>
    <s v="NA"/>
    <x v="1"/>
  </r>
  <r>
    <s v="A120PN22KW0VPY"/>
    <x v="0"/>
    <n v="64"/>
    <s v="female"/>
    <x v="1"/>
    <x v="1"/>
    <n v="51840"/>
    <n v="0"/>
    <n v="0"/>
    <n v="0"/>
    <n v="1"/>
    <s v="NA"/>
    <s v="NA"/>
    <s v="NA"/>
    <s v="NA"/>
    <s v="NA"/>
    <s v="NA"/>
    <s v="NA"/>
    <x v="0"/>
    <x v="0"/>
    <s v="NA"/>
    <s v="NA"/>
    <s v="NA"/>
    <s v="NA"/>
    <s v="NA"/>
    <s v="NA"/>
    <x v="0"/>
    <s v="NA"/>
    <s v="NA"/>
    <s v="NA"/>
    <s v="NA"/>
    <x v="1"/>
  </r>
  <r>
    <s v="A120PN22KW0VPY"/>
    <x v="0"/>
    <n v="64"/>
    <s v="female"/>
    <x v="2"/>
    <x v="7"/>
    <n v="71354"/>
    <n v="0"/>
    <n v="0"/>
    <n v="0"/>
    <n v="1"/>
    <s v="Stylist E."/>
    <s v="Stylist F."/>
    <s v="Stylists D and E."/>
    <s v="mo-l"/>
    <s v="fa"/>
    <s v="ms-l"/>
    <n v="0"/>
    <x v="1"/>
    <x v="1"/>
    <n v="0"/>
    <n v="1"/>
    <n v="0"/>
    <n v="1"/>
    <n v="0"/>
    <n v="0"/>
    <x v="2"/>
    <n v="0"/>
    <n v="0"/>
    <n v="0"/>
    <n v="1"/>
    <x v="1"/>
  </r>
  <r>
    <s v="A120PN22KW0VPY"/>
    <x v="0"/>
    <n v="64"/>
    <s v="female"/>
    <x v="2"/>
    <x v="3"/>
    <n v="75091"/>
    <n v="0"/>
    <n v="0"/>
    <n v="1"/>
    <n v="0"/>
    <s v="Cafe E."/>
    <s v="Cafes D and E."/>
    <s v="Cafes A and B."/>
    <s v="mo-l"/>
    <s v="ms-l"/>
    <s v="ms-h"/>
    <n v="0"/>
    <x v="1"/>
    <x v="1"/>
    <n v="1"/>
    <n v="1"/>
    <n v="0"/>
    <n v="1"/>
    <n v="0"/>
    <n v="0"/>
    <x v="2"/>
    <n v="1"/>
    <n v="0"/>
    <n v="0"/>
    <n v="0"/>
    <x v="1"/>
  </r>
  <r>
    <s v="A120PN22KW0VPY"/>
    <x v="0"/>
    <n v="64"/>
    <s v="female"/>
    <x v="3"/>
    <x v="5"/>
    <n v="41956"/>
    <n v="0"/>
    <n v="1"/>
    <n v="0"/>
    <n v="0"/>
    <s v="NA"/>
    <s v="NA"/>
    <s v="NA"/>
    <s v="NA"/>
    <s v="NA"/>
    <s v="NA"/>
    <s v="NA"/>
    <x v="1"/>
    <x v="1"/>
    <n v="1"/>
    <n v="1"/>
    <n v="0"/>
    <n v="1"/>
    <n v="0"/>
    <n v="0"/>
    <x v="2"/>
    <n v="1"/>
    <n v="0"/>
    <n v="0"/>
    <n v="0"/>
    <x v="1"/>
  </r>
  <r>
    <s v="A120PN22KW0VPY"/>
    <x v="0"/>
    <n v="64"/>
    <s v="female"/>
    <x v="2"/>
    <x v="6"/>
    <n v="95739"/>
    <n v="0"/>
    <n v="0"/>
    <n v="0"/>
    <n v="1"/>
    <s v="Bookstore A."/>
    <s v="Bookstore F."/>
    <s v="Bookstore E."/>
    <s v="mo-h"/>
    <s v="fa"/>
    <s v="mo-l"/>
    <n v="0"/>
    <x v="2"/>
    <x v="1"/>
    <n v="0"/>
    <n v="0"/>
    <n v="0"/>
    <n v="1"/>
    <n v="0"/>
    <n v="0"/>
    <x v="2"/>
    <n v="0"/>
    <n v="0"/>
    <n v="0"/>
    <n v="1"/>
    <x v="1"/>
  </r>
  <r>
    <s v="A120PN22KW0VPY"/>
    <x v="0"/>
    <n v="64"/>
    <s v="female"/>
    <x v="3"/>
    <x v="12"/>
    <n v="60014"/>
    <n v="1"/>
    <n v="0"/>
    <n v="0"/>
    <n v="0"/>
    <s v="NA"/>
    <s v="NA"/>
    <s v="NA"/>
    <s v="NA"/>
    <s v="NA"/>
    <s v="NA"/>
    <s v="NA"/>
    <x v="2"/>
    <x v="1"/>
    <n v="0"/>
    <n v="0"/>
    <n v="0"/>
    <n v="1"/>
    <n v="0"/>
    <n v="0"/>
    <x v="2"/>
    <n v="0"/>
    <n v="0"/>
    <n v="0"/>
    <n v="1"/>
    <x v="1"/>
  </r>
  <r>
    <s v="A120PN22KW0VPY"/>
    <x v="0"/>
    <n v="64"/>
    <s v="female"/>
    <x v="2"/>
    <x v="9"/>
    <n v="62042"/>
    <n v="1"/>
    <n v="0"/>
    <n v="0"/>
    <n v="0"/>
    <s v="Stores A and B."/>
    <s v="Store A."/>
    <s v="Stores A, B, C, D and E."/>
    <s v="ms-h"/>
    <s v="mo-h"/>
    <s v="exh"/>
    <n v="1"/>
    <x v="2"/>
    <x v="2"/>
    <n v="1"/>
    <n v="0"/>
    <n v="0"/>
    <n v="1"/>
    <n v="0"/>
    <n v="0"/>
    <x v="2"/>
    <n v="1"/>
    <n v="0"/>
    <n v="0"/>
    <n v="0"/>
    <x v="1"/>
  </r>
  <r>
    <s v="A120PN22KW0VPY"/>
    <x v="0"/>
    <n v="64"/>
    <s v="female"/>
    <x v="2"/>
    <x v="4"/>
    <n v="771113"/>
    <n v="0"/>
    <n v="0"/>
    <n v="1"/>
    <n v="0"/>
    <s v="Stall E."/>
    <s v="Stalls D and E."/>
    <s v="Stalls A and B."/>
    <s v="mo-l"/>
    <s v="ms-l"/>
    <s v="ms-h"/>
    <n v="0"/>
    <x v="1"/>
    <x v="1"/>
    <n v="1"/>
    <n v="1"/>
    <n v="0"/>
    <n v="1"/>
    <n v="0"/>
    <n v="0"/>
    <x v="2"/>
    <n v="1"/>
    <n v="0"/>
    <n v="0"/>
    <n v="0"/>
    <x v="1"/>
  </r>
  <r>
    <s v="A120PN22KW0VPY"/>
    <x v="0"/>
    <n v="64"/>
    <s v="female"/>
    <x v="3"/>
    <x v="10"/>
    <n v="56967"/>
    <n v="1"/>
    <n v="0"/>
    <n v="0"/>
    <n v="0"/>
    <s v="NA"/>
    <s v="NA"/>
    <s v="NA"/>
    <s v="NA"/>
    <s v="NA"/>
    <s v="NA"/>
    <s v="NA"/>
    <x v="1"/>
    <x v="1"/>
    <n v="1"/>
    <n v="1"/>
    <n v="0"/>
    <n v="1"/>
    <n v="0"/>
    <n v="0"/>
    <x v="2"/>
    <n v="1"/>
    <n v="0"/>
    <n v="0"/>
    <n v="0"/>
    <x v="1"/>
  </r>
  <r>
    <s v="A120PN22KW0VPY"/>
    <x v="0"/>
    <n v="64"/>
    <s v="female"/>
    <x v="2"/>
    <x v="11"/>
    <n v="149479"/>
    <n v="0"/>
    <n v="0"/>
    <n v="0"/>
    <n v="1"/>
    <s v="Dentists D and E."/>
    <s v="Dentists A, B, C, D and E."/>
    <s v="Dentist F."/>
    <s v="ms-l"/>
    <s v="exh"/>
    <s v="fa"/>
    <n v="1"/>
    <x v="1"/>
    <x v="2"/>
    <n v="0"/>
    <n v="1"/>
    <n v="0"/>
    <n v="1"/>
    <n v="0"/>
    <n v="0"/>
    <x v="2"/>
    <n v="0"/>
    <n v="0"/>
    <n v="0"/>
    <n v="1"/>
    <x v="1"/>
  </r>
  <r>
    <s v="A120PN22KW0VPY"/>
    <x v="0"/>
    <n v="64"/>
    <s v="female"/>
    <x v="3"/>
    <x v="8"/>
    <n v="53882"/>
    <n v="1"/>
    <n v="0"/>
    <n v="0"/>
    <n v="0"/>
    <s v="NA"/>
    <s v="NA"/>
    <s v="NA"/>
    <s v="NA"/>
    <s v="NA"/>
    <s v="NA"/>
    <s v="NA"/>
    <x v="1"/>
    <x v="2"/>
    <n v="0"/>
    <n v="1"/>
    <n v="0"/>
    <n v="1"/>
    <n v="0"/>
    <n v="0"/>
    <x v="2"/>
    <n v="0"/>
    <n v="0"/>
    <n v="0"/>
    <n v="1"/>
    <x v="1"/>
  </r>
  <r>
    <s v="A120PN22KW0VPY"/>
    <x v="0"/>
    <n v="64"/>
    <s v="female"/>
    <x v="4"/>
    <x v="0"/>
    <n v="143460"/>
    <s v="I don't think I'd answer differently because I know it's a restaurant. I would just just add more information%2C such as contents of the brunch%2C mapquest%2C and hours open."/>
    <s v="I had to think carefully. Then I needed to re-read most of the ones given. "/>
    <s v="My brain is tired. Just kidding. Thanks."/>
    <s v="NA"/>
    <s v="NA"/>
    <s v="NA"/>
    <s v="NA"/>
    <s v="NA"/>
    <s v="NA"/>
    <s v="NA"/>
    <s v="NA"/>
    <x v="0"/>
    <x v="0"/>
    <s v="NA"/>
    <s v="NA"/>
    <s v="NA"/>
    <s v="NA"/>
    <s v="NA"/>
    <s v="NA"/>
    <x v="0"/>
    <s v="NA"/>
    <s v="NA"/>
    <s v="NA"/>
    <s v="NA"/>
    <x v="1"/>
  </r>
  <r>
    <s v="A2JWHS06PQMJ1"/>
    <x v="0"/>
    <n v="30"/>
    <s v="female"/>
    <x v="0"/>
    <x v="0"/>
    <n v="113658"/>
    <s v="NA"/>
    <s v="NA"/>
    <s v="NA"/>
    <s v="NA"/>
    <s v="NA"/>
    <s v="NA"/>
    <s v="NA"/>
    <s v="NA"/>
    <s v="NA"/>
    <s v="NA"/>
    <s v="NA"/>
    <x v="0"/>
    <x v="0"/>
    <s v="NA"/>
    <s v="NA"/>
    <s v="NA"/>
    <s v="NA"/>
    <s v="NA"/>
    <s v="NA"/>
    <x v="0"/>
    <s v="NA"/>
    <s v="NA"/>
    <s v="NA"/>
    <s v="NA"/>
    <x v="1"/>
  </r>
  <r>
    <s v="A2JWHS06PQMJ1"/>
    <x v="0"/>
    <n v="30"/>
    <s v="female"/>
    <x v="1"/>
    <x v="2"/>
    <n v="37652"/>
    <n v="0"/>
    <n v="0"/>
    <n v="1"/>
    <n v="0"/>
    <s v="NA"/>
    <s v="NA"/>
    <s v="NA"/>
    <s v="NA"/>
    <s v="NA"/>
    <s v="NA"/>
    <s v="NA"/>
    <x v="0"/>
    <x v="0"/>
    <s v="NA"/>
    <s v="NA"/>
    <s v="NA"/>
    <s v="NA"/>
    <s v="NA"/>
    <s v="NA"/>
    <x v="0"/>
    <s v="NA"/>
    <s v="NA"/>
    <s v="NA"/>
    <s v="NA"/>
    <x v="1"/>
  </r>
  <r>
    <s v="A2JWHS06PQMJ1"/>
    <x v="0"/>
    <n v="30"/>
    <s v="female"/>
    <x v="1"/>
    <x v="1"/>
    <n v="110728"/>
    <n v="0"/>
    <n v="0"/>
    <n v="0"/>
    <n v="1"/>
    <s v="NA"/>
    <s v="NA"/>
    <s v="NA"/>
    <s v="NA"/>
    <s v="NA"/>
    <s v="NA"/>
    <s v="NA"/>
    <x v="0"/>
    <x v="0"/>
    <s v="NA"/>
    <s v="NA"/>
    <s v="NA"/>
    <s v="NA"/>
    <s v="NA"/>
    <s v="NA"/>
    <x v="0"/>
    <s v="NA"/>
    <s v="NA"/>
    <s v="NA"/>
    <s v="NA"/>
    <x v="1"/>
  </r>
  <r>
    <s v="A2JWHS06PQMJ1"/>
    <x v="0"/>
    <n v="30"/>
    <s v="female"/>
    <x v="2"/>
    <x v="11"/>
    <n v="45710"/>
    <n v="0"/>
    <n v="0"/>
    <n v="0"/>
    <n v="1"/>
    <s v="Dentist F."/>
    <s v="Dentists A and B."/>
    <s v="Dentists D and E."/>
    <s v="fa"/>
    <s v="ms-h"/>
    <s v="ms-l"/>
    <n v="0"/>
    <x v="1"/>
    <x v="2"/>
    <n v="1"/>
    <n v="1"/>
    <n v="0"/>
    <n v="1"/>
    <n v="0"/>
    <n v="0"/>
    <x v="2"/>
    <n v="0"/>
    <n v="0"/>
    <n v="0"/>
    <n v="1"/>
    <x v="1"/>
  </r>
  <r>
    <s v="A2JWHS06PQMJ1"/>
    <x v="0"/>
    <n v="30"/>
    <s v="female"/>
    <x v="2"/>
    <x v="6"/>
    <n v="52738"/>
    <n v="0"/>
    <n v="0"/>
    <n v="1"/>
    <n v="0"/>
    <s v="Bookstores A and B."/>
    <s v="Bookstore E."/>
    <s v="Bookstores A, B, C, D and E."/>
    <s v="ms-h"/>
    <s v="mo-l"/>
    <s v="exh"/>
    <n v="1"/>
    <x v="1"/>
    <x v="1"/>
    <n v="1"/>
    <n v="0"/>
    <n v="0"/>
    <n v="1"/>
    <n v="1"/>
    <n v="0"/>
    <x v="2"/>
    <n v="0"/>
    <n v="0"/>
    <n v="0"/>
    <n v="0"/>
    <x v="1"/>
  </r>
  <r>
    <s v="A2JWHS06PQMJ1"/>
    <x v="0"/>
    <n v="30"/>
    <s v="female"/>
    <x v="3"/>
    <x v="5"/>
    <n v="41842"/>
    <n v="0"/>
    <n v="1"/>
    <n v="1"/>
    <n v="0"/>
    <s v="NA"/>
    <s v="NA"/>
    <s v="NA"/>
    <s v="NA"/>
    <s v="NA"/>
    <s v="NA"/>
    <s v="NA"/>
    <x v="1"/>
    <x v="1"/>
    <n v="1"/>
    <n v="0"/>
    <n v="0"/>
    <n v="1"/>
    <n v="1"/>
    <n v="0"/>
    <x v="2"/>
    <n v="0"/>
    <n v="0"/>
    <n v="0"/>
    <n v="0"/>
    <x v="1"/>
  </r>
  <r>
    <s v="A2JWHS06PQMJ1"/>
    <x v="0"/>
    <n v="30"/>
    <s v="female"/>
    <x v="2"/>
    <x v="3"/>
    <n v="51193"/>
    <n v="1"/>
    <n v="0"/>
    <n v="1"/>
    <n v="0"/>
    <s v="Cafe A."/>
    <s v="Cafe E."/>
    <s v="Cafes A and B."/>
    <s v="mo-h"/>
    <s v="mo-l"/>
    <s v="ms-h"/>
    <n v="0"/>
    <x v="2"/>
    <x v="1"/>
    <n v="1"/>
    <n v="0"/>
    <n v="0"/>
    <n v="1"/>
    <n v="0"/>
    <n v="1"/>
    <x v="2"/>
    <n v="1"/>
    <n v="0"/>
    <n v="0"/>
    <n v="0"/>
    <x v="1"/>
  </r>
  <r>
    <s v="A2JWHS06PQMJ1"/>
    <x v="0"/>
    <n v="30"/>
    <s v="female"/>
    <x v="2"/>
    <x v="9"/>
    <n v="24954"/>
    <n v="1"/>
    <n v="0"/>
    <n v="0"/>
    <n v="0"/>
    <s v="Stores A, B, C, D and E."/>
    <s v="Stores D and E."/>
    <s v="Store E."/>
    <s v="exh"/>
    <s v="ms-l"/>
    <s v="mo-l"/>
    <n v="1"/>
    <x v="1"/>
    <x v="1"/>
    <n v="0"/>
    <n v="1"/>
    <n v="0"/>
    <n v="1"/>
    <n v="1"/>
    <n v="0"/>
    <x v="2"/>
    <n v="0"/>
    <n v="0"/>
    <n v="0"/>
    <n v="0"/>
    <x v="1"/>
  </r>
  <r>
    <s v="A2JWHS06PQMJ1"/>
    <x v="0"/>
    <n v="30"/>
    <s v="female"/>
    <x v="3"/>
    <x v="10"/>
    <n v="54110"/>
    <n v="0"/>
    <n v="0"/>
    <n v="1"/>
    <n v="0"/>
    <s v="NA"/>
    <s v="NA"/>
    <s v="NA"/>
    <s v="NA"/>
    <s v="NA"/>
    <s v="NA"/>
    <s v="NA"/>
    <x v="1"/>
    <x v="1"/>
    <n v="0"/>
    <n v="1"/>
    <n v="0"/>
    <n v="1"/>
    <n v="1"/>
    <n v="0"/>
    <x v="2"/>
    <n v="0"/>
    <n v="0"/>
    <n v="0"/>
    <n v="0"/>
    <x v="1"/>
  </r>
  <r>
    <s v="A2JWHS06PQMJ1"/>
    <x v="0"/>
    <n v="30"/>
    <s v="female"/>
    <x v="2"/>
    <x v="4"/>
    <n v="17145"/>
    <n v="0"/>
    <n v="0"/>
    <n v="0"/>
    <n v="1"/>
    <s v="Stall E."/>
    <s v="Stalls A, B, C, D and E."/>
    <s v="Stalls A and B."/>
    <s v="mo-l"/>
    <s v="exh"/>
    <s v="ms-h"/>
    <n v="1"/>
    <x v="1"/>
    <x v="1"/>
    <n v="1"/>
    <n v="0"/>
    <n v="0"/>
    <n v="1"/>
    <n v="0"/>
    <n v="0"/>
    <x v="2"/>
    <n v="0"/>
    <n v="0"/>
    <n v="0"/>
    <n v="1"/>
    <x v="1"/>
  </r>
  <r>
    <s v="A2JWHS06PQMJ1"/>
    <x v="0"/>
    <n v="30"/>
    <s v="female"/>
    <x v="3"/>
    <x v="8"/>
    <n v="26415"/>
    <n v="1"/>
    <n v="1"/>
    <n v="0"/>
    <n v="0"/>
    <s v="NA"/>
    <s v="NA"/>
    <s v="NA"/>
    <s v="NA"/>
    <s v="NA"/>
    <s v="NA"/>
    <s v="NA"/>
    <x v="1"/>
    <x v="1"/>
    <n v="1"/>
    <n v="0"/>
    <n v="0"/>
    <n v="1"/>
    <n v="0"/>
    <n v="0"/>
    <x v="2"/>
    <n v="0"/>
    <n v="0"/>
    <n v="0"/>
    <n v="1"/>
    <x v="1"/>
  </r>
  <r>
    <s v="A2JWHS06PQMJ1"/>
    <x v="0"/>
    <n v="30"/>
    <s v="female"/>
    <x v="2"/>
    <x v="7"/>
    <n v="16762"/>
    <n v="1"/>
    <n v="0"/>
    <n v="0"/>
    <n v="0"/>
    <s v="Stylist A."/>
    <s v="Stylists A and B."/>
    <s v="Stylists D and E."/>
    <s v="mo-h"/>
    <s v="ms-h"/>
    <s v="ms-l"/>
    <n v="0"/>
    <x v="2"/>
    <x v="2"/>
    <n v="1"/>
    <n v="1"/>
    <n v="0"/>
    <n v="1"/>
    <n v="0"/>
    <n v="1"/>
    <x v="2"/>
    <n v="0"/>
    <n v="0"/>
    <n v="0"/>
    <n v="0"/>
    <x v="1"/>
  </r>
  <r>
    <s v="A2JWHS06PQMJ1"/>
    <x v="0"/>
    <n v="30"/>
    <s v="female"/>
    <x v="3"/>
    <x v="12"/>
    <n v="22635"/>
    <n v="1"/>
    <n v="0"/>
    <n v="0"/>
    <n v="0"/>
    <s v="NA"/>
    <s v="NA"/>
    <s v="NA"/>
    <s v="NA"/>
    <s v="NA"/>
    <s v="NA"/>
    <s v="NA"/>
    <x v="2"/>
    <x v="2"/>
    <n v="1"/>
    <n v="1"/>
    <n v="0"/>
    <n v="1"/>
    <n v="0"/>
    <n v="1"/>
    <x v="2"/>
    <n v="0"/>
    <n v="0"/>
    <n v="0"/>
    <n v="0"/>
    <x v="1"/>
  </r>
  <r>
    <s v="A2JWHS06PQMJ1"/>
    <x v="0"/>
    <n v="30"/>
    <s v="female"/>
    <x v="4"/>
    <x v="0"/>
    <n v="69954"/>
    <s v="I would not. Both questions would be answered with names of restaurants that serve brunch in town."/>
    <s v="Some parts were almost like riddles. They were fun to try to solve."/>
    <m/>
    <s v="NA"/>
    <s v="NA"/>
    <s v="NA"/>
    <s v="NA"/>
    <s v="NA"/>
    <s v="NA"/>
    <s v="NA"/>
    <s v="NA"/>
    <x v="0"/>
    <x v="0"/>
    <s v="NA"/>
    <s v="NA"/>
    <s v="NA"/>
    <s v="NA"/>
    <s v="NA"/>
    <s v="NA"/>
    <x v="0"/>
    <s v="NA"/>
    <s v="NA"/>
    <s v="NA"/>
    <s v="NA"/>
    <x v="1"/>
  </r>
  <r>
    <s v="AD6FEEQSW8PRE"/>
    <x v="0"/>
    <n v="27"/>
    <s v="female"/>
    <x v="0"/>
    <x v="0"/>
    <n v="80558"/>
    <s v="NA"/>
    <s v="NA"/>
    <s v="NA"/>
    <s v="NA"/>
    <s v="NA"/>
    <s v="NA"/>
    <s v="NA"/>
    <s v="NA"/>
    <s v="NA"/>
    <s v="NA"/>
    <s v="NA"/>
    <x v="0"/>
    <x v="0"/>
    <s v="NA"/>
    <s v="NA"/>
    <s v="NA"/>
    <s v="NA"/>
    <s v="NA"/>
    <s v="NA"/>
    <x v="0"/>
    <s v="NA"/>
    <s v="NA"/>
    <s v="NA"/>
    <s v="NA"/>
    <x v="1"/>
  </r>
  <r>
    <s v="AD6FEEQSW8PRE"/>
    <x v="0"/>
    <n v="27"/>
    <s v="female"/>
    <x v="1"/>
    <x v="1"/>
    <n v="892505"/>
    <n v="0"/>
    <n v="0"/>
    <n v="0"/>
    <n v="1"/>
    <s v="NA"/>
    <s v="NA"/>
    <s v="NA"/>
    <s v="NA"/>
    <s v="NA"/>
    <s v="NA"/>
    <s v="NA"/>
    <x v="0"/>
    <x v="0"/>
    <s v="NA"/>
    <s v="NA"/>
    <s v="NA"/>
    <s v="NA"/>
    <s v="NA"/>
    <s v="NA"/>
    <x v="0"/>
    <s v="NA"/>
    <s v="NA"/>
    <s v="NA"/>
    <s v="NA"/>
    <x v="1"/>
  </r>
  <r>
    <s v="AD6FEEQSW8PRE"/>
    <x v="0"/>
    <n v="27"/>
    <s v="female"/>
    <x v="1"/>
    <x v="2"/>
    <n v="126543"/>
    <n v="0"/>
    <n v="0"/>
    <n v="1"/>
    <n v="0"/>
    <s v="NA"/>
    <s v="NA"/>
    <s v="NA"/>
    <s v="NA"/>
    <s v="NA"/>
    <s v="NA"/>
    <s v="NA"/>
    <x v="0"/>
    <x v="0"/>
    <s v="NA"/>
    <s v="NA"/>
    <s v="NA"/>
    <s v="NA"/>
    <s v="NA"/>
    <s v="NA"/>
    <x v="0"/>
    <s v="NA"/>
    <s v="NA"/>
    <s v="NA"/>
    <s v="NA"/>
    <x v="1"/>
  </r>
  <r>
    <s v="AD6FEEQSW8PRE"/>
    <x v="0"/>
    <n v="27"/>
    <s v="female"/>
    <x v="2"/>
    <x v="4"/>
    <n v="89383"/>
    <n v="0"/>
    <n v="0"/>
    <n v="1"/>
    <n v="0"/>
    <s v="Stall E."/>
    <s v="Stalls A and B."/>
    <s v="Stall F."/>
    <s v="mo-l"/>
    <s v="ms-h"/>
    <s v="fa"/>
    <n v="0"/>
    <x v="1"/>
    <x v="1"/>
    <n v="1"/>
    <n v="0"/>
    <n v="0"/>
    <n v="1"/>
    <n v="0"/>
    <n v="0"/>
    <x v="2"/>
    <n v="0"/>
    <n v="0"/>
    <n v="0"/>
    <n v="0"/>
    <x v="1"/>
  </r>
  <r>
    <s v="AD6FEEQSW8PRE"/>
    <x v="0"/>
    <n v="27"/>
    <s v="female"/>
    <x v="2"/>
    <x v="7"/>
    <n v="64464"/>
    <n v="1"/>
    <n v="0"/>
    <n v="0"/>
    <n v="0"/>
    <s v="Stylists A, B, C, D and E."/>
    <s v="Stylists A and B."/>
    <s v="Stylist A."/>
    <s v="exh"/>
    <s v="ms-h"/>
    <s v="mo-h"/>
    <n v="1"/>
    <x v="2"/>
    <x v="2"/>
    <n v="1"/>
    <n v="0"/>
    <n v="0"/>
    <n v="1"/>
    <n v="1"/>
    <n v="0"/>
    <x v="2"/>
    <n v="0"/>
    <n v="0"/>
    <n v="0"/>
    <n v="0"/>
    <x v="1"/>
  </r>
  <r>
    <s v="AD6FEEQSW8PRE"/>
    <x v="0"/>
    <n v="27"/>
    <s v="female"/>
    <x v="3"/>
    <x v="12"/>
    <n v="43347"/>
    <n v="1"/>
    <n v="0"/>
    <n v="0"/>
    <n v="0"/>
    <s v="NA"/>
    <s v="NA"/>
    <s v="NA"/>
    <s v="NA"/>
    <s v="NA"/>
    <s v="NA"/>
    <s v="NA"/>
    <x v="2"/>
    <x v="2"/>
    <n v="1"/>
    <n v="0"/>
    <n v="0"/>
    <n v="1"/>
    <n v="1"/>
    <n v="0"/>
    <x v="2"/>
    <n v="0"/>
    <n v="0"/>
    <n v="0"/>
    <n v="0"/>
    <x v="1"/>
  </r>
  <r>
    <s v="AD6FEEQSW8PRE"/>
    <x v="0"/>
    <n v="27"/>
    <s v="female"/>
    <x v="2"/>
    <x v="6"/>
    <n v="41693"/>
    <n v="0"/>
    <n v="1"/>
    <n v="0"/>
    <n v="0"/>
    <s v="Bookstore F."/>
    <s v="Bookstore E."/>
    <s v="Bookstores A and B."/>
    <s v="fa"/>
    <s v="mo-l"/>
    <s v="ms-h"/>
    <n v="0"/>
    <x v="1"/>
    <x v="1"/>
    <n v="1"/>
    <n v="0"/>
    <n v="0"/>
    <n v="1"/>
    <n v="0"/>
    <n v="0"/>
    <x v="1"/>
    <n v="0"/>
    <n v="0"/>
    <n v="0"/>
    <n v="0"/>
    <x v="1"/>
  </r>
  <r>
    <s v="AD6FEEQSW8PRE"/>
    <x v="0"/>
    <n v="27"/>
    <s v="female"/>
    <x v="2"/>
    <x v="3"/>
    <n v="3320"/>
    <n v="0"/>
    <n v="1"/>
    <n v="0"/>
    <n v="0"/>
    <s v="Cafe A."/>
    <s v="Cafes D and E."/>
    <s v="Cafes A, B, C, D and E."/>
    <s v="mo-h"/>
    <s v="ms-l"/>
    <s v="exh"/>
    <n v="1"/>
    <x v="2"/>
    <x v="2"/>
    <n v="0"/>
    <n v="1"/>
    <n v="0"/>
    <n v="1"/>
    <n v="0"/>
    <n v="0"/>
    <x v="2"/>
    <n v="0"/>
    <n v="1"/>
    <n v="0"/>
    <n v="0"/>
    <x v="1"/>
  </r>
  <r>
    <s v="AD6FEEQSW8PRE"/>
    <x v="0"/>
    <n v="27"/>
    <s v="female"/>
    <x v="3"/>
    <x v="8"/>
    <n v="4881"/>
    <n v="0"/>
    <n v="0"/>
    <n v="1"/>
    <n v="0"/>
    <s v="NA"/>
    <s v="NA"/>
    <s v="NA"/>
    <s v="NA"/>
    <s v="NA"/>
    <s v="NA"/>
    <s v="NA"/>
    <x v="2"/>
    <x v="2"/>
    <n v="0"/>
    <n v="1"/>
    <n v="0"/>
    <n v="1"/>
    <n v="0"/>
    <n v="0"/>
    <x v="2"/>
    <n v="0"/>
    <n v="1"/>
    <n v="0"/>
    <n v="0"/>
    <x v="1"/>
  </r>
  <r>
    <s v="AD6FEEQSW8PRE"/>
    <x v="0"/>
    <n v="27"/>
    <s v="female"/>
    <x v="2"/>
    <x v="9"/>
    <n v="2777"/>
    <n v="0"/>
    <n v="1"/>
    <n v="0"/>
    <n v="0"/>
    <s v="Stores A and B."/>
    <s v="Stores D and E."/>
    <s v="Store A."/>
    <s v="ms-h"/>
    <s v="ms-l"/>
    <s v="mo-h"/>
    <n v="0"/>
    <x v="2"/>
    <x v="2"/>
    <n v="1"/>
    <n v="1"/>
    <n v="0"/>
    <n v="1"/>
    <n v="0"/>
    <n v="0"/>
    <x v="2"/>
    <n v="0"/>
    <n v="1"/>
    <n v="0"/>
    <n v="0"/>
    <x v="1"/>
  </r>
  <r>
    <s v="AD6FEEQSW8PRE"/>
    <x v="0"/>
    <n v="27"/>
    <s v="female"/>
    <x v="3"/>
    <x v="10"/>
    <n v="3744"/>
    <n v="0"/>
    <n v="1"/>
    <n v="0"/>
    <n v="0"/>
    <s v="NA"/>
    <s v="NA"/>
    <s v="NA"/>
    <s v="NA"/>
    <s v="NA"/>
    <s v="NA"/>
    <s v="NA"/>
    <x v="2"/>
    <x v="2"/>
    <n v="1"/>
    <n v="1"/>
    <n v="0"/>
    <n v="1"/>
    <n v="0"/>
    <n v="0"/>
    <x v="2"/>
    <n v="0"/>
    <n v="1"/>
    <n v="0"/>
    <n v="0"/>
    <x v="1"/>
  </r>
  <r>
    <s v="AD6FEEQSW8PRE"/>
    <x v="0"/>
    <n v="27"/>
    <s v="female"/>
    <x v="2"/>
    <x v="11"/>
    <n v="2342"/>
    <n v="0"/>
    <n v="0"/>
    <n v="1"/>
    <n v="0"/>
    <s v="Dentist A."/>
    <s v="Dentists D and E."/>
    <s v="Dentist F."/>
    <s v="mo-h"/>
    <s v="ms-l"/>
    <s v="fa"/>
    <n v="0"/>
    <x v="2"/>
    <x v="2"/>
    <n v="0"/>
    <n v="1"/>
    <n v="0"/>
    <n v="1"/>
    <n v="0"/>
    <n v="0"/>
    <x v="2"/>
    <n v="0"/>
    <n v="0"/>
    <n v="0"/>
    <n v="0"/>
    <x v="1"/>
  </r>
  <r>
    <s v="AD6FEEQSW8PRE"/>
    <x v="0"/>
    <n v="27"/>
    <s v="female"/>
    <x v="3"/>
    <x v="5"/>
    <n v="2817"/>
    <n v="0"/>
    <n v="1"/>
    <n v="0"/>
    <n v="0"/>
    <s v="NA"/>
    <s v="NA"/>
    <s v="NA"/>
    <s v="NA"/>
    <s v="NA"/>
    <s v="NA"/>
    <s v="NA"/>
    <x v="2"/>
    <x v="2"/>
    <n v="0"/>
    <n v="1"/>
    <n v="0"/>
    <n v="1"/>
    <n v="0"/>
    <n v="0"/>
    <x v="2"/>
    <n v="0"/>
    <n v="0"/>
    <n v="0"/>
    <n v="0"/>
    <x v="1"/>
  </r>
  <r>
    <s v="AD6FEEQSW8PRE"/>
    <x v="0"/>
    <n v="27"/>
    <s v="female"/>
    <x v="4"/>
    <x v="0"/>
    <n v="96764"/>
    <s v="I CHOOSE NEARABLE HOTEL. I WILL EAT TASTY FOOD AND VARIETIES OF FOOD. SO I GO TO BEST HOTEL IN MY TRIP.%0A%0A"/>
    <s v="YES%2C DIFFICULT. VERY TOUGH TO UNDERSTAND."/>
    <s v="NO"/>
    <s v="NA"/>
    <s v="NA"/>
    <s v="NA"/>
    <s v="NA"/>
    <s v="NA"/>
    <s v="NA"/>
    <s v="NA"/>
    <s v="NA"/>
    <x v="0"/>
    <x v="0"/>
    <s v="NA"/>
    <s v="NA"/>
    <s v="NA"/>
    <s v="NA"/>
    <s v="NA"/>
    <s v="NA"/>
    <x v="0"/>
    <s v="NA"/>
    <s v="NA"/>
    <s v="NA"/>
    <s v="NA"/>
    <x v="1"/>
  </r>
  <r>
    <s v="A2TNTYHHICCA3Z"/>
    <x v="0"/>
    <n v="27"/>
    <s v="female"/>
    <x v="0"/>
    <x v="0"/>
    <n v="49571"/>
    <s v="NA"/>
    <s v="NA"/>
    <s v="NA"/>
    <s v="NA"/>
    <s v="NA"/>
    <s v="NA"/>
    <s v="NA"/>
    <s v="NA"/>
    <s v="NA"/>
    <s v="NA"/>
    <s v="NA"/>
    <x v="0"/>
    <x v="0"/>
    <s v="NA"/>
    <s v="NA"/>
    <s v="NA"/>
    <s v="NA"/>
    <s v="NA"/>
    <s v="NA"/>
    <x v="0"/>
    <s v="NA"/>
    <s v="NA"/>
    <s v="NA"/>
    <s v="NA"/>
    <x v="1"/>
  </r>
  <r>
    <s v="A2TNTYHHICCA3Z"/>
    <x v="0"/>
    <n v="27"/>
    <s v="female"/>
    <x v="1"/>
    <x v="2"/>
    <n v="682856"/>
    <n v="0"/>
    <n v="0"/>
    <n v="1"/>
    <n v="0"/>
    <s v="NA"/>
    <s v="NA"/>
    <s v="NA"/>
    <s v="NA"/>
    <s v="NA"/>
    <s v="NA"/>
    <s v="NA"/>
    <x v="0"/>
    <x v="0"/>
    <s v="NA"/>
    <s v="NA"/>
    <s v="NA"/>
    <s v="NA"/>
    <s v="NA"/>
    <s v="NA"/>
    <x v="0"/>
    <s v="NA"/>
    <s v="NA"/>
    <s v="NA"/>
    <s v="NA"/>
    <x v="1"/>
  </r>
  <r>
    <s v="A2TNTYHHICCA3Z"/>
    <x v="0"/>
    <n v="27"/>
    <s v="female"/>
    <x v="1"/>
    <x v="1"/>
    <n v="3906"/>
    <n v="0"/>
    <n v="0"/>
    <n v="0"/>
    <n v="1"/>
    <s v="NA"/>
    <s v="NA"/>
    <s v="NA"/>
    <s v="NA"/>
    <s v="NA"/>
    <s v="NA"/>
    <s v="NA"/>
    <x v="0"/>
    <x v="0"/>
    <s v="NA"/>
    <s v="NA"/>
    <s v="NA"/>
    <s v="NA"/>
    <s v="NA"/>
    <s v="NA"/>
    <x v="0"/>
    <s v="NA"/>
    <s v="NA"/>
    <s v="NA"/>
    <s v="NA"/>
    <x v="1"/>
  </r>
  <r>
    <s v="A2TNTYHHICCA3Z"/>
    <x v="0"/>
    <n v="27"/>
    <s v="female"/>
    <x v="2"/>
    <x v="4"/>
    <n v="41537"/>
    <n v="0"/>
    <n v="0"/>
    <n v="1"/>
    <n v="0"/>
    <s v="Stalls A, B, C, D and E."/>
    <s v="Stall A."/>
    <s v="Stalls D and E."/>
    <s v="exh"/>
    <s v="mo-h"/>
    <s v="ms-l"/>
    <n v="1"/>
    <x v="2"/>
    <x v="2"/>
    <n v="0"/>
    <n v="1"/>
    <n v="0"/>
    <n v="1"/>
    <n v="0"/>
    <n v="0"/>
    <x v="2"/>
    <n v="0"/>
    <n v="1"/>
    <n v="0"/>
    <n v="0"/>
    <x v="1"/>
  </r>
  <r>
    <s v="A2TNTYHHICCA3Z"/>
    <x v="0"/>
    <n v="27"/>
    <s v="female"/>
    <x v="2"/>
    <x v="3"/>
    <n v="1050099"/>
    <n v="1"/>
    <n v="1"/>
    <n v="1"/>
    <n v="0"/>
    <s v="Cafes D and E."/>
    <s v="Cafe E."/>
    <s v="Cafes A, B, C, D and E."/>
    <s v="ms-l"/>
    <s v="mo-l"/>
    <s v="exh"/>
    <n v="1"/>
    <x v="1"/>
    <x v="1"/>
    <n v="0"/>
    <n v="1"/>
    <n v="0"/>
    <n v="1"/>
    <n v="1"/>
    <n v="0"/>
    <x v="1"/>
    <n v="0"/>
    <n v="1"/>
    <n v="0"/>
    <n v="0"/>
    <x v="1"/>
  </r>
  <r>
    <s v="A2TNTYHHICCA3Z"/>
    <x v="0"/>
    <n v="27"/>
    <s v="female"/>
    <x v="3"/>
    <x v="5"/>
    <n v="71198"/>
    <n v="1"/>
    <n v="1"/>
    <n v="1"/>
    <n v="0"/>
    <s v="NA"/>
    <s v="NA"/>
    <s v="NA"/>
    <s v="NA"/>
    <s v="NA"/>
    <s v="NA"/>
    <s v="NA"/>
    <x v="1"/>
    <x v="1"/>
    <n v="0"/>
    <n v="1"/>
    <n v="0"/>
    <n v="1"/>
    <n v="1"/>
    <n v="0"/>
    <x v="1"/>
    <n v="0"/>
    <n v="1"/>
    <n v="0"/>
    <n v="0"/>
    <x v="1"/>
  </r>
  <r>
    <s v="A2TNTYHHICCA3Z"/>
    <x v="0"/>
    <n v="27"/>
    <s v="female"/>
    <x v="2"/>
    <x v="11"/>
    <n v="46418"/>
    <n v="1"/>
    <n v="1"/>
    <n v="1"/>
    <n v="0"/>
    <s v="Dentists A and B."/>
    <s v="Dentist A."/>
    <s v="Dentists A, B, C, D and E."/>
    <s v="ms-h"/>
    <s v="mo-h"/>
    <s v="exh"/>
    <n v="1"/>
    <x v="2"/>
    <x v="2"/>
    <n v="1"/>
    <n v="0"/>
    <n v="0"/>
    <n v="1"/>
    <n v="1"/>
    <n v="1"/>
    <x v="2"/>
    <n v="1"/>
    <n v="0"/>
    <n v="0"/>
    <n v="0"/>
    <x v="1"/>
  </r>
  <r>
    <s v="A2TNTYHHICCA3Z"/>
    <x v="0"/>
    <n v="27"/>
    <s v="female"/>
    <x v="3"/>
    <x v="8"/>
    <n v="32819"/>
    <n v="1"/>
    <n v="1"/>
    <n v="1"/>
    <n v="0"/>
    <s v="NA"/>
    <s v="NA"/>
    <s v="NA"/>
    <s v="NA"/>
    <s v="NA"/>
    <s v="NA"/>
    <s v="NA"/>
    <x v="2"/>
    <x v="2"/>
    <n v="1"/>
    <n v="0"/>
    <n v="0"/>
    <n v="1"/>
    <n v="1"/>
    <n v="1"/>
    <x v="2"/>
    <n v="1"/>
    <n v="0"/>
    <n v="0"/>
    <n v="0"/>
    <x v="1"/>
  </r>
  <r>
    <s v="A2TNTYHHICCA3Z"/>
    <x v="0"/>
    <n v="27"/>
    <s v="female"/>
    <x v="2"/>
    <x v="6"/>
    <n v="24617"/>
    <n v="0"/>
    <n v="0"/>
    <n v="1"/>
    <n v="0"/>
    <s v="Bookstore A."/>
    <s v="Bookstore E."/>
    <s v="Bookstores D and E."/>
    <s v="mo-h"/>
    <s v="mo-l"/>
    <s v="ms-l"/>
    <n v="0"/>
    <x v="2"/>
    <x v="1"/>
    <n v="0"/>
    <n v="1"/>
    <n v="0"/>
    <n v="1"/>
    <n v="0"/>
    <n v="0"/>
    <x v="2"/>
    <n v="0"/>
    <n v="1"/>
    <n v="0"/>
    <n v="0"/>
    <x v="1"/>
  </r>
  <r>
    <s v="A2TNTYHHICCA3Z"/>
    <x v="0"/>
    <n v="27"/>
    <s v="female"/>
    <x v="2"/>
    <x v="9"/>
    <n v="9025"/>
    <n v="0"/>
    <n v="0"/>
    <n v="1"/>
    <n v="0"/>
    <s v="Stores D and E."/>
    <s v="Store E."/>
    <s v="Stores A, B, C, D and E."/>
    <s v="ms-l"/>
    <s v="mo-l"/>
    <s v="exh"/>
    <n v="1"/>
    <x v="1"/>
    <x v="1"/>
    <n v="0"/>
    <n v="1"/>
    <n v="0"/>
    <n v="1"/>
    <n v="1"/>
    <n v="0"/>
    <x v="2"/>
    <n v="0"/>
    <n v="0"/>
    <n v="0"/>
    <n v="0"/>
    <x v="1"/>
  </r>
  <r>
    <s v="A2TNTYHHICCA3Z"/>
    <x v="0"/>
    <n v="27"/>
    <s v="female"/>
    <x v="3"/>
    <x v="12"/>
    <n v="11657"/>
    <n v="1"/>
    <n v="1"/>
    <n v="1"/>
    <n v="0"/>
    <s v="NA"/>
    <s v="NA"/>
    <s v="NA"/>
    <s v="NA"/>
    <s v="NA"/>
    <s v="NA"/>
    <s v="NA"/>
    <x v="1"/>
    <x v="1"/>
    <n v="0"/>
    <n v="1"/>
    <n v="0"/>
    <n v="1"/>
    <n v="1"/>
    <n v="0"/>
    <x v="2"/>
    <n v="0"/>
    <n v="0"/>
    <n v="0"/>
    <n v="0"/>
    <x v="1"/>
  </r>
  <r>
    <s v="A2TNTYHHICCA3Z"/>
    <x v="0"/>
    <n v="27"/>
    <s v="female"/>
    <x v="2"/>
    <x v="7"/>
    <n v="7880"/>
    <n v="1"/>
    <n v="1"/>
    <n v="1"/>
    <n v="0"/>
    <s v="Stylists A and B."/>
    <s v="Stylists D and E."/>
    <s v="Stylist E."/>
    <s v="ms-h"/>
    <s v="ms-l"/>
    <s v="mo-l"/>
    <n v="0"/>
    <x v="1"/>
    <x v="1"/>
    <n v="1"/>
    <n v="1"/>
    <n v="0"/>
    <n v="1"/>
    <n v="0"/>
    <n v="0"/>
    <x v="1"/>
    <n v="1"/>
    <n v="1"/>
    <n v="0"/>
    <n v="0"/>
    <x v="1"/>
  </r>
  <r>
    <s v="A2TNTYHHICCA3Z"/>
    <x v="0"/>
    <n v="27"/>
    <s v="female"/>
    <x v="3"/>
    <x v="10"/>
    <n v="5871"/>
    <n v="1"/>
    <n v="1"/>
    <n v="1"/>
    <n v="0"/>
    <s v="NA"/>
    <s v="NA"/>
    <s v="NA"/>
    <s v="NA"/>
    <s v="NA"/>
    <s v="NA"/>
    <s v="NA"/>
    <x v="1"/>
    <x v="1"/>
    <n v="1"/>
    <n v="1"/>
    <n v="0"/>
    <n v="1"/>
    <n v="0"/>
    <n v="0"/>
    <x v="1"/>
    <n v="1"/>
    <n v="1"/>
    <n v="0"/>
    <n v="0"/>
    <x v="1"/>
  </r>
  <r>
    <s v="A2TNTYHHICCA3Z"/>
    <x v="0"/>
    <n v="27"/>
    <s v="female"/>
    <x v="4"/>
    <x v="0"/>
    <n v="134395"/>
    <s v="I CHOOSE NEARABLE HOTEL. I WILL EAT TASTY FOOD AND VARIETIES OF FOOD. SO I GO TO BEST HOTEL IN MY TRIP.%0A%0A"/>
    <s v="NO DIFFICULT TASK VERY EASY"/>
    <s v="VERY NICE"/>
    <s v="NA"/>
    <s v="NA"/>
    <s v="NA"/>
    <s v="NA"/>
    <s v="NA"/>
    <s v="NA"/>
    <s v="NA"/>
    <s v="NA"/>
    <x v="0"/>
    <x v="0"/>
    <s v="NA"/>
    <s v="NA"/>
    <s v="NA"/>
    <s v="NA"/>
    <s v="NA"/>
    <s v="NA"/>
    <x v="0"/>
    <s v="NA"/>
    <s v="NA"/>
    <s v="NA"/>
    <s v="NA"/>
    <x v="1"/>
  </r>
  <r>
    <s v="AT53IAFG8BTZO"/>
    <x v="0"/>
    <n v="43"/>
    <s v="female"/>
    <x v="0"/>
    <x v="0"/>
    <n v="90655"/>
    <s v="NA"/>
    <s v="NA"/>
    <s v="NA"/>
    <s v="NA"/>
    <s v="NA"/>
    <s v="NA"/>
    <s v="NA"/>
    <s v="NA"/>
    <s v="NA"/>
    <s v="NA"/>
    <s v="NA"/>
    <x v="0"/>
    <x v="0"/>
    <s v="NA"/>
    <s v="NA"/>
    <s v="NA"/>
    <s v="NA"/>
    <s v="NA"/>
    <s v="NA"/>
    <x v="0"/>
    <s v="NA"/>
    <s v="NA"/>
    <s v="NA"/>
    <s v="NA"/>
    <x v="1"/>
  </r>
  <r>
    <s v="AT53IAFG8BTZO"/>
    <x v="0"/>
    <n v="43"/>
    <s v="female"/>
    <x v="1"/>
    <x v="1"/>
    <n v="79174"/>
    <n v="0"/>
    <n v="0"/>
    <n v="0"/>
    <n v="1"/>
    <s v="NA"/>
    <s v="NA"/>
    <s v="NA"/>
    <s v="NA"/>
    <s v="NA"/>
    <s v="NA"/>
    <s v="NA"/>
    <x v="0"/>
    <x v="0"/>
    <s v="NA"/>
    <s v="NA"/>
    <s v="NA"/>
    <s v="NA"/>
    <s v="NA"/>
    <s v="NA"/>
    <x v="0"/>
    <s v="NA"/>
    <s v="NA"/>
    <s v="NA"/>
    <s v="NA"/>
    <x v="1"/>
  </r>
  <r>
    <s v="AT53IAFG8BTZO"/>
    <x v="0"/>
    <n v="43"/>
    <s v="female"/>
    <x v="1"/>
    <x v="2"/>
    <n v="60112"/>
    <n v="0"/>
    <n v="1"/>
    <n v="1"/>
    <n v="0"/>
    <s v="NA"/>
    <s v="NA"/>
    <s v="NA"/>
    <s v="NA"/>
    <s v="NA"/>
    <s v="NA"/>
    <s v="NA"/>
    <x v="0"/>
    <x v="0"/>
    <s v="NA"/>
    <s v="NA"/>
    <s v="NA"/>
    <s v="NA"/>
    <s v="NA"/>
    <s v="NA"/>
    <x v="0"/>
    <s v="NA"/>
    <s v="NA"/>
    <s v="NA"/>
    <s v="NA"/>
    <x v="1"/>
  </r>
  <r>
    <s v="AT53IAFG8BTZO"/>
    <x v="0"/>
    <n v="43"/>
    <s v="female"/>
    <x v="2"/>
    <x v="3"/>
    <n v="115216"/>
    <n v="0"/>
    <n v="1"/>
    <n v="1"/>
    <n v="0"/>
    <s v="Cafes D and E."/>
    <s v="Cafe A."/>
    <s v="Cafes A, B, C, D and E."/>
    <s v="ms-l"/>
    <s v="mo-h"/>
    <s v="exh"/>
    <n v="1"/>
    <x v="2"/>
    <x v="2"/>
    <n v="0"/>
    <n v="1"/>
    <n v="0"/>
    <n v="1"/>
    <n v="1"/>
    <n v="1"/>
    <x v="2"/>
    <n v="0"/>
    <n v="0"/>
    <n v="0"/>
    <n v="0"/>
    <x v="1"/>
  </r>
  <r>
    <s v="AT53IAFG8BTZO"/>
    <x v="0"/>
    <n v="43"/>
    <s v="female"/>
    <x v="2"/>
    <x v="11"/>
    <n v="837879"/>
    <n v="0"/>
    <n v="0"/>
    <n v="0"/>
    <n v="1"/>
    <s v="Dentist A."/>
    <s v="Dentist E."/>
    <s v="Dentists A, B, C, D and E."/>
    <s v="mo-h"/>
    <s v="mo-l"/>
    <s v="exh"/>
    <n v="1"/>
    <x v="2"/>
    <x v="1"/>
    <n v="0"/>
    <n v="0"/>
    <n v="0"/>
    <n v="1"/>
    <n v="0"/>
    <n v="0"/>
    <x v="2"/>
    <n v="0"/>
    <n v="0"/>
    <n v="0"/>
    <n v="1"/>
    <x v="1"/>
  </r>
  <r>
    <s v="AT53IAFG8BTZO"/>
    <x v="0"/>
    <n v="43"/>
    <s v="female"/>
    <x v="3"/>
    <x v="5"/>
    <n v="86583"/>
    <n v="0"/>
    <n v="0"/>
    <n v="1"/>
    <n v="0"/>
    <s v="NA"/>
    <s v="NA"/>
    <s v="NA"/>
    <s v="NA"/>
    <s v="NA"/>
    <s v="NA"/>
    <s v="NA"/>
    <x v="2"/>
    <x v="1"/>
    <n v="0"/>
    <n v="0"/>
    <n v="0"/>
    <n v="1"/>
    <n v="0"/>
    <n v="0"/>
    <x v="2"/>
    <n v="0"/>
    <n v="0"/>
    <n v="0"/>
    <n v="1"/>
    <x v="1"/>
  </r>
  <r>
    <s v="AT53IAFG8BTZO"/>
    <x v="0"/>
    <n v="43"/>
    <s v="female"/>
    <x v="2"/>
    <x v="6"/>
    <n v="59441"/>
    <n v="0"/>
    <n v="0"/>
    <n v="1"/>
    <n v="0"/>
    <s v="Bookstore F."/>
    <s v="Bookstores D and E."/>
    <s v="Bookstore A."/>
    <s v="fa"/>
    <s v="ms-l"/>
    <s v="mo-h"/>
    <n v="0"/>
    <x v="2"/>
    <x v="2"/>
    <n v="0"/>
    <n v="1"/>
    <n v="0"/>
    <n v="1"/>
    <n v="0"/>
    <n v="1"/>
    <x v="2"/>
    <n v="0"/>
    <n v="0"/>
    <n v="0"/>
    <n v="0"/>
    <x v="1"/>
  </r>
  <r>
    <s v="AT53IAFG8BTZO"/>
    <x v="0"/>
    <n v="43"/>
    <s v="female"/>
    <x v="2"/>
    <x v="9"/>
    <n v="56031"/>
    <n v="1"/>
    <n v="0"/>
    <n v="0"/>
    <n v="0"/>
    <s v="Stores A and B."/>
    <s v="Stores D and E."/>
    <s v="Store F."/>
    <s v="ms-h"/>
    <s v="ms-l"/>
    <s v="fa"/>
    <n v="0"/>
    <x v="1"/>
    <x v="2"/>
    <n v="1"/>
    <n v="1"/>
    <n v="0"/>
    <n v="1"/>
    <n v="0"/>
    <n v="0"/>
    <x v="2"/>
    <n v="1"/>
    <n v="0"/>
    <n v="0"/>
    <n v="0"/>
    <x v="1"/>
  </r>
  <r>
    <s v="AT53IAFG8BTZO"/>
    <x v="0"/>
    <n v="43"/>
    <s v="female"/>
    <x v="3"/>
    <x v="10"/>
    <n v="47803"/>
    <n v="0"/>
    <n v="0"/>
    <n v="0"/>
    <n v="1"/>
    <s v="NA"/>
    <s v="NA"/>
    <s v="NA"/>
    <s v="NA"/>
    <s v="NA"/>
    <s v="NA"/>
    <s v="NA"/>
    <x v="1"/>
    <x v="2"/>
    <n v="1"/>
    <n v="1"/>
    <n v="0"/>
    <n v="1"/>
    <n v="0"/>
    <n v="0"/>
    <x v="2"/>
    <n v="1"/>
    <n v="0"/>
    <n v="0"/>
    <n v="0"/>
    <x v="1"/>
  </r>
  <r>
    <s v="AT53IAFG8BTZO"/>
    <x v="0"/>
    <n v="43"/>
    <s v="female"/>
    <x v="2"/>
    <x v="4"/>
    <n v="48358"/>
    <n v="0"/>
    <n v="0"/>
    <n v="1"/>
    <n v="0"/>
    <s v="Stall F."/>
    <s v="Stall E."/>
    <s v="Stalls A, B, C, D and E."/>
    <s v="fa"/>
    <s v="mo-l"/>
    <s v="exh"/>
    <n v="1"/>
    <x v="1"/>
    <x v="1"/>
    <n v="0"/>
    <n v="0"/>
    <n v="0"/>
    <n v="1"/>
    <n v="1"/>
    <n v="0"/>
    <x v="2"/>
    <n v="0"/>
    <n v="0"/>
    <n v="0"/>
    <n v="0"/>
    <x v="1"/>
  </r>
  <r>
    <s v="AT53IAFG8BTZO"/>
    <x v="0"/>
    <n v="43"/>
    <s v="female"/>
    <x v="3"/>
    <x v="8"/>
    <n v="34991"/>
    <n v="1"/>
    <n v="0"/>
    <n v="0"/>
    <n v="0"/>
    <s v="NA"/>
    <s v="NA"/>
    <s v="NA"/>
    <s v="NA"/>
    <s v="NA"/>
    <s v="NA"/>
    <s v="NA"/>
    <x v="1"/>
    <x v="1"/>
    <n v="0"/>
    <n v="0"/>
    <n v="0"/>
    <n v="1"/>
    <n v="1"/>
    <n v="0"/>
    <x v="2"/>
    <n v="0"/>
    <n v="0"/>
    <n v="0"/>
    <n v="0"/>
    <x v="1"/>
  </r>
  <r>
    <s v="AT53IAFG8BTZO"/>
    <x v="0"/>
    <n v="43"/>
    <s v="female"/>
    <x v="2"/>
    <x v="7"/>
    <n v="73098"/>
    <n v="0"/>
    <n v="1"/>
    <n v="0"/>
    <n v="0"/>
    <s v="Stylist A."/>
    <s v="Stylists A, B, C, D and E."/>
    <s v="Stylists A and B."/>
    <s v="mo-h"/>
    <s v="exh"/>
    <s v="ms-h"/>
    <n v="1"/>
    <x v="2"/>
    <x v="2"/>
    <n v="1"/>
    <n v="0"/>
    <n v="0"/>
    <n v="1"/>
    <n v="1"/>
    <n v="0"/>
    <x v="2"/>
    <n v="0"/>
    <n v="0"/>
    <n v="0"/>
    <n v="0"/>
    <x v="1"/>
  </r>
  <r>
    <s v="AT53IAFG8BTZO"/>
    <x v="0"/>
    <n v="43"/>
    <s v="female"/>
    <x v="3"/>
    <x v="12"/>
    <n v="40647"/>
    <n v="1"/>
    <n v="0"/>
    <n v="0"/>
    <n v="0"/>
    <s v="NA"/>
    <s v="NA"/>
    <s v="NA"/>
    <s v="NA"/>
    <s v="NA"/>
    <s v="NA"/>
    <s v="NA"/>
    <x v="2"/>
    <x v="2"/>
    <n v="1"/>
    <n v="0"/>
    <n v="0"/>
    <n v="1"/>
    <n v="1"/>
    <n v="0"/>
    <x v="2"/>
    <n v="0"/>
    <n v="0"/>
    <n v="0"/>
    <n v="0"/>
    <x v="1"/>
  </r>
  <r>
    <s v="AT53IAFG8BTZO"/>
    <x v="0"/>
    <n v="43"/>
    <s v="female"/>
    <x v="4"/>
    <x v="0"/>
    <n v="169151"/>
    <s v="no%2C I would provide the same answer if either of the questions were asked%2C because they questions mean the same thing. If it was worried%2C which is the least expensive or which is the best brunch place%2C then that would be different."/>
    <s v="I found it a little difficult%2C because the questions didn't make a whole lot of sense to me%2C well some of the scenerios"/>
    <s v="n/a"/>
    <s v="NA"/>
    <s v="NA"/>
    <s v="NA"/>
    <s v="NA"/>
    <s v="NA"/>
    <s v="NA"/>
    <s v="NA"/>
    <s v="NA"/>
    <x v="0"/>
    <x v="0"/>
    <s v="NA"/>
    <s v="NA"/>
    <s v="NA"/>
    <s v="NA"/>
    <s v="NA"/>
    <s v="NA"/>
    <x v="0"/>
    <s v="NA"/>
    <s v="NA"/>
    <s v="NA"/>
    <s v="NA"/>
    <x v="1"/>
  </r>
  <r>
    <s v="A2YCHYBHJESOUD"/>
    <x v="0"/>
    <n v="30"/>
    <s v="female"/>
    <x v="0"/>
    <x v="0"/>
    <n v="275518"/>
    <s v="NA"/>
    <s v="NA"/>
    <s v="NA"/>
    <s v="NA"/>
    <s v="NA"/>
    <s v="NA"/>
    <s v="NA"/>
    <s v="NA"/>
    <s v="NA"/>
    <s v="NA"/>
    <s v="NA"/>
    <x v="0"/>
    <x v="0"/>
    <s v="NA"/>
    <s v="NA"/>
    <s v="NA"/>
    <s v="NA"/>
    <s v="NA"/>
    <s v="NA"/>
    <x v="0"/>
    <s v="NA"/>
    <s v="NA"/>
    <s v="NA"/>
    <s v="NA"/>
    <x v="1"/>
  </r>
  <r>
    <s v="A2YCHYBHJESOUD"/>
    <x v="0"/>
    <n v="30"/>
    <s v="female"/>
    <x v="1"/>
    <x v="2"/>
    <n v="54449"/>
    <n v="0"/>
    <n v="0"/>
    <n v="1"/>
    <n v="0"/>
    <s v="NA"/>
    <s v="NA"/>
    <s v="NA"/>
    <s v="NA"/>
    <s v="NA"/>
    <s v="NA"/>
    <s v="NA"/>
    <x v="0"/>
    <x v="0"/>
    <s v="NA"/>
    <s v="NA"/>
    <s v="NA"/>
    <s v="NA"/>
    <s v="NA"/>
    <s v="NA"/>
    <x v="0"/>
    <s v="NA"/>
    <s v="NA"/>
    <s v="NA"/>
    <s v="NA"/>
    <x v="1"/>
  </r>
  <r>
    <s v="A2YCHYBHJESOUD"/>
    <x v="0"/>
    <n v="30"/>
    <s v="female"/>
    <x v="1"/>
    <x v="1"/>
    <n v="50184"/>
    <n v="0"/>
    <n v="0"/>
    <n v="0"/>
    <n v="1"/>
    <s v="NA"/>
    <s v="NA"/>
    <s v="NA"/>
    <s v="NA"/>
    <s v="NA"/>
    <s v="NA"/>
    <s v="NA"/>
    <x v="0"/>
    <x v="0"/>
    <s v="NA"/>
    <s v="NA"/>
    <s v="NA"/>
    <s v="NA"/>
    <s v="NA"/>
    <s v="NA"/>
    <x v="0"/>
    <s v="NA"/>
    <s v="NA"/>
    <s v="NA"/>
    <s v="NA"/>
    <x v="1"/>
  </r>
  <r>
    <s v="A2YCHYBHJESOUD"/>
    <x v="0"/>
    <n v="30"/>
    <s v="female"/>
    <x v="2"/>
    <x v="9"/>
    <n v="67360"/>
    <n v="0"/>
    <n v="0"/>
    <n v="0"/>
    <n v="1"/>
    <s v="Stores D and E."/>
    <s v="Stores A and B."/>
    <s v="Store E."/>
    <s v="ms-l"/>
    <s v="ms-h"/>
    <s v="mo-l"/>
    <n v="0"/>
    <x v="1"/>
    <x v="1"/>
    <n v="1"/>
    <n v="1"/>
    <n v="0"/>
    <n v="1"/>
    <n v="0"/>
    <n v="0"/>
    <x v="2"/>
    <n v="0"/>
    <n v="0"/>
    <n v="0"/>
    <n v="1"/>
    <x v="1"/>
  </r>
  <r>
    <s v="A2YCHYBHJESOUD"/>
    <x v="0"/>
    <n v="30"/>
    <s v="female"/>
    <x v="2"/>
    <x v="7"/>
    <n v="66389"/>
    <n v="0"/>
    <n v="0"/>
    <n v="0"/>
    <n v="1"/>
    <s v="Stylist A."/>
    <s v="Stylist F."/>
    <s v="Stylists A and B."/>
    <s v="mo-h"/>
    <s v="fa"/>
    <s v="ms-h"/>
    <n v="0"/>
    <x v="2"/>
    <x v="2"/>
    <n v="1"/>
    <n v="0"/>
    <n v="0"/>
    <n v="1"/>
    <n v="0"/>
    <n v="0"/>
    <x v="2"/>
    <n v="0"/>
    <n v="0"/>
    <n v="0"/>
    <n v="1"/>
    <x v="1"/>
  </r>
  <r>
    <s v="A2YCHYBHJESOUD"/>
    <x v="0"/>
    <n v="30"/>
    <s v="female"/>
    <x v="3"/>
    <x v="5"/>
    <n v="57514"/>
    <n v="0"/>
    <n v="1"/>
    <n v="0"/>
    <n v="0"/>
    <s v="NA"/>
    <s v="NA"/>
    <s v="NA"/>
    <s v="NA"/>
    <s v="NA"/>
    <s v="NA"/>
    <s v="NA"/>
    <x v="2"/>
    <x v="2"/>
    <n v="1"/>
    <n v="0"/>
    <n v="0"/>
    <n v="1"/>
    <n v="0"/>
    <n v="0"/>
    <x v="2"/>
    <n v="0"/>
    <n v="0"/>
    <n v="0"/>
    <n v="1"/>
    <x v="1"/>
  </r>
  <r>
    <s v="A2YCHYBHJESOUD"/>
    <x v="0"/>
    <n v="30"/>
    <s v="female"/>
    <x v="2"/>
    <x v="6"/>
    <n v="85360"/>
    <n v="0"/>
    <n v="0"/>
    <n v="0"/>
    <n v="1"/>
    <s v="Bookstores A and B."/>
    <s v="Bookstores A, B, C, D and E."/>
    <s v="Bookstores D and E."/>
    <s v="ms-h"/>
    <s v="exh"/>
    <s v="ms-l"/>
    <n v="1"/>
    <x v="1"/>
    <x v="2"/>
    <n v="1"/>
    <n v="1"/>
    <n v="0"/>
    <n v="1"/>
    <n v="0"/>
    <n v="0"/>
    <x v="2"/>
    <n v="0"/>
    <n v="0"/>
    <n v="0"/>
    <n v="1"/>
    <x v="1"/>
  </r>
  <r>
    <s v="A2YCHYBHJESOUD"/>
    <x v="0"/>
    <n v="30"/>
    <s v="female"/>
    <x v="3"/>
    <x v="10"/>
    <n v="48422"/>
    <n v="1"/>
    <n v="0"/>
    <n v="0"/>
    <n v="0"/>
    <s v="NA"/>
    <s v="NA"/>
    <s v="NA"/>
    <s v="NA"/>
    <s v="NA"/>
    <s v="NA"/>
    <s v="NA"/>
    <x v="1"/>
    <x v="2"/>
    <n v="1"/>
    <n v="1"/>
    <n v="0"/>
    <n v="1"/>
    <n v="0"/>
    <n v="0"/>
    <x v="2"/>
    <n v="0"/>
    <n v="0"/>
    <n v="0"/>
    <n v="1"/>
    <x v="1"/>
  </r>
  <r>
    <s v="A2YCHYBHJESOUD"/>
    <x v="0"/>
    <n v="30"/>
    <s v="female"/>
    <x v="2"/>
    <x v="11"/>
    <n v="60657"/>
    <n v="0"/>
    <n v="0"/>
    <n v="0"/>
    <n v="1"/>
    <s v="Dentists A, B, C, D and E."/>
    <s v="Dentists D and E."/>
    <s v="Dentists A and B."/>
    <s v="exh"/>
    <s v="ms-l"/>
    <s v="ms-h"/>
    <n v="1"/>
    <x v="1"/>
    <x v="2"/>
    <n v="1"/>
    <n v="1"/>
    <n v="0"/>
    <n v="1"/>
    <n v="0"/>
    <n v="0"/>
    <x v="2"/>
    <n v="0"/>
    <n v="0"/>
    <n v="0"/>
    <n v="1"/>
    <x v="1"/>
  </r>
  <r>
    <s v="A2YCHYBHJESOUD"/>
    <x v="0"/>
    <n v="30"/>
    <s v="female"/>
    <x v="2"/>
    <x v="3"/>
    <n v="69468"/>
    <n v="1"/>
    <n v="0"/>
    <n v="0"/>
    <n v="0"/>
    <s v="Cafe A."/>
    <s v="Cafes D and E."/>
    <s v="Cafe E."/>
    <s v="mo-h"/>
    <s v="ms-l"/>
    <s v="mo-l"/>
    <n v="0"/>
    <x v="2"/>
    <x v="1"/>
    <n v="0"/>
    <n v="1"/>
    <n v="0"/>
    <n v="1"/>
    <n v="0"/>
    <n v="1"/>
    <x v="2"/>
    <n v="0"/>
    <n v="0"/>
    <n v="0"/>
    <n v="0"/>
    <x v="1"/>
  </r>
  <r>
    <s v="A2YCHYBHJESOUD"/>
    <x v="0"/>
    <n v="30"/>
    <s v="female"/>
    <x v="3"/>
    <x v="12"/>
    <n v="38883"/>
    <n v="1"/>
    <n v="0"/>
    <n v="0"/>
    <n v="0"/>
    <s v="NA"/>
    <s v="NA"/>
    <s v="NA"/>
    <s v="NA"/>
    <s v="NA"/>
    <s v="NA"/>
    <s v="NA"/>
    <x v="2"/>
    <x v="1"/>
    <n v="0"/>
    <n v="1"/>
    <n v="0"/>
    <n v="1"/>
    <n v="0"/>
    <n v="1"/>
    <x v="2"/>
    <n v="0"/>
    <n v="0"/>
    <n v="0"/>
    <n v="0"/>
    <x v="1"/>
  </r>
  <r>
    <s v="A2YCHYBHJESOUD"/>
    <x v="0"/>
    <n v="30"/>
    <s v="female"/>
    <x v="2"/>
    <x v="4"/>
    <n v="294250"/>
    <n v="0"/>
    <n v="0"/>
    <n v="0"/>
    <n v="1"/>
    <s v="Stall A."/>
    <s v="Stalls A and B."/>
    <s v="Stall F."/>
    <s v="mo-h"/>
    <s v="ms-h"/>
    <s v="fa"/>
    <n v="0"/>
    <x v="2"/>
    <x v="2"/>
    <n v="1"/>
    <n v="0"/>
    <n v="0"/>
    <n v="1"/>
    <n v="0"/>
    <n v="0"/>
    <x v="2"/>
    <n v="0"/>
    <n v="0"/>
    <n v="0"/>
    <n v="1"/>
    <x v="1"/>
  </r>
  <r>
    <s v="A2YCHYBHJESOUD"/>
    <x v="0"/>
    <n v="30"/>
    <s v="female"/>
    <x v="3"/>
    <x v="8"/>
    <n v="156765"/>
    <n v="0"/>
    <n v="1"/>
    <n v="0"/>
    <n v="0"/>
    <s v="NA"/>
    <s v="NA"/>
    <s v="NA"/>
    <s v="NA"/>
    <s v="NA"/>
    <s v="NA"/>
    <s v="NA"/>
    <x v="2"/>
    <x v="2"/>
    <n v="1"/>
    <n v="0"/>
    <n v="0"/>
    <n v="1"/>
    <n v="0"/>
    <n v="0"/>
    <x v="2"/>
    <n v="0"/>
    <n v="0"/>
    <n v="0"/>
    <n v="1"/>
    <x v="1"/>
  </r>
  <r>
    <s v="A2YCHYBHJESOUD"/>
    <x v="0"/>
    <n v="30"/>
    <s v="female"/>
    <x v="4"/>
    <x v="0"/>
    <n v="309578"/>
    <s v="i suggest then you can go to kenny's wood fried grill"/>
    <s v="nothing"/>
    <s v="nothing"/>
    <s v="NA"/>
    <s v="NA"/>
    <s v="NA"/>
    <s v="NA"/>
    <s v="NA"/>
    <s v="NA"/>
    <s v="NA"/>
    <s v="NA"/>
    <x v="0"/>
    <x v="0"/>
    <s v="NA"/>
    <s v="NA"/>
    <s v="NA"/>
    <s v="NA"/>
    <s v="NA"/>
    <s v="NA"/>
    <x v="0"/>
    <s v="NA"/>
    <s v="NA"/>
    <s v="NA"/>
    <s v="NA"/>
    <x v="1"/>
  </r>
  <r>
    <s v="ADNSFH55XO2F8"/>
    <x v="0"/>
    <n v="45"/>
    <s v="male"/>
    <x v="0"/>
    <x v="0"/>
    <n v="37157"/>
    <s v="NA"/>
    <s v="NA"/>
    <s v="NA"/>
    <s v="NA"/>
    <s v="NA"/>
    <s v="NA"/>
    <s v="NA"/>
    <s v="NA"/>
    <s v="NA"/>
    <s v="NA"/>
    <s v="NA"/>
    <x v="0"/>
    <x v="0"/>
    <s v="NA"/>
    <s v="NA"/>
    <s v="NA"/>
    <s v="NA"/>
    <s v="NA"/>
    <s v="NA"/>
    <x v="0"/>
    <s v="NA"/>
    <s v="NA"/>
    <s v="NA"/>
    <s v="NA"/>
    <x v="1"/>
  </r>
  <r>
    <s v="ADNSFH55XO2F8"/>
    <x v="0"/>
    <n v="45"/>
    <s v="male"/>
    <x v="1"/>
    <x v="2"/>
    <n v="314858"/>
    <n v="1"/>
    <n v="0"/>
    <n v="0"/>
    <n v="0"/>
    <s v="NA"/>
    <s v="NA"/>
    <s v="NA"/>
    <s v="NA"/>
    <s v="NA"/>
    <s v="NA"/>
    <s v="NA"/>
    <x v="0"/>
    <x v="0"/>
    <s v="NA"/>
    <s v="NA"/>
    <s v="NA"/>
    <s v="NA"/>
    <s v="NA"/>
    <s v="NA"/>
    <x v="0"/>
    <s v="NA"/>
    <s v="NA"/>
    <s v="NA"/>
    <s v="NA"/>
    <x v="1"/>
  </r>
  <r>
    <s v="ADNSFH55XO2F8"/>
    <x v="0"/>
    <n v="45"/>
    <s v="male"/>
    <x v="1"/>
    <x v="1"/>
    <n v="116700"/>
    <n v="1"/>
    <n v="0"/>
    <n v="0"/>
    <n v="0"/>
    <s v="NA"/>
    <s v="NA"/>
    <s v="NA"/>
    <s v="NA"/>
    <s v="NA"/>
    <s v="NA"/>
    <s v="NA"/>
    <x v="0"/>
    <x v="0"/>
    <s v="NA"/>
    <s v="NA"/>
    <s v="NA"/>
    <s v="NA"/>
    <s v="NA"/>
    <s v="NA"/>
    <x v="0"/>
    <s v="NA"/>
    <s v="NA"/>
    <s v="NA"/>
    <s v="NA"/>
    <x v="1"/>
  </r>
  <r>
    <s v="ADNSFH55XO2F8"/>
    <x v="0"/>
    <n v="45"/>
    <s v="male"/>
    <x v="2"/>
    <x v="3"/>
    <n v="15317"/>
    <n v="1"/>
    <n v="0"/>
    <n v="0"/>
    <n v="0"/>
    <s v="Cafe E."/>
    <s v="Cafes A, B, C, D and E."/>
    <s v="Cafes D and E."/>
    <s v="mo-l"/>
    <s v="exh"/>
    <s v="ms-l"/>
    <n v="1"/>
    <x v="1"/>
    <x v="1"/>
    <n v="0"/>
    <n v="1"/>
    <n v="0"/>
    <n v="1"/>
    <n v="0"/>
    <n v="0"/>
    <x v="1"/>
    <n v="0"/>
    <n v="0"/>
    <n v="0"/>
    <n v="0"/>
    <x v="1"/>
  </r>
  <r>
    <s v="ADNSFH55XO2F8"/>
    <x v="0"/>
    <n v="45"/>
    <s v="male"/>
    <x v="2"/>
    <x v="11"/>
    <n v="4920"/>
    <n v="1"/>
    <n v="0"/>
    <n v="0"/>
    <n v="0"/>
    <s v="Dentist A."/>
    <s v="Dentists A, B, C, D and E."/>
    <s v="Dentist F."/>
    <s v="mo-h"/>
    <s v="exh"/>
    <s v="fa"/>
    <n v="1"/>
    <x v="2"/>
    <x v="2"/>
    <n v="0"/>
    <n v="0"/>
    <n v="0"/>
    <n v="1"/>
    <n v="0"/>
    <n v="1"/>
    <x v="2"/>
    <n v="0"/>
    <n v="0"/>
    <n v="0"/>
    <n v="0"/>
    <x v="1"/>
  </r>
  <r>
    <s v="ADNSFH55XO2F8"/>
    <x v="0"/>
    <n v="45"/>
    <s v="male"/>
    <x v="3"/>
    <x v="5"/>
    <n v="6094"/>
    <n v="1"/>
    <n v="0"/>
    <n v="0"/>
    <n v="0"/>
    <s v="NA"/>
    <s v="NA"/>
    <s v="NA"/>
    <s v="NA"/>
    <s v="NA"/>
    <s v="NA"/>
    <s v="NA"/>
    <x v="2"/>
    <x v="2"/>
    <n v="0"/>
    <n v="0"/>
    <n v="0"/>
    <n v="1"/>
    <n v="0"/>
    <n v="1"/>
    <x v="2"/>
    <n v="0"/>
    <n v="0"/>
    <n v="0"/>
    <n v="0"/>
    <x v="1"/>
  </r>
  <r>
    <s v="ADNSFH55XO2F8"/>
    <x v="0"/>
    <n v="45"/>
    <s v="male"/>
    <x v="2"/>
    <x v="4"/>
    <n v="3287"/>
    <n v="1"/>
    <n v="0"/>
    <n v="0"/>
    <n v="0"/>
    <s v="Stall E."/>
    <s v="Stall A."/>
    <s v="Stalls A and B."/>
    <s v="mo-l"/>
    <s v="mo-h"/>
    <s v="ms-h"/>
    <n v="0"/>
    <x v="2"/>
    <x v="1"/>
    <n v="1"/>
    <n v="0"/>
    <n v="0"/>
    <n v="1"/>
    <n v="0"/>
    <n v="0"/>
    <x v="1"/>
    <n v="0"/>
    <n v="0"/>
    <n v="0"/>
    <n v="0"/>
    <x v="1"/>
  </r>
  <r>
    <s v="ADNSFH55XO2F8"/>
    <x v="0"/>
    <n v="45"/>
    <s v="male"/>
    <x v="3"/>
    <x v="8"/>
    <n v="21615"/>
    <n v="0"/>
    <n v="1"/>
    <n v="0"/>
    <n v="0"/>
    <s v="NA"/>
    <s v="NA"/>
    <s v="NA"/>
    <s v="NA"/>
    <s v="NA"/>
    <s v="NA"/>
    <s v="NA"/>
    <x v="2"/>
    <x v="1"/>
    <n v="1"/>
    <n v="0"/>
    <n v="0"/>
    <n v="1"/>
    <n v="0"/>
    <n v="0"/>
    <x v="1"/>
    <n v="0"/>
    <n v="0"/>
    <n v="0"/>
    <n v="0"/>
    <x v="1"/>
  </r>
  <r>
    <s v="ADNSFH55XO2F8"/>
    <x v="0"/>
    <n v="45"/>
    <s v="male"/>
    <x v="2"/>
    <x v="6"/>
    <n v="6015"/>
    <n v="0"/>
    <n v="1"/>
    <n v="0"/>
    <n v="0"/>
    <s v="Bookstore A."/>
    <s v="Bookstore E."/>
    <s v="Bookstores A, B, C, D and E."/>
    <s v="mo-h"/>
    <s v="mo-l"/>
    <s v="exh"/>
    <n v="1"/>
    <x v="2"/>
    <x v="1"/>
    <n v="0"/>
    <n v="0"/>
    <n v="0"/>
    <n v="1"/>
    <n v="0"/>
    <n v="0"/>
    <x v="1"/>
    <n v="0"/>
    <n v="0"/>
    <n v="0"/>
    <n v="0"/>
    <x v="1"/>
  </r>
  <r>
    <s v="ADNSFH55XO2F8"/>
    <x v="0"/>
    <n v="45"/>
    <s v="male"/>
    <x v="2"/>
    <x v="9"/>
    <n v="8713"/>
    <n v="1"/>
    <n v="0"/>
    <n v="0"/>
    <n v="0"/>
    <s v="Stores A and B."/>
    <s v="Store A."/>
    <s v="Stores D and E."/>
    <s v="ms-h"/>
    <s v="mo-h"/>
    <s v="ms-l"/>
    <n v="0"/>
    <x v="2"/>
    <x v="2"/>
    <n v="1"/>
    <n v="1"/>
    <n v="0"/>
    <n v="1"/>
    <n v="0"/>
    <n v="0"/>
    <x v="2"/>
    <n v="1"/>
    <n v="0"/>
    <n v="0"/>
    <n v="0"/>
    <x v="1"/>
  </r>
  <r>
    <s v="ADNSFH55XO2F8"/>
    <x v="0"/>
    <n v="45"/>
    <s v="male"/>
    <x v="3"/>
    <x v="12"/>
    <n v="9623"/>
    <n v="0"/>
    <n v="1"/>
    <n v="0"/>
    <n v="0"/>
    <s v="NA"/>
    <s v="NA"/>
    <s v="NA"/>
    <s v="NA"/>
    <s v="NA"/>
    <s v="NA"/>
    <s v="NA"/>
    <x v="2"/>
    <x v="2"/>
    <n v="1"/>
    <n v="1"/>
    <n v="0"/>
    <n v="1"/>
    <n v="0"/>
    <n v="0"/>
    <x v="2"/>
    <n v="1"/>
    <n v="0"/>
    <n v="0"/>
    <n v="0"/>
    <x v="1"/>
  </r>
  <r>
    <s v="ADNSFH55XO2F8"/>
    <x v="0"/>
    <n v="45"/>
    <s v="male"/>
    <x v="2"/>
    <x v="7"/>
    <n v="855612"/>
    <n v="1"/>
    <n v="0"/>
    <n v="0"/>
    <n v="0"/>
    <s v="Stylists A, B, C, D and E."/>
    <s v="Stylist E."/>
    <s v="Stylists D and E."/>
    <s v="exh"/>
    <s v="mo-l"/>
    <s v="ms-l"/>
    <n v="1"/>
    <x v="1"/>
    <x v="1"/>
    <n v="0"/>
    <n v="1"/>
    <n v="0"/>
    <n v="1"/>
    <n v="1"/>
    <n v="0"/>
    <x v="2"/>
    <n v="0"/>
    <n v="0"/>
    <n v="0"/>
    <n v="0"/>
    <x v="1"/>
  </r>
  <r>
    <s v="ADNSFH55XO2F8"/>
    <x v="0"/>
    <n v="45"/>
    <s v="male"/>
    <x v="3"/>
    <x v="10"/>
    <n v="10002"/>
    <n v="0"/>
    <n v="1"/>
    <n v="0"/>
    <n v="0"/>
    <s v="NA"/>
    <s v="NA"/>
    <s v="NA"/>
    <s v="NA"/>
    <s v="NA"/>
    <s v="NA"/>
    <s v="NA"/>
    <x v="1"/>
    <x v="1"/>
    <n v="0"/>
    <n v="1"/>
    <n v="0"/>
    <n v="1"/>
    <n v="1"/>
    <n v="0"/>
    <x v="2"/>
    <n v="0"/>
    <n v="0"/>
    <n v="0"/>
    <n v="0"/>
    <x v="1"/>
  </r>
  <r>
    <s v="ADNSFH55XO2F8"/>
    <x v="0"/>
    <n v="45"/>
    <s v="male"/>
    <x v="4"/>
    <x v="0"/>
    <n v="169144"/>
    <s v="KFC"/>
    <s v="NO"/>
    <s v="GOOD"/>
    <s v="NA"/>
    <s v="NA"/>
    <s v="NA"/>
    <s v="NA"/>
    <s v="NA"/>
    <s v="NA"/>
    <s v="NA"/>
    <s v="NA"/>
    <x v="0"/>
    <x v="0"/>
    <s v="NA"/>
    <s v="NA"/>
    <s v="NA"/>
    <s v="NA"/>
    <s v="NA"/>
    <s v="NA"/>
    <x v="0"/>
    <s v="NA"/>
    <s v="NA"/>
    <s v="NA"/>
    <s v="NA"/>
    <x v="1"/>
  </r>
  <r>
    <s v="A157L6Z8QU3SDE"/>
    <x v="0"/>
    <n v="30"/>
    <s v="male"/>
    <x v="0"/>
    <x v="0"/>
    <n v="35517"/>
    <s v="NA"/>
    <s v="NA"/>
    <s v="NA"/>
    <s v="NA"/>
    <s v="NA"/>
    <s v="NA"/>
    <s v="NA"/>
    <s v="NA"/>
    <s v="NA"/>
    <s v="NA"/>
    <s v="NA"/>
    <x v="0"/>
    <x v="0"/>
    <s v="NA"/>
    <s v="NA"/>
    <s v="NA"/>
    <s v="NA"/>
    <s v="NA"/>
    <s v="NA"/>
    <x v="0"/>
    <s v="NA"/>
    <s v="NA"/>
    <s v="NA"/>
    <s v="NA"/>
    <x v="1"/>
  </r>
  <r>
    <s v="A157L6Z8QU3SDE"/>
    <x v="0"/>
    <n v="30"/>
    <s v="male"/>
    <x v="1"/>
    <x v="2"/>
    <n v="83241"/>
    <n v="0"/>
    <n v="0"/>
    <n v="1"/>
    <n v="0"/>
    <s v="NA"/>
    <s v="NA"/>
    <s v="NA"/>
    <s v="NA"/>
    <s v="NA"/>
    <s v="NA"/>
    <s v="NA"/>
    <x v="0"/>
    <x v="0"/>
    <s v="NA"/>
    <s v="NA"/>
    <s v="NA"/>
    <s v="NA"/>
    <s v="NA"/>
    <s v="NA"/>
    <x v="0"/>
    <s v="NA"/>
    <s v="NA"/>
    <s v="NA"/>
    <s v="NA"/>
    <x v="1"/>
  </r>
  <r>
    <s v="A157L6Z8QU3SDE"/>
    <x v="0"/>
    <n v="30"/>
    <s v="male"/>
    <x v="1"/>
    <x v="1"/>
    <n v="41424"/>
    <n v="0"/>
    <n v="0"/>
    <n v="0"/>
    <n v="1"/>
    <s v="NA"/>
    <s v="NA"/>
    <s v="NA"/>
    <s v="NA"/>
    <s v="NA"/>
    <s v="NA"/>
    <s v="NA"/>
    <x v="0"/>
    <x v="0"/>
    <s v="NA"/>
    <s v="NA"/>
    <s v="NA"/>
    <s v="NA"/>
    <s v="NA"/>
    <s v="NA"/>
    <x v="0"/>
    <s v="NA"/>
    <s v="NA"/>
    <s v="NA"/>
    <s v="NA"/>
    <x v="1"/>
  </r>
  <r>
    <s v="A157L6Z8QU3SDE"/>
    <x v="0"/>
    <n v="30"/>
    <s v="male"/>
    <x v="2"/>
    <x v="11"/>
    <n v="50399"/>
    <n v="0"/>
    <n v="0"/>
    <n v="0"/>
    <n v="1"/>
    <s v="Dentist E."/>
    <s v="Dentist A."/>
    <s v="Dentist F."/>
    <s v="mo-l"/>
    <s v="mo-h"/>
    <s v="fa"/>
    <n v="0"/>
    <x v="2"/>
    <x v="1"/>
    <n v="0"/>
    <n v="0"/>
    <n v="0"/>
    <n v="1"/>
    <n v="0"/>
    <n v="0"/>
    <x v="2"/>
    <n v="0"/>
    <n v="0"/>
    <n v="0"/>
    <n v="1"/>
    <x v="1"/>
  </r>
  <r>
    <s v="A157L6Z8QU3SDE"/>
    <x v="0"/>
    <n v="30"/>
    <s v="male"/>
    <x v="2"/>
    <x v="4"/>
    <n v="54343"/>
    <n v="0"/>
    <n v="0"/>
    <n v="0"/>
    <n v="1"/>
    <s v="Stalls A, B, C, D and E."/>
    <s v="Stall A."/>
    <s v="Stall F."/>
    <s v="exh"/>
    <s v="mo-h"/>
    <s v="fa"/>
    <n v="1"/>
    <x v="2"/>
    <x v="2"/>
    <n v="0"/>
    <n v="0"/>
    <n v="0"/>
    <n v="1"/>
    <n v="0"/>
    <n v="0"/>
    <x v="2"/>
    <n v="0"/>
    <n v="0"/>
    <n v="0"/>
    <n v="1"/>
    <x v="1"/>
  </r>
  <r>
    <s v="A157L6Z8QU3SDE"/>
    <x v="0"/>
    <n v="30"/>
    <s v="male"/>
    <x v="3"/>
    <x v="8"/>
    <n v="28202"/>
    <n v="0"/>
    <n v="0"/>
    <n v="0"/>
    <n v="1"/>
    <s v="NA"/>
    <s v="NA"/>
    <s v="NA"/>
    <s v="NA"/>
    <s v="NA"/>
    <s v="NA"/>
    <s v="NA"/>
    <x v="2"/>
    <x v="2"/>
    <n v="0"/>
    <n v="0"/>
    <n v="0"/>
    <n v="1"/>
    <n v="0"/>
    <n v="0"/>
    <x v="2"/>
    <n v="0"/>
    <n v="0"/>
    <n v="0"/>
    <n v="1"/>
    <x v="1"/>
  </r>
  <r>
    <s v="A157L6Z8QU3SDE"/>
    <x v="0"/>
    <n v="30"/>
    <s v="male"/>
    <x v="2"/>
    <x v="6"/>
    <n v="26243"/>
    <n v="0"/>
    <n v="0"/>
    <n v="0"/>
    <n v="1"/>
    <s v="Bookstore E."/>
    <s v="Bookstore A."/>
    <s v="Bookstore F."/>
    <s v="mo-l"/>
    <s v="mo-h"/>
    <s v="fa"/>
    <n v="0"/>
    <x v="2"/>
    <x v="1"/>
    <n v="0"/>
    <n v="0"/>
    <n v="0"/>
    <n v="1"/>
    <n v="0"/>
    <n v="0"/>
    <x v="2"/>
    <n v="0"/>
    <n v="0"/>
    <n v="0"/>
    <n v="1"/>
    <x v="1"/>
  </r>
  <r>
    <s v="A157L6Z8QU3SDE"/>
    <x v="0"/>
    <n v="30"/>
    <s v="male"/>
    <x v="2"/>
    <x v="7"/>
    <n v="27477"/>
    <n v="0"/>
    <n v="0"/>
    <n v="0"/>
    <n v="1"/>
    <s v="Stylist A."/>
    <s v="Stylists A, B, C, D and E."/>
    <s v="Stylists D and E."/>
    <s v="mo-h"/>
    <s v="exh"/>
    <s v="ms-l"/>
    <n v="1"/>
    <x v="2"/>
    <x v="2"/>
    <n v="0"/>
    <n v="1"/>
    <n v="0"/>
    <n v="1"/>
    <n v="0"/>
    <n v="0"/>
    <x v="2"/>
    <n v="0"/>
    <n v="0"/>
    <n v="0"/>
    <n v="1"/>
    <x v="1"/>
  </r>
  <r>
    <s v="A157L6Z8QU3SDE"/>
    <x v="0"/>
    <n v="30"/>
    <s v="male"/>
    <x v="3"/>
    <x v="10"/>
    <n v="53991"/>
    <n v="0"/>
    <n v="0"/>
    <n v="0"/>
    <n v="1"/>
    <s v="NA"/>
    <s v="NA"/>
    <s v="NA"/>
    <s v="NA"/>
    <s v="NA"/>
    <s v="NA"/>
    <s v="NA"/>
    <x v="2"/>
    <x v="2"/>
    <n v="0"/>
    <n v="1"/>
    <n v="0"/>
    <n v="1"/>
    <n v="0"/>
    <n v="0"/>
    <x v="2"/>
    <n v="0"/>
    <n v="0"/>
    <n v="0"/>
    <n v="1"/>
    <x v="1"/>
  </r>
  <r>
    <s v="A157L6Z8QU3SDE"/>
    <x v="0"/>
    <n v="30"/>
    <s v="male"/>
    <x v="2"/>
    <x v="9"/>
    <n v="33648"/>
    <n v="0"/>
    <n v="0"/>
    <n v="0"/>
    <n v="1"/>
    <s v="Stores A and B."/>
    <s v="Stores D and E."/>
    <s v="Store A."/>
    <s v="ms-h"/>
    <s v="ms-l"/>
    <s v="mo-h"/>
    <n v="0"/>
    <x v="2"/>
    <x v="2"/>
    <n v="1"/>
    <n v="1"/>
    <n v="0"/>
    <n v="1"/>
    <n v="0"/>
    <n v="0"/>
    <x v="2"/>
    <n v="0"/>
    <n v="0"/>
    <n v="0"/>
    <n v="1"/>
    <x v="1"/>
  </r>
  <r>
    <s v="A157L6Z8QU3SDE"/>
    <x v="0"/>
    <n v="30"/>
    <s v="male"/>
    <x v="3"/>
    <x v="12"/>
    <n v="25250"/>
    <n v="1"/>
    <n v="0"/>
    <n v="0"/>
    <n v="0"/>
    <s v="NA"/>
    <s v="NA"/>
    <s v="NA"/>
    <s v="NA"/>
    <s v="NA"/>
    <s v="NA"/>
    <s v="NA"/>
    <x v="2"/>
    <x v="2"/>
    <n v="1"/>
    <n v="1"/>
    <n v="0"/>
    <n v="1"/>
    <n v="0"/>
    <n v="0"/>
    <x v="2"/>
    <n v="0"/>
    <n v="0"/>
    <n v="0"/>
    <n v="1"/>
    <x v="1"/>
  </r>
  <r>
    <s v="A157L6Z8QU3SDE"/>
    <x v="0"/>
    <n v="30"/>
    <s v="male"/>
    <x v="2"/>
    <x v="3"/>
    <n v="25429"/>
    <n v="0"/>
    <n v="0"/>
    <n v="0"/>
    <n v="1"/>
    <s v="Cafes D and E."/>
    <s v="Cafe E."/>
    <s v="Cafe A."/>
    <s v="ms-l"/>
    <s v="mo-l"/>
    <s v="mo-h"/>
    <n v="0"/>
    <x v="2"/>
    <x v="1"/>
    <n v="0"/>
    <n v="1"/>
    <n v="0"/>
    <n v="1"/>
    <n v="0"/>
    <n v="0"/>
    <x v="2"/>
    <n v="0"/>
    <n v="0"/>
    <n v="0"/>
    <n v="1"/>
    <x v="1"/>
  </r>
  <r>
    <s v="A157L6Z8QU3SDE"/>
    <x v="0"/>
    <n v="30"/>
    <s v="male"/>
    <x v="3"/>
    <x v="5"/>
    <n v="38422"/>
    <n v="0"/>
    <n v="1"/>
    <n v="0"/>
    <n v="0"/>
    <s v="NA"/>
    <s v="NA"/>
    <s v="NA"/>
    <s v="NA"/>
    <s v="NA"/>
    <s v="NA"/>
    <s v="NA"/>
    <x v="2"/>
    <x v="1"/>
    <n v="0"/>
    <n v="1"/>
    <n v="0"/>
    <n v="1"/>
    <n v="0"/>
    <n v="0"/>
    <x v="2"/>
    <n v="0"/>
    <n v="0"/>
    <n v="0"/>
    <n v="1"/>
    <x v="1"/>
  </r>
  <r>
    <s v="A157L6Z8QU3SDE"/>
    <x v="0"/>
    <n v="30"/>
    <s v="male"/>
    <x v="4"/>
    <x v="0"/>
    <n v="174886"/>
    <s v="I would not answer differently as it is the same core question. "/>
    <s v="It was not difficult but the questions were really open and by stretching your mind you can think different answers. I answered literally%2C if they knew the exact answer they were right and if they kind of knew I did not find it correct. "/>
    <s v="No. "/>
    <s v="NA"/>
    <s v="NA"/>
    <s v="NA"/>
    <s v="NA"/>
    <s v="NA"/>
    <s v="NA"/>
    <s v="NA"/>
    <s v="NA"/>
    <x v="0"/>
    <x v="0"/>
    <s v="NA"/>
    <s v="NA"/>
    <s v="NA"/>
    <s v="NA"/>
    <s v="NA"/>
    <s v="NA"/>
    <x v="0"/>
    <s v="NA"/>
    <s v="NA"/>
    <s v="NA"/>
    <s v="NA"/>
    <x v="1"/>
  </r>
  <r>
    <s v="A2VRDE2FHCBMF8"/>
    <x v="6"/>
    <n v="39"/>
    <s v="male"/>
    <x v="0"/>
    <x v="0"/>
    <n v="28732"/>
    <s v="NA"/>
    <s v="NA"/>
    <s v="NA"/>
    <s v="NA"/>
    <s v="NA"/>
    <s v="NA"/>
    <s v="NA"/>
    <s v="NA"/>
    <s v="NA"/>
    <s v="NA"/>
    <s v="NA"/>
    <x v="0"/>
    <x v="0"/>
    <s v="NA"/>
    <s v="NA"/>
    <s v="NA"/>
    <s v="NA"/>
    <s v="NA"/>
    <s v="NA"/>
    <x v="0"/>
    <s v="NA"/>
    <s v="NA"/>
    <s v="NA"/>
    <s v="NA"/>
    <x v="1"/>
  </r>
  <r>
    <s v="A2VRDE2FHCBMF8"/>
    <x v="6"/>
    <n v="39"/>
    <s v="male"/>
    <x v="1"/>
    <x v="2"/>
    <n v="69895"/>
    <n v="0"/>
    <n v="0"/>
    <n v="1"/>
    <n v="0"/>
    <s v="NA"/>
    <s v="NA"/>
    <s v="NA"/>
    <s v="NA"/>
    <s v="NA"/>
    <s v="NA"/>
    <s v="NA"/>
    <x v="0"/>
    <x v="0"/>
    <s v="NA"/>
    <s v="NA"/>
    <s v="NA"/>
    <s v="NA"/>
    <s v="NA"/>
    <s v="NA"/>
    <x v="0"/>
    <s v="NA"/>
    <s v="NA"/>
    <s v="NA"/>
    <s v="NA"/>
    <x v="1"/>
  </r>
  <r>
    <s v="A2VRDE2FHCBMF8"/>
    <x v="6"/>
    <n v="39"/>
    <s v="male"/>
    <x v="1"/>
    <x v="1"/>
    <n v="50117"/>
    <n v="0"/>
    <n v="0"/>
    <n v="0"/>
    <n v="1"/>
    <s v="NA"/>
    <s v="NA"/>
    <s v="NA"/>
    <s v="NA"/>
    <s v="NA"/>
    <s v="NA"/>
    <s v="NA"/>
    <x v="0"/>
    <x v="0"/>
    <s v="NA"/>
    <s v="NA"/>
    <s v="NA"/>
    <s v="NA"/>
    <s v="NA"/>
    <s v="NA"/>
    <x v="0"/>
    <s v="NA"/>
    <s v="NA"/>
    <s v="NA"/>
    <s v="NA"/>
    <x v="1"/>
  </r>
  <r>
    <s v="A2VRDE2FHCBMF8"/>
    <x v="6"/>
    <n v="39"/>
    <s v="male"/>
    <x v="2"/>
    <x v="4"/>
    <n v="45597"/>
    <n v="0"/>
    <n v="0"/>
    <n v="0"/>
    <n v="1"/>
    <s v="Stalls D and E."/>
    <s v="Stalls A and B."/>
    <s v="Stall E."/>
    <s v="ms-l"/>
    <s v="ms-h"/>
    <s v="mo-l"/>
    <n v="0"/>
    <x v="1"/>
    <x v="1"/>
    <n v="1"/>
    <n v="1"/>
    <n v="0"/>
    <n v="1"/>
    <n v="0"/>
    <n v="0"/>
    <x v="2"/>
    <n v="0"/>
    <n v="0"/>
    <n v="0"/>
    <n v="1"/>
    <x v="1"/>
  </r>
  <r>
    <s v="A2VRDE2FHCBMF8"/>
    <x v="6"/>
    <n v="39"/>
    <s v="male"/>
    <x v="2"/>
    <x v="11"/>
    <n v="33540"/>
    <n v="0"/>
    <n v="0"/>
    <n v="1"/>
    <n v="0"/>
    <s v="Dentist A."/>
    <s v="Dentist F."/>
    <s v="Dentists A and B."/>
    <s v="mo-h"/>
    <s v="fa"/>
    <s v="ms-h"/>
    <n v="0"/>
    <x v="2"/>
    <x v="2"/>
    <n v="1"/>
    <n v="0"/>
    <n v="0"/>
    <n v="1"/>
    <n v="0"/>
    <n v="0"/>
    <x v="2"/>
    <n v="1"/>
    <n v="0"/>
    <n v="0"/>
    <n v="0"/>
    <x v="1"/>
  </r>
  <r>
    <s v="A2VRDE2FHCBMF8"/>
    <x v="6"/>
    <n v="39"/>
    <s v="male"/>
    <x v="3"/>
    <x v="12"/>
    <n v="33710"/>
    <n v="1"/>
    <n v="0"/>
    <n v="0"/>
    <n v="0"/>
    <s v="NA"/>
    <s v="NA"/>
    <s v="NA"/>
    <s v="NA"/>
    <s v="NA"/>
    <s v="NA"/>
    <s v="NA"/>
    <x v="2"/>
    <x v="2"/>
    <n v="1"/>
    <n v="0"/>
    <n v="0"/>
    <n v="1"/>
    <n v="0"/>
    <n v="0"/>
    <x v="2"/>
    <n v="1"/>
    <n v="0"/>
    <n v="0"/>
    <n v="0"/>
    <x v="1"/>
  </r>
  <r>
    <s v="A2VRDE2FHCBMF8"/>
    <x v="6"/>
    <n v="39"/>
    <s v="male"/>
    <x v="2"/>
    <x v="3"/>
    <n v="30127"/>
    <n v="1"/>
    <n v="0"/>
    <n v="1"/>
    <n v="0"/>
    <s v="Cafe A."/>
    <s v="Cafes D and E."/>
    <s v="Cafes A and B."/>
    <s v="mo-h"/>
    <s v="ms-l"/>
    <s v="ms-h"/>
    <n v="0"/>
    <x v="2"/>
    <x v="2"/>
    <n v="1"/>
    <n v="1"/>
    <n v="0"/>
    <n v="1"/>
    <n v="0"/>
    <n v="1"/>
    <x v="2"/>
    <n v="1"/>
    <n v="0"/>
    <n v="0"/>
    <n v="0"/>
    <x v="1"/>
  </r>
  <r>
    <s v="A2VRDE2FHCBMF8"/>
    <x v="6"/>
    <n v="39"/>
    <s v="male"/>
    <x v="2"/>
    <x v="9"/>
    <n v="28997"/>
    <n v="1"/>
    <n v="1"/>
    <n v="0"/>
    <n v="0"/>
    <s v="Store A."/>
    <s v="Stores A and B."/>
    <s v="Store E."/>
    <s v="mo-h"/>
    <s v="ms-h"/>
    <s v="mo-l"/>
    <n v="0"/>
    <x v="2"/>
    <x v="1"/>
    <n v="1"/>
    <n v="0"/>
    <n v="0"/>
    <n v="1"/>
    <n v="0"/>
    <n v="1"/>
    <x v="2"/>
    <n v="1"/>
    <n v="0"/>
    <n v="0"/>
    <n v="0"/>
    <x v="1"/>
  </r>
  <r>
    <s v="A2VRDE2FHCBMF8"/>
    <x v="6"/>
    <n v="39"/>
    <s v="male"/>
    <x v="3"/>
    <x v="5"/>
    <n v="98102"/>
    <n v="0"/>
    <n v="0"/>
    <n v="1"/>
    <n v="0"/>
    <s v="NA"/>
    <s v="NA"/>
    <s v="NA"/>
    <s v="NA"/>
    <s v="NA"/>
    <s v="NA"/>
    <s v="NA"/>
    <x v="2"/>
    <x v="1"/>
    <n v="1"/>
    <n v="0"/>
    <n v="0"/>
    <n v="1"/>
    <n v="0"/>
    <n v="1"/>
    <x v="2"/>
    <n v="1"/>
    <n v="0"/>
    <n v="0"/>
    <n v="0"/>
    <x v="1"/>
  </r>
  <r>
    <s v="A2VRDE2FHCBMF8"/>
    <x v="6"/>
    <n v="39"/>
    <s v="male"/>
    <x v="2"/>
    <x v="7"/>
    <n v="36862"/>
    <n v="0"/>
    <n v="1"/>
    <n v="0"/>
    <n v="0"/>
    <s v="Stylist E."/>
    <s v="Stylist A."/>
    <s v="Stylists D and E."/>
    <s v="mo-l"/>
    <s v="mo-h"/>
    <s v="ms-l"/>
    <n v="0"/>
    <x v="2"/>
    <x v="1"/>
    <n v="0"/>
    <n v="1"/>
    <n v="0"/>
    <n v="1"/>
    <n v="0"/>
    <n v="1"/>
    <x v="2"/>
    <n v="0"/>
    <n v="0"/>
    <n v="0"/>
    <n v="0"/>
    <x v="1"/>
  </r>
  <r>
    <s v="A2VRDE2FHCBMF8"/>
    <x v="6"/>
    <n v="39"/>
    <s v="male"/>
    <x v="3"/>
    <x v="10"/>
    <n v="56094"/>
    <n v="0"/>
    <n v="0"/>
    <n v="0"/>
    <n v="1"/>
    <s v="NA"/>
    <s v="NA"/>
    <s v="NA"/>
    <s v="NA"/>
    <s v="NA"/>
    <s v="NA"/>
    <s v="NA"/>
    <x v="2"/>
    <x v="1"/>
    <n v="0"/>
    <n v="1"/>
    <n v="0"/>
    <n v="1"/>
    <n v="0"/>
    <n v="1"/>
    <x v="2"/>
    <n v="0"/>
    <n v="0"/>
    <n v="0"/>
    <n v="0"/>
    <x v="1"/>
  </r>
  <r>
    <s v="A2VRDE2FHCBMF8"/>
    <x v="6"/>
    <n v="39"/>
    <s v="male"/>
    <x v="2"/>
    <x v="6"/>
    <n v="12158"/>
    <n v="1"/>
    <n v="1"/>
    <n v="0"/>
    <n v="0"/>
    <s v="Bookstore A."/>
    <s v="Bookstores A and B."/>
    <s v="Bookstore E."/>
    <s v="mo-h"/>
    <s v="ms-h"/>
    <s v="mo-l"/>
    <n v="0"/>
    <x v="2"/>
    <x v="1"/>
    <n v="1"/>
    <n v="0"/>
    <n v="0"/>
    <n v="1"/>
    <n v="0"/>
    <n v="1"/>
    <x v="2"/>
    <n v="1"/>
    <n v="0"/>
    <n v="0"/>
    <n v="0"/>
    <x v="1"/>
  </r>
  <r>
    <s v="A2VRDE2FHCBMF8"/>
    <x v="6"/>
    <n v="39"/>
    <s v="male"/>
    <x v="3"/>
    <x v="8"/>
    <n v="23583"/>
    <n v="1"/>
    <n v="0"/>
    <n v="0"/>
    <n v="0"/>
    <s v="NA"/>
    <s v="NA"/>
    <s v="NA"/>
    <s v="NA"/>
    <s v="NA"/>
    <s v="NA"/>
    <s v="NA"/>
    <x v="2"/>
    <x v="1"/>
    <n v="1"/>
    <n v="0"/>
    <n v="0"/>
    <n v="1"/>
    <n v="0"/>
    <n v="1"/>
    <x v="2"/>
    <n v="1"/>
    <n v="0"/>
    <n v="0"/>
    <n v="0"/>
    <x v="1"/>
  </r>
  <r>
    <s v="A2VRDE2FHCBMF8"/>
    <x v="6"/>
    <n v="39"/>
    <s v="male"/>
    <x v="4"/>
    <x v="0"/>
    <n v="64246"/>
    <s v="I would answer in the same way"/>
    <s v="It wasn't difficult%2C even if I'm not a native speaker"/>
    <s v="Thank you very much for this HIT%2C and best of luck with your research"/>
    <s v="NA"/>
    <s v="NA"/>
    <s v="NA"/>
    <s v="NA"/>
    <s v="NA"/>
    <s v="NA"/>
    <s v="NA"/>
    <s v="NA"/>
    <x v="0"/>
    <x v="0"/>
    <s v="NA"/>
    <s v="NA"/>
    <s v="NA"/>
    <s v="NA"/>
    <s v="NA"/>
    <s v="NA"/>
    <x v="0"/>
    <s v="NA"/>
    <s v="NA"/>
    <s v="NA"/>
    <s v="NA"/>
    <x v="1"/>
  </r>
  <r>
    <s v="A9EQ4FWCUQVBL"/>
    <x v="0"/>
    <n v="56"/>
    <s v="female"/>
    <x v="0"/>
    <x v="0"/>
    <n v="34466"/>
    <s v="NA"/>
    <s v="NA"/>
    <s v="NA"/>
    <s v="NA"/>
    <s v="NA"/>
    <s v="NA"/>
    <s v="NA"/>
    <s v="NA"/>
    <s v="NA"/>
    <s v="NA"/>
    <s v="NA"/>
    <x v="0"/>
    <x v="0"/>
    <s v="NA"/>
    <s v="NA"/>
    <s v="NA"/>
    <s v="NA"/>
    <s v="NA"/>
    <s v="NA"/>
    <x v="0"/>
    <s v="NA"/>
    <s v="NA"/>
    <s v="NA"/>
    <s v="NA"/>
    <x v="1"/>
  </r>
  <r>
    <s v="A9EQ4FWCUQVBL"/>
    <x v="0"/>
    <n v="56"/>
    <s v="female"/>
    <x v="1"/>
    <x v="1"/>
    <n v="69610"/>
    <n v="0"/>
    <n v="0"/>
    <n v="0"/>
    <n v="1"/>
    <s v="NA"/>
    <s v="NA"/>
    <s v="NA"/>
    <s v="NA"/>
    <s v="NA"/>
    <s v="NA"/>
    <s v="NA"/>
    <x v="0"/>
    <x v="0"/>
    <s v="NA"/>
    <s v="NA"/>
    <s v="NA"/>
    <s v="NA"/>
    <s v="NA"/>
    <s v="NA"/>
    <x v="0"/>
    <s v="NA"/>
    <s v="NA"/>
    <s v="NA"/>
    <s v="NA"/>
    <x v="1"/>
  </r>
  <r>
    <s v="A9EQ4FWCUQVBL"/>
    <x v="0"/>
    <n v="56"/>
    <s v="female"/>
    <x v="1"/>
    <x v="2"/>
    <n v="82299"/>
    <n v="0"/>
    <n v="0"/>
    <n v="1"/>
    <n v="0"/>
    <s v="NA"/>
    <s v="NA"/>
    <s v="NA"/>
    <s v="NA"/>
    <s v="NA"/>
    <s v="NA"/>
    <s v="NA"/>
    <x v="0"/>
    <x v="0"/>
    <s v="NA"/>
    <s v="NA"/>
    <s v="NA"/>
    <s v="NA"/>
    <s v="NA"/>
    <s v="NA"/>
    <x v="0"/>
    <s v="NA"/>
    <s v="NA"/>
    <s v="NA"/>
    <s v="NA"/>
    <x v="1"/>
  </r>
  <r>
    <s v="A9EQ4FWCUQVBL"/>
    <x v="0"/>
    <n v="56"/>
    <s v="female"/>
    <x v="2"/>
    <x v="3"/>
    <n v="79978"/>
    <n v="0"/>
    <n v="0"/>
    <n v="0"/>
    <n v="1"/>
    <s v="Cafes A, B, C, D and E."/>
    <s v="Cafes D and E."/>
    <s v="Cafes A and B."/>
    <s v="exh"/>
    <s v="ms-l"/>
    <s v="ms-h"/>
    <n v="1"/>
    <x v="1"/>
    <x v="2"/>
    <n v="1"/>
    <n v="1"/>
    <n v="0"/>
    <n v="1"/>
    <n v="0"/>
    <n v="0"/>
    <x v="2"/>
    <n v="0"/>
    <n v="0"/>
    <n v="0"/>
    <n v="1"/>
    <x v="1"/>
  </r>
  <r>
    <s v="A9EQ4FWCUQVBL"/>
    <x v="0"/>
    <n v="56"/>
    <s v="female"/>
    <x v="3"/>
    <x v="12"/>
    <n v="61684"/>
    <n v="1"/>
    <n v="0"/>
    <n v="0"/>
    <n v="0"/>
    <s v="NA"/>
    <s v="NA"/>
    <s v="NA"/>
    <s v="NA"/>
    <s v="NA"/>
    <s v="NA"/>
    <s v="NA"/>
    <x v="1"/>
    <x v="2"/>
    <n v="1"/>
    <n v="1"/>
    <n v="0"/>
    <n v="1"/>
    <n v="0"/>
    <n v="0"/>
    <x v="2"/>
    <n v="0"/>
    <n v="0"/>
    <n v="0"/>
    <n v="1"/>
    <x v="1"/>
  </r>
  <r>
    <s v="A9EQ4FWCUQVBL"/>
    <x v="0"/>
    <n v="56"/>
    <s v="female"/>
    <x v="2"/>
    <x v="11"/>
    <n v="63563"/>
    <n v="1"/>
    <n v="0"/>
    <n v="0"/>
    <n v="0"/>
    <s v="Dentists A and B."/>
    <s v="Dentists D and E."/>
    <s v="Dentist E."/>
    <s v="ms-h"/>
    <s v="ms-l"/>
    <s v="mo-l"/>
    <n v="0"/>
    <x v="1"/>
    <x v="1"/>
    <n v="1"/>
    <n v="1"/>
    <n v="0"/>
    <n v="1"/>
    <n v="0"/>
    <n v="0"/>
    <x v="2"/>
    <n v="1"/>
    <n v="0"/>
    <n v="0"/>
    <n v="0"/>
    <x v="1"/>
  </r>
  <r>
    <s v="A9EQ4FWCUQVBL"/>
    <x v="0"/>
    <n v="56"/>
    <s v="female"/>
    <x v="2"/>
    <x v="4"/>
    <n v="55074"/>
    <n v="0"/>
    <n v="0"/>
    <n v="0"/>
    <n v="1"/>
    <s v="Stalls A, B, C, D and E."/>
    <s v="Stalls A and B."/>
    <s v="Stall E."/>
    <s v="exh"/>
    <s v="ms-h"/>
    <s v="mo-l"/>
    <n v="1"/>
    <x v="1"/>
    <x v="1"/>
    <n v="1"/>
    <n v="0"/>
    <n v="0"/>
    <n v="1"/>
    <n v="0"/>
    <n v="0"/>
    <x v="2"/>
    <n v="0"/>
    <n v="0"/>
    <n v="0"/>
    <n v="1"/>
    <x v="1"/>
  </r>
  <r>
    <s v="A9EQ4FWCUQVBL"/>
    <x v="0"/>
    <n v="56"/>
    <s v="female"/>
    <x v="3"/>
    <x v="10"/>
    <n v="145969"/>
    <n v="0"/>
    <n v="0"/>
    <n v="0"/>
    <n v="1"/>
    <s v="NA"/>
    <s v="NA"/>
    <s v="NA"/>
    <s v="NA"/>
    <s v="NA"/>
    <s v="NA"/>
    <s v="NA"/>
    <x v="1"/>
    <x v="1"/>
    <n v="1"/>
    <n v="0"/>
    <n v="0"/>
    <n v="1"/>
    <n v="0"/>
    <n v="0"/>
    <x v="2"/>
    <n v="0"/>
    <n v="0"/>
    <n v="0"/>
    <n v="1"/>
    <x v="1"/>
  </r>
  <r>
    <s v="A9EQ4FWCUQVBL"/>
    <x v="0"/>
    <n v="56"/>
    <s v="female"/>
    <x v="2"/>
    <x v="7"/>
    <n v="56397"/>
    <n v="0"/>
    <n v="0"/>
    <n v="0"/>
    <n v="1"/>
    <s v="Stylist E."/>
    <s v="Stylists D and E."/>
    <s v="Stylists A and B."/>
    <s v="mo-l"/>
    <s v="ms-l"/>
    <s v="ms-h"/>
    <n v="0"/>
    <x v="1"/>
    <x v="1"/>
    <n v="1"/>
    <n v="1"/>
    <n v="0"/>
    <n v="1"/>
    <n v="0"/>
    <n v="0"/>
    <x v="2"/>
    <n v="0"/>
    <n v="0"/>
    <n v="0"/>
    <n v="1"/>
    <x v="1"/>
  </r>
  <r>
    <s v="A9EQ4FWCUQVBL"/>
    <x v="0"/>
    <n v="56"/>
    <s v="female"/>
    <x v="3"/>
    <x v="5"/>
    <n v="82314"/>
    <n v="0"/>
    <n v="1"/>
    <n v="1"/>
    <n v="0"/>
    <s v="NA"/>
    <s v="NA"/>
    <s v="NA"/>
    <s v="NA"/>
    <s v="NA"/>
    <s v="NA"/>
    <s v="NA"/>
    <x v="1"/>
    <x v="1"/>
    <n v="1"/>
    <n v="1"/>
    <n v="0"/>
    <n v="1"/>
    <n v="0"/>
    <n v="0"/>
    <x v="2"/>
    <n v="0"/>
    <n v="0"/>
    <n v="0"/>
    <n v="1"/>
    <x v="1"/>
  </r>
  <r>
    <s v="A9EQ4FWCUQVBL"/>
    <x v="0"/>
    <n v="56"/>
    <s v="female"/>
    <x v="2"/>
    <x v="9"/>
    <n v="36126"/>
    <n v="0"/>
    <n v="0"/>
    <n v="0"/>
    <n v="1"/>
    <s v="Store A."/>
    <s v="Stores A and B."/>
    <s v="Store E."/>
    <s v="mo-h"/>
    <s v="ms-h"/>
    <s v="mo-l"/>
    <n v="0"/>
    <x v="2"/>
    <x v="1"/>
    <n v="1"/>
    <n v="0"/>
    <n v="0"/>
    <n v="1"/>
    <n v="0"/>
    <n v="0"/>
    <x v="2"/>
    <n v="0"/>
    <n v="0"/>
    <n v="0"/>
    <n v="1"/>
    <x v="1"/>
  </r>
  <r>
    <s v="A9EQ4FWCUQVBL"/>
    <x v="0"/>
    <n v="56"/>
    <s v="female"/>
    <x v="2"/>
    <x v="6"/>
    <n v="19953"/>
    <n v="1"/>
    <n v="1"/>
    <n v="1"/>
    <n v="0"/>
    <s v="Bookstores D and E."/>
    <s v="Bookstore F."/>
    <s v="Bookstore A."/>
    <s v="ms-l"/>
    <s v="fa"/>
    <s v="mo-h"/>
    <n v="0"/>
    <x v="2"/>
    <x v="2"/>
    <n v="0"/>
    <n v="1"/>
    <n v="0"/>
    <n v="1"/>
    <n v="0"/>
    <n v="1"/>
    <x v="2"/>
    <n v="0"/>
    <n v="1"/>
    <n v="0"/>
    <n v="0"/>
    <x v="1"/>
  </r>
  <r>
    <s v="A9EQ4FWCUQVBL"/>
    <x v="0"/>
    <n v="56"/>
    <s v="female"/>
    <x v="3"/>
    <x v="8"/>
    <n v="43998"/>
    <n v="0"/>
    <n v="0"/>
    <n v="0"/>
    <n v="1"/>
    <s v="NA"/>
    <s v="NA"/>
    <s v="NA"/>
    <s v="NA"/>
    <s v="NA"/>
    <s v="NA"/>
    <s v="NA"/>
    <x v="2"/>
    <x v="2"/>
    <n v="0"/>
    <n v="1"/>
    <n v="0"/>
    <n v="1"/>
    <n v="0"/>
    <n v="1"/>
    <x v="2"/>
    <n v="0"/>
    <n v="1"/>
    <n v="0"/>
    <n v="0"/>
    <x v="1"/>
  </r>
  <r>
    <s v="A9EQ4FWCUQVBL"/>
    <x v="0"/>
    <n v="56"/>
    <s v="female"/>
    <x v="4"/>
    <x v="0"/>
    <n v="86326"/>
    <s v="yes i would answer different because i have many options to say in the second question."/>
    <s v="no it was really fun and easy to understand "/>
    <s v="no%2C thank you "/>
    <s v="NA"/>
    <s v="NA"/>
    <s v="NA"/>
    <s v="NA"/>
    <s v="NA"/>
    <s v="NA"/>
    <s v="NA"/>
    <s v="NA"/>
    <x v="0"/>
    <x v="0"/>
    <s v="NA"/>
    <s v="NA"/>
    <s v="NA"/>
    <s v="NA"/>
    <s v="NA"/>
    <s v="NA"/>
    <x v="0"/>
    <s v="NA"/>
    <s v="NA"/>
    <s v="NA"/>
    <s v="NA"/>
    <x v="1"/>
  </r>
  <r>
    <s v="A3908297ZI3LES"/>
    <x v="0"/>
    <n v="56"/>
    <s v="female"/>
    <x v="0"/>
    <x v="0"/>
    <n v="777808"/>
    <s v="NA"/>
    <s v="NA"/>
    <s v="NA"/>
    <s v="NA"/>
    <s v="NA"/>
    <s v="NA"/>
    <s v="NA"/>
    <s v="NA"/>
    <s v="NA"/>
    <s v="NA"/>
    <s v="NA"/>
    <x v="0"/>
    <x v="0"/>
    <s v="NA"/>
    <s v="NA"/>
    <s v="NA"/>
    <s v="NA"/>
    <s v="NA"/>
    <s v="NA"/>
    <x v="0"/>
    <s v="NA"/>
    <s v="NA"/>
    <s v="NA"/>
    <s v="NA"/>
    <x v="1"/>
  </r>
  <r>
    <s v="A3908297ZI3LES"/>
    <x v="0"/>
    <n v="56"/>
    <s v="female"/>
    <x v="1"/>
    <x v="1"/>
    <n v="357813"/>
    <n v="0"/>
    <n v="0"/>
    <n v="0"/>
    <n v="1"/>
    <s v="NA"/>
    <s v="NA"/>
    <s v="NA"/>
    <s v="NA"/>
    <s v="NA"/>
    <s v="NA"/>
    <s v="NA"/>
    <x v="0"/>
    <x v="0"/>
    <s v="NA"/>
    <s v="NA"/>
    <s v="NA"/>
    <s v="NA"/>
    <s v="NA"/>
    <s v="NA"/>
    <x v="0"/>
    <s v="NA"/>
    <s v="NA"/>
    <s v="NA"/>
    <s v="NA"/>
    <x v="1"/>
  </r>
  <r>
    <s v="A3908297ZI3LES"/>
    <x v="0"/>
    <n v="56"/>
    <s v="female"/>
    <x v="1"/>
    <x v="2"/>
    <n v="37197"/>
    <n v="0"/>
    <n v="1"/>
    <n v="1"/>
    <n v="0"/>
    <s v="NA"/>
    <s v="NA"/>
    <s v="NA"/>
    <s v="NA"/>
    <s v="NA"/>
    <s v="NA"/>
    <s v="NA"/>
    <x v="0"/>
    <x v="0"/>
    <s v="NA"/>
    <s v="NA"/>
    <s v="NA"/>
    <s v="NA"/>
    <s v="NA"/>
    <s v="NA"/>
    <x v="0"/>
    <s v="NA"/>
    <s v="NA"/>
    <s v="NA"/>
    <s v="NA"/>
    <x v="1"/>
  </r>
  <r>
    <s v="A3908297ZI3LES"/>
    <x v="0"/>
    <n v="56"/>
    <s v="female"/>
    <x v="2"/>
    <x v="9"/>
    <n v="35877"/>
    <n v="0"/>
    <n v="0"/>
    <n v="1"/>
    <n v="0"/>
    <s v="Stores D and E."/>
    <s v="Store F."/>
    <s v="Stores A and B."/>
    <s v="ms-l"/>
    <s v="fa"/>
    <s v="ms-h"/>
    <n v="0"/>
    <x v="1"/>
    <x v="2"/>
    <n v="1"/>
    <n v="1"/>
    <n v="0"/>
    <n v="1"/>
    <n v="0"/>
    <n v="0"/>
    <x v="2"/>
    <n v="1"/>
    <n v="0"/>
    <n v="0"/>
    <n v="0"/>
    <x v="1"/>
  </r>
  <r>
    <s v="A3908297ZI3LES"/>
    <x v="0"/>
    <n v="56"/>
    <s v="female"/>
    <x v="2"/>
    <x v="6"/>
    <n v="19735"/>
    <n v="0"/>
    <n v="0"/>
    <n v="1"/>
    <n v="0"/>
    <s v="Bookstores A, B, C, D and E."/>
    <s v="Bookstore E."/>
    <s v="Bookstores A and B."/>
    <s v="exh"/>
    <s v="mo-l"/>
    <s v="ms-h"/>
    <n v="1"/>
    <x v="1"/>
    <x v="1"/>
    <n v="1"/>
    <n v="0"/>
    <n v="0"/>
    <n v="1"/>
    <n v="0"/>
    <n v="0"/>
    <x v="2"/>
    <n v="1"/>
    <n v="0"/>
    <n v="0"/>
    <n v="0"/>
    <x v="1"/>
  </r>
  <r>
    <s v="A3908297ZI3LES"/>
    <x v="0"/>
    <n v="56"/>
    <s v="female"/>
    <x v="3"/>
    <x v="12"/>
    <n v="19014"/>
    <n v="1"/>
    <n v="0"/>
    <n v="0"/>
    <n v="0"/>
    <s v="NA"/>
    <s v="NA"/>
    <s v="NA"/>
    <s v="NA"/>
    <s v="NA"/>
    <s v="NA"/>
    <s v="NA"/>
    <x v="1"/>
    <x v="1"/>
    <n v="1"/>
    <n v="0"/>
    <n v="0"/>
    <n v="1"/>
    <n v="0"/>
    <n v="0"/>
    <x v="2"/>
    <n v="1"/>
    <n v="0"/>
    <n v="0"/>
    <n v="0"/>
    <x v="1"/>
  </r>
  <r>
    <s v="A3908297ZI3LES"/>
    <x v="0"/>
    <n v="56"/>
    <s v="female"/>
    <x v="2"/>
    <x v="4"/>
    <n v="19502"/>
    <n v="1"/>
    <n v="0"/>
    <n v="0"/>
    <n v="0"/>
    <s v="Stalls D and E."/>
    <s v="Stall E."/>
    <s v="Stall F."/>
    <s v="ms-l"/>
    <s v="mo-l"/>
    <s v="fa"/>
    <n v="0"/>
    <x v="1"/>
    <x v="1"/>
    <n v="0"/>
    <n v="1"/>
    <n v="0"/>
    <n v="1"/>
    <n v="0"/>
    <n v="0"/>
    <x v="2"/>
    <n v="0"/>
    <n v="1"/>
    <n v="0"/>
    <n v="0"/>
    <x v="1"/>
  </r>
  <r>
    <s v="A3908297ZI3LES"/>
    <x v="0"/>
    <n v="56"/>
    <s v="female"/>
    <x v="2"/>
    <x v="11"/>
    <n v="77278"/>
    <n v="0"/>
    <n v="0"/>
    <n v="0"/>
    <n v="1"/>
    <s v="Dentist F."/>
    <s v="Dentist A."/>
    <s v="Dentists D and E."/>
    <s v="fa"/>
    <s v="mo-h"/>
    <s v="ms-l"/>
    <n v="0"/>
    <x v="2"/>
    <x v="2"/>
    <n v="0"/>
    <n v="1"/>
    <n v="0"/>
    <n v="1"/>
    <n v="0"/>
    <n v="0"/>
    <x v="2"/>
    <n v="0"/>
    <n v="0"/>
    <n v="0"/>
    <n v="1"/>
    <x v="1"/>
  </r>
  <r>
    <s v="A3908297ZI3LES"/>
    <x v="0"/>
    <n v="56"/>
    <s v="female"/>
    <x v="3"/>
    <x v="5"/>
    <n v="1249686"/>
    <n v="0"/>
    <n v="0"/>
    <n v="1"/>
    <n v="0"/>
    <s v="NA"/>
    <s v="NA"/>
    <s v="NA"/>
    <s v="NA"/>
    <s v="NA"/>
    <s v="NA"/>
    <s v="NA"/>
    <x v="2"/>
    <x v="2"/>
    <n v="0"/>
    <n v="1"/>
    <n v="0"/>
    <n v="1"/>
    <n v="0"/>
    <n v="0"/>
    <x v="2"/>
    <n v="0"/>
    <n v="0"/>
    <n v="0"/>
    <n v="1"/>
    <x v="1"/>
  </r>
  <r>
    <s v="A3908297ZI3LES"/>
    <x v="0"/>
    <n v="56"/>
    <s v="female"/>
    <x v="2"/>
    <x v="7"/>
    <n v="12829"/>
    <n v="0"/>
    <n v="1"/>
    <n v="0"/>
    <n v="0"/>
    <s v="Stylists A, B, C, D and E."/>
    <s v="Stylist A."/>
    <s v="Stylists A and B."/>
    <s v="exh"/>
    <s v="mo-h"/>
    <s v="ms-h"/>
    <n v="1"/>
    <x v="2"/>
    <x v="2"/>
    <n v="1"/>
    <n v="0"/>
    <n v="0"/>
    <n v="1"/>
    <n v="0"/>
    <n v="1"/>
    <x v="2"/>
    <n v="0"/>
    <n v="0"/>
    <n v="0"/>
    <n v="0"/>
    <x v="1"/>
  </r>
  <r>
    <s v="A3908297ZI3LES"/>
    <x v="0"/>
    <n v="56"/>
    <s v="female"/>
    <x v="3"/>
    <x v="8"/>
    <n v="16951"/>
    <n v="1"/>
    <n v="1"/>
    <n v="0"/>
    <n v="0"/>
    <s v="NA"/>
    <s v="NA"/>
    <s v="NA"/>
    <s v="NA"/>
    <s v="NA"/>
    <s v="NA"/>
    <s v="NA"/>
    <x v="2"/>
    <x v="2"/>
    <n v="1"/>
    <n v="0"/>
    <n v="0"/>
    <n v="1"/>
    <n v="0"/>
    <n v="1"/>
    <x v="2"/>
    <n v="0"/>
    <n v="0"/>
    <n v="0"/>
    <n v="0"/>
    <x v="1"/>
  </r>
  <r>
    <s v="A3908297ZI3LES"/>
    <x v="0"/>
    <n v="56"/>
    <s v="female"/>
    <x v="2"/>
    <x v="3"/>
    <n v="82367"/>
    <n v="1"/>
    <n v="1"/>
    <n v="0"/>
    <n v="0"/>
    <s v="Cafe A."/>
    <s v="Cafes A, B, C, D and E."/>
    <s v="Cafes D and E."/>
    <s v="mo-h"/>
    <s v="exh"/>
    <s v="ms-l"/>
    <n v="1"/>
    <x v="2"/>
    <x v="2"/>
    <n v="0"/>
    <n v="1"/>
    <n v="0"/>
    <n v="1"/>
    <n v="1"/>
    <n v="1"/>
    <x v="2"/>
    <n v="0"/>
    <n v="0"/>
    <n v="0"/>
    <n v="0"/>
    <x v="1"/>
  </r>
  <r>
    <s v="A3908297ZI3LES"/>
    <x v="0"/>
    <n v="56"/>
    <s v="female"/>
    <x v="3"/>
    <x v="10"/>
    <n v="77941"/>
    <n v="0"/>
    <n v="1"/>
    <n v="0"/>
    <n v="0"/>
    <s v="NA"/>
    <s v="NA"/>
    <s v="NA"/>
    <s v="NA"/>
    <s v="NA"/>
    <s v="NA"/>
    <s v="NA"/>
    <x v="2"/>
    <x v="2"/>
    <n v="0"/>
    <n v="1"/>
    <n v="0"/>
    <n v="1"/>
    <n v="1"/>
    <n v="1"/>
    <x v="2"/>
    <n v="0"/>
    <n v="0"/>
    <n v="0"/>
    <n v="0"/>
    <x v="1"/>
  </r>
  <r>
    <s v="A3908297ZI3LES"/>
    <x v="0"/>
    <n v="56"/>
    <s v="female"/>
    <x v="4"/>
    <x v="0"/>
    <n v="80757"/>
    <s v="maybe if there was a bar or the hotel served brunch"/>
    <s v="medium%2C took some thought"/>
    <s v="thanx"/>
    <s v="NA"/>
    <s v="NA"/>
    <s v="NA"/>
    <s v="NA"/>
    <s v="NA"/>
    <s v="NA"/>
    <s v="NA"/>
    <s v="NA"/>
    <x v="0"/>
    <x v="0"/>
    <s v="NA"/>
    <s v="NA"/>
    <s v="NA"/>
    <s v="NA"/>
    <s v="NA"/>
    <s v="NA"/>
    <x v="0"/>
    <s v="NA"/>
    <s v="NA"/>
    <s v="NA"/>
    <s v="NA"/>
    <x v="1"/>
  </r>
  <r>
    <s v="A6EJ7EU0KMGPL"/>
    <x v="0"/>
    <n v="32"/>
    <s v="male"/>
    <x v="0"/>
    <x v="0"/>
    <n v="89649"/>
    <s v="NA"/>
    <s v="NA"/>
    <s v="NA"/>
    <s v="NA"/>
    <s v="NA"/>
    <s v="NA"/>
    <s v="NA"/>
    <s v="NA"/>
    <s v="NA"/>
    <s v="NA"/>
    <s v="NA"/>
    <x v="0"/>
    <x v="0"/>
    <s v="NA"/>
    <s v="NA"/>
    <s v="NA"/>
    <s v="NA"/>
    <s v="NA"/>
    <s v="NA"/>
    <x v="0"/>
    <s v="NA"/>
    <s v="NA"/>
    <s v="NA"/>
    <s v="NA"/>
    <x v="1"/>
  </r>
  <r>
    <s v="A6EJ7EU0KMGPL"/>
    <x v="0"/>
    <n v="32"/>
    <s v="male"/>
    <x v="1"/>
    <x v="1"/>
    <n v="30037"/>
    <n v="0"/>
    <n v="0"/>
    <n v="0"/>
    <n v="1"/>
    <s v="NA"/>
    <s v="NA"/>
    <s v="NA"/>
    <s v="NA"/>
    <s v="NA"/>
    <s v="NA"/>
    <s v="NA"/>
    <x v="0"/>
    <x v="0"/>
    <s v="NA"/>
    <s v="NA"/>
    <s v="NA"/>
    <s v="NA"/>
    <s v="NA"/>
    <s v="NA"/>
    <x v="0"/>
    <s v="NA"/>
    <s v="NA"/>
    <s v="NA"/>
    <s v="NA"/>
    <x v="1"/>
  </r>
  <r>
    <s v="A6EJ7EU0KMGPL"/>
    <x v="0"/>
    <n v="32"/>
    <s v="male"/>
    <x v="1"/>
    <x v="2"/>
    <n v="29027"/>
    <n v="0"/>
    <n v="0"/>
    <n v="1"/>
    <n v="0"/>
    <s v="NA"/>
    <s v="NA"/>
    <s v="NA"/>
    <s v="NA"/>
    <s v="NA"/>
    <s v="NA"/>
    <s v="NA"/>
    <x v="0"/>
    <x v="0"/>
    <s v="NA"/>
    <s v="NA"/>
    <s v="NA"/>
    <s v="NA"/>
    <s v="NA"/>
    <s v="NA"/>
    <x v="0"/>
    <s v="NA"/>
    <s v="NA"/>
    <s v="NA"/>
    <s v="NA"/>
    <x v="1"/>
  </r>
  <r>
    <s v="A6EJ7EU0KMGPL"/>
    <x v="0"/>
    <n v="32"/>
    <s v="male"/>
    <x v="2"/>
    <x v="3"/>
    <n v="45184"/>
    <n v="1"/>
    <n v="0"/>
    <n v="1"/>
    <n v="0"/>
    <s v="Cafes A and B."/>
    <s v="Cafes D and E."/>
    <s v="Cafe A."/>
    <s v="ms-h"/>
    <s v="ms-l"/>
    <s v="mo-h"/>
    <n v="0"/>
    <x v="2"/>
    <x v="2"/>
    <n v="1"/>
    <n v="1"/>
    <n v="0"/>
    <n v="1"/>
    <n v="0"/>
    <n v="1"/>
    <x v="2"/>
    <n v="1"/>
    <n v="0"/>
    <n v="0"/>
    <n v="0"/>
    <x v="1"/>
  </r>
  <r>
    <s v="A6EJ7EU0KMGPL"/>
    <x v="0"/>
    <n v="32"/>
    <s v="male"/>
    <x v="3"/>
    <x v="8"/>
    <n v="21483"/>
    <n v="1"/>
    <n v="1"/>
    <n v="0"/>
    <n v="0"/>
    <s v="NA"/>
    <s v="NA"/>
    <s v="NA"/>
    <s v="NA"/>
    <s v="NA"/>
    <s v="NA"/>
    <s v="NA"/>
    <x v="2"/>
    <x v="2"/>
    <n v="1"/>
    <n v="1"/>
    <n v="0"/>
    <n v="1"/>
    <n v="0"/>
    <n v="1"/>
    <x v="2"/>
    <n v="1"/>
    <n v="0"/>
    <n v="0"/>
    <n v="0"/>
    <x v="1"/>
  </r>
  <r>
    <s v="A6EJ7EU0KMGPL"/>
    <x v="0"/>
    <n v="32"/>
    <s v="male"/>
    <x v="2"/>
    <x v="4"/>
    <n v="26630"/>
    <n v="0"/>
    <n v="0"/>
    <n v="1"/>
    <n v="0"/>
    <s v="Stalls D and E."/>
    <s v="Stall E."/>
    <s v="Stall A."/>
    <s v="ms-l"/>
    <s v="mo-l"/>
    <s v="mo-h"/>
    <n v="0"/>
    <x v="2"/>
    <x v="1"/>
    <n v="0"/>
    <n v="1"/>
    <n v="0"/>
    <n v="1"/>
    <n v="0"/>
    <n v="1"/>
    <x v="2"/>
    <n v="0"/>
    <n v="0"/>
    <n v="0"/>
    <n v="0"/>
    <x v="1"/>
  </r>
  <r>
    <s v="A6EJ7EU0KMGPL"/>
    <x v="0"/>
    <n v="32"/>
    <s v="male"/>
    <x v="2"/>
    <x v="7"/>
    <n v="26493"/>
    <n v="0"/>
    <n v="0"/>
    <n v="1"/>
    <n v="0"/>
    <s v="Stylists D and E."/>
    <s v="Stylist E."/>
    <s v="Stylists A and B."/>
    <s v="ms-l"/>
    <s v="mo-l"/>
    <s v="ms-h"/>
    <n v="0"/>
    <x v="1"/>
    <x v="1"/>
    <n v="1"/>
    <n v="1"/>
    <n v="0"/>
    <n v="1"/>
    <n v="0"/>
    <n v="0"/>
    <x v="2"/>
    <n v="1"/>
    <n v="0"/>
    <n v="0"/>
    <n v="0"/>
    <x v="1"/>
  </r>
  <r>
    <s v="A6EJ7EU0KMGPL"/>
    <x v="0"/>
    <n v="32"/>
    <s v="male"/>
    <x v="3"/>
    <x v="10"/>
    <n v="34594"/>
    <n v="0"/>
    <n v="0"/>
    <n v="0"/>
    <n v="1"/>
    <s v="NA"/>
    <s v="NA"/>
    <s v="NA"/>
    <s v="NA"/>
    <s v="NA"/>
    <s v="NA"/>
    <s v="NA"/>
    <x v="1"/>
    <x v="1"/>
    <n v="1"/>
    <n v="1"/>
    <n v="0"/>
    <n v="1"/>
    <n v="0"/>
    <n v="0"/>
    <x v="2"/>
    <n v="1"/>
    <n v="0"/>
    <n v="0"/>
    <n v="0"/>
    <x v="1"/>
  </r>
  <r>
    <s v="A6EJ7EU0KMGPL"/>
    <x v="0"/>
    <n v="32"/>
    <s v="male"/>
    <x v="2"/>
    <x v="6"/>
    <n v="19325"/>
    <n v="0"/>
    <n v="0"/>
    <n v="1"/>
    <n v="0"/>
    <s v="Bookstores D and E."/>
    <s v="Bookstore E."/>
    <s v="Bookstores A and B."/>
    <s v="ms-l"/>
    <s v="mo-l"/>
    <s v="ms-h"/>
    <n v="0"/>
    <x v="1"/>
    <x v="1"/>
    <n v="1"/>
    <n v="1"/>
    <n v="0"/>
    <n v="1"/>
    <n v="0"/>
    <n v="0"/>
    <x v="2"/>
    <n v="1"/>
    <n v="0"/>
    <n v="0"/>
    <n v="0"/>
    <x v="1"/>
  </r>
  <r>
    <s v="A6EJ7EU0KMGPL"/>
    <x v="0"/>
    <n v="32"/>
    <s v="male"/>
    <x v="3"/>
    <x v="5"/>
    <n v="49395"/>
    <n v="0"/>
    <n v="1"/>
    <n v="0"/>
    <n v="0"/>
    <s v="NA"/>
    <s v="NA"/>
    <s v="NA"/>
    <s v="NA"/>
    <s v="NA"/>
    <s v="NA"/>
    <s v="NA"/>
    <x v="1"/>
    <x v="1"/>
    <n v="1"/>
    <n v="1"/>
    <n v="0"/>
    <n v="1"/>
    <n v="0"/>
    <n v="0"/>
    <x v="2"/>
    <n v="1"/>
    <n v="0"/>
    <n v="0"/>
    <n v="0"/>
    <x v="1"/>
  </r>
  <r>
    <s v="A6EJ7EU0KMGPL"/>
    <x v="0"/>
    <n v="32"/>
    <s v="male"/>
    <x v="2"/>
    <x v="11"/>
    <n v="20119"/>
    <n v="1"/>
    <n v="0"/>
    <n v="0"/>
    <n v="0"/>
    <s v="Dentists A and B."/>
    <s v="Dentists A, B, C, D and E."/>
    <s v="Dentist F."/>
    <s v="ms-h"/>
    <s v="exh"/>
    <s v="fa"/>
    <n v="1"/>
    <x v="1"/>
    <x v="2"/>
    <n v="1"/>
    <n v="0"/>
    <n v="0"/>
    <n v="1"/>
    <n v="0"/>
    <n v="0"/>
    <x v="2"/>
    <n v="1"/>
    <n v="0"/>
    <n v="0"/>
    <n v="0"/>
    <x v="1"/>
  </r>
  <r>
    <s v="A6EJ7EU0KMGPL"/>
    <x v="0"/>
    <n v="32"/>
    <s v="male"/>
    <x v="2"/>
    <x v="9"/>
    <n v="38254"/>
    <n v="1"/>
    <n v="1"/>
    <n v="0"/>
    <n v="0"/>
    <s v="Stores A and B."/>
    <s v="Store A."/>
    <s v="Stores D and E."/>
    <s v="ms-h"/>
    <s v="mo-h"/>
    <s v="ms-l"/>
    <n v="0"/>
    <x v="2"/>
    <x v="2"/>
    <n v="1"/>
    <n v="1"/>
    <n v="0"/>
    <n v="1"/>
    <n v="0"/>
    <n v="1"/>
    <x v="2"/>
    <n v="1"/>
    <n v="0"/>
    <n v="0"/>
    <n v="0"/>
    <x v="1"/>
  </r>
  <r>
    <s v="A6EJ7EU0KMGPL"/>
    <x v="0"/>
    <n v="32"/>
    <s v="male"/>
    <x v="3"/>
    <x v="12"/>
    <n v="35914"/>
    <n v="1"/>
    <n v="1"/>
    <n v="0"/>
    <n v="0"/>
    <s v="NA"/>
    <s v="NA"/>
    <s v="NA"/>
    <s v="NA"/>
    <s v="NA"/>
    <s v="NA"/>
    <s v="NA"/>
    <x v="2"/>
    <x v="2"/>
    <n v="1"/>
    <n v="1"/>
    <n v="0"/>
    <n v="1"/>
    <n v="0"/>
    <n v="1"/>
    <x v="2"/>
    <n v="1"/>
    <n v="0"/>
    <n v="0"/>
    <n v="0"/>
    <x v="1"/>
  </r>
  <r>
    <s v="A6EJ7EU0KMGPL"/>
    <x v="0"/>
    <n v="32"/>
    <s v="male"/>
    <x v="4"/>
    <x v="0"/>
    <n v="81060"/>
    <s v="No%2C they are both the same question asking about availability. Neither one ask for recommendations which is a different answer."/>
    <s v="No. All of the text was self-explanatory."/>
    <s v="No"/>
    <s v="NA"/>
    <s v="NA"/>
    <s v="NA"/>
    <s v="NA"/>
    <s v="NA"/>
    <s v="NA"/>
    <s v="NA"/>
    <s v="NA"/>
    <x v="0"/>
    <x v="0"/>
    <s v="NA"/>
    <s v="NA"/>
    <s v="NA"/>
    <s v="NA"/>
    <s v="NA"/>
    <s v="NA"/>
    <x v="0"/>
    <s v="NA"/>
    <s v="NA"/>
    <s v="NA"/>
    <s v="NA"/>
    <x v="1"/>
  </r>
  <r>
    <s v="A1IJ9VL8YPIE3T"/>
    <x v="2"/>
    <n v="28"/>
    <s v="prefernot"/>
    <x v="0"/>
    <x v="0"/>
    <n v="1378718"/>
    <s v="NA"/>
    <s v="NA"/>
    <s v="NA"/>
    <s v="NA"/>
    <s v="NA"/>
    <s v="NA"/>
    <s v="NA"/>
    <s v="NA"/>
    <s v="NA"/>
    <s v="NA"/>
    <s v="NA"/>
    <x v="0"/>
    <x v="0"/>
    <s v="NA"/>
    <s v="NA"/>
    <s v="NA"/>
    <s v="NA"/>
    <s v="NA"/>
    <s v="NA"/>
    <x v="0"/>
    <s v="NA"/>
    <s v="NA"/>
    <s v="NA"/>
    <s v="NA"/>
    <x v="1"/>
  </r>
  <r>
    <s v="A1IJ9VL8YPIE3T"/>
    <x v="2"/>
    <n v="28"/>
    <s v="prefernot"/>
    <x v="1"/>
    <x v="1"/>
    <n v="78254"/>
    <n v="0"/>
    <n v="1"/>
    <n v="1"/>
    <n v="0"/>
    <s v="NA"/>
    <s v="NA"/>
    <s v="NA"/>
    <s v="NA"/>
    <s v="NA"/>
    <s v="NA"/>
    <s v="NA"/>
    <x v="0"/>
    <x v="0"/>
    <s v="NA"/>
    <s v="NA"/>
    <s v="NA"/>
    <s v="NA"/>
    <s v="NA"/>
    <s v="NA"/>
    <x v="0"/>
    <s v="NA"/>
    <s v="NA"/>
    <s v="NA"/>
    <s v="NA"/>
    <x v="1"/>
  </r>
  <r>
    <s v="A1IJ9VL8YPIE3T"/>
    <x v="2"/>
    <n v="28"/>
    <s v="prefernot"/>
    <x v="1"/>
    <x v="2"/>
    <n v="114814"/>
    <n v="0"/>
    <n v="0"/>
    <n v="1"/>
    <n v="0"/>
    <s v="NA"/>
    <s v="NA"/>
    <s v="NA"/>
    <s v="NA"/>
    <s v="NA"/>
    <s v="NA"/>
    <s v="NA"/>
    <x v="0"/>
    <x v="0"/>
    <s v="NA"/>
    <s v="NA"/>
    <s v="NA"/>
    <s v="NA"/>
    <s v="NA"/>
    <s v="NA"/>
    <x v="0"/>
    <s v="NA"/>
    <s v="NA"/>
    <s v="NA"/>
    <s v="NA"/>
    <x v="1"/>
  </r>
  <r>
    <s v="A1IJ9VL8YPIE3T"/>
    <x v="2"/>
    <n v="28"/>
    <s v="prefernot"/>
    <x v="2"/>
    <x v="3"/>
    <n v="209759"/>
    <n v="1"/>
    <n v="0"/>
    <n v="0"/>
    <n v="0"/>
    <s v="Cafes D and E."/>
    <s v="Cafe F."/>
    <s v="Cafes A and B."/>
    <s v="ms-l"/>
    <s v="fa"/>
    <s v="ms-h"/>
    <n v="0"/>
    <x v="1"/>
    <x v="2"/>
    <n v="1"/>
    <n v="1"/>
    <n v="0"/>
    <n v="1"/>
    <n v="0"/>
    <n v="0"/>
    <x v="2"/>
    <n v="0"/>
    <n v="1"/>
    <n v="0"/>
    <n v="0"/>
    <x v="1"/>
  </r>
  <r>
    <s v="A1IJ9VL8YPIE3T"/>
    <x v="2"/>
    <n v="28"/>
    <s v="prefernot"/>
    <x v="2"/>
    <x v="11"/>
    <n v="41612"/>
    <n v="0"/>
    <n v="0"/>
    <n v="0"/>
    <n v="1"/>
    <s v="Dentist F."/>
    <s v="Dentists D and E."/>
    <s v="Dentists A, B, C, D and E."/>
    <s v="fa"/>
    <s v="ms-l"/>
    <s v="exh"/>
    <n v="1"/>
    <x v="1"/>
    <x v="2"/>
    <n v="0"/>
    <n v="1"/>
    <n v="0"/>
    <n v="1"/>
    <n v="0"/>
    <n v="0"/>
    <x v="2"/>
    <n v="0"/>
    <n v="0"/>
    <n v="0"/>
    <n v="1"/>
    <x v="1"/>
  </r>
  <r>
    <s v="A1IJ9VL8YPIE3T"/>
    <x v="2"/>
    <n v="28"/>
    <s v="prefernot"/>
    <x v="3"/>
    <x v="8"/>
    <n v="24679"/>
    <n v="1"/>
    <n v="1"/>
    <n v="0"/>
    <n v="0"/>
    <s v="NA"/>
    <s v="NA"/>
    <s v="NA"/>
    <s v="NA"/>
    <s v="NA"/>
    <s v="NA"/>
    <s v="NA"/>
    <x v="1"/>
    <x v="2"/>
    <n v="0"/>
    <n v="1"/>
    <n v="0"/>
    <n v="1"/>
    <n v="0"/>
    <n v="0"/>
    <x v="2"/>
    <n v="0"/>
    <n v="0"/>
    <n v="0"/>
    <n v="1"/>
    <x v="1"/>
  </r>
  <r>
    <s v="A1IJ9VL8YPIE3T"/>
    <x v="2"/>
    <n v="28"/>
    <s v="prefernot"/>
    <x v="2"/>
    <x v="6"/>
    <n v="10313"/>
    <n v="0"/>
    <n v="1"/>
    <n v="0"/>
    <n v="0"/>
    <s v="Bookstore F."/>
    <s v="Bookstore A."/>
    <s v="Bookstores A and B."/>
    <s v="fa"/>
    <s v="mo-h"/>
    <s v="ms-h"/>
    <n v="0"/>
    <x v="2"/>
    <x v="2"/>
    <n v="1"/>
    <n v="0"/>
    <n v="0"/>
    <n v="1"/>
    <n v="0"/>
    <n v="1"/>
    <x v="2"/>
    <n v="0"/>
    <n v="0"/>
    <n v="0"/>
    <n v="0"/>
    <x v="1"/>
  </r>
  <r>
    <s v="A1IJ9VL8YPIE3T"/>
    <x v="2"/>
    <n v="28"/>
    <s v="prefernot"/>
    <x v="2"/>
    <x v="7"/>
    <n v="16117"/>
    <n v="0"/>
    <n v="0"/>
    <n v="1"/>
    <n v="0"/>
    <s v="Stylists A and B."/>
    <s v="Stylists D and E."/>
    <s v="Stylist A."/>
    <s v="ms-h"/>
    <s v="ms-l"/>
    <s v="mo-h"/>
    <n v="0"/>
    <x v="2"/>
    <x v="2"/>
    <n v="1"/>
    <n v="1"/>
    <n v="0"/>
    <n v="1"/>
    <n v="0"/>
    <n v="1"/>
    <x v="2"/>
    <n v="0"/>
    <n v="0"/>
    <n v="0"/>
    <n v="0"/>
    <x v="1"/>
  </r>
  <r>
    <s v="A1IJ9VL8YPIE3T"/>
    <x v="2"/>
    <n v="28"/>
    <s v="prefernot"/>
    <x v="3"/>
    <x v="10"/>
    <n v="34055"/>
    <n v="1"/>
    <n v="0"/>
    <n v="1"/>
    <n v="0"/>
    <s v="NA"/>
    <s v="NA"/>
    <s v="NA"/>
    <s v="NA"/>
    <s v="NA"/>
    <s v="NA"/>
    <s v="NA"/>
    <x v="2"/>
    <x v="2"/>
    <n v="1"/>
    <n v="1"/>
    <n v="0"/>
    <n v="1"/>
    <n v="0"/>
    <n v="1"/>
    <x v="2"/>
    <n v="0"/>
    <n v="0"/>
    <n v="0"/>
    <n v="0"/>
    <x v="1"/>
  </r>
  <r>
    <s v="A1IJ9VL8YPIE3T"/>
    <x v="2"/>
    <n v="28"/>
    <s v="prefernot"/>
    <x v="2"/>
    <x v="9"/>
    <n v="8366"/>
    <n v="1"/>
    <n v="0"/>
    <n v="0"/>
    <n v="0"/>
    <s v="Store F."/>
    <s v="Stores A and B."/>
    <s v="Stores A, B, C, D and E."/>
    <s v="fa"/>
    <s v="ms-h"/>
    <s v="exh"/>
    <n v="1"/>
    <x v="1"/>
    <x v="2"/>
    <n v="1"/>
    <n v="0"/>
    <n v="0"/>
    <n v="1"/>
    <n v="0"/>
    <n v="0"/>
    <x v="2"/>
    <n v="0"/>
    <n v="0"/>
    <n v="0"/>
    <n v="0"/>
    <x v="1"/>
  </r>
  <r>
    <s v="A1IJ9VL8YPIE3T"/>
    <x v="2"/>
    <n v="28"/>
    <s v="prefernot"/>
    <x v="3"/>
    <x v="12"/>
    <n v="39548"/>
    <n v="1"/>
    <n v="0"/>
    <n v="0"/>
    <n v="0"/>
    <s v="NA"/>
    <s v="NA"/>
    <s v="NA"/>
    <s v="NA"/>
    <s v="NA"/>
    <s v="NA"/>
    <s v="NA"/>
    <x v="1"/>
    <x v="2"/>
    <n v="1"/>
    <n v="0"/>
    <n v="0"/>
    <n v="1"/>
    <n v="0"/>
    <n v="0"/>
    <x v="2"/>
    <n v="0"/>
    <n v="0"/>
    <n v="0"/>
    <n v="0"/>
    <x v="1"/>
  </r>
  <r>
    <s v="A1IJ9VL8YPIE3T"/>
    <x v="2"/>
    <n v="28"/>
    <s v="prefernot"/>
    <x v="2"/>
    <x v="4"/>
    <n v="8252"/>
    <n v="1"/>
    <n v="0"/>
    <n v="0"/>
    <n v="0"/>
    <s v="Stall E."/>
    <s v="Stalls D and E."/>
    <s v="Stalls A and B."/>
    <s v="mo-l"/>
    <s v="ms-l"/>
    <s v="ms-h"/>
    <n v="0"/>
    <x v="1"/>
    <x v="1"/>
    <n v="1"/>
    <n v="1"/>
    <n v="0"/>
    <n v="1"/>
    <n v="0"/>
    <n v="0"/>
    <x v="1"/>
    <n v="0"/>
    <n v="0"/>
    <n v="0"/>
    <n v="0"/>
    <x v="1"/>
  </r>
  <r>
    <s v="A1IJ9VL8YPIE3T"/>
    <x v="2"/>
    <n v="28"/>
    <s v="prefernot"/>
    <x v="3"/>
    <x v="5"/>
    <n v="9007"/>
    <n v="0"/>
    <n v="1"/>
    <n v="0"/>
    <n v="0"/>
    <s v="NA"/>
    <s v="NA"/>
    <s v="NA"/>
    <s v="NA"/>
    <s v="NA"/>
    <s v="NA"/>
    <s v="NA"/>
    <x v="1"/>
    <x v="1"/>
    <n v="1"/>
    <n v="1"/>
    <n v="0"/>
    <n v="1"/>
    <n v="0"/>
    <n v="0"/>
    <x v="1"/>
    <n v="0"/>
    <n v="0"/>
    <n v="0"/>
    <n v="0"/>
    <x v="1"/>
  </r>
  <r>
    <s v="A1IJ9VL8YPIE3T"/>
    <x v="2"/>
    <n v="28"/>
    <s v="prefernot"/>
    <x v="4"/>
    <x v="0"/>
    <n v="93440"/>
    <s v="go to top rated restaurants "/>
    <s v="no"/>
    <s v="good"/>
    <s v="NA"/>
    <s v="NA"/>
    <s v="NA"/>
    <s v="NA"/>
    <s v="NA"/>
    <s v="NA"/>
    <s v="NA"/>
    <s v="NA"/>
    <x v="0"/>
    <x v="0"/>
    <s v="NA"/>
    <s v="NA"/>
    <s v="NA"/>
    <s v="NA"/>
    <s v="NA"/>
    <s v="NA"/>
    <x v="0"/>
    <s v="NA"/>
    <s v="NA"/>
    <s v="NA"/>
    <s v="NA"/>
    <x v="1"/>
  </r>
  <r>
    <s v="A3IYDY7TO808Z3"/>
    <x v="0"/>
    <n v="32"/>
    <s v="female"/>
    <x v="0"/>
    <x v="0"/>
    <n v="74052"/>
    <s v="NA"/>
    <s v="NA"/>
    <s v="NA"/>
    <s v="NA"/>
    <s v="NA"/>
    <s v="NA"/>
    <s v="NA"/>
    <s v="NA"/>
    <s v="NA"/>
    <s v="NA"/>
    <s v="NA"/>
    <x v="0"/>
    <x v="0"/>
    <s v="NA"/>
    <s v="NA"/>
    <s v="NA"/>
    <s v="NA"/>
    <s v="NA"/>
    <s v="NA"/>
    <x v="0"/>
    <s v="NA"/>
    <s v="NA"/>
    <s v="NA"/>
    <s v="NA"/>
    <x v="1"/>
  </r>
  <r>
    <s v="A3IYDY7TO808Z3"/>
    <x v="0"/>
    <n v="32"/>
    <s v="female"/>
    <x v="1"/>
    <x v="1"/>
    <n v="35808"/>
    <n v="0"/>
    <n v="0"/>
    <n v="0"/>
    <n v="1"/>
    <s v="NA"/>
    <s v="NA"/>
    <s v="NA"/>
    <s v="NA"/>
    <s v="NA"/>
    <s v="NA"/>
    <s v="NA"/>
    <x v="0"/>
    <x v="0"/>
    <s v="NA"/>
    <s v="NA"/>
    <s v="NA"/>
    <s v="NA"/>
    <s v="NA"/>
    <s v="NA"/>
    <x v="0"/>
    <s v="NA"/>
    <s v="NA"/>
    <s v="NA"/>
    <s v="NA"/>
    <x v="1"/>
  </r>
  <r>
    <s v="A3IYDY7TO808Z3"/>
    <x v="0"/>
    <n v="32"/>
    <s v="female"/>
    <x v="1"/>
    <x v="2"/>
    <n v="37824"/>
    <n v="0"/>
    <n v="0"/>
    <n v="1"/>
    <n v="0"/>
    <s v="NA"/>
    <s v="NA"/>
    <s v="NA"/>
    <s v="NA"/>
    <s v="NA"/>
    <s v="NA"/>
    <s v="NA"/>
    <x v="0"/>
    <x v="0"/>
    <s v="NA"/>
    <s v="NA"/>
    <s v="NA"/>
    <s v="NA"/>
    <s v="NA"/>
    <s v="NA"/>
    <x v="0"/>
    <s v="NA"/>
    <s v="NA"/>
    <s v="NA"/>
    <s v="NA"/>
    <x v="1"/>
  </r>
  <r>
    <s v="A3IYDY7TO808Z3"/>
    <x v="0"/>
    <n v="32"/>
    <s v="female"/>
    <x v="2"/>
    <x v="6"/>
    <n v="55769"/>
    <n v="0"/>
    <n v="0"/>
    <n v="0"/>
    <n v="1"/>
    <s v="Bookstores A and B."/>
    <s v="Bookstore E."/>
    <s v="Bookstores D and E."/>
    <s v="ms-h"/>
    <s v="mo-l"/>
    <s v="ms-l"/>
    <n v="0"/>
    <x v="1"/>
    <x v="1"/>
    <n v="1"/>
    <n v="1"/>
    <n v="0"/>
    <n v="1"/>
    <n v="0"/>
    <n v="0"/>
    <x v="2"/>
    <n v="0"/>
    <n v="0"/>
    <n v="0"/>
    <n v="1"/>
    <x v="1"/>
  </r>
  <r>
    <s v="A3IYDY7TO808Z3"/>
    <x v="0"/>
    <n v="32"/>
    <s v="female"/>
    <x v="2"/>
    <x v="3"/>
    <n v="27325"/>
    <n v="0"/>
    <n v="1"/>
    <n v="0"/>
    <n v="0"/>
    <s v="Cafe E."/>
    <s v="Cafe A."/>
    <s v="Cafe F."/>
    <s v="mo-l"/>
    <s v="mo-h"/>
    <s v="fa"/>
    <n v="0"/>
    <x v="2"/>
    <x v="1"/>
    <n v="0"/>
    <n v="0"/>
    <n v="0"/>
    <n v="1"/>
    <n v="0"/>
    <n v="1"/>
    <x v="2"/>
    <n v="0"/>
    <n v="0"/>
    <n v="0"/>
    <n v="0"/>
    <x v="1"/>
  </r>
  <r>
    <s v="A3IYDY7TO808Z3"/>
    <x v="0"/>
    <n v="32"/>
    <s v="female"/>
    <x v="3"/>
    <x v="5"/>
    <n v="31164"/>
    <n v="0"/>
    <n v="0"/>
    <n v="1"/>
    <n v="0"/>
    <s v="NA"/>
    <s v="NA"/>
    <s v="NA"/>
    <s v="NA"/>
    <s v="NA"/>
    <s v="NA"/>
    <s v="NA"/>
    <x v="2"/>
    <x v="1"/>
    <n v="0"/>
    <n v="0"/>
    <n v="0"/>
    <n v="1"/>
    <n v="0"/>
    <n v="1"/>
    <x v="2"/>
    <n v="0"/>
    <n v="0"/>
    <n v="0"/>
    <n v="0"/>
    <x v="1"/>
  </r>
  <r>
    <s v="A3IYDY7TO808Z3"/>
    <x v="0"/>
    <n v="32"/>
    <s v="female"/>
    <x v="2"/>
    <x v="11"/>
    <n v="25655"/>
    <n v="0"/>
    <n v="1"/>
    <n v="0"/>
    <n v="0"/>
    <s v="Dentist E."/>
    <s v="Dentist A."/>
    <s v="Dentist F."/>
    <s v="mo-l"/>
    <s v="mo-h"/>
    <s v="fa"/>
    <n v="0"/>
    <x v="2"/>
    <x v="1"/>
    <n v="0"/>
    <n v="0"/>
    <n v="0"/>
    <n v="1"/>
    <n v="0"/>
    <n v="1"/>
    <x v="2"/>
    <n v="0"/>
    <n v="0"/>
    <n v="0"/>
    <n v="0"/>
    <x v="1"/>
  </r>
  <r>
    <s v="A3IYDY7TO808Z3"/>
    <x v="0"/>
    <n v="32"/>
    <s v="female"/>
    <x v="2"/>
    <x v="9"/>
    <n v="23382"/>
    <n v="0"/>
    <n v="1"/>
    <n v="1"/>
    <n v="0"/>
    <s v="Store E."/>
    <s v="Store A."/>
    <s v="Stores A, B, C, D and E."/>
    <s v="mo-l"/>
    <s v="mo-h"/>
    <s v="exh"/>
    <n v="1"/>
    <x v="2"/>
    <x v="1"/>
    <n v="0"/>
    <n v="0"/>
    <n v="0"/>
    <n v="1"/>
    <n v="1"/>
    <n v="1"/>
    <x v="2"/>
    <n v="0"/>
    <n v="0"/>
    <n v="0"/>
    <n v="0"/>
    <x v="1"/>
  </r>
  <r>
    <s v="A3IYDY7TO808Z3"/>
    <x v="0"/>
    <n v="32"/>
    <s v="female"/>
    <x v="3"/>
    <x v="8"/>
    <n v="32477"/>
    <n v="1"/>
    <n v="1"/>
    <n v="0"/>
    <n v="0"/>
    <s v="NA"/>
    <s v="NA"/>
    <s v="NA"/>
    <s v="NA"/>
    <s v="NA"/>
    <s v="NA"/>
    <s v="NA"/>
    <x v="2"/>
    <x v="1"/>
    <n v="0"/>
    <n v="0"/>
    <n v="0"/>
    <n v="1"/>
    <n v="1"/>
    <n v="1"/>
    <x v="2"/>
    <n v="0"/>
    <n v="0"/>
    <n v="0"/>
    <n v="0"/>
    <x v="1"/>
  </r>
  <r>
    <s v="A3IYDY7TO808Z3"/>
    <x v="0"/>
    <n v="32"/>
    <s v="female"/>
    <x v="2"/>
    <x v="4"/>
    <n v="38483"/>
    <n v="0"/>
    <n v="1"/>
    <n v="0"/>
    <n v="0"/>
    <s v="Stalls D and E."/>
    <s v="Stall A."/>
    <s v="Stall F."/>
    <s v="ms-l"/>
    <s v="mo-h"/>
    <s v="fa"/>
    <n v="0"/>
    <x v="2"/>
    <x v="2"/>
    <n v="0"/>
    <n v="1"/>
    <n v="0"/>
    <n v="1"/>
    <n v="0"/>
    <n v="1"/>
    <x v="2"/>
    <n v="0"/>
    <n v="0"/>
    <n v="0"/>
    <n v="0"/>
    <x v="1"/>
  </r>
  <r>
    <s v="A3IYDY7TO808Z3"/>
    <x v="0"/>
    <n v="32"/>
    <s v="female"/>
    <x v="3"/>
    <x v="12"/>
    <n v="20221"/>
    <n v="1"/>
    <n v="1"/>
    <n v="0"/>
    <n v="0"/>
    <s v="NA"/>
    <s v="NA"/>
    <s v="NA"/>
    <s v="NA"/>
    <s v="NA"/>
    <s v="NA"/>
    <s v="NA"/>
    <x v="2"/>
    <x v="2"/>
    <n v="0"/>
    <n v="1"/>
    <n v="0"/>
    <n v="1"/>
    <n v="0"/>
    <n v="1"/>
    <x v="2"/>
    <n v="0"/>
    <n v="0"/>
    <n v="0"/>
    <n v="0"/>
    <x v="1"/>
  </r>
  <r>
    <s v="A3IYDY7TO808Z3"/>
    <x v="0"/>
    <n v="32"/>
    <s v="female"/>
    <x v="2"/>
    <x v="7"/>
    <n v="52007"/>
    <n v="0"/>
    <n v="0"/>
    <n v="1"/>
    <n v="0"/>
    <s v="Stylists A and B."/>
    <s v="Stylists A, B, C, D and E."/>
    <s v="Stylist A."/>
    <s v="ms-h"/>
    <s v="exh"/>
    <s v="mo-h"/>
    <n v="1"/>
    <x v="2"/>
    <x v="2"/>
    <n v="1"/>
    <n v="0"/>
    <n v="0"/>
    <n v="1"/>
    <n v="0"/>
    <n v="1"/>
    <x v="2"/>
    <n v="0"/>
    <n v="0"/>
    <n v="0"/>
    <n v="0"/>
    <x v="1"/>
  </r>
  <r>
    <s v="A3IYDY7TO808Z3"/>
    <x v="0"/>
    <n v="32"/>
    <s v="female"/>
    <x v="3"/>
    <x v="10"/>
    <n v="40887"/>
    <n v="1"/>
    <n v="1"/>
    <n v="1"/>
    <n v="0"/>
    <s v="NA"/>
    <s v="NA"/>
    <s v="NA"/>
    <s v="NA"/>
    <s v="NA"/>
    <s v="NA"/>
    <s v="NA"/>
    <x v="2"/>
    <x v="2"/>
    <n v="1"/>
    <n v="0"/>
    <n v="0"/>
    <n v="1"/>
    <n v="0"/>
    <n v="1"/>
    <x v="2"/>
    <n v="0"/>
    <n v="0"/>
    <n v="0"/>
    <n v="0"/>
    <x v="1"/>
  </r>
  <r>
    <s v="A3IYDY7TO808Z3"/>
    <x v="0"/>
    <n v="32"/>
    <s v="female"/>
    <x v="4"/>
    <x v="0"/>
    <n v="49559"/>
    <s v="No%2C because both are asking for where brunch is served in town"/>
    <s v="Yes%2C because it's hard to infer context in so few sentences"/>
    <s v="No."/>
    <s v="NA"/>
    <s v="NA"/>
    <s v="NA"/>
    <s v="NA"/>
    <s v="NA"/>
    <s v="NA"/>
    <s v="NA"/>
    <s v="NA"/>
    <x v="0"/>
    <x v="0"/>
    <s v="NA"/>
    <s v="NA"/>
    <s v="NA"/>
    <s v="NA"/>
    <s v="NA"/>
    <s v="NA"/>
    <x v="0"/>
    <s v="NA"/>
    <s v="NA"/>
    <s v="NA"/>
    <s v="NA"/>
    <x v="1"/>
  </r>
  <r>
    <s v="A3DEG7PE4RFCWB"/>
    <x v="0"/>
    <n v="76"/>
    <s v="female"/>
    <x v="0"/>
    <x v="0"/>
    <n v="144168"/>
    <s v="NA"/>
    <s v="NA"/>
    <s v="NA"/>
    <s v="NA"/>
    <s v="NA"/>
    <s v="NA"/>
    <s v="NA"/>
    <s v="NA"/>
    <s v="NA"/>
    <s v="NA"/>
    <s v="NA"/>
    <x v="0"/>
    <x v="0"/>
    <s v="NA"/>
    <s v="NA"/>
    <s v="NA"/>
    <s v="NA"/>
    <s v="NA"/>
    <s v="NA"/>
    <x v="0"/>
    <s v="NA"/>
    <s v="NA"/>
    <s v="NA"/>
    <s v="NA"/>
    <x v="1"/>
  </r>
  <r>
    <s v="A3DEG7PE4RFCWB"/>
    <x v="0"/>
    <n v="76"/>
    <s v="female"/>
    <x v="1"/>
    <x v="1"/>
    <n v="112435"/>
    <n v="0"/>
    <n v="1"/>
    <n v="1"/>
    <n v="0"/>
    <s v="NA"/>
    <s v="NA"/>
    <s v="NA"/>
    <s v="NA"/>
    <s v="NA"/>
    <s v="NA"/>
    <s v="NA"/>
    <x v="0"/>
    <x v="0"/>
    <s v="NA"/>
    <s v="NA"/>
    <s v="NA"/>
    <s v="NA"/>
    <s v="NA"/>
    <s v="NA"/>
    <x v="0"/>
    <s v="NA"/>
    <s v="NA"/>
    <s v="NA"/>
    <s v="NA"/>
    <x v="1"/>
  </r>
  <r>
    <s v="A3DEG7PE4RFCWB"/>
    <x v="0"/>
    <n v="76"/>
    <s v="female"/>
    <x v="1"/>
    <x v="2"/>
    <n v="94331"/>
    <n v="0"/>
    <n v="0"/>
    <n v="1"/>
    <n v="0"/>
    <s v="NA"/>
    <s v="NA"/>
    <s v="NA"/>
    <s v="NA"/>
    <s v="NA"/>
    <s v="NA"/>
    <s v="NA"/>
    <x v="0"/>
    <x v="0"/>
    <s v="NA"/>
    <s v="NA"/>
    <s v="NA"/>
    <s v="NA"/>
    <s v="NA"/>
    <s v="NA"/>
    <x v="0"/>
    <s v="NA"/>
    <s v="NA"/>
    <s v="NA"/>
    <s v="NA"/>
    <x v="1"/>
  </r>
  <r>
    <s v="A3DEG7PE4RFCWB"/>
    <x v="0"/>
    <n v="76"/>
    <s v="female"/>
    <x v="2"/>
    <x v="6"/>
    <n v="161769"/>
    <n v="0"/>
    <n v="0"/>
    <n v="0"/>
    <n v="1"/>
    <s v="Bookstores A, B, C, D and E."/>
    <s v="Bookstore E."/>
    <s v="Bookstores D and E."/>
    <s v="exh"/>
    <s v="mo-l"/>
    <s v="ms-l"/>
    <n v="1"/>
    <x v="1"/>
    <x v="1"/>
    <n v="0"/>
    <n v="1"/>
    <n v="0"/>
    <n v="1"/>
    <n v="0"/>
    <n v="0"/>
    <x v="2"/>
    <n v="0"/>
    <n v="0"/>
    <n v="0"/>
    <n v="1"/>
    <x v="1"/>
  </r>
  <r>
    <s v="A3DEG7PE4RFCWB"/>
    <x v="0"/>
    <n v="76"/>
    <s v="female"/>
    <x v="2"/>
    <x v="7"/>
    <n v="140383"/>
    <n v="1"/>
    <n v="0"/>
    <n v="0"/>
    <n v="0"/>
    <s v="Stylists D and E."/>
    <s v="Stylist F."/>
    <s v="Stylists A and B."/>
    <s v="ms-l"/>
    <s v="fa"/>
    <s v="ms-h"/>
    <n v="0"/>
    <x v="1"/>
    <x v="2"/>
    <n v="1"/>
    <n v="1"/>
    <n v="0"/>
    <n v="1"/>
    <n v="0"/>
    <n v="0"/>
    <x v="2"/>
    <n v="0"/>
    <n v="1"/>
    <n v="0"/>
    <n v="0"/>
    <x v="1"/>
  </r>
  <r>
    <s v="A3DEG7PE4RFCWB"/>
    <x v="0"/>
    <n v="76"/>
    <s v="female"/>
    <x v="3"/>
    <x v="10"/>
    <n v="113751"/>
    <n v="1"/>
    <n v="0"/>
    <n v="0"/>
    <n v="0"/>
    <s v="NA"/>
    <s v="NA"/>
    <s v="NA"/>
    <s v="NA"/>
    <s v="NA"/>
    <s v="NA"/>
    <s v="NA"/>
    <x v="1"/>
    <x v="2"/>
    <n v="1"/>
    <n v="1"/>
    <n v="0"/>
    <n v="1"/>
    <n v="0"/>
    <n v="0"/>
    <x v="2"/>
    <n v="0"/>
    <n v="1"/>
    <n v="0"/>
    <n v="0"/>
    <x v="1"/>
  </r>
  <r>
    <s v="A3DEG7PE4RFCWB"/>
    <x v="0"/>
    <n v="76"/>
    <s v="female"/>
    <x v="2"/>
    <x v="4"/>
    <n v="15501"/>
    <n v="0"/>
    <n v="1"/>
    <n v="0"/>
    <n v="0"/>
    <s v="Stalls D and E."/>
    <s v="Stalls A, B, C, D and E."/>
    <s v="Stall F."/>
    <s v="ms-l"/>
    <s v="exh"/>
    <s v="fa"/>
    <n v="1"/>
    <x v="1"/>
    <x v="2"/>
    <n v="0"/>
    <n v="1"/>
    <n v="0"/>
    <n v="1"/>
    <n v="1"/>
    <n v="0"/>
    <x v="2"/>
    <n v="0"/>
    <n v="0"/>
    <n v="0"/>
    <n v="0"/>
    <x v="1"/>
  </r>
  <r>
    <s v="A3DEG7PE4RFCWB"/>
    <x v="0"/>
    <n v="76"/>
    <s v="female"/>
    <x v="3"/>
    <x v="5"/>
    <n v="12907"/>
    <n v="0"/>
    <n v="0"/>
    <n v="1"/>
    <n v="0"/>
    <s v="NA"/>
    <s v="NA"/>
    <s v="NA"/>
    <s v="NA"/>
    <s v="NA"/>
    <s v="NA"/>
    <s v="NA"/>
    <x v="1"/>
    <x v="2"/>
    <n v="0"/>
    <n v="1"/>
    <n v="0"/>
    <n v="1"/>
    <n v="1"/>
    <n v="0"/>
    <x v="2"/>
    <n v="0"/>
    <n v="0"/>
    <n v="0"/>
    <n v="0"/>
    <x v="1"/>
  </r>
  <r>
    <s v="A3DEG7PE4RFCWB"/>
    <x v="0"/>
    <n v="76"/>
    <s v="female"/>
    <x v="2"/>
    <x v="3"/>
    <n v="11227"/>
    <n v="0"/>
    <n v="1"/>
    <n v="0"/>
    <n v="0"/>
    <s v="Cafes A, B, C, D and E."/>
    <s v="Cafe A."/>
    <s v="Cafe E."/>
    <s v="exh"/>
    <s v="mo-h"/>
    <s v="mo-l"/>
    <n v="1"/>
    <x v="2"/>
    <x v="1"/>
    <n v="0"/>
    <n v="0"/>
    <n v="0"/>
    <n v="1"/>
    <n v="0"/>
    <n v="1"/>
    <x v="2"/>
    <n v="0"/>
    <n v="0"/>
    <n v="0"/>
    <n v="0"/>
    <x v="1"/>
  </r>
  <r>
    <s v="A3DEG7PE4RFCWB"/>
    <x v="0"/>
    <n v="76"/>
    <s v="female"/>
    <x v="2"/>
    <x v="11"/>
    <n v="6453"/>
    <n v="0"/>
    <n v="1"/>
    <n v="0"/>
    <n v="0"/>
    <s v="Dentists A and B."/>
    <s v="Dentist A."/>
    <s v="Dentists D and E."/>
    <s v="ms-h"/>
    <s v="mo-h"/>
    <s v="ms-l"/>
    <n v="0"/>
    <x v="2"/>
    <x v="2"/>
    <n v="1"/>
    <n v="1"/>
    <n v="0"/>
    <n v="1"/>
    <n v="0"/>
    <n v="1"/>
    <x v="2"/>
    <n v="0"/>
    <n v="0"/>
    <n v="0"/>
    <n v="0"/>
    <x v="1"/>
  </r>
  <r>
    <s v="A3DEG7PE4RFCWB"/>
    <x v="0"/>
    <n v="76"/>
    <s v="female"/>
    <x v="3"/>
    <x v="8"/>
    <n v="3331"/>
    <n v="0"/>
    <n v="0"/>
    <n v="1"/>
    <n v="0"/>
    <s v="NA"/>
    <s v="NA"/>
    <s v="NA"/>
    <s v="NA"/>
    <s v="NA"/>
    <s v="NA"/>
    <s v="NA"/>
    <x v="2"/>
    <x v="2"/>
    <n v="1"/>
    <n v="1"/>
    <n v="0"/>
    <n v="1"/>
    <n v="0"/>
    <n v="1"/>
    <x v="2"/>
    <n v="0"/>
    <n v="0"/>
    <n v="0"/>
    <n v="0"/>
    <x v="1"/>
  </r>
  <r>
    <s v="A3DEG7PE4RFCWB"/>
    <x v="0"/>
    <n v="76"/>
    <s v="female"/>
    <x v="2"/>
    <x v="9"/>
    <n v="2778"/>
    <n v="0"/>
    <n v="1"/>
    <n v="0"/>
    <n v="0"/>
    <s v="Store E."/>
    <s v="Store A."/>
    <s v="Stores A, B, C, D and E."/>
    <s v="mo-l"/>
    <s v="mo-h"/>
    <s v="exh"/>
    <n v="1"/>
    <x v="2"/>
    <x v="1"/>
    <n v="0"/>
    <n v="0"/>
    <n v="0"/>
    <n v="1"/>
    <n v="0"/>
    <n v="1"/>
    <x v="2"/>
    <n v="0"/>
    <n v="0"/>
    <n v="0"/>
    <n v="0"/>
    <x v="1"/>
  </r>
  <r>
    <s v="A3DEG7PE4RFCWB"/>
    <x v="0"/>
    <n v="76"/>
    <s v="female"/>
    <x v="3"/>
    <x v="12"/>
    <n v="3835"/>
    <n v="0"/>
    <n v="1"/>
    <n v="0"/>
    <n v="0"/>
    <s v="NA"/>
    <s v="NA"/>
    <s v="NA"/>
    <s v="NA"/>
    <s v="NA"/>
    <s v="NA"/>
    <s v="NA"/>
    <x v="2"/>
    <x v="1"/>
    <n v="0"/>
    <n v="0"/>
    <n v="0"/>
    <n v="1"/>
    <n v="0"/>
    <n v="1"/>
    <x v="2"/>
    <n v="0"/>
    <n v="0"/>
    <n v="0"/>
    <n v="0"/>
    <x v="1"/>
  </r>
  <r>
    <s v="A3DEG7PE4RFCWB"/>
    <x v="0"/>
    <n v="76"/>
    <s v="female"/>
    <x v="4"/>
    <x v="0"/>
    <n v="261219"/>
    <s v="we would go for the famous restaurant in this place for brunch in town."/>
    <s v="Its very difficult to decide."/>
    <s v="nice"/>
    <s v="NA"/>
    <s v="NA"/>
    <s v="NA"/>
    <s v="NA"/>
    <s v="NA"/>
    <s v="NA"/>
    <s v="NA"/>
    <s v="NA"/>
    <x v="0"/>
    <x v="0"/>
    <s v="NA"/>
    <s v="NA"/>
    <s v="NA"/>
    <s v="NA"/>
    <s v="NA"/>
    <s v="NA"/>
    <x v="0"/>
    <s v="NA"/>
    <s v="NA"/>
    <s v="NA"/>
    <s v="NA"/>
    <x v="1"/>
  </r>
  <r>
    <s v="AHZ7C7ETHYX3N"/>
    <x v="0"/>
    <n v="60"/>
    <s v="male"/>
    <x v="0"/>
    <x v="0"/>
    <n v="19078"/>
    <s v="NA"/>
    <s v="NA"/>
    <s v="NA"/>
    <s v="NA"/>
    <s v="NA"/>
    <s v="NA"/>
    <s v="NA"/>
    <s v="NA"/>
    <s v="NA"/>
    <s v="NA"/>
    <s v="NA"/>
    <x v="0"/>
    <x v="0"/>
    <s v="NA"/>
    <s v="NA"/>
    <s v="NA"/>
    <s v="NA"/>
    <s v="NA"/>
    <s v="NA"/>
    <x v="0"/>
    <s v="NA"/>
    <s v="NA"/>
    <s v="NA"/>
    <s v="NA"/>
    <x v="1"/>
  </r>
  <r>
    <s v="AHZ7C7ETHYX3N"/>
    <x v="0"/>
    <n v="60"/>
    <s v="male"/>
    <x v="1"/>
    <x v="1"/>
    <n v="36576"/>
    <n v="0"/>
    <n v="0"/>
    <n v="0"/>
    <n v="1"/>
    <s v="NA"/>
    <s v="NA"/>
    <s v="NA"/>
    <s v="NA"/>
    <s v="NA"/>
    <s v="NA"/>
    <s v="NA"/>
    <x v="0"/>
    <x v="0"/>
    <s v="NA"/>
    <s v="NA"/>
    <s v="NA"/>
    <s v="NA"/>
    <s v="NA"/>
    <s v="NA"/>
    <x v="0"/>
    <s v="NA"/>
    <s v="NA"/>
    <s v="NA"/>
    <s v="NA"/>
    <x v="1"/>
  </r>
  <r>
    <s v="AHZ7C7ETHYX3N"/>
    <x v="0"/>
    <n v="60"/>
    <s v="male"/>
    <x v="1"/>
    <x v="2"/>
    <n v="24344"/>
    <n v="0"/>
    <n v="0"/>
    <n v="1"/>
    <n v="0"/>
    <s v="NA"/>
    <s v="NA"/>
    <s v="NA"/>
    <s v="NA"/>
    <s v="NA"/>
    <s v="NA"/>
    <s v="NA"/>
    <x v="0"/>
    <x v="0"/>
    <s v="NA"/>
    <s v="NA"/>
    <s v="NA"/>
    <s v="NA"/>
    <s v="NA"/>
    <s v="NA"/>
    <x v="0"/>
    <s v="NA"/>
    <s v="NA"/>
    <s v="NA"/>
    <s v="NA"/>
    <x v="1"/>
  </r>
  <r>
    <s v="AHZ7C7ETHYX3N"/>
    <x v="0"/>
    <n v="60"/>
    <s v="male"/>
    <x v="2"/>
    <x v="7"/>
    <n v="52190"/>
    <n v="0"/>
    <n v="0"/>
    <n v="0"/>
    <n v="1"/>
    <s v="Stylists D and E."/>
    <s v="Stylists A, B, C, D and E."/>
    <s v="Stylists A and B."/>
    <s v="ms-l"/>
    <s v="exh"/>
    <s v="ms-h"/>
    <n v="1"/>
    <x v="1"/>
    <x v="2"/>
    <n v="1"/>
    <n v="1"/>
    <n v="0"/>
    <n v="1"/>
    <n v="0"/>
    <n v="0"/>
    <x v="2"/>
    <n v="0"/>
    <n v="0"/>
    <n v="0"/>
    <n v="1"/>
    <x v="1"/>
  </r>
  <r>
    <s v="AHZ7C7ETHYX3N"/>
    <x v="0"/>
    <n v="60"/>
    <s v="male"/>
    <x v="2"/>
    <x v="3"/>
    <n v="50710"/>
    <n v="1"/>
    <n v="1"/>
    <n v="1"/>
    <n v="0"/>
    <s v="Cafe E."/>
    <s v="Cafes A and B."/>
    <s v="Cafe A."/>
    <s v="mo-l"/>
    <s v="ms-h"/>
    <s v="mo-h"/>
    <n v="0"/>
    <x v="2"/>
    <x v="1"/>
    <n v="1"/>
    <n v="0"/>
    <n v="0"/>
    <n v="1"/>
    <n v="0"/>
    <n v="1"/>
    <x v="1"/>
    <n v="1"/>
    <n v="0"/>
    <n v="0"/>
    <n v="0"/>
    <x v="1"/>
  </r>
  <r>
    <s v="AHZ7C7ETHYX3N"/>
    <x v="0"/>
    <n v="60"/>
    <s v="male"/>
    <x v="3"/>
    <x v="5"/>
    <n v="26632"/>
    <n v="1"/>
    <n v="1"/>
    <n v="1"/>
    <n v="0"/>
    <s v="NA"/>
    <s v="NA"/>
    <s v="NA"/>
    <s v="NA"/>
    <s v="NA"/>
    <s v="NA"/>
    <s v="NA"/>
    <x v="2"/>
    <x v="1"/>
    <n v="1"/>
    <n v="0"/>
    <n v="0"/>
    <n v="1"/>
    <n v="0"/>
    <n v="1"/>
    <x v="1"/>
    <n v="1"/>
    <n v="0"/>
    <n v="0"/>
    <n v="0"/>
    <x v="1"/>
  </r>
  <r>
    <s v="AHZ7C7ETHYX3N"/>
    <x v="0"/>
    <n v="60"/>
    <s v="male"/>
    <x v="2"/>
    <x v="11"/>
    <n v="23448"/>
    <n v="0"/>
    <n v="0"/>
    <n v="0"/>
    <n v="1"/>
    <s v="Dentists A and B."/>
    <s v="Dentist E."/>
    <s v="Dentist A."/>
    <s v="ms-h"/>
    <s v="mo-l"/>
    <s v="mo-h"/>
    <n v="0"/>
    <x v="2"/>
    <x v="1"/>
    <n v="1"/>
    <n v="0"/>
    <n v="0"/>
    <n v="1"/>
    <n v="0"/>
    <n v="0"/>
    <x v="2"/>
    <n v="0"/>
    <n v="0"/>
    <n v="0"/>
    <n v="1"/>
    <x v="1"/>
  </r>
  <r>
    <s v="AHZ7C7ETHYX3N"/>
    <x v="0"/>
    <n v="60"/>
    <s v="male"/>
    <x v="3"/>
    <x v="8"/>
    <n v="13192"/>
    <n v="1"/>
    <n v="1"/>
    <n v="0"/>
    <n v="0"/>
    <s v="NA"/>
    <s v="NA"/>
    <s v="NA"/>
    <s v="NA"/>
    <s v="NA"/>
    <s v="NA"/>
    <s v="NA"/>
    <x v="2"/>
    <x v="1"/>
    <n v="1"/>
    <n v="0"/>
    <n v="0"/>
    <n v="1"/>
    <n v="0"/>
    <n v="0"/>
    <x v="2"/>
    <n v="0"/>
    <n v="0"/>
    <n v="0"/>
    <n v="1"/>
    <x v="1"/>
  </r>
  <r>
    <s v="AHZ7C7ETHYX3N"/>
    <x v="0"/>
    <n v="60"/>
    <s v="male"/>
    <x v="2"/>
    <x v="4"/>
    <n v="24292"/>
    <n v="1"/>
    <n v="1"/>
    <n v="1"/>
    <n v="0"/>
    <s v="Stalls A and B."/>
    <s v="Stalls D and E."/>
    <s v="Stalls A, B, C, D and E."/>
    <s v="ms-h"/>
    <s v="ms-l"/>
    <s v="exh"/>
    <n v="1"/>
    <x v="1"/>
    <x v="2"/>
    <n v="1"/>
    <n v="1"/>
    <n v="0"/>
    <n v="1"/>
    <n v="1"/>
    <n v="0"/>
    <x v="2"/>
    <n v="1"/>
    <n v="1"/>
    <n v="0"/>
    <n v="0"/>
    <x v="1"/>
  </r>
  <r>
    <s v="AHZ7C7ETHYX3N"/>
    <x v="0"/>
    <n v="60"/>
    <s v="male"/>
    <x v="2"/>
    <x v="6"/>
    <n v="32230"/>
    <n v="1"/>
    <n v="1"/>
    <n v="1"/>
    <n v="0"/>
    <s v="Bookstore A."/>
    <s v="Bookstores A, B, C, D and E."/>
    <s v="Bookstore E."/>
    <s v="mo-h"/>
    <s v="exh"/>
    <s v="mo-l"/>
    <n v="1"/>
    <x v="2"/>
    <x v="1"/>
    <n v="0"/>
    <n v="0"/>
    <n v="0"/>
    <n v="1"/>
    <n v="1"/>
    <n v="1"/>
    <x v="1"/>
    <n v="0"/>
    <n v="0"/>
    <n v="0"/>
    <n v="0"/>
    <x v="1"/>
  </r>
  <r>
    <s v="AHZ7C7ETHYX3N"/>
    <x v="0"/>
    <n v="60"/>
    <s v="male"/>
    <x v="3"/>
    <x v="12"/>
    <n v="18070"/>
    <n v="1"/>
    <n v="0"/>
    <n v="0"/>
    <n v="0"/>
    <s v="NA"/>
    <s v="NA"/>
    <s v="NA"/>
    <s v="NA"/>
    <s v="NA"/>
    <s v="NA"/>
    <s v="NA"/>
    <x v="2"/>
    <x v="1"/>
    <n v="0"/>
    <n v="0"/>
    <n v="0"/>
    <n v="1"/>
    <n v="1"/>
    <n v="1"/>
    <x v="1"/>
    <n v="0"/>
    <n v="0"/>
    <n v="0"/>
    <n v="0"/>
    <x v="1"/>
  </r>
  <r>
    <s v="AHZ7C7ETHYX3N"/>
    <x v="0"/>
    <n v="60"/>
    <s v="male"/>
    <x v="2"/>
    <x v="9"/>
    <n v="26118"/>
    <n v="1"/>
    <n v="1"/>
    <n v="1"/>
    <n v="0"/>
    <s v="Stores D and E."/>
    <s v="Store E."/>
    <s v="Stores A and B."/>
    <s v="ms-l"/>
    <s v="mo-l"/>
    <s v="ms-h"/>
    <n v="0"/>
    <x v="1"/>
    <x v="1"/>
    <n v="1"/>
    <n v="1"/>
    <n v="0"/>
    <n v="1"/>
    <n v="0"/>
    <n v="0"/>
    <x v="1"/>
    <n v="1"/>
    <n v="1"/>
    <n v="0"/>
    <n v="0"/>
    <x v="1"/>
  </r>
  <r>
    <s v="AHZ7C7ETHYX3N"/>
    <x v="0"/>
    <n v="60"/>
    <s v="male"/>
    <x v="3"/>
    <x v="10"/>
    <n v="29130"/>
    <n v="0"/>
    <n v="0"/>
    <n v="0"/>
    <n v="1"/>
    <s v="NA"/>
    <s v="NA"/>
    <s v="NA"/>
    <s v="NA"/>
    <s v="NA"/>
    <s v="NA"/>
    <s v="NA"/>
    <x v="1"/>
    <x v="1"/>
    <n v="1"/>
    <n v="1"/>
    <n v="0"/>
    <n v="1"/>
    <n v="0"/>
    <n v="0"/>
    <x v="1"/>
    <n v="1"/>
    <n v="1"/>
    <n v="0"/>
    <n v="0"/>
    <x v="1"/>
  </r>
  <r>
    <s v="AHZ7C7ETHYX3N"/>
    <x v="0"/>
    <n v="60"/>
    <s v="male"/>
    <x v="4"/>
    <x v="0"/>
    <n v="67502"/>
    <s v="I would answer the same%2C it the same question asked in two different ways"/>
    <s v="not difficult but a little confusing"/>
    <s v="no"/>
    <s v="NA"/>
    <s v="NA"/>
    <s v="NA"/>
    <s v="NA"/>
    <s v="NA"/>
    <s v="NA"/>
    <s v="NA"/>
    <s v="NA"/>
    <x v="0"/>
    <x v="0"/>
    <s v="NA"/>
    <s v="NA"/>
    <s v="NA"/>
    <s v="NA"/>
    <s v="NA"/>
    <s v="NA"/>
    <x v="0"/>
    <s v="NA"/>
    <s v="NA"/>
    <s v="NA"/>
    <s v="NA"/>
    <x v="1"/>
  </r>
  <r>
    <s v="AT13EK8JER5C3"/>
    <x v="0"/>
    <n v="28"/>
    <s v="male"/>
    <x v="0"/>
    <x v="0"/>
    <n v="23313"/>
    <s v="NA"/>
    <s v="NA"/>
    <s v="NA"/>
    <s v="NA"/>
    <s v="NA"/>
    <s v="NA"/>
    <s v="NA"/>
    <s v="NA"/>
    <s v="NA"/>
    <s v="NA"/>
    <s v="NA"/>
    <x v="0"/>
    <x v="0"/>
    <s v="NA"/>
    <s v="NA"/>
    <s v="NA"/>
    <s v="NA"/>
    <s v="NA"/>
    <s v="NA"/>
    <x v="0"/>
    <s v="NA"/>
    <s v="NA"/>
    <s v="NA"/>
    <s v="NA"/>
    <x v="1"/>
  </r>
  <r>
    <s v="AT13EK8JER5C3"/>
    <x v="0"/>
    <n v="28"/>
    <s v="male"/>
    <x v="1"/>
    <x v="2"/>
    <n v="14788"/>
    <n v="0"/>
    <n v="0"/>
    <n v="1"/>
    <n v="0"/>
    <s v="NA"/>
    <s v="NA"/>
    <s v="NA"/>
    <s v="NA"/>
    <s v="NA"/>
    <s v="NA"/>
    <s v="NA"/>
    <x v="0"/>
    <x v="0"/>
    <s v="NA"/>
    <s v="NA"/>
    <s v="NA"/>
    <s v="NA"/>
    <s v="NA"/>
    <s v="NA"/>
    <x v="0"/>
    <s v="NA"/>
    <s v="NA"/>
    <s v="NA"/>
    <s v="NA"/>
    <x v="1"/>
  </r>
  <r>
    <s v="AT13EK8JER5C3"/>
    <x v="0"/>
    <n v="28"/>
    <s v="male"/>
    <x v="1"/>
    <x v="1"/>
    <n v="15600"/>
    <n v="0"/>
    <n v="1"/>
    <n v="0"/>
    <n v="0"/>
    <s v="NA"/>
    <s v="NA"/>
    <s v="NA"/>
    <s v="NA"/>
    <s v="NA"/>
    <s v="NA"/>
    <s v="NA"/>
    <x v="0"/>
    <x v="0"/>
    <s v="NA"/>
    <s v="NA"/>
    <s v="NA"/>
    <s v="NA"/>
    <s v="NA"/>
    <s v="NA"/>
    <x v="0"/>
    <s v="NA"/>
    <s v="NA"/>
    <s v="NA"/>
    <s v="NA"/>
    <x v="1"/>
  </r>
  <r>
    <s v="AT13EK8JER5C3"/>
    <x v="0"/>
    <n v="28"/>
    <s v="male"/>
    <x v="2"/>
    <x v="7"/>
    <n v="30595"/>
    <n v="0"/>
    <n v="0"/>
    <n v="0"/>
    <n v="1"/>
    <s v="Stylist E."/>
    <s v="Stylists A and B."/>
    <s v="Stylist A."/>
    <s v="mo-l"/>
    <s v="ms-h"/>
    <s v="mo-h"/>
    <n v="0"/>
    <x v="2"/>
    <x v="1"/>
    <n v="1"/>
    <n v="0"/>
    <n v="0"/>
    <n v="1"/>
    <n v="0"/>
    <n v="0"/>
    <x v="2"/>
    <n v="0"/>
    <n v="0"/>
    <n v="0"/>
    <n v="1"/>
    <x v="1"/>
  </r>
  <r>
    <s v="AT13EK8JER5C3"/>
    <x v="0"/>
    <n v="28"/>
    <s v="male"/>
    <x v="2"/>
    <x v="11"/>
    <n v="10910"/>
    <n v="0"/>
    <n v="0"/>
    <n v="0"/>
    <n v="1"/>
    <s v="Dentists A and B."/>
    <s v="Dentist E."/>
    <s v="Dentist A."/>
    <s v="ms-h"/>
    <s v="mo-l"/>
    <s v="mo-h"/>
    <n v="0"/>
    <x v="2"/>
    <x v="1"/>
    <n v="1"/>
    <n v="0"/>
    <n v="0"/>
    <n v="1"/>
    <n v="0"/>
    <n v="0"/>
    <x v="2"/>
    <n v="0"/>
    <n v="0"/>
    <n v="0"/>
    <n v="1"/>
    <x v="1"/>
  </r>
  <r>
    <s v="AT13EK8JER5C3"/>
    <x v="0"/>
    <n v="28"/>
    <s v="male"/>
    <x v="3"/>
    <x v="10"/>
    <n v="10835"/>
    <n v="0"/>
    <n v="0"/>
    <n v="1"/>
    <n v="0"/>
    <s v="NA"/>
    <s v="NA"/>
    <s v="NA"/>
    <s v="NA"/>
    <s v="NA"/>
    <s v="NA"/>
    <s v="NA"/>
    <x v="2"/>
    <x v="1"/>
    <n v="1"/>
    <n v="0"/>
    <n v="0"/>
    <n v="1"/>
    <n v="0"/>
    <n v="0"/>
    <x v="2"/>
    <n v="0"/>
    <n v="0"/>
    <n v="0"/>
    <n v="1"/>
    <x v="1"/>
  </r>
  <r>
    <s v="AT13EK8JER5C3"/>
    <x v="0"/>
    <n v="28"/>
    <s v="male"/>
    <x v="2"/>
    <x v="9"/>
    <n v="4197"/>
    <n v="0"/>
    <n v="0"/>
    <n v="1"/>
    <n v="0"/>
    <s v="Stores A and B."/>
    <s v="Stores D and E."/>
    <s v="Store E."/>
    <s v="ms-h"/>
    <s v="ms-l"/>
    <s v="mo-l"/>
    <n v="0"/>
    <x v="1"/>
    <x v="1"/>
    <n v="1"/>
    <n v="1"/>
    <n v="0"/>
    <n v="1"/>
    <n v="0"/>
    <n v="0"/>
    <x v="1"/>
    <n v="0"/>
    <n v="0"/>
    <n v="0"/>
    <n v="0"/>
    <x v="1"/>
  </r>
  <r>
    <s v="AT13EK8JER5C3"/>
    <x v="0"/>
    <n v="28"/>
    <s v="male"/>
    <x v="3"/>
    <x v="12"/>
    <n v="4574"/>
    <n v="0"/>
    <n v="0"/>
    <n v="1"/>
    <n v="0"/>
    <s v="NA"/>
    <s v="NA"/>
    <s v="NA"/>
    <s v="NA"/>
    <s v="NA"/>
    <s v="NA"/>
    <s v="NA"/>
    <x v="1"/>
    <x v="1"/>
    <n v="1"/>
    <n v="1"/>
    <n v="0"/>
    <n v="1"/>
    <n v="0"/>
    <n v="0"/>
    <x v="1"/>
    <n v="0"/>
    <n v="0"/>
    <n v="0"/>
    <n v="0"/>
    <x v="1"/>
  </r>
  <r>
    <s v="AT13EK8JER5C3"/>
    <x v="0"/>
    <n v="28"/>
    <s v="male"/>
    <x v="2"/>
    <x v="4"/>
    <n v="5252"/>
    <n v="0"/>
    <n v="1"/>
    <n v="0"/>
    <n v="0"/>
    <s v="Stalls A, B, C, D and E."/>
    <s v="Stall A."/>
    <s v="Stall E."/>
    <s v="exh"/>
    <s v="mo-h"/>
    <s v="mo-l"/>
    <n v="1"/>
    <x v="2"/>
    <x v="1"/>
    <n v="0"/>
    <n v="0"/>
    <n v="0"/>
    <n v="1"/>
    <n v="0"/>
    <n v="1"/>
    <x v="2"/>
    <n v="0"/>
    <n v="0"/>
    <n v="0"/>
    <n v="0"/>
    <x v="1"/>
  </r>
  <r>
    <s v="AT13EK8JER5C3"/>
    <x v="0"/>
    <n v="28"/>
    <s v="male"/>
    <x v="2"/>
    <x v="6"/>
    <n v="3094"/>
    <n v="0"/>
    <n v="1"/>
    <n v="0"/>
    <n v="0"/>
    <s v="Bookstore A."/>
    <s v="Bookstores A and B."/>
    <s v="Bookstores D and E."/>
    <s v="mo-h"/>
    <s v="ms-h"/>
    <s v="ms-l"/>
    <n v="0"/>
    <x v="2"/>
    <x v="2"/>
    <n v="1"/>
    <n v="1"/>
    <n v="0"/>
    <n v="1"/>
    <n v="0"/>
    <n v="0"/>
    <x v="2"/>
    <n v="1"/>
    <n v="0"/>
    <n v="0"/>
    <n v="0"/>
    <x v="1"/>
  </r>
  <r>
    <s v="AT13EK8JER5C3"/>
    <x v="0"/>
    <n v="28"/>
    <s v="male"/>
    <x v="3"/>
    <x v="5"/>
    <n v="2655"/>
    <n v="0"/>
    <n v="0"/>
    <n v="1"/>
    <n v="0"/>
    <s v="NA"/>
    <s v="NA"/>
    <s v="NA"/>
    <s v="NA"/>
    <s v="NA"/>
    <s v="NA"/>
    <s v="NA"/>
    <x v="2"/>
    <x v="2"/>
    <n v="1"/>
    <n v="1"/>
    <n v="0"/>
    <n v="1"/>
    <n v="0"/>
    <n v="0"/>
    <x v="2"/>
    <n v="1"/>
    <n v="0"/>
    <n v="0"/>
    <n v="0"/>
    <x v="1"/>
  </r>
  <r>
    <s v="AT13EK8JER5C3"/>
    <x v="0"/>
    <n v="28"/>
    <s v="male"/>
    <x v="2"/>
    <x v="3"/>
    <n v="5226"/>
    <n v="0"/>
    <n v="0"/>
    <n v="1"/>
    <n v="0"/>
    <s v="Cafes D and E."/>
    <s v="Cafe E."/>
    <s v="Cafe A."/>
    <s v="ms-l"/>
    <s v="mo-l"/>
    <s v="mo-h"/>
    <n v="0"/>
    <x v="2"/>
    <x v="1"/>
    <n v="0"/>
    <n v="1"/>
    <n v="0"/>
    <n v="1"/>
    <n v="0"/>
    <n v="1"/>
    <x v="2"/>
    <n v="0"/>
    <n v="0"/>
    <n v="0"/>
    <n v="0"/>
    <x v="1"/>
  </r>
  <r>
    <s v="AT13EK8JER5C3"/>
    <x v="0"/>
    <n v="28"/>
    <s v="male"/>
    <x v="3"/>
    <x v="8"/>
    <n v="2203"/>
    <n v="0"/>
    <n v="1"/>
    <n v="0"/>
    <n v="0"/>
    <s v="NA"/>
    <s v="NA"/>
    <s v="NA"/>
    <s v="NA"/>
    <s v="NA"/>
    <s v="NA"/>
    <s v="NA"/>
    <x v="2"/>
    <x v="1"/>
    <n v="0"/>
    <n v="1"/>
    <n v="0"/>
    <n v="1"/>
    <n v="0"/>
    <n v="1"/>
    <x v="2"/>
    <n v="0"/>
    <n v="0"/>
    <n v="0"/>
    <n v="0"/>
    <x v="1"/>
  </r>
  <r>
    <s v="AT13EK8JER5C3"/>
    <x v="0"/>
    <n v="28"/>
    <s v="male"/>
    <x v="4"/>
    <x v="0"/>
    <n v="5965"/>
    <m/>
    <m/>
    <m/>
    <s v="NA"/>
    <s v="NA"/>
    <s v="NA"/>
    <s v="NA"/>
    <s v="NA"/>
    <s v="NA"/>
    <s v="NA"/>
    <s v="NA"/>
    <x v="0"/>
    <x v="0"/>
    <s v="NA"/>
    <s v="NA"/>
    <s v="NA"/>
    <s v="NA"/>
    <s v="NA"/>
    <s v="NA"/>
    <x v="0"/>
    <s v="NA"/>
    <s v="NA"/>
    <s v="NA"/>
    <s v="NA"/>
    <x v="1"/>
  </r>
  <r>
    <s v="A1AWHHBTJF1XCH"/>
    <x v="0"/>
    <n v="44"/>
    <s v="female"/>
    <x v="0"/>
    <x v="0"/>
    <n v="44657"/>
    <s v="NA"/>
    <s v="NA"/>
    <s v="NA"/>
    <s v="NA"/>
    <s v="NA"/>
    <s v="NA"/>
    <s v="NA"/>
    <s v="NA"/>
    <s v="NA"/>
    <s v="NA"/>
    <s v="NA"/>
    <x v="0"/>
    <x v="0"/>
    <s v="NA"/>
    <s v="NA"/>
    <s v="NA"/>
    <s v="NA"/>
    <s v="NA"/>
    <s v="NA"/>
    <x v="0"/>
    <s v="NA"/>
    <s v="NA"/>
    <s v="NA"/>
    <s v="NA"/>
    <x v="1"/>
  </r>
  <r>
    <s v="A1AWHHBTJF1XCH"/>
    <x v="0"/>
    <n v="44"/>
    <s v="female"/>
    <x v="1"/>
    <x v="1"/>
    <n v="63943"/>
    <n v="0"/>
    <n v="0"/>
    <n v="0"/>
    <n v="1"/>
    <s v="NA"/>
    <s v="NA"/>
    <s v="NA"/>
    <s v="NA"/>
    <s v="NA"/>
    <s v="NA"/>
    <s v="NA"/>
    <x v="0"/>
    <x v="0"/>
    <s v="NA"/>
    <s v="NA"/>
    <s v="NA"/>
    <s v="NA"/>
    <s v="NA"/>
    <s v="NA"/>
    <x v="0"/>
    <s v="NA"/>
    <s v="NA"/>
    <s v="NA"/>
    <s v="NA"/>
    <x v="1"/>
  </r>
  <r>
    <s v="A1AWHHBTJF1XCH"/>
    <x v="0"/>
    <n v="44"/>
    <s v="female"/>
    <x v="1"/>
    <x v="2"/>
    <n v="102078"/>
    <n v="0"/>
    <n v="0"/>
    <n v="0"/>
    <n v="1"/>
    <s v="NA"/>
    <s v="NA"/>
    <s v="NA"/>
    <s v="NA"/>
    <s v="NA"/>
    <s v="NA"/>
    <s v="NA"/>
    <x v="0"/>
    <x v="0"/>
    <s v="NA"/>
    <s v="NA"/>
    <s v="NA"/>
    <s v="NA"/>
    <s v="NA"/>
    <s v="NA"/>
    <x v="0"/>
    <s v="NA"/>
    <s v="NA"/>
    <s v="NA"/>
    <s v="NA"/>
    <x v="1"/>
  </r>
  <r>
    <s v="A1AWHHBTJF1XCH"/>
    <x v="0"/>
    <n v="44"/>
    <s v="female"/>
    <x v="2"/>
    <x v="4"/>
    <n v="93175"/>
    <n v="0"/>
    <n v="0"/>
    <n v="0"/>
    <n v="1"/>
    <s v="Stall A."/>
    <s v="Stall E."/>
    <s v="Stalls D and E."/>
    <s v="mo-h"/>
    <s v="mo-l"/>
    <s v="ms-l"/>
    <n v="0"/>
    <x v="2"/>
    <x v="1"/>
    <n v="0"/>
    <n v="1"/>
    <n v="0"/>
    <n v="1"/>
    <n v="0"/>
    <n v="0"/>
    <x v="2"/>
    <n v="0"/>
    <n v="0"/>
    <n v="0"/>
    <n v="1"/>
    <x v="1"/>
  </r>
  <r>
    <s v="A1AWHHBTJF1XCH"/>
    <x v="0"/>
    <n v="44"/>
    <s v="female"/>
    <x v="2"/>
    <x v="3"/>
    <n v="67021"/>
    <n v="0"/>
    <n v="0"/>
    <n v="0"/>
    <n v="1"/>
    <s v="Cafes D and E."/>
    <s v="Cafe A."/>
    <s v="Cafe E."/>
    <s v="ms-l"/>
    <s v="mo-h"/>
    <s v="mo-l"/>
    <n v="0"/>
    <x v="2"/>
    <x v="1"/>
    <n v="0"/>
    <n v="1"/>
    <n v="0"/>
    <n v="1"/>
    <n v="0"/>
    <n v="0"/>
    <x v="2"/>
    <n v="0"/>
    <n v="0"/>
    <n v="0"/>
    <n v="1"/>
    <x v="1"/>
  </r>
  <r>
    <s v="A1AWHHBTJF1XCH"/>
    <x v="0"/>
    <n v="44"/>
    <s v="female"/>
    <x v="3"/>
    <x v="12"/>
    <n v="41136"/>
    <n v="1"/>
    <n v="0"/>
    <n v="0"/>
    <n v="0"/>
    <s v="NA"/>
    <s v="NA"/>
    <s v="NA"/>
    <s v="NA"/>
    <s v="NA"/>
    <s v="NA"/>
    <s v="NA"/>
    <x v="2"/>
    <x v="1"/>
    <n v="0"/>
    <n v="1"/>
    <n v="0"/>
    <n v="1"/>
    <n v="0"/>
    <n v="0"/>
    <x v="2"/>
    <n v="0"/>
    <n v="0"/>
    <n v="0"/>
    <n v="1"/>
    <x v="1"/>
  </r>
  <r>
    <s v="A1AWHHBTJF1XCH"/>
    <x v="0"/>
    <n v="44"/>
    <s v="female"/>
    <x v="2"/>
    <x v="9"/>
    <n v="98068"/>
    <n v="0"/>
    <n v="0"/>
    <n v="0"/>
    <n v="1"/>
    <s v="Store A."/>
    <s v="Store F."/>
    <s v="Stores A and B."/>
    <s v="mo-h"/>
    <s v="fa"/>
    <s v="ms-h"/>
    <n v="0"/>
    <x v="2"/>
    <x v="2"/>
    <n v="1"/>
    <n v="0"/>
    <n v="0"/>
    <n v="1"/>
    <n v="0"/>
    <n v="0"/>
    <x v="2"/>
    <n v="0"/>
    <n v="0"/>
    <n v="0"/>
    <n v="1"/>
    <x v="1"/>
  </r>
  <r>
    <s v="A1AWHHBTJF1XCH"/>
    <x v="0"/>
    <n v="44"/>
    <s v="female"/>
    <x v="3"/>
    <x v="5"/>
    <n v="67003"/>
    <n v="0"/>
    <n v="0"/>
    <n v="1"/>
    <n v="0"/>
    <s v="NA"/>
    <s v="NA"/>
    <s v="NA"/>
    <s v="NA"/>
    <s v="NA"/>
    <s v="NA"/>
    <s v="NA"/>
    <x v="2"/>
    <x v="2"/>
    <n v="1"/>
    <n v="0"/>
    <n v="0"/>
    <n v="1"/>
    <n v="0"/>
    <n v="0"/>
    <x v="2"/>
    <n v="0"/>
    <n v="0"/>
    <n v="0"/>
    <n v="1"/>
    <x v="1"/>
  </r>
  <r>
    <s v="A1AWHHBTJF1XCH"/>
    <x v="0"/>
    <n v="44"/>
    <s v="female"/>
    <x v="2"/>
    <x v="11"/>
    <n v="21467"/>
    <n v="0"/>
    <n v="0"/>
    <n v="0"/>
    <n v="1"/>
    <s v="Dentists D and E."/>
    <s v="Dentists A and B."/>
    <s v="Dentists A, B, C, D and E."/>
    <s v="ms-l"/>
    <s v="ms-h"/>
    <s v="exh"/>
    <n v="1"/>
    <x v="1"/>
    <x v="2"/>
    <n v="1"/>
    <n v="1"/>
    <n v="0"/>
    <n v="1"/>
    <n v="0"/>
    <n v="0"/>
    <x v="2"/>
    <n v="0"/>
    <n v="0"/>
    <n v="0"/>
    <n v="1"/>
    <x v="1"/>
  </r>
  <r>
    <s v="A1AWHHBTJF1XCH"/>
    <x v="0"/>
    <n v="44"/>
    <s v="female"/>
    <x v="2"/>
    <x v="6"/>
    <n v="23856"/>
    <n v="0"/>
    <n v="0"/>
    <n v="0"/>
    <n v="1"/>
    <s v="Bookstore F."/>
    <s v="Bookstores D and E."/>
    <s v="Bookstores A and B."/>
    <s v="fa"/>
    <s v="ms-l"/>
    <s v="ms-h"/>
    <n v="0"/>
    <x v="1"/>
    <x v="2"/>
    <n v="1"/>
    <n v="1"/>
    <n v="0"/>
    <n v="1"/>
    <n v="0"/>
    <n v="0"/>
    <x v="2"/>
    <n v="0"/>
    <n v="0"/>
    <n v="0"/>
    <n v="1"/>
    <x v="1"/>
  </r>
  <r>
    <s v="A1AWHHBTJF1XCH"/>
    <x v="0"/>
    <n v="44"/>
    <s v="female"/>
    <x v="3"/>
    <x v="8"/>
    <n v="30954"/>
    <n v="1"/>
    <n v="0"/>
    <n v="0"/>
    <n v="0"/>
    <s v="NA"/>
    <s v="NA"/>
    <s v="NA"/>
    <s v="NA"/>
    <s v="NA"/>
    <s v="NA"/>
    <s v="NA"/>
    <x v="1"/>
    <x v="2"/>
    <n v="1"/>
    <n v="1"/>
    <n v="0"/>
    <n v="1"/>
    <n v="0"/>
    <n v="0"/>
    <x v="2"/>
    <n v="0"/>
    <n v="0"/>
    <n v="0"/>
    <n v="1"/>
    <x v="1"/>
  </r>
  <r>
    <s v="A1AWHHBTJF1XCH"/>
    <x v="0"/>
    <n v="44"/>
    <s v="female"/>
    <x v="2"/>
    <x v="7"/>
    <n v="20441"/>
    <n v="0"/>
    <n v="0"/>
    <n v="0"/>
    <n v="1"/>
    <s v="Stylist F."/>
    <s v="Stylists D and E."/>
    <s v="Stylist E."/>
    <s v="fa"/>
    <s v="ms-l"/>
    <s v="mo-l"/>
    <n v="0"/>
    <x v="1"/>
    <x v="1"/>
    <n v="0"/>
    <n v="1"/>
    <n v="0"/>
    <n v="1"/>
    <n v="0"/>
    <n v="0"/>
    <x v="2"/>
    <n v="0"/>
    <n v="0"/>
    <n v="0"/>
    <n v="1"/>
    <x v="1"/>
  </r>
  <r>
    <s v="A1AWHHBTJF1XCH"/>
    <x v="0"/>
    <n v="44"/>
    <s v="female"/>
    <x v="3"/>
    <x v="10"/>
    <n v="47466"/>
    <n v="0"/>
    <n v="0"/>
    <n v="0"/>
    <n v="1"/>
    <s v="NA"/>
    <s v="NA"/>
    <s v="NA"/>
    <s v="NA"/>
    <s v="NA"/>
    <s v="NA"/>
    <s v="NA"/>
    <x v="1"/>
    <x v="1"/>
    <n v="0"/>
    <n v="1"/>
    <n v="0"/>
    <n v="1"/>
    <n v="0"/>
    <n v="0"/>
    <x v="2"/>
    <n v="0"/>
    <n v="0"/>
    <n v="0"/>
    <n v="1"/>
    <x v="1"/>
  </r>
  <r>
    <s v="A1AWHHBTJF1XCH"/>
    <x v="0"/>
    <n v="44"/>
    <s v="female"/>
    <x v="4"/>
    <x v="0"/>
    <n v="583555"/>
    <s v="No. I think they both would have the same answer."/>
    <s v="No. Not difficult just time consuming for such little pay."/>
    <s v="Yes. This survey takes way to long for the amount of pay. It took me 20 minutes (another 6 mins writing this) to take it so would only pay $3.00 an hour which is not appropriate pay obviously. You should state that in your hit information before we start so we can choose whether to waste our time or not beforehand. You also misrepresent the hit saying we only have to read one story and answer questions about it when really it is a whole series of STORIES and questions. BE HONEST from the start or you will get bad reviews from the workers. Also put a bar across the top telling us our progress so we can see how much longer the hit will take. Once we start we never know when it will end so just keep doing it hoping this is the last question but surveys like these never are and next thing you know its been 20 minutes and you don't want to stop after all the time invested and not get paid anything at all  so just keep going to only get paid a whole dollar. YAY! NOT!! :("/>
    <s v="NA"/>
    <s v="NA"/>
    <s v="NA"/>
    <s v="NA"/>
    <s v="NA"/>
    <s v="NA"/>
    <s v="NA"/>
    <s v="NA"/>
    <x v="0"/>
    <x v="0"/>
    <s v="NA"/>
    <s v="NA"/>
    <s v="NA"/>
    <s v="NA"/>
    <s v="NA"/>
    <s v="NA"/>
    <x v="0"/>
    <s v="NA"/>
    <s v="NA"/>
    <s v="NA"/>
    <s v="NA"/>
    <x v="1"/>
  </r>
  <r>
    <s v="A3OB6REG5CGHK1"/>
    <x v="0"/>
    <n v="56"/>
    <s v="male"/>
    <x v="0"/>
    <x v="0"/>
    <n v="24100"/>
    <s v="NA"/>
    <s v="NA"/>
    <s v="NA"/>
    <s v="NA"/>
    <s v="NA"/>
    <s v="NA"/>
    <s v="NA"/>
    <s v="NA"/>
    <s v="NA"/>
    <s v="NA"/>
    <s v="NA"/>
    <x v="0"/>
    <x v="0"/>
    <s v="NA"/>
    <s v="NA"/>
    <s v="NA"/>
    <s v="NA"/>
    <s v="NA"/>
    <s v="NA"/>
    <x v="0"/>
    <s v="NA"/>
    <s v="NA"/>
    <s v="NA"/>
    <s v="NA"/>
    <x v="1"/>
  </r>
  <r>
    <s v="A3OB6REG5CGHK1"/>
    <x v="0"/>
    <n v="56"/>
    <s v="male"/>
    <x v="1"/>
    <x v="1"/>
    <n v="23818"/>
    <n v="0"/>
    <n v="0"/>
    <n v="0"/>
    <n v="1"/>
    <s v="NA"/>
    <s v="NA"/>
    <s v="NA"/>
    <s v="NA"/>
    <s v="NA"/>
    <s v="NA"/>
    <s v="NA"/>
    <x v="0"/>
    <x v="0"/>
    <s v="NA"/>
    <s v="NA"/>
    <s v="NA"/>
    <s v="NA"/>
    <s v="NA"/>
    <s v="NA"/>
    <x v="0"/>
    <s v="NA"/>
    <s v="NA"/>
    <s v="NA"/>
    <s v="NA"/>
    <x v="1"/>
  </r>
  <r>
    <s v="A3OB6REG5CGHK1"/>
    <x v="0"/>
    <n v="56"/>
    <s v="male"/>
    <x v="1"/>
    <x v="2"/>
    <n v="30059"/>
    <n v="0"/>
    <n v="0"/>
    <n v="1"/>
    <n v="0"/>
    <s v="NA"/>
    <s v="NA"/>
    <s v="NA"/>
    <s v="NA"/>
    <s v="NA"/>
    <s v="NA"/>
    <s v="NA"/>
    <x v="0"/>
    <x v="0"/>
    <s v="NA"/>
    <s v="NA"/>
    <s v="NA"/>
    <s v="NA"/>
    <s v="NA"/>
    <s v="NA"/>
    <x v="0"/>
    <s v="NA"/>
    <s v="NA"/>
    <s v="NA"/>
    <s v="NA"/>
    <x v="1"/>
  </r>
  <r>
    <s v="A3OB6REG5CGHK1"/>
    <x v="0"/>
    <n v="56"/>
    <s v="male"/>
    <x v="2"/>
    <x v="11"/>
    <n v="66628"/>
    <n v="0"/>
    <n v="0"/>
    <n v="0"/>
    <n v="1"/>
    <s v="Dentist E."/>
    <s v="Dentists D and E."/>
    <s v="Dentists A, B, C, D and E."/>
    <s v="mo-l"/>
    <s v="ms-l"/>
    <s v="exh"/>
    <n v="1"/>
    <x v="1"/>
    <x v="1"/>
    <n v="0"/>
    <n v="1"/>
    <n v="0"/>
    <n v="1"/>
    <n v="0"/>
    <n v="0"/>
    <x v="2"/>
    <n v="0"/>
    <n v="0"/>
    <n v="0"/>
    <n v="1"/>
    <x v="1"/>
  </r>
  <r>
    <s v="A3OB6REG5CGHK1"/>
    <x v="0"/>
    <n v="56"/>
    <s v="male"/>
    <x v="2"/>
    <x v="4"/>
    <n v="17871"/>
    <n v="0"/>
    <n v="0"/>
    <n v="0"/>
    <n v="1"/>
    <s v="Stall E."/>
    <s v="Stalls A and B."/>
    <s v="Stalls D and E."/>
    <s v="mo-l"/>
    <s v="ms-h"/>
    <s v="ms-l"/>
    <n v="0"/>
    <x v="1"/>
    <x v="1"/>
    <n v="1"/>
    <n v="1"/>
    <n v="0"/>
    <n v="1"/>
    <n v="0"/>
    <n v="0"/>
    <x v="2"/>
    <n v="0"/>
    <n v="0"/>
    <n v="0"/>
    <n v="1"/>
    <x v="1"/>
  </r>
  <r>
    <s v="A3OB6REG5CGHK1"/>
    <x v="0"/>
    <n v="56"/>
    <s v="male"/>
    <x v="3"/>
    <x v="5"/>
    <n v="21136"/>
    <n v="0"/>
    <n v="0"/>
    <n v="1"/>
    <n v="0"/>
    <s v="NA"/>
    <s v="NA"/>
    <s v="NA"/>
    <s v="NA"/>
    <s v="NA"/>
    <s v="NA"/>
    <s v="NA"/>
    <x v="1"/>
    <x v="1"/>
    <n v="1"/>
    <n v="1"/>
    <n v="0"/>
    <n v="1"/>
    <n v="0"/>
    <n v="0"/>
    <x v="2"/>
    <n v="0"/>
    <n v="0"/>
    <n v="0"/>
    <n v="1"/>
    <x v="1"/>
  </r>
  <r>
    <s v="A3OB6REG5CGHK1"/>
    <x v="0"/>
    <n v="56"/>
    <s v="male"/>
    <x v="2"/>
    <x v="6"/>
    <n v="14226"/>
    <n v="0"/>
    <n v="0"/>
    <n v="1"/>
    <n v="0"/>
    <s v="Bookstore A."/>
    <s v="Bookstore E."/>
    <s v="Bookstores A and B."/>
    <s v="mo-h"/>
    <s v="mo-l"/>
    <s v="ms-h"/>
    <n v="0"/>
    <x v="2"/>
    <x v="1"/>
    <n v="1"/>
    <n v="0"/>
    <n v="0"/>
    <n v="1"/>
    <n v="0"/>
    <n v="0"/>
    <x v="2"/>
    <n v="1"/>
    <n v="0"/>
    <n v="0"/>
    <n v="0"/>
    <x v="1"/>
  </r>
  <r>
    <s v="A3OB6REG5CGHK1"/>
    <x v="0"/>
    <n v="56"/>
    <s v="male"/>
    <x v="2"/>
    <x v="9"/>
    <n v="14519"/>
    <n v="0"/>
    <n v="0"/>
    <n v="0"/>
    <n v="1"/>
    <s v="Stores A and B."/>
    <s v="Stores D and E."/>
    <s v="Store E."/>
    <s v="ms-h"/>
    <s v="ms-l"/>
    <s v="mo-l"/>
    <n v="0"/>
    <x v="1"/>
    <x v="1"/>
    <n v="1"/>
    <n v="1"/>
    <n v="0"/>
    <n v="1"/>
    <n v="0"/>
    <n v="0"/>
    <x v="2"/>
    <n v="0"/>
    <n v="0"/>
    <n v="0"/>
    <n v="1"/>
    <x v="1"/>
  </r>
  <r>
    <s v="A3OB6REG5CGHK1"/>
    <x v="0"/>
    <n v="56"/>
    <s v="male"/>
    <x v="3"/>
    <x v="8"/>
    <n v="22173"/>
    <n v="1"/>
    <n v="0"/>
    <n v="0"/>
    <n v="0"/>
    <s v="NA"/>
    <s v="NA"/>
    <s v="NA"/>
    <s v="NA"/>
    <s v="NA"/>
    <s v="NA"/>
    <s v="NA"/>
    <x v="1"/>
    <x v="1"/>
    <n v="1"/>
    <n v="1"/>
    <n v="0"/>
    <n v="1"/>
    <n v="0"/>
    <n v="0"/>
    <x v="2"/>
    <n v="0"/>
    <n v="0"/>
    <n v="0"/>
    <n v="1"/>
    <x v="1"/>
  </r>
  <r>
    <s v="A3OB6REG5CGHK1"/>
    <x v="0"/>
    <n v="56"/>
    <s v="male"/>
    <x v="2"/>
    <x v="7"/>
    <n v="10424"/>
    <n v="0"/>
    <n v="0"/>
    <n v="0"/>
    <n v="1"/>
    <s v="Stylist A."/>
    <s v="Stylist F."/>
    <s v="Stylists D and E."/>
    <s v="mo-h"/>
    <s v="fa"/>
    <s v="ms-l"/>
    <n v="0"/>
    <x v="2"/>
    <x v="2"/>
    <n v="0"/>
    <n v="1"/>
    <n v="0"/>
    <n v="1"/>
    <n v="0"/>
    <n v="0"/>
    <x v="2"/>
    <n v="0"/>
    <n v="0"/>
    <n v="0"/>
    <n v="1"/>
    <x v="1"/>
  </r>
  <r>
    <s v="A3OB6REG5CGHK1"/>
    <x v="0"/>
    <n v="56"/>
    <s v="male"/>
    <x v="3"/>
    <x v="12"/>
    <n v="12067"/>
    <n v="1"/>
    <n v="0"/>
    <n v="0"/>
    <n v="0"/>
    <s v="NA"/>
    <s v="NA"/>
    <s v="NA"/>
    <s v="NA"/>
    <s v="NA"/>
    <s v="NA"/>
    <s v="NA"/>
    <x v="2"/>
    <x v="2"/>
    <n v="0"/>
    <n v="1"/>
    <n v="0"/>
    <n v="1"/>
    <n v="0"/>
    <n v="0"/>
    <x v="2"/>
    <n v="0"/>
    <n v="0"/>
    <n v="0"/>
    <n v="1"/>
    <x v="1"/>
  </r>
  <r>
    <s v="A3OB6REG5CGHK1"/>
    <x v="0"/>
    <n v="56"/>
    <s v="male"/>
    <x v="2"/>
    <x v="3"/>
    <n v="13655"/>
    <n v="0"/>
    <n v="0"/>
    <n v="1"/>
    <n v="0"/>
    <s v="Cafe E."/>
    <s v="Cafe F."/>
    <s v="Cafe A."/>
    <s v="mo-l"/>
    <s v="fa"/>
    <s v="mo-h"/>
    <n v="0"/>
    <x v="2"/>
    <x v="1"/>
    <n v="0"/>
    <n v="0"/>
    <n v="0"/>
    <n v="1"/>
    <n v="0"/>
    <n v="1"/>
    <x v="2"/>
    <n v="0"/>
    <n v="0"/>
    <n v="0"/>
    <n v="0"/>
    <x v="1"/>
  </r>
  <r>
    <s v="A3OB6REG5CGHK1"/>
    <x v="0"/>
    <n v="56"/>
    <s v="male"/>
    <x v="3"/>
    <x v="10"/>
    <n v="21824"/>
    <n v="0"/>
    <n v="1"/>
    <n v="1"/>
    <n v="0"/>
    <s v="NA"/>
    <s v="NA"/>
    <s v="NA"/>
    <s v="NA"/>
    <s v="NA"/>
    <s v="NA"/>
    <s v="NA"/>
    <x v="2"/>
    <x v="1"/>
    <n v="0"/>
    <n v="0"/>
    <n v="0"/>
    <n v="1"/>
    <n v="0"/>
    <n v="1"/>
    <x v="2"/>
    <n v="0"/>
    <n v="0"/>
    <n v="0"/>
    <n v="0"/>
    <x v="1"/>
  </r>
  <r>
    <s v="A3OB6REG5CGHK1"/>
    <x v="0"/>
    <n v="56"/>
    <s v="male"/>
    <x v="4"/>
    <x v="0"/>
    <n v="21148"/>
    <s v="No%2C sounds like the same question"/>
    <s v="no"/>
    <s v="no"/>
    <s v="NA"/>
    <s v="NA"/>
    <s v="NA"/>
    <s v="NA"/>
    <s v="NA"/>
    <s v="NA"/>
    <s v="NA"/>
    <s v="NA"/>
    <x v="0"/>
    <x v="0"/>
    <s v="NA"/>
    <s v="NA"/>
    <s v="NA"/>
    <s v="NA"/>
    <s v="NA"/>
    <s v="NA"/>
    <x v="0"/>
    <s v="NA"/>
    <s v="NA"/>
    <s v="NA"/>
    <s v="NA"/>
    <x v="1"/>
  </r>
  <r>
    <s v="A255V2M0CC1G8L"/>
    <x v="0"/>
    <n v="28"/>
    <s v="male"/>
    <x v="0"/>
    <x v="0"/>
    <n v="41692"/>
    <s v="NA"/>
    <s v="NA"/>
    <s v="NA"/>
    <s v="NA"/>
    <s v="NA"/>
    <s v="NA"/>
    <s v="NA"/>
    <s v="NA"/>
    <s v="NA"/>
    <s v="NA"/>
    <s v="NA"/>
    <x v="0"/>
    <x v="0"/>
    <s v="NA"/>
    <s v="NA"/>
    <s v="NA"/>
    <s v="NA"/>
    <s v="NA"/>
    <s v="NA"/>
    <x v="0"/>
    <s v="NA"/>
    <s v="NA"/>
    <s v="NA"/>
    <s v="NA"/>
    <x v="1"/>
  </r>
  <r>
    <s v="A255V2M0CC1G8L"/>
    <x v="0"/>
    <n v="28"/>
    <s v="male"/>
    <x v="1"/>
    <x v="2"/>
    <n v="5457758"/>
    <n v="1"/>
    <n v="0"/>
    <n v="0"/>
    <n v="0"/>
    <s v="NA"/>
    <s v="NA"/>
    <s v="NA"/>
    <s v="NA"/>
    <s v="NA"/>
    <s v="NA"/>
    <s v="NA"/>
    <x v="0"/>
    <x v="0"/>
    <s v="NA"/>
    <s v="NA"/>
    <s v="NA"/>
    <s v="NA"/>
    <s v="NA"/>
    <s v="NA"/>
    <x v="0"/>
    <s v="NA"/>
    <s v="NA"/>
    <s v="NA"/>
    <s v="NA"/>
    <x v="1"/>
  </r>
  <r>
    <s v="A255V2M0CC1G8L"/>
    <x v="0"/>
    <n v="28"/>
    <s v="male"/>
    <x v="1"/>
    <x v="1"/>
    <n v="13955"/>
    <n v="0"/>
    <n v="0"/>
    <n v="1"/>
    <n v="0"/>
    <s v="NA"/>
    <s v="NA"/>
    <s v="NA"/>
    <s v="NA"/>
    <s v="NA"/>
    <s v="NA"/>
    <s v="NA"/>
    <x v="0"/>
    <x v="0"/>
    <s v="NA"/>
    <s v="NA"/>
    <s v="NA"/>
    <s v="NA"/>
    <s v="NA"/>
    <s v="NA"/>
    <x v="0"/>
    <s v="NA"/>
    <s v="NA"/>
    <s v="NA"/>
    <s v="NA"/>
    <x v="1"/>
  </r>
  <r>
    <s v="A255V2M0CC1G8L"/>
    <x v="0"/>
    <n v="28"/>
    <s v="male"/>
    <x v="2"/>
    <x v="11"/>
    <n v="35245"/>
    <n v="0"/>
    <n v="1"/>
    <n v="0"/>
    <n v="0"/>
    <s v="Dentists A and B."/>
    <s v="Dentist A."/>
    <s v="Dentists A, B, C, D and E."/>
    <s v="ms-h"/>
    <s v="mo-h"/>
    <s v="exh"/>
    <n v="1"/>
    <x v="2"/>
    <x v="2"/>
    <n v="1"/>
    <n v="0"/>
    <n v="0"/>
    <n v="1"/>
    <n v="0"/>
    <n v="1"/>
    <x v="2"/>
    <n v="0"/>
    <n v="0"/>
    <n v="0"/>
    <n v="0"/>
    <x v="1"/>
  </r>
  <r>
    <s v="A255V2M0CC1G8L"/>
    <x v="0"/>
    <n v="28"/>
    <s v="male"/>
    <x v="2"/>
    <x v="9"/>
    <n v="5820"/>
    <n v="0"/>
    <n v="1"/>
    <n v="0"/>
    <n v="0"/>
    <s v="Stores D and E."/>
    <s v="Stores A and B."/>
    <s v="Store A."/>
    <s v="ms-l"/>
    <s v="ms-h"/>
    <s v="mo-h"/>
    <n v="0"/>
    <x v="2"/>
    <x v="2"/>
    <n v="1"/>
    <n v="1"/>
    <n v="0"/>
    <n v="1"/>
    <n v="0"/>
    <n v="0"/>
    <x v="2"/>
    <n v="1"/>
    <n v="0"/>
    <n v="0"/>
    <n v="0"/>
    <x v="1"/>
  </r>
  <r>
    <s v="A255V2M0CC1G8L"/>
    <x v="0"/>
    <n v="28"/>
    <s v="male"/>
    <x v="3"/>
    <x v="8"/>
    <n v="11886"/>
    <n v="1"/>
    <n v="0"/>
    <n v="0"/>
    <n v="0"/>
    <s v="NA"/>
    <s v="NA"/>
    <s v="NA"/>
    <s v="NA"/>
    <s v="NA"/>
    <s v="NA"/>
    <s v="NA"/>
    <x v="2"/>
    <x v="2"/>
    <n v="1"/>
    <n v="1"/>
    <n v="0"/>
    <n v="1"/>
    <n v="0"/>
    <n v="0"/>
    <x v="2"/>
    <n v="1"/>
    <n v="0"/>
    <n v="0"/>
    <n v="0"/>
    <x v="1"/>
  </r>
  <r>
    <s v="A255V2M0CC1G8L"/>
    <x v="0"/>
    <n v="28"/>
    <s v="male"/>
    <x v="2"/>
    <x v="4"/>
    <n v="3644"/>
    <n v="0"/>
    <n v="1"/>
    <n v="0"/>
    <n v="0"/>
    <s v="Stalls A and B."/>
    <s v="Stalls A, B, C, D and E."/>
    <s v="Stall E."/>
    <s v="ms-h"/>
    <s v="exh"/>
    <s v="mo-l"/>
    <n v="1"/>
    <x v="1"/>
    <x v="1"/>
    <n v="1"/>
    <n v="0"/>
    <n v="0"/>
    <n v="1"/>
    <n v="1"/>
    <n v="0"/>
    <x v="2"/>
    <n v="0"/>
    <n v="0"/>
    <n v="0"/>
    <n v="0"/>
    <x v="1"/>
  </r>
  <r>
    <s v="A255V2M0CC1G8L"/>
    <x v="0"/>
    <n v="28"/>
    <s v="male"/>
    <x v="2"/>
    <x v="6"/>
    <n v="5918"/>
    <n v="0"/>
    <n v="1"/>
    <n v="0"/>
    <n v="0"/>
    <s v="Bookstores A, B, C, D and E."/>
    <s v="Bookstore E."/>
    <s v="Bookstores D and E."/>
    <s v="exh"/>
    <s v="mo-l"/>
    <s v="ms-l"/>
    <n v="1"/>
    <x v="1"/>
    <x v="1"/>
    <n v="0"/>
    <n v="1"/>
    <n v="0"/>
    <n v="1"/>
    <n v="0"/>
    <n v="0"/>
    <x v="1"/>
    <n v="0"/>
    <n v="0"/>
    <n v="0"/>
    <n v="0"/>
    <x v="1"/>
  </r>
  <r>
    <s v="A255V2M0CC1G8L"/>
    <x v="0"/>
    <n v="28"/>
    <s v="male"/>
    <x v="3"/>
    <x v="5"/>
    <n v="1981"/>
    <n v="0"/>
    <n v="1"/>
    <n v="0"/>
    <n v="0"/>
    <s v="NA"/>
    <s v="NA"/>
    <s v="NA"/>
    <s v="NA"/>
    <s v="NA"/>
    <s v="NA"/>
    <s v="NA"/>
    <x v="1"/>
    <x v="1"/>
    <n v="0"/>
    <n v="1"/>
    <n v="0"/>
    <n v="1"/>
    <n v="0"/>
    <n v="0"/>
    <x v="1"/>
    <n v="0"/>
    <n v="0"/>
    <n v="0"/>
    <n v="0"/>
    <x v="1"/>
  </r>
  <r>
    <s v="A255V2M0CC1G8L"/>
    <x v="0"/>
    <n v="28"/>
    <s v="male"/>
    <x v="2"/>
    <x v="7"/>
    <n v="2445"/>
    <n v="0"/>
    <n v="1"/>
    <n v="0"/>
    <n v="0"/>
    <s v="Stylist F."/>
    <s v="Stylist A."/>
    <s v="Stylists A, B, C, D and E."/>
    <s v="fa"/>
    <s v="mo-h"/>
    <s v="exh"/>
    <n v="1"/>
    <x v="2"/>
    <x v="2"/>
    <n v="0"/>
    <n v="0"/>
    <n v="0"/>
    <n v="1"/>
    <n v="0"/>
    <n v="1"/>
    <x v="2"/>
    <n v="0"/>
    <n v="0"/>
    <n v="0"/>
    <n v="0"/>
    <x v="1"/>
  </r>
  <r>
    <s v="A255V2M0CC1G8L"/>
    <x v="0"/>
    <n v="28"/>
    <s v="male"/>
    <x v="3"/>
    <x v="12"/>
    <n v="1806"/>
    <n v="0"/>
    <n v="1"/>
    <n v="0"/>
    <n v="0"/>
    <s v="NA"/>
    <s v="NA"/>
    <s v="NA"/>
    <s v="NA"/>
    <s v="NA"/>
    <s v="NA"/>
    <s v="NA"/>
    <x v="2"/>
    <x v="2"/>
    <n v="0"/>
    <n v="0"/>
    <n v="0"/>
    <n v="1"/>
    <n v="0"/>
    <n v="1"/>
    <x v="2"/>
    <n v="0"/>
    <n v="0"/>
    <n v="0"/>
    <n v="0"/>
    <x v="1"/>
  </r>
  <r>
    <s v="A255V2M0CC1G8L"/>
    <x v="0"/>
    <n v="28"/>
    <s v="male"/>
    <x v="2"/>
    <x v="3"/>
    <n v="2710"/>
    <n v="0"/>
    <n v="0"/>
    <n v="1"/>
    <n v="0"/>
    <s v="Cafes D and E."/>
    <s v="Cafe E."/>
    <s v="Cafe A."/>
    <s v="ms-l"/>
    <s v="mo-l"/>
    <s v="mo-h"/>
    <n v="0"/>
    <x v="2"/>
    <x v="1"/>
    <n v="0"/>
    <n v="1"/>
    <n v="0"/>
    <n v="1"/>
    <n v="0"/>
    <n v="1"/>
    <x v="2"/>
    <n v="0"/>
    <n v="0"/>
    <n v="0"/>
    <n v="0"/>
    <x v="1"/>
  </r>
  <r>
    <s v="A255V2M0CC1G8L"/>
    <x v="0"/>
    <n v="28"/>
    <s v="male"/>
    <x v="3"/>
    <x v="10"/>
    <n v="1910"/>
    <n v="0"/>
    <n v="0"/>
    <n v="1"/>
    <n v="0"/>
    <s v="NA"/>
    <s v="NA"/>
    <s v="NA"/>
    <s v="NA"/>
    <s v="NA"/>
    <s v="NA"/>
    <s v="NA"/>
    <x v="2"/>
    <x v="1"/>
    <n v="0"/>
    <n v="1"/>
    <n v="0"/>
    <n v="1"/>
    <n v="0"/>
    <n v="1"/>
    <x v="2"/>
    <n v="0"/>
    <n v="0"/>
    <n v="0"/>
    <n v="0"/>
    <x v="1"/>
  </r>
  <r>
    <s v="A255V2M0CC1G8L"/>
    <x v="0"/>
    <n v="28"/>
    <s v="male"/>
    <x v="4"/>
    <x v="0"/>
    <n v="105142"/>
    <s v="WHERE CAN I GO BRUNCH IN TOWN"/>
    <s v="NO"/>
    <s v="NOTHING"/>
    <s v="NA"/>
    <s v="NA"/>
    <s v="NA"/>
    <s v="NA"/>
    <s v="NA"/>
    <s v="NA"/>
    <s v="NA"/>
    <s v="NA"/>
    <x v="0"/>
    <x v="0"/>
    <s v="NA"/>
    <s v="NA"/>
    <s v="NA"/>
    <s v="NA"/>
    <s v="NA"/>
    <s v="NA"/>
    <x v="0"/>
    <s v="NA"/>
    <s v="NA"/>
    <s v="NA"/>
    <s v="NA"/>
    <x v="1"/>
  </r>
  <r>
    <s v="A3RL02A3JRAUS4"/>
    <x v="0"/>
    <n v="39"/>
    <s v="female"/>
    <x v="0"/>
    <x v="0"/>
    <n v="29816"/>
    <s v="NA"/>
    <s v="NA"/>
    <s v="NA"/>
    <s v="NA"/>
    <s v="NA"/>
    <s v="NA"/>
    <s v="NA"/>
    <s v="NA"/>
    <s v="NA"/>
    <s v="NA"/>
    <s v="NA"/>
    <x v="0"/>
    <x v="0"/>
    <s v="NA"/>
    <s v="NA"/>
    <s v="NA"/>
    <s v="NA"/>
    <s v="NA"/>
    <s v="NA"/>
    <x v="0"/>
    <s v="NA"/>
    <s v="NA"/>
    <s v="NA"/>
    <s v="NA"/>
    <x v="1"/>
  </r>
  <r>
    <s v="A3RL02A3JRAUS4"/>
    <x v="0"/>
    <n v="39"/>
    <s v="female"/>
    <x v="1"/>
    <x v="1"/>
    <n v="74578"/>
    <n v="0"/>
    <n v="0"/>
    <n v="0"/>
    <n v="1"/>
    <s v="NA"/>
    <s v="NA"/>
    <s v="NA"/>
    <s v="NA"/>
    <s v="NA"/>
    <s v="NA"/>
    <s v="NA"/>
    <x v="0"/>
    <x v="0"/>
    <s v="NA"/>
    <s v="NA"/>
    <s v="NA"/>
    <s v="NA"/>
    <s v="NA"/>
    <s v="NA"/>
    <x v="0"/>
    <s v="NA"/>
    <s v="NA"/>
    <s v="NA"/>
    <s v="NA"/>
    <x v="1"/>
  </r>
  <r>
    <s v="A3RL02A3JRAUS4"/>
    <x v="0"/>
    <n v="39"/>
    <s v="female"/>
    <x v="1"/>
    <x v="2"/>
    <n v="53590"/>
    <n v="0"/>
    <n v="0"/>
    <n v="1"/>
    <n v="0"/>
    <s v="NA"/>
    <s v="NA"/>
    <s v="NA"/>
    <s v="NA"/>
    <s v="NA"/>
    <s v="NA"/>
    <s v="NA"/>
    <x v="0"/>
    <x v="0"/>
    <s v="NA"/>
    <s v="NA"/>
    <s v="NA"/>
    <s v="NA"/>
    <s v="NA"/>
    <s v="NA"/>
    <x v="0"/>
    <s v="NA"/>
    <s v="NA"/>
    <s v="NA"/>
    <s v="NA"/>
    <x v="1"/>
  </r>
  <r>
    <s v="A3RL02A3JRAUS4"/>
    <x v="0"/>
    <n v="39"/>
    <s v="female"/>
    <x v="2"/>
    <x v="11"/>
    <n v="81511"/>
    <n v="1"/>
    <n v="0"/>
    <n v="0"/>
    <n v="0"/>
    <s v="Dentists A and B."/>
    <s v="Dentist A."/>
    <s v="Dentist E."/>
    <s v="ms-h"/>
    <s v="mo-h"/>
    <s v="mo-l"/>
    <n v="0"/>
    <x v="2"/>
    <x v="1"/>
    <n v="1"/>
    <n v="0"/>
    <n v="0"/>
    <n v="1"/>
    <n v="0"/>
    <n v="0"/>
    <x v="2"/>
    <n v="1"/>
    <n v="0"/>
    <n v="0"/>
    <n v="0"/>
    <x v="1"/>
  </r>
  <r>
    <s v="A3RL02A3JRAUS4"/>
    <x v="0"/>
    <n v="39"/>
    <s v="female"/>
    <x v="2"/>
    <x v="4"/>
    <n v="37119"/>
    <n v="1"/>
    <n v="1"/>
    <n v="1"/>
    <n v="0"/>
    <s v="Stalls A and B."/>
    <s v="Stall A."/>
    <s v="Stall E."/>
    <s v="ms-h"/>
    <s v="mo-h"/>
    <s v="mo-l"/>
    <n v="0"/>
    <x v="2"/>
    <x v="1"/>
    <n v="1"/>
    <n v="0"/>
    <n v="0"/>
    <n v="1"/>
    <n v="0"/>
    <n v="1"/>
    <x v="1"/>
    <n v="1"/>
    <n v="0"/>
    <n v="0"/>
    <n v="0"/>
    <x v="1"/>
  </r>
  <r>
    <s v="A3RL02A3JRAUS4"/>
    <x v="0"/>
    <n v="39"/>
    <s v="female"/>
    <x v="3"/>
    <x v="5"/>
    <n v="65792"/>
    <n v="0"/>
    <n v="0"/>
    <n v="1"/>
    <n v="0"/>
    <s v="NA"/>
    <s v="NA"/>
    <s v="NA"/>
    <s v="NA"/>
    <s v="NA"/>
    <s v="NA"/>
    <s v="NA"/>
    <x v="2"/>
    <x v="1"/>
    <n v="1"/>
    <n v="0"/>
    <n v="0"/>
    <n v="1"/>
    <n v="0"/>
    <n v="1"/>
    <x v="1"/>
    <n v="1"/>
    <n v="0"/>
    <n v="0"/>
    <n v="0"/>
    <x v="1"/>
  </r>
  <r>
    <s v="A3RL02A3JRAUS4"/>
    <x v="0"/>
    <n v="39"/>
    <s v="female"/>
    <x v="2"/>
    <x v="6"/>
    <n v="65970"/>
    <n v="0"/>
    <n v="0"/>
    <n v="0"/>
    <n v="1"/>
    <s v="Bookstore E."/>
    <s v="Bookstores D and E."/>
    <s v="Bookstore A."/>
    <s v="mo-l"/>
    <s v="ms-l"/>
    <s v="mo-h"/>
    <n v="0"/>
    <x v="2"/>
    <x v="1"/>
    <n v="0"/>
    <n v="1"/>
    <n v="0"/>
    <n v="1"/>
    <n v="0"/>
    <n v="0"/>
    <x v="2"/>
    <n v="0"/>
    <n v="0"/>
    <n v="0"/>
    <n v="1"/>
    <x v="1"/>
  </r>
  <r>
    <s v="A3RL02A3JRAUS4"/>
    <x v="0"/>
    <n v="39"/>
    <s v="female"/>
    <x v="3"/>
    <x v="10"/>
    <n v="51514"/>
    <n v="0"/>
    <n v="0"/>
    <n v="0"/>
    <n v="1"/>
    <s v="NA"/>
    <s v="NA"/>
    <s v="NA"/>
    <s v="NA"/>
    <s v="NA"/>
    <s v="NA"/>
    <s v="NA"/>
    <x v="2"/>
    <x v="1"/>
    <n v="0"/>
    <n v="1"/>
    <n v="0"/>
    <n v="1"/>
    <n v="0"/>
    <n v="0"/>
    <x v="2"/>
    <n v="0"/>
    <n v="0"/>
    <n v="0"/>
    <n v="1"/>
    <x v="1"/>
  </r>
  <r>
    <s v="A3RL02A3JRAUS4"/>
    <x v="0"/>
    <n v="39"/>
    <s v="female"/>
    <x v="2"/>
    <x v="9"/>
    <n v="31433"/>
    <n v="0"/>
    <n v="0"/>
    <n v="0"/>
    <n v="1"/>
    <s v="Store A."/>
    <s v="Stores A and B."/>
    <s v="Store E."/>
    <s v="mo-h"/>
    <s v="ms-h"/>
    <s v="mo-l"/>
    <n v="0"/>
    <x v="2"/>
    <x v="1"/>
    <n v="1"/>
    <n v="0"/>
    <n v="0"/>
    <n v="1"/>
    <n v="0"/>
    <n v="0"/>
    <x v="2"/>
    <n v="0"/>
    <n v="0"/>
    <n v="0"/>
    <n v="1"/>
    <x v="1"/>
  </r>
  <r>
    <s v="A3RL02A3JRAUS4"/>
    <x v="0"/>
    <n v="39"/>
    <s v="female"/>
    <x v="2"/>
    <x v="3"/>
    <n v="68729"/>
    <n v="1"/>
    <n v="1"/>
    <n v="1"/>
    <n v="0"/>
    <s v="Cafe F."/>
    <s v="Cafes A and B."/>
    <s v="Cafe E."/>
    <s v="fa"/>
    <s v="ms-h"/>
    <s v="mo-l"/>
    <n v="0"/>
    <x v="1"/>
    <x v="1"/>
    <n v="1"/>
    <n v="0"/>
    <n v="0"/>
    <n v="1"/>
    <n v="0"/>
    <n v="0"/>
    <x v="1"/>
    <n v="1"/>
    <n v="0"/>
    <n v="0"/>
    <n v="0"/>
    <x v="1"/>
  </r>
  <r>
    <s v="A3RL02A3JRAUS4"/>
    <x v="0"/>
    <n v="39"/>
    <s v="female"/>
    <x v="3"/>
    <x v="8"/>
    <n v="38923"/>
    <n v="1"/>
    <n v="1"/>
    <n v="0"/>
    <n v="0"/>
    <s v="NA"/>
    <s v="NA"/>
    <s v="NA"/>
    <s v="NA"/>
    <s v="NA"/>
    <s v="NA"/>
    <s v="NA"/>
    <x v="1"/>
    <x v="1"/>
    <n v="1"/>
    <n v="0"/>
    <n v="0"/>
    <n v="1"/>
    <n v="0"/>
    <n v="0"/>
    <x v="1"/>
    <n v="1"/>
    <n v="0"/>
    <n v="0"/>
    <n v="0"/>
    <x v="1"/>
  </r>
  <r>
    <s v="A3RL02A3JRAUS4"/>
    <x v="0"/>
    <n v="39"/>
    <s v="female"/>
    <x v="2"/>
    <x v="7"/>
    <n v="14764"/>
    <n v="0"/>
    <n v="0"/>
    <n v="1"/>
    <n v="0"/>
    <s v="Stylist E."/>
    <s v="Stylist A."/>
    <s v="Stylists A, B, C, D and E."/>
    <s v="mo-l"/>
    <s v="mo-h"/>
    <s v="exh"/>
    <n v="1"/>
    <x v="2"/>
    <x v="1"/>
    <n v="0"/>
    <n v="0"/>
    <n v="0"/>
    <n v="1"/>
    <n v="1"/>
    <n v="0"/>
    <x v="2"/>
    <n v="0"/>
    <n v="0"/>
    <n v="0"/>
    <n v="0"/>
    <x v="1"/>
  </r>
  <r>
    <s v="A3RL02A3JRAUS4"/>
    <x v="0"/>
    <n v="39"/>
    <s v="female"/>
    <x v="3"/>
    <x v="12"/>
    <n v="35092"/>
    <n v="1"/>
    <n v="0"/>
    <n v="0"/>
    <n v="0"/>
    <s v="NA"/>
    <s v="NA"/>
    <s v="NA"/>
    <s v="NA"/>
    <s v="NA"/>
    <s v="NA"/>
    <s v="NA"/>
    <x v="2"/>
    <x v="1"/>
    <n v="0"/>
    <n v="0"/>
    <n v="0"/>
    <n v="1"/>
    <n v="1"/>
    <n v="0"/>
    <x v="2"/>
    <n v="0"/>
    <n v="0"/>
    <n v="0"/>
    <n v="0"/>
    <x v="1"/>
  </r>
  <r>
    <s v="A3RL02A3JRAUS4"/>
    <x v="0"/>
    <n v="39"/>
    <s v="female"/>
    <x v="4"/>
    <x v="0"/>
    <n v="113420"/>
    <s v="No%2C they both mean the same thing in the end being both questions are asking where brunch is served."/>
    <s v="Some questions were more difficult than others as the info was a bit confusing."/>
    <s v="N/A"/>
    <s v="NA"/>
    <s v="NA"/>
    <s v="NA"/>
    <s v="NA"/>
    <s v="NA"/>
    <s v="NA"/>
    <s v="NA"/>
    <s v="NA"/>
    <x v="0"/>
    <x v="0"/>
    <s v="NA"/>
    <s v="NA"/>
    <s v="NA"/>
    <s v="NA"/>
    <s v="NA"/>
    <s v="NA"/>
    <x v="0"/>
    <s v="NA"/>
    <s v="NA"/>
    <s v="NA"/>
    <s v="NA"/>
    <x v="1"/>
  </r>
  <r>
    <s v="A13FUEPWBCLBUY"/>
    <x v="0"/>
    <n v="34"/>
    <s v="male"/>
    <x v="0"/>
    <x v="0"/>
    <n v="30291"/>
    <s v="NA"/>
    <s v="NA"/>
    <s v="NA"/>
    <s v="NA"/>
    <s v="NA"/>
    <s v="NA"/>
    <s v="NA"/>
    <s v="NA"/>
    <s v="NA"/>
    <s v="NA"/>
    <s v="NA"/>
    <x v="0"/>
    <x v="0"/>
    <s v="NA"/>
    <s v="NA"/>
    <s v="NA"/>
    <s v="NA"/>
    <s v="NA"/>
    <s v="NA"/>
    <x v="0"/>
    <s v="NA"/>
    <s v="NA"/>
    <s v="NA"/>
    <s v="NA"/>
    <x v="1"/>
  </r>
  <r>
    <s v="A13FUEPWBCLBUY"/>
    <x v="0"/>
    <n v="34"/>
    <s v="male"/>
    <x v="1"/>
    <x v="2"/>
    <n v="61218"/>
    <n v="0"/>
    <n v="0"/>
    <n v="1"/>
    <n v="0"/>
    <s v="NA"/>
    <s v="NA"/>
    <s v="NA"/>
    <s v="NA"/>
    <s v="NA"/>
    <s v="NA"/>
    <s v="NA"/>
    <x v="0"/>
    <x v="0"/>
    <s v="NA"/>
    <s v="NA"/>
    <s v="NA"/>
    <s v="NA"/>
    <s v="NA"/>
    <s v="NA"/>
    <x v="0"/>
    <s v="NA"/>
    <s v="NA"/>
    <s v="NA"/>
    <s v="NA"/>
    <x v="1"/>
  </r>
  <r>
    <s v="A13FUEPWBCLBUY"/>
    <x v="0"/>
    <n v="34"/>
    <s v="male"/>
    <x v="1"/>
    <x v="1"/>
    <n v="68106"/>
    <n v="0"/>
    <n v="0"/>
    <n v="0"/>
    <n v="1"/>
    <s v="NA"/>
    <s v="NA"/>
    <s v="NA"/>
    <s v="NA"/>
    <s v="NA"/>
    <s v="NA"/>
    <s v="NA"/>
    <x v="0"/>
    <x v="0"/>
    <s v="NA"/>
    <s v="NA"/>
    <s v="NA"/>
    <s v="NA"/>
    <s v="NA"/>
    <s v="NA"/>
    <x v="0"/>
    <s v="NA"/>
    <s v="NA"/>
    <s v="NA"/>
    <s v="NA"/>
    <x v="1"/>
  </r>
  <r>
    <s v="A13FUEPWBCLBUY"/>
    <x v="0"/>
    <n v="34"/>
    <s v="male"/>
    <x v="2"/>
    <x v="3"/>
    <n v="70141"/>
    <n v="1"/>
    <n v="1"/>
    <n v="1"/>
    <n v="0"/>
    <s v="Cafe A."/>
    <s v="Cafes A, B, C, D and E."/>
    <s v="Cafe F."/>
    <s v="mo-h"/>
    <s v="exh"/>
    <s v="fa"/>
    <n v="1"/>
    <x v="2"/>
    <x v="2"/>
    <n v="0"/>
    <n v="0"/>
    <n v="0"/>
    <n v="1"/>
    <n v="1"/>
    <n v="1"/>
    <x v="2"/>
    <n v="0"/>
    <n v="0"/>
    <n v="0"/>
    <n v="0"/>
    <x v="1"/>
  </r>
  <r>
    <s v="A13FUEPWBCLBUY"/>
    <x v="0"/>
    <n v="34"/>
    <s v="male"/>
    <x v="2"/>
    <x v="4"/>
    <n v="34604"/>
    <n v="1"/>
    <n v="1"/>
    <n v="1"/>
    <n v="0"/>
    <s v="Stalls D and E."/>
    <s v="Stall E."/>
    <s v="Stall F."/>
    <s v="ms-l"/>
    <s v="mo-l"/>
    <s v="fa"/>
    <n v="0"/>
    <x v="1"/>
    <x v="1"/>
    <n v="0"/>
    <n v="1"/>
    <n v="0"/>
    <n v="1"/>
    <n v="0"/>
    <n v="0"/>
    <x v="1"/>
    <n v="0"/>
    <n v="1"/>
    <n v="0"/>
    <n v="0"/>
    <x v="1"/>
  </r>
  <r>
    <s v="A13FUEPWBCLBUY"/>
    <x v="0"/>
    <n v="34"/>
    <s v="male"/>
    <x v="3"/>
    <x v="10"/>
    <n v="43593"/>
    <n v="1"/>
    <n v="0"/>
    <n v="1"/>
    <n v="0"/>
    <s v="NA"/>
    <s v="NA"/>
    <s v="NA"/>
    <s v="NA"/>
    <s v="NA"/>
    <s v="NA"/>
    <s v="NA"/>
    <x v="1"/>
    <x v="1"/>
    <n v="0"/>
    <n v="1"/>
    <n v="0"/>
    <n v="1"/>
    <n v="0"/>
    <n v="0"/>
    <x v="1"/>
    <n v="0"/>
    <n v="1"/>
    <n v="0"/>
    <n v="0"/>
    <x v="1"/>
  </r>
  <r>
    <s v="A13FUEPWBCLBUY"/>
    <x v="0"/>
    <n v="34"/>
    <s v="male"/>
    <x v="2"/>
    <x v="7"/>
    <n v="22535"/>
    <n v="1"/>
    <n v="1"/>
    <n v="1"/>
    <n v="0"/>
    <s v="Stylist A."/>
    <s v="Stylists A and B."/>
    <s v="Stylists D and E."/>
    <s v="mo-h"/>
    <s v="ms-h"/>
    <s v="ms-l"/>
    <n v="0"/>
    <x v="2"/>
    <x v="2"/>
    <n v="1"/>
    <n v="1"/>
    <n v="0"/>
    <n v="1"/>
    <n v="0"/>
    <n v="1"/>
    <x v="2"/>
    <n v="1"/>
    <n v="1"/>
    <n v="0"/>
    <n v="0"/>
    <x v="1"/>
  </r>
  <r>
    <s v="A13FUEPWBCLBUY"/>
    <x v="0"/>
    <n v="34"/>
    <s v="male"/>
    <x v="2"/>
    <x v="9"/>
    <n v="74997"/>
    <n v="1"/>
    <n v="1"/>
    <n v="1"/>
    <n v="0"/>
    <s v="Store E."/>
    <s v="Stores A and B."/>
    <s v="Stores D and E."/>
    <s v="mo-l"/>
    <s v="ms-h"/>
    <s v="ms-l"/>
    <n v="0"/>
    <x v="1"/>
    <x v="1"/>
    <n v="1"/>
    <n v="1"/>
    <n v="0"/>
    <n v="1"/>
    <n v="0"/>
    <n v="0"/>
    <x v="1"/>
    <n v="1"/>
    <n v="1"/>
    <n v="0"/>
    <n v="0"/>
    <x v="1"/>
  </r>
  <r>
    <s v="A13FUEPWBCLBUY"/>
    <x v="0"/>
    <n v="34"/>
    <s v="male"/>
    <x v="3"/>
    <x v="8"/>
    <n v="29740"/>
    <n v="1"/>
    <n v="1"/>
    <n v="0"/>
    <n v="0"/>
    <s v="NA"/>
    <s v="NA"/>
    <s v="NA"/>
    <s v="NA"/>
    <s v="NA"/>
    <s v="NA"/>
    <s v="NA"/>
    <x v="1"/>
    <x v="1"/>
    <n v="1"/>
    <n v="1"/>
    <n v="0"/>
    <n v="1"/>
    <n v="0"/>
    <n v="0"/>
    <x v="1"/>
    <n v="1"/>
    <n v="1"/>
    <n v="0"/>
    <n v="0"/>
    <x v="1"/>
  </r>
  <r>
    <s v="A13FUEPWBCLBUY"/>
    <x v="0"/>
    <n v="34"/>
    <s v="male"/>
    <x v="2"/>
    <x v="11"/>
    <n v="39383"/>
    <n v="1"/>
    <n v="1"/>
    <n v="1"/>
    <n v="0"/>
    <s v="Dentists A and B."/>
    <s v="Dentist A."/>
    <s v="Dentist F."/>
    <s v="ms-h"/>
    <s v="mo-h"/>
    <s v="fa"/>
    <n v="0"/>
    <x v="2"/>
    <x v="2"/>
    <n v="1"/>
    <n v="0"/>
    <n v="0"/>
    <n v="1"/>
    <n v="0"/>
    <n v="1"/>
    <x v="2"/>
    <n v="1"/>
    <n v="0"/>
    <n v="0"/>
    <n v="0"/>
    <x v="1"/>
  </r>
  <r>
    <s v="A13FUEPWBCLBUY"/>
    <x v="0"/>
    <n v="34"/>
    <s v="male"/>
    <x v="3"/>
    <x v="5"/>
    <n v="44760"/>
    <n v="0"/>
    <n v="1"/>
    <n v="1"/>
    <n v="0"/>
    <s v="NA"/>
    <s v="NA"/>
    <s v="NA"/>
    <s v="NA"/>
    <s v="NA"/>
    <s v="NA"/>
    <s v="NA"/>
    <x v="2"/>
    <x v="2"/>
    <n v="1"/>
    <n v="0"/>
    <n v="0"/>
    <n v="1"/>
    <n v="0"/>
    <n v="1"/>
    <x v="2"/>
    <n v="1"/>
    <n v="0"/>
    <n v="0"/>
    <n v="0"/>
    <x v="1"/>
  </r>
  <r>
    <s v="A13FUEPWBCLBUY"/>
    <x v="0"/>
    <n v="34"/>
    <s v="male"/>
    <x v="2"/>
    <x v="6"/>
    <n v="28581"/>
    <n v="1"/>
    <n v="1"/>
    <n v="1"/>
    <n v="0"/>
    <s v="Bookstores A and B."/>
    <s v="Bookstore A."/>
    <s v="Bookstore E."/>
    <s v="ms-h"/>
    <s v="mo-h"/>
    <s v="mo-l"/>
    <n v="0"/>
    <x v="2"/>
    <x v="1"/>
    <n v="1"/>
    <n v="0"/>
    <n v="0"/>
    <n v="1"/>
    <n v="0"/>
    <n v="1"/>
    <x v="1"/>
    <n v="1"/>
    <n v="0"/>
    <n v="0"/>
    <n v="0"/>
    <x v="1"/>
  </r>
  <r>
    <s v="A13FUEPWBCLBUY"/>
    <x v="0"/>
    <n v="34"/>
    <s v="male"/>
    <x v="3"/>
    <x v="12"/>
    <n v="23516"/>
    <n v="1"/>
    <n v="1"/>
    <n v="0"/>
    <n v="0"/>
    <s v="NA"/>
    <s v="NA"/>
    <s v="NA"/>
    <s v="NA"/>
    <s v="NA"/>
    <s v="NA"/>
    <s v="NA"/>
    <x v="2"/>
    <x v="1"/>
    <n v="1"/>
    <n v="0"/>
    <n v="0"/>
    <n v="1"/>
    <n v="0"/>
    <n v="1"/>
    <x v="1"/>
    <n v="1"/>
    <n v="0"/>
    <n v="0"/>
    <n v="0"/>
    <x v="1"/>
  </r>
  <r>
    <s v="A13FUEPWBCLBUY"/>
    <x v="0"/>
    <n v="34"/>
    <s v="male"/>
    <x v="4"/>
    <x v="0"/>
    <n v="144983"/>
    <s v="No%2C this is asking for the same information but just worded differently."/>
    <s v="No%2C the answers all seemed like common sense."/>
    <s v="Fun task!"/>
    <s v="NA"/>
    <s v="NA"/>
    <s v="NA"/>
    <s v="NA"/>
    <s v="NA"/>
    <s v="NA"/>
    <s v="NA"/>
    <s v="NA"/>
    <x v="0"/>
    <x v="0"/>
    <s v="NA"/>
    <s v="NA"/>
    <s v="NA"/>
    <s v="NA"/>
    <s v="NA"/>
    <s v="NA"/>
    <x v="0"/>
    <s v="NA"/>
    <s v="NA"/>
    <s v="NA"/>
    <s v="NA"/>
    <x v="1"/>
  </r>
  <r>
    <s v="A1V2H0UF94ATWY"/>
    <x v="0"/>
    <n v="59"/>
    <s v="male"/>
    <x v="0"/>
    <x v="0"/>
    <n v="30217"/>
    <s v="NA"/>
    <s v="NA"/>
    <s v="NA"/>
    <s v="NA"/>
    <s v="NA"/>
    <s v="NA"/>
    <s v="NA"/>
    <s v="NA"/>
    <s v="NA"/>
    <s v="NA"/>
    <s v="NA"/>
    <x v="0"/>
    <x v="0"/>
    <s v="NA"/>
    <s v="NA"/>
    <s v="NA"/>
    <s v="NA"/>
    <s v="NA"/>
    <s v="NA"/>
    <x v="0"/>
    <s v="NA"/>
    <s v="NA"/>
    <s v="NA"/>
    <s v="NA"/>
    <x v="1"/>
  </r>
  <r>
    <s v="A1V2H0UF94ATWY"/>
    <x v="0"/>
    <n v="59"/>
    <s v="male"/>
    <x v="1"/>
    <x v="2"/>
    <n v="31974"/>
    <n v="0"/>
    <n v="0"/>
    <n v="1"/>
    <n v="0"/>
    <s v="NA"/>
    <s v="NA"/>
    <s v="NA"/>
    <s v="NA"/>
    <s v="NA"/>
    <s v="NA"/>
    <s v="NA"/>
    <x v="0"/>
    <x v="0"/>
    <s v="NA"/>
    <s v="NA"/>
    <s v="NA"/>
    <s v="NA"/>
    <s v="NA"/>
    <s v="NA"/>
    <x v="0"/>
    <s v="NA"/>
    <s v="NA"/>
    <s v="NA"/>
    <s v="NA"/>
    <x v="1"/>
  </r>
  <r>
    <s v="A1V2H0UF94ATWY"/>
    <x v="0"/>
    <n v="59"/>
    <s v="male"/>
    <x v="1"/>
    <x v="1"/>
    <n v="38111"/>
    <n v="0"/>
    <n v="0"/>
    <n v="0"/>
    <n v="1"/>
    <s v="NA"/>
    <s v="NA"/>
    <s v="NA"/>
    <s v="NA"/>
    <s v="NA"/>
    <s v="NA"/>
    <s v="NA"/>
    <x v="0"/>
    <x v="0"/>
    <s v="NA"/>
    <s v="NA"/>
    <s v="NA"/>
    <s v="NA"/>
    <s v="NA"/>
    <s v="NA"/>
    <x v="0"/>
    <s v="NA"/>
    <s v="NA"/>
    <s v="NA"/>
    <s v="NA"/>
    <x v="1"/>
  </r>
  <r>
    <s v="A1V2H0UF94ATWY"/>
    <x v="0"/>
    <n v="59"/>
    <s v="male"/>
    <x v="2"/>
    <x v="4"/>
    <n v="59358"/>
    <n v="1"/>
    <n v="0"/>
    <n v="0"/>
    <n v="0"/>
    <s v="Stall A."/>
    <s v="Stalls D and E."/>
    <s v="Stall F."/>
    <s v="mo-h"/>
    <s v="ms-l"/>
    <s v="fa"/>
    <n v="0"/>
    <x v="2"/>
    <x v="2"/>
    <n v="0"/>
    <n v="1"/>
    <n v="0"/>
    <n v="1"/>
    <n v="0"/>
    <n v="1"/>
    <x v="2"/>
    <n v="0"/>
    <n v="0"/>
    <n v="0"/>
    <n v="0"/>
    <x v="1"/>
  </r>
  <r>
    <s v="A1V2H0UF94ATWY"/>
    <x v="0"/>
    <n v="59"/>
    <s v="male"/>
    <x v="2"/>
    <x v="3"/>
    <n v="22277"/>
    <n v="1"/>
    <n v="0"/>
    <n v="1"/>
    <n v="0"/>
    <s v="Cafe A."/>
    <s v="Cafes D and E."/>
    <s v="Cafes A and B."/>
    <s v="mo-h"/>
    <s v="ms-l"/>
    <s v="ms-h"/>
    <n v="0"/>
    <x v="2"/>
    <x v="2"/>
    <n v="1"/>
    <n v="1"/>
    <n v="0"/>
    <n v="1"/>
    <n v="0"/>
    <n v="1"/>
    <x v="2"/>
    <n v="1"/>
    <n v="0"/>
    <n v="0"/>
    <n v="0"/>
    <x v="1"/>
  </r>
  <r>
    <s v="A1V2H0UF94ATWY"/>
    <x v="0"/>
    <n v="59"/>
    <s v="male"/>
    <x v="3"/>
    <x v="10"/>
    <n v="75895"/>
    <n v="0"/>
    <n v="0"/>
    <n v="0"/>
    <n v="1"/>
    <s v="NA"/>
    <s v="NA"/>
    <s v="NA"/>
    <s v="NA"/>
    <s v="NA"/>
    <s v="NA"/>
    <s v="NA"/>
    <x v="2"/>
    <x v="2"/>
    <n v="1"/>
    <n v="1"/>
    <n v="0"/>
    <n v="1"/>
    <n v="0"/>
    <n v="1"/>
    <x v="2"/>
    <n v="1"/>
    <n v="0"/>
    <n v="0"/>
    <n v="0"/>
    <x v="1"/>
  </r>
  <r>
    <s v="A1V2H0UF94ATWY"/>
    <x v="0"/>
    <n v="59"/>
    <s v="male"/>
    <x v="2"/>
    <x v="9"/>
    <n v="32372"/>
    <n v="1"/>
    <n v="0"/>
    <n v="0"/>
    <n v="0"/>
    <s v="Store A."/>
    <s v="Stores D and E."/>
    <s v="Store F."/>
    <s v="mo-h"/>
    <s v="ms-l"/>
    <s v="fa"/>
    <n v="0"/>
    <x v="2"/>
    <x v="2"/>
    <n v="0"/>
    <n v="1"/>
    <n v="0"/>
    <n v="1"/>
    <n v="0"/>
    <n v="1"/>
    <x v="2"/>
    <n v="0"/>
    <n v="0"/>
    <n v="0"/>
    <n v="0"/>
    <x v="1"/>
  </r>
  <r>
    <s v="A1V2H0UF94ATWY"/>
    <x v="0"/>
    <n v="59"/>
    <s v="male"/>
    <x v="3"/>
    <x v="12"/>
    <n v="26574"/>
    <n v="1"/>
    <n v="0"/>
    <n v="0"/>
    <n v="0"/>
    <s v="NA"/>
    <s v="NA"/>
    <s v="NA"/>
    <s v="NA"/>
    <s v="NA"/>
    <s v="NA"/>
    <s v="NA"/>
    <x v="2"/>
    <x v="2"/>
    <n v="0"/>
    <n v="1"/>
    <n v="0"/>
    <n v="1"/>
    <n v="0"/>
    <n v="1"/>
    <x v="2"/>
    <n v="0"/>
    <n v="0"/>
    <n v="0"/>
    <n v="0"/>
    <x v="1"/>
  </r>
  <r>
    <s v="A1V2H0UF94ATWY"/>
    <x v="0"/>
    <n v="59"/>
    <s v="male"/>
    <x v="2"/>
    <x v="6"/>
    <n v="18182"/>
    <n v="1"/>
    <n v="0"/>
    <n v="0"/>
    <n v="0"/>
    <s v="Bookstores A and B."/>
    <s v="Bookstore F."/>
    <s v="Bookstore E."/>
    <s v="ms-h"/>
    <s v="fa"/>
    <s v="mo-l"/>
    <n v="0"/>
    <x v="1"/>
    <x v="1"/>
    <n v="1"/>
    <n v="0"/>
    <n v="0"/>
    <n v="1"/>
    <n v="0"/>
    <n v="0"/>
    <x v="2"/>
    <n v="1"/>
    <n v="0"/>
    <n v="0"/>
    <n v="0"/>
    <x v="1"/>
  </r>
  <r>
    <s v="A1V2H0UF94ATWY"/>
    <x v="0"/>
    <n v="59"/>
    <s v="male"/>
    <x v="2"/>
    <x v="11"/>
    <n v="15062"/>
    <n v="0"/>
    <n v="0"/>
    <n v="0"/>
    <n v="1"/>
    <s v="Dentist F."/>
    <s v="Dentists D and E."/>
    <s v="Dentist E."/>
    <s v="fa"/>
    <s v="ms-l"/>
    <s v="mo-l"/>
    <n v="0"/>
    <x v="1"/>
    <x v="1"/>
    <n v="0"/>
    <n v="1"/>
    <n v="0"/>
    <n v="1"/>
    <n v="0"/>
    <n v="0"/>
    <x v="2"/>
    <n v="0"/>
    <n v="0"/>
    <n v="0"/>
    <n v="1"/>
    <x v="1"/>
  </r>
  <r>
    <s v="A1V2H0UF94ATWY"/>
    <x v="0"/>
    <n v="59"/>
    <s v="male"/>
    <x v="3"/>
    <x v="5"/>
    <n v="47351"/>
    <n v="0"/>
    <n v="1"/>
    <n v="1"/>
    <n v="0"/>
    <s v="NA"/>
    <s v="NA"/>
    <s v="NA"/>
    <s v="NA"/>
    <s v="NA"/>
    <s v="NA"/>
    <s v="NA"/>
    <x v="1"/>
    <x v="1"/>
    <n v="0"/>
    <n v="1"/>
    <n v="0"/>
    <n v="1"/>
    <n v="0"/>
    <n v="0"/>
    <x v="2"/>
    <n v="0"/>
    <n v="0"/>
    <n v="0"/>
    <n v="1"/>
    <x v="1"/>
  </r>
  <r>
    <s v="A1V2H0UF94ATWY"/>
    <x v="0"/>
    <n v="59"/>
    <s v="male"/>
    <x v="2"/>
    <x v="7"/>
    <n v="81854"/>
    <n v="1"/>
    <n v="1"/>
    <n v="0"/>
    <n v="0"/>
    <s v="Stylists A and B."/>
    <s v="Stylists A, B, C, D and E."/>
    <s v="Stylists D and E."/>
    <s v="ms-h"/>
    <s v="exh"/>
    <s v="ms-l"/>
    <n v="1"/>
    <x v="1"/>
    <x v="2"/>
    <n v="1"/>
    <n v="1"/>
    <n v="0"/>
    <n v="1"/>
    <n v="1"/>
    <n v="0"/>
    <x v="2"/>
    <n v="1"/>
    <n v="0"/>
    <n v="0"/>
    <n v="0"/>
    <x v="1"/>
  </r>
  <r>
    <s v="A1V2H0UF94ATWY"/>
    <x v="0"/>
    <n v="59"/>
    <s v="male"/>
    <x v="3"/>
    <x v="8"/>
    <n v="63229"/>
    <n v="1"/>
    <n v="1"/>
    <n v="0"/>
    <n v="0"/>
    <s v="NA"/>
    <s v="NA"/>
    <s v="NA"/>
    <s v="NA"/>
    <s v="NA"/>
    <s v="NA"/>
    <s v="NA"/>
    <x v="1"/>
    <x v="2"/>
    <n v="1"/>
    <n v="1"/>
    <n v="0"/>
    <n v="1"/>
    <n v="1"/>
    <n v="0"/>
    <x v="2"/>
    <n v="1"/>
    <n v="0"/>
    <n v="0"/>
    <n v="0"/>
    <x v="1"/>
  </r>
  <r>
    <s v="A1V2H0UF94ATWY"/>
    <x v="0"/>
    <n v="59"/>
    <s v="male"/>
    <x v="4"/>
    <x v="0"/>
    <n v="201039"/>
    <s v="Yes. &quot;Where can I go for brunch in town?&quot; implies &quot;Where should I go for brunch in town?&quot; because of the type of website the question is being asked on. &quot;Which restaurants serve brunch in town?&quot; just means which restaurants are open for brunch."/>
    <s v="I found it a little confusing and ambiguous%2C especially the Star Wars questions."/>
    <s v="no"/>
    <s v="NA"/>
    <s v="NA"/>
    <s v="NA"/>
    <s v="NA"/>
    <s v="NA"/>
    <s v="NA"/>
    <s v="NA"/>
    <s v="NA"/>
    <x v="0"/>
    <x v="0"/>
    <s v="NA"/>
    <s v="NA"/>
    <s v="NA"/>
    <s v="NA"/>
    <s v="NA"/>
    <s v="NA"/>
    <x v="0"/>
    <s v="NA"/>
    <s v="NA"/>
    <s v="NA"/>
    <s v="NA"/>
    <x v="1"/>
  </r>
  <r>
    <s v="A2BZY06YRWGEDL"/>
    <x v="0"/>
    <n v="29"/>
    <s v="male"/>
    <x v="0"/>
    <x v="0"/>
    <n v="58308"/>
    <s v="NA"/>
    <s v="NA"/>
    <s v="NA"/>
    <s v="NA"/>
    <s v="NA"/>
    <s v="NA"/>
    <s v="NA"/>
    <s v="NA"/>
    <s v="NA"/>
    <s v="NA"/>
    <s v="NA"/>
    <x v="0"/>
    <x v="0"/>
    <s v="NA"/>
    <s v="NA"/>
    <s v="NA"/>
    <s v="NA"/>
    <s v="NA"/>
    <s v="NA"/>
    <x v="0"/>
    <s v="NA"/>
    <s v="NA"/>
    <s v="NA"/>
    <s v="NA"/>
    <x v="1"/>
  </r>
  <r>
    <s v="A2BZY06YRWGEDL"/>
    <x v="0"/>
    <n v="29"/>
    <s v="male"/>
    <x v="1"/>
    <x v="1"/>
    <n v="33781"/>
    <n v="0"/>
    <n v="0"/>
    <n v="0"/>
    <n v="1"/>
    <s v="NA"/>
    <s v="NA"/>
    <s v="NA"/>
    <s v="NA"/>
    <s v="NA"/>
    <s v="NA"/>
    <s v="NA"/>
    <x v="0"/>
    <x v="0"/>
    <s v="NA"/>
    <s v="NA"/>
    <s v="NA"/>
    <s v="NA"/>
    <s v="NA"/>
    <s v="NA"/>
    <x v="0"/>
    <s v="NA"/>
    <s v="NA"/>
    <s v="NA"/>
    <s v="NA"/>
    <x v="1"/>
  </r>
  <r>
    <s v="A2BZY06YRWGEDL"/>
    <x v="0"/>
    <n v="29"/>
    <s v="male"/>
    <x v="1"/>
    <x v="2"/>
    <n v="32109"/>
    <n v="0"/>
    <n v="0"/>
    <n v="1"/>
    <n v="0"/>
    <s v="NA"/>
    <s v="NA"/>
    <s v="NA"/>
    <s v="NA"/>
    <s v="NA"/>
    <s v="NA"/>
    <s v="NA"/>
    <x v="0"/>
    <x v="0"/>
    <s v="NA"/>
    <s v="NA"/>
    <s v="NA"/>
    <s v="NA"/>
    <s v="NA"/>
    <s v="NA"/>
    <x v="0"/>
    <s v="NA"/>
    <s v="NA"/>
    <s v="NA"/>
    <s v="NA"/>
    <x v="1"/>
  </r>
  <r>
    <s v="A2BZY06YRWGEDL"/>
    <x v="0"/>
    <n v="29"/>
    <s v="male"/>
    <x v="2"/>
    <x v="9"/>
    <n v="29996"/>
    <n v="1"/>
    <n v="1"/>
    <n v="1"/>
    <n v="0"/>
    <s v="Store E."/>
    <s v="Store A."/>
    <s v="Store F."/>
    <s v="mo-l"/>
    <s v="mo-h"/>
    <s v="fa"/>
    <n v="0"/>
    <x v="2"/>
    <x v="1"/>
    <n v="0"/>
    <n v="0"/>
    <n v="0"/>
    <n v="1"/>
    <n v="0"/>
    <n v="1"/>
    <x v="1"/>
    <n v="0"/>
    <n v="0"/>
    <n v="0"/>
    <n v="0"/>
    <x v="1"/>
  </r>
  <r>
    <s v="A2BZY06YRWGEDL"/>
    <x v="0"/>
    <n v="29"/>
    <s v="male"/>
    <x v="2"/>
    <x v="6"/>
    <n v="25908"/>
    <n v="1"/>
    <n v="1"/>
    <n v="1"/>
    <n v="0"/>
    <s v="Bookstores D and E."/>
    <s v="Bookstore E."/>
    <s v="Bookstore A."/>
    <s v="ms-l"/>
    <s v="mo-l"/>
    <s v="mo-h"/>
    <n v="0"/>
    <x v="2"/>
    <x v="1"/>
    <n v="0"/>
    <n v="1"/>
    <n v="0"/>
    <n v="1"/>
    <n v="0"/>
    <n v="1"/>
    <x v="1"/>
    <n v="0"/>
    <n v="1"/>
    <n v="0"/>
    <n v="0"/>
    <x v="1"/>
  </r>
  <r>
    <s v="A2BZY06YRWGEDL"/>
    <x v="0"/>
    <n v="29"/>
    <s v="male"/>
    <x v="3"/>
    <x v="10"/>
    <n v="34165"/>
    <n v="0"/>
    <n v="1"/>
    <n v="0"/>
    <n v="0"/>
    <s v="NA"/>
    <s v="NA"/>
    <s v="NA"/>
    <s v="NA"/>
    <s v="NA"/>
    <s v="NA"/>
    <s v="NA"/>
    <x v="2"/>
    <x v="1"/>
    <n v="0"/>
    <n v="1"/>
    <n v="0"/>
    <n v="1"/>
    <n v="0"/>
    <n v="1"/>
    <x v="1"/>
    <n v="0"/>
    <n v="1"/>
    <n v="0"/>
    <n v="0"/>
    <x v="1"/>
  </r>
  <r>
    <s v="A2BZY06YRWGEDL"/>
    <x v="0"/>
    <n v="29"/>
    <s v="male"/>
    <x v="2"/>
    <x v="4"/>
    <n v="32325"/>
    <n v="1"/>
    <n v="1"/>
    <n v="1"/>
    <n v="0"/>
    <s v="Stall F."/>
    <s v="Stalls A and B."/>
    <s v="Stalls D and E."/>
    <s v="fa"/>
    <s v="ms-h"/>
    <s v="ms-l"/>
    <n v="0"/>
    <x v="1"/>
    <x v="2"/>
    <n v="1"/>
    <n v="1"/>
    <n v="0"/>
    <n v="1"/>
    <n v="0"/>
    <n v="0"/>
    <x v="2"/>
    <n v="1"/>
    <n v="1"/>
    <n v="0"/>
    <n v="0"/>
    <x v="1"/>
  </r>
  <r>
    <s v="A2BZY06YRWGEDL"/>
    <x v="0"/>
    <n v="29"/>
    <s v="male"/>
    <x v="3"/>
    <x v="5"/>
    <n v="45421"/>
    <n v="1"/>
    <n v="1"/>
    <n v="1"/>
    <n v="0"/>
    <s v="NA"/>
    <s v="NA"/>
    <s v="NA"/>
    <s v="NA"/>
    <s v="NA"/>
    <s v="NA"/>
    <s v="NA"/>
    <x v="1"/>
    <x v="2"/>
    <n v="1"/>
    <n v="1"/>
    <n v="0"/>
    <n v="1"/>
    <n v="0"/>
    <n v="0"/>
    <x v="2"/>
    <n v="1"/>
    <n v="1"/>
    <n v="0"/>
    <n v="0"/>
    <x v="1"/>
  </r>
  <r>
    <s v="A2BZY06YRWGEDL"/>
    <x v="0"/>
    <n v="29"/>
    <s v="male"/>
    <x v="2"/>
    <x v="3"/>
    <n v="25949"/>
    <n v="1"/>
    <n v="1"/>
    <n v="1"/>
    <n v="0"/>
    <s v="Cafe A."/>
    <s v="Cafe F."/>
    <s v="Cafes A and B."/>
    <s v="mo-h"/>
    <s v="fa"/>
    <s v="ms-h"/>
    <n v="0"/>
    <x v="2"/>
    <x v="2"/>
    <n v="1"/>
    <n v="0"/>
    <n v="0"/>
    <n v="1"/>
    <n v="0"/>
    <n v="1"/>
    <x v="2"/>
    <n v="1"/>
    <n v="0"/>
    <n v="0"/>
    <n v="0"/>
    <x v="1"/>
  </r>
  <r>
    <s v="A2BZY06YRWGEDL"/>
    <x v="0"/>
    <n v="29"/>
    <s v="male"/>
    <x v="2"/>
    <x v="7"/>
    <n v="34413"/>
    <n v="1"/>
    <n v="1"/>
    <n v="1"/>
    <n v="0"/>
    <s v="Stylist E."/>
    <s v="Stylists A and B."/>
    <s v="Stylist F."/>
    <s v="mo-l"/>
    <s v="ms-h"/>
    <s v="fa"/>
    <n v="0"/>
    <x v="1"/>
    <x v="1"/>
    <n v="1"/>
    <n v="0"/>
    <n v="0"/>
    <n v="1"/>
    <n v="0"/>
    <n v="0"/>
    <x v="1"/>
    <n v="1"/>
    <n v="0"/>
    <n v="0"/>
    <n v="0"/>
    <x v="1"/>
  </r>
  <r>
    <s v="A2BZY06YRWGEDL"/>
    <x v="0"/>
    <n v="29"/>
    <s v="male"/>
    <x v="3"/>
    <x v="8"/>
    <n v="28782"/>
    <n v="1"/>
    <n v="1"/>
    <n v="0"/>
    <n v="0"/>
    <s v="NA"/>
    <s v="NA"/>
    <s v="NA"/>
    <s v="NA"/>
    <s v="NA"/>
    <s v="NA"/>
    <s v="NA"/>
    <x v="1"/>
    <x v="1"/>
    <n v="1"/>
    <n v="0"/>
    <n v="0"/>
    <n v="1"/>
    <n v="0"/>
    <n v="0"/>
    <x v="1"/>
    <n v="1"/>
    <n v="0"/>
    <n v="0"/>
    <n v="0"/>
    <x v="1"/>
  </r>
  <r>
    <s v="A2BZY06YRWGEDL"/>
    <x v="0"/>
    <n v="29"/>
    <s v="male"/>
    <x v="2"/>
    <x v="11"/>
    <n v="21500"/>
    <n v="1"/>
    <n v="1"/>
    <n v="1"/>
    <n v="0"/>
    <s v="Dentists D and E."/>
    <s v="Dentist A."/>
    <s v="Dentists A, B, C, D and E."/>
    <s v="ms-l"/>
    <s v="mo-h"/>
    <s v="exh"/>
    <n v="1"/>
    <x v="2"/>
    <x v="2"/>
    <n v="0"/>
    <n v="1"/>
    <n v="0"/>
    <n v="1"/>
    <n v="1"/>
    <n v="1"/>
    <x v="2"/>
    <n v="0"/>
    <n v="1"/>
    <n v="0"/>
    <n v="0"/>
    <x v="1"/>
  </r>
  <r>
    <s v="A2BZY06YRWGEDL"/>
    <x v="0"/>
    <n v="29"/>
    <s v="male"/>
    <x v="3"/>
    <x v="12"/>
    <n v="8119"/>
    <n v="1"/>
    <n v="1"/>
    <n v="0"/>
    <n v="0"/>
    <s v="NA"/>
    <s v="NA"/>
    <s v="NA"/>
    <s v="NA"/>
    <s v="NA"/>
    <s v="NA"/>
    <s v="NA"/>
    <x v="2"/>
    <x v="2"/>
    <n v="0"/>
    <n v="1"/>
    <n v="0"/>
    <n v="1"/>
    <n v="1"/>
    <n v="1"/>
    <x v="2"/>
    <n v="0"/>
    <n v="1"/>
    <n v="0"/>
    <n v="0"/>
    <x v="1"/>
  </r>
  <r>
    <s v="A2BZY06YRWGEDL"/>
    <x v="0"/>
    <n v="29"/>
    <s v="male"/>
    <x v="4"/>
    <x v="0"/>
    <n v="25158"/>
    <s v="It would be the same thing really. You are looking for brunch. "/>
    <s v="No. It was just reading an answering questions"/>
    <s v="No"/>
    <s v="NA"/>
    <s v="NA"/>
    <s v="NA"/>
    <s v="NA"/>
    <s v="NA"/>
    <s v="NA"/>
    <s v="NA"/>
    <s v="NA"/>
    <x v="0"/>
    <x v="0"/>
    <s v="NA"/>
    <s v="NA"/>
    <s v="NA"/>
    <s v="NA"/>
    <s v="NA"/>
    <s v="NA"/>
    <x v="0"/>
    <s v="NA"/>
    <s v="NA"/>
    <s v="NA"/>
    <s v="NA"/>
    <x v="1"/>
  </r>
  <r>
    <s v="A1EQ1LHEEIQ3UA"/>
    <x v="0"/>
    <n v="26"/>
    <s v="male"/>
    <x v="0"/>
    <x v="0"/>
    <n v="21578"/>
    <s v="NA"/>
    <s v="NA"/>
    <s v="NA"/>
    <s v="NA"/>
    <s v="NA"/>
    <s v="NA"/>
    <s v="NA"/>
    <s v="NA"/>
    <s v="NA"/>
    <s v="NA"/>
    <s v="NA"/>
    <x v="0"/>
    <x v="0"/>
    <s v="NA"/>
    <s v="NA"/>
    <s v="NA"/>
    <s v="NA"/>
    <s v="NA"/>
    <s v="NA"/>
    <x v="0"/>
    <s v="NA"/>
    <s v="NA"/>
    <s v="NA"/>
    <s v="NA"/>
    <x v="1"/>
  </r>
  <r>
    <s v="A1EQ1LHEEIQ3UA"/>
    <x v="0"/>
    <n v="26"/>
    <s v="male"/>
    <x v="1"/>
    <x v="2"/>
    <n v="47039"/>
    <n v="0"/>
    <n v="0"/>
    <n v="0"/>
    <n v="1"/>
    <s v="NA"/>
    <s v="NA"/>
    <s v="NA"/>
    <s v="NA"/>
    <s v="NA"/>
    <s v="NA"/>
    <s v="NA"/>
    <x v="0"/>
    <x v="0"/>
    <s v="NA"/>
    <s v="NA"/>
    <s v="NA"/>
    <s v="NA"/>
    <s v="NA"/>
    <s v="NA"/>
    <x v="0"/>
    <s v="NA"/>
    <s v="NA"/>
    <s v="NA"/>
    <s v="NA"/>
    <x v="1"/>
  </r>
  <r>
    <s v="A1EQ1LHEEIQ3UA"/>
    <x v="0"/>
    <n v="26"/>
    <s v="male"/>
    <x v="1"/>
    <x v="1"/>
    <n v="29468"/>
    <n v="0"/>
    <n v="0"/>
    <n v="0"/>
    <n v="1"/>
    <s v="NA"/>
    <s v="NA"/>
    <s v="NA"/>
    <s v="NA"/>
    <s v="NA"/>
    <s v="NA"/>
    <s v="NA"/>
    <x v="0"/>
    <x v="0"/>
    <s v="NA"/>
    <s v="NA"/>
    <s v="NA"/>
    <s v="NA"/>
    <s v="NA"/>
    <s v="NA"/>
    <x v="0"/>
    <s v="NA"/>
    <s v="NA"/>
    <s v="NA"/>
    <s v="NA"/>
    <x v="1"/>
  </r>
  <r>
    <s v="A1EQ1LHEEIQ3UA"/>
    <x v="0"/>
    <n v="26"/>
    <s v="male"/>
    <x v="2"/>
    <x v="3"/>
    <n v="37061"/>
    <n v="0"/>
    <n v="0"/>
    <n v="0"/>
    <n v="1"/>
    <s v="Cafe A."/>
    <s v="Cafe E."/>
    <s v="Cafe F."/>
    <s v="mo-h"/>
    <s v="mo-l"/>
    <s v="fa"/>
    <n v="0"/>
    <x v="2"/>
    <x v="1"/>
    <n v="0"/>
    <n v="0"/>
    <n v="0"/>
    <n v="1"/>
    <n v="0"/>
    <n v="0"/>
    <x v="2"/>
    <n v="0"/>
    <n v="0"/>
    <n v="0"/>
    <n v="1"/>
    <x v="1"/>
  </r>
  <r>
    <s v="A1EQ1LHEEIQ3UA"/>
    <x v="0"/>
    <n v="26"/>
    <s v="male"/>
    <x v="2"/>
    <x v="9"/>
    <n v="52019"/>
    <n v="0"/>
    <n v="0"/>
    <n v="0"/>
    <n v="1"/>
    <s v="Stores D and E."/>
    <s v="Store F."/>
    <s v="Stores A and B."/>
    <s v="ms-l"/>
    <s v="fa"/>
    <s v="ms-h"/>
    <n v="0"/>
    <x v="1"/>
    <x v="2"/>
    <n v="1"/>
    <n v="1"/>
    <n v="0"/>
    <n v="1"/>
    <n v="0"/>
    <n v="0"/>
    <x v="2"/>
    <n v="0"/>
    <n v="0"/>
    <n v="0"/>
    <n v="1"/>
    <x v="1"/>
  </r>
  <r>
    <s v="A1EQ1LHEEIQ3UA"/>
    <x v="0"/>
    <n v="26"/>
    <s v="male"/>
    <x v="3"/>
    <x v="10"/>
    <n v="23139"/>
    <n v="0"/>
    <n v="0"/>
    <n v="0"/>
    <n v="1"/>
    <s v="NA"/>
    <s v="NA"/>
    <s v="NA"/>
    <s v="NA"/>
    <s v="NA"/>
    <s v="NA"/>
    <s v="NA"/>
    <x v="1"/>
    <x v="2"/>
    <n v="1"/>
    <n v="1"/>
    <n v="0"/>
    <n v="1"/>
    <n v="0"/>
    <n v="0"/>
    <x v="2"/>
    <n v="0"/>
    <n v="0"/>
    <n v="0"/>
    <n v="1"/>
    <x v="1"/>
  </r>
  <r>
    <s v="A1EQ1LHEEIQ3UA"/>
    <x v="0"/>
    <n v="26"/>
    <s v="male"/>
    <x v="2"/>
    <x v="6"/>
    <n v="32705"/>
    <n v="0"/>
    <n v="0"/>
    <n v="0"/>
    <n v="1"/>
    <s v="Bookstores D and E."/>
    <s v="Bookstore E."/>
    <s v="Bookstores A and B."/>
    <s v="ms-l"/>
    <s v="mo-l"/>
    <s v="ms-h"/>
    <n v="0"/>
    <x v="1"/>
    <x v="1"/>
    <n v="1"/>
    <n v="1"/>
    <n v="0"/>
    <n v="1"/>
    <n v="0"/>
    <n v="0"/>
    <x v="2"/>
    <n v="0"/>
    <n v="0"/>
    <n v="0"/>
    <n v="1"/>
    <x v="1"/>
  </r>
  <r>
    <s v="A1EQ1LHEEIQ3UA"/>
    <x v="0"/>
    <n v="26"/>
    <s v="male"/>
    <x v="2"/>
    <x v="4"/>
    <n v="63726"/>
    <n v="0"/>
    <n v="0"/>
    <n v="0"/>
    <n v="1"/>
    <s v="Stalls D and E."/>
    <s v="Stall F."/>
    <s v="Stalls A and B."/>
    <s v="ms-l"/>
    <s v="fa"/>
    <s v="ms-h"/>
    <n v="0"/>
    <x v="1"/>
    <x v="2"/>
    <n v="1"/>
    <n v="1"/>
    <n v="0"/>
    <n v="1"/>
    <n v="0"/>
    <n v="0"/>
    <x v="2"/>
    <n v="0"/>
    <n v="0"/>
    <n v="0"/>
    <n v="1"/>
    <x v="1"/>
  </r>
  <r>
    <s v="A1EQ1LHEEIQ3UA"/>
    <x v="0"/>
    <n v="26"/>
    <s v="male"/>
    <x v="3"/>
    <x v="8"/>
    <n v="35144"/>
    <n v="1"/>
    <n v="1"/>
    <n v="0"/>
    <n v="0"/>
    <s v="NA"/>
    <s v="NA"/>
    <s v="NA"/>
    <s v="NA"/>
    <s v="NA"/>
    <s v="NA"/>
    <s v="NA"/>
    <x v="1"/>
    <x v="2"/>
    <n v="1"/>
    <n v="1"/>
    <n v="0"/>
    <n v="1"/>
    <n v="0"/>
    <n v="0"/>
    <x v="2"/>
    <n v="0"/>
    <n v="0"/>
    <n v="0"/>
    <n v="1"/>
    <x v="1"/>
  </r>
  <r>
    <s v="A1EQ1LHEEIQ3UA"/>
    <x v="0"/>
    <n v="26"/>
    <s v="male"/>
    <x v="2"/>
    <x v="11"/>
    <n v="15950"/>
    <n v="0"/>
    <n v="0"/>
    <n v="0"/>
    <n v="1"/>
    <s v="Dentist A."/>
    <s v="Dentists A and B."/>
    <s v="Dentists D and E."/>
    <s v="mo-h"/>
    <s v="ms-h"/>
    <s v="ms-l"/>
    <n v="0"/>
    <x v="2"/>
    <x v="2"/>
    <n v="1"/>
    <n v="1"/>
    <n v="0"/>
    <n v="1"/>
    <n v="0"/>
    <n v="0"/>
    <x v="2"/>
    <n v="0"/>
    <n v="0"/>
    <n v="0"/>
    <n v="1"/>
    <x v="1"/>
  </r>
  <r>
    <s v="A1EQ1LHEEIQ3UA"/>
    <x v="0"/>
    <n v="26"/>
    <s v="male"/>
    <x v="3"/>
    <x v="12"/>
    <n v="24030"/>
    <n v="1"/>
    <n v="0"/>
    <n v="0"/>
    <n v="0"/>
    <s v="NA"/>
    <s v="NA"/>
    <s v="NA"/>
    <s v="NA"/>
    <s v="NA"/>
    <s v="NA"/>
    <s v="NA"/>
    <x v="2"/>
    <x v="2"/>
    <n v="1"/>
    <n v="1"/>
    <n v="0"/>
    <n v="1"/>
    <n v="0"/>
    <n v="0"/>
    <x v="2"/>
    <n v="0"/>
    <n v="0"/>
    <n v="0"/>
    <n v="1"/>
    <x v="1"/>
  </r>
  <r>
    <s v="A1EQ1LHEEIQ3UA"/>
    <x v="0"/>
    <n v="26"/>
    <s v="male"/>
    <x v="2"/>
    <x v="7"/>
    <n v="38336"/>
    <n v="1"/>
    <n v="1"/>
    <n v="1"/>
    <n v="0"/>
    <s v="Stylist A."/>
    <s v="Stylists D and E."/>
    <s v="Stylist E."/>
    <s v="mo-h"/>
    <s v="ms-l"/>
    <s v="mo-l"/>
    <n v="0"/>
    <x v="2"/>
    <x v="1"/>
    <n v="0"/>
    <n v="1"/>
    <n v="0"/>
    <n v="1"/>
    <n v="0"/>
    <n v="1"/>
    <x v="1"/>
    <n v="0"/>
    <n v="1"/>
    <n v="0"/>
    <n v="0"/>
    <x v="1"/>
  </r>
  <r>
    <s v="A1EQ1LHEEIQ3UA"/>
    <x v="0"/>
    <n v="26"/>
    <s v="male"/>
    <x v="3"/>
    <x v="5"/>
    <n v="50780"/>
    <n v="0"/>
    <n v="1"/>
    <n v="0"/>
    <n v="0"/>
    <s v="NA"/>
    <s v="NA"/>
    <s v="NA"/>
    <s v="NA"/>
    <s v="NA"/>
    <s v="NA"/>
    <s v="NA"/>
    <x v="2"/>
    <x v="1"/>
    <n v="0"/>
    <n v="1"/>
    <n v="0"/>
    <n v="1"/>
    <n v="0"/>
    <n v="1"/>
    <x v="1"/>
    <n v="0"/>
    <n v="1"/>
    <n v="0"/>
    <n v="0"/>
    <x v="1"/>
  </r>
  <r>
    <s v="A1EQ1LHEEIQ3UA"/>
    <x v="0"/>
    <n v="26"/>
    <s v="male"/>
    <x v="4"/>
    <x v="0"/>
    <n v="75870"/>
    <s v="No%2C she's basically asking the same question."/>
    <s v="A little bit. I wasn't quite sure the answers you were looking for. Most of the questions didn't actually specify where the person went to get something%2C only their recommendations%2C so I usually chose the &quot;No one&quot; option."/>
    <m/>
    <s v="NA"/>
    <s v="NA"/>
    <s v="NA"/>
    <s v="NA"/>
    <s v="NA"/>
    <s v="NA"/>
    <s v="NA"/>
    <s v="NA"/>
    <x v="0"/>
    <x v="0"/>
    <s v="NA"/>
    <s v="NA"/>
    <s v="NA"/>
    <s v="NA"/>
    <s v="NA"/>
    <s v="NA"/>
    <x v="0"/>
    <s v="NA"/>
    <s v="NA"/>
    <s v="NA"/>
    <s v="NA"/>
    <x v="1"/>
  </r>
  <r>
    <s v="AJFVK3O1D7SPE"/>
    <x v="0"/>
    <n v="37"/>
    <s v="female"/>
    <x v="0"/>
    <x v="0"/>
    <n v="67636"/>
    <s v="NA"/>
    <s v="NA"/>
    <s v="NA"/>
    <s v="NA"/>
    <s v="NA"/>
    <s v="NA"/>
    <s v="NA"/>
    <s v="NA"/>
    <s v="NA"/>
    <s v="NA"/>
    <s v="NA"/>
    <x v="0"/>
    <x v="0"/>
    <s v="NA"/>
    <s v="NA"/>
    <s v="NA"/>
    <s v="NA"/>
    <s v="NA"/>
    <s v="NA"/>
    <x v="0"/>
    <s v="NA"/>
    <s v="NA"/>
    <s v="NA"/>
    <s v="NA"/>
    <x v="1"/>
  </r>
  <r>
    <s v="AJFVK3O1D7SPE"/>
    <x v="0"/>
    <n v="37"/>
    <s v="female"/>
    <x v="1"/>
    <x v="1"/>
    <n v="37657"/>
    <n v="0"/>
    <n v="0"/>
    <n v="0"/>
    <n v="1"/>
    <s v="NA"/>
    <s v="NA"/>
    <s v="NA"/>
    <s v="NA"/>
    <s v="NA"/>
    <s v="NA"/>
    <s v="NA"/>
    <x v="0"/>
    <x v="0"/>
    <s v="NA"/>
    <s v="NA"/>
    <s v="NA"/>
    <s v="NA"/>
    <s v="NA"/>
    <s v="NA"/>
    <x v="0"/>
    <s v="NA"/>
    <s v="NA"/>
    <s v="NA"/>
    <s v="NA"/>
    <x v="1"/>
  </r>
  <r>
    <s v="AJFVK3O1D7SPE"/>
    <x v="0"/>
    <n v="37"/>
    <s v="female"/>
    <x v="1"/>
    <x v="2"/>
    <n v="31131"/>
    <n v="0"/>
    <n v="0"/>
    <n v="1"/>
    <n v="0"/>
    <s v="NA"/>
    <s v="NA"/>
    <s v="NA"/>
    <s v="NA"/>
    <s v="NA"/>
    <s v="NA"/>
    <s v="NA"/>
    <x v="0"/>
    <x v="0"/>
    <s v="NA"/>
    <s v="NA"/>
    <s v="NA"/>
    <s v="NA"/>
    <s v="NA"/>
    <s v="NA"/>
    <x v="0"/>
    <s v="NA"/>
    <s v="NA"/>
    <s v="NA"/>
    <s v="NA"/>
    <x v="1"/>
  </r>
  <r>
    <s v="AJFVK3O1D7SPE"/>
    <x v="0"/>
    <n v="37"/>
    <s v="female"/>
    <x v="2"/>
    <x v="11"/>
    <n v="54676"/>
    <n v="0"/>
    <n v="0"/>
    <n v="0"/>
    <n v="1"/>
    <s v="Dentist F."/>
    <s v="Dentists A, B, C, D and E."/>
    <s v="Dentists D and E."/>
    <s v="fa"/>
    <s v="exh"/>
    <s v="ms-l"/>
    <n v="1"/>
    <x v="1"/>
    <x v="2"/>
    <n v="0"/>
    <n v="1"/>
    <n v="0"/>
    <n v="1"/>
    <n v="0"/>
    <n v="0"/>
    <x v="2"/>
    <n v="0"/>
    <n v="0"/>
    <n v="0"/>
    <n v="1"/>
    <x v="1"/>
  </r>
  <r>
    <s v="AJFVK3O1D7SPE"/>
    <x v="0"/>
    <n v="37"/>
    <s v="female"/>
    <x v="2"/>
    <x v="9"/>
    <n v="33010"/>
    <n v="0"/>
    <n v="0"/>
    <n v="1"/>
    <n v="0"/>
    <s v="Store E."/>
    <s v="Stores D and E."/>
    <s v="Store A."/>
    <s v="mo-l"/>
    <s v="ms-l"/>
    <s v="mo-h"/>
    <n v="0"/>
    <x v="2"/>
    <x v="1"/>
    <n v="0"/>
    <n v="1"/>
    <n v="0"/>
    <n v="1"/>
    <n v="0"/>
    <n v="1"/>
    <x v="2"/>
    <n v="0"/>
    <n v="0"/>
    <n v="0"/>
    <n v="0"/>
    <x v="1"/>
  </r>
  <r>
    <s v="AJFVK3O1D7SPE"/>
    <x v="0"/>
    <n v="37"/>
    <s v="female"/>
    <x v="3"/>
    <x v="10"/>
    <n v="48108"/>
    <n v="0"/>
    <n v="0"/>
    <n v="0"/>
    <n v="1"/>
    <s v="NA"/>
    <s v="NA"/>
    <s v="NA"/>
    <s v="NA"/>
    <s v="NA"/>
    <s v="NA"/>
    <s v="NA"/>
    <x v="2"/>
    <x v="1"/>
    <n v="0"/>
    <n v="1"/>
    <n v="0"/>
    <n v="1"/>
    <n v="0"/>
    <n v="1"/>
    <x v="2"/>
    <n v="0"/>
    <n v="0"/>
    <n v="0"/>
    <n v="0"/>
    <x v="1"/>
  </r>
  <r>
    <s v="AJFVK3O1D7SPE"/>
    <x v="0"/>
    <n v="37"/>
    <s v="female"/>
    <x v="2"/>
    <x v="6"/>
    <n v="22869"/>
    <n v="0"/>
    <n v="0"/>
    <n v="0"/>
    <n v="1"/>
    <s v="Bookstores A, B, C, D and E."/>
    <s v="Bookstores D and E."/>
    <s v="Bookstore E."/>
    <s v="exh"/>
    <s v="ms-l"/>
    <s v="mo-l"/>
    <n v="1"/>
    <x v="1"/>
    <x v="1"/>
    <n v="0"/>
    <n v="1"/>
    <n v="0"/>
    <n v="1"/>
    <n v="0"/>
    <n v="0"/>
    <x v="2"/>
    <n v="0"/>
    <n v="0"/>
    <n v="0"/>
    <n v="1"/>
    <x v="1"/>
  </r>
  <r>
    <s v="AJFVK3O1D7SPE"/>
    <x v="0"/>
    <n v="37"/>
    <s v="female"/>
    <x v="3"/>
    <x v="5"/>
    <n v="44871"/>
    <n v="0"/>
    <n v="0"/>
    <n v="1"/>
    <n v="0"/>
    <s v="NA"/>
    <s v="NA"/>
    <s v="NA"/>
    <s v="NA"/>
    <s v="NA"/>
    <s v="NA"/>
    <s v="NA"/>
    <x v="1"/>
    <x v="1"/>
    <n v="0"/>
    <n v="1"/>
    <n v="0"/>
    <n v="1"/>
    <n v="0"/>
    <n v="0"/>
    <x v="2"/>
    <n v="0"/>
    <n v="0"/>
    <n v="0"/>
    <n v="1"/>
    <x v="1"/>
  </r>
  <r>
    <s v="AJFVK3O1D7SPE"/>
    <x v="0"/>
    <n v="37"/>
    <s v="female"/>
    <x v="2"/>
    <x v="4"/>
    <n v="24014"/>
    <n v="0"/>
    <n v="0"/>
    <n v="1"/>
    <n v="0"/>
    <s v="Stall F."/>
    <s v="Stalls A and B."/>
    <s v="Stall A."/>
    <s v="fa"/>
    <s v="ms-h"/>
    <s v="mo-h"/>
    <n v="0"/>
    <x v="2"/>
    <x v="2"/>
    <n v="1"/>
    <n v="0"/>
    <n v="0"/>
    <n v="1"/>
    <n v="0"/>
    <n v="1"/>
    <x v="2"/>
    <n v="0"/>
    <n v="0"/>
    <n v="0"/>
    <n v="0"/>
    <x v="1"/>
  </r>
  <r>
    <s v="AJFVK3O1D7SPE"/>
    <x v="0"/>
    <n v="37"/>
    <s v="female"/>
    <x v="2"/>
    <x v="7"/>
    <n v="19283"/>
    <n v="1"/>
    <n v="0"/>
    <n v="0"/>
    <n v="0"/>
    <s v="Stylist A."/>
    <s v="Stylists A and B."/>
    <s v="Stylist E."/>
    <s v="mo-h"/>
    <s v="ms-h"/>
    <s v="mo-l"/>
    <n v="0"/>
    <x v="2"/>
    <x v="1"/>
    <n v="1"/>
    <n v="0"/>
    <n v="0"/>
    <n v="1"/>
    <n v="0"/>
    <n v="1"/>
    <x v="2"/>
    <n v="0"/>
    <n v="0"/>
    <n v="0"/>
    <n v="0"/>
    <x v="1"/>
  </r>
  <r>
    <s v="AJFVK3O1D7SPE"/>
    <x v="0"/>
    <n v="37"/>
    <s v="female"/>
    <x v="3"/>
    <x v="12"/>
    <n v="25686"/>
    <n v="1"/>
    <n v="0"/>
    <n v="0"/>
    <n v="0"/>
    <s v="NA"/>
    <s v="NA"/>
    <s v="NA"/>
    <s v="NA"/>
    <s v="NA"/>
    <s v="NA"/>
    <s v="NA"/>
    <x v="2"/>
    <x v="1"/>
    <n v="1"/>
    <n v="0"/>
    <n v="0"/>
    <n v="1"/>
    <n v="0"/>
    <n v="1"/>
    <x v="2"/>
    <n v="0"/>
    <n v="0"/>
    <n v="0"/>
    <n v="0"/>
    <x v="1"/>
  </r>
  <r>
    <s v="AJFVK3O1D7SPE"/>
    <x v="0"/>
    <n v="37"/>
    <s v="female"/>
    <x v="2"/>
    <x v="3"/>
    <n v="23097"/>
    <n v="1"/>
    <n v="1"/>
    <n v="0"/>
    <n v="0"/>
    <s v="Cafes A and B."/>
    <s v="Cafe A."/>
    <s v="Cafe E."/>
    <s v="ms-h"/>
    <s v="mo-h"/>
    <s v="mo-l"/>
    <n v="0"/>
    <x v="2"/>
    <x v="1"/>
    <n v="1"/>
    <n v="0"/>
    <n v="0"/>
    <n v="1"/>
    <n v="0"/>
    <n v="1"/>
    <x v="2"/>
    <n v="1"/>
    <n v="0"/>
    <n v="0"/>
    <n v="0"/>
    <x v="1"/>
  </r>
  <r>
    <s v="AJFVK3O1D7SPE"/>
    <x v="0"/>
    <n v="37"/>
    <s v="female"/>
    <x v="3"/>
    <x v="8"/>
    <n v="47463"/>
    <n v="1"/>
    <n v="1"/>
    <n v="0"/>
    <n v="0"/>
    <s v="NA"/>
    <s v="NA"/>
    <s v="NA"/>
    <s v="NA"/>
    <s v="NA"/>
    <s v="NA"/>
    <s v="NA"/>
    <x v="2"/>
    <x v="1"/>
    <n v="1"/>
    <n v="0"/>
    <n v="0"/>
    <n v="1"/>
    <n v="0"/>
    <n v="1"/>
    <x v="2"/>
    <n v="1"/>
    <n v="0"/>
    <n v="0"/>
    <n v="0"/>
    <x v="1"/>
  </r>
  <r>
    <s v="AJFVK3O1D7SPE"/>
    <x v="0"/>
    <n v="37"/>
    <s v="female"/>
    <x v="4"/>
    <x v="0"/>
    <n v="158367"/>
    <s v="No%2C if answer the same because I'm assuming in both instances she's asking for a good place to have brunch and if want to recommend the best I know."/>
    <s v="A little. Some of the questions were ambiguous and it was tough to decide whether to go with the answer that was probably closer to reality or the options that were technically correct."/>
    <m/>
    <s v="NA"/>
    <s v="NA"/>
    <s v="NA"/>
    <s v="NA"/>
    <s v="NA"/>
    <s v="NA"/>
    <s v="NA"/>
    <s v="NA"/>
    <x v="0"/>
    <x v="0"/>
    <s v="NA"/>
    <s v="NA"/>
    <s v="NA"/>
    <s v="NA"/>
    <s v="NA"/>
    <s v="NA"/>
    <x v="0"/>
    <s v="NA"/>
    <s v="NA"/>
    <s v="NA"/>
    <s v="NA"/>
    <x v="1"/>
  </r>
  <r>
    <s v="A10T7GP0TH27RB"/>
    <x v="0"/>
    <n v="28"/>
    <s v="male"/>
    <x v="0"/>
    <x v="0"/>
    <n v="24331"/>
    <s v="NA"/>
    <s v="NA"/>
    <s v="NA"/>
    <s v="NA"/>
    <s v="NA"/>
    <s v="NA"/>
    <s v="NA"/>
    <s v="NA"/>
    <s v="NA"/>
    <s v="NA"/>
    <s v="NA"/>
    <x v="0"/>
    <x v="0"/>
    <s v="NA"/>
    <s v="NA"/>
    <s v="NA"/>
    <s v="NA"/>
    <s v="NA"/>
    <s v="NA"/>
    <x v="0"/>
    <s v="NA"/>
    <s v="NA"/>
    <s v="NA"/>
    <s v="NA"/>
    <x v="1"/>
  </r>
  <r>
    <s v="A10T7GP0TH27RB"/>
    <x v="0"/>
    <n v="28"/>
    <s v="male"/>
    <x v="1"/>
    <x v="1"/>
    <n v="10007"/>
    <n v="0"/>
    <n v="1"/>
    <n v="0"/>
    <n v="0"/>
    <s v="NA"/>
    <s v="NA"/>
    <s v="NA"/>
    <s v="NA"/>
    <s v="NA"/>
    <s v="NA"/>
    <s v="NA"/>
    <x v="0"/>
    <x v="0"/>
    <s v="NA"/>
    <s v="NA"/>
    <s v="NA"/>
    <s v="NA"/>
    <s v="NA"/>
    <s v="NA"/>
    <x v="0"/>
    <s v="NA"/>
    <s v="NA"/>
    <s v="NA"/>
    <s v="NA"/>
    <x v="1"/>
  </r>
  <r>
    <s v="A10T7GP0TH27RB"/>
    <x v="0"/>
    <n v="28"/>
    <s v="male"/>
    <x v="1"/>
    <x v="2"/>
    <n v="3179"/>
    <n v="1"/>
    <n v="0"/>
    <n v="0"/>
    <n v="0"/>
    <s v="NA"/>
    <s v="NA"/>
    <s v="NA"/>
    <s v="NA"/>
    <s v="NA"/>
    <s v="NA"/>
    <s v="NA"/>
    <x v="0"/>
    <x v="0"/>
    <s v="NA"/>
    <s v="NA"/>
    <s v="NA"/>
    <s v="NA"/>
    <s v="NA"/>
    <s v="NA"/>
    <x v="0"/>
    <s v="NA"/>
    <s v="NA"/>
    <s v="NA"/>
    <s v="NA"/>
    <x v="1"/>
  </r>
  <r>
    <s v="A10T7GP0TH27RB"/>
    <x v="0"/>
    <n v="28"/>
    <s v="male"/>
    <x v="2"/>
    <x v="11"/>
    <n v="6165"/>
    <n v="0"/>
    <n v="1"/>
    <n v="0"/>
    <n v="0"/>
    <s v="Dentists A and B."/>
    <s v="Dentist E."/>
    <s v="Dentist A."/>
    <s v="ms-h"/>
    <s v="mo-l"/>
    <s v="mo-h"/>
    <n v="0"/>
    <x v="2"/>
    <x v="1"/>
    <n v="1"/>
    <n v="0"/>
    <n v="0"/>
    <n v="1"/>
    <n v="0"/>
    <n v="0"/>
    <x v="1"/>
    <n v="0"/>
    <n v="0"/>
    <n v="0"/>
    <n v="0"/>
    <x v="1"/>
  </r>
  <r>
    <s v="A10T7GP0TH27RB"/>
    <x v="0"/>
    <n v="28"/>
    <s v="male"/>
    <x v="2"/>
    <x v="6"/>
    <n v="3753"/>
    <n v="0"/>
    <n v="1"/>
    <n v="0"/>
    <n v="0"/>
    <s v="Bookstore F."/>
    <s v="Bookstores D and E."/>
    <s v="Bookstore E."/>
    <s v="fa"/>
    <s v="ms-l"/>
    <s v="mo-l"/>
    <n v="0"/>
    <x v="1"/>
    <x v="1"/>
    <n v="0"/>
    <n v="1"/>
    <n v="0"/>
    <n v="1"/>
    <n v="0"/>
    <n v="0"/>
    <x v="2"/>
    <n v="0"/>
    <n v="1"/>
    <n v="0"/>
    <n v="0"/>
    <x v="1"/>
  </r>
  <r>
    <s v="A10T7GP0TH27RB"/>
    <x v="0"/>
    <n v="28"/>
    <s v="male"/>
    <x v="3"/>
    <x v="8"/>
    <n v="3169"/>
    <n v="0"/>
    <n v="1"/>
    <n v="0"/>
    <n v="0"/>
    <s v="NA"/>
    <s v="NA"/>
    <s v="NA"/>
    <s v="NA"/>
    <s v="NA"/>
    <s v="NA"/>
    <s v="NA"/>
    <x v="1"/>
    <x v="1"/>
    <n v="0"/>
    <n v="1"/>
    <n v="0"/>
    <n v="1"/>
    <n v="0"/>
    <n v="0"/>
    <x v="2"/>
    <n v="0"/>
    <n v="1"/>
    <n v="0"/>
    <n v="0"/>
    <x v="1"/>
  </r>
  <r>
    <s v="A10T7GP0TH27RB"/>
    <x v="0"/>
    <n v="28"/>
    <s v="male"/>
    <x v="2"/>
    <x v="4"/>
    <n v="4389"/>
    <n v="0"/>
    <n v="1"/>
    <n v="0"/>
    <n v="0"/>
    <s v="Stalls A and B."/>
    <s v="Stall A."/>
    <s v="Stall F."/>
    <s v="ms-h"/>
    <s v="mo-h"/>
    <s v="fa"/>
    <n v="0"/>
    <x v="2"/>
    <x v="2"/>
    <n v="1"/>
    <n v="0"/>
    <n v="0"/>
    <n v="1"/>
    <n v="0"/>
    <n v="1"/>
    <x v="2"/>
    <n v="0"/>
    <n v="0"/>
    <n v="0"/>
    <n v="0"/>
    <x v="1"/>
  </r>
  <r>
    <s v="A10T7GP0TH27RB"/>
    <x v="0"/>
    <n v="28"/>
    <s v="male"/>
    <x v="3"/>
    <x v="5"/>
    <n v="3595"/>
    <n v="0"/>
    <n v="1"/>
    <n v="0"/>
    <n v="0"/>
    <s v="NA"/>
    <s v="NA"/>
    <s v="NA"/>
    <s v="NA"/>
    <s v="NA"/>
    <s v="NA"/>
    <s v="NA"/>
    <x v="2"/>
    <x v="2"/>
    <n v="1"/>
    <n v="0"/>
    <n v="0"/>
    <n v="1"/>
    <n v="0"/>
    <n v="1"/>
    <x v="2"/>
    <n v="0"/>
    <n v="0"/>
    <n v="0"/>
    <n v="0"/>
    <x v="1"/>
  </r>
  <r>
    <s v="A10T7GP0TH27RB"/>
    <x v="0"/>
    <n v="28"/>
    <s v="male"/>
    <x v="2"/>
    <x v="3"/>
    <n v="4231"/>
    <n v="0"/>
    <n v="1"/>
    <n v="0"/>
    <n v="0"/>
    <s v="Cafe A."/>
    <s v="Cafes A and B."/>
    <s v="Cafes A, B, C, D and E."/>
    <s v="mo-h"/>
    <s v="ms-h"/>
    <s v="exh"/>
    <n v="1"/>
    <x v="2"/>
    <x v="2"/>
    <n v="1"/>
    <n v="0"/>
    <n v="0"/>
    <n v="1"/>
    <n v="0"/>
    <n v="0"/>
    <x v="2"/>
    <n v="1"/>
    <n v="0"/>
    <n v="0"/>
    <n v="0"/>
    <x v="1"/>
  </r>
  <r>
    <s v="A10T7GP0TH27RB"/>
    <x v="0"/>
    <n v="28"/>
    <s v="male"/>
    <x v="2"/>
    <x v="7"/>
    <n v="2920"/>
    <n v="0"/>
    <n v="1"/>
    <n v="0"/>
    <n v="0"/>
    <s v="Stylists D and E."/>
    <s v="Stylists A, B, C, D and E."/>
    <s v="Stylist A."/>
    <s v="ms-l"/>
    <s v="exh"/>
    <s v="mo-h"/>
    <n v="1"/>
    <x v="2"/>
    <x v="2"/>
    <n v="0"/>
    <n v="1"/>
    <n v="0"/>
    <n v="1"/>
    <n v="1"/>
    <n v="0"/>
    <x v="2"/>
    <n v="0"/>
    <n v="0"/>
    <n v="0"/>
    <n v="0"/>
    <x v="1"/>
  </r>
  <r>
    <s v="A10T7GP0TH27RB"/>
    <x v="0"/>
    <n v="28"/>
    <s v="male"/>
    <x v="3"/>
    <x v="12"/>
    <n v="3488"/>
    <n v="0"/>
    <n v="1"/>
    <n v="0"/>
    <n v="0"/>
    <s v="NA"/>
    <s v="NA"/>
    <s v="NA"/>
    <s v="NA"/>
    <s v="NA"/>
    <s v="NA"/>
    <s v="NA"/>
    <x v="2"/>
    <x v="2"/>
    <n v="0"/>
    <n v="1"/>
    <n v="0"/>
    <n v="1"/>
    <n v="1"/>
    <n v="0"/>
    <x v="2"/>
    <n v="0"/>
    <n v="0"/>
    <n v="0"/>
    <n v="0"/>
    <x v="1"/>
  </r>
  <r>
    <s v="A10T7GP0TH27RB"/>
    <x v="0"/>
    <n v="28"/>
    <s v="male"/>
    <x v="2"/>
    <x v="9"/>
    <n v="6068"/>
    <n v="1"/>
    <n v="0"/>
    <n v="0"/>
    <n v="0"/>
    <s v="Store F."/>
    <s v="Store A."/>
    <s v="Stores A and B."/>
    <s v="fa"/>
    <s v="mo-h"/>
    <s v="ms-h"/>
    <n v="0"/>
    <x v="2"/>
    <x v="2"/>
    <n v="1"/>
    <n v="0"/>
    <n v="0"/>
    <n v="1"/>
    <n v="0"/>
    <n v="0"/>
    <x v="2"/>
    <n v="0"/>
    <n v="0"/>
    <n v="0"/>
    <n v="0"/>
    <x v="1"/>
  </r>
  <r>
    <s v="A10T7GP0TH27RB"/>
    <x v="0"/>
    <n v="28"/>
    <s v="male"/>
    <x v="3"/>
    <x v="10"/>
    <n v="3947"/>
    <n v="1"/>
    <n v="0"/>
    <n v="0"/>
    <n v="0"/>
    <s v="NA"/>
    <s v="NA"/>
    <s v="NA"/>
    <s v="NA"/>
    <s v="NA"/>
    <s v="NA"/>
    <s v="NA"/>
    <x v="2"/>
    <x v="2"/>
    <n v="1"/>
    <n v="0"/>
    <n v="0"/>
    <n v="1"/>
    <n v="0"/>
    <n v="0"/>
    <x v="2"/>
    <n v="0"/>
    <n v="0"/>
    <n v="0"/>
    <n v="0"/>
    <x v="1"/>
  </r>
  <r>
    <s v="A10T7GP0TH27RB"/>
    <x v="0"/>
    <n v="28"/>
    <s v="male"/>
    <x v="4"/>
    <x v="0"/>
    <n v="7591"/>
    <s v="no"/>
    <s v="no"/>
    <s v="no"/>
    <s v="NA"/>
    <s v="NA"/>
    <s v="NA"/>
    <s v="NA"/>
    <s v="NA"/>
    <s v="NA"/>
    <s v="NA"/>
    <s v="NA"/>
    <x v="0"/>
    <x v="0"/>
    <s v="NA"/>
    <s v="NA"/>
    <s v="NA"/>
    <s v="NA"/>
    <s v="NA"/>
    <s v="NA"/>
    <x v="0"/>
    <s v="NA"/>
    <s v="NA"/>
    <s v="NA"/>
    <s v="NA"/>
    <x v="1"/>
  </r>
  <r>
    <s v="A1GV1POLY1EHJV"/>
    <x v="0"/>
    <n v="27"/>
    <s v="female"/>
    <x v="0"/>
    <x v="0"/>
    <n v="20849"/>
    <s v="NA"/>
    <s v="NA"/>
    <s v="NA"/>
    <s v="NA"/>
    <s v="NA"/>
    <s v="NA"/>
    <s v="NA"/>
    <s v="NA"/>
    <s v="NA"/>
    <s v="NA"/>
    <s v="NA"/>
    <x v="0"/>
    <x v="0"/>
    <s v="NA"/>
    <s v="NA"/>
    <s v="NA"/>
    <s v="NA"/>
    <s v="NA"/>
    <s v="NA"/>
    <x v="0"/>
    <s v="NA"/>
    <s v="NA"/>
    <s v="NA"/>
    <s v="NA"/>
    <x v="1"/>
  </r>
  <r>
    <s v="A1GV1POLY1EHJV"/>
    <x v="0"/>
    <n v="27"/>
    <s v="female"/>
    <x v="1"/>
    <x v="2"/>
    <n v="28215"/>
    <n v="1"/>
    <n v="1"/>
    <n v="1"/>
    <n v="0"/>
    <s v="NA"/>
    <s v="NA"/>
    <s v="NA"/>
    <s v="NA"/>
    <s v="NA"/>
    <s v="NA"/>
    <s v="NA"/>
    <x v="0"/>
    <x v="0"/>
    <s v="NA"/>
    <s v="NA"/>
    <s v="NA"/>
    <s v="NA"/>
    <s v="NA"/>
    <s v="NA"/>
    <x v="0"/>
    <s v="NA"/>
    <s v="NA"/>
    <s v="NA"/>
    <s v="NA"/>
    <x v="1"/>
  </r>
  <r>
    <s v="A1GV1POLY1EHJV"/>
    <x v="0"/>
    <n v="27"/>
    <s v="female"/>
    <x v="1"/>
    <x v="1"/>
    <n v="10524"/>
    <n v="1"/>
    <n v="1"/>
    <n v="1"/>
    <n v="0"/>
    <s v="NA"/>
    <s v="NA"/>
    <s v="NA"/>
    <s v="NA"/>
    <s v="NA"/>
    <s v="NA"/>
    <s v="NA"/>
    <x v="0"/>
    <x v="0"/>
    <s v="NA"/>
    <s v="NA"/>
    <s v="NA"/>
    <s v="NA"/>
    <s v="NA"/>
    <s v="NA"/>
    <x v="0"/>
    <s v="NA"/>
    <s v="NA"/>
    <s v="NA"/>
    <s v="NA"/>
    <x v="1"/>
  </r>
  <r>
    <s v="A1GV1POLY1EHJV"/>
    <x v="0"/>
    <n v="27"/>
    <s v="female"/>
    <x v="2"/>
    <x v="6"/>
    <n v="7973"/>
    <n v="1"/>
    <n v="1"/>
    <n v="1"/>
    <n v="0"/>
    <s v="Bookstore F."/>
    <s v="Bookstore E."/>
    <s v="Bookstores A and B."/>
    <s v="fa"/>
    <s v="mo-l"/>
    <s v="ms-h"/>
    <n v="0"/>
    <x v="1"/>
    <x v="1"/>
    <n v="1"/>
    <n v="0"/>
    <n v="0"/>
    <n v="1"/>
    <n v="0"/>
    <n v="0"/>
    <x v="1"/>
    <n v="1"/>
    <n v="0"/>
    <n v="0"/>
    <n v="0"/>
    <x v="1"/>
  </r>
  <r>
    <s v="A1GV1POLY1EHJV"/>
    <x v="0"/>
    <n v="27"/>
    <s v="female"/>
    <x v="3"/>
    <x v="12"/>
    <n v="5460"/>
    <n v="1"/>
    <n v="1"/>
    <n v="1"/>
    <n v="0"/>
    <s v="NA"/>
    <s v="NA"/>
    <s v="NA"/>
    <s v="NA"/>
    <s v="NA"/>
    <s v="NA"/>
    <s v="NA"/>
    <x v="1"/>
    <x v="1"/>
    <n v="1"/>
    <n v="0"/>
    <n v="0"/>
    <n v="1"/>
    <n v="0"/>
    <n v="0"/>
    <x v="1"/>
    <n v="1"/>
    <n v="0"/>
    <n v="0"/>
    <n v="0"/>
    <x v="1"/>
  </r>
  <r>
    <s v="A1GV1POLY1EHJV"/>
    <x v="0"/>
    <n v="27"/>
    <s v="female"/>
    <x v="2"/>
    <x v="9"/>
    <n v="5149"/>
    <n v="1"/>
    <n v="1"/>
    <n v="1"/>
    <n v="0"/>
    <s v="Stores A and B."/>
    <s v="Store A."/>
    <s v="Store E."/>
    <s v="ms-h"/>
    <s v="mo-h"/>
    <s v="mo-l"/>
    <n v="0"/>
    <x v="2"/>
    <x v="1"/>
    <n v="1"/>
    <n v="0"/>
    <n v="0"/>
    <n v="1"/>
    <n v="0"/>
    <n v="1"/>
    <x v="1"/>
    <n v="1"/>
    <n v="0"/>
    <n v="0"/>
    <n v="0"/>
    <x v="1"/>
  </r>
  <r>
    <s v="A1GV1POLY1EHJV"/>
    <x v="0"/>
    <n v="27"/>
    <s v="female"/>
    <x v="2"/>
    <x v="11"/>
    <n v="3059"/>
    <n v="1"/>
    <n v="1"/>
    <n v="0"/>
    <n v="0"/>
    <s v="Dentists A and B."/>
    <s v="Dentists D and E."/>
    <s v="Dentist A."/>
    <s v="ms-h"/>
    <s v="ms-l"/>
    <s v="mo-h"/>
    <n v="0"/>
    <x v="2"/>
    <x v="2"/>
    <n v="1"/>
    <n v="1"/>
    <n v="0"/>
    <n v="1"/>
    <n v="0"/>
    <n v="0"/>
    <x v="2"/>
    <n v="1"/>
    <n v="1"/>
    <n v="0"/>
    <n v="0"/>
    <x v="1"/>
  </r>
  <r>
    <s v="A1GV1POLY1EHJV"/>
    <x v="0"/>
    <n v="27"/>
    <s v="female"/>
    <x v="3"/>
    <x v="8"/>
    <n v="4822"/>
    <n v="1"/>
    <n v="1"/>
    <n v="1"/>
    <n v="0"/>
    <s v="NA"/>
    <s v="NA"/>
    <s v="NA"/>
    <s v="NA"/>
    <s v="NA"/>
    <s v="NA"/>
    <s v="NA"/>
    <x v="2"/>
    <x v="2"/>
    <n v="1"/>
    <n v="1"/>
    <n v="0"/>
    <n v="1"/>
    <n v="0"/>
    <n v="0"/>
    <x v="2"/>
    <n v="1"/>
    <n v="1"/>
    <n v="0"/>
    <n v="0"/>
    <x v="1"/>
  </r>
  <r>
    <s v="A1GV1POLY1EHJV"/>
    <x v="0"/>
    <n v="27"/>
    <s v="female"/>
    <x v="2"/>
    <x v="7"/>
    <n v="5180"/>
    <n v="1"/>
    <n v="1"/>
    <n v="0"/>
    <n v="0"/>
    <s v="Stylist A."/>
    <s v="Stylists D and E."/>
    <s v="Stylists A, B, C, D and E."/>
    <s v="mo-h"/>
    <s v="ms-l"/>
    <s v="exh"/>
    <n v="1"/>
    <x v="2"/>
    <x v="2"/>
    <n v="0"/>
    <n v="1"/>
    <n v="0"/>
    <n v="1"/>
    <n v="0"/>
    <n v="1"/>
    <x v="2"/>
    <n v="0"/>
    <n v="1"/>
    <n v="0"/>
    <n v="0"/>
    <x v="1"/>
  </r>
  <r>
    <s v="A1GV1POLY1EHJV"/>
    <x v="0"/>
    <n v="27"/>
    <s v="female"/>
    <x v="3"/>
    <x v="5"/>
    <n v="5439"/>
    <n v="1"/>
    <n v="0"/>
    <n v="1"/>
    <n v="0"/>
    <s v="NA"/>
    <s v="NA"/>
    <s v="NA"/>
    <s v="NA"/>
    <s v="NA"/>
    <s v="NA"/>
    <s v="NA"/>
    <x v="2"/>
    <x v="2"/>
    <n v="0"/>
    <n v="1"/>
    <n v="0"/>
    <n v="1"/>
    <n v="0"/>
    <n v="1"/>
    <x v="2"/>
    <n v="0"/>
    <n v="1"/>
    <n v="0"/>
    <n v="0"/>
    <x v="1"/>
  </r>
  <r>
    <s v="A1GV1POLY1EHJV"/>
    <x v="0"/>
    <n v="27"/>
    <s v="female"/>
    <x v="2"/>
    <x v="3"/>
    <n v="4777"/>
    <n v="1"/>
    <n v="1"/>
    <n v="1"/>
    <n v="0"/>
    <s v="Cafes A and B."/>
    <s v="Cafe A."/>
    <s v="Cafe E."/>
    <s v="ms-h"/>
    <s v="mo-h"/>
    <s v="mo-l"/>
    <n v="0"/>
    <x v="2"/>
    <x v="1"/>
    <n v="1"/>
    <n v="0"/>
    <n v="0"/>
    <n v="1"/>
    <n v="0"/>
    <n v="1"/>
    <x v="1"/>
    <n v="1"/>
    <n v="0"/>
    <n v="0"/>
    <n v="0"/>
    <x v="1"/>
  </r>
  <r>
    <s v="A1GV1POLY1EHJV"/>
    <x v="0"/>
    <n v="27"/>
    <s v="female"/>
    <x v="2"/>
    <x v="4"/>
    <n v="5007"/>
    <n v="1"/>
    <n v="1"/>
    <n v="1"/>
    <n v="0"/>
    <s v="Stall E."/>
    <s v="Stalls D and E."/>
    <s v="Stall A."/>
    <s v="mo-l"/>
    <s v="ms-l"/>
    <s v="mo-h"/>
    <n v="0"/>
    <x v="2"/>
    <x v="1"/>
    <n v="0"/>
    <n v="1"/>
    <n v="0"/>
    <n v="1"/>
    <n v="0"/>
    <n v="1"/>
    <x v="1"/>
    <n v="0"/>
    <n v="1"/>
    <n v="0"/>
    <n v="0"/>
    <x v="1"/>
  </r>
  <r>
    <s v="A1GV1POLY1EHJV"/>
    <x v="0"/>
    <n v="27"/>
    <s v="female"/>
    <x v="3"/>
    <x v="10"/>
    <n v="4298"/>
    <n v="1"/>
    <n v="1"/>
    <n v="1"/>
    <n v="0"/>
    <s v="NA"/>
    <s v="NA"/>
    <s v="NA"/>
    <s v="NA"/>
    <s v="NA"/>
    <s v="NA"/>
    <s v="NA"/>
    <x v="2"/>
    <x v="1"/>
    <n v="0"/>
    <n v="1"/>
    <n v="0"/>
    <n v="1"/>
    <n v="0"/>
    <n v="1"/>
    <x v="1"/>
    <n v="0"/>
    <n v="1"/>
    <n v="0"/>
    <n v="0"/>
    <x v="1"/>
  </r>
  <r>
    <s v="A1GV1POLY1EHJV"/>
    <x v="0"/>
    <n v="27"/>
    <s v="female"/>
    <x v="4"/>
    <x v="0"/>
    <n v="24951"/>
    <s v="restruant"/>
    <s v="yes"/>
    <s v="nope"/>
    <s v="NA"/>
    <s v="NA"/>
    <s v="NA"/>
    <s v="NA"/>
    <s v="NA"/>
    <s v="NA"/>
    <s v="NA"/>
    <s v="NA"/>
    <x v="0"/>
    <x v="0"/>
    <s v="NA"/>
    <s v="NA"/>
    <s v="NA"/>
    <s v="NA"/>
    <s v="NA"/>
    <s v="NA"/>
    <x v="0"/>
    <s v="NA"/>
    <s v="NA"/>
    <s v="NA"/>
    <s v="NA"/>
    <x v="1"/>
  </r>
  <r>
    <s v="A36IYIE23IO4HE"/>
    <x v="0"/>
    <n v="42"/>
    <s v="female"/>
    <x v="0"/>
    <x v="0"/>
    <n v="35913"/>
    <s v="NA"/>
    <s v="NA"/>
    <s v="NA"/>
    <s v="NA"/>
    <s v="NA"/>
    <s v="NA"/>
    <s v="NA"/>
    <s v="NA"/>
    <s v="NA"/>
    <s v="NA"/>
    <s v="NA"/>
    <x v="0"/>
    <x v="0"/>
    <s v="NA"/>
    <s v="NA"/>
    <s v="NA"/>
    <s v="NA"/>
    <s v="NA"/>
    <s v="NA"/>
    <x v="0"/>
    <s v="NA"/>
    <s v="NA"/>
    <s v="NA"/>
    <s v="NA"/>
    <x v="1"/>
  </r>
  <r>
    <s v="A36IYIE23IO4HE"/>
    <x v="0"/>
    <n v="42"/>
    <s v="female"/>
    <x v="1"/>
    <x v="2"/>
    <n v="66815"/>
    <n v="0"/>
    <n v="0"/>
    <n v="1"/>
    <n v="0"/>
    <s v="NA"/>
    <s v="NA"/>
    <s v="NA"/>
    <s v="NA"/>
    <s v="NA"/>
    <s v="NA"/>
    <s v="NA"/>
    <x v="0"/>
    <x v="0"/>
    <s v="NA"/>
    <s v="NA"/>
    <s v="NA"/>
    <s v="NA"/>
    <s v="NA"/>
    <s v="NA"/>
    <x v="0"/>
    <s v="NA"/>
    <s v="NA"/>
    <s v="NA"/>
    <s v="NA"/>
    <x v="1"/>
  </r>
  <r>
    <s v="A36IYIE23IO4HE"/>
    <x v="0"/>
    <n v="42"/>
    <s v="female"/>
    <x v="1"/>
    <x v="1"/>
    <n v="40182"/>
    <n v="0"/>
    <n v="0"/>
    <n v="0"/>
    <n v="1"/>
    <s v="NA"/>
    <s v="NA"/>
    <s v="NA"/>
    <s v="NA"/>
    <s v="NA"/>
    <s v="NA"/>
    <s v="NA"/>
    <x v="0"/>
    <x v="0"/>
    <s v="NA"/>
    <s v="NA"/>
    <s v="NA"/>
    <s v="NA"/>
    <s v="NA"/>
    <s v="NA"/>
    <x v="0"/>
    <s v="NA"/>
    <s v="NA"/>
    <s v="NA"/>
    <s v="NA"/>
    <x v="1"/>
  </r>
  <r>
    <s v="A36IYIE23IO4HE"/>
    <x v="0"/>
    <n v="42"/>
    <s v="female"/>
    <x v="2"/>
    <x v="11"/>
    <n v="84955"/>
    <n v="0"/>
    <n v="0"/>
    <n v="1"/>
    <n v="0"/>
    <s v="Dentists A and B."/>
    <s v="Dentists D and E."/>
    <s v="Dentist A."/>
    <s v="ms-h"/>
    <s v="ms-l"/>
    <s v="mo-h"/>
    <n v="0"/>
    <x v="2"/>
    <x v="2"/>
    <n v="1"/>
    <n v="1"/>
    <n v="0"/>
    <n v="1"/>
    <n v="0"/>
    <n v="1"/>
    <x v="2"/>
    <n v="0"/>
    <n v="0"/>
    <n v="0"/>
    <n v="0"/>
    <x v="1"/>
  </r>
  <r>
    <s v="A36IYIE23IO4HE"/>
    <x v="0"/>
    <n v="42"/>
    <s v="female"/>
    <x v="2"/>
    <x v="6"/>
    <n v="35554"/>
    <n v="1"/>
    <n v="0"/>
    <n v="0"/>
    <n v="0"/>
    <s v="Bookstore A."/>
    <s v="Bookstore E."/>
    <s v="Bookstores A, B, C, D and E."/>
    <s v="mo-h"/>
    <s v="mo-l"/>
    <s v="exh"/>
    <n v="1"/>
    <x v="2"/>
    <x v="1"/>
    <n v="0"/>
    <n v="0"/>
    <n v="0"/>
    <n v="1"/>
    <n v="0"/>
    <n v="1"/>
    <x v="2"/>
    <n v="0"/>
    <n v="0"/>
    <n v="0"/>
    <n v="0"/>
    <x v="1"/>
  </r>
  <r>
    <s v="A36IYIE23IO4HE"/>
    <x v="0"/>
    <n v="42"/>
    <s v="female"/>
    <x v="3"/>
    <x v="10"/>
    <n v="57646"/>
    <n v="0"/>
    <n v="1"/>
    <n v="0"/>
    <n v="0"/>
    <s v="NA"/>
    <s v="NA"/>
    <s v="NA"/>
    <s v="NA"/>
    <s v="NA"/>
    <s v="NA"/>
    <s v="NA"/>
    <x v="2"/>
    <x v="1"/>
    <n v="0"/>
    <n v="0"/>
    <n v="0"/>
    <n v="1"/>
    <n v="0"/>
    <n v="1"/>
    <x v="2"/>
    <n v="0"/>
    <n v="0"/>
    <n v="0"/>
    <n v="0"/>
    <x v="1"/>
  </r>
  <r>
    <s v="A36IYIE23IO4HE"/>
    <x v="0"/>
    <n v="42"/>
    <s v="female"/>
    <x v="2"/>
    <x v="3"/>
    <n v="55757"/>
    <n v="1"/>
    <n v="1"/>
    <n v="1"/>
    <n v="0"/>
    <s v="Cafe A."/>
    <s v="Cafes A and B."/>
    <s v="Cafes A, B, C, D and E."/>
    <s v="mo-h"/>
    <s v="ms-h"/>
    <s v="exh"/>
    <n v="1"/>
    <x v="2"/>
    <x v="2"/>
    <n v="1"/>
    <n v="0"/>
    <n v="0"/>
    <n v="1"/>
    <n v="1"/>
    <n v="1"/>
    <x v="2"/>
    <n v="1"/>
    <n v="0"/>
    <n v="0"/>
    <n v="0"/>
    <x v="1"/>
  </r>
  <r>
    <s v="A36IYIE23IO4HE"/>
    <x v="0"/>
    <n v="42"/>
    <s v="female"/>
    <x v="3"/>
    <x v="12"/>
    <n v="31505"/>
    <n v="1"/>
    <n v="0"/>
    <n v="0"/>
    <n v="0"/>
    <s v="NA"/>
    <s v="NA"/>
    <s v="NA"/>
    <s v="NA"/>
    <s v="NA"/>
    <s v="NA"/>
    <s v="NA"/>
    <x v="2"/>
    <x v="2"/>
    <n v="1"/>
    <n v="0"/>
    <n v="0"/>
    <n v="1"/>
    <n v="1"/>
    <n v="1"/>
    <x v="2"/>
    <n v="1"/>
    <n v="0"/>
    <n v="0"/>
    <n v="0"/>
    <x v="1"/>
  </r>
  <r>
    <s v="A36IYIE23IO4HE"/>
    <x v="0"/>
    <n v="42"/>
    <s v="female"/>
    <x v="2"/>
    <x v="7"/>
    <n v="22466"/>
    <n v="0"/>
    <n v="0"/>
    <n v="0"/>
    <n v="1"/>
    <s v="Stylist E."/>
    <s v="Stylist F."/>
    <s v="Stylists D and E."/>
    <s v="mo-l"/>
    <s v="fa"/>
    <s v="ms-l"/>
    <n v="0"/>
    <x v="1"/>
    <x v="1"/>
    <n v="0"/>
    <n v="1"/>
    <n v="0"/>
    <n v="1"/>
    <n v="0"/>
    <n v="0"/>
    <x v="2"/>
    <n v="0"/>
    <n v="0"/>
    <n v="0"/>
    <n v="1"/>
    <x v="1"/>
  </r>
  <r>
    <s v="A36IYIE23IO4HE"/>
    <x v="0"/>
    <n v="42"/>
    <s v="female"/>
    <x v="2"/>
    <x v="4"/>
    <n v="15165"/>
    <n v="1"/>
    <n v="0"/>
    <n v="0"/>
    <n v="0"/>
    <s v="Stalls A, B, C, D and E."/>
    <s v="Stall E."/>
    <s v="Stalls D and E."/>
    <s v="exh"/>
    <s v="mo-l"/>
    <s v="ms-l"/>
    <n v="1"/>
    <x v="1"/>
    <x v="1"/>
    <n v="0"/>
    <n v="1"/>
    <n v="0"/>
    <n v="1"/>
    <n v="1"/>
    <n v="0"/>
    <x v="2"/>
    <n v="0"/>
    <n v="0"/>
    <n v="0"/>
    <n v="0"/>
    <x v="1"/>
  </r>
  <r>
    <s v="A36IYIE23IO4HE"/>
    <x v="0"/>
    <n v="42"/>
    <s v="female"/>
    <x v="3"/>
    <x v="8"/>
    <n v="25788"/>
    <n v="1"/>
    <n v="1"/>
    <n v="0"/>
    <n v="0"/>
    <s v="NA"/>
    <s v="NA"/>
    <s v="NA"/>
    <s v="NA"/>
    <s v="NA"/>
    <s v="NA"/>
    <s v="NA"/>
    <x v="1"/>
    <x v="1"/>
    <n v="0"/>
    <n v="1"/>
    <n v="0"/>
    <n v="1"/>
    <n v="1"/>
    <n v="0"/>
    <x v="2"/>
    <n v="0"/>
    <n v="0"/>
    <n v="0"/>
    <n v="0"/>
    <x v="1"/>
  </r>
  <r>
    <s v="A36IYIE23IO4HE"/>
    <x v="0"/>
    <n v="42"/>
    <s v="female"/>
    <x v="2"/>
    <x v="9"/>
    <n v="10231"/>
    <n v="0"/>
    <n v="1"/>
    <n v="0"/>
    <n v="0"/>
    <s v="Stores D and E."/>
    <s v="Stores A and B."/>
    <s v="Stores A, B, C, D and E."/>
    <s v="ms-l"/>
    <s v="ms-h"/>
    <s v="exh"/>
    <n v="1"/>
    <x v="1"/>
    <x v="2"/>
    <n v="1"/>
    <n v="1"/>
    <n v="0"/>
    <n v="1"/>
    <n v="0"/>
    <n v="0"/>
    <x v="2"/>
    <n v="1"/>
    <n v="0"/>
    <n v="0"/>
    <n v="0"/>
    <x v="1"/>
  </r>
  <r>
    <s v="A36IYIE23IO4HE"/>
    <x v="0"/>
    <n v="42"/>
    <s v="female"/>
    <x v="3"/>
    <x v="5"/>
    <n v="38442"/>
    <n v="0"/>
    <n v="0"/>
    <n v="1"/>
    <n v="0"/>
    <s v="NA"/>
    <s v="NA"/>
    <s v="NA"/>
    <s v="NA"/>
    <s v="NA"/>
    <s v="NA"/>
    <s v="NA"/>
    <x v="1"/>
    <x v="2"/>
    <n v="1"/>
    <n v="1"/>
    <n v="0"/>
    <n v="1"/>
    <n v="0"/>
    <n v="0"/>
    <x v="2"/>
    <n v="1"/>
    <n v="0"/>
    <n v="0"/>
    <n v="0"/>
    <x v="1"/>
  </r>
  <r>
    <s v="A36IYIE23IO4HE"/>
    <x v="0"/>
    <n v="42"/>
    <s v="female"/>
    <x v="4"/>
    <x v="0"/>
    <n v="52553"/>
    <s v="no because it is basically asking the same question"/>
    <s v="a little  it was hard to figure out some"/>
    <s v="have a great day"/>
    <s v="NA"/>
    <s v="NA"/>
    <s v="NA"/>
    <s v="NA"/>
    <s v="NA"/>
    <s v="NA"/>
    <s v="NA"/>
    <s v="NA"/>
    <x v="0"/>
    <x v="0"/>
    <s v="NA"/>
    <s v="NA"/>
    <s v="NA"/>
    <s v="NA"/>
    <s v="NA"/>
    <s v="NA"/>
    <x v="0"/>
    <s v="NA"/>
    <s v="NA"/>
    <s v="NA"/>
    <s v="NA"/>
    <x v="1"/>
  </r>
  <r>
    <s v="APLBF6JY2C1QZ"/>
    <x v="0"/>
    <n v="50"/>
    <s v="female"/>
    <x v="0"/>
    <x v="0"/>
    <n v="111334"/>
    <s v="NA"/>
    <s v="NA"/>
    <s v="NA"/>
    <s v="NA"/>
    <s v="NA"/>
    <s v="NA"/>
    <s v="NA"/>
    <s v="NA"/>
    <s v="NA"/>
    <s v="NA"/>
    <s v="NA"/>
    <x v="0"/>
    <x v="0"/>
    <s v="NA"/>
    <s v="NA"/>
    <s v="NA"/>
    <s v="NA"/>
    <s v="NA"/>
    <s v="NA"/>
    <x v="0"/>
    <s v="NA"/>
    <s v="NA"/>
    <s v="NA"/>
    <s v="NA"/>
    <x v="1"/>
  </r>
  <r>
    <s v="APLBF6JY2C1QZ"/>
    <x v="0"/>
    <n v="50"/>
    <s v="female"/>
    <x v="1"/>
    <x v="1"/>
    <n v="35642"/>
    <n v="0"/>
    <n v="0"/>
    <n v="0"/>
    <n v="1"/>
    <s v="NA"/>
    <s v="NA"/>
    <s v="NA"/>
    <s v="NA"/>
    <s v="NA"/>
    <s v="NA"/>
    <s v="NA"/>
    <x v="0"/>
    <x v="0"/>
    <s v="NA"/>
    <s v="NA"/>
    <s v="NA"/>
    <s v="NA"/>
    <s v="NA"/>
    <s v="NA"/>
    <x v="0"/>
    <s v="NA"/>
    <s v="NA"/>
    <s v="NA"/>
    <s v="NA"/>
    <x v="1"/>
  </r>
  <r>
    <s v="APLBF6JY2C1QZ"/>
    <x v="0"/>
    <n v="50"/>
    <s v="female"/>
    <x v="1"/>
    <x v="2"/>
    <n v="36793"/>
    <n v="0"/>
    <n v="0"/>
    <n v="1"/>
    <n v="0"/>
    <s v="NA"/>
    <s v="NA"/>
    <s v="NA"/>
    <s v="NA"/>
    <s v="NA"/>
    <s v="NA"/>
    <s v="NA"/>
    <x v="0"/>
    <x v="0"/>
    <s v="NA"/>
    <s v="NA"/>
    <s v="NA"/>
    <s v="NA"/>
    <s v="NA"/>
    <s v="NA"/>
    <x v="0"/>
    <s v="NA"/>
    <s v="NA"/>
    <s v="NA"/>
    <s v="NA"/>
    <x v="1"/>
  </r>
  <r>
    <s v="APLBF6JY2C1QZ"/>
    <x v="0"/>
    <n v="50"/>
    <s v="female"/>
    <x v="2"/>
    <x v="7"/>
    <n v="221678"/>
    <n v="1"/>
    <n v="1"/>
    <n v="1"/>
    <n v="0"/>
    <s v="Stylist E."/>
    <s v="Stylists D and E."/>
    <s v="Stylist A."/>
    <s v="mo-l"/>
    <s v="ms-l"/>
    <s v="mo-h"/>
    <n v="0"/>
    <x v="2"/>
    <x v="1"/>
    <n v="0"/>
    <n v="1"/>
    <n v="0"/>
    <n v="1"/>
    <n v="0"/>
    <n v="1"/>
    <x v="1"/>
    <n v="0"/>
    <n v="1"/>
    <n v="0"/>
    <n v="0"/>
    <x v="1"/>
  </r>
  <r>
    <s v="APLBF6JY2C1QZ"/>
    <x v="0"/>
    <n v="50"/>
    <s v="female"/>
    <x v="2"/>
    <x v="3"/>
    <n v="25194"/>
    <n v="0"/>
    <n v="1"/>
    <n v="1"/>
    <n v="0"/>
    <s v="Cafe F."/>
    <s v="Cafes A and B."/>
    <s v="Cafe A."/>
    <s v="fa"/>
    <s v="ms-h"/>
    <s v="mo-h"/>
    <n v="0"/>
    <x v="2"/>
    <x v="2"/>
    <n v="1"/>
    <n v="0"/>
    <n v="0"/>
    <n v="1"/>
    <n v="0"/>
    <n v="1"/>
    <x v="2"/>
    <n v="1"/>
    <n v="0"/>
    <n v="0"/>
    <n v="0"/>
    <x v="1"/>
  </r>
  <r>
    <s v="APLBF6JY2C1QZ"/>
    <x v="0"/>
    <n v="50"/>
    <s v="female"/>
    <x v="3"/>
    <x v="10"/>
    <n v="96625"/>
    <n v="0"/>
    <n v="0"/>
    <n v="0"/>
    <n v="1"/>
    <s v="NA"/>
    <s v="NA"/>
    <s v="NA"/>
    <s v="NA"/>
    <s v="NA"/>
    <s v="NA"/>
    <s v="NA"/>
    <x v="2"/>
    <x v="2"/>
    <n v="1"/>
    <n v="0"/>
    <n v="0"/>
    <n v="1"/>
    <n v="0"/>
    <n v="1"/>
    <x v="2"/>
    <n v="1"/>
    <n v="0"/>
    <n v="0"/>
    <n v="0"/>
    <x v="1"/>
  </r>
  <r>
    <s v="APLBF6JY2C1QZ"/>
    <x v="0"/>
    <n v="50"/>
    <s v="female"/>
    <x v="2"/>
    <x v="9"/>
    <n v="20552"/>
    <n v="0"/>
    <n v="1"/>
    <n v="0"/>
    <n v="0"/>
    <s v="Store E."/>
    <s v="Store A."/>
    <s v="Stores D and E."/>
    <s v="mo-l"/>
    <s v="mo-h"/>
    <s v="ms-l"/>
    <n v="0"/>
    <x v="2"/>
    <x v="1"/>
    <n v="0"/>
    <n v="1"/>
    <n v="0"/>
    <n v="1"/>
    <n v="0"/>
    <n v="1"/>
    <x v="2"/>
    <n v="0"/>
    <n v="0"/>
    <n v="0"/>
    <n v="0"/>
    <x v="1"/>
  </r>
  <r>
    <s v="APLBF6JY2C1QZ"/>
    <x v="0"/>
    <n v="50"/>
    <s v="female"/>
    <x v="2"/>
    <x v="11"/>
    <n v="27240"/>
    <n v="0"/>
    <n v="0"/>
    <n v="0"/>
    <n v="1"/>
    <s v="Dentists D and E."/>
    <s v="Dentist E."/>
    <s v="Dentists A, B, C, D and E."/>
    <s v="ms-l"/>
    <s v="mo-l"/>
    <s v="exh"/>
    <n v="1"/>
    <x v="1"/>
    <x v="1"/>
    <n v="0"/>
    <n v="1"/>
    <n v="0"/>
    <n v="1"/>
    <n v="0"/>
    <n v="0"/>
    <x v="2"/>
    <n v="0"/>
    <n v="0"/>
    <n v="0"/>
    <n v="1"/>
    <x v="1"/>
  </r>
  <r>
    <s v="APLBF6JY2C1QZ"/>
    <x v="0"/>
    <n v="50"/>
    <s v="female"/>
    <x v="3"/>
    <x v="12"/>
    <n v="15157"/>
    <n v="1"/>
    <n v="1"/>
    <n v="0"/>
    <n v="0"/>
    <s v="NA"/>
    <s v="NA"/>
    <s v="NA"/>
    <s v="NA"/>
    <s v="NA"/>
    <s v="NA"/>
    <s v="NA"/>
    <x v="1"/>
    <x v="1"/>
    <n v="0"/>
    <n v="1"/>
    <n v="0"/>
    <n v="1"/>
    <n v="0"/>
    <n v="0"/>
    <x v="2"/>
    <n v="0"/>
    <n v="0"/>
    <n v="0"/>
    <n v="1"/>
    <x v="1"/>
  </r>
  <r>
    <s v="APLBF6JY2C1QZ"/>
    <x v="0"/>
    <n v="50"/>
    <s v="female"/>
    <x v="2"/>
    <x v="6"/>
    <n v="35189"/>
    <n v="0"/>
    <n v="0"/>
    <n v="1"/>
    <n v="0"/>
    <s v="Bookstore E."/>
    <s v="Bookstore F."/>
    <s v="Bookstore A."/>
    <s v="mo-l"/>
    <s v="fa"/>
    <s v="mo-h"/>
    <n v="0"/>
    <x v="2"/>
    <x v="1"/>
    <n v="0"/>
    <n v="0"/>
    <n v="0"/>
    <n v="1"/>
    <n v="0"/>
    <n v="1"/>
    <x v="2"/>
    <n v="0"/>
    <n v="0"/>
    <n v="0"/>
    <n v="0"/>
    <x v="1"/>
  </r>
  <r>
    <s v="APLBF6JY2C1QZ"/>
    <x v="0"/>
    <n v="50"/>
    <s v="female"/>
    <x v="3"/>
    <x v="8"/>
    <n v="26484"/>
    <n v="1"/>
    <n v="1"/>
    <n v="0"/>
    <n v="0"/>
    <s v="NA"/>
    <s v="NA"/>
    <s v="NA"/>
    <s v="NA"/>
    <s v="NA"/>
    <s v="NA"/>
    <s v="NA"/>
    <x v="2"/>
    <x v="1"/>
    <n v="0"/>
    <n v="0"/>
    <n v="0"/>
    <n v="1"/>
    <n v="0"/>
    <n v="1"/>
    <x v="2"/>
    <n v="0"/>
    <n v="0"/>
    <n v="0"/>
    <n v="0"/>
    <x v="1"/>
  </r>
  <r>
    <s v="APLBF6JY2C1QZ"/>
    <x v="0"/>
    <n v="50"/>
    <s v="female"/>
    <x v="2"/>
    <x v="4"/>
    <n v="20754"/>
    <n v="0"/>
    <n v="0"/>
    <n v="1"/>
    <n v="0"/>
    <s v="Stall E."/>
    <s v="Stalls D and E."/>
    <s v="Stall A."/>
    <s v="mo-l"/>
    <s v="ms-l"/>
    <s v="mo-h"/>
    <n v="0"/>
    <x v="2"/>
    <x v="1"/>
    <n v="0"/>
    <n v="1"/>
    <n v="0"/>
    <n v="1"/>
    <n v="0"/>
    <n v="1"/>
    <x v="2"/>
    <n v="0"/>
    <n v="0"/>
    <n v="0"/>
    <n v="0"/>
    <x v="1"/>
  </r>
  <r>
    <s v="APLBF6JY2C1QZ"/>
    <x v="0"/>
    <n v="50"/>
    <s v="female"/>
    <x v="3"/>
    <x v="5"/>
    <n v="30325"/>
    <n v="0"/>
    <n v="1"/>
    <n v="1"/>
    <n v="0"/>
    <s v="NA"/>
    <s v="NA"/>
    <s v="NA"/>
    <s v="NA"/>
    <s v="NA"/>
    <s v="NA"/>
    <s v="NA"/>
    <x v="2"/>
    <x v="1"/>
    <n v="0"/>
    <n v="1"/>
    <n v="0"/>
    <n v="1"/>
    <n v="0"/>
    <n v="1"/>
    <x v="2"/>
    <n v="0"/>
    <n v="0"/>
    <n v="0"/>
    <n v="0"/>
    <x v="1"/>
  </r>
  <r>
    <s v="APLBF6JY2C1QZ"/>
    <x v="0"/>
    <n v="50"/>
    <s v="female"/>
    <x v="4"/>
    <x v="0"/>
    <n v="50821"/>
    <s v="I would answer the same for both questions as it is obvious the traveler is asking for recommendations of where to go eat brunch in both questions."/>
    <s v="It was a little long for the pay and there is no progress bar to know how much is left. "/>
    <m/>
    <s v="NA"/>
    <s v="NA"/>
    <s v="NA"/>
    <s v="NA"/>
    <s v="NA"/>
    <s v="NA"/>
    <s v="NA"/>
    <s v="NA"/>
    <x v="0"/>
    <x v="0"/>
    <s v="NA"/>
    <s v="NA"/>
    <s v="NA"/>
    <s v="NA"/>
    <s v="NA"/>
    <s v="NA"/>
    <x v="0"/>
    <s v="NA"/>
    <s v="NA"/>
    <s v="NA"/>
    <s v="NA"/>
    <x v="1"/>
  </r>
  <r>
    <s v="AZTHBV93S8U3T"/>
    <x v="0"/>
    <n v="28"/>
    <s v="male"/>
    <x v="0"/>
    <x v="0"/>
    <n v="895280"/>
    <s v="NA"/>
    <s v="NA"/>
    <s v="NA"/>
    <s v="NA"/>
    <s v="NA"/>
    <s v="NA"/>
    <s v="NA"/>
    <s v="NA"/>
    <s v="NA"/>
    <s v="NA"/>
    <s v="NA"/>
    <x v="0"/>
    <x v="0"/>
    <s v="NA"/>
    <s v="NA"/>
    <s v="NA"/>
    <s v="NA"/>
    <s v="NA"/>
    <s v="NA"/>
    <x v="0"/>
    <s v="NA"/>
    <s v="NA"/>
    <s v="NA"/>
    <s v="NA"/>
    <x v="1"/>
  </r>
  <r>
    <s v="AZTHBV93S8U3T"/>
    <x v="0"/>
    <n v="28"/>
    <s v="male"/>
    <x v="1"/>
    <x v="2"/>
    <n v="625734"/>
    <n v="0"/>
    <n v="0"/>
    <n v="1"/>
    <n v="0"/>
    <s v="NA"/>
    <s v="NA"/>
    <s v="NA"/>
    <s v="NA"/>
    <s v="NA"/>
    <s v="NA"/>
    <s v="NA"/>
    <x v="0"/>
    <x v="0"/>
    <s v="NA"/>
    <s v="NA"/>
    <s v="NA"/>
    <s v="NA"/>
    <s v="NA"/>
    <s v="NA"/>
    <x v="0"/>
    <s v="NA"/>
    <s v="NA"/>
    <s v="NA"/>
    <s v="NA"/>
    <x v="1"/>
  </r>
  <r>
    <s v="AZTHBV93S8U3T"/>
    <x v="0"/>
    <n v="28"/>
    <s v="male"/>
    <x v="1"/>
    <x v="1"/>
    <n v="812656"/>
    <n v="0"/>
    <n v="0"/>
    <n v="0"/>
    <n v="1"/>
    <s v="NA"/>
    <s v="NA"/>
    <s v="NA"/>
    <s v="NA"/>
    <s v="NA"/>
    <s v="NA"/>
    <s v="NA"/>
    <x v="0"/>
    <x v="0"/>
    <s v="NA"/>
    <s v="NA"/>
    <s v="NA"/>
    <s v="NA"/>
    <s v="NA"/>
    <s v="NA"/>
    <x v="0"/>
    <s v="NA"/>
    <s v="NA"/>
    <s v="NA"/>
    <s v="NA"/>
    <x v="1"/>
  </r>
  <r>
    <s v="AZTHBV93S8U3T"/>
    <x v="0"/>
    <n v="28"/>
    <s v="male"/>
    <x v="2"/>
    <x v="4"/>
    <n v="180353"/>
    <n v="0"/>
    <n v="0"/>
    <n v="0"/>
    <n v="1"/>
    <s v="Stall A."/>
    <s v="Stall F."/>
    <s v="Stalls A, B, C, D and E."/>
    <s v="mo-h"/>
    <s v="fa"/>
    <s v="exh"/>
    <n v="1"/>
    <x v="2"/>
    <x v="2"/>
    <n v="0"/>
    <n v="0"/>
    <n v="0"/>
    <n v="1"/>
    <n v="0"/>
    <n v="0"/>
    <x v="2"/>
    <n v="0"/>
    <n v="0"/>
    <n v="0"/>
    <n v="1"/>
    <x v="1"/>
  </r>
  <r>
    <s v="AZTHBV93S8U3T"/>
    <x v="0"/>
    <n v="28"/>
    <s v="male"/>
    <x v="3"/>
    <x v="5"/>
    <n v="51870"/>
    <n v="0"/>
    <n v="0"/>
    <n v="1"/>
    <n v="0"/>
    <s v="NA"/>
    <s v="NA"/>
    <s v="NA"/>
    <s v="NA"/>
    <s v="NA"/>
    <s v="NA"/>
    <s v="NA"/>
    <x v="2"/>
    <x v="2"/>
    <n v="0"/>
    <n v="0"/>
    <n v="0"/>
    <n v="1"/>
    <n v="0"/>
    <n v="0"/>
    <x v="2"/>
    <n v="0"/>
    <n v="0"/>
    <n v="0"/>
    <n v="1"/>
    <x v="1"/>
  </r>
  <r>
    <s v="AZTHBV93S8U3T"/>
    <x v="0"/>
    <n v="28"/>
    <s v="male"/>
    <x v="2"/>
    <x v="11"/>
    <n v="23543"/>
    <n v="1"/>
    <n v="0"/>
    <n v="0"/>
    <n v="0"/>
    <s v="Dentists A, B, C, D and E."/>
    <s v="Dentist E."/>
    <s v="Dentists D and E."/>
    <s v="exh"/>
    <s v="mo-l"/>
    <s v="ms-l"/>
    <n v="1"/>
    <x v="1"/>
    <x v="1"/>
    <n v="0"/>
    <n v="1"/>
    <n v="0"/>
    <n v="1"/>
    <n v="1"/>
    <n v="0"/>
    <x v="2"/>
    <n v="0"/>
    <n v="0"/>
    <n v="0"/>
    <n v="0"/>
    <x v="1"/>
  </r>
  <r>
    <s v="AZTHBV93S8U3T"/>
    <x v="0"/>
    <n v="28"/>
    <s v="male"/>
    <x v="2"/>
    <x v="7"/>
    <n v="29816"/>
    <n v="0"/>
    <n v="0"/>
    <n v="1"/>
    <n v="0"/>
    <s v="Stylists D and E."/>
    <s v="Stylists A and B."/>
    <s v="Stylist A."/>
    <s v="ms-l"/>
    <s v="ms-h"/>
    <s v="mo-h"/>
    <n v="0"/>
    <x v="2"/>
    <x v="2"/>
    <n v="1"/>
    <n v="1"/>
    <n v="0"/>
    <n v="1"/>
    <n v="0"/>
    <n v="1"/>
    <x v="2"/>
    <n v="0"/>
    <n v="0"/>
    <n v="0"/>
    <n v="0"/>
    <x v="1"/>
  </r>
  <r>
    <s v="AZTHBV93S8U3T"/>
    <x v="0"/>
    <n v="28"/>
    <s v="male"/>
    <x v="3"/>
    <x v="12"/>
    <n v="25947"/>
    <n v="1"/>
    <n v="0"/>
    <n v="0"/>
    <n v="0"/>
    <s v="NA"/>
    <s v="NA"/>
    <s v="NA"/>
    <s v="NA"/>
    <s v="NA"/>
    <s v="NA"/>
    <s v="NA"/>
    <x v="2"/>
    <x v="2"/>
    <n v="1"/>
    <n v="1"/>
    <n v="0"/>
    <n v="1"/>
    <n v="0"/>
    <n v="1"/>
    <x v="2"/>
    <n v="0"/>
    <n v="0"/>
    <n v="0"/>
    <n v="0"/>
    <x v="1"/>
  </r>
  <r>
    <s v="AZTHBV93S8U3T"/>
    <x v="0"/>
    <n v="28"/>
    <s v="male"/>
    <x v="2"/>
    <x v="6"/>
    <n v="23777"/>
    <n v="0"/>
    <n v="0"/>
    <n v="1"/>
    <n v="0"/>
    <s v="Bookstores D and E."/>
    <s v="Bookstores A and B."/>
    <s v="Bookstore A."/>
    <s v="ms-l"/>
    <s v="ms-h"/>
    <s v="mo-h"/>
    <n v="0"/>
    <x v="2"/>
    <x v="2"/>
    <n v="1"/>
    <n v="1"/>
    <n v="0"/>
    <n v="1"/>
    <n v="0"/>
    <n v="1"/>
    <x v="2"/>
    <n v="0"/>
    <n v="0"/>
    <n v="0"/>
    <n v="0"/>
    <x v="1"/>
  </r>
  <r>
    <s v="AZTHBV93S8U3T"/>
    <x v="0"/>
    <n v="28"/>
    <s v="male"/>
    <x v="3"/>
    <x v="8"/>
    <n v="34369"/>
    <n v="1"/>
    <n v="1"/>
    <n v="0"/>
    <n v="0"/>
    <s v="NA"/>
    <s v="NA"/>
    <s v="NA"/>
    <s v="NA"/>
    <s v="NA"/>
    <s v="NA"/>
    <s v="NA"/>
    <x v="2"/>
    <x v="2"/>
    <n v="1"/>
    <n v="1"/>
    <n v="0"/>
    <n v="1"/>
    <n v="0"/>
    <n v="1"/>
    <x v="2"/>
    <n v="0"/>
    <n v="0"/>
    <n v="0"/>
    <n v="0"/>
    <x v="1"/>
  </r>
  <r>
    <s v="AZTHBV93S8U3T"/>
    <x v="0"/>
    <n v="28"/>
    <s v="male"/>
    <x v="2"/>
    <x v="9"/>
    <n v="10589"/>
    <n v="0"/>
    <n v="1"/>
    <n v="0"/>
    <n v="0"/>
    <s v="Store E."/>
    <s v="Store A."/>
    <s v="Stores A and B."/>
    <s v="mo-l"/>
    <s v="mo-h"/>
    <s v="ms-h"/>
    <n v="0"/>
    <x v="2"/>
    <x v="1"/>
    <n v="1"/>
    <n v="0"/>
    <n v="0"/>
    <n v="1"/>
    <n v="0"/>
    <n v="1"/>
    <x v="2"/>
    <n v="0"/>
    <n v="0"/>
    <n v="0"/>
    <n v="0"/>
    <x v="1"/>
  </r>
  <r>
    <s v="AZTHBV93S8U3T"/>
    <x v="0"/>
    <n v="28"/>
    <s v="male"/>
    <x v="2"/>
    <x v="3"/>
    <n v="5689"/>
    <n v="1"/>
    <n v="0"/>
    <n v="0"/>
    <n v="0"/>
    <s v="Cafe A."/>
    <s v="Cafes D and E."/>
    <s v="Cafe E."/>
    <s v="mo-h"/>
    <s v="ms-l"/>
    <s v="mo-l"/>
    <n v="0"/>
    <x v="2"/>
    <x v="1"/>
    <n v="0"/>
    <n v="1"/>
    <n v="0"/>
    <n v="1"/>
    <n v="0"/>
    <n v="1"/>
    <x v="2"/>
    <n v="0"/>
    <n v="0"/>
    <n v="0"/>
    <n v="0"/>
    <x v="1"/>
  </r>
  <r>
    <s v="AZTHBV93S8U3T"/>
    <x v="0"/>
    <n v="28"/>
    <s v="male"/>
    <x v="3"/>
    <x v="10"/>
    <n v="18293"/>
    <n v="1"/>
    <n v="0"/>
    <n v="0"/>
    <n v="0"/>
    <s v="NA"/>
    <s v="NA"/>
    <s v="NA"/>
    <s v="NA"/>
    <s v="NA"/>
    <s v="NA"/>
    <s v="NA"/>
    <x v="2"/>
    <x v="1"/>
    <n v="0"/>
    <n v="1"/>
    <n v="0"/>
    <n v="1"/>
    <n v="0"/>
    <n v="1"/>
    <x v="2"/>
    <n v="0"/>
    <n v="0"/>
    <n v="0"/>
    <n v="0"/>
    <x v="1"/>
  </r>
  <r>
    <s v="AZTHBV93S8U3T"/>
    <x v="0"/>
    <n v="28"/>
    <s v="male"/>
    <x v="4"/>
    <x v="0"/>
    <n v="44745"/>
    <s v="No%2C for both questions I would think of restaurants. "/>
    <s v="It didn't involve too much critical thinking"/>
    <m/>
    <s v="NA"/>
    <s v="NA"/>
    <s v="NA"/>
    <s v="NA"/>
    <s v="NA"/>
    <s v="NA"/>
    <s v="NA"/>
    <s v="NA"/>
    <x v="0"/>
    <x v="0"/>
    <s v="NA"/>
    <s v="NA"/>
    <s v="NA"/>
    <s v="NA"/>
    <s v="NA"/>
    <s v="NA"/>
    <x v="0"/>
    <s v="NA"/>
    <s v="NA"/>
    <s v="NA"/>
    <s v="NA"/>
    <x v="1"/>
  </r>
  <r>
    <s v="AY43RJRF8IEBN"/>
    <x v="0"/>
    <n v="36"/>
    <s v="female"/>
    <x v="0"/>
    <x v="0"/>
    <n v="28631"/>
    <s v="NA"/>
    <s v="NA"/>
    <s v="NA"/>
    <s v="NA"/>
    <s v="NA"/>
    <s v="NA"/>
    <s v="NA"/>
    <s v="NA"/>
    <s v="NA"/>
    <s v="NA"/>
    <s v="NA"/>
    <x v="0"/>
    <x v="0"/>
    <s v="NA"/>
    <s v="NA"/>
    <s v="NA"/>
    <s v="NA"/>
    <s v="NA"/>
    <s v="NA"/>
    <x v="0"/>
    <s v="NA"/>
    <s v="NA"/>
    <s v="NA"/>
    <s v="NA"/>
    <x v="1"/>
  </r>
  <r>
    <s v="AY43RJRF8IEBN"/>
    <x v="0"/>
    <n v="36"/>
    <s v="female"/>
    <x v="1"/>
    <x v="1"/>
    <n v="25645"/>
    <n v="0"/>
    <n v="0"/>
    <n v="0"/>
    <n v="1"/>
    <s v="NA"/>
    <s v="NA"/>
    <s v="NA"/>
    <s v="NA"/>
    <s v="NA"/>
    <s v="NA"/>
    <s v="NA"/>
    <x v="0"/>
    <x v="0"/>
    <s v="NA"/>
    <s v="NA"/>
    <s v="NA"/>
    <s v="NA"/>
    <s v="NA"/>
    <s v="NA"/>
    <x v="0"/>
    <s v="NA"/>
    <s v="NA"/>
    <s v="NA"/>
    <s v="NA"/>
    <x v="1"/>
  </r>
  <r>
    <s v="AY43RJRF8IEBN"/>
    <x v="0"/>
    <n v="36"/>
    <s v="female"/>
    <x v="1"/>
    <x v="2"/>
    <n v="38557"/>
    <n v="0"/>
    <n v="0"/>
    <n v="1"/>
    <n v="0"/>
    <s v="NA"/>
    <s v="NA"/>
    <s v="NA"/>
    <s v="NA"/>
    <s v="NA"/>
    <s v="NA"/>
    <s v="NA"/>
    <x v="0"/>
    <x v="0"/>
    <s v="NA"/>
    <s v="NA"/>
    <s v="NA"/>
    <s v="NA"/>
    <s v="NA"/>
    <s v="NA"/>
    <x v="0"/>
    <s v="NA"/>
    <s v="NA"/>
    <s v="NA"/>
    <s v="NA"/>
    <x v="1"/>
  </r>
  <r>
    <s v="AY43RJRF8IEBN"/>
    <x v="0"/>
    <n v="36"/>
    <s v="female"/>
    <x v="2"/>
    <x v="9"/>
    <n v="44004"/>
    <n v="0"/>
    <n v="0"/>
    <n v="0"/>
    <n v="1"/>
    <s v="Stores A and B."/>
    <s v="Stores D and E."/>
    <s v="Store A."/>
    <s v="ms-h"/>
    <s v="ms-l"/>
    <s v="mo-h"/>
    <n v="0"/>
    <x v="2"/>
    <x v="2"/>
    <n v="1"/>
    <n v="1"/>
    <n v="0"/>
    <n v="1"/>
    <n v="0"/>
    <n v="0"/>
    <x v="2"/>
    <n v="0"/>
    <n v="0"/>
    <n v="0"/>
    <n v="1"/>
    <x v="1"/>
  </r>
  <r>
    <s v="AY43RJRF8IEBN"/>
    <x v="0"/>
    <n v="36"/>
    <s v="female"/>
    <x v="2"/>
    <x v="3"/>
    <n v="17380"/>
    <n v="0"/>
    <n v="0"/>
    <n v="0"/>
    <n v="1"/>
    <s v="Cafe E."/>
    <s v="Cafes A, B, C, D and E."/>
    <s v="Cafes D and E."/>
    <s v="mo-l"/>
    <s v="exh"/>
    <s v="ms-l"/>
    <n v="1"/>
    <x v="1"/>
    <x v="1"/>
    <n v="0"/>
    <n v="1"/>
    <n v="0"/>
    <n v="1"/>
    <n v="0"/>
    <n v="0"/>
    <x v="2"/>
    <n v="0"/>
    <n v="0"/>
    <n v="0"/>
    <n v="1"/>
    <x v="1"/>
  </r>
  <r>
    <s v="AY43RJRF8IEBN"/>
    <x v="0"/>
    <n v="36"/>
    <s v="female"/>
    <x v="3"/>
    <x v="12"/>
    <n v="18670"/>
    <n v="1"/>
    <n v="0"/>
    <n v="0"/>
    <n v="0"/>
    <s v="NA"/>
    <s v="NA"/>
    <s v="NA"/>
    <s v="NA"/>
    <s v="NA"/>
    <s v="NA"/>
    <s v="NA"/>
    <x v="1"/>
    <x v="1"/>
    <n v="0"/>
    <n v="1"/>
    <n v="0"/>
    <n v="1"/>
    <n v="0"/>
    <n v="0"/>
    <x v="2"/>
    <n v="0"/>
    <n v="0"/>
    <n v="0"/>
    <n v="1"/>
    <x v="1"/>
  </r>
  <r>
    <s v="AY43RJRF8IEBN"/>
    <x v="0"/>
    <n v="36"/>
    <s v="female"/>
    <x v="2"/>
    <x v="7"/>
    <n v="21860"/>
    <n v="0"/>
    <n v="0"/>
    <n v="0"/>
    <n v="1"/>
    <s v="Stylist A."/>
    <s v="Stylist E."/>
    <s v="Stylists A, B, C, D and E."/>
    <s v="mo-h"/>
    <s v="mo-l"/>
    <s v="exh"/>
    <n v="1"/>
    <x v="2"/>
    <x v="1"/>
    <n v="0"/>
    <n v="0"/>
    <n v="0"/>
    <n v="1"/>
    <n v="0"/>
    <n v="0"/>
    <x v="2"/>
    <n v="0"/>
    <n v="0"/>
    <n v="0"/>
    <n v="1"/>
    <x v="1"/>
  </r>
  <r>
    <s v="AY43RJRF8IEBN"/>
    <x v="0"/>
    <n v="36"/>
    <s v="female"/>
    <x v="3"/>
    <x v="5"/>
    <n v="34494"/>
    <n v="0"/>
    <n v="1"/>
    <n v="1"/>
    <n v="0"/>
    <s v="NA"/>
    <s v="NA"/>
    <s v="NA"/>
    <s v="NA"/>
    <s v="NA"/>
    <s v="NA"/>
    <s v="NA"/>
    <x v="2"/>
    <x v="1"/>
    <n v="0"/>
    <n v="0"/>
    <n v="0"/>
    <n v="1"/>
    <n v="0"/>
    <n v="0"/>
    <x v="2"/>
    <n v="0"/>
    <n v="0"/>
    <n v="0"/>
    <n v="1"/>
    <x v="1"/>
  </r>
  <r>
    <s v="AY43RJRF8IEBN"/>
    <x v="0"/>
    <n v="36"/>
    <s v="female"/>
    <x v="2"/>
    <x v="6"/>
    <n v="18901"/>
    <n v="0"/>
    <n v="0"/>
    <n v="0"/>
    <n v="1"/>
    <s v="Bookstore A."/>
    <s v="Bookstores D and E."/>
    <s v="Bookstores A, B, C, D and E."/>
    <s v="mo-h"/>
    <s v="ms-l"/>
    <s v="exh"/>
    <n v="1"/>
    <x v="2"/>
    <x v="2"/>
    <n v="0"/>
    <n v="1"/>
    <n v="0"/>
    <n v="1"/>
    <n v="0"/>
    <n v="0"/>
    <x v="2"/>
    <n v="0"/>
    <n v="0"/>
    <n v="0"/>
    <n v="1"/>
    <x v="1"/>
  </r>
  <r>
    <s v="AY43RJRF8IEBN"/>
    <x v="0"/>
    <n v="36"/>
    <s v="female"/>
    <x v="2"/>
    <x v="11"/>
    <n v="13732"/>
    <n v="0"/>
    <n v="0"/>
    <n v="0"/>
    <n v="1"/>
    <s v="Dentists A and B."/>
    <s v="Dentist E."/>
    <s v="Dentist A."/>
    <s v="ms-h"/>
    <s v="mo-l"/>
    <s v="mo-h"/>
    <n v="0"/>
    <x v="2"/>
    <x v="1"/>
    <n v="1"/>
    <n v="0"/>
    <n v="0"/>
    <n v="1"/>
    <n v="0"/>
    <n v="0"/>
    <x v="2"/>
    <n v="0"/>
    <n v="0"/>
    <n v="0"/>
    <n v="1"/>
    <x v="1"/>
  </r>
  <r>
    <s v="AY43RJRF8IEBN"/>
    <x v="0"/>
    <n v="36"/>
    <s v="female"/>
    <x v="3"/>
    <x v="8"/>
    <n v="19679"/>
    <n v="1"/>
    <n v="1"/>
    <n v="0"/>
    <n v="0"/>
    <s v="NA"/>
    <s v="NA"/>
    <s v="NA"/>
    <s v="NA"/>
    <s v="NA"/>
    <s v="NA"/>
    <s v="NA"/>
    <x v="2"/>
    <x v="1"/>
    <n v="1"/>
    <n v="0"/>
    <n v="0"/>
    <n v="1"/>
    <n v="0"/>
    <n v="0"/>
    <x v="2"/>
    <n v="0"/>
    <n v="0"/>
    <n v="0"/>
    <n v="1"/>
    <x v="1"/>
  </r>
  <r>
    <s v="AY43RJRF8IEBN"/>
    <x v="0"/>
    <n v="36"/>
    <s v="female"/>
    <x v="2"/>
    <x v="4"/>
    <n v="17857"/>
    <n v="0"/>
    <n v="0"/>
    <n v="0"/>
    <n v="1"/>
    <s v="Stall F."/>
    <s v="Stalls D and E."/>
    <s v="Stall A."/>
    <s v="fa"/>
    <s v="ms-l"/>
    <s v="mo-h"/>
    <n v="0"/>
    <x v="2"/>
    <x v="2"/>
    <n v="0"/>
    <n v="1"/>
    <n v="0"/>
    <n v="1"/>
    <n v="0"/>
    <n v="0"/>
    <x v="2"/>
    <n v="0"/>
    <n v="0"/>
    <n v="0"/>
    <n v="1"/>
    <x v="1"/>
  </r>
  <r>
    <s v="AY43RJRF8IEBN"/>
    <x v="0"/>
    <n v="36"/>
    <s v="female"/>
    <x v="3"/>
    <x v="10"/>
    <n v="23998"/>
    <n v="0"/>
    <n v="0"/>
    <n v="1"/>
    <n v="0"/>
    <s v="NA"/>
    <s v="NA"/>
    <s v="NA"/>
    <s v="NA"/>
    <s v="NA"/>
    <s v="NA"/>
    <s v="NA"/>
    <x v="2"/>
    <x v="2"/>
    <n v="0"/>
    <n v="1"/>
    <n v="0"/>
    <n v="1"/>
    <n v="0"/>
    <n v="0"/>
    <x v="2"/>
    <n v="0"/>
    <n v="0"/>
    <n v="0"/>
    <n v="1"/>
    <x v="1"/>
  </r>
  <r>
    <s v="AY43RJRF8IEBN"/>
    <x v="0"/>
    <n v="36"/>
    <s v="female"/>
    <x v="4"/>
    <x v="0"/>
    <n v="60709"/>
    <s v="Yes. &quot;Where can I go&quot; is asking for the best ones. &quot;Which restaurants&quot; is factual."/>
    <s v="Very. I was never sure what I was supposed to answer."/>
    <s v="no"/>
    <s v="NA"/>
    <s v="NA"/>
    <s v="NA"/>
    <s v="NA"/>
    <s v="NA"/>
    <s v="NA"/>
    <s v="NA"/>
    <s v="NA"/>
    <x v="0"/>
    <x v="0"/>
    <s v="NA"/>
    <s v="NA"/>
    <s v="NA"/>
    <s v="NA"/>
    <s v="NA"/>
    <s v="NA"/>
    <x v="0"/>
    <s v="NA"/>
    <s v="NA"/>
    <s v="NA"/>
    <s v="NA"/>
    <x v="1"/>
  </r>
  <r>
    <s v="A35KO5LPASBFI9"/>
    <x v="0"/>
    <n v="24"/>
    <s v="female"/>
    <x v="0"/>
    <x v="0"/>
    <n v="25316"/>
    <s v="NA"/>
    <s v="NA"/>
    <s v="NA"/>
    <s v="NA"/>
    <s v="NA"/>
    <s v="NA"/>
    <s v="NA"/>
    <s v="NA"/>
    <s v="NA"/>
    <s v="NA"/>
    <s v="NA"/>
    <x v="0"/>
    <x v="0"/>
    <s v="NA"/>
    <s v="NA"/>
    <s v="NA"/>
    <s v="NA"/>
    <s v="NA"/>
    <s v="NA"/>
    <x v="0"/>
    <s v="NA"/>
    <s v="NA"/>
    <s v="NA"/>
    <s v="NA"/>
    <x v="1"/>
  </r>
  <r>
    <s v="A35KO5LPASBFI9"/>
    <x v="0"/>
    <n v="24"/>
    <s v="female"/>
    <x v="1"/>
    <x v="2"/>
    <n v="33578"/>
    <n v="0"/>
    <n v="0"/>
    <n v="1"/>
    <n v="0"/>
    <s v="NA"/>
    <s v="NA"/>
    <s v="NA"/>
    <s v="NA"/>
    <s v="NA"/>
    <s v="NA"/>
    <s v="NA"/>
    <x v="0"/>
    <x v="0"/>
    <s v="NA"/>
    <s v="NA"/>
    <s v="NA"/>
    <s v="NA"/>
    <s v="NA"/>
    <s v="NA"/>
    <x v="0"/>
    <s v="NA"/>
    <s v="NA"/>
    <s v="NA"/>
    <s v="NA"/>
    <x v="1"/>
  </r>
  <r>
    <s v="A35KO5LPASBFI9"/>
    <x v="0"/>
    <n v="24"/>
    <s v="female"/>
    <x v="1"/>
    <x v="1"/>
    <n v="29929"/>
    <n v="0"/>
    <n v="0"/>
    <n v="0"/>
    <n v="1"/>
    <s v="NA"/>
    <s v="NA"/>
    <s v="NA"/>
    <s v="NA"/>
    <s v="NA"/>
    <s v="NA"/>
    <s v="NA"/>
    <x v="0"/>
    <x v="0"/>
    <s v="NA"/>
    <s v="NA"/>
    <s v="NA"/>
    <s v="NA"/>
    <s v="NA"/>
    <s v="NA"/>
    <x v="0"/>
    <s v="NA"/>
    <s v="NA"/>
    <s v="NA"/>
    <s v="NA"/>
    <x v="1"/>
  </r>
  <r>
    <s v="A35KO5LPASBFI9"/>
    <x v="0"/>
    <n v="24"/>
    <s v="female"/>
    <x v="2"/>
    <x v="3"/>
    <n v="56081"/>
    <n v="1"/>
    <n v="1"/>
    <n v="1"/>
    <n v="0"/>
    <s v="Cafes A and B."/>
    <s v="Cafes D and E."/>
    <s v="Cafe A."/>
    <s v="ms-h"/>
    <s v="ms-l"/>
    <s v="mo-h"/>
    <n v="0"/>
    <x v="2"/>
    <x v="2"/>
    <n v="1"/>
    <n v="1"/>
    <n v="0"/>
    <n v="1"/>
    <n v="0"/>
    <n v="1"/>
    <x v="2"/>
    <n v="1"/>
    <n v="1"/>
    <n v="0"/>
    <n v="0"/>
    <x v="1"/>
  </r>
  <r>
    <s v="A35KO5LPASBFI9"/>
    <x v="0"/>
    <n v="24"/>
    <s v="female"/>
    <x v="2"/>
    <x v="4"/>
    <n v="25844"/>
    <n v="0"/>
    <n v="1"/>
    <n v="0"/>
    <n v="0"/>
    <s v="Stall F."/>
    <s v="Stall A."/>
    <s v="Stalls D and E."/>
    <s v="fa"/>
    <s v="mo-h"/>
    <s v="ms-l"/>
    <n v="0"/>
    <x v="2"/>
    <x v="2"/>
    <n v="0"/>
    <n v="1"/>
    <n v="0"/>
    <n v="1"/>
    <n v="0"/>
    <n v="1"/>
    <x v="2"/>
    <n v="0"/>
    <n v="0"/>
    <n v="0"/>
    <n v="0"/>
    <x v="1"/>
  </r>
  <r>
    <s v="A35KO5LPASBFI9"/>
    <x v="0"/>
    <n v="24"/>
    <s v="female"/>
    <x v="3"/>
    <x v="8"/>
    <n v="19141"/>
    <n v="1"/>
    <n v="1"/>
    <n v="0"/>
    <n v="0"/>
    <s v="NA"/>
    <s v="NA"/>
    <s v="NA"/>
    <s v="NA"/>
    <s v="NA"/>
    <s v="NA"/>
    <s v="NA"/>
    <x v="2"/>
    <x v="2"/>
    <n v="0"/>
    <n v="1"/>
    <n v="0"/>
    <n v="1"/>
    <n v="0"/>
    <n v="1"/>
    <x v="2"/>
    <n v="0"/>
    <n v="0"/>
    <n v="0"/>
    <n v="0"/>
    <x v="1"/>
  </r>
  <r>
    <s v="A35KO5LPASBFI9"/>
    <x v="0"/>
    <n v="24"/>
    <s v="female"/>
    <x v="2"/>
    <x v="9"/>
    <n v="22659"/>
    <n v="0"/>
    <n v="1"/>
    <n v="0"/>
    <n v="0"/>
    <s v="Stores D and E."/>
    <s v="Store A."/>
    <s v="Store F."/>
    <s v="ms-l"/>
    <s v="mo-h"/>
    <s v="fa"/>
    <n v="0"/>
    <x v="2"/>
    <x v="2"/>
    <n v="0"/>
    <n v="1"/>
    <n v="0"/>
    <n v="1"/>
    <n v="0"/>
    <n v="1"/>
    <x v="2"/>
    <n v="0"/>
    <n v="0"/>
    <n v="0"/>
    <n v="0"/>
    <x v="1"/>
  </r>
  <r>
    <s v="A35KO5LPASBFI9"/>
    <x v="0"/>
    <n v="24"/>
    <s v="female"/>
    <x v="2"/>
    <x v="6"/>
    <n v="21627"/>
    <n v="1"/>
    <n v="1"/>
    <n v="1"/>
    <n v="0"/>
    <s v="Bookstore E."/>
    <s v="Bookstore F."/>
    <s v="Bookstores A, B, C, D and E."/>
    <s v="mo-l"/>
    <s v="fa"/>
    <s v="exh"/>
    <n v="1"/>
    <x v="1"/>
    <x v="1"/>
    <n v="0"/>
    <n v="0"/>
    <n v="0"/>
    <n v="1"/>
    <n v="1"/>
    <n v="0"/>
    <x v="1"/>
    <n v="0"/>
    <n v="0"/>
    <n v="0"/>
    <n v="0"/>
    <x v="1"/>
  </r>
  <r>
    <s v="A35KO5LPASBFI9"/>
    <x v="0"/>
    <n v="24"/>
    <s v="female"/>
    <x v="3"/>
    <x v="12"/>
    <n v="19715"/>
    <n v="1"/>
    <n v="0"/>
    <n v="0"/>
    <n v="0"/>
    <s v="NA"/>
    <s v="NA"/>
    <s v="NA"/>
    <s v="NA"/>
    <s v="NA"/>
    <s v="NA"/>
    <s v="NA"/>
    <x v="1"/>
    <x v="1"/>
    <n v="0"/>
    <n v="0"/>
    <n v="0"/>
    <n v="1"/>
    <n v="1"/>
    <n v="0"/>
    <x v="1"/>
    <n v="0"/>
    <n v="0"/>
    <n v="0"/>
    <n v="0"/>
    <x v="1"/>
  </r>
  <r>
    <s v="A35KO5LPASBFI9"/>
    <x v="0"/>
    <n v="24"/>
    <s v="female"/>
    <x v="2"/>
    <x v="7"/>
    <n v="14741"/>
    <n v="0"/>
    <n v="0"/>
    <n v="0"/>
    <n v="1"/>
    <s v="Stylist E."/>
    <s v="Stylists A and B."/>
    <s v="Stylists D and E."/>
    <s v="mo-l"/>
    <s v="ms-h"/>
    <s v="ms-l"/>
    <n v="0"/>
    <x v="1"/>
    <x v="1"/>
    <n v="1"/>
    <n v="1"/>
    <n v="0"/>
    <n v="1"/>
    <n v="0"/>
    <n v="0"/>
    <x v="2"/>
    <n v="0"/>
    <n v="0"/>
    <n v="0"/>
    <n v="1"/>
    <x v="1"/>
  </r>
  <r>
    <s v="A35KO5LPASBFI9"/>
    <x v="0"/>
    <n v="24"/>
    <s v="female"/>
    <x v="3"/>
    <x v="5"/>
    <n v="28636"/>
    <n v="0"/>
    <n v="0"/>
    <n v="1"/>
    <n v="0"/>
    <s v="NA"/>
    <s v="NA"/>
    <s v="NA"/>
    <s v="NA"/>
    <s v="NA"/>
    <s v="NA"/>
    <s v="NA"/>
    <x v="1"/>
    <x v="1"/>
    <n v="1"/>
    <n v="1"/>
    <n v="0"/>
    <n v="1"/>
    <n v="0"/>
    <n v="0"/>
    <x v="2"/>
    <n v="0"/>
    <n v="0"/>
    <n v="0"/>
    <n v="1"/>
    <x v="1"/>
  </r>
  <r>
    <s v="A35KO5LPASBFI9"/>
    <x v="0"/>
    <n v="24"/>
    <s v="female"/>
    <x v="2"/>
    <x v="11"/>
    <n v="14282"/>
    <n v="0"/>
    <n v="0"/>
    <n v="0"/>
    <n v="1"/>
    <s v="Dentist A."/>
    <s v="Dentists A, B, C, D and E."/>
    <s v="Dentists D and E."/>
    <s v="mo-h"/>
    <s v="exh"/>
    <s v="ms-l"/>
    <n v="1"/>
    <x v="2"/>
    <x v="2"/>
    <n v="0"/>
    <n v="1"/>
    <n v="0"/>
    <n v="1"/>
    <n v="0"/>
    <n v="0"/>
    <x v="2"/>
    <n v="0"/>
    <n v="0"/>
    <n v="0"/>
    <n v="1"/>
    <x v="1"/>
  </r>
  <r>
    <s v="A35KO5LPASBFI9"/>
    <x v="0"/>
    <n v="24"/>
    <s v="female"/>
    <x v="3"/>
    <x v="10"/>
    <n v="30800"/>
    <n v="0"/>
    <n v="1"/>
    <n v="0"/>
    <n v="0"/>
    <s v="NA"/>
    <s v="NA"/>
    <s v="NA"/>
    <s v="NA"/>
    <s v="NA"/>
    <s v="NA"/>
    <s v="NA"/>
    <x v="2"/>
    <x v="2"/>
    <n v="0"/>
    <n v="1"/>
    <n v="0"/>
    <n v="1"/>
    <n v="0"/>
    <n v="0"/>
    <x v="2"/>
    <n v="0"/>
    <n v="0"/>
    <n v="0"/>
    <n v="1"/>
    <x v="1"/>
  </r>
  <r>
    <s v="A35KO5LPASBFI9"/>
    <x v="0"/>
    <n v="24"/>
    <s v="female"/>
    <x v="4"/>
    <x v="0"/>
    <n v="46578"/>
    <s v="No%2C I think they would be responded to in a similar manner."/>
    <s v="No"/>
    <s v="No"/>
    <s v="NA"/>
    <s v="NA"/>
    <s v="NA"/>
    <s v="NA"/>
    <s v="NA"/>
    <s v="NA"/>
    <s v="NA"/>
    <s v="NA"/>
    <x v="0"/>
    <x v="0"/>
    <s v="NA"/>
    <s v="NA"/>
    <s v="NA"/>
    <s v="NA"/>
    <s v="NA"/>
    <s v="NA"/>
    <x v="0"/>
    <s v="NA"/>
    <s v="NA"/>
    <s v="NA"/>
    <s v="NA"/>
    <x v="1"/>
  </r>
</pivotCacheRecords>
</file>

<file path=xl/pivotCache/pivotCacheRecords2.xml><?xml version="1.0" encoding="utf-8"?>
<pivotCacheRecords xmlns="http://schemas.openxmlformats.org/spreadsheetml/2006/main" xmlns:r="http://schemas.openxmlformats.org/officeDocument/2006/relationships" count="696">
  <r>
    <s v="A2MM10557W7PLD"/>
    <s v="english"/>
    <s v="test"/>
    <x v="0"/>
    <x v="0"/>
    <s v="ms-l"/>
    <s v="ms-h"/>
    <s v="mo-l"/>
    <n v="0"/>
    <n v="0"/>
    <n v="1"/>
    <n v="1"/>
    <n v="1"/>
    <n v="0"/>
    <n v="1"/>
    <n v="0"/>
    <n v="0"/>
    <n v="1"/>
    <n v="0"/>
    <n v="0"/>
    <n v="0"/>
    <n v="0"/>
  </r>
  <r>
    <s v="A2MM10557W7PLD"/>
    <s v="english"/>
    <s v="test"/>
    <x v="1"/>
    <x v="0"/>
    <s v="mo-l"/>
    <s v="ms-h"/>
    <s v="ms-l"/>
    <n v="0"/>
    <n v="0"/>
    <n v="1"/>
    <n v="1"/>
    <n v="1"/>
    <n v="0"/>
    <n v="1"/>
    <n v="0"/>
    <n v="0"/>
    <n v="0"/>
    <n v="1"/>
    <n v="0"/>
    <n v="0"/>
    <n v="0"/>
  </r>
  <r>
    <s v="A2MM10557W7PLD"/>
    <s v="english"/>
    <s v="test"/>
    <x v="2"/>
    <x v="0"/>
    <s v="fa"/>
    <s v="mo-l"/>
    <s v="exh"/>
    <n v="1"/>
    <n v="0"/>
    <n v="1"/>
    <n v="0"/>
    <n v="0"/>
    <n v="0"/>
    <n v="1"/>
    <n v="1"/>
    <n v="0"/>
    <n v="0"/>
    <n v="0"/>
    <n v="0"/>
    <n v="0"/>
    <n v="0"/>
  </r>
  <r>
    <s v="A2MM10557W7PLD"/>
    <s v="english"/>
    <s v="test"/>
    <x v="3"/>
    <x v="0"/>
    <s v="mo-h"/>
    <s v="ms-l"/>
    <s v="mo-l"/>
    <n v="0"/>
    <n v="1"/>
    <n v="1"/>
    <n v="0"/>
    <n v="1"/>
    <n v="0"/>
    <n v="1"/>
    <n v="0"/>
    <n v="0"/>
    <n v="0"/>
    <n v="0"/>
    <n v="1"/>
    <n v="0"/>
    <n v="0"/>
  </r>
  <r>
    <s v="A2MM10557W7PLD"/>
    <s v="english"/>
    <s v="test"/>
    <x v="4"/>
    <x v="0"/>
    <s v="mo-h"/>
    <s v="mo-l"/>
    <s v="ms-h"/>
    <n v="0"/>
    <n v="1"/>
    <n v="1"/>
    <n v="1"/>
    <n v="0"/>
    <n v="0"/>
    <n v="1"/>
    <n v="0"/>
    <n v="1"/>
    <n v="0"/>
    <n v="0"/>
    <n v="0"/>
    <n v="0"/>
    <n v="0"/>
  </r>
  <r>
    <s v="A2MM10557W7PLD"/>
    <s v="english"/>
    <s v="test"/>
    <x v="5"/>
    <x v="0"/>
    <s v="mo-l"/>
    <s v="ms-h"/>
    <s v="ms-l"/>
    <n v="0"/>
    <n v="0"/>
    <n v="1"/>
    <n v="1"/>
    <n v="1"/>
    <n v="0"/>
    <n v="1"/>
    <n v="0"/>
    <n v="0"/>
    <n v="0"/>
    <n v="0"/>
    <n v="1"/>
    <n v="0"/>
    <n v="0"/>
  </r>
  <r>
    <s v="A3FFZN4FO3Q789"/>
    <s v="english"/>
    <s v="test"/>
    <x v="0"/>
    <x v="0"/>
    <s v="mo-l"/>
    <s v="ms-h"/>
    <s v="mo-h"/>
    <n v="0"/>
    <n v="1"/>
    <n v="1"/>
    <n v="1"/>
    <n v="0"/>
    <n v="0"/>
    <n v="1"/>
    <n v="0"/>
    <n v="1"/>
    <n v="0"/>
    <n v="1"/>
    <n v="0"/>
    <n v="0"/>
    <n v="0"/>
  </r>
  <r>
    <s v="A3FFZN4FO3Q789"/>
    <s v="english"/>
    <s v="test"/>
    <x v="1"/>
    <x v="0"/>
    <s v="fa"/>
    <s v="ms-h"/>
    <s v="mo-l"/>
    <n v="0"/>
    <n v="0"/>
    <n v="1"/>
    <n v="1"/>
    <n v="0"/>
    <n v="0"/>
    <n v="1"/>
    <n v="0"/>
    <n v="0"/>
    <n v="0"/>
    <n v="1"/>
    <n v="0"/>
    <n v="0"/>
    <n v="0"/>
  </r>
  <r>
    <s v="A3FFZN4FO3Q789"/>
    <s v="english"/>
    <s v="test"/>
    <x v="5"/>
    <x v="0"/>
    <s v="ms-h"/>
    <s v="ms-l"/>
    <s v="mo-l"/>
    <n v="0"/>
    <n v="0"/>
    <n v="1"/>
    <n v="1"/>
    <n v="1"/>
    <n v="0"/>
    <n v="1"/>
    <n v="0"/>
    <n v="0"/>
    <n v="0"/>
    <n v="0"/>
    <n v="1"/>
    <n v="0"/>
    <n v="0"/>
  </r>
  <r>
    <s v="A3FFZN4FO3Q789"/>
    <s v="english"/>
    <s v="test"/>
    <x v="4"/>
    <x v="0"/>
    <s v="ms-h"/>
    <s v="mo-l"/>
    <s v="ms-l"/>
    <n v="0"/>
    <n v="0"/>
    <n v="1"/>
    <n v="1"/>
    <n v="1"/>
    <n v="0"/>
    <n v="1"/>
    <n v="0"/>
    <n v="0"/>
    <n v="1"/>
    <n v="0"/>
    <n v="0"/>
    <n v="0"/>
    <n v="0"/>
  </r>
  <r>
    <s v="A3FFZN4FO3Q789"/>
    <s v="english"/>
    <s v="test"/>
    <x v="3"/>
    <x v="0"/>
    <s v="ms-h"/>
    <s v="mo-l"/>
    <s v="mo-h"/>
    <n v="0"/>
    <n v="1"/>
    <n v="1"/>
    <n v="1"/>
    <n v="0"/>
    <n v="0"/>
    <n v="1"/>
    <n v="0"/>
    <n v="1"/>
    <n v="0"/>
    <n v="1"/>
    <n v="0"/>
    <n v="0"/>
    <n v="0"/>
  </r>
  <r>
    <s v="A1XGI8153WBWFQ"/>
    <s v="Albanian"/>
    <s v="test"/>
    <x v="5"/>
    <x v="0"/>
    <s v="ms-l"/>
    <s v="mo-l"/>
    <s v="fa"/>
    <n v="0"/>
    <n v="0"/>
    <n v="1"/>
    <n v="0"/>
    <n v="1"/>
    <n v="0"/>
    <n v="1"/>
    <n v="0"/>
    <n v="0"/>
    <n v="1"/>
    <n v="0"/>
    <n v="0"/>
    <n v="0"/>
    <n v="0"/>
  </r>
  <r>
    <s v="A1XGI8153WBWFQ"/>
    <s v="Albanian"/>
    <s v="test"/>
    <x v="2"/>
    <x v="0"/>
    <s v="ms-h"/>
    <s v="mo-l"/>
    <s v="mo-h"/>
    <n v="0"/>
    <n v="1"/>
    <n v="1"/>
    <n v="1"/>
    <n v="0"/>
    <n v="0"/>
    <n v="1"/>
    <n v="0"/>
    <n v="0"/>
    <n v="1"/>
    <n v="0"/>
    <n v="0"/>
    <n v="0"/>
    <n v="0"/>
  </r>
  <r>
    <s v="A1XGI8153WBWFQ"/>
    <s v="Albanian"/>
    <s v="test"/>
    <x v="3"/>
    <x v="0"/>
    <s v="mo-l"/>
    <s v="fa"/>
    <s v="ms-l"/>
    <n v="0"/>
    <n v="0"/>
    <n v="1"/>
    <n v="0"/>
    <n v="1"/>
    <n v="0"/>
    <n v="1"/>
    <n v="0"/>
    <n v="0"/>
    <n v="0"/>
    <n v="0"/>
    <n v="1"/>
    <n v="0"/>
    <n v="0"/>
  </r>
  <r>
    <s v="A1XGI8153WBWFQ"/>
    <s v="Albanian"/>
    <s v="test"/>
    <x v="4"/>
    <x v="0"/>
    <s v="mo-h"/>
    <s v="ms-l"/>
    <s v="mo-l"/>
    <n v="0"/>
    <n v="1"/>
    <n v="1"/>
    <n v="0"/>
    <n v="1"/>
    <n v="0"/>
    <n v="1"/>
    <n v="0"/>
    <n v="0"/>
    <n v="0"/>
    <n v="0"/>
    <n v="1"/>
    <n v="0"/>
    <n v="0"/>
  </r>
  <r>
    <s v="A1XGI8153WBWFQ"/>
    <s v="Albanian"/>
    <s v="test"/>
    <x v="0"/>
    <x v="0"/>
    <s v="ms-h"/>
    <s v="mo-l"/>
    <s v="ms-l"/>
    <n v="0"/>
    <n v="0"/>
    <n v="1"/>
    <n v="1"/>
    <n v="1"/>
    <n v="0"/>
    <n v="1"/>
    <n v="0"/>
    <n v="0"/>
    <n v="0"/>
    <n v="0"/>
    <n v="1"/>
    <n v="0"/>
    <n v="0"/>
  </r>
  <r>
    <s v="A14NSVH4W27CK0"/>
    <s v="english"/>
    <s v="test"/>
    <x v="0"/>
    <x v="0"/>
    <s v="mo-l"/>
    <s v="fa"/>
    <s v="ms-h"/>
    <n v="0"/>
    <n v="0"/>
    <n v="1"/>
    <n v="1"/>
    <n v="0"/>
    <n v="0"/>
    <n v="1"/>
    <n v="0"/>
    <n v="0"/>
    <n v="0"/>
    <n v="1"/>
    <n v="0"/>
    <n v="0"/>
    <n v="0"/>
  </r>
  <r>
    <s v="A14NSVH4W27CK0"/>
    <s v="english"/>
    <s v="test"/>
    <x v="1"/>
    <x v="0"/>
    <s v="mo-h"/>
    <s v="mo-l"/>
    <s v="ms-h"/>
    <n v="0"/>
    <n v="1"/>
    <n v="1"/>
    <n v="1"/>
    <n v="0"/>
    <n v="0"/>
    <n v="1"/>
    <n v="0"/>
    <n v="0"/>
    <n v="0"/>
    <n v="1"/>
    <n v="0"/>
    <n v="0"/>
    <n v="0"/>
  </r>
  <r>
    <s v="A14NSVH4W27CK0"/>
    <s v="english"/>
    <s v="test"/>
    <x v="2"/>
    <x v="0"/>
    <s v="mo-l"/>
    <s v="fa"/>
    <s v="ms-l"/>
    <n v="0"/>
    <n v="0"/>
    <n v="1"/>
    <n v="0"/>
    <n v="1"/>
    <n v="0"/>
    <n v="1"/>
    <n v="0"/>
    <n v="0"/>
    <n v="0"/>
    <n v="0"/>
    <n v="0"/>
    <n v="0"/>
    <n v="0"/>
  </r>
  <r>
    <s v="A14NSVH4W27CK0"/>
    <s v="english"/>
    <s v="test"/>
    <x v="5"/>
    <x v="0"/>
    <s v="exh"/>
    <s v="fa"/>
    <s v="mo-l"/>
    <n v="1"/>
    <n v="0"/>
    <n v="1"/>
    <n v="0"/>
    <n v="0"/>
    <n v="0"/>
    <n v="1"/>
    <n v="0"/>
    <n v="0"/>
    <n v="1"/>
    <n v="0"/>
    <n v="0"/>
    <n v="0"/>
    <n v="0"/>
  </r>
  <r>
    <s v="ALDWVFR4I0V2D"/>
    <s v="english"/>
    <s v="test"/>
    <x v="2"/>
    <x v="0"/>
    <s v="exh"/>
    <s v="ms-h"/>
    <s v="mo-l"/>
    <n v="1"/>
    <n v="0"/>
    <n v="1"/>
    <n v="1"/>
    <n v="0"/>
    <n v="0"/>
    <n v="1"/>
    <n v="0"/>
    <n v="0"/>
    <n v="0"/>
    <n v="0"/>
    <n v="0"/>
    <n v="0"/>
    <n v="1"/>
  </r>
  <r>
    <s v="ALDWVFR4I0V2D"/>
    <s v="english"/>
    <s v="test"/>
    <x v="0"/>
    <x v="0"/>
    <s v="ms-h"/>
    <s v="ms-l"/>
    <s v="mo-l"/>
    <n v="0"/>
    <n v="0"/>
    <n v="1"/>
    <n v="1"/>
    <n v="1"/>
    <n v="0"/>
    <n v="1"/>
    <n v="0"/>
    <n v="0"/>
    <n v="0"/>
    <n v="1"/>
    <n v="0"/>
    <n v="0"/>
    <n v="0"/>
  </r>
  <r>
    <s v="ALDWVFR4I0V2D"/>
    <s v="english"/>
    <s v="test"/>
    <x v="5"/>
    <x v="0"/>
    <s v="exh"/>
    <s v="mo-l"/>
    <s v="ms-l"/>
    <n v="1"/>
    <n v="0"/>
    <n v="1"/>
    <n v="0"/>
    <n v="1"/>
    <n v="0"/>
    <n v="1"/>
    <n v="0"/>
    <n v="0"/>
    <n v="0"/>
    <n v="0"/>
    <n v="0"/>
    <n v="0"/>
    <n v="1"/>
  </r>
  <r>
    <s v="A3GQR89E66AQJY"/>
    <s v="english"/>
    <s v="test"/>
    <x v="2"/>
    <x v="0"/>
    <s v="mo-h"/>
    <s v="mo-l"/>
    <s v="ms-l"/>
    <n v="0"/>
    <n v="1"/>
    <n v="1"/>
    <n v="0"/>
    <n v="1"/>
    <n v="0"/>
    <n v="1"/>
    <n v="0"/>
    <n v="0"/>
    <n v="0"/>
    <n v="0"/>
    <n v="0"/>
    <n v="0"/>
    <n v="1"/>
  </r>
  <r>
    <s v="A3GQR89E66AQJY"/>
    <s v="english"/>
    <s v="test"/>
    <x v="5"/>
    <x v="0"/>
    <s v="mo-l"/>
    <s v="ms-h"/>
    <s v="mo-h"/>
    <n v="0"/>
    <n v="1"/>
    <n v="1"/>
    <n v="1"/>
    <n v="0"/>
    <n v="0"/>
    <n v="1"/>
    <n v="0"/>
    <n v="0"/>
    <n v="0"/>
    <n v="0"/>
    <n v="0"/>
    <n v="0"/>
    <n v="1"/>
  </r>
  <r>
    <s v="A3GQR89E66AQJY"/>
    <s v="english"/>
    <s v="test"/>
    <x v="0"/>
    <x v="0"/>
    <s v="mo-l"/>
    <s v="mo-h"/>
    <s v="exh"/>
    <n v="1"/>
    <n v="1"/>
    <n v="1"/>
    <n v="0"/>
    <n v="0"/>
    <n v="0"/>
    <n v="1"/>
    <n v="0"/>
    <n v="0"/>
    <n v="0"/>
    <n v="0"/>
    <n v="0"/>
    <n v="0"/>
    <n v="1"/>
  </r>
  <r>
    <s v="A3GQR89E66AQJY"/>
    <s v="english"/>
    <s v="test"/>
    <x v="4"/>
    <x v="0"/>
    <s v="mo-l"/>
    <s v="ms-l"/>
    <s v="ms-h"/>
    <n v="0"/>
    <n v="0"/>
    <n v="1"/>
    <n v="1"/>
    <n v="1"/>
    <n v="0"/>
    <n v="1"/>
    <n v="0"/>
    <n v="0"/>
    <n v="0"/>
    <n v="0"/>
    <n v="1"/>
    <n v="0"/>
    <n v="0"/>
  </r>
  <r>
    <s v="A25ZLJK1VMAXXQ"/>
    <s v="english"/>
    <s v="test"/>
    <x v="5"/>
    <x v="0"/>
    <s v="mo-l"/>
    <s v="fa"/>
    <s v="mo-h"/>
    <n v="0"/>
    <n v="1"/>
    <n v="1"/>
    <n v="0"/>
    <n v="0"/>
    <n v="0"/>
    <n v="1"/>
    <n v="0"/>
    <n v="0"/>
    <n v="0"/>
    <n v="0"/>
    <n v="0"/>
    <n v="0"/>
    <n v="1"/>
  </r>
  <r>
    <s v="A25ZLJK1VMAXXQ"/>
    <s v="english"/>
    <s v="test"/>
    <x v="4"/>
    <x v="0"/>
    <s v="ms-l"/>
    <s v="mo-l"/>
    <s v="mo-h"/>
    <n v="0"/>
    <n v="1"/>
    <n v="1"/>
    <n v="0"/>
    <n v="1"/>
    <n v="0"/>
    <n v="1"/>
    <n v="0"/>
    <n v="0"/>
    <n v="0"/>
    <n v="0"/>
    <n v="0"/>
    <n v="0"/>
    <n v="1"/>
  </r>
  <r>
    <s v="A25ZLJK1VMAXXQ"/>
    <s v="english"/>
    <s v="test"/>
    <x v="3"/>
    <x v="0"/>
    <s v="ms-l"/>
    <s v="mo-h"/>
    <s v="mo-l"/>
    <n v="0"/>
    <n v="1"/>
    <n v="1"/>
    <n v="0"/>
    <n v="1"/>
    <n v="0"/>
    <n v="1"/>
    <n v="0"/>
    <n v="0"/>
    <n v="0"/>
    <n v="0"/>
    <n v="0"/>
    <n v="0"/>
    <n v="1"/>
  </r>
  <r>
    <s v="A2791MEBSOAD1U"/>
    <s v="english"/>
    <s v="test"/>
    <x v="0"/>
    <x v="0"/>
    <s v="mo-l"/>
    <s v="ms-l"/>
    <s v="mo-h"/>
    <n v="0"/>
    <n v="1"/>
    <n v="1"/>
    <n v="0"/>
    <n v="1"/>
    <n v="0"/>
    <n v="1"/>
    <n v="0"/>
    <n v="1"/>
    <n v="0"/>
    <n v="0"/>
    <n v="0"/>
    <n v="0"/>
    <n v="0"/>
  </r>
  <r>
    <s v="A34B9FXOCN08RW"/>
    <s v="english"/>
    <s v="test"/>
    <x v="5"/>
    <x v="0"/>
    <s v="fa"/>
    <s v="ms-l"/>
    <s v="mo-l"/>
    <n v="0"/>
    <n v="0"/>
    <n v="1"/>
    <n v="0"/>
    <n v="1"/>
    <n v="0"/>
    <n v="1"/>
    <n v="0"/>
    <n v="0"/>
    <n v="1"/>
    <n v="0"/>
    <n v="0"/>
    <n v="0"/>
    <n v="0"/>
  </r>
  <r>
    <s v="A34B9FXOCN08RW"/>
    <s v="english"/>
    <s v="test"/>
    <x v="2"/>
    <x v="0"/>
    <s v="ms-h"/>
    <s v="ms-l"/>
    <s v="mo-l"/>
    <n v="0"/>
    <n v="0"/>
    <n v="1"/>
    <n v="1"/>
    <n v="1"/>
    <n v="0"/>
    <n v="1"/>
    <n v="0"/>
    <n v="0"/>
    <n v="1"/>
    <n v="1"/>
    <n v="1"/>
    <n v="0"/>
    <n v="0"/>
  </r>
  <r>
    <s v="A34B9FXOCN08RW"/>
    <s v="english"/>
    <s v="test"/>
    <x v="4"/>
    <x v="0"/>
    <s v="ms-h"/>
    <s v="mo-l"/>
    <s v="ms-l"/>
    <n v="0"/>
    <n v="0"/>
    <n v="1"/>
    <n v="1"/>
    <n v="1"/>
    <n v="0"/>
    <n v="1"/>
    <n v="0"/>
    <n v="0"/>
    <n v="1"/>
    <n v="1"/>
    <n v="1"/>
    <n v="0"/>
    <n v="0"/>
  </r>
  <r>
    <s v="A34B9FXOCN08RW"/>
    <s v="english"/>
    <s v="test"/>
    <x v="3"/>
    <x v="0"/>
    <s v="ms-l"/>
    <s v="mo-l"/>
    <s v="ms-h"/>
    <n v="0"/>
    <n v="0"/>
    <n v="1"/>
    <n v="1"/>
    <n v="1"/>
    <n v="0"/>
    <n v="1"/>
    <n v="0"/>
    <n v="0"/>
    <n v="1"/>
    <n v="1"/>
    <n v="1"/>
    <n v="0"/>
    <n v="0"/>
  </r>
  <r>
    <s v="A1YIBSKY9U31X6"/>
    <s v="english"/>
    <s v="test"/>
    <x v="2"/>
    <x v="0"/>
    <s v="fa"/>
    <s v="mo-l"/>
    <s v="ms-l"/>
    <n v="0"/>
    <n v="0"/>
    <n v="1"/>
    <n v="0"/>
    <n v="1"/>
    <n v="0"/>
    <n v="1"/>
    <n v="0"/>
    <n v="0"/>
    <n v="0"/>
    <n v="0"/>
    <n v="0"/>
    <n v="0"/>
    <n v="1"/>
  </r>
  <r>
    <s v="A1YIBSKY9U31X6"/>
    <s v="english"/>
    <s v="test"/>
    <x v="0"/>
    <x v="0"/>
    <s v="mo-l"/>
    <s v="mo-h"/>
    <s v="exh"/>
    <n v="1"/>
    <n v="1"/>
    <n v="1"/>
    <n v="0"/>
    <n v="0"/>
    <n v="0"/>
    <n v="1"/>
    <n v="1"/>
    <n v="1"/>
    <n v="1"/>
    <n v="0"/>
    <n v="0"/>
    <n v="0"/>
    <n v="0"/>
  </r>
  <r>
    <s v="A1YIBSKY9U31X6"/>
    <s v="english"/>
    <s v="test"/>
    <x v="4"/>
    <x v="0"/>
    <s v="mo-l"/>
    <s v="ms-h"/>
    <s v="mo-h"/>
    <n v="0"/>
    <n v="1"/>
    <n v="1"/>
    <n v="1"/>
    <n v="0"/>
    <n v="0"/>
    <n v="1"/>
    <n v="0"/>
    <n v="1"/>
    <n v="0"/>
    <n v="0"/>
    <n v="0"/>
    <n v="0"/>
    <n v="0"/>
  </r>
  <r>
    <s v="AC5UD8N187QD6"/>
    <s v="english"/>
    <s v="test"/>
    <x v="1"/>
    <x v="0"/>
    <s v="mo-h"/>
    <s v="mo-l"/>
    <s v="ms-h"/>
    <n v="0"/>
    <n v="1"/>
    <n v="1"/>
    <n v="1"/>
    <n v="0"/>
    <n v="0"/>
    <n v="1"/>
    <n v="0"/>
    <n v="1"/>
    <n v="0"/>
    <n v="0"/>
    <n v="0"/>
    <n v="0"/>
    <n v="0"/>
  </r>
  <r>
    <s v="AC5UD8N187QD6"/>
    <s v="english"/>
    <s v="test"/>
    <x v="5"/>
    <x v="0"/>
    <s v="ms-h"/>
    <s v="mo-l"/>
    <s v="mo-h"/>
    <n v="0"/>
    <n v="1"/>
    <n v="1"/>
    <n v="1"/>
    <n v="0"/>
    <n v="0"/>
    <n v="1"/>
    <n v="0"/>
    <n v="0"/>
    <n v="0"/>
    <n v="0"/>
    <n v="0"/>
    <n v="0"/>
    <n v="1"/>
  </r>
  <r>
    <s v="AC5UD8N187QD6"/>
    <s v="english"/>
    <s v="test"/>
    <x v="4"/>
    <x v="0"/>
    <s v="exh"/>
    <s v="mo-l"/>
    <s v="ms-l"/>
    <n v="1"/>
    <n v="0"/>
    <n v="1"/>
    <n v="0"/>
    <n v="1"/>
    <n v="0"/>
    <n v="1"/>
    <n v="0"/>
    <n v="0"/>
    <n v="0"/>
    <n v="0"/>
    <n v="0"/>
    <n v="0"/>
    <n v="1"/>
  </r>
  <r>
    <s v="A2WWYVKGZZXBOB"/>
    <s v="english"/>
    <s v="test"/>
    <x v="4"/>
    <x v="0"/>
    <s v="ms-h"/>
    <s v="mo-l"/>
    <s v="exh"/>
    <n v="1"/>
    <n v="0"/>
    <n v="1"/>
    <n v="1"/>
    <n v="0"/>
    <n v="0"/>
    <n v="1"/>
    <n v="0"/>
    <n v="0"/>
    <n v="0"/>
    <n v="0"/>
    <n v="0"/>
    <n v="0"/>
    <n v="1"/>
  </r>
  <r>
    <s v="A2WWYVKGZZXBOB"/>
    <s v="english"/>
    <s v="test"/>
    <x v="1"/>
    <x v="0"/>
    <s v="mo-l"/>
    <s v="ms-h"/>
    <s v="ms-l"/>
    <n v="0"/>
    <n v="0"/>
    <n v="1"/>
    <n v="1"/>
    <n v="1"/>
    <n v="0"/>
    <n v="1"/>
    <n v="0"/>
    <n v="0"/>
    <n v="0"/>
    <n v="0"/>
    <n v="0"/>
    <n v="0"/>
    <n v="1"/>
  </r>
  <r>
    <s v="A2WWYVKGZZXBOB"/>
    <s v="english"/>
    <s v="test"/>
    <x v="5"/>
    <x v="0"/>
    <s v="ms-h"/>
    <s v="ms-l"/>
    <s v="mo-l"/>
    <n v="0"/>
    <n v="0"/>
    <n v="1"/>
    <n v="1"/>
    <n v="1"/>
    <n v="0"/>
    <n v="1"/>
    <n v="0"/>
    <n v="0"/>
    <n v="0"/>
    <n v="0"/>
    <n v="0"/>
    <n v="0"/>
    <n v="1"/>
  </r>
  <r>
    <s v="A2WWYVKGZZXBOB"/>
    <s v="english"/>
    <s v="test"/>
    <x v="2"/>
    <x v="0"/>
    <s v="mo-h"/>
    <s v="ms-l"/>
    <s v="mo-l"/>
    <n v="0"/>
    <n v="1"/>
    <n v="1"/>
    <n v="0"/>
    <n v="1"/>
    <n v="0"/>
    <n v="1"/>
    <n v="0"/>
    <n v="0"/>
    <n v="0"/>
    <n v="0"/>
    <n v="0"/>
    <n v="0"/>
    <n v="1"/>
  </r>
  <r>
    <s v="A25FNSFSB048DL"/>
    <s v="english"/>
    <s v="test"/>
    <x v="0"/>
    <x v="0"/>
    <s v="ms-h"/>
    <s v="fa"/>
    <s v="mo-l"/>
    <n v="0"/>
    <n v="0"/>
    <n v="1"/>
    <n v="1"/>
    <n v="0"/>
    <n v="0"/>
    <n v="1"/>
    <n v="0"/>
    <n v="0"/>
    <n v="1"/>
    <n v="1"/>
    <n v="0"/>
    <n v="0"/>
    <n v="0"/>
  </r>
  <r>
    <s v="A25FNSFSB048DL"/>
    <s v="english"/>
    <s v="test"/>
    <x v="3"/>
    <x v="0"/>
    <s v="mo-h"/>
    <s v="mo-l"/>
    <s v="exh"/>
    <n v="1"/>
    <n v="1"/>
    <n v="1"/>
    <n v="0"/>
    <n v="0"/>
    <n v="0"/>
    <n v="1"/>
    <n v="0"/>
    <n v="1"/>
    <n v="0"/>
    <n v="0"/>
    <n v="0"/>
    <n v="0"/>
    <n v="0"/>
  </r>
  <r>
    <s v="A25FNSFSB048DL"/>
    <s v="english"/>
    <s v="test"/>
    <x v="2"/>
    <x v="0"/>
    <s v="ms-l"/>
    <s v="mo-l"/>
    <s v="ms-h"/>
    <n v="0"/>
    <n v="0"/>
    <n v="1"/>
    <n v="1"/>
    <n v="1"/>
    <n v="0"/>
    <n v="1"/>
    <n v="0"/>
    <n v="0"/>
    <n v="0"/>
    <n v="1"/>
    <n v="0"/>
    <n v="0"/>
    <n v="0"/>
  </r>
  <r>
    <s v="A10UWP6T47G9TR"/>
    <s v="english"/>
    <s v="test"/>
    <x v="5"/>
    <x v="0"/>
    <s v="ms-h"/>
    <s v="mo-h"/>
    <s v="mo-l"/>
    <n v="0"/>
    <n v="1"/>
    <n v="1"/>
    <n v="1"/>
    <n v="0"/>
    <n v="0"/>
    <n v="1"/>
    <n v="0"/>
    <n v="1"/>
    <n v="0"/>
    <n v="0"/>
    <n v="0"/>
    <n v="0"/>
    <n v="0"/>
  </r>
  <r>
    <s v="A10UWP6T47G9TR"/>
    <s v="english"/>
    <s v="test"/>
    <x v="0"/>
    <x v="0"/>
    <s v="mo-l"/>
    <s v="ms-h"/>
    <s v="ms-l"/>
    <n v="0"/>
    <n v="0"/>
    <n v="1"/>
    <n v="1"/>
    <n v="1"/>
    <n v="0"/>
    <n v="1"/>
    <n v="0"/>
    <n v="0"/>
    <n v="0"/>
    <n v="0"/>
    <n v="0"/>
    <n v="0"/>
    <n v="1"/>
  </r>
  <r>
    <s v="A20SL254675EOK"/>
    <s v="english"/>
    <s v="test"/>
    <x v="2"/>
    <x v="0"/>
    <s v="exh"/>
    <s v="mo-h"/>
    <s v="mo-l"/>
    <n v="1"/>
    <n v="1"/>
    <n v="1"/>
    <n v="0"/>
    <n v="0"/>
    <n v="0"/>
    <n v="1"/>
    <n v="0"/>
    <n v="1"/>
    <n v="0"/>
    <n v="0"/>
    <n v="0"/>
    <n v="0"/>
    <n v="0"/>
  </r>
  <r>
    <s v="A36OS4XKUJF4NB"/>
    <s v="english"/>
    <s v="test"/>
    <x v="4"/>
    <x v="0"/>
    <s v="mo-h"/>
    <s v="mo-l"/>
    <s v="ms-l"/>
    <n v="0"/>
    <n v="1"/>
    <n v="1"/>
    <n v="0"/>
    <n v="1"/>
    <n v="0"/>
    <n v="1"/>
    <n v="0"/>
    <n v="0"/>
    <n v="0"/>
    <n v="0"/>
    <n v="0"/>
    <n v="0"/>
    <n v="1"/>
  </r>
  <r>
    <s v="A36OS4XKUJF4NB"/>
    <s v="english"/>
    <s v="test"/>
    <x v="0"/>
    <x v="0"/>
    <s v="ms-l"/>
    <s v="exh"/>
    <s v="mo-l"/>
    <n v="1"/>
    <n v="0"/>
    <n v="1"/>
    <n v="0"/>
    <n v="1"/>
    <n v="0"/>
    <n v="1"/>
    <n v="0"/>
    <n v="0"/>
    <n v="0"/>
    <n v="0"/>
    <n v="0"/>
    <n v="0"/>
    <n v="1"/>
  </r>
  <r>
    <s v="A36OS4XKUJF4NB"/>
    <s v="english"/>
    <s v="test"/>
    <x v="2"/>
    <x v="0"/>
    <s v="ms-h"/>
    <s v="ms-l"/>
    <s v="mo-l"/>
    <n v="0"/>
    <n v="0"/>
    <n v="1"/>
    <n v="1"/>
    <n v="1"/>
    <n v="0"/>
    <n v="1"/>
    <n v="0"/>
    <n v="0"/>
    <n v="0"/>
    <n v="0"/>
    <n v="0"/>
    <n v="0"/>
    <n v="1"/>
  </r>
  <r>
    <s v="A36OS4XKUJF4NB"/>
    <s v="english"/>
    <s v="test"/>
    <x v="1"/>
    <x v="0"/>
    <s v="mo-h"/>
    <s v="mo-l"/>
    <s v="exh"/>
    <n v="1"/>
    <n v="1"/>
    <n v="1"/>
    <n v="0"/>
    <n v="0"/>
    <n v="0"/>
    <n v="1"/>
    <n v="0"/>
    <n v="0"/>
    <n v="0"/>
    <n v="0"/>
    <n v="0"/>
    <n v="0"/>
    <n v="1"/>
  </r>
  <r>
    <s v="A36OS4XKUJF4NB"/>
    <s v="english"/>
    <s v="test"/>
    <x v="5"/>
    <x v="0"/>
    <s v="mo-l"/>
    <s v="fa"/>
    <s v="ms-h"/>
    <n v="0"/>
    <n v="0"/>
    <n v="1"/>
    <n v="1"/>
    <n v="0"/>
    <n v="0"/>
    <n v="1"/>
    <n v="0"/>
    <n v="0"/>
    <n v="0"/>
    <n v="0"/>
    <n v="0"/>
    <n v="0"/>
    <n v="1"/>
  </r>
  <r>
    <s v="A36OS4XKUJF4NB"/>
    <s v="english"/>
    <s v="test"/>
    <x v="3"/>
    <x v="0"/>
    <s v="ms-l"/>
    <s v="mo-l"/>
    <s v="ms-h"/>
    <n v="0"/>
    <n v="0"/>
    <n v="1"/>
    <n v="1"/>
    <n v="1"/>
    <n v="0"/>
    <n v="1"/>
    <n v="0"/>
    <n v="0"/>
    <n v="0"/>
    <n v="0"/>
    <n v="0"/>
    <n v="0"/>
    <n v="1"/>
  </r>
  <r>
    <s v="A3QSJY1FFN0N6V"/>
    <s v="english"/>
    <s v="test"/>
    <x v="0"/>
    <x v="0"/>
    <s v="exh"/>
    <s v="ms-h"/>
    <s v="mo-l"/>
    <n v="1"/>
    <n v="0"/>
    <n v="1"/>
    <n v="1"/>
    <n v="0"/>
    <n v="0"/>
    <n v="1"/>
    <n v="1"/>
    <n v="0"/>
    <n v="1"/>
    <n v="1"/>
    <n v="0"/>
    <n v="0"/>
    <n v="0"/>
  </r>
  <r>
    <s v="A3QSJY1FFN0N6V"/>
    <s v="english"/>
    <s v="test"/>
    <x v="5"/>
    <x v="0"/>
    <s v="ms-h"/>
    <s v="fa"/>
    <s v="mo-l"/>
    <n v="0"/>
    <n v="0"/>
    <n v="1"/>
    <n v="1"/>
    <n v="0"/>
    <n v="0"/>
    <n v="1"/>
    <n v="0"/>
    <n v="0"/>
    <n v="1"/>
    <n v="1"/>
    <n v="0"/>
    <n v="0"/>
    <n v="0"/>
  </r>
  <r>
    <s v="A3QSJY1FFN0N6V"/>
    <s v="english"/>
    <s v="test"/>
    <x v="2"/>
    <x v="0"/>
    <s v="ms-h"/>
    <s v="mo-l"/>
    <s v="mo-h"/>
    <n v="0"/>
    <n v="1"/>
    <n v="1"/>
    <n v="1"/>
    <n v="0"/>
    <n v="0"/>
    <n v="1"/>
    <n v="0"/>
    <n v="1"/>
    <n v="1"/>
    <n v="1"/>
    <n v="0"/>
    <n v="0"/>
    <n v="0"/>
  </r>
  <r>
    <s v="A3QSJY1FFN0N6V"/>
    <s v="english"/>
    <s v="test"/>
    <x v="4"/>
    <x v="0"/>
    <s v="ms-h"/>
    <s v="mo-h"/>
    <s v="mo-l"/>
    <n v="0"/>
    <n v="1"/>
    <n v="1"/>
    <n v="1"/>
    <n v="0"/>
    <n v="0"/>
    <n v="1"/>
    <n v="0"/>
    <n v="1"/>
    <n v="1"/>
    <n v="1"/>
    <n v="0"/>
    <n v="0"/>
    <n v="0"/>
  </r>
  <r>
    <s v="A1UKAS30R0MFI6"/>
    <s v="english"/>
    <s v="test"/>
    <x v="1"/>
    <x v="0"/>
    <s v="mo-l"/>
    <s v="exh"/>
    <s v="ms-l"/>
    <n v="1"/>
    <n v="0"/>
    <n v="1"/>
    <n v="0"/>
    <n v="1"/>
    <n v="0"/>
    <n v="1"/>
    <n v="1"/>
    <n v="0"/>
    <n v="1"/>
    <n v="0"/>
    <n v="1"/>
    <n v="0"/>
    <n v="0"/>
  </r>
  <r>
    <s v="A1UKAS30R0MFI6"/>
    <s v="english"/>
    <s v="test"/>
    <x v="2"/>
    <x v="0"/>
    <s v="mo-l"/>
    <s v="fa"/>
    <s v="ms-l"/>
    <n v="0"/>
    <n v="0"/>
    <n v="1"/>
    <n v="0"/>
    <n v="1"/>
    <n v="0"/>
    <n v="1"/>
    <n v="0"/>
    <n v="0"/>
    <n v="1"/>
    <n v="0"/>
    <n v="1"/>
    <n v="0"/>
    <n v="0"/>
  </r>
  <r>
    <s v="A1UKAS30R0MFI6"/>
    <s v="english"/>
    <s v="test"/>
    <x v="4"/>
    <x v="0"/>
    <s v="exh"/>
    <s v="mo-l"/>
    <s v="ms-h"/>
    <n v="1"/>
    <n v="0"/>
    <n v="1"/>
    <n v="1"/>
    <n v="0"/>
    <n v="0"/>
    <n v="1"/>
    <n v="1"/>
    <n v="0"/>
    <n v="1"/>
    <n v="1"/>
    <n v="0"/>
    <n v="0"/>
    <n v="0"/>
  </r>
  <r>
    <s v="A1UKAS30R0MFI6"/>
    <s v="english"/>
    <s v="test"/>
    <x v="3"/>
    <x v="0"/>
    <s v="ms-l"/>
    <s v="ms-h"/>
    <s v="mo-l"/>
    <n v="0"/>
    <n v="0"/>
    <n v="1"/>
    <n v="1"/>
    <n v="1"/>
    <n v="0"/>
    <n v="1"/>
    <n v="0"/>
    <n v="0"/>
    <n v="1"/>
    <n v="1"/>
    <n v="1"/>
    <n v="0"/>
    <n v="0"/>
  </r>
  <r>
    <s v="A3HXIGBCL1CRFS"/>
    <s v="english"/>
    <s v="test"/>
    <x v="2"/>
    <x v="0"/>
    <s v="ms-h"/>
    <s v="ms-l"/>
    <s v="mo-l"/>
    <n v="0"/>
    <n v="0"/>
    <n v="1"/>
    <n v="1"/>
    <n v="1"/>
    <n v="0"/>
    <n v="1"/>
    <n v="0"/>
    <n v="0"/>
    <n v="0"/>
    <n v="0"/>
    <n v="0"/>
    <n v="0"/>
    <n v="1"/>
  </r>
  <r>
    <s v="A3HXIGBCL1CRFS"/>
    <s v="english"/>
    <s v="test"/>
    <x v="5"/>
    <x v="0"/>
    <s v="ms-h"/>
    <s v="mo-l"/>
    <s v="ms-l"/>
    <n v="0"/>
    <n v="0"/>
    <n v="1"/>
    <n v="1"/>
    <n v="1"/>
    <n v="0"/>
    <n v="1"/>
    <n v="0"/>
    <n v="0"/>
    <n v="0"/>
    <n v="0"/>
    <n v="0"/>
    <n v="0"/>
    <n v="1"/>
  </r>
  <r>
    <s v="A3HXIGBCL1CRFS"/>
    <s v="english"/>
    <s v="test"/>
    <x v="3"/>
    <x v="0"/>
    <s v="fa"/>
    <s v="mo-l"/>
    <s v="ms-l"/>
    <n v="0"/>
    <n v="0"/>
    <n v="1"/>
    <n v="0"/>
    <n v="1"/>
    <n v="0"/>
    <n v="1"/>
    <n v="0"/>
    <n v="0"/>
    <n v="0"/>
    <n v="0"/>
    <n v="0"/>
    <n v="0"/>
    <n v="1"/>
  </r>
  <r>
    <s v="A3HXIGBCL1CRFS"/>
    <s v="english"/>
    <s v="test"/>
    <x v="4"/>
    <x v="0"/>
    <s v="mo-l"/>
    <s v="exh"/>
    <s v="mo-h"/>
    <n v="1"/>
    <n v="1"/>
    <n v="1"/>
    <n v="0"/>
    <n v="0"/>
    <n v="0"/>
    <n v="1"/>
    <n v="0"/>
    <n v="0"/>
    <n v="0"/>
    <n v="0"/>
    <n v="0"/>
    <n v="0"/>
    <n v="1"/>
  </r>
  <r>
    <s v="A3A07QA5U733HQ"/>
    <s v="english"/>
    <s v="test"/>
    <x v="4"/>
    <x v="0"/>
    <s v="ms-h"/>
    <s v="ms-l"/>
    <s v="mo-l"/>
    <n v="0"/>
    <n v="0"/>
    <n v="1"/>
    <n v="1"/>
    <n v="1"/>
    <n v="0"/>
    <n v="1"/>
    <n v="0"/>
    <n v="0"/>
    <n v="1"/>
    <n v="1"/>
    <n v="1"/>
    <n v="0"/>
    <n v="0"/>
  </r>
  <r>
    <s v="A3A07QA5U733HQ"/>
    <s v="english"/>
    <s v="test"/>
    <x v="1"/>
    <x v="0"/>
    <s v="ms-l"/>
    <s v="mo-h"/>
    <s v="mo-l"/>
    <n v="0"/>
    <n v="1"/>
    <n v="1"/>
    <n v="0"/>
    <n v="1"/>
    <n v="0"/>
    <n v="1"/>
    <n v="0"/>
    <n v="1"/>
    <n v="1"/>
    <n v="0"/>
    <n v="1"/>
    <n v="0"/>
    <n v="0"/>
  </r>
  <r>
    <s v="A3A07QA5U733HQ"/>
    <s v="english"/>
    <s v="test"/>
    <x v="0"/>
    <x v="0"/>
    <s v="ms-l"/>
    <s v="mo-h"/>
    <s v="mo-l"/>
    <n v="0"/>
    <n v="1"/>
    <n v="1"/>
    <n v="0"/>
    <n v="1"/>
    <n v="0"/>
    <n v="1"/>
    <n v="0"/>
    <n v="1"/>
    <n v="1"/>
    <n v="0"/>
    <n v="1"/>
    <n v="0"/>
    <n v="0"/>
  </r>
  <r>
    <s v="A3A07QA5U733HQ"/>
    <s v="english"/>
    <s v="test"/>
    <x v="2"/>
    <x v="0"/>
    <s v="mo-l"/>
    <s v="mo-h"/>
    <s v="fa"/>
    <n v="0"/>
    <n v="1"/>
    <n v="1"/>
    <n v="0"/>
    <n v="0"/>
    <n v="0"/>
    <n v="1"/>
    <n v="0"/>
    <n v="1"/>
    <n v="1"/>
    <n v="0"/>
    <n v="0"/>
    <n v="0"/>
    <n v="0"/>
  </r>
  <r>
    <s v="A3A07QA5U733HQ"/>
    <s v="english"/>
    <s v="test"/>
    <x v="5"/>
    <x v="0"/>
    <s v="mo-l"/>
    <s v="ms-h"/>
    <s v="ms-l"/>
    <n v="0"/>
    <n v="0"/>
    <n v="1"/>
    <n v="1"/>
    <n v="1"/>
    <n v="0"/>
    <n v="1"/>
    <n v="0"/>
    <n v="0"/>
    <n v="0"/>
    <n v="0"/>
    <n v="0"/>
    <n v="0"/>
    <n v="1"/>
  </r>
  <r>
    <s v="A3A07QA5U733HQ"/>
    <s v="english"/>
    <s v="test"/>
    <x v="3"/>
    <x v="0"/>
    <s v="mo-l"/>
    <s v="exh"/>
    <s v="ms-l"/>
    <n v="1"/>
    <n v="0"/>
    <n v="1"/>
    <n v="0"/>
    <n v="1"/>
    <n v="0"/>
    <n v="1"/>
    <n v="1"/>
    <n v="0"/>
    <n v="1"/>
    <n v="0"/>
    <n v="1"/>
    <n v="0"/>
    <n v="0"/>
  </r>
  <r>
    <s v="A3FY7A6Z3EVNRX"/>
    <s v="English "/>
    <s v="test"/>
    <x v="1"/>
    <x v="0"/>
    <s v="fa"/>
    <s v="ms-l"/>
    <s v="mo-l"/>
    <n v="0"/>
    <n v="0"/>
    <n v="1"/>
    <n v="0"/>
    <n v="1"/>
    <n v="0"/>
    <n v="1"/>
    <n v="0"/>
    <n v="0"/>
    <n v="0"/>
    <n v="0"/>
    <n v="0"/>
    <n v="0"/>
    <n v="1"/>
  </r>
  <r>
    <s v="A3FY7A6Z3EVNRX"/>
    <s v="English "/>
    <s v="test"/>
    <x v="3"/>
    <x v="0"/>
    <s v="ms-l"/>
    <s v="mo-l"/>
    <s v="mo-h"/>
    <n v="0"/>
    <n v="1"/>
    <n v="1"/>
    <n v="0"/>
    <n v="1"/>
    <n v="0"/>
    <n v="1"/>
    <n v="0"/>
    <n v="1"/>
    <n v="0"/>
    <n v="0"/>
    <n v="0"/>
    <n v="0"/>
    <n v="0"/>
  </r>
  <r>
    <s v="A3FY7A6Z3EVNRX"/>
    <s v="English "/>
    <s v="test"/>
    <x v="2"/>
    <x v="0"/>
    <s v="ms-l"/>
    <s v="ms-h"/>
    <s v="mo-l"/>
    <n v="0"/>
    <n v="0"/>
    <n v="1"/>
    <n v="1"/>
    <n v="1"/>
    <n v="0"/>
    <n v="1"/>
    <n v="0"/>
    <n v="0"/>
    <n v="0"/>
    <n v="1"/>
    <n v="0"/>
    <n v="0"/>
    <n v="0"/>
  </r>
  <r>
    <s v="A3SL5QRF7MX2P1"/>
    <s v="english"/>
    <s v="test"/>
    <x v="5"/>
    <x v="0"/>
    <s v="mo-l"/>
    <s v="ms-h"/>
    <s v="ms-l"/>
    <n v="0"/>
    <n v="0"/>
    <n v="1"/>
    <n v="1"/>
    <n v="1"/>
    <n v="0"/>
    <n v="1"/>
    <n v="0"/>
    <n v="0"/>
    <n v="0"/>
    <n v="0"/>
    <n v="0"/>
    <n v="0"/>
    <n v="1"/>
  </r>
  <r>
    <s v="A3SL5QRF7MX2P1"/>
    <s v="english"/>
    <s v="test"/>
    <x v="2"/>
    <x v="0"/>
    <s v="ms-l"/>
    <s v="mo-l"/>
    <s v="ms-h"/>
    <n v="0"/>
    <n v="0"/>
    <n v="1"/>
    <n v="1"/>
    <n v="1"/>
    <n v="0"/>
    <n v="1"/>
    <n v="0"/>
    <n v="0"/>
    <n v="0"/>
    <n v="0"/>
    <n v="0"/>
    <n v="0"/>
    <n v="1"/>
  </r>
  <r>
    <s v="A3SL5QRF7MX2P1"/>
    <s v="english"/>
    <s v="test"/>
    <x v="0"/>
    <x v="0"/>
    <s v="mo-l"/>
    <s v="ms-l"/>
    <s v="ms-h"/>
    <n v="0"/>
    <n v="0"/>
    <n v="1"/>
    <n v="1"/>
    <n v="1"/>
    <n v="0"/>
    <n v="1"/>
    <n v="0"/>
    <n v="0"/>
    <n v="1"/>
    <n v="1"/>
    <n v="1"/>
    <n v="0"/>
    <n v="0"/>
  </r>
  <r>
    <s v="A31X9CV1UWZV8Z"/>
    <s v="english"/>
    <s v="test"/>
    <x v="1"/>
    <x v="0"/>
    <s v="mo-l"/>
    <s v="ms-h"/>
    <s v="exh"/>
    <n v="1"/>
    <n v="0"/>
    <n v="1"/>
    <n v="1"/>
    <n v="0"/>
    <n v="0"/>
    <n v="1"/>
    <n v="0"/>
    <n v="0"/>
    <n v="0"/>
    <n v="0"/>
    <n v="0"/>
    <n v="0"/>
    <n v="1"/>
  </r>
  <r>
    <s v="A31X9CV1UWZV8Z"/>
    <s v="english"/>
    <s v="test"/>
    <x v="5"/>
    <x v="0"/>
    <s v="ms-l"/>
    <s v="mo-l"/>
    <s v="mo-h"/>
    <n v="0"/>
    <n v="1"/>
    <n v="1"/>
    <n v="0"/>
    <n v="1"/>
    <n v="0"/>
    <n v="1"/>
    <n v="0"/>
    <n v="1"/>
    <n v="1"/>
    <n v="0"/>
    <n v="1"/>
    <n v="0"/>
    <n v="0"/>
  </r>
  <r>
    <s v="A31X9CV1UWZV8Z"/>
    <s v="english"/>
    <s v="test"/>
    <x v="3"/>
    <x v="0"/>
    <s v="mo-l"/>
    <s v="mo-h"/>
    <s v="ms-l"/>
    <n v="0"/>
    <n v="1"/>
    <n v="1"/>
    <n v="0"/>
    <n v="1"/>
    <n v="0"/>
    <n v="1"/>
    <n v="0"/>
    <n v="1"/>
    <n v="1"/>
    <n v="0"/>
    <n v="1"/>
    <n v="0"/>
    <n v="0"/>
  </r>
  <r>
    <s v="A31X9CV1UWZV8Z"/>
    <s v="english"/>
    <s v="test"/>
    <x v="2"/>
    <x v="0"/>
    <s v="ms-l"/>
    <s v="fa"/>
    <s v="mo-l"/>
    <n v="0"/>
    <n v="0"/>
    <n v="1"/>
    <n v="0"/>
    <n v="1"/>
    <n v="0"/>
    <n v="1"/>
    <n v="0"/>
    <n v="0"/>
    <n v="0"/>
    <n v="0"/>
    <n v="0"/>
    <n v="0"/>
    <n v="1"/>
  </r>
  <r>
    <s v="A31X9CV1UWZV8Z"/>
    <s v="english"/>
    <s v="test"/>
    <x v="4"/>
    <x v="0"/>
    <s v="mo-h"/>
    <s v="mo-l"/>
    <s v="ms-l"/>
    <n v="0"/>
    <n v="1"/>
    <n v="1"/>
    <n v="0"/>
    <n v="1"/>
    <n v="0"/>
    <n v="1"/>
    <n v="0"/>
    <n v="0"/>
    <n v="0"/>
    <n v="0"/>
    <n v="0"/>
    <n v="0"/>
    <n v="1"/>
  </r>
  <r>
    <s v="A28Q4YJSLGWCL5"/>
    <s v="english"/>
    <s v="test"/>
    <x v="0"/>
    <x v="0"/>
    <s v="ms-l"/>
    <s v="mo-l"/>
    <s v="fa"/>
    <n v="0"/>
    <n v="0"/>
    <n v="1"/>
    <n v="0"/>
    <n v="1"/>
    <n v="0"/>
    <n v="1"/>
    <n v="0"/>
    <n v="0"/>
    <n v="0"/>
    <n v="0"/>
    <n v="0"/>
    <n v="0"/>
    <n v="1"/>
  </r>
  <r>
    <s v="A28Q4YJSLGWCL5"/>
    <s v="english"/>
    <s v="test"/>
    <x v="3"/>
    <x v="0"/>
    <s v="mo-h"/>
    <s v="ms-h"/>
    <s v="mo-l"/>
    <n v="0"/>
    <n v="1"/>
    <n v="1"/>
    <n v="1"/>
    <n v="0"/>
    <n v="0"/>
    <n v="1"/>
    <n v="0"/>
    <n v="0"/>
    <n v="0"/>
    <n v="0"/>
    <n v="0"/>
    <n v="0"/>
    <n v="1"/>
  </r>
  <r>
    <s v="A2ZAORW27PCSU4"/>
    <s v="english"/>
    <s v="test"/>
    <x v="0"/>
    <x v="0"/>
    <s v="ms-h"/>
    <s v="mo-l"/>
    <s v="exh"/>
    <n v="1"/>
    <n v="0"/>
    <n v="1"/>
    <n v="1"/>
    <n v="0"/>
    <n v="0"/>
    <n v="1"/>
    <n v="1"/>
    <n v="0"/>
    <n v="0"/>
    <n v="0"/>
    <n v="0"/>
    <n v="0"/>
    <n v="0"/>
  </r>
  <r>
    <s v="A2ZAORW27PCSU4"/>
    <s v="english"/>
    <s v="test"/>
    <x v="3"/>
    <x v="0"/>
    <s v="exh"/>
    <s v="ms-h"/>
    <s v="mo-l"/>
    <n v="1"/>
    <n v="0"/>
    <n v="1"/>
    <n v="1"/>
    <n v="0"/>
    <n v="0"/>
    <n v="1"/>
    <n v="0"/>
    <n v="0"/>
    <n v="1"/>
    <n v="0"/>
    <n v="0"/>
    <n v="0"/>
    <n v="0"/>
  </r>
  <r>
    <s v="A2ZAORW27PCSU4"/>
    <s v="english"/>
    <s v="test"/>
    <x v="5"/>
    <x v="0"/>
    <s v="ms-h"/>
    <s v="mo-h"/>
    <s v="mo-l"/>
    <n v="0"/>
    <n v="1"/>
    <n v="1"/>
    <n v="1"/>
    <n v="0"/>
    <n v="0"/>
    <n v="1"/>
    <n v="0"/>
    <n v="0"/>
    <n v="1"/>
    <n v="0"/>
    <n v="0"/>
    <n v="0"/>
    <n v="0"/>
  </r>
  <r>
    <s v="ALJ70B2J04YR7"/>
    <s v="english"/>
    <s v="test"/>
    <x v="1"/>
    <x v="0"/>
    <s v="ms-l"/>
    <s v="mo-l"/>
    <s v="ms-h"/>
    <n v="0"/>
    <n v="0"/>
    <n v="1"/>
    <n v="1"/>
    <n v="1"/>
    <n v="0"/>
    <n v="1"/>
    <n v="0"/>
    <n v="0"/>
    <n v="0"/>
    <n v="0"/>
    <n v="0"/>
    <n v="0"/>
    <n v="1"/>
  </r>
  <r>
    <s v="ALJ70B2J04YR7"/>
    <s v="english"/>
    <s v="test"/>
    <x v="4"/>
    <x v="0"/>
    <s v="ms-l"/>
    <s v="mo-l"/>
    <s v="exh"/>
    <n v="1"/>
    <n v="0"/>
    <n v="1"/>
    <n v="0"/>
    <n v="1"/>
    <n v="0"/>
    <n v="1"/>
    <n v="0"/>
    <n v="0"/>
    <n v="0"/>
    <n v="0"/>
    <n v="0"/>
    <n v="0"/>
    <n v="1"/>
  </r>
  <r>
    <s v="ALJ70B2J04YR7"/>
    <s v="english"/>
    <s v="test"/>
    <x v="0"/>
    <x v="0"/>
    <s v="ms-l"/>
    <s v="mo-l"/>
    <s v="mo-h"/>
    <n v="0"/>
    <n v="1"/>
    <n v="1"/>
    <n v="0"/>
    <n v="1"/>
    <n v="0"/>
    <n v="1"/>
    <n v="0"/>
    <n v="0"/>
    <n v="0"/>
    <n v="0"/>
    <n v="0"/>
    <n v="0"/>
    <n v="1"/>
  </r>
  <r>
    <s v="AJW3PL5UDH4BP"/>
    <s v="english"/>
    <s v="test"/>
    <x v="5"/>
    <x v="0"/>
    <s v="mo-l"/>
    <s v="ms-l"/>
    <s v="ms-h"/>
    <n v="0"/>
    <n v="0"/>
    <n v="1"/>
    <n v="1"/>
    <n v="1"/>
    <n v="0"/>
    <n v="1"/>
    <n v="0"/>
    <n v="0"/>
    <n v="0"/>
    <n v="0"/>
    <n v="0"/>
    <n v="0"/>
    <n v="1"/>
  </r>
  <r>
    <s v="AJW3PL5UDH4BP"/>
    <s v="english"/>
    <s v="test"/>
    <x v="2"/>
    <x v="0"/>
    <s v="ms-h"/>
    <s v="mo-l"/>
    <s v="ms-l"/>
    <n v="0"/>
    <n v="0"/>
    <n v="1"/>
    <n v="1"/>
    <n v="1"/>
    <n v="0"/>
    <n v="1"/>
    <n v="0"/>
    <n v="0"/>
    <n v="0"/>
    <n v="1"/>
    <n v="0"/>
    <n v="0"/>
    <n v="0"/>
  </r>
  <r>
    <s v="AJW3PL5UDH4BP"/>
    <s v="english"/>
    <s v="test"/>
    <x v="0"/>
    <x v="0"/>
    <s v="ms-l"/>
    <s v="mo-h"/>
    <s v="mo-l"/>
    <n v="0"/>
    <n v="1"/>
    <n v="1"/>
    <n v="0"/>
    <n v="1"/>
    <n v="0"/>
    <n v="1"/>
    <n v="0"/>
    <n v="1"/>
    <n v="0"/>
    <n v="0"/>
    <n v="0"/>
    <n v="0"/>
    <n v="0"/>
  </r>
  <r>
    <s v="A3O6OQEIHB2MYB"/>
    <s v="english"/>
    <s v="test"/>
    <x v="5"/>
    <x v="0"/>
    <s v="fa"/>
    <s v="mo-l"/>
    <s v="ms-l"/>
    <n v="0"/>
    <n v="0"/>
    <n v="1"/>
    <n v="0"/>
    <n v="1"/>
    <n v="0"/>
    <n v="1"/>
    <n v="0"/>
    <n v="0"/>
    <n v="0"/>
    <n v="0"/>
    <n v="0"/>
    <n v="0"/>
    <n v="1"/>
  </r>
  <r>
    <s v="A3O6OQEIHB2MYB"/>
    <s v="english"/>
    <s v="test"/>
    <x v="1"/>
    <x v="0"/>
    <s v="ms-l"/>
    <s v="ms-h"/>
    <s v="mo-l"/>
    <n v="0"/>
    <n v="0"/>
    <n v="1"/>
    <n v="1"/>
    <n v="1"/>
    <n v="0"/>
    <n v="1"/>
    <n v="0"/>
    <n v="0"/>
    <n v="0"/>
    <n v="1"/>
    <n v="0"/>
    <n v="0"/>
    <n v="0"/>
  </r>
  <r>
    <s v="A3O6OQEIHB2MYB"/>
    <s v="english"/>
    <s v="test"/>
    <x v="0"/>
    <x v="0"/>
    <s v="mo-l"/>
    <s v="ms-l"/>
    <s v="ms-h"/>
    <n v="0"/>
    <n v="0"/>
    <n v="1"/>
    <n v="1"/>
    <n v="1"/>
    <n v="0"/>
    <n v="1"/>
    <n v="0"/>
    <n v="0"/>
    <n v="0"/>
    <n v="1"/>
    <n v="0"/>
    <n v="0"/>
    <n v="0"/>
  </r>
  <r>
    <s v="A3EN5H82IBTJGF"/>
    <s v="english"/>
    <s v="test"/>
    <x v="0"/>
    <x v="0"/>
    <s v="exh"/>
    <s v="mo-l"/>
    <s v="ms-l"/>
    <n v="1"/>
    <n v="0"/>
    <n v="1"/>
    <n v="0"/>
    <n v="1"/>
    <n v="0"/>
    <n v="1"/>
    <n v="0"/>
    <n v="0"/>
    <n v="0"/>
    <n v="0"/>
    <n v="0"/>
    <n v="0"/>
    <n v="1"/>
  </r>
  <r>
    <s v="A3EN5H82IBTJGF"/>
    <s v="english"/>
    <s v="test"/>
    <x v="4"/>
    <x v="0"/>
    <s v="mo-l"/>
    <s v="mo-h"/>
    <s v="fa"/>
    <n v="0"/>
    <n v="1"/>
    <n v="1"/>
    <n v="0"/>
    <n v="0"/>
    <n v="0"/>
    <n v="1"/>
    <n v="0"/>
    <n v="1"/>
    <n v="1"/>
    <n v="0"/>
    <n v="0"/>
    <n v="0"/>
    <n v="0"/>
  </r>
  <r>
    <s v="A3EN5H82IBTJGF"/>
    <s v="english"/>
    <s v="test"/>
    <x v="3"/>
    <x v="0"/>
    <s v="exh"/>
    <s v="mo-l"/>
    <s v="mo-h"/>
    <n v="1"/>
    <n v="1"/>
    <n v="1"/>
    <n v="0"/>
    <n v="0"/>
    <n v="0"/>
    <n v="1"/>
    <n v="1"/>
    <n v="1"/>
    <n v="1"/>
    <n v="0"/>
    <n v="0"/>
    <n v="0"/>
    <n v="0"/>
  </r>
  <r>
    <s v="A2JS70VVJQW2GR"/>
    <s v="english"/>
    <s v="test"/>
    <x v="5"/>
    <x v="0"/>
    <s v="ms-l"/>
    <s v="mo-l"/>
    <s v="fa"/>
    <n v="0"/>
    <n v="0"/>
    <n v="1"/>
    <n v="0"/>
    <n v="1"/>
    <n v="0"/>
    <n v="1"/>
    <n v="0"/>
    <n v="0"/>
    <n v="1"/>
    <n v="0"/>
    <n v="1"/>
    <n v="0"/>
    <n v="0"/>
  </r>
  <r>
    <s v="A2JS70VVJQW2GR"/>
    <s v="english"/>
    <s v="test"/>
    <x v="4"/>
    <x v="0"/>
    <s v="mo-l"/>
    <s v="mo-h"/>
    <s v="ms-h"/>
    <n v="0"/>
    <n v="1"/>
    <n v="1"/>
    <n v="1"/>
    <n v="0"/>
    <n v="0"/>
    <n v="1"/>
    <n v="0"/>
    <n v="1"/>
    <n v="0"/>
    <n v="0"/>
    <n v="0"/>
    <n v="0"/>
    <n v="0"/>
  </r>
  <r>
    <s v="A33UMG50QSJ7KS"/>
    <s v="english"/>
    <s v="test"/>
    <x v="5"/>
    <x v="0"/>
    <s v="ms-h"/>
    <s v="mo-l"/>
    <s v="fa"/>
    <n v="0"/>
    <n v="0"/>
    <n v="1"/>
    <n v="1"/>
    <n v="0"/>
    <n v="0"/>
    <n v="1"/>
    <n v="0"/>
    <n v="0"/>
    <n v="0"/>
    <n v="0"/>
    <n v="0"/>
    <n v="0"/>
    <n v="1"/>
  </r>
  <r>
    <s v="A33UMG50QSJ7KS"/>
    <s v="english"/>
    <s v="test"/>
    <x v="0"/>
    <x v="0"/>
    <s v="ms-l"/>
    <s v="mo-l"/>
    <s v="fa"/>
    <n v="0"/>
    <n v="0"/>
    <n v="1"/>
    <n v="0"/>
    <n v="1"/>
    <n v="0"/>
    <n v="1"/>
    <n v="0"/>
    <n v="0"/>
    <n v="1"/>
    <n v="0"/>
    <n v="1"/>
    <n v="0"/>
    <n v="0"/>
  </r>
  <r>
    <s v="A2PXJTMWGUE5DC"/>
    <s v="english"/>
    <s v="test"/>
    <x v="0"/>
    <x v="0"/>
    <s v="ms-l"/>
    <s v="mo-l"/>
    <s v="mo-h"/>
    <n v="0"/>
    <n v="1"/>
    <n v="1"/>
    <n v="0"/>
    <n v="1"/>
    <n v="0"/>
    <n v="1"/>
    <n v="0"/>
    <n v="1"/>
    <n v="1"/>
    <n v="0"/>
    <n v="1"/>
    <n v="0"/>
    <n v="0"/>
  </r>
  <r>
    <s v="A2PXJTMWGUE5DC"/>
    <s v="english"/>
    <s v="test"/>
    <x v="2"/>
    <x v="0"/>
    <s v="mo-l"/>
    <s v="ms-h"/>
    <s v="exh"/>
    <n v="1"/>
    <n v="0"/>
    <n v="1"/>
    <n v="1"/>
    <n v="0"/>
    <n v="0"/>
    <n v="1"/>
    <n v="0"/>
    <n v="0"/>
    <n v="0"/>
    <n v="0"/>
    <n v="0"/>
    <n v="0"/>
    <n v="1"/>
  </r>
  <r>
    <s v="A2PXJTMWGUE5DC"/>
    <s v="english"/>
    <s v="test"/>
    <x v="4"/>
    <x v="0"/>
    <s v="mo-h"/>
    <s v="mo-l"/>
    <s v="ms-h"/>
    <n v="0"/>
    <n v="1"/>
    <n v="1"/>
    <n v="1"/>
    <n v="0"/>
    <n v="0"/>
    <n v="1"/>
    <n v="0"/>
    <n v="1"/>
    <n v="1"/>
    <n v="1"/>
    <n v="0"/>
    <n v="0"/>
    <n v="0"/>
  </r>
  <r>
    <s v="A1B84JJ7ATWVJA"/>
    <s v="english"/>
    <s v="test"/>
    <x v="5"/>
    <x v="0"/>
    <s v="ms-h"/>
    <s v="mo-l"/>
    <s v="ms-l"/>
    <n v="0"/>
    <n v="0"/>
    <n v="1"/>
    <n v="1"/>
    <n v="1"/>
    <n v="0"/>
    <n v="1"/>
    <n v="0"/>
    <n v="0"/>
    <n v="0"/>
    <n v="0"/>
    <n v="0"/>
    <n v="0"/>
    <n v="1"/>
  </r>
  <r>
    <s v="A1B84JJ7ATWVJA"/>
    <s v="english"/>
    <s v="test"/>
    <x v="1"/>
    <x v="0"/>
    <s v="mo-h"/>
    <s v="exh"/>
    <s v="mo-l"/>
    <n v="1"/>
    <n v="1"/>
    <n v="1"/>
    <n v="0"/>
    <n v="0"/>
    <n v="0"/>
    <n v="1"/>
    <n v="1"/>
    <n v="1"/>
    <n v="1"/>
    <n v="0"/>
    <n v="0"/>
    <n v="0"/>
    <n v="0"/>
  </r>
  <r>
    <s v="A1B84JJ7ATWVJA"/>
    <s v="english"/>
    <s v="test"/>
    <x v="2"/>
    <x v="0"/>
    <s v="mo-l"/>
    <s v="exh"/>
    <s v="ms-l"/>
    <n v="1"/>
    <n v="0"/>
    <n v="1"/>
    <n v="0"/>
    <n v="1"/>
    <n v="0"/>
    <n v="1"/>
    <n v="0"/>
    <n v="0"/>
    <n v="0"/>
    <n v="0"/>
    <n v="0"/>
    <n v="0"/>
    <n v="1"/>
  </r>
  <r>
    <s v="A1B84JJ7ATWVJA"/>
    <s v="english"/>
    <s v="test"/>
    <x v="3"/>
    <x v="0"/>
    <s v="mo-l"/>
    <s v="mo-h"/>
    <s v="exh"/>
    <n v="1"/>
    <n v="1"/>
    <n v="1"/>
    <n v="0"/>
    <n v="0"/>
    <n v="0"/>
    <n v="1"/>
    <n v="1"/>
    <n v="1"/>
    <n v="1"/>
    <n v="0"/>
    <n v="0"/>
    <n v="0"/>
    <n v="0"/>
  </r>
  <r>
    <s v="ADGH08WUP68ZF"/>
    <s v="english"/>
    <s v="test"/>
    <x v="0"/>
    <x v="0"/>
    <s v="ms-h"/>
    <s v="mo-l"/>
    <s v="ms-l"/>
    <n v="0"/>
    <n v="0"/>
    <n v="1"/>
    <n v="1"/>
    <n v="1"/>
    <n v="0"/>
    <n v="1"/>
    <n v="0"/>
    <n v="0"/>
    <n v="0"/>
    <n v="0"/>
    <n v="0"/>
    <n v="0"/>
    <n v="1"/>
  </r>
  <r>
    <s v="ADGH08WUP68ZF"/>
    <s v="english"/>
    <s v="test"/>
    <x v="2"/>
    <x v="0"/>
    <s v="mo-h"/>
    <s v="fa"/>
    <s v="mo-l"/>
    <n v="0"/>
    <n v="1"/>
    <n v="1"/>
    <n v="0"/>
    <n v="0"/>
    <n v="0"/>
    <n v="1"/>
    <n v="0"/>
    <n v="0"/>
    <n v="0"/>
    <n v="0"/>
    <n v="0"/>
    <n v="0"/>
    <n v="1"/>
  </r>
  <r>
    <s v="ADGH08WUP68ZF"/>
    <s v="english"/>
    <s v="test"/>
    <x v="4"/>
    <x v="0"/>
    <s v="fa"/>
    <s v="mo-l"/>
    <s v="mo-h"/>
    <n v="0"/>
    <n v="1"/>
    <n v="1"/>
    <n v="0"/>
    <n v="0"/>
    <n v="0"/>
    <n v="1"/>
    <n v="0"/>
    <n v="0"/>
    <n v="0"/>
    <n v="0"/>
    <n v="0"/>
    <n v="0"/>
    <n v="1"/>
  </r>
  <r>
    <s v="ADGH08WUP68ZF"/>
    <s v="english"/>
    <s v="test"/>
    <x v="1"/>
    <x v="0"/>
    <s v="ms-l"/>
    <s v="mo-l"/>
    <s v="mo-h"/>
    <n v="0"/>
    <n v="1"/>
    <n v="1"/>
    <n v="0"/>
    <n v="1"/>
    <n v="0"/>
    <n v="1"/>
    <n v="0"/>
    <n v="0"/>
    <n v="0"/>
    <n v="0"/>
    <n v="0"/>
    <n v="0"/>
    <n v="1"/>
  </r>
  <r>
    <s v="A2U0XDH72EN978"/>
    <s v="english"/>
    <s v="test"/>
    <x v="0"/>
    <x v="0"/>
    <s v="mo-h"/>
    <s v="fa"/>
    <s v="mo-l"/>
    <n v="0"/>
    <n v="1"/>
    <n v="1"/>
    <n v="0"/>
    <n v="0"/>
    <n v="0"/>
    <n v="1"/>
    <n v="0"/>
    <n v="1"/>
    <n v="0"/>
    <n v="0"/>
    <n v="0"/>
    <n v="0"/>
    <n v="0"/>
  </r>
  <r>
    <s v="A2U0XDH72EN978"/>
    <s v="english"/>
    <s v="test"/>
    <x v="5"/>
    <x v="0"/>
    <s v="ms-l"/>
    <s v="mo-l"/>
    <s v="fa"/>
    <n v="0"/>
    <n v="0"/>
    <n v="1"/>
    <n v="0"/>
    <n v="1"/>
    <n v="0"/>
    <n v="1"/>
    <n v="0"/>
    <n v="0"/>
    <n v="0"/>
    <n v="0"/>
    <n v="0"/>
    <n v="0"/>
    <n v="1"/>
  </r>
  <r>
    <s v="A2U0XDH72EN978"/>
    <s v="english"/>
    <s v="test"/>
    <x v="1"/>
    <x v="0"/>
    <s v="ms-h"/>
    <s v="mo-l"/>
    <s v="ms-l"/>
    <n v="0"/>
    <n v="0"/>
    <n v="1"/>
    <n v="1"/>
    <n v="1"/>
    <n v="0"/>
    <n v="1"/>
    <n v="0"/>
    <n v="0"/>
    <n v="0"/>
    <n v="1"/>
    <n v="0"/>
    <n v="0"/>
    <n v="0"/>
  </r>
  <r>
    <s v="A2U0XDH72EN978"/>
    <s v="english"/>
    <s v="test"/>
    <x v="4"/>
    <x v="0"/>
    <s v="mo-h"/>
    <s v="ms-h"/>
    <s v="mo-l"/>
    <n v="0"/>
    <n v="1"/>
    <n v="1"/>
    <n v="1"/>
    <n v="0"/>
    <n v="0"/>
    <n v="1"/>
    <n v="0"/>
    <n v="1"/>
    <n v="0"/>
    <n v="1"/>
    <n v="0"/>
    <n v="0"/>
    <n v="0"/>
  </r>
  <r>
    <s v="A1Y82LKWQQP90M"/>
    <s v="english"/>
    <s v="test"/>
    <x v="5"/>
    <x v="0"/>
    <s v="mo-h"/>
    <s v="ms-l"/>
    <s v="mo-l"/>
    <n v="0"/>
    <n v="1"/>
    <n v="1"/>
    <n v="0"/>
    <n v="1"/>
    <n v="0"/>
    <n v="1"/>
    <n v="0"/>
    <n v="1"/>
    <n v="1"/>
    <n v="0"/>
    <n v="1"/>
    <n v="0"/>
    <n v="0"/>
  </r>
  <r>
    <s v="A1Y82LKWQQP90M"/>
    <s v="english"/>
    <s v="test"/>
    <x v="0"/>
    <x v="0"/>
    <s v="mo-h"/>
    <s v="exh"/>
    <s v="mo-l"/>
    <n v="1"/>
    <n v="1"/>
    <n v="1"/>
    <n v="0"/>
    <n v="0"/>
    <n v="0"/>
    <n v="1"/>
    <n v="1"/>
    <n v="1"/>
    <n v="1"/>
    <n v="0"/>
    <n v="0"/>
    <n v="0"/>
    <n v="0"/>
  </r>
  <r>
    <s v="A1Y82LKWQQP90M"/>
    <s v="english"/>
    <s v="test"/>
    <x v="2"/>
    <x v="0"/>
    <s v="mo-l"/>
    <s v="ms-l"/>
    <s v="ms-h"/>
    <n v="0"/>
    <n v="0"/>
    <n v="1"/>
    <n v="1"/>
    <n v="1"/>
    <n v="0"/>
    <n v="1"/>
    <n v="0"/>
    <n v="0"/>
    <n v="0"/>
    <n v="0"/>
    <n v="0"/>
    <n v="0"/>
    <n v="1"/>
  </r>
  <r>
    <s v="A2N2GFB33ZMYGF"/>
    <s v="english"/>
    <s v="test"/>
    <x v="4"/>
    <x v="0"/>
    <s v="ms-l"/>
    <s v="mo-h"/>
    <s v="mo-l"/>
    <n v="0"/>
    <n v="1"/>
    <n v="1"/>
    <n v="0"/>
    <n v="1"/>
    <n v="0"/>
    <n v="1"/>
    <n v="0"/>
    <n v="1"/>
    <n v="1"/>
    <n v="0"/>
    <n v="1"/>
    <n v="0"/>
    <n v="0"/>
  </r>
  <r>
    <s v="A2N2GFB33ZMYGF"/>
    <s v="english"/>
    <s v="test"/>
    <x v="0"/>
    <x v="0"/>
    <s v="exh"/>
    <s v="mo-h"/>
    <s v="mo-l"/>
    <n v="1"/>
    <n v="1"/>
    <n v="1"/>
    <n v="0"/>
    <n v="0"/>
    <n v="0"/>
    <n v="1"/>
    <n v="0"/>
    <n v="1"/>
    <n v="0"/>
    <n v="0"/>
    <n v="0"/>
    <n v="0"/>
    <n v="0"/>
  </r>
  <r>
    <s v="A1BBZ5EMNSCZJR"/>
    <s v="english"/>
    <s v="test"/>
    <x v="5"/>
    <x v="0"/>
    <s v="ms-l"/>
    <s v="mo-l"/>
    <s v="fa"/>
    <n v="0"/>
    <n v="0"/>
    <n v="1"/>
    <n v="0"/>
    <n v="1"/>
    <n v="0"/>
    <n v="1"/>
    <n v="0"/>
    <n v="0"/>
    <n v="1"/>
    <n v="0"/>
    <n v="0"/>
    <n v="0"/>
    <n v="0"/>
  </r>
  <r>
    <s v="A1BBZ5EMNSCZJR"/>
    <s v="english"/>
    <s v="test"/>
    <x v="4"/>
    <x v="0"/>
    <s v="mo-l"/>
    <s v="exh"/>
    <s v="mo-h"/>
    <n v="1"/>
    <n v="1"/>
    <n v="1"/>
    <n v="0"/>
    <n v="0"/>
    <n v="0"/>
    <n v="1"/>
    <n v="0"/>
    <n v="1"/>
    <n v="0"/>
    <n v="0"/>
    <n v="0"/>
    <n v="0"/>
    <n v="0"/>
  </r>
  <r>
    <s v="A1BBZ5EMNSCZJR"/>
    <s v="english"/>
    <s v="test"/>
    <x v="0"/>
    <x v="0"/>
    <s v="ms-l"/>
    <s v="ms-h"/>
    <s v="mo-l"/>
    <n v="0"/>
    <n v="0"/>
    <n v="1"/>
    <n v="1"/>
    <n v="1"/>
    <n v="0"/>
    <n v="1"/>
    <n v="0"/>
    <n v="0"/>
    <n v="0"/>
    <n v="0"/>
    <n v="1"/>
    <n v="0"/>
    <n v="0"/>
  </r>
  <r>
    <s v="a2ytqdlactliba"/>
    <s v="english"/>
    <s v="test"/>
    <x v="2"/>
    <x v="0"/>
    <s v="mo-l"/>
    <s v="mo-h"/>
    <s v="ms-h"/>
    <n v="0"/>
    <n v="1"/>
    <n v="1"/>
    <n v="1"/>
    <n v="0"/>
    <n v="0"/>
    <n v="1"/>
    <n v="0"/>
    <n v="1"/>
    <n v="0"/>
    <n v="1"/>
    <n v="0"/>
    <n v="0"/>
    <n v="0"/>
  </r>
  <r>
    <s v="a2ytqdlactliba"/>
    <s v="english"/>
    <s v="test"/>
    <x v="1"/>
    <x v="0"/>
    <s v="ms-l"/>
    <s v="fa"/>
    <s v="mo-l"/>
    <n v="0"/>
    <n v="0"/>
    <n v="1"/>
    <n v="0"/>
    <n v="1"/>
    <n v="0"/>
    <n v="1"/>
    <n v="0"/>
    <n v="0"/>
    <n v="0"/>
    <n v="0"/>
    <n v="0"/>
    <n v="0"/>
    <n v="1"/>
  </r>
  <r>
    <s v="AF8OT1W25HEM7"/>
    <s v="english"/>
    <s v="test"/>
    <x v="5"/>
    <x v="0"/>
    <s v="mo-l"/>
    <s v="ms-h"/>
    <s v="mo-h"/>
    <n v="0"/>
    <n v="1"/>
    <n v="1"/>
    <n v="1"/>
    <n v="0"/>
    <n v="0"/>
    <n v="1"/>
    <n v="0"/>
    <n v="1"/>
    <n v="1"/>
    <n v="1"/>
    <n v="0"/>
    <n v="0"/>
    <n v="0"/>
  </r>
  <r>
    <s v="AF8OT1W25HEM7"/>
    <s v="english"/>
    <s v="test"/>
    <x v="1"/>
    <x v="0"/>
    <s v="ms-l"/>
    <s v="exh"/>
    <s v="mo-l"/>
    <n v="1"/>
    <n v="0"/>
    <n v="1"/>
    <n v="0"/>
    <n v="1"/>
    <n v="0"/>
    <n v="1"/>
    <n v="1"/>
    <n v="0"/>
    <n v="1"/>
    <n v="0"/>
    <n v="1"/>
    <n v="0"/>
    <n v="0"/>
  </r>
  <r>
    <s v="A96JK3576FXG5"/>
    <s v="english"/>
    <s v="test"/>
    <x v="3"/>
    <x v="0"/>
    <s v="exh"/>
    <s v="ms-h"/>
    <s v="mo-l"/>
    <n v="1"/>
    <n v="0"/>
    <n v="1"/>
    <n v="1"/>
    <n v="0"/>
    <n v="0"/>
    <n v="1"/>
    <n v="0"/>
    <n v="0"/>
    <n v="0"/>
    <n v="1"/>
    <n v="0"/>
    <n v="0"/>
    <n v="0"/>
  </r>
  <r>
    <s v="A96JK3576FXG5"/>
    <s v="english"/>
    <s v="test"/>
    <x v="4"/>
    <x v="0"/>
    <s v="fa"/>
    <s v="mo-l"/>
    <s v="mo-h"/>
    <n v="0"/>
    <n v="1"/>
    <n v="1"/>
    <n v="0"/>
    <n v="0"/>
    <n v="0"/>
    <n v="1"/>
    <n v="0"/>
    <n v="1"/>
    <n v="0"/>
    <n v="0"/>
    <n v="0"/>
    <n v="0"/>
    <n v="0"/>
  </r>
  <r>
    <s v="A96JK3576FXG5"/>
    <s v="english"/>
    <s v="test"/>
    <x v="0"/>
    <x v="0"/>
    <s v="ms-l"/>
    <s v="mo-l"/>
    <s v="ms-h"/>
    <n v="0"/>
    <n v="0"/>
    <n v="1"/>
    <n v="1"/>
    <n v="1"/>
    <n v="0"/>
    <n v="1"/>
    <n v="0"/>
    <n v="0"/>
    <n v="0"/>
    <n v="1"/>
    <n v="0"/>
    <n v="0"/>
    <n v="0"/>
  </r>
  <r>
    <s v="A96JK3576FXG5"/>
    <s v="english"/>
    <s v="test"/>
    <x v="5"/>
    <x v="0"/>
    <s v="ms-h"/>
    <s v="mo-l"/>
    <s v="ms-l"/>
    <n v="0"/>
    <n v="0"/>
    <n v="1"/>
    <n v="1"/>
    <n v="1"/>
    <n v="0"/>
    <n v="1"/>
    <n v="0"/>
    <n v="0"/>
    <n v="1"/>
    <n v="0"/>
    <n v="0"/>
    <n v="0"/>
    <n v="0"/>
  </r>
  <r>
    <s v="A96JK3576FXG5"/>
    <s v="english"/>
    <s v="test"/>
    <x v="2"/>
    <x v="0"/>
    <s v="mo-l"/>
    <s v="ms-l"/>
    <s v="mo-h"/>
    <n v="0"/>
    <n v="1"/>
    <n v="1"/>
    <n v="0"/>
    <n v="1"/>
    <n v="0"/>
    <n v="1"/>
    <n v="0"/>
    <n v="1"/>
    <n v="0"/>
    <n v="0"/>
    <n v="0"/>
    <n v="0"/>
    <n v="0"/>
  </r>
  <r>
    <s v="A2YLK83DQ6PA5Y"/>
    <s v="english"/>
    <s v="test"/>
    <x v="3"/>
    <x v="0"/>
    <s v="mo-h"/>
    <s v="exh"/>
    <s v="mo-l"/>
    <n v="1"/>
    <n v="1"/>
    <n v="1"/>
    <n v="0"/>
    <n v="0"/>
    <n v="0"/>
    <n v="1"/>
    <n v="1"/>
    <n v="0"/>
    <n v="0"/>
    <n v="0"/>
    <n v="0"/>
    <n v="0"/>
    <n v="0"/>
  </r>
  <r>
    <s v="A2YLK83DQ6PA5Y"/>
    <s v="english"/>
    <s v="test"/>
    <x v="2"/>
    <x v="0"/>
    <s v="ms-l"/>
    <s v="mo-l"/>
    <s v="exh"/>
    <n v="1"/>
    <n v="0"/>
    <n v="1"/>
    <n v="0"/>
    <n v="1"/>
    <n v="0"/>
    <n v="1"/>
    <n v="0"/>
    <n v="0"/>
    <n v="0"/>
    <n v="0"/>
    <n v="0"/>
    <n v="0"/>
    <n v="1"/>
  </r>
  <r>
    <s v="A2YLK83DQ6PA5Y"/>
    <s v="english"/>
    <s v="test"/>
    <x v="4"/>
    <x v="0"/>
    <s v="mo-l"/>
    <s v="ms-h"/>
    <s v="fa"/>
    <n v="0"/>
    <n v="0"/>
    <n v="1"/>
    <n v="1"/>
    <n v="0"/>
    <n v="0"/>
    <n v="1"/>
    <n v="0"/>
    <n v="0"/>
    <n v="0"/>
    <n v="0"/>
    <n v="0"/>
    <n v="0"/>
    <n v="1"/>
  </r>
  <r>
    <s v="ARHBT4K14I7U"/>
    <s v="english"/>
    <s v="test"/>
    <x v="2"/>
    <x v="0"/>
    <s v="ms-l"/>
    <s v="mo-l"/>
    <s v="ms-h"/>
    <n v="0"/>
    <n v="0"/>
    <n v="1"/>
    <n v="1"/>
    <n v="1"/>
    <n v="0"/>
    <n v="1"/>
    <n v="0"/>
    <n v="0"/>
    <n v="0"/>
    <n v="1"/>
    <n v="0"/>
    <n v="0"/>
    <n v="0"/>
  </r>
  <r>
    <s v="ARHBT4K14I7U"/>
    <s v="english"/>
    <s v="test"/>
    <x v="1"/>
    <x v="0"/>
    <s v="ms-h"/>
    <s v="mo-l"/>
    <s v="ms-l"/>
    <n v="0"/>
    <n v="0"/>
    <n v="1"/>
    <n v="1"/>
    <n v="1"/>
    <n v="0"/>
    <n v="1"/>
    <n v="0"/>
    <n v="0"/>
    <n v="0"/>
    <n v="1"/>
    <n v="0"/>
    <n v="0"/>
    <n v="0"/>
  </r>
  <r>
    <s v="ARHBT4K14I7U"/>
    <s v="english"/>
    <s v="test"/>
    <x v="0"/>
    <x v="0"/>
    <s v="mo-l"/>
    <s v="ms-h"/>
    <s v="ms-l"/>
    <n v="0"/>
    <n v="0"/>
    <n v="1"/>
    <n v="1"/>
    <n v="1"/>
    <n v="0"/>
    <n v="1"/>
    <n v="0"/>
    <n v="0"/>
    <n v="0"/>
    <n v="1"/>
    <n v="0"/>
    <n v="0"/>
    <n v="0"/>
  </r>
  <r>
    <s v="ARHBT4K14I7U"/>
    <s v="english"/>
    <s v="test"/>
    <x v="4"/>
    <x v="0"/>
    <s v="ms-l"/>
    <s v="mo-l"/>
    <s v="fa"/>
    <n v="0"/>
    <n v="0"/>
    <n v="1"/>
    <n v="0"/>
    <n v="1"/>
    <n v="0"/>
    <n v="1"/>
    <n v="0"/>
    <n v="0"/>
    <n v="0"/>
    <n v="0"/>
    <n v="0"/>
    <n v="0"/>
    <n v="1"/>
  </r>
  <r>
    <s v="AECQ7QG4CQP69"/>
    <s v="english"/>
    <s v="test"/>
    <x v="5"/>
    <x v="0"/>
    <s v="mo-l"/>
    <s v="ms-h"/>
    <s v="ms-l"/>
    <n v="0"/>
    <n v="0"/>
    <n v="1"/>
    <n v="1"/>
    <n v="1"/>
    <n v="0"/>
    <n v="1"/>
    <n v="0"/>
    <n v="0"/>
    <n v="0"/>
    <n v="0"/>
    <n v="0"/>
    <n v="0"/>
    <n v="1"/>
  </r>
  <r>
    <s v="AECQ7QG4CQP69"/>
    <s v="english"/>
    <s v="test"/>
    <x v="4"/>
    <x v="0"/>
    <s v="ms-l"/>
    <s v="mo-h"/>
    <s v="mo-l"/>
    <n v="0"/>
    <n v="1"/>
    <n v="1"/>
    <n v="0"/>
    <n v="1"/>
    <n v="0"/>
    <n v="1"/>
    <n v="0"/>
    <n v="0"/>
    <n v="0"/>
    <n v="0"/>
    <n v="0"/>
    <n v="0"/>
    <n v="1"/>
  </r>
  <r>
    <s v="AECQ7QG4CQP69"/>
    <s v="english"/>
    <s v="test"/>
    <x v="3"/>
    <x v="0"/>
    <s v="ms-h"/>
    <s v="mo-h"/>
    <s v="mo-l"/>
    <n v="0"/>
    <n v="1"/>
    <n v="1"/>
    <n v="1"/>
    <n v="0"/>
    <n v="0"/>
    <n v="1"/>
    <n v="0"/>
    <n v="0"/>
    <n v="0"/>
    <n v="0"/>
    <n v="0"/>
    <n v="0"/>
    <n v="1"/>
  </r>
  <r>
    <s v="A19L8SNH73AX1Z"/>
    <s v="english"/>
    <s v="test"/>
    <x v="3"/>
    <x v="0"/>
    <s v="ms-h"/>
    <s v="exh"/>
    <s v="mo-l"/>
    <n v="1"/>
    <n v="0"/>
    <n v="1"/>
    <n v="1"/>
    <n v="0"/>
    <n v="0"/>
    <n v="1"/>
    <n v="1"/>
    <n v="0"/>
    <n v="1"/>
    <n v="1"/>
    <n v="0"/>
    <n v="0"/>
    <n v="0"/>
  </r>
  <r>
    <s v="A19L8SNH73AX1Z"/>
    <s v="english"/>
    <s v="test"/>
    <x v="4"/>
    <x v="0"/>
    <s v="mo-l"/>
    <s v="ms-h"/>
    <s v="mo-h"/>
    <n v="0"/>
    <n v="1"/>
    <n v="1"/>
    <n v="1"/>
    <n v="0"/>
    <n v="0"/>
    <n v="1"/>
    <n v="0"/>
    <n v="1"/>
    <n v="0"/>
    <n v="1"/>
    <n v="0"/>
    <n v="0"/>
    <n v="0"/>
  </r>
  <r>
    <s v="A19L8SNH73AX1Z"/>
    <s v="english"/>
    <s v="test"/>
    <x v="0"/>
    <x v="0"/>
    <s v="ms-l"/>
    <s v="mo-l"/>
    <s v="mo-h"/>
    <n v="0"/>
    <n v="1"/>
    <n v="1"/>
    <n v="0"/>
    <n v="1"/>
    <n v="0"/>
    <n v="1"/>
    <n v="0"/>
    <n v="1"/>
    <n v="0"/>
    <n v="0"/>
    <n v="0"/>
    <n v="0"/>
    <n v="0"/>
  </r>
  <r>
    <s v="A19L8SNH73AX1Z"/>
    <s v="english"/>
    <s v="test"/>
    <x v="1"/>
    <x v="0"/>
    <s v="mo-l"/>
    <s v="mo-h"/>
    <s v="ms-h"/>
    <n v="0"/>
    <n v="1"/>
    <n v="1"/>
    <n v="1"/>
    <n v="0"/>
    <n v="0"/>
    <n v="1"/>
    <n v="0"/>
    <n v="0"/>
    <n v="0"/>
    <n v="0"/>
    <n v="0"/>
    <n v="0"/>
    <n v="1"/>
  </r>
  <r>
    <s v="A19L8SNH73AX1Z"/>
    <s v="english"/>
    <s v="test"/>
    <x v="2"/>
    <x v="0"/>
    <s v="ms-h"/>
    <s v="ms-l"/>
    <s v="mo-l"/>
    <n v="0"/>
    <n v="0"/>
    <n v="1"/>
    <n v="1"/>
    <n v="1"/>
    <n v="0"/>
    <n v="1"/>
    <n v="0"/>
    <n v="0"/>
    <n v="0"/>
    <n v="0"/>
    <n v="0"/>
    <n v="0"/>
    <n v="1"/>
  </r>
  <r>
    <s v="A2C6HMH2FDM2CI"/>
    <s v="english"/>
    <s v="test"/>
    <x v="5"/>
    <x v="0"/>
    <s v="mo-l"/>
    <s v="exh"/>
    <s v="fa"/>
    <n v="1"/>
    <n v="0"/>
    <n v="1"/>
    <n v="0"/>
    <n v="0"/>
    <n v="0"/>
    <n v="1"/>
    <n v="0"/>
    <n v="0"/>
    <n v="0"/>
    <n v="0"/>
    <n v="0"/>
    <n v="0"/>
    <n v="1"/>
  </r>
  <r>
    <s v="A2C6HMH2FDM2CI"/>
    <s v="english"/>
    <s v="test"/>
    <x v="0"/>
    <x v="0"/>
    <s v="ms-h"/>
    <s v="mo-l"/>
    <s v="fa"/>
    <n v="0"/>
    <n v="0"/>
    <n v="1"/>
    <n v="1"/>
    <n v="0"/>
    <n v="0"/>
    <n v="1"/>
    <n v="0"/>
    <n v="0"/>
    <n v="1"/>
    <n v="1"/>
    <n v="0"/>
    <n v="0"/>
    <n v="0"/>
  </r>
  <r>
    <s v="A2C6HMH2FDM2CI"/>
    <s v="english"/>
    <s v="test"/>
    <x v="2"/>
    <x v="0"/>
    <s v="fa"/>
    <s v="ms-h"/>
    <s v="mo-l"/>
    <n v="0"/>
    <n v="0"/>
    <n v="1"/>
    <n v="1"/>
    <n v="0"/>
    <n v="0"/>
    <n v="1"/>
    <n v="0"/>
    <n v="0"/>
    <n v="0"/>
    <n v="0"/>
    <n v="0"/>
    <n v="0"/>
    <n v="1"/>
  </r>
  <r>
    <s v="A3C5G8LGIAW0XL"/>
    <s v="english"/>
    <s v="test"/>
    <x v="4"/>
    <x v="0"/>
    <s v="ms-l"/>
    <s v="mo-l"/>
    <s v="fa"/>
    <n v="0"/>
    <n v="0"/>
    <n v="1"/>
    <n v="0"/>
    <n v="1"/>
    <n v="0"/>
    <n v="1"/>
    <n v="0"/>
    <n v="0"/>
    <n v="0"/>
    <n v="0"/>
    <n v="0"/>
    <n v="0"/>
    <n v="1"/>
  </r>
  <r>
    <s v="A3C5G8LGIAW0XL"/>
    <s v="english"/>
    <s v="test"/>
    <x v="5"/>
    <x v="0"/>
    <s v="mo-l"/>
    <s v="ms-l"/>
    <s v="ms-h"/>
    <n v="0"/>
    <n v="0"/>
    <n v="1"/>
    <n v="1"/>
    <n v="1"/>
    <n v="0"/>
    <n v="1"/>
    <n v="0"/>
    <n v="0"/>
    <n v="0"/>
    <n v="0"/>
    <n v="0"/>
    <n v="0"/>
    <n v="1"/>
  </r>
  <r>
    <s v="A3C5G8LGIAW0XL"/>
    <s v="english"/>
    <s v="test"/>
    <x v="3"/>
    <x v="0"/>
    <s v="mo-l"/>
    <s v="ms-l"/>
    <s v="mo-h"/>
    <n v="0"/>
    <n v="1"/>
    <n v="1"/>
    <n v="0"/>
    <n v="1"/>
    <n v="0"/>
    <n v="1"/>
    <n v="0"/>
    <n v="1"/>
    <n v="0"/>
    <n v="0"/>
    <n v="0"/>
    <n v="0"/>
    <n v="0"/>
  </r>
  <r>
    <s v="A3C5G8LGIAW0XL"/>
    <s v="english"/>
    <s v="test"/>
    <x v="0"/>
    <x v="0"/>
    <s v="mo-h"/>
    <s v="ms-h"/>
    <s v="mo-l"/>
    <n v="0"/>
    <n v="1"/>
    <n v="1"/>
    <n v="1"/>
    <n v="0"/>
    <n v="0"/>
    <n v="1"/>
    <n v="0"/>
    <n v="1"/>
    <n v="0"/>
    <n v="0"/>
    <n v="0"/>
    <n v="0"/>
    <n v="0"/>
  </r>
  <r>
    <s v="A0017268R9SKD8U2Y3F"/>
    <s v="english"/>
    <s v="test"/>
    <x v="2"/>
    <x v="0"/>
    <s v="mo-l"/>
    <s v="mo-h"/>
    <s v="ms-l"/>
    <n v="0"/>
    <n v="1"/>
    <n v="1"/>
    <n v="0"/>
    <n v="1"/>
    <n v="0"/>
    <n v="1"/>
    <n v="0"/>
    <n v="0"/>
    <n v="0"/>
    <n v="0"/>
    <n v="0"/>
    <n v="0"/>
    <n v="1"/>
  </r>
  <r>
    <s v="A0017268R9SKD8U2Y3F"/>
    <s v="english"/>
    <s v="test"/>
    <x v="1"/>
    <x v="0"/>
    <s v="mo-h"/>
    <s v="ms-l"/>
    <s v="mo-l"/>
    <n v="0"/>
    <n v="1"/>
    <n v="1"/>
    <n v="0"/>
    <n v="1"/>
    <n v="0"/>
    <n v="1"/>
    <n v="0"/>
    <n v="1"/>
    <n v="0"/>
    <n v="0"/>
    <n v="0"/>
    <n v="0"/>
    <n v="0"/>
  </r>
  <r>
    <s v="A0017268R9SKD8U2Y3F"/>
    <s v="english"/>
    <s v="test"/>
    <x v="5"/>
    <x v="0"/>
    <s v="fa"/>
    <s v="mo-l"/>
    <s v="ms-h"/>
    <n v="0"/>
    <n v="0"/>
    <n v="1"/>
    <n v="1"/>
    <n v="0"/>
    <n v="0"/>
    <n v="1"/>
    <n v="0"/>
    <n v="0"/>
    <n v="0"/>
    <n v="1"/>
    <n v="0"/>
    <n v="0"/>
    <n v="0"/>
  </r>
  <r>
    <s v="A0017268R9SKD8U2Y3F"/>
    <s v="english"/>
    <s v="test"/>
    <x v="0"/>
    <x v="0"/>
    <s v="mo-l"/>
    <s v="fa"/>
    <s v="mo-h"/>
    <n v="0"/>
    <n v="1"/>
    <n v="1"/>
    <n v="0"/>
    <n v="0"/>
    <n v="0"/>
    <n v="1"/>
    <n v="0"/>
    <n v="1"/>
    <n v="1"/>
    <n v="0"/>
    <n v="0"/>
    <n v="0"/>
    <n v="0"/>
  </r>
  <r>
    <s v="A0017268R9SKD8U2Y3F"/>
    <s v="english"/>
    <s v="test"/>
    <x v="4"/>
    <x v="0"/>
    <s v="ms-h"/>
    <s v="mo-l"/>
    <s v="exh"/>
    <n v="1"/>
    <n v="0"/>
    <n v="1"/>
    <n v="1"/>
    <n v="0"/>
    <n v="0"/>
    <n v="1"/>
    <n v="1"/>
    <n v="0"/>
    <n v="1"/>
    <n v="1"/>
    <n v="0"/>
    <n v="0"/>
    <n v="0"/>
  </r>
  <r>
    <s v="A2F2DDH12YU4AK"/>
    <s v="english"/>
    <s v="test"/>
    <x v="1"/>
    <x v="0"/>
    <s v="mo-l"/>
    <s v="ms-l"/>
    <s v="fa"/>
    <n v="0"/>
    <n v="0"/>
    <n v="1"/>
    <n v="0"/>
    <n v="1"/>
    <n v="0"/>
    <n v="1"/>
    <n v="0"/>
    <n v="0"/>
    <n v="0"/>
    <n v="0"/>
    <n v="0"/>
    <n v="0"/>
    <n v="1"/>
  </r>
  <r>
    <s v="A2F2DDH12YU4AK"/>
    <s v="english"/>
    <s v="test"/>
    <x v="3"/>
    <x v="0"/>
    <s v="mo-h"/>
    <s v="fa"/>
    <s v="mo-l"/>
    <n v="0"/>
    <n v="1"/>
    <n v="1"/>
    <n v="0"/>
    <n v="0"/>
    <n v="0"/>
    <n v="1"/>
    <n v="0"/>
    <n v="0"/>
    <n v="0"/>
    <n v="0"/>
    <n v="0"/>
    <n v="0"/>
    <n v="1"/>
  </r>
  <r>
    <s v="A2F2DDH12YU4AK"/>
    <s v="english"/>
    <s v="test"/>
    <x v="4"/>
    <x v="0"/>
    <s v="fa"/>
    <s v="mo-l"/>
    <s v="ms-l"/>
    <n v="0"/>
    <n v="0"/>
    <n v="1"/>
    <n v="0"/>
    <n v="1"/>
    <n v="0"/>
    <n v="1"/>
    <n v="0"/>
    <n v="0"/>
    <n v="0"/>
    <n v="0"/>
    <n v="0"/>
    <n v="0"/>
    <n v="1"/>
  </r>
  <r>
    <s v="A2F2DDH12YU4AK"/>
    <s v="english"/>
    <s v="test"/>
    <x v="2"/>
    <x v="0"/>
    <s v="mo-l"/>
    <s v="mo-h"/>
    <s v="ms-l"/>
    <n v="0"/>
    <n v="1"/>
    <n v="1"/>
    <n v="0"/>
    <n v="1"/>
    <n v="0"/>
    <n v="1"/>
    <n v="0"/>
    <n v="0"/>
    <n v="0"/>
    <n v="0"/>
    <n v="0"/>
    <n v="0"/>
    <n v="1"/>
  </r>
  <r>
    <s v="A3CZ2S6TCQTJBK"/>
    <s v="english"/>
    <s v="test"/>
    <x v="2"/>
    <x v="0"/>
    <s v="mo-h"/>
    <s v="mo-l"/>
    <s v="fa"/>
    <n v="0"/>
    <n v="1"/>
    <n v="1"/>
    <n v="0"/>
    <n v="0"/>
    <n v="0"/>
    <n v="1"/>
    <n v="0"/>
    <n v="0"/>
    <n v="0"/>
    <n v="0"/>
    <n v="0"/>
    <n v="0"/>
    <n v="1"/>
  </r>
  <r>
    <s v="A3CZ2S6TCQTJBK"/>
    <s v="english"/>
    <s v="test"/>
    <x v="0"/>
    <x v="0"/>
    <s v="mo-l"/>
    <s v="ms-h"/>
    <s v="mo-h"/>
    <n v="0"/>
    <n v="1"/>
    <n v="1"/>
    <n v="1"/>
    <n v="0"/>
    <n v="0"/>
    <n v="1"/>
    <n v="0"/>
    <n v="1"/>
    <n v="0"/>
    <n v="1"/>
    <n v="0"/>
    <n v="0"/>
    <n v="0"/>
  </r>
  <r>
    <s v="A3CZ2S6TCQTJBK"/>
    <s v="english"/>
    <s v="test"/>
    <x v="3"/>
    <x v="0"/>
    <s v="ms-l"/>
    <s v="mo-h"/>
    <s v="mo-l"/>
    <n v="0"/>
    <n v="1"/>
    <n v="1"/>
    <n v="0"/>
    <n v="1"/>
    <n v="0"/>
    <n v="1"/>
    <n v="0"/>
    <n v="1"/>
    <n v="1"/>
    <n v="0"/>
    <n v="1"/>
    <n v="0"/>
    <n v="0"/>
  </r>
  <r>
    <s v="A2OSK4VP3ZOV7O"/>
    <s v="english"/>
    <s v="test"/>
    <x v="5"/>
    <x v="0"/>
    <s v="ms-l"/>
    <s v="mo-l"/>
    <s v="ms-h"/>
    <n v="0"/>
    <n v="0"/>
    <n v="1"/>
    <n v="1"/>
    <n v="1"/>
    <n v="0"/>
    <n v="1"/>
    <n v="0"/>
    <n v="0"/>
    <n v="0"/>
    <n v="0"/>
    <n v="0"/>
    <n v="0"/>
    <n v="1"/>
  </r>
  <r>
    <s v="A2OSK4VP3ZOV7O"/>
    <s v="english"/>
    <s v="test"/>
    <x v="1"/>
    <x v="0"/>
    <s v="mo-l"/>
    <s v="fa"/>
    <s v="ms-l"/>
    <n v="0"/>
    <n v="0"/>
    <n v="1"/>
    <n v="0"/>
    <n v="1"/>
    <n v="0"/>
    <n v="1"/>
    <n v="0"/>
    <n v="0"/>
    <n v="0"/>
    <n v="0"/>
    <n v="0"/>
    <n v="0"/>
    <n v="1"/>
  </r>
  <r>
    <s v="A2OSK4VP3ZOV7O"/>
    <s v="english"/>
    <s v="test"/>
    <x v="3"/>
    <x v="0"/>
    <s v="mo-l"/>
    <s v="ms-h"/>
    <s v="ms-l"/>
    <n v="0"/>
    <n v="0"/>
    <n v="1"/>
    <n v="1"/>
    <n v="1"/>
    <n v="0"/>
    <n v="1"/>
    <n v="0"/>
    <n v="0"/>
    <n v="0"/>
    <n v="1"/>
    <n v="0"/>
    <n v="0"/>
    <n v="0"/>
  </r>
  <r>
    <s v="AL7UTA8J27TFK"/>
    <s v="english"/>
    <s v="test"/>
    <x v="1"/>
    <x v="0"/>
    <s v="ms-h"/>
    <s v="mo-l"/>
    <s v="exh"/>
    <n v="1"/>
    <n v="0"/>
    <n v="1"/>
    <n v="1"/>
    <n v="0"/>
    <n v="0"/>
    <n v="1"/>
    <n v="1"/>
    <n v="0"/>
    <n v="0"/>
    <n v="0"/>
    <n v="0"/>
    <n v="0"/>
    <n v="0"/>
  </r>
  <r>
    <s v="AL7UTA8J27TFK"/>
    <s v="english"/>
    <s v="test"/>
    <x v="2"/>
    <x v="0"/>
    <s v="ms-l"/>
    <s v="mo-l"/>
    <s v="exh"/>
    <n v="1"/>
    <n v="0"/>
    <n v="1"/>
    <n v="0"/>
    <n v="1"/>
    <n v="0"/>
    <n v="1"/>
    <n v="1"/>
    <n v="0"/>
    <n v="0"/>
    <n v="0"/>
    <n v="0"/>
    <n v="0"/>
    <n v="0"/>
  </r>
  <r>
    <s v="AZ8JL3QNIPY4U"/>
    <s v="english"/>
    <s v="test"/>
    <x v="4"/>
    <x v="0"/>
    <s v="mo-l"/>
    <s v="fa"/>
    <s v="mo-h"/>
    <n v="0"/>
    <n v="1"/>
    <n v="1"/>
    <n v="0"/>
    <n v="0"/>
    <n v="0"/>
    <n v="1"/>
    <n v="0"/>
    <n v="1"/>
    <n v="0"/>
    <n v="0"/>
    <n v="0"/>
    <n v="0"/>
    <n v="0"/>
  </r>
  <r>
    <s v="AZ8JL3QNIPY4U"/>
    <s v="english"/>
    <s v="test"/>
    <x v="2"/>
    <x v="0"/>
    <s v="exh"/>
    <s v="mo-l"/>
    <s v="mo-h"/>
    <n v="1"/>
    <n v="1"/>
    <n v="1"/>
    <n v="0"/>
    <n v="0"/>
    <n v="0"/>
    <n v="1"/>
    <n v="1"/>
    <n v="0"/>
    <n v="0"/>
    <n v="0"/>
    <n v="0"/>
    <n v="0"/>
    <n v="0"/>
  </r>
  <r>
    <s v="AZ8JL3QNIPY4U"/>
    <s v="english"/>
    <s v="test"/>
    <x v="3"/>
    <x v="0"/>
    <s v="ms-l"/>
    <s v="mo-h"/>
    <s v="mo-l"/>
    <n v="0"/>
    <n v="1"/>
    <n v="1"/>
    <n v="0"/>
    <n v="1"/>
    <n v="0"/>
    <n v="1"/>
    <n v="0"/>
    <n v="1"/>
    <n v="0"/>
    <n v="0"/>
    <n v="0"/>
    <n v="0"/>
    <n v="0"/>
  </r>
  <r>
    <s v="AZ8JL3QNIPY4U"/>
    <s v="english"/>
    <s v="test"/>
    <x v="1"/>
    <x v="0"/>
    <s v="mo-h"/>
    <s v="mo-l"/>
    <s v="fa"/>
    <n v="0"/>
    <n v="1"/>
    <n v="1"/>
    <n v="0"/>
    <n v="0"/>
    <n v="0"/>
    <n v="1"/>
    <n v="0"/>
    <n v="1"/>
    <n v="0"/>
    <n v="0"/>
    <n v="0"/>
    <n v="0"/>
    <n v="0"/>
  </r>
  <r>
    <s v="AZ8JL3QNIPY4U"/>
    <s v="english"/>
    <s v="test"/>
    <x v="5"/>
    <x v="0"/>
    <s v="fa"/>
    <s v="mo-l"/>
    <s v="ms-l"/>
    <n v="0"/>
    <n v="0"/>
    <n v="1"/>
    <n v="0"/>
    <n v="1"/>
    <n v="0"/>
    <n v="1"/>
    <n v="0"/>
    <n v="0"/>
    <n v="0"/>
    <n v="0"/>
    <n v="0"/>
    <n v="0"/>
    <n v="1"/>
  </r>
  <r>
    <s v="A1CSHXVJJ8BPHH"/>
    <s v="english"/>
    <s v="test"/>
    <x v="2"/>
    <x v="0"/>
    <s v="mo-l"/>
    <s v="exh"/>
    <s v="ms-h"/>
    <n v="1"/>
    <n v="0"/>
    <n v="1"/>
    <n v="1"/>
    <n v="0"/>
    <n v="0"/>
    <n v="1"/>
    <n v="0"/>
    <n v="0"/>
    <n v="0"/>
    <n v="1"/>
    <n v="0"/>
    <n v="0"/>
    <n v="0"/>
  </r>
  <r>
    <s v="A1CSHXVJJ8BPHH"/>
    <s v="english"/>
    <s v="test"/>
    <x v="1"/>
    <x v="0"/>
    <s v="fa"/>
    <s v="ms-l"/>
    <s v="mo-l"/>
    <n v="0"/>
    <n v="0"/>
    <n v="1"/>
    <n v="0"/>
    <n v="1"/>
    <n v="0"/>
    <n v="1"/>
    <n v="0"/>
    <n v="0"/>
    <n v="1"/>
    <n v="0"/>
    <n v="0"/>
    <n v="0"/>
    <n v="0"/>
  </r>
  <r>
    <s v="A1CSHXVJJ8BPHH"/>
    <s v="english"/>
    <s v="test"/>
    <x v="4"/>
    <x v="0"/>
    <s v="ms-h"/>
    <s v="mo-h"/>
    <s v="mo-l"/>
    <n v="0"/>
    <n v="1"/>
    <n v="1"/>
    <n v="1"/>
    <n v="0"/>
    <n v="0"/>
    <n v="1"/>
    <n v="0"/>
    <n v="0"/>
    <n v="0"/>
    <n v="0"/>
    <n v="0"/>
    <n v="0"/>
    <n v="1"/>
  </r>
  <r>
    <s v="A1CSHXVJJ8BPHH"/>
    <s v="english"/>
    <s v="test"/>
    <x v="0"/>
    <x v="0"/>
    <s v="mo-l"/>
    <s v="fa"/>
    <s v="mo-h"/>
    <n v="0"/>
    <n v="1"/>
    <n v="1"/>
    <n v="0"/>
    <n v="0"/>
    <n v="0"/>
    <n v="1"/>
    <n v="0"/>
    <n v="1"/>
    <n v="0"/>
    <n v="0"/>
    <n v="0"/>
    <n v="0"/>
    <n v="0"/>
  </r>
  <r>
    <s v="A1CSHXVJJ8BPHH"/>
    <s v="english"/>
    <s v="test"/>
    <x v="3"/>
    <x v="0"/>
    <s v="mo-h"/>
    <s v="mo-l"/>
    <s v="fa"/>
    <n v="0"/>
    <n v="1"/>
    <n v="1"/>
    <n v="0"/>
    <n v="0"/>
    <n v="0"/>
    <n v="1"/>
    <n v="0"/>
    <n v="1"/>
    <n v="0"/>
    <n v="0"/>
    <n v="0"/>
    <n v="0"/>
    <n v="0"/>
  </r>
  <r>
    <s v="A2Q1BS4JJ10J8H"/>
    <s v="english"/>
    <s v="test"/>
    <x v="3"/>
    <x v="0"/>
    <s v="mo-h"/>
    <s v="ms-l"/>
    <s v="mo-l"/>
    <n v="0"/>
    <n v="1"/>
    <n v="1"/>
    <n v="0"/>
    <n v="1"/>
    <n v="0"/>
    <n v="1"/>
    <n v="0"/>
    <n v="1"/>
    <n v="0"/>
    <n v="0"/>
    <n v="0"/>
    <n v="0"/>
    <n v="1"/>
  </r>
  <r>
    <s v="A2Q1BS4JJ10J8H"/>
    <s v="english"/>
    <s v="test"/>
    <x v="1"/>
    <x v="0"/>
    <s v="mo-h"/>
    <s v="ms-h"/>
    <s v="mo-l"/>
    <n v="0"/>
    <n v="1"/>
    <n v="1"/>
    <n v="1"/>
    <n v="0"/>
    <n v="0"/>
    <n v="1"/>
    <n v="0"/>
    <n v="1"/>
    <n v="0"/>
    <n v="1"/>
    <n v="0"/>
    <n v="0"/>
    <n v="0"/>
  </r>
  <r>
    <s v="A2Q1BS4JJ10J8H"/>
    <s v="english"/>
    <s v="test"/>
    <x v="2"/>
    <x v="0"/>
    <s v="ms-l"/>
    <s v="mo-l"/>
    <s v="ms-h"/>
    <n v="0"/>
    <n v="0"/>
    <n v="1"/>
    <n v="1"/>
    <n v="1"/>
    <n v="0"/>
    <n v="1"/>
    <n v="0"/>
    <n v="0"/>
    <n v="0"/>
    <n v="1"/>
    <n v="0"/>
    <n v="0"/>
    <n v="0"/>
  </r>
  <r>
    <s v="A3LT7W355XOAKF"/>
    <s v="english"/>
    <s v="test"/>
    <x v="3"/>
    <x v="0"/>
    <s v="exh"/>
    <s v="mo-l"/>
    <s v="ms-h"/>
    <n v="1"/>
    <n v="0"/>
    <n v="1"/>
    <n v="1"/>
    <n v="0"/>
    <n v="0"/>
    <n v="1"/>
    <n v="0"/>
    <n v="0"/>
    <n v="0"/>
    <n v="0"/>
    <n v="0"/>
    <n v="0"/>
    <n v="1"/>
  </r>
  <r>
    <s v="A3LT7W355XOAKF"/>
    <s v="english"/>
    <s v="test"/>
    <x v="0"/>
    <x v="0"/>
    <s v="mo-l"/>
    <s v="fa"/>
    <s v="mo-h"/>
    <n v="0"/>
    <n v="1"/>
    <n v="1"/>
    <n v="0"/>
    <n v="0"/>
    <n v="0"/>
    <n v="1"/>
    <n v="0"/>
    <n v="1"/>
    <n v="1"/>
    <n v="0"/>
    <n v="0"/>
    <n v="0"/>
    <n v="0"/>
  </r>
  <r>
    <s v="A3LT7W355XOAKF"/>
    <s v="english"/>
    <s v="test"/>
    <x v="5"/>
    <x v="0"/>
    <s v="mo-l"/>
    <s v="ms-l"/>
    <s v="mo-h"/>
    <n v="0"/>
    <n v="1"/>
    <n v="1"/>
    <n v="0"/>
    <n v="1"/>
    <n v="0"/>
    <n v="1"/>
    <n v="0"/>
    <n v="1"/>
    <n v="1"/>
    <n v="0"/>
    <n v="1"/>
    <n v="0"/>
    <n v="0"/>
  </r>
  <r>
    <s v="A3LT7W355XOAKF"/>
    <s v="english"/>
    <s v="test"/>
    <x v="2"/>
    <x v="0"/>
    <s v="mo-l"/>
    <s v="mo-h"/>
    <s v="exh"/>
    <n v="1"/>
    <n v="1"/>
    <n v="1"/>
    <n v="0"/>
    <n v="0"/>
    <n v="0"/>
    <n v="1"/>
    <n v="1"/>
    <n v="1"/>
    <n v="1"/>
    <n v="0"/>
    <n v="0"/>
    <n v="0"/>
    <n v="0"/>
  </r>
  <r>
    <s v="A1CGDMOPDIC7EU"/>
    <s v="english"/>
    <s v="test"/>
    <x v="5"/>
    <x v="0"/>
    <s v="ms-l"/>
    <s v="ms-h"/>
    <s v="mo-l"/>
    <n v="0"/>
    <n v="0"/>
    <n v="1"/>
    <n v="1"/>
    <n v="1"/>
    <n v="0"/>
    <n v="1"/>
    <n v="0"/>
    <n v="0"/>
    <n v="1"/>
    <n v="1"/>
    <n v="1"/>
    <n v="0"/>
    <n v="0"/>
  </r>
  <r>
    <s v="A1CGDMOPDIC7EU"/>
    <s v="english"/>
    <s v="test"/>
    <x v="3"/>
    <x v="0"/>
    <s v="ms-l"/>
    <s v="fa"/>
    <s v="mo-l"/>
    <n v="0"/>
    <n v="0"/>
    <n v="1"/>
    <n v="0"/>
    <n v="1"/>
    <n v="0"/>
    <n v="1"/>
    <n v="0"/>
    <n v="0"/>
    <n v="1"/>
    <n v="0"/>
    <n v="1"/>
    <n v="0"/>
    <n v="0"/>
  </r>
  <r>
    <s v="A1CGDMOPDIC7EU"/>
    <s v="english"/>
    <s v="test"/>
    <x v="1"/>
    <x v="0"/>
    <s v="mo-l"/>
    <s v="mo-h"/>
    <s v="ms-l"/>
    <n v="0"/>
    <n v="1"/>
    <n v="1"/>
    <n v="0"/>
    <n v="1"/>
    <n v="0"/>
    <n v="1"/>
    <n v="0"/>
    <n v="0"/>
    <n v="0"/>
    <n v="0"/>
    <n v="0"/>
    <n v="0"/>
    <n v="1"/>
  </r>
  <r>
    <s v="A1CGDMOPDIC7EU"/>
    <s v="english"/>
    <s v="test"/>
    <x v="2"/>
    <x v="0"/>
    <s v="mo-l"/>
    <s v="mo-h"/>
    <s v="fa"/>
    <n v="0"/>
    <n v="1"/>
    <n v="1"/>
    <n v="0"/>
    <n v="0"/>
    <n v="0"/>
    <n v="1"/>
    <n v="0"/>
    <n v="1"/>
    <n v="0"/>
    <n v="0"/>
    <n v="0"/>
    <n v="0"/>
    <n v="0"/>
  </r>
  <r>
    <s v="A3AY0315YWWNXY"/>
    <s v="english"/>
    <s v="test"/>
    <x v="0"/>
    <x v="0"/>
    <s v="mo-l"/>
    <s v="exh"/>
    <s v="ms-h"/>
    <n v="1"/>
    <n v="0"/>
    <n v="1"/>
    <n v="1"/>
    <n v="0"/>
    <n v="0"/>
    <n v="1"/>
    <n v="1"/>
    <n v="0"/>
    <n v="0"/>
    <n v="1"/>
    <n v="0"/>
    <n v="0"/>
    <n v="0"/>
  </r>
  <r>
    <s v="A3AY0315YWWNXY"/>
    <s v="english"/>
    <s v="test"/>
    <x v="5"/>
    <x v="0"/>
    <s v="exh"/>
    <s v="fa"/>
    <s v="mo-l"/>
    <n v="1"/>
    <n v="0"/>
    <n v="1"/>
    <n v="0"/>
    <n v="0"/>
    <n v="0"/>
    <n v="1"/>
    <n v="1"/>
    <n v="0"/>
    <n v="0"/>
    <n v="0"/>
    <n v="0"/>
    <n v="0"/>
    <n v="0"/>
  </r>
  <r>
    <s v="AQKB8JSBEMXK9"/>
    <s v="english"/>
    <s v="test"/>
    <x v="2"/>
    <x v="0"/>
    <s v="fa"/>
    <s v="mo-h"/>
    <s v="mo-l"/>
    <n v="0"/>
    <n v="1"/>
    <n v="1"/>
    <n v="0"/>
    <n v="0"/>
    <n v="0"/>
    <n v="1"/>
    <n v="0"/>
    <n v="1"/>
    <n v="0"/>
    <n v="0"/>
    <n v="0"/>
    <n v="0"/>
    <n v="0"/>
  </r>
  <r>
    <s v="AQKB8JSBEMXK9"/>
    <s v="english"/>
    <s v="test"/>
    <x v="5"/>
    <x v="0"/>
    <s v="mo-l"/>
    <s v="mo-h"/>
    <s v="ms-l"/>
    <n v="0"/>
    <n v="1"/>
    <n v="1"/>
    <n v="0"/>
    <n v="1"/>
    <n v="0"/>
    <n v="1"/>
    <n v="0"/>
    <n v="0"/>
    <n v="0"/>
    <n v="0"/>
    <n v="0"/>
    <n v="0"/>
    <n v="1"/>
  </r>
  <r>
    <s v="AQKB8JSBEMXK9"/>
    <s v="english"/>
    <s v="test"/>
    <x v="1"/>
    <x v="0"/>
    <s v="ms-h"/>
    <s v="fa"/>
    <s v="mo-l"/>
    <n v="0"/>
    <n v="0"/>
    <n v="1"/>
    <n v="1"/>
    <n v="0"/>
    <n v="0"/>
    <n v="1"/>
    <n v="0"/>
    <n v="0"/>
    <n v="1"/>
    <n v="1"/>
    <n v="0"/>
    <n v="0"/>
    <n v="0"/>
  </r>
  <r>
    <s v="AQKB8JSBEMXK9"/>
    <s v="english"/>
    <s v="test"/>
    <x v="4"/>
    <x v="0"/>
    <s v="mo-l"/>
    <s v="ms-h"/>
    <s v="ms-l"/>
    <n v="0"/>
    <n v="0"/>
    <n v="1"/>
    <n v="1"/>
    <n v="1"/>
    <n v="0"/>
    <n v="1"/>
    <n v="0"/>
    <n v="0"/>
    <n v="1"/>
    <n v="1"/>
    <n v="1"/>
    <n v="0"/>
    <n v="0"/>
  </r>
  <r>
    <s v="A8KX1HFH8NE2Q"/>
    <s v="english"/>
    <s v="test"/>
    <x v="2"/>
    <x v="0"/>
    <s v="exh"/>
    <s v="mo-h"/>
    <s v="mo-l"/>
    <n v="1"/>
    <n v="1"/>
    <n v="1"/>
    <n v="0"/>
    <n v="0"/>
    <n v="0"/>
    <n v="1"/>
    <n v="0"/>
    <n v="1"/>
    <n v="0"/>
    <n v="0"/>
    <n v="0"/>
    <n v="0"/>
    <n v="0"/>
  </r>
  <r>
    <s v="A8KX1HFH8NE2Q"/>
    <s v="english"/>
    <s v="test"/>
    <x v="4"/>
    <x v="0"/>
    <s v="ms-h"/>
    <s v="mo-l"/>
    <s v="fa"/>
    <n v="0"/>
    <n v="0"/>
    <n v="1"/>
    <n v="1"/>
    <n v="0"/>
    <n v="0"/>
    <n v="1"/>
    <n v="0"/>
    <n v="0"/>
    <n v="0"/>
    <n v="1"/>
    <n v="0"/>
    <n v="0"/>
    <n v="0"/>
  </r>
  <r>
    <s v="A8KX1HFH8NE2Q"/>
    <s v="english"/>
    <s v="test"/>
    <x v="5"/>
    <x v="0"/>
    <s v="ms-h"/>
    <s v="mo-l"/>
    <s v="mo-h"/>
    <n v="0"/>
    <n v="1"/>
    <n v="1"/>
    <n v="1"/>
    <n v="0"/>
    <n v="0"/>
    <n v="1"/>
    <n v="0"/>
    <n v="1"/>
    <n v="0"/>
    <n v="0"/>
    <n v="0"/>
    <n v="0"/>
    <n v="0"/>
  </r>
  <r>
    <s v="A8KX1HFH8NE2Q"/>
    <s v="english"/>
    <s v="test"/>
    <x v="0"/>
    <x v="0"/>
    <s v="mo-h"/>
    <s v="ms-h"/>
    <s v="mo-l"/>
    <n v="0"/>
    <n v="1"/>
    <n v="1"/>
    <n v="1"/>
    <n v="0"/>
    <n v="0"/>
    <n v="1"/>
    <n v="0"/>
    <n v="1"/>
    <n v="0"/>
    <n v="0"/>
    <n v="0"/>
    <n v="0"/>
    <n v="0"/>
  </r>
  <r>
    <s v="AKHH4W14A6AN9"/>
    <s v="english"/>
    <s v="test"/>
    <x v="1"/>
    <x v="0"/>
    <s v="fa"/>
    <s v="ms-l"/>
    <s v="mo-l"/>
    <n v="0"/>
    <n v="0"/>
    <n v="1"/>
    <n v="0"/>
    <n v="1"/>
    <n v="0"/>
    <n v="1"/>
    <n v="0"/>
    <n v="0"/>
    <n v="0"/>
    <n v="0"/>
    <n v="0"/>
    <n v="0"/>
    <n v="1"/>
  </r>
  <r>
    <s v="AKHH4W14A6AN9"/>
    <s v="english"/>
    <s v="test"/>
    <x v="0"/>
    <x v="0"/>
    <s v="mo-l"/>
    <s v="ms-l"/>
    <s v="exh"/>
    <n v="1"/>
    <n v="0"/>
    <n v="1"/>
    <n v="0"/>
    <n v="1"/>
    <n v="0"/>
    <n v="1"/>
    <n v="0"/>
    <n v="0"/>
    <n v="0"/>
    <n v="0"/>
    <n v="0"/>
    <n v="0"/>
    <n v="1"/>
  </r>
  <r>
    <s v="AKHH4W14A6AN9"/>
    <s v="english"/>
    <s v="test"/>
    <x v="3"/>
    <x v="0"/>
    <s v="mo-l"/>
    <s v="exh"/>
    <s v="ms-l"/>
    <n v="1"/>
    <n v="0"/>
    <n v="1"/>
    <n v="0"/>
    <n v="1"/>
    <n v="0"/>
    <n v="1"/>
    <n v="0"/>
    <n v="0"/>
    <n v="0"/>
    <n v="0"/>
    <n v="0"/>
    <n v="0"/>
    <n v="1"/>
  </r>
  <r>
    <s v="A3KCZB9IL6CVH"/>
    <s v="english"/>
    <s v="test"/>
    <x v="5"/>
    <x v="0"/>
    <s v="mo-l"/>
    <s v="ms-l"/>
    <s v="ms-h"/>
    <n v="0"/>
    <n v="0"/>
    <n v="1"/>
    <n v="1"/>
    <n v="1"/>
    <n v="0"/>
    <n v="1"/>
    <n v="0"/>
    <n v="0"/>
    <n v="0"/>
    <n v="0"/>
    <n v="1"/>
    <n v="0"/>
    <n v="0"/>
  </r>
  <r>
    <s v="A3KCZB9IL6CVH"/>
    <s v="english"/>
    <s v="test"/>
    <x v="1"/>
    <x v="0"/>
    <s v="mo-h"/>
    <s v="mo-l"/>
    <s v="exh"/>
    <n v="1"/>
    <n v="1"/>
    <n v="1"/>
    <n v="0"/>
    <n v="0"/>
    <n v="0"/>
    <n v="1"/>
    <n v="0"/>
    <n v="1"/>
    <n v="0"/>
    <n v="0"/>
    <n v="0"/>
    <n v="0"/>
    <n v="0"/>
  </r>
  <r>
    <s v="A3KCZB9IL6CVH"/>
    <s v="english"/>
    <s v="test"/>
    <x v="3"/>
    <x v="0"/>
    <s v="mo-l"/>
    <s v="ms-l"/>
    <s v="fa"/>
    <n v="0"/>
    <n v="0"/>
    <n v="1"/>
    <n v="0"/>
    <n v="1"/>
    <n v="0"/>
    <n v="1"/>
    <n v="0"/>
    <n v="0"/>
    <n v="0"/>
    <n v="0"/>
    <n v="0"/>
    <n v="0"/>
    <n v="1"/>
  </r>
  <r>
    <s v="A3KCZB9IL6CVH"/>
    <s v="english"/>
    <s v="test"/>
    <x v="4"/>
    <x v="0"/>
    <s v="mo-l"/>
    <s v="ms-l"/>
    <s v="ms-h"/>
    <n v="0"/>
    <n v="0"/>
    <n v="1"/>
    <n v="1"/>
    <n v="1"/>
    <n v="0"/>
    <n v="1"/>
    <n v="0"/>
    <n v="0"/>
    <n v="0"/>
    <n v="1"/>
    <n v="0"/>
    <n v="0"/>
    <n v="0"/>
  </r>
  <r>
    <s v="A27K37YQZDPER6"/>
    <s v="english"/>
    <s v="test"/>
    <x v="2"/>
    <x v="0"/>
    <s v="mo-l"/>
    <s v="fa"/>
    <s v="ms-h"/>
    <n v="0"/>
    <n v="0"/>
    <n v="1"/>
    <n v="1"/>
    <n v="0"/>
    <n v="0"/>
    <n v="1"/>
    <n v="0"/>
    <n v="0"/>
    <n v="0"/>
    <n v="0"/>
    <n v="0"/>
    <n v="0"/>
    <n v="1"/>
  </r>
  <r>
    <s v="A27K37YQZDPER6"/>
    <s v="english"/>
    <s v="test"/>
    <x v="0"/>
    <x v="0"/>
    <s v="mo-h"/>
    <s v="mo-l"/>
    <s v="ms-h"/>
    <n v="0"/>
    <n v="1"/>
    <n v="1"/>
    <n v="1"/>
    <n v="0"/>
    <n v="0"/>
    <n v="1"/>
    <n v="0"/>
    <n v="1"/>
    <n v="1"/>
    <n v="1"/>
    <n v="0"/>
    <n v="0"/>
    <n v="0"/>
  </r>
  <r>
    <s v="A27K37YQZDPER6"/>
    <s v="english"/>
    <s v="test"/>
    <x v="3"/>
    <x v="0"/>
    <s v="mo-l"/>
    <s v="exh"/>
    <s v="ms-l"/>
    <n v="1"/>
    <n v="0"/>
    <n v="1"/>
    <n v="0"/>
    <n v="1"/>
    <n v="0"/>
    <n v="1"/>
    <n v="1"/>
    <n v="0"/>
    <n v="0"/>
    <n v="0"/>
    <n v="0"/>
    <n v="0"/>
    <n v="0"/>
  </r>
  <r>
    <s v="A27K37YQZDPER6"/>
    <s v="english"/>
    <s v="test"/>
    <x v="4"/>
    <x v="0"/>
    <s v="ms-h"/>
    <s v="ms-l"/>
    <s v="mo-l"/>
    <n v="0"/>
    <n v="0"/>
    <n v="1"/>
    <n v="1"/>
    <n v="1"/>
    <n v="0"/>
    <n v="1"/>
    <n v="0"/>
    <n v="0"/>
    <n v="0"/>
    <n v="0"/>
    <n v="0"/>
    <n v="0"/>
    <n v="1"/>
  </r>
  <r>
    <s v="A27K37YQZDPER6"/>
    <s v="english"/>
    <s v="test"/>
    <x v="1"/>
    <x v="0"/>
    <s v="ms-h"/>
    <s v="mo-l"/>
    <s v="mo-h"/>
    <n v="0"/>
    <n v="1"/>
    <n v="1"/>
    <n v="1"/>
    <n v="0"/>
    <n v="0"/>
    <n v="1"/>
    <n v="0"/>
    <n v="0"/>
    <n v="0"/>
    <n v="0"/>
    <n v="0"/>
    <n v="0"/>
    <n v="1"/>
  </r>
  <r>
    <s v="A3KE35E6VK782J"/>
    <s v="english"/>
    <s v="test"/>
    <x v="1"/>
    <x v="0"/>
    <s v="fa"/>
    <s v="mo-l"/>
    <s v="ms-l"/>
    <n v="0"/>
    <n v="0"/>
    <n v="1"/>
    <n v="0"/>
    <n v="1"/>
    <n v="0"/>
    <n v="1"/>
    <n v="0"/>
    <n v="0"/>
    <n v="0"/>
    <n v="0"/>
    <n v="0"/>
    <n v="0"/>
    <n v="1"/>
  </r>
  <r>
    <s v="A3KE35E6VK782J"/>
    <s v="english"/>
    <s v="test"/>
    <x v="3"/>
    <x v="0"/>
    <s v="exh"/>
    <s v="mo-l"/>
    <s v="mo-h"/>
    <n v="1"/>
    <n v="1"/>
    <n v="1"/>
    <n v="0"/>
    <n v="0"/>
    <n v="0"/>
    <n v="1"/>
    <n v="0"/>
    <n v="1"/>
    <n v="0"/>
    <n v="0"/>
    <n v="0"/>
    <n v="0"/>
    <n v="0"/>
  </r>
  <r>
    <s v="AA4O2W236E3FW"/>
    <s v="english"/>
    <s v="test"/>
    <x v="5"/>
    <x v="0"/>
    <s v="fa"/>
    <s v="mo-l"/>
    <s v="ms-l"/>
    <n v="0"/>
    <n v="0"/>
    <n v="1"/>
    <n v="0"/>
    <n v="1"/>
    <n v="0"/>
    <n v="1"/>
    <n v="0"/>
    <n v="0"/>
    <n v="1"/>
    <n v="0"/>
    <n v="0"/>
    <n v="0"/>
    <n v="0"/>
  </r>
  <r>
    <s v="AA4O2W236E3FW"/>
    <s v="english"/>
    <s v="test"/>
    <x v="0"/>
    <x v="0"/>
    <s v="fa"/>
    <s v="mo-l"/>
    <s v="ms-l"/>
    <n v="0"/>
    <n v="0"/>
    <n v="1"/>
    <n v="0"/>
    <n v="1"/>
    <n v="0"/>
    <n v="1"/>
    <n v="0"/>
    <n v="0"/>
    <n v="0"/>
    <n v="0"/>
    <n v="1"/>
    <n v="0"/>
    <n v="0"/>
  </r>
  <r>
    <s v="AA4O2W236E3FW"/>
    <s v="english"/>
    <s v="test"/>
    <x v="2"/>
    <x v="0"/>
    <s v="ms-h"/>
    <s v="mo-l"/>
    <s v="mo-h"/>
    <n v="0"/>
    <n v="1"/>
    <n v="1"/>
    <n v="1"/>
    <n v="0"/>
    <n v="0"/>
    <n v="1"/>
    <n v="0"/>
    <n v="0"/>
    <n v="0"/>
    <n v="1"/>
    <n v="0"/>
    <n v="0"/>
    <n v="0"/>
  </r>
  <r>
    <s v="AA4O2W236E3FW"/>
    <s v="english"/>
    <s v="test"/>
    <x v="4"/>
    <x v="0"/>
    <s v="fa"/>
    <s v="ms-l"/>
    <s v="mo-l"/>
    <n v="0"/>
    <n v="0"/>
    <n v="1"/>
    <n v="0"/>
    <n v="1"/>
    <n v="0"/>
    <n v="1"/>
    <n v="0"/>
    <n v="0"/>
    <n v="0"/>
    <n v="0"/>
    <n v="1"/>
    <n v="0"/>
    <n v="0"/>
  </r>
  <r>
    <s v="AA4O2W236E3FW"/>
    <s v="english"/>
    <s v="test"/>
    <x v="1"/>
    <x v="0"/>
    <s v="ms-h"/>
    <s v="mo-l"/>
    <s v="ms-l"/>
    <n v="0"/>
    <n v="0"/>
    <n v="1"/>
    <n v="1"/>
    <n v="1"/>
    <n v="0"/>
    <n v="1"/>
    <n v="0"/>
    <n v="0"/>
    <n v="0"/>
    <n v="1"/>
    <n v="0"/>
    <n v="0"/>
    <n v="0"/>
  </r>
  <r>
    <s v="A1ODA3Q5H6HTDQ"/>
    <s v="english"/>
    <s v="test"/>
    <x v="4"/>
    <x v="0"/>
    <s v="mo-l"/>
    <s v="mo-h"/>
    <s v="exh"/>
    <n v="1"/>
    <n v="1"/>
    <n v="1"/>
    <n v="0"/>
    <n v="0"/>
    <n v="0"/>
    <n v="1"/>
    <n v="0"/>
    <n v="1"/>
    <n v="0"/>
    <n v="0"/>
    <n v="0"/>
    <n v="0"/>
    <n v="0"/>
  </r>
  <r>
    <s v="A1ODA3Q5H6HTDQ"/>
    <s v="english"/>
    <s v="test"/>
    <x v="1"/>
    <x v="0"/>
    <s v="exh"/>
    <s v="mo-l"/>
    <s v="fa"/>
    <n v="1"/>
    <n v="0"/>
    <n v="1"/>
    <n v="0"/>
    <n v="0"/>
    <n v="0"/>
    <n v="1"/>
    <n v="1"/>
    <n v="0"/>
    <n v="0"/>
    <n v="0"/>
    <n v="0"/>
    <n v="0"/>
    <n v="0"/>
  </r>
  <r>
    <s v="A1ODA3Q5H6HTDQ"/>
    <s v="english"/>
    <s v="test"/>
    <x v="3"/>
    <x v="0"/>
    <s v="mo-l"/>
    <s v="fa"/>
    <s v="mo-h"/>
    <n v="0"/>
    <n v="1"/>
    <n v="1"/>
    <n v="0"/>
    <n v="0"/>
    <n v="0"/>
    <n v="1"/>
    <n v="0"/>
    <n v="1"/>
    <n v="1"/>
    <n v="0"/>
    <n v="0"/>
    <n v="0"/>
    <n v="0"/>
  </r>
  <r>
    <s v="A1ODA3Q5H6HTDQ"/>
    <s v="english"/>
    <s v="test"/>
    <x v="0"/>
    <x v="0"/>
    <s v="ms-h"/>
    <s v="mo-l"/>
    <s v="mo-h"/>
    <n v="0"/>
    <n v="1"/>
    <n v="1"/>
    <n v="1"/>
    <n v="0"/>
    <n v="0"/>
    <n v="1"/>
    <n v="0"/>
    <n v="1"/>
    <n v="1"/>
    <n v="1"/>
    <n v="0"/>
    <n v="0"/>
    <n v="0"/>
  </r>
  <r>
    <s v="AL36KBFL3ORCD"/>
    <s v="english"/>
    <s v="test"/>
    <x v="3"/>
    <x v="0"/>
    <s v="ms-l"/>
    <s v="mo-l"/>
    <s v="fa"/>
    <n v="0"/>
    <n v="0"/>
    <n v="1"/>
    <n v="0"/>
    <n v="1"/>
    <n v="0"/>
    <n v="1"/>
    <n v="0"/>
    <n v="0"/>
    <n v="1"/>
    <n v="0"/>
    <n v="1"/>
    <n v="0"/>
    <n v="0"/>
  </r>
  <r>
    <s v="AL36KBFL3ORCD"/>
    <s v="english"/>
    <s v="test"/>
    <x v="0"/>
    <x v="0"/>
    <s v="ms-l"/>
    <s v="mo-l"/>
    <s v="exh"/>
    <n v="1"/>
    <n v="0"/>
    <n v="1"/>
    <n v="0"/>
    <n v="1"/>
    <n v="0"/>
    <n v="1"/>
    <n v="1"/>
    <n v="0"/>
    <n v="0"/>
    <n v="0"/>
    <n v="0"/>
    <n v="0"/>
    <n v="0"/>
  </r>
  <r>
    <s v="AL36KBFL3ORCD"/>
    <s v="english"/>
    <s v="test"/>
    <x v="1"/>
    <x v="0"/>
    <s v="ms-l"/>
    <s v="ms-h"/>
    <s v="mo-l"/>
    <n v="0"/>
    <n v="0"/>
    <n v="1"/>
    <n v="1"/>
    <n v="1"/>
    <n v="0"/>
    <n v="1"/>
    <n v="0"/>
    <n v="0"/>
    <n v="1"/>
    <n v="0"/>
    <n v="0"/>
    <n v="0"/>
    <n v="0"/>
  </r>
  <r>
    <s v="AL36KBFL3ORCD"/>
    <s v="english"/>
    <s v="test"/>
    <x v="4"/>
    <x v="0"/>
    <s v="mo-l"/>
    <s v="exh"/>
    <s v="ms-l"/>
    <n v="1"/>
    <n v="0"/>
    <n v="1"/>
    <n v="0"/>
    <n v="1"/>
    <n v="0"/>
    <n v="1"/>
    <n v="0"/>
    <n v="0"/>
    <n v="0"/>
    <n v="0"/>
    <n v="1"/>
    <n v="0"/>
    <n v="0"/>
  </r>
  <r>
    <s v="AL36KBFL3ORCD"/>
    <s v="english"/>
    <s v="test"/>
    <x v="5"/>
    <x v="0"/>
    <s v="ms-h"/>
    <s v="fa"/>
    <s v="mo-l"/>
    <n v="0"/>
    <n v="0"/>
    <n v="1"/>
    <n v="1"/>
    <n v="0"/>
    <n v="0"/>
    <n v="1"/>
    <n v="0"/>
    <n v="0"/>
    <n v="0"/>
    <n v="1"/>
    <n v="0"/>
    <n v="0"/>
    <n v="0"/>
  </r>
  <r>
    <s v="A9HQ3E0F2AGVO"/>
    <s v="english"/>
    <s v="test"/>
    <x v="3"/>
    <x v="0"/>
    <s v="ms-l"/>
    <s v="ms-h"/>
    <s v="mo-l"/>
    <n v="0"/>
    <n v="0"/>
    <n v="1"/>
    <n v="1"/>
    <n v="1"/>
    <n v="0"/>
    <n v="1"/>
    <n v="0"/>
    <n v="0"/>
    <n v="0"/>
    <n v="1"/>
    <n v="0"/>
    <n v="0"/>
    <n v="0"/>
  </r>
  <r>
    <s v="A9HQ3E0F2AGVO"/>
    <s v="english"/>
    <s v="test"/>
    <x v="5"/>
    <x v="0"/>
    <s v="mo-l"/>
    <s v="ms-l"/>
    <s v="mo-h"/>
    <n v="0"/>
    <n v="1"/>
    <n v="1"/>
    <n v="0"/>
    <n v="1"/>
    <n v="0"/>
    <n v="1"/>
    <n v="0"/>
    <n v="1"/>
    <n v="0"/>
    <n v="0"/>
    <n v="0"/>
    <n v="0"/>
    <n v="0"/>
  </r>
  <r>
    <s v="A9HQ3E0F2AGVO"/>
    <s v="english"/>
    <s v="test"/>
    <x v="1"/>
    <x v="0"/>
    <s v="ms-h"/>
    <s v="fa"/>
    <s v="mo-l"/>
    <n v="0"/>
    <n v="0"/>
    <n v="1"/>
    <n v="1"/>
    <n v="0"/>
    <n v="0"/>
    <n v="1"/>
    <n v="0"/>
    <n v="0"/>
    <n v="0"/>
    <n v="1"/>
    <n v="0"/>
    <n v="0"/>
    <n v="0"/>
  </r>
  <r>
    <s v="A1LC7VHVIFI8BP"/>
    <s v="english"/>
    <s v="test"/>
    <x v="2"/>
    <x v="0"/>
    <s v="mo-l"/>
    <s v="ms-h"/>
    <s v="ms-l"/>
    <n v="0"/>
    <n v="0"/>
    <n v="1"/>
    <n v="1"/>
    <n v="1"/>
    <n v="0"/>
    <n v="1"/>
    <n v="0"/>
    <n v="0"/>
    <n v="0"/>
    <n v="0"/>
    <n v="1"/>
    <n v="0"/>
    <n v="0"/>
  </r>
  <r>
    <s v="A1LC7VHVIFI8BP"/>
    <s v="english"/>
    <s v="test"/>
    <x v="1"/>
    <x v="0"/>
    <s v="ms-h"/>
    <s v="fa"/>
    <s v="mo-l"/>
    <n v="0"/>
    <n v="0"/>
    <n v="1"/>
    <n v="1"/>
    <n v="0"/>
    <n v="0"/>
    <n v="1"/>
    <n v="0"/>
    <n v="0"/>
    <n v="0"/>
    <n v="1"/>
    <n v="0"/>
    <n v="0"/>
    <n v="0"/>
  </r>
  <r>
    <s v="A1LC7VHVIFI8BP"/>
    <s v="english"/>
    <s v="test"/>
    <x v="4"/>
    <x v="0"/>
    <s v="exh"/>
    <s v="ms-h"/>
    <s v="mo-l"/>
    <n v="1"/>
    <n v="0"/>
    <n v="1"/>
    <n v="1"/>
    <n v="0"/>
    <n v="0"/>
    <n v="1"/>
    <n v="0"/>
    <n v="0"/>
    <n v="1"/>
    <n v="0"/>
    <n v="0"/>
    <n v="0"/>
    <n v="0"/>
  </r>
  <r>
    <s v="ACFJI8D9OGJTL"/>
    <s v="english"/>
    <s v="test"/>
    <x v="0"/>
    <x v="0"/>
    <s v="mo-l"/>
    <s v="exh"/>
    <s v="fa"/>
    <n v="1"/>
    <n v="0"/>
    <n v="1"/>
    <n v="0"/>
    <n v="0"/>
    <n v="0"/>
    <n v="1"/>
    <n v="0"/>
    <n v="0"/>
    <n v="0"/>
    <n v="0"/>
    <n v="0"/>
    <n v="0"/>
    <n v="1"/>
  </r>
  <r>
    <s v="ACFJI8D9OGJTL"/>
    <s v="english"/>
    <s v="test"/>
    <x v="2"/>
    <x v="0"/>
    <s v="mo-l"/>
    <s v="ms-l"/>
    <s v="fa"/>
    <n v="0"/>
    <n v="0"/>
    <n v="1"/>
    <n v="0"/>
    <n v="1"/>
    <n v="0"/>
    <n v="1"/>
    <n v="0"/>
    <n v="0"/>
    <n v="1"/>
    <n v="0"/>
    <n v="1"/>
    <n v="0"/>
    <n v="0"/>
  </r>
  <r>
    <s v="ACFJI8D9OGJTL"/>
    <s v="english"/>
    <s v="test"/>
    <x v="1"/>
    <x v="0"/>
    <s v="mo-l"/>
    <s v="mo-h"/>
    <s v="ms-h"/>
    <n v="0"/>
    <n v="1"/>
    <n v="1"/>
    <n v="1"/>
    <n v="0"/>
    <n v="0"/>
    <n v="1"/>
    <n v="0"/>
    <n v="0"/>
    <n v="0"/>
    <n v="0"/>
    <n v="0"/>
    <n v="0"/>
    <n v="1"/>
  </r>
  <r>
    <s v="A221N4JDWK8XK0"/>
    <s v="english"/>
    <s v="test"/>
    <x v="4"/>
    <x v="0"/>
    <s v="mo-l"/>
    <s v="exh"/>
    <s v="mo-h"/>
    <n v="1"/>
    <n v="1"/>
    <n v="1"/>
    <n v="0"/>
    <n v="0"/>
    <n v="0"/>
    <n v="1"/>
    <n v="1"/>
    <n v="0"/>
    <n v="0"/>
    <n v="0"/>
    <n v="0"/>
    <n v="0"/>
    <n v="0"/>
  </r>
  <r>
    <s v="A221N4JDWK8XK0"/>
    <s v="english"/>
    <s v="test"/>
    <x v="3"/>
    <x v="0"/>
    <s v="ms-h"/>
    <s v="mo-l"/>
    <s v="mo-h"/>
    <n v="0"/>
    <n v="1"/>
    <n v="1"/>
    <n v="1"/>
    <n v="0"/>
    <n v="0"/>
    <n v="1"/>
    <n v="0"/>
    <n v="1"/>
    <n v="0"/>
    <n v="0"/>
    <n v="0"/>
    <n v="0"/>
    <n v="0"/>
  </r>
  <r>
    <s v="A221N4JDWK8XK0"/>
    <s v="english"/>
    <s v="test"/>
    <x v="2"/>
    <x v="0"/>
    <s v="mo-l"/>
    <s v="exh"/>
    <s v="ms-h"/>
    <n v="1"/>
    <n v="0"/>
    <n v="1"/>
    <n v="1"/>
    <n v="0"/>
    <n v="0"/>
    <n v="1"/>
    <n v="0"/>
    <n v="0"/>
    <n v="0"/>
    <n v="1"/>
    <n v="0"/>
    <n v="0"/>
    <n v="0"/>
  </r>
  <r>
    <s v="A221N4JDWK8XK0"/>
    <s v="english"/>
    <s v="test"/>
    <x v="5"/>
    <x v="0"/>
    <s v="ms-h"/>
    <s v="ms-l"/>
    <s v="mo-l"/>
    <n v="0"/>
    <n v="0"/>
    <n v="1"/>
    <n v="1"/>
    <n v="1"/>
    <n v="0"/>
    <n v="1"/>
    <n v="0"/>
    <n v="0"/>
    <n v="0"/>
    <n v="0"/>
    <n v="1"/>
    <n v="0"/>
    <n v="0"/>
  </r>
  <r>
    <s v="A1KTPYX40PRLVW"/>
    <s v="english"/>
    <s v="test"/>
    <x v="0"/>
    <x v="0"/>
    <s v="mo-l"/>
    <s v="ms-h"/>
    <s v="ms-l"/>
    <n v="0"/>
    <n v="0"/>
    <n v="1"/>
    <n v="1"/>
    <n v="1"/>
    <n v="0"/>
    <n v="1"/>
    <n v="0"/>
    <n v="0"/>
    <n v="0"/>
    <n v="1"/>
    <n v="0"/>
    <n v="0"/>
    <n v="0"/>
  </r>
  <r>
    <s v="A1KTPYX40PRLVW"/>
    <s v="english"/>
    <s v="test"/>
    <x v="5"/>
    <x v="0"/>
    <s v="mo-l"/>
    <s v="mo-h"/>
    <s v="ms-l"/>
    <n v="0"/>
    <n v="1"/>
    <n v="1"/>
    <n v="0"/>
    <n v="1"/>
    <n v="0"/>
    <n v="1"/>
    <n v="0"/>
    <n v="0"/>
    <n v="0"/>
    <n v="0"/>
    <n v="0"/>
    <n v="0"/>
    <n v="1"/>
  </r>
  <r>
    <s v="A1KTPYX40PRLVW"/>
    <s v="english"/>
    <s v="test"/>
    <x v="2"/>
    <x v="0"/>
    <s v="mo-h"/>
    <s v="mo-l"/>
    <s v="fa"/>
    <n v="0"/>
    <n v="1"/>
    <n v="1"/>
    <n v="0"/>
    <n v="0"/>
    <n v="0"/>
    <n v="1"/>
    <n v="0"/>
    <n v="1"/>
    <n v="0"/>
    <n v="0"/>
    <n v="0"/>
    <n v="0"/>
    <n v="0"/>
  </r>
  <r>
    <s v="AL6WVETPGOW1A"/>
    <s v="english"/>
    <s v="test"/>
    <x v="3"/>
    <x v="0"/>
    <s v="mo-l"/>
    <s v="exh"/>
    <s v="ms-l"/>
    <n v="1"/>
    <n v="0"/>
    <n v="1"/>
    <n v="0"/>
    <n v="1"/>
    <n v="0"/>
    <n v="1"/>
    <n v="0"/>
    <n v="0"/>
    <n v="0"/>
    <n v="0"/>
    <n v="1"/>
    <n v="0"/>
    <n v="0"/>
  </r>
  <r>
    <s v="AL6WVETPGOW1A"/>
    <s v="english"/>
    <s v="test"/>
    <x v="4"/>
    <x v="0"/>
    <s v="ms-h"/>
    <s v="mo-h"/>
    <s v="mo-l"/>
    <n v="0"/>
    <n v="1"/>
    <n v="1"/>
    <n v="1"/>
    <n v="0"/>
    <n v="0"/>
    <n v="1"/>
    <n v="0"/>
    <n v="0"/>
    <n v="1"/>
    <n v="0"/>
    <n v="0"/>
    <n v="0"/>
    <n v="0"/>
  </r>
  <r>
    <s v="AL6WVETPGOW1A"/>
    <s v="english"/>
    <s v="test"/>
    <x v="1"/>
    <x v="0"/>
    <s v="ms-l"/>
    <s v="mo-l"/>
    <s v="fa"/>
    <n v="0"/>
    <n v="0"/>
    <n v="1"/>
    <n v="0"/>
    <n v="1"/>
    <n v="0"/>
    <n v="1"/>
    <n v="0"/>
    <n v="0"/>
    <n v="0"/>
    <n v="0"/>
    <n v="1"/>
    <n v="0"/>
    <n v="0"/>
  </r>
  <r>
    <s v="A372F1FDPWXBY3"/>
    <s v="english"/>
    <s v="test"/>
    <x v="3"/>
    <x v="0"/>
    <s v="mo-h"/>
    <s v="mo-l"/>
    <s v="ms-h"/>
    <n v="0"/>
    <n v="1"/>
    <n v="1"/>
    <n v="1"/>
    <n v="0"/>
    <n v="0"/>
    <n v="1"/>
    <n v="0"/>
    <n v="1"/>
    <n v="1"/>
    <n v="1"/>
    <n v="0"/>
    <n v="0"/>
    <n v="0"/>
  </r>
  <r>
    <s v="A372F1FDPWXBY3"/>
    <s v="english"/>
    <s v="test"/>
    <x v="5"/>
    <x v="0"/>
    <s v="ms-h"/>
    <s v="mo-l"/>
    <s v="fa"/>
    <n v="0"/>
    <n v="0"/>
    <n v="1"/>
    <n v="1"/>
    <n v="0"/>
    <n v="0"/>
    <n v="1"/>
    <n v="0"/>
    <n v="0"/>
    <n v="1"/>
    <n v="1"/>
    <n v="0"/>
    <n v="0"/>
    <n v="0"/>
  </r>
  <r>
    <s v="A372F1FDPWXBY3"/>
    <s v="english"/>
    <s v="test"/>
    <x v="0"/>
    <x v="0"/>
    <s v="mo-l"/>
    <s v="mo-h"/>
    <s v="ms-l"/>
    <n v="0"/>
    <n v="1"/>
    <n v="1"/>
    <n v="0"/>
    <n v="1"/>
    <n v="0"/>
    <n v="1"/>
    <n v="0"/>
    <n v="1"/>
    <n v="1"/>
    <n v="0"/>
    <n v="1"/>
    <n v="0"/>
    <n v="0"/>
  </r>
  <r>
    <s v="A3V8RZYN8NBK2O"/>
    <s v="english"/>
    <s v="test"/>
    <x v="3"/>
    <x v="0"/>
    <s v="fa"/>
    <s v="mo-l"/>
    <s v="mo-h"/>
    <n v="0"/>
    <n v="1"/>
    <n v="1"/>
    <n v="0"/>
    <n v="0"/>
    <n v="0"/>
    <n v="1"/>
    <n v="0"/>
    <n v="0"/>
    <n v="0"/>
    <n v="0"/>
    <n v="0"/>
    <n v="0"/>
    <n v="1"/>
  </r>
  <r>
    <s v="A3V8RZYN8NBK2O"/>
    <s v="english"/>
    <s v="test"/>
    <x v="0"/>
    <x v="0"/>
    <s v="mo-h"/>
    <s v="mo-l"/>
    <s v="ms-l"/>
    <n v="0"/>
    <n v="1"/>
    <n v="1"/>
    <n v="0"/>
    <n v="1"/>
    <n v="0"/>
    <n v="1"/>
    <n v="0"/>
    <n v="1"/>
    <n v="0"/>
    <n v="0"/>
    <n v="0"/>
    <n v="0"/>
    <n v="0"/>
  </r>
  <r>
    <s v="A3V8RZYN8NBK2O"/>
    <s v="english"/>
    <s v="test"/>
    <x v="2"/>
    <x v="0"/>
    <s v="mo-l"/>
    <s v="mo-h"/>
    <s v="ms-l"/>
    <n v="0"/>
    <n v="1"/>
    <n v="1"/>
    <n v="0"/>
    <n v="1"/>
    <n v="0"/>
    <n v="1"/>
    <n v="0"/>
    <n v="1"/>
    <n v="0"/>
    <n v="0"/>
    <n v="0"/>
    <n v="0"/>
    <n v="0"/>
  </r>
  <r>
    <s v="A3V8RZYN8NBK2O"/>
    <s v="english"/>
    <s v="test"/>
    <x v="4"/>
    <x v="0"/>
    <s v="mo-l"/>
    <s v="ms-l"/>
    <s v="ms-h"/>
    <n v="0"/>
    <n v="0"/>
    <n v="1"/>
    <n v="1"/>
    <n v="1"/>
    <n v="0"/>
    <n v="1"/>
    <n v="0"/>
    <n v="0"/>
    <n v="0"/>
    <n v="1"/>
    <n v="0"/>
    <n v="0"/>
    <n v="0"/>
  </r>
  <r>
    <s v="A3V8RZYN8NBK2O"/>
    <s v="english"/>
    <s v="test"/>
    <x v="5"/>
    <x v="0"/>
    <s v="mo-l"/>
    <s v="ms-l"/>
    <s v="exh"/>
    <n v="1"/>
    <n v="0"/>
    <n v="1"/>
    <n v="0"/>
    <n v="1"/>
    <n v="0"/>
    <n v="1"/>
    <n v="1"/>
    <n v="0"/>
    <n v="0"/>
    <n v="0"/>
    <n v="0"/>
    <n v="0"/>
    <n v="0"/>
  </r>
  <r>
    <s v="A3V8RZYN8NBK2O"/>
    <s v="english"/>
    <s v="test"/>
    <x v="1"/>
    <x v="0"/>
    <s v="mo-l"/>
    <s v="mo-h"/>
    <s v="exh"/>
    <n v="1"/>
    <n v="1"/>
    <n v="1"/>
    <n v="0"/>
    <n v="0"/>
    <n v="0"/>
    <n v="1"/>
    <n v="1"/>
    <n v="1"/>
    <n v="1"/>
    <n v="0"/>
    <n v="0"/>
    <n v="0"/>
    <n v="0"/>
  </r>
  <r>
    <s v="A107RJSS561Y7R"/>
    <s v="english"/>
    <s v="test"/>
    <x v="5"/>
    <x v="0"/>
    <s v="ms-l"/>
    <s v="mo-l"/>
    <s v="fa"/>
    <n v="0"/>
    <n v="0"/>
    <n v="1"/>
    <n v="0"/>
    <n v="1"/>
    <n v="0"/>
    <n v="1"/>
    <n v="0"/>
    <n v="0"/>
    <n v="0"/>
    <n v="0"/>
    <n v="0"/>
    <n v="0"/>
    <n v="1"/>
  </r>
  <r>
    <s v="A107RJSS561Y7R"/>
    <s v="english"/>
    <s v="test"/>
    <x v="3"/>
    <x v="0"/>
    <s v="mo-h"/>
    <s v="ms-h"/>
    <s v="mo-l"/>
    <n v="0"/>
    <n v="1"/>
    <n v="1"/>
    <n v="1"/>
    <n v="0"/>
    <n v="0"/>
    <n v="1"/>
    <n v="0"/>
    <n v="1"/>
    <n v="0"/>
    <n v="0"/>
    <n v="0"/>
    <n v="0"/>
    <n v="0"/>
  </r>
  <r>
    <s v="A107RJSS561Y7R"/>
    <s v="english"/>
    <s v="test"/>
    <x v="4"/>
    <x v="0"/>
    <s v="mo-l"/>
    <s v="ms-l"/>
    <s v="mo-h"/>
    <n v="0"/>
    <n v="1"/>
    <n v="1"/>
    <n v="0"/>
    <n v="1"/>
    <n v="0"/>
    <n v="1"/>
    <n v="0"/>
    <n v="1"/>
    <n v="0"/>
    <n v="0"/>
    <n v="0"/>
    <n v="0"/>
    <n v="0"/>
  </r>
  <r>
    <s v="A2NZ7RMSBXESNI"/>
    <s v="english"/>
    <s v="test"/>
    <x v="1"/>
    <x v="0"/>
    <s v="ms-l"/>
    <s v="ms-h"/>
    <s v="mo-l"/>
    <n v="0"/>
    <n v="0"/>
    <n v="1"/>
    <n v="1"/>
    <n v="1"/>
    <n v="0"/>
    <n v="1"/>
    <n v="0"/>
    <n v="0"/>
    <n v="0"/>
    <n v="1"/>
    <n v="0"/>
    <n v="0"/>
    <n v="0"/>
  </r>
  <r>
    <s v="A2NZ7RMSBXESNI"/>
    <s v="english"/>
    <s v="test"/>
    <x v="2"/>
    <x v="0"/>
    <s v="fa"/>
    <s v="ms-l"/>
    <s v="mo-l"/>
    <n v="0"/>
    <n v="0"/>
    <n v="1"/>
    <n v="0"/>
    <n v="1"/>
    <n v="0"/>
    <n v="1"/>
    <n v="0"/>
    <n v="0"/>
    <n v="0"/>
    <n v="0"/>
    <n v="0"/>
    <n v="0"/>
    <n v="1"/>
  </r>
  <r>
    <s v="A2NZ7RMSBXESNI"/>
    <s v="english"/>
    <s v="test"/>
    <x v="3"/>
    <x v="0"/>
    <s v="fa"/>
    <s v="mo-l"/>
    <s v="ms-l"/>
    <n v="0"/>
    <n v="0"/>
    <n v="1"/>
    <n v="0"/>
    <n v="1"/>
    <n v="0"/>
    <n v="1"/>
    <n v="0"/>
    <n v="0"/>
    <n v="0"/>
    <n v="0"/>
    <n v="0"/>
    <n v="0"/>
    <n v="1"/>
  </r>
  <r>
    <s v="A2NZ7RMSBXESNI"/>
    <s v="english"/>
    <s v="test"/>
    <x v="4"/>
    <x v="0"/>
    <s v="mo-l"/>
    <s v="ms-l"/>
    <s v="mo-h"/>
    <n v="0"/>
    <n v="1"/>
    <n v="1"/>
    <n v="0"/>
    <n v="1"/>
    <n v="0"/>
    <n v="1"/>
    <n v="0"/>
    <n v="1"/>
    <n v="0"/>
    <n v="0"/>
    <n v="0"/>
    <n v="0"/>
    <n v="0"/>
  </r>
  <r>
    <s v="A2WKZI3JQCE3Z6"/>
    <s v="english"/>
    <s v="test"/>
    <x v="5"/>
    <x v="0"/>
    <s v="mo-l"/>
    <s v="mo-h"/>
    <s v="exh"/>
    <n v="1"/>
    <n v="1"/>
    <n v="1"/>
    <n v="0"/>
    <n v="0"/>
    <n v="0"/>
    <n v="1"/>
    <n v="0"/>
    <n v="0"/>
    <n v="0"/>
    <n v="0"/>
    <n v="0"/>
    <n v="0"/>
    <n v="1"/>
  </r>
  <r>
    <s v="A2WKZI3JQCE3Z6"/>
    <s v="english"/>
    <s v="test"/>
    <x v="0"/>
    <x v="0"/>
    <s v="ms-h"/>
    <s v="exh"/>
    <s v="mo-l"/>
    <n v="1"/>
    <n v="0"/>
    <n v="1"/>
    <n v="1"/>
    <n v="0"/>
    <n v="0"/>
    <n v="1"/>
    <n v="1"/>
    <n v="0"/>
    <n v="1"/>
    <n v="1"/>
    <n v="0"/>
    <n v="0"/>
    <n v="0"/>
  </r>
  <r>
    <s v="A2WKZI3JQCE3Z6"/>
    <s v="english"/>
    <s v="test"/>
    <x v="3"/>
    <x v="0"/>
    <s v="ms-h"/>
    <s v="mo-l"/>
    <s v="ms-l"/>
    <n v="0"/>
    <n v="0"/>
    <n v="1"/>
    <n v="1"/>
    <n v="1"/>
    <n v="0"/>
    <n v="1"/>
    <n v="0"/>
    <n v="0"/>
    <n v="1"/>
    <n v="1"/>
    <n v="1"/>
    <n v="0"/>
    <n v="0"/>
  </r>
  <r>
    <s v="A5TI9UQEPLNWI"/>
    <s v="english"/>
    <s v="test"/>
    <x v="5"/>
    <x v="0"/>
    <s v="ms-h"/>
    <s v="ms-l"/>
    <s v="mo-l"/>
    <n v="0"/>
    <n v="0"/>
    <n v="1"/>
    <n v="1"/>
    <n v="1"/>
    <n v="0"/>
    <n v="1"/>
    <n v="0"/>
    <n v="0"/>
    <n v="0"/>
    <n v="0"/>
    <n v="0"/>
    <n v="0"/>
    <n v="1"/>
  </r>
  <r>
    <s v="A5TI9UQEPLNWI"/>
    <s v="english"/>
    <s v="test"/>
    <x v="0"/>
    <x v="0"/>
    <s v="mo-h"/>
    <s v="mo-l"/>
    <s v="fa"/>
    <n v="0"/>
    <n v="1"/>
    <n v="1"/>
    <n v="0"/>
    <n v="0"/>
    <n v="0"/>
    <n v="1"/>
    <n v="0"/>
    <n v="0"/>
    <n v="0"/>
    <n v="0"/>
    <n v="0"/>
    <n v="0"/>
    <n v="1"/>
  </r>
  <r>
    <s v="A5TI9UQEPLNWI"/>
    <s v="english"/>
    <s v="test"/>
    <x v="3"/>
    <x v="0"/>
    <s v="mo-l"/>
    <s v="mo-h"/>
    <s v="ms-l"/>
    <n v="0"/>
    <n v="1"/>
    <n v="1"/>
    <n v="0"/>
    <n v="1"/>
    <n v="0"/>
    <n v="1"/>
    <n v="0"/>
    <n v="0"/>
    <n v="0"/>
    <n v="0"/>
    <n v="0"/>
    <n v="0"/>
    <n v="1"/>
  </r>
  <r>
    <s v="A1HXEXQTZCJ1DW"/>
    <s v="english"/>
    <s v="test"/>
    <x v="2"/>
    <x v="0"/>
    <s v="mo-h"/>
    <s v="fa"/>
    <s v="mo-l"/>
    <n v="0"/>
    <n v="1"/>
    <n v="1"/>
    <n v="0"/>
    <n v="0"/>
    <n v="0"/>
    <n v="1"/>
    <n v="0"/>
    <n v="0"/>
    <n v="0"/>
    <n v="0"/>
    <n v="0"/>
    <n v="0"/>
    <n v="1"/>
  </r>
  <r>
    <s v="A1HXEXQTZCJ1DW"/>
    <s v="english"/>
    <s v="test"/>
    <x v="5"/>
    <x v="0"/>
    <s v="mo-h"/>
    <s v="ms-l"/>
    <s v="mo-l"/>
    <n v="0"/>
    <n v="1"/>
    <n v="1"/>
    <n v="0"/>
    <n v="1"/>
    <n v="0"/>
    <n v="1"/>
    <n v="0"/>
    <n v="0"/>
    <n v="0"/>
    <n v="0"/>
    <n v="0"/>
    <n v="0"/>
    <n v="1"/>
  </r>
  <r>
    <s v="A1HXEXQTZCJ1DW"/>
    <s v="english"/>
    <s v="test"/>
    <x v="3"/>
    <x v="0"/>
    <s v="mo-l"/>
    <s v="ms-l"/>
    <s v="ms-h"/>
    <n v="0"/>
    <n v="0"/>
    <n v="1"/>
    <n v="1"/>
    <n v="1"/>
    <n v="0"/>
    <n v="1"/>
    <n v="0"/>
    <n v="0"/>
    <n v="0"/>
    <n v="1"/>
    <n v="0"/>
    <n v="0"/>
    <n v="0"/>
  </r>
  <r>
    <s v="A1HXEXQTZCJ1DW"/>
    <s v="english"/>
    <s v="test"/>
    <x v="0"/>
    <x v="0"/>
    <s v="mo-l"/>
    <s v="ms-l"/>
    <s v="mo-h"/>
    <n v="0"/>
    <n v="1"/>
    <n v="1"/>
    <n v="0"/>
    <n v="1"/>
    <n v="0"/>
    <n v="1"/>
    <n v="0"/>
    <n v="1"/>
    <n v="0"/>
    <n v="0"/>
    <n v="0"/>
    <n v="0"/>
    <n v="0"/>
  </r>
  <r>
    <s v="A1HXEXQTZCJ1DW"/>
    <s v="english"/>
    <s v="test"/>
    <x v="1"/>
    <x v="0"/>
    <s v="mo-h"/>
    <s v="fa"/>
    <s v="mo-l"/>
    <n v="0"/>
    <n v="1"/>
    <n v="1"/>
    <n v="0"/>
    <n v="0"/>
    <n v="0"/>
    <n v="1"/>
    <n v="0"/>
    <n v="1"/>
    <n v="0"/>
    <n v="0"/>
    <n v="0"/>
    <n v="0"/>
    <n v="0"/>
  </r>
  <r>
    <s v="A1HXEXQTZCJ1DW"/>
    <s v="english"/>
    <s v="test"/>
    <x v="4"/>
    <x v="0"/>
    <s v="ms-h"/>
    <s v="ms-l"/>
    <s v="mo-l"/>
    <n v="0"/>
    <n v="0"/>
    <n v="1"/>
    <n v="1"/>
    <n v="1"/>
    <n v="0"/>
    <n v="1"/>
    <n v="0"/>
    <n v="0"/>
    <n v="0"/>
    <n v="1"/>
    <n v="0"/>
    <n v="0"/>
    <n v="0"/>
  </r>
  <r>
    <s v="A1E1ZAHNCSVLIT"/>
    <s v="english"/>
    <s v="test"/>
    <x v="2"/>
    <x v="0"/>
    <s v="mo-l"/>
    <s v="mo-h"/>
    <s v="fa"/>
    <n v="0"/>
    <n v="1"/>
    <n v="1"/>
    <n v="0"/>
    <n v="0"/>
    <n v="0"/>
    <n v="1"/>
    <n v="0"/>
    <n v="1"/>
    <n v="1"/>
    <n v="0"/>
    <n v="0"/>
    <n v="0"/>
    <n v="0"/>
  </r>
  <r>
    <s v="A1E1ZAHNCSVLIT"/>
    <s v="english"/>
    <s v="test"/>
    <x v="3"/>
    <x v="0"/>
    <s v="mo-h"/>
    <s v="ms-h"/>
    <s v="mo-l"/>
    <n v="0"/>
    <n v="1"/>
    <n v="1"/>
    <n v="1"/>
    <n v="0"/>
    <n v="0"/>
    <n v="1"/>
    <n v="0"/>
    <n v="1"/>
    <n v="1"/>
    <n v="1"/>
    <n v="0"/>
    <n v="0"/>
    <n v="0"/>
  </r>
  <r>
    <s v="A1FS8SBR4SDWYG"/>
    <s v="english"/>
    <s v="test"/>
    <x v="5"/>
    <x v="0"/>
    <s v="fa"/>
    <s v="ms-l"/>
    <s v="mo-l"/>
    <n v="0"/>
    <n v="0"/>
    <n v="1"/>
    <n v="0"/>
    <n v="1"/>
    <n v="0"/>
    <n v="1"/>
    <n v="0"/>
    <n v="0"/>
    <n v="0"/>
    <n v="0"/>
    <n v="0"/>
    <n v="0"/>
    <n v="1"/>
  </r>
  <r>
    <s v="A1FS8SBR4SDWYG"/>
    <s v="english"/>
    <s v="test"/>
    <x v="2"/>
    <x v="0"/>
    <s v="mo-l"/>
    <s v="fa"/>
    <s v="mo-h"/>
    <n v="0"/>
    <n v="1"/>
    <n v="1"/>
    <n v="0"/>
    <n v="0"/>
    <n v="0"/>
    <n v="1"/>
    <n v="0"/>
    <n v="1"/>
    <n v="1"/>
    <n v="0"/>
    <n v="0"/>
    <n v="0"/>
    <n v="0"/>
  </r>
  <r>
    <s v="A1FS8SBR4SDWYG"/>
    <s v="english"/>
    <s v="test"/>
    <x v="0"/>
    <x v="0"/>
    <s v="mo-h"/>
    <s v="ms-h"/>
    <s v="mo-l"/>
    <n v="0"/>
    <n v="1"/>
    <n v="1"/>
    <n v="1"/>
    <n v="0"/>
    <n v="0"/>
    <n v="1"/>
    <n v="0"/>
    <n v="1"/>
    <n v="1"/>
    <n v="1"/>
    <n v="0"/>
    <n v="0"/>
    <n v="0"/>
  </r>
  <r>
    <s v="A1FS8SBR4SDWYG"/>
    <s v="english"/>
    <s v="test"/>
    <x v="1"/>
    <x v="0"/>
    <s v="fa"/>
    <s v="mo-l"/>
    <s v="ms-h"/>
    <n v="0"/>
    <n v="0"/>
    <n v="1"/>
    <n v="1"/>
    <n v="0"/>
    <n v="0"/>
    <n v="1"/>
    <n v="0"/>
    <n v="0"/>
    <n v="0"/>
    <n v="0"/>
    <n v="0"/>
    <n v="0"/>
    <n v="1"/>
  </r>
  <r>
    <s v="A24L4Y8HCZSUIF"/>
    <s v="english"/>
    <s v="test"/>
    <x v="4"/>
    <x v="0"/>
    <s v="mo-h"/>
    <s v="fa"/>
    <s v="mo-l"/>
    <n v="0"/>
    <n v="1"/>
    <n v="1"/>
    <n v="0"/>
    <n v="0"/>
    <n v="0"/>
    <n v="1"/>
    <n v="0"/>
    <n v="0"/>
    <n v="0"/>
    <n v="0"/>
    <n v="0"/>
    <n v="0"/>
    <n v="1"/>
  </r>
  <r>
    <s v="A24L4Y8HCZSUIF"/>
    <s v="english"/>
    <s v="test"/>
    <x v="0"/>
    <x v="0"/>
    <s v="ms-h"/>
    <s v="mo-l"/>
    <s v="exh"/>
    <n v="1"/>
    <n v="0"/>
    <n v="1"/>
    <n v="1"/>
    <n v="0"/>
    <n v="0"/>
    <n v="1"/>
    <n v="1"/>
    <n v="0"/>
    <n v="1"/>
    <n v="1"/>
    <n v="0"/>
    <n v="0"/>
    <n v="0"/>
  </r>
  <r>
    <s v="A24L4Y8HCZSUIF"/>
    <s v="english"/>
    <s v="test"/>
    <x v="2"/>
    <x v="0"/>
    <s v="mo-l"/>
    <s v="mo-h"/>
    <s v="ms-l"/>
    <n v="0"/>
    <n v="1"/>
    <n v="1"/>
    <n v="0"/>
    <n v="1"/>
    <n v="0"/>
    <n v="1"/>
    <n v="0"/>
    <n v="1"/>
    <n v="1"/>
    <n v="0"/>
    <n v="1"/>
    <n v="0"/>
    <n v="0"/>
  </r>
  <r>
    <s v="A1PAMVTKGCXSWQ"/>
    <s v="english"/>
    <s v="test"/>
    <x v="1"/>
    <x v="0"/>
    <s v="ms-h"/>
    <s v="ms-l"/>
    <s v="mo-l"/>
    <n v="0"/>
    <n v="0"/>
    <n v="1"/>
    <n v="1"/>
    <n v="1"/>
    <n v="0"/>
    <n v="1"/>
    <n v="0"/>
    <n v="0"/>
    <n v="1"/>
    <n v="0"/>
    <n v="1"/>
    <n v="0"/>
    <n v="0"/>
  </r>
  <r>
    <s v="A1PAMVTKGCXSWQ"/>
    <s v="english"/>
    <s v="test"/>
    <x v="3"/>
    <x v="0"/>
    <s v="ms-l"/>
    <s v="mo-l"/>
    <s v="fa"/>
    <n v="0"/>
    <n v="0"/>
    <n v="1"/>
    <n v="0"/>
    <n v="1"/>
    <n v="0"/>
    <n v="1"/>
    <n v="0"/>
    <n v="0"/>
    <n v="1"/>
    <n v="0"/>
    <n v="0"/>
    <n v="0"/>
    <n v="0"/>
  </r>
  <r>
    <s v="A1PAMVTKGCXSWQ"/>
    <s v="english"/>
    <s v="test"/>
    <x v="4"/>
    <x v="0"/>
    <s v="ms-l"/>
    <s v="exh"/>
    <s v="mo-l"/>
    <n v="1"/>
    <n v="0"/>
    <n v="1"/>
    <n v="0"/>
    <n v="1"/>
    <n v="0"/>
    <n v="1"/>
    <n v="0"/>
    <n v="0"/>
    <n v="1"/>
    <n v="0"/>
    <n v="1"/>
    <n v="0"/>
    <n v="0"/>
  </r>
  <r>
    <s v="A3VD9VK9NLEVMN"/>
    <s v="english"/>
    <s v="test"/>
    <x v="1"/>
    <x v="0"/>
    <s v="ms-h"/>
    <s v="mo-l"/>
    <s v="mo-h"/>
    <n v="0"/>
    <n v="1"/>
    <n v="1"/>
    <n v="1"/>
    <n v="0"/>
    <n v="0"/>
    <n v="1"/>
    <n v="0"/>
    <n v="1"/>
    <n v="1"/>
    <n v="1"/>
    <n v="0"/>
    <n v="0"/>
    <n v="0"/>
  </r>
  <r>
    <s v="A3VD9VK9NLEVMN"/>
    <s v="english"/>
    <s v="test"/>
    <x v="5"/>
    <x v="0"/>
    <s v="ms-l"/>
    <s v="mo-l"/>
    <s v="mo-h"/>
    <n v="0"/>
    <n v="1"/>
    <n v="1"/>
    <n v="0"/>
    <n v="1"/>
    <n v="0"/>
    <n v="1"/>
    <n v="0"/>
    <n v="0"/>
    <n v="0"/>
    <n v="0"/>
    <n v="0"/>
    <n v="0"/>
    <n v="1"/>
  </r>
  <r>
    <s v="A3VD9VK9NLEVMN"/>
    <s v="english"/>
    <s v="test"/>
    <x v="4"/>
    <x v="0"/>
    <s v="fa"/>
    <s v="mo-l"/>
    <s v="ms-h"/>
    <n v="0"/>
    <n v="0"/>
    <n v="1"/>
    <n v="1"/>
    <n v="0"/>
    <n v="0"/>
    <n v="1"/>
    <n v="0"/>
    <n v="0"/>
    <n v="0"/>
    <n v="1"/>
    <n v="0"/>
    <n v="0"/>
    <n v="0"/>
  </r>
  <r>
    <s v="A3VD9VK9NLEVMN"/>
    <s v="english"/>
    <s v="test"/>
    <x v="2"/>
    <x v="0"/>
    <s v="mo-h"/>
    <s v="mo-l"/>
    <s v="ms-h"/>
    <n v="0"/>
    <n v="1"/>
    <n v="1"/>
    <n v="1"/>
    <n v="0"/>
    <n v="0"/>
    <n v="1"/>
    <n v="0"/>
    <n v="1"/>
    <n v="1"/>
    <n v="1"/>
    <n v="0"/>
    <n v="0"/>
    <n v="0"/>
  </r>
  <r>
    <s v="A3VD9VK9NLEVMN"/>
    <s v="english"/>
    <s v="test"/>
    <x v="0"/>
    <x v="0"/>
    <s v="mo-l"/>
    <s v="ms-h"/>
    <s v="ms-l"/>
    <n v="0"/>
    <n v="0"/>
    <n v="1"/>
    <n v="1"/>
    <n v="1"/>
    <n v="0"/>
    <n v="1"/>
    <n v="0"/>
    <n v="0"/>
    <n v="0"/>
    <n v="0"/>
    <n v="1"/>
    <n v="0"/>
    <n v="0"/>
  </r>
  <r>
    <s v="A1IJ86B8ZRKXBI"/>
    <s v="english"/>
    <s v="test"/>
    <x v="1"/>
    <x v="0"/>
    <s v="mo-l"/>
    <s v="ms-l"/>
    <s v="ms-h"/>
    <n v="0"/>
    <n v="0"/>
    <n v="1"/>
    <n v="1"/>
    <n v="1"/>
    <n v="0"/>
    <n v="1"/>
    <n v="0"/>
    <n v="0"/>
    <n v="0"/>
    <n v="1"/>
    <n v="0"/>
    <n v="0"/>
    <n v="0"/>
  </r>
  <r>
    <s v="A1IJ86B8ZRKXBI"/>
    <s v="english"/>
    <s v="test"/>
    <x v="4"/>
    <x v="0"/>
    <s v="exh"/>
    <s v="mo-l"/>
    <s v="mo-h"/>
    <n v="1"/>
    <n v="1"/>
    <n v="1"/>
    <n v="0"/>
    <n v="0"/>
    <n v="0"/>
    <n v="1"/>
    <n v="0"/>
    <n v="1"/>
    <n v="0"/>
    <n v="0"/>
    <n v="0"/>
    <n v="0"/>
    <n v="0"/>
  </r>
  <r>
    <s v="A1IJ86B8ZRKXBI"/>
    <s v="english"/>
    <s v="test"/>
    <x v="3"/>
    <x v="0"/>
    <s v="mo-l"/>
    <s v="ms-h"/>
    <s v="mo-h"/>
    <n v="0"/>
    <n v="1"/>
    <n v="1"/>
    <n v="1"/>
    <n v="0"/>
    <n v="0"/>
    <n v="1"/>
    <n v="0"/>
    <n v="1"/>
    <n v="0"/>
    <n v="1"/>
    <n v="0"/>
    <n v="0"/>
    <n v="0"/>
  </r>
  <r>
    <s v="A1IJ86B8ZRKXBI"/>
    <s v="english"/>
    <s v="test"/>
    <x v="5"/>
    <x v="0"/>
    <s v="mo-h"/>
    <s v="ms-l"/>
    <s v="mo-l"/>
    <n v="0"/>
    <n v="1"/>
    <n v="1"/>
    <n v="0"/>
    <n v="1"/>
    <n v="0"/>
    <n v="1"/>
    <n v="0"/>
    <n v="1"/>
    <n v="0"/>
    <n v="0"/>
    <n v="0"/>
    <n v="0"/>
    <n v="0"/>
  </r>
  <r>
    <s v="A1IJ86B8ZRKXBI"/>
    <s v="english"/>
    <s v="test"/>
    <x v="0"/>
    <x v="0"/>
    <s v="ms-l"/>
    <s v="mo-l"/>
    <s v="mo-h"/>
    <n v="0"/>
    <n v="1"/>
    <n v="1"/>
    <n v="0"/>
    <n v="1"/>
    <n v="0"/>
    <n v="1"/>
    <n v="0"/>
    <n v="1"/>
    <n v="0"/>
    <n v="0"/>
    <n v="0"/>
    <n v="0"/>
    <n v="0"/>
  </r>
  <r>
    <s v="A269SNLVQZNFE6"/>
    <s v="Romanian"/>
    <s v="test"/>
    <x v="1"/>
    <x v="0"/>
    <s v="mo-h"/>
    <s v="ms-h"/>
    <s v="mo-l"/>
    <n v="0"/>
    <n v="1"/>
    <n v="1"/>
    <n v="1"/>
    <n v="0"/>
    <n v="0"/>
    <n v="1"/>
    <n v="0"/>
    <n v="0"/>
    <n v="0"/>
    <n v="0"/>
    <n v="0"/>
    <n v="0"/>
    <n v="1"/>
  </r>
  <r>
    <s v="A269SNLVQZNFE6"/>
    <s v="Romanian"/>
    <s v="test"/>
    <x v="0"/>
    <x v="0"/>
    <s v="mo-l"/>
    <s v="exh"/>
    <s v="mo-h"/>
    <n v="1"/>
    <n v="1"/>
    <n v="1"/>
    <n v="0"/>
    <n v="0"/>
    <n v="0"/>
    <n v="1"/>
    <n v="1"/>
    <n v="0"/>
    <n v="0"/>
    <n v="0"/>
    <n v="0"/>
    <n v="0"/>
    <n v="0"/>
  </r>
  <r>
    <s v="A269SNLVQZNFE6"/>
    <s v="Romanian"/>
    <s v="test"/>
    <x v="3"/>
    <x v="0"/>
    <s v="exh"/>
    <s v="mo-l"/>
    <s v="mo-h"/>
    <n v="1"/>
    <n v="1"/>
    <n v="1"/>
    <n v="0"/>
    <n v="0"/>
    <n v="0"/>
    <n v="1"/>
    <n v="1"/>
    <n v="0"/>
    <n v="0"/>
    <n v="0"/>
    <n v="0"/>
    <n v="0"/>
    <n v="0"/>
  </r>
  <r>
    <s v="A3NK47PYLGRNFC"/>
    <s v="english"/>
    <s v="test"/>
    <x v="0"/>
    <x v="0"/>
    <s v="mo-l"/>
    <s v="fa"/>
    <s v="mo-h"/>
    <n v="0"/>
    <n v="1"/>
    <n v="1"/>
    <n v="0"/>
    <n v="0"/>
    <n v="0"/>
    <n v="1"/>
    <n v="0"/>
    <n v="1"/>
    <n v="1"/>
    <n v="0"/>
    <n v="0"/>
    <n v="0"/>
    <n v="0"/>
  </r>
  <r>
    <s v="A3NK47PYLGRNFC"/>
    <s v="english"/>
    <s v="test"/>
    <x v="2"/>
    <x v="0"/>
    <s v="mo-h"/>
    <s v="mo-l"/>
    <s v="ms-l"/>
    <n v="0"/>
    <n v="1"/>
    <n v="1"/>
    <n v="0"/>
    <n v="1"/>
    <n v="0"/>
    <n v="1"/>
    <n v="0"/>
    <n v="1"/>
    <n v="1"/>
    <n v="0"/>
    <n v="1"/>
    <n v="0"/>
    <n v="0"/>
  </r>
  <r>
    <s v="A3NK47PYLGRNFC"/>
    <s v="english"/>
    <s v="test"/>
    <x v="1"/>
    <x v="0"/>
    <s v="mo-l"/>
    <s v="ms-l"/>
    <s v="ms-h"/>
    <n v="0"/>
    <n v="0"/>
    <n v="1"/>
    <n v="1"/>
    <n v="1"/>
    <n v="0"/>
    <n v="1"/>
    <n v="0"/>
    <n v="0"/>
    <n v="1"/>
    <n v="1"/>
    <n v="1"/>
    <n v="0"/>
    <n v="0"/>
  </r>
  <r>
    <s v="AVXEDARJC5HLU"/>
    <s v="english"/>
    <s v="test"/>
    <x v="2"/>
    <x v="0"/>
    <s v="mo-h"/>
    <s v="mo-l"/>
    <s v="ms-l"/>
    <n v="0"/>
    <n v="1"/>
    <n v="1"/>
    <n v="0"/>
    <n v="1"/>
    <n v="0"/>
    <n v="1"/>
    <n v="0"/>
    <n v="1"/>
    <n v="1"/>
    <n v="0"/>
    <n v="1"/>
    <n v="0"/>
    <n v="0"/>
  </r>
  <r>
    <s v="AVXEDARJC5HLU"/>
    <s v="english"/>
    <s v="test"/>
    <x v="1"/>
    <x v="0"/>
    <s v="ms-l"/>
    <s v="ms-h"/>
    <s v="mo-l"/>
    <n v="0"/>
    <n v="0"/>
    <n v="1"/>
    <n v="1"/>
    <n v="1"/>
    <n v="0"/>
    <n v="1"/>
    <n v="0"/>
    <n v="0"/>
    <n v="1"/>
    <n v="1"/>
    <n v="1"/>
    <n v="0"/>
    <n v="0"/>
  </r>
  <r>
    <s v="AVXEDARJC5HLU"/>
    <s v="english"/>
    <s v="test"/>
    <x v="3"/>
    <x v="0"/>
    <s v="ms-l"/>
    <s v="exh"/>
    <s v="mo-l"/>
    <n v="1"/>
    <n v="0"/>
    <n v="1"/>
    <n v="0"/>
    <n v="1"/>
    <n v="0"/>
    <n v="1"/>
    <n v="1"/>
    <n v="0"/>
    <n v="1"/>
    <n v="0"/>
    <n v="1"/>
    <n v="0"/>
    <n v="0"/>
  </r>
  <r>
    <s v="AVXEDARJC5HLU"/>
    <s v="english"/>
    <s v="test"/>
    <x v="4"/>
    <x v="0"/>
    <s v="mo-l"/>
    <s v="ms-l"/>
    <s v="mo-h"/>
    <n v="0"/>
    <n v="1"/>
    <n v="1"/>
    <n v="0"/>
    <n v="1"/>
    <n v="0"/>
    <n v="1"/>
    <n v="0"/>
    <n v="1"/>
    <n v="1"/>
    <n v="0"/>
    <n v="1"/>
    <n v="0"/>
    <n v="0"/>
  </r>
  <r>
    <s v="A3QPVH0DRW0ZQV"/>
    <s v="english"/>
    <s v="test"/>
    <x v="5"/>
    <x v="0"/>
    <s v="mo-l"/>
    <s v="mo-h"/>
    <s v="ms-h"/>
    <n v="0"/>
    <n v="1"/>
    <n v="1"/>
    <n v="1"/>
    <n v="0"/>
    <n v="0"/>
    <n v="1"/>
    <n v="0"/>
    <n v="0"/>
    <n v="0"/>
    <n v="0"/>
    <n v="0"/>
    <n v="0"/>
    <n v="1"/>
  </r>
  <r>
    <s v="A3QPVH0DRW0ZQV"/>
    <s v="english"/>
    <s v="test"/>
    <x v="0"/>
    <x v="0"/>
    <s v="fa"/>
    <s v="ms-l"/>
    <s v="mo-l"/>
    <n v="0"/>
    <n v="0"/>
    <n v="1"/>
    <n v="0"/>
    <n v="1"/>
    <n v="0"/>
    <n v="1"/>
    <n v="0"/>
    <n v="0"/>
    <n v="0"/>
    <n v="0"/>
    <n v="0"/>
    <n v="0"/>
    <n v="1"/>
  </r>
  <r>
    <s v="A3QPVH0DRW0ZQV"/>
    <s v="english"/>
    <s v="test"/>
    <x v="3"/>
    <x v="0"/>
    <s v="ms-h"/>
    <s v="mo-l"/>
    <s v="ms-l"/>
    <n v="0"/>
    <n v="0"/>
    <n v="1"/>
    <n v="1"/>
    <n v="1"/>
    <n v="0"/>
    <n v="1"/>
    <n v="0"/>
    <n v="0"/>
    <n v="0"/>
    <n v="1"/>
    <n v="0"/>
    <n v="0"/>
    <n v="0"/>
  </r>
  <r>
    <s v="A3QPVH0DRW0ZQV"/>
    <s v="english"/>
    <s v="test"/>
    <x v="2"/>
    <x v="0"/>
    <s v="ms-l"/>
    <s v="ms-h"/>
    <s v="mo-l"/>
    <n v="0"/>
    <n v="0"/>
    <n v="1"/>
    <n v="1"/>
    <n v="1"/>
    <n v="0"/>
    <n v="1"/>
    <n v="0"/>
    <n v="0"/>
    <n v="0"/>
    <n v="1"/>
    <n v="0"/>
    <n v="0"/>
    <n v="0"/>
  </r>
  <r>
    <s v="A3QPVH0DRW0ZQV"/>
    <s v="english"/>
    <s v="test"/>
    <x v="1"/>
    <x v="0"/>
    <s v="ms-h"/>
    <s v="mo-l"/>
    <s v="ms-l"/>
    <n v="0"/>
    <n v="0"/>
    <n v="1"/>
    <n v="1"/>
    <n v="1"/>
    <n v="0"/>
    <n v="1"/>
    <n v="0"/>
    <n v="0"/>
    <n v="0"/>
    <n v="0"/>
    <n v="0"/>
    <n v="0"/>
    <n v="1"/>
  </r>
  <r>
    <s v="A30K9F91VNW9BL"/>
    <s v="english"/>
    <s v="test"/>
    <x v="0"/>
    <x v="0"/>
    <s v="mo-h"/>
    <s v="mo-l"/>
    <s v="ms-h"/>
    <n v="0"/>
    <n v="1"/>
    <n v="1"/>
    <n v="1"/>
    <n v="0"/>
    <n v="0"/>
    <n v="1"/>
    <n v="0"/>
    <n v="1"/>
    <n v="1"/>
    <n v="1"/>
    <n v="0"/>
    <n v="0"/>
    <n v="0"/>
  </r>
  <r>
    <s v="A30K9F91VNW9BL"/>
    <s v="english"/>
    <s v="test"/>
    <x v="4"/>
    <x v="0"/>
    <s v="mo-l"/>
    <s v="exh"/>
    <s v="mo-h"/>
    <n v="1"/>
    <n v="1"/>
    <n v="1"/>
    <n v="0"/>
    <n v="0"/>
    <n v="0"/>
    <n v="1"/>
    <n v="1"/>
    <n v="1"/>
    <n v="1"/>
    <n v="0"/>
    <n v="0"/>
    <n v="0"/>
    <n v="0"/>
  </r>
  <r>
    <s v="A30K9F91VNW9BL"/>
    <s v="english"/>
    <s v="test"/>
    <x v="1"/>
    <x v="0"/>
    <s v="mo-l"/>
    <s v="ms-l"/>
    <s v="mo-h"/>
    <n v="0"/>
    <n v="1"/>
    <n v="1"/>
    <n v="0"/>
    <n v="1"/>
    <n v="0"/>
    <n v="1"/>
    <n v="0"/>
    <n v="1"/>
    <n v="0"/>
    <n v="0"/>
    <n v="0"/>
    <n v="0"/>
    <n v="0"/>
  </r>
  <r>
    <s v="A30K9F91VNW9BL"/>
    <s v="english"/>
    <s v="test"/>
    <x v="2"/>
    <x v="0"/>
    <s v="ms-l"/>
    <s v="mo-l"/>
    <s v="exh"/>
    <n v="1"/>
    <n v="0"/>
    <n v="1"/>
    <n v="0"/>
    <n v="1"/>
    <n v="0"/>
    <n v="1"/>
    <n v="1"/>
    <n v="0"/>
    <n v="0"/>
    <n v="0"/>
    <n v="0"/>
    <n v="0"/>
    <n v="0"/>
  </r>
  <r>
    <s v="AWAW665TQQP2F"/>
    <s v="english"/>
    <s v="test"/>
    <x v="5"/>
    <x v="0"/>
    <s v="mo-l"/>
    <s v="ms-l"/>
    <s v="fa"/>
    <n v="0"/>
    <n v="0"/>
    <n v="1"/>
    <n v="0"/>
    <n v="1"/>
    <n v="0"/>
    <n v="1"/>
    <n v="0"/>
    <n v="0"/>
    <n v="0"/>
    <n v="0"/>
    <n v="0"/>
    <n v="0"/>
    <n v="1"/>
  </r>
  <r>
    <s v="AWAW665TQQP2F"/>
    <s v="english"/>
    <s v="test"/>
    <x v="1"/>
    <x v="0"/>
    <s v="mo-h"/>
    <s v="mo-l"/>
    <s v="fa"/>
    <n v="0"/>
    <n v="1"/>
    <n v="1"/>
    <n v="0"/>
    <n v="0"/>
    <n v="0"/>
    <n v="1"/>
    <n v="0"/>
    <n v="0"/>
    <n v="0"/>
    <n v="0"/>
    <n v="0"/>
    <n v="0"/>
    <n v="1"/>
  </r>
  <r>
    <s v="AWAW665TQQP2F"/>
    <s v="english"/>
    <s v="test"/>
    <x v="2"/>
    <x v="0"/>
    <s v="mo-l"/>
    <s v="ms-h"/>
    <s v="mo-h"/>
    <n v="0"/>
    <n v="1"/>
    <n v="1"/>
    <n v="1"/>
    <n v="0"/>
    <n v="0"/>
    <n v="1"/>
    <n v="0"/>
    <n v="1"/>
    <n v="1"/>
    <n v="1"/>
    <n v="0"/>
    <n v="0"/>
    <n v="0"/>
  </r>
  <r>
    <s v="A250FES5PFCGK9"/>
    <s v="english"/>
    <s v="test"/>
    <x v="1"/>
    <x v="0"/>
    <s v="mo-l"/>
    <s v="ms-l"/>
    <s v="mo-h"/>
    <n v="0"/>
    <n v="1"/>
    <n v="1"/>
    <n v="0"/>
    <n v="1"/>
    <n v="0"/>
    <n v="1"/>
    <n v="0"/>
    <n v="1"/>
    <n v="0"/>
    <n v="0"/>
    <n v="0"/>
    <n v="0"/>
    <n v="0"/>
  </r>
  <r>
    <s v="A250FES5PFCGK9"/>
    <s v="english"/>
    <s v="test"/>
    <x v="0"/>
    <x v="0"/>
    <s v="mo-h"/>
    <s v="mo-l"/>
    <s v="fa"/>
    <n v="0"/>
    <n v="1"/>
    <n v="1"/>
    <n v="0"/>
    <n v="0"/>
    <n v="0"/>
    <n v="1"/>
    <n v="0"/>
    <n v="1"/>
    <n v="1"/>
    <n v="0"/>
    <n v="0"/>
    <n v="0"/>
    <n v="0"/>
  </r>
  <r>
    <s v="A250FES5PFCGK9"/>
    <s v="english"/>
    <s v="test"/>
    <x v="3"/>
    <x v="0"/>
    <s v="mo-l"/>
    <s v="mo-h"/>
    <s v="ms-h"/>
    <n v="0"/>
    <n v="1"/>
    <n v="1"/>
    <n v="1"/>
    <n v="0"/>
    <n v="0"/>
    <n v="1"/>
    <n v="0"/>
    <n v="1"/>
    <n v="1"/>
    <n v="1"/>
    <n v="0"/>
    <n v="0"/>
    <n v="0"/>
  </r>
  <r>
    <s v="A250FES5PFCGK9"/>
    <s v="english"/>
    <s v="test"/>
    <x v="4"/>
    <x v="0"/>
    <s v="mo-l"/>
    <s v="ms-h"/>
    <s v="mo-h"/>
    <n v="0"/>
    <n v="1"/>
    <n v="1"/>
    <n v="1"/>
    <n v="0"/>
    <n v="0"/>
    <n v="1"/>
    <n v="0"/>
    <n v="1"/>
    <n v="1"/>
    <n v="1"/>
    <n v="0"/>
    <n v="0"/>
    <n v="0"/>
  </r>
  <r>
    <s v="A250FES5PFCGK9"/>
    <s v="english"/>
    <s v="test"/>
    <x v="5"/>
    <x v="0"/>
    <s v="ms-h"/>
    <s v="mo-h"/>
    <s v="mo-l"/>
    <n v="0"/>
    <n v="1"/>
    <n v="1"/>
    <n v="1"/>
    <n v="0"/>
    <n v="0"/>
    <n v="1"/>
    <n v="0"/>
    <n v="1"/>
    <n v="1"/>
    <n v="1"/>
    <n v="0"/>
    <n v="0"/>
    <n v="0"/>
  </r>
  <r>
    <s v="A250FES5PFCGK9"/>
    <s v="english"/>
    <s v="test"/>
    <x v="2"/>
    <x v="0"/>
    <s v="fa"/>
    <s v="mo-l"/>
    <s v="mo-h"/>
    <n v="0"/>
    <n v="1"/>
    <n v="1"/>
    <n v="0"/>
    <n v="0"/>
    <n v="0"/>
    <n v="1"/>
    <n v="0"/>
    <n v="1"/>
    <n v="1"/>
    <n v="0"/>
    <n v="0"/>
    <n v="0"/>
    <n v="0"/>
  </r>
  <r>
    <s v="ABI1EI8UQK6LK"/>
    <s v="english"/>
    <s v="test"/>
    <x v="3"/>
    <x v="0"/>
    <s v="ms-h"/>
    <s v="exh"/>
    <s v="mo-l"/>
    <n v="1"/>
    <n v="0"/>
    <n v="1"/>
    <n v="1"/>
    <n v="0"/>
    <n v="0"/>
    <n v="1"/>
    <n v="0"/>
    <n v="0"/>
    <n v="0"/>
    <n v="0"/>
    <n v="0"/>
    <n v="0"/>
    <n v="1"/>
  </r>
  <r>
    <s v="ABI1EI8UQK6LK"/>
    <s v="english"/>
    <s v="test"/>
    <x v="5"/>
    <x v="0"/>
    <s v="mo-h"/>
    <s v="mo-l"/>
    <s v="exh"/>
    <n v="1"/>
    <n v="1"/>
    <n v="1"/>
    <n v="0"/>
    <n v="0"/>
    <n v="0"/>
    <n v="1"/>
    <n v="1"/>
    <n v="1"/>
    <n v="1"/>
    <n v="0"/>
    <n v="0"/>
    <n v="0"/>
    <n v="0"/>
  </r>
  <r>
    <s v="ABI1EI8UQK6LK"/>
    <s v="english"/>
    <s v="test"/>
    <x v="2"/>
    <x v="0"/>
    <s v="ms-l"/>
    <s v="mo-h"/>
    <s v="mo-l"/>
    <n v="0"/>
    <n v="1"/>
    <n v="1"/>
    <n v="0"/>
    <n v="1"/>
    <n v="0"/>
    <n v="1"/>
    <n v="0"/>
    <n v="1"/>
    <n v="0"/>
    <n v="0"/>
    <n v="0"/>
    <n v="0"/>
    <n v="0"/>
  </r>
  <r>
    <s v="ABI1EI8UQK6LK"/>
    <s v="english"/>
    <s v="test"/>
    <x v="0"/>
    <x v="0"/>
    <s v="mo-l"/>
    <s v="mo-h"/>
    <s v="ms-l"/>
    <n v="0"/>
    <n v="1"/>
    <n v="1"/>
    <n v="0"/>
    <n v="1"/>
    <n v="0"/>
    <n v="1"/>
    <n v="0"/>
    <n v="0"/>
    <n v="0"/>
    <n v="0"/>
    <n v="0"/>
    <n v="0"/>
    <n v="1"/>
  </r>
  <r>
    <s v="A3JT22BLG866CK"/>
    <s v="english"/>
    <s v="test"/>
    <x v="3"/>
    <x v="0"/>
    <s v="mo-l"/>
    <s v="exh"/>
    <s v="mo-h"/>
    <n v="1"/>
    <n v="1"/>
    <n v="1"/>
    <n v="0"/>
    <n v="0"/>
    <n v="0"/>
    <n v="1"/>
    <n v="0"/>
    <n v="0"/>
    <n v="1"/>
    <n v="0"/>
    <n v="0"/>
    <n v="0"/>
    <n v="0"/>
  </r>
  <r>
    <s v="A3JT22BLG866CK"/>
    <s v="english"/>
    <s v="test"/>
    <x v="4"/>
    <x v="0"/>
    <s v="mo-l"/>
    <s v="mo-h"/>
    <s v="ms-l"/>
    <n v="0"/>
    <n v="1"/>
    <n v="1"/>
    <n v="0"/>
    <n v="1"/>
    <n v="0"/>
    <n v="1"/>
    <n v="0"/>
    <n v="1"/>
    <n v="0"/>
    <n v="0"/>
    <n v="0"/>
    <n v="0"/>
    <n v="0"/>
  </r>
  <r>
    <s v="A3JT22BLG866CK"/>
    <s v="english"/>
    <s v="test"/>
    <x v="1"/>
    <x v="0"/>
    <s v="mo-l"/>
    <s v="ms-h"/>
    <s v="mo-h"/>
    <n v="0"/>
    <n v="1"/>
    <n v="1"/>
    <n v="1"/>
    <n v="0"/>
    <n v="0"/>
    <n v="1"/>
    <n v="0"/>
    <n v="1"/>
    <n v="0"/>
    <n v="0"/>
    <n v="0"/>
    <n v="0"/>
    <n v="0"/>
  </r>
  <r>
    <s v="A3JT22BLG866CK"/>
    <s v="english"/>
    <s v="test"/>
    <x v="0"/>
    <x v="0"/>
    <s v="mo-l"/>
    <s v="fa"/>
    <s v="exh"/>
    <n v="1"/>
    <n v="0"/>
    <n v="1"/>
    <n v="0"/>
    <n v="0"/>
    <n v="0"/>
    <n v="1"/>
    <n v="0"/>
    <n v="0"/>
    <n v="1"/>
    <n v="0"/>
    <n v="0"/>
    <n v="0"/>
    <n v="0"/>
  </r>
  <r>
    <s v="AGC3T6724JUAF"/>
    <s v="english"/>
    <s v="test"/>
    <x v="1"/>
    <x v="0"/>
    <s v="mo-l"/>
    <s v="mo-h"/>
    <s v="ms-h"/>
    <n v="0"/>
    <n v="1"/>
    <n v="1"/>
    <n v="1"/>
    <n v="0"/>
    <n v="0"/>
    <n v="1"/>
    <n v="0"/>
    <n v="1"/>
    <n v="0"/>
    <n v="0"/>
    <n v="0"/>
    <n v="0"/>
    <n v="0"/>
  </r>
  <r>
    <s v="AGC3T6724JUAF"/>
    <s v="english"/>
    <s v="test"/>
    <x v="2"/>
    <x v="0"/>
    <s v="mo-l"/>
    <s v="mo-h"/>
    <s v="ms-h"/>
    <n v="0"/>
    <n v="1"/>
    <n v="1"/>
    <n v="1"/>
    <n v="0"/>
    <n v="0"/>
    <n v="1"/>
    <n v="0"/>
    <n v="1"/>
    <n v="0"/>
    <n v="0"/>
    <n v="0"/>
    <n v="0"/>
    <n v="0"/>
  </r>
  <r>
    <s v="AGC3T6724JUAF"/>
    <s v="english"/>
    <s v="test"/>
    <x v="5"/>
    <x v="0"/>
    <s v="ms-h"/>
    <s v="mo-h"/>
    <s v="mo-l"/>
    <n v="0"/>
    <n v="1"/>
    <n v="1"/>
    <n v="1"/>
    <n v="0"/>
    <n v="0"/>
    <n v="1"/>
    <n v="0"/>
    <n v="1"/>
    <n v="0"/>
    <n v="0"/>
    <n v="0"/>
    <n v="0"/>
    <n v="0"/>
  </r>
  <r>
    <s v="AGC3T6724JUAF"/>
    <s v="english"/>
    <s v="test"/>
    <x v="0"/>
    <x v="0"/>
    <s v="ms-h"/>
    <s v="mo-l"/>
    <s v="ms-l"/>
    <n v="0"/>
    <n v="0"/>
    <n v="1"/>
    <n v="1"/>
    <n v="1"/>
    <n v="0"/>
    <n v="1"/>
    <n v="0"/>
    <n v="0"/>
    <n v="0"/>
    <n v="0"/>
    <n v="0"/>
    <n v="0"/>
    <n v="1"/>
  </r>
  <r>
    <s v="A2NA2OJT15COZY"/>
    <s v="American English"/>
    <s v="test"/>
    <x v="2"/>
    <x v="0"/>
    <s v="ms-h"/>
    <s v="fa"/>
    <s v="mo-l"/>
    <n v="0"/>
    <n v="0"/>
    <n v="1"/>
    <n v="1"/>
    <n v="0"/>
    <n v="0"/>
    <n v="1"/>
    <n v="0"/>
    <n v="0"/>
    <n v="0"/>
    <n v="1"/>
    <n v="0"/>
    <n v="0"/>
    <n v="0"/>
  </r>
  <r>
    <s v="A2NA2OJT15COZY"/>
    <s v="American English"/>
    <s v="test"/>
    <x v="4"/>
    <x v="0"/>
    <s v="ms-l"/>
    <s v="exh"/>
    <s v="mo-l"/>
    <n v="1"/>
    <n v="0"/>
    <n v="1"/>
    <n v="0"/>
    <n v="1"/>
    <n v="0"/>
    <n v="1"/>
    <n v="0"/>
    <n v="0"/>
    <n v="1"/>
    <n v="0"/>
    <n v="1"/>
    <n v="0"/>
    <n v="0"/>
  </r>
  <r>
    <s v="A2NA2OJT15COZY"/>
    <s v="American English"/>
    <s v="test"/>
    <x v="1"/>
    <x v="0"/>
    <s v="mo-h"/>
    <s v="ms-h"/>
    <s v="mo-l"/>
    <n v="0"/>
    <n v="1"/>
    <n v="1"/>
    <n v="1"/>
    <n v="0"/>
    <n v="0"/>
    <n v="1"/>
    <n v="0"/>
    <n v="1"/>
    <n v="0"/>
    <n v="1"/>
    <n v="0"/>
    <n v="0"/>
    <n v="0"/>
  </r>
  <r>
    <s v="A2NA2OJT15COZY"/>
    <s v="American English"/>
    <s v="test"/>
    <x v="3"/>
    <x v="0"/>
    <s v="mo-h"/>
    <s v="ms-l"/>
    <s v="mo-l"/>
    <n v="0"/>
    <n v="1"/>
    <n v="1"/>
    <n v="0"/>
    <n v="1"/>
    <n v="0"/>
    <n v="1"/>
    <n v="0"/>
    <n v="1"/>
    <n v="0"/>
    <n v="0"/>
    <n v="0"/>
    <n v="0"/>
    <n v="0"/>
  </r>
  <r>
    <s v="A2NA2OJT15COZY"/>
    <s v="American English"/>
    <s v="test"/>
    <x v="5"/>
    <x v="0"/>
    <s v="exh"/>
    <s v="mo-l"/>
    <s v="ms-h"/>
    <n v="1"/>
    <n v="0"/>
    <n v="1"/>
    <n v="1"/>
    <n v="0"/>
    <n v="0"/>
    <n v="1"/>
    <n v="0"/>
    <n v="0"/>
    <n v="0"/>
    <n v="1"/>
    <n v="0"/>
    <n v="0"/>
    <n v="0"/>
  </r>
  <r>
    <s v="AVD6HMIO1HLFI"/>
    <s v="english"/>
    <s v="test"/>
    <x v="2"/>
    <x v="0"/>
    <s v="ms-l"/>
    <s v="mo-h"/>
    <s v="mo-l"/>
    <n v="0"/>
    <n v="1"/>
    <n v="1"/>
    <n v="0"/>
    <n v="1"/>
    <n v="0"/>
    <n v="1"/>
    <n v="0"/>
    <n v="1"/>
    <n v="1"/>
    <n v="0"/>
    <n v="1"/>
    <n v="0"/>
    <n v="0"/>
  </r>
  <r>
    <s v="AVD6HMIO1HLFI"/>
    <s v="english"/>
    <s v="test"/>
    <x v="0"/>
    <x v="0"/>
    <s v="ms-l"/>
    <s v="mo-l"/>
    <s v="exh"/>
    <n v="1"/>
    <n v="0"/>
    <n v="1"/>
    <n v="0"/>
    <n v="1"/>
    <n v="0"/>
    <n v="1"/>
    <n v="1"/>
    <n v="0"/>
    <n v="1"/>
    <n v="0"/>
    <n v="1"/>
    <n v="0"/>
    <n v="0"/>
  </r>
  <r>
    <s v="AVD6HMIO1HLFI"/>
    <s v="english"/>
    <s v="test"/>
    <x v="1"/>
    <x v="0"/>
    <s v="mo-l"/>
    <s v="fa"/>
    <s v="ms-h"/>
    <n v="0"/>
    <n v="0"/>
    <n v="1"/>
    <n v="1"/>
    <n v="0"/>
    <n v="0"/>
    <n v="1"/>
    <n v="0"/>
    <n v="0"/>
    <n v="0"/>
    <n v="0"/>
    <n v="0"/>
    <n v="0"/>
    <n v="1"/>
  </r>
  <r>
    <s v="A3DTPUNCHRVGP4"/>
    <s v="english"/>
    <s v="test"/>
    <x v="5"/>
    <x v="0"/>
    <s v="mo-l"/>
    <s v="mo-h"/>
    <s v="ms-h"/>
    <n v="0"/>
    <n v="1"/>
    <n v="1"/>
    <n v="1"/>
    <n v="0"/>
    <n v="0"/>
    <n v="1"/>
    <n v="0"/>
    <n v="0"/>
    <n v="0"/>
    <n v="0"/>
    <n v="0"/>
    <n v="0"/>
    <n v="1"/>
  </r>
  <r>
    <s v="A3DTPUNCHRVGP4"/>
    <s v="english"/>
    <s v="test"/>
    <x v="3"/>
    <x v="0"/>
    <s v="mo-l"/>
    <s v="fa"/>
    <s v="mo-h"/>
    <n v="0"/>
    <n v="1"/>
    <n v="1"/>
    <n v="0"/>
    <n v="0"/>
    <n v="0"/>
    <n v="1"/>
    <n v="0"/>
    <n v="0"/>
    <n v="0"/>
    <n v="0"/>
    <n v="0"/>
    <n v="0"/>
    <n v="1"/>
  </r>
  <r>
    <s v="A3DTPUNCHRVGP4"/>
    <s v="english"/>
    <s v="test"/>
    <x v="0"/>
    <x v="0"/>
    <s v="ms-h"/>
    <s v="mo-h"/>
    <s v="mo-l"/>
    <n v="0"/>
    <n v="1"/>
    <n v="1"/>
    <n v="1"/>
    <n v="0"/>
    <n v="0"/>
    <n v="1"/>
    <n v="0"/>
    <n v="0"/>
    <n v="0"/>
    <n v="0"/>
    <n v="0"/>
    <n v="0"/>
    <n v="1"/>
  </r>
  <r>
    <s v="A1JQ3GAFW1XZYZ"/>
    <s v="english"/>
    <s v="test"/>
    <x v="2"/>
    <x v="1"/>
    <s v="mo-h"/>
    <s v="ms-l"/>
    <s v="mo-l"/>
    <n v="0"/>
    <n v="1"/>
    <n v="1"/>
    <n v="0"/>
    <n v="1"/>
    <n v="0"/>
    <n v="1"/>
    <n v="0"/>
    <n v="1"/>
    <n v="0"/>
    <n v="0"/>
    <n v="0"/>
    <n v="0"/>
    <n v="0"/>
  </r>
  <r>
    <s v="A1JQ3GAFW1XZYZ"/>
    <s v="english"/>
    <s v="test"/>
    <x v="5"/>
    <x v="1"/>
    <s v="mo-l"/>
    <s v="mo-h"/>
    <s v="fa"/>
    <n v="0"/>
    <n v="1"/>
    <n v="1"/>
    <n v="0"/>
    <n v="0"/>
    <n v="0"/>
    <n v="1"/>
    <n v="0"/>
    <n v="0"/>
    <n v="1"/>
    <n v="0"/>
    <n v="0"/>
    <n v="0"/>
    <n v="0"/>
  </r>
  <r>
    <s v="A1JQ3GAFW1XZYZ"/>
    <s v="english"/>
    <s v="test"/>
    <x v="0"/>
    <x v="1"/>
    <s v="mo-h"/>
    <s v="ms-l"/>
    <s v="mo-l"/>
    <n v="0"/>
    <n v="1"/>
    <n v="1"/>
    <n v="0"/>
    <n v="1"/>
    <n v="0"/>
    <n v="1"/>
    <n v="0"/>
    <n v="1"/>
    <n v="0"/>
    <n v="0"/>
    <n v="0"/>
    <n v="0"/>
    <n v="0"/>
  </r>
  <r>
    <s v="A1JQ3GAFW1XZYZ"/>
    <s v="english"/>
    <s v="test"/>
    <x v="3"/>
    <x v="1"/>
    <s v="mo-h"/>
    <s v="mo-l"/>
    <s v="ms-l"/>
    <n v="0"/>
    <n v="1"/>
    <n v="1"/>
    <n v="0"/>
    <n v="1"/>
    <n v="0"/>
    <n v="1"/>
    <n v="0"/>
    <n v="0"/>
    <n v="1"/>
    <n v="0"/>
    <n v="0"/>
    <n v="0"/>
    <n v="0"/>
  </r>
  <r>
    <s v="A251YA0XPAWWIQ"/>
    <s v="english"/>
    <s v="test"/>
    <x v="5"/>
    <x v="1"/>
    <s v="ms-l"/>
    <s v="ms-h"/>
    <s v="mo-l"/>
    <n v="0"/>
    <n v="0"/>
    <n v="1"/>
    <n v="1"/>
    <n v="1"/>
    <n v="0"/>
    <n v="1"/>
    <n v="0"/>
    <n v="0"/>
    <n v="1"/>
    <n v="0"/>
    <n v="0"/>
    <n v="0"/>
    <n v="0"/>
  </r>
  <r>
    <s v="A251YA0XPAWWIQ"/>
    <s v="english"/>
    <s v="test"/>
    <x v="3"/>
    <x v="1"/>
    <s v="fa"/>
    <s v="mo-l"/>
    <s v="mo-h"/>
    <n v="0"/>
    <n v="1"/>
    <n v="1"/>
    <n v="0"/>
    <n v="0"/>
    <n v="0"/>
    <n v="1"/>
    <n v="0"/>
    <n v="1"/>
    <n v="0"/>
    <n v="0"/>
    <n v="0"/>
    <n v="0"/>
    <n v="0"/>
  </r>
  <r>
    <s v="A251YA0XPAWWIQ"/>
    <s v="english"/>
    <s v="test"/>
    <x v="1"/>
    <x v="1"/>
    <s v="ms-h"/>
    <s v="mo-l"/>
    <s v="fa"/>
    <n v="0"/>
    <n v="0"/>
    <n v="1"/>
    <n v="1"/>
    <n v="0"/>
    <n v="0"/>
    <n v="1"/>
    <n v="0"/>
    <n v="0"/>
    <n v="0"/>
    <n v="0"/>
    <n v="0"/>
    <n v="0"/>
    <n v="0"/>
  </r>
  <r>
    <s v="A251YA0XPAWWIQ"/>
    <s v="english"/>
    <s v="test"/>
    <x v="4"/>
    <x v="1"/>
    <s v="ms-l"/>
    <s v="mo-h"/>
    <s v="mo-l"/>
    <n v="0"/>
    <n v="1"/>
    <n v="1"/>
    <n v="0"/>
    <n v="1"/>
    <n v="0"/>
    <n v="1"/>
    <n v="0"/>
    <n v="0"/>
    <n v="1"/>
    <n v="0"/>
    <n v="0"/>
    <n v="0"/>
    <n v="0"/>
  </r>
  <r>
    <s v="A251YA0XPAWWIQ"/>
    <s v="english"/>
    <s v="test"/>
    <x v="0"/>
    <x v="1"/>
    <s v="ms-l"/>
    <s v="mo-h"/>
    <s v="mo-l"/>
    <n v="0"/>
    <n v="1"/>
    <n v="1"/>
    <n v="0"/>
    <n v="1"/>
    <n v="0"/>
    <n v="1"/>
    <n v="0"/>
    <n v="0"/>
    <n v="0"/>
    <n v="0"/>
    <n v="1"/>
    <n v="0"/>
    <n v="0"/>
  </r>
  <r>
    <s v="A3PLDW841STU8B"/>
    <s v="english"/>
    <s v="test"/>
    <x v="0"/>
    <x v="1"/>
    <s v="fa"/>
    <s v="mo-l"/>
    <s v="ms-h"/>
    <n v="0"/>
    <n v="0"/>
    <n v="1"/>
    <n v="1"/>
    <n v="0"/>
    <n v="0"/>
    <n v="1"/>
    <n v="0"/>
    <n v="0"/>
    <n v="1"/>
    <n v="0"/>
    <n v="0"/>
    <n v="0"/>
    <n v="0"/>
  </r>
  <r>
    <s v="A3PLDW841STU8B"/>
    <s v="english"/>
    <s v="test"/>
    <x v="1"/>
    <x v="1"/>
    <s v="mo-l"/>
    <s v="mo-h"/>
    <s v="fa"/>
    <n v="0"/>
    <n v="1"/>
    <n v="1"/>
    <n v="0"/>
    <n v="0"/>
    <n v="0"/>
    <n v="1"/>
    <n v="0"/>
    <n v="0"/>
    <n v="0"/>
    <n v="0"/>
    <n v="0"/>
    <n v="0"/>
    <n v="0"/>
  </r>
  <r>
    <s v="A3PLDW841STU8B"/>
    <s v="english"/>
    <s v="test"/>
    <x v="2"/>
    <x v="1"/>
    <s v="ms-l"/>
    <s v="mo-l"/>
    <s v="fa"/>
    <n v="0"/>
    <n v="0"/>
    <n v="1"/>
    <n v="0"/>
    <n v="1"/>
    <n v="0"/>
    <n v="1"/>
    <n v="0"/>
    <n v="0"/>
    <n v="0"/>
    <n v="0"/>
    <n v="0"/>
    <n v="0"/>
    <n v="0"/>
  </r>
  <r>
    <s v="A3PLDW841STU8B"/>
    <s v="english"/>
    <s v="test"/>
    <x v="3"/>
    <x v="1"/>
    <s v="mo-l"/>
    <s v="mo-h"/>
    <s v="exh"/>
    <n v="1"/>
    <n v="1"/>
    <n v="1"/>
    <n v="0"/>
    <n v="0"/>
    <n v="0"/>
    <n v="1"/>
    <n v="0"/>
    <n v="1"/>
    <n v="0"/>
    <n v="0"/>
    <n v="0"/>
    <n v="0"/>
    <n v="0"/>
  </r>
  <r>
    <s v="A3PLDW841STU8B"/>
    <s v="english"/>
    <s v="test"/>
    <x v="5"/>
    <x v="1"/>
    <s v="ms-h"/>
    <s v="mo-l"/>
    <s v="exh"/>
    <n v="1"/>
    <n v="0"/>
    <n v="1"/>
    <n v="1"/>
    <n v="0"/>
    <n v="0"/>
    <n v="1"/>
    <n v="0"/>
    <n v="0"/>
    <n v="0"/>
    <n v="1"/>
    <n v="0"/>
    <n v="0"/>
    <n v="0"/>
  </r>
  <r>
    <s v="A3A4UFCFF9DMW3"/>
    <s v="english"/>
    <s v="test"/>
    <x v="5"/>
    <x v="1"/>
    <s v="ms-h"/>
    <s v="mo-l"/>
    <s v="mo-h"/>
    <n v="0"/>
    <n v="1"/>
    <n v="1"/>
    <n v="1"/>
    <n v="0"/>
    <n v="0"/>
    <n v="1"/>
    <n v="0"/>
    <n v="0"/>
    <n v="1"/>
    <n v="0"/>
    <n v="0"/>
    <n v="0"/>
    <n v="0"/>
  </r>
  <r>
    <s v="A3A4UFCFF9DMW3"/>
    <s v="english"/>
    <s v="test"/>
    <x v="2"/>
    <x v="1"/>
    <s v="mo-l"/>
    <s v="ms-h"/>
    <s v="ms-l"/>
    <n v="0"/>
    <n v="0"/>
    <n v="1"/>
    <n v="1"/>
    <n v="1"/>
    <n v="0"/>
    <n v="1"/>
    <n v="0"/>
    <n v="0"/>
    <n v="0"/>
    <n v="0"/>
    <n v="1"/>
    <n v="0"/>
    <n v="0"/>
  </r>
  <r>
    <s v="A3A4UFCFF9DMW3"/>
    <s v="english"/>
    <s v="test"/>
    <x v="4"/>
    <x v="1"/>
    <s v="ms-l"/>
    <s v="exh"/>
    <s v="mo-l"/>
    <n v="1"/>
    <n v="0"/>
    <n v="1"/>
    <n v="0"/>
    <n v="1"/>
    <n v="0"/>
    <n v="1"/>
    <n v="0"/>
    <n v="0"/>
    <n v="1"/>
    <n v="0"/>
    <n v="0"/>
    <n v="0"/>
    <n v="0"/>
  </r>
  <r>
    <s v="A3A4UFCFF9DMW3"/>
    <s v="english"/>
    <s v="test"/>
    <x v="3"/>
    <x v="1"/>
    <s v="ms-h"/>
    <s v="mo-l"/>
    <s v="ms-l"/>
    <n v="0"/>
    <n v="0"/>
    <n v="1"/>
    <n v="1"/>
    <n v="1"/>
    <n v="0"/>
    <n v="1"/>
    <n v="0"/>
    <n v="0"/>
    <n v="1"/>
    <n v="0"/>
    <n v="0"/>
    <n v="0"/>
    <n v="0"/>
  </r>
  <r>
    <s v="A3A4UFCFF9DMW3"/>
    <s v="english"/>
    <s v="test"/>
    <x v="0"/>
    <x v="1"/>
    <s v="mo-l"/>
    <s v="ms-l"/>
    <s v="ms-h"/>
    <n v="0"/>
    <n v="0"/>
    <n v="1"/>
    <n v="1"/>
    <n v="1"/>
    <n v="0"/>
    <n v="1"/>
    <n v="0"/>
    <n v="0"/>
    <n v="1"/>
    <n v="0"/>
    <n v="0"/>
    <n v="0"/>
    <n v="0"/>
  </r>
  <r>
    <s v="A1WKF2VH7TV0H2"/>
    <s v="english"/>
    <s v="test"/>
    <x v="4"/>
    <x v="1"/>
    <s v="mo-h"/>
    <s v="mo-l"/>
    <s v="fa"/>
    <n v="0"/>
    <n v="1"/>
    <n v="1"/>
    <n v="0"/>
    <n v="0"/>
    <n v="0"/>
    <n v="1"/>
    <n v="0"/>
    <n v="1"/>
    <n v="1"/>
    <n v="0"/>
    <n v="0"/>
    <n v="0"/>
    <n v="0"/>
  </r>
  <r>
    <s v="A1WKF2VH7TV0H2"/>
    <s v="english"/>
    <s v="test"/>
    <x v="0"/>
    <x v="1"/>
    <s v="fa"/>
    <s v="ms-h"/>
    <s v="mo-l"/>
    <n v="0"/>
    <n v="0"/>
    <n v="1"/>
    <n v="1"/>
    <n v="0"/>
    <n v="0"/>
    <n v="1"/>
    <n v="0"/>
    <n v="0"/>
    <n v="0"/>
    <n v="1"/>
    <n v="0"/>
    <n v="0"/>
    <n v="0"/>
  </r>
  <r>
    <s v="A1WKF2VH7TV0H2"/>
    <s v="english"/>
    <s v="test"/>
    <x v="2"/>
    <x v="1"/>
    <s v="ms-l"/>
    <s v="mo-l"/>
    <s v="mo-h"/>
    <n v="0"/>
    <n v="1"/>
    <n v="1"/>
    <n v="0"/>
    <n v="1"/>
    <n v="0"/>
    <n v="1"/>
    <n v="0"/>
    <n v="1"/>
    <n v="0"/>
    <n v="0"/>
    <n v="0"/>
    <n v="0"/>
    <n v="0"/>
  </r>
  <r>
    <s v="ADUACF4TW5833"/>
    <s v="english"/>
    <s v="test"/>
    <x v="0"/>
    <x v="1"/>
    <s v="ms-l"/>
    <s v="mo-l"/>
    <s v="ms-h"/>
    <n v="0"/>
    <n v="0"/>
    <n v="1"/>
    <n v="1"/>
    <n v="1"/>
    <n v="0"/>
    <n v="1"/>
    <n v="0"/>
    <n v="0"/>
    <n v="0"/>
    <n v="0"/>
    <n v="1"/>
    <n v="0"/>
    <n v="0"/>
  </r>
  <r>
    <s v="ADUACF4TW5833"/>
    <s v="english"/>
    <s v="test"/>
    <x v="4"/>
    <x v="1"/>
    <s v="mo-h"/>
    <s v="fa"/>
    <s v="mo-l"/>
    <n v="0"/>
    <n v="1"/>
    <n v="1"/>
    <n v="0"/>
    <n v="0"/>
    <n v="0"/>
    <n v="1"/>
    <n v="0"/>
    <n v="1"/>
    <n v="0"/>
    <n v="0"/>
    <n v="0"/>
    <n v="0"/>
    <n v="0"/>
  </r>
  <r>
    <s v="ADUACF4TW5833"/>
    <s v="english"/>
    <s v="test"/>
    <x v="1"/>
    <x v="1"/>
    <s v="ms-l"/>
    <s v="mo-l"/>
    <s v="exh"/>
    <n v="1"/>
    <n v="0"/>
    <n v="1"/>
    <n v="0"/>
    <n v="1"/>
    <n v="0"/>
    <n v="1"/>
    <n v="0"/>
    <n v="0"/>
    <n v="0"/>
    <n v="0"/>
    <n v="1"/>
    <n v="0"/>
    <n v="0"/>
  </r>
  <r>
    <s v="ABZ1LM3J8REE6"/>
    <s v="english"/>
    <s v="test"/>
    <x v="4"/>
    <x v="1"/>
    <s v="exh"/>
    <s v="mo-h"/>
    <s v="mo-l"/>
    <n v="1"/>
    <n v="1"/>
    <n v="1"/>
    <n v="0"/>
    <n v="0"/>
    <n v="0"/>
    <n v="1"/>
    <n v="0"/>
    <n v="1"/>
    <n v="0"/>
    <n v="0"/>
    <n v="0"/>
    <n v="0"/>
    <n v="0"/>
  </r>
  <r>
    <s v="ABZ1LM3J8REE6"/>
    <s v="english"/>
    <s v="test"/>
    <x v="0"/>
    <x v="1"/>
    <s v="ms-l"/>
    <s v="mo-h"/>
    <s v="mo-l"/>
    <n v="0"/>
    <n v="1"/>
    <n v="1"/>
    <n v="0"/>
    <n v="1"/>
    <n v="0"/>
    <n v="1"/>
    <n v="0"/>
    <n v="0"/>
    <n v="0"/>
    <n v="0"/>
    <n v="0"/>
    <n v="0"/>
    <n v="0"/>
  </r>
  <r>
    <s v="ABZ1LM3J8REE6"/>
    <s v="english"/>
    <s v="test"/>
    <x v="5"/>
    <x v="1"/>
    <s v="ms-h"/>
    <s v="mo-l"/>
    <s v="ms-l"/>
    <n v="0"/>
    <n v="0"/>
    <n v="1"/>
    <n v="1"/>
    <n v="1"/>
    <n v="0"/>
    <n v="1"/>
    <n v="0"/>
    <n v="0"/>
    <n v="0"/>
    <n v="0"/>
    <n v="1"/>
    <n v="0"/>
    <n v="0"/>
  </r>
  <r>
    <s v="ABZ1LM3J8REE6"/>
    <s v="english"/>
    <s v="test"/>
    <x v="2"/>
    <x v="1"/>
    <s v="ms-h"/>
    <s v="mo-l"/>
    <s v="mo-h"/>
    <n v="0"/>
    <n v="1"/>
    <n v="1"/>
    <n v="1"/>
    <n v="0"/>
    <n v="0"/>
    <n v="1"/>
    <n v="0"/>
    <n v="0"/>
    <n v="1"/>
    <n v="0"/>
    <n v="0"/>
    <n v="0"/>
    <n v="0"/>
  </r>
  <r>
    <s v="ABZ1LM3J8REE6"/>
    <s v="english"/>
    <s v="test"/>
    <x v="3"/>
    <x v="1"/>
    <s v="mo-l"/>
    <s v="ms-h"/>
    <s v="exh"/>
    <n v="1"/>
    <n v="0"/>
    <n v="1"/>
    <n v="1"/>
    <n v="0"/>
    <n v="0"/>
    <n v="1"/>
    <n v="1"/>
    <n v="0"/>
    <n v="1"/>
    <n v="1"/>
    <n v="0"/>
    <n v="0"/>
    <n v="0"/>
  </r>
  <r>
    <s v="A1WL6K3EUA2WOX"/>
    <s v="english"/>
    <s v="test"/>
    <x v="4"/>
    <x v="1"/>
    <s v="mo-l"/>
    <s v="ms-l"/>
    <s v="exh"/>
    <n v="1"/>
    <n v="0"/>
    <n v="1"/>
    <n v="0"/>
    <n v="1"/>
    <n v="0"/>
    <n v="1"/>
    <n v="1"/>
    <n v="0"/>
    <n v="1"/>
    <n v="0"/>
    <n v="1"/>
    <n v="0"/>
    <n v="0"/>
  </r>
  <r>
    <s v="A1WL6K3EUA2WOX"/>
    <s v="english"/>
    <s v="test"/>
    <x v="3"/>
    <x v="1"/>
    <s v="mo-l"/>
    <s v="fa"/>
    <s v="ms-l"/>
    <n v="0"/>
    <n v="0"/>
    <n v="1"/>
    <n v="0"/>
    <n v="1"/>
    <n v="0"/>
    <n v="1"/>
    <n v="0"/>
    <n v="0"/>
    <n v="1"/>
    <n v="0"/>
    <n v="1"/>
    <n v="0"/>
    <n v="0"/>
  </r>
  <r>
    <s v="A1WL6K3EUA2WOX"/>
    <s v="english"/>
    <s v="test"/>
    <x v="1"/>
    <x v="1"/>
    <s v="exh"/>
    <s v="mo-l"/>
    <s v="ms-l"/>
    <n v="1"/>
    <n v="0"/>
    <n v="1"/>
    <n v="0"/>
    <n v="1"/>
    <n v="0"/>
    <n v="1"/>
    <n v="1"/>
    <n v="0"/>
    <n v="1"/>
    <n v="0"/>
    <n v="1"/>
    <n v="0"/>
    <n v="0"/>
  </r>
  <r>
    <s v="A1WL6K3EUA2WOX"/>
    <s v="english"/>
    <s v="test"/>
    <x v="2"/>
    <x v="1"/>
    <s v="ms-h"/>
    <s v="ms-l"/>
    <s v="mo-l"/>
    <n v="0"/>
    <n v="0"/>
    <n v="1"/>
    <n v="1"/>
    <n v="1"/>
    <n v="0"/>
    <n v="1"/>
    <n v="0"/>
    <n v="0"/>
    <n v="1"/>
    <n v="1"/>
    <n v="1"/>
    <n v="0"/>
    <n v="0"/>
  </r>
  <r>
    <s v="A1WL6K3EUA2WOX"/>
    <s v="english"/>
    <s v="test"/>
    <x v="0"/>
    <x v="1"/>
    <s v="mo-h"/>
    <s v="mo-l"/>
    <s v="ms-l"/>
    <n v="0"/>
    <n v="1"/>
    <n v="1"/>
    <n v="0"/>
    <n v="1"/>
    <n v="0"/>
    <n v="1"/>
    <n v="0"/>
    <n v="1"/>
    <n v="1"/>
    <n v="0"/>
    <n v="1"/>
    <n v="0"/>
    <n v="0"/>
  </r>
  <r>
    <s v="A2APHZ2KOI1MPI"/>
    <s v="english"/>
    <s v="test"/>
    <x v="5"/>
    <x v="1"/>
    <s v="ms-l"/>
    <s v="mo-l"/>
    <s v="ms-h"/>
    <n v="0"/>
    <n v="0"/>
    <n v="1"/>
    <n v="1"/>
    <n v="1"/>
    <n v="0"/>
    <n v="1"/>
    <n v="0"/>
    <n v="0"/>
    <n v="1"/>
    <n v="0"/>
    <n v="1"/>
    <n v="0"/>
    <n v="0"/>
  </r>
  <r>
    <s v="A2APHZ2KOI1MPI"/>
    <s v="english"/>
    <s v="test"/>
    <x v="3"/>
    <x v="1"/>
    <s v="mo-h"/>
    <s v="ms-l"/>
    <s v="mo-l"/>
    <n v="0"/>
    <n v="1"/>
    <n v="1"/>
    <n v="0"/>
    <n v="1"/>
    <n v="0"/>
    <n v="1"/>
    <n v="0"/>
    <n v="0"/>
    <n v="1"/>
    <n v="0"/>
    <n v="1"/>
    <n v="0"/>
    <n v="0"/>
  </r>
  <r>
    <s v="A2APHZ2KOI1MPI"/>
    <s v="english"/>
    <s v="test"/>
    <x v="0"/>
    <x v="1"/>
    <s v="mo-l"/>
    <s v="fa"/>
    <s v="mo-h"/>
    <n v="0"/>
    <n v="1"/>
    <n v="1"/>
    <n v="0"/>
    <n v="0"/>
    <n v="0"/>
    <n v="1"/>
    <n v="0"/>
    <n v="0"/>
    <n v="1"/>
    <n v="0"/>
    <n v="0"/>
    <n v="0"/>
    <n v="0"/>
  </r>
  <r>
    <s v="A2APHZ2KOI1MPI"/>
    <s v="english"/>
    <s v="test"/>
    <x v="2"/>
    <x v="1"/>
    <s v="mo-h"/>
    <s v="ms-l"/>
    <s v="mo-l"/>
    <n v="0"/>
    <n v="1"/>
    <n v="1"/>
    <n v="0"/>
    <n v="1"/>
    <n v="0"/>
    <n v="1"/>
    <n v="0"/>
    <n v="0"/>
    <n v="1"/>
    <n v="0"/>
    <n v="1"/>
    <n v="0"/>
    <n v="0"/>
  </r>
  <r>
    <s v="A1C7XI68SED8JE"/>
    <s v="english"/>
    <s v="test"/>
    <x v="4"/>
    <x v="1"/>
    <s v="exh"/>
    <s v="ms-h"/>
    <s v="mo-l"/>
    <n v="1"/>
    <n v="0"/>
    <n v="1"/>
    <n v="1"/>
    <n v="0"/>
    <n v="0"/>
    <n v="1"/>
    <n v="1"/>
    <n v="0"/>
    <n v="1"/>
    <n v="1"/>
    <n v="0"/>
    <n v="0"/>
    <n v="0"/>
  </r>
  <r>
    <s v="A1C7XI68SED8JE"/>
    <s v="english"/>
    <s v="test"/>
    <x v="0"/>
    <x v="1"/>
    <s v="mo-l"/>
    <s v="exh"/>
    <s v="mo-h"/>
    <n v="1"/>
    <n v="1"/>
    <n v="1"/>
    <n v="0"/>
    <n v="0"/>
    <n v="0"/>
    <n v="1"/>
    <n v="1"/>
    <n v="1"/>
    <n v="1"/>
    <n v="0"/>
    <n v="0"/>
    <n v="0"/>
    <n v="0"/>
  </r>
  <r>
    <s v="A1C7XI68SED8JE"/>
    <s v="english"/>
    <s v="test"/>
    <x v="1"/>
    <x v="1"/>
    <s v="mo-h"/>
    <s v="ms-h"/>
    <s v="mo-l"/>
    <n v="0"/>
    <n v="1"/>
    <n v="1"/>
    <n v="1"/>
    <n v="0"/>
    <n v="0"/>
    <n v="1"/>
    <n v="0"/>
    <n v="1"/>
    <n v="1"/>
    <n v="1"/>
    <n v="0"/>
    <n v="0"/>
    <n v="0"/>
  </r>
  <r>
    <s v="A1C7XI68SED8JE"/>
    <s v="english"/>
    <s v="test"/>
    <x v="5"/>
    <x v="1"/>
    <s v="fa"/>
    <s v="ms-l"/>
    <s v="mo-l"/>
    <n v="0"/>
    <n v="0"/>
    <n v="1"/>
    <n v="0"/>
    <n v="1"/>
    <n v="0"/>
    <n v="1"/>
    <n v="0"/>
    <n v="0"/>
    <n v="0"/>
    <n v="0"/>
    <n v="1"/>
    <n v="0"/>
    <n v="0"/>
  </r>
  <r>
    <s v="A15340BRCER2UO"/>
    <s v="english"/>
    <s v="test"/>
    <x v="0"/>
    <x v="1"/>
    <s v="exh"/>
    <s v="mo-l"/>
    <s v="fa"/>
    <n v="1"/>
    <n v="0"/>
    <n v="1"/>
    <n v="0"/>
    <n v="0"/>
    <n v="0"/>
    <n v="1"/>
    <n v="1"/>
    <n v="0"/>
    <n v="0"/>
    <n v="0"/>
    <n v="0"/>
    <n v="0"/>
    <n v="0"/>
  </r>
  <r>
    <s v="A15340BRCER2UO"/>
    <s v="english"/>
    <s v="test"/>
    <x v="2"/>
    <x v="1"/>
    <s v="mo-l"/>
    <s v="ms-h"/>
    <s v="exh"/>
    <n v="1"/>
    <n v="0"/>
    <n v="1"/>
    <n v="1"/>
    <n v="0"/>
    <n v="0"/>
    <n v="1"/>
    <n v="0"/>
    <n v="0"/>
    <n v="0"/>
    <n v="1"/>
    <n v="0"/>
    <n v="0"/>
    <n v="0"/>
  </r>
  <r>
    <s v="AL5UXD1GLG4X0"/>
    <s v="english"/>
    <s v="test"/>
    <x v="4"/>
    <x v="1"/>
    <s v="ms-h"/>
    <s v="mo-l"/>
    <s v="ms-l"/>
    <n v="0"/>
    <n v="0"/>
    <n v="1"/>
    <n v="1"/>
    <n v="1"/>
    <n v="0"/>
    <n v="1"/>
    <n v="0"/>
    <n v="0"/>
    <n v="0"/>
    <n v="1"/>
    <n v="0"/>
    <n v="0"/>
    <n v="0"/>
  </r>
  <r>
    <s v="AL5UXD1GLG4X0"/>
    <s v="english"/>
    <s v="test"/>
    <x v="1"/>
    <x v="1"/>
    <s v="mo-h"/>
    <s v="mo-l"/>
    <s v="ms-l"/>
    <n v="0"/>
    <n v="1"/>
    <n v="1"/>
    <n v="0"/>
    <n v="1"/>
    <n v="0"/>
    <n v="1"/>
    <n v="0"/>
    <n v="1"/>
    <n v="0"/>
    <n v="0"/>
    <n v="0"/>
    <n v="0"/>
    <n v="0"/>
  </r>
  <r>
    <s v="AL5UXD1GLG4X0"/>
    <s v="english"/>
    <s v="test"/>
    <x v="0"/>
    <x v="1"/>
    <s v="mo-l"/>
    <s v="ms-l"/>
    <s v="mo-h"/>
    <n v="0"/>
    <n v="1"/>
    <n v="1"/>
    <n v="0"/>
    <n v="1"/>
    <n v="0"/>
    <n v="1"/>
    <n v="0"/>
    <n v="1"/>
    <n v="0"/>
    <n v="0"/>
    <n v="0"/>
    <n v="0"/>
    <n v="0"/>
  </r>
  <r>
    <s v="AL5UXD1GLG4X0"/>
    <s v="english"/>
    <s v="test"/>
    <x v="3"/>
    <x v="1"/>
    <s v="mo-l"/>
    <s v="exh"/>
    <s v="fa"/>
    <n v="1"/>
    <n v="0"/>
    <n v="1"/>
    <n v="0"/>
    <n v="0"/>
    <n v="0"/>
    <n v="1"/>
    <n v="1"/>
    <n v="0"/>
    <n v="0"/>
    <n v="0"/>
    <n v="0"/>
    <n v="0"/>
    <n v="0"/>
  </r>
  <r>
    <s v="A17DXR1QC8GWL8"/>
    <s v="english"/>
    <s v="test"/>
    <x v="5"/>
    <x v="1"/>
    <s v="mo-h"/>
    <s v="ms-l"/>
    <s v="mo-l"/>
    <n v="0"/>
    <n v="1"/>
    <n v="1"/>
    <n v="0"/>
    <n v="1"/>
    <n v="0"/>
    <n v="1"/>
    <n v="0"/>
    <n v="0"/>
    <n v="0"/>
    <n v="0"/>
    <n v="0"/>
    <n v="0"/>
    <n v="1"/>
  </r>
  <r>
    <s v="A17DXR1QC8GWL8"/>
    <s v="english"/>
    <s v="test"/>
    <x v="4"/>
    <x v="1"/>
    <s v="mo-h"/>
    <s v="mo-l"/>
    <s v="ms-h"/>
    <n v="0"/>
    <n v="1"/>
    <n v="1"/>
    <n v="1"/>
    <n v="0"/>
    <n v="0"/>
    <n v="1"/>
    <n v="0"/>
    <n v="0"/>
    <n v="0"/>
    <n v="0"/>
    <n v="0"/>
    <n v="0"/>
    <n v="1"/>
  </r>
  <r>
    <s v="A17DXR1QC8GWL8"/>
    <s v="english"/>
    <s v="test"/>
    <x v="2"/>
    <x v="1"/>
    <s v="ms-l"/>
    <s v="mo-l"/>
    <s v="ms-h"/>
    <n v="0"/>
    <n v="0"/>
    <n v="1"/>
    <n v="1"/>
    <n v="1"/>
    <n v="0"/>
    <n v="1"/>
    <n v="0"/>
    <n v="0"/>
    <n v="0"/>
    <n v="0"/>
    <n v="0"/>
    <n v="0"/>
    <n v="1"/>
  </r>
  <r>
    <s v="A55V2U9UG3Z47"/>
    <s v="english"/>
    <s v="test"/>
    <x v="0"/>
    <x v="1"/>
    <s v="fa"/>
    <s v="ms-h"/>
    <s v="mo-l"/>
    <n v="0"/>
    <n v="0"/>
    <n v="1"/>
    <n v="1"/>
    <n v="0"/>
    <n v="0"/>
    <n v="1"/>
    <n v="0"/>
    <n v="0"/>
    <n v="0"/>
    <n v="1"/>
    <n v="0"/>
    <n v="0"/>
    <n v="0"/>
  </r>
  <r>
    <s v="A55V2U9UG3Z47"/>
    <s v="english"/>
    <s v="test"/>
    <x v="2"/>
    <x v="1"/>
    <s v="mo-h"/>
    <s v="fa"/>
    <s v="mo-l"/>
    <n v="0"/>
    <n v="1"/>
    <n v="1"/>
    <n v="0"/>
    <n v="0"/>
    <n v="0"/>
    <n v="1"/>
    <n v="0"/>
    <n v="1"/>
    <n v="0"/>
    <n v="0"/>
    <n v="0"/>
    <n v="0"/>
    <n v="0"/>
  </r>
  <r>
    <s v="A55V2U9UG3Z47"/>
    <s v="english"/>
    <s v="test"/>
    <x v="4"/>
    <x v="1"/>
    <s v="fa"/>
    <s v="ms-h"/>
    <s v="mo-l"/>
    <n v="0"/>
    <n v="0"/>
    <n v="1"/>
    <n v="1"/>
    <n v="0"/>
    <n v="0"/>
    <n v="1"/>
    <n v="0"/>
    <n v="0"/>
    <n v="0"/>
    <n v="1"/>
    <n v="0"/>
    <n v="0"/>
    <n v="0"/>
  </r>
  <r>
    <s v="A55V2U9UG3Z47"/>
    <s v="english"/>
    <s v="test"/>
    <x v="1"/>
    <x v="1"/>
    <s v="mo-l"/>
    <s v="exh"/>
    <s v="mo-h"/>
    <n v="1"/>
    <n v="1"/>
    <n v="1"/>
    <n v="0"/>
    <n v="0"/>
    <n v="0"/>
    <n v="1"/>
    <n v="0"/>
    <n v="1"/>
    <n v="0"/>
    <n v="0"/>
    <n v="0"/>
    <n v="0"/>
    <n v="0"/>
  </r>
  <r>
    <s v="A35BY30TC8WCL4"/>
    <s v="english"/>
    <s v="test"/>
    <x v="4"/>
    <x v="1"/>
    <s v="ms-l"/>
    <s v="mo-h"/>
    <s v="mo-l"/>
    <n v="0"/>
    <n v="1"/>
    <n v="1"/>
    <n v="0"/>
    <n v="1"/>
    <n v="0"/>
    <n v="1"/>
    <n v="0"/>
    <n v="0"/>
    <n v="0"/>
    <n v="0"/>
    <n v="0"/>
    <n v="0"/>
    <n v="1"/>
  </r>
  <r>
    <s v="A39PWM9C4U0TEP"/>
    <s v="english"/>
    <s v="test"/>
    <x v="1"/>
    <x v="1"/>
    <s v="ms-l"/>
    <s v="fa"/>
    <s v="mo-l"/>
    <n v="0"/>
    <n v="0"/>
    <n v="1"/>
    <n v="0"/>
    <n v="1"/>
    <n v="0"/>
    <n v="1"/>
    <n v="0"/>
    <n v="0"/>
    <n v="1"/>
    <n v="0"/>
    <n v="1"/>
    <n v="0"/>
    <n v="0"/>
  </r>
  <r>
    <s v="A39PWM9C4U0TEP"/>
    <s v="english"/>
    <s v="test"/>
    <x v="5"/>
    <x v="1"/>
    <s v="mo-h"/>
    <s v="mo-l"/>
    <s v="ms-l"/>
    <n v="0"/>
    <n v="1"/>
    <n v="1"/>
    <n v="0"/>
    <n v="1"/>
    <n v="0"/>
    <n v="1"/>
    <n v="0"/>
    <n v="0"/>
    <n v="0"/>
    <n v="0"/>
    <n v="0"/>
    <n v="0"/>
    <n v="1"/>
  </r>
  <r>
    <s v="A39PWM9C4U0TEP"/>
    <s v="english"/>
    <s v="test"/>
    <x v="4"/>
    <x v="1"/>
    <s v="ms-l"/>
    <s v="mo-l"/>
    <s v="ms-h"/>
    <n v="0"/>
    <n v="0"/>
    <n v="1"/>
    <n v="1"/>
    <n v="1"/>
    <n v="0"/>
    <n v="1"/>
    <n v="0"/>
    <n v="0"/>
    <n v="1"/>
    <n v="1"/>
    <n v="1"/>
    <n v="0"/>
    <n v="0"/>
  </r>
  <r>
    <s v="A1WLRHL0U23N38"/>
    <s v="english"/>
    <s v="test"/>
    <x v="5"/>
    <x v="1"/>
    <s v="ms-h"/>
    <s v="mo-l"/>
    <s v="exh"/>
    <n v="1"/>
    <n v="0"/>
    <n v="1"/>
    <n v="1"/>
    <n v="0"/>
    <n v="0"/>
    <n v="1"/>
    <n v="1"/>
    <n v="0"/>
    <n v="0"/>
    <n v="0"/>
    <n v="0"/>
    <n v="0"/>
    <n v="0"/>
  </r>
  <r>
    <s v="A1WLRHL0U23N38"/>
    <s v="english"/>
    <s v="test"/>
    <x v="3"/>
    <x v="1"/>
    <s v="mo-l"/>
    <s v="fa"/>
    <s v="ms-l"/>
    <n v="0"/>
    <n v="0"/>
    <n v="1"/>
    <n v="0"/>
    <n v="1"/>
    <n v="0"/>
    <n v="1"/>
    <n v="0"/>
    <n v="0"/>
    <n v="0"/>
    <n v="0"/>
    <n v="1"/>
    <n v="0"/>
    <n v="0"/>
  </r>
  <r>
    <s v="A1WLRHL0U23N38"/>
    <s v="english"/>
    <s v="test"/>
    <x v="1"/>
    <x v="1"/>
    <s v="fa"/>
    <s v="mo-l"/>
    <s v="mo-h"/>
    <n v="0"/>
    <n v="1"/>
    <n v="1"/>
    <n v="0"/>
    <n v="0"/>
    <n v="0"/>
    <n v="1"/>
    <n v="0"/>
    <n v="0"/>
    <n v="0"/>
    <n v="0"/>
    <n v="0"/>
    <n v="0"/>
    <n v="0"/>
  </r>
  <r>
    <s v="A1WLRHL0U23N38"/>
    <s v="english"/>
    <s v="test"/>
    <x v="0"/>
    <x v="1"/>
    <s v="mo-l"/>
    <s v="ms-h"/>
    <s v="fa"/>
    <n v="0"/>
    <n v="0"/>
    <n v="1"/>
    <n v="1"/>
    <n v="0"/>
    <n v="0"/>
    <n v="1"/>
    <n v="0"/>
    <n v="0"/>
    <n v="1"/>
    <n v="1"/>
    <n v="0"/>
    <n v="0"/>
    <n v="0"/>
  </r>
  <r>
    <s v="A1WLRHL0U23N38"/>
    <s v="english"/>
    <s v="test"/>
    <x v="4"/>
    <x v="1"/>
    <s v="mo-h"/>
    <s v="mo-l"/>
    <s v="exh"/>
    <n v="1"/>
    <n v="1"/>
    <n v="1"/>
    <n v="0"/>
    <n v="0"/>
    <n v="0"/>
    <n v="1"/>
    <n v="1"/>
    <n v="0"/>
    <n v="0"/>
    <n v="0"/>
    <n v="0"/>
    <n v="0"/>
    <n v="0"/>
  </r>
  <r>
    <s v="AW9WE7LS8R57M"/>
    <s v="english"/>
    <s v="test"/>
    <x v="4"/>
    <x v="1"/>
    <s v="ms-l"/>
    <s v="ms-h"/>
    <s v="mo-l"/>
    <n v="0"/>
    <n v="0"/>
    <n v="1"/>
    <n v="1"/>
    <n v="1"/>
    <n v="0"/>
    <n v="1"/>
    <n v="0"/>
    <n v="0"/>
    <n v="0"/>
    <n v="1"/>
    <n v="0"/>
    <n v="0"/>
    <n v="0"/>
  </r>
  <r>
    <s v="AW9WE7LS8R57M"/>
    <s v="english"/>
    <s v="test"/>
    <x v="3"/>
    <x v="1"/>
    <s v="mo-l"/>
    <s v="mo-h"/>
    <s v="ms-l"/>
    <n v="0"/>
    <n v="1"/>
    <n v="1"/>
    <n v="0"/>
    <n v="1"/>
    <n v="0"/>
    <n v="1"/>
    <n v="0"/>
    <n v="0"/>
    <n v="1"/>
    <n v="0"/>
    <n v="0"/>
    <n v="0"/>
    <n v="0"/>
  </r>
  <r>
    <s v="A1PZIN8H1VI6SY"/>
    <s v="english"/>
    <s v="test"/>
    <x v="4"/>
    <x v="1"/>
    <s v="ms-l"/>
    <s v="mo-l"/>
    <s v="fa"/>
    <n v="0"/>
    <n v="0"/>
    <n v="1"/>
    <n v="0"/>
    <n v="1"/>
    <n v="0"/>
    <n v="1"/>
    <n v="0"/>
    <n v="0"/>
    <n v="0"/>
    <n v="0"/>
    <n v="1"/>
    <n v="0"/>
    <n v="1"/>
  </r>
  <r>
    <s v="A1PZIN8H1VI6SY"/>
    <s v="english"/>
    <s v="test"/>
    <x v="2"/>
    <x v="1"/>
    <s v="mo-h"/>
    <s v="ms-h"/>
    <s v="mo-l"/>
    <n v="0"/>
    <n v="1"/>
    <n v="1"/>
    <n v="1"/>
    <n v="0"/>
    <n v="0"/>
    <n v="1"/>
    <n v="0"/>
    <n v="1"/>
    <n v="0"/>
    <n v="0"/>
    <n v="0"/>
    <n v="0"/>
    <n v="0"/>
  </r>
  <r>
    <s v="A173XG3NZ7JPT7"/>
    <s v="english"/>
    <s v="test"/>
    <x v="0"/>
    <x v="1"/>
    <s v="mo-h"/>
    <s v="ms-h"/>
    <s v="mo-l"/>
    <n v="0"/>
    <n v="1"/>
    <n v="1"/>
    <n v="1"/>
    <n v="0"/>
    <n v="0"/>
    <n v="1"/>
    <n v="0"/>
    <n v="1"/>
    <n v="1"/>
    <n v="1"/>
    <n v="0"/>
    <n v="0"/>
    <n v="0"/>
  </r>
  <r>
    <s v="A173XG3NZ7JPT7"/>
    <s v="english"/>
    <s v="test"/>
    <x v="5"/>
    <x v="1"/>
    <s v="mo-l"/>
    <s v="exh"/>
    <s v="ms-h"/>
    <n v="1"/>
    <n v="0"/>
    <n v="1"/>
    <n v="1"/>
    <n v="0"/>
    <n v="0"/>
    <n v="1"/>
    <n v="1"/>
    <n v="0"/>
    <n v="1"/>
    <n v="1"/>
    <n v="0"/>
    <n v="0"/>
    <n v="0"/>
  </r>
  <r>
    <s v="A173XG3NZ7JPT7"/>
    <s v="english"/>
    <s v="test"/>
    <x v="1"/>
    <x v="1"/>
    <s v="exh"/>
    <s v="fa"/>
    <s v="mo-l"/>
    <n v="1"/>
    <n v="0"/>
    <n v="1"/>
    <n v="0"/>
    <n v="0"/>
    <n v="0"/>
    <n v="1"/>
    <n v="1"/>
    <n v="0"/>
    <n v="1"/>
    <n v="0"/>
    <n v="0"/>
    <n v="0"/>
    <n v="0"/>
  </r>
  <r>
    <s v="A173XG3NZ7JPT7"/>
    <s v="english"/>
    <s v="test"/>
    <x v="3"/>
    <x v="1"/>
    <s v="ms-l"/>
    <s v="mo-l"/>
    <s v="mo-h"/>
    <n v="0"/>
    <n v="1"/>
    <n v="1"/>
    <n v="0"/>
    <n v="1"/>
    <n v="0"/>
    <n v="1"/>
    <n v="0"/>
    <n v="1"/>
    <n v="1"/>
    <n v="0"/>
    <n v="1"/>
    <n v="0"/>
    <n v="0"/>
  </r>
  <r>
    <s v="A10LLZZHZVGWRW"/>
    <s v="english"/>
    <s v="test"/>
    <x v="2"/>
    <x v="1"/>
    <s v="ms-l"/>
    <s v="mo-l"/>
    <s v="exh"/>
    <n v="1"/>
    <n v="0"/>
    <n v="1"/>
    <n v="0"/>
    <n v="1"/>
    <n v="0"/>
    <n v="1"/>
    <n v="0"/>
    <n v="0"/>
    <n v="1"/>
    <n v="0"/>
    <n v="1"/>
    <n v="0"/>
    <n v="0"/>
  </r>
  <r>
    <s v="A10LLZZHZVGWRW"/>
    <s v="english"/>
    <s v="test"/>
    <x v="4"/>
    <x v="1"/>
    <s v="ms-l"/>
    <s v="mo-h"/>
    <s v="mo-l"/>
    <n v="0"/>
    <n v="1"/>
    <n v="1"/>
    <n v="0"/>
    <n v="1"/>
    <n v="0"/>
    <n v="1"/>
    <n v="0"/>
    <n v="0"/>
    <n v="1"/>
    <n v="0"/>
    <n v="1"/>
    <n v="0"/>
    <n v="0"/>
  </r>
  <r>
    <s v="A10LLZZHZVGWRW"/>
    <s v="english"/>
    <s v="test"/>
    <x v="5"/>
    <x v="1"/>
    <s v="ms-l"/>
    <s v="mo-l"/>
    <s v="ms-h"/>
    <n v="0"/>
    <n v="0"/>
    <n v="1"/>
    <n v="1"/>
    <n v="1"/>
    <n v="0"/>
    <n v="1"/>
    <n v="0"/>
    <n v="0"/>
    <n v="0"/>
    <n v="0"/>
    <n v="0"/>
    <n v="0"/>
    <n v="1"/>
  </r>
  <r>
    <s v="A10LLZZHZVGWRW"/>
    <s v="english"/>
    <s v="test"/>
    <x v="1"/>
    <x v="1"/>
    <s v="ms-h"/>
    <s v="ms-l"/>
    <s v="mo-l"/>
    <n v="0"/>
    <n v="0"/>
    <n v="1"/>
    <n v="1"/>
    <n v="1"/>
    <n v="0"/>
    <n v="1"/>
    <n v="0"/>
    <n v="0"/>
    <n v="0"/>
    <n v="1"/>
    <n v="0"/>
    <n v="0"/>
    <n v="0"/>
  </r>
  <r>
    <s v="A2541C8MY0BYV3"/>
    <s v="english"/>
    <s v="test"/>
    <x v="4"/>
    <x v="1"/>
    <s v="mo-l"/>
    <s v="ms-h"/>
    <s v="mo-h"/>
    <n v="0"/>
    <n v="1"/>
    <n v="1"/>
    <n v="1"/>
    <n v="0"/>
    <n v="0"/>
    <n v="1"/>
    <n v="0"/>
    <n v="1"/>
    <n v="0"/>
    <n v="1"/>
    <n v="0"/>
    <n v="0"/>
    <n v="0"/>
  </r>
  <r>
    <s v="A2541C8MY0BYV3"/>
    <s v="english"/>
    <s v="test"/>
    <x v="2"/>
    <x v="1"/>
    <s v="mo-l"/>
    <s v="exh"/>
    <s v="mo-h"/>
    <n v="1"/>
    <n v="1"/>
    <n v="1"/>
    <n v="0"/>
    <n v="0"/>
    <n v="0"/>
    <n v="1"/>
    <n v="0"/>
    <n v="1"/>
    <n v="0"/>
    <n v="0"/>
    <n v="0"/>
    <n v="0"/>
    <n v="0"/>
  </r>
  <r>
    <s v="A2541C8MY0BYV3"/>
    <s v="english"/>
    <s v="test"/>
    <x v="3"/>
    <x v="1"/>
    <s v="ms-h"/>
    <s v="mo-h"/>
    <s v="mo-l"/>
    <n v="0"/>
    <n v="1"/>
    <n v="1"/>
    <n v="1"/>
    <n v="0"/>
    <n v="0"/>
    <n v="1"/>
    <n v="0"/>
    <n v="1"/>
    <n v="0"/>
    <n v="1"/>
    <n v="0"/>
    <n v="0"/>
    <n v="0"/>
  </r>
  <r>
    <s v="A2GV053CR3O08G"/>
    <s v="english"/>
    <s v="test"/>
    <x v="2"/>
    <x v="1"/>
    <s v="mo-l"/>
    <s v="ms-l"/>
    <s v="mo-h"/>
    <n v="0"/>
    <n v="1"/>
    <n v="1"/>
    <n v="0"/>
    <n v="1"/>
    <n v="0"/>
    <n v="1"/>
    <n v="0"/>
    <n v="1"/>
    <n v="0"/>
    <n v="0"/>
    <n v="0"/>
    <n v="0"/>
    <n v="0"/>
  </r>
  <r>
    <s v="A2GV053CR3O08G"/>
    <s v="english"/>
    <s v="test"/>
    <x v="4"/>
    <x v="1"/>
    <s v="mo-l"/>
    <s v="ms-l"/>
    <s v="ms-h"/>
    <n v="0"/>
    <n v="0"/>
    <n v="1"/>
    <n v="1"/>
    <n v="1"/>
    <n v="0"/>
    <n v="1"/>
    <n v="0"/>
    <n v="0"/>
    <n v="0"/>
    <n v="1"/>
    <n v="0"/>
    <n v="0"/>
    <n v="0"/>
  </r>
  <r>
    <s v="A2GV053CR3O08G"/>
    <s v="english"/>
    <s v="test"/>
    <x v="3"/>
    <x v="1"/>
    <s v="mo-l"/>
    <s v="ms-h"/>
    <s v="ms-l"/>
    <n v="0"/>
    <n v="0"/>
    <n v="1"/>
    <n v="1"/>
    <n v="1"/>
    <n v="0"/>
    <n v="1"/>
    <n v="0"/>
    <n v="0"/>
    <n v="0"/>
    <n v="0"/>
    <n v="1"/>
    <n v="0"/>
    <n v="0"/>
  </r>
  <r>
    <s v="A2GV053CR3O08G"/>
    <s v="english"/>
    <s v="test"/>
    <x v="1"/>
    <x v="1"/>
    <s v="ms-h"/>
    <s v="ms-l"/>
    <s v="mo-l"/>
    <n v="0"/>
    <n v="0"/>
    <n v="1"/>
    <n v="1"/>
    <n v="1"/>
    <n v="0"/>
    <n v="1"/>
    <n v="0"/>
    <n v="0"/>
    <n v="1"/>
    <n v="0"/>
    <n v="0"/>
    <n v="0"/>
    <n v="0"/>
  </r>
  <r>
    <s v="A30UE6DWFNUCWX"/>
    <s v="english"/>
    <s v="test"/>
    <x v="1"/>
    <x v="1"/>
    <s v="mo-h"/>
    <s v="ms-l"/>
    <s v="mo-l"/>
    <n v="0"/>
    <n v="1"/>
    <n v="1"/>
    <n v="0"/>
    <n v="1"/>
    <n v="0"/>
    <n v="1"/>
    <n v="0"/>
    <n v="0"/>
    <n v="0"/>
    <n v="0"/>
    <n v="0"/>
    <n v="0"/>
    <n v="1"/>
  </r>
  <r>
    <s v="A30UE6DWFNUCWX"/>
    <s v="english"/>
    <s v="test"/>
    <x v="4"/>
    <x v="1"/>
    <s v="fa"/>
    <s v="ms-h"/>
    <s v="mo-l"/>
    <n v="0"/>
    <n v="0"/>
    <n v="1"/>
    <n v="1"/>
    <n v="0"/>
    <n v="0"/>
    <n v="1"/>
    <n v="0"/>
    <n v="0"/>
    <n v="0"/>
    <n v="0"/>
    <n v="0"/>
    <n v="0"/>
    <n v="1"/>
  </r>
  <r>
    <s v="A30UE6DWFNUCWX"/>
    <s v="english"/>
    <s v="test"/>
    <x v="0"/>
    <x v="1"/>
    <s v="ms-h"/>
    <s v="mo-h"/>
    <s v="mo-l"/>
    <n v="0"/>
    <n v="1"/>
    <n v="1"/>
    <n v="1"/>
    <n v="0"/>
    <n v="0"/>
    <n v="1"/>
    <n v="0"/>
    <n v="0"/>
    <n v="0"/>
    <n v="0"/>
    <n v="0"/>
    <n v="0"/>
    <n v="1"/>
  </r>
  <r>
    <s v="A2A3X2W4YS9X8A"/>
    <s v="english"/>
    <s v="test"/>
    <x v="2"/>
    <x v="1"/>
    <s v="fa"/>
    <s v="mo-l"/>
    <s v="mo-h"/>
    <n v="0"/>
    <n v="1"/>
    <n v="1"/>
    <n v="0"/>
    <n v="0"/>
    <n v="0"/>
    <n v="1"/>
    <n v="0"/>
    <n v="1"/>
    <n v="1"/>
    <n v="0"/>
    <n v="0"/>
    <n v="0"/>
    <n v="0"/>
  </r>
  <r>
    <s v="A2A3X2W4YS9X8A"/>
    <s v="english"/>
    <s v="test"/>
    <x v="0"/>
    <x v="1"/>
    <s v="ms-l"/>
    <s v="mo-l"/>
    <s v="mo-h"/>
    <n v="0"/>
    <n v="1"/>
    <n v="1"/>
    <n v="0"/>
    <n v="1"/>
    <n v="0"/>
    <n v="1"/>
    <n v="0"/>
    <n v="1"/>
    <n v="1"/>
    <n v="0"/>
    <n v="1"/>
    <n v="0"/>
    <n v="0"/>
  </r>
  <r>
    <s v="A2A3X2W4YS9X8A"/>
    <s v="english"/>
    <s v="test"/>
    <x v="3"/>
    <x v="1"/>
    <s v="fa"/>
    <s v="ms-l"/>
    <s v="mo-l"/>
    <n v="0"/>
    <n v="0"/>
    <n v="1"/>
    <n v="0"/>
    <n v="1"/>
    <n v="0"/>
    <n v="1"/>
    <n v="0"/>
    <n v="0"/>
    <n v="0"/>
    <n v="0"/>
    <n v="0"/>
    <n v="0"/>
    <n v="1"/>
  </r>
  <r>
    <s v="A2A3X2W4YS9X8A"/>
    <s v="english"/>
    <s v="test"/>
    <x v="4"/>
    <x v="1"/>
    <s v="mo-l"/>
    <s v="ms-l"/>
    <s v="fa"/>
    <n v="0"/>
    <n v="0"/>
    <n v="1"/>
    <n v="0"/>
    <n v="1"/>
    <n v="0"/>
    <n v="1"/>
    <n v="0"/>
    <n v="0"/>
    <n v="0"/>
    <n v="0"/>
    <n v="0"/>
    <n v="0"/>
    <n v="1"/>
  </r>
  <r>
    <s v="A2A3X2W4YS9X8A"/>
    <s v="english"/>
    <s v="test"/>
    <x v="1"/>
    <x v="1"/>
    <s v="ms-l"/>
    <s v="mo-l"/>
    <s v="mo-h"/>
    <n v="0"/>
    <n v="1"/>
    <n v="1"/>
    <n v="0"/>
    <n v="1"/>
    <n v="0"/>
    <n v="1"/>
    <n v="0"/>
    <n v="1"/>
    <n v="0"/>
    <n v="0"/>
    <n v="0"/>
    <n v="0"/>
    <n v="0"/>
  </r>
  <r>
    <s v="A19D2W1PR68NO"/>
    <s v="english"/>
    <s v="test"/>
    <x v="0"/>
    <x v="1"/>
    <s v="exh"/>
    <s v="mo-l"/>
    <s v="mo-h"/>
    <n v="1"/>
    <n v="1"/>
    <n v="1"/>
    <n v="0"/>
    <n v="0"/>
    <n v="0"/>
    <n v="1"/>
    <n v="1"/>
    <n v="1"/>
    <n v="1"/>
    <n v="0"/>
    <n v="0"/>
    <n v="0"/>
    <n v="0"/>
  </r>
  <r>
    <s v="A19D2W1PR68NO"/>
    <s v="english"/>
    <s v="test"/>
    <x v="5"/>
    <x v="1"/>
    <s v="mo-h"/>
    <s v="mo-l"/>
    <s v="ms-l"/>
    <n v="0"/>
    <n v="1"/>
    <n v="1"/>
    <n v="0"/>
    <n v="1"/>
    <n v="0"/>
    <n v="1"/>
    <n v="0"/>
    <n v="0"/>
    <n v="0"/>
    <n v="0"/>
    <n v="0"/>
    <n v="0"/>
    <n v="1"/>
  </r>
  <r>
    <s v="A26FRAYAIDR4NV"/>
    <s v="english"/>
    <s v="test"/>
    <x v="2"/>
    <x v="1"/>
    <s v="mo-h"/>
    <s v="mo-l"/>
    <s v="ms-h"/>
    <n v="0"/>
    <n v="1"/>
    <n v="1"/>
    <n v="1"/>
    <n v="0"/>
    <n v="0"/>
    <n v="1"/>
    <n v="0"/>
    <n v="1"/>
    <n v="0"/>
    <n v="0"/>
    <n v="0"/>
    <n v="0"/>
    <n v="0"/>
  </r>
  <r>
    <s v="A26FRAYAIDR4NV"/>
    <s v="english"/>
    <s v="test"/>
    <x v="4"/>
    <x v="1"/>
    <s v="ms-l"/>
    <s v="mo-l"/>
    <s v="fa"/>
    <n v="0"/>
    <n v="0"/>
    <n v="1"/>
    <n v="0"/>
    <n v="1"/>
    <n v="0"/>
    <n v="1"/>
    <n v="0"/>
    <n v="0"/>
    <n v="0"/>
    <n v="0"/>
    <n v="1"/>
    <n v="0"/>
    <n v="0"/>
  </r>
  <r>
    <s v="A26FRAYAIDR4NV"/>
    <s v="english"/>
    <s v="test"/>
    <x v="0"/>
    <x v="1"/>
    <s v="ms-h"/>
    <s v="mo-l"/>
    <s v="mo-h"/>
    <n v="0"/>
    <n v="1"/>
    <n v="1"/>
    <n v="1"/>
    <n v="0"/>
    <n v="0"/>
    <n v="1"/>
    <n v="0"/>
    <n v="0"/>
    <n v="1"/>
    <n v="0"/>
    <n v="0"/>
    <n v="0"/>
    <n v="0"/>
  </r>
  <r>
    <s v="A26FRAYAIDR4NV"/>
    <s v="english"/>
    <s v="test"/>
    <x v="5"/>
    <x v="1"/>
    <s v="mo-h"/>
    <s v="mo-l"/>
    <s v="ms-h"/>
    <n v="0"/>
    <n v="1"/>
    <n v="1"/>
    <n v="1"/>
    <n v="0"/>
    <n v="0"/>
    <n v="1"/>
    <n v="0"/>
    <n v="0"/>
    <n v="1"/>
    <n v="0"/>
    <n v="0"/>
    <n v="0"/>
    <n v="0"/>
  </r>
  <r>
    <s v="A3JODCUHJMCSA2"/>
    <s v="english"/>
    <s v="test"/>
    <x v="4"/>
    <x v="1"/>
    <s v="ms-l"/>
    <s v="fa"/>
    <s v="mo-l"/>
    <n v="0"/>
    <n v="0"/>
    <n v="1"/>
    <n v="0"/>
    <n v="1"/>
    <n v="0"/>
    <n v="1"/>
    <n v="0"/>
    <n v="0"/>
    <n v="0"/>
    <n v="0"/>
    <n v="0"/>
    <n v="0"/>
    <n v="1"/>
  </r>
  <r>
    <s v="A3JODCUHJMCSA2"/>
    <s v="english"/>
    <s v="test"/>
    <x v="2"/>
    <x v="1"/>
    <s v="mo-l"/>
    <s v="ms-h"/>
    <s v="fa"/>
    <n v="0"/>
    <n v="0"/>
    <n v="1"/>
    <n v="1"/>
    <n v="0"/>
    <n v="0"/>
    <n v="1"/>
    <n v="0"/>
    <n v="0"/>
    <n v="0"/>
    <n v="1"/>
    <n v="0"/>
    <n v="0"/>
    <n v="0"/>
  </r>
  <r>
    <s v="A3JODCUHJMCSA2"/>
    <s v="english"/>
    <s v="test"/>
    <x v="3"/>
    <x v="1"/>
    <s v="fa"/>
    <s v="ms-l"/>
    <s v="mo-l"/>
    <n v="0"/>
    <n v="0"/>
    <n v="1"/>
    <n v="0"/>
    <n v="1"/>
    <n v="0"/>
    <n v="1"/>
    <n v="0"/>
    <n v="0"/>
    <n v="0"/>
    <n v="0"/>
    <n v="0"/>
    <n v="0"/>
    <n v="1"/>
  </r>
  <r>
    <s v="A3JODCUHJMCSA2"/>
    <s v="english"/>
    <s v="test"/>
    <x v="0"/>
    <x v="1"/>
    <s v="ms-h"/>
    <s v="mo-l"/>
    <s v="fa"/>
    <n v="0"/>
    <n v="0"/>
    <n v="1"/>
    <n v="1"/>
    <n v="0"/>
    <n v="0"/>
    <n v="1"/>
    <n v="0"/>
    <n v="0"/>
    <n v="0"/>
    <n v="1"/>
    <n v="0"/>
    <n v="0"/>
    <n v="0"/>
  </r>
  <r>
    <s v="A3JODCUHJMCSA2"/>
    <s v="english"/>
    <s v="test"/>
    <x v="5"/>
    <x v="1"/>
    <s v="fa"/>
    <s v="mo-l"/>
    <s v="mo-h"/>
    <n v="0"/>
    <n v="1"/>
    <n v="1"/>
    <n v="0"/>
    <n v="0"/>
    <n v="0"/>
    <n v="1"/>
    <n v="0"/>
    <n v="1"/>
    <n v="0"/>
    <n v="0"/>
    <n v="0"/>
    <n v="0"/>
    <n v="0"/>
  </r>
  <r>
    <s v="A03172343NB8PHOPICC1"/>
    <s v="english"/>
    <s v="test"/>
    <x v="2"/>
    <x v="1"/>
    <s v="mo-l"/>
    <s v="ms-l"/>
    <s v="ms-h"/>
    <n v="0"/>
    <n v="0"/>
    <n v="1"/>
    <n v="1"/>
    <n v="1"/>
    <n v="0"/>
    <n v="1"/>
    <n v="0"/>
    <n v="0"/>
    <n v="1"/>
    <n v="1"/>
    <n v="1"/>
    <n v="0"/>
    <n v="0"/>
  </r>
  <r>
    <s v="A03172343NB8PHOPICC1"/>
    <s v="english"/>
    <s v="test"/>
    <x v="4"/>
    <x v="1"/>
    <s v="mo-l"/>
    <s v="mo-h"/>
    <s v="exh"/>
    <n v="1"/>
    <n v="1"/>
    <n v="1"/>
    <n v="0"/>
    <n v="0"/>
    <n v="0"/>
    <n v="1"/>
    <n v="0"/>
    <n v="1"/>
    <n v="0"/>
    <n v="0"/>
    <n v="0"/>
    <n v="0"/>
    <n v="0"/>
  </r>
  <r>
    <s v="A03172343NB8PHOPICC1"/>
    <s v="english"/>
    <s v="test"/>
    <x v="0"/>
    <x v="1"/>
    <s v="ms-h"/>
    <s v="mo-l"/>
    <s v="mo-h"/>
    <n v="0"/>
    <n v="1"/>
    <n v="1"/>
    <n v="1"/>
    <n v="0"/>
    <n v="0"/>
    <n v="1"/>
    <n v="0"/>
    <n v="1"/>
    <n v="1"/>
    <n v="1"/>
    <n v="0"/>
    <n v="0"/>
    <n v="0"/>
  </r>
  <r>
    <s v="A03172343NB8PHOPICC1"/>
    <s v="english"/>
    <s v="test"/>
    <x v="5"/>
    <x v="1"/>
    <s v="exh"/>
    <s v="mo-l"/>
    <s v="ms-l"/>
    <n v="1"/>
    <n v="0"/>
    <n v="1"/>
    <n v="0"/>
    <n v="1"/>
    <n v="0"/>
    <n v="1"/>
    <n v="1"/>
    <n v="0"/>
    <n v="1"/>
    <n v="0"/>
    <n v="1"/>
    <n v="0"/>
    <n v="0"/>
  </r>
  <r>
    <s v="ADOVF9SBJJK33"/>
    <s v="english"/>
    <s v="test"/>
    <x v="2"/>
    <x v="1"/>
    <s v="exh"/>
    <s v="mo-l"/>
    <s v="mo-h"/>
    <n v="1"/>
    <n v="1"/>
    <n v="1"/>
    <n v="0"/>
    <n v="0"/>
    <n v="0"/>
    <n v="1"/>
    <n v="1"/>
    <n v="1"/>
    <n v="0"/>
    <n v="0"/>
    <n v="0"/>
    <n v="0"/>
    <n v="0"/>
  </r>
  <r>
    <s v="A2EW08X2I87RXL"/>
    <s v="english"/>
    <s v="test"/>
    <x v="2"/>
    <x v="1"/>
    <s v="mo-l"/>
    <s v="ms-l"/>
    <s v="ms-h"/>
    <n v="0"/>
    <n v="0"/>
    <n v="1"/>
    <n v="1"/>
    <n v="1"/>
    <n v="0"/>
    <n v="1"/>
    <n v="0"/>
    <n v="0"/>
    <n v="1"/>
    <n v="1"/>
    <n v="1"/>
    <n v="0"/>
    <n v="0"/>
  </r>
  <r>
    <s v="A2EW08X2I87RXL"/>
    <s v="english"/>
    <s v="test"/>
    <x v="1"/>
    <x v="1"/>
    <s v="mo-h"/>
    <s v="mo-l"/>
    <s v="ms-h"/>
    <n v="0"/>
    <n v="1"/>
    <n v="1"/>
    <n v="1"/>
    <n v="0"/>
    <n v="0"/>
    <n v="1"/>
    <n v="0"/>
    <n v="0"/>
    <n v="0"/>
    <n v="0"/>
    <n v="0"/>
    <n v="0"/>
    <n v="1"/>
  </r>
  <r>
    <s v="A2EW08X2I87RXL"/>
    <s v="english"/>
    <s v="test"/>
    <x v="4"/>
    <x v="1"/>
    <s v="mo-l"/>
    <s v="ms-h"/>
    <s v="exh"/>
    <n v="1"/>
    <n v="0"/>
    <n v="1"/>
    <n v="1"/>
    <n v="0"/>
    <n v="0"/>
    <n v="1"/>
    <n v="1"/>
    <n v="0"/>
    <n v="1"/>
    <n v="1"/>
    <n v="0"/>
    <n v="0"/>
    <n v="0"/>
  </r>
  <r>
    <s v="A2EW08X2I87RXL"/>
    <s v="english"/>
    <s v="test"/>
    <x v="5"/>
    <x v="1"/>
    <s v="mo-l"/>
    <s v="mo-h"/>
    <s v="ms-h"/>
    <n v="0"/>
    <n v="1"/>
    <n v="1"/>
    <n v="1"/>
    <n v="0"/>
    <n v="0"/>
    <n v="1"/>
    <n v="0"/>
    <n v="0"/>
    <n v="0"/>
    <n v="0"/>
    <n v="0"/>
    <n v="0"/>
    <n v="1"/>
  </r>
  <r>
    <s v="A2EW08X2I87RXL"/>
    <s v="english"/>
    <s v="test"/>
    <x v="0"/>
    <x v="1"/>
    <s v="mo-l"/>
    <s v="ms-l"/>
    <s v="mo-h"/>
    <n v="0"/>
    <n v="1"/>
    <n v="1"/>
    <n v="0"/>
    <n v="1"/>
    <n v="0"/>
    <n v="1"/>
    <n v="0"/>
    <n v="1"/>
    <n v="1"/>
    <n v="0"/>
    <n v="1"/>
    <n v="0"/>
    <n v="0"/>
  </r>
  <r>
    <s v="A2EW08X2I87RXL"/>
    <s v="english"/>
    <s v="test"/>
    <x v="3"/>
    <x v="1"/>
    <s v="ms-l"/>
    <s v="mo-l"/>
    <s v="ms-h"/>
    <n v="0"/>
    <n v="0"/>
    <n v="1"/>
    <n v="1"/>
    <n v="1"/>
    <n v="0"/>
    <n v="1"/>
    <n v="0"/>
    <n v="0"/>
    <n v="0"/>
    <n v="0"/>
    <n v="0"/>
    <n v="0"/>
    <n v="1"/>
  </r>
  <r>
    <s v="ALF9AAZGQP4K5"/>
    <s v="english"/>
    <s v="test"/>
    <x v="2"/>
    <x v="1"/>
    <s v="mo-l"/>
    <s v="ms-h"/>
    <s v="mo-h"/>
    <n v="0"/>
    <n v="1"/>
    <n v="1"/>
    <n v="1"/>
    <n v="0"/>
    <n v="0"/>
    <n v="1"/>
    <n v="0"/>
    <n v="0"/>
    <n v="0"/>
    <n v="0"/>
    <n v="0"/>
    <n v="0"/>
    <n v="1"/>
  </r>
  <r>
    <s v="ALF9AAZGQP4K5"/>
    <s v="english"/>
    <s v="test"/>
    <x v="4"/>
    <x v="1"/>
    <s v="mo-l"/>
    <s v="fa"/>
    <s v="mo-h"/>
    <n v="0"/>
    <n v="1"/>
    <n v="1"/>
    <n v="0"/>
    <n v="0"/>
    <n v="0"/>
    <n v="1"/>
    <n v="0"/>
    <n v="1"/>
    <n v="0"/>
    <n v="0"/>
    <n v="0"/>
    <n v="0"/>
    <n v="0"/>
  </r>
  <r>
    <s v="ALF9AAZGQP4K5"/>
    <s v="english"/>
    <s v="test"/>
    <x v="5"/>
    <x v="1"/>
    <s v="mo-l"/>
    <s v="ms-h"/>
    <s v="mo-h"/>
    <n v="0"/>
    <n v="1"/>
    <n v="1"/>
    <n v="1"/>
    <n v="0"/>
    <n v="0"/>
    <n v="1"/>
    <n v="0"/>
    <n v="1"/>
    <n v="0"/>
    <n v="1"/>
    <n v="0"/>
    <n v="0"/>
    <n v="0"/>
  </r>
  <r>
    <s v="ALF9AAZGQP4K5"/>
    <s v="english"/>
    <s v="test"/>
    <x v="0"/>
    <x v="1"/>
    <s v="exh"/>
    <s v="mo-l"/>
    <s v="ms-h"/>
    <n v="1"/>
    <n v="0"/>
    <n v="1"/>
    <n v="1"/>
    <n v="0"/>
    <n v="0"/>
    <n v="1"/>
    <n v="0"/>
    <n v="0"/>
    <n v="0"/>
    <n v="1"/>
    <n v="0"/>
    <n v="0"/>
    <n v="0"/>
  </r>
  <r>
    <s v="A28LPPFS7FW2SD"/>
    <s v="english"/>
    <s v="test"/>
    <x v="2"/>
    <x v="1"/>
    <s v="mo-h"/>
    <s v="fa"/>
    <s v="mo-l"/>
    <n v="0"/>
    <n v="1"/>
    <n v="1"/>
    <n v="0"/>
    <n v="0"/>
    <n v="0"/>
    <n v="1"/>
    <n v="0"/>
    <n v="1"/>
    <n v="1"/>
    <n v="0"/>
    <n v="0"/>
    <n v="0"/>
    <n v="0"/>
  </r>
  <r>
    <s v="A28LPPFS7FW2SD"/>
    <s v="english"/>
    <s v="test"/>
    <x v="0"/>
    <x v="1"/>
    <s v="mo-l"/>
    <s v="ms-l"/>
    <s v="mo-h"/>
    <n v="0"/>
    <n v="1"/>
    <n v="1"/>
    <n v="0"/>
    <n v="1"/>
    <n v="0"/>
    <n v="1"/>
    <n v="0"/>
    <n v="1"/>
    <n v="1"/>
    <n v="0"/>
    <n v="1"/>
    <n v="0"/>
    <n v="0"/>
  </r>
  <r>
    <s v="A28LPPFS7FW2SD"/>
    <s v="english"/>
    <s v="test"/>
    <x v="4"/>
    <x v="1"/>
    <s v="ms-h"/>
    <s v="ms-l"/>
    <s v="mo-l"/>
    <n v="0"/>
    <n v="0"/>
    <n v="1"/>
    <n v="1"/>
    <n v="1"/>
    <n v="0"/>
    <n v="1"/>
    <n v="0"/>
    <n v="0"/>
    <n v="1"/>
    <n v="0"/>
    <n v="1"/>
    <n v="0"/>
    <n v="0"/>
  </r>
  <r>
    <s v="A28LPPFS7FW2SD"/>
    <s v="english"/>
    <s v="test"/>
    <x v="1"/>
    <x v="1"/>
    <s v="ms-l"/>
    <s v="exh"/>
    <s v="mo-l"/>
    <n v="1"/>
    <n v="0"/>
    <n v="1"/>
    <n v="0"/>
    <n v="1"/>
    <n v="0"/>
    <n v="1"/>
    <n v="1"/>
    <n v="0"/>
    <n v="0"/>
    <n v="0"/>
    <n v="0"/>
    <n v="0"/>
    <n v="0"/>
  </r>
  <r>
    <s v="AWZCVOUD0LPT"/>
    <s v="hindi"/>
    <s v="test"/>
    <x v="4"/>
    <x v="1"/>
    <s v="mo-h"/>
    <s v="ms-l"/>
    <s v="mo-l"/>
    <n v="0"/>
    <n v="1"/>
    <n v="1"/>
    <n v="0"/>
    <n v="1"/>
    <n v="0"/>
    <n v="1"/>
    <n v="0"/>
    <n v="0"/>
    <n v="0"/>
    <n v="0"/>
    <n v="1"/>
    <n v="0"/>
    <n v="0"/>
  </r>
  <r>
    <s v="AWZCVOUD0LPT"/>
    <s v="hindi"/>
    <s v="test"/>
    <x v="3"/>
    <x v="1"/>
    <s v="mo-l"/>
    <s v="mo-h"/>
    <s v="fa"/>
    <n v="0"/>
    <n v="1"/>
    <n v="1"/>
    <n v="0"/>
    <n v="0"/>
    <n v="0"/>
    <n v="1"/>
    <n v="0"/>
    <n v="1"/>
    <n v="0"/>
    <n v="0"/>
    <n v="0"/>
    <n v="0"/>
    <n v="0"/>
  </r>
  <r>
    <s v="AWZCVOUD0LPT"/>
    <s v="hindi"/>
    <s v="test"/>
    <x v="2"/>
    <x v="1"/>
    <s v="ms-l"/>
    <s v="mo-l"/>
    <s v="ms-h"/>
    <n v="0"/>
    <n v="0"/>
    <n v="1"/>
    <n v="1"/>
    <n v="1"/>
    <n v="0"/>
    <n v="1"/>
    <n v="0"/>
    <n v="0"/>
    <n v="0"/>
    <n v="0"/>
    <n v="1"/>
    <n v="0"/>
    <n v="1"/>
  </r>
  <r>
    <s v="AWZCVOUD0LPT"/>
    <s v="hindi"/>
    <s v="test"/>
    <x v="1"/>
    <x v="1"/>
    <s v="mo-h"/>
    <s v="ms-l"/>
    <s v="mo-l"/>
    <n v="0"/>
    <n v="1"/>
    <n v="1"/>
    <n v="0"/>
    <n v="1"/>
    <n v="0"/>
    <n v="1"/>
    <n v="0"/>
    <n v="0"/>
    <n v="1"/>
    <n v="0"/>
    <n v="0"/>
    <n v="0"/>
    <n v="0"/>
  </r>
  <r>
    <s v="AZCGSVDT79E6X"/>
    <s v="english"/>
    <s v="test"/>
    <x v="3"/>
    <x v="1"/>
    <s v="ms-h"/>
    <s v="mo-l"/>
    <s v="mo-h"/>
    <n v="0"/>
    <n v="1"/>
    <n v="1"/>
    <n v="1"/>
    <n v="0"/>
    <n v="0"/>
    <n v="1"/>
    <n v="0"/>
    <n v="0"/>
    <n v="0"/>
    <n v="1"/>
    <n v="0"/>
    <n v="0"/>
    <n v="0"/>
  </r>
  <r>
    <s v="AZCGSVDT79E6X"/>
    <s v="english"/>
    <s v="test"/>
    <x v="4"/>
    <x v="1"/>
    <s v="ms-l"/>
    <s v="exh"/>
    <s v="mo-l"/>
    <n v="1"/>
    <n v="0"/>
    <n v="1"/>
    <n v="0"/>
    <n v="1"/>
    <n v="0"/>
    <n v="1"/>
    <n v="1"/>
    <n v="0"/>
    <n v="0"/>
    <n v="0"/>
    <n v="0"/>
    <n v="0"/>
    <n v="0"/>
  </r>
  <r>
    <s v="AZCGSVDT79E6X"/>
    <s v="english"/>
    <s v="test"/>
    <x v="2"/>
    <x v="1"/>
    <s v="exh"/>
    <s v="ms-h"/>
    <s v="mo-l"/>
    <n v="1"/>
    <n v="0"/>
    <n v="1"/>
    <n v="1"/>
    <n v="0"/>
    <n v="0"/>
    <n v="1"/>
    <n v="1"/>
    <n v="0"/>
    <n v="1"/>
    <n v="1"/>
    <n v="0"/>
    <n v="0"/>
    <n v="0"/>
  </r>
  <r>
    <s v="AZCGSVDT79E6X"/>
    <s v="english"/>
    <s v="test"/>
    <x v="0"/>
    <x v="1"/>
    <s v="mo-l"/>
    <s v="ms-h"/>
    <s v="ms-l"/>
    <n v="0"/>
    <n v="0"/>
    <n v="1"/>
    <n v="1"/>
    <n v="1"/>
    <n v="0"/>
    <n v="1"/>
    <n v="0"/>
    <n v="0"/>
    <n v="0"/>
    <n v="1"/>
    <n v="0"/>
    <n v="0"/>
    <n v="0"/>
  </r>
  <r>
    <s v="AZCGSVDT79E6X"/>
    <s v="english"/>
    <s v="test"/>
    <x v="5"/>
    <x v="1"/>
    <s v="mo-l"/>
    <s v="fa"/>
    <s v="ms-l"/>
    <n v="0"/>
    <n v="0"/>
    <n v="1"/>
    <n v="0"/>
    <n v="1"/>
    <n v="0"/>
    <n v="1"/>
    <n v="0"/>
    <n v="0"/>
    <n v="0"/>
    <n v="0"/>
    <n v="0"/>
    <n v="0"/>
    <n v="1"/>
  </r>
  <r>
    <s v="A3UN1F1EOHKKE6"/>
    <s v="english"/>
    <s v="test"/>
    <x v="0"/>
    <x v="1"/>
    <s v="ms-l"/>
    <s v="mo-l"/>
    <s v="ms-h"/>
    <n v="0"/>
    <n v="0"/>
    <n v="1"/>
    <n v="1"/>
    <n v="1"/>
    <n v="0"/>
    <n v="1"/>
    <n v="0"/>
    <n v="0"/>
    <n v="0"/>
    <n v="1"/>
    <n v="0"/>
    <n v="0"/>
    <n v="0"/>
  </r>
  <r>
    <s v="A3UN1F1EOHKKE6"/>
    <s v="english"/>
    <s v="test"/>
    <x v="5"/>
    <x v="1"/>
    <s v="exh"/>
    <s v="fa"/>
    <s v="mo-l"/>
    <n v="1"/>
    <n v="0"/>
    <n v="1"/>
    <n v="0"/>
    <n v="0"/>
    <n v="0"/>
    <n v="1"/>
    <n v="1"/>
    <n v="0"/>
    <n v="1"/>
    <n v="0"/>
    <n v="0"/>
    <n v="0"/>
    <n v="0"/>
  </r>
  <r>
    <s v="A3UN1F1EOHKKE6"/>
    <s v="english"/>
    <s v="test"/>
    <x v="1"/>
    <x v="1"/>
    <s v="ms-h"/>
    <s v="mo-l"/>
    <s v="ms-l"/>
    <n v="0"/>
    <n v="0"/>
    <n v="1"/>
    <n v="1"/>
    <n v="1"/>
    <n v="0"/>
    <n v="1"/>
    <n v="0"/>
    <n v="0"/>
    <n v="0"/>
    <n v="1"/>
    <n v="0"/>
    <n v="0"/>
    <n v="0"/>
  </r>
  <r>
    <s v="A3UN1F1EOHKKE6"/>
    <s v="english"/>
    <s v="test"/>
    <x v="2"/>
    <x v="1"/>
    <s v="ms-l"/>
    <s v="mo-l"/>
    <s v="mo-h"/>
    <n v="0"/>
    <n v="1"/>
    <n v="1"/>
    <n v="0"/>
    <n v="1"/>
    <n v="0"/>
    <n v="1"/>
    <n v="0"/>
    <n v="1"/>
    <n v="0"/>
    <n v="0"/>
    <n v="0"/>
    <n v="0"/>
    <n v="0"/>
  </r>
  <r>
    <s v="A3UN1F1EOHKKE6"/>
    <s v="english"/>
    <s v="test"/>
    <x v="3"/>
    <x v="1"/>
    <s v="fa"/>
    <s v="mo-l"/>
    <s v="exh"/>
    <n v="1"/>
    <n v="0"/>
    <n v="1"/>
    <n v="0"/>
    <n v="0"/>
    <n v="0"/>
    <n v="1"/>
    <n v="1"/>
    <n v="0"/>
    <n v="0"/>
    <n v="0"/>
    <n v="0"/>
    <n v="0"/>
    <n v="0"/>
  </r>
  <r>
    <s v="AXP8EG22MPZY8"/>
    <s v="english"/>
    <s v="test"/>
    <x v="0"/>
    <x v="1"/>
    <s v="ms-l"/>
    <s v="exh"/>
    <s v="mo-l"/>
    <n v="1"/>
    <n v="0"/>
    <n v="1"/>
    <n v="0"/>
    <n v="1"/>
    <n v="0"/>
    <n v="1"/>
    <n v="0"/>
    <n v="0"/>
    <n v="1"/>
    <n v="0"/>
    <n v="1"/>
    <n v="0"/>
    <n v="0"/>
  </r>
  <r>
    <s v="AXP8EG22MPZY8"/>
    <s v="english"/>
    <s v="test"/>
    <x v="1"/>
    <x v="1"/>
    <s v="ms-l"/>
    <s v="mo-l"/>
    <s v="fa"/>
    <n v="0"/>
    <n v="0"/>
    <n v="1"/>
    <n v="0"/>
    <n v="1"/>
    <n v="0"/>
    <n v="1"/>
    <n v="0"/>
    <n v="0"/>
    <n v="1"/>
    <n v="0"/>
    <n v="1"/>
    <n v="0"/>
    <n v="0"/>
  </r>
  <r>
    <s v="A1XATJA7ENOGWB"/>
    <s v="english"/>
    <s v="test"/>
    <x v="2"/>
    <x v="1"/>
    <s v="exh"/>
    <s v="ms-h"/>
    <s v="mo-l"/>
    <n v="1"/>
    <n v="0"/>
    <n v="1"/>
    <n v="1"/>
    <n v="0"/>
    <n v="0"/>
    <n v="1"/>
    <n v="1"/>
    <n v="0"/>
    <n v="1"/>
    <n v="1"/>
    <n v="0"/>
    <n v="0"/>
    <n v="0"/>
  </r>
  <r>
    <s v="A1XATJA7ENOGWB"/>
    <s v="english"/>
    <s v="test"/>
    <x v="4"/>
    <x v="1"/>
    <s v="mo-l"/>
    <s v="mo-h"/>
    <s v="ms-l"/>
    <n v="0"/>
    <n v="1"/>
    <n v="1"/>
    <n v="0"/>
    <n v="1"/>
    <n v="0"/>
    <n v="1"/>
    <n v="0"/>
    <n v="1"/>
    <n v="1"/>
    <n v="0"/>
    <n v="1"/>
    <n v="0"/>
    <n v="0"/>
  </r>
  <r>
    <s v="A1XATJA7ENOGWB"/>
    <s v="english"/>
    <s v="test"/>
    <x v="0"/>
    <x v="1"/>
    <s v="ms-h"/>
    <s v="mo-l"/>
    <s v="mo-h"/>
    <n v="0"/>
    <n v="1"/>
    <n v="1"/>
    <n v="1"/>
    <n v="0"/>
    <n v="0"/>
    <n v="1"/>
    <n v="0"/>
    <n v="1"/>
    <n v="1"/>
    <n v="1"/>
    <n v="0"/>
    <n v="0"/>
    <n v="0"/>
  </r>
  <r>
    <s v="A2W5Q0IVJUS7Y6"/>
    <s v="english"/>
    <s v="test"/>
    <x v="5"/>
    <x v="1"/>
    <s v="ms-h"/>
    <s v="mo-l"/>
    <s v="mo-h"/>
    <n v="0"/>
    <n v="1"/>
    <n v="1"/>
    <n v="1"/>
    <n v="0"/>
    <n v="0"/>
    <n v="1"/>
    <n v="0"/>
    <n v="1"/>
    <n v="1"/>
    <n v="0"/>
    <n v="0"/>
    <n v="0"/>
    <n v="0"/>
  </r>
  <r>
    <s v="A2W5Q0IVJUS7Y6"/>
    <s v="english"/>
    <s v="test"/>
    <x v="3"/>
    <x v="1"/>
    <s v="ms-l"/>
    <s v="ms-h"/>
    <s v="mo-l"/>
    <n v="0"/>
    <n v="0"/>
    <n v="1"/>
    <n v="1"/>
    <n v="1"/>
    <n v="0"/>
    <n v="1"/>
    <n v="0"/>
    <n v="0"/>
    <n v="0"/>
    <n v="1"/>
    <n v="0"/>
    <n v="0"/>
    <n v="0"/>
  </r>
  <r>
    <s v="A2W5Q0IVJUS7Y6"/>
    <s v="english"/>
    <s v="test"/>
    <x v="0"/>
    <x v="1"/>
    <s v="mo-l"/>
    <s v="mo-h"/>
    <s v="ms-h"/>
    <n v="0"/>
    <n v="1"/>
    <n v="1"/>
    <n v="1"/>
    <n v="0"/>
    <n v="0"/>
    <n v="1"/>
    <n v="0"/>
    <n v="1"/>
    <n v="1"/>
    <n v="0"/>
    <n v="0"/>
    <n v="0"/>
    <n v="0"/>
  </r>
  <r>
    <s v="A2W5Q0IVJUS7Y6"/>
    <s v="english"/>
    <s v="test"/>
    <x v="1"/>
    <x v="1"/>
    <s v="mo-l"/>
    <s v="mo-h"/>
    <s v="ms-l"/>
    <n v="0"/>
    <n v="1"/>
    <n v="1"/>
    <n v="0"/>
    <n v="1"/>
    <n v="0"/>
    <n v="1"/>
    <n v="0"/>
    <n v="1"/>
    <n v="1"/>
    <n v="0"/>
    <n v="1"/>
    <n v="0"/>
    <n v="0"/>
  </r>
  <r>
    <s v="AKAPWAUEDPVGV"/>
    <s v="english"/>
    <s v="test"/>
    <x v="3"/>
    <x v="1"/>
    <s v="ms-l"/>
    <s v="mo-l"/>
    <s v="mo-h"/>
    <n v="0"/>
    <n v="1"/>
    <n v="1"/>
    <n v="0"/>
    <n v="1"/>
    <n v="0"/>
    <n v="1"/>
    <n v="0"/>
    <n v="0"/>
    <n v="1"/>
    <n v="0"/>
    <n v="0"/>
    <n v="0"/>
    <n v="0"/>
  </r>
  <r>
    <s v="A39BSJLRE2AQD4"/>
    <s v="english"/>
    <s v="test"/>
    <x v="2"/>
    <x v="1"/>
    <s v="ms-l"/>
    <s v="ms-h"/>
    <s v="mo-l"/>
    <n v="0"/>
    <n v="0"/>
    <n v="1"/>
    <n v="1"/>
    <n v="1"/>
    <n v="0"/>
    <n v="1"/>
    <n v="0"/>
    <n v="0"/>
    <n v="0"/>
    <n v="1"/>
    <n v="1"/>
    <n v="0"/>
    <n v="0"/>
  </r>
  <r>
    <s v="A39BSJLRE2AQD4"/>
    <s v="english"/>
    <s v="test"/>
    <x v="3"/>
    <x v="1"/>
    <s v="mo-l"/>
    <s v="ms-l"/>
    <s v="fa"/>
    <n v="0"/>
    <n v="0"/>
    <n v="1"/>
    <n v="0"/>
    <n v="1"/>
    <n v="0"/>
    <n v="1"/>
    <n v="0"/>
    <n v="0"/>
    <n v="0"/>
    <n v="0"/>
    <n v="1"/>
    <n v="0"/>
    <n v="0"/>
  </r>
  <r>
    <s v="A39BSJLRE2AQD4"/>
    <s v="english"/>
    <s v="test"/>
    <x v="1"/>
    <x v="1"/>
    <s v="fa"/>
    <s v="mo-l"/>
    <s v="ms-l"/>
    <n v="0"/>
    <n v="0"/>
    <n v="1"/>
    <n v="0"/>
    <n v="1"/>
    <n v="0"/>
    <n v="1"/>
    <n v="0"/>
    <n v="0"/>
    <n v="1"/>
    <n v="0"/>
    <n v="0"/>
    <n v="0"/>
    <n v="0"/>
  </r>
  <r>
    <s v="A39BSJLRE2AQD4"/>
    <s v="english"/>
    <s v="test"/>
    <x v="0"/>
    <x v="1"/>
    <s v="ms-l"/>
    <s v="exh"/>
    <s v="mo-l"/>
    <n v="1"/>
    <n v="0"/>
    <n v="1"/>
    <n v="0"/>
    <n v="1"/>
    <n v="0"/>
    <n v="1"/>
    <n v="1"/>
    <n v="0"/>
    <n v="0"/>
    <n v="0"/>
    <n v="0"/>
    <n v="0"/>
    <n v="0"/>
  </r>
  <r>
    <s v="A39BSJLRE2AQD4"/>
    <s v="english"/>
    <s v="test"/>
    <x v="5"/>
    <x v="1"/>
    <s v="mo-h"/>
    <s v="mo-l"/>
    <s v="ms-l"/>
    <n v="0"/>
    <n v="1"/>
    <n v="1"/>
    <n v="0"/>
    <n v="1"/>
    <n v="0"/>
    <n v="1"/>
    <n v="0"/>
    <n v="0"/>
    <n v="0"/>
    <n v="0"/>
    <n v="1"/>
    <n v="0"/>
    <n v="0"/>
  </r>
  <r>
    <s v="A125AOX978LDG7"/>
    <s v="English "/>
    <s v="test"/>
    <x v="4"/>
    <x v="1"/>
    <s v="mo-l"/>
    <s v="mo-h"/>
    <s v="ms-h"/>
    <n v="0"/>
    <n v="1"/>
    <n v="1"/>
    <n v="1"/>
    <n v="0"/>
    <n v="0"/>
    <n v="1"/>
    <n v="0"/>
    <n v="1"/>
    <n v="1"/>
    <n v="1"/>
    <n v="0"/>
    <n v="0"/>
    <n v="0"/>
  </r>
  <r>
    <s v="A125AOX978LDG7"/>
    <s v="English "/>
    <s v="test"/>
    <x v="3"/>
    <x v="1"/>
    <s v="ms-l"/>
    <s v="mo-l"/>
    <s v="ms-h"/>
    <n v="0"/>
    <n v="0"/>
    <n v="1"/>
    <n v="1"/>
    <n v="1"/>
    <n v="0"/>
    <n v="1"/>
    <n v="0"/>
    <n v="0"/>
    <n v="1"/>
    <n v="1"/>
    <n v="1"/>
    <n v="0"/>
    <n v="0"/>
  </r>
  <r>
    <s v="A125AOX978LDG7"/>
    <s v="English "/>
    <s v="test"/>
    <x v="1"/>
    <x v="1"/>
    <s v="mo-h"/>
    <s v="mo-l"/>
    <s v="ms-l"/>
    <n v="0"/>
    <n v="1"/>
    <n v="1"/>
    <n v="0"/>
    <n v="1"/>
    <n v="0"/>
    <n v="1"/>
    <n v="0"/>
    <n v="1"/>
    <n v="1"/>
    <n v="0"/>
    <n v="1"/>
    <n v="0"/>
    <n v="0"/>
  </r>
  <r>
    <s v="A125AOX978LDG7"/>
    <s v="English "/>
    <s v="test"/>
    <x v="0"/>
    <x v="1"/>
    <s v="mo-l"/>
    <s v="mo-h"/>
    <s v="ms-h"/>
    <n v="0"/>
    <n v="1"/>
    <n v="1"/>
    <n v="1"/>
    <n v="0"/>
    <n v="0"/>
    <n v="1"/>
    <n v="0"/>
    <n v="1"/>
    <n v="1"/>
    <n v="1"/>
    <n v="0"/>
    <n v="0"/>
    <n v="0"/>
  </r>
  <r>
    <s v="A20Q6LGMUJLJDG"/>
    <s v="english"/>
    <s v="test"/>
    <x v="1"/>
    <x v="1"/>
    <s v="mo-h"/>
    <s v="mo-l"/>
    <s v="exh"/>
    <n v="1"/>
    <n v="1"/>
    <n v="1"/>
    <n v="0"/>
    <n v="0"/>
    <n v="0"/>
    <n v="1"/>
    <n v="0"/>
    <n v="1"/>
    <n v="0"/>
    <n v="0"/>
    <n v="0"/>
    <n v="0"/>
    <n v="0"/>
  </r>
  <r>
    <s v="A264G2H7KNNP3C"/>
    <s v="english"/>
    <s v="test"/>
    <x v="2"/>
    <x v="1"/>
    <s v="mo-l"/>
    <s v="mo-h"/>
    <s v="fa"/>
    <n v="0"/>
    <n v="1"/>
    <n v="1"/>
    <n v="0"/>
    <n v="0"/>
    <n v="0"/>
    <n v="1"/>
    <n v="0"/>
    <n v="1"/>
    <n v="0"/>
    <n v="0"/>
    <n v="0"/>
    <n v="0"/>
    <n v="0"/>
  </r>
  <r>
    <s v="A264G2H7KNNP3C"/>
    <s v="english"/>
    <s v="test"/>
    <x v="5"/>
    <x v="1"/>
    <s v="ms-h"/>
    <s v="mo-h"/>
    <s v="mo-l"/>
    <n v="0"/>
    <n v="1"/>
    <n v="1"/>
    <n v="1"/>
    <n v="0"/>
    <n v="0"/>
    <n v="1"/>
    <n v="0"/>
    <n v="0"/>
    <n v="0"/>
    <n v="0"/>
    <n v="0"/>
    <n v="0"/>
    <n v="1"/>
  </r>
  <r>
    <s v="A264G2H7KNNP3C"/>
    <s v="english"/>
    <s v="test"/>
    <x v="3"/>
    <x v="1"/>
    <s v="mo-l"/>
    <s v="ms-h"/>
    <s v="fa"/>
    <n v="0"/>
    <n v="0"/>
    <n v="1"/>
    <n v="1"/>
    <n v="0"/>
    <n v="0"/>
    <n v="1"/>
    <n v="0"/>
    <n v="0"/>
    <n v="0"/>
    <n v="1"/>
    <n v="0"/>
    <n v="0"/>
    <n v="0"/>
  </r>
  <r>
    <s v="A264G2H7KNNP3C"/>
    <s v="english"/>
    <s v="test"/>
    <x v="1"/>
    <x v="1"/>
    <s v="mo-l"/>
    <s v="ms-h"/>
    <s v="mo-h"/>
    <n v="0"/>
    <n v="1"/>
    <n v="1"/>
    <n v="1"/>
    <n v="0"/>
    <n v="0"/>
    <n v="1"/>
    <n v="0"/>
    <n v="0"/>
    <n v="0"/>
    <n v="0"/>
    <n v="0"/>
    <n v="0"/>
    <n v="1"/>
  </r>
  <r>
    <s v="A2RC8VX4LS3WQW"/>
    <s v="english"/>
    <s v="test"/>
    <x v="4"/>
    <x v="1"/>
    <s v="mo-l"/>
    <s v="ms-h"/>
    <s v="ms-l"/>
    <n v="0"/>
    <n v="0"/>
    <n v="1"/>
    <n v="1"/>
    <n v="1"/>
    <n v="0"/>
    <n v="1"/>
    <n v="0"/>
    <n v="0"/>
    <n v="0"/>
    <n v="0"/>
    <n v="0"/>
    <n v="0"/>
    <n v="1"/>
  </r>
  <r>
    <s v="A2RC8VX4LS3WQW"/>
    <s v="english"/>
    <s v="test"/>
    <x v="1"/>
    <x v="1"/>
    <s v="ms-h"/>
    <s v="fa"/>
    <s v="mo-l"/>
    <n v="0"/>
    <n v="0"/>
    <n v="1"/>
    <n v="1"/>
    <n v="0"/>
    <n v="0"/>
    <n v="1"/>
    <n v="0"/>
    <n v="0"/>
    <n v="0"/>
    <n v="0"/>
    <n v="0"/>
    <n v="0"/>
    <n v="1"/>
  </r>
  <r>
    <s v="A2RC8VX4LS3WQW"/>
    <s v="english"/>
    <s v="test"/>
    <x v="5"/>
    <x v="1"/>
    <s v="mo-l"/>
    <s v="mo-h"/>
    <s v="ms-l"/>
    <n v="0"/>
    <n v="1"/>
    <n v="1"/>
    <n v="0"/>
    <n v="1"/>
    <n v="0"/>
    <n v="1"/>
    <n v="0"/>
    <n v="0"/>
    <n v="0"/>
    <n v="0"/>
    <n v="0"/>
    <n v="0"/>
    <n v="1"/>
  </r>
  <r>
    <s v="A2RC8VX4LS3WQW"/>
    <s v="english"/>
    <s v="test"/>
    <x v="0"/>
    <x v="1"/>
    <s v="fa"/>
    <s v="ms-h"/>
    <s v="mo-l"/>
    <n v="0"/>
    <n v="0"/>
    <n v="1"/>
    <n v="1"/>
    <n v="0"/>
    <n v="0"/>
    <n v="1"/>
    <n v="0"/>
    <n v="0"/>
    <n v="0"/>
    <n v="0"/>
    <n v="0"/>
    <n v="0"/>
    <n v="1"/>
  </r>
  <r>
    <s v="A12569NJ7KY1KX"/>
    <s v="english"/>
    <s v="test"/>
    <x v="5"/>
    <x v="1"/>
    <s v="mo-l"/>
    <s v="ms-l"/>
    <s v="mo-h"/>
    <n v="0"/>
    <n v="1"/>
    <n v="1"/>
    <n v="0"/>
    <n v="1"/>
    <n v="0"/>
    <n v="1"/>
    <n v="0"/>
    <n v="0"/>
    <n v="1"/>
    <n v="0"/>
    <n v="0"/>
    <n v="0"/>
    <n v="0"/>
  </r>
  <r>
    <s v="A12569NJ7KY1KX"/>
    <s v="english"/>
    <s v="test"/>
    <x v="0"/>
    <x v="1"/>
    <s v="ms-l"/>
    <s v="mo-l"/>
    <s v="ms-h"/>
    <n v="0"/>
    <n v="0"/>
    <n v="1"/>
    <n v="1"/>
    <n v="1"/>
    <n v="0"/>
    <n v="1"/>
    <n v="0"/>
    <n v="0"/>
    <n v="0"/>
    <n v="1"/>
    <n v="0"/>
    <n v="0"/>
    <n v="0"/>
  </r>
  <r>
    <s v="A12569NJ7KY1KX"/>
    <s v="english"/>
    <s v="test"/>
    <x v="2"/>
    <x v="1"/>
    <s v="ms-h"/>
    <s v="fa"/>
    <s v="mo-l"/>
    <n v="0"/>
    <n v="0"/>
    <n v="1"/>
    <n v="1"/>
    <n v="0"/>
    <n v="0"/>
    <n v="1"/>
    <n v="0"/>
    <n v="0"/>
    <n v="0"/>
    <n v="1"/>
    <n v="0"/>
    <n v="0"/>
    <n v="0"/>
  </r>
  <r>
    <s v="A12569NJ7KY1KX"/>
    <s v="english"/>
    <s v="test"/>
    <x v="3"/>
    <x v="1"/>
    <s v="exh"/>
    <s v="mo-h"/>
    <s v="mo-l"/>
    <n v="1"/>
    <n v="1"/>
    <n v="1"/>
    <n v="0"/>
    <n v="0"/>
    <n v="0"/>
    <n v="1"/>
    <n v="0"/>
    <n v="1"/>
    <n v="0"/>
    <n v="0"/>
    <n v="0"/>
    <n v="0"/>
    <n v="0"/>
  </r>
  <r>
    <s v="A30FCN88F8DZOT"/>
    <s v="english"/>
    <s v="test"/>
    <x v="3"/>
    <x v="1"/>
    <s v="ms-h"/>
    <s v="mo-h"/>
    <s v="mo-l"/>
    <n v="0"/>
    <n v="1"/>
    <n v="1"/>
    <n v="1"/>
    <n v="0"/>
    <n v="0"/>
    <n v="1"/>
    <n v="0"/>
    <n v="1"/>
    <n v="0"/>
    <n v="1"/>
    <n v="0"/>
    <n v="0"/>
    <n v="0"/>
  </r>
  <r>
    <s v="A30FCN88F8DZOT"/>
    <s v="english"/>
    <s v="test"/>
    <x v="2"/>
    <x v="1"/>
    <s v="mo-h"/>
    <s v="mo-l"/>
    <s v="fa"/>
    <n v="0"/>
    <n v="1"/>
    <n v="1"/>
    <n v="0"/>
    <n v="0"/>
    <n v="0"/>
    <n v="1"/>
    <n v="0"/>
    <n v="1"/>
    <n v="0"/>
    <n v="0"/>
    <n v="0"/>
    <n v="0"/>
    <n v="0"/>
  </r>
  <r>
    <s v="A30FCN88F8DZOT"/>
    <s v="english"/>
    <s v="test"/>
    <x v="1"/>
    <x v="1"/>
    <s v="ms-l"/>
    <s v="exh"/>
    <s v="mo-l"/>
    <n v="1"/>
    <n v="0"/>
    <n v="1"/>
    <n v="0"/>
    <n v="1"/>
    <n v="0"/>
    <n v="1"/>
    <n v="0"/>
    <n v="0"/>
    <n v="0"/>
    <n v="0"/>
    <n v="0"/>
    <n v="0"/>
    <n v="1"/>
  </r>
  <r>
    <s v="A30FCN88F8DZOT"/>
    <s v="english"/>
    <s v="test"/>
    <x v="5"/>
    <x v="1"/>
    <s v="mo-l"/>
    <s v="ms-l"/>
    <s v="exh"/>
    <n v="1"/>
    <n v="0"/>
    <n v="1"/>
    <n v="0"/>
    <n v="1"/>
    <n v="0"/>
    <n v="1"/>
    <n v="0"/>
    <n v="0"/>
    <n v="0"/>
    <n v="0"/>
    <n v="0"/>
    <n v="0"/>
    <n v="1"/>
  </r>
  <r>
    <s v="A2W1QLIYADUJU3"/>
    <s v="english"/>
    <s v="test"/>
    <x v="5"/>
    <x v="1"/>
    <s v="ms-l"/>
    <s v="mo-l"/>
    <s v="ms-h"/>
    <n v="0"/>
    <n v="0"/>
    <n v="1"/>
    <n v="1"/>
    <n v="1"/>
    <n v="0"/>
    <n v="1"/>
    <n v="0"/>
    <n v="0"/>
    <n v="1"/>
    <n v="1"/>
    <n v="1"/>
    <n v="0"/>
    <n v="0"/>
  </r>
  <r>
    <s v="A2W1QLIYADUJU3"/>
    <s v="english"/>
    <s v="test"/>
    <x v="1"/>
    <x v="1"/>
    <s v="fa"/>
    <s v="ms-l"/>
    <s v="mo-l"/>
    <n v="0"/>
    <n v="0"/>
    <n v="1"/>
    <n v="0"/>
    <n v="1"/>
    <n v="0"/>
    <n v="1"/>
    <n v="0"/>
    <n v="0"/>
    <n v="0"/>
    <n v="0"/>
    <n v="1"/>
    <n v="0"/>
    <n v="0"/>
  </r>
  <r>
    <s v="A2W1QLIYADUJU3"/>
    <s v="english"/>
    <s v="test"/>
    <x v="4"/>
    <x v="1"/>
    <s v="mo-l"/>
    <s v="mo-h"/>
    <s v="ms-h"/>
    <n v="0"/>
    <n v="1"/>
    <n v="1"/>
    <n v="1"/>
    <n v="0"/>
    <n v="0"/>
    <n v="1"/>
    <n v="0"/>
    <n v="0"/>
    <n v="0"/>
    <n v="1"/>
    <n v="0"/>
    <n v="0"/>
    <n v="0"/>
  </r>
  <r>
    <s v="A1TSQCY9QR6RM7"/>
    <s v="english"/>
    <s v="test"/>
    <x v="4"/>
    <x v="1"/>
    <s v="ms-h"/>
    <s v="exh"/>
    <s v="mo-l"/>
    <n v="1"/>
    <n v="0"/>
    <n v="1"/>
    <n v="1"/>
    <n v="0"/>
    <n v="0"/>
    <n v="1"/>
    <n v="0"/>
    <n v="0"/>
    <n v="0"/>
    <n v="1"/>
    <n v="0"/>
    <n v="0"/>
    <n v="0"/>
  </r>
  <r>
    <s v="A1TSQCY9QR6RM7"/>
    <s v="english"/>
    <s v="test"/>
    <x v="2"/>
    <x v="1"/>
    <s v="ms-h"/>
    <s v="mo-l"/>
    <s v="ms-l"/>
    <n v="0"/>
    <n v="0"/>
    <n v="1"/>
    <n v="1"/>
    <n v="1"/>
    <n v="0"/>
    <n v="1"/>
    <n v="0"/>
    <n v="0"/>
    <n v="0"/>
    <n v="0"/>
    <n v="0"/>
    <n v="0"/>
    <n v="1"/>
  </r>
  <r>
    <s v="A1TSQCY9QR6RM7"/>
    <s v="english"/>
    <s v="test"/>
    <x v="0"/>
    <x v="1"/>
    <s v="ms-l"/>
    <s v="mo-h"/>
    <s v="mo-l"/>
    <n v="0"/>
    <n v="1"/>
    <n v="1"/>
    <n v="0"/>
    <n v="1"/>
    <n v="0"/>
    <n v="1"/>
    <n v="0"/>
    <n v="0"/>
    <n v="0"/>
    <n v="0"/>
    <n v="0"/>
    <n v="0"/>
    <n v="1"/>
  </r>
  <r>
    <s v="A1TSQCY9QR6RM7"/>
    <s v="english"/>
    <s v="test"/>
    <x v="1"/>
    <x v="1"/>
    <s v="ms-l"/>
    <s v="ms-h"/>
    <s v="mo-l"/>
    <n v="0"/>
    <n v="0"/>
    <n v="1"/>
    <n v="1"/>
    <n v="1"/>
    <n v="0"/>
    <n v="1"/>
    <n v="0"/>
    <n v="0"/>
    <n v="0"/>
    <n v="1"/>
    <n v="0"/>
    <n v="0"/>
    <n v="0"/>
  </r>
  <r>
    <s v="A1TSQCY9QR6RM7"/>
    <s v="english"/>
    <s v="test"/>
    <x v="3"/>
    <x v="1"/>
    <s v="mo-l"/>
    <s v="mo-h"/>
    <s v="ms-l"/>
    <n v="0"/>
    <n v="1"/>
    <n v="1"/>
    <n v="0"/>
    <n v="1"/>
    <n v="0"/>
    <n v="1"/>
    <n v="0"/>
    <n v="0"/>
    <n v="1"/>
    <n v="0"/>
    <n v="0"/>
    <n v="0"/>
    <n v="0"/>
  </r>
  <r>
    <s v="A1CJZOKUD5J0H1"/>
    <s v="english"/>
    <s v="test"/>
    <x v="3"/>
    <x v="1"/>
    <s v="mo-l"/>
    <s v="fa"/>
    <s v="mo-h"/>
    <n v="0"/>
    <n v="1"/>
    <n v="1"/>
    <n v="0"/>
    <n v="0"/>
    <n v="0"/>
    <n v="1"/>
    <n v="0"/>
    <n v="0"/>
    <n v="1"/>
    <n v="0"/>
    <n v="0"/>
    <n v="0"/>
    <n v="0"/>
  </r>
  <r>
    <s v="A1CJZOKUD5J0H1"/>
    <s v="english"/>
    <s v="test"/>
    <x v="0"/>
    <x v="1"/>
    <s v="mo-l"/>
    <s v="mo-h"/>
    <s v="ms-l"/>
    <n v="0"/>
    <n v="1"/>
    <n v="1"/>
    <n v="0"/>
    <n v="1"/>
    <n v="0"/>
    <n v="1"/>
    <n v="0"/>
    <n v="1"/>
    <n v="0"/>
    <n v="0"/>
    <n v="1"/>
    <n v="0"/>
    <n v="0"/>
  </r>
  <r>
    <s v="A1CJZOKUD5J0H1"/>
    <s v="english"/>
    <s v="test"/>
    <x v="1"/>
    <x v="1"/>
    <s v="mo-h"/>
    <s v="mo-l"/>
    <s v="ms-l"/>
    <n v="0"/>
    <n v="1"/>
    <n v="1"/>
    <n v="0"/>
    <n v="1"/>
    <n v="0"/>
    <n v="1"/>
    <n v="0"/>
    <n v="0"/>
    <n v="1"/>
    <n v="0"/>
    <n v="1"/>
    <n v="0"/>
    <n v="0"/>
  </r>
  <r>
    <s v="A2W046PDRTCZW7"/>
    <s v="english"/>
    <s v="test"/>
    <x v="5"/>
    <x v="1"/>
    <s v="mo-l"/>
    <s v="ms-l"/>
    <s v="exh"/>
    <n v="1"/>
    <n v="0"/>
    <n v="1"/>
    <n v="0"/>
    <n v="1"/>
    <n v="0"/>
    <n v="1"/>
    <n v="0"/>
    <n v="0"/>
    <n v="0"/>
    <n v="0"/>
    <n v="0"/>
    <n v="0"/>
    <n v="1"/>
  </r>
  <r>
    <s v="A2W046PDRTCZW7"/>
    <s v="english"/>
    <s v="test"/>
    <x v="0"/>
    <x v="1"/>
    <s v="ms-h"/>
    <s v="exh"/>
    <s v="mo-l"/>
    <n v="1"/>
    <n v="0"/>
    <n v="1"/>
    <n v="1"/>
    <n v="0"/>
    <n v="0"/>
    <n v="1"/>
    <n v="1"/>
    <n v="0"/>
    <n v="0"/>
    <n v="0"/>
    <n v="0"/>
    <n v="0"/>
    <n v="0"/>
  </r>
  <r>
    <s v="A2W046PDRTCZW7"/>
    <s v="english"/>
    <s v="test"/>
    <x v="4"/>
    <x v="1"/>
    <s v="ms-h"/>
    <s v="exh"/>
    <s v="mo-l"/>
    <n v="1"/>
    <n v="0"/>
    <n v="1"/>
    <n v="1"/>
    <n v="0"/>
    <n v="0"/>
    <n v="1"/>
    <n v="1"/>
    <n v="0"/>
    <n v="0"/>
    <n v="0"/>
    <n v="0"/>
    <n v="0"/>
    <n v="0"/>
  </r>
  <r>
    <s v="A2W046PDRTCZW7"/>
    <s v="english"/>
    <s v="test"/>
    <x v="1"/>
    <x v="1"/>
    <s v="ms-h"/>
    <s v="mo-l"/>
    <s v="exh"/>
    <n v="1"/>
    <n v="0"/>
    <n v="1"/>
    <n v="1"/>
    <n v="0"/>
    <n v="0"/>
    <n v="1"/>
    <n v="1"/>
    <n v="0"/>
    <n v="0"/>
    <n v="0"/>
    <n v="0"/>
    <n v="0"/>
    <n v="0"/>
  </r>
  <r>
    <s v="A2SZRPGIEYRCG6"/>
    <s v="english"/>
    <s v="test"/>
    <x v="0"/>
    <x v="1"/>
    <s v="mo-l"/>
    <s v="exh"/>
    <s v="mo-h"/>
    <n v="1"/>
    <n v="1"/>
    <n v="1"/>
    <n v="0"/>
    <n v="0"/>
    <n v="0"/>
    <n v="1"/>
    <n v="1"/>
    <n v="0"/>
    <n v="0"/>
    <n v="0"/>
    <n v="0"/>
    <n v="0"/>
    <n v="0"/>
  </r>
  <r>
    <s v="A2SZRPGIEYRCG6"/>
    <s v="english"/>
    <s v="test"/>
    <x v="1"/>
    <x v="1"/>
    <s v="mo-h"/>
    <s v="ms-l"/>
    <s v="mo-l"/>
    <n v="0"/>
    <n v="1"/>
    <n v="1"/>
    <n v="0"/>
    <n v="1"/>
    <n v="0"/>
    <n v="1"/>
    <n v="0"/>
    <n v="1"/>
    <n v="0"/>
    <n v="0"/>
    <n v="0"/>
    <n v="0"/>
    <n v="0"/>
  </r>
  <r>
    <s v="A2SZRPGIEYRCG6"/>
    <s v="english"/>
    <s v="test"/>
    <x v="2"/>
    <x v="1"/>
    <s v="exh"/>
    <s v="mo-l"/>
    <s v="ms-h"/>
    <n v="1"/>
    <n v="0"/>
    <n v="1"/>
    <n v="1"/>
    <n v="0"/>
    <n v="0"/>
    <n v="1"/>
    <n v="1"/>
    <n v="0"/>
    <n v="1"/>
    <n v="1"/>
    <n v="0"/>
    <n v="0"/>
    <n v="0"/>
  </r>
  <r>
    <s v="A2LV5432PV1S39"/>
    <s v="english"/>
    <s v="test"/>
    <x v="5"/>
    <x v="1"/>
    <s v="mo-l"/>
    <s v="ms-l"/>
    <s v="mo-h"/>
    <n v="0"/>
    <n v="1"/>
    <n v="1"/>
    <n v="0"/>
    <n v="1"/>
    <n v="0"/>
    <n v="1"/>
    <n v="0"/>
    <n v="1"/>
    <n v="1"/>
    <n v="0"/>
    <n v="1"/>
    <n v="0"/>
    <n v="0"/>
  </r>
  <r>
    <s v="A2LV5432PV1S39"/>
    <s v="english"/>
    <s v="test"/>
    <x v="1"/>
    <x v="1"/>
    <s v="mo-h"/>
    <s v="ms-h"/>
    <s v="mo-l"/>
    <n v="0"/>
    <n v="1"/>
    <n v="1"/>
    <n v="1"/>
    <n v="0"/>
    <n v="0"/>
    <n v="1"/>
    <n v="0"/>
    <n v="1"/>
    <n v="1"/>
    <n v="1"/>
    <n v="0"/>
    <n v="0"/>
    <n v="0"/>
  </r>
  <r>
    <s v="A1BZNPQ0H7ZSER"/>
    <s v="english"/>
    <s v="test"/>
    <x v="1"/>
    <x v="1"/>
    <s v="mo-l"/>
    <s v="ms-h"/>
    <s v="exh"/>
    <n v="1"/>
    <n v="0"/>
    <n v="1"/>
    <n v="1"/>
    <n v="0"/>
    <n v="0"/>
    <n v="1"/>
    <n v="1"/>
    <n v="0"/>
    <n v="1"/>
    <n v="1"/>
    <n v="0"/>
    <n v="0"/>
    <n v="0"/>
  </r>
  <r>
    <s v="A1BZNPQ0H7ZSER"/>
    <s v="english"/>
    <s v="test"/>
    <x v="0"/>
    <x v="1"/>
    <s v="mo-h"/>
    <s v="exh"/>
    <s v="mo-l"/>
    <n v="1"/>
    <n v="1"/>
    <n v="1"/>
    <n v="0"/>
    <n v="0"/>
    <n v="0"/>
    <n v="1"/>
    <n v="1"/>
    <n v="1"/>
    <n v="1"/>
    <n v="0"/>
    <n v="0"/>
    <n v="0"/>
    <n v="0"/>
  </r>
  <r>
    <s v="A1BZNPQ0H7ZSER"/>
    <s v="english"/>
    <s v="test"/>
    <x v="5"/>
    <x v="1"/>
    <s v="ms-l"/>
    <s v="ms-h"/>
    <s v="mo-l"/>
    <n v="0"/>
    <n v="0"/>
    <n v="1"/>
    <n v="1"/>
    <n v="1"/>
    <n v="0"/>
    <n v="1"/>
    <n v="0"/>
    <n v="0"/>
    <n v="1"/>
    <n v="1"/>
    <n v="1"/>
    <n v="0"/>
    <n v="0"/>
  </r>
  <r>
    <s v="AC7Z8O1RETQC4"/>
    <s v="english"/>
    <s v="test"/>
    <x v="0"/>
    <x v="1"/>
    <s v="mo-l"/>
    <s v="mo-h"/>
    <s v="ms-h"/>
    <n v="0"/>
    <n v="1"/>
    <n v="1"/>
    <n v="1"/>
    <n v="0"/>
    <n v="0"/>
    <n v="1"/>
    <n v="0"/>
    <n v="1"/>
    <n v="1"/>
    <n v="1"/>
    <n v="0"/>
    <n v="0"/>
    <n v="0"/>
  </r>
  <r>
    <s v="AC7Z8O1RETQC4"/>
    <s v="english"/>
    <s v="test"/>
    <x v="1"/>
    <x v="1"/>
    <s v="mo-l"/>
    <s v="fa"/>
    <s v="ms-l"/>
    <n v="0"/>
    <n v="0"/>
    <n v="1"/>
    <n v="0"/>
    <n v="1"/>
    <n v="0"/>
    <n v="1"/>
    <n v="0"/>
    <n v="0"/>
    <n v="1"/>
    <n v="0"/>
    <n v="1"/>
    <n v="0"/>
    <n v="0"/>
  </r>
  <r>
    <s v="AC7Z8O1RETQC4"/>
    <s v="english"/>
    <s v="test"/>
    <x v="2"/>
    <x v="1"/>
    <s v="fa"/>
    <s v="mo-l"/>
    <s v="exh"/>
    <n v="1"/>
    <n v="0"/>
    <n v="1"/>
    <n v="0"/>
    <n v="0"/>
    <n v="0"/>
    <n v="1"/>
    <n v="1"/>
    <n v="0"/>
    <n v="1"/>
    <n v="0"/>
    <n v="0"/>
    <n v="0"/>
    <n v="0"/>
  </r>
  <r>
    <s v="A15SJZQBR8I3B3"/>
    <s v="english"/>
    <s v="test"/>
    <x v="1"/>
    <x v="1"/>
    <s v="ms-l"/>
    <s v="mo-h"/>
    <s v="mo-l"/>
    <n v="0"/>
    <n v="1"/>
    <n v="1"/>
    <n v="0"/>
    <n v="1"/>
    <n v="0"/>
    <n v="1"/>
    <n v="0"/>
    <n v="1"/>
    <n v="1"/>
    <n v="0"/>
    <n v="1"/>
    <n v="0"/>
    <n v="0"/>
  </r>
  <r>
    <s v="A15SJZQBR8I3B3"/>
    <s v="english"/>
    <s v="test"/>
    <x v="3"/>
    <x v="1"/>
    <s v="mo-l"/>
    <s v="ms-h"/>
    <s v="ms-l"/>
    <n v="0"/>
    <n v="0"/>
    <n v="1"/>
    <n v="1"/>
    <n v="1"/>
    <n v="0"/>
    <n v="1"/>
    <n v="0"/>
    <n v="0"/>
    <n v="0"/>
    <n v="1"/>
    <n v="0"/>
    <n v="0"/>
    <n v="0"/>
  </r>
  <r>
    <s v="A15SJZQBR8I3B3"/>
    <s v="english"/>
    <s v="test"/>
    <x v="4"/>
    <x v="1"/>
    <s v="fa"/>
    <s v="mo-l"/>
    <s v="mo-h"/>
    <n v="0"/>
    <n v="1"/>
    <n v="1"/>
    <n v="0"/>
    <n v="0"/>
    <n v="0"/>
    <n v="1"/>
    <n v="0"/>
    <n v="0"/>
    <n v="0"/>
    <n v="0"/>
    <n v="0"/>
    <n v="0"/>
    <n v="0"/>
  </r>
  <r>
    <s v="A12IHTKQFQIPD1"/>
    <s v="english"/>
    <s v="test"/>
    <x v="4"/>
    <x v="1"/>
    <s v="ms-h"/>
    <s v="exh"/>
    <s v="mo-l"/>
    <n v="1"/>
    <n v="0"/>
    <n v="1"/>
    <n v="1"/>
    <n v="0"/>
    <n v="0"/>
    <n v="1"/>
    <n v="1"/>
    <n v="0"/>
    <n v="0"/>
    <n v="0"/>
    <n v="0"/>
    <n v="0"/>
    <n v="0"/>
  </r>
  <r>
    <s v="A12IHTKQFQIPD1"/>
    <s v="english"/>
    <s v="test"/>
    <x v="1"/>
    <x v="1"/>
    <s v="mo-h"/>
    <s v="exh"/>
    <s v="mo-l"/>
    <n v="1"/>
    <n v="1"/>
    <n v="1"/>
    <n v="0"/>
    <n v="0"/>
    <n v="0"/>
    <n v="1"/>
    <n v="1"/>
    <n v="0"/>
    <n v="0"/>
    <n v="0"/>
    <n v="0"/>
    <n v="0"/>
    <n v="0"/>
  </r>
  <r>
    <s v="A12IHTKQFQIPD1"/>
    <s v="english"/>
    <s v="test"/>
    <x v="2"/>
    <x v="1"/>
    <s v="ms-l"/>
    <s v="mo-h"/>
    <s v="mo-l"/>
    <n v="0"/>
    <n v="1"/>
    <n v="1"/>
    <n v="0"/>
    <n v="1"/>
    <n v="0"/>
    <n v="1"/>
    <n v="0"/>
    <n v="1"/>
    <n v="0"/>
    <n v="0"/>
    <n v="0"/>
    <n v="0"/>
    <n v="0"/>
  </r>
  <r>
    <s v="A12IHTKQFQIPD1"/>
    <s v="english"/>
    <s v="test"/>
    <x v="0"/>
    <x v="1"/>
    <s v="ms-h"/>
    <s v="ms-l"/>
    <s v="mo-l"/>
    <n v="0"/>
    <n v="0"/>
    <n v="1"/>
    <n v="1"/>
    <n v="1"/>
    <n v="0"/>
    <n v="1"/>
    <n v="0"/>
    <n v="0"/>
    <n v="0"/>
    <n v="1"/>
    <n v="0"/>
    <n v="0"/>
    <n v="0"/>
  </r>
  <r>
    <s v="A2KPTC4K228GM3"/>
    <s v="english"/>
    <s v="test"/>
    <x v="2"/>
    <x v="1"/>
    <s v="mo-h"/>
    <s v="ms-l"/>
    <s v="mo-l"/>
    <n v="0"/>
    <n v="1"/>
    <n v="1"/>
    <n v="0"/>
    <n v="1"/>
    <n v="0"/>
    <n v="1"/>
    <n v="0"/>
    <n v="1"/>
    <n v="1"/>
    <n v="0"/>
    <n v="1"/>
    <n v="0"/>
    <n v="0"/>
  </r>
  <r>
    <s v="A2KPTC4K228GM3"/>
    <s v="english"/>
    <s v="test"/>
    <x v="3"/>
    <x v="1"/>
    <s v="ms-l"/>
    <s v="mo-h"/>
    <s v="mo-l"/>
    <n v="0"/>
    <n v="1"/>
    <n v="1"/>
    <n v="0"/>
    <n v="1"/>
    <n v="0"/>
    <n v="1"/>
    <n v="0"/>
    <n v="1"/>
    <n v="1"/>
    <n v="0"/>
    <n v="1"/>
    <n v="0"/>
    <n v="0"/>
  </r>
  <r>
    <s v="A2KPTC4K228GM3"/>
    <s v="english"/>
    <s v="test"/>
    <x v="5"/>
    <x v="1"/>
    <s v="mo-l"/>
    <s v="ms-h"/>
    <s v="ms-l"/>
    <n v="0"/>
    <n v="0"/>
    <n v="1"/>
    <n v="1"/>
    <n v="1"/>
    <n v="0"/>
    <n v="1"/>
    <n v="0"/>
    <n v="0"/>
    <n v="1"/>
    <n v="1"/>
    <n v="1"/>
    <n v="0"/>
    <n v="0"/>
  </r>
  <r>
    <s v="A2KPTC4K228GM3"/>
    <s v="english"/>
    <s v="test"/>
    <x v="4"/>
    <x v="1"/>
    <s v="exh"/>
    <s v="mo-l"/>
    <s v="ms-h"/>
    <n v="1"/>
    <n v="0"/>
    <n v="1"/>
    <n v="1"/>
    <n v="0"/>
    <n v="0"/>
    <n v="1"/>
    <n v="1"/>
    <n v="0"/>
    <n v="1"/>
    <n v="1"/>
    <n v="0"/>
    <n v="0"/>
    <n v="0"/>
  </r>
  <r>
    <s v="A2KPTC4K228GM3"/>
    <s v="english"/>
    <s v="test"/>
    <x v="1"/>
    <x v="1"/>
    <s v="mo-l"/>
    <s v="fa"/>
    <s v="exh"/>
    <n v="1"/>
    <n v="0"/>
    <n v="1"/>
    <n v="0"/>
    <n v="0"/>
    <n v="0"/>
    <n v="1"/>
    <n v="1"/>
    <n v="0"/>
    <n v="1"/>
    <n v="0"/>
    <n v="0"/>
    <n v="0"/>
    <n v="0"/>
  </r>
  <r>
    <s v="A38JCBX2DD2ILP"/>
    <s v="english"/>
    <s v="test"/>
    <x v="3"/>
    <x v="1"/>
    <s v="ms-h"/>
    <s v="mo-l"/>
    <s v="mo-h"/>
    <n v="0"/>
    <n v="1"/>
    <n v="1"/>
    <n v="1"/>
    <n v="0"/>
    <n v="0"/>
    <n v="1"/>
    <n v="0"/>
    <n v="0"/>
    <n v="1"/>
    <n v="1"/>
    <n v="0"/>
    <n v="0"/>
    <n v="0"/>
  </r>
  <r>
    <s v="A38JCBX2DD2ILP"/>
    <s v="english"/>
    <s v="test"/>
    <x v="1"/>
    <x v="1"/>
    <s v="mo-l"/>
    <s v="fa"/>
    <s v="ms-l"/>
    <n v="0"/>
    <n v="0"/>
    <n v="1"/>
    <n v="0"/>
    <n v="1"/>
    <n v="0"/>
    <n v="1"/>
    <n v="0"/>
    <n v="0"/>
    <n v="1"/>
    <n v="0"/>
    <n v="1"/>
    <n v="0"/>
    <n v="0"/>
  </r>
  <r>
    <s v="A1Q16A7AICS0C4"/>
    <s v="english"/>
    <s v="test"/>
    <x v="0"/>
    <x v="1"/>
    <s v="ms-h"/>
    <s v="mo-l"/>
    <s v="ms-l"/>
    <n v="0"/>
    <n v="0"/>
    <n v="1"/>
    <n v="1"/>
    <n v="1"/>
    <n v="0"/>
    <n v="1"/>
    <n v="0"/>
    <n v="0"/>
    <n v="1"/>
    <n v="0"/>
    <n v="0"/>
    <n v="0"/>
    <n v="0"/>
  </r>
  <r>
    <s v="A1Q16A7AICS0C4"/>
    <s v="english"/>
    <s v="test"/>
    <x v="1"/>
    <x v="1"/>
    <s v="ms-l"/>
    <s v="mo-l"/>
    <s v="fa"/>
    <n v="0"/>
    <n v="0"/>
    <n v="1"/>
    <n v="0"/>
    <n v="1"/>
    <n v="0"/>
    <n v="1"/>
    <n v="0"/>
    <n v="0"/>
    <n v="1"/>
    <n v="0"/>
    <n v="1"/>
    <n v="0"/>
    <n v="0"/>
  </r>
  <r>
    <s v="A1Q16A7AICS0C4"/>
    <s v="english"/>
    <s v="test"/>
    <x v="2"/>
    <x v="1"/>
    <s v="mo-l"/>
    <s v="mo-h"/>
    <s v="exh"/>
    <n v="1"/>
    <n v="1"/>
    <n v="1"/>
    <n v="0"/>
    <n v="0"/>
    <n v="0"/>
    <n v="1"/>
    <n v="0"/>
    <n v="1"/>
    <n v="0"/>
    <n v="0"/>
    <n v="0"/>
    <n v="0"/>
    <n v="0"/>
  </r>
  <r>
    <s v="A1Q16A7AICS0C4"/>
    <s v="english"/>
    <s v="test"/>
    <x v="3"/>
    <x v="1"/>
    <s v="mo-h"/>
    <s v="fa"/>
    <s v="mo-l"/>
    <n v="0"/>
    <n v="1"/>
    <n v="1"/>
    <n v="0"/>
    <n v="0"/>
    <n v="0"/>
    <n v="1"/>
    <n v="0"/>
    <n v="0"/>
    <n v="1"/>
    <n v="0"/>
    <n v="0"/>
    <n v="0"/>
    <n v="0"/>
  </r>
  <r>
    <s v="A1SHLWKA0UH1IS"/>
    <s v="english"/>
    <s v="test"/>
    <x v="5"/>
    <x v="1"/>
    <s v="ms-l"/>
    <s v="fa"/>
    <s v="mo-l"/>
    <n v="0"/>
    <n v="0"/>
    <n v="1"/>
    <n v="0"/>
    <n v="1"/>
    <n v="0"/>
    <n v="1"/>
    <n v="0"/>
    <n v="0"/>
    <n v="0"/>
    <n v="0"/>
    <n v="0"/>
    <n v="0"/>
    <n v="1"/>
  </r>
  <r>
    <s v="A1SHLWKA0UH1IS"/>
    <s v="english"/>
    <s v="test"/>
    <x v="2"/>
    <x v="1"/>
    <s v="fa"/>
    <s v="mo-l"/>
    <s v="ms-h"/>
    <n v="0"/>
    <n v="0"/>
    <n v="1"/>
    <n v="1"/>
    <n v="0"/>
    <n v="0"/>
    <n v="1"/>
    <n v="0"/>
    <n v="0"/>
    <n v="0"/>
    <n v="1"/>
    <n v="0"/>
    <n v="0"/>
    <n v="0"/>
  </r>
  <r>
    <s v="A1SHLWKA0UH1IS"/>
    <s v="english"/>
    <s v="test"/>
    <x v="1"/>
    <x v="1"/>
    <s v="ms-h"/>
    <s v="mo-l"/>
    <s v="mo-h"/>
    <n v="0"/>
    <n v="1"/>
    <n v="1"/>
    <n v="1"/>
    <n v="0"/>
    <n v="0"/>
    <n v="1"/>
    <n v="0"/>
    <n v="1"/>
    <n v="0"/>
    <n v="1"/>
    <n v="0"/>
    <n v="0"/>
    <n v="0"/>
  </r>
  <r>
    <s v="A1SHLWKA0UH1IS"/>
    <s v="english"/>
    <s v="test"/>
    <x v="3"/>
    <x v="1"/>
    <s v="fa"/>
    <s v="exh"/>
    <s v="mo-l"/>
    <n v="1"/>
    <n v="0"/>
    <n v="1"/>
    <n v="0"/>
    <n v="0"/>
    <n v="0"/>
    <n v="1"/>
    <n v="0"/>
    <n v="0"/>
    <n v="0"/>
    <n v="0"/>
    <n v="0"/>
    <n v="0"/>
    <n v="1"/>
  </r>
  <r>
    <s v="A1SHLWKA0UH1IS"/>
    <s v="english"/>
    <s v="test"/>
    <x v="4"/>
    <x v="1"/>
    <s v="fa"/>
    <s v="mo-l"/>
    <s v="exh"/>
    <n v="1"/>
    <n v="0"/>
    <n v="1"/>
    <n v="0"/>
    <n v="0"/>
    <n v="0"/>
    <n v="1"/>
    <n v="1"/>
    <n v="0"/>
    <n v="1"/>
    <n v="0"/>
    <n v="0"/>
    <n v="0"/>
    <n v="0"/>
  </r>
  <r>
    <s v="A23OS0HQ12VVOR"/>
    <s v="english"/>
    <s v="test"/>
    <x v="0"/>
    <x v="1"/>
    <s v="mo-l"/>
    <s v="ms-h"/>
    <s v="exh"/>
    <n v="1"/>
    <n v="0"/>
    <n v="1"/>
    <n v="1"/>
    <n v="0"/>
    <n v="0"/>
    <n v="1"/>
    <n v="0"/>
    <n v="0"/>
    <n v="0"/>
    <n v="1"/>
    <n v="0"/>
    <n v="0"/>
    <n v="0"/>
  </r>
  <r>
    <s v="A23OS0HQ12VVOR"/>
    <s v="english"/>
    <s v="test"/>
    <x v="3"/>
    <x v="1"/>
    <s v="mo-h"/>
    <s v="mo-l"/>
    <s v="ms-h"/>
    <n v="0"/>
    <n v="1"/>
    <n v="1"/>
    <n v="1"/>
    <n v="0"/>
    <n v="0"/>
    <n v="1"/>
    <n v="0"/>
    <n v="1"/>
    <n v="0"/>
    <n v="0"/>
    <n v="0"/>
    <n v="0"/>
    <n v="0"/>
  </r>
  <r>
    <s v="A23OS0HQ12VVOR"/>
    <s v="english"/>
    <s v="test"/>
    <x v="2"/>
    <x v="1"/>
    <s v="mo-l"/>
    <s v="exh"/>
    <s v="ms-h"/>
    <n v="1"/>
    <n v="0"/>
    <n v="1"/>
    <n v="1"/>
    <n v="0"/>
    <n v="0"/>
    <n v="1"/>
    <n v="0"/>
    <n v="0"/>
    <n v="0"/>
    <n v="1"/>
    <n v="0"/>
    <n v="0"/>
    <n v="0"/>
  </r>
  <r>
    <s v="A2JIY3NSLQJWAE"/>
    <s v="english"/>
    <s v="test"/>
    <x v="2"/>
    <x v="1"/>
    <s v="mo-l"/>
    <s v="exh"/>
    <s v="mo-h"/>
    <n v="1"/>
    <n v="1"/>
    <n v="1"/>
    <n v="0"/>
    <n v="0"/>
    <n v="0"/>
    <n v="1"/>
    <n v="1"/>
    <n v="1"/>
    <n v="0"/>
    <n v="0"/>
    <n v="0"/>
    <n v="0"/>
    <n v="0"/>
  </r>
  <r>
    <s v="A2JIY3NSLQJWAE"/>
    <s v="english"/>
    <s v="test"/>
    <x v="4"/>
    <x v="1"/>
    <s v="ms-h"/>
    <s v="fa"/>
    <s v="mo-l"/>
    <n v="0"/>
    <n v="0"/>
    <n v="1"/>
    <n v="1"/>
    <n v="0"/>
    <n v="0"/>
    <n v="1"/>
    <n v="0"/>
    <n v="0"/>
    <n v="1"/>
    <n v="1"/>
    <n v="0"/>
    <n v="0"/>
    <n v="0"/>
  </r>
  <r>
    <s v="A2JIY3NSLQJWAE"/>
    <s v="english"/>
    <s v="test"/>
    <x v="1"/>
    <x v="1"/>
    <s v="ms-l"/>
    <s v="mo-h"/>
    <s v="mo-l"/>
    <n v="0"/>
    <n v="1"/>
    <n v="1"/>
    <n v="0"/>
    <n v="1"/>
    <n v="0"/>
    <n v="1"/>
    <n v="0"/>
    <n v="1"/>
    <n v="1"/>
    <n v="0"/>
    <n v="0"/>
    <n v="0"/>
    <n v="0"/>
  </r>
  <r>
    <s v="AZXTZQBZ1F4UV"/>
    <s v="english"/>
    <s v="test"/>
    <x v="0"/>
    <x v="1"/>
    <s v="mo-l"/>
    <s v="fa"/>
    <s v="ms-l"/>
    <n v="0"/>
    <n v="0"/>
    <n v="1"/>
    <n v="0"/>
    <n v="1"/>
    <n v="0"/>
    <n v="1"/>
    <n v="0"/>
    <n v="0"/>
    <n v="1"/>
    <n v="0"/>
    <n v="1"/>
    <n v="0"/>
    <n v="0"/>
  </r>
  <r>
    <s v="AZXTZQBZ1F4UV"/>
    <s v="english"/>
    <s v="test"/>
    <x v="4"/>
    <x v="1"/>
    <s v="exh"/>
    <s v="mo-l"/>
    <s v="ms-l"/>
    <n v="1"/>
    <n v="0"/>
    <n v="1"/>
    <n v="0"/>
    <n v="1"/>
    <n v="0"/>
    <n v="1"/>
    <n v="1"/>
    <n v="0"/>
    <n v="1"/>
    <n v="0"/>
    <n v="1"/>
    <n v="0"/>
    <n v="0"/>
  </r>
  <r>
    <s v="AZXTZQBZ1F4UV"/>
    <s v="english"/>
    <s v="test"/>
    <x v="1"/>
    <x v="1"/>
    <s v="exh"/>
    <s v="mo-h"/>
    <s v="mo-l"/>
    <n v="1"/>
    <n v="1"/>
    <n v="1"/>
    <n v="0"/>
    <n v="0"/>
    <n v="0"/>
    <n v="1"/>
    <n v="1"/>
    <n v="1"/>
    <n v="0"/>
    <n v="0"/>
    <n v="0"/>
    <n v="0"/>
    <n v="0"/>
  </r>
  <r>
    <s v="A120PN22KW0VPY"/>
    <s v="english"/>
    <s v="test"/>
    <x v="3"/>
    <x v="1"/>
    <s v="mo-l"/>
    <s v="fa"/>
    <s v="ms-l"/>
    <n v="0"/>
    <n v="0"/>
    <n v="1"/>
    <n v="0"/>
    <n v="1"/>
    <n v="0"/>
    <n v="1"/>
    <n v="0"/>
    <n v="0"/>
    <n v="0"/>
    <n v="0"/>
    <n v="0"/>
    <n v="0"/>
    <n v="1"/>
  </r>
  <r>
    <s v="A120PN22KW0VPY"/>
    <s v="english"/>
    <s v="test"/>
    <x v="0"/>
    <x v="1"/>
    <s v="mo-l"/>
    <s v="ms-l"/>
    <s v="ms-h"/>
    <n v="0"/>
    <n v="0"/>
    <n v="1"/>
    <n v="1"/>
    <n v="1"/>
    <n v="0"/>
    <n v="1"/>
    <n v="0"/>
    <n v="0"/>
    <n v="0"/>
    <n v="1"/>
    <n v="0"/>
    <n v="0"/>
    <n v="0"/>
  </r>
  <r>
    <s v="A120PN22KW0VPY"/>
    <s v="english"/>
    <s v="test"/>
    <x v="2"/>
    <x v="1"/>
    <s v="mo-h"/>
    <s v="fa"/>
    <s v="mo-l"/>
    <n v="0"/>
    <n v="1"/>
    <n v="1"/>
    <n v="0"/>
    <n v="0"/>
    <n v="0"/>
    <n v="1"/>
    <n v="0"/>
    <n v="0"/>
    <n v="0"/>
    <n v="0"/>
    <n v="0"/>
    <n v="0"/>
    <n v="1"/>
  </r>
  <r>
    <s v="A120PN22KW0VPY"/>
    <s v="english"/>
    <s v="test"/>
    <x v="1"/>
    <x v="1"/>
    <s v="mo-l"/>
    <s v="ms-l"/>
    <s v="ms-h"/>
    <n v="0"/>
    <n v="0"/>
    <n v="1"/>
    <n v="1"/>
    <n v="1"/>
    <n v="0"/>
    <n v="1"/>
    <n v="0"/>
    <n v="0"/>
    <n v="0"/>
    <n v="1"/>
    <n v="0"/>
    <n v="0"/>
    <n v="0"/>
  </r>
  <r>
    <s v="A2JWHS06PQMJ1"/>
    <s v="english"/>
    <s v="test"/>
    <x v="2"/>
    <x v="1"/>
    <s v="ms-h"/>
    <s v="mo-l"/>
    <s v="exh"/>
    <n v="1"/>
    <n v="0"/>
    <n v="1"/>
    <n v="1"/>
    <n v="0"/>
    <n v="0"/>
    <n v="1"/>
    <n v="1"/>
    <n v="0"/>
    <n v="0"/>
    <n v="0"/>
    <n v="0"/>
    <n v="0"/>
    <n v="0"/>
  </r>
  <r>
    <s v="A2JWHS06PQMJ1"/>
    <s v="english"/>
    <s v="test"/>
    <x v="0"/>
    <x v="1"/>
    <s v="mo-h"/>
    <s v="mo-l"/>
    <s v="ms-h"/>
    <n v="0"/>
    <n v="1"/>
    <n v="1"/>
    <n v="1"/>
    <n v="0"/>
    <n v="0"/>
    <n v="1"/>
    <n v="0"/>
    <n v="1"/>
    <n v="0"/>
    <n v="1"/>
    <n v="0"/>
    <n v="0"/>
    <n v="0"/>
  </r>
  <r>
    <s v="A2JWHS06PQMJ1"/>
    <s v="english"/>
    <s v="test"/>
    <x v="4"/>
    <x v="1"/>
    <s v="exh"/>
    <s v="ms-l"/>
    <s v="mo-l"/>
    <n v="1"/>
    <n v="0"/>
    <n v="1"/>
    <n v="0"/>
    <n v="1"/>
    <n v="0"/>
    <n v="1"/>
    <n v="1"/>
    <n v="0"/>
    <n v="0"/>
    <n v="0"/>
    <n v="0"/>
    <n v="0"/>
    <n v="0"/>
  </r>
  <r>
    <s v="A2JWHS06PQMJ1"/>
    <s v="english"/>
    <s v="test"/>
    <x v="1"/>
    <x v="1"/>
    <s v="mo-l"/>
    <s v="exh"/>
    <s v="ms-h"/>
    <n v="1"/>
    <n v="0"/>
    <n v="1"/>
    <n v="1"/>
    <n v="0"/>
    <n v="0"/>
    <n v="1"/>
    <n v="0"/>
    <n v="0"/>
    <n v="0"/>
    <n v="0"/>
    <n v="0"/>
    <n v="0"/>
    <n v="1"/>
  </r>
  <r>
    <s v="AD6FEEQSW8PRE"/>
    <s v="english"/>
    <s v="test"/>
    <x v="1"/>
    <x v="1"/>
    <s v="mo-l"/>
    <s v="ms-h"/>
    <s v="fa"/>
    <n v="0"/>
    <n v="0"/>
    <n v="1"/>
    <n v="1"/>
    <n v="0"/>
    <n v="0"/>
    <n v="1"/>
    <n v="0"/>
    <n v="0"/>
    <n v="0"/>
    <n v="0"/>
    <n v="0"/>
    <n v="0"/>
    <n v="0"/>
  </r>
  <r>
    <s v="AD6FEEQSW8PRE"/>
    <s v="english"/>
    <s v="test"/>
    <x v="2"/>
    <x v="1"/>
    <s v="fa"/>
    <s v="mo-l"/>
    <s v="ms-h"/>
    <n v="0"/>
    <n v="0"/>
    <n v="1"/>
    <n v="1"/>
    <n v="0"/>
    <n v="0"/>
    <n v="1"/>
    <n v="0"/>
    <n v="0"/>
    <n v="1"/>
    <n v="0"/>
    <n v="0"/>
    <n v="0"/>
    <n v="0"/>
  </r>
  <r>
    <s v="A2TNTYHHICCA3Z"/>
    <s v="english"/>
    <s v="test"/>
    <x v="0"/>
    <x v="1"/>
    <s v="ms-l"/>
    <s v="mo-l"/>
    <s v="exh"/>
    <n v="1"/>
    <n v="0"/>
    <n v="1"/>
    <n v="0"/>
    <n v="1"/>
    <n v="0"/>
    <n v="1"/>
    <n v="1"/>
    <n v="0"/>
    <n v="1"/>
    <n v="0"/>
    <n v="1"/>
    <n v="0"/>
    <n v="0"/>
  </r>
  <r>
    <s v="A2TNTYHHICCA3Z"/>
    <s v="english"/>
    <s v="test"/>
    <x v="2"/>
    <x v="1"/>
    <s v="mo-h"/>
    <s v="mo-l"/>
    <s v="ms-l"/>
    <n v="0"/>
    <n v="1"/>
    <n v="1"/>
    <n v="0"/>
    <n v="1"/>
    <n v="0"/>
    <n v="1"/>
    <n v="0"/>
    <n v="0"/>
    <n v="0"/>
    <n v="0"/>
    <n v="1"/>
    <n v="0"/>
    <n v="0"/>
  </r>
  <r>
    <s v="A2TNTYHHICCA3Z"/>
    <s v="english"/>
    <s v="test"/>
    <x v="4"/>
    <x v="1"/>
    <s v="ms-l"/>
    <s v="mo-l"/>
    <s v="exh"/>
    <n v="1"/>
    <n v="0"/>
    <n v="1"/>
    <n v="0"/>
    <n v="1"/>
    <n v="0"/>
    <n v="1"/>
    <n v="1"/>
    <n v="0"/>
    <n v="0"/>
    <n v="0"/>
    <n v="0"/>
    <n v="0"/>
    <n v="0"/>
  </r>
  <r>
    <s v="A2TNTYHHICCA3Z"/>
    <s v="english"/>
    <s v="test"/>
    <x v="3"/>
    <x v="1"/>
    <s v="ms-h"/>
    <s v="ms-l"/>
    <s v="mo-l"/>
    <n v="0"/>
    <n v="0"/>
    <n v="1"/>
    <n v="1"/>
    <n v="1"/>
    <n v="0"/>
    <n v="1"/>
    <n v="0"/>
    <n v="0"/>
    <n v="1"/>
    <n v="1"/>
    <n v="1"/>
    <n v="0"/>
    <n v="0"/>
  </r>
  <r>
    <s v="AT53IAFG8BTZO"/>
    <s v="english"/>
    <s v="test"/>
    <x v="5"/>
    <x v="1"/>
    <s v="mo-h"/>
    <s v="mo-l"/>
    <s v="exh"/>
    <n v="1"/>
    <n v="1"/>
    <n v="1"/>
    <n v="0"/>
    <n v="0"/>
    <n v="0"/>
    <n v="1"/>
    <n v="0"/>
    <n v="0"/>
    <n v="0"/>
    <n v="0"/>
    <n v="0"/>
    <n v="0"/>
    <n v="1"/>
  </r>
  <r>
    <s v="AT53IAFG8BTZO"/>
    <s v="english"/>
    <s v="test"/>
    <x v="1"/>
    <x v="1"/>
    <s v="fa"/>
    <s v="mo-l"/>
    <s v="exh"/>
    <n v="1"/>
    <n v="0"/>
    <n v="1"/>
    <n v="0"/>
    <n v="0"/>
    <n v="0"/>
    <n v="1"/>
    <n v="1"/>
    <n v="0"/>
    <n v="0"/>
    <n v="0"/>
    <n v="0"/>
    <n v="0"/>
    <n v="0"/>
  </r>
  <r>
    <s v="A2YCHYBHJESOUD"/>
    <s v="english"/>
    <s v="test"/>
    <x v="4"/>
    <x v="1"/>
    <s v="ms-l"/>
    <s v="ms-h"/>
    <s v="mo-l"/>
    <n v="0"/>
    <n v="0"/>
    <n v="1"/>
    <n v="1"/>
    <n v="1"/>
    <n v="0"/>
    <n v="1"/>
    <n v="0"/>
    <n v="0"/>
    <n v="0"/>
    <n v="0"/>
    <n v="0"/>
    <n v="0"/>
    <n v="1"/>
  </r>
  <r>
    <s v="A2YCHYBHJESOUD"/>
    <s v="english"/>
    <s v="test"/>
    <x v="0"/>
    <x v="1"/>
    <s v="mo-h"/>
    <s v="ms-l"/>
    <s v="mo-l"/>
    <n v="0"/>
    <n v="1"/>
    <n v="1"/>
    <n v="0"/>
    <n v="1"/>
    <n v="0"/>
    <n v="1"/>
    <n v="0"/>
    <n v="1"/>
    <n v="0"/>
    <n v="0"/>
    <n v="0"/>
    <n v="0"/>
    <n v="0"/>
  </r>
  <r>
    <s v="ADNSFH55XO2F8"/>
    <s v="english"/>
    <s v="test"/>
    <x v="0"/>
    <x v="1"/>
    <s v="mo-l"/>
    <s v="exh"/>
    <s v="ms-l"/>
    <n v="1"/>
    <n v="0"/>
    <n v="1"/>
    <n v="0"/>
    <n v="1"/>
    <n v="0"/>
    <n v="1"/>
    <n v="0"/>
    <n v="0"/>
    <n v="1"/>
    <n v="0"/>
    <n v="0"/>
    <n v="0"/>
    <n v="0"/>
  </r>
  <r>
    <s v="ADNSFH55XO2F8"/>
    <s v="english"/>
    <s v="test"/>
    <x v="1"/>
    <x v="1"/>
    <s v="mo-l"/>
    <s v="mo-h"/>
    <s v="ms-h"/>
    <n v="0"/>
    <n v="1"/>
    <n v="1"/>
    <n v="1"/>
    <n v="0"/>
    <n v="0"/>
    <n v="1"/>
    <n v="0"/>
    <n v="0"/>
    <n v="1"/>
    <n v="0"/>
    <n v="0"/>
    <n v="0"/>
    <n v="0"/>
  </r>
  <r>
    <s v="ADNSFH55XO2F8"/>
    <s v="english"/>
    <s v="test"/>
    <x v="2"/>
    <x v="1"/>
    <s v="mo-h"/>
    <s v="mo-l"/>
    <s v="exh"/>
    <n v="1"/>
    <n v="1"/>
    <n v="1"/>
    <n v="0"/>
    <n v="0"/>
    <n v="0"/>
    <n v="1"/>
    <n v="0"/>
    <n v="0"/>
    <n v="1"/>
    <n v="0"/>
    <n v="0"/>
    <n v="0"/>
    <n v="0"/>
  </r>
  <r>
    <s v="ADNSFH55XO2F8"/>
    <s v="english"/>
    <s v="test"/>
    <x v="3"/>
    <x v="1"/>
    <s v="exh"/>
    <s v="mo-l"/>
    <s v="ms-l"/>
    <n v="1"/>
    <n v="0"/>
    <n v="1"/>
    <n v="0"/>
    <n v="1"/>
    <n v="0"/>
    <n v="1"/>
    <n v="1"/>
    <n v="0"/>
    <n v="0"/>
    <n v="0"/>
    <n v="0"/>
    <n v="0"/>
    <n v="0"/>
  </r>
  <r>
    <s v="A157L6Z8QU3SDE"/>
    <s v="english"/>
    <s v="test"/>
    <x v="5"/>
    <x v="1"/>
    <s v="mo-l"/>
    <s v="mo-h"/>
    <s v="fa"/>
    <n v="0"/>
    <n v="1"/>
    <n v="1"/>
    <n v="0"/>
    <n v="0"/>
    <n v="0"/>
    <n v="1"/>
    <n v="0"/>
    <n v="0"/>
    <n v="0"/>
    <n v="0"/>
    <n v="0"/>
    <n v="0"/>
    <n v="1"/>
  </r>
  <r>
    <s v="A157L6Z8QU3SDE"/>
    <s v="english"/>
    <s v="test"/>
    <x v="2"/>
    <x v="1"/>
    <s v="mo-l"/>
    <s v="mo-h"/>
    <s v="fa"/>
    <n v="0"/>
    <n v="1"/>
    <n v="1"/>
    <n v="0"/>
    <n v="0"/>
    <n v="0"/>
    <n v="1"/>
    <n v="0"/>
    <n v="0"/>
    <n v="0"/>
    <n v="0"/>
    <n v="0"/>
    <n v="0"/>
    <n v="1"/>
  </r>
  <r>
    <s v="A157L6Z8QU3SDE"/>
    <s v="english"/>
    <s v="test"/>
    <x v="0"/>
    <x v="1"/>
    <s v="ms-l"/>
    <s v="mo-l"/>
    <s v="mo-h"/>
    <n v="0"/>
    <n v="1"/>
    <n v="1"/>
    <n v="0"/>
    <n v="1"/>
    <n v="0"/>
    <n v="1"/>
    <n v="0"/>
    <n v="0"/>
    <n v="0"/>
    <n v="0"/>
    <n v="0"/>
    <n v="0"/>
    <n v="1"/>
  </r>
  <r>
    <s v="A2VRDE2FHCBMF8"/>
    <s v="Italian"/>
    <s v="test"/>
    <x v="1"/>
    <x v="1"/>
    <s v="ms-l"/>
    <s v="ms-h"/>
    <s v="mo-l"/>
    <n v="0"/>
    <n v="0"/>
    <n v="1"/>
    <n v="1"/>
    <n v="1"/>
    <n v="0"/>
    <n v="1"/>
    <n v="0"/>
    <n v="0"/>
    <n v="0"/>
    <n v="0"/>
    <n v="0"/>
    <n v="0"/>
    <n v="1"/>
  </r>
  <r>
    <s v="A2VRDE2FHCBMF8"/>
    <s v="Italian"/>
    <s v="test"/>
    <x v="4"/>
    <x v="1"/>
    <s v="mo-h"/>
    <s v="ms-h"/>
    <s v="mo-l"/>
    <n v="0"/>
    <n v="1"/>
    <n v="1"/>
    <n v="1"/>
    <n v="0"/>
    <n v="0"/>
    <n v="1"/>
    <n v="0"/>
    <n v="1"/>
    <n v="0"/>
    <n v="1"/>
    <n v="0"/>
    <n v="0"/>
    <n v="0"/>
  </r>
  <r>
    <s v="A2VRDE2FHCBMF8"/>
    <s v="Italian"/>
    <s v="test"/>
    <x v="3"/>
    <x v="1"/>
    <s v="mo-l"/>
    <s v="mo-h"/>
    <s v="ms-l"/>
    <n v="0"/>
    <n v="1"/>
    <n v="1"/>
    <n v="0"/>
    <n v="1"/>
    <n v="0"/>
    <n v="1"/>
    <n v="0"/>
    <n v="1"/>
    <n v="0"/>
    <n v="0"/>
    <n v="0"/>
    <n v="0"/>
    <n v="0"/>
  </r>
  <r>
    <s v="A2VRDE2FHCBMF8"/>
    <s v="Italian"/>
    <s v="test"/>
    <x v="2"/>
    <x v="1"/>
    <s v="mo-h"/>
    <s v="ms-h"/>
    <s v="mo-l"/>
    <n v="0"/>
    <n v="1"/>
    <n v="1"/>
    <n v="1"/>
    <n v="0"/>
    <n v="0"/>
    <n v="1"/>
    <n v="0"/>
    <n v="1"/>
    <n v="0"/>
    <n v="1"/>
    <n v="0"/>
    <n v="0"/>
    <n v="0"/>
  </r>
  <r>
    <s v="A9EQ4FWCUQVBL"/>
    <s v="english"/>
    <s v="test"/>
    <x v="5"/>
    <x v="1"/>
    <s v="ms-h"/>
    <s v="ms-l"/>
    <s v="mo-l"/>
    <n v="0"/>
    <n v="0"/>
    <n v="1"/>
    <n v="1"/>
    <n v="1"/>
    <n v="0"/>
    <n v="1"/>
    <n v="0"/>
    <n v="0"/>
    <n v="0"/>
    <n v="1"/>
    <n v="0"/>
    <n v="0"/>
    <n v="0"/>
  </r>
  <r>
    <s v="A9EQ4FWCUQVBL"/>
    <s v="english"/>
    <s v="test"/>
    <x v="1"/>
    <x v="1"/>
    <s v="exh"/>
    <s v="ms-h"/>
    <s v="mo-l"/>
    <n v="1"/>
    <n v="0"/>
    <n v="1"/>
    <n v="1"/>
    <n v="0"/>
    <n v="0"/>
    <n v="1"/>
    <n v="0"/>
    <n v="0"/>
    <n v="0"/>
    <n v="0"/>
    <n v="0"/>
    <n v="0"/>
    <n v="1"/>
  </r>
  <r>
    <s v="A9EQ4FWCUQVBL"/>
    <s v="english"/>
    <s v="test"/>
    <x v="3"/>
    <x v="1"/>
    <s v="mo-l"/>
    <s v="ms-l"/>
    <s v="ms-h"/>
    <n v="0"/>
    <n v="0"/>
    <n v="1"/>
    <n v="1"/>
    <n v="1"/>
    <n v="0"/>
    <n v="1"/>
    <n v="0"/>
    <n v="0"/>
    <n v="0"/>
    <n v="0"/>
    <n v="0"/>
    <n v="0"/>
    <n v="1"/>
  </r>
  <r>
    <s v="A9EQ4FWCUQVBL"/>
    <s v="english"/>
    <s v="test"/>
    <x v="4"/>
    <x v="1"/>
    <s v="mo-h"/>
    <s v="ms-h"/>
    <s v="mo-l"/>
    <n v="0"/>
    <n v="1"/>
    <n v="1"/>
    <n v="1"/>
    <n v="0"/>
    <n v="0"/>
    <n v="1"/>
    <n v="0"/>
    <n v="0"/>
    <n v="0"/>
    <n v="0"/>
    <n v="0"/>
    <n v="0"/>
    <n v="1"/>
  </r>
  <r>
    <s v="A3908297ZI3LES"/>
    <s v="english"/>
    <s v="test"/>
    <x v="2"/>
    <x v="1"/>
    <s v="exh"/>
    <s v="mo-l"/>
    <s v="ms-h"/>
    <n v="1"/>
    <n v="0"/>
    <n v="1"/>
    <n v="1"/>
    <n v="0"/>
    <n v="0"/>
    <n v="1"/>
    <n v="0"/>
    <n v="0"/>
    <n v="0"/>
    <n v="1"/>
    <n v="0"/>
    <n v="0"/>
    <n v="0"/>
  </r>
  <r>
    <s v="A3908297ZI3LES"/>
    <s v="english"/>
    <s v="test"/>
    <x v="1"/>
    <x v="1"/>
    <s v="ms-l"/>
    <s v="mo-l"/>
    <s v="fa"/>
    <n v="0"/>
    <n v="0"/>
    <n v="1"/>
    <n v="0"/>
    <n v="1"/>
    <n v="0"/>
    <n v="1"/>
    <n v="0"/>
    <n v="0"/>
    <n v="0"/>
    <n v="0"/>
    <n v="1"/>
    <n v="0"/>
    <n v="0"/>
  </r>
  <r>
    <s v="A6EJ7EU0KMGPL"/>
    <s v="english"/>
    <s v="test"/>
    <x v="1"/>
    <x v="1"/>
    <s v="ms-l"/>
    <s v="mo-l"/>
    <s v="mo-h"/>
    <n v="0"/>
    <n v="1"/>
    <n v="1"/>
    <n v="0"/>
    <n v="1"/>
    <n v="0"/>
    <n v="1"/>
    <n v="0"/>
    <n v="1"/>
    <n v="0"/>
    <n v="0"/>
    <n v="0"/>
    <n v="0"/>
    <n v="0"/>
  </r>
  <r>
    <s v="A6EJ7EU0KMGPL"/>
    <s v="english"/>
    <s v="test"/>
    <x v="3"/>
    <x v="1"/>
    <s v="ms-l"/>
    <s v="mo-l"/>
    <s v="ms-h"/>
    <n v="0"/>
    <n v="0"/>
    <n v="1"/>
    <n v="1"/>
    <n v="1"/>
    <n v="0"/>
    <n v="1"/>
    <n v="0"/>
    <n v="0"/>
    <n v="0"/>
    <n v="1"/>
    <n v="0"/>
    <n v="0"/>
    <n v="0"/>
  </r>
  <r>
    <s v="A6EJ7EU0KMGPL"/>
    <s v="english"/>
    <s v="test"/>
    <x v="2"/>
    <x v="1"/>
    <s v="ms-l"/>
    <s v="mo-l"/>
    <s v="ms-h"/>
    <n v="0"/>
    <n v="0"/>
    <n v="1"/>
    <n v="1"/>
    <n v="1"/>
    <n v="0"/>
    <n v="1"/>
    <n v="0"/>
    <n v="0"/>
    <n v="0"/>
    <n v="1"/>
    <n v="0"/>
    <n v="0"/>
    <n v="0"/>
  </r>
  <r>
    <s v="A1IJ9VL8YPIE3T"/>
    <s v="English "/>
    <s v="test"/>
    <x v="1"/>
    <x v="1"/>
    <s v="mo-l"/>
    <s v="ms-l"/>
    <s v="ms-h"/>
    <n v="0"/>
    <n v="0"/>
    <n v="1"/>
    <n v="1"/>
    <n v="1"/>
    <n v="0"/>
    <n v="1"/>
    <n v="0"/>
    <n v="0"/>
    <n v="1"/>
    <n v="0"/>
    <n v="0"/>
    <n v="0"/>
    <n v="0"/>
  </r>
  <r>
    <s v="A3IYDY7TO808Z3"/>
    <s v="english"/>
    <s v="test"/>
    <x v="2"/>
    <x v="1"/>
    <s v="ms-h"/>
    <s v="mo-l"/>
    <s v="ms-l"/>
    <n v="0"/>
    <n v="0"/>
    <n v="1"/>
    <n v="1"/>
    <n v="1"/>
    <n v="0"/>
    <n v="1"/>
    <n v="0"/>
    <n v="0"/>
    <n v="0"/>
    <n v="0"/>
    <n v="0"/>
    <n v="0"/>
    <n v="1"/>
  </r>
  <r>
    <s v="A3IYDY7TO808Z3"/>
    <s v="english"/>
    <s v="test"/>
    <x v="0"/>
    <x v="1"/>
    <s v="mo-l"/>
    <s v="mo-h"/>
    <s v="fa"/>
    <n v="0"/>
    <n v="1"/>
    <n v="1"/>
    <n v="0"/>
    <n v="0"/>
    <n v="0"/>
    <n v="1"/>
    <n v="0"/>
    <n v="1"/>
    <n v="0"/>
    <n v="0"/>
    <n v="0"/>
    <n v="0"/>
    <n v="0"/>
  </r>
  <r>
    <s v="A3IYDY7TO808Z3"/>
    <s v="english"/>
    <s v="test"/>
    <x v="5"/>
    <x v="1"/>
    <s v="mo-l"/>
    <s v="mo-h"/>
    <s v="fa"/>
    <n v="0"/>
    <n v="1"/>
    <n v="1"/>
    <n v="0"/>
    <n v="0"/>
    <n v="0"/>
    <n v="1"/>
    <n v="0"/>
    <n v="1"/>
    <n v="0"/>
    <n v="0"/>
    <n v="0"/>
    <n v="0"/>
    <n v="0"/>
  </r>
  <r>
    <s v="A3IYDY7TO808Z3"/>
    <s v="english"/>
    <s v="test"/>
    <x v="4"/>
    <x v="1"/>
    <s v="mo-l"/>
    <s v="mo-h"/>
    <s v="exh"/>
    <n v="1"/>
    <n v="1"/>
    <n v="1"/>
    <n v="0"/>
    <n v="0"/>
    <n v="0"/>
    <n v="1"/>
    <n v="1"/>
    <n v="1"/>
    <n v="0"/>
    <n v="0"/>
    <n v="0"/>
    <n v="0"/>
    <n v="0"/>
  </r>
  <r>
    <s v="A3DEG7PE4RFCWB"/>
    <s v="english"/>
    <s v="test"/>
    <x v="2"/>
    <x v="1"/>
    <s v="exh"/>
    <s v="mo-l"/>
    <s v="ms-l"/>
    <n v="1"/>
    <n v="0"/>
    <n v="1"/>
    <n v="0"/>
    <n v="1"/>
    <n v="0"/>
    <n v="1"/>
    <n v="0"/>
    <n v="0"/>
    <n v="0"/>
    <n v="0"/>
    <n v="0"/>
    <n v="0"/>
    <n v="1"/>
  </r>
  <r>
    <s v="A3DEG7PE4RFCWB"/>
    <s v="english"/>
    <s v="test"/>
    <x v="0"/>
    <x v="1"/>
    <s v="exh"/>
    <s v="mo-h"/>
    <s v="mo-l"/>
    <n v="1"/>
    <n v="1"/>
    <n v="1"/>
    <n v="0"/>
    <n v="0"/>
    <n v="0"/>
    <n v="1"/>
    <n v="0"/>
    <n v="1"/>
    <n v="0"/>
    <n v="0"/>
    <n v="0"/>
    <n v="0"/>
    <n v="0"/>
  </r>
  <r>
    <s v="A3DEG7PE4RFCWB"/>
    <s v="english"/>
    <s v="test"/>
    <x v="4"/>
    <x v="1"/>
    <s v="mo-l"/>
    <s v="mo-h"/>
    <s v="exh"/>
    <n v="1"/>
    <n v="1"/>
    <n v="1"/>
    <n v="0"/>
    <n v="0"/>
    <n v="0"/>
    <n v="1"/>
    <n v="0"/>
    <n v="1"/>
    <n v="0"/>
    <n v="0"/>
    <n v="0"/>
    <n v="0"/>
    <n v="0"/>
  </r>
  <r>
    <s v="AHZ7C7ETHYX3N"/>
    <s v="english"/>
    <s v="test"/>
    <x v="0"/>
    <x v="1"/>
    <s v="mo-l"/>
    <s v="ms-h"/>
    <s v="mo-h"/>
    <n v="0"/>
    <n v="1"/>
    <n v="1"/>
    <n v="1"/>
    <n v="0"/>
    <n v="0"/>
    <n v="1"/>
    <n v="0"/>
    <n v="1"/>
    <n v="1"/>
    <n v="1"/>
    <n v="0"/>
    <n v="0"/>
    <n v="0"/>
  </r>
  <r>
    <s v="AHZ7C7ETHYX3N"/>
    <s v="english"/>
    <s v="test"/>
    <x v="5"/>
    <x v="1"/>
    <s v="ms-h"/>
    <s v="mo-l"/>
    <s v="mo-h"/>
    <n v="0"/>
    <n v="1"/>
    <n v="1"/>
    <n v="1"/>
    <n v="0"/>
    <n v="0"/>
    <n v="1"/>
    <n v="0"/>
    <n v="0"/>
    <n v="0"/>
    <n v="0"/>
    <n v="0"/>
    <n v="0"/>
    <n v="1"/>
  </r>
  <r>
    <s v="AHZ7C7ETHYX3N"/>
    <s v="english"/>
    <s v="test"/>
    <x v="2"/>
    <x v="1"/>
    <s v="mo-h"/>
    <s v="exh"/>
    <s v="mo-l"/>
    <n v="1"/>
    <n v="1"/>
    <n v="1"/>
    <n v="0"/>
    <n v="0"/>
    <n v="0"/>
    <n v="1"/>
    <n v="1"/>
    <n v="1"/>
    <n v="1"/>
    <n v="0"/>
    <n v="0"/>
    <n v="0"/>
    <n v="0"/>
  </r>
  <r>
    <s v="AHZ7C7ETHYX3N"/>
    <s v="english"/>
    <s v="test"/>
    <x v="4"/>
    <x v="1"/>
    <s v="ms-l"/>
    <s v="mo-l"/>
    <s v="ms-h"/>
    <n v="0"/>
    <n v="0"/>
    <n v="1"/>
    <n v="1"/>
    <n v="1"/>
    <n v="0"/>
    <n v="1"/>
    <n v="0"/>
    <n v="0"/>
    <n v="1"/>
    <n v="1"/>
    <n v="1"/>
    <n v="0"/>
    <n v="0"/>
  </r>
  <r>
    <s v="AT13EK8JER5C3"/>
    <s v="english"/>
    <s v="test"/>
    <x v="3"/>
    <x v="1"/>
    <s v="mo-l"/>
    <s v="ms-h"/>
    <s v="mo-h"/>
    <n v="0"/>
    <n v="1"/>
    <n v="1"/>
    <n v="1"/>
    <n v="0"/>
    <n v="0"/>
    <n v="1"/>
    <n v="0"/>
    <n v="0"/>
    <n v="0"/>
    <n v="0"/>
    <n v="0"/>
    <n v="0"/>
    <n v="1"/>
  </r>
  <r>
    <s v="AT13EK8JER5C3"/>
    <s v="english"/>
    <s v="test"/>
    <x v="5"/>
    <x v="1"/>
    <s v="ms-h"/>
    <s v="mo-l"/>
    <s v="mo-h"/>
    <n v="0"/>
    <n v="1"/>
    <n v="1"/>
    <n v="1"/>
    <n v="0"/>
    <n v="0"/>
    <n v="1"/>
    <n v="0"/>
    <n v="0"/>
    <n v="0"/>
    <n v="0"/>
    <n v="0"/>
    <n v="0"/>
    <n v="1"/>
  </r>
  <r>
    <s v="AT13EK8JER5C3"/>
    <s v="english"/>
    <s v="test"/>
    <x v="4"/>
    <x v="1"/>
    <s v="ms-h"/>
    <s v="ms-l"/>
    <s v="mo-l"/>
    <n v="0"/>
    <n v="0"/>
    <n v="1"/>
    <n v="1"/>
    <n v="1"/>
    <n v="0"/>
    <n v="1"/>
    <n v="0"/>
    <n v="0"/>
    <n v="1"/>
    <n v="0"/>
    <n v="0"/>
    <n v="0"/>
    <n v="0"/>
  </r>
  <r>
    <s v="AT13EK8JER5C3"/>
    <s v="english"/>
    <s v="test"/>
    <x v="1"/>
    <x v="1"/>
    <s v="exh"/>
    <s v="mo-h"/>
    <s v="mo-l"/>
    <n v="1"/>
    <n v="1"/>
    <n v="1"/>
    <n v="0"/>
    <n v="0"/>
    <n v="0"/>
    <n v="1"/>
    <n v="0"/>
    <n v="1"/>
    <n v="0"/>
    <n v="0"/>
    <n v="0"/>
    <n v="0"/>
    <n v="0"/>
  </r>
  <r>
    <s v="AT13EK8JER5C3"/>
    <s v="english"/>
    <s v="test"/>
    <x v="0"/>
    <x v="1"/>
    <s v="ms-l"/>
    <s v="mo-l"/>
    <s v="mo-h"/>
    <n v="0"/>
    <n v="1"/>
    <n v="1"/>
    <n v="0"/>
    <n v="1"/>
    <n v="0"/>
    <n v="1"/>
    <n v="0"/>
    <n v="1"/>
    <n v="0"/>
    <n v="0"/>
    <n v="0"/>
    <n v="0"/>
    <n v="0"/>
  </r>
  <r>
    <s v="A1AWHHBTJF1XCH"/>
    <s v="english"/>
    <s v="test"/>
    <x v="1"/>
    <x v="1"/>
    <s v="mo-h"/>
    <s v="mo-l"/>
    <s v="ms-l"/>
    <n v="0"/>
    <n v="1"/>
    <n v="1"/>
    <n v="0"/>
    <n v="1"/>
    <n v="0"/>
    <n v="1"/>
    <n v="0"/>
    <n v="0"/>
    <n v="0"/>
    <n v="0"/>
    <n v="0"/>
    <n v="0"/>
    <n v="1"/>
  </r>
  <r>
    <s v="A1AWHHBTJF1XCH"/>
    <s v="english"/>
    <s v="test"/>
    <x v="0"/>
    <x v="1"/>
    <s v="ms-l"/>
    <s v="mo-h"/>
    <s v="mo-l"/>
    <n v="0"/>
    <n v="1"/>
    <n v="1"/>
    <n v="0"/>
    <n v="1"/>
    <n v="0"/>
    <n v="1"/>
    <n v="0"/>
    <n v="0"/>
    <n v="0"/>
    <n v="0"/>
    <n v="0"/>
    <n v="0"/>
    <n v="1"/>
  </r>
  <r>
    <s v="A1AWHHBTJF1XCH"/>
    <s v="english"/>
    <s v="test"/>
    <x v="3"/>
    <x v="1"/>
    <s v="fa"/>
    <s v="ms-l"/>
    <s v="mo-l"/>
    <n v="0"/>
    <n v="0"/>
    <n v="1"/>
    <n v="0"/>
    <n v="1"/>
    <n v="0"/>
    <n v="1"/>
    <n v="0"/>
    <n v="0"/>
    <n v="0"/>
    <n v="0"/>
    <n v="0"/>
    <n v="0"/>
    <n v="1"/>
  </r>
  <r>
    <s v="A3OB6REG5CGHK1"/>
    <s v="english"/>
    <s v="test"/>
    <x v="5"/>
    <x v="1"/>
    <s v="mo-l"/>
    <s v="ms-l"/>
    <s v="exh"/>
    <n v="1"/>
    <n v="0"/>
    <n v="1"/>
    <n v="0"/>
    <n v="1"/>
    <n v="0"/>
    <n v="1"/>
    <n v="0"/>
    <n v="0"/>
    <n v="0"/>
    <n v="0"/>
    <n v="0"/>
    <n v="0"/>
    <n v="1"/>
  </r>
  <r>
    <s v="A3OB6REG5CGHK1"/>
    <s v="english"/>
    <s v="test"/>
    <x v="1"/>
    <x v="1"/>
    <s v="mo-l"/>
    <s v="ms-h"/>
    <s v="ms-l"/>
    <n v="0"/>
    <n v="0"/>
    <n v="1"/>
    <n v="1"/>
    <n v="1"/>
    <n v="0"/>
    <n v="1"/>
    <n v="0"/>
    <n v="0"/>
    <n v="0"/>
    <n v="0"/>
    <n v="0"/>
    <n v="0"/>
    <n v="1"/>
  </r>
  <r>
    <s v="A3OB6REG5CGHK1"/>
    <s v="english"/>
    <s v="test"/>
    <x v="2"/>
    <x v="1"/>
    <s v="mo-h"/>
    <s v="mo-l"/>
    <s v="ms-h"/>
    <n v="0"/>
    <n v="1"/>
    <n v="1"/>
    <n v="1"/>
    <n v="0"/>
    <n v="0"/>
    <n v="1"/>
    <n v="0"/>
    <n v="0"/>
    <n v="0"/>
    <n v="1"/>
    <n v="0"/>
    <n v="0"/>
    <n v="0"/>
  </r>
  <r>
    <s v="A3OB6REG5CGHK1"/>
    <s v="english"/>
    <s v="test"/>
    <x v="4"/>
    <x v="1"/>
    <s v="ms-h"/>
    <s v="ms-l"/>
    <s v="mo-l"/>
    <n v="0"/>
    <n v="0"/>
    <n v="1"/>
    <n v="1"/>
    <n v="1"/>
    <n v="0"/>
    <n v="1"/>
    <n v="0"/>
    <n v="0"/>
    <n v="0"/>
    <n v="0"/>
    <n v="0"/>
    <n v="0"/>
    <n v="1"/>
  </r>
  <r>
    <s v="A3OB6REG5CGHK1"/>
    <s v="english"/>
    <s v="test"/>
    <x v="0"/>
    <x v="1"/>
    <s v="mo-l"/>
    <s v="fa"/>
    <s v="mo-h"/>
    <n v="0"/>
    <n v="1"/>
    <n v="1"/>
    <n v="0"/>
    <n v="0"/>
    <n v="0"/>
    <n v="1"/>
    <n v="0"/>
    <n v="1"/>
    <n v="0"/>
    <n v="0"/>
    <n v="0"/>
    <n v="0"/>
    <n v="0"/>
  </r>
  <r>
    <s v="A255V2M0CC1G8L"/>
    <s v="english"/>
    <s v="test"/>
    <x v="1"/>
    <x v="1"/>
    <s v="ms-h"/>
    <s v="exh"/>
    <s v="mo-l"/>
    <n v="1"/>
    <n v="0"/>
    <n v="1"/>
    <n v="1"/>
    <n v="0"/>
    <n v="0"/>
    <n v="1"/>
    <n v="1"/>
    <n v="0"/>
    <n v="0"/>
    <n v="0"/>
    <n v="0"/>
    <n v="0"/>
    <n v="0"/>
  </r>
  <r>
    <s v="A255V2M0CC1G8L"/>
    <s v="english"/>
    <s v="test"/>
    <x v="2"/>
    <x v="1"/>
    <s v="exh"/>
    <s v="mo-l"/>
    <s v="ms-l"/>
    <n v="1"/>
    <n v="0"/>
    <n v="1"/>
    <n v="0"/>
    <n v="1"/>
    <n v="0"/>
    <n v="1"/>
    <n v="0"/>
    <n v="0"/>
    <n v="1"/>
    <n v="0"/>
    <n v="0"/>
    <n v="0"/>
    <n v="0"/>
  </r>
  <r>
    <s v="A255V2M0CC1G8L"/>
    <s v="english"/>
    <s v="test"/>
    <x v="0"/>
    <x v="1"/>
    <s v="ms-l"/>
    <s v="mo-l"/>
    <s v="mo-h"/>
    <n v="0"/>
    <n v="1"/>
    <n v="1"/>
    <n v="0"/>
    <n v="1"/>
    <n v="0"/>
    <n v="1"/>
    <n v="0"/>
    <n v="1"/>
    <n v="0"/>
    <n v="0"/>
    <n v="0"/>
    <n v="0"/>
    <n v="0"/>
  </r>
  <r>
    <s v="A3RL02A3JRAUS4"/>
    <s v="english"/>
    <s v="test"/>
    <x v="5"/>
    <x v="1"/>
    <s v="ms-h"/>
    <s v="mo-h"/>
    <s v="mo-l"/>
    <n v="0"/>
    <n v="1"/>
    <n v="1"/>
    <n v="1"/>
    <n v="0"/>
    <n v="0"/>
    <n v="1"/>
    <n v="0"/>
    <n v="0"/>
    <n v="0"/>
    <n v="1"/>
    <n v="0"/>
    <n v="0"/>
    <n v="0"/>
  </r>
  <r>
    <s v="A3RL02A3JRAUS4"/>
    <s v="english"/>
    <s v="test"/>
    <x v="1"/>
    <x v="1"/>
    <s v="ms-h"/>
    <s v="mo-h"/>
    <s v="mo-l"/>
    <n v="0"/>
    <n v="1"/>
    <n v="1"/>
    <n v="1"/>
    <n v="0"/>
    <n v="0"/>
    <n v="1"/>
    <n v="0"/>
    <n v="1"/>
    <n v="1"/>
    <n v="1"/>
    <n v="0"/>
    <n v="0"/>
    <n v="0"/>
  </r>
  <r>
    <s v="A3RL02A3JRAUS4"/>
    <s v="english"/>
    <s v="test"/>
    <x v="2"/>
    <x v="1"/>
    <s v="mo-l"/>
    <s v="ms-l"/>
    <s v="mo-h"/>
    <n v="0"/>
    <n v="1"/>
    <n v="1"/>
    <n v="0"/>
    <n v="1"/>
    <n v="0"/>
    <n v="1"/>
    <n v="0"/>
    <n v="0"/>
    <n v="0"/>
    <n v="0"/>
    <n v="0"/>
    <n v="0"/>
    <n v="1"/>
  </r>
  <r>
    <s v="A3RL02A3JRAUS4"/>
    <s v="english"/>
    <s v="test"/>
    <x v="4"/>
    <x v="1"/>
    <s v="mo-h"/>
    <s v="ms-h"/>
    <s v="mo-l"/>
    <n v="0"/>
    <n v="1"/>
    <n v="1"/>
    <n v="1"/>
    <n v="0"/>
    <n v="0"/>
    <n v="1"/>
    <n v="0"/>
    <n v="0"/>
    <n v="0"/>
    <n v="0"/>
    <n v="0"/>
    <n v="0"/>
    <n v="1"/>
  </r>
  <r>
    <s v="A3RL02A3JRAUS4"/>
    <s v="english"/>
    <s v="test"/>
    <x v="0"/>
    <x v="1"/>
    <s v="fa"/>
    <s v="ms-h"/>
    <s v="mo-l"/>
    <n v="0"/>
    <n v="0"/>
    <n v="1"/>
    <n v="1"/>
    <n v="0"/>
    <n v="0"/>
    <n v="1"/>
    <n v="0"/>
    <n v="0"/>
    <n v="1"/>
    <n v="1"/>
    <n v="0"/>
    <n v="0"/>
    <n v="0"/>
  </r>
  <r>
    <s v="A3RL02A3JRAUS4"/>
    <s v="english"/>
    <s v="test"/>
    <x v="3"/>
    <x v="1"/>
    <s v="mo-l"/>
    <s v="mo-h"/>
    <s v="exh"/>
    <n v="1"/>
    <n v="1"/>
    <n v="1"/>
    <n v="0"/>
    <n v="0"/>
    <n v="0"/>
    <n v="1"/>
    <n v="1"/>
    <n v="0"/>
    <n v="0"/>
    <n v="0"/>
    <n v="0"/>
    <n v="0"/>
    <n v="0"/>
  </r>
  <r>
    <s v="A13FUEPWBCLBUY"/>
    <s v="english"/>
    <s v="test"/>
    <x v="1"/>
    <x v="1"/>
    <s v="ms-l"/>
    <s v="mo-l"/>
    <s v="fa"/>
    <n v="0"/>
    <n v="0"/>
    <n v="1"/>
    <n v="0"/>
    <n v="1"/>
    <n v="0"/>
    <n v="1"/>
    <n v="0"/>
    <n v="0"/>
    <n v="1"/>
    <n v="0"/>
    <n v="1"/>
    <n v="0"/>
    <n v="0"/>
  </r>
  <r>
    <s v="A13FUEPWBCLBUY"/>
    <s v="english"/>
    <s v="test"/>
    <x v="4"/>
    <x v="1"/>
    <s v="mo-l"/>
    <s v="ms-h"/>
    <s v="ms-l"/>
    <n v="0"/>
    <n v="0"/>
    <n v="1"/>
    <n v="1"/>
    <n v="1"/>
    <n v="0"/>
    <n v="1"/>
    <n v="0"/>
    <n v="0"/>
    <n v="1"/>
    <n v="1"/>
    <n v="1"/>
    <n v="0"/>
    <n v="0"/>
  </r>
  <r>
    <s v="A13FUEPWBCLBUY"/>
    <s v="english"/>
    <s v="test"/>
    <x v="2"/>
    <x v="1"/>
    <s v="ms-h"/>
    <s v="mo-h"/>
    <s v="mo-l"/>
    <n v="0"/>
    <n v="1"/>
    <n v="1"/>
    <n v="1"/>
    <n v="0"/>
    <n v="0"/>
    <n v="1"/>
    <n v="0"/>
    <n v="1"/>
    <n v="1"/>
    <n v="1"/>
    <n v="0"/>
    <n v="0"/>
    <n v="0"/>
  </r>
  <r>
    <s v="A1V2H0UF94ATWY"/>
    <s v="english"/>
    <s v="test"/>
    <x v="2"/>
    <x v="1"/>
    <s v="ms-h"/>
    <s v="fa"/>
    <s v="mo-l"/>
    <n v="0"/>
    <n v="0"/>
    <n v="1"/>
    <n v="1"/>
    <n v="0"/>
    <n v="0"/>
    <n v="1"/>
    <n v="0"/>
    <n v="0"/>
    <n v="0"/>
    <n v="1"/>
    <n v="0"/>
    <n v="0"/>
    <n v="0"/>
  </r>
  <r>
    <s v="A1V2H0UF94ATWY"/>
    <s v="english"/>
    <s v="test"/>
    <x v="5"/>
    <x v="1"/>
    <s v="fa"/>
    <s v="ms-l"/>
    <s v="mo-l"/>
    <n v="0"/>
    <n v="0"/>
    <n v="1"/>
    <n v="0"/>
    <n v="1"/>
    <n v="0"/>
    <n v="1"/>
    <n v="0"/>
    <n v="0"/>
    <n v="0"/>
    <n v="0"/>
    <n v="0"/>
    <n v="0"/>
    <n v="1"/>
  </r>
  <r>
    <s v="A2BZY06YRWGEDL"/>
    <s v="english"/>
    <s v="test"/>
    <x v="4"/>
    <x v="1"/>
    <s v="mo-l"/>
    <s v="mo-h"/>
    <s v="fa"/>
    <n v="0"/>
    <n v="1"/>
    <n v="1"/>
    <n v="0"/>
    <n v="0"/>
    <n v="0"/>
    <n v="1"/>
    <n v="0"/>
    <n v="1"/>
    <n v="1"/>
    <n v="0"/>
    <n v="0"/>
    <n v="0"/>
    <n v="0"/>
  </r>
  <r>
    <s v="A2BZY06YRWGEDL"/>
    <s v="english"/>
    <s v="test"/>
    <x v="2"/>
    <x v="1"/>
    <s v="ms-l"/>
    <s v="mo-l"/>
    <s v="mo-h"/>
    <n v="0"/>
    <n v="1"/>
    <n v="1"/>
    <n v="0"/>
    <n v="1"/>
    <n v="0"/>
    <n v="1"/>
    <n v="0"/>
    <n v="1"/>
    <n v="1"/>
    <n v="0"/>
    <n v="1"/>
    <n v="0"/>
    <n v="0"/>
  </r>
  <r>
    <s v="A2BZY06YRWGEDL"/>
    <s v="english"/>
    <s v="test"/>
    <x v="3"/>
    <x v="1"/>
    <s v="mo-l"/>
    <s v="ms-h"/>
    <s v="fa"/>
    <n v="0"/>
    <n v="0"/>
    <n v="1"/>
    <n v="1"/>
    <n v="0"/>
    <n v="0"/>
    <n v="1"/>
    <n v="0"/>
    <n v="0"/>
    <n v="1"/>
    <n v="1"/>
    <n v="0"/>
    <n v="0"/>
    <n v="0"/>
  </r>
  <r>
    <s v="A1EQ1LHEEIQ3UA"/>
    <s v="english"/>
    <s v="test"/>
    <x v="0"/>
    <x v="1"/>
    <s v="mo-h"/>
    <s v="mo-l"/>
    <s v="fa"/>
    <n v="0"/>
    <n v="1"/>
    <n v="1"/>
    <n v="0"/>
    <n v="0"/>
    <n v="0"/>
    <n v="1"/>
    <n v="0"/>
    <n v="0"/>
    <n v="0"/>
    <n v="0"/>
    <n v="0"/>
    <n v="0"/>
    <n v="1"/>
  </r>
  <r>
    <s v="A1EQ1LHEEIQ3UA"/>
    <s v="english"/>
    <s v="test"/>
    <x v="2"/>
    <x v="1"/>
    <s v="ms-l"/>
    <s v="mo-l"/>
    <s v="ms-h"/>
    <n v="0"/>
    <n v="0"/>
    <n v="1"/>
    <n v="1"/>
    <n v="1"/>
    <n v="0"/>
    <n v="1"/>
    <n v="0"/>
    <n v="0"/>
    <n v="0"/>
    <n v="0"/>
    <n v="0"/>
    <n v="0"/>
    <n v="1"/>
  </r>
  <r>
    <s v="A1EQ1LHEEIQ3UA"/>
    <s v="english"/>
    <s v="test"/>
    <x v="3"/>
    <x v="1"/>
    <s v="mo-h"/>
    <s v="ms-l"/>
    <s v="mo-l"/>
    <n v="0"/>
    <n v="1"/>
    <n v="1"/>
    <n v="0"/>
    <n v="1"/>
    <n v="0"/>
    <n v="1"/>
    <n v="0"/>
    <n v="1"/>
    <n v="1"/>
    <n v="0"/>
    <n v="1"/>
    <n v="0"/>
    <n v="0"/>
  </r>
  <r>
    <s v="AJFVK3O1D7SPE"/>
    <s v="english"/>
    <s v="test"/>
    <x v="4"/>
    <x v="1"/>
    <s v="mo-l"/>
    <s v="ms-l"/>
    <s v="mo-h"/>
    <n v="0"/>
    <n v="1"/>
    <n v="1"/>
    <n v="0"/>
    <n v="1"/>
    <n v="0"/>
    <n v="1"/>
    <n v="0"/>
    <n v="1"/>
    <n v="0"/>
    <n v="0"/>
    <n v="0"/>
    <n v="0"/>
    <n v="0"/>
  </r>
  <r>
    <s v="AJFVK3O1D7SPE"/>
    <s v="english"/>
    <s v="test"/>
    <x v="2"/>
    <x v="1"/>
    <s v="exh"/>
    <s v="ms-l"/>
    <s v="mo-l"/>
    <n v="1"/>
    <n v="0"/>
    <n v="1"/>
    <n v="0"/>
    <n v="1"/>
    <n v="0"/>
    <n v="1"/>
    <n v="0"/>
    <n v="0"/>
    <n v="0"/>
    <n v="0"/>
    <n v="0"/>
    <n v="0"/>
    <n v="1"/>
  </r>
  <r>
    <s v="AJFVK3O1D7SPE"/>
    <s v="english"/>
    <s v="test"/>
    <x v="3"/>
    <x v="1"/>
    <s v="mo-h"/>
    <s v="ms-h"/>
    <s v="mo-l"/>
    <n v="0"/>
    <n v="1"/>
    <n v="1"/>
    <n v="1"/>
    <n v="0"/>
    <n v="0"/>
    <n v="1"/>
    <n v="0"/>
    <n v="1"/>
    <n v="0"/>
    <n v="0"/>
    <n v="0"/>
    <n v="0"/>
    <n v="0"/>
  </r>
  <r>
    <s v="AJFVK3O1D7SPE"/>
    <s v="english"/>
    <s v="test"/>
    <x v="0"/>
    <x v="1"/>
    <s v="ms-h"/>
    <s v="mo-h"/>
    <s v="mo-l"/>
    <n v="0"/>
    <n v="1"/>
    <n v="1"/>
    <n v="1"/>
    <n v="0"/>
    <n v="0"/>
    <n v="1"/>
    <n v="0"/>
    <n v="1"/>
    <n v="0"/>
    <n v="1"/>
    <n v="0"/>
    <n v="0"/>
    <n v="0"/>
  </r>
  <r>
    <s v="A10T7GP0TH27RB"/>
    <s v="english"/>
    <s v="test"/>
    <x v="5"/>
    <x v="1"/>
    <s v="ms-h"/>
    <s v="mo-l"/>
    <s v="mo-h"/>
    <n v="0"/>
    <n v="1"/>
    <n v="1"/>
    <n v="1"/>
    <n v="0"/>
    <n v="0"/>
    <n v="1"/>
    <n v="0"/>
    <n v="0"/>
    <n v="1"/>
    <n v="0"/>
    <n v="0"/>
    <n v="0"/>
    <n v="0"/>
  </r>
  <r>
    <s v="A10T7GP0TH27RB"/>
    <s v="english"/>
    <s v="test"/>
    <x v="2"/>
    <x v="1"/>
    <s v="fa"/>
    <s v="ms-l"/>
    <s v="mo-l"/>
    <n v="0"/>
    <n v="0"/>
    <n v="1"/>
    <n v="0"/>
    <n v="1"/>
    <n v="0"/>
    <n v="1"/>
    <n v="0"/>
    <n v="0"/>
    <n v="0"/>
    <n v="0"/>
    <n v="1"/>
    <n v="0"/>
    <n v="0"/>
  </r>
  <r>
    <s v="A1GV1POLY1EHJV"/>
    <s v="english"/>
    <s v="test"/>
    <x v="2"/>
    <x v="1"/>
    <s v="fa"/>
    <s v="mo-l"/>
    <s v="ms-h"/>
    <n v="0"/>
    <n v="0"/>
    <n v="1"/>
    <n v="1"/>
    <n v="0"/>
    <n v="0"/>
    <n v="1"/>
    <n v="0"/>
    <n v="0"/>
    <n v="1"/>
    <n v="1"/>
    <n v="0"/>
    <n v="0"/>
    <n v="0"/>
  </r>
  <r>
    <s v="A1GV1POLY1EHJV"/>
    <s v="english"/>
    <s v="test"/>
    <x v="4"/>
    <x v="1"/>
    <s v="ms-h"/>
    <s v="mo-h"/>
    <s v="mo-l"/>
    <n v="0"/>
    <n v="1"/>
    <n v="1"/>
    <n v="1"/>
    <n v="0"/>
    <n v="0"/>
    <n v="1"/>
    <n v="0"/>
    <n v="1"/>
    <n v="1"/>
    <n v="1"/>
    <n v="0"/>
    <n v="0"/>
    <n v="0"/>
  </r>
  <r>
    <s v="A1GV1POLY1EHJV"/>
    <s v="english"/>
    <s v="test"/>
    <x v="0"/>
    <x v="1"/>
    <s v="ms-h"/>
    <s v="mo-h"/>
    <s v="mo-l"/>
    <n v="0"/>
    <n v="1"/>
    <n v="1"/>
    <n v="1"/>
    <n v="0"/>
    <n v="0"/>
    <n v="1"/>
    <n v="0"/>
    <n v="1"/>
    <n v="1"/>
    <n v="1"/>
    <n v="0"/>
    <n v="0"/>
    <n v="0"/>
  </r>
  <r>
    <s v="A1GV1POLY1EHJV"/>
    <s v="english"/>
    <s v="test"/>
    <x v="1"/>
    <x v="1"/>
    <s v="mo-l"/>
    <s v="ms-l"/>
    <s v="mo-h"/>
    <n v="0"/>
    <n v="1"/>
    <n v="1"/>
    <n v="0"/>
    <n v="1"/>
    <n v="0"/>
    <n v="1"/>
    <n v="0"/>
    <n v="1"/>
    <n v="1"/>
    <n v="0"/>
    <n v="1"/>
    <n v="0"/>
    <n v="0"/>
  </r>
  <r>
    <s v="A36IYIE23IO4HE"/>
    <s v="english"/>
    <s v="test"/>
    <x v="2"/>
    <x v="1"/>
    <s v="mo-h"/>
    <s v="mo-l"/>
    <s v="exh"/>
    <n v="1"/>
    <n v="1"/>
    <n v="1"/>
    <n v="0"/>
    <n v="0"/>
    <n v="0"/>
    <n v="1"/>
    <n v="0"/>
    <n v="1"/>
    <n v="0"/>
    <n v="0"/>
    <n v="0"/>
    <n v="0"/>
    <n v="0"/>
  </r>
  <r>
    <s v="A36IYIE23IO4HE"/>
    <s v="english"/>
    <s v="test"/>
    <x v="3"/>
    <x v="1"/>
    <s v="mo-l"/>
    <s v="fa"/>
    <s v="ms-l"/>
    <n v="0"/>
    <n v="0"/>
    <n v="1"/>
    <n v="0"/>
    <n v="1"/>
    <n v="0"/>
    <n v="1"/>
    <n v="0"/>
    <n v="0"/>
    <n v="0"/>
    <n v="0"/>
    <n v="0"/>
    <n v="0"/>
    <n v="1"/>
  </r>
  <r>
    <s v="A36IYIE23IO4HE"/>
    <s v="english"/>
    <s v="test"/>
    <x v="1"/>
    <x v="1"/>
    <s v="exh"/>
    <s v="mo-l"/>
    <s v="ms-l"/>
    <n v="1"/>
    <n v="0"/>
    <n v="1"/>
    <n v="0"/>
    <n v="1"/>
    <n v="0"/>
    <n v="1"/>
    <n v="1"/>
    <n v="0"/>
    <n v="0"/>
    <n v="0"/>
    <n v="0"/>
    <n v="0"/>
    <n v="0"/>
  </r>
  <r>
    <s v="APLBF6JY2C1QZ"/>
    <s v="english"/>
    <s v="test"/>
    <x v="3"/>
    <x v="1"/>
    <s v="mo-l"/>
    <s v="ms-l"/>
    <s v="mo-h"/>
    <n v="0"/>
    <n v="1"/>
    <n v="1"/>
    <n v="0"/>
    <n v="1"/>
    <n v="0"/>
    <n v="1"/>
    <n v="0"/>
    <n v="1"/>
    <n v="1"/>
    <n v="0"/>
    <n v="1"/>
    <n v="0"/>
    <n v="0"/>
  </r>
  <r>
    <s v="APLBF6JY2C1QZ"/>
    <s v="english"/>
    <s v="test"/>
    <x v="4"/>
    <x v="1"/>
    <s v="mo-l"/>
    <s v="mo-h"/>
    <s v="ms-l"/>
    <n v="0"/>
    <n v="1"/>
    <n v="1"/>
    <n v="0"/>
    <n v="1"/>
    <n v="0"/>
    <n v="1"/>
    <n v="0"/>
    <n v="1"/>
    <n v="0"/>
    <n v="0"/>
    <n v="0"/>
    <n v="0"/>
    <n v="0"/>
  </r>
  <r>
    <s v="APLBF6JY2C1QZ"/>
    <s v="english"/>
    <s v="test"/>
    <x v="5"/>
    <x v="1"/>
    <s v="ms-l"/>
    <s v="mo-l"/>
    <s v="exh"/>
    <n v="1"/>
    <n v="0"/>
    <n v="1"/>
    <n v="0"/>
    <n v="1"/>
    <n v="0"/>
    <n v="1"/>
    <n v="0"/>
    <n v="0"/>
    <n v="0"/>
    <n v="0"/>
    <n v="0"/>
    <n v="0"/>
    <n v="1"/>
  </r>
  <r>
    <s v="APLBF6JY2C1QZ"/>
    <s v="english"/>
    <s v="test"/>
    <x v="2"/>
    <x v="1"/>
    <s v="mo-l"/>
    <s v="fa"/>
    <s v="mo-h"/>
    <n v="0"/>
    <n v="1"/>
    <n v="1"/>
    <n v="0"/>
    <n v="0"/>
    <n v="0"/>
    <n v="1"/>
    <n v="0"/>
    <n v="1"/>
    <n v="0"/>
    <n v="0"/>
    <n v="0"/>
    <n v="0"/>
    <n v="0"/>
  </r>
  <r>
    <s v="APLBF6JY2C1QZ"/>
    <s v="english"/>
    <s v="test"/>
    <x v="1"/>
    <x v="1"/>
    <s v="mo-l"/>
    <s v="ms-l"/>
    <s v="mo-h"/>
    <n v="0"/>
    <n v="1"/>
    <n v="1"/>
    <n v="0"/>
    <n v="1"/>
    <n v="0"/>
    <n v="1"/>
    <n v="0"/>
    <n v="1"/>
    <n v="0"/>
    <n v="0"/>
    <n v="0"/>
    <n v="0"/>
    <n v="0"/>
  </r>
  <r>
    <s v="AZTHBV93S8U3T"/>
    <s v="english"/>
    <s v="test"/>
    <x v="5"/>
    <x v="1"/>
    <s v="exh"/>
    <s v="mo-l"/>
    <s v="ms-l"/>
    <n v="1"/>
    <n v="0"/>
    <n v="1"/>
    <n v="0"/>
    <n v="1"/>
    <n v="0"/>
    <n v="1"/>
    <n v="1"/>
    <n v="0"/>
    <n v="0"/>
    <n v="0"/>
    <n v="0"/>
    <n v="0"/>
    <n v="0"/>
  </r>
  <r>
    <s v="AZTHBV93S8U3T"/>
    <s v="english"/>
    <s v="test"/>
    <x v="4"/>
    <x v="1"/>
    <s v="mo-l"/>
    <s v="mo-h"/>
    <s v="ms-h"/>
    <n v="0"/>
    <n v="1"/>
    <n v="1"/>
    <n v="1"/>
    <n v="0"/>
    <n v="0"/>
    <n v="1"/>
    <n v="0"/>
    <n v="1"/>
    <n v="0"/>
    <n v="0"/>
    <n v="0"/>
    <n v="0"/>
    <n v="0"/>
  </r>
  <r>
    <s v="AZTHBV93S8U3T"/>
    <s v="english"/>
    <s v="test"/>
    <x v="0"/>
    <x v="1"/>
    <s v="mo-h"/>
    <s v="ms-l"/>
    <s v="mo-l"/>
    <n v="0"/>
    <n v="1"/>
    <n v="1"/>
    <n v="0"/>
    <n v="1"/>
    <n v="0"/>
    <n v="1"/>
    <n v="0"/>
    <n v="1"/>
    <n v="0"/>
    <n v="0"/>
    <n v="0"/>
    <n v="0"/>
    <n v="0"/>
  </r>
  <r>
    <s v="AY43RJRF8IEBN"/>
    <s v="english"/>
    <s v="test"/>
    <x v="0"/>
    <x v="1"/>
    <s v="mo-l"/>
    <s v="exh"/>
    <s v="ms-l"/>
    <n v="1"/>
    <n v="0"/>
    <n v="1"/>
    <n v="0"/>
    <n v="1"/>
    <n v="0"/>
    <n v="1"/>
    <n v="0"/>
    <n v="0"/>
    <n v="0"/>
    <n v="0"/>
    <n v="0"/>
    <n v="0"/>
    <n v="1"/>
  </r>
  <r>
    <s v="AY43RJRF8IEBN"/>
    <s v="english"/>
    <s v="test"/>
    <x v="3"/>
    <x v="1"/>
    <s v="mo-h"/>
    <s v="mo-l"/>
    <s v="exh"/>
    <n v="1"/>
    <n v="1"/>
    <n v="1"/>
    <n v="0"/>
    <n v="0"/>
    <n v="0"/>
    <n v="1"/>
    <n v="0"/>
    <n v="0"/>
    <n v="0"/>
    <n v="0"/>
    <n v="0"/>
    <n v="0"/>
    <n v="1"/>
  </r>
  <r>
    <s v="AY43RJRF8IEBN"/>
    <s v="english"/>
    <s v="test"/>
    <x v="5"/>
    <x v="1"/>
    <s v="ms-h"/>
    <s v="mo-l"/>
    <s v="mo-h"/>
    <n v="0"/>
    <n v="1"/>
    <n v="1"/>
    <n v="1"/>
    <n v="0"/>
    <n v="0"/>
    <n v="1"/>
    <n v="0"/>
    <n v="0"/>
    <n v="0"/>
    <n v="0"/>
    <n v="0"/>
    <n v="0"/>
    <n v="1"/>
  </r>
  <r>
    <s v="A35KO5LPASBFI9"/>
    <s v="english"/>
    <s v="test"/>
    <x v="2"/>
    <x v="1"/>
    <s v="mo-l"/>
    <s v="fa"/>
    <s v="exh"/>
    <n v="1"/>
    <n v="0"/>
    <n v="1"/>
    <n v="0"/>
    <n v="0"/>
    <n v="0"/>
    <n v="1"/>
    <n v="1"/>
    <n v="0"/>
    <n v="1"/>
    <n v="0"/>
    <n v="0"/>
    <n v="0"/>
    <n v="0"/>
  </r>
  <r>
    <s v="A35KO5LPASBFI9"/>
    <s v="english"/>
    <s v="test"/>
    <x v="3"/>
    <x v="1"/>
    <s v="mo-l"/>
    <s v="ms-h"/>
    <s v="ms-l"/>
    <n v="0"/>
    <n v="0"/>
    <n v="1"/>
    <n v="1"/>
    <n v="1"/>
    <n v="0"/>
    <n v="1"/>
    <n v="0"/>
    <n v="0"/>
    <n v="0"/>
    <n v="0"/>
    <n v="0"/>
    <n v="0"/>
    <n v="1"/>
  </r>
</pivotCacheRecords>
</file>

<file path=xl/pivotCache/pivotCacheRecords3.xml><?xml version="1.0" encoding="utf-8"?>
<pivotCacheRecords xmlns="http://schemas.openxmlformats.org/spreadsheetml/2006/main" xmlns:r="http://schemas.openxmlformats.org/officeDocument/2006/relationships" count="55">
  <r>
    <s v="A3GQR89E66AQJY"/>
    <s v="English"/>
    <s v="test"/>
    <x v="0"/>
    <x v="0"/>
    <s v="mo-l"/>
    <s v="mo-h"/>
    <s v="exh"/>
    <n v="1"/>
    <n v="1"/>
    <n v="1"/>
    <n v="0"/>
    <n v="0"/>
    <n v="0"/>
    <n v="1"/>
    <n v="0"/>
    <n v="0"/>
    <n v="0"/>
    <n v="0"/>
    <n v="0"/>
    <n v="0"/>
    <n v="1"/>
  </r>
  <r>
    <s v="A1YIBSKY9U31X6"/>
    <s v="English"/>
    <s v="test"/>
    <x v="0"/>
    <x v="0"/>
    <s v="mo-l"/>
    <s v="mo-h"/>
    <s v="exh"/>
    <n v="1"/>
    <n v="1"/>
    <n v="1"/>
    <n v="0"/>
    <n v="0"/>
    <n v="0"/>
    <n v="1"/>
    <n v="1"/>
    <n v="1"/>
    <n v="1"/>
    <n v="0"/>
    <n v="0"/>
    <n v="0"/>
    <n v="0"/>
  </r>
  <r>
    <s v="A25FNSFSB048DL"/>
    <s v="English"/>
    <s v="test"/>
    <x v="1"/>
    <x v="0"/>
    <s v="mo-h"/>
    <s v="mo-l"/>
    <s v="exh"/>
    <n v="1"/>
    <n v="1"/>
    <n v="1"/>
    <n v="0"/>
    <n v="0"/>
    <n v="0"/>
    <n v="1"/>
    <n v="0"/>
    <n v="1"/>
    <n v="0"/>
    <n v="0"/>
    <n v="0"/>
    <n v="0"/>
    <n v="0"/>
  </r>
  <r>
    <s v="A20SL254675EOK"/>
    <s v="English"/>
    <s v="test"/>
    <x v="2"/>
    <x v="0"/>
    <s v="exh"/>
    <s v="mo-h"/>
    <s v="mo-l"/>
    <n v="1"/>
    <n v="1"/>
    <n v="1"/>
    <n v="0"/>
    <n v="0"/>
    <n v="0"/>
    <n v="1"/>
    <n v="0"/>
    <n v="1"/>
    <n v="0"/>
    <n v="0"/>
    <n v="0"/>
    <n v="0"/>
    <n v="0"/>
  </r>
  <r>
    <s v="A36OS4XKUJF4NB"/>
    <s v="English"/>
    <s v="test"/>
    <x v="3"/>
    <x v="0"/>
    <s v="mo-h"/>
    <s v="mo-l"/>
    <s v="exh"/>
    <n v="1"/>
    <n v="1"/>
    <n v="1"/>
    <n v="0"/>
    <n v="0"/>
    <n v="0"/>
    <n v="1"/>
    <n v="0"/>
    <n v="0"/>
    <n v="0"/>
    <n v="0"/>
    <n v="0"/>
    <n v="0"/>
    <n v="1"/>
  </r>
  <r>
    <s v="A3HXIGBCL1CRFS"/>
    <s v="English"/>
    <s v="test"/>
    <x v="4"/>
    <x v="0"/>
    <s v="mo-l"/>
    <s v="exh"/>
    <s v="mo-h"/>
    <n v="1"/>
    <n v="1"/>
    <n v="1"/>
    <n v="0"/>
    <n v="0"/>
    <n v="0"/>
    <n v="1"/>
    <n v="0"/>
    <n v="0"/>
    <n v="0"/>
    <n v="0"/>
    <n v="0"/>
    <n v="0"/>
    <n v="1"/>
  </r>
  <r>
    <s v="A3EN5H82IBTJGF"/>
    <s v="English"/>
    <s v="test"/>
    <x v="1"/>
    <x v="0"/>
    <s v="exh"/>
    <s v="mo-l"/>
    <s v="mo-h"/>
    <n v="1"/>
    <n v="1"/>
    <n v="1"/>
    <n v="0"/>
    <n v="0"/>
    <n v="0"/>
    <n v="1"/>
    <n v="1"/>
    <n v="1"/>
    <n v="1"/>
    <n v="0"/>
    <n v="0"/>
    <n v="0"/>
    <n v="0"/>
  </r>
  <r>
    <s v="A1B84JJ7ATWVJA"/>
    <s v="English"/>
    <s v="test"/>
    <x v="3"/>
    <x v="0"/>
    <s v="mo-h"/>
    <s v="exh"/>
    <s v="mo-l"/>
    <n v="1"/>
    <n v="1"/>
    <n v="1"/>
    <n v="0"/>
    <n v="0"/>
    <n v="0"/>
    <n v="1"/>
    <n v="1"/>
    <n v="1"/>
    <n v="1"/>
    <n v="0"/>
    <n v="0"/>
    <n v="0"/>
    <n v="0"/>
  </r>
  <r>
    <s v="A1B84JJ7ATWVJA"/>
    <s v="English"/>
    <s v="test"/>
    <x v="1"/>
    <x v="0"/>
    <s v="mo-l"/>
    <s v="mo-h"/>
    <s v="exh"/>
    <n v="1"/>
    <n v="1"/>
    <n v="1"/>
    <n v="0"/>
    <n v="0"/>
    <n v="0"/>
    <n v="1"/>
    <n v="1"/>
    <n v="1"/>
    <n v="1"/>
    <n v="0"/>
    <n v="0"/>
    <n v="0"/>
    <n v="0"/>
  </r>
  <r>
    <s v="A1Y82LKWQQP90M"/>
    <s v="English"/>
    <s v="test"/>
    <x v="0"/>
    <x v="0"/>
    <s v="mo-h"/>
    <s v="exh"/>
    <s v="mo-l"/>
    <n v="1"/>
    <n v="1"/>
    <n v="1"/>
    <n v="0"/>
    <n v="0"/>
    <n v="0"/>
    <n v="1"/>
    <n v="1"/>
    <n v="1"/>
    <n v="1"/>
    <n v="0"/>
    <n v="0"/>
    <n v="0"/>
    <n v="0"/>
  </r>
  <r>
    <s v="A2N2GFB33ZMYGF"/>
    <s v="English"/>
    <s v="test"/>
    <x v="0"/>
    <x v="0"/>
    <s v="exh"/>
    <s v="mo-h"/>
    <s v="mo-l"/>
    <n v="1"/>
    <n v="1"/>
    <n v="1"/>
    <n v="0"/>
    <n v="0"/>
    <n v="0"/>
    <n v="1"/>
    <n v="0"/>
    <n v="1"/>
    <n v="0"/>
    <n v="0"/>
    <n v="0"/>
    <n v="0"/>
    <n v="0"/>
  </r>
  <r>
    <s v="A1BBZ5EMNSCZJR"/>
    <s v="English"/>
    <s v="test"/>
    <x v="4"/>
    <x v="0"/>
    <s v="mo-l"/>
    <s v="exh"/>
    <s v="mo-h"/>
    <n v="1"/>
    <n v="1"/>
    <n v="1"/>
    <n v="0"/>
    <n v="0"/>
    <n v="0"/>
    <n v="1"/>
    <n v="0"/>
    <n v="1"/>
    <n v="0"/>
    <n v="0"/>
    <n v="0"/>
    <n v="0"/>
    <n v="0"/>
  </r>
  <r>
    <s v="A2YLK83DQ6PA5Y"/>
    <s v="English"/>
    <s v="test"/>
    <x v="1"/>
    <x v="0"/>
    <s v="mo-h"/>
    <s v="exh"/>
    <s v="mo-l"/>
    <n v="1"/>
    <n v="1"/>
    <n v="1"/>
    <n v="0"/>
    <n v="0"/>
    <n v="0"/>
    <n v="1"/>
    <n v="1"/>
    <n v="0"/>
    <n v="0"/>
    <n v="0"/>
    <n v="0"/>
    <n v="0"/>
    <n v="0"/>
  </r>
  <r>
    <s v="AZ8JL3QNIPY4U"/>
    <s v="English"/>
    <s v="test"/>
    <x v="2"/>
    <x v="0"/>
    <s v="exh"/>
    <s v="mo-l"/>
    <s v="mo-h"/>
    <n v="1"/>
    <n v="1"/>
    <n v="1"/>
    <n v="0"/>
    <n v="0"/>
    <n v="0"/>
    <n v="1"/>
    <n v="1"/>
    <n v="0"/>
    <n v="0"/>
    <n v="0"/>
    <n v="0"/>
    <n v="0"/>
    <n v="0"/>
  </r>
  <r>
    <s v="A3LT7W355XOAKF"/>
    <s v="English"/>
    <s v="test"/>
    <x v="2"/>
    <x v="0"/>
    <s v="mo-l"/>
    <s v="mo-h"/>
    <s v="exh"/>
    <n v="1"/>
    <n v="1"/>
    <n v="1"/>
    <n v="0"/>
    <n v="0"/>
    <n v="0"/>
    <n v="1"/>
    <n v="1"/>
    <n v="1"/>
    <n v="1"/>
    <n v="0"/>
    <n v="0"/>
    <n v="0"/>
    <n v="0"/>
  </r>
  <r>
    <s v="A8KX1HFH8NE2Q"/>
    <s v="English"/>
    <s v="test"/>
    <x v="2"/>
    <x v="0"/>
    <s v="exh"/>
    <s v="mo-h"/>
    <s v="mo-l"/>
    <n v="1"/>
    <n v="1"/>
    <n v="1"/>
    <n v="0"/>
    <n v="0"/>
    <n v="0"/>
    <n v="1"/>
    <n v="0"/>
    <n v="1"/>
    <n v="0"/>
    <n v="0"/>
    <n v="0"/>
    <n v="0"/>
    <n v="0"/>
  </r>
  <r>
    <s v="A3KCZB9IL6CVH"/>
    <s v="English"/>
    <s v="test"/>
    <x v="3"/>
    <x v="0"/>
    <s v="mo-h"/>
    <s v="mo-l"/>
    <s v="exh"/>
    <n v="1"/>
    <n v="1"/>
    <n v="1"/>
    <n v="0"/>
    <n v="0"/>
    <n v="0"/>
    <n v="1"/>
    <n v="0"/>
    <n v="1"/>
    <n v="0"/>
    <n v="0"/>
    <n v="0"/>
    <n v="0"/>
    <n v="0"/>
  </r>
  <r>
    <s v="A3KE35E6VK782J"/>
    <s v="English"/>
    <s v="test"/>
    <x v="1"/>
    <x v="0"/>
    <s v="exh"/>
    <s v="mo-l"/>
    <s v="mo-h"/>
    <n v="1"/>
    <n v="1"/>
    <n v="1"/>
    <n v="0"/>
    <n v="0"/>
    <n v="0"/>
    <n v="1"/>
    <n v="0"/>
    <n v="1"/>
    <n v="0"/>
    <n v="0"/>
    <n v="0"/>
    <n v="0"/>
    <n v="0"/>
  </r>
  <r>
    <s v="A1ODA3Q5H6HTDQ"/>
    <s v="English"/>
    <s v="test"/>
    <x v="4"/>
    <x v="0"/>
    <s v="mo-l"/>
    <s v="mo-h"/>
    <s v="exh"/>
    <n v="1"/>
    <n v="1"/>
    <n v="1"/>
    <n v="0"/>
    <n v="0"/>
    <n v="0"/>
    <n v="1"/>
    <n v="0"/>
    <n v="1"/>
    <n v="0"/>
    <n v="0"/>
    <n v="0"/>
    <n v="0"/>
    <n v="0"/>
  </r>
  <r>
    <s v="A221N4JDWK8XK0"/>
    <s v="English"/>
    <s v="test"/>
    <x v="4"/>
    <x v="0"/>
    <s v="mo-l"/>
    <s v="exh"/>
    <s v="mo-h"/>
    <n v="1"/>
    <n v="1"/>
    <n v="1"/>
    <n v="0"/>
    <n v="0"/>
    <n v="0"/>
    <n v="1"/>
    <n v="1"/>
    <n v="0"/>
    <n v="0"/>
    <n v="0"/>
    <n v="0"/>
    <n v="0"/>
    <n v="0"/>
  </r>
  <r>
    <s v="A3V8RZYN8NBK2O"/>
    <s v="English"/>
    <s v="test"/>
    <x v="3"/>
    <x v="0"/>
    <s v="mo-l"/>
    <s v="mo-h"/>
    <s v="exh"/>
    <n v="1"/>
    <n v="1"/>
    <n v="1"/>
    <n v="0"/>
    <n v="0"/>
    <n v="0"/>
    <n v="1"/>
    <n v="1"/>
    <n v="1"/>
    <n v="1"/>
    <n v="0"/>
    <n v="0"/>
    <n v="0"/>
    <n v="0"/>
  </r>
  <r>
    <s v="A2WKZI3JQCE3Z6"/>
    <s v="English"/>
    <s v="test"/>
    <x v="5"/>
    <x v="0"/>
    <s v="mo-l"/>
    <s v="mo-h"/>
    <s v="exh"/>
    <n v="1"/>
    <n v="1"/>
    <n v="1"/>
    <n v="0"/>
    <n v="0"/>
    <n v="0"/>
    <n v="1"/>
    <n v="0"/>
    <n v="0"/>
    <n v="0"/>
    <n v="0"/>
    <n v="0"/>
    <n v="0"/>
    <n v="1"/>
  </r>
  <r>
    <s v="A1IJ86B8ZRKXBI"/>
    <s v="English"/>
    <s v="test"/>
    <x v="4"/>
    <x v="0"/>
    <s v="exh"/>
    <s v="mo-l"/>
    <s v="mo-h"/>
    <n v="1"/>
    <n v="1"/>
    <n v="1"/>
    <n v="0"/>
    <n v="0"/>
    <n v="0"/>
    <n v="1"/>
    <n v="0"/>
    <n v="1"/>
    <n v="0"/>
    <n v="0"/>
    <n v="0"/>
    <n v="0"/>
    <n v="0"/>
  </r>
  <r>
    <s v="A269SNLVQZNFE6"/>
    <s v="Romanian"/>
    <s v="test"/>
    <x v="0"/>
    <x v="0"/>
    <s v="mo-l"/>
    <s v="exh"/>
    <s v="mo-h"/>
    <n v="1"/>
    <n v="1"/>
    <n v="1"/>
    <n v="0"/>
    <n v="0"/>
    <n v="0"/>
    <n v="1"/>
    <n v="1"/>
    <n v="0"/>
    <n v="0"/>
    <n v="0"/>
    <n v="0"/>
    <n v="0"/>
    <n v="0"/>
  </r>
  <r>
    <s v="A269SNLVQZNFE6"/>
    <s v="Romanian"/>
    <s v="test"/>
    <x v="1"/>
    <x v="0"/>
    <s v="exh"/>
    <s v="mo-l"/>
    <s v="mo-h"/>
    <n v="1"/>
    <n v="1"/>
    <n v="1"/>
    <n v="0"/>
    <n v="0"/>
    <n v="0"/>
    <n v="1"/>
    <n v="1"/>
    <n v="0"/>
    <n v="0"/>
    <n v="0"/>
    <n v="0"/>
    <n v="0"/>
    <n v="0"/>
  </r>
  <r>
    <s v="A30K9F91VNW9BL"/>
    <s v="English"/>
    <s v="test"/>
    <x v="4"/>
    <x v="0"/>
    <s v="mo-l"/>
    <s v="exh"/>
    <s v="mo-h"/>
    <n v="1"/>
    <n v="1"/>
    <n v="1"/>
    <n v="0"/>
    <n v="0"/>
    <n v="0"/>
    <n v="1"/>
    <n v="1"/>
    <n v="1"/>
    <n v="1"/>
    <n v="0"/>
    <n v="0"/>
    <n v="0"/>
    <n v="0"/>
  </r>
  <r>
    <s v="ABI1EI8UQK6LK"/>
    <s v="English"/>
    <s v="test"/>
    <x v="5"/>
    <x v="0"/>
    <s v="mo-h"/>
    <s v="mo-l"/>
    <s v="exh"/>
    <n v="1"/>
    <n v="1"/>
    <n v="1"/>
    <n v="0"/>
    <n v="0"/>
    <n v="0"/>
    <n v="1"/>
    <n v="1"/>
    <n v="1"/>
    <n v="1"/>
    <n v="0"/>
    <n v="0"/>
    <n v="0"/>
    <n v="0"/>
  </r>
  <r>
    <s v="A3JT22BLG866CK"/>
    <s v="English"/>
    <s v="test"/>
    <x v="1"/>
    <x v="0"/>
    <s v="mo-l"/>
    <s v="exh"/>
    <s v="mo-h"/>
    <n v="1"/>
    <n v="1"/>
    <n v="1"/>
    <n v="0"/>
    <n v="0"/>
    <n v="0"/>
    <n v="1"/>
    <n v="0"/>
    <n v="0"/>
    <n v="1"/>
    <n v="0"/>
    <n v="0"/>
    <n v="0"/>
    <n v="0"/>
  </r>
  <r>
    <s v="A3PLDW841STU8B"/>
    <s v="English"/>
    <s v="test"/>
    <x v="1"/>
    <x v="1"/>
    <s v="mo-l"/>
    <s v="mo-h"/>
    <s v="exh"/>
    <n v="1"/>
    <n v="1"/>
    <n v="1"/>
    <n v="0"/>
    <n v="0"/>
    <n v="0"/>
    <n v="1"/>
    <n v="0"/>
    <n v="1"/>
    <n v="0"/>
    <n v="0"/>
    <n v="0"/>
    <n v="0"/>
    <n v="0"/>
  </r>
  <r>
    <s v="ABZ1LM3J8REE6"/>
    <s v="English"/>
    <s v="test"/>
    <x v="4"/>
    <x v="1"/>
    <s v="exh"/>
    <s v="mo-h"/>
    <s v="mo-l"/>
    <n v="1"/>
    <n v="1"/>
    <n v="1"/>
    <n v="0"/>
    <n v="0"/>
    <n v="0"/>
    <n v="1"/>
    <n v="0"/>
    <n v="1"/>
    <n v="0"/>
    <n v="0"/>
    <n v="0"/>
    <n v="0"/>
    <n v="0"/>
  </r>
  <r>
    <s v="A1C7XI68SED8JE"/>
    <s v="English"/>
    <s v="test"/>
    <x v="0"/>
    <x v="1"/>
    <s v="mo-l"/>
    <s v="exh"/>
    <s v="mo-h"/>
    <n v="1"/>
    <n v="1"/>
    <n v="1"/>
    <n v="0"/>
    <n v="0"/>
    <n v="0"/>
    <n v="1"/>
    <n v="1"/>
    <n v="1"/>
    <n v="1"/>
    <n v="0"/>
    <n v="0"/>
    <n v="0"/>
    <n v="0"/>
  </r>
  <r>
    <s v="A55V2U9UG3Z47"/>
    <s v="English"/>
    <s v="test"/>
    <x v="3"/>
    <x v="1"/>
    <s v="mo-l"/>
    <s v="exh"/>
    <s v="mo-h"/>
    <n v="1"/>
    <n v="1"/>
    <n v="1"/>
    <n v="0"/>
    <n v="0"/>
    <n v="0"/>
    <n v="1"/>
    <n v="0"/>
    <n v="1"/>
    <n v="0"/>
    <n v="0"/>
    <n v="0"/>
    <n v="0"/>
    <n v="0"/>
  </r>
  <r>
    <s v="A1WLRHL0U23N38"/>
    <s v="English"/>
    <s v="test"/>
    <x v="4"/>
    <x v="1"/>
    <s v="mo-h"/>
    <s v="mo-l"/>
    <s v="exh"/>
    <n v="1"/>
    <n v="1"/>
    <n v="1"/>
    <n v="0"/>
    <n v="0"/>
    <n v="0"/>
    <n v="1"/>
    <n v="1"/>
    <n v="0"/>
    <n v="0"/>
    <n v="0"/>
    <n v="0"/>
    <n v="0"/>
    <n v="0"/>
  </r>
  <r>
    <s v="A2541C8MY0BYV3"/>
    <s v="English"/>
    <s v="test"/>
    <x v="2"/>
    <x v="1"/>
    <s v="mo-l"/>
    <s v="exh"/>
    <s v="mo-h"/>
    <n v="1"/>
    <n v="1"/>
    <n v="1"/>
    <n v="0"/>
    <n v="0"/>
    <n v="0"/>
    <n v="1"/>
    <n v="0"/>
    <n v="1"/>
    <n v="0"/>
    <n v="0"/>
    <n v="0"/>
    <n v="0"/>
    <n v="0"/>
  </r>
  <r>
    <s v="A19D2W1PR68NO"/>
    <s v="English"/>
    <s v="test"/>
    <x v="0"/>
    <x v="1"/>
    <s v="exh"/>
    <s v="mo-l"/>
    <s v="mo-h"/>
    <n v="1"/>
    <n v="1"/>
    <n v="1"/>
    <n v="0"/>
    <n v="0"/>
    <n v="0"/>
    <n v="1"/>
    <n v="1"/>
    <n v="1"/>
    <n v="1"/>
    <n v="0"/>
    <n v="0"/>
    <n v="0"/>
    <n v="0"/>
  </r>
  <r>
    <s v="A03172343NB8PHOPICC1"/>
    <s v="English"/>
    <s v="test"/>
    <x v="4"/>
    <x v="1"/>
    <s v="mo-l"/>
    <s v="mo-h"/>
    <s v="exh"/>
    <n v="1"/>
    <n v="1"/>
    <n v="1"/>
    <n v="0"/>
    <n v="0"/>
    <n v="0"/>
    <n v="1"/>
    <n v="0"/>
    <n v="1"/>
    <n v="0"/>
    <n v="0"/>
    <n v="0"/>
    <n v="0"/>
    <n v="0"/>
  </r>
  <r>
    <s v="ADOVF9SBJJK33"/>
    <s v="English"/>
    <s v="test"/>
    <x v="2"/>
    <x v="1"/>
    <s v="exh"/>
    <s v="mo-l"/>
    <s v="mo-h"/>
    <n v="1"/>
    <n v="1"/>
    <n v="1"/>
    <n v="0"/>
    <n v="0"/>
    <n v="0"/>
    <n v="1"/>
    <n v="1"/>
    <n v="1"/>
    <n v="0"/>
    <n v="0"/>
    <n v="0"/>
    <n v="0"/>
    <n v="0"/>
  </r>
  <r>
    <s v="A20Q6LGMUJLJDG"/>
    <s v="English"/>
    <s v="test"/>
    <x v="3"/>
    <x v="1"/>
    <s v="mo-h"/>
    <s v="mo-l"/>
    <s v="exh"/>
    <n v="1"/>
    <n v="1"/>
    <n v="1"/>
    <n v="0"/>
    <n v="0"/>
    <n v="0"/>
    <n v="1"/>
    <n v="0"/>
    <n v="1"/>
    <n v="0"/>
    <n v="0"/>
    <n v="0"/>
    <n v="0"/>
    <n v="0"/>
  </r>
  <r>
    <s v="A12569NJ7KY1KX"/>
    <s v="English"/>
    <s v="test"/>
    <x v="1"/>
    <x v="1"/>
    <s v="exh"/>
    <s v="mo-h"/>
    <s v="mo-l"/>
    <n v="1"/>
    <n v="1"/>
    <n v="1"/>
    <n v="0"/>
    <n v="0"/>
    <n v="0"/>
    <n v="1"/>
    <n v="0"/>
    <n v="1"/>
    <n v="0"/>
    <n v="0"/>
    <n v="0"/>
    <n v="0"/>
    <n v="0"/>
  </r>
  <r>
    <s v="A2SZRPGIEYRCG6"/>
    <s v="English"/>
    <s v="test"/>
    <x v="0"/>
    <x v="1"/>
    <s v="mo-l"/>
    <s v="exh"/>
    <s v="mo-h"/>
    <n v="1"/>
    <n v="1"/>
    <n v="1"/>
    <n v="0"/>
    <n v="0"/>
    <n v="0"/>
    <n v="1"/>
    <n v="1"/>
    <n v="0"/>
    <n v="0"/>
    <n v="0"/>
    <n v="0"/>
    <n v="0"/>
    <n v="0"/>
  </r>
  <r>
    <s v="A1BZNPQ0H7ZSER"/>
    <s v="English"/>
    <s v="test"/>
    <x v="0"/>
    <x v="1"/>
    <s v="mo-h"/>
    <s v="exh"/>
    <s v="mo-l"/>
    <n v="1"/>
    <n v="1"/>
    <n v="1"/>
    <n v="0"/>
    <n v="0"/>
    <n v="0"/>
    <n v="1"/>
    <n v="1"/>
    <n v="1"/>
    <n v="1"/>
    <n v="0"/>
    <n v="0"/>
    <n v="0"/>
    <n v="0"/>
  </r>
  <r>
    <s v="A12IHTKQFQIPD1"/>
    <s v="English"/>
    <s v="test"/>
    <x v="3"/>
    <x v="1"/>
    <s v="mo-h"/>
    <s v="exh"/>
    <s v="mo-l"/>
    <n v="1"/>
    <n v="1"/>
    <n v="1"/>
    <n v="0"/>
    <n v="0"/>
    <n v="0"/>
    <n v="1"/>
    <n v="1"/>
    <n v="0"/>
    <n v="0"/>
    <n v="0"/>
    <n v="0"/>
    <n v="0"/>
    <n v="0"/>
  </r>
  <r>
    <s v="A1Q16A7AICS0C4"/>
    <s v="English"/>
    <s v="test"/>
    <x v="2"/>
    <x v="1"/>
    <s v="mo-l"/>
    <s v="mo-h"/>
    <s v="exh"/>
    <n v="1"/>
    <n v="1"/>
    <n v="1"/>
    <n v="0"/>
    <n v="0"/>
    <n v="0"/>
    <n v="1"/>
    <n v="0"/>
    <n v="1"/>
    <n v="0"/>
    <n v="0"/>
    <n v="0"/>
    <n v="0"/>
    <n v="0"/>
  </r>
  <r>
    <s v="A2JIY3NSLQJWAE"/>
    <s v="English"/>
    <s v="test"/>
    <x v="2"/>
    <x v="1"/>
    <s v="mo-l"/>
    <s v="exh"/>
    <s v="mo-h"/>
    <n v="1"/>
    <n v="1"/>
    <n v="1"/>
    <n v="0"/>
    <n v="0"/>
    <n v="0"/>
    <n v="1"/>
    <n v="1"/>
    <n v="1"/>
    <n v="0"/>
    <n v="0"/>
    <n v="0"/>
    <n v="0"/>
    <n v="0"/>
  </r>
  <r>
    <s v="AZXTZQBZ1F4UV"/>
    <s v="English"/>
    <s v="test"/>
    <x v="3"/>
    <x v="1"/>
    <s v="exh"/>
    <s v="mo-h"/>
    <s v="mo-l"/>
    <n v="1"/>
    <n v="1"/>
    <n v="1"/>
    <n v="0"/>
    <n v="0"/>
    <n v="0"/>
    <n v="1"/>
    <n v="1"/>
    <n v="1"/>
    <n v="0"/>
    <n v="0"/>
    <n v="0"/>
    <n v="0"/>
    <n v="0"/>
  </r>
  <r>
    <s v="AT53IAFG8BTZO"/>
    <s v="English"/>
    <s v="test"/>
    <x v="5"/>
    <x v="1"/>
    <s v="mo-h"/>
    <s v="mo-l"/>
    <s v="exh"/>
    <n v="1"/>
    <n v="1"/>
    <n v="1"/>
    <n v="0"/>
    <n v="0"/>
    <n v="0"/>
    <n v="1"/>
    <n v="0"/>
    <n v="0"/>
    <n v="0"/>
    <n v="0"/>
    <n v="0"/>
    <n v="0"/>
    <n v="1"/>
  </r>
  <r>
    <s v="ADNSFH55XO2F8"/>
    <s v="English"/>
    <s v="test"/>
    <x v="2"/>
    <x v="1"/>
    <s v="mo-h"/>
    <s v="mo-l"/>
    <s v="exh"/>
    <n v="1"/>
    <n v="1"/>
    <n v="1"/>
    <n v="0"/>
    <n v="0"/>
    <n v="0"/>
    <n v="1"/>
    <n v="0"/>
    <n v="0"/>
    <n v="1"/>
    <n v="0"/>
    <n v="0"/>
    <n v="0"/>
    <n v="0"/>
  </r>
  <r>
    <s v="A3IYDY7TO808Z3"/>
    <s v="English"/>
    <s v="test"/>
    <x v="4"/>
    <x v="1"/>
    <s v="mo-l"/>
    <s v="mo-h"/>
    <s v="exh"/>
    <n v="1"/>
    <n v="1"/>
    <n v="1"/>
    <n v="0"/>
    <n v="0"/>
    <n v="0"/>
    <n v="1"/>
    <n v="1"/>
    <n v="1"/>
    <n v="0"/>
    <n v="0"/>
    <n v="0"/>
    <n v="0"/>
    <n v="0"/>
  </r>
  <r>
    <s v="A3DEG7PE4RFCWB"/>
    <s v="English"/>
    <s v="test"/>
    <x v="0"/>
    <x v="1"/>
    <s v="exh"/>
    <s v="mo-h"/>
    <s v="mo-l"/>
    <n v="1"/>
    <n v="1"/>
    <n v="1"/>
    <n v="0"/>
    <n v="0"/>
    <n v="0"/>
    <n v="1"/>
    <n v="0"/>
    <n v="1"/>
    <n v="0"/>
    <n v="0"/>
    <n v="0"/>
    <n v="0"/>
    <n v="0"/>
  </r>
  <r>
    <s v="A3DEG7PE4RFCWB"/>
    <s v="English"/>
    <s v="test"/>
    <x v="4"/>
    <x v="1"/>
    <s v="mo-l"/>
    <s v="mo-h"/>
    <s v="exh"/>
    <n v="1"/>
    <n v="1"/>
    <n v="1"/>
    <n v="0"/>
    <n v="0"/>
    <n v="0"/>
    <n v="1"/>
    <n v="0"/>
    <n v="1"/>
    <n v="0"/>
    <n v="0"/>
    <n v="0"/>
    <n v="0"/>
    <n v="0"/>
  </r>
  <r>
    <s v="AHZ7C7ETHYX3N"/>
    <s v="English"/>
    <s v="test"/>
    <x v="2"/>
    <x v="1"/>
    <s v="mo-h"/>
    <s v="exh"/>
    <s v="mo-l"/>
    <n v="1"/>
    <n v="1"/>
    <n v="1"/>
    <n v="0"/>
    <n v="0"/>
    <n v="0"/>
    <n v="1"/>
    <n v="1"/>
    <n v="1"/>
    <n v="1"/>
    <n v="0"/>
    <n v="0"/>
    <n v="0"/>
    <n v="0"/>
  </r>
  <r>
    <s v="AT13EK8JER5C3"/>
    <s v="English"/>
    <s v="test"/>
    <x v="3"/>
    <x v="1"/>
    <s v="exh"/>
    <s v="mo-h"/>
    <s v="mo-l"/>
    <n v="1"/>
    <n v="1"/>
    <n v="1"/>
    <n v="0"/>
    <n v="0"/>
    <n v="0"/>
    <n v="1"/>
    <n v="0"/>
    <n v="1"/>
    <n v="0"/>
    <n v="0"/>
    <n v="0"/>
    <n v="0"/>
    <n v="0"/>
  </r>
  <r>
    <s v="A3RL02A3JRAUS4"/>
    <s v="English"/>
    <s v="test"/>
    <x v="1"/>
    <x v="1"/>
    <s v="mo-l"/>
    <s v="mo-h"/>
    <s v="exh"/>
    <n v="1"/>
    <n v="1"/>
    <n v="1"/>
    <n v="0"/>
    <n v="0"/>
    <n v="0"/>
    <n v="1"/>
    <n v="1"/>
    <n v="0"/>
    <n v="0"/>
    <n v="0"/>
    <n v="0"/>
    <n v="0"/>
    <n v="0"/>
  </r>
  <r>
    <s v="A36IYIE23IO4HE"/>
    <s v="English"/>
    <s v="test"/>
    <x v="2"/>
    <x v="1"/>
    <s v="mo-h"/>
    <s v="mo-l"/>
    <s v="exh"/>
    <n v="1"/>
    <n v="1"/>
    <n v="1"/>
    <n v="0"/>
    <n v="0"/>
    <n v="0"/>
    <n v="1"/>
    <n v="0"/>
    <n v="1"/>
    <n v="0"/>
    <n v="0"/>
    <n v="0"/>
    <n v="0"/>
    <n v="0"/>
  </r>
  <r>
    <s v="AY43RJRF8IEBN"/>
    <s v="English"/>
    <s v="test"/>
    <x v="1"/>
    <x v="1"/>
    <s v="mo-h"/>
    <s v="mo-l"/>
    <s v="exh"/>
    <n v="1"/>
    <n v="1"/>
    <n v="1"/>
    <n v="0"/>
    <n v="0"/>
    <n v="0"/>
    <n v="1"/>
    <n v="0"/>
    <n v="0"/>
    <n v="0"/>
    <n v="0"/>
    <n v="0"/>
    <n v="0"/>
    <n v="1"/>
  </r>
</pivotCacheRecords>
</file>

<file path=xl/pivotCache/pivotCacheRecords4.xml><?xml version="1.0" encoding="utf-8"?>
<pivotCacheRecords xmlns="http://schemas.openxmlformats.org/spreadsheetml/2006/main" xmlns:r="http://schemas.openxmlformats.org/officeDocument/2006/relationships" count="167">
  <r>
    <s v="A1XGI8153WBWFQ"/>
    <s v="Albanian"/>
    <s v="test"/>
    <x v="0"/>
    <x v="0"/>
    <s v="exh"/>
    <s v="ms-l"/>
    <s v="mo-h"/>
    <n v="1"/>
    <n v="1"/>
    <n v="0"/>
    <n v="0"/>
    <n v="1"/>
    <n v="0"/>
    <n v="1"/>
    <n v="0"/>
    <n v="0"/>
    <n v="0"/>
    <n v="0"/>
    <n v="1"/>
    <n v="0"/>
    <n v="0"/>
  </r>
  <r>
    <s v="A14NSVH4W27CK0"/>
    <s v="english"/>
    <s v="test"/>
    <x v="1"/>
    <x v="0"/>
    <s v="mo-h"/>
    <s v="ms-h"/>
    <s v="exh"/>
    <n v="1"/>
    <n v="1"/>
    <n v="0"/>
    <n v="1"/>
    <n v="0"/>
    <n v="0"/>
    <n v="1"/>
    <n v="1"/>
    <n v="0"/>
    <n v="0"/>
    <n v="0"/>
    <n v="0"/>
    <n v="0"/>
    <n v="0"/>
  </r>
  <r>
    <s v="ALDWVFR4I0V2D"/>
    <s v="english"/>
    <s v="test"/>
    <x v="0"/>
    <x v="0"/>
    <s v="ms-l"/>
    <s v="mo-h"/>
    <s v="exh"/>
    <n v="1"/>
    <n v="1"/>
    <n v="0"/>
    <n v="0"/>
    <n v="1"/>
    <n v="0"/>
    <n v="1"/>
    <n v="1"/>
    <n v="1"/>
    <n v="0"/>
    <n v="0"/>
    <n v="0"/>
    <n v="0"/>
    <n v="0"/>
  </r>
  <r>
    <s v="A3GQR89E66AQJY"/>
    <s v="english"/>
    <s v="test"/>
    <x v="2"/>
    <x v="0"/>
    <s v="mo-l"/>
    <s v="mo-h"/>
    <s v="exh"/>
    <n v="1"/>
    <n v="1"/>
    <n v="1"/>
    <n v="0"/>
    <n v="0"/>
    <n v="0"/>
    <n v="1"/>
    <n v="0"/>
    <n v="0"/>
    <n v="0"/>
    <n v="0"/>
    <n v="0"/>
    <n v="0"/>
    <n v="1"/>
  </r>
  <r>
    <s v="A25ZLJK1VMAXXQ"/>
    <s v="english"/>
    <s v="test"/>
    <x v="3"/>
    <x v="0"/>
    <s v="mo-h"/>
    <s v="ms-h"/>
    <s v="exh"/>
    <n v="1"/>
    <n v="1"/>
    <n v="0"/>
    <n v="1"/>
    <n v="0"/>
    <n v="0"/>
    <n v="1"/>
    <n v="0"/>
    <n v="1"/>
    <n v="0"/>
    <n v="0"/>
    <n v="0"/>
    <n v="0"/>
    <n v="0"/>
  </r>
  <r>
    <s v="A1YIBSKY9U31X6"/>
    <s v="english"/>
    <s v="test"/>
    <x v="2"/>
    <x v="0"/>
    <s v="mo-l"/>
    <s v="mo-h"/>
    <s v="exh"/>
    <n v="1"/>
    <n v="1"/>
    <n v="1"/>
    <n v="0"/>
    <n v="0"/>
    <n v="0"/>
    <n v="1"/>
    <n v="1"/>
    <n v="1"/>
    <n v="1"/>
    <n v="0"/>
    <n v="0"/>
    <n v="0"/>
    <n v="0"/>
  </r>
  <r>
    <s v="A25FNSFSB048DL"/>
    <s v="english"/>
    <s v="test"/>
    <x v="4"/>
    <x v="0"/>
    <s v="mo-h"/>
    <s v="mo-l"/>
    <s v="exh"/>
    <n v="1"/>
    <n v="1"/>
    <n v="1"/>
    <n v="0"/>
    <n v="0"/>
    <n v="0"/>
    <n v="1"/>
    <n v="0"/>
    <n v="1"/>
    <n v="0"/>
    <n v="0"/>
    <n v="0"/>
    <n v="0"/>
    <n v="0"/>
  </r>
  <r>
    <s v="A25FNSFSB048DL"/>
    <s v="english"/>
    <s v="test"/>
    <x v="5"/>
    <x v="0"/>
    <s v="ms-l"/>
    <s v="exh"/>
    <s v="mo-h"/>
    <n v="1"/>
    <n v="1"/>
    <n v="0"/>
    <n v="0"/>
    <n v="1"/>
    <n v="0"/>
    <n v="1"/>
    <n v="0"/>
    <n v="1"/>
    <n v="0"/>
    <n v="0"/>
    <n v="0"/>
    <n v="0"/>
    <n v="0"/>
  </r>
  <r>
    <s v="A10UWP6T47G9TR"/>
    <s v="english"/>
    <s v="test"/>
    <x v="3"/>
    <x v="0"/>
    <s v="fa"/>
    <s v="exh"/>
    <s v="mo-h"/>
    <n v="1"/>
    <n v="1"/>
    <n v="0"/>
    <n v="0"/>
    <n v="0"/>
    <n v="0"/>
    <n v="1"/>
    <n v="0"/>
    <n v="1"/>
    <n v="0"/>
    <n v="0"/>
    <n v="0"/>
    <n v="0"/>
    <n v="0"/>
  </r>
  <r>
    <s v="A10UWP6T47G9TR"/>
    <s v="english"/>
    <s v="test"/>
    <x v="4"/>
    <x v="0"/>
    <s v="ms-h"/>
    <s v="mo-h"/>
    <s v="exh"/>
    <n v="1"/>
    <n v="1"/>
    <n v="0"/>
    <n v="1"/>
    <n v="0"/>
    <n v="0"/>
    <n v="1"/>
    <n v="1"/>
    <n v="0"/>
    <n v="0"/>
    <n v="0"/>
    <n v="0"/>
    <n v="0"/>
    <n v="0"/>
  </r>
  <r>
    <s v="A20SL254675EOK"/>
    <s v="english"/>
    <s v="test"/>
    <x v="3"/>
    <x v="0"/>
    <s v="exh"/>
    <s v="mo-h"/>
    <s v="mo-l"/>
    <n v="1"/>
    <n v="1"/>
    <n v="1"/>
    <n v="0"/>
    <n v="0"/>
    <n v="0"/>
    <n v="1"/>
    <n v="0"/>
    <n v="1"/>
    <n v="0"/>
    <n v="0"/>
    <n v="0"/>
    <n v="0"/>
    <n v="0"/>
  </r>
  <r>
    <s v="A20SL254675EOK"/>
    <s v="english"/>
    <s v="test"/>
    <x v="4"/>
    <x v="0"/>
    <s v="mo-h"/>
    <s v="exh"/>
    <s v="ms-l"/>
    <n v="1"/>
    <n v="1"/>
    <n v="0"/>
    <n v="0"/>
    <n v="1"/>
    <n v="0"/>
    <n v="1"/>
    <n v="1"/>
    <n v="1"/>
    <n v="0"/>
    <n v="0"/>
    <n v="1"/>
    <n v="0"/>
    <n v="0"/>
  </r>
  <r>
    <s v="A36OS4XKUJF4NB"/>
    <s v="english"/>
    <s v="test"/>
    <x v="0"/>
    <x v="0"/>
    <s v="mo-h"/>
    <s v="mo-l"/>
    <s v="exh"/>
    <n v="1"/>
    <n v="1"/>
    <n v="1"/>
    <n v="0"/>
    <n v="0"/>
    <n v="0"/>
    <n v="1"/>
    <n v="0"/>
    <n v="0"/>
    <n v="0"/>
    <n v="0"/>
    <n v="0"/>
    <n v="0"/>
    <n v="1"/>
  </r>
  <r>
    <s v="A3HXIGBCL1CRFS"/>
    <s v="english"/>
    <s v="test"/>
    <x v="1"/>
    <x v="0"/>
    <s v="mo-l"/>
    <s v="exh"/>
    <s v="mo-h"/>
    <n v="1"/>
    <n v="1"/>
    <n v="1"/>
    <n v="0"/>
    <n v="0"/>
    <n v="0"/>
    <n v="1"/>
    <n v="0"/>
    <n v="0"/>
    <n v="0"/>
    <n v="0"/>
    <n v="0"/>
    <n v="0"/>
    <n v="1"/>
  </r>
  <r>
    <s v="A3FY7A6Z3EVNRX"/>
    <s v="English "/>
    <s v="test"/>
    <x v="1"/>
    <x v="0"/>
    <s v="mo-h"/>
    <s v="ms-l"/>
    <s v="exh"/>
    <n v="1"/>
    <n v="1"/>
    <n v="0"/>
    <n v="0"/>
    <n v="1"/>
    <n v="0"/>
    <n v="1"/>
    <n v="0"/>
    <n v="0"/>
    <n v="0"/>
    <n v="0"/>
    <n v="0"/>
    <n v="0"/>
    <n v="1"/>
  </r>
  <r>
    <s v="A3SL5QRF7MX2P1"/>
    <s v="english"/>
    <s v="test"/>
    <x v="1"/>
    <x v="0"/>
    <s v="mo-h"/>
    <s v="exh"/>
    <s v="ms-h"/>
    <n v="1"/>
    <n v="1"/>
    <n v="0"/>
    <n v="1"/>
    <n v="0"/>
    <n v="0"/>
    <n v="1"/>
    <n v="1"/>
    <n v="1"/>
    <n v="0"/>
    <n v="1"/>
    <n v="0"/>
    <n v="0"/>
    <n v="0"/>
  </r>
  <r>
    <s v="A28Q4YJSLGWCL5"/>
    <s v="english"/>
    <s v="test"/>
    <x v="1"/>
    <x v="0"/>
    <s v="ms-h"/>
    <s v="mo-h"/>
    <s v="exh"/>
    <n v="1"/>
    <n v="1"/>
    <n v="0"/>
    <n v="1"/>
    <n v="0"/>
    <n v="0"/>
    <n v="1"/>
    <n v="0"/>
    <n v="0"/>
    <n v="0"/>
    <n v="0"/>
    <n v="0"/>
    <n v="0"/>
    <n v="1"/>
  </r>
  <r>
    <s v="A28Q4YJSLGWCL5"/>
    <s v="english"/>
    <s v="test"/>
    <x v="5"/>
    <x v="0"/>
    <s v="mo-h"/>
    <s v="fa"/>
    <s v="exh"/>
    <n v="1"/>
    <n v="1"/>
    <n v="0"/>
    <n v="0"/>
    <n v="0"/>
    <n v="0"/>
    <n v="1"/>
    <n v="0"/>
    <n v="0"/>
    <n v="0"/>
    <n v="0"/>
    <n v="0"/>
    <n v="0"/>
    <n v="1"/>
  </r>
  <r>
    <s v="A2ZAORW27PCSU4"/>
    <s v="english"/>
    <s v="test"/>
    <x v="0"/>
    <x v="0"/>
    <s v="mo-h"/>
    <s v="exh"/>
    <s v="ms-l"/>
    <n v="1"/>
    <n v="1"/>
    <n v="0"/>
    <n v="0"/>
    <n v="1"/>
    <n v="0"/>
    <n v="1"/>
    <n v="1"/>
    <n v="0"/>
    <n v="0"/>
    <n v="0"/>
    <n v="0"/>
    <n v="0"/>
    <n v="0"/>
  </r>
  <r>
    <s v="AJW3PL5UDH4BP"/>
    <s v="english"/>
    <s v="test"/>
    <x v="0"/>
    <x v="0"/>
    <s v="mo-h"/>
    <s v="exh"/>
    <s v="ms-h"/>
    <n v="1"/>
    <n v="1"/>
    <n v="0"/>
    <n v="1"/>
    <n v="0"/>
    <n v="0"/>
    <n v="1"/>
    <n v="1"/>
    <n v="1"/>
    <n v="0"/>
    <n v="1"/>
    <n v="0"/>
    <n v="0"/>
    <n v="0"/>
  </r>
  <r>
    <s v="AJW3PL5UDH4BP"/>
    <s v="english"/>
    <s v="test"/>
    <x v="4"/>
    <x v="0"/>
    <s v="ms-l"/>
    <s v="exh"/>
    <s v="mo-h"/>
    <n v="1"/>
    <n v="1"/>
    <n v="0"/>
    <n v="0"/>
    <n v="1"/>
    <n v="0"/>
    <n v="1"/>
    <n v="0"/>
    <n v="1"/>
    <n v="0"/>
    <n v="0"/>
    <n v="0"/>
    <n v="0"/>
    <n v="0"/>
  </r>
  <r>
    <s v="A3EN5H82IBTJGF"/>
    <s v="english"/>
    <s v="test"/>
    <x v="0"/>
    <x v="0"/>
    <s v="exh"/>
    <s v="mo-h"/>
    <s v="ms-l"/>
    <n v="1"/>
    <n v="1"/>
    <n v="0"/>
    <n v="0"/>
    <n v="1"/>
    <n v="0"/>
    <n v="1"/>
    <n v="0"/>
    <n v="0"/>
    <n v="0"/>
    <n v="0"/>
    <n v="0"/>
    <n v="0"/>
    <n v="1"/>
  </r>
  <r>
    <s v="A3EN5H82IBTJGF"/>
    <s v="english"/>
    <s v="test"/>
    <x v="4"/>
    <x v="0"/>
    <s v="exh"/>
    <s v="mo-l"/>
    <s v="mo-h"/>
    <n v="1"/>
    <n v="1"/>
    <n v="1"/>
    <n v="0"/>
    <n v="0"/>
    <n v="0"/>
    <n v="1"/>
    <n v="1"/>
    <n v="1"/>
    <n v="1"/>
    <n v="0"/>
    <n v="0"/>
    <n v="0"/>
    <n v="0"/>
  </r>
  <r>
    <s v="A33UMG50QSJ7KS"/>
    <s v="english"/>
    <s v="test"/>
    <x v="4"/>
    <x v="0"/>
    <s v="exh"/>
    <s v="ms-l"/>
    <s v="mo-h"/>
    <n v="1"/>
    <n v="1"/>
    <n v="0"/>
    <n v="0"/>
    <n v="1"/>
    <n v="0"/>
    <n v="1"/>
    <n v="1"/>
    <n v="1"/>
    <n v="0"/>
    <n v="0"/>
    <n v="1"/>
    <n v="0"/>
    <n v="0"/>
  </r>
  <r>
    <s v="A33UMG50QSJ7KS"/>
    <s v="english"/>
    <s v="test"/>
    <x v="0"/>
    <x v="0"/>
    <s v="ms-h"/>
    <s v="exh"/>
    <s v="mo-h"/>
    <n v="1"/>
    <n v="1"/>
    <n v="0"/>
    <n v="1"/>
    <n v="0"/>
    <n v="0"/>
    <n v="1"/>
    <n v="1"/>
    <n v="1"/>
    <n v="0"/>
    <n v="1"/>
    <n v="0"/>
    <n v="0"/>
    <n v="0"/>
  </r>
  <r>
    <s v="A2PXJTMWGUE5DC"/>
    <s v="english"/>
    <s v="test"/>
    <x v="5"/>
    <x v="0"/>
    <s v="ms-h"/>
    <s v="mo-h"/>
    <s v="exh"/>
    <n v="1"/>
    <n v="1"/>
    <n v="0"/>
    <n v="1"/>
    <n v="0"/>
    <n v="0"/>
    <n v="1"/>
    <n v="0"/>
    <n v="0"/>
    <n v="0"/>
    <n v="0"/>
    <n v="0"/>
    <n v="0"/>
    <n v="1"/>
  </r>
  <r>
    <s v="A1B84JJ7ATWVJA"/>
    <s v="english"/>
    <s v="test"/>
    <x v="0"/>
    <x v="0"/>
    <s v="mo-h"/>
    <s v="exh"/>
    <s v="mo-l"/>
    <n v="1"/>
    <n v="1"/>
    <n v="1"/>
    <n v="0"/>
    <n v="0"/>
    <n v="0"/>
    <n v="1"/>
    <n v="1"/>
    <n v="1"/>
    <n v="1"/>
    <n v="0"/>
    <n v="0"/>
    <n v="0"/>
    <n v="0"/>
  </r>
  <r>
    <s v="A1B84JJ7ATWVJA"/>
    <s v="english"/>
    <s v="test"/>
    <x v="4"/>
    <x v="0"/>
    <s v="mo-l"/>
    <s v="mo-h"/>
    <s v="exh"/>
    <n v="1"/>
    <n v="1"/>
    <n v="1"/>
    <n v="0"/>
    <n v="0"/>
    <n v="0"/>
    <n v="1"/>
    <n v="1"/>
    <n v="1"/>
    <n v="1"/>
    <n v="0"/>
    <n v="0"/>
    <n v="0"/>
    <n v="0"/>
  </r>
  <r>
    <s v="A1B84JJ7ATWVJA"/>
    <s v="english"/>
    <s v="test"/>
    <x v="2"/>
    <x v="0"/>
    <s v="ms-h"/>
    <s v="mo-h"/>
    <s v="exh"/>
    <n v="1"/>
    <n v="1"/>
    <n v="0"/>
    <n v="1"/>
    <n v="0"/>
    <n v="0"/>
    <n v="1"/>
    <n v="0"/>
    <n v="0"/>
    <n v="0"/>
    <n v="0"/>
    <n v="0"/>
    <n v="0"/>
    <n v="1"/>
  </r>
  <r>
    <s v="ADGH08WUP68ZF"/>
    <s v="english"/>
    <s v="test"/>
    <x v="5"/>
    <x v="0"/>
    <s v="ms-l"/>
    <s v="exh"/>
    <s v="mo-h"/>
    <n v="1"/>
    <n v="1"/>
    <n v="0"/>
    <n v="0"/>
    <n v="1"/>
    <n v="0"/>
    <n v="1"/>
    <n v="0"/>
    <n v="0"/>
    <n v="0"/>
    <n v="0"/>
    <n v="0"/>
    <n v="0"/>
    <n v="1"/>
  </r>
  <r>
    <s v="A1Y82LKWQQP90M"/>
    <s v="english"/>
    <s v="test"/>
    <x v="4"/>
    <x v="0"/>
    <s v="ms-l"/>
    <s v="mo-h"/>
    <s v="exh"/>
    <n v="1"/>
    <n v="1"/>
    <n v="0"/>
    <n v="0"/>
    <n v="1"/>
    <n v="0"/>
    <n v="1"/>
    <n v="1"/>
    <n v="1"/>
    <n v="0"/>
    <n v="0"/>
    <n v="1"/>
    <n v="0"/>
    <n v="0"/>
  </r>
  <r>
    <s v="A1Y82LKWQQP90M"/>
    <s v="english"/>
    <s v="test"/>
    <x v="2"/>
    <x v="0"/>
    <s v="mo-h"/>
    <s v="exh"/>
    <s v="mo-l"/>
    <n v="1"/>
    <n v="1"/>
    <n v="1"/>
    <n v="0"/>
    <n v="0"/>
    <n v="0"/>
    <n v="1"/>
    <n v="1"/>
    <n v="1"/>
    <n v="1"/>
    <n v="0"/>
    <n v="0"/>
    <n v="0"/>
    <n v="0"/>
  </r>
  <r>
    <s v="A2N2GFB33ZMYGF"/>
    <s v="english"/>
    <s v="test"/>
    <x v="2"/>
    <x v="0"/>
    <s v="exh"/>
    <s v="mo-h"/>
    <s v="mo-l"/>
    <n v="1"/>
    <n v="1"/>
    <n v="1"/>
    <n v="0"/>
    <n v="0"/>
    <n v="0"/>
    <n v="1"/>
    <n v="0"/>
    <n v="1"/>
    <n v="0"/>
    <n v="0"/>
    <n v="0"/>
    <n v="0"/>
    <n v="0"/>
  </r>
  <r>
    <s v="A1BBZ5EMNSCZJR"/>
    <s v="english"/>
    <s v="test"/>
    <x v="0"/>
    <x v="0"/>
    <s v="fa"/>
    <s v="exh"/>
    <s v="mo-h"/>
    <n v="1"/>
    <n v="1"/>
    <n v="0"/>
    <n v="0"/>
    <n v="0"/>
    <n v="0"/>
    <n v="1"/>
    <n v="0"/>
    <n v="1"/>
    <n v="0"/>
    <n v="0"/>
    <n v="0"/>
    <n v="0"/>
    <n v="0"/>
  </r>
  <r>
    <s v="A1BBZ5EMNSCZJR"/>
    <s v="english"/>
    <s v="test"/>
    <x v="1"/>
    <x v="0"/>
    <s v="mo-l"/>
    <s v="exh"/>
    <s v="mo-h"/>
    <n v="1"/>
    <n v="1"/>
    <n v="1"/>
    <n v="0"/>
    <n v="0"/>
    <n v="0"/>
    <n v="1"/>
    <n v="0"/>
    <n v="1"/>
    <n v="0"/>
    <n v="0"/>
    <n v="0"/>
    <n v="0"/>
    <n v="0"/>
  </r>
  <r>
    <s v="A1BBZ5EMNSCZJR"/>
    <s v="english"/>
    <s v="test"/>
    <x v="4"/>
    <x v="0"/>
    <s v="fa"/>
    <s v="mo-h"/>
    <s v="exh"/>
    <n v="1"/>
    <n v="1"/>
    <n v="0"/>
    <n v="0"/>
    <n v="0"/>
    <n v="0"/>
    <n v="1"/>
    <n v="0"/>
    <n v="0"/>
    <n v="0"/>
    <n v="0"/>
    <n v="0"/>
    <n v="0"/>
    <n v="0"/>
  </r>
  <r>
    <s v="a2ytqdlactliba"/>
    <s v="english"/>
    <s v="test"/>
    <x v="1"/>
    <x v="0"/>
    <s v="ms-l"/>
    <s v="exh"/>
    <s v="mo-h"/>
    <n v="1"/>
    <n v="1"/>
    <n v="0"/>
    <n v="0"/>
    <n v="1"/>
    <n v="0"/>
    <n v="1"/>
    <n v="0"/>
    <n v="1"/>
    <n v="0"/>
    <n v="0"/>
    <n v="0"/>
    <n v="0"/>
    <n v="0"/>
  </r>
  <r>
    <s v="AF8OT1W25HEM7"/>
    <s v="english"/>
    <s v="test"/>
    <x v="4"/>
    <x v="0"/>
    <s v="exh"/>
    <s v="mo-h"/>
    <s v="ms-l"/>
    <n v="1"/>
    <n v="1"/>
    <n v="0"/>
    <n v="0"/>
    <n v="1"/>
    <n v="0"/>
    <n v="1"/>
    <n v="0"/>
    <n v="0"/>
    <n v="0"/>
    <n v="0"/>
    <n v="0"/>
    <n v="0"/>
    <n v="1"/>
  </r>
  <r>
    <s v="AF8OT1W25HEM7"/>
    <s v="english"/>
    <s v="test"/>
    <x v="2"/>
    <x v="0"/>
    <s v="exh"/>
    <s v="mo-h"/>
    <s v="ms-l"/>
    <n v="1"/>
    <n v="1"/>
    <n v="0"/>
    <n v="0"/>
    <n v="1"/>
    <n v="0"/>
    <n v="1"/>
    <n v="1"/>
    <n v="1"/>
    <n v="0"/>
    <n v="0"/>
    <n v="1"/>
    <n v="0"/>
    <n v="0"/>
  </r>
  <r>
    <s v="AF8OT1W25HEM7"/>
    <s v="english"/>
    <s v="test"/>
    <x v="3"/>
    <x v="0"/>
    <s v="fa"/>
    <s v="mo-h"/>
    <s v="exh"/>
    <n v="1"/>
    <n v="1"/>
    <n v="0"/>
    <n v="0"/>
    <n v="0"/>
    <n v="0"/>
    <n v="1"/>
    <n v="1"/>
    <n v="1"/>
    <n v="0"/>
    <n v="0"/>
    <n v="0"/>
    <n v="0"/>
    <n v="0"/>
  </r>
  <r>
    <s v="A2YLK83DQ6PA5Y"/>
    <s v="english"/>
    <s v="test"/>
    <x v="4"/>
    <x v="0"/>
    <s v="mo-h"/>
    <s v="exh"/>
    <s v="mo-l"/>
    <n v="1"/>
    <n v="1"/>
    <n v="1"/>
    <n v="0"/>
    <n v="0"/>
    <n v="0"/>
    <n v="1"/>
    <n v="1"/>
    <n v="0"/>
    <n v="0"/>
    <n v="0"/>
    <n v="0"/>
    <n v="0"/>
    <n v="0"/>
  </r>
  <r>
    <s v="A2YLK83DQ6PA5Y"/>
    <s v="english"/>
    <s v="test"/>
    <x v="5"/>
    <x v="0"/>
    <s v="mo-h"/>
    <s v="ms-l"/>
    <s v="exh"/>
    <n v="1"/>
    <n v="1"/>
    <n v="0"/>
    <n v="0"/>
    <n v="1"/>
    <n v="0"/>
    <n v="1"/>
    <n v="0"/>
    <n v="0"/>
    <n v="0"/>
    <n v="0"/>
    <n v="0"/>
    <n v="0"/>
    <n v="1"/>
  </r>
  <r>
    <s v="ARHBT4K14I7U"/>
    <s v="english"/>
    <s v="test"/>
    <x v="4"/>
    <x v="0"/>
    <s v="ms-l"/>
    <s v="mo-h"/>
    <s v="exh"/>
    <n v="1"/>
    <n v="1"/>
    <n v="0"/>
    <n v="0"/>
    <n v="1"/>
    <n v="0"/>
    <n v="1"/>
    <n v="0"/>
    <n v="1"/>
    <n v="0"/>
    <n v="0"/>
    <n v="0"/>
    <n v="0"/>
    <n v="0"/>
  </r>
  <r>
    <s v="AECQ7QG4CQP69"/>
    <s v="english"/>
    <s v="test"/>
    <x v="2"/>
    <x v="0"/>
    <s v="mo-h"/>
    <s v="ms-h"/>
    <s v="exh"/>
    <n v="1"/>
    <n v="1"/>
    <n v="0"/>
    <n v="1"/>
    <n v="0"/>
    <n v="0"/>
    <n v="1"/>
    <n v="1"/>
    <n v="0"/>
    <n v="0"/>
    <n v="0"/>
    <n v="0"/>
    <n v="0"/>
    <n v="0"/>
  </r>
  <r>
    <s v="AECQ7QG4CQP69"/>
    <s v="english"/>
    <s v="test"/>
    <x v="3"/>
    <x v="0"/>
    <s v="exh"/>
    <s v="ms-h"/>
    <s v="mo-h"/>
    <n v="1"/>
    <n v="1"/>
    <n v="0"/>
    <n v="1"/>
    <n v="0"/>
    <n v="0"/>
    <n v="1"/>
    <n v="0"/>
    <n v="0"/>
    <n v="0"/>
    <n v="0"/>
    <n v="0"/>
    <n v="0"/>
    <n v="1"/>
  </r>
  <r>
    <s v="A2C6HMH2FDM2CI"/>
    <s v="english"/>
    <s v="test"/>
    <x v="0"/>
    <x v="0"/>
    <s v="ms-h"/>
    <s v="exh"/>
    <s v="mo-h"/>
    <n v="1"/>
    <n v="1"/>
    <n v="0"/>
    <n v="1"/>
    <n v="0"/>
    <n v="0"/>
    <n v="1"/>
    <n v="0"/>
    <n v="1"/>
    <n v="0"/>
    <n v="0"/>
    <n v="0"/>
    <n v="0"/>
    <n v="0"/>
  </r>
  <r>
    <s v="A2F2DDH12YU4AK"/>
    <s v="english"/>
    <s v="test"/>
    <x v="2"/>
    <x v="0"/>
    <s v="mo-h"/>
    <s v="ms-l"/>
    <s v="exh"/>
    <n v="1"/>
    <n v="1"/>
    <n v="0"/>
    <n v="0"/>
    <n v="1"/>
    <n v="0"/>
    <n v="1"/>
    <n v="0"/>
    <n v="0"/>
    <n v="0"/>
    <n v="0"/>
    <n v="0"/>
    <n v="0"/>
    <n v="1"/>
  </r>
  <r>
    <s v="A2OSK4VP3ZOV7O"/>
    <s v="english"/>
    <s v="test"/>
    <x v="1"/>
    <x v="0"/>
    <s v="exh"/>
    <s v="ms-l"/>
    <s v="mo-h"/>
    <n v="1"/>
    <n v="1"/>
    <n v="0"/>
    <n v="0"/>
    <n v="1"/>
    <n v="0"/>
    <n v="1"/>
    <n v="1"/>
    <n v="1"/>
    <n v="0"/>
    <n v="0"/>
    <n v="0"/>
    <n v="0"/>
    <n v="0"/>
  </r>
  <r>
    <s v="AZ8JL3QNIPY4U"/>
    <s v="english"/>
    <s v="test"/>
    <x v="3"/>
    <x v="0"/>
    <s v="exh"/>
    <s v="mo-l"/>
    <s v="mo-h"/>
    <n v="1"/>
    <n v="1"/>
    <n v="1"/>
    <n v="0"/>
    <n v="0"/>
    <n v="0"/>
    <n v="1"/>
    <n v="1"/>
    <n v="0"/>
    <n v="0"/>
    <n v="0"/>
    <n v="0"/>
    <n v="0"/>
    <n v="0"/>
  </r>
  <r>
    <s v="A1CSHXVJJ8BPHH"/>
    <s v="english"/>
    <s v="test"/>
    <x v="5"/>
    <x v="0"/>
    <s v="mo-h"/>
    <s v="exh"/>
    <s v="fa"/>
    <n v="1"/>
    <n v="1"/>
    <n v="0"/>
    <n v="0"/>
    <n v="0"/>
    <n v="0"/>
    <n v="1"/>
    <n v="1"/>
    <n v="0"/>
    <n v="0"/>
    <n v="0"/>
    <n v="0"/>
    <n v="0"/>
    <n v="0"/>
  </r>
  <r>
    <s v="A3LT7W355XOAKF"/>
    <s v="english"/>
    <s v="test"/>
    <x v="3"/>
    <x v="0"/>
    <s v="mo-l"/>
    <s v="mo-h"/>
    <s v="exh"/>
    <n v="1"/>
    <n v="1"/>
    <n v="1"/>
    <n v="0"/>
    <n v="0"/>
    <n v="0"/>
    <n v="1"/>
    <n v="1"/>
    <n v="1"/>
    <n v="1"/>
    <n v="0"/>
    <n v="0"/>
    <n v="0"/>
    <n v="0"/>
  </r>
  <r>
    <s v="A1CGDMOPDIC7EU"/>
    <s v="english"/>
    <s v="test"/>
    <x v="1"/>
    <x v="0"/>
    <s v="mo-h"/>
    <s v="ms-h"/>
    <s v="exh"/>
    <n v="1"/>
    <n v="1"/>
    <n v="0"/>
    <n v="1"/>
    <n v="0"/>
    <n v="0"/>
    <n v="1"/>
    <n v="0"/>
    <n v="1"/>
    <n v="0"/>
    <n v="0"/>
    <n v="0"/>
    <n v="0"/>
    <n v="0"/>
  </r>
  <r>
    <s v="A8KX1HFH8NE2Q"/>
    <s v="english"/>
    <s v="test"/>
    <x v="0"/>
    <x v="0"/>
    <s v="fa"/>
    <s v="mo-h"/>
    <s v="exh"/>
    <n v="1"/>
    <n v="1"/>
    <n v="0"/>
    <n v="0"/>
    <n v="0"/>
    <n v="0"/>
    <n v="1"/>
    <n v="0"/>
    <n v="1"/>
    <n v="0"/>
    <n v="0"/>
    <n v="0"/>
    <n v="0"/>
    <n v="0"/>
  </r>
  <r>
    <s v="A8KX1HFH8NE2Q"/>
    <s v="english"/>
    <s v="test"/>
    <x v="3"/>
    <x v="0"/>
    <s v="exh"/>
    <s v="mo-h"/>
    <s v="mo-l"/>
    <n v="1"/>
    <n v="1"/>
    <n v="1"/>
    <n v="0"/>
    <n v="0"/>
    <n v="0"/>
    <n v="1"/>
    <n v="0"/>
    <n v="1"/>
    <n v="0"/>
    <n v="0"/>
    <n v="0"/>
    <n v="0"/>
    <n v="0"/>
  </r>
  <r>
    <s v="A3KCZB9IL6CVH"/>
    <s v="english"/>
    <s v="test"/>
    <x v="0"/>
    <x v="0"/>
    <s v="mo-h"/>
    <s v="mo-l"/>
    <s v="exh"/>
    <n v="1"/>
    <n v="1"/>
    <n v="1"/>
    <n v="0"/>
    <n v="0"/>
    <n v="0"/>
    <n v="1"/>
    <n v="0"/>
    <n v="1"/>
    <n v="0"/>
    <n v="0"/>
    <n v="0"/>
    <n v="0"/>
    <n v="0"/>
  </r>
  <r>
    <s v="A3KE35E6VK782J"/>
    <s v="english"/>
    <s v="test"/>
    <x v="1"/>
    <x v="0"/>
    <s v="exh"/>
    <s v="mo-h"/>
    <s v="ms-l"/>
    <n v="1"/>
    <n v="1"/>
    <n v="0"/>
    <n v="0"/>
    <n v="1"/>
    <n v="0"/>
    <n v="1"/>
    <n v="1"/>
    <n v="0"/>
    <n v="0"/>
    <n v="0"/>
    <n v="0"/>
    <n v="0"/>
    <n v="0"/>
  </r>
  <r>
    <s v="A3KE35E6VK782J"/>
    <s v="english"/>
    <s v="test"/>
    <x v="4"/>
    <x v="0"/>
    <s v="exh"/>
    <s v="mo-l"/>
    <s v="mo-h"/>
    <n v="1"/>
    <n v="1"/>
    <n v="1"/>
    <n v="0"/>
    <n v="0"/>
    <n v="0"/>
    <n v="1"/>
    <n v="0"/>
    <n v="1"/>
    <n v="0"/>
    <n v="0"/>
    <n v="0"/>
    <n v="0"/>
    <n v="0"/>
  </r>
  <r>
    <s v="AA4O2W236E3FW"/>
    <s v="english"/>
    <s v="test"/>
    <x v="4"/>
    <x v="0"/>
    <s v="mo-h"/>
    <s v="fa"/>
    <s v="exh"/>
    <n v="1"/>
    <n v="1"/>
    <n v="0"/>
    <n v="0"/>
    <n v="0"/>
    <n v="0"/>
    <n v="1"/>
    <n v="1"/>
    <n v="0"/>
    <n v="0"/>
    <n v="0"/>
    <n v="0"/>
    <n v="0"/>
    <n v="0"/>
  </r>
  <r>
    <s v="A1ODA3Q5H6HTDQ"/>
    <s v="english"/>
    <s v="test"/>
    <x v="1"/>
    <x v="0"/>
    <s v="mo-l"/>
    <s v="mo-h"/>
    <s v="exh"/>
    <n v="1"/>
    <n v="1"/>
    <n v="1"/>
    <n v="0"/>
    <n v="0"/>
    <n v="0"/>
    <n v="1"/>
    <n v="0"/>
    <n v="1"/>
    <n v="0"/>
    <n v="0"/>
    <n v="0"/>
    <n v="0"/>
    <n v="0"/>
  </r>
  <r>
    <s v="A1ODA3Q5H6HTDQ"/>
    <s v="english"/>
    <s v="test"/>
    <x v="3"/>
    <x v="0"/>
    <s v="fa"/>
    <s v="mo-h"/>
    <s v="exh"/>
    <n v="1"/>
    <n v="1"/>
    <n v="0"/>
    <n v="0"/>
    <n v="0"/>
    <n v="0"/>
    <n v="1"/>
    <n v="1"/>
    <n v="1"/>
    <n v="0"/>
    <n v="0"/>
    <n v="0"/>
    <n v="0"/>
    <n v="0"/>
  </r>
  <r>
    <s v="ACFJI8D9OGJTL"/>
    <s v="english"/>
    <s v="test"/>
    <x v="4"/>
    <x v="0"/>
    <s v="mo-h"/>
    <s v="ms-l"/>
    <s v="exh"/>
    <n v="1"/>
    <n v="1"/>
    <n v="0"/>
    <n v="0"/>
    <n v="1"/>
    <n v="0"/>
    <n v="1"/>
    <n v="0"/>
    <n v="0"/>
    <n v="0"/>
    <n v="0"/>
    <n v="0"/>
    <n v="0"/>
    <n v="1"/>
  </r>
  <r>
    <s v="A221N4JDWK8XK0"/>
    <s v="english"/>
    <s v="test"/>
    <x v="1"/>
    <x v="0"/>
    <s v="mo-l"/>
    <s v="exh"/>
    <s v="mo-h"/>
    <n v="1"/>
    <n v="1"/>
    <n v="1"/>
    <n v="0"/>
    <n v="0"/>
    <n v="0"/>
    <n v="1"/>
    <n v="1"/>
    <n v="0"/>
    <n v="0"/>
    <n v="0"/>
    <n v="0"/>
    <n v="0"/>
    <n v="0"/>
  </r>
  <r>
    <s v="A3V8RZYN8NBK2O"/>
    <s v="english"/>
    <s v="test"/>
    <x v="0"/>
    <x v="0"/>
    <s v="mo-l"/>
    <s v="mo-h"/>
    <s v="exh"/>
    <n v="1"/>
    <n v="1"/>
    <n v="1"/>
    <n v="0"/>
    <n v="0"/>
    <n v="0"/>
    <n v="1"/>
    <n v="1"/>
    <n v="1"/>
    <n v="1"/>
    <n v="0"/>
    <n v="0"/>
    <n v="0"/>
    <n v="0"/>
  </r>
  <r>
    <s v="A2WKZI3JQCE3Z6"/>
    <s v="english"/>
    <s v="test"/>
    <x v="5"/>
    <x v="0"/>
    <s v="mo-l"/>
    <s v="mo-h"/>
    <s v="exh"/>
    <n v="1"/>
    <n v="1"/>
    <n v="1"/>
    <n v="0"/>
    <n v="0"/>
    <n v="0"/>
    <n v="1"/>
    <n v="0"/>
    <n v="0"/>
    <n v="0"/>
    <n v="0"/>
    <n v="0"/>
    <n v="0"/>
    <n v="1"/>
  </r>
  <r>
    <s v="A2WKZI3JQCE3Z6"/>
    <s v="english"/>
    <s v="test"/>
    <x v="0"/>
    <x v="0"/>
    <s v="mo-h"/>
    <s v="fa"/>
    <s v="exh"/>
    <n v="1"/>
    <n v="1"/>
    <n v="0"/>
    <n v="0"/>
    <n v="0"/>
    <n v="0"/>
    <n v="1"/>
    <n v="1"/>
    <n v="1"/>
    <n v="0"/>
    <n v="0"/>
    <n v="0"/>
    <n v="0"/>
    <n v="0"/>
  </r>
  <r>
    <s v="A5TI9UQEPLNWI"/>
    <s v="english"/>
    <s v="test"/>
    <x v="1"/>
    <x v="0"/>
    <s v="exh"/>
    <s v="mo-h"/>
    <s v="ms-h"/>
    <n v="1"/>
    <n v="1"/>
    <n v="0"/>
    <n v="1"/>
    <n v="0"/>
    <n v="0"/>
    <n v="1"/>
    <n v="1"/>
    <n v="0"/>
    <n v="0"/>
    <n v="0"/>
    <n v="0"/>
    <n v="0"/>
    <n v="0"/>
  </r>
  <r>
    <s v="A24L4Y8HCZSUIF"/>
    <s v="english"/>
    <s v="test"/>
    <x v="4"/>
    <x v="0"/>
    <s v="ms-l"/>
    <s v="exh"/>
    <s v="mo-h"/>
    <n v="1"/>
    <n v="1"/>
    <n v="0"/>
    <n v="0"/>
    <n v="1"/>
    <n v="0"/>
    <n v="1"/>
    <n v="1"/>
    <n v="1"/>
    <n v="0"/>
    <n v="0"/>
    <n v="1"/>
    <n v="0"/>
    <n v="0"/>
  </r>
  <r>
    <s v="A1IJ86B8ZRKXBI"/>
    <s v="english"/>
    <s v="test"/>
    <x v="1"/>
    <x v="0"/>
    <s v="exh"/>
    <s v="mo-l"/>
    <s v="mo-h"/>
    <n v="1"/>
    <n v="1"/>
    <n v="1"/>
    <n v="0"/>
    <n v="0"/>
    <n v="0"/>
    <n v="1"/>
    <n v="0"/>
    <n v="1"/>
    <n v="0"/>
    <n v="0"/>
    <n v="0"/>
    <n v="0"/>
    <n v="0"/>
  </r>
  <r>
    <s v="A269SNLVQZNFE6"/>
    <s v="Romanian"/>
    <s v="test"/>
    <x v="2"/>
    <x v="0"/>
    <s v="mo-l"/>
    <s v="exh"/>
    <s v="mo-h"/>
    <n v="1"/>
    <n v="1"/>
    <n v="1"/>
    <n v="0"/>
    <n v="0"/>
    <n v="0"/>
    <n v="1"/>
    <n v="1"/>
    <n v="0"/>
    <n v="0"/>
    <n v="0"/>
    <n v="0"/>
    <n v="0"/>
    <n v="0"/>
  </r>
  <r>
    <s v="A269SNLVQZNFE6"/>
    <s v="Romanian"/>
    <s v="test"/>
    <x v="4"/>
    <x v="0"/>
    <s v="exh"/>
    <s v="mo-l"/>
    <s v="mo-h"/>
    <n v="1"/>
    <n v="1"/>
    <n v="1"/>
    <n v="0"/>
    <n v="0"/>
    <n v="0"/>
    <n v="1"/>
    <n v="1"/>
    <n v="0"/>
    <n v="0"/>
    <n v="0"/>
    <n v="0"/>
    <n v="0"/>
    <n v="0"/>
  </r>
  <r>
    <s v="A30K9F91VNW9BL"/>
    <s v="english"/>
    <s v="test"/>
    <x v="1"/>
    <x v="0"/>
    <s v="mo-l"/>
    <s v="exh"/>
    <s v="mo-h"/>
    <n v="1"/>
    <n v="1"/>
    <n v="1"/>
    <n v="0"/>
    <n v="0"/>
    <n v="0"/>
    <n v="1"/>
    <n v="1"/>
    <n v="1"/>
    <n v="1"/>
    <n v="0"/>
    <n v="0"/>
    <n v="0"/>
    <n v="0"/>
  </r>
  <r>
    <s v="A30K9F91VNW9BL"/>
    <s v="english"/>
    <s v="test"/>
    <x v="5"/>
    <x v="0"/>
    <s v="ms-l"/>
    <s v="mo-h"/>
    <s v="exh"/>
    <n v="1"/>
    <n v="1"/>
    <n v="0"/>
    <n v="0"/>
    <n v="1"/>
    <n v="0"/>
    <n v="1"/>
    <n v="0"/>
    <n v="0"/>
    <n v="0"/>
    <n v="0"/>
    <n v="0"/>
    <n v="0"/>
    <n v="1"/>
  </r>
  <r>
    <s v="AWAW665TQQP2F"/>
    <s v="english"/>
    <s v="test"/>
    <x v="2"/>
    <x v="0"/>
    <s v="mo-h"/>
    <s v="ms-l"/>
    <s v="exh"/>
    <n v="1"/>
    <n v="1"/>
    <n v="0"/>
    <n v="0"/>
    <n v="1"/>
    <n v="0"/>
    <n v="1"/>
    <n v="1"/>
    <n v="1"/>
    <n v="0"/>
    <n v="0"/>
    <n v="1"/>
    <n v="0"/>
    <n v="0"/>
  </r>
  <r>
    <s v="ABI1EI8UQK6LK"/>
    <s v="english"/>
    <s v="test"/>
    <x v="5"/>
    <x v="0"/>
    <s v="mo-h"/>
    <s v="mo-l"/>
    <s v="exh"/>
    <n v="1"/>
    <n v="1"/>
    <n v="1"/>
    <n v="0"/>
    <n v="0"/>
    <n v="0"/>
    <n v="1"/>
    <n v="1"/>
    <n v="1"/>
    <n v="1"/>
    <n v="0"/>
    <n v="0"/>
    <n v="0"/>
    <n v="0"/>
  </r>
  <r>
    <s v="A3JT22BLG866CK"/>
    <s v="english"/>
    <s v="test"/>
    <x v="4"/>
    <x v="0"/>
    <s v="mo-l"/>
    <s v="exh"/>
    <s v="mo-h"/>
    <n v="1"/>
    <n v="1"/>
    <n v="1"/>
    <n v="0"/>
    <n v="0"/>
    <n v="0"/>
    <n v="1"/>
    <n v="0"/>
    <n v="0"/>
    <n v="1"/>
    <n v="0"/>
    <n v="0"/>
    <n v="0"/>
    <n v="0"/>
  </r>
  <r>
    <s v="A3JT22BLG866CK"/>
    <s v="english"/>
    <s v="test"/>
    <x v="3"/>
    <x v="0"/>
    <s v="mo-h"/>
    <s v="exh"/>
    <s v="ms-h"/>
    <n v="1"/>
    <n v="1"/>
    <n v="0"/>
    <n v="1"/>
    <n v="0"/>
    <n v="0"/>
    <n v="1"/>
    <n v="0"/>
    <n v="1"/>
    <n v="0"/>
    <n v="0"/>
    <n v="0"/>
    <n v="0"/>
    <n v="0"/>
  </r>
  <r>
    <s v="AGC3T6724JUAF"/>
    <s v="english"/>
    <s v="test"/>
    <x v="1"/>
    <x v="0"/>
    <s v="exh"/>
    <s v="ms-h"/>
    <s v="mo-h"/>
    <n v="1"/>
    <n v="1"/>
    <n v="0"/>
    <n v="1"/>
    <n v="0"/>
    <n v="0"/>
    <n v="1"/>
    <n v="0"/>
    <n v="1"/>
    <n v="0"/>
    <n v="0"/>
    <n v="0"/>
    <n v="0"/>
    <n v="0"/>
  </r>
  <r>
    <s v="A3DTPUNCHRVGP4"/>
    <s v="english"/>
    <s v="test"/>
    <x v="0"/>
    <x v="0"/>
    <s v="mo-h"/>
    <s v="exh"/>
    <s v="ms-h"/>
    <n v="1"/>
    <n v="1"/>
    <n v="0"/>
    <n v="1"/>
    <n v="0"/>
    <n v="0"/>
    <n v="1"/>
    <n v="0"/>
    <n v="0"/>
    <n v="0"/>
    <n v="0"/>
    <n v="0"/>
    <n v="0"/>
    <n v="1"/>
  </r>
  <r>
    <s v="A251YA0XPAWWIQ"/>
    <s v="english"/>
    <s v="test"/>
    <x v="3"/>
    <x v="1"/>
    <s v="ms-h"/>
    <s v="exh"/>
    <s v="mo-h"/>
    <n v="1"/>
    <n v="1"/>
    <n v="0"/>
    <n v="1"/>
    <n v="0"/>
    <n v="0"/>
    <n v="1"/>
    <n v="0"/>
    <n v="1"/>
    <n v="0"/>
    <n v="0"/>
    <n v="0"/>
    <n v="0"/>
    <n v="0"/>
  </r>
  <r>
    <s v="A3PLDW841STU8B"/>
    <s v="english"/>
    <s v="test"/>
    <x v="4"/>
    <x v="1"/>
    <s v="mo-l"/>
    <s v="mo-h"/>
    <s v="exh"/>
    <n v="1"/>
    <n v="1"/>
    <n v="1"/>
    <n v="0"/>
    <n v="0"/>
    <n v="0"/>
    <n v="1"/>
    <n v="0"/>
    <n v="1"/>
    <n v="0"/>
    <n v="0"/>
    <n v="0"/>
    <n v="0"/>
    <n v="0"/>
  </r>
  <r>
    <s v="A1WKF2VH7TV0H2"/>
    <s v="english"/>
    <s v="test"/>
    <x v="5"/>
    <x v="1"/>
    <s v="ms-l"/>
    <s v="mo-h"/>
    <s v="exh"/>
    <n v="1"/>
    <n v="1"/>
    <n v="0"/>
    <n v="0"/>
    <n v="1"/>
    <n v="0"/>
    <n v="1"/>
    <n v="1"/>
    <n v="1"/>
    <n v="0"/>
    <n v="0"/>
    <n v="1"/>
    <n v="0"/>
    <n v="0"/>
  </r>
  <r>
    <s v="ADUACF4TW5833"/>
    <s v="english"/>
    <s v="test"/>
    <x v="5"/>
    <x v="1"/>
    <s v="exh"/>
    <s v="ms-l"/>
    <s v="mo-h"/>
    <n v="1"/>
    <n v="1"/>
    <n v="0"/>
    <n v="0"/>
    <n v="1"/>
    <n v="0"/>
    <n v="1"/>
    <n v="0"/>
    <n v="1"/>
    <n v="0"/>
    <n v="0"/>
    <n v="0"/>
    <n v="0"/>
    <n v="0"/>
  </r>
  <r>
    <s v="ADUACF4TW5833"/>
    <s v="english"/>
    <s v="test"/>
    <x v="3"/>
    <x v="1"/>
    <s v="exh"/>
    <s v="mo-h"/>
    <s v="ms-h"/>
    <n v="1"/>
    <n v="1"/>
    <n v="0"/>
    <n v="1"/>
    <n v="0"/>
    <n v="0"/>
    <n v="1"/>
    <n v="1"/>
    <n v="0"/>
    <n v="0"/>
    <n v="0"/>
    <n v="0"/>
    <n v="0"/>
    <n v="0"/>
  </r>
  <r>
    <s v="ADUACF4TW5833"/>
    <s v="english"/>
    <s v="test"/>
    <x v="4"/>
    <x v="1"/>
    <s v="ms-l"/>
    <s v="exh"/>
    <s v="mo-h"/>
    <n v="1"/>
    <n v="1"/>
    <n v="0"/>
    <n v="0"/>
    <n v="1"/>
    <n v="0"/>
    <n v="1"/>
    <n v="0"/>
    <n v="0"/>
    <n v="0"/>
    <n v="0"/>
    <n v="1"/>
    <n v="0"/>
    <n v="0"/>
  </r>
  <r>
    <s v="ABZ1LM3J8REE6"/>
    <s v="english"/>
    <s v="test"/>
    <x v="1"/>
    <x v="1"/>
    <s v="exh"/>
    <s v="mo-h"/>
    <s v="mo-l"/>
    <n v="1"/>
    <n v="1"/>
    <n v="1"/>
    <n v="0"/>
    <n v="0"/>
    <n v="0"/>
    <n v="1"/>
    <n v="0"/>
    <n v="1"/>
    <n v="0"/>
    <n v="0"/>
    <n v="0"/>
    <n v="0"/>
    <n v="0"/>
  </r>
  <r>
    <s v="A1WL6K3EUA2WOX"/>
    <s v="english"/>
    <s v="test"/>
    <x v="5"/>
    <x v="1"/>
    <s v="mo-h"/>
    <s v="exh"/>
    <s v="ms-h"/>
    <n v="1"/>
    <n v="1"/>
    <n v="0"/>
    <n v="1"/>
    <n v="0"/>
    <n v="0"/>
    <n v="1"/>
    <n v="1"/>
    <n v="1"/>
    <n v="0"/>
    <n v="1"/>
    <n v="0"/>
    <n v="0"/>
    <n v="0"/>
  </r>
  <r>
    <s v="A1C7XI68SED8JE"/>
    <s v="english"/>
    <s v="test"/>
    <x v="2"/>
    <x v="1"/>
    <s v="mo-l"/>
    <s v="exh"/>
    <s v="mo-h"/>
    <n v="1"/>
    <n v="1"/>
    <n v="1"/>
    <n v="0"/>
    <n v="0"/>
    <n v="0"/>
    <n v="1"/>
    <n v="1"/>
    <n v="1"/>
    <n v="1"/>
    <n v="0"/>
    <n v="0"/>
    <n v="0"/>
    <n v="0"/>
  </r>
  <r>
    <s v="A15340BRCER2UO"/>
    <s v="english"/>
    <s v="test"/>
    <x v="1"/>
    <x v="1"/>
    <s v="mo-h"/>
    <s v="exh"/>
    <s v="ms-l"/>
    <n v="1"/>
    <n v="1"/>
    <n v="0"/>
    <n v="0"/>
    <n v="1"/>
    <n v="0"/>
    <n v="1"/>
    <n v="0"/>
    <n v="1"/>
    <n v="0"/>
    <n v="0"/>
    <n v="0"/>
    <n v="0"/>
    <n v="0"/>
  </r>
  <r>
    <s v="A17DXR1QC8GWL8"/>
    <s v="english"/>
    <s v="test"/>
    <x v="0"/>
    <x v="1"/>
    <s v="mo-h"/>
    <s v="exh"/>
    <s v="ms-h"/>
    <n v="1"/>
    <n v="1"/>
    <n v="0"/>
    <n v="1"/>
    <n v="0"/>
    <n v="0"/>
    <n v="1"/>
    <n v="0"/>
    <n v="0"/>
    <n v="0"/>
    <n v="0"/>
    <n v="0"/>
    <n v="0"/>
    <n v="1"/>
  </r>
  <r>
    <s v="A55V2U9UG3Z47"/>
    <s v="english"/>
    <s v="test"/>
    <x v="5"/>
    <x v="1"/>
    <s v="mo-h"/>
    <s v="exh"/>
    <s v="ms-l"/>
    <n v="1"/>
    <n v="1"/>
    <n v="0"/>
    <n v="0"/>
    <n v="1"/>
    <n v="0"/>
    <n v="1"/>
    <n v="0"/>
    <n v="0"/>
    <n v="0"/>
    <n v="0"/>
    <n v="0"/>
    <n v="0"/>
    <n v="1"/>
  </r>
  <r>
    <s v="A55V2U9UG3Z47"/>
    <s v="english"/>
    <s v="test"/>
    <x v="0"/>
    <x v="1"/>
    <s v="mo-l"/>
    <s v="exh"/>
    <s v="mo-h"/>
    <n v="1"/>
    <n v="1"/>
    <n v="1"/>
    <n v="0"/>
    <n v="0"/>
    <n v="0"/>
    <n v="1"/>
    <n v="0"/>
    <n v="1"/>
    <n v="0"/>
    <n v="0"/>
    <n v="0"/>
    <n v="0"/>
    <n v="0"/>
  </r>
  <r>
    <s v="A35BY30TC8WCL4"/>
    <s v="english"/>
    <s v="test"/>
    <x v="0"/>
    <x v="1"/>
    <s v="exh"/>
    <s v="mo-h"/>
    <s v="fa"/>
    <n v="1"/>
    <n v="1"/>
    <n v="0"/>
    <n v="0"/>
    <n v="0"/>
    <n v="0"/>
    <n v="1"/>
    <n v="1"/>
    <n v="1"/>
    <n v="0"/>
    <n v="0"/>
    <n v="0"/>
    <n v="0"/>
    <n v="0"/>
  </r>
  <r>
    <s v="A35BY30TC8WCL4"/>
    <s v="english"/>
    <s v="test"/>
    <x v="2"/>
    <x v="1"/>
    <s v="exh"/>
    <s v="mo-h"/>
    <s v="ms-l"/>
    <n v="1"/>
    <n v="1"/>
    <n v="0"/>
    <n v="0"/>
    <n v="1"/>
    <n v="0"/>
    <n v="1"/>
    <n v="0"/>
    <n v="0"/>
    <n v="0"/>
    <n v="0"/>
    <n v="0"/>
    <n v="0"/>
    <n v="1"/>
  </r>
  <r>
    <s v="A39PWM9C4U0TEP"/>
    <s v="english"/>
    <s v="test"/>
    <x v="3"/>
    <x v="1"/>
    <s v="exh"/>
    <s v="ms-l"/>
    <s v="mo-h"/>
    <n v="1"/>
    <n v="1"/>
    <n v="0"/>
    <n v="0"/>
    <n v="1"/>
    <n v="0"/>
    <n v="1"/>
    <n v="1"/>
    <n v="1"/>
    <n v="0"/>
    <n v="0"/>
    <n v="1"/>
    <n v="0"/>
    <n v="0"/>
  </r>
  <r>
    <s v="A39PWM9C4U0TEP"/>
    <s v="english"/>
    <s v="test"/>
    <x v="2"/>
    <x v="1"/>
    <s v="mo-h"/>
    <s v="exh"/>
    <s v="ms-l"/>
    <n v="1"/>
    <n v="1"/>
    <n v="0"/>
    <n v="0"/>
    <n v="1"/>
    <n v="0"/>
    <n v="1"/>
    <n v="1"/>
    <n v="1"/>
    <n v="0"/>
    <n v="0"/>
    <n v="1"/>
    <n v="0"/>
    <n v="0"/>
  </r>
  <r>
    <s v="A1WLRHL0U23N38"/>
    <s v="english"/>
    <s v="test"/>
    <x v="1"/>
    <x v="1"/>
    <s v="mo-h"/>
    <s v="mo-l"/>
    <s v="exh"/>
    <n v="1"/>
    <n v="1"/>
    <n v="1"/>
    <n v="0"/>
    <n v="0"/>
    <n v="0"/>
    <n v="1"/>
    <n v="1"/>
    <n v="0"/>
    <n v="0"/>
    <n v="0"/>
    <n v="0"/>
    <n v="0"/>
    <n v="0"/>
  </r>
  <r>
    <s v="A173XG3NZ7JPT7"/>
    <s v="english"/>
    <s v="test"/>
    <x v="3"/>
    <x v="1"/>
    <s v="ms-l"/>
    <s v="exh"/>
    <s v="mo-h"/>
    <n v="1"/>
    <n v="1"/>
    <n v="0"/>
    <n v="0"/>
    <n v="1"/>
    <n v="0"/>
    <n v="1"/>
    <n v="1"/>
    <n v="1"/>
    <n v="0"/>
    <n v="0"/>
    <n v="1"/>
    <n v="0"/>
    <n v="0"/>
  </r>
  <r>
    <s v="A173XG3NZ7JPT7"/>
    <s v="english"/>
    <s v="test"/>
    <x v="1"/>
    <x v="1"/>
    <s v="exh"/>
    <s v="ms-h"/>
    <s v="mo-h"/>
    <n v="1"/>
    <n v="1"/>
    <n v="0"/>
    <n v="1"/>
    <n v="0"/>
    <n v="0"/>
    <n v="1"/>
    <n v="1"/>
    <n v="1"/>
    <n v="0"/>
    <n v="1"/>
    <n v="0"/>
    <n v="0"/>
    <n v="0"/>
  </r>
  <r>
    <s v="A2541C8MY0BYV3"/>
    <s v="english"/>
    <s v="test"/>
    <x v="2"/>
    <x v="1"/>
    <s v="ms-l"/>
    <s v="exh"/>
    <s v="mo-h"/>
    <n v="1"/>
    <n v="1"/>
    <n v="0"/>
    <n v="0"/>
    <n v="1"/>
    <n v="0"/>
    <n v="1"/>
    <n v="1"/>
    <n v="1"/>
    <n v="0"/>
    <n v="0"/>
    <n v="0"/>
    <n v="0"/>
    <n v="0"/>
  </r>
  <r>
    <s v="A2541C8MY0BYV3"/>
    <s v="english"/>
    <s v="test"/>
    <x v="3"/>
    <x v="1"/>
    <s v="mo-l"/>
    <s v="exh"/>
    <s v="mo-h"/>
    <n v="1"/>
    <n v="1"/>
    <n v="1"/>
    <n v="0"/>
    <n v="0"/>
    <n v="0"/>
    <n v="1"/>
    <n v="0"/>
    <n v="1"/>
    <n v="0"/>
    <n v="0"/>
    <n v="0"/>
    <n v="0"/>
    <n v="0"/>
  </r>
  <r>
    <s v="A19D2W1PR68NO"/>
    <s v="english"/>
    <s v="test"/>
    <x v="1"/>
    <x v="1"/>
    <s v="exh"/>
    <s v="mo-h"/>
    <s v="ms-h"/>
    <n v="1"/>
    <n v="1"/>
    <n v="0"/>
    <n v="1"/>
    <n v="0"/>
    <n v="0"/>
    <n v="1"/>
    <n v="1"/>
    <n v="1"/>
    <n v="0"/>
    <n v="1"/>
    <n v="0"/>
    <n v="0"/>
    <n v="0"/>
  </r>
  <r>
    <s v="A19D2W1PR68NO"/>
    <s v="english"/>
    <s v="test"/>
    <x v="4"/>
    <x v="1"/>
    <s v="ms-h"/>
    <s v="mo-h"/>
    <s v="exh"/>
    <n v="1"/>
    <n v="1"/>
    <n v="0"/>
    <n v="1"/>
    <n v="0"/>
    <n v="0"/>
    <n v="1"/>
    <n v="1"/>
    <n v="1"/>
    <n v="0"/>
    <n v="1"/>
    <n v="0"/>
    <n v="0"/>
    <n v="0"/>
  </r>
  <r>
    <s v="A19D2W1PR68NO"/>
    <s v="english"/>
    <s v="test"/>
    <x v="2"/>
    <x v="1"/>
    <s v="exh"/>
    <s v="mo-l"/>
    <s v="mo-h"/>
    <n v="1"/>
    <n v="1"/>
    <n v="1"/>
    <n v="0"/>
    <n v="0"/>
    <n v="0"/>
    <n v="1"/>
    <n v="1"/>
    <n v="1"/>
    <n v="1"/>
    <n v="0"/>
    <n v="0"/>
    <n v="0"/>
    <n v="0"/>
  </r>
  <r>
    <s v="A19D2W1PR68NO"/>
    <s v="english"/>
    <s v="test"/>
    <x v="3"/>
    <x v="1"/>
    <s v="mo-h"/>
    <s v="ms-h"/>
    <s v="exh"/>
    <n v="1"/>
    <n v="1"/>
    <n v="0"/>
    <n v="1"/>
    <n v="0"/>
    <n v="0"/>
    <n v="1"/>
    <n v="1"/>
    <n v="1"/>
    <n v="0"/>
    <n v="1"/>
    <n v="0"/>
    <n v="0"/>
    <n v="0"/>
  </r>
  <r>
    <s v="A26FRAYAIDR4NV"/>
    <s v="english"/>
    <s v="test"/>
    <x v="4"/>
    <x v="1"/>
    <s v="exh"/>
    <s v="fa"/>
    <s v="mo-h"/>
    <n v="1"/>
    <n v="1"/>
    <n v="0"/>
    <n v="0"/>
    <n v="0"/>
    <n v="0"/>
    <n v="1"/>
    <n v="0"/>
    <n v="0"/>
    <n v="0"/>
    <n v="0"/>
    <n v="0"/>
    <n v="0"/>
    <n v="1"/>
  </r>
  <r>
    <s v="A03172343NB8PHOPICC1"/>
    <s v="english"/>
    <s v="test"/>
    <x v="1"/>
    <x v="1"/>
    <s v="mo-l"/>
    <s v="mo-h"/>
    <s v="exh"/>
    <n v="1"/>
    <n v="1"/>
    <n v="1"/>
    <n v="0"/>
    <n v="0"/>
    <n v="0"/>
    <n v="1"/>
    <n v="0"/>
    <n v="1"/>
    <n v="0"/>
    <n v="0"/>
    <n v="0"/>
    <n v="0"/>
    <n v="0"/>
  </r>
  <r>
    <s v="A03172343NB8PHOPICC1"/>
    <s v="english"/>
    <s v="test"/>
    <x v="0"/>
    <x v="1"/>
    <s v="exh"/>
    <s v="ms-l"/>
    <s v="mo-h"/>
    <n v="1"/>
    <n v="1"/>
    <n v="0"/>
    <n v="0"/>
    <n v="1"/>
    <n v="0"/>
    <n v="1"/>
    <n v="1"/>
    <n v="1"/>
    <n v="0"/>
    <n v="0"/>
    <n v="1"/>
    <n v="0"/>
    <n v="0"/>
  </r>
  <r>
    <s v="ADOVF9SBJJK33"/>
    <s v="english"/>
    <s v="test"/>
    <x v="3"/>
    <x v="1"/>
    <s v="exh"/>
    <s v="mo-l"/>
    <s v="mo-h"/>
    <n v="1"/>
    <n v="1"/>
    <n v="1"/>
    <n v="0"/>
    <n v="0"/>
    <n v="0"/>
    <n v="1"/>
    <n v="1"/>
    <n v="1"/>
    <n v="0"/>
    <n v="0"/>
    <n v="0"/>
    <n v="0"/>
    <n v="0"/>
  </r>
  <r>
    <s v="A28LPPFS7FW2SD"/>
    <s v="english"/>
    <s v="test"/>
    <x v="4"/>
    <x v="1"/>
    <s v="exh"/>
    <s v="mo-h"/>
    <s v="ms-h"/>
    <n v="1"/>
    <n v="1"/>
    <n v="0"/>
    <n v="1"/>
    <n v="0"/>
    <n v="0"/>
    <n v="1"/>
    <n v="1"/>
    <n v="1"/>
    <n v="0"/>
    <n v="1"/>
    <n v="0"/>
    <n v="0"/>
    <n v="0"/>
  </r>
  <r>
    <s v="A1XATJA7ENOGWB"/>
    <s v="english"/>
    <s v="test"/>
    <x v="5"/>
    <x v="1"/>
    <s v="ms-h"/>
    <s v="exh"/>
    <s v="mo-h"/>
    <n v="1"/>
    <n v="1"/>
    <n v="0"/>
    <n v="1"/>
    <n v="0"/>
    <n v="0"/>
    <n v="1"/>
    <n v="1"/>
    <n v="1"/>
    <n v="0"/>
    <n v="1"/>
    <n v="0"/>
    <n v="0"/>
    <n v="0"/>
  </r>
  <r>
    <s v="A2W5Q0IVJUS7Y6"/>
    <s v="english"/>
    <s v="test"/>
    <x v="3"/>
    <x v="1"/>
    <s v="exh"/>
    <s v="mo-h"/>
    <s v="ms-h"/>
    <n v="1"/>
    <n v="1"/>
    <n v="0"/>
    <n v="1"/>
    <n v="0"/>
    <n v="0"/>
    <n v="1"/>
    <n v="1"/>
    <n v="1"/>
    <n v="0"/>
    <n v="1"/>
    <n v="0"/>
    <n v="0"/>
    <n v="0"/>
  </r>
  <r>
    <s v="AKAPWAUEDPVGV"/>
    <s v="english"/>
    <s v="test"/>
    <x v="1"/>
    <x v="1"/>
    <s v="exh"/>
    <s v="mo-h"/>
    <s v="ms-l"/>
    <n v="1"/>
    <n v="1"/>
    <n v="0"/>
    <n v="0"/>
    <n v="1"/>
    <n v="0"/>
    <n v="1"/>
    <n v="0"/>
    <n v="0"/>
    <n v="0"/>
    <n v="0"/>
    <n v="1"/>
    <n v="0"/>
    <n v="0"/>
  </r>
  <r>
    <s v="A20Q6LGMUJLJDG"/>
    <s v="english"/>
    <s v="test"/>
    <x v="0"/>
    <x v="1"/>
    <s v="mo-h"/>
    <s v="mo-l"/>
    <s v="exh"/>
    <n v="1"/>
    <n v="1"/>
    <n v="1"/>
    <n v="0"/>
    <n v="0"/>
    <n v="0"/>
    <n v="1"/>
    <n v="0"/>
    <n v="1"/>
    <n v="0"/>
    <n v="0"/>
    <n v="0"/>
    <n v="0"/>
    <n v="0"/>
  </r>
  <r>
    <s v="A264G2H7KNNP3C"/>
    <s v="english"/>
    <s v="test"/>
    <x v="1"/>
    <x v="1"/>
    <s v="fa"/>
    <s v="mo-h"/>
    <s v="exh"/>
    <n v="1"/>
    <n v="1"/>
    <n v="0"/>
    <n v="0"/>
    <n v="0"/>
    <n v="0"/>
    <n v="1"/>
    <n v="1"/>
    <n v="1"/>
    <n v="0"/>
    <n v="0"/>
    <n v="0"/>
    <n v="0"/>
    <n v="0"/>
  </r>
  <r>
    <s v="A12569NJ7KY1KX"/>
    <s v="english"/>
    <s v="test"/>
    <x v="1"/>
    <x v="1"/>
    <s v="mo-h"/>
    <s v="exh"/>
    <s v="ms-l"/>
    <n v="1"/>
    <n v="1"/>
    <n v="0"/>
    <n v="0"/>
    <n v="1"/>
    <n v="0"/>
    <n v="1"/>
    <n v="1"/>
    <n v="0"/>
    <n v="0"/>
    <n v="0"/>
    <n v="0"/>
    <n v="0"/>
    <n v="0"/>
  </r>
  <r>
    <s v="A12569NJ7KY1KX"/>
    <s v="english"/>
    <s v="test"/>
    <x v="4"/>
    <x v="1"/>
    <s v="exh"/>
    <s v="mo-h"/>
    <s v="mo-l"/>
    <n v="1"/>
    <n v="1"/>
    <n v="1"/>
    <n v="0"/>
    <n v="0"/>
    <n v="0"/>
    <n v="1"/>
    <n v="0"/>
    <n v="1"/>
    <n v="0"/>
    <n v="0"/>
    <n v="0"/>
    <n v="0"/>
    <n v="0"/>
  </r>
  <r>
    <s v="A1TSQCY9QR6RM7"/>
    <s v="english"/>
    <s v="test"/>
    <x v="5"/>
    <x v="1"/>
    <s v="mo-h"/>
    <s v="ms-h"/>
    <s v="exh"/>
    <n v="1"/>
    <n v="1"/>
    <n v="0"/>
    <n v="1"/>
    <n v="0"/>
    <n v="0"/>
    <n v="1"/>
    <n v="0"/>
    <n v="0"/>
    <n v="0"/>
    <n v="0"/>
    <n v="0"/>
    <n v="0"/>
    <n v="1"/>
  </r>
  <r>
    <s v="A2SZRPGIEYRCG6"/>
    <s v="english"/>
    <s v="test"/>
    <x v="2"/>
    <x v="1"/>
    <s v="mo-l"/>
    <s v="exh"/>
    <s v="mo-h"/>
    <n v="1"/>
    <n v="1"/>
    <n v="1"/>
    <n v="0"/>
    <n v="0"/>
    <n v="0"/>
    <n v="1"/>
    <n v="1"/>
    <n v="0"/>
    <n v="0"/>
    <n v="0"/>
    <n v="0"/>
    <n v="0"/>
    <n v="0"/>
  </r>
  <r>
    <s v="A2SZRPGIEYRCG6"/>
    <s v="english"/>
    <s v="test"/>
    <x v="4"/>
    <x v="1"/>
    <s v="mo-h"/>
    <s v="exh"/>
    <s v="ms-h"/>
    <n v="1"/>
    <n v="1"/>
    <n v="0"/>
    <n v="1"/>
    <n v="0"/>
    <n v="0"/>
    <n v="1"/>
    <n v="1"/>
    <n v="1"/>
    <n v="0"/>
    <n v="1"/>
    <n v="0"/>
    <n v="0"/>
    <n v="0"/>
  </r>
  <r>
    <s v="A2LV5432PV1S39"/>
    <s v="english"/>
    <s v="test"/>
    <x v="3"/>
    <x v="1"/>
    <s v="mo-h"/>
    <s v="ms-l"/>
    <s v="exh"/>
    <n v="1"/>
    <n v="1"/>
    <n v="0"/>
    <n v="0"/>
    <n v="1"/>
    <n v="0"/>
    <n v="1"/>
    <n v="1"/>
    <n v="1"/>
    <n v="0"/>
    <n v="0"/>
    <n v="1"/>
    <n v="0"/>
    <n v="0"/>
  </r>
  <r>
    <s v="A1BZNPQ0H7ZSER"/>
    <s v="english"/>
    <s v="test"/>
    <x v="1"/>
    <x v="1"/>
    <s v="mo-h"/>
    <s v="exh"/>
    <s v="ms-h"/>
    <n v="1"/>
    <n v="1"/>
    <n v="0"/>
    <n v="1"/>
    <n v="0"/>
    <n v="0"/>
    <n v="1"/>
    <n v="1"/>
    <n v="1"/>
    <n v="0"/>
    <n v="1"/>
    <n v="0"/>
    <n v="0"/>
    <n v="0"/>
  </r>
  <r>
    <s v="A1BZNPQ0H7ZSER"/>
    <s v="english"/>
    <s v="test"/>
    <x v="2"/>
    <x v="1"/>
    <s v="mo-h"/>
    <s v="exh"/>
    <s v="mo-l"/>
    <n v="1"/>
    <n v="1"/>
    <n v="1"/>
    <n v="0"/>
    <n v="0"/>
    <n v="0"/>
    <n v="1"/>
    <n v="1"/>
    <n v="1"/>
    <n v="1"/>
    <n v="0"/>
    <n v="0"/>
    <n v="0"/>
    <n v="0"/>
  </r>
  <r>
    <s v="A15SJZQBR8I3B3"/>
    <s v="english"/>
    <s v="test"/>
    <x v="2"/>
    <x v="1"/>
    <s v="mo-h"/>
    <s v="exh"/>
    <s v="ms-l"/>
    <n v="1"/>
    <n v="1"/>
    <n v="0"/>
    <n v="0"/>
    <n v="1"/>
    <n v="0"/>
    <n v="1"/>
    <n v="0"/>
    <n v="0"/>
    <n v="0"/>
    <n v="0"/>
    <n v="0"/>
    <n v="0"/>
    <n v="1"/>
  </r>
  <r>
    <s v="A12IHTKQFQIPD1"/>
    <s v="english"/>
    <s v="test"/>
    <x v="0"/>
    <x v="1"/>
    <s v="mo-h"/>
    <s v="exh"/>
    <s v="mo-l"/>
    <n v="1"/>
    <n v="1"/>
    <n v="1"/>
    <n v="0"/>
    <n v="0"/>
    <n v="0"/>
    <n v="1"/>
    <n v="1"/>
    <n v="0"/>
    <n v="0"/>
    <n v="0"/>
    <n v="0"/>
    <n v="0"/>
    <n v="0"/>
  </r>
  <r>
    <s v="A12IHTKQFQIPD1"/>
    <s v="english"/>
    <s v="test"/>
    <x v="5"/>
    <x v="1"/>
    <s v="mo-h"/>
    <s v="exh"/>
    <s v="fa"/>
    <n v="1"/>
    <n v="1"/>
    <n v="0"/>
    <n v="0"/>
    <n v="0"/>
    <n v="0"/>
    <n v="1"/>
    <n v="0"/>
    <n v="0"/>
    <n v="0"/>
    <n v="0"/>
    <n v="0"/>
    <n v="0"/>
    <n v="1"/>
  </r>
  <r>
    <s v="A38JCBX2DD2ILP"/>
    <s v="english"/>
    <s v="test"/>
    <x v="5"/>
    <x v="1"/>
    <s v="ms-l"/>
    <s v="mo-h"/>
    <s v="exh"/>
    <n v="1"/>
    <n v="1"/>
    <n v="0"/>
    <n v="0"/>
    <n v="1"/>
    <n v="0"/>
    <n v="1"/>
    <n v="1"/>
    <n v="1"/>
    <n v="0"/>
    <n v="0"/>
    <n v="0"/>
    <n v="0"/>
    <n v="0"/>
  </r>
  <r>
    <s v="A1Q16A7AICS0C4"/>
    <s v="english"/>
    <s v="test"/>
    <x v="3"/>
    <x v="1"/>
    <s v="mo-l"/>
    <s v="mo-h"/>
    <s v="exh"/>
    <n v="1"/>
    <n v="1"/>
    <n v="1"/>
    <n v="0"/>
    <n v="0"/>
    <n v="0"/>
    <n v="1"/>
    <n v="0"/>
    <n v="1"/>
    <n v="0"/>
    <n v="0"/>
    <n v="0"/>
    <n v="0"/>
    <n v="0"/>
  </r>
  <r>
    <s v="A23OS0HQ12VVOR"/>
    <s v="english"/>
    <s v="test"/>
    <x v="0"/>
    <x v="1"/>
    <s v="exh"/>
    <s v="ms-l"/>
    <s v="mo-h"/>
    <n v="1"/>
    <n v="1"/>
    <n v="0"/>
    <n v="0"/>
    <n v="1"/>
    <n v="0"/>
    <n v="1"/>
    <n v="0"/>
    <n v="1"/>
    <n v="0"/>
    <n v="0"/>
    <n v="0"/>
    <n v="0"/>
    <n v="0"/>
  </r>
  <r>
    <s v="A2JIY3NSLQJWAE"/>
    <s v="english"/>
    <s v="test"/>
    <x v="3"/>
    <x v="1"/>
    <s v="mo-l"/>
    <s v="exh"/>
    <s v="mo-h"/>
    <n v="1"/>
    <n v="1"/>
    <n v="1"/>
    <n v="0"/>
    <n v="0"/>
    <n v="0"/>
    <n v="1"/>
    <n v="1"/>
    <n v="1"/>
    <n v="0"/>
    <n v="0"/>
    <n v="0"/>
    <n v="0"/>
    <n v="0"/>
  </r>
  <r>
    <s v="A2JIY3NSLQJWAE"/>
    <s v="english"/>
    <s v="test"/>
    <x v="2"/>
    <x v="1"/>
    <s v="fa"/>
    <s v="exh"/>
    <s v="mo-h"/>
    <n v="1"/>
    <n v="1"/>
    <n v="0"/>
    <n v="0"/>
    <n v="0"/>
    <n v="0"/>
    <n v="1"/>
    <n v="1"/>
    <n v="0"/>
    <n v="0"/>
    <n v="0"/>
    <n v="0"/>
    <n v="0"/>
    <n v="0"/>
  </r>
  <r>
    <s v="A2JIY3NSLQJWAE"/>
    <s v="english"/>
    <s v="test"/>
    <x v="4"/>
    <x v="1"/>
    <s v="ms-h"/>
    <s v="exh"/>
    <s v="mo-h"/>
    <n v="1"/>
    <n v="1"/>
    <n v="0"/>
    <n v="1"/>
    <n v="0"/>
    <n v="0"/>
    <n v="1"/>
    <n v="1"/>
    <n v="1"/>
    <n v="0"/>
    <n v="0"/>
    <n v="0"/>
    <n v="0"/>
    <n v="0"/>
  </r>
  <r>
    <s v="AZXTZQBZ1F4UV"/>
    <s v="english"/>
    <s v="test"/>
    <x v="4"/>
    <x v="1"/>
    <s v="fa"/>
    <s v="exh"/>
    <s v="mo-h"/>
    <n v="1"/>
    <n v="1"/>
    <n v="0"/>
    <n v="0"/>
    <n v="0"/>
    <n v="0"/>
    <n v="1"/>
    <n v="1"/>
    <n v="1"/>
    <n v="0"/>
    <n v="0"/>
    <n v="0"/>
    <n v="0"/>
    <n v="0"/>
  </r>
  <r>
    <s v="AZXTZQBZ1F4UV"/>
    <s v="english"/>
    <s v="test"/>
    <x v="0"/>
    <x v="1"/>
    <s v="exh"/>
    <s v="mo-h"/>
    <s v="mo-l"/>
    <n v="1"/>
    <n v="1"/>
    <n v="1"/>
    <n v="0"/>
    <n v="0"/>
    <n v="0"/>
    <n v="1"/>
    <n v="1"/>
    <n v="1"/>
    <n v="0"/>
    <n v="0"/>
    <n v="0"/>
    <n v="0"/>
    <n v="0"/>
  </r>
  <r>
    <s v="A120PN22KW0VPY"/>
    <s v="english"/>
    <s v="test"/>
    <x v="1"/>
    <x v="1"/>
    <s v="ms-h"/>
    <s v="mo-h"/>
    <s v="exh"/>
    <n v="1"/>
    <n v="1"/>
    <n v="0"/>
    <n v="1"/>
    <n v="0"/>
    <n v="0"/>
    <n v="1"/>
    <n v="0"/>
    <n v="0"/>
    <n v="0"/>
    <n v="1"/>
    <n v="0"/>
    <n v="0"/>
    <n v="0"/>
  </r>
  <r>
    <s v="AD6FEEQSW8PRE"/>
    <s v="english"/>
    <s v="test"/>
    <x v="4"/>
    <x v="1"/>
    <s v="exh"/>
    <s v="ms-h"/>
    <s v="mo-h"/>
    <n v="1"/>
    <n v="1"/>
    <n v="0"/>
    <n v="1"/>
    <n v="0"/>
    <n v="0"/>
    <n v="1"/>
    <n v="1"/>
    <n v="0"/>
    <n v="0"/>
    <n v="0"/>
    <n v="0"/>
    <n v="0"/>
    <n v="0"/>
  </r>
  <r>
    <s v="AD6FEEQSW8PRE"/>
    <s v="english"/>
    <s v="test"/>
    <x v="2"/>
    <x v="1"/>
    <s v="mo-h"/>
    <s v="ms-l"/>
    <s v="exh"/>
    <n v="1"/>
    <n v="1"/>
    <n v="0"/>
    <n v="0"/>
    <n v="1"/>
    <n v="0"/>
    <n v="1"/>
    <n v="0"/>
    <n v="0"/>
    <n v="0"/>
    <n v="0"/>
    <n v="1"/>
    <n v="0"/>
    <n v="0"/>
  </r>
  <r>
    <s v="A2TNTYHHICCA3Z"/>
    <s v="english"/>
    <s v="test"/>
    <x v="0"/>
    <x v="1"/>
    <s v="exh"/>
    <s v="mo-h"/>
    <s v="ms-l"/>
    <n v="1"/>
    <n v="1"/>
    <n v="0"/>
    <n v="0"/>
    <n v="1"/>
    <n v="0"/>
    <n v="1"/>
    <n v="0"/>
    <n v="0"/>
    <n v="0"/>
    <n v="0"/>
    <n v="1"/>
    <n v="0"/>
    <n v="0"/>
  </r>
  <r>
    <s v="A2TNTYHHICCA3Z"/>
    <s v="english"/>
    <s v="test"/>
    <x v="5"/>
    <x v="1"/>
    <s v="ms-h"/>
    <s v="mo-h"/>
    <s v="exh"/>
    <n v="1"/>
    <n v="1"/>
    <n v="0"/>
    <n v="1"/>
    <n v="0"/>
    <n v="0"/>
    <n v="1"/>
    <n v="1"/>
    <n v="1"/>
    <n v="0"/>
    <n v="1"/>
    <n v="0"/>
    <n v="0"/>
    <n v="0"/>
  </r>
  <r>
    <s v="AT53IAFG8BTZO"/>
    <s v="english"/>
    <s v="test"/>
    <x v="2"/>
    <x v="1"/>
    <s v="ms-l"/>
    <s v="mo-h"/>
    <s v="exh"/>
    <n v="1"/>
    <n v="1"/>
    <n v="0"/>
    <n v="0"/>
    <n v="1"/>
    <n v="0"/>
    <n v="1"/>
    <n v="1"/>
    <n v="1"/>
    <n v="0"/>
    <n v="0"/>
    <n v="0"/>
    <n v="0"/>
    <n v="0"/>
  </r>
  <r>
    <s v="AT53IAFG8BTZO"/>
    <s v="english"/>
    <s v="test"/>
    <x v="5"/>
    <x v="1"/>
    <s v="mo-h"/>
    <s v="mo-l"/>
    <s v="exh"/>
    <n v="1"/>
    <n v="1"/>
    <n v="1"/>
    <n v="0"/>
    <n v="0"/>
    <n v="0"/>
    <n v="1"/>
    <n v="0"/>
    <n v="0"/>
    <n v="0"/>
    <n v="0"/>
    <n v="0"/>
    <n v="0"/>
    <n v="1"/>
  </r>
  <r>
    <s v="AT53IAFG8BTZO"/>
    <s v="english"/>
    <s v="test"/>
    <x v="4"/>
    <x v="1"/>
    <s v="mo-h"/>
    <s v="exh"/>
    <s v="ms-h"/>
    <n v="1"/>
    <n v="1"/>
    <n v="0"/>
    <n v="1"/>
    <n v="0"/>
    <n v="0"/>
    <n v="1"/>
    <n v="1"/>
    <n v="0"/>
    <n v="0"/>
    <n v="0"/>
    <n v="0"/>
    <n v="0"/>
    <n v="0"/>
  </r>
  <r>
    <s v="ADNSFH55XO2F8"/>
    <s v="english"/>
    <s v="test"/>
    <x v="5"/>
    <x v="1"/>
    <s v="mo-h"/>
    <s v="exh"/>
    <s v="fa"/>
    <n v="1"/>
    <n v="1"/>
    <n v="0"/>
    <n v="0"/>
    <n v="0"/>
    <n v="0"/>
    <n v="1"/>
    <n v="0"/>
    <n v="1"/>
    <n v="0"/>
    <n v="0"/>
    <n v="0"/>
    <n v="0"/>
    <n v="0"/>
  </r>
  <r>
    <s v="ADNSFH55XO2F8"/>
    <s v="english"/>
    <s v="test"/>
    <x v="3"/>
    <x v="1"/>
    <s v="mo-h"/>
    <s v="mo-l"/>
    <s v="exh"/>
    <n v="1"/>
    <n v="1"/>
    <n v="1"/>
    <n v="0"/>
    <n v="0"/>
    <n v="0"/>
    <n v="1"/>
    <n v="0"/>
    <n v="0"/>
    <n v="1"/>
    <n v="0"/>
    <n v="0"/>
    <n v="0"/>
    <n v="0"/>
  </r>
  <r>
    <s v="A157L6Z8QU3SDE"/>
    <s v="english"/>
    <s v="test"/>
    <x v="0"/>
    <x v="1"/>
    <s v="exh"/>
    <s v="mo-h"/>
    <s v="fa"/>
    <n v="1"/>
    <n v="1"/>
    <n v="0"/>
    <n v="0"/>
    <n v="0"/>
    <n v="0"/>
    <n v="1"/>
    <n v="0"/>
    <n v="0"/>
    <n v="0"/>
    <n v="0"/>
    <n v="0"/>
    <n v="0"/>
    <n v="1"/>
  </r>
  <r>
    <s v="A157L6Z8QU3SDE"/>
    <s v="english"/>
    <s v="test"/>
    <x v="4"/>
    <x v="1"/>
    <s v="mo-h"/>
    <s v="exh"/>
    <s v="ms-l"/>
    <n v="1"/>
    <n v="1"/>
    <n v="0"/>
    <n v="0"/>
    <n v="1"/>
    <n v="0"/>
    <n v="1"/>
    <n v="0"/>
    <n v="0"/>
    <n v="0"/>
    <n v="0"/>
    <n v="0"/>
    <n v="0"/>
    <n v="1"/>
  </r>
  <r>
    <s v="A3908297ZI3LES"/>
    <s v="english"/>
    <s v="test"/>
    <x v="4"/>
    <x v="1"/>
    <s v="exh"/>
    <s v="mo-h"/>
    <s v="ms-h"/>
    <n v="1"/>
    <n v="1"/>
    <n v="0"/>
    <n v="1"/>
    <n v="0"/>
    <n v="0"/>
    <n v="1"/>
    <n v="0"/>
    <n v="1"/>
    <n v="0"/>
    <n v="0"/>
    <n v="0"/>
    <n v="0"/>
    <n v="0"/>
  </r>
  <r>
    <s v="A3908297ZI3LES"/>
    <s v="english"/>
    <s v="test"/>
    <x v="2"/>
    <x v="1"/>
    <s v="mo-h"/>
    <s v="exh"/>
    <s v="ms-l"/>
    <n v="1"/>
    <n v="1"/>
    <n v="0"/>
    <n v="0"/>
    <n v="1"/>
    <n v="0"/>
    <n v="1"/>
    <n v="1"/>
    <n v="1"/>
    <n v="0"/>
    <n v="0"/>
    <n v="0"/>
    <n v="0"/>
    <n v="0"/>
  </r>
  <r>
    <s v="A3IYDY7TO808Z3"/>
    <s v="english"/>
    <s v="test"/>
    <x v="1"/>
    <x v="1"/>
    <s v="mo-l"/>
    <s v="mo-h"/>
    <s v="exh"/>
    <n v="1"/>
    <n v="1"/>
    <n v="1"/>
    <n v="0"/>
    <n v="0"/>
    <n v="0"/>
    <n v="1"/>
    <n v="1"/>
    <n v="1"/>
    <n v="0"/>
    <n v="0"/>
    <n v="0"/>
    <n v="0"/>
    <n v="0"/>
  </r>
  <r>
    <s v="A3IYDY7TO808Z3"/>
    <s v="english"/>
    <s v="test"/>
    <x v="4"/>
    <x v="1"/>
    <s v="ms-h"/>
    <s v="exh"/>
    <s v="mo-h"/>
    <n v="1"/>
    <n v="1"/>
    <n v="0"/>
    <n v="1"/>
    <n v="0"/>
    <n v="0"/>
    <n v="1"/>
    <n v="0"/>
    <n v="1"/>
    <n v="0"/>
    <n v="0"/>
    <n v="0"/>
    <n v="0"/>
    <n v="0"/>
  </r>
  <r>
    <s v="A3DEG7PE4RFCWB"/>
    <s v="english"/>
    <s v="test"/>
    <x v="2"/>
    <x v="1"/>
    <s v="exh"/>
    <s v="mo-h"/>
    <s v="mo-l"/>
    <n v="1"/>
    <n v="1"/>
    <n v="1"/>
    <n v="0"/>
    <n v="0"/>
    <n v="0"/>
    <n v="1"/>
    <n v="0"/>
    <n v="1"/>
    <n v="0"/>
    <n v="0"/>
    <n v="0"/>
    <n v="0"/>
    <n v="0"/>
  </r>
  <r>
    <s v="A3DEG7PE4RFCWB"/>
    <s v="english"/>
    <s v="test"/>
    <x v="1"/>
    <x v="1"/>
    <s v="mo-l"/>
    <s v="mo-h"/>
    <s v="exh"/>
    <n v="1"/>
    <n v="1"/>
    <n v="1"/>
    <n v="0"/>
    <n v="0"/>
    <n v="0"/>
    <n v="1"/>
    <n v="0"/>
    <n v="1"/>
    <n v="0"/>
    <n v="0"/>
    <n v="0"/>
    <n v="0"/>
    <n v="0"/>
  </r>
  <r>
    <s v="AHZ7C7ETHYX3N"/>
    <s v="english"/>
    <s v="test"/>
    <x v="3"/>
    <x v="1"/>
    <s v="mo-h"/>
    <s v="exh"/>
    <s v="mo-l"/>
    <n v="1"/>
    <n v="1"/>
    <n v="1"/>
    <n v="0"/>
    <n v="0"/>
    <n v="0"/>
    <n v="1"/>
    <n v="1"/>
    <n v="1"/>
    <n v="1"/>
    <n v="0"/>
    <n v="0"/>
    <n v="0"/>
    <n v="0"/>
  </r>
  <r>
    <s v="AT13EK8JER5C3"/>
    <s v="english"/>
    <s v="test"/>
    <x v="0"/>
    <x v="1"/>
    <s v="exh"/>
    <s v="mo-h"/>
    <s v="mo-l"/>
    <n v="1"/>
    <n v="1"/>
    <n v="1"/>
    <n v="0"/>
    <n v="0"/>
    <n v="0"/>
    <n v="1"/>
    <n v="0"/>
    <n v="1"/>
    <n v="0"/>
    <n v="0"/>
    <n v="0"/>
    <n v="0"/>
    <n v="0"/>
  </r>
  <r>
    <s v="A255V2M0CC1G8L"/>
    <s v="english"/>
    <s v="test"/>
    <x v="5"/>
    <x v="1"/>
    <s v="ms-h"/>
    <s v="mo-h"/>
    <s v="exh"/>
    <n v="1"/>
    <n v="1"/>
    <n v="0"/>
    <n v="1"/>
    <n v="0"/>
    <n v="0"/>
    <n v="1"/>
    <n v="0"/>
    <n v="1"/>
    <n v="0"/>
    <n v="0"/>
    <n v="0"/>
    <n v="0"/>
    <n v="0"/>
  </r>
  <r>
    <s v="A255V2M0CC1G8L"/>
    <s v="english"/>
    <s v="test"/>
    <x v="4"/>
    <x v="1"/>
    <s v="fa"/>
    <s v="mo-h"/>
    <s v="exh"/>
    <n v="1"/>
    <n v="1"/>
    <n v="0"/>
    <n v="0"/>
    <n v="0"/>
    <n v="0"/>
    <n v="1"/>
    <n v="0"/>
    <n v="1"/>
    <n v="0"/>
    <n v="0"/>
    <n v="0"/>
    <n v="0"/>
    <n v="0"/>
  </r>
  <r>
    <s v="A3RL02A3JRAUS4"/>
    <s v="english"/>
    <s v="test"/>
    <x v="4"/>
    <x v="1"/>
    <s v="mo-l"/>
    <s v="mo-h"/>
    <s v="exh"/>
    <n v="1"/>
    <n v="1"/>
    <n v="1"/>
    <n v="0"/>
    <n v="0"/>
    <n v="0"/>
    <n v="1"/>
    <n v="1"/>
    <n v="0"/>
    <n v="0"/>
    <n v="0"/>
    <n v="0"/>
    <n v="0"/>
    <n v="0"/>
  </r>
  <r>
    <s v="A13FUEPWBCLBUY"/>
    <s v="english"/>
    <s v="test"/>
    <x v="2"/>
    <x v="1"/>
    <s v="mo-h"/>
    <s v="exh"/>
    <s v="fa"/>
    <n v="1"/>
    <n v="1"/>
    <n v="0"/>
    <n v="0"/>
    <n v="0"/>
    <n v="0"/>
    <n v="1"/>
    <n v="1"/>
    <n v="1"/>
    <n v="0"/>
    <n v="0"/>
    <n v="0"/>
    <n v="0"/>
    <n v="0"/>
  </r>
  <r>
    <s v="A2BZY06YRWGEDL"/>
    <s v="english"/>
    <s v="test"/>
    <x v="5"/>
    <x v="1"/>
    <s v="ms-l"/>
    <s v="mo-h"/>
    <s v="exh"/>
    <n v="1"/>
    <n v="1"/>
    <n v="0"/>
    <n v="0"/>
    <n v="1"/>
    <n v="0"/>
    <n v="1"/>
    <n v="1"/>
    <n v="1"/>
    <n v="0"/>
    <n v="0"/>
    <n v="1"/>
    <n v="0"/>
    <n v="0"/>
  </r>
  <r>
    <s v="A10T7GP0TH27RB"/>
    <s v="english"/>
    <s v="test"/>
    <x v="2"/>
    <x v="1"/>
    <s v="mo-h"/>
    <s v="ms-h"/>
    <s v="exh"/>
    <n v="1"/>
    <n v="1"/>
    <n v="0"/>
    <n v="1"/>
    <n v="0"/>
    <n v="0"/>
    <n v="1"/>
    <n v="0"/>
    <n v="0"/>
    <n v="0"/>
    <n v="1"/>
    <n v="0"/>
    <n v="0"/>
    <n v="0"/>
  </r>
  <r>
    <s v="A10T7GP0TH27RB"/>
    <s v="english"/>
    <s v="test"/>
    <x v="4"/>
    <x v="1"/>
    <s v="ms-l"/>
    <s v="exh"/>
    <s v="mo-h"/>
    <n v="1"/>
    <n v="1"/>
    <n v="0"/>
    <n v="0"/>
    <n v="1"/>
    <n v="0"/>
    <n v="1"/>
    <n v="1"/>
    <n v="0"/>
    <n v="0"/>
    <n v="0"/>
    <n v="0"/>
    <n v="0"/>
    <n v="0"/>
  </r>
  <r>
    <s v="A1GV1POLY1EHJV"/>
    <s v="english"/>
    <s v="test"/>
    <x v="4"/>
    <x v="1"/>
    <s v="mo-h"/>
    <s v="ms-l"/>
    <s v="exh"/>
    <n v="1"/>
    <n v="1"/>
    <n v="0"/>
    <n v="0"/>
    <n v="1"/>
    <n v="0"/>
    <n v="1"/>
    <n v="0"/>
    <n v="1"/>
    <n v="0"/>
    <n v="0"/>
    <n v="1"/>
    <n v="0"/>
    <n v="0"/>
  </r>
  <r>
    <s v="A36IYIE23IO4HE"/>
    <s v="english"/>
    <s v="test"/>
    <x v="3"/>
    <x v="1"/>
    <s v="mo-h"/>
    <s v="mo-l"/>
    <s v="exh"/>
    <n v="1"/>
    <n v="1"/>
    <n v="1"/>
    <n v="0"/>
    <n v="0"/>
    <n v="0"/>
    <n v="1"/>
    <n v="0"/>
    <n v="1"/>
    <n v="0"/>
    <n v="0"/>
    <n v="0"/>
    <n v="0"/>
    <n v="0"/>
  </r>
  <r>
    <s v="A36IYIE23IO4HE"/>
    <s v="english"/>
    <s v="test"/>
    <x v="2"/>
    <x v="1"/>
    <s v="mo-h"/>
    <s v="ms-h"/>
    <s v="exh"/>
    <n v="1"/>
    <n v="1"/>
    <n v="0"/>
    <n v="1"/>
    <n v="0"/>
    <n v="0"/>
    <n v="1"/>
    <n v="1"/>
    <n v="1"/>
    <n v="0"/>
    <n v="1"/>
    <n v="0"/>
    <n v="0"/>
    <n v="0"/>
  </r>
  <r>
    <s v="AZTHBV93S8U3T"/>
    <s v="english"/>
    <s v="test"/>
    <x v="0"/>
    <x v="1"/>
    <s v="mo-h"/>
    <s v="fa"/>
    <s v="exh"/>
    <n v="1"/>
    <n v="1"/>
    <n v="0"/>
    <n v="0"/>
    <n v="0"/>
    <n v="0"/>
    <n v="1"/>
    <n v="0"/>
    <n v="0"/>
    <n v="0"/>
    <n v="0"/>
    <n v="0"/>
    <n v="0"/>
    <n v="1"/>
  </r>
  <r>
    <s v="AY43RJRF8IEBN"/>
    <s v="english"/>
    <s v="test"/>
    <x v="4"/>
    <x v="1"/>
    <s v="mo-h"/>
    <s v="mo-l"/>
    <s v="exh"/>
    <n v="1"/>
    <n v="1"/>
    <n v="1"/>
    <n v="0"/>
    <n v="0"/>
    <n v="0"/>
    <n v="1"/>
    <n v="0"/>
    <n v="0"/>
    <n v="0"/>
    <n v="0"/>
    <n v="0"/>
    <n v="0"/>
    <n v="1"/>
  </r>
  <r>
    <s v="AY43RJRF8IEBN"/>
    <s v="english"/>
    <s v="test"/>
    <x v="3"/>
    <x v="1"/>
    <s v="mo-h"/>
    <s v="ms-l"/>
    <s v="exh"/>
    <n v="1"/>
    <n v="1"/>
    <n v="0"/>
    <n v="0"/>
    <n v="1"/>
    <n v="0"/>
    <n v="1"/>
    <n v="0"/>
    <n v="0"/>
    <n v="0"/>
    <n v="0"/>
    <n v="0"/>
    <n v="0"/>
    <n v="1"/>
  </r>
  <r>
    <s v="A35KO5LPASBFI9"/>
    <s v="english"/>
    <s v="test"/>
    <x v="5"/>
    <x v="1"/>
    <s v="mo-h"/>
    <s v="exh"/>
    <s v="ms-l"/>
    <n v="1"/>
    <n v="1"/>
    <n v="0"/>
    <n v="0"/>
    <n v="1"/>
    <n v="0"/>
    <n v="1"/>
    <n v="0"/>
    <n v="0"/>
    <n v="0"/>
    <n v="0"/>
    <n v="0"/>
    <n v="0"/>
    <n v="1"/>
  </r>
</pivotCacheRecords>
</file>

<file path=xl/pivotCache/pivotCacheRecords5.xml><?xml version="1.0" encoding="utf-8"?>
<pivotCacheRecords xmlns="http://schemas.openxmlformats.org/spreadsheetml/2006/main" xmlns:r="http://schemas.openxmlformats.org/officeDocument/2006/relationships" count="179">
  <r>
    <s v="A2MM10557W7PLD"/>
    <s v="english"/>
    <s v="test"/>
    <x v="0"/>
    <x v="0"/>
    <s v="fa"/>
    <s v="mo-l"/>
    <s v="exh"/>
    <n v="1"/>
    <n v="0"/>
    <n v="1"/>
    <n v="0"/>
    <n v="0"/>
    <n v="0"/>
    <n v="1"/>
    <n v="1"/>
    <n v="0"/>
    <n v="0"/>
    <n v="0"/>
    <n v="0"/>
    <n v="0"/>
    <n v="0"/>
  </r>
  <r>
    <s v="A14NSVH4W27CK0"/>
    <s v="english"/>
    <s v="test"/>
    <x v="1"/>
    <x v="0"/>
    <s v="mo-h"/>
    <s v="ms-h"/>
    <s v="exh"/>
    <n v="1"/>
    <n v="1"/>
    <n v="0"/>
    <n v="1"/>
    <n v="0"/>
    <n v="0"/>
    <n v="1"/>
    <n v="1"/>
    <n v="0"/>
    <n v="0"/>
    <n v="0"/>
    <n v="0"/>
    <n v="0"/>
    <n v="0"/>
  </r>
  <r>
    <s v="ALDWVFR4I0V2D"/>
    <s v="english"/>
    <s v="test"/>
    <x v="2"/>
    <x v="0"/>
    <s v="ms-l"/>
    <s v="mo-h"/>
    <s v="exh"/>
    <n v="1"/>
    <n v="1"/>
    <n v="0"/>
    <n v="0"/>
    <n v="1"/>
    <n v="0"/>
    <n v="1"/>
    <n v="1"/>
    <n v="1"/>
    <n v="0"/>
    <n v="0"/>
    <n v="0"/>
    <n v="0"/>
    <n v="0"/>
  </r>
  <r>
    <s v="A25ZLJK1VMAXXQ"/>
    <s v="english"/>
    <s v="test"/>
    <x v="2"/>
    <x v="0"/>
    <s v="exh"/>
    <s v="ms-l"/>
    <s v="ms-h"/>
    <n v="1"/>
    <n v="0"/>
    <n v="0"/>
    <n v="1"/>
    <n v="1"/>
    <n v="0"/>
    <n v="1"/>
    <n v="1"/>
    <n v="0"/>
    <n v="0"/>
    <n v="1"/>
    <n v="1"/>
    <n v="0"/>
    <n v="0"/>
  </r>
  <r>
    <s v="A2791MEBSOAD1U"/>
    <s v="english"/>
    <s v="test"/>
    <x v="2"/>
    <x v="0"/>
    <s v="ms-h"/>
    <s v="ms-l"/>
    <s v="exh"/>
    <n v="1"/>
    <n v="0"/>
    <n v="0"/>
    <n v="1"/>
    <n v="1"/>
    <n v="0"/>
    <n v="1"/>
    <n v="1"/>
    <n v="0"/>
    <n v="0"/>
    <n v="0"/>
    <n v="0"/>
    <n v="0"/>
    <n v="0"/>
  </r>
  <r>
    <s v="A2791MEBSOAD1U"/>
    <s v="english"/>
    <s v="test"/>
    <x v="3"/>
    <x v="0"/>
    <s v="fa"/>
    <s v="exh"/>
    <s v="ms-l"/>
    <n v="1"/>
    <n v="0"/>
    <n v="0"/>
    <n v="0"/>
    <n v="1"/>
    <n v="0"/>
    <n v="1"/>
    <n v="1"/>
    <n v="0"/>
    <n v="0"/>
    <n v="0"/>
    <n v="0"/>
    <n v="0"/>
    <n v="0"/>
  </r>
  <r>
    <s v="A1YIBSKY9U31X6"/>
    <s v="english"/>
    <s v="test"/>
    <x v="4"/>
    <x v="0"/>
    <s v="mo-l"/>
    <s v="mo-h"/>
    <s v="exh"/>
    <n v="1"/>
    <n v="1"/>
    <n v="1"/>
    <n v="0"/>
    <n v="0"/>
    <n v="0"/>
    <n v="1"/>
    <n v="1"/>
    <n v="1"/>
    <n v="1"/>
    <n v="0"/>
    <n v="0"/>
    <n v="0"/>
    <n v="0"/>
  </r>
  <r>
    <s v="A10UWP6T47G9TR"/>
    <s v="english"/>
    <s v="test"/>
    <x v="3"/>
    <x v="0"/>
    <s v="ms-h"/>
    <s v="mo-h"/>
    <s v="exh"/>
    <n v="1"/>
    <n v="1"/>
    <n v="0"/>
    <n v="1"/>
    <n v="0"/>
    <n v="0"/>
    <n v="1"/>
    <n v="1"/>
    <n v="0"/>
    <n v="0"/>
    <n v="0"/>
    <n v="0"/>
    <n v="0"/>
    <n v="0"/>
  </r>
  <r>
    <s v="A20SL254675EOK"/>
    <s v="english"/>
    <s v="test"/>
    <x v="3"/>
    <x v="0"/>
    <s v="mo-h"/>
    <s v="exh"/>
    <s v="ms-l"/>
    <n v="1"/>
    <n v="1"/>
    <n v="0"/>
    <n v="0"/>
    <n v="1"/>
    <n v="0"/>
    <n v="1"/>
    <n v="1"/>
    <n v="1"/>
    <n v="0"/>
    <n v="0"/>
    <n v="1"/>
    <n v="0"/>
    <n v="0"/>
  </r>
  <r>
    <s v="A3QSJY1FFN0N6V"/>
    <s v="english"/>
    <s v="test"/>
    <x v="4"/>
    <x v="0"/>
    <s v="exh"/>
    <s v="ms-h"/>
    <s v="mo-l"/>
    <n v="1"/>
    <n v="0"/>
    <n v="1"/>
    <n v="1"/>
    <n v="0"/>
    <n v="0"/>
    <n v="1"/>
    <n v="1"/>
    <n v="0"/>
    <n v="1"/>
    <n v="1"/>
    <n v="0"/>
    <n v="0"/>
    <n v="0"/>
  </r>
  <r>
    <s v="A1UKAS30R0MFI6"/>
    <s v="english"/>
    <s v="test"/>
    <x v="4"/>
    <x v="0"/>
    <s v="fa"/>
    <s v="exh"/>
    <s v="ms-l"/>
    <n v="1"/>
    <n v="0"/>
    <n v="0"/>
    <n v="0"/>
    <n v="1"/>
    <n v="0"/>
    <n v="1"/>
    <n v="1"/>
    <n v="0"/>
    <n v="0"/>
    <n v="0"/>
    <n v="1"/>
    <n v="0"/>
    <n v="0"/>
  </r>
  <r>
    <s v="A1UKAS30R0MFI6"/>
    <s v="english"/>
    <s v="test"/>
    <x v="2"/>
    <x v="0"/>
    <s v="mo-l"/>
    <s v="exh"/>
    <s v="ms-l"/>
    <n v="1"/>
    <n v="0"/>
    <n v="1"/>
    <n v="0"/>
    <n v="1"/>
    <n v="0"/>
    <n v="1"/>
    <n v="1"/>
    <n v="0"/>
    <n v="1"/>
    <n v="0"/>
    <n v="1"/>
    <n v="0"/>
    <n v="0"/>
  </r>
  <r>
    <s v="A1UKAS30R0MFI6"/>
    <s v="english"/>
    <s v="test"/>
    <x v="1"/>
    <x v="0"/>
    <s v="exh"/>
    <s v="mo-l"/>
    <s v="ms-h"/>
    <n v="1"/>
    <n v="0"/>
    <n v="1"/>
    <n v="1"/>
    <n v="0"/>
    <n v="0"/>
    <n v="1"/>
    <n v="1"/>
    <n v="0"/>
    <n v="1"/>
    <n v="1"/>
    <n v="0"/>
    <n v="0"/>
    <n v="0"/>
  </r>
  <r>
    <s v="A3A07QA5U733HQ"/>
    <s v="english"/>
    <s v="test"/>
    <x v="3"/>
    <x v="0"/>
    <s v="mo-l"/>
    <s v="exh"/>
    <s v="ms-l"/>
    <n v="1"/>
    <n v="0"/>
    <n v="1"/>
    <n v="0"/>
    <n v="1"/>
    <n v="0"/>
    <n v="1"/>
    <n v="1"/>
    <n v="0"/>
    <n v="1"/>
    <n v="0"/>
    <n v="1"/>
    <n v="0"/>
    <n v="0"/>
  </r>
  <r>
    <s v="A3SL5QRF7MX2P1"/>
    <s v="english"/>
    <s v="test"/>
    <x v="1"/>
    <x v="0"/>
    <s v="mo-h"/>
    <s v="exh"/>
    <s v="ms-h"/>
    <n v="1"/>
    <n v="1"/>
    <n v="0"/>
    <n v="1"/>
    <n v="0"/>
    <n v="0"/>
    <n v="1"/>
    <n v="1"/>
    <n v="1"/>
    <n v="0"/>
    <n v="1"/>
    <n v="0"/>
    <n v="0"/>
    <n v="0"/>
  </r>
  <r>
    <s v="A2ZAORW27PCSU4"/>
    <s v="english"/>
    <s v="test"/>
    <x v="4"/>
    <x v="0"/>
    <s v="ms-h"/>
    <s v="mo-l"/>
    <s v="exh"/>
    <n v="1"/>
    <n v="0"/>
    <n v="1"/>
    <n v="1"/>
    <n v="0"/>
    <n v="0"/>
    <n v="1"/>
    <n v="1"/>
    <n v="0"/>
    <n v="0"/>
    <n v="0"/>
    <n v="0"/>
    <n v="0"/>
    <n v="0"/>
  </r>
  <r>
    <s v="A2ZAORW27PCSU4"/>
    <s v="english"/>
    <s v="test"/>
    <x v="1"/>
    <x v="0"/>
    <s v="ms-l"/>
    <s v="exh"/>
    <s v="fa"/>
    <n v="1"/>
    <n v="0"/>
    <n v="0"/>
    <n v="0"/>
    <n v="1"/>
    <n v="0"/>
    <n v="1"/>
    <n v="1"/>
    <n v="0"/>
    <n v="0"/>
    <n v="0"/>
    <n v="0"/>
    <n v="0"/>
    <n v="0"/>
  </r>
  <r>
    <s v="A2ZAORW27PCSU4"/>
    <s v="english"/>
    <s v="test"/>
    <x v="2"/>
    <x v="0"/>
    <s v="mo-h"/>
    <s v="exh"/>
    <s v="ms-l"/>
    <n v="1"/>
    <n v="1"/>
    <n v="0"/>
    <n v="0"/>
    <n v="1"/>
    <n v="0"/>
    <n v="1"/>
    <n v="1"/>
    <n v="0"/>
    <n v="0"/>
    <n v="0"/>
    <n v="0"/>
    <n v="0"/>
    <n v="0"/>
  </r>
  <r>
    <s v="AJW3PL5UDH4BP"/>
    <s v="english"/>
    <s v="test"/>
    <x v="2"/>
    <x v="0"/>
    <s v="mo-h"/>
    <s v="exh"/>
    <s v="ms-h"/>
    <n v="1"/>
    <n v="1"/>
    <n v="0"/>
    <n v="1"/>
    <n v="0"/>
    <n v="0"/>
    <n v="1"/>
    <n v="1"/>
    <n v="1"/>
    <n v="0"/>
    <n v="1"/>
    <n v="0"/>
    <n v="0"/>
    <n v="0"/>
  </r>
  <r>
    <s v="A3EN5H82IBTJGF"/>
    <s v="english"/>
    <s v="test"/>
    <x v="0"/>
    <x v="0"/>
    <s v="ms-h"/>
    <s v="exh"/>
    <s v="ms-l"/>
    <n v="1"/>
    <n v="0"/>
    <n v="0"/>
    <n v="1"/>
    <n v="1"/>
    <n v="0"/>
    <n v="1"/>
    <n v="1"/>
    <n v="0"/>
    <n v="0"/>
    <n v="1"/>
    <n v="1"/>
    <n v="0"/>
    <n v="0"/>
  </r>
  <r>
    <s v="A3EN5H82IBTJGF"/>
    <s v="english"/>
    <s v="test"/>
    <x v="3"/>
    <x v="0"/>
    <s v="exh"/>
    <s v="mo-l"/>
    <s v="mo-h"/>
    <n v="1"/>
    <n v="1"/>
    <n v="1"/>
    <n v="0"/>
    <n v="0"/>
    <n v="0"/>
    <n v="1"/>
    <n v="1"/>
    <n v="1"/>
    <n v="1"/>
    <n v="0"/>
    <n v="0"/>
    <n v="0"/>
    <n v="0"/>
  </r>
  <r>
    <s v="A33UMG50QSJ7KS"/>
    <s v="english"/>
    <s v="test"/>
    <x v="3"/>
    <x v="0"/>
    <s v="exh"/>
    <s v="ms-l"/>
    <s v="mo-h"/>
    <n v="1"/>
    <n v="1"/>
    <n v="0"/>
    <n v="0"/>
    <n v="1"/>
    <n v="0"/>
    <n v="1"/>
    <n v="1"/>
    <n v="1"/>
    <n v="0"/>
    <n v="0"/>
    <n v="1"/>
    <n v="0"/>
    <n v="0"/>
  </r>
  <r>
    <s v="A33UMG50QSJ7KS"/>
    <s v="english"/>
    <s v="test"/>
    <x v="2"/>
    <x v="0"/>
    <s v="ms-h"/>
    <s v="exh"/>
    <s v="mo-h"/>
    <n v="1"/>
    <n v="1"/>
    <n v="0"/>
    <n v="1"/>
    <n v="0"/>
    <n v="0"/>
    <n v="1"/>
    <n v="1"/>
    <n v="1"/>
    <n v="0"/>
    <n v="1"/>
    <n v="0"/>
    <n v="0"/>
    <n v="0"/>
  </r>
  <r>
    <s v="A2PXJTMWGUE5DC"/>
    <s v="english"/>
    <s v="test"/>
    <x v="2"/>
    <x v="0"/>
    <s v="fa"/>
    <s v="ms-l"/>
    <s v="exh"/>
    <n v="1"/>
    <n v="0"/>
    <n v="0"/>
    <n v="0"/>
    <n v="1"/>
    <n v="0"/>
    <n v="1"/>
    <n v="1"/>
    <n v="0"/>
    <n v="0"/>
    <n v="0"/>
    <n v="1"/>
    <n v="0"/>
    <n v="0"/>
  </r>
  <r>
    <s v="A1B84JJ7ATWVJA"/>
    <s v="english"/>
    <s v="test"/>
    <x v="2"/>
    <x v="0"/>
    <s v="mo-h"/>
    <s v="exh"/>
    <s v="mo-l"/>
    <n v="1"/>
    <n v="1"/>
    <n v="1"/>
    <n v="0"/>
    <n v="0"/>
    <n v="0"/>
    <n v="1"/>
    <n v="1"/>
    <n v="1"/>
    <n v="1"/>
    <n v="0"/>
    <n v="0"/>
    <n v="0"/>
    <n v="0"/>
  </r>
  <r>
    <s v="A1B84JJ7ATWVJA"/>
    <s v="english"/>
    <s v="test"/>
    <x v="3"/>
    <x v="0"/>
    <s v="mo-l"/>
    <s v="mo-h"/>
    <s v="exh"/>
    <n v="1"/>
    <n v="1"/>
    <n v="1"/>
    <n v="0"/>
    <n v="0"/>
    <n v="0"/>
    <n v="1"/>
    <n v="1"/>
    <n v="1"/>
    <n v="1"/>
    <n v="0"/>
    <n v="0"/>
    <n v="0"/>
    <n v="0"/>
  </r>
  <r>
    <s v="A1Y82LKWQQP90M"/>
    <s v="english"/>
    <s v="test"/>
    <x v="3"/>
    <x v="0"/>
    <s v="ms-l"/>
    <s v="mo-h"/>
    <s v="exh"/>
    <n v="1"/>
    <n v="1"/>
    <n v="0"/>
    <n v="0"/>
    <n v="1"/>
    <n v="0"/>
    <n v="1"/>
    <n v="1"/>
    <n v="1"/>
    <n v="0"/>
    <n v="0"/>
    <n v="1"/>
    <n v="0"/>
    <n v="0"/>
  </r>
  <r>
    <s v="A1Y82LKWQQP90M"/>
    <s v="english"/>
    <s v="test"/>
    <x v="4"/>
    <x v="0"/>
    <s v="mo-h"/>
    <s v="exh"/>
    <s v="mo-l"/>
    <n v="1"/>
    <n v="1"/>
    <n v="1"/>
    <n v="0"/>
    <n v="0"/>
    <n v="0"/>
    <n v="1"/>
    <n v="1"/>
    <n v="1"/>
    <n v="1"/>
    <n v="0"/>
    <n v="0"/>
    <n v="0"/>
    <n v="0"/>
  </r>
  <r>
    <s v="AF8OT1W25HEM7"/>
    <s v="english"/>
    <s v="test"/>
    <x v="2"/>
    <x v="0"/>
    <s v="ms-l"/>
    <s v="exh"/>
    <s v="mo-l"/>
    <n v="1"/>
    <n v="0"/>
    <n v="1"/>
    <n v="0"/>
    <n v="1"/>
    <n v="0"/>
    <n v="1"/>
    <n v="1"/>
    <n v="0"/>
    <n v="1"/>
    <n v="0"/>
    <n v="1"/>
    <n v="0"/>
    <n v="0"/>
  </r>
  <r>
    <s v="AF8OT1W25HEM7"/>
    <s v="english"/>
    <s v="test"/>
    <x v="4"/>
    <x v="0"/>
    <s v="exh"/>
    <s v="mo-h"/>
    <s v="ms-l"/>
    <n v="1"/>
    <n v="1"/>
    <n v="0"/>
    <n v="0"/>
    <n v="1"/>
    <n v="0"/>
    <n v="1"/>
    <n v="1"/>
    <n v="1"/>
    <n v="0"/>
    <n v="0"/>
    <n v="1"/>
    <n v="0"/>
    <n v="0"/>
  </r>
  <r>
    <s v="AF8OT1W25HEM7"/>
    <s v="english"/>
    <s v="test"/>
    <x v="0"/>
    <x v="0"/>
    <s v="fa"/>
    <s v="mo-h"/>
    <s v="exh"/>
    <n v="1"/>
    <n v="1"/>
    <n v="0"/>
    <n v="0"/>
    <n v="0"/>
    <n v="0"/>
    <n v="1"/>
    <n v="1"/>
    <n v="1"/>
    <n v="0"/>
    <n v="0"/>
    <n v="0"/>
    <n v="0"/>
    <n v="0"/>
  </r>
  <r>
    <s v="A2YLK83DQ6PA5Y"/>
    <s v="english"/>
    <s v="test"/>
    <x v="3"/>
    <x v="0"/>
    <s v="mo-h"/>
    <s v="exh"/>
    <s v="mo-l"/>
    <n v="1"/>
    <n v="1"/>
    <n v="1"/>
    <n v="0"/>
    <n v="0"/>
    <n v="0"/>
    <n v="1"/>
    <n v="1"/>
    <n v="0"/>
    <n v="0"/>
    <n v="0"/>
    <n v="0"/>
    <n v="0"/>
    <n v="0"/>
  </r>
  <r>
    <s v="AECQ7QG4CQP69"/>
    <s v="english"/>
    <s v="test"/>
    <x v="4"/>
    <x v="0"/>
    <s v="mo-h"/>
    <s v="ms-h"/>
    <s v="exh"/>
    <n v="1"/>
    <n v="1"/>
    <n v="0"/>
    <n v="1"/>
    <n v="0"/>
    <n v="0"/>
    <n v="1"/>
    <n v="1"/>
    <n v="0"/>
    <n v="0"/>
    <n v="0"/>
    <n v="0"/>
    <n v="0"/>
    <n v="0"/>
  </r>
  <r>
    <s v="A19L8SNH73AX1Z"/>
    <s v="english"/>
    <s v="test"/>
    <x v="3"/>
    <x v="0"/>
    <s v="ms-h"/>
    <s v="exh"/>
    <s v="mo-l"/>
    <n v="1"/>
    <n v="0"/>
    <n v="1"/>
    <n v="1"/>
    <n v="0"/>
    <n v="0"/>
    <n v="1"/>
    <n v="1"/>
    <n v="0"/>
    <n v="1"/>
    <n v="1"/>
    <n v="0"/>
    <n v="0"/>
    <n v="0"/>
  </r>
  <r>
    <s v="A0017268R9SKD8U2Y3F"/>
    <s v="english"/>
    <s v="test"/>
    <x v="1"/>
    <x v="0"/>
    <s v="ms-h"/>
    <s v="mo-l"/>
    <s v="exh"/>
    <n v="1"/>
    <n v="0"/>
    <n v="1"/>
    <n v="1"/>
    <n v="0"/>
    <n v="0"/>
    <n v="1"/>
    <n v="1"/>
    <n v="0"/>
    <n v="1"/>
    <n v="1"/>
    <n v="0"/>
    <n v="0"/>
    <n v="0"/>
  </r>
  <r>
    <s v="A2OSK4VP3ZOV7O"/>
    <s v="english"/>
    <s v="test"/>
    <x v="1"/>
    <x v="0"/>
    <s v="exh"/>
    <s v="ms-l"/>
    <s v="mo-h"/>
    <n v="1"/>
    <n v="1"/>
    <n v="0"/>
    <n v="0"/>
    <n v="1"/>
    <n v="0"/>
    <n v="1"/>
    <n v="1"/>
    <n v="1"/>
    <n v="0"/>
    <n v="0"/>
    <n v="0"/>
    <n v="0"/>
    <n v="0"/>
  </r>
  <r>
    <s v="AL7UTA8J27TFK"/>
    <s v="english"/>
    <s v="test"/>
    <x v="2"/>
    <x v="0"/>
    <s v="ms-h"/>
    <s v="mo-l"/>
    <s v="exh"/>
    <n v="1"/>
    <n v="0"/>
    <n v="1"/>
    <n v="1"/>
    <n v="0"/>
    <n v="0"/>
    <n v="1"/>
    <n v="1"/>
    <n v="0"/>
    <n v="0"/>
    <n v="0"/>
    <n v="0"/>
    <n v="0"/>
    <n v="0"/>
  </r>
  <r>
    <s v="AL7UTA8J27TFK"/>
    <s v="english"/>
    <s v="test"/>
    <x v="0"/>
    <x v="0"/>
    <s v="ms-l"/>
    <s v="mo-l"/>
    <s v="exh"/>
    <n v="1"/>
    <n v="0"/>
    <n v="1"/>
    <n v="0"/>
    <n v="1"/>
    <n v="0"/>
    <n v="1"/>
    <n v="1"/>
    <n v="0"/>
    <n v="0"/>
    <n v="0"/>
    <n v="0"/>
    <n v="0"/>
    <n v="0"/>
  </r>
  <r>
    <s v="AZ8JL3QNIPY4U"/>
    <s v="english"/>
    <s v="test"/>
    <x v="0"/>
    <x v="0"/>
    <s v="exh"/>
    <s v="mo-l"/>
    <s v="mo-h"/>
    <n v="1"/>
    <n v="1"/>
    <n v="1"/>
    <n v="0"/>
    <n v="0"/>
    <n v="0"/>
    <n v="1"/>
    <n v="1"/>
    <n v="0"/>
    <n v="0"/>
    <n v="0"/>
    <n v="0"/>
    <n v="0"/>
    <n v="0"/>
  </r>
  <r>
    <s v="A1CSHXVJJ8BPHH"/>
    <s v="english"/>
    <s v="test"/>
    <x v="5"/>
    <x v="0"/>
    <s v="mo-h"/>
    <s v="exh"/>
    <s v="fa"/>
    <n v="1"/>
    <n v="1"/>
    <n v="0"/>
    <n v="0"/>
    <n v="0"/>
    <n v="0"/>
    <n v="1"/>
    <n v="1"/>
    <n v="0"/>
    <n v="0"/>
    <n v="0"/>
    <n v="0"/>
    <n v="0"/>
    <n v="0"/>
  </r>
  <r>
    <s v="A2Q1BS4JJ10J8H"/>
    <s v="english"/>
    <s v="test"/>
    <x v="5"/>
    <x v="0"/>
    <s v="ms-l"/>
    <s v="exh"/>
    <s v="ms-h"/>
    <n v="1"/>
    <n v="0"/>
    <n v="0"/>
    <n v="1"/>
    <n v="1"/>
    <n v="0"/>
    <n v="1"/>
    <n v="1"/>
    <n v="0"/>
    <n v="0"/>
    <n v="0"/>
    <n v="0"/>
    <n v="0"/>
    <n v="0"/>
  </r>
  <r>
    <s v="A2Q1BS4JJ10J8H"/>
    <s v="english"/>
    <s v="test"/>
    <x v="1"/>
    <x v="0"/>
    <s v="ms-l"/>
    <s v="exh"/>
    <s v="ms-h"/>
    <n v="1"/>
    <n v="0"/>
    <n v="0"/>
    <n v="1"/>
    <n v="1"/>
    <n v="0"/>
    <n v="1"/>
    <n v="1"/>
    <n v="0"/>
    <n v="0"/>
    <n v="1"/>
    <n v="0"/>
    <n v="0"/>
    <n v="0"/>
  </r>
  <r>
    <s v="A3LT7W355XOAKF"/>
    <s v="english"/>
    <s v="test"/>
    <x v="0"/>
    <x v="0"/>
    <s v="mo-l"/>
    <s v="mo-h"/>
    <s v="exh"/>
    <n v="1"/>
    <n v="1"/>
    <n v="1"/>
    <n v="0"/>
    <n v="0"/>
    <n v="0"/>
    <n v="1"/>
    <n v="1"/>
    <n v="1"/>
    <n v="1"/>
    <n v="0"/>
    <n v="0"/>
    <n v="0"/>
    <n v="0"/>
  </r>
  <r>
    <s v="A3AY0315YWWNXY"/>
    <s v="english"/>
    <s v="test"/>
    <x v="4"/>
    <x v="0"/>
    <s v="mo-l"/>
    <s v="exh"/>
    <s v="ms-h"/>
    <n v="1"/>
    <n v="0"/>
    <n v="1"/>
    <n v="1"/>
    <n v="0"/>
    <n v="0"/>
    <n v="1"/>
    <n v="1"/>
    <n v="0"/>
    <n v="0"/>
    <n v="1"/>
    <n v="0"/>
    <n v="0"/>
    <n v="0"/>
  </r>
  <r>
    <s v="A3AY0315YWWNXY"/>
    <s v="english"/>
    <s v="test"/>
    <x v="5"/>
    <x v="0"/>
    <s v="exh"/>
    <s v="fa"/>
    <s v="mo-l"/>
    <n v="1"/>
    <n v="0"/>
    <n v="1"/>
    <n v="0"/>
    <n v="0"/>
    <n v="0"/>
    <n v="1"/>
    <n v="1"/>
    <n v="0"/>
    <n v="0"/>
    <n v="0"/>
    <n v="0"/>
    <n v="0"/>
    <n v="0"/>
  </r>
  <r>
    <s v="AQKB8JSBEMXK9"/>
    <s v="english"/>
    <s v="test"/>
    <x v="4"/>
    <x v="0"/>
    <s v="ms-l"/>
    <s v="ms-h"/>
    <s v="exh"/>
    <n v="1"/>
    <n v="0"/>
    <n v="0"/>
    <n v="1"/>
    <n v="1"/>
    <n v="0"/>
    <n v="1"/>
    <n v="1"/>
    <n v="0"/>
    <n v="0"/>
    <n v="1"/>
    <n v="1"/>
    <n v="0"/>
    <n v="0"/>
  </r>
  <r>
    <s v="A27K37YQZDPER6"/>
    <s v="english"/>
    <s v="test"/>
    <x v="3"/>
    <x v="0"/>
    <s v="mo-l"/>
    <s v="exh"/>
    <s v="ms-l"/>
    <n v="1"/>
    <n v="0"/>
    <n v="1"/>
    <n v="0"/>
    <n v="1"/>
    <n v="0"/>
    <n v="1"/>
    <n v="1"/>
    <n v="0"/>
    <n v="0"/>
    <n v="0"/>
    <n v="0"/>
    <n v="0"/>
    <n v="0"/>
  </r>
  <r>
    <s v="A3KE35E6VK782J"/>
    <s v="english"/>
    <s v="test"/>
    <x v="1"/>
    <x v="0"/>
    <s v="exh"/>
    <s v="mo-h"/>
    <s v="ms-l"/>
    <n v="1"/>
    <n v="1"/>
    <n v="0"/>
    <n v="0"/>
    <n v="1"/>
    <n v="0"/>
    <n v="1"/>
    <n v="1"/>
    <n v="0"/>
    <n v="0"/>
    <n v="0"/>
    <n v="0"/>
    <n v="0"/>
    <n v="0"/>
  </r>
  <r>
    <s v="AA4O2W236E3FW"/>
    <s v="english"/>
    <s v="test"/>
    <x v="3"/>
    <x v="0"/>
    <s v="mo-h"/>
    <s v="fa"/>
    <s v="exh"/>
    <n v="1"/>
    <n v="1"/>
    <n v="0"/>
    <n v="0"/>
    <n v="0"/>
    <n v="0"/>
    <n v="1"/>
    <n v="1"/>
    <n v="0"/>
    <n v="0"/>
    <n v="0"/>
    <n v="0"/>
    <n v="0"/>
    <n v="0"/>
  </r>
  <r>
    <s v="A1ODA3Q5H6HTDQ"/>
    <s v="english"/>
    <s v="test"/>
    <x v="2"/>
    <x v="0"/>
    <s v="exh"/>
    <s v="mo-l"/>
    <s v="fa"/>
    <n v="1"/>
    <n v="0"/>
    <n v="1"/>
    <n v="0"/>
    <n v="0"/>
    <n v="0"/>
    <n v="1"/>
    <n v="1"/>
    <n v="0"/>
    <n v="0"/>
    <n v="0"/>
    <n v="0"/>
    <n v="0"/>
    <n v="0"/>
  </r>
  <r>
    <s v="A1ODA3Q5H6HTDQ"/>
    <s v="english"/>
    <s v="test"/>
    <x v="0"/>
    <x v="0"/>
    <s v="fa"/>
    <s v="mo-h"/>
    <s v="exh"/>
    <n v="1"/>
    <n v="1"/>
    <n v="0"/>
    <n v="0"/>
    <n v="0"/>
    <n v="0"/>
    <n v="1"/>
    <n v="1"/>
    <n v="1"/>
    <n v="0"/>
    <n v="0"/>
    <n v="0"/>
    <n v="0"/>
    <n v="0"/>
  </r>
  <r>
    <s v="AL36KBFL3ORCD"/>
    <s v="english"/>
    <s v="test"/>
    <x v="4"/>
    <x v="0"/>
    <s v="ms-l"/>
    <s v="mo-l"/>
    <s v="exh"/>
    <n v="1"/>
    <n v="0"/>
    <n v="1"/>
    <n v="0"/>
    <n v="1"/>
    <n v="0"/>
    <n v="1"/>
    <n v="1"/>
    <n v="0"/>
    <n v="0"/>
    <n v="0"/>
    <n v="0"/>
    <n v="0"/>
    <n v="0"/>
  </r>
  <r>
    <s v="A221N4JDWK8XK0"/>
    <s v="english"/>
    <s v="test"/>
    <x v="1"/>
    <x v="0"/>
    <s v="mo-l"/>
    <s v="exh"/>
    <s v="mo-h"/>
    <n v="1"/>
    <n v="1"/>
    <n v="1"/>
    <n v="0"/>
    <n v="0"/>
    <n v="0"/>
    <n v="1"/>
    <n v="1"/>
    <n v="0"/>
    <n v="0"/>
    <n v="0"/>
    <n v="0"/>
    <n v="0"/>
    <n v="0"/>
  </r>
  <r>
    <s v="A372F1FDPWXBY3"/>
    <s v="english"/>
    <s v="test"/>
    <x v="0"/>
    <x v="0"/>
    <s v="fa"/>
    <s v="ms-h"/>
    <s v="exh"/>
    <n v="1"/>
    <n v="0"/>
    <n v="0"/>
    <n v="1"/>
    <n v="0"/>
    <n v="0"/>
    <n v="1"/>
    <n v="1"/>
    <n v="0"/>
    <n v="0"/>
    <n v="1"/>
    <n v="0"/>
    <n v="0"/>
    <n v="0"/>
  </r>
  <r>
    <s v="A3V8RZYN8NBK2O"/>
    <s v="english"/>
    <s v="test"/>
    <x v="5"/>
    <x v="0"/>
    <s v="mo-l"/>
    <s v="ms-l"/>
    <s v="exh"/>
    <n v="1"/>
    <n v="0"/>
    <n v="1"/>
    <n v="0"/>
    <n v="1"/>
    <n v="0"/>
    <n v="1"/>
    <n v="1"/>
    <n v="0"/>
    <n v="0"/>
    <n v="0"/>
    <n v="0"/>
    <n v="0"/>
    <n v="0"/>
  </r>
  <r>
    <s v="A3V8RZYN8NBK2O"/>
    <s v="english"/>
    <s v="test"/>
    <x v="2"/>
    <x v="0"/>
    <s v="mo-l"/>
    <s v="mo-h"/>
    <s v="exh"/>
    <n v="1"/>
    <n v="1"/>
    <n v="1"/>
    <n v="0"/>
    <n v="0"/>
    <n v="0"/>
    <n v="1"/>
    <n v="1"/>
    <n v="1"/>
    <n v="1"/>
    <n v="0"/>
    <n v="0"/>
    <n v="0"/>
    <n v="0"/>
  </r>
  <r>
    <s v="A2WKZI3JQCE3Z6"/>
    <s v="english"/>
    <s v="test"/>
    <x v="2"/>
    <x v="0"/>
    <s v="mo-h"/>
    <s v="fa"/>
    <s v="exh"/>
    <n v="1"/>
    <n v="1"/>
    <n v="0"/>
    <n v="0"/>
    <n v="0"/>
    <n v="0"/>
    <n v="1"/>
    <n v="1"/>
    <n v="1"/>
    <n v="0"/>
    <n v="0"/>
    <n v="0"/>
    <n v="0"/>
    <n v="0"/>
  </r>
  <r>
    <s v="A2WKZI3JQCE3Z6"/>
    <s v="english"/>
    <s v="test"/>
    <x v="4"/>
    <x v="0"/>
    <s v="ms-h"/>
    <s v="exh"/>
    <s v="mo-l"/>
    <n v="1"/>
    <n v="0"/>
    <n v="1"/>
    <n v="1"/>
    <n v="0"/>
    <n v="0"/>
    <n v="1"/>
    <n v="1"/>
    <n v="0"/>
    <n v="1"/>
    <n v="1"/>
    <n v="0"/>
    <n v="0"/>
    <n v="0"/>
  </r>
  <r>
    <s v="A5TI9UQEPLNWI"/>
    <s v="english"/>
    <s v="test"/>
    <x v="1"/>
    <x v="0"/>
    <s v="exh"/>
    <s v="mo-h"/>
    <s v="ms-h"/>
    <n v="1"/>
    <n v="1"/>
    <n v="0"/>
    <n v="1"/>
    <n v="0"/>
    <n v="0"/>
    <n v="1"/>
    <n v="1"/>
    <n v="0"/>
    <n v="0"/>
    <n v="0"/>
    <n v="0"/>
    <n v="0"/>
    <n v="0"/>
  </r>
  <r>
    <s v="A1E1ZAHNCSVLIT"/>
    <s v="english"/>
    <s v="test"/>
    <x v="1"/>
    <x v="0"/>
    <s v="ms-h"/>
    <s v="fa"/>
    <s v="exh"/>
    <n v="1"/>
    <n v="0"/>
    <n v="0"/>
    <n v="1"/>
    <n v="0"/>
    <n v="0"/>
    <n v="1"/>
    <n v="1"/>
    <n v="0"/>
    <n v="0"/>
    <n v="1"/>
    <n v="0"/>
    <n v="0"/>
    <n v="1"/>
  </r>
  <r>
    <s v="A1E1ZAHNCSVLIT"/>
    <s v="english"/>
    <s v="test"/>
    <x v="5"/>
    <x v="0"/>
    <s v="ms-h"/>
    <s v="exh"/>
    <s v="fa"/>
    <n v="1"/>
    <n v="0"/>
    <n v="0"/>
    <n v="1"/>
    <n v="0"/>
    <n v="0"/>
    <n v="1"/>
    <n v="1"/>
    <n v="0"/>
    <n v="0"/>
    <n v="1"/>
    <n v="0"/>
    <n v="0"/>
    <n v="0"/>
  </r>
  <r>
    <s v="A24L4Y8HCZSUIF"/>
    <s v="english"/>
    <s v="test"/>
    <x v="3"/>
    <x v="0"/>
    <s v="ms-l"/>
    <s v="exh"/>
    <s v="mo-h"/>
    <n v="1"/>
    <n v="1"/>
    <n v="0"/>
    <n v="0"/>
    <n v="1"/>
    <n v="0"/>
    <n v="1"/>
    <n v="1"/>
    <n v="1"/>
    <n v="0"/>
    <n v="0"/>
    <n v="1"/>
    <n v="0"/>
    <n v="0"/>
  </r>
  <r>
    <s v="A24L4Y8HCZSUIF"/>
    <s v="english"/>
    <s v="test"/>
    <x v="4"/>
    <x v="0"/>
    <s v="ms-h"/>
    <s v="mo-l"/>
    <s v="exh"/>
    <n v="1"/>
    <n v="0"/>
    <n v="1"/>
    <n v="1"/>
    <n v="0"/>
    <n v="0"/>
    <n v="1"/>
    <n v="1"/>
    <n v="0"/>
    <n v="1"/>
    <n v="1"/>
    <n v="0"/>
    <n v="0"/>
    <n v="0"/>
  </r>
  <r>
    <s v="A1PAMVTKGCXSWQ"/>
    <s v="english"/>
    <s v="test"/>
    <x v="5"/>
    <x v="0"/>
    <s v="ms-l"/>
    <s v="ms-h"/>
    <s v="exh"/>
    <n v="1"/>
    <n v="0"/>
    <n v="0"/>
    <n v="1"/>
    <n v="1"/>
    <n v="0"/>
    <n v="1"/>
    <n v="1"/>
    <n v="0"/>
    <n v="0"/>
    <n v="0"/>
    <n v="1"/>
    <n v="0"/>
    <n v="0"/>
  </r>
  <r>
    <s v="A269SNLVQZNFE6"/>
    <s v="Romanian"/>
    <s v="test"/>
    <x v="4"/>
    <x v="0"/>
    <s v="mo-l"/>
    <s v="exh"/>
    <s v="mo-h"/>
    <n v="1"/>
    <n v="1"/>
    <n v="1"/>
    <n v="0"/>
    <n v="0"/>
    <n v="0"/>
    <n v="1"/>
    <n v="1"/>
    <n v="0"/>
    <n v="0"/>
    <n v="0"/>
    <n v="0"/>
    <n v="0"/>
    <n v="0"/>
  </r>
  <r>
    <s v="A269SNLVQZNFE6"/>
    <s v="Romanian"/>
    <s v="test"/>
    <x v="5"/>
    <x v="0"/>
    <s v="ms-l"/>
    <s v="exh"/>
    <s v="ms-h"/>
    <n v="1"/>
    <n v="0"/>
    <n v="0"/>
    <n v="1"/>
    <n v="1"/>
    <n v="0"/>
    <n v="1"/>
    <n v="1"/>
    <n v="0"/>
    <n v="0"/>
    <n v="0"/>
    <n v="0"/>
    <n v="0"/>
    <n v="0"/>
  </r>
  <r>
    <s v="A269SNLVQZNFE6"/>
    <s v="Romanian"/>
    <s v="test"/>
    <x v="3"/>
    <x v="0"/>
    <s v="exh"/>
    <s v="mo-l"/>
    <s v="mo-h"/>
    <n v="1"/>
    <n v="1"/>
    <n v="1"/>
    <n v="0"/>
    <n v="0"/>
    <n v="0"/>
    <n v="1"/>
    <n v="1"/>
    <n v="0"/>
    <n v="0"/>
    <n v="0"/>
    <n v="0"/>
    <n v="0"/>
    <n v="0"/>
  </r>
  <r>
    <s v="A3NK47PYLGRNFC"/>
    <s v="english"/>
    <s v="test"/>
    <x v="3"/>
    <x v="0"/>
    <s v="exh"/>
    <s v="ms-h"/>
    <s v="ms-l"/>
    <n v="1"/>
    <n v="0"/>
    <n v="0"/>
    <n v="1"/>
    <n v="1"/>
    <n v="0"/>
    <n v="1"/>
    <n v="1"/>
    <n v="0"/>
    <n v="0"/>
    <n v="1"/>
    <n v="1"/>
    <n v="0"/>
    <n v="0"/>
  </r>
  <r>
    <s v="A3NK47PYLGRNFC"/>
    <s v="english"/>
    <s v="test"/>
    <x v="1"/>
    <x v="0"/>
    <s v="ms-h"/>
    <s v="ms-l"/>
    <s v="exh"/>
    <n v="1"/>
    <n v="0"/>
    <n v="0"/>
    <n v="1"/>
    <n v="1"/>
    <n v="0"/>
    <n v="1"/>
    <n v="1"/>
    <n v="0"/>
    <n v="0"/>
    <n v="1"/>
    <n v="1"/>
    <n v="0"/>
    <n v="0"/>
  </r>
  <r>
    <s v="AVXEDARJC5HLU"/>
    <s v="english"/>
    <s v="test"/>
    <x v="3"/>
    <x v="0"/>
    <s v="ms-l"/>
    <s v="exh"/>
    <s v="mo-l"/>
    <n v="1"/>
    <n v="0"/>
    <n v="1"/>
    <n v="0"/>
    <n v="1"/>
    <n v="0"/>
    <n v="1"/>
    <n v="1"/>
    <n v="0"/>
    <n v="1"/>
    <n v="0"/>
    <n v="1"/>
    <n v="0"/>
    <n v="0"/>
  </r>
  <r>
    <s v="A30K9F91VNW9BL"/>
    <s v="english"/>
    <s v="test"/>
    <x v="1"/>
    <x v="0"/>
    <s v="mo-l"/>
    <s v="exh"/>
    <s v="mo-h"/>
    <n v="1"/>
    <n v="1"/>
    <n v="1"/>
    <n v="0"/>
    <n v="0"/>
    <n v="0"/>
    <n v="1"/>
    <n v="1"/>
    <n v="1"/>
    <n v="1"/>
    <n v="0"/>
    <n v="0"/>
    <n v="0"/>
    <n v="0"/>
  </r>
  <r>
    <s v="A30K9F91VNW9BL"/>
    <s v="english"/>
    <s v="test"/>
    <x v="0"/>
    <x v="0"/>
    <s v="ms-l"/>
    <s v="mo-l"/>
    <s v="exh"/>
    <n v="1"/>
    <n v="0"/>
    <n v="1"/>
    <n v="0"/>
    <n v="1"/>
    <n v="0"/>
    <n v="1"/>
    <n v="1"/>
    <n v="0"/>
    <n v="0"/>
    <n v="0"/>
    <n v="0"/>
    <n v="0"/>
    <n v="0"/>
  </r>
  <r>
    <s v="AWAW665TQQP2F"/>
    <s v="english"/>
    <s v="test"/>
    <x v="4"/>
    <x v="0"/>
    <s v="mo-h"/>
    <s v="ms-l"/>
    <s v="exh"/>
    <n v="1"/>
    <n v="1"/>
    <n v="0"/>
    <n v="0"/>
    <n v="1"/>
    <n v="0"/>
    <n v="1"/>
    <n v="1"/>
    <n v="1"/>
    <n v="0"/>
    <n v="0"/>
    <n v="1"/>
    <n v="0"/>
    <n v="0"/>
  </r>
  <r>
    <s v="ABI1EI8UQK6LK"/>
    <s v="english"/>
    <s v="test"/>
    <x v="5"/>
    <x v="0"/>
    <s v="mo-h"/>
    <s v="mo-l"/>
    <s v="exh"/>
    <n v="1"/>
    <n v="1"/>
    <n v="1"/>
    <n v="0"/>
    <n v="0"/>
    <n v="0"/>
    <n v="1"/>
    <n v="1"/>
    <n v="1"/>
    <n v="1"/>
    <n v="0"/>
    <n v="0"/>
    <n v="0"/>
    <n v="0"/>
  </r>
  <r>
    <s v="AVD6HMIO1HLFI"/>
    <s v="english"/>
    <s v="test"/>
    <x v="5"/>
    <x v="0"/>
    <s v="exh"/>
    <s v="fa"/>
    <s v="ms-h"/>
    <n v="1"/>
    <n v="0"/>
    <n v="0"/>
    <n v="1"/>
    <n v="0"/>
    <n v="0"/>
    <n v="1"/>
    <n v="1"/>
    <n v="0"/>
    <n v="0"/>
    <n v="1"/>
    <n v="0"/>
    <n v="0"/>
    <n v="0"/>
  </r>
  <r>
    <s v="AVD6HMIO1HLFI"/>
    <s v="english"/>
    <s v="test"/>
    <x v="4"/>
    <x v="0"/>
    <s v="ms-l"/>
    <s v="mo-l"/>
    <s v="exh"/>
    <n v="1"/>
    <n v="0"/>
    <n v="1"/>
    <n v="0"/>
    <n v="1"/>
    <n v="0"/>
    <n v="1"/>
    <n v="1"/>
    <n v="0"/>
    <n v="1"/>
    <n v="0"/>
    <n v="1"/>
    <n v="0"/>
    <n v="0"/>
  </r>
  <r>
    <s v="A1JQ3GAFW1XZYZ"/>
    <s v="english"/>
    <s v="test"/>
    <x v="2"/>
    <x v="1"/>
    <s v="ms-h"/>
    <s v="exh"/>
    <s v="ms-l"/>
    <n v="1"/>
    <n v="0"/>
    <n v="0"/>
    <n v="1"/>
    <n v="1"/>
    <n v="0"/>
    <n v="1"/>
    <n v="1"/>
    <n v="0"/>
    <n v="0"/>
    <n v="0"/>
    <n v="0"/>
    <n v="0"/>
    <n v="0"/>
  </r>
  <r>
    <s v="A1WKF2VH7TV0H2"/>
    <s v="english"/>
    <s v="test"/>
    <x v="5"/>
    <x v="1"/>
    <s v="ms-l"/>
    <s v="mo-h"/>
    <s v="exh"/>
    <n v="1"/>
    <n v="1"/>
    <n v="0"/>
    <n v="0"/>
    <n v="1"/>
    <n v="0"/>
    <n v="1"/>
    <n v="1"/>
    <n v="1"/>
    <n v="0"/>
    <n v="0"/>
    <n v="1"/>
    <n v="0"/>
    <n v="0"/>
  </r>
  <r>
    <s v="ADUACF4TW5833"/>
    <s v="english"/>
    <s v="test"/>
    <x v="0"/>
    <x v="1"/>
    <s v="exh"/>
    <s v="mo-h"/>
    <s v="ms-h"/>
    <n v="1"/>
    <n v="1"/>
    <n v="0"/>
    <n v="1"/>
    <n v="0"/>
    <n v="0"/>
    <n v="1"/>
    <n v="1"/>
    <n v="0"/>
    <n v="0"/>
    <n v="0"/>
    <n v="0"/>
    <n v="0"/>
    <n v="0"/>
  </r>
  <r>
    <s v="ABZ1LM3J8REE6"/>
    <s v="english"/>
    <s v="test"/>
    <x v="3"/>
    <x v="1"/>
    <s v="mo-l"/>
    <s v="ms-h"/>
    <s v="exh"/>
    <n v="1"/>
    <n v="0"/>
    <n v="1"/>
    <n v="1"/>
    <n v="0"/>
    <n v="0"/>
    <n v="1"/>
    <n v="1"/>
    <n v="0"/>
    <n v="1"/>
    <n v="1"/>
    <n v="0"/>
    <n v="0"/>
    <n v="0"/>
  </r>
  <r>
    <s v="ABZ1LM3J8REE6"/>
    <s v="english"/>
    <s v="test"/>
    <x v="2"/>
    <x v="1"/>
    <s v="fa"/>
    <s v="exh"/>
    <s v="ms-l"/>
    <n v="1"/>
    <n v="0"/>
    <n v="0"/>
    <n v="0"/>
    <n v="1"/>
    <n v="0"/>
    <n v="1"/>
    <n v="1"/>
    <n v="0"/>
    <n v="0"/>
    <n v="0"/>
    <n v="1"/>
    <n v="0"/>
    <n v="0"/>
  </r>
  <r>
    <s v="A1WL6K3EUA2WOX"/>
    <s v="english"/>
    <s v="test"/>
    <x v="1"/>
    <x v="1"/>
    <s v="mo-l"/>
    <s v="ms-l"/>
    <s v="exh"/>
    <n v="1"/>
    <n v="0"/>
    <n v="1"/>
    <n v="0"/>
    <n v="1"/>
    <n v="0"/>
    <n v="1"/>
    <n v="1"/>
    <n v="0"/>
    <n v="1"/>
    <n v="0"/>
    <n v="1"/>
    <n v="0"/>
    <n v="0"/>
  </r>
  <r>
    <s v="A1WL6K3EUA2WOX"/>
    <s v="english"/>
    <s v="test"/>
    <x v="2"/>
    <x v="1"/>
    <s v="exh"/>
    <s v="mo-l"/>
    <s v="ms-l"/>
    <n v="1"/>
    <n v="0"/>
    <n v="1"/>
    <n v="0"/>
    <n v="1"/>
    <n v="0"/>
    <n v="1"/>
    <n v="1"/>
    <n v="0"/>
    <n v="1"/>
    <n v="0"/>
    <n v="1"/>
    <n v="0"/>
    <n v="0"/>
  </r>
  <r>
    <s v="A1WL6K3EUA2WOX"/>
    <s v="english"/>
    <s v="test"/>
    <x v="5"/>
    <x v="1"/>
    <s v="mo-h"/>
    <s v="exh"/>
    <s v="ms-h"/>
    <n v="1"/>
    <n v="1"/>
    <n v="0"/>
    <n v="1"/>
    <n v="0"/>
    <n v="0"/>
    <n v="1"/>
    <n v="1"/>
    <n v="1"/>
    <n v="0"/>
    <n v="1"/>
    <n v="0"/>
    <n v="0"/>
    <n v="0"/>
  </r>
  <r>
    <s v="A1C7XI68SED8JE"/>
    <s v="english"/>
    <s v="test"/>
    <x v="1"/>
    <x v="1"/>
    <s v="exh"/>
    <s v="ms-h"/>
    <s v="mo-l"/>
    <n v="1"/>
    <n v="0"/>
    <n v="1"/>
    <n v="1"/>
    <n v="0"/>
    <n v="0"/>
    <n v="1"/>
    <n v="1"/>
    <n v="0"/>
    <n v="1"/>
    <n v="1"/>
    <n v="0"/>
    <n v="0"/>
    <n v="0"/>
  </r>
  <r>
    <s v="A1C7XI68SED8JE"/>
    <s v="english"/>
    <s v="test"/>
    <x v="4"/>
    <x v="1"/>
    <s v="mo-l"/>
    <s v="exh"/>
    <s v="mo-h"/>
    <n v="1"/>
    <n v="1"/>
    <n v="1"/>
    <n v="0"/>
    <n v="0"/>
    <n v="0"/>
    <n v="1"/>
    <n v="1"/>
    <n v="1"/>
    <n v="1"/>
    <n v="0"/>
    <n v="0"/>
    <n v="0"/>
    <n v="0"/>
  </r>
  <r>
    <s v="A1C7XI68SED8JE"/>
    <s v="english"/>
    <s v="test"/>
    <x v="0"/>
    <x v="1"/>
    <s v="ms-h"/>
    <s v="exh"/>
    <s v="ms-l"/>
    <n v="1"/>
    <n v="0"/>
    <n v="0"/>
    <n v="1"/>
    <n v="1"/>
    <n v="0"/>
    <n v="1"/>
    <n v="1"/>
    <n v="0"/>
    <n v="0"/>
    <n v="1"/>
    <n v="1"/>
    <n v="0"/>
    <n v="0"/>
  </r>
  <r>
    <s v="A1C7XI68SED8JE"/>
    <s v="english"/>
    <s v="test"/>
    <x v="3"/>
    <x v="1"/>
    <s v="ms-l"/>
    <s v="ms-h"/>
    <s v="exh"/>
    <n v="1"/>
    <n v="0"/>
    <n v="0"/>
    <n v="1"/>
    <n v="1"/>
    <n v="0"/>
    <n v="1"/>
    <n v="1"/>
    <n v="0"/>
    <n v="0"/>
    <n v="1"/>
    <n v="1"/>
    <n v="0"/>
    <n v="0"/>
  </r>
  <r>
    <s v="A15340BRCER2UO"/>
    <s v="english"/>
    <s v="test"/>
    <x v="4"/>
    <x v="1"/>
    <s v="exh"/>
    <s v="mo-l"/>
    <s v="fa"/>
    <n v="1"/>
    <n v="0"/>
    <n v="1"/>
    <n v="0"/>
    <n v="0"/>
    <n v="0"/>
    <n v="1"/>
    <n v="1"/>
    <n v="0"/>
    <n v="0"/>
    <n v="0"/>
    <n v="0"/>
    <n v="0"/>
    <n v="0"/>
  </r>
  <r>
    <s v="AL5UXD1GLG4X0"/>
    <s v="english"/>
    <s v="test"/>
    <x v="3"/>
    <x v="1"/>
    <s v="mo-l"/>
    <s v="exh"/>
    <s v="fa"/>
    <n v="1"/>
    <n v="0"/>
    <n v="1"/>
    <n v="0"/>
    <n v="0"/>
    <n v="0"/>
    <n v="1"/>
    <n v="1"/>
    <n v="0"/>
    <n v="0"/>
    <n v="0"/>
    <n v="0"/>
    <n v="0"/>
    <n v="0"/>
  </r>
  <r>
    <s v="A35BY30TC8WCL4"/>
    <s v="english"/>
    <s v="test"/>
    <x v="2"/>
    <x v="1"/>
    <s v="exh"/>
    <s v="mo-h"/>
    <s v="fa"/>
    <n v="1"/>
    <n v="1"/>
    <n v="0"/>
    <n v="0"/>
    <n v="0"/>
    <n v="0"/>
    <n v="1"/>
    <n v="1"/>
    <n v="1"/>
    <n v="0"/>
    <n v="0"/>
    <n v="0"/>
    <n v="0"/>
    <n v="0"/>
  </r>
  <r>
    <s v="A39PWM9C4U0TEP"/>
    <s v="english"/>
    <s v="test"/>
    <x v="0"/>
    <x v="1"/>
    <s v="exh"/>
    <s v="ms-l"/>
    <s v="mo-h"/>
    <n v="1"/>
    <n v="1"/>
    <n v="0"/>
    <n v="0"/>
    <n v="1"/>
    <n v="0"/>
    <n v="1"/>
    <n v="1"/>
    <n v="1"/>
    <n v="0"/>
    <n v="0"/>
    <n v="1"/>
    <n v="0"/>
    <n v="0"/>
  </r>
  <r>
    <s v="A39PWM9C4U0TEP"/>
    <s v="english"/>
    <s v="test"/>
    <x v="4"/>
    <x v="1"/>
    <s v="mo-h"/>
    <s v="exh"/>
    <s v="ms-l"/>
    <n v="1"/>
    <n v="1"/>
    <n v="0"/>
    <n v="0"/>
    <n v="1"/>
    <n v="0"/>
    <n v="1"/>
    <n v="1"/>
    <n v="1"/>
    <n v="0"/>
    <n v="0"/>
    <n v="1"/>
    <n v="0"/>
    <n v="0"/>
  </r>
  <r>
    <s v="A39PWM9C4U0TEP"/>
    <s v="english"/>
    <s v="test"/>
    <x v="3"/>
    <x v="1"/>
    <s v="ms-l"/>
    <s v="ms-h"/>
    <s v="exh"/>
    <n v="1"/>
    <n v="0"/>
    <n v="0"/>
    <n v="1"/>
    <n v="1"/>
    <n v="0"/>
    <n v="1"/>
    <n v="1"/>
    <n v="0"/>
    <n v="0"/>
    <n v="1"/>
    <n v="1"/>
    <n v="0"/>
    <n v="0"/>
  </r>
  <r>
    <s v="A1WLRHL0U23N38"/>
    <s v="english"/>
    <s v="test"/>
    <x v="5"/>
    <x v="1"/>
    <s v="ms-h"/>
    <s v="mo-l"/>
    <s v="exh"/>
    <n v="1"/>
    <n v="0"/>
    <n v="1"/>
    <n v="1"/>
    <n v="0"/>
    <n v="0"/>
    <n v="1"/>
    <n v="1"/>
    <n v="0"/>
    <n v="0"/>
    <n v="0"/>
    <n v="0"/>
    <n v="0"/>
    <n v="0"/>
  </r>
  <r>
    <s v="A1WLRHL0U23N38"/>
    <s v="english"/>
    <s v="test"/>
    <x v="0"/>
    <x v="1"/>
    <s v="exh"/>
    <s v="ms-l"/>
    <s v="ms-h"/>
    <n v="1"/>
    <n v="0"/>
    <n v="0"/>
    <n v="1"/>
    <n v="1"/>
    <n v="0"/>
    <n v="1"/>
    <n v="1"/>
    <n v="0"/>
    <n v="0"/>
    <n v="0"/>
    <n v="0"/>
    <n v="0"/>
    <n v="0"/>
  </r>
  <r>
    <s v="A1WLRHL0U23N38"/>
    <s v="english"/>
    <s v="test"/>
    <x v="1"/>
    <x v="1"/>
    <s v="mo-h"/>
    <s v="mo-l"/>
    <s v="exh"/>
    <n v="1"/>
    <n v="1"/>
    <n v="1"/>
    <n v="0"/>
    <n v="0"/>
    <n v="0"/>
    <n v="1"/>
    <n v="1"/>
    <n v="0"/>
    <n v="0"/>
    <n v="0"/>
    <n v="0"/>
    <n v="0"/>
    <n v="0"/>
  </r>
  <r>
    <s v="A173XG3NZ7JPT7"/>
    <s v="english"/>
    <s v="test"/>
    <x v="0"/>
    <x v="1"/>
    <s v="ms-l"/>
    <s v="exh"/>
    <s v="mo-h"/>
    <n v="1"/>
    <n v="1"/>
    <n v="0"/>
    <n v="0"/>
    <n v="1"/>
    <n v="0"/>
    <n v="1"/>
    <n v="1"/>
    <n v="1"/>
    <n v="0"/>
    <n v="0"/>
    <n v="1"/>
    <n v="0"/>
    <n v="0"/>
  </r>
  <r>
    <s v="A173XG3NZ7JPT7"/>
    <s v="english"/>
    <s v="test"/>
    <x v="5"/>
    <x v="1"/>
    <s v="mo-l"/>
    <s v="exh"/>
    <s v="ms-h"/>
    <n v="1"/>
    <n v="0"/>
    <n v="1"/>
    <n v="1"/>
    <n v="0"/>
    <n v="0"/>
    <n v="1"/>
    <n v="1"/>
    <n v="0"/>
    <n v="1"/>
    <n v="1"/>
    <n v="0"/>
    <n v="0"/>
    <n v="0"/>
  </r>
  <r>
    <s v="A173XG3NZ7JPT7"/>
    <s v="english"/>
    <s v="test"/>
    <x v="2"/>
    <x v="1"/>
    <s v="exh"/>
    <s v="fa"/>
    <s v="mo-l"/>
    <n v="1"/>
    <n v="0"/>
    <n v="1"/>
    <n v="0"/>
    <n v="0"/>
    <n v="0"/>
    <n v="1"/>
    <n v="1"/>
    <n v="0"/>
    <n v="1"/>
    <n v="0"/>
    <n v="0"/>
    <n v="0"/>
    <n v="0"/>
  </r>
  <r>
    <s v="A173XG3NZ7JPT7"/>
    <s v="english"/>
    <s v="test"/>
    <x v="1"/>
    <x v="1"/>
    <s v="exh"/>
    <s v="ms-h"/>
    <s v="mo-h"/>
    <n v="1"/>
    <n v="1"/>
    <n v="0"/>
    <n v="1"/>
    <n v="0"/>
    <n v="0"/>
    <n v="1"/>
    <n v="1"/>
    <n v="1"/>
    <n v="0"/>
    <n v="1"/>
    <n v="0"/>
    <n v="0"/>
    <n v="0"/>
  </r>
  <r>
    <s v="A2541C8MY0BYV3"/>
    <s v="english"/>
    <s v="test"/>
    <x v="4"/>
    <x v="1"/>
    <s v="ms-l"/>
    <s v="exh"/>
    <s v="mo-h"/>
    <n v="1"/>
    <n v="1"/>
    <n v="0"/>
    <n v="0"/>
    <n v="1"/>
    <n v="0"/>
    <n v="1"/>
    <n v="1"/>
    <n v="1"/>
    <n v="0"/>
    <n v="0"/>
    <n v="0"/>
    <n v="0"/>
    <n v="0"/>
  </r>
  <r>
    <s v="A19D2W1PR68NO"/>
    <s v="english"/>
    <s v="test"/>
    <x v="1"/>
    <x v="1"/>
    <s v="exh"/>
    <s v="mo-h"/>
    <s v="ms-h"/>
    <n v="1"/>
    <n v="1"/>
    <n v="0"/>
    <n v="1"/>
    <n v="0"/>
    <n v="0"/>
    <n v="1"/>
    <n v="1"/>
    <n v="1"/>
    <n v="0"/>
    <n v="1"/>
    <n v="0"/>
    <n v="0"/>
    <n v="0"/>
  </r>
  <r>
    <s v="A19D2W1PR68NO"/>
    <s v="english"/>
    <s v="test"/>
    <x v="3"/>
    <x v="1"/>
    <s v="ms-h"/>
    <s v="mo-h"/>
    <s v="exh"/>
    <n v="1"/>
    <n v="1"/>
    <n v="0"/>
    <n v="1"/>
    <n v="0"/>
    <n v="0"/>
    <n v="1"/>
    <n v="1"/>
    <n v="1"/>
    <n v="0"/>
    <n v="1"/>
    <n v="0"/>
    <n v="0"/>
    <n v="0"/>
  </r>
  <r>
    <s v="A19D2W1PR68NO"/>
    <s v="english"/>
    <s v="test"/>
    <x v="4"/>
    <x v="1"/>
    <s v="exh"/>
    <s v="mo-l"/>
    <s v="mo-h"/>
    <n v="1"/>
    <n v="1"/>
    <n v="1"/>
    <n v="0"/>
    <n v="0"/>
    <n v="0"/>
    <n v="1"/>
    <n v="1"/>
    <n v="1"/>
    <n v="1"/>
    <n v="0"/>
    <n v="0"/>
    <n v="0"/>
    <n v="0"/>
  </r>
  <r>
    <s v="A19D2W1PR68NO"/>
    <s v="english"/>
    <s v="test"/>
    <x v="0"/>
    <x v="1"/>
    <s v="mo-h"/>
    <s v="ms-h"/>
    <s v="exh"/>
    <n v="1"/>
    <n v="1"/>
    <n v="0"/>
    <n v="1"/>
    <n v="0"/>
    <n v="0"/>
    <n v="1"/>
    <n v="1"/>
    <n v="1"/>
    <n v="0"/>
    <n v="1"/>
    <n v="0"/>
    <n v="0"/>
    <n v="0"/>
  </r>
  <r>
    <s v="A03172343NB8PHOPICC1"/>
    <s v="english"/>
    <s v="test"/>
    <x v="2"/>
    <x v="1"/>
    <s v="exh"/>
    <s v="ms-l"/>
    <s v="mo-h"/>
    <n v="1"/>
    <n v="1"/>
    <n v="0"/>
    <n v="0"/>
    <n v="1"/>
    <n v="0"/>
    <n v="1"/>
    <n v="1"/>
    <n v="1"/>
    <n v="0"/>
    <n v="0"/>
    <n v="1"/>
    <n v="0"/>
    <n v="0"/>
  </r>
  <r>
    <s v="A03172343NB8PHOPICC1"/>
    <s v="english"/>
    <s v="test"/>
    <x v="5"/>
    <x v="1"/>
    <s v="exh"/>
    <s v="mo-l"/>
    <s v="ms-l"/>
    <n v="1"/>
    <n v="0"/>
    <n v="1"/>
    <n v="0"/>
    <n v="1"/>
    <n v="0"/>
    <n v="1"/>
    <n v="1"/>
    <n v="0"/>
    <n v="1"/>
    <n v="0"/>
    <n v="1"/>
    <n v="0"/>
    <n v="0"/>
  </r>
  <r>
    <s v="ADOVF9SBJJK33"/>
    <s v="english"/>
    <s v="test"/>
    <x v="1"/>
    <x v="1"/>
    <s v="fa"/>
    <s v="exh"/>
    <s v="ms-h"/>
    <n v="1"/>
    <n v="0"/>
    <n v="0"/>
    <n v="1"/>
    <n v="0"/>
    <n v="0"/>
    <n v="1"/>
    <n v="1"/>
    <n v="0"/>
    <n v="0"/>
    <n v="1"/>
    <n v="0"/>
    <n v="0"/>
    <n v="0"/>
  </r>
  <r>
    <s v="ADOVF9SBJJK33"/>
    <s v="english"/>
    <s v="test"/>
    <x v="0"/>
    <x v="1"/>
    <s v="exh"/>
    <s v="mo-l"/>
    <s v="mo-h"/>
    <n v="1"/>
    <n v="1"/>
    <n v="1"/>
    <n v="0"/>
    <n v="0"/>
    <n v="0"/>
    <n v="1"/>
    <n v="1"/>
    <n v="1"/>
    <n v="0"/>
    <n v="0"/>
    <n v="0"/>
    <n v="0"/>
    <n v="0"/>
  </r>
  <r>
    <s v="A2EW08X2I87RXL"/>
    <s v="english"/>
    <s v="test"/>
    <x v="1"/>
    <x v="1"/>
    <s v="mo-l"/>
    <s v="ms-h"/>
    <s v="exh"/>
    <n v="1"/>
    <n v="0"/>
    <n v="1"/>
    <n v="1"/>
    <n v="0"/>
    <n v="0"/>
    <n v="1"/>
    <n v="1"/>
    <n v="0"/>
    <n v="1"/>
    <n v="1"/>
    <n v="0"/>
    <n v="0"/>
    <n v="0"/>
  </r>
  <r>
    <s v="ALF9AAZGQP4K5"/>
    <s v="english"/>
    <s v="test"/>
    <x v="3"/>
    <x v="1"/>
    <s v="ms-l"/>
    <s v="fa"/>
    <s v="exh"/>
    <n v="1"/>
    <n v="0"/>
    <n v="0"/>
    <n v="0"/>
    <n v="1"/>
    <n v="0"/>
    <n v="1"/>
    <n v="1"/>
    <n v="0"/>
    <n v="0"/>
    <n v="0"/>
    <n v="0"/>
    <n v="0"/>
    <n v="0"/>
  </r>
  <r>
    <s v="A28LPPFS7FW2SD"/>
    <s v="english"/>
    <s v="test"/>
    <x v="3"/>
    <x v="1"/>
    <s v="exh"/>
    <s v="mo-h"/>
    <s v="ms-h"/>
    <n v="1"/>
    <n v="1"/>
    <n v="0"/>
    <n v="1"/>
    <n v="0"/>
    <n v="0"/>
    <n v="1"/>
    <n v="1"/>
    <n v="1"/>
    <n v="0"/>
    <n v="1"/>
    <n v="0"/>
    <n v="0"/>
    <n v="0"/>
  </r>
  <r>
    <s v="A28LPPFS7FW2SD"/>
    <s v="english"/>
    <s v="test"/>
    <x v="2"/>
    <x v="1"/>
    <s v="ms-l"/>
    <s v="exh"/>
    <s v="mo-l"/>
    <n v="1"/>
    <n v="0"/>
    <n v="1"/>
    <n v="0"/>
    <n v="1"/>
    <n v="0"/>
    <n v="1"/>
    <n v="1"/>
    <n v="0"/>
    <n v="0"/>
    <n v="0"/>
    <n v="0"/>
    <n v="0"/>
    <n v="0"/>
  </r>
  <r>
    <s v="A38YLXHJTSE5VD"/>
    <s v="English "/>
    <s v="test"/>
    <x v="0"/>
    <x v="1"/>
    <s v="exh"/>
    <s v="ms-l"/>
    <s v="fa"/>
    <n v="1"/>
    <n v="0"/>
    <n v="0"/>
    <n v="0"/>
    <n v="1"/>
    <n v="0"/>
    <n v="1"/>
    <n v="1"/>
    <n v="0"/>
    <n v="0"/>
    <n v="0"/>
    <n v="1"/>
    <n v="0"/>
    <n v="0"/>
  </r>
  <r>
    <s v="AZCGSVDT79E6X"/>
    <s v="english"/>
    <s v="test"/>
    <x v="1"/>
    <x v="1"/>
    <s v="ms-l"/>
    <s v="exh"/>
    <s v="mo-l"/>
    <n v="1"/>
    <n v="0"/>
    <n v="1"/>
    <n v="0"/>
    <n v="1"/>
    <n v="0"/>
    <n v="1"/>
    <n v="1"/>
    <n v="0"/>
    <n v="0"/>
    <n v="0"/>
    <n v="0"/>
    <n v="0"/>
    <n v="0"/>
  </r>
  <r>
    <s v="AZCGSVDT79E6X"/>
    <s v="english"/>
    <s v="test"/>
    <x v="0"/>
    <x v="1"/>
    <s v="exh"/>
    <s v="ms-h"/>
    <s v="mo-l"/>
    <n v="1"/>
    <n v="0"/>
    <n v="1"/>
    <n v="1"/>
    <n v="0"/>
    <n v="0"/>
    <n v="1"/>
    <n v="1"/>
    <n v="0"/>
    <n v="1"/>
    <n v="1"/>
    <n v="0"/>
    <n v="0"/>
    <n v="0"/>
  </r>
  <r>
    <s v="A3UN1F1EOHKKE6"/>
    <s v="english"/>
    <s v="test"/>
    <x v="5"/>
    <x v="1"/>
    <s v="exh"/>
    <s v="fa"/>
    <s v="mo-l"/>
    <n v="1"/>
    <n v="0"/>
    <n v="1"/>
    <n v="0"/>
    <n v="0"/>
    <n v="0"/>
    <n v="1"/>
    <n v="1"/>
    <n v="0"/>
    <n v="1"/>
    <n v="0"/>
    <n v="0"/>
    <n v="0"/>
    <n v="0"/>
  </r>
  <r>
    <s v="A3UN1F1EOHKKE6"/>
    <s v="english"/>
    <s v="test"/>
    <x v="3"/>
    <x v="1"/>
    <s v="fa"/>
    <s v="mo-l"/>
    <s v="exh"/>
    <n v="1"/>
    <n v="0"/>
    <n v="1"/>
    <n v="0"/>
    <n v="0"/>
    <n v="0"/>
    <n v="1"/>
    <n v="1"/>
    <n v="0"/>
    <n v="0"/>
    <n v="0"/>
    <n v="0"/>
    <n v="0"/>
    <n v="0"/>
  </r>
  <r>
    <s v="A1XATJA7ENOGWB"/>
    <s v="english"/>
    <s v="test"/>
    <x v="0"/>
    <x v="1"/>
    <s v="exh"/>
    <s v="ms-h"/>
    <s v="mo-l"/>
    <n v="1"/>
    <n v="0"/>
    <n v="1"/>
    <n v="1"/>
    <n v="0"/>
    <n v="0"/>
    <n v="1"/>
    <n v="1"/>
    <n v="0"/>
    <n v="1"/>
    <n v="1"/>
    <n v="0"/>
    <n v="0"/>
    <n v="0"/>
  </r>
  <r>
    <s v="A1XATJA7ENOGWB"/>
    <s v="english"/>
    <s v="test"/>
    <x v="5"/>
    <x v="1"/>
    <s v="ms-h"/>
    <s v="exh"/>
    <s v="mo-h"/>
    <n v="1"/>
    <n v="1"/>
    <n v="0"/>
    <n v="1"/>
    <n v="0"/>
    <n v="0"/>
    <n v="1"/>
    <n v="1"/>
    <n v="1"/>
    <n v="0"/>
    <n v="1"/>
    <n v="0"/>
    <n v="0"/>
    <n v="0"/>
  </r>
  <r>
    <s v="A1XATJA7ENOGWB"/>
    <s v="english"/>
    <s v="test"/>
    <x v="2"/>
    <x v="1"/>
    <s v="ms-l"/>
    <s v="exh"/>
    <s v="ms-h"/>
    <n v="1"/>
    <n v="0"/>
    <n v="0"/>
    <n v="1"/>
    <n v="1"/>
    <n v="0"/>
    <n v="1"/>
    <n v="1"/>
    <n v="0"/>
    <n v="0"/>
    <n v="1"/>
    <n v="1"/>
    <n v="0"/>
    <n v="0"/>
  </r>
  <r>
    <s v="A2W5Q0IVJUS7Y6"/>
    <s v="english"/>
    <s v="test"/>
    <x v="0"/>
    <x v="1"/>
    <s v="exh"/>
    <s v="mo-h"/>
    <s v="ms-h"/>
    <n v="1"/>
    <n v="1"/>
    <n v="0"/>
    <n v="1"/>
    <n v="0"/>
    <n v="0"/>
    <n v="1"/>
    <n v="1"/>
    <n v="1"/>
    <n v="0"/>
    <n v="1"/>
    <n v="0"/>
    <n v="0"/>
    <n v="0"/>
  </r>
  <r>
    <s v="A39BSJLRE2AQD4"/>
    <s v="english"/>
    <s v="test"/>
    <x v="4"/>
    <x v="1"/>
    <s v="ms-l"/>
    <s v="exh"/>
    <s v="mo-l"/>
    <n v="1"/>
    <n v="0"/>
    <n v="1"/>
    <n v="0"/>
    <n v="1"/>
    <n v="0"/>
    <n v="1"/>
    <n v="1"/>
    <n v="0"/>
    <n v="0"/>
    <n v="0"/>
    <n v="0"/>
    <n v="0"/>
    <n v="0"/>
  </r>
  <r>
    <s v="A264G2H7KNNP3C"/>
    <s v="english"/>
    <s v="test"/>
    <x v="1"/>
    <x v="1"/>
    <s v="fa"/>
    <s v="mo-h"/>
    <s v="exh"/>
    <n v="1"/>
    <n v="1"/>
    <n v="0"/>
    <n v="0"/>
    <n v="0"/>
    <n v="0"/>
    <n v="1"/>
    <n v="1"/>
    <n v="1"/>
    <n v="0"/>
    <n v="0"/>
    <n v="0"/>
    <n v="0"/>
    <n v="0"/>
  </r>
  <r>
    <s v="A12569NJ7KY1KX"/>
    <s v="english"/>
    <s v="test"/>
    <x v="1"/>
    <x v="1"/>
    <s v="mo-h"/>
    <s v="exh"/>
    <s v="ms-l"/>
    <n v="1"/>
    <n v="1"/>
    <n v="0"/>
    <n v="0"/>
    <n v="1"/>
    <n v="0"/>
    <n v="1"/>
    <n v="1"/>
    <n v="0"/>
    <n v="0"/>
    <n v="0"/>
    <n v="0"/>
    <n v="0"/>
    <n v="0"/>
  </r>
  <r>
    <s v="A2W046PDRTCZW7"/>
    <s v="english"/>
    <s v="test"/>
    <x v="4"/>
    <x v="1"/>
    <s v="ms-h"/>
    <s v="exh"/>
    <s v="mo-l"/>
    <n v="1"/>
    <n v="0"/>
    <n v="1"/>
    <n v="1"/>
    <n v="0"/>
    <n v="0"/>
    <n v="1"/>
    <n v="1"/>
    <n v="0"/>
    <n v="0"/>
    <n v="0"/>
    <n v="0"/>
    <n v="0"/>
    <n v="0"/>
  </r>
  <r>
    <s v="A2W046PDRTCZW7"/>
    <s v="english"/>
    <s v="test"/>
    <x v="1"/>
    <x v="1"/>
    <s v="ms-h"/>
    <s v="exh"/>
    <s v="mo-l"/>
    <n v="1"/>
    <n v="0"/>
    <n v="1"/>
    <n v="1"/>
    <n v="0"/>
    <n v="0"/>
    <n v="1"/>
    <n v="1"/>
    <n v="0"/>
    <n v="0"/>
    <n v="0"/>
    <n v="0"/>
    <n v="0"/>
    <n v="0"/>
  </r>
  <r>
    <s v="A2W046PDRTCZW7"/>
    <s v="english"/>
    <s v="test"/>
    <x v="2"/>
    <x v="1"/>
    <s v="ms-h"/>
    <s v="mo-l"/>
    <s v="exh"/>
    <n v="1"/>
    <n v="0"/>
    <n v="1"/>
    <n v="1"/>
    <n v="0"/>
    <n v="0"/>
    <n v="1"/>
    <n v="1"/>
    <n v="0"/>
    <n v="0"/>
    <n v="0"/>
    <n v="0"/>
    <n v="0"/>
    <n v="0"/>
  </r>
  <r>
    <s v="A2SZRPGIEYRCG6"/>
    <s v="english"/>
    <s v="test"/>
    <x v="4"/>
    <x v="1"/>
    <s v="mo-l"/>
    <s v="exh"/>
    <s v="mo-h"/>
    <n v="1"/>
    <n v="1"/>
    <n v="1"/>
    <n v="0"/>
    <n v="0"/>
    <n v="0"/>
    <n v="1"/>
    <n v="1"/>
    <n v="0"/>
    <n v="0"/>
    <n v="0"/>
    <n v="0"/>
    <n v="0"/>
    <n v="0"/>
  </r>
  <r>
    <s v="A2SZRPGIEYRCG6"/>
    <s v="english"/>
    <s v="test"/>
    <x v="0"/>
    <x v="1"/>
    <s v="exh"/>
    <s v="mo-l"/>
    <s v="ms-h"/>
    <n v="1"/>
    <n v="0"/>
    <n v="1"/>
    <n v="1"/>
    <n v="0"/>
    <n v="0"/>
    <n v="1"/>
    <n v="1"/>
    <n v="0"/>
    <n v="1"/>
    <n v="1"/>
    <n v="0"/>
    <n v="0"/>
    <n v="0"/>
  </r>
  <r>
    <s v="A2SZRPGIEYRCG6"/>
    <s v="english"/>
    <s v="test"/>
    <x v="3"/>
    <x v="1"/>
    <s v="mo-h"/>
    <s v="exh"/>
    <s v="ms-h"/>
    <n v="1"/>
    <n v="1"/>
    <n v="0"/>
    <n v="1"/>
    <n v="0"/>
    <n v="0"/>
    <n v="1"/>
    <n v="1"/>
    <n v="1"/>
    <n v="0"/>
    <n v="1"/>
    <n v="0"/>
    <n v="0"/>
    <n v="0"/>
  </r>
  <r>
    <s v="A2LV5432PV1S39"/>
    <s v="english"/>
    <s v="test"/>
    <x v="0"/>
    <x v="1"/>
    <s v="mo-h"/>
    <s v="ms-l"/>
    <s v="exh"/>
    <n v="1"/>
    <n v="1"/>
    <n v="0"/>
    <n v="0"/>
    <n v="1"/>
    <n v="0"/>
    <n v="1"/>
    <n v="1"/>
    <n v="1"/>
    <n v="0"/>
    <n v="0"/>
    <n v="1"/>
    <n v="0"/>
    <n v="0"/>
  </r>
  <r>
    <s v="A1BZNPQ0H7ZSER"/>
    <s v="english"/>
    <s v="test"/>
    <x v="1"/>
    <x v="1"/>
    <s v="mo-h"/>
    <s v="exh"/>
    <s v="ms-h"/>
    <n v="1"/>
    <n v="1"/>
    <n v="0"/>
    <n v="1"/>
    <n v="0"/>
    <n v="0"/>
    <n v="1"/>
    <n v="1"/>
    <n v="1"/>
    <n v="0"/>
    <n v="1"/>
    <n v="0"/>
    <n v="0"/>
    <n v="0"/>
  </r>
  <r>
    <s v="A1BZNPQ0H7ZSER"/>
    <s v="english"/>
    <s v="test"/>
    <x v="2"/>
    <x v="1"/>
    <s v="mo-l"/>
    <s v="ms-h"/>
    <s v="exh"/>
    <n v="1"/>
    <n v="0"/>
    <n v="1"/>
    <n v="1"/>
    <n v="0"/>
    <n v="0"/>
    <n v="1"/>
    <n v="1"/>
    <n v="0"/>
    <n v="1"/>
    <n v="1"/>
    <n v="0"/>
    <n v="0"/>
    <n v="0"/>
  </r>
  <r>
    <s v="A1BZNPQ0H7ZSER"/>
    <s v="english"/>
    <s v="test"/>
    <x v="4"/>
    <x v="1"/>
    <s v="mo-h"/>
    <s v="exh"/>
    <s v="mo-l"/>
    <n v="1"/>
    <n v="1"/>
    <n v="1"/>
    <n v="0"/>
    <n v="0"/>
    <n v="0"/>
    <n v="1"/>
    <n v="1"/>
    <n v="1"/>
    <n v="1"/>
    <n v="0"/>
    <n v="0"/>
    <n v="0"/>
    <n v="0"/>
  </r>
  <r>
    <s v="A1BZNPQ0H7ZSER"/>
    <s v="english"/>
    <s v="test"/>
    <x v="3"/>
    <x v="1"/>
    <s v="ms-h"/>
    <s v="exh"/>
    <s v="ms-l"/>
    <n v="1"/>
    <n v="0"/>
    <n v="0"/>
    <n v="1"/>
    <n v="1"/>
    <n v="0"/>
    <n v="1"/>
    <n v="1"/>
    <n v="0"/>
    <n v="0"/>
    <n v="1"/>
    <n v="1"/>
    <n v="0"/>
    <n v="0"/>
  </r>
  <r>
    <s v="AC7Z8O1RETQC4"/>
    <s v="english"/>
    <s v="test"/>
    <x v="0"/>
    <x v="1"/>
    <s v="fa"/>
    <s v="mo-l"/>
    <s v="exh"/>
    <n v="1"/>
    <n v="0"/>
    <n v="1"/>
    <n v="0"/>
    <n v="0"/>
    <n v="0"/>
    <n v="1"/>
    <n v="1"/>
    <n v="0"/>
    <n v="1"/>
    <n v="0"/>
    <n v="0"/>
    <n v="0"/>
    <n v="0"/>
  </r>
  <r>
    <s v="A12IHTKQFQIPD1"/>
    <s v="english"/>
    <s v="test"/>
    <x v="1"/>
    <x v="1"/>
    <s v="ms-h"/>
    <s v="exh"/>
    <s v="mo-l"/>
    <n v="1"/>
    <n v="0"/>
    <n v="1"/>
    <n v="1"/>
    <n v="0"/>
    <n v="0"/>
    <n v="1"/>
    <n v="1"/>
    <n v="0"/>
    <n v="0"/>
    <n v="0"/>
    <n v="0"/>
    <n v="0"/>
    <n v="0"/>
  </r>
  <r>
    <s v="A12IHTKQFQIPD1"/>
    <s v="english"/>
    <s v="test"/>
    <x v="2"/>
    <x v="1"/>
    <s v="mo-h"/>
    <s v="exh"/>
    <s v="mo-l"/>
    <n v="1"/>
    <n v="1"/>
    <n v="1"/>
    <n v="0"/>
    <n v="0"/>
    <n v="0"/>
    <n v="1"/>
    <n v="1"/>
    <n v="0"/>
    <n v="0"/>
    <n v="0"/>
    <n v="0"/>
    <n v="0"/>
    <n v="0"/>
  </r>
  <r>
    <s v="A12IHTKQFQIPD1"/>
    <s v="english"/>
    <s v="test"/>
    <x v="3"/>
    <x v="1"/>
    <s v="exh"/>
    <s v="ms-h"/>
    <s v="ms-l"/>
    <n v="1"/>
    <n v="0"/>
    <n v="0"/>
    <n v="1"/>
    <n v="1"/>
    <n v="0"/>
    <n v="1"/>
    <n v="1"/>
    <n v="0"/>
    <n v="0"/>
    <n v="0"/>
    <n v="0"/>
    <n v="0"/>
    <n v="0"/>
  </r>
  <r>
    <s v="A2KPTC4K228GM3"/>
    <s v="english"/>
    <s v="test"/>
    <x v="1"/>
    <x v="1"/>
    <s v="exh"/>
    <s v="mo-l"/>
    <s v="ms-h"/>
    <n v="1"/>
    <n v="0"/>
    <n v="1"/>
    <n v="1"/>
    <n v="0"/>
    <n v="0"/>
    <n v="1"/>
    <n v="1"/>
    <n v="0"/>
    <n v="1"/>
    <n v="1"/>
    <n v="0"/>
    <n v="0"/>
    <n v="0"/>
  </r>
  <r>
    <s v="A2KPTC4K228GM3"/>
    <s v="english"/>
    <s v="test"/>
    <x v="2"/>
    <x v="1"/>
    <s v="mo-l"/>
    <s v="fa"/>
    <s v="exh"/>
    <n v="1"/>
    <n v="0"/>
    <n v="1"/>
    <n v="0"/>
    <n v="0"/>
    <n v="0"/>
    <n v="1"/>
    <n v="1"/>
    <n v="0"/>
    <n v="1"/>
    <n v="0"/>
    <n v="0"/>
    <n v="0"/>
    <n v="0"/>
  </r>
  <r>
    <s v="A38JCBX2DD2ILP"/>
    <s v="english"/>
    <s v="test"/>
    <x v="5"/>
    <x v="1"/>
    <s v="ms-l"/>
    <s v="mo-h"/>
    <s v="exh"/>
    <n v="1"/>
    <n v="1"/>
    <n v="0"/>
    <n v="0"/>
    <n v="1"/>
    <n v="0"/>
    <n v="1"/>
    <n v="1"/>
    <n v="1"/>
    <n v="0"/>
    <n v="0"/>
    <n v="0"/>
    <n v="0"/>
    <n v="0"/>
  </r>
  <r>
    <s v="A38JCBX2DD2ILP"/>
    <s v="english"/>
    <s v="test"/>
    <x v="0"/>
    <x v="1"/>
    <s v="ms-l"/>
    <s v="exh"/>
    <s v="ms-h"/>
    <n v="1"/>
    <n v="0"/>
    <n v="0"/>
    <n v="1"/>
    <n v="1"/>
    <n v="0"/>
    <n v="1"/>
    <n v="1"/>
    <n v="0"/>
    <n v="0"/>
    <n v="1"/>
    <n v="1"/>
    <n v="0"/>
    <n v="0"/>
  </r>
  <r>
    <s v="A1SHLWKA0UH1IS"/>
    <s v="english"/>
    <s v="test"/>
    <x v="1"/>
    <x v="1"/>
    <s v="fa"/>
    <s v="mo-l"/>
    <s v="exh"/>
    <n v="1"/>
    <n v="0"/>
    <n v="1"/>
    <n v="0"/>
    <n v="0"/>
    <n v="0"/>
    <n v="1"/>
    <n v="1"/>
    <n v="0"/>
    <n v="1"/>
    <n v="0"/>
    <n v="0"/>
    <n v="0"/>
    <n v="0"/>
  </r>
  <r>
    <s v="A23OS0HQ12VVOR"/>
    <s v="english"/>
    <s v="test"/>
    <x v="1"/>
    <x v="1"/>
    <s v="fa"/>
    <s v="exh"/>
    <s v="ms-l"/>
    <n v="1"/>
    <n v="0"/>
    <n v="0"/>
    <n v="0"/>
    <n v="1"/>
    <n v="0"/>
    <n v="1"/>
    <n v="1"/>
    <n v="0"/>
    <n v="0"/>
    <n v="0"/>
    <n v="0"/>
    <n v="0"/>
    <n v="0"/>
  </r>
  <r>
    <s v="A2JIY3NSLQJWAE"/>
    <s v="english"/>
    <s v="test"/>
    <x v="0"/>
    <x v="1"/>
    <s v="mo-l"/>
    <s v="exh"/>
    <s v="mo-h"/>
    <n v="1"/>
    <n v="1"/>
    <n v="1"/>
    <n v="0"/>
    <n v="0"/>
    <n v="0"/>
    <n v="1"/>
    <n v="1"/>
    <n v="1"/>
    <n v="0"/>
    <n v="0"/>
    <n v="0"/>
    <n v="0"/>
    <n v="0"/>
  </r>
  <r>
    <s v="A2JIY3NSLQJWAE"/>
    <s v="english"/>
    <s v="test"/>
    <x v="4"/>
    <x v="1"/>
    <s v="fa"/>
    <s v="exh"/>
    <s v="mo-h"/>
    <n v="1"/>
    <n v="1"/>
    <n v="0"/>
    <n v="0"/>
    <n v="0"/>
    <n v="0"/>
    <n v="1"/>
    <n v="1"/>
    <n v="0"/>
    <n v="0"/>
    <n v="0"/>
    <n v="0"/>
    <n v="0"/>
    <n v="0"/>
  </r>
  <r>
    <s v="A2JIY3NSLQJWAE"/>
    <s v="english"/>
    <s v="test"/>
    <x v="3"/>
    <x v="1"/>
    <s v="ms-h"/>
    <s v="exh"/>
    <s v="mo-h"/>
    <n v="1"/>
    <n v="1"/>
    <n v="0"/>
    <n v="1"/>
    <n v="0"/>
    <n v="0"/>
    <n v="1"/>
    <n v="1"/>
    <n v="1"/>
    <n v="0"/>
    <n v="0"/>
    <n v="0"/>
    <n v="0"/>
    <n v="0"/>
  </r>
  <r>
    <s v="AZXTZQBZ1F4UV"/>
    <s v="english"/>
    <s v="test"/>
    <x v="3"/>
    <x v="1"/>
    <s v="fa"/>
    <s v="exh"/>
    <s v="mo-h"/>
    <n v="1"/>
    <n v="1"/>
    <n v="0"/>
    <n v="0"/>
    <n v="0"/>
    <n v="0"/>
    <n v="1"/>
    <n v="1"/>
    <n v="1"/>
    <n v="0"/>
    <n v="0"/>
    <n v="0"/>
    <n v="0"/>
    <n v="0"/>
  </r>
  <r>
    <s v="AZXTZQBZ1F4UV"/>
    <s v="english"/>
    <s v="test"/>
    <x v="1"/>
    <x v="1"/>
    <s v="exh"/>
    <s v="mo-l"/>
    <s v="ms-l"/>
    <n v="1"/>
    <n v="0"/>
    <n v="1"/>
    <n v="0"/>
    <n v="1"/>
    <n v="0"/>
    <n v="1"/>
    <n v="1"/>
    <n v="0"/>
    <n v="1"/>
    <n v="0"/>
    <n v="1"/>
    <n v="0"/>
    <n v="0"/>
  </r>
  <r>
    <s v="AZXTZQBZ1F4UV"/>
    <s v="english"/>
    <s v="test"/>
    <x v="5"/>
    <x v="1"/>
    <s v="ms-h"/>
    <s v="ms-l"/>
    <s v="exh"/>
    <n v="1"/>
    <n v="0"/>
    <n v="0"/>
    <n v="1"/>
    <n v="1"/>
    <n v="0"/>
    <n v="1"/>
    <n v="1"/>
    <n v="0"/>
    <n v="0"/>
    <n v="1"/>
    <n v="1"/>
    <n v="0"/>
    <n v="0"/>
  </r>
  <r>
    <s v="AZXTZQBZ1F4UV"/>
    <s v="english"/>
    <s v="test"/>
    <x v="2"/>
    <x v="1"/>
    <s v="exh"/>
    <s v="mo-h"/>
    <s v="mo-l"/>
    <n v="1"/>
    <n v="1"/>
    <n v="1"/>
    <n v="0"/>
    <n v="0"/>
    <n v="0"/>
    <n v="1"/>
    <n v="1"/>
    <n v="1"/>
    <n v="0"/>
    <n v="0"/>
    <n v="0"/>
    <n v="0"/>
    <n v="0"/>
  </r>
  <r>
    <s v="A2JWHS06PQMJ1"/>
    <s v="english"/>
    <s v="test"/>
    <x v="0"/>
    <x v="1"/>
    <s v="ms-h"/>
    <s v="mo-l"/>
    <s v="exh"/>
    <n v="1"/>
    <n v="0"/>
    <n v="1"/>
    <n v="1"/>
    <n v="0"/>
    <n v="0"/>
    <n v="1"/>
    <n v="1"/>
    <n v="0"/>
    <n v="0"/>
    <n v="0"/>
    <n v="0"/>
    <n v="0"/>
    <n v="0"/>
  </r>
  <r>
    <s v="A2JWHS06PQMJ1"/>
    <s v="english"/>
    <s v="test"/>
    <x v="1"/>
    <x v="1"/>
    <s v="exh"/>
    <s v="ms-l"/>
    <s v="mo-l"/>
    <n v="1"/>
    <n v="0"/>
    <n v="1"/>
    <n v="0"/>
    <n v="1"/>
    <n v="0"/>
    <n v="1"/>
    <n v="1"/>
    <n v="0"/>
    <n v="0"/>
    <n v="0"/>
    <n v="0"/>
    <n v="0"/>
    <n v="0"/>
  </r>
  <r>
    <s v="AD6FEEQSW8PRE"/>
    <s v="english"/>
    <s v="test"/>
    <x v="3"/>
    <x v="1"/>
    <s v="exh"/>
    <s v="ms-h"/>
    <s v="mo-h"/>
    <n v="1"/>
    <n v="1"/>
    <n v="0"/>
    <n v="1"/>
    <n v="0"/>
    <n v="0"/>
    <n v="1"/>
    <n v="1"/>
    <n v="0"/>
    <n v="0"/>
    <n v="0"/>
    <n v="0"/>
    <n v="0"/>
    <n v="0"/>
  </r>
  <r>
    <s v="A2TNTYHHICCA3Z"/>
    <s v="english"/>
    <s v="test"/>
    <x v="4"/>
    <x v="1"/>
    <s v="ms-l"/>
    <s v="mo-l"/>
    <s v="exh"/>
    <n v="1"/>
    <n v="0"/>
    <n v="1"/>
    <n v="0"/>
    <n v="1"/>
    <n v="0"/>
    <n v="1"/>
    <n v="1"/>
    <n v="0"/>
    <n v="1"/>
    <n v="0"/>
    <n v="1"/>
    <n v="0"/>
    <n v="0"/>
  </r>
  <r>
    <s v="A2TNTYHHICCA3Z"/>
    <s v="english"/>
    <s v="test"/>
    <x v="5"/>
    <x v="1"/>
    <s v="ms-h"/>
    <s v="mo-h"/>
    <s v="exh"/>
    <n v="1"/>
    <n v="1"/>
    <n v="0"/>
    <n v="1"/>
    <n v="0"/>
    <n v="0"/>
    <n v="1"/>
    <n v="1"/>
    <n v="1"/>
    <n v="0"/>
    <n v="1"/>
    <n v="0"/>
    <n v="0"/>
    <n v="0"/>
  </r>
  <r>
    <s v="A2TNTYHHICCA3Z"/>
    <s v="english"/>
    <s v="test"/>
    <x v="1"/>
    <x v="1"/>
    <s v="ms-l"/>
    <s v="mo-l"/>
    <s v="exh"/>
    <n v="1"/>
    <n v="0"/>
    <n v="1"/>
    <n v="0"/>
    <n v="1"/>
    <n v="0"/>
    <n v="1"/>
    <n v="1"/>
    <n v="0"/>
    <n v="0"/>
    <n v="0"/>
    <n v="0"/>
    <n v="0"/>
    <n v="0"/>
  </r>
  <r>
    <s v="AT53IAFG8BTZO"/>
    <s v="english"/>
    <s v="test"/>
    <x v="4"/>
    <x v="1"/>
    <s v="ms-l"/>
    <s v="mo-h"/>
    <s v="exh"/>
    <n v="1"/>
    <n v="1"/>
    <n v="0"/>
    <n v="0"/>
    <n v="1"/>
    <n v="0"/>
    <n v="1"/>
    <n v="1"/>
    <n v="1"/>
    <n v="0"/>
    <n v="0"/>
    <n v="0"/>
    <n v="0"/>
    <n v="0"/>
  </r>
  <r>
    <s v="AT53IAFG8BTZO"/>
    <s v="english"/>
    <s v="test"/>
    <x v="2"/>
    <x v="1"/>
    <s v="fa"/>
    <s v="mo-l"/>
    <s v="exh"/>
    <n v="1"/>
    <n v="0"/>
    <n v="1"/>
    <n v="0"/>
    <n v="0"/>
    <n v="0"/>
    <n v="1"/>
    <n v="1"/>
    <n v="0"/>
    <n v="0"/>
    <n v="0"/>
    <n v="0"/>
    <n v="0"/>
    <n v="0"/>
  </r>
  <r>
    <s v="AT53IAFG8BTZO"/>
    <s v="english"/>
    <s v="test"/>
    <x v="3"/>
    <x v="1"/>
    <s v="mo-h"/>
    <s v="exh"/>
    <s v="ms-h"/>
    <n v="1"/>
    <n v="1"/>
    <n v="0"/>
    <n v="1"/>
    <n v="0"/>
    <n v="0"/>
    <n v="1"/>
    <n v="1"/>
    <n v="0"/>
    <n v="0"/>
    <n v="0"/>
    <n v="0"/>
    <n v="0"/>
    <n v="0"/>
  </r>
  <r>
    <s v="ADNSFH55XO2F8"/>
    <s v="english"/>
    <s v="test"/>
    <x v="3"/>
    <x v="1"/>
    <s v="exh"/>
    <s v="mo-l"/>
    <s v="ms-l"/>
    <n v="1"/>
    <n v="0"/>
    <n v="1"/>
    <n v="0"/>
    <n v="1"/>
    <n v="0"/>
    <n v="1"/>
    <n v="1"/>
    <n v="0"/>
    <n v="0"/>
    <n v="0"/>
    <n v="0"/>
    <n v="0"/>
    <n v="0"/>
  </r>
  <r>
    <s v="A3908297ZI3LES"/>
    <s v="english"/>
    <s v="test"/>
    <x v="4"/>
    <x v="1"/>
    <s v="mo-h"/>
    <s v="exh"/>
    <s v="ms-l"/>
    <n v="1"/>
    <n v="1"/>
    <n v="0"/>
    <n v="0"/>
    <n v="1"/>
    <n v="0"/>
    <n v="1"/>
    <n v="1"/>
    <n v="1"/>
    <n v="0"/>
    <n v="0"/>
    <n v="0"/>
    <n v="0"/>
    <n v="0"/>
  </r>
  <r>
    <s v="A3IYDY7TO808Z3"/>
    <s v="english"/>
    <s v="test"/>
    <x v="1"/>
    <x v="1"/>
    <s v="mo-l"/>
    <s v="mo-h"/>
    <s v="exh"/>
    <n v="1"/>
    <n v="1"/>
    <n v="1"/>
    <n v="0"/>
    <n v="0"/>
    <n v="0"/>
    <n v="1"/>
    <n v="1"/>
    <n v="1"/>
    <n v="0"/>
    <n v="0"/>
    <n v="0"/>
    <n v="0"/>
    <n v="0"/>
  </r>
  <r>
    <s v="A3DEG7PE4RFCWB"/>
    <s v="english"/>
    <s v="test"/>
    <x v="2"/>
    <x v="1"/>
    <s v="ms-l"/>
    <s v="exh"/>
    <s v="fa"/>
    <n v="1"/>
    <n v="0"/>
    <n v="0"/>
    <n v="0"/>
    <n v="1"/>
    <n v="0"/>
    <n v="1"/>
    <n v="1"/>
    <n v="0"/>
    <n v="0"/>
    <n v="0"/>
    <n v="0"/>
    <n v="0"/>
    <n v="0"/>
  </r>
  <r>
    <s v="AHZ7C7ETHYX3N"/>
    <s v="english"/>
    <s v="test"/>
    <x v="2"/>
    <x v="1"/>
    <s v="ms-h"/>
    <s v="ms-l"/>
    <s v="exh"/>
    <n v="1"/>
    <n v="0"/>
    <n v="0"/>
    <n v="1"/>
    <n v="1"/>
    <n v="0"/>
    <n v="1"/>
    <n v="1"/>
    <n v="0"/>
    <n v="0"/>
    <n v="1"/>
    <n v="1"/>
    <n v="0"/>
    <n v="0"/>
  </r>
  <r>
    <s v="AHZ7C7ETHYX3N"/>
    <s v="english"/>
    <s v="test"/>
    <x v="0"/>
    <x v="1"/>
    <s v="mo-h"/>
    <s v="exh"/>
    <s v="mo-l"/>
    <n v="1"/>
    <n v="1"/>
    <n v="1"/>
    <n v="0"/>
    <n v="0"/>
    <n v="0"/>
    <n v="1"/>
    <n v="1"/>
    <n v="1"/>
    <n v="1"/>
    <n v="0"/>
    <n v="0"/>
    <n v="0"/>
    <n v="0"/>
  </r>
  <r>
    <s v="A255V2M0CC1G8L"/>
    <s v="english"/>
    <s v="test"/>
    <x v="2"/>
    <x v="1"/>
    <s v="ms-h"/>
    <s v="exh"/>
    <s v="mo-l"/>
    <n v="1"/>
    <n v="0"/>
    <n v="1"/>
    <n v="1"/>
    <n v="0"/>
    <n v="0"/>
    <n v="1"/>
    <n v="1"/>
    <n v="0"/>
    <n v="0"/>
    <n v="0"/>
    <n v="0"/>
    <n v="0"/>
    <n v="0"/>
  </r>
  <r>
    <s v="A3RL02A3JRAUS4"/>
    <s v="english"/>
    <s v="test"/>
    <x v="3"/>
    <x v="1"/>
    <s v="mo-l"/>
    <s v="mo-h"/>
    <s v="exh"/>
    <n v="1"/>
    <n v="1"/>
    <n v="1"/>
    <n v="0"/>
    <n v="0"/>
    <n v="0"/>
    <n v="1"/>
    <n v="1"/>
    <n v="0"/>
    <n v="0"/>
    <n v="0"/>
    <n v="0"/>
    <n v="0"/>
    <n v="0"/>
  </r>
  <r>
    <s v="A13FUEPWBCLBUY"/>
    <s v="english"/>
    <s v="test"/>
    <x v="4"/>
    <x v="1"/>
    <s v="mo-h"/>
    <s v="exh"/>
    <s v="fa"/>
    <n v="1"/>
    <n v="1"/>
    <n v="0"/>
    <n v="0"/>
    <n v="0"/>
    <n v="0"/>
    <n v="1"/>
    <n v="1"/>
    <n v="1"/>
    <n v="0"/>
    <n v="0"/>
    <n v="0"/>
    <n v="0"/>
    <n v="0"/>
  </r>
  <r>
    <s v="A1V2H0UF94ATWY"/>
    <s v="english"/>
    <s v="test"/>
    <x v="3"/>
    <x v="1"/>
    <s v="ms-h"/>
    <s v="exh"/>
    <s v="ms-l"/>
    <n v="1"/>
    <n v="0"/>
    <n v="0"/>
    <n v="1"/>
    <n v="1"/>
    <n v="0"/>
    <n v="1"/>
    <n v="1"/>
    <n v="0"/>
    <n v="0"/>
    <n v="1"/>
    <n v="0"/>
    <n v="0"/>
    <n v="0"/>
  </r>
  <r>
    <s v="A2BZY06YRWGEDL"/>
    <s v="english"/>
    <s v="test"/>
    <x v="5"/>
    <x v="1"/>
    <s v="ms-l"/>
    <s v="mo-h"/>
    <s v="exh"/>
    <n v="1"/>
    <n v="1"/>
    <n v="0"/>
    <n v="0"/>
    <n v="1"/>
    <n v="0"/>
    <n v="1"/>
    <n v="1"/>
    <n v="1"/>
    <n v="0"/>
    <n v="0"/>
    <n v="1"/>
    <n v="0"/>
    <n v="0"/>
  </r>
  <r>
    <s v="A10T7GP0TH27RB"/>
    <s v="english"/>
    <s v="test"/>
    <x v="3"/>
    <x v="1"/>
    <s v="ms-l"/>
    <s v="exh"/>
    <s v="mo-h"/>
    <n v="1"/>
    <n v="1"/>
    <n v="0"/>
    <n v="0"/>
    <n v="1"/>
    <n v="0"/>
    <n v="1"/>
    <n v="1"/>
    <n v="0"/>
    <n v="0"/>
    <n v="0"/>
    <n v="0"/>
    <n v="0"/>
    <n v="0"/>
  </r>
  <r>
    <s v="A36IYIE23IO4HE"/>
    <s v="english"/>
    <s v="test"/>
    <x v="4"/>
    <x v="1"/>
    <s v="mo-h"/>
    <s v="ms-h"/>
    <s v="exh"/>
    <n v="1"/>
    <n v="1"/>
    <n v="0"/>
    <n v="1"/>
    <n v="0"/>
    <n v="0"/>
    <n v="1"/>
    <n v="1"/>
    <n v="1"/>
    <n v="0"/>
    <n v="1"/>
    <n v="0"/>
    <n v="0"/>
    <n v="0"/>
  </r>
  <r>
    <s v="A36IYIE23IO4HE"/>
    <s v="english"/>
    <s v="test"/>
    <x v="2"/>
    <x v="1"/>
    <s v="exh"/>
    <s v="mo-l"/>
    <s v="ms-l"/>
    <n v="1"/>
    <n v="0"/>
    <n v="1"/>
    <n v="0"/>
    <n v="1"/>
    <n v="0"/>
    <n v="1"/>
    <n v="1"/>
    <n v="0"/>
    <n v="0"/>
    <n v="0"/>
    <n v="0"/>
    <n v="0"/>
    <n v="0"/>
  </r>
  <r>
    <s v="AZTHBV93S8U3T"/>
    <s v="english"/>
    <s v="test"/>
    <x v="5"/>
    <x v="1"/>
    <s v="exh"/>
    <s v="mo-l"/>
    <s v="ms-l"/>
    <n v="1"/>
    <n v="0"/>
    <n v="1"/>
    <n v="0"/>
    <n v="1"/>
    <n v="0"/>
    <n v="1"/>
    <n v="1"/>
    <n v="0"/>
    <n v="0"/>
    <n v="0"/>
    <n v="0"/>
    <n v="0"/>
    <n v="0"/>
  </r>
  <r>
    <s v="A35KO5LPASBFI9"/>
    <s v="english"/>
    <s v="test"/>
    <x v="0"/>
    <x v="1"/>
    <s v="mo-l"/>
    <s v="fa"/>
    <s v="exh"/>
    <n v="1"/>
    <n v="0"/>
    <n v="1"/>
    <n v="0"/>
    <n v="0"/>
    <n v="0"/>
    <n v="1"/>
    <n v="1"/>
    <n v="0"/>
    <n v="1"/>
    <n v="0"/>
    <n v="0"/>
    <n v="0"/>
    <n v="0"/>
  </r>
</pivotCacheRecords>
</file>

<file path=xl/pivotCache/pivotCacheRecords6.xml><?xml version="1.0" encoding="utf-8"?>
<pivotCacheRecords xmlns="http://schemas.openxmlformats.org/spreadsheetml/2006/main" xmlns:r="http://schemas.openxmlformats.org/officeDocument/2006/relationships" count="432">
  <r>
    <s v="A2MM10557W7PLD"/>
    <s v="english"/>
    <s v="test"/>
    <x v="0"/>
    <x v="0"/>
    <s v="mo-h"/>
    <s v="mo-l"/>
    <s v="ms-h"/>
    <n v="0"/>
    <n v="1"/>
    <n v="1"/>
    <n v="1"/>
    <n v="0"/>
    <n v="0"/>
    <n v="1"/>
    <n v="0"/>
    <n v="1"/>
    <n v="0"/>
    <n v="0"/>
    <n v="0"/>
    <n v="0"/>
    <n v="0"/>
  </r>
  <r>
    <s v="A3FFZN4FO3Q789"/>
    <s v="english"/>
    <s v="test"/>
    <x v="1"/>
    <x v="0"/>
    <s v="mo-l"/>
    <s v="ms-h"/>
    <s v="mo-h"/>
    <n v="0"/>
    <n v="1"/>
    <n v="1"/>
    <n v="1"/>
    <n v="0"/>
    <n v="0"/>
    <n v="1"/>
    <n v="0"/>
    <n v="1"/>
    <n v="0"/>
    <n v="1"/>
    <n v="0"/>
    <n v="0"/>
    <n v="0"/>
  </r>
  <r>
    <s v="A3FFZN4FO3Q789"/>
    <s v="english"/>
    <s v="test"/>
    <x v="2"/>
    <x v="0"/>
    <s v="fa"/>
    <s v="ms-l"/>
    <s v="mo-h"/>
    <n v="0"/>
    <n v="1"/>
    <n v="0"/>
    <n v="0"/>
    <n v="1"/>
    <n v="0"/>
    <n v="1"/>
    <n v="0"/>
    <n v="1"/>
    <n v="0"/>
    <n v="0"/>
    <n v="0"/>
    <n v="0"/>
    <n v="0"/>
  </r>
  <r>
    <s v="A3FFZN4FO3Q789"/>
    <s v="english"/>
    <s v="test"/>
    <x v="3"/>
    <x v="0"/>
    <s v="ms-h"/>
    <s v="mo-l"/>
    <s v="mo-h"/>
    <n v="0"/>
    <n v="1"/>
    <n v="1"/>
    <n v="1"/>
    <n v="0"/>
    <n v="0"/>
    <n v="1"/>
    <n v="0"/>
    <n v="1"/>
    <n v="0"/>
    <n v="1"/>
    <n v="0"/>
    <n v="0"/>
    <n v="0"/>
  </r>
  <r>
    <s v="ALDWVFR4I0V2D"/>
    <s v="english"/>
    <s v="test"/>
    <x v="4"/>
    <x v="0"/>
    <s v="ms-l"/>
    <s v="mo-h"/>
    <s v="exh"/>
    <n v="1"/>
    <n v="1"/>
    <n v="0"/>
    <n v="0"/>
    <n v="1"/>
    <n v="0"/>
    <n v="1"/>
    <n v="1"/>
    <n v="1"/>
    <n v="0"/>
    <n v="0"/>
    <n v="0"/>
    <n v="0"/>
    <n v="0"/>
  </r>
  <r>
    <s v="ALDWVFR4I0V2D"/>
    <s v="english"/>
    <s v="test"/>
    <x v="0"/>
    <x v="0"/>
    <s v="mo-h"/>
    <s v="fa"/>
    <s v="ms-h"/>
    <n v="0"/>
    <n v="1"/>
    <n v="0"/>
    <n v="1"/>
    <n v="0"/>
    <n v="0"/>
    <n v="1"/>
    <n v="0"/>
    <n v="1"/>
    <n v="0"/>
    <n v="1"/>
    <n v="0"/>
    <n v="0"/>
    <n v="0"/>
  </r>
  <r>
    <s v="ALDWVFR4I0V2D"/>
    <s v="english"/>
    <s v="test"/>
    <x v="3"/>
    <x v="0"/>
    <s v="mo-h"/>
    <s v="ms-h"/>
    <s v="ms-l"/>
    <n v="0"/>
    <n v="1"/>
    <n v="0"/>
    <n v="1"/>
    <n v="1"/>
    <n v="0"/>
    <n v="1"/>
    <n v="0"/>
    <n v="1"/>
    <n v="0"/>
    <n v="0"/>
    <n v="0"/>
    <n v="0"/>
    <n v="0"/>
  </r>
  <r>
    <s v="A3GQR89E66AQJY"/>
    <s v="english"/>
    <s v="test"/>
    <x v="3"/>
    <x v="0"/>
    <s v="ms-h"/>
    <s v="mo-h"/>
    <s v="ms-l"/>
    <n v="0"/>
    <n v="1"/>
    <n v="0"/>
    <n v="1"/>
    <n v="1"/>
    <n v="0"/>
    <n v="1"/>
    <n v="0"/>
    <n v="1"/>
    <n v="0"/>
    <n v="0"/>
    <n v="0"/>
    <n v="0"/>
    <n v="0"/>
  </r>
  <r>
    <s v="A25ZLJK1VMAXXQ"/>
    <s v="english"/>
    <s v="test"/>
    <x v="2"/>
    <x v="0"/>
    <s v="mo-h"/>
    <s v="ms-h"/>
    <s v="exh"/>
    <n v="1"/>
    <n v="1"/>
    <n v="0"/>
    <n v="1"/>
    <n v="0"/>
    <n v="0"/>
    <n v="1"/>
    <n v="0"/>
    <n v="1"/>
    <n v="0"/>
    <n v="0"/>
    <n v="0"/>
    <n v="0"/>
    <n v="0"/>
  </r>
  <r>
    <s v="A2791MEBSOAD1U"/>
    <s v="english"/>
    <s v="test"/>
    <x v="0"/>
    <x v="0"/>
    <s v="mo-h"/>
    <s v="ms-h"/>
    <s v="fa"/>
    <n v="0"/>
    <n v="1"/>
    <n v="0"/>
    <n v="1"/>
    <n v="0"/>
    <n v="0"/>
    <n v="1"/>
    <n v="0"/>
    <n v="1"/>
    <n v="0"/>
    <n v="0"/>
    <n v="0"/>
    <n v="0"/>
    <n v="0"/>
  </r>
  <r>
    <s v="A2791MEBSOAD1U"/>
    <s v="english"/>
    <s v="test"/>
    <x v="1"/>
    <x v="0"/>
    <s v="mo-l"/>
    <s v="ms-l"/>
    <s v="mo-h"/>
    <n v="0"/>
    <n v="1"/>
    <n v="1"/>
    <n v="0"/>
    <n v="1"/>
    <n v="0"/>
    <n v="1"/>
    <n v="0"/>
    <n v="1"/>
    <n v="0"/>
    <n v="0"/>
    <n v="0"/>
    <n v="0"/>
    <n v="0"/>
  </r>
  <r>
    <s v="A34B9FXOCN08RW"/>
    <s v="english"/>
    <s v="test"/>
    <x v="1"/>
    <x v="0"/>
    <s v="ms-l"/>
    <s v="fa"/>
    <s v="mo-h"/>
    <n v="0"/>
    <n v="1"/>
    <n v="0"/>
    <n v="0"/>
    <n v="1"/>
    <n v="0"/>
    <n v="1"/>
    <n v="0"/>
    <n v="1"/>
    <n v="0"/>
    <n v="0"/>
    <n v="1"/>
    <n v="0"/>
    <n v="0"/>
  </r>
  <r>
    <s v="A1YIBSKY9U31X6"/>
    <s v="english"/>
    <s v="test"/>
    <x v="1"/>
    <x v="0"/>
    <s v="mo-l"/>
    <s v="mo-h"/>
    <s v="exh"/>
    <n v="1"/>
    <n v="1"/>
    <n v="1"/>
    <n v="0"/>
    <n v="0"/>
    <n v="0"/>
    <n v="1"/>
    <n v="1"/>
    <n v="1"/>
    <n v="1"/>
    <n v="0"/>
    <n v="0"/>
    <n v="0"/>
    <n v="0"/>
  </r>
  <r>
    <s v="A1YIBSKY9U31X6"/>
    <s v="english"/>
    <s v="test"/>
    <x v="3"/>
    <x v="0"/>
    <s v="mo-h"/>
    <s v="ms-l"/>
    <s v="fa"/>
    <n v="0"/>
    <n v="1"/>
    <n v="0"/>
    <n v="0"/>
    <n v="1"/>
    <n v="0"/>
    <n v="1"/>
    <n v="0"/>
    <n v="1"/>
    <n v="0"/>
    <n v="0"/>
    <n v="0"/>
    <n v="0"/>
    <n v="0"/>
  </r>
  <r>
    <s v="A1YIBSKY9U31X6"/>
    <s v="english"/>
    <s v="test"/>
    <x v="0"/>
    <x v="0"/>
    <s v="mo-l"/>
    <s v="ms-h"/>
    <s v="mo-h"/>
    <n v="0"/>
    <n v="1"/>
    <n v="1"/>
    <n v="1"/>
    <n v="0"/>
    <n v="0"/>
    <n v="1"/>
    <n v="0"/>
    <n v="1"/>
    <n v="0"/>
    <n v="0"/>
    <n v="0"/>
    <n v="0"/>
    <n v="0"/>
  </r>
  <r>
    <s v="AC5UD8N187QD6"/>
    <s v="english"/>
    <s v="test"/>
    <x v="4"/>
    <x v="0"/>
    <s v="mo-h"/>
    <s v="mo-l"/>
    <s v="ms-h"/>
    <n v="0"/>
    <n v="1"/>
    <n v="1"/>
    <n v="1"/>
    <n v="0"/>
    <n v="0"/>
    <n v="1"/>
    <n v="0"/>
    <n v="1"/>
    <n v="0"/>
    <n v="0"/>
    <n v="0"/>
    <n v="0"/>
    <n v="0"/>
  </r>
  <r>
    <s v="A25FNSFSB048DL"/>
    <s v="english"/>
    <s v="test"/>
    <x v="3"/>
    <x v="0"/>
    <s v="mo-h"/>
    <s v="mo-l"/>
    <s v="exh"/>
    <n v="1"/>
    <n v="1"/>
    <n v="1"/>
    <n v="0"/>
    <n v="0"/>
    <n v="0"/>
    <n v="1"/>
    <n v="0"/>
    <n v="1"/>
    <n v="0"/>
    <n v="0"/>
    <n v="0"/>
    <n v="0"/>
    <n v="0"/>
  </r>
  <r>
    <s v="A25FNSFSB048DL"/>
    <s v="english"/>
    <s v="test"/>
    <x v="4"/>
    <x v="0"/>
    <s v="fa"/>
    <s v="mo-h"/>
    <s v="ms-h"/>
    <n v="0"/>
    <n v="1"/>
    <n v="0"/>
    <n v="1"/>
    <n v="0"/>
    <n v="0"/>
    <n v="1"/>
    <n v="0"/>
    <n v="1"/>
    <n v="0"/>
    <n v="0"/>
    <n v="0"/>
    <n v="0"/>
    <n v="0"/>
  </r>
  <r>
    <s v="A25FNSFSB048DL"/>
    <s v="english"/>
    <s v="test"/>
    <x v="5"/>
    <x v="0"/>
    <s v="ms-l"/>
    <s v="exh"/>
    <s v="mo-h"/>
    <n v="1"/>
    <n v="1"/>
    <n v="0"/>
    <n v="0"/>
    <n v="1"/>
    <n v="0"/>
    <n v="1"/>
    <n v="0"/>
    <n v="1"/>
    <n v="0"/>
    <n v="0"/>
    <n v="0"/>
    <n v="0"/>
    <n v="0"/>
  </r>
  <r>
    <s v="A10UWP6T47G9TR"/>
    <s v="english"/>
    <s v="test"/>
    <x v="2"/>
    <x v="0"/>
    <s v="fa"/>
    <s v="exh"/>
    <s v="mo-h"/>
    <n v="1"/>
    <n v="1"/>
    <n v="0"/>
    <n v="0"/>
    <n v="0"/>
    <n v="0"/>
    <n v="1"/>
    <n v="0"/>
    <n v="1"/>
    <n v="0"/>
    <n v="0"/>
    <n v="0"/>
    <n v="0"/>
    <n v="0"/>
  </r>
  <r>
    <s v="A10UWP6T47G9TR"/>
    <s v="english"/>
    <s v="test"/>
    <x v="5"/>
    <x v="0"/>
    <s v="ms-h"/>
    <s v="mo-h"/>
    <s v="mo-l"/>
    <n v="0"/>
    <n v="1"/>
    <n v="1"/>
    <n v="1"/>
    <n v="0"/>
    <n v="0"/>
    <n v="1"/>
    <n v="0"/>
    <n v="1"/>
    <n v="0"/>
    <n v="0"/>
    <n v="0"/>
    <n v="0"/>
    <n v="0"/>
  </r>
  <r>
    <s v="A20SL254675EOK"/>
    <s v="english"/>
    <s v="test"/>
    <x v="2"/>
    <x v="0"/>
    <s v="exh"/>
    <s v="mo-h"/>
    <s v="mo-l"/>
    <n v="1"/>
    <n v="1"/>
    <n v="1"/>
    <n v="0"/>
    <n v="0"/>
    <n v="0"/>
    <n v="1"/>
    <n v="0"/>
    <n v="1"/>
    <n v="0"/>
    <n v="0"/>
    <n v="0"/>
    <n v="0"/>
    <n v="0"/>
  </r>
  <r>
    <s v="A20SL254675EOK"/>
    <s v="english"/>
    <s v="test"/>
    <x v="5"/>
    <x v="0"/>
    <s v="ms-l"/>
    <s v="ms-h"/>
    <s v="mo-h"/>
    <n v="0"/>
    <n v="1"/>
    <n v="0"/>
    <n v="1"/>
    <n v="1"/>
    <n v="0"/>
    <n v="1"/>
    <n v="0"/>
    <n v="1"/>
    <n v="0"/>
    <n v="1"/>
    <n v="1"/>
    <n v="0"/>
    <n v="0"/>
  </r>
  <r>
    <s v="A20SL254675EOK"/>
    <s v="english"/>
    <s v="test"/>
    <x v="1"/>
    <x v="0"/>
    <s v="ms-l"/>
    <s v="fa"/>
    <s v="mo-h"/>
    <n v="0"/>
    <n v="1"/>
    <n v="0"/>
    <n v="0"/>
    <n v="1"/>
    <n v="0"/>
    <n v="1"/>
    <n v="0"/>
    <n v="1"/>
    <n v="0"/>
    <n v="0"/>
    <n v="1"/>
    <n v="0"/>
    <n v="0"/>
  </r>
  <r>
    <s v="A20SL254675EOK"/>
    <s v="english"/>
    <s v="test"/>
    <x v="0"/>
    <x v="0"/>
    <s v="ms-h"/>
    <s v="fa"/>
    <s v="mo-h"/>
    <n v="0"/>
    <n v="1"/>
    <n v="0"/>
    <n v="1"/>
    <n v="0"/>
    <n v="0"/>
    <n v="1"/>
    <n v="0"/>
    <n v="1"/>
    <n v="0"/>
    <n v="1"/>
    <n v="0"/>
    <n v="0"/>
    <n v="0"/>
  </r>
  <r>
    <s v="A20SL254675EOK"/>
    <s v="english"/>
    <s v="test"/>
    <x v="3"/>
    <x v="0"/>
    <s v="mo-h"/>
    <s v="exh"/>
    <s v="ms-l"/>
    <n v="1"/>
    <n v="1"/>
    <n v="0"/>
    <n v="0"/>
    <n v="1"/>
    <n v="0"/>
    <n v="1"/>
    <n v="1"/>
    <n v="1"/>
    <n v="0"/>
    <n v="0"/>
    <n v="1"/>
    <n v="0"/>
    <n v="0"/>
  </r>
  <r>
    <s v="A3QSJY1FFN0N6V"/>
    <s v="english"/>
    <s v="test"/>
    <x v="2"/>
    <x v="0"/>
    <s v="ms-h"/>
    <s v="mo-l"/>
    <s v="mo-h"/>
    <n v="0"/>
    <n v="1"/>
    <n v="1"/>
    <n v="1"/>
    <n v="0"/>
    <n v="0"/>
    <n v="1"/>
    <n v="0"/>
    <n v="1"/>
    <n v="1"/>
    <n v="1"/>
    <n v="0"/>
    <n v="0"/>
    <n v="0"/>
  </r>
  <r>
    <s v="A3QSJY1FFN0N6V"/>
    <s v="english"/>
    <s v="test"/>
    <x v="0"/>
    <x v="0"/>
    <s v="ms-h"/>
    <s v="mo-h"/>
    <s v="mo-l"/>
    <n v="0"/>
    <n v="1"/>
    <n v="1"/>
    <n v="1"/>
    <n v="0"/>
    <n v="0"/>
    <n v="1"/>
    <n v="0"/>
    <n v="1"/>
    <n v="1"/>
    <n v="1"/>
    <n v="0"/>
    <n v="0"/>
    <n v="0"/>
  </r>
  <r>
    <s v="A3QSJY1FFN0N6V"/>
    <s v="english"/>
    <s v="test"/>
    <x v="4"/>
    <x v="0"/>
    <s v="ms-l"/>
    <s v="ms-h"/>
    <s v="mo-h"/>
    <n v="0"/>
    <n v="1"/>
    <n v="0"/>
    <n v="1"/>
    <n v="1"/>
    <n v="0"/>
    <n v="1"/>
    <n v="0"/>
    <n v="1"/>
    <n v="0"/>
    <n v="1"/>
    <n v="1"/>
    <n v="0"/>
    <n v="0"/>
  </r>
  <r>
    <s v="A1UKAS30R0MFI6"/>
    <s v="english"/>
    <s v="test"/>
    <x v="5"/>
    <x v="0"/>
    <s v="fa"/>
    <s v="mo-h"/>
    <s v="ms-h"/>
    <n v="0"/>
    <n v="1"/>
    <n v="0"/>
    <n v="1"/>
    <n v="0"/>
    <n v="0"/>
    <n v="1"/>
    <n v="0"/>
    <n v="1"/>
    <n v="0"/>
    <n v="1"/>
    <n v="0"/>
    <n v="0"/>
    <n v="0"/>
  </r>
  <r>
    <s v="A3A07QA5U733HQ"/>
    <s v="english"/>
    <s v="test"/>
    <x v="4"/>
    <x v="0"/>
    <s v="ms-l"/>
    <s v="mo-h"/>
    <s v="mo-l"/>
    <n v="0"/>
    <n v="1"/>
    <n v="1"/>
    <n v="0"/>
    <n v="1"/>
    <n v="0"/>
    <n v="1"/>
    <n v="0"/>
    <n v="1"/>
    <n v="1"/>
    <n v="0"/>
    <n v="1"/>
    <n v="0"/>
    <n v="0"/>
  </r>
  <r>
    <s v="A3A07QA5U733HQ"/>
    <s v="english"/>
    <s v="test"/>
    <x v="1"/>
    <x v="0"/>
    <s v="ms-l"/>
    <s v="mo-h"/>
    <s v="mo-l"/>
    <n v="0"/>
    <n v="1"/>
    <n v="1"/>
    <n v="0"/>
    <n v="1"/>
    <n v="0"/>
    <n v="1"/>
    <n v="0"/>
    <n v="1"/>
    <n v="1"/>
    <n v="0"/>
    <n v="1"/>
    <n v="0"/>
    <n v="0"/>
  </r>
  <r>
    <s v="A3A07QA5U733HQ"/>
    <s v="english"/>
    <s v="test"/>
    <x v="2"/>
    <x v="0"/>
    <s v="mo-l"/>
    <s v="mo-h"/>
    <s v="fa"/>
    <n v="0"/>
    <n v="1"/>
    <n v="1"/>
    <n v="0"/>
    <n v="0"/>
    <n v="0"/>
    <n v="1"/>
    <n v="0"/>
    <n v="1"/>
    <n v="1"/>
    <n v="0"/>
    <n v="0"/>
    <n v="0"/>
    <n v="0"/>
  </r>
  <r>
    <s v="A3FY7A6Z3EVNRX"/>
    <s v="English "/>
    <s v="test"/>
    <x v="3"/>
    <x v="0"/>
    <s v="ms-l"/>
    <s v="mo-l"/>
    <s v="mo-h"/>
    <n v="0"/>
    <n v="1"/>
    <n v="1"/>
    <n v="0"/>
    <n v="1"/>
    <n v="0"/>
    <n v="1"/>
    <n v="0"/>
    <n v="1"/>
    <n v="0"/>
    <n v="0"/>
    <n v="0"/>
    <n v="0"/>
    <n v="0"/>
  </r>
  <r>
    <s v="A3SL5QRF7MX2P1"/>
    <s v="english"/>
    <s v="test"/>
    <x v="3"/>
    <x v="0"/>
    <s v="ms-h"/>
    <s v="mo-h"/>
    <s v="ms-l"/>
    <n v="0"/>
    <n v="1"/>
    <n v="0"/>
    <n v="1"/>
    <n v="1"/>
    <n v="0"/>
    <n v="1"/>
    <n v="0"/>
    <n v="1"/>
    <n v="0"/>
    <n v="1"/>
    <n v="1"/>
    <n v="0"/>
    <n v="0"/>
  </r>
  <r>
    <s v="A3SL5QRF7MX2P1"/>
    <s v="english"/>
    <s v="test"/>
    <x v="4"/>
    <x v="0"/>
    <s v="ms-l"/>
    <s v="mo-h"/>
    <s v="ms-h"/>
    <n v="0"/>
    <n v="1"/>
    <n v="0"/>
    <n v="1"/>
    <n v="1"/>
    <n v="0"/>
    <n v="1"/>
    <n v="0"/>
    <n v="1"/>
    <n v="0"/>
    <n v="1"/>
    <n v="1"/>
    <n v="0"/>
    <n v="0"/>
  </r>
  <r>
    <s v="A3SL5QRF7MX2P1"/>
    <s v="english"/>
    <s v="test"/>
    <x v="0"/>
    <x v="0"/>
    <s v="mo-h"/>
    <s v="exh"/>
    <s v="ms-h"/>
    <n v="1"/>
    <n v="1"/>
    <n v="0"/>
    <n v="1"/>
    <n v="0"/>
    <n v="0"/>
    <n v="1"/>
    <n v="1"/>
    <n v="1"/>
    <n v="0"/>
    <n v="1"/>
    <n v="0"/>
    <n v="0"/>
    <n v="0"/>
  </r>
  <r>
    <s v="A31X9CV1UWZV8Z"/>
    <s v="english"/>
    <s v="test"/>
    <x v="1"/>
    <x v="0"/>
    <s v="mo-h"/>
    <s v="ms-h"/>
    <s v="fa"/>
    <n v="0"/>
    <n v="1"/>
    <n v="0"/>
    <n v="1"/>
    <n v="0"/>
    <n v="0"/>
    <n v="1"/>
    <n v="0"/>
    <n v="1"/>
    <n v="0"/>
    <n v="1"/>
    <n v="0"/>
    <n v="0"/>
    <n v="0"/>
  </r>
  <r>
    <s v="A31X9CV1UWZV8Z"/>
    <s v="english"/>
    <s v="test"/>
    <x v="5"/>
    <x v="0"/>
    <s v="ms-l"/>
    <s v="mo-l"/>
    <s v="mo-h"/>
    <n v="0"/>
    <n v="1"/>
    <n v="1"/>
    <n v="0"/>
    <n v="1"/>
    <n v="0"/>
    <n v="1"/>
    <n v="0"/>
    <n v="1"/>
    <n v="1"/>
    <n v="0"/>
    <n v="1"/>
    <n v="0"/>
    <n v="0"/>
  </r>
  <r>
    <s v="A31X9CV1UWZV8Z"/>
    <s v="english"/>
    <s v="test"/>
    <x v="3"/>
    <x v="0"/>
    <s v="mo-l"/>
    <s v="mo-h"/>
    <s v="ms-l"/>
    <n v="0"/>
    <n v="1"/>
    <n v="1"/>
    <n v="0"/>
    <n v="1"/>
    <n v="0"/>
    <n v="1"/>
    <n v="0"/>
    <n v="1"/>
    <n v="1"/>
    <n v="0"/>
    <n v="1"/>
    <n v="0"/>
    <n v="0"/>
  </r>
  <r>
    <s v="AJW3PL5UDH4BP"/>
    <s v="english"/>
    <s v="test"/>
    <x v="4"/>
    <x v="0"/>
    <s v="mo-h"/>
    <s v="exh"/>
    <s v="ms-h"/>
    <n v="1"/>
    <n v="1"/>
    <n v="0"/>
    <n v="1"/>
    <n v="0"/>
    <n v="0"/>
    <n v="1"/>
    <n v="1"/>
    <n v="1"/>
    <n v="0"/>
    <n v="1"/>
    <n v="0"/>
    <n v="0"/>
    <n v="0"/>
  </r>
  <r>
    <s v="AJW3PL5UDH4BP"/>
    <s v="english"/>
    <s v="test"/>
    <x v="0"/>
    <x v="0"/>
    <s v="mo-h"/>
    <s v="ms-l"/>
    <s v="fa"/>
    <n v="0"/>
    <n v="1"/>
    <n v="0"/>
    <n v="0"/>
    <n v="1"/>
    <n v="0"/>
    <n v="1"/>
    <n v="0"/>
    <n v="1"/>
    <n v="0"/>
    <n v="0"/>
    <n v="0"/>
    <n v="0"/>
    <n v="0"/>
  </r>
  <r>
    <s v="AJW3PL5UDH4BP"/>
    <s v="english"/>
    <s v="test"/>
    <x v="3"/>
    <x v="0"/>
    <s v="ms-l"/>
    <s v="exh"/>
    <s v="mo-h"/>
    <n v="1"/>
    <n v="1"/>
    <n v="0"/>
    <n v="0"/>
    <n v="1"/>
    <n v="0"/>
    <n v="1"/>
    <n v="0"/>
    <n v="1"/>
    <n v="0"/>
    <n v="0"/>
    <n v="0"/>
    <n v="0"/>
    <n v="0"/>
  </r>
  <r>
    <s v="AJW3PL5UDH4BP"/>
    <s v="english"/>
    <s v="test"/>
    <x v="1"/>
    <x v="0"/>
    <s v="ms-l"/>
    <s v="mo-h"/>
    <s v="mo-l"/>
    <n v="0"/>
    <n v="1"/>
    <n v="1"/>
    <n v="0"/>
    <n v="1"/>
    <n v="0"/>
    <n v="1"/>
    <n v="0"/>
    <n v="1"/>
    <n v="0"/>
    <n v="0"/>
    <n v="0"/>
    <n v="0"/>
    <n v="0"/>
  </r>
  <r>
    <s v="A3EN5H82IBTJGF"/>
    <s v="english"/>
    <s v="test"/>
    <x v="0"/>
    <x v="0"/>
    <s v="mo-l"/>
    <s v="mo-h"/>
    <s v="fa"/>
    <n v="0"/>
    <n v="1"/>
    <n v="1"/>
    <n v="0"/>
    <n v="0"/>
    <n v="0"/>
    <n v="1"/>
    <n v="0"/>
    <n v="1"/>
    <n v="1"/>
    <n v="0"/>
    <n v="0"/>
    <n v="0"/>
    <n v="0"/>
  </r>
  <r>
    <s v="A3EN5H82IBTJGF"/>
    <s v="english"/>
    <s v="test"/>
    <x v="5"/>
    <x v="0"/>
    <s v="ms-h"/>
    <s v="mo-h"/>
    <s v="ms-l"/>
    <n v="0"/>
    <n v="1"/>
    <n v="0"/>
    <n v="1"/>
    <n v="1"/>
    <n v="0"/>
    <n v="1"/>
    <n v="0"/>
    <n v="1"/>
    <n v="0"/>
    <n v="1"/>
    <n v="1"/>
    <n v="0"/>
    <n v="0"/>
  </r>
  <r>
    <s v="A3EN5H82IBTJGF"/>
    <s v="english"/>
    <s v="test"/>
    <x v="3"/>
    <x v="0"/>
    <s v="exh"/>
    <s v="mo-l"/>
    <s v="mo-h"/>
    <n v="1"/>
    <n v="1"/>
    <n v="1"/>
    <n v="0"/>
    <n v="0"/>
    <n v="0"/>
    <n v="1"/>
    <n v="1"/>
    <n v="1"/>
    <n v="1"/>
    <n v="0"/>
    <n v="0"/>
    <n v="0"/>
    <n v="0"/>
  </r>
  <r>
    <s v="A2JS70VVJQW2GR"/>
    <s v="english"/>
    <s v="test"/>
    <x v="3"/>
    <x v="0"/>
    <s v="fa"/>
    <s v="mo-h"/>
    <s v="ms-h"/>
    <n v="0"/>
    <n v="1"/>
    <n v="0"/>
    <n v="1"/>
    <n v="0"/>
    <n v="0"/>
    <n v="1"/>
    <n v="0"/>
    <n v="1"/>
    <n v="0"/>
    <n v="1"/>
    <n v="0"/>
    <n v="0"/>
    <n v="0"/>
  </r>
  <r>
    <s v="A2JS70VVJQW2GR"/>
    <s v="english"/>
    <s v="test"/>
    <x v="2"/>
    <x v="0"/>
    <s v="fa"/>
    <s v="mo-h"/>
    <s v="ms-l"/>
    <n v="0"/>
    <n v="1"/>
    <n v="0"/>
    <n v="0"/>
    <n v="1"/>
    <n v="0"/>
    <n v="1"/>
    <n v="0"/>
    <n v="1"/>
    <n v="0"/>
    <n v="0"/>
    <n v="1"/>
    <n v="0"/>
    <n v="0"/>
  </r>
  <r>
    <s v="A2JS70VVJQW2GR"/>
    <s v="english"/>
    <s v="test"/>
    <x v="1"/>
    <x v="0"/>
    <s v="ms-l"/>
    <s v="mo-h"/>
    <s v="fa"/>
    <n v="0"/>
    <n v="1"/>
    <n v="0"/>
    <n v="0"/>
    <n v="1"/>
    <n v="0"/>
    <n v="1"/>
    <n v="0"/>
    <n v="1"/>
    <n v="0"/>
    <n v="0"/>
    <n v="1"/>
    <n v="0"/>
    <n v="0"/>
  </r>
  <r>
    <s v="A2JS70VVJQW2GR"/>
    <s v="english"/>
    <s v="test"/>
    <x v="4"/>
    <x v="0"/>
    <s v="mo-h"/>
    <s v="ms-h"/>
    <s v="ms-l"/>
    <n v="0"/>
    <n v="1"/>
    <n v="0"/>
    <n v="1"/>
    <n v="1"/>
    <n v="0"/>
    <n v="1"/>
    <n v="0"/>
    <n v="1"/>
    <n v="0"/>
    <n v="1"/>
    <n v="1"/>
    <n v="0"/>
    <n v="0"/>
  </r>
  <r>
    <s v="A2JS70VVJQW2GR"/>
    <s v="english"/>
    <s v="test"/>
    <x v="0"/>
    <x v="0"/>
    <s v="mo-l"/>
    <s v="mo-h"/>
    <s v="ms-h"/>
    <n v="0"/>
    <n v="1"/>
    <n v="1"/>
    <n v="1"/>
    <n v="0"/>
    <n v="0"/>
    <n v="1"/>
    <n v="0"/>
    <n v="1"/>
    <n v="0"/>
    <n v="0"/>
    <n v="0"/>
    <n v="0"/>
    <n v="0"/>
  </r>
  <r>
    <s v="A33UMG50QSJ7KS"/>
    <s v="english"/>
    <s v="test"/>
    <x v="2"/>
    <x v="0"/>
    <s v="ms-l"/>
    <s v="fa"/>
    <s v="mo-h"/>
    <n v="0"/>
    <n v="1"/>
    <n v="0"/>
    <n v="0"/>
    <n v="1"/>
    <n v="0"/>
    <n v="1"/>
    <n v="0"/>
    <n v="1"/>
    <n v="0"/>
    <n v="0"/>
    <n v="0"/>
    <n v="0"/>
    <n v="0"/>
  </r>
  <r>
    <s v="A33UMG50QSJ7KS"/>
    <s v="english"/>
    <s v="test"/>
    <x v="3"/>
    <x v="0"/>
    <s v="exh"/>
    <s v="ms-l"/>
    <s v="mo-h"/>
    <n v="1"/>
    <n v="1"/>
    <n v="0"/>
    <n v="0"/>
    <n v="1"/>
    <n v="0"/>
    <n v="1"/>
    <n v="1"/>
    <n v="1"/>
    <n v="0"/>
    <n v="0"/>
    <n v="1"/>
    <n v="0"/>
    <n v="0"/>
  </r>
  <r>
    <s v="A33UMG50QSJ7KS"/>
    <s v="english"/>
    <s v="test"/>
    <x v="0"/>
    <x v="0"/>
    <s v="mo-h"/>
    <s v="ms-h"/>
    <s v="ms-l"/>
    <n v="0"/>
    <n v="1"/>
    <n v="0"/>
    <n v="1"/>
    <n v="1"/>
    <n v="0"/>
    <n v="1"/>
    <n v="0"/>
    <n v="1"/>
    <n v="0"/>
    <n v="1"/>
    <n v="1"/>
    <n v="0"/>
    <n v="0"/>
  </r>
  <r>
    <s v="A33UMG50QSJ7KS"/>
    <s v="english"/>
    <s v="test"/>
    <x v="4"/>
    <x v="0"/>
    <s v="ms-h"/>
    <s v="exh"/>
    <s v="mo-h"/>
    <n v="1"/>
    <n v="1"/>
    <n v="0"/>
    <n v="1"/>
    <n v="0"/>
    <n v="0"/>
    <n v="1"/>
    <n v="1"/>
    <n v="1"/>
    <n v="0"/>
    <n v="1"/>
    <n v="0"/>
    <n v="0"/>
    <n v="0"/>
  </r>
  <r>
    <s v="A2PXJTMWGUE5DC"/>
    <s v="english"/>
    <s v="test"/>
    <x v="1"/>
    <x v="0"/>
    <s v="ms-l"/>
    <s v="mo-l"/>
    <s v="mo-h"/>
    <n v="0"/>
    <n v="1"/>
    <n v="1"/>
    <n v="0"/>
    <n v="1"/>
    <n v="0"/>
    <n v="1"/>
    <n v="0"/>
    <n v="1"/>
    <n v="1"/>
    <n v="0"/>
    <n v="1"/>
    <n v="0"/>
    <n v="0"/>
  </r>
  <r>
    <s v="A2PXJTMWGUE5DC"/>
    <s v="english"/>
    <s v="test"/>
    <x v="3"/>
    <x v="0"/>
    <s v="mo-h"/>
    <s v="fa"/>
    <s v="ms-l"/>
    <n v="0"/>
    <n v="1"/>
    <n v="0"/>
    <n v="0"/>
    <n v="1"/>
    <n v="0"/>
    <n v="1"/>
    <n v="0"/>
    <n v="1"/>
    <n v="0"/>
    <n v="0"/>
    <n v="1"/>
    <n v="0"/>
    <n v="0"/>
  </r>
  <r>
    <s v="A2PXJTMWGUE5DC"/>
    <s v="english"/>
    <s v="test"/>
    <x v="0"/>
    <x v="0"/>
    <s v="mo-h"/>
    <s v="mo-l"/>
    <s v="ms-h"/>
    <n v="0"/>
    <n v="1"/>
    <n v="1"/>
    <n v="1"/>
    <n v="0"/>
    <n v="0"/>
    <n v="1"/>
    <n v="0"/>
    <n v="1"/>
    <n v="1"/>
    <n v="1"/>
    <n v="0"/>
    <n v="0"/>
    <n v="0"/>
  </r>
  <r>
    <s v="A1B84JJ7ATWVJA"/>
    <s v="english"/>
    <s v="test"/>
    <x v="4"/>
    <x v="0"/>
    <s v="mo-h"/>
    <s v="exh"/>
    <s v="mo-l"/>
    <n v="1"/>
    <n v="1"/>
    <n v="1"/>
    <n v="0"/>
    <n v="0"/>
    <n v="0"/>
    <n v="1"/>
    <n v="1"/>
    <n v="1"/>
    <n v="1"/>
    <n v="0"/>
    <n v="0"/>
    <n v="0"/>
    <n v="0"/>
  </r>
  <r>
    <s v="A1B84JJ7ATWVJA"/>
    <s v="english"/>
    <s v="test"/>
    <x v="3"/>
    <x v="0"/>
    <s v="mo-l"/>
    <s v="mo-h"/>
    <s v="exh"/>
    <n v="1"/>
    <n v="1"/>
    <n v="1"/>
    <n v="0"/>
    <n v="0"/>
    <n v="0"/>
    <n v="1"/>
    <n v="1"/>
    <n v="1"/>
    <n v="1"/>
    <n v="0"/>
    <n v="0"/>
    <n v="0"/>
    <n v="0"/>
  </r>
  <r>
    <s v="A1B84JJ7ATWVJA"/>
    <s v="english"/>
    <s v="test"/>
    <x v="0"/>
    <x v="0"/>
    <s v="ms-l"/>
    <s v="ms-h"/>
    <s v="mo-h"/>
    <n v="0"/>
    <n v="1"/>
    <n v="0"/>
    <n v="1"/>
    <n v="1"/>
    <n v="0"/>
    <n v="1"/>
    <n v="0"/>
    <n v="1"/>
    <n v="0"/>
    <n v="1"/>
    <n v="1"/>
    <n v="0"/>
    <n v="0"/>
  </r>
  <r>
    <s v="A2U0XDH72EN978"/>
    <s v="english"/>
    <s v="test"/>
    <x v="1"/>
    <x v="0"/>
    <s v="mo-h"/>
    <s v="fa"/>
    <s v="mo-l"/>
    <n v="0"/>
    <n v="1"/>
    <n v="1"/>
    <n v="0"/>
    <n v="0"/>
    <n v="0"/>
    <n v="1"/>
    <n v="0"/>
    <n v="1"/>
    <n v="0"/>
    <n v="0"/>
    <n v="0"/>
    <n v="0"/>
    <n v="0"/>
  </r>
  <r>
    <s v="A2U0XDH72EN978"/>
    <s v="english"/>
    <s v="test"/>
    <x v="2"/>
    <x v="0"/>
    <s v="mo-h"/>
    <s v="ms-l"/>
    <s v="ms-h"/>
    <n v="0"/>
    <n v="1"/>
    <n v="0"/>
    <n v="1"/>
    <n v="1"/>
    <n v="0"/>
    <n v="1"/>
    <n v="0"/>
    <n v="1"/>
    <n v="0"/>
    <n v="1"/>
    <n v="0"/>
    <n v="0"/>
    <n v="0"/>
  </r>
  <r>
    <s v="A2U0XDH72EN978"/>
    <s v="english"/>
    <s v="test"/>
    <x v="0"/>
    <x v="0"/>
    <s v="mo-h"/>
    <s v="ms-h"/>
    <s v="mo-l"/>
    <n v="0"/>
    <n v="1"/>
    <n v="1"/>
    <n v="1"/>
    <n v="0"/>
    <n v="0"/>
    <n v="1"/>
    <n v="0"/>
    <n v="1"/>
    <n v="0"/>
    <n v="1"/>
    <n v="0"/>
    <n v="0"/>
    <n v="0"/>
  </r>
  <r>
    <s v="A1Y82LKWQQP90M"/>
    <s v="english"/>
    <s v="test"/>
    <x v="5"/>
    <x v="0"/>
    <s v="mo-h"/>
    <s v="ms-l"/>
    <s v="mo-l"/>
    <n v="0"/>
    <n v="1"/>
    <n v="1"/>
    <n v="0"/>
    <n v="1"/>
    <n v="0"/>
    <n v="1"/>
    <n v="0"/>
    <n v="1"/>
    <n v="1"/>
    <n v="0"/>
    <n v="1"/>
    <n v="0"/>
    <n v="0"/>
  </r>
  <r>
    <s v="A1Y82LKWQQP90M"/>
    <s v="english"/>
    <s v="test"/>
    <x v="3"/>
    <x v="0"/>
    <s v="ms-l"/>
    <s v="mo-h"/>
    <s v="exh"/>
    <n v="1"/>
    <n v="1"/>
    <n v="0"/>
    <n v="0"/>
    <n v="1"/>
    <n v="0"/>
    <n v="1"/>
    <n v="1"/>
    <n v="1"/>
    <n v="0"/>
    <n v="0"/>
    <n v="1"/>
    <n v="0"/>
    <n v="0"/>
  </r>
  <r>
    <s v="A1Y82LKWQQP90M"/>
    <s v="english"/>
    <s v="test"/>
    <x v="1"/>
    <x v="0"/>
    <s v="mo-h"/>
    <s v="exh"/>
    <s v="mo-l"/>
    <n v="1"/>
    <n v="1"/>
    <n v="1"/>
    <n v="0"/>
    <n v="0"/>
    <n v="0"/>
    <n v="1"/>
    <n v="1"/>
    <n v="1"/>
    <n v="1"/>
    <n v="0"/>
    <n v="0"/>
    <n v="0"/>
    <n v="0"/>
  </r>
  <r>
    <s v="A2N2GFB33ZMYGF"/>
    <s v="english"/>
    <s v="test"/>
    <x v="0"/>
    <x v="0"/>
    <s v="ms-l"/>
    <s v="mo-h"/>
    <s v="mo-l"/>
    <n v="0"/>
    <n v="1"/>
    <n v="1"/>
    <n v="0"/>
    <n v="1"/>
    <n v="0"/>
    <n v="1"/>
    <n v="0"/>
    <n v="1"/>
    <n v="1"/>
    <n v="0"/>
    <n v="1"/>
    <n v="0"/>
    <n v="0"/>
  </r>
  <r>
    <s v="A2N2GFB33ZMYGF"/>
    <s v="english"/>
    <s v="test"/>
    <x v="2"/>
    <x v="0"/>
    <s v="ms-h"/>
    <s v="mo-h"/>
    <s v="fa"/>
    <n v="0"/>
    <n v="1"/>
    <n v="0"/>
    <n v="1"/>
    <n v="0"/>
    <n v="0"/>
    <n v="1"/>
    <n v="0"/>
    <n v="1"/>
    <n v="0"/>
    <n v="1"/>
    <n v="0"/>
    <n v="0"/>
    <n v="0"/>
  </r>
  <r>
    <s v="A2N2GFB33ZMYGF"/>
    <s v="english"/>
    <s v="test"/>
    <x v="1"/>
    <x v="0"/>
    <s v="exh"/>
    <s v="mo-h"/>
    <s v="mo-l"/>
    <n v="1"/>
    <n v="1"/>
    <n v="1"/>
    <n v="0"/>
    <n v="0"/>
    <n v="0"/>
    <n v="1"/>
    <n v="0"/>
    <n v="1"/>
    <n v="0"/>
    <n v="0"/>
    <n v="0"/>
    <n v="0"/>
    <n v="0"/>
  </r>
  <r>
    <s v="A2N2GFB33ZMYGF"/>
    <s v="english"/>
    <s v="test"/>
    <x v="3"/>
    <x v="0"/>
    <s v="ms-l"/>
    <s v="mo-h"/>
    <s v="ms-h"/>
    <n v="0"/>
    <n v="1"/>
    <n v="0"/>
    <n v="1"/>
    <n v="1"/>
    <n v="0"/>
    <n v="1"/>
    <n v="0"/>
    <n v="1"/>
    <n v="0"/>
    <n v="0"/>
    <n v="0"/>
    <n v="0"/>
    <n v="0"/>
  </r>
  <r>
    <s v="A2N2GFB33ZMYGF"/>
    <s v="english"/>
    <s v="test"/>
    <x v="4"/>
    <x v="0"/>
    <s v="fa"/>
    <s v="mo-h"/>
    <s v="ms-h"/>
    <n v="0"/>
    <n v="1"/>
    <n v="0"/>
    <n v="1"/>
    <n v="0"/>
    <n v="0"/>
    <n v="1"/>
    <n v="0"/>
    <n v="1"/>
    <n v="0"/>
    <n v="0"/>
    <n v="0"/>
    <n v="0"/>
    <n v="0"/>
  </r>
  <r>
    <s v="A1BBZ5EMNSCZJR"/>
    <s v="english"/>
    <s v="test"/>
    <x v="4"/>
    <x v="0"/>
    <s v="fa"/>
    <s v="exh"/>
    <s v="mo-h"/>
    <n v="1"/>
    <n v="1"/>
    <n v="0"/>
    <n v="0"/>
    <n v="0"/>
    <n v="0"/>
    <n v="1"/>
    <n v="0"/>
    <n v="1"/>
    <n v="0"/>
    <n v="0"/>
    <n v="0"/>
    <n v="0"/>
    <n v="0"/>
  </r>
  <r>
    <s v="A1BBZ5EMNSCZJR"/>
    <s v="english"/>
    <s v="test"/>
    <x v="0"/>
    <x v="0"/>
    <s v="mo-l"/>
    <s v="exh"/>
    <s v="mo-h"/>
    <n v="1"/>
    <n v="1"/>
    <n v="1"/>
    <n v="0"/>
    <n v="0"/>
    <n v="0"/>
    <n v="1"/>
    <n v="0"/>
    <n v="1"/>
    <n v="0"/>
    <n v="0"/>
    <n v="0"/>
    <n v="0"/>
    <n v="0"/>
  </r>
  <r>
    <s v="a2ytqdlactliba"/>
    <s v="english"/>
    <s v="test"/>
    <x v="2"/>
    <x v="0"/>
    <s v="mo-l"/>
    <s v="mo-h"/>
    <s v="ms-h"/>
    <n v="0"/>
    <n v="1"/>
    <n v="1"/>
    <n v="1"/>
    <n v="0"/>
    <n v="0"/>
    <n v="1"/>
    <n v="0"/>
    <n v="1"/>
    <n v="0"/>
    <n v="1"/>
    <n v="0"/>
    <n v="0"/>
    <n v="0"/>
  </r>
  <r>
    <s v="a2ytqdlactliba"/>
    <s v="english"/>
    <s v="test"/>
    <x v="3"/>
    <x v="0"/>
    <s v="ms-l"/>
    <s v="mo-h"/>
    <s v="ms-h"/>
    <n v="0"/>
    <n v="1"/>
    <n v="0"/>
    <n v="1"/>
    <n v="1"/>
    <n v="0"/>
    <n v="1"/>
    <n v="0"/>
    <n v="1"/>
    <n v="0"/>
    <n v="1"/>
    <n v="1"/>
    <n v="0"/>
    <n v="0"/>
  </r>
  <r>
    <s v="a2ytqdlactliba"/>
    <s v="english"/>
    <s v="test"/>
    <x v="1"/>
    <x v="0"/>
    <s v="mo-h"/>
    <s v="ms-h"/>
    <s v="ms-l"/>
    <n v="0"/>
    <n v="1"/>
    <n v="0"/>
    <n v="1"/>
    <n v="1"/>
    <n v="0"/>
    <n v="1"/>
    <n v="0"/>
    <n v="1"/>
    <n v="0"/>
    <n v="1"/>
    <n v="1"/>
    <n v="0"/>
    <n v="0"/>
  </r>
  <r>
    <s v="a2ytqdlactliba"/>
    <s v="english"/>
    <s v="test"/>
    <x v="0"/>
    <x v="0"/>
    <s v="ms-l"/>
    <s v="exh"/>
    <s v="mo-h"/>
    <n v="1"/>
    <n v="1"/>
    <n v="0"/>
    <n v="0"/>
    <n v="1"/>
    <n v="0"/>
    <n v="1"/>
    <n v="0"/>
    <n v="1"/>
    <n v="0"/>
    <n v="0"/>
    <n v="0"/>
    <n v="0"/>
    <n v="0"/>
  </r>
  <r>
    <s v="AF8OT1W25HEM7"/>
    <s v="english"/>
    <s v="test"/>
    <x v="5"/>
    <x v="0"/>
    <s v="mo-l"/>
    <s v="ms-h"/>
    <s v="mo-h"/>
    <n v="0"/>
    <n v="1"/>
    <n v="1"/>
    <n v="1"/>
    <n v="0"/>
    <n v="0"/>
    <n v="1"/>
    <n v="0"/>
    <n v="1"/>
    <n v="1"/>
    <n v="1"/>
    <n v="0"/>
    <n v="0"/>
    <n v="0"/>
  </r>
  <r>
    <s v="AF8OT1W25HEM7"/>
    <s v="english"/>
    <s v="test"/>
    <x v="1"/>
    <x v="0"/>
    <s v="exh"/>
    <s v="mo-h"/>
    <s v="ms-l"/>
    <n v="1"/>
    <n v="1"/>
    <n v="0"/>
    <n v="0"/>
    <n v="1"/>
    <n v="0"/>
    <n v="1"/>
    <n v="1"/>
    <n v="1"/>
    <n v="0"/>
    <n v="0"/>
    <n v="1"/>
    <n v="0"/>
    <n v="0"/>
  </r>
  <r>
    <s v="AF8OT1W25HEM7"/>
    <s v="english"/>
    <s v="test"/>
    <x v="2"/>
    <x v="0"/>
    <s v="fa"/>
    <s v="mo-h"/>
    <s v="exh"/>
    <n v="1"/>
    <n v="1"/>
    <n v="0"/>
    <n v="0"/>
    <n v="0"/>
    <n v="0"/>
    <n v="1"/>
    <n v="1"/>
    <n v="1"/>
    <n v="0"/>
    <n v="0"/>
    <n v="0"/>
    <n v="0"/>
    <n v="0"/>
  </r>
  <r>
    <s v="A96JK3576FXG5"/>
    <s v="english"/>
    <s v="test"/>
    <x v="0"/>
    <x v="0"/>
    <s v="fa"/>
    <s v="mo-l"/>
    <s v="mo-h"/>
    <n v="0"/>
    <n v="1"/>
    <n v="1"/>
    <n v="0"/>
    <n v="0"/>
    <n v="0"/>
    <n v="1"/>
    <n v="0"/>
    <n v="1"/>
    <n v="0"/>
    <n v="0"/>
    <n v="0"/>
    <n v="0"/>
    <n v="0"/>
  </r>
  <r>
    <s v="A96JK3576FXG5"/>
    <s v="english"/>
    <s v="test"/>
    <x v="2"/>
    <x v="0"/>
    <s v="mo-l"/>
    <s v="ms-l"/>
    <s v="mo-h"/>
    <n v="0"/>
    <n v="1"/>
    <n v="1"/>
    <n v="0"/>
    <n v="1"/>
    <n v="0"/>
    <n v="1"/>
    <n v="0"/>
    <n v="1"/>
    <n v="0"/>
    <n v="0"/>
    <n v="0"/>
    <n v="0"/>
    <n v="0"/>
  </r>
  <r>
    <s v="ARHBT4K14I7U"/>
    <s v="english"/>
    <s v="test"/>
    <x v="3"/>
    <x v="0"/>
    <s v="ms-l"/>
    <s v="mo-h"/>
    <s v="exh"/>
    <n v="1"/>
    <n v="1"/>
    <n v="0"/>
    <n v="0"/>
    <n v="1"/>
    <n v="0"/>
    <n v="1"/>
    <n v="0"/>
    <n v="1"/>
    <n v="0"/>
    <n v="0"/>
    <n v="0"/>
    <n v="0"/>
    <n v="0"/>
  </r>
  <r>
    <s v="ARHBT4K14I7U"/>
    <s v="english"/>
    <s v="test"/>
    <x v="5"/>
    <x v="0"/>
    <s v="ms-h"/>
    <s v="mo-h"/>
    <s v="ms-l"/>
    <n v="0"/>
    <n v="1"/>
    <n v="0"/>
    <n v="1"/>
    <n v="1"/>
    <n v="0"/>
    <n v="1"/>
    <n v="0"/>
    <n v="1"/>
    <n v="0"/>
    <n v="0"/>
    <n v="0"/>
    <n v="0"/>
    <n v="0"/>
  </r>
  <r>
    <s v="A19L8SNH73AX1Z"/>
    <s v="english"/>
    <s v="test"/>
    <x v="0"/>
    <x v="0"/>
    <s v="mo-l"/>
    <s v="ms-h"/>
    <s v="mo-h"/>
    <n v="0"/>
    <n v="1"/>
    <n v="1"/>
    <n v="1"/>
    <n v="0"/>
    <n v="0"/>
    <n v="1"/>
    <n v="0"/>
    <n v="1"/>
    <n v="0"/>
    <n v="1"/>
    <n v="0"/>
    <n v="0"/>
    <n v="0"/>
  </r>
  <r>
    <s v="A19L8SNH73AX1Z"/>
    <s v="english"/>
    <s v="test"/>
    <x v="1"/>
    <x v="0"/>
    <s v="ms-l"/>
    <s v="mo-l"/>
    <s v="mo-h"/>
    <n v="0"/>
    <n v="1"/>
    <n v="1"/>
    <n v="0"/>
    <n v="1"/>
    <n v="0"/>
    <n v="1"/>
    <n v="0"/>
    <n v="1"/>
    <n v="0"/>
    <n v="0"/>
    <n v="0"/>
    <n v="0"/>
    <n v="0"/>
  </r>
  <r>
    <s v="A2C6HMH2FDM2CI"/>
    <s v="english"/>
    <s v="test"/>
    <x v="4"/>
    <x v="0"/>
    <s v="ms-h"/>
    <s v="exh"/>
    <s v="mo-h"/>
    <n v="1"/>
    <n v="1"/>
    <n v="0"/>
    <n v="1"/>
    <n v="0"/>
    <n v="0"/>
    <n v="1"/>
    <n v="0"/>
    <n v="1"/>
    <n v="0"/>
    <n v="0"/>
    <n v="0"/>
    <n v="0"/>
    <n v="0"/>
  </r>
  <r>
    <s v="A2C6HMH2FDM2CI"/>
    <s v="english"/>
    <s v="test"/>
    <x v="0"/>
    <x v="0"/>
    <s v="mo-h"/>
    <s v="fa"/>
    <s v="ms-h"/>
    <n v="0"/>
    <n v="1"/>
    <n v="0"/>
    <n v="1"/>
    <n v="0"/>
    <n v="0"/>
    <n v="1"/>
    <n v="0"/>
    <n v="1"/>
    <n v="0"/>
    <n v="0"/>
    <n v="0"/>
    <n v="0"/>
    <n v="0"/>
  </r>
  <r>
    <s v="A3C5G8LGIAW0XL"/>
    <s v="english"/>
    <s v="test"/>
    <x v="4"/>
    <x v="0"/>
    <s v="ms-h"/>
    <s v="mo-h"/>
    <s v="ms-l"/>
    <n v="0"/>
    <n v="1"/>
    <n v="0"/>
    <n v="1"/>
    <n v="1"/>
    <n v="0"/>
    <n v="1"/>
    <n v="0"/>
    <n v="1"/>
    <n v="0"/>
    <n v="0"/>
    <n v="0"/>
    <n v="0"/>
    <n v="0"/>
  </r>
  <r>
    <s v="A3C5G8LGIAW0XL"/>
    <s v="english"/>
    <s v="test"/>
    <x v="3"/>
    <x v="0"/>
    <s v="mo-l"/>
    <s v="ms-l"/>
    <s v="mo-h"/>
    <n v="0"/>
    <n v="1"/>
    <n v="1"/>
    <n v="0"/>
    <n v="1"/>
    <n v="0"/>
    <n v="1"/>
    <n v="0"/>
    <n v="1"/>
    <n v="0"/>
    <n v="0"/>
    <n v="0"/>
    <n v="0"/>
    <n v="0"/>
  </r>
  <r>
    <s v="A3C5G8LGIAW0XL"/>
    <s v="english"/>
    <s v="test"/>
    <x v="1"/>
    <x v="0"/>
    <s v="mo-h"/>
    <s v="ms-h"/>
    <s v="mo-l"/>
    <n v="0"/>
    <n v="1"/>
    <n v="1"/>
    <n v="1"/>
    <n v="0"/>
    <n v="0"/>
    <n v="1"/>
    <n v="0"/>
    <n v="1"/>
    <n v="0"/>
    <n v="0"/>
    <n v="0"/>
    <n v="0"/>
    <n v="0"/>
  </r>
  <r>
    <s v="A0017268R9SKD8U2Y3F"/>
    <s v="english"/>
    <s v="test"/>
    <x v="4"/>
    <x v="0"/>
    <s v="mo-h"/>
    <s v="ms-l"/>
    <s v="mo-l"/>
    <n v="0"/>
    <n v="1"/>
    <n v="1"/>
    <n v="0"/>
    <n v="1"/>
    <n v="0"/>
    <n v="1"/>
    <n v="0"/>
    <n v="1"/>
    <n v="0"/>
    <n v="0"/>
    <n v="0"/>
    <n v="0"/>
    <n v="0"/>
  </r>
  <r>
    <s v="A0017268R9SKD8U2Y3F"/>
    <s v="english"/>
    <s v="test"/>
    <x v="1"/>
    <x v="0"/>
    <s v="mo-l"/>
    <s v="fa"/>
    <s v="mo-h"/>
    <n v="0"/>
    <n v="1"/>
    <n v="1"/>
    <n v="0"/>
    <n v="0"/>
    <n v="0"/>
    <n v="1"/>
    <n v="0"/>
    <n v="1"/>
    <n v="1"/>
    <n v="0"/>
    <n v="0"/>
    <n v="0"/>
    <n v="0"/>
  </r>
  <r>
    <s v="A0017268R9SKD8U2Y3F"/>
    <s v="english"/>
    <s v="test"/>
    <x v="3"/>
    <x v="0"/>
    <s v="mo-h"/>
    <s v="fa"/>
    <s v="ms-l"/>
    <n v="0"/>
    <n v="1"/>
    <n v="0"/>
    <n v="0"/>
    <n v="1"/>
    <n v="0"/>
    <n v="1"/>
    <n v="0"/>
    <n v="1"/>
    <n v="0"/>
    <n v="0"/>
    <n v="1"/>
    <n v="0"/>
    <n v="0"/>
  </r>
  <r>
    <s v="A3CZ2S6TCQTJBK"/>
    <s v="english"/>
    <s v="test"/>
    <x v="4"/>
    <x v="0"/>
    <s v="mo-h"/>
    <s v="ms-h"/>
    <s v="ms-l"/>
    <n v="0"/>
    <n v="1"/>
    <n v="0"/>
    <n v="1"/>
    <n v="1"/>
    <n v="0"/>
    <n v="1"/>
    <n v="0"/>
    <n v="1"/>
    <n v="0"/>
    <n v="1"/>
    <n v="1"/>
    <n v="0"/>
    <n v="0"/>
  </r>
  <r>
    <s v="A3CZ2S6TCQTJBK"/>
    <s v="english"/>
    <s v="test"/>
    <x v="0"/>
    <x v="0"/>
    <s v="fa"/>
    <s v="mo-h"/>
    <s v="ms-l"/>
    <n v="0"/>
    <n v="1"/>
    <n v="0"/>
    <n v="0"/>
    <n v="1"/>
    <n v="0"/>
    <n v="1"/>
    <n v="0"/>
    <n v="1"/>
    <n v="0"/>
    <n v="0"/>
    <n v="1"/>
    <n v="0"/>
    <n v="0"/>
  </r>
  <r>
    <s v="A3CZ2S6TCQTJBK"/>
    <s v="english"/>
    <s v="test"/>
    <x v="1"/>
    <x v="0"/>
    <s v="mo-l"/>
    <s v="ms-h"/>
    <s v="mo-h"/>
    <n v="0"/>
    <n v="1"/>
    <n v="1"/>
    <n v="1"/>
    <n v="0"/>
    <n v="0"/>
    <n v="1"/>
    <n v="0"/>
    <n v="1"/>
    <n v="0"/>
    <n v="1"/>
    <n v="0"/>
    <n v="0"/>
    <n v="0"/>
  </r>
  <r>
    <s v="A3CZ2S6TCQTJBK"/>
    <s v="english"/>
    <s v="test"/>
    <x v="3"/>
    <x v="0"/>
    <s v="ms-l"/>
    <s v="mo-h"/>
    <s v="mo-l"/>
    <n v="0"/>
    <n v="1"/>
    <n v="1"/>
    <n v="0"/>
    <n v="1"/>
    <n v="0"/>
    <n v="1"/>
    <n v="0"/>
    <n v="1"/>
    <n v="1"/>
    <n v="0"/>
    <n v="1"/>
    <n v="0"/>
    <n v="0"/>
  </r>
  <r>
    <s v="A2OSK4VP3ZOV7O"/>
    <s v="english"/>
    <s v="test"/>
    <x v="1"/>
    <x v="0"/>
    <s v="fa"/>
    <s v="mo-h"/>
    <s v="ms-h"/>
    <n v="0"/>
    <n v="1"/>
    <n v="0"/>
    <n v="1"/>
    <n v="0"/>
    <n v="0"/>
    <n v="1"/>
    <n v="0"/>
    <n v="1"/>
    <n v="0"/>
    <n v="0"/>
    <n v="0"/>
    <n v="0"/>
    <n v="0"/>
  </r>
  <r>
    <s v="A2OSK4VP3ZOV7O"/>
    <s v="english"/>
    <s v="test"/>
    <x v="0"/>
    <x v="0"/>
    <s v="exh"/>
    <s v="ms-l"/>
    <s v="mo-h"/>
    <n v="1"/>
    <n v="1"/>
    <n v="0"/>
    <n v="0"/>
    <n v="1"/>
    <n v="0"/>
    <n v="1"/>
    <n v="1"/>
    <n v="1"/>
    <n v="0"/>
    <n v="0"/>
    <n v="0"/>
    <n v="0"/>
    <n v="0"/>
  </r>
  <r>
    <s v="AL7UTA8J27TFK"/>
    <s v="english"/>
    <s v="test"/>
    <x v="1"/>
    <x v="0"/>
    <s v="mo-h"/>
    <s v="ms-l"/>
    <s v="ms-h"/>
    <n v="0"/>
    <n v="1"/>
    <n v="0"/>
    <n v="1"/>
    <n v="1"/>
    <n v="0"/>
    <n v="1"/>
    <n v="0"/>
    <n v="1"/>
    <n v="0"/>
    <n v="0"/>
    <n v="0"/>
    <n v="0"/>
    <n v="0"/>
  </r>
  <r>
    <s v="AL7UTA8J27TFK"/>
    <s v="english"/>
    <s v="test"/>
    <x v="3"/>
    <x v="0"/>
    <s v="mo-h"/>
    <s v="ms-h"/>
    <s v="ms-l"/>
    <n v="0"/>
    <n v="1"/>
    <n v="0"/>
    <n v="1"/>
    <n v="1"/>
    <n v="0"/>
    <n v="1"/>
    <n v="0"/>
    <n v="1"/>
    <n v="0"/>
    <n v="0"/>
    <n v="0"/>
    <n v="0"/>
    <n v="0"/>
  </r>
  <r>
    <s v="AZ8JL3QNIPY4U"/>
    <s v="english"/>
    <s v="test"/>
    <x v="0"/>
    <x v="0"/>
    <s v="mo-l"/>
    <s v="fa"/>
    <s v="mo-h"/>
    <n v="0"/>
    <n v="1"/>
    <n v="1"/>
    <n v="0"/>
    <n v="0"/>
    <n v="0"/>
    <n v="1"/>
    <n v="0"/>
    <n v="1"/>
    <n v="0"/>
    <n v="0"/>
    <n v="0"/>
    <n v="0"/>
    <n v="0"/>
  </r>
  <r>
    <s v="AZ8JL3QNIPY4U"/>
    <s v="english"/>
    <s v="test"/>
    <x v="3"/>
    <x v="0"/>
    <s v="ms-l"/>
    <s v="mo-h"/>
    <s v="mo-l"/>
    <n v="0"/>
    <n v="1"/>
    <n v="1"/>
    <n v="0"/>
    <n v="1"/>
    <n v="0"/>
    <n v="1"/>
    <n v="0"/>
    <n v="1"/>
    <n v="0"/>
    <n v="0"/>
    <n v="0"/>
    <n v="0"/>
    <n v="0"/>
  </r>
  <r>
    <s v="AZ8JL3QNIPY4U"/>
    <s v="english"/>
    <s v="test"/>
    <x v="4"/>
    <x v="0"/>
    <s v="mo-h"/>
    <s v="mo-l"/>
    <s v="fa"/>
    <n v="0"/>
    <n v="1"/>
    <n v="1"/>
    <n v="0"/>
    <n v="0"/>
    <n v="0"/>
    <n v="1"/>
    <n v="0"/>
    <n v="1"/>
    <n v="0"/>
    <n v="0"/>
    <n v="0"/>
    <n v="0"/>
    <n v="0"/>
  </r>
  <r>
    <s v="AZ8JL3QNIPY4U"/>
    <s v="english"/>
    <s v="test"/>
    <x v="1"/>
    <x v="0"/>
    <s v="fa"/>
    <s v="mo-h"/>
    <s v="ms-l"/>
    <n v="0"/>
    <n v="1"/>
    <n v="0"/>
    <n v="0"/>
    <n v="1"/>
    <n v="0"/>
    <n v="1"/>
    <n v="0"/>
    <n v="1"/>
    <n v="0"/>
    <n v="0"/>
    <n v="0"/>
    <n v="0"/>
    <n v="0"/>
  </r>
  <r>
    <s v="A1CSHXVJJ8BPHH"/>
    <s v="english"/>
    <s v="test"/>
    <x v="1"/>
    <x v="0"/>
    <s v="mo-l"/>
    <s v="fa"/>
    <s v="mo-h"/>
    <n v="0"/>
    <n v="1"/>
    <n v="1"/>
    <n v="0"/>
    <n v="0"/>
    <n v="0"/>
    <n v="1"/>
    <n v="0"/>
    <n v="1"/>
    <n v="0"/>
    <n v="0"/>
    <n v="0"/>
    <n v="0"/>
    <n v="0"/>
  </r>
  <r>
    <s v="A1CSHXVJJ8BPHH"/>
    <s v="english"/>
    <s v="test"/>
    <x v="3"/>
    <x v="0"/>
    <s v="mo-h"/>
    <s v="mo-l"/>
    <s v="fa"/>
    <n v="0"/>
    <n v="1"/>
    <n v="1"/>
    <n v="0"/>
    <n v="0"/>
    <n v="0"/>
    <n v="1"/>
    <n v="0"/>
    <n v="1"/>
    <n v="0"/>
    <n v="0"/>
    <n v="0"/>
    <n v="0"/>
    <n v="0"/>
  </r>
  <r>
    <s v="A2Q1BS4JJ10J8H"/>
    <s v="english"/>
    <s v="test"/>
    <x v="3"/>
    <x v="0"/>
    <s v="mo-h"/>
    <s v="ms-l"/>
    <s v="mo-l"/>
    <n v="0"/>
    <n v="1"/>
    <n v="1"/>
    <n v="0"/>
    <n v="1"/>
    <n v="0"/>
    <n v="1"/>
    <n v="0"/>
    <n v="1"/>
    <n v="0"/>
    <n v="0"/>
    <n v="0"/>
    <n v="0"/>
    <n v="1"/>
  </r>
  <r>
    <s v="A2Q1BS4JJ10J8H"/>
    <s v="english"/>
    <s v="test"/>
    <x v="4"/>
    <x v="0"/>
    <s v="mo-h"/>
    <s v="ms-h"/>
    <s v="mo-l"/>
    <n v="0"/>
    <n v="1"/>
    <n v="1"/>
    <n v="1"/>
    <n v="0"/>
    <n v="0"/>
    <n v="1"/>
    <n v="0"/>
    <n v="1"/>
    <n v="0"/>
    <n v="1"/>
    <n v="0"/>
    <n v="0"/>
    <n v="0"/>
  </r>
  <r>
    <s v="A3LT7W355XOAKF"/>
    <s v="english"/>
    <s v="test"/>
    <x v="4"/>
    <x v="0"/>
    <s v="fa"/>
    <s v="mo-h"/>
    <s v="ms-h"/>
    <n v="0"/>
    <n v="1"/>
    <n v="0"/>
    <n v="1"/>
    <n v="0"/>
    <n v="0"/>
    <n v="1"/>
    <n v="0"/>
    <n v="1"/>
    <n v="0"/>
    <n v="1"/>
    <n v="0"/>
    <n v="0"/>
    <n v="0"/>
  </r>
  <r>
    <s v="A3LT7W355XOAKF"/>
    <s v="english"/>
    <s v="test"/>
    <x v="1"/>
    <x v="0"/>
    <s v="mo-l"/>
    <s v="fa"/>
    <s v="mo-h"/>
    <n v="0"/>
    <n v="1"/>
    <n v="1"/>
    <n v="0"/>
    <n v="0"/>
    <n v="0"/>
    <n v="1"/>
    <n v="0"/>
    <n v="1"/>
    <n v="1"/>
    <n v="0"/>
    <n v="0"/>
    <n v="0"/>
    <n v="0"/>
  </r>
  <r>
    <s v="A3LT7W355XOAKF"/>
    <s v="english"/>
    <s v="test"/>
    <x v="0"/>
    <x v="0"/>
    <s v="mo-h"/>
    <s v="fa"/>
    <s v="ms-h"/>
    <n v="0"/>
    <n v="1"/>
    <n v="0"/>
    <n v="1"/>
    <n v="0"/>
    <n v="0"/>
    <n v="1"/>
    <n v="0"/>
    <n v="1"/>
    <n v="0"/>
    <n v="1"/>
    <n v="0"/>
    <n v="0"/>
    <n v="0"/>
  </r>
  <r>
    <s v="A3LT7W355XOAKF"/>
    <s v="english"/>
    <s v="test"/>
    <x v="5"/>
    <x v="0"/>
    <s v="mo-l"/>
    <s v="ms-l"/>
    <s v="mo-h"/>
    <n v="0"/>
    <n v="1"/>
    <n v="1"/>
    <n v="0"/>
    <n v="1"/>
    <n v="0"/>
    <n v="1"/>
    <n v="0"/>
    <n v="1"/>
    <n v="1"/>
    <n v="0"/>
    <n v="1"/>
    <n v="0"/>
    <n v="0"/>
  </r>
  <r>
    <s v="A3LT7W355XOAKF"/>
    <s v="english"/>
    <s v="test"/>
    <x v="2"/>
    <x v="0"/>
    <s v="mo-l"/>
    <s v="mo-h"/>
    <s v="exh"/>
    <n v="1"/>
    <n v="1"/>
    <n v="1"/>
    <n v="0"/>
    <n v="0"/>
    <n v="0"/>
    <n v="1"/>
    <n v="1"/>
    <n v="1"/>
    <n v="1"/>
    <n v="0"/>
    <n v="0"/>
    <n v="0"/>
    <n v="0"/>
  </r>
  <r>
    <s v="A1CGDMOPDIC7EU"/>
    <s v="english"/>
    <s v="test"/>
    <x v="0"/>
    <x v="0"/>
    <s v="mo-h"/>
    <s v="ms-h"/>
    <s v="exh"/>
    <n v="1"/>
    <n v="1"/>
    <n v="0"/>
    <n v="1"/>
    <n v="0"/>
    <n v="0"/>
    <n v="1"/>
    <n v="0"/>
    <n v="1"/>
    <n v="0"/>
    <n v="0"/>
    <n v="0"/>
    <n v="0"/>
    <n v="0"/>
  </r>
  <r>
    <s v="A1CGDMOPDIC7EU"/>
    <s v="english"/>
    <s v="test"/>
    <x v="2"/>
    <x v="0"/>
    <s v="mo-l"/>
    <s v="mo-h"/>
    <s v="fa"/>
    <n v="0"/>
    <n v="1"/>
    <n v="1"/>
    <n v="0"/>
    <n v="0"/>
    <n v="0"/>
    <n v="1"/>
    <n v="0"/>
    <n v="1"/>
    <n v="0"/>
    <n v="0"/>
    <n v="0"/>
    <n v="0"/>
    <n v="0"/>
  </r>
  <r>
    <s v="A1CGDMOPDIC7EU"/>
    <s v="english"/>
    <s v="test"/>
    <x v="1"/>
    <x v="0"/>
    <s v="fa"/>
    <s v="ms-h"/>
    <s v="mo-h"/>
    <n v="0"/>
    <n v="1"/>
    <n v="0"/>
    <n v="1"/>
    <n v="0"/>
    <n v="0"/>
    <n v="1"/>
    <n v="0"/>
    <n v="1"/>
    <n v="0"/>
    <n v="1"/>
    <n v="0"/>
    <n v="0"/>
    <n v="0"/>
  </r>
  <r>
    <s v="A3AY0315YWWNXY"/>
    <s v="english"/>
    <s v="test"/>
    <x v="2"/>
    <x v="0"/>
    <s v="ms-l"/>
    <s v="fa"/>
    <s v="mo-h"/>
    <n v="0"/>
    <n v="1"/>
    <n v="0"/>
    <n v="0"/>
    <n v="1"/>
    <n v="0"/>
    <n v="1"/>
    <n v="0"/>
    <n v="1"/>
    <n v="0"/>
    <n v="0"/>
    <n v="0"/>
    <n v="0"/>
    <n v="0"/>
  </r>
  <r>
    <s v="A3AY0315YWWNXY"/>
    <s v="english"/>
    <s v="test"/>
    <x v="0"/>
    <x v="0"/>
    <s v="ms-l"/>
    <s v="fa"/>
    <s v="mo-h"/>
    <n v="0"/>
    <n v="1"/>
    <n v="0"/>
    <n v="0"/>
    <n v="1"/>
    <n v="0"/>
    <n v="1"/>
    <n v="0"/>
    <n v="1"/>
    <n v="0"/>
    <n v="0"/>
    <n v="0"/>
    <n v="0"/>
    <n v="0"/>
  </r>
  <r>
    <s v="A3AY0315YWWNXY"/>
    <s v="english"/>
    <s v="test"/>
    <x v="3"/>
    <x v="0"/>
    <s v="fa"/>
    <s v="mo-h"/>
    <s v="ms-h"/>
    <n v="0"/>
    <n v="1"/>
    <n v="0"/>
    <n v="1"/>
    <n v="0"/>
    <n v="0"/>
    <n v="1"/>
    <n v="0"/>
    <n v="1"/>
    <n v="0"/>
    <n v="1"/>
    <n v="0"/>
    <n v="0"/>
    <n v="0"/>
  </r>
  <r>
    <s v="AQKB8JSBEMXK9"/>
    <s v="english"/>
    <s v="test"/>
    <x v="2"/>
    <x v="0"/>
    <s v="fa"/>
    <s v="mo-h"/>
    <s v="mo-l"/>
    <n v="0"/>
    <n v="1"/>
    <n v="1"/>
    <n v="0"/>
    <n v="0"/>
    <n v="0"/>
    <n v="1"/>
    <n v="0"/>
    <n v="1"/>
    <n v="0"/>
    <n v="0"/>
    <n v="0"/>
    <n v="0"/>
    <n v="0"/>
  </r>
  <r>
    <s v="A8KX1HFH8NE2Q"/>
    <s v="english"/>
    <s v="test"/>
    <x v="4"/>
    <x v="0"/>
    <s v="fa"/>
    <s v="mo-h"/>
    <s v="exh"/>
    <n v="1"/>
    <n v="1"/>
    <n v="0"/>
    <n v="0"/>
    <n v="0"/>
    <n v="0"/>
    <n v="1"/>
    <n v="0"/>
    <n v="1"/>
    <n v="0"/>
    <n v="0"/>
    <n v="0"/>
    <n v="0"/>
    <n v="0"/>
  </r>
  <r>
    <s v="A8KX1HFH8NE2Q"/>
    <s v="english"/>
    <s v="test"/>
    <x v="2"/>
    <x v="0"/>
    <s v="exh"/>
    <s v="mo-h"/>
    <s v="mo-l"/>
    <n v="1"/>
    <n v="1"/>
    <n v="1"/>
    <n v="0"/>
    <n v="0"/>
    <n v="0"/>
    <n v="1"/>
    <n v="0"/>
    <n v="1"/>
    <n v="0"/>
    <n v="0"/>
    <n v="0"/>
    <n v="0"/>
    <n v="0"/>
  </r>
  <r>
    <s v="A8KX1HFH8NE2Q"/>
    <s v="english"/>
    <s v="test"/>
    <x v="5"/>
    <x v="0"/>
    <s v="ms-h"/>
    <s v="mo-l"/>
    <s v="mo-h"/>
    <n v="0"/>
    <n v="1"/>
    <n v="1"/>
    <n v="1"/>
    <n v="0"/>
    <n v="0"/>
    <n v="1"/>
    <n v="0"/>
    <n v="1"/>
    <n v="0"/>
    <n v="0"/>
    <n v="0"/>
    <n v="0"/>
    <n v="0"/>
  </r>
  <r>
    <s v="A8KX1HFH8NE2Q"/>
    <s v="english"/>
    <s v="test"/>
    <x v="1"/>
    <x v="0"/>
    <s v="mo-h"/>
    <s v="ms-h"/>
    <s v="mo-l"/>
    <n v="0"/>
    <n v="1"/>
    <n v="1"/>
    <n v="1"/>
    <n v="0"/>
    <n v="0"/>
    <n v="1"/>
    <n v="0"/>
    <n v="1"/>
    <n v="0"/>
    <n v="0"/>
    <n v="0"/>
    <n v="0"/>
    <n v="0"/>
  </r>
  <r>
    <s v="AKHH4W14A6AN9"/>
    <s v="english"/>
    <s v="test"/>
    <x v="2"/>
    <x v="0"/>
    <s v="mo-h"/>
    <s v="ms-h"/>
    <s v="ms-l"/>
    <n v="0"/>
    <n v="1"/>
    <n v="0"/>
    <n v="1"/>
    <n v="1"/>
    <n v="0"/>
    <n v="1"/>
    <n v="0"/>
    <n v="1"/>
    <n v="0"/>
    <n v="1"/>
    <n v="1"/>
    <n v="0"/>
    <n v="0"/>
  </r>
  <r>
    <s v="A3KCZB9IL6CVH"/>
    <s v="english"/>
    <s v="test"/>
    <x v="4"/>
    <x v="0"/>
    <s v="mo-h"/>
    <s v="mo-l"/>
    <s v="exh"/>
    <n v="1"/>
    <n v="1"/>
    <n v="1"/>
    <n v="0"/>
    <n v="0"/>
    <n v="0"/>
    <n v="1"/>
    <n v="0"/>
    <n v="1"/>
    <n v="0"/>
    <n v="0"/>
    <n v="0"/>
    <n v="0"/>
    <n v="0"/>
  </r>
  <r>
    <s v="A3KCZB9IL6CVH"/>
    <s v="english"/>
    <s v="test"/>
    <x v="1"/>
    <x v="0"/>
    <s v="ms-l"/>
    <s v="mo-h"/>
    <s v="ms-h"/>
    <n v="0"/>
    <n v="1"/>
    <n v="0"/>
    <n v="1"/>
    <n v="1"/>
    <n v="0"/>
    <n v="1"/>
    <n v="0"/>
    <n v="1"/>
    <n v="0"/>
    <n v="1"/>
    <n v="0"/>
    <n v="0"/>
    <n v="0"/>
  </r>
  <r>
    <s v="A27K37YQZDPER6"/>
    <s v="english"/>
    <s v="test"/>
    <x v="1"/>
    <x v="0"/>
    <s v="mo-h"/>
    <s v="mo-l"/>
    <s v="ms-h"/>
    <n v="0"/>
    <n v="1"/>
    <n v="1"/>
    <n v="1"/>
    <n v="0"/>
    <n v="0"/>
    <n v="1"/>
    <n v="0"/>
    <n v="1"/>
    <n v="1"/>
    <n v="1"/>
    <n v="0"/>
    <n v="0"/>
    <n v="0"/>
  </r>
  <r>
    <s v="A3KE35E6VK782J"/>
    <s v="english"/>
    <s v="test"/>
    <x v="3"/>
    <x v="0"/>
    <s v="exh"/>
    <s v="mo-l"/>
    <s v="mo-h"/>
    <n v="1"/>
    <n v="1"/>
    <n v="1"/>
    <n v="0"/>
    <n v="0"/>
    <n v="0"/>
    <n v="1"/>
    <n v="0"/>
    <n v="1"/>
    <n v="0"/>
    <n v="0"/>
    <n v="0"/>
    <n v="0"/>
    <n v="0"/>
  </r>
  <r>
    <s v="A3KE35E6VK782J"/>
    <s v="english"/>
    <s v="test"/>
    <x v="5"/>
    <x v="0"/>
    <s v="ms-h"/>
    <s v="mo-h"/>
    <s v="fa"/>
    <n v="0"/>
    <n v="1"/>
    <n v="0"/>
    <n v="1"/>
    <n v="0"/>
    <n v="0"/>
    <n v="1"/>
    <n v="0"/>
    <n v="1"/>
    <n v="0"/>
    <n v="1"/>
    <n v="0"/>
    <n v="0"/>
    <n v="0"/>
  </r>
  <r>
    <s v="A3KE35E6VK782J"/>
    <s v="english"/>
    <s v="test"/>
    <x v="2"/>
    <x v="0"/>
    <s v="ms-l"/>
    <s v="ms-h"/>
    <s v="mo-h"/>
    <n v="0"/>
    <n v="1"/>
    <n v="0"/>
    <n v="1"/>
    <n v="1"/>
    <n v="0"/>
    <n v="1"/>
    <n v="0"/>
    <n v="1"/>
    <n v="0"/>
    <n v="1"/>
    <n v="0"/>
    <n v="0"/>
    <n v="0"/>
  </r>
  <r>
    <s v="A1ODA3Q5H6HTDQ"/>
    <s v="english"/>
    <s v="test"/>
    <x v="0"/>
    <x v="0"/>
    <s v="mo-l"/>
    <s v="mo-h"/>
    <s v="exh"/>
    <n v="1"/>
    <n v="1"/>
    <n v="1"/>
    <n v="0"/>
    <n v="0"/>
    <n v="0"/>
    <n v="1"/>
    <n v="0"/>
    <n v="1"/>
    <n v="0"/>
    <n v="0"/>
    <n v="0"/>
    <n v="0"/>
    <n v="0"/>
  </r>
  <r>
    <s v="A1ODA3Q5H6HTDQ"/>
    <s v="english"/>
    <s v="test"/>
    <x v="3"/>
    <x v="0"/>
    <s v="mo-l"/>
    <s v="fa"/>
    <s v="mo-h"/>
    <n v="0"/>
    <n v="1"/>
    <n v="1"/>
    <n v="0"/>
    <n v="0"/>
    <n v="0"/>
    <n v="1"/>
    <n v="0"/>
    <n v="1"/>
    <n v="1"/>
    <n v="0"/>
    <n v="0"/>
    <n v="0"/>
    <n v="0"/>
  </r>
  <r>
    <s v="A1ODA3Q5H6HTDQ"/>
    <s v="english"/>
    <s v="test"/>
    <x v="2"/>
    <x v="0"/>
    <s v="fa"/>
    <s v="mo-h"/>
    <s v="exh"/>
    <n v="1"/>
    <n v="1"/>
    <n v="0"/>
    <n v="0"/>
    <n v="0"/>
    <n v="0"/>
    <n v="1"/>
    <n v="1"/>
    <n v="1"/>
    <n v="0"/>
    <n v="0"/>
    <n v="0"/>
    <n v="0"/>
    <n v="0"/>
  </r>
  <r>
    <s v="A1ODA3Q5H6HTDQ"/>
    <s v="english"/>
    <s v="test"/>
    <x v="1"/>
    <x v="0"/>
    <s v="ms-h"/>
    <s v="mo-l"/>
    <s v="mo-h"/>
    <n v="0"/>
    <n v="1"/>
    <n v="1"/>
    <n v="1"/>
    <n v="0"/>
    <n v="0"/>
    <n v="1"/>
    <n v="0"/>
    <n v="1"/>
    <n v="1"/>
    <n v="1"/>
    <n v="0"/>
    <n v="0"/>
    <n v="0"/>
  </r>
  <r>
    <s v="A9HQ3E0F2AGVO"/>
    <s v="english"/>
    <s v="test"/>
    <x v="0"/>
    <x v="0"/>
    <s v="fa"/>
    <s v="ms-l"/>
    <s v="mo-h"/>
    <n v="0"/>
    <n v="1"/>
    <n v="0"/>
    <n v="0"/>
    <n v="1"/>
    <n v="0"/>
    <n v="1"/>
    <n v="0"/>
    <n v="1"/>
    <n v="0"/>
    <n v="0"/>
    <n v="0"/>
    <n v="0"/>
    <n v="0"/>
  </r>
  <r>
    <s v="A9HQ3E0F2AGVO"/>
    <s v="english"/>
    <s v="test"/>
    <x v="5"/>
    <x v="0"/>
    <s v="mo-l"/>
    <s v="ms-l"/>
    <s v="mo-h"/>
    <n v="0"/>
    <n v="1"/>
    <n v="1"/>
    <n v="0"/>
    <n v="1"/>
    <n v="0"/>
    <n v="1"/>
    <n v="0"/>
    <n v="1"/>
    <n v="0"/>
    <n v="0"/>
    <n v="0"/>
    <n v="0"/>
    <n v="0"/>
  </r>
  <r>
    <s v="A221N4JDWK8XK0"/>
    <s v="english"/>
    <s v="test"/>
    <x v="3"/>
    <x v="0"/>
    <s v="ms-h"/>
    <s v="mo-l"/>
    <s v="mo-h"/>
    <n v="0"/>
    <n v="1"/>
    <n v="1"/>
    <n v="1"/>
    <n v="0"/>
    <n v="0"/>
    <n v="1"/>
    <n v="0"/>
    <n v="1"/>
    <n v="0"/>
    <n v="0"/>
    <n v="0"/>
    <n v="0"/>
    <n v="0"/>
  </r>
  <r>
    <s v="A1KTPYX40PRLVW"/>
    <s v="english"/>
    <s v="test"/>
    <x v="4"/>
    <x v="0"/>
    <s v="fa"/>
    <s v="ms-h"/>
    <s v="mo-h"/>
    <n v="0"/>
    <n v="1"/>
    <n v="0"/>
    <n v="1"/>
    <n v="0"/>
    <n v="0"/>
    <n v="1"/>
    <n v="0"/>
    <n v="1"/>
    <n v="0"/>
    <n v="1"/>
    <n v="0"/>
    <n v="0"/>
    <n v="0"/>
  </r>
  <r>
    <s v="A1KTPYX40PRLVW"/>
    <s v="english"/>
    <s v="test"/>
    <x v="2"/>
    <x v="0"/>
    <s v="mo-h"/>
    <s v="mo-l"/>
    <s v="fa"/>
    <n v="0"/>
    <n v="1"/>
    <n v="1"/>
    <n v="0"/>
    <n v="0"/>
    <n v="0"/>
    <n v="1"/>
    <n v="0"/>
    <n v="1"/>
    <n v="0"/>
    <n v="0"/>
    <n v="0"/>
    <n v="0"/>
    <n v="0"/>
  </r>
  <r>
    <s v="A1KTPYX40PRLVW"/>
    <s v="english"/>
    <s v="test"/>
    <x v="0"/>
    <x v="0"/>
    <s v="ms-l"/>
    <s v="mo-h"/>
    <s v="fa"/>
    <n v="0"/>
    <n v="1"/>
    <n v="0"/>
    <n v="0"/>
    <n v="1"/>
    <n v="0"/>
    <n v="1"/>
    <n v="0"/>
    <n v="1"/>
    <n v="0"/>
    <n v="0"/>
    <n v="0"/>
    <n v="0"/>
    <n v="0"/>
  </r>
  <r>
    <s v="A372F1FDPWXBY3"/>
    <s v="english"/>
    <s v="test"/>
    <x v="3"/>
    <x v="0"/>
    <s v="mo-h"/>
    <s v="mo-l"/>
    <s v="ms-h"/>
    <n v="0"/>
    <n v="1"/>
    <n v="1"/>
    <n v="1"/>
    <n v="0"/>
    <n v="0"/>
    <n v="1"/>
    <n v="0"/>
    <n v="1"/>
    <n v="1"/>
    <n v="1"/>
    <n v="0"/>
    <n v="0"/>
    <n v="0"/>
  </r>
  <r>
    <s v="A372F1FDPWXBY3"/>
    <s v="english"/>
    <s v="test"/>
    <x v="4"/>
    <x v="0"/>
    <s v="ms-h"/>
    <s v="ms-l"/>
    <s v="mo-h"/>
    <n v="0"/>
    <n v="1"/>
    <n v="0"/>
    <n v="1"/>
    <n v="1"/>
    <n v="0"/>
    <n v="1"/>
    <n v="0"/>
    <n v="1"/>
    <n v="0"/>
    <n v="1"/>
    <n v="1"/>
    <n v="0"/>
    <n v="0"/>
  </r>
  <r>
    <s v="A372F1FDPWXBY3"/>
    <s v="english"/>
    <s v="test"/>
    <x v="1"/>
    <x v="0"/>
    <s v="mo-l"/>
    <s v="mo-h"/>
    <s v="ms-l"/>
    <n v="0"/>
    <n v="1"/>
    <n v="1"/>
    <n v="0"/>
    <n v="1"/>
    <n v="0"/>
    <n v="1"/>
    <n v="0"/>
    <n v="1"/>
    <n v="1"/>
    <n v="0"/>
    <n v="1"/>
    <n v="0"/>
    <n v="0"/>
  </r>
  <r>
    <s v="A3V8RZYN8NBK2O"/>
    <s v="english"/>
    <s v="test"/>
    <x v="1"/>
    <x v="0"/>
    <s v="mo-h"/>
    <s v="mo-l"/>
    <s v="ms-l"/>
    <n v="0"/>
    <n v="1"/>
    <n v="1"/>
    <n v="0"/>
    <n v="1"/>
    <n v="0"/>
    <n v="1"/>
    <n v="0"/>
    <n v="1"/>
    <n v="0"/>
    <n v="0"/>
    <n v="0"/>
    <n v="0"/>
    <n v="0"/>
  </r>
  <r>
    <s v="A3V8RZYN8NBK2O"/>
    <s v="english"/>
    <s v="test"/>
    <x v="2"/>
    <x v="0"/>
    <s v="mo-l"/>
    <s v="mo-h"/>
    <s v="ms-l"/>
    <n v="0"/>
    <n v="1"/>
    <n v="1"/>
    <n v="0"/>
    <n v="1"/>
    <n v="0"/>
    <n v="1"/>
    <n v="0"/>
    <n v="1"/>
    <n v="0"/>
    <n v="0"/>
    <n v="0"/>
    <n v="0"/>
    <n v="0"/>
  </r>
  <r>
    <s v="A3V8RZYN8NBK2O"/>
    <s v="english"/>
    <s v="test"/>
    <x v="4"/>
    <x v="0"/>
    <s v="mo-l"/>
    <s v="mo-h"/>
    <s v="exh"/>
    <n v="1"/>
    <n v="1"/>
    <n v="1"/>
    <n v="0"/>
    <n v="0"/>
    <n v="0"/>
    <n v="1"/>
    <n v="1"/>
    <n v="1"/>
    <n v="1"/>
    <n v="0"/>
    <n v="0"/>
    <n v="0"/>
    <n v="0"/>
  </r>
  <r>
    <s v="A107RJSS561Y7R"/>
    <s v="english"/>
    <s v="test"/>
    <x v="2"/>
    <x v="0"/>
    <s v="ms-l"/>
    <s v="ms-h"/>
    <s v="mo-h"/>
    <n v="0"/>
    <n v="1"/>
    <n v="0"/>
    <n v="1"/>
    <n v="1"/>
    <n v="0"/>
    <n v="1"/>
    <n v="0"/>
    <n v="1"/>
    <n v="0"/>
    <n v="0"/>
    <n v="0"/>
    <n v="0"/>
    <n v="0"/>
  </r>
  <r>
    <s v="A107RJSS561Y7R"/>
    <s v="english"/>
    <s v="test"/>
    <x v="1"/>
    <x v="0"/>
    <s v="ms-l"/>
    <s v="ms-h"/>
    <s v="mo-h"/>
    <n v="0"/>
    <n v="1"/>
    <n v="0"/>
    <n v="1"/>
    <n v="1"/>
    <n v="0"/>
    <n v="1"/>
    <n v="0"/>
    <n v="1"/>
    <n v="0"/>
    <n v="0"/>
    <n v="0"/>
    <n v="0"/>
    <n v="0"/>
  </r>
  <r>
    <s v="A107RJSS561Y7R"/>
    <s v="english"/>
    <s v="test"/>
    <x v="3"/>
    <x v="0"/>
    <s v="mo-h"/>
    <s v="ms-h"/>
    <s v="mo-l"/>
    <n v="0"/>
    <n v="1"/>
    <n v="1"/>
    <n v="1"/>
    <n v="0"/>
    <n v="0"/>
    <n v="1"/>
    <n v="0"/>
    <n v="1"/>
    <n v="0"/>
    <n v="0"/>
    <n v="0"/>
    <n v="0"/>
    <n v="0"/>
  </r>
  <r>
    <s v="A107RJSS561Y7R"/>
    <s v="english"/>
    <s v="test"/>
    <x v="0"/>
    <x v="0"/>
    <s v="mo-l"/>
    <s v="ms-l"/>
    <s v="mo-h"/>
    <n v="0"/>
    <n v="1"/>
    <n v="1"/>
    <n v="0"/>
    <n v="1"/>
    <n v="0"/>
    <n v="1"/>
    <n v="0"/>
    <n v="1"/>
    <n v="0"/>
    <n v="0"/>
    <n v="0"/>
    <n v="0"/>
    <n v="0"/>
  </r>
  <r>
    <s v="A107RJSS561Y7R"/>
    <s v="english"/>
    <s v="test"/>
    <x v="4"/>
    <x v="0"/>
    <s v="mo-h"/>
    <s v="ms-l"/>
    <s v="ms-h"/>
    <n v="0"/>
    <n v="1"/>
    <n v="0"/>
    <n v="1"/>
    <n v="1"/>
    <n v="0"/>
    <n v="1"/>
    <n v="0"/>
    <n v="1"/>
    <n v="0"/>
    <n v="0"/>
    <n v="0"/>
    <n v="0"/>
    <n v="0"/>
  </r>
  <r>
    <s v="A2NZ7RMSBXESNI"/>
    <s v="english"/>
    <s v="test"/>
    <x v="1"/>
    <x v="0"/>
    <s v="ms-h"/>
    <s v="mo-h"/>
    <s v="ms-l"/>
    <n v="0"/>
    <n v="1"/>
    <n v="0"/>
    <n v="1"/>
    <n v="1"/>
    <n v="0"/>
    <n v="1"/>
    <n v="0"/>
    <n v="1"/>
    <n v="0"/>
    <n v="1"/>
    <n v="0"/>
    <n v="0"/>
    <n v="0"/>
  </r>
  <r>
    <s v="A2NZ7RMSBXESNI"/>
    <s v="english"/>
    <s v="test"/>
    <x v="0"/>
    <x v="0"/>
    <s v="mo-l"/>
    <s v="ms-l"/>
    <s v="mo-h"/>
    <n v="0"/>
    <n v="1"/>
    <n v="1"/>
    <n v="0"/>
    <n v="1"/>
    <n v="0"/>
    <n v="1"/>
    <n v="0"/>
    <n v="1"/>
    <n v="0"/>
    <n v="0"/>
    <n v="0"/>
    <n v="0"/>
    <n v="0"/>
  </r>
  <r>
    <s v="A2WKZI3JQCE3Z6"/>
    <s v="english"/>
    <s v="test"/>
    <x v="2"/>
    <x v="0"/>
    <s v="ms-l"/>
    <s v="mo-h"/>
    <s v="fa"/>
    <n v="0"/>
    <n v="1"/>
    <n v="0"/>
    <n v="0"/>
    <n v="1"/>
    <n v="0"/>
    <n v="1"/>
    <n v="0"/>
    <n v="1"/>
    <n v="0"/>
    <n v="0"/>
    <n v="0"/>
    <n v="0"/>
    <n v="0"/>
  </r>
  <r>
    <s v="A2WKZI3JQCE3Z6"/>
    <s v="english"/>
    <s v="test"/>
    <x v="4"/>
    <x v="0"/>
    <s v="mo-h"/>
    <s v="fa"/>
    <s v="exh"/>
    <n v="1"/>
    <n v="1"/>
    <n v="0"/>
    <n v="0"/>
    <n v="0"/>
    <n v="0"/>
    <n v="1"/>
    <n v="1"/>
    <n v="1"/>
    <n v="0"/>
    <n v="0"/>
    <n v="0"/>
    <n v="0"/>
    <n v="0"/>
  </r>
  <r>
    <s v="A2WKZI3JQCE3Z6"/>
    <s v="english"/>
    <s v="test"/>
    <x v="0"/>
    <x v="0"/>
    <s v="ms-l"/>
    <s v="fa"/>
    <s v="mo-h"/>
    <n v="0"/>
    <n v="1"/>
    <n v="0"/>
    <n v="0"/>
    <n v="1"/>
    <n v="0"/>
    <n v="1"/>
    <n v="0"/>
    <n v="1"/>
    <n v="0"/>
    <n v="0"/>
    <n v="1"/>
    <n v="0"/>
    <n v="0"/>
  </r>
  <r>
    <s v="A1HXEXQTZCJ1DW"/>
    <s v="english"/>
    <s v="test"/>
    <x v="1"/>
    <x v="0"/>
    <s v="mo-l"/>
    <s v="ms-l"/>
    <s v="mo-h"/>
    <n v="0"/>
    <n v="1"/>
    <n v="1"/>
    <n v="0"/>
    <n v="1"/>
    <n v="0"/>
    <n v="1"/>
    <n v="0"/>
    <n v="1"/>
    <n v="0"/>
    <n v="0"/>
    <n v="0"/>
    <n v="0"/>
    <n v="0"/>
  </r>
  <r>
    <s v="A1HXEXQTZCJ1DW"/>
    <s v="english"/>
    <s v="test"/>
    <x v="4"/>
    <x v="0"/>
    <s v="mo-h"/>
    <s v="fa"/>
    <s v="mo-l"/>
    <n v="0"/>
    <n v="1"/>
    <n v="1"/>
    <n v="0"/>
    <n v="0"/>
    <n v="0"/>
    <n v="1"/>
    <n v="0"/>
    <n v="1"/>
    <n v="0"/>
    <n v="0"/>
    <n v="0"/>
    <n v="0"/>
    <n v="0"/>
  </r>
  <r>
    <s v="A1E1ZAHNCSVLIT"/>
    <s v="english"/>
    <s v="test"/>
    <x v="2"/>
    <x v="0"/>
    <s v="mo-l"/>
    <s v="mo-h"/>
    <s v="fa"/>
    <n v="0"/>
    <n v="1"/>
    <n v="1"/>
    <n v="0"/>
    <n v="0"/>
    <n v="0"/>
    <n v="1"/>
    <n v="0"/>
    <n v="1"/>
    <n v="1"/>
    <n v="0"/>
    <n v="0"/>
    <n v="0"/>
    <n v="0"/>
  </r>
  <r>
    <s v="A1E1ZAHNCSVLIT"/>
    <s v="english"/>
    <s v="test"/>
    <x v="3"/>
    <x v="0"/>
    <s v="mo-h"/>
    <s v="ms-h"/>
    <s v="mo-l"/>
    <n v="0"/>
    <n v="1"/>
    <n v="1"/>
    <n v="1"/>
    <n v="0"/>
    <n v="0"/>
    <n v="1"/>
    <n v="0"/>
    <n v="1"/>
    <n v="1"/>
    <n v="1"/>
    <n v="0"/>
    <n v="0"/>
    <n v="0"/>
  </r>
  <r>
    <s v="A1E1ZAHNCSVLIT"/>
    <s v="english"/>
    <s v="test"/>
    <x v="1"/>
    <x v="0"/>
    <s v="ms-l"/>
    <s v="mo-h"/>
    <s v="ms-h"/>
    <n v="0"/>
    <n v="1"/>
    <n v="0"/>
    <n v="1"/>
    <n v="1"/>
    <n v="0"/>
    <n v="1"/>
    <n v="0"/>
    <n v="1"/>
    <n v="0"/>
    <n v="1"/>
    <n v="1"/>
    <n v="0"/>
    <n v="0"/>
  </r>
  <r>
    <s v="A1FS8SBR4SDWYG"/>
    <s v="english"/>
    <s v="test"/>
    <x v="2"/>
    <x v="0"/>
    <s v="mo-l"/>
    <s v="fa"/>
    <s v="mo-h"/>
    <n v="0"/>
    <n v="1"/>
    <n v="1"/>
    <n v="0"/>
    <n v="0"/>
    <n v="0"/>
    <n v="1"/>
    <n v="0"/>
    <n v="1"/>
    <n v="1"/>
    <n v="0"/>
    <n v="0"/>
    <n v="0"/>
    <n v="0"/>
  </r>
  <r>
    <s v="A1FS8SBR4SDWYG"/>
    <s v="english"/>
    <s v="test"/>
    <x v="1"/>
    <x v="0"/>
    <s v="mo-h"/>
    <s v="ms-h"/>
    <s v="mo-l"/>
    <n v="0"/>
    <n v="1"/>
    <n v="1"/>
    <n v="1"/>
    <n v="0"/>
    <n v="0"/>
    <n v="1"/>
    <n v="0"/>
    <n v="1"/>
    <n v="1"/>
    <n v="1"/>
    <n v="0"/>
    <n v="0"/>
    <n v="0"/>
  </r>
  <r>
    <s v="A1FS8SBR4SDWYG"/>
    <s v="english"/>
    <s v="test"/>
    <x v="3"/>
    <x v="0"/>
    <s v="fa"/>
    <s v="ms-l"/>
    <s v="mo-h"/>
    <n v="0"/>
    <n v="1"/>
    <n v="0"/>
    <n v="0"/>
    <n v="1"/>
    <n v="0"/>
    <n v="1"/>
    <n v="0"/>
    <n v="1"/>
    <n v="0"/>
    <n v="0"/>
    <n v="1"/>
    <n v="0"/>
    <n v="0"/>
  </r>
  <r>
    <s v="A24L4Y8HCZSUIF"/>
    <s v="english"/>
    <s v="test"/>
    <x v="3"/>
    <x v="0"/>
    <s v="ms-l"/>
    <s v="exh"/>
    <s v="mo-h"/>
    <n v="1"/>
    <n v="1"/>
    <n v="0"/>
    <n v="0"/>
    <n v="1"/>
    <n v="0"/>
    <n v="1"/>
    <n v="1"/>
    <n v="1"/>
    <n v="0"/>
    <n v="0"/>
    <n v="1"/>
    <n v="0"/>
    <n v="0"/>
  </r>
  <r>
    <s v="A24L4Y8HCZSUIF"/>
    <s v="english"/>
    <s v="test"/>
    <x v="4"/>
    <x v="0"/>
    <s v="ms-h"/>
    <s v="mo-h"/>
    <s v="fa"/>
    <n v="0"/>
    <n v="1"/>
    <n v="0"/>
    <n v="1"/>
    <n v="0"/>
    <n v="0"/>
    <n v="1"/>
    <n v="0"/>
    <n v="1"/>
    <n v="0"/>
    <n v="1"/>
    <n v="0"/>
    <n v="0"/>
    <n v="0"/>
  </r>
  <r>
    <s v="A24L4Y8HCZSUIF"/>
    <s v="english"/>
    <s v="test"/>
    <x v="2"/>
    <x v="0"/>
    <s v="mo-l"/>
    <s v="mo-h"/>
    <s v="ms-l"/>
    <n v="0"/>
    <n v="1"/>
    <n v="1"/>
    <n v="0"/>
    <n v="1"/>
    <n v="0"/>
    <n v="1"/>
    <n v="0"/>
    <n v="1"/>
    <n v="1"/>
    <n v="0"/>
    <n v="1"/>
    <n v="0"/>
    <n v="0"/>
  </r>
  <r>
    <s v="A1PAMVTKGCXSWQ"/>
    <s v="english"/>
    <s v="test"/>
    <x v="2"/>
    <x v="0"/>
    <s v="ms-h"/>
    <s v="mo-h"/>
    <s v="fa"/>
    <n v="0"/>
    <n v="1"/>
    <n v="0"/>
    <n v="1"/>
    <n v="0"/>
    <n v="0"/>
    <n v="1"/>
    <n v="0"/>
    <n v="1"/>
    <n v="0"/>
    <n v="1"/>
    <n v="0"/>
    <n v="0"/>
    <n v="0"/>
  </r>
  <r>
    <s v="A1PAMVTKGCXSWQ"/>
    <s v="english"/>
    <s v="test"/>
    <x v="1"/>
    <x v="0"/>
    <s v="ms-h"/>
    <s v="ms-l"/>
    <s v="mo-h"/>
    <n v="0"/>
    <n v="1"/>
    <n v="0"/>
    <n v="1"/>
    <n v="1"/>
    <n v="0"/>
    <n v="1"/>
    <n v="0"/>
    <n v="1"/>
    <n v="0"/>
    <n v="1"/>
    <n v="0"/>
    <n v="0"/>
    <n v="0"/>
  </r>
  <r>
    <s v="A3VD9VK9NLEVMN"/>
    <s v="english"/>
    <s v="test"/>
    <x v="4"/>
    <x v="0"/>
    <s v="ms-h"/>
    <s v="mo-l"/>
    <s v="mo-h"/>
    <n v="0"/>
    <n v="1"/>
    <n v="1"/>
    <n v="1"/>
    <n v="0"/>
    <n v="0"/>
    <n v="1"/>
    <n v="0"/>
    <n v="1"/>
    <n v="1"/>
    <n v="1"/>
    <n v="0"/>
    <n v="0"/>
    <n v="0"/>
  </r>
  <r>
    <s v="A3VD9VK9NLEVMN"/>
    <s v="english"/>
    <s v="test"/>
    <x v="2"/>
    <x v="0"/>
    <s v="mo-h"/>
    <s v="mo-l"/>
    <s v="ms-h"/>
    <n v="0"/>
    <n v="1"/>
    <n v="1"/>
    <n v="1"/>
    <n v="0"/>
    <n v="0"/>
    <n v="1"/>
    <n v="0"/>
    <n v="1"/>
    <n v="1"/>
    <n v="1"/>
    <n v="0"/>
    <n v="0"/>
    <n v="0"/>
  </r>
  <r>
    <s v="A3VD9VK9NLEVMN"/>
    <s v="english"/>
    <s v="test"/>
    <x v="3"/>
    <x v="0"/>
    <s v="mo-h"/>
    <s v="ms-h"/>
    <s v="fa"/>
    <n v="0"/>
    <n v="1"/>
    <n v="0"/>
    <n v="1"/>
    <n v="0"/>
    <n v="0"/>
    <n v="1"/>
    <n v="0"/>
    <n v="1"/>
    <n v="0"/>
    <n v="1"/>
    <n v="0"/>
    <n v="0"/>
    <n v="0"/>
  </r>
  <r>
    <s v="A1IJ86B8ZRKXBI"/>
    <s v="english"/>
    <s v="test"/>
    <x v="2"/>
    <x v="0"/>
    <s v="ms-l"/>
    <s v="mo-h"/>
    <s v="ms-h"/>
    <n v="0"/>
    <n v="1"/>
    <n v="0"/>
    <n v="1"/>
    <n v="1"/>
    <n v="0"/>
    <n v="1"/>
    <n v="0"/>
    <n v="1"/>
    <n v="0"/>
    <n v="1"/>
    <n v="0"/>
    <n v="0"/>
    <n v="0"/>
  </r>
  <r>
    <s v="A1IJ86B8ZRKXBI"/>
    <s v="english"/>
    <s v="test"/>
    <x v="0"/>
    <x v="0"/>
    <s v="exh"/>
    <s v="mo-l"/>
    <s v="mo-h"/>
    <n v="1"/>
    <n v="1"/>
    <n v="1"/>
    <n v="0"/>
    <n v="0"/>
    <n v="0"/>
    <n v="1"/>
    <n v="0"/>
    <n v="1"/>
    <n v="0"/>
    <n v="0"/>
    <n v="0"/>
    <n v="0"/>
    <n v="0"/>
  </r>
  <r>
    <s v="A1IJ86B8ZRKXBI"/>
    <s v="english"/>
    <s v="test"/>
    <x v="3"/>
    <x v="0"/>
    <s v="mo-l"/>
    <s v="ms-h"/>
    <s v="mo-h"/>
    <n v="0"/>
    <n v="1"/>
    <n v="1"/>
    <n v="1"/>
    <n v="0"/>
    <n v="0"/>
    <n v="1"/>
    <n v="0"/>
    <n v="1"/>
    <n v="0"/>
    <n v="1"/>
    <n v="0"/>
    <n v="0"/>
    <n v="0"/>
  </r>
  <r>
    <s v="A1IJ86B8ZRKXBI"/>
    <s v="english"/>
    <s v="test"/>
    <x v="5"/>
    <x v="0"/>
    <s v="mo-h"/>
    <s v="ms-l"/>
    <s v="mo-l"/>
    <n v="0"/>
    <n v="1"/>
    <n v="1"/>
    <n v="0"/>
    <n v="1"/>
    <n v="0"/>
    <n v="1"/>
    <n v="0"/>
    <n v="1"/>
    <n v="0"/>
    <n v="0"/>
    <n v="0"/>
    <n v="0"/>
    <n v="0"/>
  </r>
  <r>
    <s v="A1IJ86B8ZRKXBI"/>
    <s v="english"/>
    <s v="test"/>
    <x v="1"/>
    <x v="0"/>
    <s v="ms-l"/>
    <s v="mo-l"/>
    <s v="mo-h"/>
    <n v="0"/>
    <n v="1"/>
    <n v="1"/>
    <n v="0"/>
    <n v="1"/>
    <n v="0"/>
    <n v="1"/>
    <n v="0"/>
    <n v="1"/>
    <n v="0"/>
    <n v="0"/>
    <n v="0"/>
    <n v="0"/>
    <n v="0"/>
  </r>
  <r>
    <s v="A269SNLVQZNFE6"/>
    <s v="Romanian"/>
    <s v="test"/>
    <x v="0"/>
    <x v="0"/>
    <s v="ms-l"/>
    <s v="mo-h"/>
    <s v="ms-h"/>
    <n v="0"/>
    <n v="1"/>
    <n v="0"/>
    <n v="1"/>
    <n v="1"/>
    <n v="0"/>
    <n v="1"/>
    <n v="0"/>
    <n v="1"/>
    <n v="0"/>
    <n v="0"/>
    <n v="0"/>
    <n v="0"/>
    <n v="0"/>
  </r>
  <r>
    <s v="A3NK47PYLGRNFC"/>
    <s v="english"/>
    <s v="test"/>
    <x v="1"/>
    <x v="0"/>
    <s v="mo-l"/>
    <s v="fa"/>
    <s v="mo-h"/>
    <n v="0"/>
    <n v="1"/>
    <n v="1"/>
    <n v="0"/>
    <n v="0"/>
    <n v="0"/>
    <n v="1"/>
    <n v="0"/>
    <n v="1"/>
    <n v="1"/>
    <n v="0"/>
    <n v="0"/>
    <n v="0"/>
    <n v="0"/>
  </r>
  <r>
    <s v="A3NK47PYLGRNFC"/>
    <s v="english"/>
    <s v="test"/>
    <x v="2"/>
    <x v="0"/>
    <s v="mo-h"/>
    <s v="mo-l"/>
    <s v="ms-l"/>
    <n v="0"/>
    <n v="1"/>
    <n v="1"/>
    <n v="0"/>
    <n v="1"/>
    <n v="0"/>
    <n v="1"/>
    <n v="0"/>
    <n v="1"/>
    <n v="1"/>
    <n v="0"/>
    <n v="1"/>
    <n v="0"/>
    <n v="0"/>
  </r>
  <r>
    <s v="AVXEDARJC5HLU"/>
    <s v="english"/>
    <s v="test"/>
    <x v="2"/>
    <x v="0"/>
    <s v="mo-h"/>
    <s v="mo-l"/>
    <s v="ms-l"/>
    <n v="0"/>
    <n v="1"/>
    <n v="1"/>
    <n v="0"/>
    <n v="1"/>
    <n v="0"/>
    <n v="1"/>
    <n v="0"/>
    <n v="1"/>
    <n v="1"/>
    <n v="0"/>
    <n v="1"/>
    <n v="0"/>
    <n v="0"/>
  </r>
  <r>
    <s v="AVXEDARJC5HLU"/>
    <s v="english"/>
    <s v="test"/>
    <x v="5"/>
    <x v="0"/>
    <s v="ms-l"/>
    <s v="mo-h"/>
    <s v="fa"/>
    <n v="0"/>
    <n v="1"/>
    <n v="0"/>
    <n v="0"/>
    <n v="1"/>
    <n v="0"/>
    <n v="1"/>
    <n v="0"/>
    <n v="1"/>
    <n v="0"/>
    <n v="0"/>
    <n v="1"/>
    <n v="0"/>
    <n v="0"/>
  </r>
  <r>
    <s v="AVXEDARJC5HLU"/>
    <s v="english"/>
    <s v="test"/>
    <x v="0"/>
    <x v="0"/>
    <s v="mo-l"/>
    <s v="ms-l"/>
    <s v="mo-h"/>
    <n v="0"/>
    <n v="1"/>
    <n v="1"/>
    <n v="0"/>
    <n v="1"/>
    <n v="0"/>
    <n v="1"/>
    <n v="0"/>
    <n v="1"/>
    <n v="1"/>
    <n v="0"/>
    <n v="1"/>
    <n v="0"/>
    <n v="0"/>
  </r>
  <r>
    <s v="A3QPVH0DRW0ZQV"/>
    <s v="english"/>
    <s v="test"/>
    <x v="0"/>
    <x v="0"/>
    <s v="mo-h"/>
    <s v="ms-h"/>
    <s v="fa"/>
    <n v="0"/>
    <n v="1"/>
    <n v="0"/>
    <n v="1"/>
    <n v="0"/>
    <n v="0"/>
    <n v="1"/>
    <n v="0"/>
    <n v="1"/>
    <n v="0"/>
    <n v="0"/>
    <n v="0"/>
    <n v="0"/>
    <n v="0"/>
  </r>
  <r>
    <s v="A30K9F91VNW9BL"/>
    <s v="english"/>
    <s v="test"/>
    <x v="3"/>
    <x v="0"/>
    <s v="fa"/>
    <s v="ms-l"/>
    <s v="mo-h"/>
    <n v="0"/>
    <n v="1"/>
    <n v="0"/>
    <n v="0"/>
    <n v="1"/>
    <n v="0"/>
    <n v="1"/>
    <n v="0"/>
    <n v="1"/>
    <n v="0"/>
    <n v="0"/>
    <n v="1"/>
    <n v="0"/>
    <n v="0"/>
  </r>
  <r>
    <s v="A30K9F91VNW9BL"/>
    <s v="english"/>
    <s v="test"/>
    <x v="1"/>
    <x v="0"/>
    <s v="mo-h"/>
    <s v="mo-l"/>
    <s v="ms-h"/>
    <n v="0"/>
    <n v="1"/>
    <n v="1"/>
    <n v="1"/>
    <n v="0"/>
    <n v="0"/>
    <n v="1"/>
    <n v="0"/>
    <n v="1"/>
    <n v="1"/>
    <n v="1"/>
    <n v="0"/>
    <n v="0"/>
    <n v="0"/>
  </r>
  <r>
    <s v="A30K9F91VNW9BL"/>
    <s v="english"/>
    <s v="test"/>
    <x v="0"/>
    <x v="0"/>
    <s v="mo-l"/>
    <s v="exh"/>
    <s v="mo-h"/>
    <n v="1"/>
    <n v="1"/>
    <n v="1"/>
    <n v="0"/>
    <n v="0"/>
    <n v="0"/>
    <n v="1"/>
    <n v="1"/>
    <n v="1"/>
    <n v="1"/>
    <n v="0"/>
    <n v="0"/>
    <n v="0"/>
    <n v="0"/>
  </r>
  <r>
    <s v="A30K9F91VNW9BL"/>
    <s v="english"/>
    <s v="test"/>
    <x v="4"/>
    <x v="0"/>
    <s v="mo-l"/>
    <s v="ms-l"/>
    <s v="mo-h"/>
    <n v="0"/>
    <n v="1"/>
    <n v="1"/>
    <n v="0"/>
    <n v="1"/>
    <n v="0"/>
    <n v="1"/>
    <n v="0"/>
    <n v="1"/>
    <n v="0"/>
    <n v="0"/>
    <n v="0"/>
    <n v="0"/>
    <n v="0"/>
  </r>
  <r>
    <s v="AWAW665TQQP2F"/>
    <s v="english"/>
    <s v="test"/>
    <x v="0"/>
    <x v="0"/>
    <s v="mo-h"/>
    <s v="ms-h"/>
    <s v="fa"/>
    <n v="0"/>
    <n v="1"/>
    <n v="0"/>
    <n v="1"/>
    <n v="0"/>
    <n v="0"/>
    <n v="1"/>
    <n v="0"/>
    <n v="1"/>
    <n v="0"/>
    <n v="1"/>
    <n v="0"/>
    <n v="0"/>
    <n v="0"/>
  </r>
  <r>
    <s v="AWAW665TQQP2F"/>
    <s v="english"/>
    <s v="test"/>
    <x v="2"/>
    <x v="0"/>
    <s v="mo-l"/>
    <s v="ms-h"/>
    <s v="mo-h"/>
    <n v="0"/>
    <n v="1"/>
    <n v="1"/>
    <n v="1"/>
    <n v="0"/>
    <n v="0"/>
    <n v="1"/>
    <n v="0"/>
    <n v="1"/>
    <n v="1"/>
    <n v="1"/>
    <n v="0"/>
    <n v="0"/>
    <n v="0"/>
  </r>
  <r>
    <s v="AWAW665TQQP2F"/>
    <s v="english"/>
    <s v="test"/>
    <x v="1"/>
    <x v="0"/>
    <s v="mo-h"/>
    <s v="ms-l"/>
    <s v="exh"/>
    <n v="1"/>
    <n v="1"/>
    <n v="0"/>
    <n v="0"/>
    <n v="1"/>
    <n v="0"/>
    <n v="1"/>
    <n v="1"/>
    <n v="1"/>
    <n v="0"/>
    <n v="0"/>
    <n v="1"/>
    <n v="0"/>
    <n v="0"/>
  </r>
  <r>
    <s v="A250FES5PFCGK9"/>
    <s v="english"/>
    <s v="test"/>
    <x v="4"/>
    <x v="0"/>
    <s v="mo-l"/>
    <s v="ms-l"/>
    <s v="mo-h"/>
    <n v="0"/>
    <n v="1"/>
    <n v="1"/>
    <n v="0"/>
    <n v="1"/>
    <n v="0"/>
    <n v="1"/>
    <n v="0"/>
    <n v="1"/>
    <n v="0"/>
    <n v="0"/>
    <n v="0"/>
    <n v="0"/>
    <n v="0"/>
  </r>
  <r>
    <s v="A250FES5PFCGK9"/>
    <s v="english"/>
    <s v="test"/>
    <x v="1"/>
    <x v="0"/>
    <s v="mo-h"/>
    <s v="mo-l"/>
    <s v="fa"/>
    <n v="0"/>
    <n v="1"/>
    <n v="1"/>
    <n v="0"/>
    <n v="0"/>
    <n v="0"/>
    <n v="1"/>
    <n v="0"/>
    <n v="1"/>
    <n v="1"/>
    <n v="0"/>
    <n v="0"/>
    <n v="0"/>
    <n v="0"/>
  </r>
  <r>
    <s v="A250FES5PFCGK9"/>
    <s v="english"/>
    <s v="test"/>
    <x v="3"/>
    <x v="0"/>
    <s v="mo-l"/>
    <s v="mo-h"/>
    <s v="ms-h"/>
    <n v="0"/>
    <n v="1"/>
    <n v="1"/>
    <n v="1"/>
    <n v="0"/>
    <n v="0"/>
    <n v="1"/>
    <n v="0"/>
    <n v="1"/>
    <n v="1"/>
    <n v="1"/>
    <n v="0"/>
    <n v="0"/>
    <n v="0"/>
  </r>
  <r>
    <s v="A250FES5PFCGK9"/>
    <s v="english"/>
    <s v="test"/>
    <x v="0"/>
    <x v="0"/>
    <s v="mo-l"/>
    <s v="ms-h"/>
    <s v="mo-h"/>
    <n v="0"/>
    <n v="1"/>
    <n v="1"/>
    <n v="1"/>
    <n v="0"/>
    <n v="0"/>
    <n v="1"/>
    <n v="0"/>
    <n v="1"/>
    <n v="1"/>
    <n v="1"/>
    <n v="0"/>
    <n v="0"/>
    <n v="0"/>
  </r>
  <r>
    <s v="A250FES5PFCGK9"/>
    <s v="english"/>
    <s v="test"/>
    <x v="5"/>
    <x v="0"/>
    <s v="ms-h"/>
    <s v="mo-h"/>
    <s v="mo-l"/>
    <n v="0"/>
    <n v="1"/>
    <n v="1"/>
    <n v="1"/>
    <n v="0"/>
    <n v="0"/>
    <n v="1"/>
    <n v="0"/>
    <n v="1"/>
    <n v="1"/>
    <n v="1"/>
    <n v="0"/>
    <n v="0"/>
    <n v="0"/>
  </r>
  <r>
    <s v="A250FES5PFCGK9"/>
    <s v="english"/>
    <s v="test"/>
    <x v="2"/>
    <x v="0"/>
    <s v="fa"/>
    <s v="mo-l"/>
    <s v="mo-h"/>
    <n v="0"/>
    <n v="1"/>
    <n v="1"/>
    <n v="0"/>
    <n v="0"/>
    <n v="0"/>
    <n v="1"/>
    <n v="0"/>
    <n v="1"/>
    <n v="1"/>
    <n v="0"/>
    <n v="0"/>
    <n v="0"/>
    <n v="0"/>
  </r>
  <r>
    <s v="ABI1EI8UQK6LK"/>
    <s v="english"/>
    <s v="test"/>
    <x v="5"/>
    <x v="0"/>
    <s v="mo-h"/>
    <s v="mo-l"/>
    <s v="exh"/>
    <n v="1"/>
    <n v="1"/>
    <n v="1"/>
    <n v="0"/>
    <n v="0"/>
    <n v="0"/>
    <n v="1"/>
    <n v="1"/>
    <n v="1"/>
    <n v="1"/>
    <n v="0"/>
    <n v="0"/>
    <n v="0"/>
    <n v="0"/>
  </r>
  <r>
    <s v="ABI1EI8UQK6LK"/>
    <s v="english"/>
    <s v="test"/>
    <x v="2"/>
    <x v="0"/>
    <s v="ms-l"/>
    <s v="mo-h"/>
    <s v="mo-l"/>
    <n v="0"/>
    <n v="1"/>
    <n v="1"/>
    <n v="0"/>
    <n v="1"/>
    <n v="0"/>
    <n v="1"/>
    <n v="0"/>
    <n v="1"/>
    <n v="0"/>
    <n v="0"/>
    <n v="0"/>
    <n v="0"/>
    <n v="0"/>
  </r>
  <r>
    <s v="A3JT22BLG866CK"/>
    <s v="english"/>
    <s v="test"/>
    <x v="0"/>
    <x v="0"/>
    <s v="mo-l"/>
    <s v="mo-h"/>
    <s v="ms-l"/>
    <n v="0"/>
    <n v="1"/>
    <n v="1"/>
    <n v="0"/>
    <n v="1"/>
    <n v="0"/>
    <n v="1"/>
    <n v="0"/>
    <n v="1"/>
    <n v="0"/>
    <n v="0"/>
    <n v="0"/>
    <n v="0"/>
    <n v="0"/>
  </r>
  <r>
    <s v="A3JT22BLG866CK"/>
    <s v="english"/>
    <s v="test"/>
    <x v="4"/>
    <x v="0"/>
    <s v="mo-l"/>
    <s v="ms-h"/>
    <s v="mo-h"/>
    <n v="0"/>
    <n v="1"/>
    <n v="1"/>
    <n v="1"/>
    <n v="0"/>
    <n v="0"/>
    <n v="1"/>
    <n v="0"/>
    <n v="1"/>
    <n v="0"/>
    <n v="0"/>
    <n v="0"/>
    <n v="0"/>
    <n v="0"/>
  </r>
  <r>
    <s v="A3JT22BLG866CK"/>
    <s v="english"/>
    <s v="test"/>
    <x v="2"/>
    <x v="0"/>
    <s v="mo-h"/>
    <s v="exh"/>
    <s v="ms-h"/>
    <n v="1"/>
    <n v="1"/>
    <n v="0"/>
    <n v="1"/>
    <n v="0"/>
    <n v="0"/>
    <n v="1"/>
    <n v="0"/>
    <n v="1"/>
    <n v="0"/>
    <n v="0"/>
    <n v="0"/>
    <n v="0"/>
    <n v="0"/>
  </r>
  <r>
    <s v="A3JT22BLG866CK"/>
    <s v="english"/>
    <s v="test"/>
    <x v="5"/>
    <x v="0"/>
    <s v="mo-h"/>
    <s v="ms-l"/>
    <s v="ms-h"/>
    <n v="0"/>
    <n v="1"/>
    <n v="0"/>
    <n v="1"/>
    <n v="1"/>
    <n v="0"/>
    <n v="1"/>
    <n v="0"/>
    <n v="1"/>
    <n v="0"/>
    <n v="0"/>
    <n v="0"/>
    <n v="0"/>
    <n v="0"/>
  </r>
  <r>
    <s v="AGC3T6724JUAF"/>
    <s v="english"/>
    <s v="test"/>
    <x v="4"/>
    <x v="0"/>
    <s v="mo-l"/>
    <s v="mo-h"/>
    <s v="ms-h"/>
    <n v="0"/>
    <n v="1"/>
    <n v="1"/>
    <n v="1"/>
    <n v="0"/>
    <n v="0"/>
    <n v="1"/>
    <n v="0"/>
    <n v="1"/>
    <n v="0"/>
    <n v="0"/>
    <n v="0"/>
    <n v="0"/>
    <n v="0"/>
  </r>
  <r>
    <s v="AGC3T6724JUAF"/>
    <s v="english"/>
    <s v="test"/>
    <x v="2"/>
    <x v="0"/>
    <s v="mo-l"/>
    <s v="mo-h"/>
    <s v="ms-h"/>
    <n v="0"/>
    <n v="1"/>
    <n v="1"/>
    <n v="1"/>
    <n v="0"/>
    <n v="0"/>
    <n v="1"/>
    <n v="0"/>
    <n v="1"/>
    <n v="0"/>
    <n v="0"/>
    <n v="0"/>
    <n v="0"/>
    <n v="0"/>
  </r>
  <r>
    <s v="AGC3T6724JUAF"/>
    <s v="english"/>
    <s v="test"/>
    <x v="5"/>
    <x v="0"/>
    <s v="ms-h"/>
    <s v="mo-h"/>
    <s v="mo-l"/>
    <n v="0"/>
    <n v="1"/>
    <n v="1"/>
    <n v="1"/>
    <n v="0"/>
    <n v="0"/>
    <n v="1"/>
    <n v="0"/>
    <n v="1"/>
    <n v="0"/>
    <n v="0"/>
    <n v="0"/>
    <n v="0"/>
    <n v="0"/>
  </r>
  <r>
    <s v="AGC3T6724JUAF"/>
    <s v="english"/>
    <s v="test"/>
    <x v="0"/>
    <x v="0"/>
    <s v="exh"/>
    <s v="ms-h"/>
    <s v="mo-h"/>
    <n v="1"/>
    <n v="1"/>
    <n v="0"/>
    <n v="1"/>
    <n v="0"/>
    <n v="0"/>
    <n v="1"/>
    <n v="0"/>
    <n v="1"/>
    <n v="0"/>
    <n v="0"/>
    <n v="0"/>
    <n v="0"/>
    <n v="0"/>
  </r>
  <r>
    <s v="AGC3T6724JUAF"/>
    <s v="english"/>
    <s v="test"/>
    <x v="3"/>
    <x v="0"/>
    <s v="ms-h"/>
    <s v="mo-h"/>
    <s v="ms-l"/>
    <n v="0"/>
    <n v="1"/>
    <n v="0"/>
    <n v="1"/>
    <n v="1"/>
    <n v="0"/>
    <n v="1"/>
    <n v="0"/>
    <n v="1"/>
    <n v="0"/>
    <n v="0"/>
    <n v="0"/>
    <n v="0"/>
    <n v="0"/>
  </r>
  <r>
    <s v="A2NA2OJT15COZY"/>
    <s v="American English"/>
    <s v="test"/>
    <x v="4"/>
    <x v="0"/>
    <s v="mo-h"/>
    <s v="ms-h"/>
    <s v="mo-l"/>
    <n v="0"/>
    <n v="1"/>
    <n v="1"/>
    <n v="1"/>
    <n v="0"/>
    <n v="0"/>
    <n v="1"/>
    <n v="0"/>
    <n v="1"/>
    <n v="0"/>
    <n v="1"/>
    <n v="0"/>
    <n v="0"/>
    <n v="0"/>
  </r>
  <r>
    <s v="A2NA2OJT15COZY"/>
    <s v="American English"/>
    <s v="test"/>
    <x v="3"/>
    <x v="0"/>
    <s v="mo-h"/>
    <s v="ms-l"/>
    <s v="mo-l"/>
    <n v="0"/>
    <n v="1"/>
    <n v="1"/>
    <n v="0"/>
    <n v="1"/>
    <n v="0"/>
    <n v="1"/>
    <n v="0"/>
    <n v="1"/>
    <n v="0"/>
    <n v="0"/>
    <n v="0"/>
    <n v="0"/>
    <n v="0"/>
  </r>
  <r>
    <s v="AVD6HMIO1HLFI"/>
    <s v="english"/>
    <s v="test"/>
    <x v="2"/>
    <x v="0"/>
    <s v="ms-l"/>
    <s v="mo-h"/>
    <s v="mo-l"/>
    <n v="0"/>
    <n v="1"/>
    <n v="1"/>
    <n v="0"/>
    <n v="1"/>
    <n v="0"/>
    <n v="1"/>
    <n v="0"/>
    <n v="1"/>
    <n v="1"/>
    <n v="0"/>
    <n v="1"/>
    <n v="0"/>
    <n v="0"/>
  </r>
  <r>
    <s v="A1JQ3GAFW1XZYZ"/>
    <s v="english"/>
    <s v="test"/>
    <x v="2"/>
    <x v="1"/>
    <s v="mo-h"/>
    <s v="ms-l"/>
    <s v="mo-l"/>
    <n v="0"/>
    <n v="1"/>
    <n v="1"/>
    <n v="0"/>
    <n v="1"/>
    <n v="0"/>
    <n v="1"/>
    <n v="0"/>
    <n v="1"/>
    <n v="0"/>
    <n v="0"/>
    <n v="0"/>
    <n v="0"/>
    <n v="0"/>
  </r>
  <r>
    <s v="A1JQ3GAFW1XZYZ"/>
    <s v="english"/>
    <s v="test"/>
    <x v="1"/>
    <x v="1"/>
    <s v="mo-h"/>
    <s v="ms-l"/>
    <s v="mo-l"/>
    <n v="0"/>
    <n v="1"/>
    <n v="1"/>
    <n v="0"/>
    <n v="1"/>
    <n v="0"/>
    <n v="1"/>
    <n v="0"/>
    <n v="1"/>
    <n v="0"/>
    <n v="0"/>
    <n v="0"/>
    <n v="0"/>
    <n v="0"/>
  </r>
  <r>
    <s v="A251YA0XPAWWIQ"/>
    <s v="english"/>
    <s v="test"/>
    <x v="2"/>
    <x v="1"/>
    <s v="ms-h"/>
    <s v="exh"/>
    <s v="mo-h"/>
    <n v="1"/>
    <n v="1"/>
    <n v="0"/>
    <n v="1"/>
    <n v="0"/>
    <n v="0"/>
    <n v="1"/>
    <n v="0"/>
    <n v="1"/>
    <n v="0"/>
    <n v="0"/>
    <n v="0"/>
    <n v="0"/>
    <n v="0"/>
  </r>
  <r>
    <s v="A251YA0XPAWWIQ"/>
    <s v="english"/>
    <s v="test"/>
    <x v="3"/>
    <x v="1"/>
    <s v="fa"/>
    <s v="mo-l"/>
    <s v="mo-h"/>
    <n v="0"/>
    <n v="1"/>
    <n v="1"/>
    <n v="0"/>
    <n v="0"/>
    <n v="0"/>
    <n v="1"/>
    <n v="0"/>
    <n v="1"/>
    <n v="0"/>
    <n v="0"/>
    <n v="0"/>
    <n v="0"/>
    <n v="0"/>
  </r>
  <r>
    <s v="A3PLDW841STU8B"/>
    <s v="english"/>
    <s v="test"/>
    <x v="3"/>
    <x v="1"/>
    <s v="mo-l"/>
    <s v="mo-h"/>
    <s v="exh"/>
    <n v="1"/>
    <n v="1"/>
    <n v="1"/>
    <n v="0"/>
    <n v="0"/>
    <n v="0"/>
    <n v="1"/>
    <n v="0"/>
    <n v="1"/>
    <n v="0"/>
    <n v="0"/>
    <n v="0"/>
    <n v="0"/>
    <n v="0"/>
  </r>
  <r>
    <s v="A1WKF2VH7TV0H2"/>
    <s v="english"/>
    <s v="test"/>
    <x v="5"/>
    <x v="1"/>
    <s v="ms-l"/>
    <s v="mo-h"/>
    <s v="exh"/>
    <n v="1"/>
    <n v="1"/>
    <n v="0"/>
    <n v="0"/>
    <n v="1"/>
    <n v="0"/>
    <n v="1"/>
    <n v="1"/>
    <n v="1"/>
    <n v="0"/>
    <n v="0"/>
    <n v="1"/>
    <n v="0"/>
    <n v="0"/>
  </r>
  <r>
    <s v="A1WKF2VH7TV0H2"/>
    <s v="english"/>
    <s v="test"/>
    <x v="0"/>
    <x v="1"/>
    <s v="mo-h"/>
    <s v="mo-l"/>
    <s v="fa"/>
    <n v="0"/>
    <n v="1"/>
    <n v="1"/>
    <n v="0"/>
    <n v="0"/>
    <n v="0"/>
    <n v="1"/>
    <n v="0"/>
    <n v="1"/>
    <n v="1"/>
    <n v="0"/>
    <n v="0"/>
    <n v="0"/>
    <n v="0"/>
  </r>
  <r>
    <s v="A1WKF2VH7TV0H2"/>
    <s v="english"/>
    <s v="test"/>
    <x v="4"/>
    <x v="1"/>
    <s v="ms-l"/>
    <s v="mo-h"/>
    <s v="ms-h"/>
    <n v="0"/>
    <n v="1"/>
    <n v="0"/>
    <n v="1"/>
    <n v="1"/>
    <n v="0"/>
    <n v="1"/>
    <n v="0"/>
    <n v="1"/>
    <n v="0"/>
    <n v="1"/>
    <n v="0"/>
    <n v="0"/>
    <n v="0"/>
  </r>
  <r>
    <s v="A1WKF2VH7TV0H2"/>
    <s v="english"/>
    <s v="test"/>
    <x v="3"/>
    <x v="1"/>
    <s v="ms-l"/>
    <s v="ms-h"/>
    <s v="mo-h"/>
    <n v="0"/>
    <n v="1"/>
    <n v="0"/>
    <n v="1"/>
    <n v="1"/>
    <n v="0"/>
    <n v="1"/>
    <n v="0"/>
    <n v="1"/>
    <n v="0"/>
    <n v="1"/>
    <n v="0"/>
    <n v="0"/>
    <n v="0"/>
  </r>
  <r>
    <s v="A1WKF2VH7TV0H2"/>
    <s v="english"/>
    <s v="test"/>
    <x v="2"/>
    <x v="1"/>
    <s v="ms-l"/>
    <s v="mo-l"/>
    <s v="mo-h"/>
    <n v="0"/>
    <n v="1"/>
    <n v="1"/>
    <n v="0"/>
    <n v="1"/>
    <n v="0"/>
    <n v="1"/>
    <n v="0"/>
    <n v="1"/>
    <n v="0"/>
    <n v="0"/>
    <n v="0"/>
    <n v="0"/>
    <n v="0"/>
  </r>
  <r>
    <s v="ADUACF4TW5833"/>
    <s v="english"/>
    <s v="test"/>
    <x v="5"/>
    <x v="1"/>
    <s v="exh"/>
    <s v="ms-l"/>
    <s v="mo-h"/>
    <n v="1"/>
    <n v="1"/>
    <n v="0"/>
    <n v="0"/>
    <n v="1"/>
    <n v="0"/>
    <n v="1"/>
    <n v="0"/>
    <n v="1"/>
    <n v="0"/>
    <n v="0"/>
    <n v="0"/>
    <n v="0"/>
    <n v="0"/>
  </r>
  <r>
    <s v="ADUACF4TW5833"/>
    <s v="english"/>
    <s v="test"/>
    <x v="0"/>
    <x v="1"/>
    <s v="mo-h"/>
    <s v="fa"/>
    <s v="mo-l"/>
    <n v="0"/>
    <n v="1"/>
    <n v="1"/>
    <n v="0"/>
    <n v="0"/>
    <n v="0"/>
    <n v="1"/>
    <n v="0"/>
    <n v="1"/>
    <n v="0"/>
    <n v="0"/>
    <n v="0"/>
    <n v="0"/>
    <n v="0"/>
  </r>
  <r>
    <s v="ABZ1LM3J8REE6"/>
    <s v="english"/>
    <s v="test"/>
    <x v="0"/>
    <x v="1"/>
    <s v="exh"/>
    <s v="mo-h"/>
    <s v="mo-l"/>
    <n v="1"/>
    <n v="1"/>
    <n v="1"/>
    <n v="0"/>
    <n v="0"/>
    <n v="0"/>
    <n v="1"/>
    <n v="0"/>
    <n v="1"/>
    <n v="0"/>
    <n v="0"/>
    <n v="0"/>
    <n v="0"/>
    <n v="0"/>
  </r>
  <r>
    <s v="A1WL6K3EUA2WOX"/>
    <s v="english"/>
    <s v="test"/>
    <x v="1"/>
    <x v="1"/>
    <s v="mo-h"/>
    <s v="mo-l"/>
    <s v="ms-l"/>
    <n v="0"/>
    <n v="1"/>
    <n v="1"/>
    <n v="0"/>
    <n v="1"/>
    <n v="0"/>
    <n v="1"/>
    <n v="0"/>
    <n v="1"/>
    <n v="1"/>
    <n v="0"/>
    <n v="1"/>
    <n v="0"/>
    <n v="0"/>
  </r>
  <r>
    <s v="A1WL6K3EUA2WOX"/>
    <s v="english"/>
    <s v="test"/>
    <x v="5"/>
    <x v="1"/>
    <s v="mo-h"/>
    <s v="exh"/>
    <s v="ms-h"/>
    <n v="1"/>
    <n v="1"/>
    <n v="0"/>
    <n v="1"/>
    <n v="0"/>
    <n v="0"/>
    <n v="1"/>
    <n v="1"/>
    <n v="1"/>
    <n v="0"/>
    <n v="1"/>
    <n v="0"/>
    <n v="0"/>
    <n v="0"/>
  </r>
  <r>
    <s v="A1C7XI68SED8JE"/>
    <s v="english"/>
    <s v="test"/>
    <x v="1"/>
    <x v="1"/>
    <s v="mo-l"/>
    <s v="exh"/>
    <s v="mo-h"/>
    <n v="1"/>
    <n v="1"/>
    <n v="1"/>
    <n v="0"/>
    <n v="0"/>
    <n v="0"/>
    <n v="1"/>
    <n v="1"/>
    <n v="1"/>
    <n v="1"/>
    <n v="0"/>
    <n v="0"/>
    <n v="0"/>
    <n v="0"/>
  </r>
  <r>
    <s v="A1C7XI68SED8JE"/>
    <s v="english"/>
    <s v="test"/>
    <x v="4"/>
    <x v="1"/>
    <s v="mo-h"/>
    <s v="ms-h"/>
    <s v="mo-l"/>
    <n v="0"/>
    <n v="1"/>
    <n v="1"/>
    <n v="1"/>
    <n v="0"/>
    <n v="0"/>
    <n v="1"/>
    <n v="0"/>
    <n v="1"/>
    <n v="1"/>
    <n v="1"/>
    <n v="0"/>
    <n v="0"/>
    <n v="0"/>
  </r>
  <r>
    <s v="A15340BRCER2UO"/>
    <s v="english"/>
    <s v="test"/>
    <x v="3"/>
    <x v="1"/>
    <s v="fa"/>
    <s v="mo-h"/>
    <s v="ms-l"/>
    <n v="0"/>
    <n v="1"/>
    <n v="0"/>
    <n v="0"/>
    <n v="1"/>
    <n v="0"/>
    <n v="1"/>
    <n v="0"/>
    <n v="1"/>
    <n v="0"/>
    <n v="0"/>
    <n v="0"/>
    <n v="0"/>
    <n v="0"/>
  </r>
  <r>
    <s v="A15340BRCER2UO"/>
    <s v="english"/>
    <s v="test"/>
    <x v="0"/>
    <x v="1"/>
    <s v="mo-h"/>
    <s v="exh"/>
    <s v="ms-l"/>
    <n v="1"/>
    <n v="1"/>
    <n v="0"/>
    <n v="0"/>
    <n v="1"/>
    <n v="0"/>
    <n v="1"/>
    <n v="0"/>
    <n v="1"/>
    <n v="0"/>
    <n v="0"/>
    <n v="0"/>
    <n v="0"/>
    <n v="0"/>
  </r>
  <r>
    <s v="A15340BRCER2UO"/>
    <s v="english"/>
    <s v="test"/>
    <x v="4"/>
    <x v="1"/>
    <s v="mo-h"/>
    <s v="ms-h"/>
    <s v="fa"/>
    <n v="0"/>
    <n v="1"/>
    <n v="0"/>
    <n v="1"/>
    <n v="0"/>
    <n v="0"/>
    <n v="1"/>
    <n v="0"/>
    <n v="1"/>
    <n v="0"/>
    <n v="0"/>
    <n v="0"/>
    <n v="0"/>
    <n v="0"/>
  </r>
  <r>
    <s v="A15340BRCER2UO"/>
    <s v="english"/>
    <s v="test"/>
    <x v="5"/>
    <x v="1"/>
    <s v="mo-h"/>
    <s v="ms-l"/>
    <s v="fa"/>
    <n v="0"/>
    <n v="1"/>
    <n v="0"/>
    <n v="0"/>
    <n v="1"/>
    <n v="0"/>
    <n v="1"/>
    <n v="0"/>
    <n v="1"/>
    <n v="0"/>
    <n v="0"/>
    <n v="0"/>
    <n v="0"/>
    <n v="0"/>
  </r>
  <r>
    <s v="AL5UXD1GLG4X0"/>
    <s v="english"/>
    <s v="test"/>
    <x v="4"/>
    <x v="1"/>
    <s v="mo-h"/>
    <s v="mo-l"/>
    <s v="ms-l"/>
    <n v="0"/>
    <n v="1"/>
    <n v="1"/>
    <n v="0"/>
    <n v="1"/>
    <n v="0"/>
    <n v="1"/>
    <n v="0"/>
    <n v="1"/>
    <n v="0"/>
    <n v="0"/>
    <n v="0"/>
    <n v="0"/>
    <n v="0"/>
  </r>
  <r>
    <s v="AL5UXD1GLG4X0"/>
    <s v="english"/>
    <s v="test"/>
    <x v="1"/>
    <x v="1"/>
    <s v="mo-l"/>
    <s v="ms-l"/>
    <s v="mo-h"/>
    <n v="0"/>
    <n v="1"/>
    <n v="1"/>
    <n v="0"/>
    <n v="1"/>
    <n v="0"/>
    <n v="1"/>
    <n v="0"/>
    <n v="1"/>
    <n v="0"/>
    <n v="0"/>
    <n v="0"/>
    <n v="0"/>
    <n v="0"/>
  </r>
  <r>
    <s v="AL5UXD1GLG4X0"/>
    <s v="english"/>
    <s v="test"/>
    <x v="5"/>
    <x v="1"/>
    <s v="mo-h"/>
    <s v="ms-h"/>
    <s v="ms-l"/>
    <n v="0"/>
    <n v="1"/>
    <n v="0"/>
    <n v="1"/>
    <n v="1"/>
    <n v="0"/>
    <n v="1"/>
    <n v="0"/>
    <n v="1"/>
    <n v="0"/>
    <n v="0"/>
    <n v="0"/>
    <n v="0"/>
    <n v="0"/>
  </r>
  <r>
    <s v="A55V2U9UG3Z47"/>
    <s v="english"/>
    <s v="test"/>
    <x v="2"/>
    <x v="1"/>
    <s v="mo-h"/>
    <s v="fa"/>
    <s v="mo-l"/>
    <n v="0"/>
    <n v="1"/>
    <n v="1"/>
    <n v="0"/>
    <n v="0"/>
    <n v="0"/>
    <n v="1"/>
    <n v="0"/>
    <n v="1"/>
    <n v="0"/>
    <n v="0"/>
    <n v="0"/>
    <n v="0"/>
    <n v="0"/>
  </r>
  <r>
    <s v="A55V2U9UG3Z47"/>
    <s v="english"/>
    <s v="test"/>
    <x v="3"/>
    <x v="1"/>
    <s v="ms-l"/>
    <s v="mo-h"/>
    <s v="ms-h"/>
    <n v="0"/>
    <n v="1"/>
    <n v="0"/>
    <n v="1"/>
    <n v="1"/>
    <n v="0"/>
    <n v="1"/>
    <n v="0"/>
    <n v="1"/>
    <n v="0"/>
    <n v="0"/>
    <n v="0"/>
    <n v="0"/>
    <n v="0"/>
  </r>
  <r>
    <s v="A55V2U9UG3Z47"/>
    <s v="english"/>
    <s v="test"/>
    <x v="4"/>
    <x v="1"/>
    <s v="mo-l"/>
    <s v="exh"/>
    <s v="mo-h"/>
    <n v="1"/>
    <n v="1"/>
    <n v="1"/>
    <n v="0"/>
    <n v="0"/>
    <n v="0"/>
    <n v="1"/>
    <n v="0"/>
    <n v="1"/>
    <n v="0"/>
    <n v="0"/>
    <n v="0"/>
    <n v="0"/>
    <n v="0"/>
  </r>
  <r>
    <s v="A35BY30TC8WCL4"/>
    <s v="english"/>
    <s v="test"/>
    <x v="4"/>
    <x v="1"/>
    <s v="exh"/>
    <s v="mo-h"/>
    <s v="fa"/>
    <n v="1"/>
    <n v="1"/>
    <n v="0"/>
    <n v="0"/>
    <n v="0"/>
    <n v="0"/>
    <n v="1"/>
    <n v="1"/>
    <n v="1"/>
    <n v="0"/>
    <n v="0"/>
    <n v="0"/>
    <n v="0"/>
    <n v="0"/>
  </r>
  <r>
    <s v="A39PWM9C4U0TEP"/>
    <s v="english"/>
    <s v="test"/>
    <x v="2"/>
    <x v="1"/>
    <s v="exh"/>
    <s v="ms-l"/>
    <s v="mo-h"/>
    <n v="1"/>
    <n v="1"/>
    <n v="0"/>
    <n v="0"/>
    <n v="1"/>
    <n v="0"/>
    <n v="1"/>
    <n v="1"/>
    <n v="1"/>
    <n v="0"/>
    <n v="0"/>
    <n v="1"/>
    <n v="0"/>
    <n v="0"/>
  </r>
  <r>
    <s v="A39PWM9C4U0TEP"/>
    <s v="english"/>
    <s v="test"/>
    <x v="1"/>
    <x v="1"/>
    <s v="mo-h"/>
    <s v="exh"/>
    <s v="ms-l"/>
    <n v="1"/>
    <n v="1"/>
    <n v="0"/>
    <n v="0"/>
    <n v="1"/>
    <n v="0"/>
    <n v="1"/>
    <n v="1"/>
    <n v="1"/>
    <n v="0"/>
    <n v="0"/>
    <n v="1"/>
    <n v="0"/>
    <n v="0"/>
  </r>
  <r>
    <s v="AW9WE7LS8R57M"/>
    <s v="english"/>
    <s v="test"/>
    <x v="1"/>
    <x v="1"/>
    <s v="ms-l"/>
    <s v="fa"/>
    <s v="mo-h"/>
    <n v="0"/>
    <n v="1"/>
    <n v="0"/>
    <n v="0"/>
    <n v="1"/>
    <n v="0"/>
    <n v="1"/>
    <n v="0"/>
    <n v="1"/>
    <n v="0"/>
    <n v="0"/>
    <n v="0"/>
    <n v="0"/>
    <n v="0"/>
  </r>
  <r>
    <s v="A1PZIN8H1VI6SY"/>
    <s v="english"/>
    <s v="test"/>
    <x v="2"/>
    <x v="1"/>
    <s v="mo-h"/>
    <s v="ms-h"/>
    <s v="mo-l"/>
    <n v="0"/>
    <n v="1"/>
    <n v="1"/>
    <n v="1"/>
    <n v="0"/>
    <n v="0"/>
    <n v="1"/>
    <n v="0"/>
    <n v="1"/>
    <n v="0"/>
    <n v="0"/>
    <n v="0"/>
    <n v="0"/>
    <n v="0"/>
  </r>
  <r>
    <s v="A173XG3NZ7JPT7"/>
    <s v="english"/>
    <s v="test"/>
    <x v="2"/>
    <x v="1"/>
    <s v="ms-l"/>
    <s v="exh"/>
    <s v="mo-h"/>
    <n v="1"/>
    <n v="1"/>
    <n v="0"/>
    <n v="0"/>
    <n v="1"/>
    <n v="0"/>
    <n v="1"/>
    <n v="1"/>
    <n v="1"/>
    <n v="0"/>
    <n v="0"/>
    <n v="1"/>
    <n v="0"/>
    <n v="0"/>
  </r>
  <r>
    <s v="A173XG3NZ7JPT7"/>
    <s v="english"/>
    <s v="test"/>
    <x v="1"/>
    <x v="1"/>
    <s v="mo-h"/>
    <s v="ms-h"/>
    <s v="mo-l"/>
    <n v="0"/>
    <n v="1"/>
    <n v="1"/>
    <n v="1"/>
    <n v="0"/>
    <n v="0"/>
    <n v="1"/>
    <n v="0"/>
    <n v="1"/>
    <n v="1"/>
    <n v="1"/>
    <n v="0"/>
    <n v="0"/>
    <n v="0"/>
  </r>
  <r>
    <s v="A173XG3NZ7JPT7"/>
    <s v="english"/>
    <s v="test"/>
    <x v="3"/>
    <x v="1"/>
    <s v="ms-l"/>
    <s v="mo-l"/>
    <s v="mo-h"/>
    <n v="0"/>
    <n v="1"/>
    <n v="1"/>
    <n v="0"/>
    <n v="1"/>
    <n v="0"/>
    <n v="1"/>
    <n v="0"/>
    <n v="1"/>
    <n v="1"/>
    <n v="0"/>
    <n v="1"/>
    <n v="0"/>
    <n v="0"/>
  </r>
  <r>
    <s v="A173XG3NZ7JPT7"/>
    <s v="english"/>
    <s v="test"/>
    <x v="0"/>
    <x v="1"/>
    <s v="exh"/>
    <s v="ms-h"/>
    <s v="mo-h"/>
    <n v="1"/>
    <n v="1"/>
    <n v="0"/>
    <n v="1"/>
    <n v="0"/>
    <n v="0"/>
    <n v="1"/>
    <n v="1"/>
    <n v="1"/>
    <n v="0"/>
    <n v="1"/>
    <n v="0"/>
    <n v="0"/>
    <n v="0"/>
  </r>
  <r>
    <s v="A10LLZZHZVGWRW"/>
    <s v="english"/>
    <s v="test"/>
    <x v="3"/>
    <x v="1"/>
    <s v="mo-h"/>
    <s v="ms-h"/>
    <s v="fa"/>
    <n v="0"/>
    <n v="1"/>
    <n v="0"/>
    <n v="1"/>
    <n v="0"/>
    <n v="0"/>
    <n v="1"/>
    <n v="0"/>
    <n v="1"/>
    <n v="0"/>
    <n v="1"/>
    <n v="0"/>
    <n v="0"/>
    <n v="0"/>
  </r>
  <r>
    <s v="A2541C8MY0BYV3"/>
    <s v="english"/>
    <s v="test"/>
    <x v="1"/>
    <x v="1"/>
    <s v="ms-l"/>
    <s v="exh"/>
    <s v="mo-h"/>
    <n v="1"/>
    <n v="1"/>
    <n v="0"/>
    <n v="0"/>
    <n v="1"/>
    <n v="0"/>
    <n v="1"/>
    <n v="1"/>
    <n v="1"/>
    <n v="0"/>
    <n v="0"/>
    <n v="0"/>
    <n v="0"/>
    <n v="0"/>
  </r>
  <r>
    <s v="A2541C8MY0BYV3"/>
    <s v="english"/>
    <s v="test"/>
    <x v="0"/>
    <x v="1"/>
    <s v="mo-l"/>
    <s v="ms-h"/>
    <s v="mo-h"/>
    <n v="0"/>
    <n v="1"/>
    <n v="1"/>
    <n v="1"/>
    <n v="0"/>
    <n v="0"/>
    <n v="1"/>
    <n v="0"/>
    <n v="1"/>
    <n v="0"/>
    <n v="1"/>
    <n v="0"/>
    <n v="0"/>
    <n v="0"/>
  </r>
  <r>
    <s v="A2541C8MY0BYV3"/>
    <s v="english"/>
    <s v="test"/>
    <x v="2"/>
    <x v="1"/>
    <s v="mo-l"/>
    <s v="exh"/>
    <s v="mo-h"/>
    <n v="1"/>
    <n v="1"/>
    <n v="1"/>
    <n v="0"/>
    <n v="0"/>
    <n v="0"/>
    <n v="1"/>
    <n v="0"/>
    <n v="1"/>
    <n v="0"/>
    <n v="0"/>
    <n v="0"/>
    <n v="0"/>
    <n v="0"/>
  </r>
  <r>
    <s v="A2541C8MY0BYV3"/>
    <s v="english"/>
    <s v="test"/>
    <x v="3"/>
    <x v="1"/>
    <s v="ms-h"/>
    <s v="mo-h"/>
    <s v="mo-l"/>
    <n v="0"/>
    <n v="1"/>
    <n v="1"/>
    <n v="1"/>
    <n v="0"/>
    <n v="0"/>
    <n v="1"/>
    <n v="0"/>
    <n v="1"/>
    <n v="0"/>
    <n v="1"/>
    <n v="0"/>
    <n v="0"/>
    <n v="0"/>
  </r>
  <r>
    <s v="A2541C8MY0BYV3"/>
    <s v="english"/>
    <s v="test"/>
    <x v="5"/>
    <x v="1"/>
    <s v="mo-h"/>
    <s v="ms-h"/>
    <s v="fa"/>
    <n v="0"/>
    <n v="1"/>
    <n v="0"/>
    <n v="1"/>
    <n v="0"/>
    <n v="0"/>
    <n v="1"/>
    <n v="0"/>
    <n v="1"/>
    <n v="0"/>
    <n v="1"/>
    <n v="0"/>
    <n v="0"/>
    <n v="0"/>
  </r>
  <r>
    <s v="A2GV053CR3O08G"/>
    <s v="english"/>
    <s v="test"/>
    <x v="2"/>
    <x v="1"/>
    <s v="mo-l"/>
    <s v="ms-l"/>
    <s v="mo-h"/>
    <n v="0"/>
    <n v="1"/>
    <n v="1"/>
    <n v="0"/>
    <n v="1"/>
    <n v="0"/>
    <n v="1"/>
    <n v="0"/>
    <n v="1"/>
    <n v="0"/>
    <n v="0"/>
    <n v="0"/>
    <n v="0"/>
    <n v="0"/>
  </r>
  <r>
    <s v="A2GV053CR3O08G"/>
    <s v="english"/>
    <s v="test"/>
    <x v="5"/>
    <x v="1"/>
    <s v="ms-h"/>
    <s v="fa"/>
    <s v="mo-h"/>
    <n v="0"/>
    <n v="1"/>
    <n v="0"/>
    <n v="1"/>
    <n v="0"/>
    <n v="0"/>
    <n v="1"/>
    <n v="0"/>
    <n v="1"/>
    <n v="0"/>
    <n v="0"/>
    <n v="0"/>
    <n v="0"/>
    <n v="0"/>
  </r>
  <r>
    <s v="A2A3X2W4YS9X8A"/>
    <s v="english"/>
    <s v="test"/>
    <x v="2"/>
    <x v="1"/>
    <s v="fa"/>
    <s v="mo-l"/>
    <s v="mo-h"/>
    <n v="0"/>
    <n v="1"/>
    <n v="1"/>
    <n v="0"/>
    <n v="0"/>
    <n v="0"/>
    <n v="1"/>
    <n v="0"/>
    <n v="1"/>
    <n v="1"/>
    <n v="0"/>
    <n v="0"/>
    <n v="0"/>
    <n v="0"/>
  </r>
  <r>
    <s v="A2A3X2W4YS9X8A"/>
    <s v="english"/>
    <s v="test"/>
    <x v="1"/>
    <x v="1"/>
    <s v="ms-l"/>
    <s v="mo-l"/>
    <s v="mo-h"/>
    <n v="0"/>
    <n v="1"/>
    <n v="1"/>
    <n v="0"/>
    <n v="1"/>
    <n v="0"/>
    <n v="1"/>
    <n v="0"/>
    <n v="1"/>
    <n v="1"/>
    <n v="0"/>
    <n v="1"/>
    <n v="0"/>
    <n v="0"/>
  </r>
  <r>
    <s v="A2A3X2W4YS9X8A"/>
    <s v="english"/>
    <s v="test"/>
    <x v="4"/>
    <x v="1"/>
    <s v="ms-l"/>
    <s v="mo-l"/>
    <s v="mo-h"/>
    <n v="0"/>
    <n v="1"/>
    <n v="1"/>
    <n v="0"/>
    <n v="1"/>
    <n v="0"/>
    <n v="1"/>
    <n v="0"/>
    <n v="1"/>
    <n v="0"/>
    <n v="0"/>
    <n v="0"/>
    <n v="0"/>
    <n v="0"/>
  </r>
  <r>
    <s v="A19D2W1PR68NO"/>
    <s v="english"/>
    <s v="test"/>
    <x v="0"/>
    <x v="1"/>
    <s v="exh"/>
    <s v="mo-h"/>
    <s v="ms-h"/>
    <n v="1"/>
    <n v="1"/>
    <n v="0"/>
    <n v="1"/>
    <n v="0"/>
    <n v="0"/>
    <n v="1"/>
    <n v="1"/>
    <n v="1"/>
    <n v="0"/>
    <n v="1"/>
    <n v="0"/>
    <n v="0"/>
    <n v="0"/>
  </r>
  <r>
    <s v="A19D2W1PR68NO"/>
    <s v="english"/>
    <s v="test"/>
    <x v="3"/>
    <x v="1"/>
    <s v="ms-h"/>
    <s v="mo-h"/>
    <s v="exh"/>
    <n v="1"/>
    <n v="1"/>
    <n v="0"/>
    <n v="1"/>
    <n v="0"/>
    <n v="0"/>
    <n v="1"/>
    <n v="1"/>
    <n v="1"/>
    <n v="0"/>
    <n v="1"/>
    <n v="0"/>
    <n v="0"/>
    <n v="0"/>
  </r>
  <r>
    <s v="A19D2W1PR68NO"/>
    <s v="english"/>
    <s v="test"/>
    <x v="4"/>
    <x v="1"/>
    <s v="ms-l"/>
    <s v="ms-h"/>
    <s v="mo-h"/>
    <n v="0"/>
    <n v="1"/>
    <n v="0"/>
    <n v="1"/>
    <n v="1"/>
    <n v="0"/>
    <n v="1"/>
    <n v="0"/>
    <n v="1"/>
    <n v="0"/>
    <n v="1"/>
    <n v="1"/>
    <n v="0"/>
    <n v="0"/>
  </r>
  <r>
    <s v="A19D2W1PR68NO"/>
    <s v="english"/>
    <s v="test"/>
    <x v="1"/>
    <x v="1"/>
    <s v="exh"/>
    <s v="mo-l"/>
    <s v="mo-h"/>
    <n v="1"/>
    <n v="1"/>
    <n v="1"/>
    <n v="0"/>
    <n v="0"/>
    <n v="0"/>
    <n v="1"/>
    <n v="1"/>
    <n v="1"/>
    <n v="1"/>
    <n v="0"/>
    <n v="0"/>
    <n v="0"/>
    <n v="0"/>
  </r>
  <r>
    <s v="A19D2W1PR68NO"/>
    <s v="english"/>
    <s v="test"/>
    <x v="2"/>
    <x v="1"/>
    <s v="mo-h"/>
    <s v="ms-h"/>
    <s v="exh"/>
    <n v="1"/>
    <n v="1"/>
    <n v="0"/>
    <n v="1"/>
    <n v="0"/>
    <n v="0"/>
    <n v="1"/>
    <n v="1"/>
    <n v="1"/>
    <n v="0"/>
    <n v="1"/>
    <n v="0"/>
    <n v="0"/>
    <n v="0"/>
  </r>
  <r>
    <s v="A26FRAYAIDR4NV"/>
    <s v="english"/>
    <s v="test"/>
    <x v="2"/>
    <x v="1"/>
    <s v="mo-h"/>
    <s v="mo-l"/>
    <s v="ms-h"/>
    <n v="0"/>
    <n v="1"/>
    <n v="1"/>
    <n v="1"/>
    <n v="0"/>
    <n v="0"/>
    <n v="1"/>
    <n v="0"/>
    <n v="1"/>
    <n v="0"/>
    <n v="0"/>
    <n v="0"/>
    <n v="0"/>
    <n v="0"/>
  </r>
  <r>
    <s v="A26FRAYAIDR4NV"/>
    <s v="english"/>
    <s v="test"/>
    <x v="4"/>
    <x v="1"/>
    <s v="ms-h"/>
    <s v="mo-h"/>
    <s v="fa"/>
    <n v="0"/>
    <n v="1"/>
    <n v="0"/>
    <n v="1"/>
    <n v="0"/>
    <n v="0"/>
    <n v="1"/>
    <n v="0"/>
    <n v="1"/>
    <n v="0"/>
    <n v="0"/>
    <n v="0"/>
    <n v="0"/>
    <n v="0"/>
  </r>
  <r>
    <s v="A3JODCUHJMCSA2"/>
    <s v="english"/>
    <s v="test"/>
    <x v="5"/>
    <x v="1"/>
    <s v="fa"/>
    <s v="mo-l"/>
    <s v="mo-h"/>
    <n v="0"/>
    <n v="1"/>
    <n v="1"/>
    <n v="0"/>
    <n v="0"/>
    <n v="0"/>
    <n v="1"/>
    <n v="0"/>
    <n v="1"/>
    <n v="0"/>
    <n v="0"/>
    <n v="0"/>
    <n v="0"/>
    <n v="0"/>
  </r>
  <r>
    <s v="A03172343NB8PHOPICC1"/>
    <s v="english"/>
    <s v="test"/>
    <x v="3"/>
    <x v="1"/>
    <s v="ms-l"/>
    <s v="fa"/>
    <s v="mo-h"/>
    <n v="0"/>
    <n v="1"/>
    <n v="0"/>
    <n v="0"/>
    <n v="1"/>
    <n v="0"/>
    <n v="1"/>
    <n v="0"/>
    <n v="1"/>
    <n v="0"/>
    <n v="0"/>
    <n v="0"/>
    <n v="0"/>
    <n v="0"/>
  </r>
  <r>
    <s v="A03172343NB8PHOPICC1"/>
    <s v="english"/>
    <s v="test"/>
    <x v="0"/>
    <x v="1"/>
    <s v="mo-l"/>
    <s v="mo-h"/>
    <s v="exh"/>
    <n v="1"/>
    <n v="1"/>
    <n v="1"/>
    <n v="0"/>
    <n v="0"/>
    <n v="0"/>
    <n v="1"/>
    <n v="0"/>
    <n v="1"/>
    <n v="0"/>
    <n v="0"/>
    <n v="0"/>
    <n v="0"/>
    <n v="0"/>
  </r>
  <r>
    <s v="A03172343NB8PHOPICC1"/>
    <s v="english"/>
    <s v="test"/>
    <x v="4"/>
    <x v="1"/>
    <s v="exh"/>
    <s v="ms-l"/>
    <s v="mo-h"/>
    <n v="1"/>
    <n v="1"/>
    <n v="0"/>
    <n v="0"/>
    <n v="1"/>
    <n v="0"/>
    <n v="1"/>
    <n v="1"/>
    <n v="1"/>
    <n v="0"/>
    <n v="0"/>
    <n v="1"/>
    <n v="0"/>
    <n v="0"/>
  </r>
  <r>
    <s v="A03172343NB8PHOPICC1"/>
    <s v="english"/>
    <s v="test"/>
    <x v="1"/>
    <x v="1"/>
    <s v="ms-h"/>
    <s v="mo-l"/>
    <s v="mo-h"/>
    <n v="0"/>
    <n v="1"/>
    <n v="1"/>
    <n v="1"/>
    <n v="0"/>
    <n v="0"/>
    <n v="1"/>
    <n v="0"/>
    <n v="1"/>
    <n v="1"/>
    <n v="1"/>
    <n v="0"/>
    <n v="0"/>
    <n v="0"/>
  </r>
  <r>
    <s v="ADOVF9SBJJK33"/>
    <s v="english"/>
    <s v="test"/>
    <x v="4"/>
    <x v="1"/>
    <s v="mo-h"/>
    <s v="ms-l"/>
    <s v="fa"/>
    <n v="0"/>
    <n v="1"/>
    <n v="0"/>
    <n v="0"/>
    <n v="1"/>
    <n v="0"/>
    <n v="1"/>
    <n v="0"/>
    <n v="1"/>
    <n v="0"/>
    <n v="0"/>
    <n v="0"/>
    <n v="0"/>
    <n v="0"/>
  </r>
  <r>
    <s v="ADOVF9SBJJK33"/>
    <s v="english"/>
    <s v="test"/>
    <x v="3"/>
    <x v="1"/>
    <s v="fa"/>
    <s v="ms-l"/>
    <s v="mo-h"/>
    <n v="0"/>
    <n v="1"/>
    <n v="0"/>
    <n v="0"/>
    <n v="1"/>
    <n v="0"/>
    <n v="1"/>
    <n v="0"/>
    <n v="1"/>
    <n v="0"/>
    <n v="0"/>
    <n v="0"/>
    <n v="0"/>
    <n v="0"/>
  </r>
  <r>
    <s v="ADOVF9SBJJK33"/>
    <s v="english"/>
    <s v="test"/>
    <x v="1"/>
    <x v="1"/>
    <s v="mo-h"/>
    <s v="ms-h"/>
    <s v="ms-l"/>
    <n v="0"/>
    <n v="1"/>
    <n v="0"/>
    <n v="1"/>
    <n v="1"/>
    <n v="0"/>
    <n v="1"/>
    <n v="0"/>
    <n v="1"/>
    <n v="0"/>
    <n v="1"/>
    <n v="0"/>
    <n v="0"/>
    <n v="0"/>
  </r>
  <r>
    <s v="ADOVF9SBJJK33"/>
    <s v="english"/>
    <s v="test"/>
    <x v="2"/>
    <x v="1"/>
    <s v="exh"/>
    <s v="mo-l"/>
    <s v="mo-h"/>
    <n v="1"/>
    <n v="1"/>
    <n v="1"/>
    <n v="0"/>
    <n v="0"/>
    <n v="0"/>
    <n v="1"/>
    <n v="1"/>
    <n v="1"/>
    <n v="0"/>
    <n v="0"/>
    <n v="0"/>
    <n v="0"/>
    <n v="0"/>
  </r>
  <r>
    <s v="A2EW08X2I87RXL"/>
    <s v="english"/>
    <s v="test"/>
    <x v="1"/>
    <x v="1"/>
    <s v="mo-l"/>
    <s v="ms-l"/>
    <s v="mo-h"/>
    <n v="0"/>
    <n v="1"/>
    <n v="1"/>
    <n v="0"/>
    <n v="1"/>
    <n v="0"/>
    <n v="1"/>
    <n v="0"/>
    <n v="1"/>
    <n v="1"/>
    <n v="0"/>
    <n v="1"/>
    <n v="0"/>
    <n v="0"/>
  </r>
  <r>
    <s v="ALF9AAZGQP4K5"/>
    <s v="english"/>
    <s v="test"/>
    <x v="0"/>
    <x v="1"/>
    <s v="mo-l"/>
    <s v="fa"/>
    <s v="mo-h"/>
    <n v="0"/>
    <n v="1"/>
    <n v="1"/>
    <n v="0"/>
    <n v="0"/>
    <n v="0"/>
    <n v="1"/>
    <n v="0"/>
    <n v="1"/>
    <n v="0"/>
    <n v="0"/>
    <n v="0"/>
    <n v="0"/>
    <n v="0"/>
  </r>
  <r>
    <s v="ALF9AAZGQP4K5"/>
    <s v="english"/>
    <s v="test"/>
    <x v="5"/>
    <x v="1"/>
    <s v="mo-l"/>
    <s v="ms-h"/>
    <s v="mo-h"/>
    <n v="0"/>
    <n v="1"/>
    <n v="1"/>
    <n v="1"/>
    <n v="0"/>
    <n v="0"/>
    <n v="1"/>
    <n v="0"/>
    <n v="1"/>
    <n v="0"/>
    <n v="1"/>
    <n v="0"/>
    <n v="0"/>
    <n v="0"/>
  </r>
  <r>
    <s v="A28LPPFS7FW2SD"/>
    <s v="english"/>
    <s v="test"/>
    <x v="2"/>
    <x v="1"/>
    <s v="mo-h"/>
    <s v="fa"/>
    <s v="mo-l"/>
    <n v="0"/>
    <n v="1"/>
    <n v="1"/>
    <n v="0"/>
    <n v="0"/>
    <n v="0"/>
    <n v="1"/>
    <n v="0"/>
    <n v="1"/>
    <n v="1"/>
    <n v="0"/>
    <n v="0"/>
    <n v="0"/>
    <n v="0"/>
  </r>
  <r>
    <s v="A28LPPFS7FW2SD"/>
    <s v="english"/>
    <s v="test"/>
    <x v="1"/>
    <x v="1"/>
    <s v="mo-l"/>
    <s v="ms-l"/>
    <s v="mo-h"/>
    <n v="0"/>
    <n v="1"/>
    <n v="1"/>
    <n v="0"/>
    <n v="1"/>
    <n v="0"/>
    <n v="1"/>
    <n v="0"/>
    <n v="1"/>
    <n v="1"/>
    <n v="0"/>
    <n v="1"/>
    <n v="0"/>
    <n v="0"/>
  </r>
  <r>
    <s v="A28LPPFS7FW2SD"/>
    <s v="english"/>
    <s v="test"/>
    <x v="3"/>
    <x v="1"/>
    <s v="exh"/>
    <s v="mo-h"/>
    <s v="ms-h"/>
    <n v="1"/>
    <n v="1"/>
    <n v="0"/>
    <n v="1"/>
    <n v="0"/>
    <n v="0"/>
    <n v="1"/>
    <n v="1"/>
    <n v="1"/>
    <n v="0"/>
    <n v="1"/>
    <n v="0"/>
    <n v="0"/>
    <n v="0"/>
  </r>
  <r>
    <s v="A38YLXHJTSE5VD"/>
    <s v="English "/>
    <s v="test"/>
    <x v="0"/>
    <x v="1"/>
    <s v="ms-l"/>
    <s v="mo-h"/>
    <s v="ms-h"/>
    <n v="0"/>
    <n v="1"/>
    <n v="0"/>
    <n v="1"/>
    <n v="1"/>
    <n v="0"/>
    <n v="1"/>
    <n v="0"/>
    <n v="1"/>
    <n v="0"/>
    <n v="1"/>
    <n v="1"/>
    <n v="0"/>
    <n v="0"/>
  </r>
  <r>
    <s v="AWZCVOUD0LPT"/>
    <s v="hindi"/>
    <s v="test"/>
    <x v="3"/>
    <x v="1"/>
    <s v="mo-l"/>
    <s v="mo-h"/>
    <s v="fa"/>
    <n v="0"/>
    <n v="1"/>
    <n v="1"/>
    <n v="0"/>
    <n v="0"/>
    <n v="0"/>
    <n v="1"/>
    <n v="0"/>
    <n v="1"/>
    <n v="0"/>
    <n v="0"/>
    <n v="0"/>
    <n v="0"/>
    <n v="0"/>
  </r>
  <r>
    <s v="AWZCVOUD0LPT"/>
    <s v="hindi"/>
    <s v="test"/>
    <x v="1"/>
    <x v="1"/>
    <s v="mo-h"/>
    <s v="fa"/>
    <s v="ms-l"/>
    <n v="0"/>
    <n v="1"/>
    <n v="0"/>
    <n v="0"/>
    <n v="1"/>
    <n v="0"/>
    <n v="1"/>
    <n v="0"/>
    <n v="1"/>
    <n v="0"/>
    <n v="0"/>
    <n v="0"/>
    <n v="0"/>
    <n v="1"/>
  </r>
  <r>
    <s v="AZCGSVDT79E6X"/>
    <s v="english"/>
    <s v="test"/>
    <x v="4"/>
    <x v="1"/>
    <s v="mo-h"/>
    <s v="ms-h"/>
    <s v="ms-l"/>
    <n v="0"/>
    <n v="1"/>
    <n v="0"/>
    <n v="1"/>
    <n v="1"/>
    <n v="0"/>
    <n v="1"/>
    <n v="0"/>
    <n v="1"/>
    <n v="0"/>
    <n v="1"/>
    <n v="0"/>
    <n v="0"/>
    <n v="0"/>
  </r>
  <r>
    <s v="A3UN1F1EOHKKE6"/>
    <s v="english"/>
    <s v="test"/>
    <x v="0"/>
    <x v="1"/>
    <s v="ms-l"/>
    <s v="mo-h"/>
    <s v="ms-h"/>
    <n v="0"/>
    <n v="1"/>
    <n v="0"/>
    <n v="1"/>
    <n v="1"/>
    <n v="0"/>
    <n v="1"/>
    <n v="0"/>
    <n v="1"/>
    <n v="0"/>
    <n v="1"/>
    <n v="0"/>
    <n v="0"/>
    <n v="0"/>
  </r>
  <r>
    <s v="A3UN1F1EOHKKE6"/>
    <s v="english"/>
    <s v="test"/>
    <x v="2"/>
    <x v="1"/>
    <s v="ms-l"/>
    <s v="mo-l"/>
    <s v="mo-h"/>
    <n v="0"/>
    <n v="1"/>
    <n v="1"/>
    <n v="0"/>
    <n v="1"/>
    <n v="0"/>
    <n v="1"/>
    <n v="0"/>
    <n v="1"/>
    <n v="0"/>
    <n v="0"/>
    <n v="0"/>
    <n v="0"/>
    <n v="0"/>
  </r>
  <r>
    <s v="AXP8EG22MPZY8"/>
    <s v="english"/>
    <s v="test"/>
    <x v="0"/>
    <x v="1"/>
    <s v="ms-h"/>
    <s v="mo-h"/>
    <s v="ms-l"/>
    <n v="0"/>
    <n v="1"/>
    <n v="0"/>
    <n v="1"/>
    <n v="1"/>
    <n v="0"/>
    <n v="1"/>
    <n v="0"/>
    <n v="1"/>
    <n v="0"/>
    <n v="1"/>
    <n v="1"/>
    <n v="0"/>
    <n v="0"/>
  </r>
  <r>
    <s v="AXP8EG22MPZY8"/>
    <s v="english"/>
    <s v="test"/>
    <x v="2"/>
    <x v="1"/>
    <s v="ms-h"/>
    <s v="ms-l"/>
    <s v="mo-h"/>
    <n v="0"/>
    <n v="1"/>
    <n v="0"/>
    <n v="1"/>
    <n v="1"/>
    <n v="0"/>
    <n v="1"/>
    <n v="0"/>
    <n v="1"/>
    <n v="0"/>
    <n v="1"/>
    <n v="1"/>
    <n v="0"/>
    <n v="0"/>
  </r>
  <r>
    <s v="AXP8EG22MPZY8"/>
    <s v="english"/>
    <s v="test"/>
    <x v="3"/>
    <x v="1"/>
    <s v="ms-l"/>
    <s v="mo-h"/>
    <s v="ms-h"/>
    <n v="0"/>
    <n v="1"/>
    <n v="0"/>
    <n v="1"/>
    <n v="1"/>
    <n v="0"/>
    <n v="1"/>
    <n v="0"/>
    <n v="1"/>
    <n v="0"/>
    <n v="1"/>
    <n v="1"/>
    <n v="0"/>
    <n v="0"/>
  </r>
  <r>
    <s v="A1XATJA7ENOGWB"/>
    <s v="english"/>
    <s v="test"/>
    <x v="5"/>
    <x v="1"/>
    <s v="ms-h"/>
    <s v="exh"/>
    <s v="mo-h"/>
    <n v="1"/>
    <n v="1"/>
    <n v="0"/>
    <n v="1"/>
    <n v="0"/>
    <n v="0"/>
    <n v="1"/>
    <n v="1"/>
    <n v="1"/>
    <n v="0"/>
    <n v="1"/>
    <n v="0"/>
    <n v="0"/>
    <n v="0"/>
  </r>
  <r>
    <s v="A1XATJA7ENOGWB"/>
    <s v="english"/>
    <s v="test"/>
    <x v="3"/>
    <x v="1"/>
    <s v="mo-h"/>
    <s v="fa"/>
    <s v="ms-l"/>
    <n v="0"/>
    <n v="1"/>
    <n v="0"/>
    <n v="0"/>
    <n v="1"/>
    <n v="0"/>
    <n v="1"/>
    <n v="0"/>
    <n v="1"/>
    <n v="0"/>
    <n v="0"/>
    <n v="1"/>
    <n v="0"/>
    <n v="0"/>
  </r>
  <r>
    <s v="A1XATJA7ENOGWB"/>
    <s v="english"/>
    <s v="test"/>
    <x v="0"/>
    <x v="1"/>
    <s v="mo-l"/>
    <s v="mo-h"/>
    <s v="ms-l"/>
    <n v="0"/>
    <n v="1"/>
    <n v="1"/>
    <n v="0"/>
    <n v="1"/>
    <n v="0"/>
    <n v="1"/>
    <n v="0"/>
    <n v="1"/>
    <n v="1"/>
    <n v="0"/>
    <n v="1"/>
    <n v="0"/>
    <n v="0"/>
  </r>
  <r>
    <s v="A1XATJA7ENOGWB"/>
    <s v="english"/>
    <s v="test"/>
    <x v="1"/>
    <x v="1"/>
    <s v="ms-h"/>
    <s v="mo-l"/>
    <s v="mo-h"/>
    <n v="0"/>
    <n v="1"/>
    <n v="1"/>
    <n v="1"/>
    <n v="0"/>
    <n v="0"/>
    <n v="1"/>
    <n v="0"/>
    <n v="1"/>
    <n v="1"/>
    <n v="1"/>
    <n v="0"/>
    <n v="0"/>
    <n v="0"/>
  </r>
  <r>
    <s v="A2W5Q0IVJUS7Y6"/>
    <s v="english"/>
    <s v="test"/>
    <x v="5"/>
    <x v="1"/>
    <s v="ms-h"/>
    <s v="mo-l"/>
    <s v="mo-h"/>
    <n v="0"/>
    <n v="1"/>
    <n v="1"/>
    <n v="1"/>
    <n v="0"/>
    <n v="0"/>
    <n v="1"/>
    <n v="0"/>
    <n v="1"/>
    <n v="1"/>
    <n v="0"/>
    <n v="0"/>
    <n v="0"/>
    <n v="0"/>
  </r>
  <r>
    <s v="A2W5Q0IVJUS7Y6"/>
    <s v="english"/>
    <s v="test"/>
    <x v="0"/>
    <x v="1"/>
    <s v="fa"/>
    <s v="mo-h"/>
    <s v="ms-h"/>
    <n v="0"/>
    <n v="1"/>
    <n v="0"/>
    <n v="1"/>
    <n v="0"/>
    <n v="0"/>
    <n v="1"/>
    <n v="0"/>
    <n v="1"/>
    <n v="0"/>
    <n v="1"/>
    <n v="0"/>
    <n v="0"/>
    <n v="0"/>
  </r>
  <r>
    <s v="A2W5Q0IVJUS7Y6"/>
    <s v="english"/>
    <s v="test"/>
    <x v="1"/>
    <x v="1"/>
    <s v="mo-l"/>
    <s v="mo-h"/>
    <s v="ms-h"/>
    <n v="0"/>
    <n v="1"/>
    <n v="1"/>
    <n v="1"/>
    <n v="0"/>
    <n v="0"/>
    <n v="1"/>
    <n v="0"/>
    <n v="1"/>
    <n v="1"/>
    <n v="0"/>
    <n v="0"/>
    <n v="0"/>
    <n v="0"/>
  </r>
  <r>
    <s v="A2W5Q0IVJUS7Y6"/>
    <s v="english"/>
    <s v="test"/>
    <x v="4"/>
    <x v="1"/>
    <s v="mo-l"/>
    <s v="mo-h"/>
    <s v="ms-l"/>
    <n v="0"/>
    <n v="1"/>
    <n v="1"/>
    <n v="0"/>
    <n v="1"/>
    <n v="0"/>
    <n v="1"/>
    <n v="0"/>
    <n v="1"/>
    <n v="1"/>
    <n v="0"/>
    <n v="1"/>
    <n v="0"/>
    <n v="0"/>
  </r>
  <r>
    <s v="A2W5Q0IVJUS7Y6"/>
    <s v="english"/>
    <s v="test"/>
    <x v="2"/>
    <x v="1"/>
    <s v="exh"/>
    <s v="mo-h"/>
    <s v="ms-h"/>
    <n v="1"/>
    <n v="1"/>
    <n v="0"/>
    <n v="1"/>
    <n v="0"/>
    <n v="0"/>
    <n v="1"/>
    <n v="1"/>
    <n v="1"/>
    <n v="0"/>
    <n v="1"/>
    <n v="0"/>
    <n v="0"/>
    <n v="0"/>
  </r>
  <r>
    <s v="A125AOX978LDG7"/>
    <s v="English "/>
    <s v="test"/>
    <x v="0"/>
    <x v="1"/>
    <s v="mo-l"/>
    <s v="mo-h"/>
    <s v="ms-h"/>
    <n v="0"/>
    <n v="1"/>
    <n v="1"/>
    <n v="1"/>
    <n v="0"/>
    <n v="0"/>
    <n v="1"/>
    <n v="0"/>
    <n v="1"/>
    <n v="1"/>
    <n v="1"/>
    <n v="0"/>
    <n v="0"/>
    <n v="0"/>
  </r>
  <r>
    <s v="A125AOX978LDG7"/>
    <s v="English "/>
    <s v="test"/>
    <x v="4"/>
    <x v="1"/>
    <s v="mo-h"/>
    <s v="mo-l"/>
    <s v="ms-l"/>
    <n v="0"/>
    <n v="1"/>
    <n v="1"/>
    <n v="0"/>
    <n v="1"/>
    <n v="0"/>
    <n v="1"/>
    <n v="0"/>
    <n v="1"/>
    <n v="1"/>
    <n v="0"/>
    <n v="1"/>
    <n v="0"/>
    <n v="0"/>
  </r>
  <r>
    <s v="A125AOX978LDG7"/>
    <s v="English "/>
    <s v="test"/>
    <x v="1"/>
    <x v="1"/>
    <s v="mo-l"/>
    <s v="mo-h"/>
    <s v="ms-h"/>
    <n v="0"/>
    <n v="1"/>
    <n v="1"/>
    <n v="1"/>
    <n v="0"/>
    <n v="0"/>
    <n v="1"/>
    <n v="0"/>
    <n v="1"/>
    <n v="1"/>
    <n v="1"/>
    <n v="0"/>
    <n v="0"/>
    <n v="0"/>
  </r>
  <r>
    <s v="A20Q6LGMUJLJDG"/>
    <s v="english"/>
    <s v="test"/>
    <x v="0"/>
    <x v="1"/>
    <s v="ms-l"/>
    <s v="mo-h"/>
    <s v="ms-h"/>
    <n v="0"/>
    <n v="1"/>
    <n v="0"/>
    <n v="1"/>
    <n v="1"/>
    <n v="0"/>
    <n v="1"/>
    <n v="0"/>
    <n v="1"/>
    <n v="0"/>
    <n v="0"/>
    <n v="0"/>
    <n v="0"/>
    <n v="0"/>
  </r>
  <r>
    <s v="A20Q6LGMUJLJDG"/>
    <s v="english"/>
    <s v="test"/>
    <x v="1"/>
    <x v="1"/>
    <s v="mo-h"/>
    <s v="fa"/>
    <s v="ms-h"/>
    <n v="0"/>
    <n v="1"/>
    <n v="0"/>
    <n v="1"/>
    <n v="0"/>
    <n v="0"/>
    <n v="1"/>
    <n v="0"/>
    <n v="1"/>
    <n v="0"/>
    <n v="1"/>
    <n v="0"/>
    <n v="0"/>
    <n v="0"/>
  </r>
  <r>
    <s v="A20Q6LGMUJLJDG"/>
    <s v="english"/>
    <s v="test"/>
    <x v="4"/>
    <x v="1"/>
    <s v="mo-h"/>
    <s v="mo-l"/>
    <s v="exh"/>
    <n v="1"/>
    <n v="1"/>
    <n v="1"/>
    <n v="0"/>
    <n v="0"/>
    <n v="0"/>
    <n v="1"/>
    <n v="0"/>
    <n v="1"/>
    <n v="0"/>
    <n v="0"/>
    <n v="0"/>
    <n v="0"/>
    <n v="0"/>
  </r>
  <r>
    <s v="A20Q6LGMUJLJDG"/>
    <s v="english"/>
    <s v="test"/>
    <x v="5"/>
    <x v="1"/>
    <s v="fa"/>
    <s v="mo-h"/>
    <s v="ms-l"/>
    <n v="0"/>
    <n v="1"/>
    <n v="0"/>
    <n v="0"/>
    <n v="1"/>
    <n v="0"/>
    <n v="1"/>
    <n v="0"/>
    <n v="1"/>
    <n v="0"/>
    <n v="0"/>
    <n v="0"/>
    <n v="0"/>
    <n v="0"/>
  </r>
  <r>
    <s v="A264G2H7KNNP3C"/>
    <s v="english"/>
    <s v="test"/>
    <x v="2"/>
    <x v="1"/>
    <s v="mo-l"/>
    <s v="mo-h"/>
    <s v="fa"/>
    <n v="0"/>
    <n v="1"/>
    <n v="1"/>
    <n v="0"/>
    <n v="0"/>
    <n v="0"/>
    <n v="1"/>
    <n v="0"/>
    <n v="1"/>
    <n v="0"/>
    <n v="0"/>
    <n v="0"/>
    <n v="0"/>
    <n v="0"/>
  </r>
  <r>
    <s v="A264G2H7KNNP3C"/>
    <s v="english"/>
    <s v="test"/>
    <x v="0"/>
    <x v="1"/>
    <s v="fa"/>
    <s v="mo-h"/>
    <s v="exh"/>
    <n v="1"/>
    <n v="1"/>
    <n v="0"/>
    <n v="0"/>
    <n v="0"/>
    <n v="0"/>
    <n v="1"/>
    <n v="1"/>
    <n v="1"/>
    <n v="0"/>
    <n v="0"/>
    <n v="0"/>
    <n v="0"/>
    <n v="0"/>
  </r>
  <r>
    <s v="A264G2H7KNNP3C"/>
    <s v="english"/>
    <s v="test"/>
    <x v="1"/>
    <x v="1"/>
    <s v="ms-l"/>
    <s v="mo-h"/>
    <s v="ms-h"/>
    <n v="0"/>
    <n v="1"/>
    <n v="0"/>
    <n v="1"/>
    <n v="1"/>
    <n v="0"/>
    <n v="1"/>
    <n v="0"/>
    <n v="1"/>
    <n v="0"/>
    <n v="1"/>
    <n v="0"/>
    <n v="0"/>
    <n v="0"/>
  </r>
  <r>
    <s v="A2RC8VX4LS3WQW"/>
    <s v="english"/>
    <s v="test"/>
    <x v="3"/>
    <x v="1"/>
    <s v="mo-h"/>
    <s v="ms-h"/>
    <s v="ms-l"/>
    <n v="0"/>
    <n v="1"/>
    <n v="0"/>
    <n v="1"/>
    <n v="1"/>
    <n v="0"/>
    <n v="1"/>
    <n v="0"/>
    <n v="1"/>
    <n v="0"/>
    <n v="1"/>
    <n v="1"/>
    <n v="0"/>
    <n v="0"/>
  </r>
  <r>
    <s v="A12569NJ7KY1KX"/>
    <s v="english"/>
    <s v="test"/>
    <x v="3"/>
    <x v="1"/>
    <s v="exh"/>
    <s v="mo-h"/>
    <s v="mo-l"/>
    <n v="1"/>
    <n v="1"/>
    <n v="1"/>
    <n v="0"/>
    <n v="0"/>
    <n v="0"/>
    <n v="1"/>
    <n v="0"/>
    <n v="1"/>
    <n v="0"/>
    <n v="0"/>
    <n v="0"/>
    <n v="0"/>
    <n v="0"/>
  </r>
  <r>
    <s v="A30FCN88F8DZOT"/>
    <s v="english"/>
    <s v="test"/>
    <x v="3"/>
    <x v="1"/>
    <s v="ms-h"/>
    <s v="mo-h"/>
    <s v="mo-l"/>
    <n v="0"/>
    <n v="1"/>
    <n v="1"/>
    <n v="1"/>
    <n v="0"/>
    <n v="0"/>
    <n v="1"/>
    <n v="0"/>
    <n v="1"/>
    <n v="0"/>
    <n v="1"/>
    <n v="0"/>
    <n v="0"/>
    <n v="0"/>
  </r>
  <r>
    <s v="A30FCN88F8DZOT"/>
    <s v="english"/>
    <s v="test"/>
    <x v="2"/>
    <x v="1"/>
    <s v="mo-h"/>
    <s v="mo-l"/>
    <s v="fa"/>
    <n v="0"/>
    <n v="1"/>
    <n v="1"/>
    <n v="0"/>
    <n v="0"/>
    <n v="0"/>
    <n v="1"/>
    <n v="0"/>
    <n v="1"/>
    <n v="0"/>
    <n v="0"/>
    <n v="0"/>
    <n v="0"/>
    <n v="0"/>
  </r>
  <r>
    <s v="A2W1QLIYADUJU3"/>
    <s v="english"/>
    <s v="test"/>
    <x v="3"/>
    <x v="1"/>
    <s v="mo-h"/>
    <s v="ms-l"/>
    <s v="ms-h"/>
    <n v="0"/>
    <n v="1"/>
    <n v="0"/>
    <n v="1"/>
    <n v="1"/>
    <n v="0"/>
    <n v="1"/>
    <n v="0"/>
    <n v="1"/>
    <n v="0"/>
    <n v="0"/>
    <n v="1"/>
    <n v="0"/>
    <n v="0"/>
  </r>
  <r>
    <s v="A1CJZOKUD5J0H1"/>
    <s v="english"/>
    <s v="test"/>
    <x v="1"/>
    <x v="1"/>
    <s v="mo-l"/>
    <s v="mo-h"/>
    <s v="ms-l"/>
    <n v="0"/>
    <n v="1"/>
    <n v="1"/>
    <n v="0"/>
    <n v="1"/>
    <n v="0"/>
    <n v="1"/>
    <n v="0"/>
    <n v="1"/>
    <n v="0"/>
    <n v="0"/>
    <n v="1"/>
    <n v="0"/>
    <n v="0"/>
  </r>
  <r>
    <s v="A1CJZOKUD5J0H1"/>
    <s v="english"/>
    <s v="test"/>
    <x v="5"/>
    <x v="1"/>
    <s v="mo-h"/>
    <s v="ms-h"/>
    <s v="fa"/>
    <n v="0"/>
    <n v="1"/>
    <n v="0"/>
    <n v="1"/>
    <n v="0"/>
    <n v="0"/>
    <n v="1"/>
    <n v="0"/>
    <n v="1"/>
    <n v="0"/>
    <n v="1"/>
    <n v="0"/>
    <n v="0"/>
    <n v="0"/>
  </r>
  <r>
    <s v="A1CJZOKUD5J0H1"/>
    <s v="english"/>
    <s v="test"/>
    <x v="0"/>
    <x v="1"/>
    <s v="fa"/>
    <s v="mo-h"/>
    <s v="ms-l"/>
    <n v="0"/>
    <n v="1"/>
    <n v="0"/>
    <n v="0"/>
    <n v="1"/>
    <n v="0"/>
    <n v="1"/>
    <n v="0"/>
    <n v="1"/>
    <n v="0"/>
    <n v="0"/>
    <n v="1"/>
    <n v="0"/>
    <n v="0"/>
  </r>
  <r>
    <s v="A2SZRPGIEYRCG6"/>
    <s v="english"/>
    <s v="test"/>
    <x v="4"/>
    <x v="1"/>
    <s v="mo-h"/>
    <s v="ms-l"/>
    <s v="mo-l"/>
    <n v="0"/>
    <n v="1"/>
    <n v="1"/>
    <n v="0"/>
    <n v="1"/>
    <n v="0"/>
    <n v="1"/>
    <n v="0"/>
    <n v="1"/>
    <n v="0"/>
    <n v="0"/>
    <n v="0"/>
    <n v="0"/>
    <n v="0"/>
  </r>
  <r>
    <s v="A2SZRPGIEYRCG6"/>
    <s v="english"/>
    <s v="test"/>
    <x v="3"/>
    <x v="1"/>
    <s v="mo-h"/>
    <s v="exh"/>
    <s v="ms-h"/>
    <n v="1"/>
    <n v="1"/>
    <n v="0"/>
    <n v="1"/>
    <n v="0"/>
    <n v="0"/>
    <n v="1"/>
    <n v="1"/>
    <n v="1"/>
    <n v="0"/>
    <n v="1"/>
    <n v="0"/>
    <n v="0"/>
    <n v="0"/>
  </r>
  <r>
    <s v="A2SZRPGIEYRCG6"/>
    <s v="english"/>
    <s v="test"/>
    <x v="5"/>
    <x v="1"/>
    <s v="fa"/>
    <s v="mo-h"/>
    <s v="ms-l"/>
    <n v="0"/>
    <n v="1"/>
    <n v="0"/>
    <n v="0"/>
    <n v="1"/>
    <n v="0"/>
    <n v="1"/>
    <n v="0"/>
    <n v="1"/>
    <n v="0"/>
    <n v="0"/>
    <n v="0"/>
    <n v="0"/>
    <n v="0"/>
  </r>
  <r>
    <s v="A2SZRPGIEYRCG6"/>
    <s v="english"/>
    <s v="test"/>
    <x v="0"/>
    <x v="1"/>
    <s v="mo-h"/>
    <s v="fa"/>
    <s v="ms-l"/>
    <n v="0"/>
    <n v="1"/>
    <n v="0"/>
    <n v="0"/>
    <n v="1"/>
    <n v="0"/>
    <n v="1"/>
    <n v="0"/>
    <n v="1"/>
    <n v="0"/>
    <n v="0"/>
    <n v="1"/>
    <n v="0"/>
    <n v="0"/>
  </r>
  <r>
    <s v="A2LV5432PV1S39"/>
    <s v="english"/>
    <s v="test"/>
    <x v="3"/>
    <x v="1"/>
    <s v="ms-l"/>
    <s v="fa"/>
    <s v="mo-h"/>
    <n v="0"/>
    <n v="1"/>
    <n v="0"/>
    <n v="0"/>
    <n v="1"/>
    <n v="0"/>
    <n v="1"/>
    <n v="0"/>
    <n v="1"/>
    <n v="0"/>
    <n v="0"/>
    <n v="1"/>
    <n v="0"/>
    <n v="0"/>
  </r>
  <r>
    <s v="A2LV5432PV1S39"/>
    <s v="english"/>
    <s v="test"/>
    <x v="5"/>
    <x v="1"/>
    <s v="mo-l"/>
    <s v="ms-l"/>
    <s v="mo-h"/>
    <n v="0"/>
    <n v="1"/>
    <n v="1"/>
    <n v="0"/>
    <n v="1"/>
    <n v="0"/>
    <n v="1"/>
    <n v="0"/>
    <n v="1"/>
    <n v="1"/>
    <n v="0"/>
    <n v="1"/>
    <n v="0"/>
    <n v="0"/>
  </r>
  <r>
    <s v="A2LV5432PV1S39"/>
    <s v="english"/>
    <s v="test"/>
    <x v="0"/>
    <x v="1"/>
    <s v="mo-h"/>
    <s v="ms-h"/>
    <s v="ms-l"/>
    <n v="0"/>
    <n v="1"/>
    <n v="0"/>
    <n v="1"/>
    <n v="1"/>
    <n v="0"/>
    <n v="1"/>
    <n v="0"/>
    <n v="1"/>
    <n v="0"/>
    <n v="1"/>
    <n v="1"/>
    <n v="0"/>
    <n v="0"/>
  </r>
  <r>
    <s v="A2LV5432PV1S39"/>
    <s v="english"/>
    <s v="test"/>
    <x v="4"/>
    <x v="1"/>
    <s v="mo-h"/>
    <s v="ms-h"/>
    <s v="mo-l"/>
    <n v="0"/>
    <n v="1"/>
    <n v="1"/>
    <n v="1"/>
    <n v="0"/>
    <n v="0"/>
    <n v="1"/>
    <n v="0"/>
    <n v="1"/>
    <n v="1"/>
    <n v="1"/>
    <n v="0"/>
    <n v="0"/>
    <n v="0"/>
  </r>
  <r>
    <s v="A2LV5432PV1S39"/>
    <s v="english"/>
    <s v="test"/>
    <x v="1"/>
    <x v="1"/>
    <s v="ms-h"/>
    <s v="fa"/>
    <s v="mo-h"/>
    <n v="0"/>
    <n v="1"/>
    <n v="0"/>
    <n v="1"/>
    <n v="0"/>
    <n v="0"/>
    <n v="1"/>
    <n v="0"/>
    <n v="1"/>
    <n v="0"/>
    <n v="1"/>
    <n v="0"/>
    <n v="0"/>
    <n v="0"/>
  </r>
  <r>
    <s v="A2LV5432PV1S39"/>
    <s v="english"/>
    <s v="test"/>
    <x v="2"/>
    <x v="1"/>
    <s v="mo-h"/>
    <s v="ms-l"/>
    <s v="exh"/>
    <n v="1"/>
    <n v="1"/>
    <n v="0"/>
    <n v="0"/>
    <n v="1"/>
    <n v="0"/>
    <n v="1"/>
    <n v="1"/>
    <n v="1"/>
    <n v="0"/>
    <n v="0"/>
    <n v="1"/>
    <n v="0"/>
    <n v="0"/>
  </r>
  <r>
    <s v="A1BZNPQ0H7ZSER"/>
    <s v="english"/>
    <s v="test"/>
    <x v="0"/>
    <x v="1"/>
    <s v="mo-h"/>
    <s v="exh"/>
    <s v="ms-h"/>
    <n v="1"/>
    <n v="1"/>
    <n v="0"/>
    <n v="1"/>
    <n v="0"/>
    <n v="0"/>
    <n v="1"/>
    <n v="1"/>
    <n v="1"/>
    <n v="0"/>
    <n v="1"/>
    <n v="0"/>
    <n v="0"/>
    <n v="0"/>
  </r>
  <r>
    <s v="A1BZNPQ0H7ZSER"/>
    <s v="english"/>
    <s v="test"/>
    <x v="2"/>
    <x v="1"/>
    <s v="ms-h"/>
    <s v="ms-l"/>
    <s v="mo-h"/>
    <n v="0"/>
    <n v="1"/>
    <n v="0"/>
    <n v="1"/>
    <n v="1"/>
    <n v="0"/>
    <n v="1"/>
    <n v="0"/>
    <n v="1"/>
    <n v="0"/>
    <n v="1"/>
    <n v="1"/>
    <n v="0"/>
    <n v="0"/>
  </r>
  <r>
    <s v="A1BZNPQ0H7ZSER"/>
    <s v="english"/>
    <s v="test"/>
    <x v="1"/>
    <x v="1"/>
    <s v="mo-h"/>
    <s v="exh"/>
    <s v="mo-l"/>
    <n v="1"/>
    <n v="1"/>
    <n v="1"/>
    <n v="0"/>
    <n v="0"/>
    <n v="0"/>
    <n v="1"/>
    <n v="1"/>
    <n v="1"/>
    <n v="1"/>
    <n v="0"/>
    <n v="0"/>
    <n v="0"/>
    <n v="0"/>
  </r>
  <r>
    <s v="AC7Z8O1RETQC4"/>
    <s v="english"/>
    <s v="test"/>
    <x v="1"/>
    <x v="1"/>
    <s v="mo-l"/>
    <s v="mo-h"/>
    <s v="ms-h"/>
    <n v="0"/>
    <n v="1"/>
    <n v="1"/>
    <n v="1"/>
    <n v="0"/>
    <n v="0"/>
    <n v="1"/>
    <n v="0"/>
    <n v="1"/>
    <n v="1"/>
    <n v="1"/>
    <n v="0"/>
    <n v="0"/>
    <n v="0"/>
  </r>
  <r>
    <s v="AC7Z8O1RETQC4"/>
    <s v="english"/>
    <s v="test"/>
    <x v="0"/>
    <x v="1"/>
    <s v="ms-l"/>
    <s v="ms-h"/>
    <s v="mo-h"/>
    <n v="0"/>
    <n v="1"/>
    <n v="0"/>
    <n v="1"/>
    <n v="1"/>
    <n v="0"/>
    <n v="1"/>
    <n v="0"/>
    <n v="1"/>
    <n v="0"/>
    <n v="1"/>
    <n v="1"/>
    <n v="0"/>
    <n v="0"/>
  </r>
  <r>
    <s v="AC7Z8O1RETQC4"/>
    <s v="english"/>
    <s v="test"/>
    <x v="5"/>
    <x v="1"/>
    <s v="ms-h"/>
    <s v="ms-l"/>
    <s v="mo-h"/>
    <n v="0"/>
    <n v="1"/>
    <n v="0"/>
    <n v="1"/>
    <n v="1"/>
    <n v="0"/>
    <n v="1"/>
    <n v="0"/>
    <n v="1"/>
    <n v="0"/>
    <n v="1"/>
    <n v="1"/>
    <n v="0"/>
    <n v="0"/>
  </r>
  <r>
    <s v="AC7Z8O1RETQC4"/>
    <s v="english"/>
    <s v="test"/>
    <x v="3"/>
    <x v="1"/>
    <s v="mo-h"/>
    <s v="ms-h"/>
    <s v="fa"/>
    <n v="0"/>
    <n v="1"/>
    <n v="0"/>
    <n v="1"/>
    <n v="0"/>
    <n v="0"/>
    <n v="1"/>
    <n v="0"/>
    <n v="1"/>
    <n v="0"/>
    <n v="1"/>
    <n v="0"/>
    <n v="0"/>
    <n v="0"/>
  </r>
  <r>
    <s v="A15SJZQBR8I3B3"/>
    <s v="english"/>
    <s v="test"/>
    <x v="4"/>
    <x v="1"/>
    <s v="ms-l"/>
    <s v="mo-h"/>
    <s v="mo-l"/>
    <n v="0"/>
    <n v="1"/>
    <n v="1"/>
    <n v="0"/>
    <n v="1"/>
    <n v="0"/>
    <n v="1"/>
    <n v="0"/>
    <n v="1"/>
    <n v="1"/>
    <n v="0"/>
    <n v="1"/>
    <n v="0"/>
    <n v="0"/>
  </r>
  <r>
    <s v="A15SJZQBR8I3B3"/>
    <s v="english"/>
    <s v="test"/>
    <x v="2"/>
    <x v="1"/>
    <s v="mo-h"/>
    <s v="ms-h"/>
    <s v="ms-l"/>
    <n v="0"/>
    <n v="1"/>
    <n v="0"/>
    <n v="1"/>
    <n v="1"/>
    <n v="0"/>
    <n v="1"/>
    <n v="0"/>
    <n v="1"/>
    <n v="0"/>
    <n v="1"/>
    <n v="1"/>
    <n v="0"/>
    <n v="0"/>
  </r>
  <r>
    <s v="A15SJZQBR8I3B3"/>
    <s v="english"/>
    <s v="test"/>
    <x v="5"/>
    <x v="1"/>
    <s v="ms-l"/>
    <s v="mo-h"/>
    <s v="ms-h"/>
    <n v="0"/>
    <n v="1"/>
    <n v="0"/>
    <n v="1"/>
    <n v="1"/>
    <n v="0"/>
    <n v="1"/>
    <n v="0"/>
    <n v="1"/>
    <n v="0"/>
    <n v="1"/>
    <n v="1"/>
    <n v="0"/>
    <n v="0"/>
  </r>
  <r>
    <s v="A12IHTKQFQIPD1"/>
    <s v="english"/>
    <s v="test"/>
    <x v="2"/>
    <x v="1"/>
    <s v="ms-l"/>
    <s v="mo-h"/>
    <s v="mo-l"/>
    <n v="0"/>
    <n v="1"/>
    <n v="1"/>
    <n v="0"/>
    <n v="1"/>
    <n v="0"/>
    <n v="1"/>
    <n v="0"/>
    <n v="1"/>
    <n v="0"/>
    <n v="0"/>
    <n v="0"/>
    <n v="0"/>
    <n v="0"/>
  </r>
  <r>
    <s v="A2KPTC4K228GM3"/>
    <s v="english"/>
    <s v="test"/>
    <x v="2"/>
    <x v="1"/>
    <s v="mo-h"/>
    <s v="ms-l"/>
    <s v="mo-l"/>
    <n v="0"/>
    <n v="1"/>
    <n v="1"/>
    <n v="0"/>
    <n v="1"/>
    <n v="0"/>
    <n v="1"/>
    <n v="0"/>
    <n v="1"/>
    <n v="1"/>
    <n v="0"/>
    <n v="1"/>
    <n v="0"/>
    <n v="0"/>
  </r>
  <r>
    <s v="A2KPTC4K228GM3"/>
    <s v="english"/>
    <s v="test"/>
    <x v="3"/>
    <x v="1"/>
    <s v="ms-l"/>
    <s v="mo-h"/>
    <s v="mo-l"/>
    <n v="0"/>
    <n v="1"/>
    <n v="1"/>
    <n v="0"/>
    <n v="1"/>
    <n v="0"/>
    <n v="1"/>
    <n v="0"/>
    <n v="1"/>
    <n v="1"/>
    <n v="0"/>
    <n v="1"/>
    <n v="0"/>
    <n v="0"/>
  </r>
  <r>
    <s v="A38JCBX2DD2ILP"/>
    <s v="english"/>
    <s v="test"/>
    <x v="0"/>
    <x v="1"/>
    <s v="mo-h"/>
    <s v="ms-h"/>
    <s v="ms-l"/>
    <n v="0"/>
    <n v="1"/>
    <n v="0"/>
    <n v="1"/>
    <n v="1"/>
    <n v="0"/>
    <n v="1"/>
    <n v="0"/>
    <n v="1"/>
    <n v="0"/>
    <n v="1"/>
    <n v="1"/>
    <n v="0"/>
    <n v="0"/>
  </r>
  <r>
    <s v="A38JCBX2DD2ILP"/>
    <s v="english"/>
    <s v="test"/>
    <x v="5"/>
    <x v="1"/>
    <s v="ms-l"/>
    <s v="mo-h"/>
    <s v="exh"/>
    <n v="1"/>
    <n v="1"/>
    <n v="0"/>
    <n v="0"/>
    <n v="1"/>
    <n v="0"/>
    <n v="1"/>
    <n v="1"/>
    <n v="1"/>
    <n v="0"/>
    <n v="0"/>
    <n v="0"/>
    <n v="0"/>
    <n v="0"/>
  </r>
  <r>
    <s v="A1Q16A7AICS0C4"/>
    <s v="english"/>
    <s v="test"/>
    <x v="5"/>
    <x v="1"/>
    <s v="ms-h"/>
    <s v="ms-l"/>
    <s v="mo-h"/>
    <n v="0"/>
    <n v="1"/>
    <n v="0"/>
    <n v="1"/>
    <n v="1"/>
    <n v="0"/>
    <n v="1"/>
    <n v="0"/>
    <n v="1"/>
    <n v="0"/>
    <n v="0"/>
    <n v="1"/>
    <n v="0"/>
    <n v="0"/>
  </r>
  <r>
    <s v="A1Q16A7AICS0C4"/>
    <s v="english"/>
    <s v="test"/>
    <x v="0"/>
    <x v="1"/>
    <s v="ms-h"/>
    <s v="fa"/>
    <s v="mo-h"/>
    <n v="0"/>
    <n v="1"/>
    <n v="0"/>
    <n v="1"/>
    <n v="0"/>
    <n v="0"/>
    <n v="1"/>
    <n v="0"/>
    <n v="1"/>
    <n v="0"/>
    <n v="0"/>
    <n v="0"/>
    <n v="0"/>
    <n v="0"/>
  </r>
  <r>
    <s v="A1Q16A7AICS0C4"/>
    <s v="english"/>
    <s v="test"/>
    <x v="2"/>
    <x v="1"/>
    <s v="mo-l"/>
    <s v="mo-h"/>
    <s v="exh"/>
    <n v="1"/>
    <n v="1"/>
    <n v="1"/>
    <n v="0"/>
    <n v="0"/>
    <n v="0"/>
    <n v="1"/>
    <n v="0"/>
    <n v="1"/>
    <n v="0"/>
    <n v="0"/>
    <n v="0"/>
    <n v="0"/>
    <n v="0"/>
  </r>
  <r>
    <s v="A1SHLWKA0UH1IS"/>
    <s v="english"/>
    <s v="test"/>
    <x v="4"/>
    <x v="1"/>
    <s v="ms-h"/>
    <s v="mo-l"/>
    <s v="mo-h"/>
    <n v="0"/>
    <n v="1"/>
    <n v="1"/>
    <n v="1"/>
    <n v="0"/>
    <n v="0"/>
    <n v="1"/>
    <n v="0"/>
    <n v="1"/>
    <n v="0"/>
    <n v="1"/>
    <n v="0"/>
    <n v="0"/>
    <n v="0"/>
  </r>
  <r>
    <s v="A1SHLWKA0UH1IS"/>
    <s v="english"/>
    <s v="test"/>
    <x v="1"/>
    <x v="1"/>
    <s v="ms-l"/>
    <s v="ms-h"/>
    <s v="mo-h"/>
    <n v="0"/>
    <n v="1"/>
    <n v="0"/>
    <n v="1"/>
    <n v="1"/>
    <n v="0"/>
    <n v="1"/>
    <n v="0"/>
    <n v="1"/>
    <n v="0"/>
    <n v="1"/>
    <n v="0"/>
    <n v="0"/>
    <n v="0"/>
  </r>
  <r>
    <s v="A23OS0HQ12VVOR"/>
    <s v="english"/>
    <s v="test"/>
    <x v="3"/>
    <x v="1"/>
    <s v="mo-h"/>
    <s v="mo-l"/>
    <s v="ms-h"/>
    <n v="0"/>
    <n v="1"/>
    <n v="1"/>
    <n v="1"/>
    <n v="0"/>
    <n v="0"/>
    <n v="1"/>
    <n v="0"/>
    <n v="1"/>
    <n v="0"/>
    <n v="0"/>
    <n v="0"/>
    <n v="0"/>
    <n v="0"/>
  </r>
  <r>
    <s v="A23OS0HQ12VVOR"/>
    <s v="english"/>
    <s v="test"/>
    <x v="5"/>
    <x v="1"/>
    <s v="ms-l"/>
    <s v="fa"/>
    <s v="mo-h"/>
    <n v="0"/>
    <n v="1"/>
    <n v="0"/>
    <n v="0"/>
    <n v="1"/>
    <n v="0"/>
    <n v="1"/>
    <n v="0"/>
    <n v="1"/>
    <n v="0"/>
    <n v="0"/>
    <n v="0"/>
    <n v="0"/>
    <n v="0"/>
  </r>
  <r>
    <s v="A23OS0HQ12VVOR"/>
    <s v="english"/>
    <s v="test"/>
    <x v="4"/>
    <x v="1"/>
    <s v="exh"/>
    <s v="ms-l"/>
    <s v="mo-h"/>
    <n v="1"/>
    <n v="1"/>
    <n v="0"/>
    <n v="0"/>
    <n v="1"/>
    <n v="0"/>
    <n v="1"/>
    <n v="0"/>
    <n v="1"/>
    <n v="0"/>
    <n v="0"/>
    <n v="0"/>
    <n v="0"/>
    <n v="0"/>
  </r>
  <r>
    <s v="A2JIY3NSLQJWAE"/>
    <s v="english"/>
    <s v="test"/>
    <x v="2"/>
    <x v="1"/>
    <s v="mo-l"/>
    <s v="exh"/>
    <s v="mo-h"/>
    <n v="1"/>
    <n v="1"/>
    <n v="1"/>
    <n v="0"/>
    <n v="0"/>
    <n v="0"/>
    <n v="1"/>
    <n v="1"/>
    <n v="1"/>
    <n v="0"/>
    <n v="0"/>
    <n v="0"/>
    <n v="0"/>
    <n v="0"/>
  </r>
  <r>
    <s v="A2JIY3NSLQJWAE"/>
    <s v="english"/>
    <s v="test"/>
    <x v="5"/>
    <x v="1"/>
    <s v="ms-l"/>
    <s v="ms-h"/>
    <s v="mo-h"/>
    <n v="0"/>
    <n v="1"/>
    <n v="0"/>
    <n v="1"/>
    <n v="1"/>
    <n v="0"/>
    <n v="1"/>
    <n v="0"/>
    <n v="1"/>
    <n v="0"/>
    <n v="1"/>
    <n v="1"/>
    <n v="0"/>
    <n v="0"/>
  </r>
  <r>
    <s v="A2JIY3NSLQJWAE"/>
    <s v="english"/>
    <s v="test"/>
    <x v="4"/>
    <x v="1"/>
    <s v="ms-l"/>
    <s v="mo-h"/>
    <s v="mo-l"/>
    <n v="0"/>
    <n v="1"/>
    <n v="1"/>
    <n v="0"/>
    <n v="1"/>
    <n v="0"/>
    <n v="1"/>
    <n v="0"/>
    <n v="1"/>
    <n v="1"/>
    <n v="0"/>
    <n v="0"/>
    <n v="0"/>
    <n v="0"/>
  </r>
  <r>
    <s v="A2JIY3NSLQJWAE"/>
    <s v="english"/>
    <s v="test"/>
    <x v="3"/>
    <x v="1"/>
    <s v="ms-h"/>
    <s v="exh"/>
    <s v="mo-h"/>
    <n v="1"/>
    <n v="1"/>
    <n v="0"/>
    <n v="1"/>
    <n v="0"/>
    <n v="0"/>
    <n v="1"/>
    <n v="1"/>
    <n v="1"/>
    <n v="0"/>
    <n v="0"/>
    <n v="0"/>
    <n v="0"/>
    <n v="0"/>
  </r>
  <r>
    <s v="AZXTZQBZ1F4UV"/>
    <s v="english"/>
    <s v="test"/>
    <x v="3"/>
    <x v="1"/>
    <s v="fa"/>
    <s v="exh"/>
    <s v="mo-h"/>
    <n v="1"/>
    <n v="1"/>
    <n v="0"/>
    <n v="0"/>
    <n v="0"/>
    <n v="0"/>
    <n v="1"/>
    <n v="1"/>
    <n v="1"/>
    <n v="0"/>
    <n v="0"/>
    <n v="0"/>
    <n v="0"/>
    <n v="0"/>
  </r>
  <r>
    <s v="AZXTZQBZ1F4UV"/>
    <s v="english"/>
    <s v="test"/>
    <x v="4"/>
    <x v="1"/>
    <s v="exh"/>
    <s v="mo-h"/>
    <s v="mo-l"/>
    <n v="1"/>
    <n v="1"/>
    <n v="1"/>
    <n v="0"/>
    <n v="0"/>
    <n v="0"/>
    <n v="1"/>
    <n v="1"/>
    <n v="1"/>
    <n v="0"/>
    <n v="0"/>
    <n v="0"/>
    <n v="0"/>
    <n v="0"/>
  </r>
  <r>
    <s v="A2JWHS06PQMJ1"/>
    <s v="english"/>
    <s v="test"/>
    <x v="1"/>
    <x v="1"/>
    <s v="mo-h"/>
    <s v="mo-l"/>
    <s v="ms-h"/>
    <n v="0"/>
    <n v="1"/>
    <n v="1"/>
    <n v="1"/>
    <n v="0"/>
    <n v="0"/>
    <n v="1"/>
    <n v="0"/>
    <n v="1"/>
    <n v="0"/>
    <n v="1"/>
    <n v="0"/>
    <n v="0"/>
    <n v="0"/>
  </r>
  <r>
    <s v="A2JWHS06PQMJ1"/>
    <s v="english"/>
    <s v="test"/>
    <x v="3"/>
    <x v="1"/>
    <s v="mo-h"/>
    <s v="ms-h"/>
    <s v="ms-l"/>
    <n v="0"/>
    <n v="1"/>
    <n v="0"/>
    <n v="1"/>
    <n v="1"/>
    <n v="0"/>
    <n v="1"/>
    <n v="0"/>
    <n v="1"/>
    <n v="0"/>
    <n v="0"/>
    <n v="0"/>
    <n v="0"/>
    <n v="0"/>
  </r>
  <r>
    <s v="A2TNTYHHICCA3Z"/>
    <s v="english"/>
    <s v="test"/>
    <x v="5"/>
    <x v="1"/>
    <s v="ms-h"/>
    <s v="mo-h"/>
    <s v="exh"/>
    <n v="1"/>
    <n v="1"/>
    <n v="0"/>
    <n v="1"/>
    <n v="0"/>
    <n v="0"/>
    <n v="1"/>
    <n v="1"/>
    <n v="1"/>
    <n v="0"/>
    <n v="1"/>
    <n v="0"/>
    <n v="0"/>
    <n v="0"/>
  </r>
  <r>
    <s v="AT53IAFG8BTZO"/>
    <s v="english"/>
    <s v="test"/>
    <x v="1"/>
    <x v="1"/>
    <s v="ms-l"/>
    <s v="mo-h"/>
    <s v="exh"/>
    <n v="1"/>
    <n v="1"/>
    <n v="0"/>
    <n v="0"/>
    <n v="1"/>
    <n v="0"/>
    <n v="1"/>
    <n v="1"/>
    <n v="1"/>
    <n v="0"/>
    <n v="0"/>
    <n v="0"/>
    <n v="0"/>
    <n v="0"/>
  </r>
  <r>
    <s v="AT53IAFG8BTZO"/>
    <s v="english"/>
    <s v="test"/>
    <x v="2"/>
    <x v="1"/>
    <s v="fa"/>
    <s v="ms-l"/>
    <s v="mo-h"/>
    <n v="0"/>
    <n v="1"/>
    <n v="0"/>
    <n v="0"/>
    <n v="1"/>
    <n v="0"/>
    <n v="1"/>
    <n v="0"/>
    <n v="1"/>
    <n v="0"/>
    <n v="0"/>
    <n v="0"/>
    <n v="0"/>
    <n v="0"/>
  </r>
  <r>
    <s v="A2YCHYBHJESOUD"/>
    <s v="english"/>
    <s v="test"/>
    <x v="1"/>
    <x v="1"/>
    <s v="mo-h"/>
    <s v="ms-l"/>
    <s v="mo-l"/>
    <n v="0"/>
    <n v="1"/>
    <n v="1"/>
    <n v="0"/>
    <n v="1"/>
    <n v="0"/>
    <n v="1"/>
    <n v="0"/>
    <n v="1"/>
    <n v="0"/>
    <n v="0"/>
    <n v="0"/>
    <n v="0"/>
    <n v="0"/>
  </r>
  <r>
    <s v="ADNSFH55XO2F8"/>
    <s v="english"/>
    <s v="test"/>
    <x v="5"/>
    <x v="1"/>
    <s v="mo-h"/>
    <s v="exh"/>
    <s v="fa"/>
    <n v="1"/>
    <n v="1"/>
    <n v="0"/>
    <n v="0"/>
    <n v="0"/>
    <n v="0"/>
    <n v="1"/>
    <n v="0"/>
    <n v="1"/>
    <n v="0"/>
    <n v="0"/>
    <n v="0"/>
    <n v="0"/>
    <n v="0"/>
  </r>
  <r>
    <s v="A2VRDE2FHCBMF8"/>
    <s v="Italian"/>
    <s v="test"/>
    <x v="1"/>
    <x v="1"/>
    <s v="mo-h"/>
    <s v="ms-l"/>
    <s v="ms-h"/>
    <n v="0"/>
    <n v="1"/>
    <n v="0"/>
    <n v="1"/>
    <n v="1"/>
    <n v="0"/>
    <n v="1"/>
    <n v="0"/>
    <n v="1"/>
    <n v="0"/>
    <n v="1"/>
    <n v="0"/>
    <n v="0"/>
    <n v="0"/>
  </r>
  <r>
    <s v="A2VRDE2FHCBMF8"/>
    <s v="Italian"/>
    <s v="test"/>
    <x v="0"/>
    <x v="1"/>
    <s v="mo-h"/>
    <s v="ms-h"/>
    <s v="mo-l"/>
    <n v="0"/>
    <n v="1"/>
    <n v="1"/>
    <n v="1"/>
    <n v="0"/>
    <n v="0"/>
    <n v="1"/>
    <n v="0"/>
    <n v="1"/>
    <n v="0"/>
    <n v="1"/>
    <n v="0"/>
    <n v="0"/>
    <n v="0"/>
  </r>
  <r>
    <s v="A2VRDE2FHCBMF8"/>
    <s v="Italian"/>
    <s v="test"/>
    <x v="3"/>
    <x v="1"/>
    <s v="mo-l"/>
    <s v="mo-h"/>
    <s v="ms-l"/>
    <n v="0"/>
    <n v="1"/>
    <n v="1"/>
    <n v="0"/>
    <n v="1"/>
    <n v="0"/>
    <n v="1"/>
    <n v="0"/>
    <n v="1"/>
    <n v="0"/>
    <n v="0"/>
    <n v="0"/>
    <n v="0"/>
    <n v="0"/>
  </r>
  <r>
    <s v="A2VRDE2FHCBMF8"/>
    <s v="Italian"/>
    <s v="test"/>
    <x v="2"/>
    <x v="1"/>
    <s v="mo-h"/>
    <s v="ms-h"/>
    <s v="mo-l"/>
    <n v="0"/>
    <n v="1"/>
    <n v="1"/>
    <n v="1"/>
    <n v="0"/>
    <n v="0"/>
    <n v="1"/>
    <n v="0"/>
    <n v="1"/>
    <n v="0"/>
    <n v="1"/>
    <n v="0"/>
    <n v="0"/>
    <n v="0"/>
  </r>
  <r>
    <s v="A9EQ4FWCUQVBL"/>
    <s v="english"/>
    <s v="test"/>
    <x v="2"/>
    <x v="1"/>
    <s v="ms-l"/>
    <s v="fa"/>
    <s v="mo-h"/>
    <n v="0"/>
    <n v="1"/>
    <n v="0"/>
    <n v="0"/>
    <n v="1"/>
    <n v="0"/>
    <n v="1"/>
    <n v="0"/>
    <n v="1"/>
    <n v="0"/>
    <n v="0"/>
    <n v="1"/>
    <n v="0"/>
    <n v="0"/>
  </r>
  <r>
    <s v="A3908297ZI3LES"/>
    <s v="english"/>
    <s v="test"/>
    <x v="3"/>
    <x v="1"/>
    <s v="exh"/>
    <s v="mo-h"/>
    <s v="ms-h"/>
    <n v="1"/>
    <n v="1"/>
    <n v="0"/>
    <n v="1"/>
    <n v="0"/>
    <n v="0"/>
    <n v="1"/>
    <n v="0"/>
    <n v="1"/>
    <n v="0"/>
    <n v="0"/>
    <n v="0"/>
    <n v="0"/>
    <n v="0"/>
  </r>
  <r>
    <s v="A3908297ZI3LES"/>
    <s v="english"/>
    <s v="test"/>
    <x v="1"/>
    <x v="1"/>
    <s v="mo-h"/>
    <s v="exh"/>
    <s v="ms-l"/>
    <n v="1"/>
    <n v="1"/>
    <n v="0"/>
    <n v="0"/>
    <n v="1"/>
    <n v="0"/>
    <n v="1"/>
    <n v="1"/>
    <n v="1"/>
    <n v="0"/>
    <n v="0"/>
    <n v="0"/>
    <n v="0"/>
    <n v="0"/>
  </r>
  <r>
    <s v="A6EJ7EU0KMGPL"/>
    <s v="english"/>
    <s v="test"/>
    <x v="1"/>
    <x v="1"/>
    <s v="ms-h"/>
    <s v="ms-l"/>
    <s v="mo-h"/>
    <n v="0"/>
    <n v="1"/>
    <n v="0"/>
    <n v="1"/>
    <n v="1"/>
    <n v="0"/>
    <n v="1"/>
    <n v="0"/>
    <n v="1"/>
    <n v="0"/>
    <n v="1"/>
    <n v="0"/>
    <n v="0"/>
    <n v="0"/>
  </r>
  <r>
    <s v="A6EJ7EU0KMGPL"/>
    <s v="english"/>
    <s v="test"/>
    <x v="4"/>
    <x v="1"/>
    <s v="ms-l"/>
    <s v="mo-l"/>
    <s v="mo-h"/>
    <n v="0"/>
    <n v="1"/>
    <n v="1"/>
    <n v="0"/>
    <n v="1"/>
    <n v="0"/>
    <n v="1"/>
    <n v="0"/>
    <n v="1"/>
    <n v="0"/>
    <n v="0"/>
    <n v="0"/>
    <n v="0"/>
    <n v="0"/>
  </r>
  <r>
    <s v="A6EJ7EU0KMGPL"/>
    <s v="english"/>
    <s v="test"/>
    <x v="0"/>
    <x v="1"/>
    <s v="ms-h"/>
    <s v="mo-h"/>
    <s v="ms-l"/>
    <n v="0"/>
    <n v="1"/>
    <n v="0"/>
    <n v="1"/>
    <n v="1"/>
    <n v="0"/>
    <n v="1"/>
    <n v="0"/>
    <n v="1"/>
    <n v="0"/>
    <n v="1"/>
    <n v="0"/>
    <n v="0"/>
    <n v="0"/>
  </r>
  <r>
    <s v="A1IJ9VL8YPIE3T"/>
    <s v="English "/>
    <s v="test"/>
    <x v="2"/>
    <x v="1"/>
    <s v="fa"/>
    <s v="mo-h"/>
    <s v="ms-h"/>
    <n v="0"/>
    <n v="1"/>
    <n v="0"/>
    <n v="1"/>
    <n v="0"/>
    <n v="0"/>
    <n v="1"/>
    <n v="0"/>
    <n v="1"/>
    <n v="0"/>
    <n v="0"/>
    <n v="0"/>
    <n v="0"/>
    <n v="0"/>
  </r>
  <r>
    <s v="A1IJ9VL8YPIE3T"/>
    <s v="English "/>
    <s v="test"/>
    <x v="3"/>
    <x v="1"/>
    <s v="ms-h"/>
    <s v="ms-l"/>
    <s v="mo-h"/>
    <n v="0"/>
    <n v="1"/>
    <n v="0"/>
    <n v="1"/>
    <n v="1"/>
    <n v="0"/>
    <n v="1"/>
    <n v="0"/>
    <n v="1"/>
    <n v="0"/>
    <n v="0"/>
    <n v="0"/>
    <n v="0"/>
    <n v="0"/>
  </r>
  <r>
    <s v="A3IYDY7TO808Z3"/>
    <s v="english"/>
    <s v="test"/>
    <x v="1"/>
    <x v="1"/>
    <s v="mo-l"/>
    <s v="mo-h"/>
    <s v="fa"/>
    <n v="0"/>
    <n v="1"/>
    <n v="1"/>
    <n v="0"/>
    <n v="0"/>
    <n v="0"/>
    <n v="1"/>
    <n v="0"/>
    <n v="1"/>
    <n v="0"/>
    <n v="0"/>
    <n v="0"/>
    <n v="0"/>
    <n v="0"/>
  </r>
  <r>
    <s v="A3IYDY7TO808Z3"/>
    <s v="english"/>
    <s v="test"/>
    <x v="5"/>
    <x v="1"/>
    <s v="mo-l"/>
    <s v="mo-h"/>
    <s v="fa"/>
    <n v="0"/>
    <n v="1"/>
    <n v="1"/>
    <n v="0"/>
    <n v="0"/>
    <n v="0"/>
    <n v="1"/>
    <n v="0"/>
    <n v="1"/>
    <n v="0"/>
    <n v="0"/>
    <n v="0"/>
    <n v="0"/>
    <n v="0"/>
  </r>
  <r>
    <s v="A3IYDY7TO808Z3"/>
    <s v="english"/>
    <s v="test"/>
    <x v="0"/>
    <x v="1"/>
    <s v="mo-l"/>
    <s v="mo-h"/>
    <s v="exh"/>
    <n v="1"/>
    <n v="1"/>
    <n v="1"/>
    <n v="0"/>
    <n v="0"/>
    <n v="0"/>
    <n v="1"/>
    <n v="1"/>
    <n v="1"/>
    <n v="0"/>
    <n v="0"/>
    <n v="0"/>
    <n v="0"/>
    <n v="0"/>
  </r>
  <r>
    <s v="A3IYDY7TO808Z3"/>
    <s v="english"/>
    <s v="test"/>
    <x v="4"/>
    <x v="1"/>
    <s v="ms-l"/>
    <s v="mo-h"/>
    <s v="fa"/>
    <n v="0"/>
    <n v="1"/>
    <n v="0"/>
    <n v="0"/>
    <n v="1"/>
    <n v="0"/>
    <n v="1"/>
    <n v="0"/>
    <n v="1"/>
    <n v="0"/>
    <n v="0"/>
    <n v="0"/>
    <n v="0"/>
    <n v="0"/>
  </r>
  <r>
    <s v="A3IYDY7TO808Z3"/>
    <s v="english"/>
    <s v="test"/>
    <x v="3"/>
    <x v="1"/>
    <s v="ms-h"/>
    <s v="exh"/>
    <s v="mo-h"/>
    <n v="1"/>
    <n v="1"/>
    <n v="0"/>
    <n v="1"/>
    <n v="0"/>
    <n v="0"/>
    <n v="1"/>
    <n v="0"/>
    <n v="1"/>
    <n v="0"/>
    <n v="0"/>
    <n v="0"/>
    <n v="0"/>
    <n v="0"/>
  </r>
  <r>
    <s v="A3DEG7PE4RFCWB"/>
    <s v="english"/>
    <s v="test"/>
    <x v="1"/>
    <x v="1"/>
    <s v="exh"/>
    <s v="mo-h"/>
    <s v="mo-l"/>
    <n v="1"/>
    <n v="1"/>
    <n v="1"/>
    <n v="0"/>
    <n v="0"/>
    <n v="0"/>
    <n v="1"/>
    <n v="0"/>
    <n v="1"/>
    <n v="0"/>
    <n v="0"/>
    <n v="0"/>
    <n v="0"/>
    <n v="0"/>
  </r>
  <r>
    <s v="A3DEG7PE4RFCWB"/>
    <s v="english"/>
    <s v="test"/>
    <x v="5"/>
    <x v="1"/>
    <s v="ms-h"/>
    <s v="mo-h"/>
    <s v="ms-l"/>
    <n v="0"/>
    <n v="1"/>
    <n v="0"/>
    <n v="1"/>
    <n v="1"/>
    <n v="0"/>
    <n v="1"/>
    <n v="0"/>
    <n v="1"/>
    <n v="0"/>
    <n v="0"/>
    <n v="0"/>
    <n v="0"/>
    <n v="0"/>
  </r>
  <r>
    <s v="A3DEG7PE4RFCWB"/>
    <s v="english"/>
    <s v="test"/>
    <x v="0"/>
    <x v="1"/>
    <s v="mo-l"/>
    <s v="mo-h"/>
    <s v="exh"/>
    <n v="1"/>
    <n v="1"/>
    <n v="1"/>
    <n v="0"/>
    <n v="0"/>
    <n v="0"/>
    <n v="1"/>
    <n v="0"/>
    <n v="1"/>
    <n v="0"/>
    <n v="0"/>
    <n v="0"/>
    <n v="0"/>
    <n v="0"/>
  </r>
  <r>
    <s v="AHZ7C7ETHYX3N"/>
    <s v="english"/>
    <s v="test"/>
    <x v="1"/>
    <x v="1"/>
    <s v="mo-l"/>
    <s v="ms-h"/>
    <s v="mo-h"/>
    <n v="0"/>
    <n v="1"/>
    <n v="1"/>
    <n v="1"/>
    <n v="0"/>
    <n v="0"/>
    <n v="1"/>
    <n v="0"/>
    <n v="1"/>
    <n v="1"/>
    <n v="1"/>
    <n v="0"/>
    <n v="0"/>
    <n v="0"/>
  </r>
  <r>
    <s v="AHZ7C7ETHYX3N"/>
    <s v="english"/>
    <s v="test"/>
    <x v="2"/>
    <x v="1"/>
    <s v="mo-h"/>
    <s v="exh"/>
    <s v="mo-l"/>
    <n v="1"/>
    <n v="1"/>
    <n v="1"/>
    <n v="0"/>
    <n v="0"/>
    <n v="0"/>
    <n v="1"/>
    <n v="1"/>
    <n v="1"/>
    <n v="1"/>
    <n v="0"/>
    <n v="0"/>
    <n v="0"/>
    <n v="0"/>
  </r>
  <r>
    <s v="AT13EK8JER5C3"/>
    <s v="english"/>
    <s v="test"/>
    <x v="4"/>
    <x v="1"/>
    <s v="exh"/>
    <s v="mo-h"/>
    <s v="mo-l"/>
    <n v="1"/>
    <n v="1"/>
    <n v="1"/>
    <n v="0"/>
    <n v="0"/>
    <n v="0"/>
    <n v="1"/>
    <n v="0"/>
    <n v="1"/>
    <n v="0"/>
    <n v="0"/>
    <n v="0"/>
    <n v="0"/>
    <n v="0"/>
  </r>
  <r>
    <s v="AT13EK8JER5C3"/>
    <s v="english"/>
    <s v="test"/>
    <x v="1"/>
    <x v="1"/>
    <s v="ms-l"/>
    <s v="mo-l"/>
    <s v="mo-h"/>
    <n v="0"/>
    <n v="1"/>
    <n v="1"/>
    <n v="0"/>
    <n v="1"/>
    <n v="0"/>
    <n v="1"/>
    <n v="0"/>
    <n v="1"/>
    <n v="0"/>
    <n v="0"/>
    <n v="0"/>
    <n v="0"/>
    <n v="0"/>
  </r>
  <r>
    <s v="A3OB6REG5CGHK1"/>
    <s v="english"/>
    <s v="test"/>
    <x v="1"/>
    <x v="1"/>
    <s v="mo-l"/>
    <s v="fa"/>
    <s v="mo-h"/>
    <n v="0"/>
    <n v="1"/>
    <n v="1"/>
    <n v="0"/>
    <n v="0"/>
    <n v="0"/>
    <n v="1"/>
    <n v="0"/>
    <n v="1"/>
    <n v="0"/>
    <n v="0"/>
    <n v="0"/>
    <n v="0"/>
    <n v="0"/>
  </r>
  <r>
    <s v="A255V2M0CC1G8L"/>
    <s v="english"/>
    <s v="test"/>
    <x v="5"/>
    <x v="1"/>
    <s v="ms-h"/>
    <s v="mo-h"/>
    <s v="exh"/>
    <n v="1"/>
    <n v="1"/>
    <n v="0"/>
    <n v="1"/>
    <n v="0"/>
    <n v="0"/>
    <n v="1"/>
    <n v="0"/>
    <n v="1"/>
    <n v="0"/>
    <n v="0"/>
    <n v="0"/>
    <n v="0"/>
    <n v="0"/>
  </r>
  <r>
    <s v="A255V2M0CC1G8L"/>
    <s v="english"/>
    <s v="test"/>
    <x v="3"/>
    <x v="1"/>
    <s v="fa"/>
    <s v="mo-h"/>
    <s v="exh"/>
    <n v="1"/>
    <n v="1"/>
    <n v="0"/>
    <n v="0"/>
    <n v="0"/>
    <n v="0"/>
    <n v="1"/>
    <n v="0"/>
    <n v="1"/>
    <n v="0"/>
    <n v="0"/>
    <n v="0"/>
    <n v="0"/>
    <n v="0"/>
  </r>
  <r>
    <s v="A255V2M0CC1G8L"/>
    <s v="english"/>
    <s v="test"/>
    <x v="1"/>
    <x v="1"/>
    <s v="ms-l"/>
    <s v="mo-l"/>
    <s v="mo-h"/>
    <n v="0"/>
    <n v="1"/>
    <n v="1"/>
    <n v="0"/>
    <n v="1"/>
    <n v="0"/>
    <n v="1"/>
    <n v="0"/>
    <n v="1"/>
    <n v="0"/>
    <n v="0"/>
    <n v="0"/>
    <n v="0"/>
    <n v="0"/>
  </r>
  <r>
    <s v="A3RL02A3JRAUS4"/>
    <s v="english"/>
    <s v="test"/>
    <x v="4"/>
    <x v="1"/>
    <s v="ms-h"/>
    <s v="mo-h"/>
    <s v="mo-l"/>
    <n v="0"/>
    <n v="1"/>
    <n v="1"/>
    <n v="1"/>
    <n v="0"/>
    <n v="0"/>
    <n v="1"/>
    <n v="0"/>
    <n v="1"/>
    <n v="1"/>
    <n v="1"/>
    <n v="0"/>
    <n v="0"/>
    <n v="0"/>
  </r>
  <r>
    <s v="A13FUEPWBCLBUY"/>
    <s v="english"/>
    <s v="test"/>
    <x v="1"/>
    <x v="1"/>
    <s v="mo-h"/>
    <s v="exh"/>
    <s v="fa"/>
    <n v="1"/>
    <n v="1"/>
    <n v="0"/>
    <n v="0"/>
    <n v="0"/>
    <n v="0"/>
    <n v="1"/>
    <n v="1"/>
    <n v="1"/>
    <n v="0"/>
    <n v="0"/>
    <n v="0"/>
    <n v="0"/>
    <n v="0"/>
  </r>
  <r>
    <s v="A13FUEPWBCLBUY"/>
    <s v="english"/>
    <s v="test"/>
    <x v="3"/>
    <x v="1"/>
    <s v="mo-h"/>
    <s v="ms-h"/>
    <s v="ms-l"/>
    <n v="0"/>
    <n v="1"/>
    <n v="0"/>
    <n v="1"/>
    <n v="1"/>
    <n v="0"/>
    <n v="1"/>
    <n v="0"/>
    <n v="1"/>
    <n v="0"/>
    <n v="1"/>
    <n v="1"/>
    <n v="0"/>
    <n v="0"/>
  </r>
  <r>
    <s v="A13FUEPWBCLBUY"/>
    <s v="english"/>
    <s v="test"/>
    <x v="5"/>
    <x v="1"/>
    <s v="ms-h"/>
    <s v="mo-h"/>
    <s v="fa"/>
    <n v="0"/>
    <n v="1"/>
    <n v="0"/>
    <n v="1"/>
    <n v="0"/>
    <n v="0"/>
    <n v="1"/>
    <n v="0"/>
    <n v="1"/>
    <n v="0"/>
    <n v="1"/>
    <n v="0"/>
    <n v="0"/>
    <n v="0"/>
  </r>
  <r>
    <s v="A13FUEPWBCLBUY"/>
    <s v="english"/>
    <s v="test"/>
    <x v="2"/>
    <x v="1"/>
    <s v="ms-h"/>
    <s v="mo-h"/>
    <s v="mo-l"/>
    <n v="0"/>
    <n v="1"/>
    <n v="1"/>
    <n v="1"/>
    <n v="0"/>
    <n v="0"/>
    <n v="1"/>
    <n v="0"/>
    <n v="1"/>
    <n v="1"/>
    <n v="1"/>
    <n v="0"/>
    <n v="0"/>
    <n v="0"/>
  </r>
  <r>
    <s v="A1V2H0UF94ATWY"/>
    <s v="english"/>
    <s v="test"/>
    <x v="4"/>
    <x v="1"/>
    <s v="mo-h"/>
    <s v="ms-l"/>
    <s v="fa"/>
    <n v="0"/>
    <n v="1"/>
    <n v="0"/>
    <n v="0"/>
    <n v="1"/>
    <n v="0"/>
    <n v="1"/>
    <n v="0"/>
    <n v="1"/>
    <n v="0"/>
    <n v="0"/>
    <n v="0"/>
    <n v="0"/>
    <n v="0"/>
  </r>
  <r>
    <s v="A1V2H0UF94ATWY"/>
    <s v="english"/>
    <s v="test"/>
    <x v="1"/>
    <x v="1"/>
    <s v="mo-h"/>
    <s v="ms-l"/>
    <s v="ms-h"/>
    <n v="0"/>
    <n v="1"/>
    <n v="0"/>
    <n v="1"/>
    <n v="1"/>
    <n v="0"/>
    <n v="1"/>
    <n v="0"/>
    <n v="1"/>
    <n v="0"/>
    <n v="1"/>
    <n v="0"/>
    <n v="0"/>
    <n v="0"/>
  </r>
  <r>
    <s v="A1V2H0UF94ATWY"/>
    <s v="english"/>
    <s v="test"/>
    <x v="0"/>
    <x v="1"/>
    <s v="mo-h"/>
    <s v="ms-l"/>
    <s v="fa"/>
    <n v="0"/>
    <n v="1"/>
    <n v="0"/>
    <n v="0"/>
    <n v="1"/>
    <n v="0"/>
    <n v="1"/>
    <n v="0"/>
    <n v="1"/>
    <n v="0"/>
    <n v="0"/>
    <n v="0"/>
    <n v="0"/>
    <n v="0"/>
  </r>
  <r>
    <s v="A2BZY06YRWGEDL"/>
    <s v="english"/>
    <s v="test"/>
    <x v="0"/>
    <x v="1"/>
    <s v="mo-l"/>
    <s v="mo-h"/>
    <s v="fa"/>
    <n v="0"/>
    <n v="1"/>
    <n v="1"/>
    <n v="0"/>
    <n v="0"/>
    <n v="0"/>
    <n v="1"/>
    <n v="0"/>
    <n v="1"/>
    <n v="1"/>
    <n v="0"/>
    <n v="0"/>
    <n v="0"/>
    <n v="0"/>
  </r>
  <r>
    <s v="A2BZY06YRWGEDL"/>
    <s v="english"/>
    <s v="test"/>
    <x v="2"/>
    <x v="1"/>
    <s v="ms-l"/>
    <s v="mo-l"/>
    <s v="mo-h"/>
    <n v="0"/>
    <n v="1"/>
    <n v="1"/>
    <n v="0"/>
    <n v="1"/>
    <n v="0"/>
    <n v="1"/>
    <n v="0"/>
    <n v="1"/>
    <n v="1"/>
    <n v="0"/>
    <n v="1"/>
    <n v="0"/>
    <n v="0"/>
  </r>
  <r>
    <s v="A2BZY06YRWGEDL"/>
    <s v="english"/>
    <s v="test"/>
    <x v="1"/>
    <x v="1"/>
    <s v="mo-h"/>
    <s v="fa"/>
    <s v="ms-h"/>
    <n v="0"/>
    <n v="1"/>
    <n v="0"/>
    <n v="1"/>
    <n v="0"/>
    <n v="0"/>
    <n v="1"/>
    <n v="0"/>
    <n v="1"/>
    <n v="0"/>
    <n v="1"/>
    <n v="0"/>
    <n v="0"/>
    <n v="0"/>
  </r>
  <r>
    <s v="A2BZY06YRWGEDL"/>
    <s v="english"/>
    <s v="test"/>
    <x v="5"/>
    <x v="1"/>
    <s v="ms-l"/>
    <s v="mo-h"/>
    <s v="exh"/>
    <n v="1"/>
    <n v="1"/>
    <n v="0"/>
    <n v="0"/>
    <n v="1"/>
    <n v="0"/>
    <n v="1"/>
    <n v="1"/>
    <n v="1"/>
    <n v="0"/>
    <n v="0"/>
    <n v="1"/>
    <n v="0"/>
    <n v="0"/>
  </r>
  <r>
    <s v="A1EQ1LHEEIQ3UA"/>
    <s v="english"/>
    <s v="test"/>
    <x v="3"/>
    <x v="1"/>
    <s v="mo-h"/>
    <s v="ms-l"/>
    <s v="mo-l"/>
    <n v="0"/>
    <n v="1"/>
    <n v="1"/>
    <n v="0"/>
    <n v="1"/>
    <n v="0"/>
    <n v="1"/>
    <n v="0"/>
    <n v="1"/>
    <n v="1"/>
    <n v="0"/>
    <n v="1"/>
    <n v="0"/>
    <n v="0"/>
  </r>
  <r>
    <s v="AJFVK3O1D7SPE"/>
    <s v="english"/>
    <s v="test"/>
    <x v="0"/>
    <x v="1"/>
    <s v="mo-l"/>
    <s v="ms-l"/>
    <s v="mo-h"/>
    <n v="0"/>
    <n v="1"/>
    <n v="1"/>
    <n v="0"/>
    <n v="1"/>
    <n v="0"/>
    <n v="1"/>
    <n v="0"/>
    <n v="1"/>
    <n v="0"/>
    <n v="0"/>
    <n v="0"/>
    <n v="0"/>
    <n v="0"/>
  </r>
  <r>
    <s v="AJFVK3O1D7SPE"/>
    <s v="english"/>
    <s v="test"/>
    <x v="4"/>
    <x v="1"/>
    <s v="fa"/>
    <s v="ms-h"/>
    <s v="mo-h"/>
    <n v="0"/>
    <n v="1"/>
    <n v="0"/>
    <n v="1"/>
    <n v="0"/>
    <n v="0"/>
    <n v="1"/>
    <n v="0"/>
    <n v="1"/>
    <n v="0"/>
    <n v="0"/>
    <n v="0"/>
    <n v="0"/>
    <n v="0"/>
  </r>
  <r>
    <s v="AJFVK3O1D7SPE"/>
    <s v="english"/>
    <s v="test"/>
    <x v="3"/>
    <x v="1"/>
    <s v="mo-h"/>
    <s v="ms-h"/>
    <s v="mo-l"/>
    <n v="0"/>
    <n v="1"/>
    <n v="1"/>
    <n v="1"/>
    <n v="0"/>
    <n v="0"/>
    <n v="1"/>
    <n v="0"/>
    <n v="1"/>
    <n v="0"/>
    <n v="0"/>
    <n v="0"/>
    <n v="0"/>
    <n v="0"/>
  </r>
  <r>
    <s v="AJFVK3O1D7SPE"/>
    <s v="english"/>
    <s v="test"/>
    <x v="1"/>
    <x v="1"/>
    <s v="ms-h"/>
    <s v="mo-h"/>
    <s v="mo-l"/>
    <n v="0"/>
    <n v="1"/>
    <n v="1"/>
    <n v="1"/>
    <n v="0"/>
    <n v="0"/>
    <n v="1"/>
    <n v="0"/>
    <n v="1"/>
    <n v="0"/>
    <n v="1"/>
    <n v="0"/>
    <n v="0"/>
    <n v="0"/>
  </r>
  <r>
    <s v="A10T7GP0TH27RB"/>
    <s v="english"/>
    <s v="test"/>
    <x v="4"/>
    <x v="1"/>
    <s v="ms-h"/>
    <s v="mo-h"/>
    <s v="fa"/>
    <n v="0"/>
    <n v="1"/>
    <n v="0"/>
    <n v="1"/>
    <n v="0"/>
    <n v="0"/>
    <n v="1"/>
    <n v="0"/>
    <n v="1"/>
    <n v="0"/>
    <n v="0"/>
    <n v="0"/>
    <n v="0"/>
    <n v="0"/>
  </r>
  <r>
    <s v="A1GV1POLY1EHJV"/>
    <s v="english"/>
    <s v="test"/>
    <x v="0"/>
    <x v="1"/>
    <s v="ms-h"/>
    <s v="mo-h"/>
    <s v="mo-l"/>
    <n v="0"/>
    <n v="1"/>
    <n v="1"/>
    <n v="1"/>
    <n v="0"/>
    <n v="0"/>
    <n v="1"/>
    <n v="0"/>
    <n v="1"/>
    <n v="1"/>
    <n v="1"/>
    <n v="0"/>
    <n v="0"/>
    <n v="0"/>
  </r>
  <r>
    <s v="A1GV1POLY1EHJV"/>
    <s v="english"/>
    <s v="test"/>
    <x v="3"/>
    <x v="1"/>
    <s v="mo-h"/>
    <s v="ms-l"/>
    <s v="exh"/>
    <n v="1"/>
    <n v="1"/>
    <n v="0"/>
    <n v="0"/>
    <n v="1"/>
    <n v="0"/>
    <n v="1"/>
    <n v="0"/>
    <n v="1"/>
    <n v="0"/>
    <n v="0"/>
    <n v="1"/>
    <n v="0"/>
    <n v="0"/>
  </r>
  <r>
    <s v="A1GV1POLY1EHJV"/>
    <s v="english"/>
    <s v="test"/>
    <x v="1"/>
    <x v="1"/>
    <s v="ms-h"/>
    <s v="mo-h"/>
    <s v="mo-l"/>
    <n v="0"/>
    <n v="1"/>
    <n v="1"/>
    <n v="1"/>
    <n v="0"/>
    <n v="0"/>
    <n v="1"/>
    <n v="0"/>
    <n v="1"/>
    <n v="1"/>
    <n v="1"/>
    <n v="0"/>
    <n v="0"/>
    <n v="0"/>
  </r>
  <r>
    <s v="A1GV1POLY1EHJV"/>
    <s v="english"/>
    <s v="test"/>
    <x v="4"/>
    <x v="1"/>
    <s v="mo-l"/>
    <s v="ms-l"/>
    <s v="mo-h"/>
    <n v="0"/>
    <n v="1"/>
    <n v="1"/>
    <n v="0"/>
    <n v="1"/>
    <n v="0"/>
    <n v="1"/>
    <n v="0"/>
    <n v="1"/>
    <n v="1"/>
    <n v="0"/>
    <n v="1"/>
    <n v="0"/>
    <n v="0"/>
  </r>
  <r>
    <s v="A36IYIE23IO4HE"/>
    <s v="english"/>
    <s v="test"/>
    <x v="5"/>
    <x v="1"/>
    <s v="ms-h"/>
    <s v="ms-l"/>
    <s v="mo-h"/>
    <n v="0"/>
    <n v="1"/>
    <n v="0"/>
    <n v="1"/>
    <n v="1"/>
    <n v="0"/>
    <n v="1"/>
    <n v="0"/>
    <n v="1"/>
    <n v="0"/>
    <n v="0"/>
    <n v="0"/>
    <n v="0"/>
    <n v="0"/>
  </r>
  <r>
    <s v="A36IYIE23IO4HE"/>
    <s v="english"/>
    <s v="test"/>
    <x v="2"/>
    <x v="1"/>
    <s v="mo-h"/>
    <s v="mo-l"/>
    <s v="exh"/>
    <n v="1"/>
    <n v="1"/>
    <n v="1"/>
    <n v="0"/>
    <n v="0"/>
    <n v="0"/>
    <n v="1"/>
    <n v="0"/>
    <n v="1"/>
    <n v="0"/>
    <n v="0"/>
    <n v="0"/>
    <n v="0"/>
    <n v="0"/>
  </r>
  <r>
    <s v="A36IYIE23IO4HE"/>
    <s v="english"/>
    <s v="test"/>
    <x v="1"/>
    <x v="1"/>
    <s v="mo-h"/>
    <s v="ms-h"/>
    <s v="exh"/>
    <n v="1"/>
    <n v="1"/>
    <n v="0"/>
    <n v="1"/>
    <n v="0"/>
    <n v="0"/>
    <n v="1"/>
    <n v="1"/>
    <n v="1"/>
    <n v="0"/>
    <n v="1"/>
    <n v="0"/>
    <n v="0"/>
    <n v="0"/>
  </r>
  <r>
    <s v="APLBF6JY2C1QZ"/>
    <s v="english"/>
    <s v="test"/>
    <x v="3"/>
    <x v="1"/>
    <s v="mo-l"/>
    <s v="ms-l"/>
    <s v="mo-h"/>
    <n v="0"/>
    <n v="1"/>
    <n v="1"/>
    <n v="0"/>
    <n v="1"/>
    <n v="0"/>
    <n v="1"/>
    <n v="0"/>
    <n v="1"/>
    <n v="1"/>
    <n v="0"/>
    <n v="1"/>
    <n v="0"/>
    <n v="0"/>
  </r>
  <r>
    <s v="APLBF6JY2C1QZ"/>
    <s v="english"/>
    <s v="test"/>
    <x v="1"/>
    <x v="1"/>
    <s v="fa"/>
    <s v="ms-h"/>
    <s v="mo-h"/>
    <n v="0"/>
    <n v="1"/>
    <n v="0"/>
    <n v="1"/>
    <n v="0"/>
    <n v="0"/>
    <n v="1"/>
    <n v="0"/>
    <n v="1"/>
    <n v="0"/>
    <n v="1"/>
    <n v="0"/>
    <n v="0"/>
    <n v="0"/>
  </r>
  <r>
    <s v="APLBF6JY2C1QZ"/>
    <s v="english"/>
    <s v="test"/>
    <x v="0"/>
    <x v="1"/>
    <s v="mo-l"/>
    <s v="mo-h"/>
    <s v="ms-l"/>
    <n v="0"/>
    <n v="1"/>
    <n v="1"/>
    <n v="0"/>
    <n v="1"/>
    <n v="0"/>
    <n v="1"/>
    <n v="0"/>
    <n v="1"/>
    <n v="0"/>
    <n v="0"/>
    <n v="0"/>
    <n v="0"/>
    <n v="0"/>
  </r>
  <r>
    <s v="APLBF6JY2C1QZ"/>
    <s v="english"/>
    <s v="test"/>
    <x v="2"/>
    <x v="1"/>
    <s v="mo-l"/>
    <s v="fa"/>
    <s v="mo-h"/>
    <n v="0"/>
    <n v="1"/>
    <n v="1"/>
    <n v="0"/>
    <n v="0"/>
    <n v="0"/>
    <n v="1"/>
    <n v="0"/>
    <n v="1"/>
    <n v="0"/>
    <n v="0"/>
    <n v="0"/>
    <n v="0"/>
    <n v="0"/>
  </r>
  <r>
    <s v="APLBF6JY2C1QZ"/>
    <s v="english"/>
    <s v="test"/>
    <x v="4"/>
    <x v="1"/>
    <s v="mo-l"/>
    <s v="ms-l"/>
    <s v="mo-h"/>
    <n v="0"/>
    <n v="1"/>
    <n v="1"/>
    <n v="0"/>
    <n v="1"/>
    <n v="0"/>
    <n v="1"/>
    <n v="0"/>
    <n v="1"/>
    <n v="0"/>
    <n v="0"/>
    <n v="0"/>
    <n v="0"/>
    <n v="0"/>
  </r>
  <r>
    <s v="AZTHBV93S8U3T"/>
    <s v="english"/>
    <s v="test"/>
    <x v="3"/>
    <x v="1"/>
    <s v="ms-l"/>
    <s v="ms-h"/>
    <s v="mo-h"/>
    <n v="0"/>
    <n v="1"/>
    <n v="0"/>
    <n v="1"/>
    <n v="1"/>
    <n v="0"/>
    <n v="1"/>
    <n v="0"/>
    <n v="1"/>
    <n v="0"/>
    <n v="0"/>
    <n v="0"/>
    <n v="0"/>
    <n v="0"/>
  </r>
  <r>
    <s v="AZTHBV93S8U3T"/>
    <s v="english"/>
    <s v="test"/>
    <x v="2"/>
    <x v="1"/>
    <s v="ms-l"/>
    <s v="ms-h"/>
    <s v="mo-h"/>
    <n v="0"/>
    <n v="1"/>
    <n v="0"/>
    <n v="1"/>
    <n v="1"/>
    <n v="0"/>
    <n v="1"/>
    <n v="0"/>
    <n v="1"/>
    <n v="0"/>
    <n v="0"/>
    <n v="0"/>
    <n v="0"/>
    <n v="0"/>
  </r>
  <r>
    <s v="AZTHBV93S8U3T"/>
    <s v="english"/>
    <s v="test"/>
    <x v="0"/>
    <x v="1"/>
    <s v="mo-l"/>
    <s v="mo-h"/>
    <s v="ms-h"/>
    <n v="0"/>
    <n v="1"/>
    <n v="1"/>
    <n v="1"/>
    <n v="0"/>
    <n v="0"/>
    <n v="1"/>
    <n v="0"/>
    <n v="1"/>
    <n v="0"/>
    <n v="0"/>
    <n v="0"/>
    <n v="0"/>
    <n v="0"/>
  </r>
  <r>
    <s v="AZTHBV93S8U3T"/>
    <s v="english"/>
    <s v="test"/>
    <x v="1"/>
    <x v="1"/>
    <s v="mo-h"/>
    <s v="ms-l"/>
    <s v="mo-l"/>
    <n v="0"/>
    <n v="1"/>
    <n v="1"/>
    <n v="0"/>
    <n v="1"/>
    <n v="0"/>
    <n v="1"/>
    <n v="0"/>
    <n v="1"/>
    <n v="0"/>
    <n v="0"/>
    <n v="0"/>
    <n v="0"/>
    <n v="0"/>
  </r>
  <r>
    <s v="A35KO5LPASBFI9"/>
    <s v="english"/>
    <s v="test"/>
    <x v="1"/>
    <x v="1"/>
    <s v="ms-h"/>
    <s v="ms-l"/>
    <s v="mo-h"/>
    <n v="0"/>
    <n v="1"/>
    <n v="0"/>
    <n v="1"/>
    <n v="1"/>
    <n v="0"/>
    <n v="1"/>
    <n v="0"/>
    <n v="1"/>
    <n v="0"/>
    <n v="1"/>
    <n v="1"/>
    <n v="0"/>
    <n v="0"/>
  </r>
  <r>
    <s v="A35KO5LPASBFI9"/>
    <s v="english"/>
    <s v="test"/>
    <x v="4"/>
    <x v="1"/>
    <s v="fa"/>
    <s v="mo-h"/>
    <s v="ms-l"/>
    <n v="0"/>
    <n v="1"/>
    <n v="0"/>
    <n v="0"/>
    <n v="1"/>
    <n v="0"/>
    <n v="1"/>
    <n v="0"/>
    <n v="1"/>
    <n v="0"/>
    <n v="0"/>
    <n v="0"/>
    <n v="0"/>
    <n v="0"/>
  </r>
  <r>
    <s v="A35KO5LPASBFI9"/>
    <s v="english"/>
    <s v="test"/>
    <x v="0"/>
    <x v="1"/>
    <s v="ms-l"/>
    <s v="mo-h"/>
    <s v="fa"/>
    <n v="0"/>
    <n v="1"/>
    <n v="0"/>
    <n v="0"/>
    <n v="1"/>
    <n v="0"/>
    <n v="1"/>
    <n v="0"/>
    <n v="1"/>
    <n v="0"/>
    <n v="0"/>
    <n v="0"/>
    <n v="0"/>
    <n v="0"/>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pivotTable1.xml><?xml version="1.0" encoding="utf-8"?>
<pivotTableDefinition xmlns="http://schemas.openxmlformats.org/spreadsheetml/2006/main" name="PivotTable1" cacheId="16" dataOnRows="1"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location ref="A4:T19" firstHeaderRow="1" firstDataRow="3" firstDataCol="1" rowPageCount="2" colPageCount="1"/>
  <pivotFields count="32">
    <pivotField showAll="0"/>
    <pivotField showAll="0">
      <items count="8">
        <item x="1"/>
        <item x="4"/>
        <item x="0"/>
        <item x="2"/>
        <item x="5"/>
        <item x="6"/>
        <item x="3"/>
        <item t="default"/>
      </items>
    </pivotField>
    <pivotField showAll="0"/>
    <pivotField showAll="0"/>
    <pivotField axis="axisPage" multipleItemSelectionAllowed="1" showAll="0">
      <items count="6">
        <item h="1" x="0"/>
        <item h="1" x="3"/>
        <item h="1" x="4"/>
        <item x="2"/>
        <item h="1" x="1"/>
        <item t="default"/>
      </items>
    </pivotField>
    <pivotField axis="axisCol" showAll="0">
      <items count="14">
        <item h="1" x="5"/>
        <item h="1" x="12"/>
        <item h="1" x="10"/>
        <item h="1" x="8"/>
        <item h="1" x="0"/>
        <item x="6"/>
        <item x="3"/>
        <item x="11"/>
        <item x="7"/>
        <item x="9"/>
        <item x="4"/>
        <item h="1" x="1"/>
        <item h="1" x="2"/>
        <item t="default"/>
      </items>
    </pivotField>
    <pivotField showAll="0"/>
    <pivotField showAll="0"/>
    <pivotField showAll="0"/>
    <pivotField showAll="0"/>
    <pivotField showAll="0"/>
    <pivotField showAll="0"/>
    <pivotField showAll="0"/>
    <pivotField showAll="0"/>
    <pivotField showAll="0"/>
    <pivotField showAll="0"/>
    <pivotField showAll="0"/>
    <pivotField dataField="1" showAll="0"/>
    <pivotField dataField="1" showAll="0">
      <items count="4">
        <item x="1"/>
        <item x="2"/>
        <item x="0"/>
        <item t="default"/>
      </items>
    </pivotField>
    <pivotField axis="axisPage" showAll="0">
      <items count="4">
        <item x="2"/>
        <item x="1"/>
        <item x="0"/>
        <item t="default"/>
      </items>
    </pivotField>
    <pivotField dataField="1" showAll="0"/>
    <pivotField dataField="1" showAll="0"/>
    <pivotField dataField="1" showAll="0"/>
    <pivotField dataField="1" showAll="0"/>
    <pivotField dataField="1" showAll="0"/>
    <pivotField dataField="1" showAll="0"/>
    <pivotField dataField="1" multipleItemSelectionAllowed="1" showAll="0">
      <items count="4">
        <item x="2"/>
        <item x="1"/>
        <item h="1" x="0"/>
        <item t="default"/>
      </items>
    </pivotField>
    <pivotField dataField="1" showAll="0"/>
    <pivotField dataField="1" showAll="0"/>
    <pivotField dataField="1" showAll="0"/>
    <pivotField dataField="1" showAll="0"/>
    <pivotField axis="axisCol" showAll="0">
      <items count="3">
        <item x="0"/>
        <item x="1"/>
        <item t="default"/>
      </items>
    </pivotField>
  </pivotFields>
  <rowFields count="1">
    <field x="-2"/>
  </rowFields>
  <rowItems count="13">
    <i>
      <x/>
    </i>
    <i i="1">
      <x v="1"/>
    </i>
    <i i="2">
      <x v="2"/>
    </i>
    <i i="3">
      <x v="3"/>
    </i>
    <i i="4">
      <x v="4"/>
    </i>
    <i i="5">
      <x v="5"/>
    </i>
    <i i="6">
      <x v="6"/>
    </i>
    <i i="7">
      <x v="7"/>
    </i>
    <i i="8">
      <x v="8"/>
    </i>
    <i i="9">
      <x v="9"/>
    </i>
    <i i="10">
      <x v="10"/>
    </i>
    <i i="11">
      <x v="11"/>
    </i>
    <i i="12">
      <x v="12"/>
    </i>
  </rowItems>
  <colFields count="2">
    <field x="5"/>
    <field x="31"/>
  </colFields>
  <colItems count="19">
    <i>
      <x v="5"/>
      <x/>
    </i>
    <i r="1">
      <x v="1"/>
    </i>
    <i t="default">
      <x v="5"/>
    </i>
    <i>
      <x v="6"/>
      <x/>
    </i>
    <i r="1">
      <x v="1"/>
    </i>
    <i t="default">
      <x v="6"/>
    </i>
    <i>
      <x v="7"/>
      <x/>
    </i>
    <i r="1">
      <x v="1"/>
    </i>
    <i t="default">
      <x v="7"/>
    </i>
    <i>
      <x v="8"/>
      <x/>
    </i>
    <i r="1">
      <x v="1"/>
    </i>
    <i t="default">
      <x v="8"/>
    </i>
    <i>
      <x v="9"/>
      <x/>
    </i>
    <i r="1">
      <x v="1"/>
    </i>
    <i t="default">
      <x v="9"/>
    </i>
    <i>
      <x v="10"/>
      <x/>
    </i>
    <i r="1">
      <x v="1"/>
    </i>
    <i t="default">
      <x v="10"/>
    </i>
    <i t="grand">
      <x/>
    </i>
  </colItems>
  <pageFields count="2">
    <pageField fld="4" hier="-1"/>
    <pageField fld="19" hier="-1"/>
  </pageFields>
  <dataFields count="13">
    <dataField name="Sum of exhaustive_chosen" fld="24" baseField="0" baseItem="0"/>
    <dataField name="Sum of mention_one_high_chosen" fld="25" baseField="0" baseItem="0"/>
    <dataField name="Sum of mention_some_high_chosen" fld="27" baseField="0" baseItem="0"/>
    <dataField name="Sum of mention_some_low_chosen" fld="28" baseField="0" baseItem="0"/>
    <dataField name="Sum of false_report_chosen" fld="29" baseField="0" baseItem="0"/>
    <dataField name="Sum of none_of_above_chosen" fld="30" baseField="0" baseItem="0"/>
    <dataField name="Sum of none_of_above_seen" fld="23" baseField="0" baseItem="0"/>
    <dataField name="Sum of false_report_seen" fld="22" baseField="0" baseItem="0"/>
    <dataField name="Sum of mention_one_high_seen" fld="18" baseField="0" baseItem="0"/>
    <dataField name="Sum of mention_some_low_seen" fld="21" baseField="0" baseItem="0"/>
    <dataField name="Sum of mention_some_high_seen" fld="20" baseField="0" baseItem="0"/>
    <dataField name="Sum of exhaustive_seen" fld="17" baseField="0" baseItem="0"/>
    <dataField name="Sum of mention_one_low_chosen" fld="26"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name="PivotTable4" cacheId="14" dataOnRows="1"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location ref="A1:T17" firstHeaderRow="1" firstDataRow="3" firstDataCol="1"/>
  <pivotFields count="22">
    <pivotField showAll="0"/>
    <pivotField showAll="0"/>
    <pivotField showAll="0"/>
    <pivotField axis="axisCol" showAll="0">
      <items count="7">
        <item x="2"/>
        <item x="0"/>
        <item x="5"/>
        <item x="3"/>
        <item x="4"/>
        <item x="1"/>
        <item t="default"/>
      </items>
    </pivotField>
    <pivotField axis="axisCol" showAll="0">
      <items count="3">
        <item x="0"/>
        <item x="1"/>
        <item t="default"/>
      </items>
    </pivotField>
    <pivotField showAll="0"/>
    <pivotField showAll="0"/>
    <pivotField showAll="0"/>
    <pivotField dataField="1" showAll="0"/>
    <pivotField dataField="1" showAll="0"/>
    <pivotField dataField="1" showAll="0"/>
    <pivotField dataField="1" showAll="0"/>
    <pivotField dataField="1" showAll="0"/>
    <pivotField dataField="1" showAll="0"/>
    <pivotField dataField="1" showAll="0"/>
    <pivotField dataField="1" showAll="0"/>
    <pivotField dataField="1" showAll="0"/>
    <pivotField dataField="1" showAll="0"/>
    <pivotField dataField="1" showAll="0"/>
    <pivotField dataField="1" showAll="0"/>
    <pivotField dataField="1" showAll="0"/>
    <pivotField dataField="1" showAll="0"/>
  </pivotFields>
  <rowFields count="1">
    <field x="-2"/>
  </rowFields>
  <rowItems count="14">
    <i>
      <x/>
    </i>
    <i i="1">
      <x v="1"/>
    </i>
    <i i="2">
      <x v="2"/>
    </i>
    <i i="3">
      <x v="3"/>
    </i>
    <i i="4">
      <x v="4"/>
    </i>
    <i i="5">
      <x v="5"/>
    </i>
    <i i="6">
      <x v="6"/>
    </i>
    <i i="7">
      <x v="7"/>
    </i>
    <i i="8">
      <x v="8"/>
    </i>
    <i i="9">
      <x v="9"/>
    </i>
    <i i="10">
      <x v="10"/>
    </i>
    <i i="11">
      <x v="11"/>
    </i>
    <i i="12">
      <x v="12"/>
    </i>
    <i i="13">
      <x v="13"/>
    </i>
  </rowItems>
  <colFields count="2">
    <field x="3"/>
    <field x="4"/>
  </colFields>
  <colItems count="19">
    <i>
      <x/>
      <x/>
    </i>
    <i r="1">
      <x v="1"/>
    </i>
    <i t="default">
      <x/>
    </i>
    <i>
      <x v="1"/>
      <x/>
    </i>
    <i r="1">
      <x v="1"/>
    </i>
    <i t="default">
      <x v="1"/>
    </i>
    <i>
      <x v="2"/>
      <x/>
    </i>
    <i r="1">
      <x v="1"/>
    </i>
    <i t="default">
      <x v="2"/>
    </i>
    <i>
      <x v="3"/>
      <x/>
    </i>
    <i r="1">
      <x v="1"/>
    </i>
    <i t="default">
      <x v="3"/>
    </i>
    <i>
      <x v="4"/>
      <x/>
    </i>
    <i r="1">
      <x v="1"/>
    </i>
    <i t="default">
      <x v="4"/>
    </i>
    <i>
      <x v="5"/>
      <x/>
    </i>
    <i r="1">
      <x v="1"/>
    </i>
    <i t="default">
      <x v="5"/>
    </i>
    <i t="grand">
      <x/>
    </i>
  </colItems>
  <dataFields count="14">
    <dataField name="Sum of none_of_above_chosen" fld="21" baseField="0" baseItem="0"/>
    <dataField name="Sum of false_report_chosen" fld="20" baseField="0" baseItem="0"/>
    <dataField name="Sum of mention_some_low_chosen" fld="19" baseField="0" baseItem="0"/>
    <dataField name="Sum of mention_some_high_chosen" fld="18" baseField="0" baseItem="0"/>
    <dataField name="Sum of mention_one_low_chosen" fld="17" baseField="0" baseItem="0"/>
    <dataField name="Sum of mention_one_high_chosen" fld="16" baseField="0" baseItem="0"/>
    <dataField name="Sum of exhaustive_chosen" fld="15" baseField="0" baseItem="0"/>
    <dataField name="Sum of none_of_above_seen" fld="14" baseField="0" baseItem="0"/>
    <dataField name="Sum of false_report_seen" fld="13" baseField="0" baseItem="0"/>
    <dataField name="Sum of mention_some_low_seen" fld="12" baseField="0" baseItem="0"/>
    <dataField name="Sum of mention_some_high_seen" fld="11" baseField="0" baseItem="0"/>
    <dataField name="Sum of mention_one_low_seen" fld="10" baseField="0" baseItem="0"/>
    <dataField name="Sum of mention_one_high_seen" fld="9" baseField="0" baseItem="0"/>
    <dataField name="Sum of exhaustive_seen" fld="8"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name="PivotTable5" cacheId="20" dataOnRows="1"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location ref="A1:T17" firstHeaderRow="1" firstDataRow="3" firstDataCol="1"/>
  <pivotFields count="22">
    <pivotField showAll="0"/>
    <pivotField showAll="0"/>
    <pivotField showAll="0"/>
    <pivotField axis="axisCol" showAll="0">
      <items count="7">
        <item x="2"/>
        <item x="0"/>
        <item x="5"/>
        <item x="1"/>
        <item x="4"/>
        <item x="3"/>
        <item t="default"/>
      </items>
    </pivotField>
    <pivotField axis="axisCol" showAll="0">
      <items count="3">
        <item x="0"/>
        <item x="1"/>
        <item t="default"/>
      </items>
    </pivotField>
    <pivotField showAll="0"/>
    <pivotField showAll="0"/>
    <pivotField showAll="0"/>
    <pivotField dataField="1" showAll="0"/>
    <pivotField dataField="1" showAll="0"/>
    <pivotField dataField="1" showAll="0"/>
    <pivotField dataField="1" showAll="0"/>
    <pivotField dataField="1" showAll="0"/>
    <pivotField dataField="1" showAll="0"/>
    <pivotField dataField="1" showAll="0"/>
    <pivotField dataField="1" showAll="0"/>
    <pivotField dataField="1" showAll="0"/>
    <pivotField dataField="1" showAll="0"/>
    <pivotField dataField="1" showAll="0"/>
    <pivotField dataField="1" showAll="0"/>
    <pivotField dataField="1" showAll="0"/>
    <pivotField dataField="1" showAll="0"/>
  </pivotFields>
  <rowFields count="1">
    <field x="-2"/>
  </rowFields>
  <rowItems count="14">
    <i>
      <x/>
    </i>
    <i i="1">
      <x v="1"/>
    </i>
    <i i="2">
      <x v="2"/>
    </i>
    <i i="3">
      <x v="3"/>
    </i>
    <i i="4">
      <x v="4"/>
    </i>
    <i i="5">
      <x v="5"/>
    </i>
    <i i="6">
      <x v="6"/>
    </i>
    <i i="7">
      <x v="7"/>
    </i>
    <i i="8">
      <x v="8"/>
    </i>
    <i i="9">
      <x v="9"/>
    </i>
    <i i="10">
      <x v="10"/>
    </i>
    <i i="11">
      <x v="11"/>
    </i>
    <i i="12">
      <x v="12"/>
    </i>
    <i i="13">
      <x v="13"/>
    </i>
  </rowItems>
  <colFields count="2">
    <field x="3"/>
    <field x="4"/>
  </colFields>
  <colItems count="19">
    <i>
      <x/>
      <x/>
    </i>
    <i r="1">
      <x v="1"/>
    </i>
    <i t="default">
      <x/>
    </i>
    <i>
      <x v="1"/>
      <x/>
    </i>
    <i r="1">
      <x v="1"/>
    </i>
    <i t="default">
      <x v="1"/>
    </i>
    <i>
      <x v="2"/>
      <x/>
    </i>
    <i r="1">
      <x v="1"/>
    </i>
    <i t="default">
      <x v="2"/>
    </i>
    <i>
      <x v="3"/>
      <x/>
    </i>
    <i r="1">
      <x v="1"/>
    </i>
    <i t="default">
      <x v="3"/>
    </i>
    <i>
      <x v="4"/>
      <x/>
    </i>
    <i r="1">
      <x v="1"/>
    </i>
    <i t="default">
      <x v="4"/>
    </i>
    <i>
      <x v="5"/>
      <x/>
    </i>
    <i r="1">
      <x v="1"/>
    </i>
    <i t="default">
      <x v="5"/>
    </i>
    <i t="grand">
      <x/>
    </i>
  </colItems>
  <dataFields count="14">
    <dataField name="Sum of exhaustive_seen" fld="8" baseField="0" baseItem="0"/>
    <dataField name="Sum of mention_one_high_seen" fld="9" baseField="0" baseItem="0"/>
    <dataField name="Sum of mention_one_low_seen" fld="10" baseField="0" baseItem="0"/>
    <dataField name="Sum of mention_some_high_seen" fld="11" baseField="0" baseItem="0"/>
    <dataField name="Sum of mention_some_low_seen" fld="12" baseField="0" baseItem="0"/>
    <dataField name="Sum of false_report_seen" fld="13" baseField="0" baseItem="0"/>
    <dataField name="Sum of none_of_above_seen" fld="14" baseField="0" baseItem="0"/>
    <dataField name="Sum of exhaustive_chosen" fld="15" baseField="0" baseItem="0"/>
    <dataField name="Sum of mention_one_high_chosen" fld="16" baseField="0" baseItem="0"/>
    <dataField name="Sum of mention_one_low_chosen" fld="17" baseField="0" baseItem="0"/>
    <dataField name="Sum of mention_some_high_chosen" fld="18" baseField="0" baseItem="0"/>
    <dataField name="Sum of mention_some_low_chosen" fld="19" baseField="0" baseItem="0"/>
    <dataField name="Sum of false_report_chosen" fld="20" baseField="0" baseItem="0"/>
    <dataField name="Sum of none_of_above_chosen" fld="21"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name="PivotTable6" cacheId="24" dataOnRows="1"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location ref="A1:T17" firstHeaderRow="1" firstDataRow="3" firstDataCol="1"/>
  <pivotFields count="22">
    <pivotField showAll="0"/>
    <pivotField showAll="0"/>
    <pivotField showAll="0"/>
    <pivotField axis="axisCol" showAll="0">
      <items count="7">
        <item x="3"/>
        <item x="2"/>
        <item x="5"/>
        <item x="4"/>
        <item x="1"/>
        <item x="0"/>
        <item t="default"/>
      </items>
    </pivotField>
    <pivotField axis="axisCol" showAll="0">
      <items count="3">
        <item x="0"/>
        <item x="1"/>
        <item t="default"/>
      </items>
    </pivotField>
    <pivotField showAll="0"/>
    <pivotField showAll="0"/>
    <pivotField showAll="0"/>
    <pivotField dataField="1" showAll="0"/>
    <pivotField dataField="1" showAll="0"/>
    <pivotField dataField="1" showAll="0"/>
    <pivotField dataField="1" showAll="0"/>
    <pivotField dataField="1" showAll="0"/>
    <pivotField dataField="1" showAll="0"/>
    <pivotField dataField="1" showAll="0"/>
    <pivotField dataField="1" showAll="0"/>
    <pivotField dataField="1" showAll="0"/>
    <pivotField dataField="1" showAll="0"/>
    <pivotField dataField="1" showAll="0"/>
    <pivotField dataField="1" showAll="0"/>
    <pivotField dataField="1" showAll="0"/>
    <pivotField dataField="1" showAll="0"/>
  </pivotFields>
  <rowFields count="1">
    <field x="-2"/>
  </rowFields>
  <rowItems count="14">
    <i>
      <x/>
    </i>
    <i i="1">
      <x v="1"/>
    </i>
    <i i="2">
      <x v="2"/>
    </i>
    <i i="3">
      <x v="3"/>
    </i>
    <i i="4">
      <x v="4"/>
    </i>
    <i i="5">
      <x v="5"/>
    </i>
    <i i="6">
      <x v="6"/>
    </i>
    <i i="7">
      <x v="7"/>
    </i>
    <i i="8">
      <x v="8"/>
    </i>
    <i i="9">
      <x v="9"/>
    </i>
    <i i="10">
      <x v="10"/>
    </i>
    <i i="11">
      <x v="11"/>
    </i>
    <i i="12">
      <x v="12"/>
    </i>
    <i i="13">
      <x v="13"/>
    </i>
  </rowItems>
  <colFields count="2">
    <field x="3"/>
    <field x="4"/>
  </colFields>
  <colItems count="19">
    <i>
      <x/>
      <x/>
    </i>
    <i r="1">
      <x v="1"/>
    </i>
    <i t="default">
      <x/>
    </i>
    <i>
      <x v="1"/>
      <x/>
    </i>
    <i r="1">
      <x v="1"/>
    </i>
    <i t="default">
      <x v="1"/>
    </i>
    <i>
      <x v="2"/>
      <x/>
    </i>
    <i r="1">
      <x v="1"/>
    </i>
    <i t="default">
      <x v="2"/>
    </i>
    <i>
      <x v="3"/>
      <x/>
    </i>
    <i r="1">
      <x v="1"/>
    </i>
    <i t="default">
      <x v="3"/>
    </i>
    <i>
      <x v="4"/>
      <x/>
    </i>
    <i r="1">
      <x v="1"/>
    </i>
    <i t="default">
      <x v="4"/>
    </i>
    <i>
      <x v="5"/>
      <x/>
    </i>
    <i r="1">
      <x v="1"/>
    </i>
    <i t="default">
      <x v="5"/>
    </i>
    <i t="grand">
      <x/>
    </i>
  </colItems>
  <dataFields count="14">
    <dataField name="Sum of exhaustive_seen" fld="8" baseField="0" baseItem="0"/>
    <dataField name="Sum of mention_one_high_seen" fld="9" baseField="0" baseItem="0"/>
    <dataField name="Sum of mention_one_low_seen" fld="10" baseField="0" baseItem="0"/>
    <dataField name="Sum of mention_some_high_seen" fld="11" baseField="0" baseItem="0"/>
    <dataField name="Sum of mention_some_low_seen" fld="12" baseField="0" baseItem="0"/>
    <dataField name="Sum of false_report_seen" fld="13" baseField="0" baseItem="0"/>
    <dataField name="Sum of none_of_above_seen" fld="14" baseField="0" baseItem="0"/>
    <dataField name="Sum of exhaustive_chosen" fld="15" baseField="0" baseItem="0"/>
    <dataField name="Sum of mention_one_high_chosen" fld="16" baseField="0" baseItem="0"/>
    <dataField name="Sum of mention_one_low_chosen" fld="17" baseField="0" baseItem="0"/>
    <dataField name="Sum of mention_some_high_chosen" fld="18" baseField="0" baseItem="0"/>
    <dataField name="Sum of mention_some_low_chosen" fld="19" baseField="0" baseItem="0"/>
    <dataField name="Sum of false_report_chosen" fld="20" baseField="0" baseItem="0"/>
    <dataField name="Sum of none_of_above_chosen" fld="21"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xml><?xml version="1.0" encoding="utf-8"?>
<pivotTableDefinition xmlns="http://schemas.openxmlformats.org/spreadsheetml/2006/main" name="PivotTable7" cacheId="28" dataOnRows="1"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location ref="A1:T17" firstHeaderRow="1" firstDataRow="3" firstDataCol="1"/>
  <pivotFields count="22">
    <pivotField showAll="0"/>
    <pivotField showAll="0"/>
    <pivotField showAll="0"/>
    <pivotField axis="axisCol" showAll="0">
      <items count="7">
        <item x="0"/>
        <item x="4"/>
        <item x="5"/>
        <item x="3"/>
        <item x="1"/>
        <item x="2"/>
        <item t="default"/>
      </items>
    </pivotField>
    <pivotField axis="axisCol" showAll="0">
      <items count="3">
        <item x="0"/>
        <item x="1"/>
        <item t="default"/>
      </items>
    </pivotField>
    <pivotField showAll="0"/>
    <pivotField showAll="0"/>
    <pivotField showAll="0"/>
    <pivotField dataField="1" showAll="0"/>
    <pivotField dataField="1" showAll="0"/>
    <pivotField dataField="1" showAll="0"/>
    <pivotField dataField="1" showAll="0"/>
    <pivotField dataField="1" showAll="0"/>
    <pivotField dataField="1" showAll="0"/>
    <pivotField dataField="1" showAll="0"/>
    <pivotField dataField="1" showAll="0"/>
    <pivotField dataField="1" showAll="0"/>
    <pivotField dataField="1" showAll="0"/>
    <pivotField dataField="1" showAll="0"/>
    <pivotField dataField="1" showAll="0"/>
    <pivotField dataField="1" showAll="0"/>
    <pivotField dataField="1" showAll="0"/>
  </pivotFields>
  <rowFields count="1">
    <field x="-2"/>
  </rowFields>
  <rowItems count="14">
    <i>
      <x/>
    </i>
    <i i="1">
      <x v="1"/>
    </i>
    <i i="2">
      <x v="2"/>
    </i>
    <i i="3">
      <x v="3"/>
    </i>
    <i i="4">
      <x v="4"/>
    </i>
    <i i="5">
      <x v="5"/>
    </i>
    <i i="6">
      <x v="6"/>
    </i>
    <i i="7">
      <x v="7"/>
    </i>
    <i i="8">
      <x v="8"/>
    </i>
    <i i="9">
      <x v="9"/>
    </i>
    <i i="10">
      <x v="10"/>
    </i>
    <i i="11">
      <x v="11"/>
    </i>
    <i i="12">
      <x v="12"/>
    </i>
    <i i="13">
      <x v="13"/>
    </i>
  </rowItems>
  <colFields count="2">
    <field x="3"/>
    <field x="4"/>
  </colFields>
  <colItems count="19">
    <i>
      <x/>
      <x/>
    </i>
    <i r="1">
      <x v="1"/>
    </i>
    <i t="default">
      <x/>
    </i>
    <i>
      <x v="1"/>
      <x/>
    </i>
    <i r="1">
      <x v="1"/>
    </i>
    <i t="default">
      <x v="1"/>
    </i>
    <i>
      <x v="2"/>
      <x/>
    </i>
    <i r="1">
      <x v="1"/>
    </i>
    <i t="default">
      <x v="2"/>
    </i>
    <i>
      <x v="3"/>
      <x/>
    </i>
    <i r="1">
      <x v="1"/>
    </i>
    <i t="default">
      <x v="3"/>
    </i>
    <i>
      <x v="4"/>
      <x/>
    </i>
    <i r="1">
      <x v="1"/>
    </i>
    <i t="default">
      <x v="4"/>
    </i>
    <i>
      <x v="5"/>
      <x/>
    </i>
    <i r="1">
      <x v="1"/>
    </i>
    <i t="default">
      <x v="5"/>
    </i>
    <i t="grand">
      <x/>
    </i>
  </colItems>
  <dataFields count="14">
    <dataField name="Sum of exhaustive_seen" fld="8" baseField="0" baseItem="0"/>
    <dataField name="Sum of mention_one_high_seen" fld="9" baseField="0" baseItem="0"/>
    <dataField name="Sum of mention_one_low_seen" fld="10" baseField="0" baseItem="0"/>
    <dataField name="Sum of mention_some_high_seen" fld="11" baseField="0" baseItem="0"/>
    <dataField name="Sum of mention_some_low_seen" fld="12" baseField="0" baseItem="0"/>
    <dataField name="Sum of false_report_seen" fld="13" baseField="0" baseItem="0"/>
    <dataField name="Sum of none_of_above_seen" fld="14" baseField="0" baseItem="0"/>
    <dataField name="Sum of exhaustive_chosen" fld="15" baseField="0" baseItem="0"/>
    <dataField name="Sum of mention_one_high_chosen" fld="16" baseField="0" baseItem="0"/>
    <dataField name="Sum of mention_one_low_chosen" fld="17" baseField="0" baseItem="0"/>
    <dataField name="Sum of mention_some_high_chosen" fld="18" baseField="0" baseItem="0"/>
    <dataField name="Sum of mention_some_low_chosen" fld="19" baseField="0" baseItem="0"/>
    <dataField name="Sum of false_report_chosen" fld="20" baseField="0" baseItem="0"/>
    <dataField name="Sum of none_of_above_chosen" fld="21"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6.xml><?xml version="1.0" encoding="utf-8"?>
<pivotTableDefinition xmlns="http://schemas.openxmlformats.org/spreadsheetml/2006/main" name="PivotTable8" cacheId="32" dataOnRows="1"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location ref="A1:T17" firstHeaderRow="1" firstDataRow="3" firstDataCol="1"/>
  <pivotFields count="22">
    <pivotField showAll="0"/>
    <pivotField showAll="0"/>
    <pivotField showAll="0"/>
    <pivotField axis="axisCol" showAll="0">
      <items count="7">
        <item x="2"/>
        <item x="1"/>
        <item x="5"/>
        <item x="3"/>
        <item x="0"/>
        <item x="4"/>
        <item t="default"/>
      </items>
    </pivotField>
    <pivotField axis="axisCol" showAll="0">
      <items count="3">
        <item x="0"/>
        <item x="1"/>
        <item t="default"/>
      </items>
    </pivotField>
    <pivotField showAll="0"/>
    <pivotField showAll="0"/>
    <pivotField showAll="0"/>
    <pivotField dataField="1" showAll="0"/>
    <pivotField dataField="1" showAll="0"/>
    <pivotField dataField="1" showAll="0"/>
    <pivotField dataField="1" showAll="0"/>
    <pivotField dataField="1" showAll="0"/>
    <pivotField dataField="1" showAll="0"/>
    <pivotField dataField="1" showAll="0"/>
    <pivotField dataField="1" showAll="0"/>
    <pivotField dataField="1" showAll="0"/>
    <pivotField dataField="1" showAll="0"/>
    <pivotField dataField="1" showAll="0"/>
    <pivotField dataField="1" showAll="0"/>
    <pivotField dataField="1" showAll="0"/>
    <pivotField dataField="1" showAll="0"/>
  </pivotFields>
  <rowFields count="1">
    <field x="-2"/>
  </rowFields>
  <rowItems count="14">
    <i>
      <x/>
    </i>
    <i i="1">
      <x v="1"/>
    </i>
    <i i="2">
      <x v="2"/>
    </i>
    <i i="3">
      <x v="3"/>
    </i>
    <i i="4">
      <x v="4"/>
    </i>
    <i i="5">
      <x v="5"/>
    </i>
    <i i="6">
      <x v="6"/>
    </i>
    <i i="7">
      <x v="7"/>
    </i>
    <i i="8">
      <x v="8"/>
    </i>
    <i i="9">
      <x v="9"/>
    </i>
    <i i="10">
      <x v="10"/>
    </i>
    <i i="11">
      <x v="11"/>
    </i>
    <i i="12">
      <x v="12"/>
    </i>
    <i i="13">
      <x v="13"/>
    </i>
  </rowItems>
  <colFields count="2">
    <field x="3"/>
    <field x="4"/>
  </colFields>
  <colItems count="19">
    <i>
      <x/>
      <x/>
    </i>
    <i r="1">
      <x v="1"/>
    </i>
    <i t="default">
      <x/>
    </i>
    <i>
      <x v="1"/>
      <x/>
    </i>
    <i r="1">
      <x v="1"/>
    </i>
    <i t="default">
      <x v="1"/>
    </i>
    <i>
      <x v="2"/>
      <x/>
    </i>
    <i r="1">
      <x v="1"/>
    </i>
    <i t="default">
      <x v="2"/>
    </i>
    <i>
      <x v="3"/>
      <x/>
    </i>
    <i r="1">
      <x v="1"/>
    </i>
    <i t="default">
      <x v="3"/>
    </i>
    <i>
      <x v="4"/>
      <x/>
    </i>
    <i r="1">
      <x v="1"/>
    </i>
    <i t="default">
      <x v="4"/>
    </i>
    <i>
      <x v="5"/>
      <x/>
    </i>
    <i r="1">
      <x v="1"/>
    </i>
    <i t="default">
      <x v="5"/>
    </i>
    <i t="grand">
      <x/>
    </i>
  </colItems>
  <dataFields count="14">
    <dataField name="Sum of exhaustive_seen" fld="8" baseField="0" baseItem="0"/>
    <dataField name="Sum of mention_one_high_seen" fld="9" baseField="0" baseItem="0"/>
    <dataField name="Sum of mention_one_low_seen" fld="10" baseField="0" baseItem="0"/>
    <dataField name="Sum of mention_some_high_seen" fld="11" baseField="0" baseItem="0"/>
    <dataField name="Sum of mention_some_low_seen" fld="12" baseField="0" baseItem="0"/>
    <dataField name="Sum of false_report_seen" fld="13" baseField="0" baseItem="0"/>
    <dataField name="Sum of none_of_above_seen" fld="14" baseField="0" baseItem="0"/>
    <dataField name="Sum of exhaustive_chosen" fld="15" baseField="0" baseItem="0"/>
    <dataField name="Sum of mention_one_high_chosen" fld="16" baseField="0" baseItem="0"/>
    <dataField name="Sum of mention_one_low_chosen" fld="17" baseField="0" baseItem="0"/>
    <dataField name="Sum of mention_some_high_chosen" fld="18" baseField="0" baseItem="0"/>
    <dataField name="Sum of mention_some_low_chosen" fld="19" baseField="0" baseItem="0"/>
    <dataField name="Sum of false_report_chosen" fld="20" baseField="0" baseItem="0"/>
    <dataField name="Sum of none_of_above_chosen" fld="21"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2.xml.rels><?xml version="1.0" encoding="UTF-8" standalone="yes"?>
<Relationships xmlns="http://schemas.openxmlformats.org/package/2006/relationships"><Relationship Id="rId1" Type="http://schemas.openxmlformats.org/officeDocument/2006/relationships/pivotTable" Target="../pivotTables/pivotTable1.xml"/></Relationships>
</file>

<file path=xl/worksheets/_rels/sheet4.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ivotTable" Target="../pivotTables/pivotTable2.xml"/></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ivotTable" Target="../pivotTables/pivotTable3.xml"/></Relationships>
</file>

<file path=xl/worksheets/_rels/sheet11.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ivotTable" Target="../pivotTables/pivotTable4.xml"/></Relationships>
</file>

<file path=xl/worksheets/_rels/sheet13.xml.rels><?xml version="1.0" encoding="UTF-8" standalone="yes"?>
<Relationships xmlns="http://schemas.openxmlformats.org/package/2006/relationships"><Relationship Id="rId1" Type="http://schemas.openxmlformats.org/officeDocument/2006/relationships/drawing" Target="../drawings/drawing5.xml"/></Relationships>
</file>

<file path=xl/worksheets/_rels/sheet15.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ivotTable" Target="../pivotTables/pivotTable5.xml"/></Relationships>
</file>

<file path=xl/worksheets/_rels/sheet17.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ivotTable" Target="../pivotTables/pivotTable6.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filterMode="1"/>
  <dimension ref="A1:AG2759"/>
  <sheetViews>
    <sheetView topLeftCell="B1" workbookViewId="0">
      <selection activeCell="R51" sqref="R51"/>
    </sheetView>
  </sheetViews>
  <sheetFormatPr baseColWidth="10" defaultRowHeight="16" x14ac:dyDescent="0.2"/>
  <cols>
    <col min="1" max="1" width="0" hidden="1" customWidth="1"/>
    <col min="4" max="5" width="0" hidden="1" customWidth="1"/>
    <col min="8" max="15" width="0" hidden="1" customWidth="1"/>
  </cols>
  <sheetData>
    <row r="1" spans="1:33" x14ac:dyDescent="0.2">
      <c r="B1" t="s">
        <v>0</v>
      </c>
      <c r="C1" t="s">
        <v>1</v>
      </c>
      <c r="D1" t="s">
        <v>2</v>
      </c>
      <c r="E1" t="s">
        <v>3</v>
      </c>
      <c r="F1" t="s">
        <v>4</v>
      </c>
      <c r="G1" t="s">
        <v>5</v>
      </c>
      <c r="H1" t="s">
        <v>6</v>
      </c>
      <c r="I1" t="s">
        <v>7</v>
      </c>
      <c r="J1" t="s">
        <v>8</v>
      </c>
      <c r="K1" t="s">
        <v>9</v>
      </c>
      <c r="L1" t="s">
        <v>10</v>
      </c>
      <c r="M1" t="s">
        <v>11</v>
      </c>
      <c r="N1" t="s">
        <v>12</v>
      </c>
      <c r="O1" t="s">
        <v>13</v>
      </c>
      <c r="P1" t="s">
        <v>31</v>
      </c>
      <c r="Q1" t="s">
        <v>14</v>
      </c>
      <c r="R1" t="s">
        <v>15</v>
      </c>
      <c r="S1" t="s">
        <v>16</v>
      </c>
      <c r="T1" t="s">
        <v>17</v>
      </c>
      <c r="U1" t="s">
        <v>18</v>
      </c>
      <c r="V1" t="s">
        <v>19</v>
      </c>
      <c r="W1" t="s">
        <v>20</v>
      </c>
      <c r="X1" t="s">
        <v>21</v>
      </c>
      <c r="Y1" t="s">
        <v>22</v>
      </c>
      <c r="Z1" t="s">
        <v>23</v>
      </c>
      <c r="AA1" t="s">
        <v>24</v>
      </c>
      <c r="AB1" t="s">
        <v>25</v>
      </c>
      <c r="AC1" t="s">
        <v>26</v>
      </c>
      <c r="AD1" t="s">
        <v>27</v>
      </c>
      <c r="AE1" t="s">
        <v>28</v>
      </c>
      <c r="AF1" t="s">
        <v>29</v>
      </c>
      <c r="AG1" t="s">
        <v>30</v>
      </c>
    </row>
    <row r="2" spans="1:33" hidden="1" x14ac:dyDescent="0.2">
      <c r="A2">
        <v>1</v>
      </c>
      <c r="B2" t="s">
        <v>32</v>
      </c>
      <c r="C2" t="s">
        <v>33</v>
      </c>
      <c r="D2">
        <v>35</v>
      </c>
      <c r="E2" t="s">
        <v>34</v>
      </c>
      <c r="F2" t="s">
        <v>35</v>
      </c>
      <c r="G2" t="s">
        <v>36</v>
      </c>
      <c r="H2">
        <v>20046</v>
      </c>
      <c r="I2" t="s">
        <v>36</v>
      </c>
      <c r="J2" t="s">
        <v>36</v>
      </c>
      <c r="K2" t="s">
        <v>36</v>
      </c>
      <c r="L2" t="s">
        <v>36</v>
      </c>
      <c r="M2" t="s">
        <v>36</v>
      </c>
      <c r="N2" t="s">
        <v>36</v>
      </c>
      <c r="O2" t="s">
        <v>36</v>
      </c>
      <c r="P2" t="s">
        <v>37</v>
      </c>
      <c r="Q2" t="s">
        <v>36</v>
      </c>
      <c r="R2" t="s">
        <v>36</v>
      </c>
      <c r="S2" t="s">
        <v>36</v>
      </c>
      <c r="T2" t="s">
        <v>36</v>
      </c>
      <c r="U2" t="s">
        <v>36</v>
      </c>
      <c r="V2" t="s">
        <v>36</v>
      </c>
      <c r="W2" t="s">
        <v>36</v>
      </c>
      <c r="X2" t="s">
        <v>36</v>
      </c>
      <c r="Y2" t="s">
        <v>36</v>
      </c>
      <c r="Z2" t="s">
        <v>36</v>
      </c>
      <c r="AA2" t="s">
        <v>36</v>
      </c>
      <c r="AB2" t="s">
        <v>36</v>
      </c>
      <c r="AC2" t="s">
        <v>36</v>
      </c>
      <c r="AD2" t="s">
        <v>36</v>
      </c>
      <c r="AE2" t="s">
        <v>36</v>
      </c>
      <c r="AF2" t="s">
        <v>36</v>
      </c>
      <c r="AG2" t="s">
        <v>36</v>
      </c>
    </row>
    <row r="3" spans="1:33" hidden="1" x14ac:dyDescent="0.2">
      <c r="A3">
        <v>2</v>
      </c>
      <c r="B3" t="s">
        <v>32</v>
      </c>
      <c r="C3" t="s">
        <v>33</v>
      </c>
      <c r="D3">
        <v>35</v>
      </c>
      <c r="E3" t="s">
        <v>34</v>
      </c>
      <c r="F3" t="s">
        <v>38</v>
      </c>
      <c r="G3" t="s">
        <v>39</v>
      </c>
      <c r="H3">
        <v>21653</v>
      </c>
      <c r="I3">
        <v>0</v>
      </c>
      <c r="J3">
        <v>0</v>
      </c>
      <c r="K3">
        <v>0</v>
      </c>
      <c r="L3">
        <v>1</v>
      </c>
      <c r="M3" t="s">
        <v>36</v>
      </c>
      <c r="N3" t="s">
        <v>36</v>
      </c>
      <c r="O3" t="s">
        <v>36</v>
      </c>
      <c r="P3" t="s">
        <v>37</v>
      </c>
      <c r="Q3" t="s">
        <v>36</v>
      </c>
      <c r="R3" t="s">
        <v>36</v>
      </c>
      <c r="S3" t="s">
        <v>36</v>
      </c>
      <c r="T3" t="s">
        <v>36</v>
      </c>
      <c r="U3" t="s">
        <v>36</v>
      </c>
      <c r="V3" t="s">
        <v>36</v>
      </c>
      <c r="W3" t="s">
        <v>36</v>
      </c>
      <c r="X3" t="s">
        <v>36</v>
      </c>
      <c r="Y3" t="s">
        <v>36</v>
      </c>
      <c r="Z3" t="s">
        <v>36</v>
      </c>
      <c r="AA3" t="s">
        <v>36</v>
      </c>
      <c r="AB3" t="s">
        <v>36</v>
      </c>
      <c r="AC3" t="s">
        <v>36</v>
      </c>
      <c r="AD3" t="s">
        <v>36</v>
      </c>
      <c r="AE3" t="s">
        <v>36</v>
      </c>
      <c r="AF3" t="s">
        <v>36</v>
      </c>
      <c r="AG3" t="s">
        <v>36</v>
      </c>
    </row>
    <row r="4" spans="1:33" hidden="1" x14ac:dyDescent="0.2">
      <c r="A4">
        <v>3</v>
      </c>
      <c r="B4" t="s">
        <v>32</v>
      </c>
      <c r="C4" t="s">
        <v>33</v>
      </c>
      <c r="D4">
        <v>35</v>
      </c>
      <c r="E4" t="s">
        <v>34</v>
      </c>
      <c r="F4" t="s">
        <v>38</v>
      </c>
      <c r="G4" t="s">
        <v>40</v>
      </c>
      <c r="H4">
        <v>10681</v>
      </c>
      <c r="I4">
        <v>0</v>
      </c>
      <c r="J4">
        <v>0</v>
      </c>
      <c r="K4">
        <v>1</v>
      </c>
      <c r="L4">
        <v>0</v>
      </c>
      <c r="M4" t="s">
        <v>36</v>
      </c>
      <c r="N4" t="s">
        <v>36</v>
      </c>
      <c r="O4" t="s">
        <v>36</v>
      </c>
      <c r="P4" t="s">
        <v>37</v>
      </c>
      <c r="Q4" t="s">
        <v>36</v>
      </c>
      <c r="R4" t="s">
        <v>36</v>
      </c>
      <c r="S4" t="s">
        <v>36</v>
      </c>
      <c r="T4" t="s">
        <v>36</v>
      </c>
      <c r="U4" t="s">
        <v>36</v>
      </c>
      <c r="V4" t="s">
        <v>36</v>
      </c>
      <c r="W4" t="s">
        <v>36</v>
      </c>
      <c r="X4" t="s">
        <v>36</v>
      </c>
      <c r="Y4" t="s">
        <v>36</v>
      </c>
      <c r="Z4" t="s">
        <v>36</v>
      </c>
      <c r="AA4" t="s">
        <v>36</v>
      </c>
      <c r="AB4" t="s">
        <v>36</v>
      </c>
      <c r="AC4" t="s">
        <v>36</v>
      </c>
      <c r="AD4" t="s">
        <v>36</v>
      </c>
      <c r="AE4" t="s">
        <v>36</v>
      </c>
      <c r="AF4" t="s">
        <v>36</v>
      </c>
      <c r="AG4" t="s">
        <v>36</v>
      </c>
    </row>
    <row r="5" spans="1:33" x14ac:dyDescent="0.2">
      <c r="A5">
        <v>4</v>
      </c>
      <c r="B5" t="s">
        <v>32</v>
      </c>
      <c r="C5" t="s">
        <v>33</v>
      </c>
      <c r="D5">
        <v>35</v>
      </c>
      <c r="E5" t="s">
        <v>34</v>
      </c>
      <c r="F5" t="s">
        <v>41</v>
      </c>
      <c r="G5" t="s">
        <v>42</v>
      </c>
      <c r="H5">
        <v>8449</v>
      </c>
      <c r="I5">
        <v>0</v>
      </c>
      <c r="J5">
        <v>0</v>
      </c>
      <c r="K5">
        <v>1</v>
      </c>
      <c r="L5">
        <v>0</v>
      </c>
      <c r="M5" t="s">
        <v>43</v>
      </c>
      <c r="N5" t="s">
        <v>44</v>
      </c>
      <c r="O5" t="s">
        <v>45</v>
      </c>
      <c r="P5" t="s">
        <v>37</v>
      </c>
      <c r="Q5" t="s">
        <v>46</v>
      </c>
      <c r="R5" t="s">
        <v>47</v>
      </c>
      <c r="S5" t="s">
        <v>48</v>
      </c>
      <c r="T5">
        <v>0</v>
      </c>
      <c r="U5">
        <v>0</v>
      </c>
      <c r="V5">
        <v>1</v>
      </c>
      <c r="W5">
        <v>1</v>
      </c>
      <c r="X5">
        <v>1</v>
      </c>
      <c r="Y5">
        <v>0</v>
      </c>
      <c r="Z5">
        <v>1</v>
      </c>
      <c r="AA5">
        <v>0</v>
      </c>
      <c r="AB5">
        <v>0</v>
      </c>
      <c r="AC5">
        <v>1</v>
      </c>
      <c r="AD5">
        <v>0</v>
      </c>
      <c r="AE5">
        <v>0</v>
      </c>
      <c r="AF5">
        <v>0</v>
      </c>
      <c r="AG5">
        <v>0</v>
      </c>
    </row>
    <row r="6" spans="1:33" x14ac:dyDescent="0.2">
      <c r="A6">
        <v>5</v>
      </c>
      <c r="B6" t="s">
        <v>32</v>
      </c>
      <c r="C6" t="s">
        <v>33</v>
      </c>
      <c r="D6">
        <v>35</v>
      </c>
      <c r="E6" t="s">
        <v>34</v>
      </c>
      <c r="F6" t="s">
        <v>41</v>
      </c>
      <c r="G6" t="s">
        <v>49</v>
      </c>
      <c r="H6">
        <v>18900</v>
      </c>
      <c r="I6">
        <v>0</v>
      </c>
      <c r="J6">
        <v>1</v>
      </c>
      <c r="K6">
        <v>0</v>
      </c>
      <c r="L6">
        <v>0</v>
      </c>
      <c r="M6" t="s">
        <v>50</v>
      </c>
      <c r="N6" t="s">
        <v>51</v>
      </c>
      <c r="O6" t="s">
        <v>52</v>
      </c>
      <c r="P6" t="s">
        <v>37</v>
      </c>
      <c r="Q6" t="s">
        <v>48</v>
      </c>
      <c r="R6" t="s">
        <v>47</v>
      </c>
      <c r="S6" t="s">
        <v>46</v>
      </c>
      <c r="T6">
        <v>0</v>
      </c>
      <c r="U6">
        <v>0</v>
      </c>
      <c r="V6">
        <v>1</v>
      </c>
      <c r="W6">
        <v>1</v>
      </c>
      <c r="X6">
        <v>1</v>
      </c>
      <c r="Y6">
        <v>0</v>
      </c>
      <c r="Z6">
        <v>1</v>
      </c>
      <c r="AA6">
        <v>0</v>
      </c>
      <c r="AB6">
        <v>0</v>
      </c>
      <c r="AC6">
        <v>0</v>
      </c>
      <c r="AD6">
        <v>1</v>
      </c>
      <c r="AE6">
        <v>0</v>
      </c>
      <c r="AF6">
        <v>0</v>
      </c>
      <c r="AG6">
        <v>0</v>
      </c>
    </row>
    <row r="7" spans="1:33" hidden="1" x14ac:dyDescent="0.2">
      <c r="A7">
        <v>6</v>
      </c>
      <c r="B7" t="s">
        <v>32</v>
      </c>
      <c r="C7" t="s">
        <v>33</v>
      </c>
      <c r="D7">
        <v>35</v>
      </c>
      <c r="E7" t="s">
        <v>34</v>
      </c>
      <c r="F7" t="s">
        <v>53</v>
      </c>
      <c r="G7" t="s">
        <v>54</v>
      </c>
      <c r="H7">
        <v>4935</v>
      </c>
      <c r="I7">
        <v>0</v>
      </c>
      <c r="J7">
        <v>1</v>
      </c>
      <c r="K7">
        <v>0</v>
      </c>
      <c r="L7">
        <v>0</v>
      </c>
      <c r="M7" t="s">
        <v>36</v>
      </c>
      <c r="N7" t="s">
        <v>36</v>
      </c>
      <c r="O7" t="s">
        <v>36</v>
      </c>
      <c r="P7" t="s">
        <v>37</v>
      </c>
      <c r="Q7" t="s">
        <v>36</v>
      </c>
      <c r="R7" t="s">
        <v>36</v>
      </c>
      <c r="S7" t="s">
        <v>36</v>
      </c>
      <c r="T7" t="s">
        <v>36</v>
      </c>
      <c r="U7">
        <v>0</v>
      </c>
      <c r="V7">
        <v>1</v>
      </c>
      <c r="W7">
        <v>1</v>
      </c>
      <c r="X7">
        <v>1</v>
      </c>
      <c r="Y7">
        <v>0</v>
      </c>
      <c r="Z7">
        <v>1</v>
      </c>
      <c r="AA7">
        <v>0</v>
      </c>
      <c r="AB7">
        <v>0</v>
      </c>
      <c r="AC7">
        <v>0</v>
      </c>
      <c r="AD7">
        <v>1</v>
      </c>
      <c r="AE7">
        <v>0</v>
      </c>
      <c r="AF7">
        <v>0</v>
      </c>
      <c r="AG7">
        <v>0</v>
      </c>
    </row>
    <row r="8" spans="1:33" x14ac:dyDescent="0.2">
      <c r="A8">
        <v>7</v>
      </c>
      <c r="B8" t="s">
        <v>32</v>
      </c>
      <c r="C8" t="s">
        <v>33</v>
      </c>
      <c r="D8">
        <v>35</v>
      </c>
      <c r="E8" t="s">
        <v>34</v>
      </c>
      <c r="F8" t="s">
        <v>41</v>
      </c>
      <c r="G8" t="s">
        <v>55</v>
      </c>
      <c r="H8">
        <v>3910</v>
      </c>
      <c r="I8">
        <v>0</v>
      </c>
      <c r="J8">
        <v>0</v>
      </c>
      <c r="K8">
        <v>1</v>
      </c>
      <c r="L8">
        <v>0</v>
      </c>
      <c r="M8" t="s">
        <v>56</v>
      </c>
      <c r="N8" t="s">
        <v>57</v>
      </c>
      <c r="O8" t="s">
        <v>58</v>
      </c>
      <c r="P8" t="s">
        <v>37</v>
      </c>
      <c r="Q8" t="s">
        <v>59</v>
      </c>
      <c r="R8" t="s">
        <v>48</v>
      </c>
      <c r="S8" t="s">
        <v>60</v>
      </c>
      <c r="T8">
        <v>1</v>
      </c>
      <c r="U8">
        <v>0</v>
      </c>
      <c r="V8">
        <v>1</v>
      </c>
      <c r="W8">
        <v>0</v>
      </c>
      <c r="X8">
        <v>0</v>
      </c>
      <c r="Y8">
        <v>0</v>
      </c>
      <c r="Z8">
        <v>1</v>
      </c>
      <c r="AA8">
        <v>1</v>
      </c>
      <c r="AB8">
        <v>0</v>
      </c>
      <c r="AC8">
        <v>0</v>
      </c>
      <c r="AD8">
        <v>0</v>
      </c>
      <c r="AE8">
        <v>0</v>
      </c>
      <c r="AF8">
        <v>0</v>
      </c>
      <c r="AG8">
        <v>0</v>
      </c>
    </row>
    <row r="9" spans="1:33" x14ac:dyDescent="0.2">
      <c r="A9">
        <v>8</v>
      </c>
      <c r="B9" t="s">
        <v>32</v>
      </c>
      <c r="C9" t="s">
        <v>33</v>
      </c>
      <c r="D9">
        <v>35</v>
      </c>
      <c r="E9" t="s">
        <v>34</v>
      </c>
      <c r="F9" t="s">
        <v>41</v>
      </c>
      <c r="G9" t="s">
        <v>61</v>
      </c>
      <c r="H9">
        <v>2766</v>
      </c>
      <c r="I9">
        <v>0</v>
      </c>
      <c r="J9">
        <v>1</v>
      </c>
      <c r="K9">
        <v>0</v>
      </c>
      <c r="L9">
        <v>0</v>
      </c>
      <c r="M9" t="s">
        <v>62</v>
      </c>
      <c r="N9" t="s">
        <v>63</v>
      </c>
      <c r="O9" t="s">
        <v>64</v>
      </c>
      <c r="P9" t="s">
        <v>37</v>
      </c>
      <c r="Q9" t="s">
        <v>65</v>
      </c>
      <c r="R9" t="s">
        <v>46</v>
      </c>
      <c r="S9" t="s">
        <v>48</v>
      </c>
      <c r="T9">
        <v>0</v>
      </c>
      <c r="U9">
        <v>1</v>
      </c>
      <c r="V9">
        <v>1</v>
      </c>
      <c r="W9">
        <v>0</v>
      </c>
      <c r="X9">
        <v>1</v>
      </c>
      <c r="Y9">
        <v>0</v>
      </c>
      <c r="Z9">
        <v>1</v>
      </c>
      <c r="AA9">
        <v>0</v>
      </c>
      <c r="AB9">
        <v>0</v>
      </c>
      <c r="AC9">
        <v>0</v>
      </c>
      <c r="AD9">
        <v>0</v>
      </c>
      <c r="AE9">
        <v>1</v>
      </c>
      <c r="AF9">
        <v>0</v>
      </c>
      <c r="AG9">
        <v>0</v>
      </c>
    </row>
    <row r="10" spans="1:33" hidden="1" x14ac:dyDescent="0.2">
      <c r="A10">
        <v>9</v>
      </c>
      <c r="B10" t="s">
        <v>32</v>
      </c>
      <c r="C10" t="s">
        <v>33</v>
      </c>
      <c r="D10">
        <v>35</v>
      </c>
      <c r="E10" t="s">
        <v>34</v>
      </c>
      <c r="F10" t="s">
        <v>53</v>
      </c>
      <c r="G10" t="s">
        <v>66</v>
      </c>
      <c r="H10">
        <v>3615</v>
      </c>
      <c r="I10">
        <v>0</v>
      </c>
      <c r="J10">
        <v>0</v>
      </c>
      <c r="K10">
        <v>1</v>
      </c>
      <c r="L10">
        <v>0</v>
      </c>
      <c r="M10" t="s">
        <v>36</v>
      </c>
      <c r="N10" t="s">
        <v>36</v>
      </c>
      <c r="O10" t="s">
        <v>36</v>
      </c>
      <c r="P10" t="s">
        <v>37</v>
      </c>
      <c r="Q10" t="s">
        <v>36</v>
      </c>
      <c r="R10" t="s">
        <v>36</v>
      </c>
      <c r="S10" t="s">
        <v>36</v>
      </c>
      <c r="T10" t="s">
        <v>36</v>
      </c>
      <c r="U10">
        <v>1</v>
      </c>
      <c r="V10">
        <v>1</v>
      </c>
      <c r="W10">
        <v>0</v>
      </c>
      <c r="X10">
        <v>1</v>
      </c>
      <c r="Y10">
        <v>0</v>
      </c>
      <c r="Z10">
        <v>1</v>
      </c>
      <c r="AA10">
        <v>0</v>
      </c>
      <c r="AB10">
        <v>0</v>
      </c>
      <c r="AC10">
        <v>0</v>
      </c>
      <c r="AD10">
        <v>0</v>
      </c>
      <c r="AE10">
        <v>1</v>
      </c>
      <c r="AF10">
        <v>0</v>
      </c>
      <c r="AG10">
        <v>0</v>
      </c>
    </row>
    <row r="11" spans="1:33" x14ac:dyDescent="0.2">
      <c r="A11">
        <v>10</v>
      </c>
      <c r="B11" t="s">
        <v>32</v>
      </c>
      <c r="C11" t="s">
        <v>33</v>
      </c>
      <c r="D11">
        <v>35</v>
      </c>
      <c r="E11" t="s">
        <v>34</v>
      </c>
      <c r="F11" t="s">
        <v>41</v>
      </c>
      <c r="G11" t="s">
        <v>67</v>
      </c>
      <c r="H11">
        <v>4791</v>
      </c>
      <c r="I11">
        <v>1</v>
      </c>
      <c r="J11">
        <v>0</v>
      </c>
      <c r="K11">
        <v>0</v>
      </c>
      <c r="L11">
        <v>0</v>
      </c>
      <c r="M11" t="s">
        <v>68</v>
      </c>
      <c r="N11" t="s">
        <v>69</v>
      </c>
      <c r="O11" t="s">
        <v>70</v>
      </c>
      <c r="P11" t="s">
        <v>37</v>
      </c>
      <c r="Q11" t="s">
        <v>65</v>
      </c>
      <c r="R11" t="s">
        <v>48</v>
      </c>
      <c r="S11" t="s">
        <v>47</v>
      </c>
      <c r="T11">
        <v>0</v>
      </c>
      <c r="U11">
        <v>1</v>
      </c>
      <c r="V11">
        <v>1</v>
      </c>
      <c r="W11">
        <v>1</v>
      </c>
      <c r="X11">
        <v>0</v>
      </c>
      <c r="Y11">
        <v>0</v>
      </c>
      <c r="Z11">
        <v>1</v>
      </c>
      <c r="AA11">
        <v>0</v>
      </c>
      <c r="AB11">
        <v>1</v>
      </c>
      <c r="AC11">
        <v>0</v>
      </c>
      <c r="AD11">
        <v>0</v>
      </c>
      <c r="AE11">
        <v>0</v>
      </c>
      <c r="AF11">
        <v>0</v>
      </c>
      <c r="AG11">
        <v>0</v>
      </c>
    </row>
    <row r="12" spans="1:33" hidden="1" x14ac:dyDescent="0.2">
      <c r="A12">
        <v>11</v>
      </c>
      <c r="B12" t="s">
        <v>32</v>
      </c>
      <c r="C12" t="s">
        <v>33</v>
      </c>
      <c r="D12">
        <v>35</v>
      </c>
      <c r="E12" t="s">
        <v>34</v>
      </c>
      <c r="F12" t="s">
        <v>53</v>
      </c>
      <c r="G12" t="s">
        <v>71</v>
      </c>
      <c r="H12">
        <v>3895</v>
      </c>
      <c r="I12">
        <v>0</v>
      </c>
      <c r="J12">
        <v>0</v>
      </c>
      <c r="K12">
        <v>1</v>
      </c>
      <c r="L12">
        <v>0</v>
      </c>
      <c r="M12" t="s">
        <v>36</v>
      </c>
      <c r="N12" t="s">
        <v>36</v>
      </c>
      <c r="O12" t="s">
        <v>36</v>
      </c>
      <c r="P12" t="s">
        <v>37</v>
      </c>
      <c r="Q12" t="s">
        <v>36</v>
      </c>
      <c r="R12" t="s">
        <v>36</v>
      </c>
      <c r="S12" t="s">
        <v>36</v>
      </c>
      <c r="T12" t="s">
        <v>36</v>
      </c>
      <c r="U12">
        <v>1</v>
      </c>
      <c r="V12">
        <v>1</v>
      </c>
      <c r="W12">
        <v>1</v>
      </c>
      <c r="X12">
        <v>0</v>
      </c>
      <c r="Y12">
        <v>0</v>
      </c>
      <c r="Z12">
        <v>1</v>
      </c>
      <c r="AA12">
        <v>0</v>
      </c>
      <c r="AB12">
        <v>1</v>
      </c>
      <c r="AC12">
        <v>0</v>
      </c>
      <c r="AD12">
        <v>0</v>
      </c>
      <c r="AE12">
        <v>0</v>
      </c>
      <c r="AF12">
        <v>0</v>
      </c>
      <c r="AG12">
        <v>0</v>
      </c>
    </row>
    <row r="13" spans="1:33" x14ac:dyDescent="0.2">
      <c r="A13">
        <v>12</v>
      </c>
      <c r="B13" t="s">
        <v>32</v>
      </c>
      <c r="C13" t="s">
        <v>33</v>
      </c>
      <c r="D13">
        <v>35</v>
      </c>
      <c r="E13" t="s">
        <v>34</v>
      </c>
      <c r="F13" t="s">
        <v>41</v>
      </c>
      <c r="G13" t="s">
        <v>72</v>
      </c>
      <c r="H13">
        <v>2823</v>
      </c>
      <c r="I13">
        <v>0</v>
      </c>
      <c r="J13">
        <v>0</v>
      </c>
      <c r="K13">
        <v>1</v>
      </c>
      <c r="L13">
        <v>0</v>
      </c>
      <c r="M13" t="s">
        <v>73</v>
      </c>
      <c r="N13" t="s">
        <v>74</v>
      </c>
      <c r="O13" t="s">
        <v>75</v>
      </c>
      <c r="P13" t="s">
        <v>37</v>
      </c>
      <c r="Q13" t="s">
        <v>48</v>
      </c>
      <c r="R13" t="s">
        <v>47</v>
      </c>
      <c r="S13" t="s">
        <v>46</v>
      </c>
      <c r="T13">
        <v>0</v>
      </c>
      <c r="U13">
        <v>0</v>
      </c>
      <c r="V13">
        <v>1</v>
      </c>
      <c r="W13">
        <v>1</v>
      </c>
      <c r="X13">
        <v>1</v>
      </c>
      <c r="Y13">
        <v>0</v>
      </c>
      <c r="Z13">
        <v>1</v>
      </c>
      <c r="AA13">
        <v>0</v>
      </c>
      <c r="AB13">
        <v>0</v>
      </c>
      <c r="AC13">
        <v>0</v>
      </c>
      <c r="AD13">
        <v>0</v>
      </c>
      <c r="AE13">
        <v>1</v>
      </c>
      <c r="AF13">
        <v>0</v>
      </c>
      <c r="AG13">
        <v>0</v>
      </c>
    </row>
    <row r="14" spans="1:33" hidden="1" x14ac:dyDescent="0.2">
      <c r="A14">
        <v>13</v>
      </c>
      <c r="B14" t="s">
        <v>32</v>
      </c>
      <c r="C14" t="s">
        <v>33</v>
      </c>
      <c r="D14">
        <v>35</v>
      </c>
      <c r="E14" t="s">
        <v>34</v>
      </c>
      <c r="F14" t="s">
        <v>53</v>
      </c>
      <c r="G14" t="s">
        <v>76</v>
      </c>
      <c r="H14">
        <v>2975</v>
      </c>
      <c r="I14">
        <v>0</v>
      </c>
      <c r="J14">
        <v>0</v>
      </c>
      <c r="K14">
        <v>1</v>
      </c>
      <c r="L14">
        <v>0</v>
      </c>
      <c r="M14" t="s">
        <v>36</v>
      </c>
      <c r="N14" t="s">
        <v>36</v>
      </c>
      <c r="O14" t="s">
        <v>36</v>
      </c>
      <c r="P14" t="s">
        <v>37</v>
      </c>
      <c r="Q14" t="s">
        <v>36</v>
      </c>
      <c r="R14" t="s">
        <v>36</v>
      </c>
      <c r="S14" t="s">
        <v>36</v>
      </c>
      <c r="T14" t="s">
        <v>36</v>
      </c>
      <c r="U14">
        <v>0</v>
      </c>
      <c r="V14">
        <v>1</v>
      </c>
      <c r="W14">
        <v>1</v>
      </c>
      <c r="X14">
        <v>1</v>
      </c>
      <c r="Y14">
        <v>0</v>
      </c>
      <c r="Z14">
        <v>1</v>
      </c>
      <c r="AA14">
        <v>0</v>
      </c>
      <c r="AB14">
        <v>0</v>
      </c>
      <c r="AC14">
        <v>0</v>
      </c>
      <c r="AD14">
        <v>0</v>
      </c>
      <c r="AE14">
        <v>1</v>
      </c>
      <c r="AF14">
        <v>0</v>
      </c>
      <c r="AG14">
        <v>0</v>
      </c>
    </row>
    <row r="15" spans="1:33" hidden="1" x14ac:dyDescent="0.2">
      <c r="A15">
        <v>14</v>
      </c>
      <c r="B15" t="s">
        <v>32</v>
      </c>
      <c r="C15" t="s">
        <v>33</v>
      </c>
      <c r="D15">
        <v>35</v>
      </c>
      <c r="E15" t="s">
        <v>34</v>
      </c>
      <c r="F15" t="s">
        <v>77</v>
      </c>
      <c r="G15" t="s">
        <v>36</v>
      </c>
      <c r="H15">
        <v>30724</v>
      </c>
      <c r="I15" t="s">
        <v>78</v>
      </c>
      <c r="J15" t="s">
        <v>79</v>
      </c>
      <c r="K15" t="s">
        <v>80</v>
      </c>
      <c r="L15" t="s">
        <v>36</v>
      </c>
      <c r="M15" t="s">
        <v>36</v>
      </c>
      <c r="N15" t="s">
        <v>36</v>
      </c>
      <c r="O15" t="s">
        <v>36</v>
      </c>
      <c r="P15" t="s">
        <v>37</v>
      </c>
      <c r="Q15" t="s">
        <v>36</v>
      </c>
      <c r="R15" t="s">
        <v>36</v>
      </c>
      <c r="S15" t="s">
        <v>36</v>
      </c>
      <c r="T15" t="s">
        <v>36</v>
      </c>
      <c r="U15" t="s">
        <v>36</v>
      </c>
      <c r="V15" t="s">
        <v>36</v>
      </c>
      <c r="W15" t="s">
        <v>36</v>
      </c>
      <c r="X15" t="s">
        <v>36</v>
      </c>
      <c r="Y15" t="s">
        <v>36</v>
      </c>
      <c r="Z15" t="s">
        <v>36</v>
      </c>
      <c r="AA15" t="s">
        <v>36</v>
      </c>
      <c r="AB15" t="s">
        <v>36</v>
      </c>
      <c r="AC15" t="s">
        <v>36</v>
      </c>
      <c r="AD15" t="s">
        <v>36</v>
      </c>
      <c r="AE15" t="s">
        <v>36</v>
      </c>
      <c r="AF15" t="s">
        <v>36</v>
      </c>
      <c r="AG15" t="s">
        <v>36</v>
      </c>
    </row>
    <row r="16" spans="1:33" hidden="1" x14ac:dyDescent="0.2">
      <c r="A16">
        <v>15</v>
      </c>
      <c r="B16" t="s">
        <v>81</v>
      </c>
      <c r="C16" t="s">
        <v>33</v>
      </c>
      <c r="D16">
        <v>30</v>
      </c>
      <c r="E16" t="s">
        <v>34</v>
      </c>
      <c r="F16" t="s">
        <v>35</v>
      </c>
      <c r="G16" t="s">
        <v>36</v>
      </c>
      <c r="H16">
        <v>116007</v>
      </c>
      <c r="I16" t="s">
        <v>36</v>
      </c>
      <c r="J16" t="s">
        <v>36</v>
      </c>
      <c r="K16" t="s">
        <v>36</v>
      </c>
      <c r="L16" t="s">
        <v>36</v>
      </c>
      <c r="M16" t="s">
        <v>36</v>
      </c>
      <c r="N16" t="s">
        <v>36</v>
      </c>
      <c r="O16" t="s">
        <v>36</v>
      </c>
      <c r="P16" t="s">
        <v>37</v>
      </c>
      <c r="Q16" t="s">
        <v>36</v>
      </c>
      <c r="R16" t="s">
        <v>36</v>
      </c>
      <c r="S16" t="s">
        <v>36</v>
      </c>
      <c r="T16" t="s">
        <v>36</v>
      </c>
      <c r="U16" t="s">
        <v>36</v>
      </c>
      <c r="V16" t="s">
        <v>36</v>
      </c>
      <c r="W16" t="s">
        <v>36</v>
      </c>
      <c r="X16" t="s">
        <v>36</v>
      </c>
      <c r="Y16" t="s">
        <v>36</v>
      </c>
      <c r="Z16" t="s">
        <v>36</v>
      </c>
      <c r="AA16" t="s">
        <v>36</v>
      </c>
      <c r="AB16" t="s">
        <v>36</v>
      </c>
      <c r="AC16" t="s">
        <v>36</v>
      </c>
      <c r="AD16" t="s">
        <v>36</v>
      </c>
      <c r="AE16" t="s">
        <v>36</v>
      </c>
      <c r="AF16" t="s">
        <v>36</v>
      </c>
      <c r="AG16" t="s">
        <v>36</v>
      </c>
    </row>
    <row r="17" spans="1:33" hidden="1" x14ac:dyDescent="0.2">
      <c r="A17">
        <v>16</v>
      </c>
      <c r="B17" t="s">
        <v>81</v>
      </c>
      <c r="C17" t="s">
        <v>33</v>
      </c>
      <c r="D17">
        <v>30</v>
      </c>
      <c r="E17" t="s">
        <v>34</v>
      </c>
      <c r="F17" t="s">
        <v>38</v>
      </c>
      <c r="G17" t="s">
        <v>40</v>
      </c>
      <c r="H17">
        <v>7389</v>
      </c>
      <c r="I17">
        <v>1</v>
      </c>
      <c r="J17">
        <v>1</v>
      </c>
      <c r="K17">
        <v>1</v>
      </c>
      <c r="L17">
        <v>0</v>
      </c>
      <c r="M17" t="s">
        <v>36</v>
      </c>
      <c r="N17" t="s">
        <v>36</v>
      </c>
      <c r="O17" t="s">
        <v>36</v>
      </c>
      <c r="P17" t="s">
        <v>37</v>
      </c>
      <c r="Q17" t="s">
        <v>36</v>
      </c>
      <c r="R17" t="s">
        <v>36</v>
      </c>
      <c r="S17" t="s">
        <v>36</v>
      </c>
      <c r="T17" t="s">
        <v>36</v>
      </c>
      <c r="U17" t="s">
        <v>36</v>
      </c>
      <c r="V17" t="s">
        <v>36</v>
      </c>
      <c r="W17" t="s">
        <v>36</v>
      </c>
      <c r="X17" t="s">
        <v>36</v>
      </c>
      <c r="Y17" t="s">
        <v>36</v>
      </c>
      <c r="Z17" t="s">
        <v>36</v>
      </c>
      <c r="AA17" t="s">
        <v>36</v>
      </c>
      <c r="AB17" t="s">
        <v>36</v>
      </c>
      <c r="AC17" t="s">
        <v>36</v>
      </c>
      <c r="AD17" t="s">
        <v>36</v>
      </c>
      <c r="AE17" t="s">
        <v>36</v>
      </c>
      <c r="AF17" t="s">
        <v>36</v>
      </c>
      <c r="AG17" t="s">
        <v>36</v>
      </c>
    </row>
    <row r="18" spans="1:33" hidden="1" x14ac:dyDescent="0.2">
      <c r="A18">
        <v>17</v>
      </c>
      <c r="B18" t="s">
        <v>81</v>
      </c>
      <c r="C18" t="s">
        <v>33</v>
      </c>
      <c r="D18">
        <v>30</v>
      </c>
      <c r="E18" t="s">
        <v>34</v>
      </c>
      <c r="F18" t="s">
        <v>38</v>
      </c>
      <c r="G18" t="s">
        <v>39</v>
      </c>
      <c r="H18">
        <v>5555</v>
      </c>
      <c r="I18">
        <v>1</v>
      </c>
      <c r="J18">
        <v>1</v>
      </c>
      <c r="K18">
        <v>0</v>
      </c>
      <c r="L18">
        <v>0</v>
      </c>
      <c r="M18" t="s">
        <v>36</v>
      </c>
      <c r="N18" t="s">
        <v>36</v>
      </c>
      <c r="O18" t="s">
        <v>36</v>
      </c>
      <c r="P18" t="s">
        <v>37</v>
      </c>
      <c r="Q18" t="s">
        <v>36</v>
      </c>
      <c r="R18" t="s">
        <v>36</v>
      </c>
      <c r="S18" t="s">
        <v>36</v>
      </c>
      <c r="T18" t="s">
        <v>36</v>
      </c>
      <c r="U18" t="s">
        <v>36</v>
      </c>
      <c r="V18" t="s">
        <v>36</v>
      </c>
      <c r="W18" t="s">
        <v>36</v>
      </c>
      <c r="X18" t="s">
        <v>36</v>
      </c>
      <c r="Y18" t="s">
        <v>36</v>
      </c>
      <c r="Z18" t="s">
        <v>36</v>
      </c>
      <c r="AA18" t="s">
        <v>36</v>
      </c>
      <c r="AB18" t="s">
        <v>36</v>
      </c>
      <c r="AC18" t="s">
        <v>36</v>
      </c>
      <c r="AD18" t="s">
        <v>36</v>
      </c>
      <c r="AE18" t="s">
        <v>36</v>
      </c>
      <c r="AF18" t="s">
        <v>36</v>
      </c>
      <c r="AG18" t="s">
        <v>36</v>
      </c>
    </row>
    <row r="19" spans="1:33" x14ac:dyDescent="0.2">
      <c r="A19">
        <v>18</v>
      </c>
      <c r="B19" t="s">
        <v>81</v>
      </c>
      <c r="C19" t="s">
        <v>33</v>
      </c>
      <c r="D19">
        <v>30</v>
      </c>
      <c r="E19" t="s">
        <v>34</v>
      </c>
      <c r="F19" t="s">
        <v>41</v>
      </c>
      <c r="G19" t="s">
        <v>42</v>
      </c>
      <c r="H19">
        <v>3235</v>
      </c>
      <c r="I19">
        <v>0</v>
      </c>
      <c r="J19">
        <v>1</v>
      </c>
      <c r="K19">
        <v>1</v>
      </c>
      <c r="L19">
        <v>0</v>
      </c>
      <c r="M19" t="s">
        <v>45</v>
      </c>
      <c r="N19" t="s">
        <v>44</v>
      </c>
      <c r="O19" t="s">
        <v>82</v>
      </c>
      <c r="P19" t="s">
        <v>37</v>
      </c>
      <c r="Q19" t="s">
        <v>48</v>
      </c>
      <c r="R19" t="s">
        <v>47</v>
      </c>
      <c r="S19" t="s">
        <v>65</v>
      </c>
      <c r="T19">
        <v>0</v>
      </c>
      <c r="U19">
        <v>1</v>
      </c>
      <c r="V19">
        <v>1</v>
      </c>
      <c r="W19">
        <v>1</v>
      </c>
      <c r="X19">
        <v>0</v>
      </c>
      <c r="Y19">
        <v>0</v>
      </c>
      <c r="Z19">
        <v>1</v>
      </c>
      <c r="AA19">
        <v>0</v>
      </c>
      <c r="AB19">
        <v>1</v>
      </c>
      <c r="AC19">
        <v>0</v>
      </c>
      <c r="AD19">
        <v>1</v>
      </c>
      <c r="AE19">
        <v>0</v>
      </c>
      <c r="AF19">
        <v>0</v>
      </c>
      <c r="AG19">
        <v>0</v>
      </c>
    </row>
    <row r="20" spans="1:33" hidden="1" x14ac:dyDescent="0.2">
      <c r="A20">
        <v>19</v>
      </c>
      <c r="B20" t="s">
        <v>81</v>
      </c>
      <c r="C20" t="s">
        <v>33</v>
      </c>
      <c r="D20">
        <v>30</v>
      </c>
      <c r="E20" t="s">
        <v>34</v>
      </c>
      <c r="F20" t="s">
        <v>53</v>
      </c>
      <c r="G20" t="s">
        <v>71</v>
      </c>
      <c r="H20">
        <v>2135</v>
      </c>
      <c r="I20">
        <v>0</v>
      </c>
      <c r="J20">
        <v>0</v>
      </c>
      <c r="K20">
        <v>1</v>
      </c>
      <c r="L20">
        <v>0</v>
      </c>
      <c r="M20" t="s">
        <v>36</v>
      </c>
      <c r="N20" t="s">
        <v>36</v>
      </c>
      <c r="O20" t="s">
        <v>36</v>
      </c>
      <c r="P20" t="s">
        <v>37</v>
      </c>
      <c r="Q20" t="s">
        <v>36</v>
      </c>
      <c r="R20" t="s">
        <v>36</v>
      </c>
      <c r="S20" t="s">
        <v>36</v>
      </c>
      <c r="T20" t="s">
        <v>36</v>
      </c>
      <c r="U20">
        <v>1</v>
      </c>
      <c r="V20">
        <v>1</v>
      </c>
      <c r="W20">
        <v>1</v>
      </c>
      <c r="X20">
        <v>0</v>
      </c>
      <c r="Y20">
        <v>0</v>
      </c>
      <c r="Z20">
        <v>1</v>
      </c>
      <c r="AA20">
        <v>0</v>
      </c>
      <c r="AB20">
        <v>1</v>
      </c>
      <c r="AC20">
        <v>0</v>
      </c>
      <c r="AD20">
        <v>1</v>
      </c>
      <c r="AE20">
        <v>0</v>
      </c>
      <c r="AF20">
        <v>0</v>
      </c>
      <c r="AG20">
        <v>0</v>
      </c>
    </row>
    <row r="21" spans="1:33" x14ac:dyDescent="0.2">
      <c r="A21">
        <v>20</v>
      </c>
      <c r="B21" t="s">
        <v>81</v>
      </c>
      <c r="C21" t="s">
        <v>33</v>
      </c>
      <c r="D21">
        <v>30</v>
      </c>
      <c r="E21" t="s">
        <v>34</v>
      </c>
      <c r="F21" t="s">
        <v>41</v>
      </c>
      <c r="G21" t="s">
        <v>49</v>
      </c>
      <c r="H21">
        <v>1572</v>
      </c>
      <c r="I21">
        <v>0</v>
      </c>
      <c r="J21">
        <v>1</v>
      </c>
      <c r="K21">
        <v>0</v>
      </c>
      <c r="L21">
        <v>0</v>
      </c>
      <c r="M21" t="s">
        <v>83</v>
      </c>
      <c r="N21" t="s">
        <v>51</v>
      </c>
      <c r="O21" t="s">
        <v>50</v>
      </c>
      <c r="P21" t="s">
        <v>37</v>
      </c>
      <c r="Q21" t="s">
        <v>59</v>
      </c>
      <c r="R21" t="s">
        <v>47</v>
      </c>
      <c r="S21" t="s">
        <v>48</v>
      </c>
      <c r="T21">
        <v>0</v>
      </c>
      <c r="U21">
        <v>0</v>
      </c>
      <c r="V21">
        <v>1</v>
      </c>
      <c r="W21">
        <v>1</v>
      </c>
      <c r="X21">
        <v>0</v>
      </c>
      <c r="Y21">
        <v>0</v>
      </c>
      <c r="Z21">
        <v>1</v>
      </c>
      <c r="AA21">
        <v>0</v>
      </c>
      <c r="AB21">
        <v>0</v>
      </c>
      <c r="AC21">
        <v>0</v>
      </c>
      <c r="AD21">
        <v>1</v>
      </c>
      <c r="AE21">
        <v>0</v>
      </c>
      <c r="AF21">
        <v>0</v>
      </c>
      <c r="AG21">
        <v>0</v>
      </c>
    </row>
    <row r="22" spans="1:33" x14ac:dyDescent="0.2">
      <c r="A22">
        <v>21</v>
      </c>
      <c r="B22" t="s">
        <v>81</v>
      </c>
      <c r="C22" t="s">
        <v>33</v>
      </c>
      <c r="D22">
        <v>30</v>
      </c>
      <c r="E22" t="s">
        <v>34</v>
      </c>
      <c r="F22" t="s">
        <v>41</v>
      </c>
      <c r="G22" t="s">
        <v>55</v>
      </c>
      <c r="H22">
        <v>2283</v>
      </c>
      <c r="I22">
        <v>0</v>
      </c>
      <c r="J22">
        <v>0</v>
      </c>
      <c r="K22">
        <v>1</v>
      </c>
      <c r="L22">
        <v>0</v>
      </c>
      <c r="M22" t="s">
        <v>56</v>
      </c>
      <c r="N22" t="s">
        <v>84</v>
      </c>
      <c r="O22" t="s">
        <v>85</v>
      </c>
      <c r="P22" t="s">
        <v>37</v>
      </c>
      <c r="Q22" t="s">
        <v>59</v>
      </c>
      <c r="R22" t="s">
        <v>46</v>
      </c>
      <c r="S22" t="s">
        <v>65</v>
      </c>
      <c r="T22">
        <v>0</v>
      </c>
      <c r="U22">
        <v>1</v>
      </c>
      <c r="V22">
        <v>0</v>
      </c>
      <c r="W22">
        <v>0</v>
      </c>
      <c r="X22">
        <v>1</v>
      </c>
      <c r="Y22">
        <v>0</v>
      </c>
      <c r="Z22">
        <v>1</v>
      </c>
      <c r="AA22">
        <v>0</v>
      </c>
      <c r="AB22">
        <v>1</v>
      </c>
      <c r="AC22">
        <v>0</v>
      </c>
      <c r="AD22">
        <v>0</v>
      </c>
      <c r="AE22">
        <v>0</v>
      </c>
      <c r="AF22">
        <v>0</v>
      </c>
      <c r="AG22">
        <v>0</v>
      </c>
    </row>
    <row r="23" spans="1:33" hidden="1" x14ac:dyDescent="0.2">
      <c r="A23">
        <v>22</v>
      </c>
      <c r="B23" t="s">
        <v>81</v>
      </c>
      <c r="C23" t="s">
        <v>33</v>
      </c>
      <c r="D23">
        <v>30</v>
      </c>
      <c r="E23" t="s">
        <v>34</v>
      </c>
      <c r="F23" t="s">
        <v>53</v>
      </c>
      <c r="G23" t="s">
        <v>76</v>
      </c>
      <c r="H23">
        <v>2188</v>
      </c>
      <c r="I23">
        <v>0</v>
      </c>
      <c r="J23">
        <v>0</v>
      </c>
      <c r="K23">
        <v>1</v>
      </c>
      <c r="L23">
        <v>0</v>
      </c>
      <c r="M23" t="s">
        <v>36</v>
      </c>
      <c r="N23" t="s">
        <v>36</v>
      </c>
      <c r="O23" t="s">
        <v>36</v>
      </c>
      <c r="P23" t="s">
        <v>37</v>
      </c>
      <c r="Q23" t="s">
        <v>36</v>
      </c>
      <c r="R23" t="s">
        <v>36</v>
      </c>
      <c r="S23" t="s">
        <v>36</v>
      </c>
      <c r="T23" t="s">
        <v>36</v>
      </c>
      <c r="U23">
        <v>1</v>
      </c>
      <c r="V23">
        <v>0</v>
      </c>
      <c r="W23">
        <v>0</v>
      </c>
      <c r="X23">
        <v>1</v>
      </c>
      <c r="Y23">
        <v>0</v>
      </c>
      <c r="Z23">
        <v>1</v>
      </c>
      <c r="AA23">
        <v>0</v>
      </c>
      <c r="AB23">
        <v>1</v>
      </c>
      <c r="AC23">
        <v>0</v>
      </c>
      <c r="AD23">
        <v>0</v>
      </c>
      <c r="AE23">
        <v>0</v>
      </c>
      <c r="AF23">
        <v>0</v>
      </c>
      <c r="AG23">
        <v>0</v>
      </c>
    </row>
    <row r="24" spans="1:33" x14ac:dyDescent="0.2">
      <c r="A24">
        <v>23</v>
      </c>
      <c r="B24" t="s">
        <v>81</v>
      </c>
      <c r="C24" t="s">
        <v>33</v>
      </c>
      <c r="D24">
        <v>30</v>
      </c>
      <c r="E24" t="s">
        <v>34</v>
      </c>
      <c r="F24" t="s">
        <v>41</v>
      </c>
      <c r="G24" t="s">
        <v>72</v>
      </c>
      <c r="H24">
        <v>1746</v>
      </c>
      <c r="I24">
        <v>0</v>
      </c>
      <c r="J24">
        <v>1</v>
      </c>
      <c r="K24">
        <v>0</v>
      </c>
      <c r="L24">
        <v>0</v>
      </c>
      <c r="M24" t="s">
        <v>74</v>
      </c>
      <c r="N24" t="s">
        <v>75</v>
      </c>
      <c r="O24" t="s">
        <v>73</v>
      </c>
      <c r="P24" t="s">
        <v>37</v>
      </c>
      <c r="Q24" t="s">
        <v>47</v>
      </c>
      <c r="R24" t="s">
        <v>46</v>
      </c>
      <c r="S24" t="s">
        <v>48</v>
      </c>
      <c r="T24">
        <v>0</v>
      </c>
      <c r="U24">
        <v>0</v>
      </c>
      <c r="V24">
        <v>1</v>
      </c>
      <c r="W24">
        <v>1</v>
      </c>
      <c r="X24">
        <v>1</v>
      </c>
      <c r="Y24">
        <v>0</v>
      </c>
      <c r="Z24">
        <v>1</v>
      </c>
      <c r="AA24">
        <v>0</v>
      </c>
      <c r="AB24">
        <v>0</v>
      </c>
      <c r="AC24">
        <v>0</v>
      </c>
      <c r="AD24">
        <v>0</v>
      </c>
      <c r="AE24">
        <v>1</v>
      </c>
      <c r="AF24">
        <v>0</v>
      </c>
      <c r="AG24">
        <v>0</v>
      </c>
    </row>
    <row r="25" spans="1:33" hidden="1" x14ac:dyDescent="0.2">
      <c r="A25">
        <v>24</v>
      </c>
      <c r="B25" t="s">
        <v>81</v>
      </c>
      <c r="C25" t="s">
        <v>33</v>
      </c>
      <c r="D25">
        <v>30</v>
      </c>
      <c r="E25" t="s">
        <v>34</v>
      </c>
      <c r="F25" t="s">
        <v>53</v>
      </c>
      <c r="G25" t="s">
        <v>66</v>
      </c>
      <c r="H25">
        <v>4364</v>
      </c>
      <c r="I25">
        <v>0</v>
      </c>
      <c r="J25">
        <v>0</v>
      </c>
      <c r="K25">
        <v>1</v>
      </c>
      <c r="L25">
        <v>0</v>
      </c>
      <c r="M25" t="s">
        <v>36</v>
      </c>
      <c r="N25" t="s">
        <v>36</v>
      </c>
      <c r="O25" t="s">
        <v>36</v>
      </c>
      <c r="P25" t="s">
        <v>37</v>
      </c>
      <c r="Q25" t="s">
        <v>36</v>
      </c>
      <c r="R25" t="s">
        <v>36</v>
      </c>
      <c r="S25" t="s">
        <v>36</v>
      </c>
      <c r="T25" t="s">
        <v>36</v>
      </c>
      <c r="U25">
        <v>0</v>
      </c>
      <c r="V25">
        <v>1</v>
      </c>
      <c r="W25">
        <v>1</v>
      </c>
      <c r="X25">
        <v>1</v>
      </c>
      <c r="Y25">
        <v>0</v>
      </c>
      <c r="Z25">
        <v>1</v>
      </c>
      <c r="AA25">
        <v>0</v>
      </c>
      <c r="AB25">
        <v>0</v>
      </c>
      <c r="AC25">
        <v>0</v>
      </c>
      <c r="AD25">
        <v>0</v>
      </c>
      <c r="AE25">
        <v>1</v>
      </c>
      <c r="AF25">
        <v>0</v>
      </c>
      <c r="AG25">
        <v>0</v>
      </c>
    </row>
    <row r="26" spans="1:33" x14ac:dyDescent="0.2">
      <c r="A26">
        <v>25</v>
      </c>
      <c r="B26" t="s">
        <v>81</v>
      </c>
      <c r="C26" t="s">
        <v>33</v>
      </c>
      <c r="D26">
        <v>30</v>
      </c>
      <c r="E26" t="s">
        <v>34</v>
      </c>
      <c r="F26" t="s">
        <v>41</v>
      </c>
      <c r="G26" t="s">
        <v>67</v>
      </c>
      <c r="H26">
        <v>2235</v>
      </c>
      <c r="I26">
        <v>0</v>
      </c>
      <c r="J26">
        <v>1</v>
      </c>
      <c r="K26">
        <v>0</v>
      </c>
      <c r="L26">
        <v>0</v>
      </c>
      <c r="M26" t="s">
        <v>70</v>
      </c>
      <c r="N26" t="s">
        <v>69</v>
      </c>
      <c r="O26" t="s">
        <v>86</v>
      </c>
      <c r="P26" t="s">
        <v>37</v>
      </c>
      <c r="Q26" t="s">
        <v>47</v>
      </c>
      <c r="R26" t="s">
        <v>48</v>
      </c>
      <c r="S26" t="s">
        <v>46</v>
      </c>
      <c r="T26">
        <v>0</v>
      </c>
      <c r="U26">
        <v>0</v>
      </c>
      <c r="V26">
        <v>1</v>
      </c>
      <c r="W26">
        <v>1</v>
      </c>
      <c r="X26">
        <v>1</v>
      </c>
      <c r="Y26">
        <v>0</v>
      </c>
      <c r="Z26">
        <v>1</v>
      </c>
      <c r="AA26">
        <v>0</v>
      </c>
      <c r="AB26">
        <v>0</v>
      </c>
      <c r="AC26">
        <v>1</v>
      </c>
      <c r="AD26">
        <v>0</v>
      </c>
      <c r="AE26">
        <v>0</v>
      </c>
      <c r="AF26">
        <v>0</v>
      </c>
      <c r="AG26">
        <v>0</v>
      </c>
    </row>
    <row r="27" spans="1:33" x14ac:dyDescent="0.2">
      <c r="A27">
        <v>26</v>
      </c>
      <c r="B27" t="s">
        <v>81</v>
      </c>
      <c r="C27" t="s">
        <v>33</v>
      </c>
      <c r="D27">
        <v>30</v>
      </c>
      <c r="E27" t="s">
        <v>34</v>
      </c>
      <c r="F27" t="s">
        <v>41</v>
      </c>
      <c r="G27" t="s">
        <v>61</v>
      </c>
      <c r="H27">
        <v>4653</v>
      </c>
      <c r="I27">
        <v>1</v>
      </c>
      <c r="J27">
        <v>0</v>
      </c>
      <c r="K27">
        <v>1</v>
      </c>
      <c r="L27">
        <v>0</v>
      </c>
      <c r="M27" t="s">
        <v>87</v>
      </c>
      <c r="N27" t="s">
        <v>64</v>
      </c>
      <c r="O27" t="s">
        <v>62</v>
      </c>
      <c r="P27" t="s">
        <v>37</v>
      </c>
      <c r="Q27" t="s">
        <v>47</v>
      </c>
      <c r="R27" t="s">
        <v>48</v>
      </c>
      <c r="S27" t="s">
        <v>65</v>
      </c>
      <c r="T27">
        <v>0</v>
      </c>
      <c r="U27">
        <v>1</v>
      </c>
      <c r="V27">
        <v>1</v>
      </c>
      <c r="W27">
        <v>1</v>
      </c>
      <c r="X27">
        <v>0</v>
      </c>
      <c r="Y27">
        <v>0</v>
      </c>
      <c r="Z27">
        <v>1</v>
      </c>
      <c r="AA27">
        <v>0</v>
      </c>
      <c r="AB27">
        <v>1</v>
      </c>
      <c r="AC27">
        <v>0</v>
      </c>
      <c r="AD27">
        <v>1</v>
      </c>
      <c r="AE27">
        <v>0</v>
      </c>
      <c r="AF27">
        <v>0</v>
      </c>
      <c r="AG27">
        <v>0</v>
      </c>
    </row>
    <row r="28" spans="1:33" hidden="1" x14ac:dyDescent="0.2">
      <c r="A28">
        <v>27</v>
      </c>
      <c r="B28" t="s">
        <v>81</v>
      </c>
      <c r="C28" t="s">
        <v>33</v>
      </c>
      <c r="D28">
        <v>30</v>
      </c>
      <c r="E28" t="s">
        <v>34</v>
      </c>
      <c r="F28" t="s">
        <v>53</v>
      </c>
      <c r="G28" t="s">
        <v>54</v>
      </c>
      <c r="H28">
        <v>1836</v>
      </c>
      <c r="I28">
        <v>0</v>
      </c>
      <c r="J28">
        <v>1</v>
      </c>
      <c r="K28">
        <v>0</v>
      </c>
      <c r="L28">
        <v>0</v>
      </c>
      <c r="M28" t="s">
        <v>36</v>
      </c>
      <c r="N28" t="s">
        <v>36</v>
      </c>
      <c r="O28" t="s">
        <v>36</v>
      </c>
      <c r="P28" t="s">
        <v>37</v>
      </c>
      <c r="Q28" t="s">
        <v>36</v>
      </c>
      <c r="R28" t="s">
        <v>36</v>
      </c>
      <c r="S28" t="s">
        <v>36</v>
      </c>
      <c r="T28" t="s">
        <v>36</v>
      </c>
      <c r="U28">
        <v>1</v>
      </c>
      <c r="V28">
        <v>1</v>
      </c>
      <c r="W28">
        <v>1</v>
      </c>
      <c r="X28">
        <v>0</v>
      </c>
      <c r="Y28">
        <v>0</v>
      </c>
      <c r="Z28">
        <v>1</v>
      </c>
      <c r="AA28">
        <v>0</v>
      </c>
      <c r="AB28">
        <v>1</v>
      </c>
      <c r="AC28">
        <v>0</v>
      </c>
      <c r="AD28">
        <v>1</v>
      </c>
      <c r="AE28">
        <v>0</v>
      </c>
      <c r="AF28">
        <v>0</v>
      </c>
      <c r="AG28">
        <v>0</v>
      </c>
    </row>
    <row r="29" spans="1:33" hidden="1" x14ac:dyDescent="0.2">
      <c r="A29">
        <v>28</v>
      </c>
      <c r="B29" t="s">
        <v>81</v>
      </c>
      <c r="C29" t="s">
        <v>33</v>
      </c>
      <c r="D29">
        <v>30</v>
      </c>
      <c r="E29" t="s">
        <v>34</v>
      </c>
      <c r="F29" t="s">
        <v>77</v>
      </c>
      <c r="G29" t="s">
        <v>36</v>
      </c>
      <c r="H29">
        <v>35049</v>
      </c>
      <c r="I29" t="s">
        <v>88</v>
      </c>
      <c r="J29" t="s">
        <v>89</v>
      </c>
      <c r="K29" t="s">
        <v>90</v>
      </c>
      <c r="L29" t="s">
        <v>36</v>
      </c>
      <c r="M29" t="s">
        <v>36</v>
      </c>
      <c r="N29" t="s">
        <v>36</v>
      </c>
      <c r="O29" t="s">
        <v>36</v>
      </c>
      <c r="P29" t="s">
        <v>37</v>
      </c>
      <c r="Q29" t="s">
        <v>36</v>
      </c>
      <c r="R29" t="s">
        <v>36</v>
      </c>
      <c r="S29" t="s">
        <v>36</v>
      </c>
      <c r="T29" t="s">
        <v>36</v>
      </c>
      <c r="U29" t="s">
        <v>36</v>
      </c>
      <c r="V29" t="s">
        <v>36</v>
      </c>
      <c r="W29" t="s">
        <v>36</v>
      </c>
      <c r="X29" t="s">
        <v>36</v>
      </c>
      <c r="Y29" t="s">
        <v>36</v>
      </c>
      <c r="Z29" t="s">
        <v>36</v>
      </c>
      <c r="AA29" t="s">
        <v>36</v>
      </c>
      <c r="AB29" t="s">
        <v>36</v>
      </c>
      <c r="AC29" t="s">
        <v>36</v>
      </c>
      <c r="AD29" t="s">
        <v>36</v>
      </c>
      <c r="AE29" t="s">
        <v>36</v>
      </c>
      <c r="AF29" t="s">
        <v>36</v>
      </c>
      <c r="AG29" t="s">
        <v>36</v>
      </c>
    </row>
    <row r="30" spans="1:33" hidden="1" x14ac:dyDescent="0.2">
      <c r="A30">
        <v>29</v>
      </c>
      <c r="B30" t="s">
        <v>91</v>
      </c>
      <c r="C30" t="s">
        <v>92</v>
      </c>
      <c r="D30">
        <v>28</v>
      </c>
      <c r="E30" t="s">
        <v>34</v>
      </c>
      <c r="F30" t="s">
        <v>35</v>
      </c>
      <c r="G30" t="s">
        <v>36</v>
      </c>
      <c r="H30">
        <v>45536</v>
      </c>
      <c r="I30" t="s">
        <v>36</v>
      </c>
      <c r="J30" t="s">
        <v>36</v>
      </c>
      <c r="K30" t="s">
        <v>36</v>
      </c>
      <c r="L30" t="s">
        <v>36</v>
      </c>
      <c r="M30" t="s">
        <v>36</v>
      </c>
      <c r="N30" t="s">
        <v>36</v>
      </c>
      <c r="O30" t="s">
        <v>36</v>
      </c>
      <c r="P30" t="s">
        <v>37</v>
      </c>
      <c r="Q30" t="s">
        <v>36</v>
      </c>
      <c r="R30" t="s">
        <v>36</v>
      </c>
      <c r="S30" t="s">
        <v>36</v>
      </c>
      <c r="T30" t="s">
        <v>36</v>
      </c>
      <c r="U30" t="s">
        <v>36</v>
      </c>
      <c r="V30" t="s">
        <v>36</v>
      </c>
      <c r="W30" t="s">
        <v>36</v>
      </c>
      <c r="X30" t="s">
        <v>36</v>
      </c>
      <c r="Y30" t="s">
        <v>36</v>
      </c>
      <c r="Z30" t="s">
        <v>36</v>
      </c>
      <c r="AA30" t="s">
        <v>36</v>
      </c>
      <c r="AB30" t="s">
        <v>36</v>
      </c>
      <c r="AC30" t="s">
        <v>36</v>
      </c>
      <c r="AD30" t="s">
        <v>36</v>
      </c>
      <c r="AE30" t="s">
        <v>36</v>
      </c>
      <c r="AF30" t="s">
        <v>36</v>
      </c>
      <c r="AG30" t="s">
        <v>36</v>
      </c>
    </row>
    <row r="31" spans="1:33" hidden="1" x14ac:dyDescent="0.2">
      <c r="A31">
        <v>30</v>
      </c>
      <c r="B31" t="s">
        <v>91</v>
      </c>
      <c r="C31" t="s">
        <v>92</v>
      </c>
      <c r="D31">
        <v>28</v>
      </c>
      <c r="E31" t="s">
        <v>34</v>
      </c>
      <c r="F31" t="s">
        <v>38</v>
      </c>
      <c r="G31" t="s">
        <v>40</v>
      </c>
      <c r="H31">
        <v>29178</v>
      </c>
      <c r="I31">
        <v>0</v>
      </c>
      <c r="J31">
        <v>0</v>
      </c>
      <c r="K31">
        <v>1</v>
      </c>
      <c r="L31">
        <v>0</v>
      </c>
      <c r="M31" t="s">
        <v>36</v>
      </c>
      <c r="N31" t="s">
        <v>36</v>
      </c>
      <c r="O31" t="s">
        <v>36</v>
      </c>
      <c r="P31" t="s">
        <v>37</v>
      </c>
      <c r="Q31" t="s">
        <v>36</v>
      </c>
      <c r="R31" t="s">
        <v>36</v>
      </c>
      <c r="S31" t="s">
        <v>36</v>
      </c>
      <c r="T31" t="s">
        <v>36</v>
      </c>
      <c r="U31" t="s">
        <v>36</v>
      </c>
      <c r="V31" t="s">
        <v>36</v>
      </c>
      <c r="W31" t="s">
        <v>36</v>
      </c>
      <c r="X31" t="s">
        <v>36</v>
      </c>
      <c r="Y31" t="s">
        <v>36</v>
      </c>
      <c r="Z31" t="s">
        <v>36</v>
      </c>
      <c r="AA31" t="s">
        <v>36</v>
      </c>
      <c r="AB31" t="s">
        <v>36</v>
      </c>
      <c r="AC31" t="s">
        <v>36</v>
      </c>
      <c r="AD31" t="s">
        <v>36</v>
      </c>
      <c r="AE31" t="s">
        <v>36</v>
      </c>
      <c r="AF31" t="s">
        <v>36</v>
      </c>
      <c r="AG31" t="s">
        <v>36</v>
      </c>
    </row>
    <row r="32" spans="1:33" hidden="1" x14ac:dyDescent="0.2">
      <c r="A32">
        <v>31</v>
      </c>
      <c r="B32" t="s">
        <v>91</v>
      </c>
      <c r="C32" t="s">
        <v>92</v>
      </c>
      <c r="D32">
        <v>28</v>
      </c>
      <c r="E32" t="s">
        <v>34</v>
      </c>
      <c r="F32" t="s">
        <v>38</v>
      </c>
      <c r="G32" t="s">
        <v>39</v>
      </c>
      <c r="H32">
        <v>9034</v>
      </c>
      <c r="I32">
        <v>0</v>
      </c>
      <c r="J32">
        <v>1</v>
      </c>
      <c r="K32">
        <v>0</v>
      </c>
      <c r="L32">
        <v>0</v>
      </c>
      <c r="M32" t="s">
        <v>36</v>
      </c>
      <c r="N32" t="s">
        <v>36</v>
      </c>
      <c r="O32" t="s">
        <v>36</v>
      </c>
      <c r="P32" t="s">
        <v>37</v>
      </c>
      <c r="Q32" t="s">
        <v>36</v>
      </c>
      <c r="R32" t="s">
        <v>36</v>
      </c>
      <c r="S32" t="s">
        <v>36</v>
      </c>
      <c r="T32" t="s">
        <v>36</v>
      </c>
      <c r="U32" t="s">
        <v>36</v>
      </c>
      <c r="V32" t="s">
        <v>36</v>
      </c>
      <c r="W32" t="s">
        <v>36</v>
      </c>
      <c r="X32" t="s">
        <v>36</v>
      </c>
      <c r="Y32" t="s">
        <v>36</v>
      </c>
      <c r="Z32" t="s">
        <v>36</v>
      </c>
      <c r="AA32" t="s">
        <v>36</v>
      </c>
      <c r="AB32" t="s">
        <v>36</v>
      </c>
      <c r="AC32" t="s">
        <v>36</v>
      </c>
      <c r="AD32" t="s">
        <v>36</v>
      </c>
      <c r="AE32" t="s">
        <v>36</v>
      </c>
      <c r="AF32" t="s">
        <v>36</v>
      </c>
      <c r="AG32" t="s">
        <v>36</v>
      </c>
    </row>
    <row r="33" spans="1:33" hidden="1" x14ac:dyDescent="0.2">
      <c r="A33">
        <v>32</v>
      </c>
      <c r="B33" t="s">
        <v>91</v>
      </c>
      <c r="C33" t="s">
        <v>92</v>
      </c>
      <c r="D33">
        <v>28</v>
      </c>
      <c r="E33" t="s">
        <v>34</v>
      </c>
      <c r="F33" t="s">
        <v>41</v>
      </c>
      <c r="G33" t="s">
        <v>72</v>
      </c>
      <c r="H33">
        <v>17918</v>
      </c>
      <c r="I33">
        <v>0</v>
      </c>
      <c r="J33">
        <v>1</v>
      </c>
      <c r="K33">
        <v>0</v>
      </c>
      <c r="L33">
        <v>0</v>
      </c>
      <c r="M33" t="s">
        <v>75</v>
      </c>
      <c r="N33" t="s">
        <v>73</v>
      </c>
      <c r="O33" t="s">
        <v>93</v>
      </c>
      <c r="P33" t="s">
        <v>37</v>
      </c>
      <c r="Q33" t="s">
        <v>46</v>
      </c>
      <c r="R33" t="s">
        <v>48</v>
      </c>
      <c r="S33" t="s">
        <v>59</v>
      </c>
      <c r="T33">
        <v>0</v>
      </c>
      <c r="U33">
        <v>0</v>
      </c>
      <c r="V33">
        <v>1</v>
      </c>
      <c r="W33">
        <v>0</v>
      </c>
      <c r="X33">
        <v>1</v>
      </c>
      <c r="Y33">
        <v>0</v>
      </c>
      <c r="Z33">
        <v>1</v>
      </c>
      <c r="AA33">
        <v>0</v>
      </c>
      <c r="AB33">
        <v>0</v>
      </c>
      <c r="AC33">
        <v>1</v>
      </c>
      <c r="AD33">
        <v>0</v>
      </c>
      <c r="AE33">
        <v>0</v>
      </c>
      <c r="AF33">
        <v>0</v>
      </c>
      <c r="AG33">
        <v>0</v>
      </c>
    </row>
    <row r="34" spans="1:33" hidden="1" x14ac:dyDescent="0.2">
      <c r="A34">
        <v>33</v>
      </c>
      <c r="B34" t="s">
        <v>91</v>
      </c>
      <c r="C34" t="s">
        <v>92</v>
      </c>
      <c r="D34">
        <v>28</v>
      </c>
      <c r="E34" t="s">
        <v>34</v>
      </c>
      <c r="F34" t="s">
        <v>41</v>
      </c>
      <c r="G34" t="s">
        <v>55</v>
      </c>
      <c r="H34">
        <v>2482</v>
      </c>
      <c r="I34">
        <v>0</v>
      </c>
      <c r="J34">
        <v>1</v>
      </c>
      <c r="K34">
        <v>0</v>
      </c>
      <c r="L34">
        <v>0</v>
      </c>
      <c r="M34" t="s">
        <v>94</v>
      </c>
      <c r="N34" t="s">
        <v>57</v>
      </c>
      <c r="O34" t="s">
        <v>85</v>
      </c>
      <c r="P34" t="s">
        <v>37</v>
      </c>
      <c r="Q34" t="s">
        <v>47</v>
      </c>
      <c r="R34" t="s">
        <v>48</v>
      </c>
      <c r="S34" t="s">
        <v>65</v>
      </c>
      <c r="T34">
        <v>0</v>
      </c>
      <c r="U34">
        <v>1</v>
      </c>
      <c r="V34">
        <v>1</v>
      </c>
      <c r="W34">
        <v>1</v>
      </c>
      <c r="X34">
        <v>0</v>
      </c>
      <c r="Y34">
        <v>0</v>
      </c>
      <c r="Z34">
        <v>1</v>
      </c>
      <c r="AA34">
        <v>0</v>
      </c>
      <c r="AB34">
        <v>0</v>
      </c>
      <c r="AC34">
        <v>1</v>
      </c>
      <c r="AD34">
        <v>0</v>
      </c>
      <c r="AE34">
        <v>0</v>
      </c>
      <c r="AF34">
        <v>0</v>
      </c>
      <c r="AG34">
        <v>0</v>
      </c>
    </row>
    <row r="35" spans="1:33" hidden="1" x14ac:dyDescent="0.2">
      <c r="A35">
        <v>34</v>
      </c>
      <c r="B35" t="s">
        <v>91</v>
      </c>
      <c r="C35" t="s">
        <v>92</v>
      </c>
      <c r="D35">
        <v>28</v>
      </c>
      <c r="E35" t="s">
        <v>34</v>
      </c>
      <c r="F35" t="s">
        <v>53</v>
      </c>
      <c r="G35" t="s">
        <v>66</v>
      </c>
      <c r="H35">
        <v>5128</v>
      </c>
      <c r="I35">
        <v>0</v>
      </c>
      <c r="J35">
        <v>0</v>
      </c>
      <c r="K35">
        <v>1</v>
      </c>
      <c r="L35">
        <v>0</v>
      </c>
      <c r="M35" t="s">
        <v>36</v>
      </c>
      <c r="N35" t="s">
        <v>36</v>
      </c>
      <c r="O35" t="s">
        <v>36</v>
      </c>
      <c r="P35" t="s">
        <v>37</v>
      </c>
      <c r="Q35" t="s">
        <v>36</v>
      </c>
      <c r="R35" t="s">
        <v>36</v>
      </c>
      <c r="S35" t="s">
        <v>36</v>
      </c>
      <c r="T35" t="s">
        <v>36</v>
      </c>
      <c r="U35">
        <v>1</v>
      </c>
      <c r="V35">
        <v>1</v>
      </c>
      <c r="W35">
        <v>1</v>
      </c>
      <c r="X35">
        <v>0</v>
      </c>
      <c r="Y35">
        <v>0</v>
      </c>
      <c r="Z35">
        <v>1</v>
      </c>
      <c r="AA35">
        <v>0</v>
      </c>
      <c r="AB35">
        <v>0</v>
      </c>
      <c r="AC35">
        <v>1</v>
      </c>
      <c r="AD35">
        <v>0</v>
      </c>
      <c r="AE35">
        <v>0</v>
      </c>
      <c r="AF35">
        <v>0</v>
      </c>
      <c r="AG35">
        <v>0</v>
      </c>
    </row>
    <row r="36" spans="1:33" hidden="1" x14ac:dyDescent="0.2">
      <c r="A36">
        <v>35</v>
      </c>
      <c r="B36" t="s">
        <v>91</v>
      </c>
      <c r="C36" t="s">
        <v>92</v>
      </c>
      <c r="D36">
        <v>28</v>
      </c>
      <c r="E36" t="s">
        <v>34</v>
      </c>
      <c r="F36" t="s">
        <v>41</v>
      </c>
      <c r="G36" t="s">
        <v>49</v>
      </c>
      <c r="H36">
        <v>2518</v>
      </c>
      <c r="I36">
        <v>0</v>
      </c>
      <c r="J36">
        <v>1</v>
      </c>
      <c r="K36">
        <v>0</v>
      </c>
      <c r="L36">
        <v>0</v>
      </c>
      <c r="M36" t="s">
        <v>95</v>
      </c>
      <c r="N36" t="s">
        <v>52</v>
      </c>
      <c r="O36" t="s">
        <v>96</v>
      </c>
      <c r="P36" t="s">
        <v>37</v>
      </c>
      <c r="Q36" t="s">
        <v>60</v>
      </c>
      <c r="R36" t="s">
        <v>46</v>
      </c>
      <c r="S36" t="s">
        <v>65</v>
      </c>
      <c r="T36">
        <v>1</v>
      </c>
      <c r="U36">
        <v>1</v>
      </c>
      <c r="V36">
        <v>0</v>
      </c>
      <c r="W36">
        <v>0</v>
      </c>
      <c r="X36">
        <v>1</v>
      </c>
      <c r="Y36">
        <v>0</v>
      </c>
      <c r="Z36">
        <v>1</v>
      </c>
      <c r="AA36">
        <v>0</v>
      </c>
      <c r="AB36">
        <v>0</v>
      </c>
      <c r="AC36">
        <v>0</v>
      </c>
      <c r="AD36">
        <v>0</v>
      </c>
      <c r="AE36">
        <v>1</v>
      </c>
      <c r="AF36">
        <v>0</v>
      </c>
      <c r="AG36">
        <v>0</v>
      </c>
    </row>
    <row r="37" spans="1:33" hidden="1" x14ac:dyDescent="0.2">
      <c r="A37">
        <v>36</v>
      </c>
      <c r="B37" t="s">
        <v>91</v>
      </c>
      <c r="C37" t="s">
        <v>92</v>
      </c>
      <c r="D37">
        <v>28</v>
      </c>
      <c r="E37" t="s">
        <v>34</v>
      </c>
      <c r="F37" t="s">
        <v>41</v>
      </c>
      <c r="G37" t="s">
        <v>61</v>
      </c>
      <c r="H37">
        <v>2536</v>
      </c>
      <c r="I37">
        <v>0</v>
      </c>
      <c r="J37">
        <v>0</v>
      </c>
      <c r="K37">
        <v>1</v>
      </c>
      <c r="L37">
        <v>0</v>
      </c>
      <c r="M37" t="s">
        <v>64</v>
      </c>
      <c r="N37" t="s">
        <v>97</v>
      </c>
      <c r="O37" t="s">
        <v>63</v>
      </c>
      <c r="P37" t="s">
        <v>37</v>
      </c>
      <c r="Q37" t="s">
        <v>48</v>
      </c>
      <c r="R37" t="s">
        <v>59</v>
      </c>
      <c r="S37" t="s">
        <v>46</v>
      </c>
      <c r="T37">
        <v>0</v>
      </c>
      <c r="U37">
        <v>0</v>
      </c>
      <c r="V37">
        <v>1</v>
      </c>
      <c r="W37">
        <v>0</v>
      </c>
      <c r="X37">
        <v>1</v>
      </c>
      <c r="Y37">
        <v>0</v>
      </c>
      <c r="Z37">
        <v>1</v>
      </c>
      <c r="AA37">
        <v>0</v>
      </c>
      <c r="AB37">
        <v>0</v>
      </c>
      <c r="AC37">
        <v>0</v>
      </c>
      <c r="AD37">
        <v>0</v>
      </c>
      <c r="AE37">
        <v>1</v>
      </c>
      <c r="AF37">
        <v>0</v>
      </c>
      <c r="AG37">
        <v>0</v>
      </c>
    </row>
    <row r="38" spans="1:33" hidden="1" x14ac:dyDescent="0.2">
      <c r="A38">
        <v>37</v>
      </c>
      <c r="B38" t="s">
        <v>91</v>
      </c>
      <c r="C38" t="s">
        <v>92</v>
      </c>
      <c r="D38">
        <v>28</v>
      </c>
      <c r="E38" t="s">
        <v>34</v>
      </c>
      <c r="F38" t="s">
        <v>53</v>
      </c>
      <c r="G38" t="s">
        <v>76</v>
      </c>
      <c r="H38">
        <v>4576</v>
      </c>
      <c r="I38">
        <v>0</v>
      </c>
      <c r="J38">
        <v>0</v>
      </c>
      <c r="K38">
        <v>1</v>
      </c>
      <c r="L38">
        <v>0</v>
      </c>
      <c r="M38" t="s">
        <v>36</v>
      </c>
      <c r="N38" t="s">
        <v>36</v>
      </c>
      <c r="O38" t="s">
        <v>36</v>
      </c>
      <c r="P38" t="s">
        <v>37</v>
      </c>
      <c r="Q38" t="s">
        <v>36</v>
      </c>
      <c r="R38" t="s">
        <v>36</v>
      </c>
      <c r="S38" t="s">
        <v>36</v>
      </c>
      <c r="T38" t="s">
        <v>36</v>
      </c>
      <c r="U38">
        <v>0</v>
      </c>
      <c r="V38">
        <v>1</v>
      </c>
      <c r="W38">
        <v>0</v>
      </c>
      <c r="X38">
        <v>1</v>
      </c>
      <c r="Y38">
        <v>0</v>
      </c>
      <c r="Z38">
        <v>1</v>
      </c>
      <c r="AA38">
        <v>0</v>
      </c>
      <c r="AB38">
        <v>0</v>
      </c>
      <c r="AC38">
        <v>0</v>
      </c>
      <c r="AD38">
        <v>0</v>
      </c>
      <c r="AE38">
        <v>1</v>
      </c>
      <c r="AF38">
        <v>0</v>
      </c>
      <c r="AG38">
        <v>0</v>
      </c>
    </row>
    <row r="39" spans="1:33" hidden="1" x14ac:dyDescent="0.2">
      <c r="A39">
        <v>38</v>
      </c>
      <c r="B39" t="s">
        <v>91</v>
      </c>
      <c r="C39" t="s">
        <v>92</v>
      </c>
      <c r="D39">
        <v>28</v>
      </c>
      <c r="E39" t="s">
        <v>34</v>
      </c>
      <c r="F39" t="s">
        <v>41</v>
      </c>
      <c r="G39" t="s">
        <v>67</v>
      </c>
      <c r="H39">
        <v>3846</v>
      </c>
      <c r="I39">
        <v>0</v>
      </c>
      <c r="J39">
        <v>1</v>
      </c>
      <c r="K39">
        <v>0</v>
      </c>
      <c r="L39">
        <v>0</v>
      </c>
      <c r="M39" t="s">
        <v>68</v>
      </c>
      <c r="N39" t="s">
        <v>86</v>
      </c>
      <c r="O39" t="s">
        <v>69</v>
      </c>
      <c r="P39" t="s">
        <v>37</v>
      </c>
      <c r="Q39" t="s">
        <v>65</v>
      </c>
      <c r="R39" t="s">
        <v>46</v>
      </c>
      <c r="S39" t="s">
        <v>48</v>
      </c>
      <c r="T39">
        <v>0</v>
      </c>
      <c r="U39">
        <v>1</v>
      </c>
      <c r="V39">
        <v>1</v>
      </c>
      <c r="W39">
        <v>0</v>
      </c>
      <c r="X39">
        <v>1</v>
      </c>
      <c r="Y39">
        <v>0</v>
      </c>
      <c r="Z39">
        <v>1</v>
      </c>
      <c r="AA39">
        <v>0</v>
      </c>
      <c r="AB39">
        <v>0</v>
      </c>
      <c r="AC39">
        <v>0</v>
      </c>
      <c r="AD39">
        <v>0</v>
      </c>
      <c r="AE39">
        <v>1</v>
      </c>
      <c r="AF39">
        <v>0</v>
      </c>
      <c r="AG39">
        <v>0</v>
      </c>
    </row>
    <row r="40" spans="1:33" hidden="1" x14ac:dyDescent="0.2">
      <c r="A40">
        <v>39</v>
      </c>
      <c r="B40" t="s">
        <v>91</v>
      </c>
      <c r="C40" t="s">
        <v>92</v>
      </c>
      <c r="D40">
        <v>28</v>
      </c>
      <c r="E40" t="s">
        <v>34</v>
      </c>
      <c r="F40" t="s">
        <v>53</v>
      </c>
      <c r="G40" t="s">
        <v>54</v>
      </c>
      <c r="H40">
        <v>2156</v>
      </c>
      <c r="I40">
        <v>0</v>
      </c>
      <c r="J40">
        <v>1</v>
      </c>
      <c r="K40">
        <v>0</v>
      </c>
      <c r="L40">
        <v>0</v>
      </c>
      <c r="M40" t="s">
        <v>36</v>
      </c>
      <c r="N40" t="s">
        <v>36</v>
      </c>
      <c r="O40" t="s">
        <v>36</v>
      </c>
      <c r="P40" t="s">
        <v>37</v>
      </c>
      <c r="Q40" t="s">
        <v>36</v>
      </c>
      <c r="R40" t="s">
        <v>36</v>
      </c>
      <c r="S40" t="s">
        <v>36</v>
      </c>
      <c r="T40" t="s">
        <v>36</v>
      </c>
      <c r="U40">
        <v>1</v>
      </c>
      <c r="V40">
        <v>1</v>
      </c>
      <c r="W40">
        <v>0</v>
      </c>
      <c r="X40">
        <v>1</v>
      </c>
      <c r="Y40">
        <v>0</v>
      </c>
      <c r="Z40">
        <v>1</v>
      </c>
      <c r="AA40">
        <v>0</v>
      </c>
      <c r="AB40">
        <v>0</v>
      </c>
      <c r="AC40">
        <v>0</v>
      </c>
      <c r="AD40">
        <v>0</v>
      </c>
      <c r="AE40">
        <v>1</v>
      </c>
      <c r="AF40">
        <v>0</v>
      </c>
      <c r="AG40">
        <v>0</v>
      </c>
    </row>
    <row r="41" spans="1:33" hidden="1" x14ac:dyDescent="0.2">
      <c r="A41">
        <v>40</v>
      </c>
      <c r="B41" t="s">
        <v>91</v>
      </c>
      <c r="C41" t="s">
        <v>92</v>
      </c>
      <c r="D41">
        <v>28</v>
      </c>
      <c r="E41" t="s">
        <v>34</v>
      </c>
      <c r="F41" t="s">
        <v>41</v>
      </c>
      <c r="G41" t="s">
        <v>42</v>
      </c>
      <c r="H41">
        <v>2582</v>
      </c>
      <c r="I41">
        <v>0</v>
      </c>
      <c r="J41">
        <v>0</v>
      </c>
      <c r="K41">
        <v>1</v>
      </c>
      <c r="L41">
        <v>0</v>
      </c>
      <c r="M41" t="s">
        <v>44</v>
      </c>
      <c r="N41" t="s">
        <v>45</v>
      </c>
      <c r="O41" t="s">
        <v>43</v>
      </c>
      <c r="P41" t="s">
        <v>37</v>
      </c>
      <c r="Q41" t="s">
        <v>47</v>
      </c>
      <c r="R41" t="s">
        <v>48</v>
      </c>
      <c r="S41" t="s">
        <v>46</v>
      </c>
      <c r="T41">
        <v>0</v>
      </c>
      <c r="U41">
        <v>0</v>
      </c>
      <c r="V41">
        <v>1</v>
      </c>
      <c r="W41">
        <v>1</v>
      </c>
      <c r="X41">
        <v>1</v>
      </c>
      <c r="Y41">
        <v>0</v>
      </c>
      <c r="Z41">
        <v>1</v>
      </c>
      <c r="AA41">
        <v>0</v>
      </c>
      <c r="AB41">
        <v>0</v>
      </c>
      <c r="AC41">
        <v>0</v>
      </c>
      <c r="AD41">
        <v>0</v>
      </c>
      <c r="AE41">
        <v>1</v>
      </c>
      <c r="AF41">
        <v>0</v>
      </c>
      <c r="AG41">
        <v>0</v>
      </c>
    </row>
    <row r="42" spans="1:33" hidden="1" x14ac:dyDescent="0.2">
      <c r="A42">
        <v>41</v>
      </c>
      <c r="B42" t="s">
        <v>91</v>
      </c>
      <c r="C42" t="s">
        <v>92</v>
      </c>
      <c r="D42">
        <v>28</v>
      </c>
      <c r="E42" t="s">
        <v>34</v>
      </c>
      <c r="F42" t="s">
        <v>53</v>
      </c>
      <c r="G42" t="s">
        <v>71</v>
      </c>
      <c r="H42">
        <v>2276</v>
      </c>
      <c r="I42">
        <v>0</v>
      </c>
      <c r="J42">
        <v>0</v>
      </c>
      <c r="K42">
        <v>1</v>
      </c>
      <c r="L42">
        <v>0</v>
      </c>
      <c r="M42" t="s">
        <v>36</v>
      </c>
      <c r="N42" t="s">
        <v>36</v>
      </c>
      <c r="O42" t="s">
        <v>36</v>
      </c>
      <c r="P42" t="s">
        <v>37</v>
      </c>
      <c r="Q42" t="s">
        <v>36</v>
      </c>
      <c r="R42" t="s">
        <v>36</v>
      </c>
      <c r="S42" t="s">
        <v>36</v>
      </c>
      <c r="T42" t="s">
        <v>36</v>
      </c>
      <c r="U42">
        <v>0</v>
      </c>
      <c r="V42">
        <v>1</v>
      </c>
      <c r="W42">
        <v>1</v>
      </c>
      <c r="X42">
        <v>1</v>
      </c>
      <c r="Y42">
        <v>0</v>
      </c>
      <c r="Z42">
        <v>1</v>
      </c>
      <c r="AA42">
        <v>0</v>
      </c>
      <c r="AB42">
        <v>0</v>
      </c>
      <c r="AC42">
        <v>0</v>
      </c>
      <c r="AD42">
        <v>0</v>
      </c>
      <c r="AE42">
        <v>1</v>
      </c>
      <c r="AF42">
        <v>0</v>
      </c>
      <c r="AG42">
        <v>0</v>
      </c>
    </row>
    <row r="43" spans="1:33" hidden="1" x14ac:dyDescent="0.2">
      <c r="A43">
        <v>42</v>
      </c>
      <c r="B43" t="s">
        <v>91</v>
      </c>
      <c r="C43" t="s">
        <v>92</v>
      </c>
      <c r="D43">
        <v>28</v>
      </c>
      <c r="E43" t="s">
        <v>34</v>
      </c>
      <c r="F43" t="s">
        <v>77</v>
      </c>
      <c r="G43" t="s">
        <v>36</v>
      </c>
      <c r="H43">
        <v>44370</v>
      </c>
      <c r="I43" t="s">
        <v>98</v>
      </c>
      <c r="J43" t="s">
        <v>99</v>
      </c>
      <c r="K43" t="s">
        <v>100</v>
      </c>
      <c r="L43" t="s">
        <v>36</v>
      </c>
      <c r="M43" t="s">
        <v>36</v>
      </c>
      <c r="N43" t="s">
        <v>36</v>
      </c>
      <c r="O43" t="s">
        <v>36</v>
      </c>
      <c r="P43" t="s">
        <v>37</v>
      </c>
      <c r="Q43" t="s">
        <v>36</v>
      </c>
      <c r="R43" t="s">
        <v>36</v>
      </c>
      <c r="S43" t="s">
        <v>36</v>
      </c>
      <c r="T43" t="s">
        <v>36</v>
      </c>
      <c r="U43" t="s">
        <v>36</v>
      </c>
      <c r="V43" t="s">
        <v>36</v>
      </c>
      <c r="W43" t="s">
        <v>36</v>
      </c>
      <c r="X43" t="s">
        <v>36</v>
      </c>
      <c r="Y43" t="s">
        <v>36</v>
      </c>
      <c r="Z43" t="s">
        <v>36</v>
      </c>
      <c r="AA43" t="s">
        <v>36</v>
      </c>
      <c r="AB43" t="s">
        <v>36</v>
      </c>
      <c r="AC43" t="s">
        <v>36</v>
      </c>
      <c r="AD43" t="s">
        <v>36</v>
      </c>
      <c r="AE43" t="s">
        <v>36</v>
      </c>
      <c r="AF43" t="s">
        <v>36</v>
      </c>
      <c r="AG43" t="s">
        <v>36</v>
      </c>
    </row>
    <row r="44" spans="1:33" hidden="1" x14ac:dyDescent="0.2">
      <c r="A44">
        <v>43</v>
      </c>
      <c r="B44" t="s">
        <v>101</v>
      </c>
      <c r="C44" t="s">
        <v>33</v>
      </c>
      <c r="D44">
        <v>28</v>
      </c>
      <c r="E44" t="s">
        <v>34</v>
      </c>
      <c r="F44" t="s">
        <v>35</v>
      </c>
      <c r="G44" t="s">
        <v>36</v>
      </c>
      <c r="H44">
        <v>55742</v>
      </c>
      <c r="I44" t="s">
        <v>36</v>
      </c>
      <c r="J44" t="s">
        <v>36</v>
      </c>
      <c r="K44" t="s">
        <v>36</v>
      </c>
      <c r="L44" t="s">
        <v>36</v>
      </c>
      <c r="M44" t="s">
        <v>36</v>
      </c>
      <c r="N44" t="s">
        <v>36</v>
      </c>
      <c r="O44" t="s">
        <v>36</v>
      </c>
      <c r="P44" t="s">
        <v>37</v>
      </c>
      <c r="Q44" t="s">
        <v>36</v>
      </c>
      <c r="R44" t="s">
        <v>36</v>
      </c>
      <c r="S44" t="s">
        <v>36</v>
      </c>
      <c r="T44" t="s">
        <v>36</v>
      </c>
      <c r="U44" t="s">
        <v>36</v>
      </c>
      <c r="V44" t="s">
        <v>36</v>
      </c>
      <c r="W44" t="s">
        <v>36</v>
      </c>
      <c r="X44" t="s">
        <v>36</v>
      </c>
      <c r="Y44" t="s">
        <v>36</v>
      </c>
      <c r="Z44" t="s">
        <v>36</v>
      </c>
      <c r="AA44" t="s">
        <v>36</v>
      </c>
      <c r="AB44" t="s">
        <v>36</v>
      </c>
      <c r="AC44" t="s">
        <v>36</v>
      </c>
      <c r="AD44" t="s">
        <v>36</v>
      </c>
      <c r="AE44" t="s">
        <v>36</v>
      </c>
      <c r="AF44" t="s">
        <v>36</v>
      </c>
      <c r="AG44" t="s">
        <v>36</v>
      </c>
    </row>
    <row r="45" spans="1:33" hidden="1" x14ac:dyDescent="0.2">
      <c r="A45">
        <v>44</v>
      </c>
      <c r="B45" t="s">
        <v>101</v>
      </c>
      <c r="C45" t="s">
        <v>33</v>
      </c>
      <c r="D45">
        <v>28</v>
      </c>
      <c r="E45" t="s">
        <v>34</v>
      </c>
      <c r="F45" t="s">
        <v>38</v>
      </c>
      <c r="G45" t="s">
        <v>40</v>
      </c>
      <c r="H45">
        <v>15274</v>
      </c>
      <c r="I45">
        <v>0</v>
      </c>
      <c r="J45">
        <v>1</v>
      </c>
      <c r="K45">
        <v>0</v>
      </c>
      <c r="L45">
        <v>0</v>
      </c>
      <c r="M45" t="s">
        <v>36</v>
      </c>
      <c r="N45" t="s">
        <v>36</v>
      </c>
      <c r="O45" t="s">
        <v>36</v>
      </c>
      <c r="P45" t="s">
        <v>37</v>
      </c>
      <c r="Q45" t="s">
        <v>36</v>
      </c>
      <c r="R45" t="s">
        <v>36</v>
      </c>
      <c r="S45" t="s">
        <v>36</v>
      </c>
      <c r="T45" t="s">
        <v>36</v>
      </c>
      <c r="U45" t="s">
        <v>36</v>
      </c>
      <c r="V45" t="s">
        <v>36</v>
      </c>
      <c r="W45" t="s">
        <v>36</v>
      </c>
      <c r="X45" t="s">
        <v>36</v>
      </c>
      <c r="Y45" t="s">
        <v>36</v>
      </c>
      <c r="Z45" t="s">
        <v>36</v>
      </c>
      <c r="AA45" t="s">
        <v>36</v>
      </c>
      <c r="AB45" t="s">
        <v>36</v>
      </c>
      <c r="AC45" t="s">
        <v>36</v>
      </c>
      <c r="AD45" t="s">
        <v>36</v>
      </c>
      <c r="AE45" t="s">
        <v>36</v>
      </c>
      <c r="AF45" t="s">
        <v>36</v>
      </c>
      <c r="AG45" t="s">
        <v>36</v>
      </c>
    </row>
    <row r="46" spans="1:33" hidden="1" x14ac:dyDescent="0.2">
      <c r="A46">
        <v>45</v>
      </c>
      <c r="B46" t="s">
        <v>101</v>
      </c>
      <c r="C46" t="s">
        <v>33</v>
      </c>
      <c r="D46">
        <v>28</v>
      </c>
      <c r="E46" t="s">
        <v>34</v>
      </c>
      <c r="F46" t="s">
        <v>38</v>
      </c>
      <c r="G46" t="s">
        <v>39</v>
      </c>
      <c r="H46">
        <v>6292</v>
      </c>
      <c r="I46">
        <v>0</v>
      </c>
      <c r="J46">
        <v>1</v>
      </c>
      <c r="K46">
        <v>0</v>
      </c>
      <c r="L46">
        <v>0</v>
      </c>
      <c r="M46" t="s">
        <v>36</v>
      </c>
      <c r="N46" t="s">
        <v>36</v>
      </c>
      <c r="O46" t="s">
        <v>36</v>
      </c>
      <c r="P46" t="s">
        <v>37</v>
      </c>
      <c r="Q46" t="s">
        <v>36</v>
      </c>
      <c r="R46" t="s">
        <v>36</v>
      </c>
      <c r="S46" t="s">
        <v>36</v>
      </c>
      <c r="T46" t="s">
        <v>36</v>
      </c>
      <c r="U46" t="s">
        <v>36</v>
      </c>
      <c r="V46" t="s">
        <v>36</v>
      </c>
      <c r="W46" t="s">
        <v>36</v>
      </c>
      <c r="X46" t="s">
        <v>36</v>
      </c>
      <c r="Y46" t="s">
        <v>36</v>
      </c>
      <c r="Z46" t="s">
        <v>36</v>
      </c>
      <c r="AA46" t="s">
        <v>36</v>
      </c>
      <c r="AB46" t="s">
        <v>36</v>
      </c>
      <c r="AC46" t="s">
        <v>36</v>
      </c>
      <c r="AD46" t="s">
        <v>36</v>
      </c>
      <c r="AE46" t="s">
        <v>36</v>
      </c>
      <c r="AF46" t="s">
        <v>36</v>
      </c>
      <c r="AG46" t="s">
        <v>36</v>
      </c>
    </row>
    <row r="47" spans="1:33" x14ac:dyDescent="0.2">
      <c r="A47">
        <v>46</v>
      </c>
      <c r="B47" t="s">
        <v>101</v>
      </c>
      <c r="C47" t="s">
        <v>33</v>
      </c>
      <c r="D47">
        <v>28</v>
      </c>
      <c r="E47" t="s">
        <v>34</v>
      </c>
      <c r="F47" t="s">
        <v>41</v>
      </c>
      <c r="G47" t="s">
        <v>42</v>
      </c>
      <c r="H47">
        <v>6092</v>
      </c>
      <c r="I47">
        <v>0</v>
      </c>
      <c r="J47">
        <v>0</v>
      </c>
      <c r="K47">
        <v>1</v>
      </c>
      <c r="L47">
        <v>0</v>
      </c>
      <c r="M47" t="s">
        <v>45</v>
      </c>
      <c r="N47" t="s">
        <v>102</v>
      </c>
      <c r="O47" t="s">
        <v>44</v>
      </c>
      <c r="P47" t="s">
        <v>37</v>
      </c>
      <c r="Q47" t="s">
        <v>48</v>
      </c>
      <c r="R47" t="s">
        <v>59</v>
      </c>
      <c r="S47" t="s">
        <v>47</v>
      </c>
      <c r="T47">
        <v>0</v>
      </c>
      <c r="U47">
        <v>0</v>
      </c>
      <c r="V47">
        <v>1</v>
      </c>
      <c r="W47">
        <v>1</v>
      </c>
      <c r="X47">
        <v>0</v>
      </c>
      <c r="Y47">
        <v>0</v>
      </c>
      <c r="Z47">
        <v>1</v>
      </c>
      <c r="AA47">
        <v>0</v>
      </c>
      <c r="AB47">
        <v>0</v>
      </c>
      <c r="AC47">
        <v>0</v>
      </c>
      <c r="AD47">
        <v>1</v>
      </c>
      <c r="AE47">
        <v>0</v>
      </c>
      <c r="AF47">
        <v>0</v>
      </c>
      <c r="AG47">
        <v>0</v>
      </c>
    </row>
    <row r="48" spans="1:33" x14ac:dyDescent="0.2">
      <c r="A48">
        <v>47</v>
      </c>
      <c r="B48" t="s">
        <v>101</v>
      </c>
      <c r="C48" t="s">
        <v>33</v>
      </c>
      <c r="D48">
        <v>28</v>
      </c>
      <c r="E48" t="s">
        <v>34</v>
      </c>
      <c r="F48" t="s">
        <v>41</v>
      </c>
      <c r="G48" t="s">
        <v>67</v>
      </c>
      <c r="H48">
        <v>4060</v>
      </c>
      <c r="I48">
        <v>0</v>
      </c>
      <c r="J48">
        <v>0</v>
      </c>
      <c r="K48">
        <v>1</v>
      </c>
      <c r="L48">
        <v>0</v>
      </c>
      <c r="M48" t="s">
        <v>68</v>
      </c>
      <c r="N48" t="s">
        <v>70</v>
      </c>
      <c r="O48" t="s">
        <v>103</v>
      </c>
      <c r="P48" t="s">
        <v>37</v>
      </c>
      <c r="Q48" t="s">
        <v>65</v>
      </c>
      <c r="R48" t="s">
        <v>47</v>
      </c>
      <c r="S48" t="s">
        <v>60</v>
      </c>
      <c r="T48">
        <v>1</v>
      </c>
      <c r="U48">
        <v>1</v>
      </c>
      <c r="V48">
        <v>0</v>
      </c>
      <c r="W48">
        <v>1</v>
      </c>
      <c r="X48">
        <v>0</v>
      </c>
      <c r="Y48">
        <v>0</v>
      </c>
      <c r="Z48">
        <v>1</v>
      </c>
      <c r="AA48">
        <v>1</v>
      </c>
      <c r="AB48">
        <v>0</v>
      </c>
      <c r="AC48">
        <v>0</v>
      </c>
      <c r="AD48">
        <v>0</v>
      </c>
      <c r="AE48">
        <v>0</v>
      </c>
      <c r="AF48">
        <v>0</v>
      </c>
      <c r="AG48">
        <v>0</v>
      </c>
    </row>
    <row r="49" spans="1:33" hidden="1" x14ac:dyDescent="0.2">
      <c r="A49">
        <v>48</v>
      </c>
      <c r="B49" t="s">
        <v>101</v>
      </c>
      <c r="C49" t="s">
        <v>33</v>
      </c>
      <c r="D49">
        <v>28</v>
      </c>
      <c r="E49" t="s">
        <v>34</v>
      </c>
      <c r="F49" t="s">
        <v>53</v>
      </c>
      <c r="G49" t="s">
        <v>54</v>
      </c>
      <c r="H49">
        <v>3460</v>
      </c>
      <c r="I49">
        <v>0</v>
      </c>
      <c r="J49">
        <v>0</v>
      </c>
      <c r="K49">
        <v>1</v>
      </c>
      <c r="L49">
        <v>0</v>
      </c>
      <c r="M49" t="s">
        <v>36</v>
      </c>
      <c r="N49" t="s">
        <v>36</v>
      </c>
      <c r="O49" t="s">
        <v>36</v>
      </c>
      <c r="P49" t="s">
        <v>37</v>
      </c>
      <c r="Q49" t="s">
        <v>36</v>
      </c>
      <c r="R49" t="s">
        <v>36</v>
      </c>
      <c r="S49" t="s">
        <v>36</v>
      </c>
      <c r="T49" t="s">
        <v>36</v>
      </c>
      <c r="U49">
        <v>1</v>
      </c>
      <c r="V49">
        <v>0</v>
      </c>
      <c r="W49">
        <v>1</v>
      </c>
      <c r="X49">
        <v>0</v>
      </c>
      <c r="Y49">
        <v>0</v>
      </c>
      <c r="Z49">
        <v>1</v>
      </c>
      <c r="AA49">
        <v>1</v>
      </c>
      <c r="AB49">
        <v>0</v>
      </c>
      <c r="AC49">
        <v>0</v>
      </c>
      <c r="AD49">
        <v>0</v>
      </c>
      <c r="AE49">
        <v>0</v>
      </c>
      <c r="AF49">
        <v>0</v>
      </c>
      <c r="AG49">
        <v>0</v>
      </c>
    </row>
    <row r="50" spans="1:33" x14ac:dyDescent="0.2">
      <c r="A50">
        <v>49</v>
      </c>
      <c r="B50" t="s">
        <v>101</v>
      </c>
      <c r="C50" t="s">
        <v>33</v>
      </c>
      <c r="D50">
        <v>28</v>
      </c>
      <c r="E50" t="s">
        <v>34</v>
      </c>
      <c r="F50" t="s">
        <v>41</v>
      </c>
      <c r="G50" t="s">
        <v>49</v>
      </c>
      <c r="H50">
        <v>4448</v>
      </c>
      <c r="I50">
        <v>0</v>
      </c>
      <c r="J50">
        <v>0</v>
      </c>
      <c r="K50">
        <v>1</v>
      </c>
      <c r="L50">
        <v>0</v>
      </c>
      <c r="M50" t="s">
        <v>96</v>
      </c>
      <c r="N50" t="s">
        <v>50</v>
      </c>
      <c r="O50" t="s">
        <v>51</v>
      </c>
      <c r="P50" t="s">
        <v>37</v>
      </c>
      <c r="Q50" t="s">
        <v>65</v>
      </c>
      <c r="R50" t="s">
        <v>48</v>
      </c>
      <c r="S50" t="s">
        <v>47</v>
      </c>
      <c r="T50">
        <v>0</v>
      </c>
      <c r="U50">
        <v>1</v>
      </c>
      <c r="V50">
        <v>1</v>
      </c>
      <c r="W50">
        <v>1</v>
      </c>
      <c r="X50">
        <v>0</v>
      </c>
      <c r="Y50">
        <v>0</v>
      </c>
      <c r="Z50">
        <v>1</v>
      </c>
      <c r="AA50">
        <v>0</v>
      </c>
      <c r="AB50">
        <v>0</v>
      </c>
      <c r="AC50">
        <v>0</v>
      </c>
      <c r="AD50">
        <v>1</v>
      </c>
      <c r="AE50">
        <v>0</v>
      </c>
      <c r="AF50">
        <v>0</v>
      </c>
      <c r="AG50">
        <v>0</v>
      </c>
    </row>
    <row r="51" spans="1:33" x14ac:dyDescent="0.2">
      <c r="A51">
        <v>50</v>
      </c>
      <c r="B51" t="s">
        <v>101</v>
      </c>
      <c r="C51" t="s">
        <v>33</v>
      </c>
      <c r="D51">
        <v>28</v>
      </c>
      <c r="E51" t="s">
        <v>34</v>
      </c>
      <c r="F51" t="s">
        <v>41</v>
      </c>
      <c r="G51" t="s">
        <v>55</v>
      </c>
      <c r="H51">
        <v>4500</v>
      </c>
      <c r="I51">
        <v>0</v>
      </c>
      <c r="J51">
        <v>1</v>
      </c>
      <c r="K51">
        <v>0</v>
      </c>
      <c r="L51">
        <v>0</v>
      </c>
      <c r="M51" t="s">
        <v>57</v>
      </c>
      <c r="N51" t="s">
        <v>56</v>
      </c>
      <c r="O51" t="s">
        <v>84</v>
      </c>
      <c r="P51" t="s">
        <v>37</v>
      </c>
      <c r="Q51" t="s">
        <v>48</v>
      </c>
      <c r="R51" t="s">
        <v>59</v>
      </c>
      <c r="S51" t="s">
        <v>46</v>
      </c>
      <c r="T51">
        <v>0</v>
      </c>
      <c r="U51">
        <v>0</v>
      </c>
      <c r="V51">
        <v>1</v>
      </c>
      <c r="W51">
        <v>0</v>
      </c>
      <c r="X51">
        <v>1</v>
      </c>
      <c r="Y51">
        <v>0</v>
      </c>
      <c r="Z51">
        <v>1</v>
      </c>
      <c r="AA51">
        <v>0</v>
      </c>
      <c r="AB51">
        <v>0</v>
      </c>
      <c r="AC51">
        <v>0</v>
      </c>
      <c r="AD51">
        <v>0</v>
      </c>
      <c r="AE51">
        <v>0</v>
      </c>
      <c r="AF51">
        <v>0</v>
      </c>
      <c r="AG51">
        <v>0</v>
      </c>
    </row>
    <row r="52" spans="1:33" hidden="1" x14ac:dyDescent="0.2">
      <c r="A52">
        <v>51</v>
      </c>
      <c r="B52" t="s">
        <v>101</v>
      </c>
      <c r="C52" t="s">
        <v>33</v>
      </c>
      <c r="D52">
        <v>28</v>
      </c>
      <c r="E52" t="s">
        <v>34</v>
      </c>
      <c r="F52" t="s">
        <v>53</v>
      </c>
      <c r="G52" t="s">
        <v>76</v>
      </c>
      <c r="H52">
        <v>6292</v>
      </c>
      <c r="I52">
        <v>0</v>
      </c>
      <c r="J52">
        <v>1</v>
      </c>
      <c r="K52">
        <v>0</v>
      </c>
      <c r="L52">
        <v>0</v>
      </c>
      <c r="M52" t="s">
        <v>36</v>
      </c>
      <c r="N52" t="s">
        <v>36</v>
      </c>
      <c r="O52" t="s">
        <v>36</v>
      </c>
      <c r="P52" t="s">
        <v>37</v>
      </c>
      <c r="Q52" t="s">
        <v>36</v>
      </c>
      <c r="R52" t="s">
        <v>36</v>
      </c>
      <c r="S52" t="s">
        <v>36</v>
      </c>
      <c r="T52" t="s">
        <v>36</v>
      </c>
      <c r="U52">
        <v>0</v>
      </c>
      <c r="V52">
        <v>1</v>
      </c>
      <c r="W52">
        <v>0</v>
      </c>
      <c r="X52">
        <v>1</v>
      </c>
      <c r="Y52">
        <v>0</v>
      </c>
      <c r="Z52">
        <v>1</v>
      </c>
      <c r="AA52">
        <v>0</v>
      </c>
      <c r="AB52">
        <v>0</v>
      </c>
      <c r="AC52">
        <v>0</v>
      </c>
      <c r="AD52">
        <v>0</v>
      </c>
      <c r="AE52">
        <v>0</v>
      </c>
      <c r="AF52">
        <v>0</v>
      </c>
      <c r="AG52">
        <v>0</v>
      </c>
    </row>
    <row r="53" spans="1:33" x14ac:dyDescent="0.2">
      <c r="A53">
        <v>52</v>
      </c>
      <c r="B53" t="s">
        <v>101</v>
      </c>
      <c r="C53" t="s">
        <v>33</v>
      </c>
      <c r="D53">
        <v>28</v>
      </c>
      <c r="E53" t="s">
        <v>34</v>
      </c>
      <c r="F53" t="s">
        <v>41</v>
      </c>
      <c r="G53" t="s">
        <v>61</v>
      </c>
      <c r="H53">
        <v>3896</v>
      </c>
      <c r="I53">
        <v>0</v>
      </c>
      <c r="J53">
        <v>0</v>
      </c>
      <c r="K53">
        <v>0</v>
      </c>
      <c r="L53">
        <v>1</v>
      </c>
      <c r="M53" t="s">
        <v>97</v>
      </c>
      <c r="N53" t="s">
        <v>87</v>
      </c>
      <c r="O53" t="s">
        <v>63</v>
      </c>
      <c r="P53" t="s">
        <v>37</v>
      </c>
      <c r="Q53" t="s">
        <v>59</v>
      </c>
      <c r="R53" t="s">
        <v>47</v>
      </c>
      <c r="S53" t="s">
        <v>46</v>
      </c>
      <c r="T53">
        <v>0</v>
      </c>
      <c r="U53">
        <v>0</v>
      </c>
      <c r="V53">
        <v>0</v>
      </c>
      <c r="W53">
        <v>1</v>
      </c>
      <c r="X53">
        <v>1</v>
      </c>
      <c r="Y53">
        <v>0</v>
      </c>
      <c r="Z53">
        <v>1</v>
      </c>
      <c r="AA53">
        <v>0</v>
      </c>
      <c r="AB53">
        <v>0</v>
      </c>
      <c r="AC53">
        <v>0</v>
      </c>
      <c r="AD53">
        <v>0</v>
      </c>
      <c r="AE53">
        <v>0</v>
      </c>
      <c r="AF53">
        <v>0</v>
      </c>
      <c r="AG53">
        <v>1</v>
      </c>
    </row>
    <row r="54" spans="1:33" hidden="1" x14ac:dyDescent="0.2">
      <c r="A54">
        <v>53</v>
      </c>
      <c r="B54" t="s">
        <v>101</v>
      </c>
      <c r="C54" t="s">
        <v>33</v>
      </c>
      <c r="D54">
        <v>28</v>
      </c>
      <c r="E54" t="s">
        <v>34</v>
      </c>
      <c r="F54" t="s">
        <v>53</v>
      </c>
      <c r="G54" t="s">
        <v>71</v>
      </c>
      <c r="H54">
        <v>2450</v>
      </c>
      <c r="I54">
        <v>0</v>
      </c>
      <c r="J54">
        <v>1</v>
      </c>
      <c r="K54">
        <v>0</v>
      </c>
      <c r="L54">
        <v>0</v>
      </c>
      <c r="M54" t="s">
        <v>36</v>
      </c>
      <c r="N54" t="s">
        <v>36</v>
      </c>
      <c r="O54" t="s">
        <v>36</v>
      </c>
      <c r="P54" t="s">
        <v>37</v>
      </c>
      <c r="Q54" t="s">
        <v>36</v>
      </c>
      <c r="R54" t="s">
        <v>36</v>
      </c>
      <c r="S54" t="s">
        <v>36</v>
      </c>
      <c r="T54" t="s">
        <v>36</v>
      </c>
      <c r="U54">
        <v>0</v>
      </c>
      <c r="V54">
        <v>0</v>
      </c>
      <c r="W54">
        <v>1</v>
      </c>
      <c r="X54">
        <v>1</v>
      </c>
      <c r="Y54">
        <v>0</v>
      </c>
      <c r="Z54">
        <v>1</v>
      </c>
      <c r="AA54">
        <v>0</v>
      </c>
      <c r="AB54">
        <v>0</v>
      </c>
      <c r="AC54">
        <v>0</v>
      </c>
      <c r="AD54">
        <v>0</v>
      </c>
      <c r="AE54">
        <v>0</v>
      </c>
      <c r="AF54">
        <v>0</v>
      </c>
      <c r="AG54">
        <v>1</v>
      </c>
    </row>
    <row r="55" spans="1:33" x14ac:dyDescent="0.2">
      <c r="A55">
        <v>54</v>
      </c>
      <c r="B55" t="s">
        <v>101</v>
      </c>
      <c r="C55" t="s">
        <v>33</v>
      </c>
      <c r="D55">
        <v>28</v>
      </c>
      <c r="E55" t="s">
        <v>34</v>
      </c>
      <c r="F55" t="s">
        <v>41</v>
      </c>
      <c r="G55" t="s">
        <v>72</v>
      </c>
      <c r="H55">
        <v>3294</v>
      </c>
      <c r="I55">
        <v>0</v>
      </c>
      <c r="J55">
        <v>0</v>
      </c>
      <c r="K55">
        <v>1</v>
      </c>
      <c r="L55">
        <v>0</v>
      </c>
      <c r="M55" t="s">
        <v>104</v>
      </c>
      <c r="N55" t="s">
        <v>93</v>
      </c>
      <c r="O55" t="s">
        <v>73</v>
      </c>
      <c r="P55" t="s">
        <v>37</v>
      </c>
      <c r="Q55" t="s">
        <v>60</v>
      </c>
      <c r="R55" t="s">
        <v>59</v>
      </c>
      <c r="S55" t="s">
        <v>48</v>
      </c>
      <c r="T55">
        <v>1</v>
      </c>
      <c r="U55">
        <v>0</v>
      </c>
      <c r="V55">
        <v>1</v>
      </c>
      <c r="W55">
        <v>0</v>
      </c>
      <c r="X55">
        <v>0</v>
      </c>
      <c r="Y55">
        <v>0</v>
      </c>
      <c r="Z55">
        <v>1</v>
      </c>
      <c r="AA55">
        <v>0</v>
      </c>
      <c r="AB55">
        <v>0</v>
      </c>
      <c r="AC55">
        <v>1</v>
      </c>
      <c r="AD55">
        <v>0</v>
      </c>
      <c r="AE55">
        <v>0</v>
      </c>
      <c r="AF55">
        <v>0</v>
      </c>
      <c r="AG55">
        <v>0</v>
      </c>
    </row>
    <row r="56" spans="1:33" hidden="1" x14ac:dyDescent="0.2">
      <c r="A56">
        <v>55</v>
      </c>
      <c r="B56" t="s">
        <v>101</v>
      </c>
      <c r="C56" t="s">
        <v>33</v>
      </c>
      <c r="D56">
        <v>28</v>
      </c>
      <c r="E56" t="s">
        <v>34</v>
      </c>
      <c r="F56" t="s">
        <v>53</v>
      </c>
      <c r="G56" t="s">
        <v>66</v>
      </c>
      <c r="H56">
        <v>2278</v>
      </c>
      <c r="I56">
        <v>0</v>
      </c>
      <c r="J56">
        <v>0</v>
      </c>
      <c r="K56">
        <v>0</v>
      </c>
      <c r="L56">
        <v>1</v>
      </c>
      <c r="M56" t="s">
        <v>36</v>
      </c>
      <c r="N56" t="s">
        <v>36</v>
      </c>
      <c r="O56" t="s">
        <v>36</v>
      </c>
      <c r="P56" t="s">
        <v>37</v>
      </c>
      <c r="Q56" t="s">
        <v>36</v>
      </c>
      <c r="R56" t="s">
        <v>36</v>
      </c>
      <c r="S56" t="s">
        <v>36</v>
      </c>
      <c r="T56" t="s">
        <v>36</v>
      </c>
      <c r="U56">
        <v>0</v>
      </c>
      <c r="V56">
        <v>1</v>
      </c>
      <c r="W56">
        <v>0</v>
      </c>
      <c r="X56">
        <v>0</v>
      </c>
      <c r="Y56">
        <v>0</v>
      </c>
      <c r="Z56">
        <v>1</v>
      </c>
      <c r="AA56">
        <v>0</v>
      </c>
      <c r="AB56">
        <v>0</v>
      </c>
      <c r="AC56">
        <v>1</v>
      </c>
      <c r="AD56">
        <v>0</v>
      </c>
      <c r="AE56">
        <v>0</v>
      </c>
      <c r="AF56">
        <v>0</v>
      </c>
      <c r="AG56">
        <v>0</v>
      </c>
    </row>
    <row r="57" spans="1:33" hidden="1" x14ac:dyDescent="0.2">
      <c r="A57">
        <v>56</v>
      </c>
      <c r="B57" t="s">
        <v>101</v>
      </c>
      <c r="C57" t="s">
        <v>33</v>
      </c>
      <c r="D57">
        <v>28</v>
      </c>
      <c r="E57" t="s">
        <v>34</v>
      </c>
      <c r="F57" t="s">
        <v>77</v>
      </c>
      <c r="G57" t="s">
        <v>36</v>
      </c>
      <c r="H57">
        <v>65062</v>
      </c>
      <c r="I57" t="s">
        <v>105</v>
      </c>
      <c r="J57" t="s">
        <v>106</v>
      </c>
      <c r="L57" t="s">
        <v>36</v>
      </c>
      <c r="M57" t="s">
        <v>36</v>
      </c>
      <c r="N57" t="s">
        <v>36</v>
      </c>
      <c r="O57" t="s">
        <v>36</v>
      </c>
      <c r="P57" t="s">
        <v>37</v>
      </c>
      <c r="Q57" t="s">
        <v>36</v>
      </c>
      <c r="R57" t="s">
        <v>36</v>
      </c>
      <c r="S57" t="s">
        <v>36</v>
      </c>
      <c r="T57" t="s">
        <v>36</v>
      </c>
      <c r="U57" t="s">
        <v>36</v>
      </c>
      <c r="V57" t="s">
        <v>36</v>
      </c>
      <c r="W57" t="s">
        <v>36</v>
      </c>
      <c r="X57" t="s">
        <v>36</v>
      </c>
      <c r="Y57" t="s">
        <v>36</v>
      </c>
      <c r="Z57" t="s">
        <v>36</v>
      </c>
      <c r="AA57" t="s">
        <v>36</v>
      </c>
      <c r="AB57" t="s">
        <v>36</v>
      </c>
      <c r="AC57" t="s">
        <v>36</v>
      </c>
      <c r="AD57" t="s">
        <v>36</v>
      </c>
      <c r="AE57" t="s">
        <v>36</v>
      </c>
      <c r="AF57" t="s">
        <v>36</v>
      </c>
      <c r="AG57" t="s">
        <v>36</v>
      </c>
    </row>
    <row r="58" spans="1:33" hidden="1" x14ac:dyDescent="0.2">
      <c r="A58">
        <v>57</v>
      </c>
      <c r="B58" t="s">
        <v>107</v>
      </c>
      <c r="C58" t="s">
        <v>108</v>
      </c>
      <c r="D58">
        <v>28</v>
      </c>
      <c r="E58" t="s">
        <v>34</v>
      </c>
      <c r="F58" t="s">
        <v>35</v>
      </c>
      <c r="G58" t="s">
        <v>36</v>
      </c>
      <c r="H58">
        <v>17697</v>
      </c>
      <c r="I58" t="s">
        <v>36</v>
      </c>
      <c r="J58" t="s">
        <v>36</v>
      </c>
      <c r="K58" t="s">
        <v>36</v>
      </c>
      <c r="L58" t="s">
        <v>36</v>
      </c>
      <c r="M58" t="s">
        <v>36</v>
      </c>
      <c r="N58" t="s">
        <v>36</v>
      </c>
      <c r="O58" t="s">
        <v>36</v>
      </c>
      <c r="P58" t="s">
        <v>37</v>
      </c>
      <c r="Q58" t="s">
        <v>36</v>
      </c>
      <c r="R58" t="s">
        <v>36</v>
      </c>
      <c r="S58" t="s">
        <v>36</v>
      </c>
      <c r="T58" t="s">
        <v>36</v>
      </c>
      <c r="U58" t="s">
        <v>36</v>
      </c>
      <c r="V58" t="s">
        <v>36</v>
      </c>
      <c r="W58" t="s">
        <v>36</v>
      </c>
      <c r="X58" t="s">
        <v>36</v>
      </c>
      <c r="Y58" t="s">
        <v>36</v>
      </c>
      <c r="Z58" t="s">
        <v>36</v>
      </c>
      <c r="AA58" t="s">
        <v>36</v>
      </c>
      <c r="AB58" t="s">
        <v>36</v>
      </c>
      <c r="AC58" t="s">
        <v>36</v>
      </c>
      <c r="AD58" t="s">
        <v>36</v>
      </c>
      <c r="AE58" t="s">
        <v>36</v>
      </c>
      <c r="AF58" t="s">
        <v>36</v>
      </c>
      <c r="AG58" t="s">
        <v>36</v>
      </c>
    </row>
    <row r="59" spans="1:33" hidden="1" x14ac:dyDescent="0.2">
      <c r="A59">
        <v>58</v>
      </c>
      <c r="B59" t="s">
        <v>107</v>
      </c>
      <c r="C59" t="s">
        <v>108</v>
      </c>
      <c r="D59">
        <v>28</v>
      </c>
      <c r="E59" t="s">
        <v>34</v>
      </c>
      <c r="F59" t="s">
        <v>38</v>
      </c>
      <c r="G59" t="s">
        <v>40</v>
      </c>
      <c r="H59">
        <v>18924</v>
      </c>
      <c r="I59">
        <v>0</v>
      </c>
      <c r="J59">
        <v>0</v>
      </c>
      <c r="K59">
        <v>1</v>
      </c>
      <c r="L59">
        <v>0</v>
      </c>
      <c r="M59" t="s">
        <v>36</v>
      </c>
      <c r="N59" t="s">
        <v>36</v>
      </c>
      <c r="O59" t="s">
        <v>36</v>
      </c>
      <c r="P59" t="s">
        <v>37</v>
      </c>
      <c r="Q59" t="s">
        <v>36</v>
      </c>
      <c r="R59" t="s">
        <v>36</v>
      </c>
      <c r="S59" t="s">
        <v>36</v>
      </c>
      <c r="T59" t="s">
        <v>36</v>
      </c>
      <c r="U59" t="s">
        <v>36</v>
      </c>
      <c r="V59" t="s">
        <v>36</v>
      </c>
      <c r="W59" t="s">
        <v>36</v>
      </c>
      <c r="X59" t="s">
        <v>36</v>
      </c>
      <c r="Y59" t="s">
        <v>36</v>
      </c>
      <c r="Z59" t="s">
        <v>36</v>
      </c>
      <c r="AA59" t="s">
        <v>36</v>
      </c>
      <c r="AB59" t="s">
        <v>36</v>
      </c>
      <c r="AC59" t="s">
        <v>36</v>
      </c>
      <c r="AD59" t="s">
        <v>36</v>
      </c>
      <c r="AE59" t="s">
        <v>36</v>
      </c>
      <c r="AF59" t="s">
        <v>36</v>
      </c>
      <c r="AG59" t="s">
        <v>36</v>
      </c>
    </row>
    <row r="60" spans="1:33" hidden="1" x14ac:dyDescent="0.2">
      <c r="A60">
        <v>59</v>
      </c>
      <c r="B60" t="s">
        <v>107</v>
      </c>
      <c r="C60" t="s">
        <v>108</v>
      </c>
      <c r="D60">
        <v>28</v>
      </c>
      <c r="E60" t="s">
        <v>34</v>
      </c>
      <c r="F60" t="s">
        <v>38</v>
      </c>
      <c r="G60" t="s">
        <v>39</v>
      </c>
      <c r="H60">
        <v>18554</v>
      </c>
      <c r="I60">
        <v>0</v>
      </c>
      <c r="J60">
        <v>0</v>
      </c>
      <c r="K60">
        <v>0</v>
      </c>
      <c r="L60">
        <v>1</v>
      </c>
      <c r="M60" t="s">
        <v>36</v>
      </c>
      <c r="N60" t="s">
        <v>36</v>
      </c>
      <c r="O60" t="s">
        <v>36</v>
      </c>
      <c r="P60" t="s">
        <v>37</v>
      </c>
      <c r="Q60" t="s">
        <v>36</v>
      </c>
      <c r="R60" t="s">
        <v>36</v>
      </c>
      <c r="S60" t="s">
        <v>36</v>
      </c>
      <c r="T60" t="s">
        <v>36</v>
      </c>
      <c r="U60" t="s">
        <v>36</v>
      </c>
      <c r="V60" t="s">
        <v>36</v>
      </c>
      <c r="W60" t="s">
        <v>36</v>
      </c>
      <c r="X60" t="s">
        <v>36</v>
      </c>
      <c r="Y60" t="s">
        <v>36</v>
      </c>
      <c r="Z60" t="s">
        <v>36</v>
      </c>
      <c r="AA60" t="s">
        <v>36</v>
      </c>
      <c r="AB60" t="s">
        <v>36</v>
      </c>
      <c r="AC60" t="s">
        <v>36</v>
      </c>
      <c r="AD60" t="s">
        <v>36</v>
      </c>
      <c r="AE60" t="s">
        <v>36</v>
      </c>
      <c r="AF60" t="s">
        <v>36</v>
      </c>
      <c r="AG60" t="s">
        <v>36</v>
      </c>
    </row>
    <row r="61" spans="1:33" x14ac:dyDescent="0.2">
      <c r="A61">
        <v>60</v>
      </c>
      <c r="B61" t="s">
        <v>107</v>
      </c>
      <c r="C61" t="s">
        <v>108</v>
      </c>
      <c r="D61">
        <v>28</v>
      </c>
      <c r="E61" t="s">
        <v>34</v>
      </c>
      <c r="F61" t="s">
        <v>41</v>
      </c>
      <c r="G61" t="s">
        <v>55</v>
      </c>
      <c r="H61">
        <v>45810</v>
      </c>
      <c r="I61">
        <v>0</v>
      </c>
      <c r="J61">
        <v>0</v>
      </c>
      <c r="K61">
        <v>0</v>
      </c>
      <c r="L61">
        <v>1</v>
      </c>
      <c r="M61" t="s">
        <v>58</v>
      </c>
      <c r="N61" t="s">
        <v>94</v>
      </c>
      <c r="O61" t="s">
        <v>57</v>
      </c>
      <c r="P61" t="s">
        <v>37</v>
      </c>
      <c r="Q61" t="s">
        <v>60</v>
      </c>
      <c r="R61" t="s">
        <v>47</v>
      </c>
      <c r="S61" t="s">
        <v>48</v>
      </c>
      <c r="T61">
        <v>1</v>
      </c>
      <c r="U61">
        <v>0</v>
      </c>
      <c r="V61">
        <v>1</v>
      </c>
      <c r="W61">
        <v>1</v>
      </c>
      <c r="X61">
        <v>0</v>
      </c>
      <c r="Y61">
        <v>0</v>
      </c>
      <c r="Z61">
        <v>1</v>
      </c>
      <c r="AA61">
        <v>0</v>
      </c>
      <c r="AB61">
        <v>0</v>
      </c>
      <c r="AC61">
        <v>0</v>
      </c>
      <c r="AD61">
        <v>0</v>
      </c>
      <c r="AE61">
        <v>0</v>
      </c>
      <c r="AF61">
        <v>0</v>
      </c>
      <c r="AG61">
        <v>1</v>
      </c>
    </row>
    <row r="62" spans="1:33" x14ac:dyDescent="0.2">
      <c r="A62">
        <v>61</v>
      </c>
      <c r="B62" t="s">
        <v>107</v>
      </c>
      <c r="C62" t="s">
        <v>108</v>
      </c>
      <c r="D62">
        <v>28</v>
      </c>
      <c r="E62" t="s">
        <v>34</v>
      </c>
      <c r="F62" t="s">
        <v>41</v>
      </c>
      <c r="G62" t="s">
        <v>49</v>
      </c>
      <c r="H62">
        <v>25469</v>
      </c>
      <c r="I62">
        <v>0</v>
      </c>
      <c r="J62">
        <v>1</v>
      </c>
      <c r="K62">
        <v>1</v>
      </c>
      <c r="L62">
        <v>0</v>
      </c>
      <c r="M62" t="s">
        <v>52</v>
      </c>
      <c r="N62" t="s">
        <v>96</v>
      </c>
      <c r="O62" t="s">
        <v>95</v>
      </c>
      <c r="P62" t="s">
        <v>37</v>
      </c>
      <c r="Q62" t="s">
        <v>46</v>
      </c>
      <c r="R62" t="s">
        <v>65</v>
      </c>
      <c r="S62" t="s">
        <v>60</v>
      </c>
      <c r="T62">
        <v>1</v>
      </c>
      <c r="U62">
        <v>1</v>
      </c>
      <c r="V62">
        <v>0</v>
      </c>
      <c r="W62">
        <v>0</v>
      </c>
      <c r="X62">
        <v>1</v>
      </c>
      <c r="Y62">
        <v>0</v>
      </c>
      <c r="Z62">
        <v>1</v>
      </c>
      <c r="AA62">
        <v>1</v>
      </c>
      <c r="AB62">
        <v>1</v>
      </c>
      <c r="AC62">
        <v>0</v>
      </c>
      <c r="AD62">
        <v>0</v>
      </c>
      <c r="AE62">
        <v>0</v>
      </c>
      <c r="AF62">
        <v>0</v>
      </c>
      <c r="AG62">
        <v>0</v>
      </c>
    </row>
    <row r="63" spans="1:33" hidden="1" x14ac:dyDescent="0.2">
      <c r="A63">
        <v>62</v>
      </c>
      <c r="B63" t="s">
        <v>107</v>
      </c>
      <c r="C63" t="s">
        <v>108</v>
      </c>
      <c r="D63">
        <v>28</v>
      </c>
      <c r="E63" t="s">
        <v>34</v>
      </c>
      <c r="F63" t="s">
        <v>53</v>
      </c>
      <c r="G63" t="s">
        <v>76</v>
      </c>
      <c r="H63">
        <v>12217</v>
      </c>
      <c r="I63">
        <v>1</v>
      </c>
      <c r="J63">
        <v>0</v>
      </c>
      <c r="K63">
        <v>0</v>
      </c>
      <c r="L63">
        <v>0</v>
      </c>
      <c r="M63" t="s">
        <v>36</v>
      </c>
      <c r="N63" t="s">
        <v>36</v>
      </c>
      <c r="O63" t="s">
        <v>36</v>
      </c>
      <c r="P63" t="s">
        <v>37</v>
      </c>
      <c r="Q63" t="s">
        <v>36</v>
      </c>
      <c r="R63" t="s">
        <v>36</v>
      </c>
      <c r="S63" t="s">
        <v>36</v>
      </c>
      <c r="T63" t="s">
        <v>36</v>
      </c>
      <c r="U63">
        <v>1</v>
      </c>
      <c r="V63">
        <v>0</v>
      </c>
      <c r="W63">
        <v>0</v>
      </c>
      <c r="X63">
        <v>1</v>
      </c>
      <c r="Y63">
        <v>0</v>
      </c>
      <c r="Z63">
        <v>1</v>
      </c>
      <c r="AA63">
        <v>1</v>
      </c>
      <c r="AB63">
        <v>1</v>
      </c>
      <c r="AC63">
        <v>0</v>
      </c>
      <c r="AD63">
        <v>0</v>
      </c>
      <c r="AE63">
        <v>0</v>
      </c>
      <c r="AF63">
        <v>0</v>
      </c>
      <c r="AG63">
        <v>0</v>
      </c>
    </row>
    <row r="64" spans="1:33" x14ac:dyDescent="0.2">
      <c r="A64">
        <v>63</v>
      </c>
      <c r="B64" t="s">
        <v>107</v>
      </c>
      <c r="C64" t="s">
        <v>108</v>
      </c>
      <c r="D64">
        <v>28</v>
      </c>
      <c r="E64" t="s">
        <v>34</v>
      </c>
      <c r="F64" t="s">
        <v>41</v>
      </c>
      <c r="G64" t="s">
        <v>67</v>
      </c>
      <c r="H64">
        <v>11232</v>
      </c>
      <c r="I64">
        <v>1</v>
      </c>
      <c r="J64">
        <v>0</v>
      </c>
      <c r="K64">
        <v>1</v>
      </c>
      <c r="L64">
        <v>0</v>
      </c>
      <c r="M64" t="s">
        <v>68</v>
      </c>
      <c r="N64" t="s">
        <v>109</v>
      </c>
      <c r="O64" t="s">
        <v>70</v>
      </c>
      <c r="P64" t="s">
        <v>37</v>
      </c>
      <c r="Q64" t="s">
        <v>65</v>
      </c>
      <c r="R64" t="s">
        <v>59</v>
      </c>
      <c r="S64" t="s">
        <v>47</v>
      </c>
      <c r="T64">
        <v>0</v>
      </c>
      <c r="U64">
        <v>1</v>
      </c>
      <c r="V64">
        <v>0</v>
      </c>
      <c r="W64">
        <v>1</v>
      </c>
      <c r="X64">
        <v>0</v>
      </c>
      <c r="Y64">
        <v>0</v>
      </c>
      <c r="Z64">
        <v>1</v>
      </c>
      <c r="AA64">
        <v>0</v>
      </c>
      <c r="AB64">
        <v>1</v>
      </c>
      <c r="AC64">
        <v>0</v>
      </c>
      <c r="AD64">
        <v>1</v>
      </c>
      <c r="AE64">
        <v>0</v>
      </c>
      <c r="AF64">
        <v>0</v>
      </c>
      <c r="AG64">
        <v>0</v>
      </c>
    </row>
    <row r="65" spans="1:33" x14ac:dyDescent="0.2">
      <c r="A65">
        <v>64</v>
      </c>
      <c r="B65" t="s">
        <v>107</v>
      </c>
      <c r="C65" t="s">
        <v>108</v>
      </c>
      <c r="D65">
        <v>28</v>
      </c>
      <c r="E65" t="s">
        <v>34</v>
      </c>
      <c r="F65" t="s">
        <v>41</v>
      </c>
      <c r="G65" t="s">
        <v>42</v>
      </c>
      <c r="H65">
        <v>9523</v>
      </c>
      <c r="I65">
        <v>1</v>
      </c>
      <c r="J65">
        <v>0</v>
      </c>
      <c r="K65">
        <v>0</v>
      </c>
      <c r="L65">
        <v>0</v>
      </c>
      <c r="M65" t="s">
        <v>44</v>
      </c>
      <c r="N65" t="s">
        <v>43</v>
      </c>
      <c r="O65" t="s">
        <v>45</v>
      </c>
      <c r="P65" t="s">
        <v>37</v>
      </c>
      <c r="Q65" t="s">
        <v>47</v>
      </c>
      <c r="R65" t="s">
        <v>46</v>
      </c>
      <c r="S65" t="s">
        <v>48</v>
      </c>
      <c r="T65">
        <v>0</v>
      </c>
      <c r="U65">
        <v>0</v>
      </c>
      <c r="V65">
        <v>1</v>
      </c>
      <c r="W65">
        <v>1</v>
      </c>
      <c r="X65">
        <v>1</v>
      </c>
      <c r="Y65">
        <v>0</v>
      </c>
      <c r="Z65">
        <v>1</v>
      </c>
      <c r="AA65">
        <v>0</v>
      </c>
      <c r="AB65">
        <v>0</v>
      </c>
      <c r="AC65">
        <v>0</v>
      </c>
      <c r="AD65">
        <v>1</v>
      </c>
      <c r="AE65">
        <v>0</v>
      </c>
      <c r="AF65">
        <v>0</v>
      </c>
      <c r="AG65">
        <v>0</v>
      </c>
    </row>
    <row r="66" spans="1:33" hidden="1" x14ac:dyDescent="0.2">
      <c r="A66">
        <v>65</v>
      </c>
      <c r="B66" t="s">
        <v>107</v>
      </c>
      <c r="C66" t="s">
        <v>108</v>
      </c>
      <c r="D66">
        <v>28</v>
      </c>
      <c r="E66" t="s">
        <v>34</v>
      </c>
      <c r="F66" t="s">
        <v>53</v>
      </c>
      <c r="G66" t="s">
        <v>54</v>
      </c>
      <c r="H66">
        <v>21280</v>
      </c>
      <c r="I66">
        <v>0</v>
      </c>
      <c r="J66">
        <v>1</v>
      </c>
      <c r="K66">
        <v>1</v>
      </c>
      <c r="L66">
        <v>0</v>
      </c>
      <c r="M66" t="s">
        <v>36</v>
      </c>
      <c r="N66" t="s">
        <v>36</v>
      </c>
      <c r="O66" t="s">
        <v>36</v>
      </c>
      <c r="P66" t="s">
        <v>37</v>
      </c>
      <c r="Q66" t="s">
        <v>36</v>
      </c>
      <c r="R66" t="s">
        <v>36</v>
      </c>
      <c r="S66" t="s">
        <v>36</v>
      </c>
      <c r="T66" t="s">
        <v>36</v>
      </c>
      <c r="U66">
        <v>0</v>
      </c>
      <c r="V66">
        <v>1</v>
      </c>
      <c r="W66">
        <v>1</v>
      </c>
      <c r="X66">
        <v>1</v>
      </c>
      <c r="Y66">
        <v>0</v>
      </c>
      <c r="Z66">
        <v>1</v>
      </c>
      <c r="AA66">
        <v>0</v>
      </c>
      <c r="AB66">
        <v>0</v>
      </c>
      <c r="AC66">
        <v>0</v>
      </c>
      <c r="AD66">
        <v>1</v>
      </c>
      <c r="AE66">
        <v>0</v>
      </c>
      <c r="AF66">
        <v>0</v>
      </c>
      <c r="AG66">
        <v>0</v>
      </c>
    </row>
    <row r="67" spans="1:33" x14ac:dyDescent="0.2">
      <c r="A67">
        <v>66</v>
      </c>
      <c r="B67" t="s">
        <v>107</v>
      </c>
      <c r="C67" t="s">
        <v>108</v>
      </c>
      <c r="D67">
        <v>28</v>
      </c>
      <c r="E67" t="s">
        <v>34</v>
      </c>
      <c r="F67" t="s">
        <v>41</v>
      </c>
      <c r="G67" t="s">
        <v>72</v>
      </c>
      <c r="H67">
        <v>11403</v>
      </c>
      <c r="I67">
        <v>0</v>
      </c>
      <c r="J67">
        <v>0</v>
      </c>
      <c r="K67">
        <v>0</v>
      </c>
      <c r="L67">
        <v>1</v>
      </c>
      <c r="M67" t="s">
        <v>104</v>
      </c>
      <c r="N67" t="s">
        <v>73</v>
      </c>
      <c r="O67" t="s">
        <v>75</v>
      </c>
      <c r="P67" t="s">
        <v>37</v>
      </c>
      <c r="Q67" t="s">
        <v>60</v>
      </c>
      <c r="R67" t="s">
        <v>48</v>
      </c>
      <c r="S67" t="s">
        <v>46</v>
      </c>
      <c r="T67">
        <v>1</v>
      </c>
      <c r="U67">
        <v>0</v>
      </c>
      <c r="V67">
        <v>1</v>
      </c>
      <c r="W67">
        <v>0</v>
      </c>
      <c r="X67">
        <v>1</v>
      </c>
      <c r="Y67">
        <v>0</v>
      </c>
      <c r="Z67">
        <v>1</v>
      </c>
      <c r="AA67">
        <v>0</v>
      </c>
      <c r="AB67">
        <v>0</v>
      </c>
      <c r="AC67">
        <v>0</v>
      </c>
      <c r="AD67">
        <v>0</v>
      </c>
      <c r="AE67">
        <v>0</v>
      </c>
      <c r="AF67">
        <v>0</v>
      </c>
      <c r="AG67">
        <v>1</v>
      </c>
    </row>
    <row r="68" spans="1:33" hidden="1" x14ac:dyDescent="0.2">
      <c r="A68">
        <v>67</v>
      </c>
      <c r="B68" t="s">
        <v>107</v>
      </c>
      <c r="C68" t="s">
        <v>108</v>
      </c>
      <c r="D68">
        <v>28</v>
      </c>
      <c r="E68" t="s">
        <v>34</v>
      </c>
      <c r="F68" t="s">
        <v>53</v>
      </c>
      <c r="G68" t="s">
        <v>71</v>
      </c>
      <c r="H68">
        <v>21071</v>
      </c>
      <c r="I68">
        <v>0</v>
      </c>
      <c r="J68">
        <v>0</v>
      </c>
      <c r="K68">
        <v>1</v>
      </c>
      <c r="L68">
        <v>0</v>
      </c>
      <c r="M68" t="s">
        <v>36</v>
      </c>
      <c r="N68" t="s">
        <v>36</v>
      </c>
      <c r="O68" t="s">
        <v>36</v>
      </c>
      <c r="P68" t="s">
        <v>37</v>
      </c>
      <c r="Q68" t="s">
        <v>36</v>
      </c>
      <c r="R68" t="s">
        <v>36</v>
      </c>
      <c r="S68" t="s">
        <v>36</v>
      </c>
      <c r="T68" t="s">
        <v>36</v>
      </c>
      <c r="U68">
        <v>0</v>
      </c>
      <c r="V68">
        <v>1</v>
      </c>
      <c r="W68">
        <v>0</v>
      </c>
      <c r="X68">
        <v>1</v>
      </c>
      <c r="Y68">
        <v>0</v>
      </c>
      <c r="Z68">
        <v>1</v>
      </c>
      <c r="AA68">
        <v>0</v>
      </c>
      <c r="AB68">
        <v>0</v>
      </c>
      <c r="AC68">
        <v>0</v>
      </c>
      <c r="AD68">
        <v>0</v>
      </c>
      <c r="AE68">
        <v>0</v>
      </c>
      <c r="AF68">
        <v>0</v>
      </c>
      <c r="AG68">
        <v>1</v>
      </c>
    </row>
    <row r="69" spans="1:33" x14ac:dyDescent="0.2">
      <c r="A69">
        <v>68</v>
      </c>
      <c r="B69" t="s">
        <v>107</v>
      </c>
      <c r="C69" t="s">
        <v>108</v>
      </c>
      <c r="D69">
        <v>28</v>
      </c>
      <c r="E69" t="s">
        <v>34</v>
      </c>
      <c r="F69" t="s">
        <v>41</v>
      </c>
      <c r="G69" t="s">
        <v>61</v>
      </c>
      <c r="H69">
        <v>7119</v>
      </c>
      <c r="I69">
        <v>1</v>
      </c>
      <c r="J69">
        <v>0</v>
      </c>
      <c r="K69">
        <v>0</v>
      </c>
      <c r="L69">
        <v>0</v>
      </c>
      <c r="M69" t="s">
        <v>62</v>
      </c>
      <c r="N69" t="s">
        <v>87</v>
      </c>
      <c r="O69" t="s">
        <v>63</v>
      </c>
      <c r="P69" t="s">
        <v>37</v>
      </c>
      <c r="Q69" t="s">
        <v>65</v>
      </c>
      <c r="R69" t="s">
        <v>47</v>
      </c>
      <c r="S69" t="s">
        <v>46</v>
      </c>
      <c r="T69">
        <v>0</v>
      </c>
      <c r="U69">
        <v>1</v>
      </c>
      <c r="V69">
        <v>0</v>
      </c>
      <c r="W69">
        <v>1</v>
      </c>
      <c r="X69">
        <v>1</v>
      </c>
      <c r="Y69">
        <v>0</v>
      </c>
      <c r="Z69">
        <v>1</v>
      </c>
      <c r="AA69">
        <v>0</v>
      </c>
      <c r="AB69">
        <v>1</v>
      </c>
      <c r="AC69">
        <v>0</v>
      </c>
      <c r="AD69">
        <v>0</v>
      </c>
      <c r="AE69">
        <v>0</v>
      </c>
      <c r="AF69">
        <v>0</v>
      </c>
      <c r="AG69">
        <v>0</v>
      </c>
    </row>
    <row r="70" spans="1:33" hidden="1" x14ac:dyDescent="0.2">
      <c r="A70">
        <v>69</v>
      </c>
      <c r="B70" t="s">
        <v>107</v>
      </c>
      <c r="C70" t="s">
        <v>108</v>
      </c>
      <c r="D70">
        <v>28</v>
      </c>
      <c r="E70" t="s">
        <v>34</v>
      </c>
      <c r="F70" t="s">
        <v>53</v>
      </c>
      <c r="G70" t="s">
        <v>66</v>
      </c>
      <c r="H70">
        <v>13465</v>
      </c>
      <c r="I70">
        <v>1</v>
      </c>
      <c r="J70">
        <v>0</v>
      </c>
      <c r="K70">
        <v>0</v>
      </c>
      <c r="L70">
        <v>0</v>
      </c>
      <c r="M70" t="s">
        <v>36</v>
      </c>
      <c r="N70" t="s">
        <v>36</v>
      </c>
      <c r="O70" t="s">
        <v>36</v>
      </c>
      <c r="P70" t="s">
        <v>37</v>
      </c>
      <c r="Q70" t="s">
        <v>36</v>
      </c>
      <c r="R70" t="s">
        <v>36</v>
      </c>
      <c r="S70" t="s">
        <v>36</v>
      </c>
      <c r="T70" t="s">
        <v>36</v>
      </c>
      <c r="U70">
        <v>1</v>
      </c>
      <c r="V70">
        <v>0</v>
      </c>
      <c r="W70">
        <v>1</v>
      </c>
      <c r="X70">
        <v>1</v>
      </c>
      <c r="Y70">
        <v>0</v>
      </c>
      <c r="Z70">
        <v>1</v>
      </c>
      <c r="AA70">
        <v>0</v>
      </c>
      <c r="AB70">
        <v>1</v>
      </c>
      <c r="AC70">
        <v>0</v>
      </c>
      <c r="AD70">
        <v>0</v>
      </c>
      <c r="AE70">
        <v>0</v>
      </c>
      <c r="AF70">
        <v>0</v>
      </c>
      <c r="AG70">
        <v>0</v>
      </c>
    </row>
    <row r="71" spans="1:33" hidden="1" x14ac:dyDescent="0.2">
      <c r="A71">
        <v>70</v>
      </c>
      <c r="B71" t="s">
        <v>107</v>
      </c>
      <c r="C71" t="s">
        <v>108</v>
      </c>
      <c r="D71">
        <v>28</v>
      </c>
      <c r="E71" t="s">
        <v>34</v>
      </c>
      <c r="F71" t="s">
        <v>77</v>
      </c>
      <c r="G71" t="s">
        <v>36</v>
      </c>
      <c r="H71">
        <v>40274</v>
      </c>
      <c r="I71" t="s">
        <v>110</v>
      </c>
      <c r="J71" t="s">
        <v>111</v>
      </c>
      <c r="K71" t="s">
        <v>112</v>
      </c>
      <c r="L71" t="s">
        <v>36</v>
      </c>
      <c r="M71" t="s">
        <v>36</v>
      </c>
      <c r="N71" t="s">
        <v>36</v>
      </c>
      <c r="O71" t="s">
        <v>36</v>
      </c>
      <c r="P71" t="s">
        <v>37</v>
      </c>
      <c r="Q71" t="s">
        <v>36</v>
      </c>
      <c r="R71" t="s">
        <v>36</v>
      </c>
      <c r="S71" t="s">
        <v>36</v>
      </c>
      <c r="T71" t="s">
        <v>36</v>
      </c>
      <c r="U71" t="s">
        <v>36</v>
      </c>
      <c r="V71" t="s">
        <v>36</v>
      </c>
      <c r="W71" t="s">
        <v>36</v>
      </c>
      <c r="X71" t="s">
        <v>36</v>
      </c>
      <c r="Y71" t="s">
        <v>36</v>
      </c>
      <c r="Z71" t="s">
        <v>36</v>
      </c>
      <c r="AA71" t="s">
        <v>36</v>
      </c>
      <c r="AB71" t="s">
        <v>36</v>
      </c>
      <c r="AC71" t="s">
        <v>36</v>
      </c>
      <c r="AD71" t="s">
        <v>36</v>
      </c>
      <c r="AE71" t="s">
        <v>36</v>
      </c>
      <c r="AF71" t="s">
        <v>36</v>
      </c>
      <c r="AG71" t="s">
        <v>36</v>
      </c>
    </row>
    <row r="72" spans="1:33" hidden="1" x14ac:dyDescent="0.2">
      <c r="A72">
        <v>71</v>
      </c>
      <c r="B72" t="s">
        <v>113</v>
      </c>
      <c r="C72" t="s">
        <v>108</v>
      </c>
      <c r="D72">
        <v>25</v>
      </c>
      <c r="E72" t="s">
        <v>114</v>
      </c>
      <c r="F72" t="s">
        <v>35</v>
      </c>
      <c r="G72" t="s">
        <v>36</v>
      </c>
      <c r="H72">
        <v>17161</v>
      </c>
      <c r="I72" t="s">
        <v>36</v>
      </c>
      <c r="J72" t="s">
        <v>36</v>
      </c>
      <c r="K72" t="s">
        <v>36</v>
      </c>
      <c r="L72" t="s">
        <v>36</v>
      </c>
      <c r="M72" t="s">
        <v>36</v>
      </c>
      <c r="N72" t="s">
        <v>36</v>
      </c>
      <c r="O72" t="s">
        <v>36</v>
      </c>
      <c r="P72" t="s">
        <v>37</v>
      </c>
      <c r="Q72" t="s">
        <v>36</v>
      </c>
      <c r="R72" t="s">
        <v>36</v>
      </c>
      <c r="S72" t="s">
        <v>36</v>
      </c>
      <c r="T72" t="s">
        <v>36</v>
      </c>
      <c r="U72" t="s">
        <v>36</v>
      </c>
      <c r="V72" t="s">
        <v>36</v>
      </c>
      <c r="W72" t="s">
        <v>36</v>
      </c>
      <c r="X72" t="s">
        <v>36</v>
      </c>
      <c r="Y72" t="s">
        <v>36</v>
      </c>
      <c r="Z72" t="s">
        <v>36</v>
      </c>
      <c r="AA72" t="s">
        <v>36</v>
      </c>
      <c r="AB72" t="s">
        <v>36</v>
      </c>
      <c r="AC72" t="s">
        <v>36</v>
      </c>
      <c r="AD72" t="s">
        <v>36</v>
      </c>
      <c r="AE72" t="s">
        <v>36</v>
      </c>
      <c r="AF72" t="s">
        <v>36</v>
      </c>
      <c r="AG72" t="s">
        <v>36</v>
      </c>
    </row>
    <row r="73" spans="1:33" hidden="1" x14ac:dyDescent="0.2">
      <c r="A73">
        <v>72</v>
      </c>
      <c r="B73" t="s">
        <v>113</v>
      </c>
      <c r="C73" t="s">
        <v>108</v>
      </c>
      <c r="D73">
        <v>25</v>
      </c>
      <c r="E73" t="s">
        <v>114</v>
      </c>
      <c r="F73" t="s">
        <v>38</v>
      </c>
      <c r="G73" t="s">
        <v>40</v>
      </c>
      <c r="H73">
        <v>33717</v>
      </c>
      <c r="I73">
        <v>0</v>
      </c>
      <c r="J73">
        <v>1</v>
      </c>
      <c r="K73">
        <v>1</v>
      </c>
      <c r="L73">
        <v>0</v>
      </c>
      <c r="M73" t="s">
        <v>36</v>
      </c>
      <c r="N73" t="s">
        <v>36</v>
      </c>
      <c r="O73" t="s">
        <v>36</v>
      </c>
      <c r="P73" t="s">
        <v>37</v>
      </c>
      <c r="Q73" t="s">
        <v>36</v>
      </c>
      <c r="R73" t="s">
        <v>36</v>
      </c>
      <c r="S73" t="s">
        <v>36</v>
      </c>
      <c r="T73" t="s">
        <v>36</v>
      </c>
      <c r="U73" t="s">
        <v>36</v>
      </c>
      <c r="V73" t="s">
        <v>36</v>
      </c>
      <c r="W73" t="s">
        <v>36</v>
      </c>
      <c r="X73" t="s">
        <v>36</v>
      </c>
      <c r="Y73" t="s">
        <v>36</v>
      </c>
      <c r="Z73" t="s">
        <v>36</v>
      </c>
      <c r="AA73" t="s">
        <v>36</v>
      </c>
      <c r="AB73" t="s">
        <v>36</v>
      </c>
      <c r="AC73" t="s">
        <v>36</v>
      </c>
      <c r="AD73" t="s">
        <v>36</v>
      </c>
      <c r="AE73" t="s">
        <v>36</v>
      </c>
      <c r="AF73" t="s">
        <v>36</v>
      </c>
      <c r="AG73" t="s">
        <v>36</v>
      </c>
    </row>
    <row r="74" spans="1:33" hidden="1" x14ac:dyDescent="0.2">
      <c r="A74">
        <v>73</v>
      </c>
      <c r="B74" t="s">
        <v>113</v>
      </c>
      <c r="C74" t="s">
        <v>108</v>
      </c>
      <c r="D74">
        <v>25</v>
      </c>
      <c r="E74" t="s">
        <v>114</v>
      </c>
      <c r="F74" t="s">
        <v>38</v>
      </c>
      <c r="G74" t="s">
        <v>39</v>
      </c>
      <c r="H74">
        <v>15820</v>
      </c>
      <c r="I74">
        <v>0</v>
      </c>
      <c r="J74">
        <v>0</v>
      </c>
      <c r="K74">
        <v>0</v>
      </c>
      <c r="L74">
        <v>1</v>
      </c>
      <c r="M74" t="s">
        <v>36</v>
      </c>
      <c r="N74" t="s">
        <v>36</v>
      </c>
      <c r="O74" t="s">
        <v>36</v>
      </c>
      <c r="P74" t="s">
        <v>37</v>
      </c>
      <c r="Q74" t="s">
        <v>36</v>
      </c>
      <c r="R74" t="s">
        <v>36</v>
      </c>
      <c r="S74" t="s">
        <v>36</v>
      </c>
      <c r="T74" t="s">
        <v>36</v>
      </c>
      <c r="U74" t="s">
        <v>36</v>
      </c>
      <c r="V74" t="s">
        <v>36</v>
      </c>
      <c r="W74" t="s">
        <v>36</v>
      </c>
      <c r="X74" t="s">
        <v>36</v>
      </c>
      <c r="Y74" t="s">
        <v>36</v>
      </c>
      <c r="Z74" t="s">
        <v>36</v>
      </c>
      <c r="AA74" t="s">
        <v>36</v>
      </c>
      <c r="AB74" t="s">
        <v>36</v>
      </c>
      <c r="AC74" t="s">
        <v>36</v>
      </c>
      <c r="AD74" t="s">
        <v>36</v>
      </c>
      <c r="AE74" t="s">
        <v>36</v>
      </c>
      <c r="AF74" t="s">
        <v>36</v>
      </c>
      <c r="AG74" t="s">
        <v>36</v>
      </c>
    </row>
    <row r="75" spans="1:33" x14ac:dyDescent="0.2">
      <c r="A75">
        <v>74</v>
      </c>
      <c r="B75" t="s">
        <v>113</v>
      </c>
      <c r="C75" t="s">
        <v>108</v>
      </c>
      <c r="D75">
        <v>25</v>
      </c>
      <c r="E75" t="s">
        <v>114</v>
      </c>
      <c r="F75" t="s">
        <v>41</v>
      </c>
      <c r="G75" t="s">
        <v>49</v>
      </c>
      <c r="H75">
        <v>27190</v>
      </c>
      <c r="I75">
        <v>0</v>
      </c>
      <c r="J75">
        <v>0</v>
      </c>
      <c r="K75">
        <v>0</v>
      </c>
      <c r="L75">
        <v>1</v>
      </c>
      <c r="M75" t="s">
        <v>52</v>
      </c>
      <c r="N75" t="s">
        <v>96</v>
      </c>
      <c r="O75" t="s">
        <v>51</v>
      </c>
      <c r="P75" t="s">
        <v>37</v>
      </c>
      <c r="Q75" t="s">
        <v>46</v>
      </c>
      <c r="R75" t="s">
        <v>65</v>
      </c>
      <c r="S75" t="s">
        <v>47</v>
      </c>
      <c r="T75">
        <v>0</v>
      </c>
      <c r="U75">
        <v>1</v>
      </c>
      <c r="V75">
        <v>0</v>
      </c>
      <c r="W75">
        <v>1</v>
      </c>
      <c r="X75">
        <v>1</v>
      </c>
      <c r="Y75">
        <v>0</v>
      </c>
      <c r="Z75">
        <v>1</v>
      </c>
      <c r="AA75">
        <v>0</v>
      </c>
      <c r="AB75">
        <v>0</v>
      </c>
      <c r="AC75">
        <v>0</v>
      </c>
      <c r="AD75">
        <v>0</v>
      </c>
      <c r="AE75">
        <v>0</v>
      </c>
      <c r="AF75">
        <v>0</v>
      </c>
      <c r="AG75">
        <v>1</v>
      </c>
    </row>
    <row r="76" spans="1:33" x14ac:dyDescent="0.2">
      <c r="A76">
        <v>75</v>
      </c>
      <c r="B76" t="s">
        <v>113</v>
      </c>
      <c r="C76" t="s">
        <v>108</v>
      </c>
      <c r="D76">
        <v>25</v>
      </c>
      <c r="E76" t="s">
        <v>114</v>
      </c>
      <c r="F76" t="s">
        <v>41</v>
      </c>
      <c r="G76" t="s">
        <v>55</v>
      </c>
      <c r="H76">
        <v>11376</v>
      </c>
      <c r="I76">
        <v>0</v>
      </c>
      <c r="J76">
        <v>0</v>
      </c>
      <c r="K76">
        <v>0</v>
      </c>
      <c r="L76">
        <v>1</v>
      </c>
      <c r="M76" t="s">
        <v>85</v>
      </c>
      <c r="N76" t="s">
        <v>57</v>
      </c>
      <c r="O76" t="s">
        <v>84</v>
      </c>
      <c r="P76" t="s">
        <v>37</v>
      </c>
      <c r="Q76" t="s">
        <v>65</v>
      </c>
      <c r="R76" t="s">
        <v>48</v>
      </c>
      <c r="S76" t="s">
        <v>46</v>
      </c>
      <c r="T76">
        <v>0</v>
      </c>
      <c r="U76">
        <v>1</v>
      </c>
      <c r="V76">
        <v>1</v>
      </c>
      <c r="W76">
        <v>0</v>
      </c>
      <c r="X76">
        <v>1</v>
      </c>
      <c r="Y76">
        <v>0</v>
      </c>
      <c r="Z76">
        <v>1</v>
      </c>
      <c r="AA76">
        <v>0</v>
      </c>
      <c r="AB76">
        <v>0</v>
      </c>
      <c r="AC76">
        <v>0</v>
      </c>
      <c r="AD76">
        <v>0</v>
      </c>
      <c r="AE76">
        <v>0</v>
      </c>
      <c r="AF76">
        <v>0</v>
      </c>
      <c r="AG76">
        <v>1</v>
      </c>
    </row>
    <row r="77" spans="1:33" hidden="1" x14ac:dyDescent="0.2">
      <c r="A77">
        <v>76</v>
      </c>
      <c r="B77" t="s">
        <v>113</v>
      </c>
      <c r="C77" t="s">
        <v>108</v>
      </c>
      <c r="D77">
        <v>25</v>
      </c>
      <c r="E77" t="s">
        <v>114</v>
      </c>
      <c r="F77" t="s">
        <v>53</v>
      </c>
      <c r="G77" t="s">
        <v>66</v>
      </c>
      <c r="H77">
        <v>12138</v>
      </c>
      <c r="I77">
        <v>1</v>
      </c>
      <c r="J77">
        <v>0</v>
      </c>
      <c r="K77">
        <v>0</v>
      </c>
      <c r="L77">
        <v>0</v>
      </c>
      <c r="M77" t="s">
        <v>36</v>
      </c>
      <c r="N77" t="s">
        <v>36</v>
      </c>
      <c r="O77" t="s">
        <v>36</v>
      </c>
      <c r="P77" t="s">
        <v>37</v>
      </c>
      <c r="Q77" t="s">
        <v>36</v>
      </c>
      <c r="R77" t="s">
        <v>36</v>
      </c>
      <c r="S77" t="s">
        <v>36</v>
      </c>
      <c r="T77" t="s">
        <v>36</v>
      </c>
      <c r="U77">
        <v>1</v>
      </c>
      <c r="V77">
        <v>1</v>
      </c>
      <c r="W77">
        <v>0</v>
      </c>
      <c r="X77">
        <v>1</v>
      </c>
      <c r="Y77">
        <v>0</v>
      </c>
      <c r="Z77">
        <v>1</v>
      </c>
      <c r="AA77">
        <v>0</v>
      </c>
      <c r="AB77">
        <v>0</v>
      </c>
      <c r="AC77">
        <v>0</v>
      </c>
      <c r="AD77">
        <v>0</v>
      </c>
      <c r="AE77">
        <v>0</v>
      </c>
      <c r="AF77">
        <v>0</v>
      </c>
      <c r="AG77">
        <v>1</v>
      </c>
    </row>
    <row r="78" spans="1:33" x14ac:dyDescent="0.2">
      <c r="A78">
        <v>77</v>
      </c>
      <c r="B78" t="s">
        <v>113</v>
      </c>
      <c r="C78" t="s">
        <v>108</v>
      </c>
      <c r="D78">
        <v>25</v>
      </c>
      <c r="E78" t="s">
        <v>114</v>
      </c>
      <c r="F78" t="s">
        <v>41</v>
      </c>
      <c r="G78" t="s">
        <v>61</v>
      </c>
      <c r="H78">
        <v>18504</v>
      </c>
      <c r="I78">
        <v>0</v>
      </c>
      <c r="J78">
        <v>1</v>
      </c>
      <c r="K78">
        <v>0</v>
      </c>
      <c r="L78">
        <v>0</v>
      </c>
      <c r="M78" t="s">
        <v>87</v>
      </c>
      <c r="N78" t="s">
        <v>62</v>
      </c>
      <c r="O78" t="s">
        <v>63</v>
      </c>
      <c r="P78" t="s">
        <v>37</v>
      </c>
      <c r="Q78" t="s">
        <v>47</v>
      </c>
      <c r="R78" t="s">
        <v>65</v>
      </c>
      <c r="S78" t="s">
        <v>46</v>
      </c>
      <c r="T78">
        <v>0</v>
      </c>
      <c r="U78">
        <v>1</v>
      </c>
      <c r="V78">
        <v>0</v>
      </c>
      <c r="W78">
        <v>1</v>
      </c>
      <c r="X78">
        <v>1</v>
      </c>
      <c r="Y78">
        <v>0</v>
      </c>
      <c r="Z78">
        <v>1</v>
      </c>
      <c r="AA78">
        <v>0</v>
      </c>
      <c r="AB78">
        <v>1</v>
      </c>
      <c r="AC78">
        <v>0</v>
      </c>
      <c r="AD78">
        <v>0</v>
      </c>
      <c r="AE78">
        <v>0</v>
      </c>
      <c r="AF78">
        <v>0</v>
      </c>
      <c r="AG78">
        <v>0</v>
      </c>
    </row>
    <row r="79" spans="1:33" hidden="1" x14ac:dyDescent="0.2">
      <c r="A79">
        <v>78</v>
      </c>
      <c r="B79" t="s">
        <v>113</v>
      </c>
      <c r="C79" t="s">
        <v>108</v>
      </c>
      <c r="D79">
        <v>25</v>
      </c>
      <c r="E79" t="s">
        <v>114</v>
      </c>
      <c r="F79" t="s">
        <v>53</v>
      </c>
      <c r="G79" t="s">
        <v>54</v>
      </c>
      <c r="H79">
        <v>9420</v>
      </c>
      <c r="I79">
        <v>0</v>
      </c>
      <c r="J79">
        <v>0</v>
      </c>
      <c r="K79">
        <v>1</v>
      </c>
      <c r="L79">
        <v>0</v>
      </c>
      <c r="M79" t="s">
        <v>36</v>
      </c>
      <c r="N79" t="s">
        <v>36</v>
      </c>
      <c r="O79" t="s">
        <v>36</v>
      </c>
      <c r="P79" t="s">
        <v>37</v>
      </c>
      <c r="Q79" t="s">
        <v>36</v>
      </c>
      <c r="R79" t="s">
        <v>36</v>
      </c>
      <c r="S79" t="s">
        <v>36</v>
      </c>
      <c r="T79" t="s">
        <v>36</v>
      </c>
      <c r="U79">
        <v>1</v>
      </c>
      <c r="V79">
        <v>0</v>
      </c>
      <c r="W79">
        <v>1</v>
      </c>
      <c r="X79">
        <v>1</v>
      </c>
      <c r="Y79">
        <v>0</v>
      </c>
      <c r="Z79">
        <v>1</v>
      </c>
      <c r="AA79">
        <v>0</v>
      </c>
      <c r="AB79">
        <v>1</v>
      </c>
      <c r="AC79">
        <v>0</v>
      </c>
      <c r="AD79">
        <v>0</v>
      </c>
      <c r="AE79">
        <v>0</v>
      </c>
      <c r="AF79">
        <v>0</v>
      </c>
      <c r="AG79">
        <v>0</v>
      </c>
    </row>
    <row r="80" spans="1:33" x14ac:dyDescent="0.2">
      <c r="A80">
        <v>79</v>
      </c>
      <c r="B80" t="s">
        <v>113</v>
      </c>
      <c r="C80" t="s">
        <v>108</v>
      </c>
      <c r="D80">
        <v>25</v>
      </c>
      <c r="E80" t="s">
        <v>114</v>
      </c>
      <c r="F80" t="s">
        <v>41</v>
      </c>
      <c r="G80" t="s">
        <v>72</v>
      </c>
      <c r="H80">
        <v>11161</v>
      </c>
      <c r="I80">
        <v>0</v>
      </c>
      <c r="J80">
        <v>0</v>
      </c>
      <c r="K80">
        <v>0</v>
      </c>
      <c r="L80">
        <v>1</v>
      </c>
      <c r="M80" t="s">
        <v>73</v>
      </c>
      <c r="N80" t="s">
        <v>74</v>
      </c>
      <c r="O80" t="s">
        <v>115</v>
      </c>
      <c r="P80" t="s">
        <v>37</v>
      </c>
      <c r="Q80" t="s">
        <v>48</v>
      </c>
      <c r="R80" t="s">
        <v>47</v>
      </c>
      <c r="S80" t="s">
        <v>65</v>
      </c>
      <c r="T80">
        <v>0</v>
      </c>
      <c r="U80">
        <v>1</v>
      </c>
      <c r="V80">
        <v>1</v>
      </c>
      <c r="W80">
        <v>1</v>
      </c>
      <c r="X80">
        <v>0</v>
      </c>
      <c r="Y80">
        <v>0</v>
      </c>
      <c r="Z80">
        <v>1</v>
      </c>
      <c r="AA80">
        <v>0</v>
      </c>
      <c r="AB80">
        <v>0</v>
      </c>
      <c r="AC80">
        <v>0</v>
      </c>
      <c r="AD80">
        <v>0</v>
      </c>
      <c r="AE80">
        <v>0</v>
      </c>
      <c r="AF80">
        <v>0</v>
      </c>
      <c r="AG80">
        <v>1</v>
      </c>
    </row>
    <row r="81" spans="1:33" x14ac:dyDescent="0.2">
      <c r="A81">
        <v>80</v>
      </c>
      <c r="B81" t="s">
        <v>113</v>
      </c>
      <c r="C81" t="s">
        <v>108</v>
      </c>
      <c r="D81">
        <v>25</v>
      </c>
      <c r="E81" t="s">
        <v>114</v>
      </c>
      <c r="F81" t="s">
        <v>41</v>
      </c>
      <c r="G81" t="s">
        <v>42</v>
      </c>
      <c r="H81">
        <v>9361</v>
      </c>
      <c r="I81">
        <v>0</v>
      </c>
      <c r="J81">
        <v>0</v>
      </c>
      <c r="K81">
        <v>0</v>
      </c>
      <c r="L81">
        <v>1</v>
      </c>
      <c r="M81" t="s">
        <v>45</v>
      </c>
      <c r="N81" t="s">
        <v>82</v>
      </c>
      <c r="O81" t="s">
        <v>116</v>
      </c>
      <c r="P81" t="s">
        <v>37</v>
      </c>
      <c r="Q81" t="s">
        <v>48</v>
      </c>
      <c r="R81" t="s">
        <v>65</v>
      </c>
      <c r="S81" t="s">
        <v>60</v>
      </c>
      <c r="T81">
        <v>1</v>
      </c>
      <c r="U81">
        <v>1</v>
      </c>
      <c r="V81">
        <v>1</v>
      </c>
      <c r="W81">
        <v>0</v>
      </c>
      <c r="X81">
        <v>0</v>
      </c>
      <c r="Y81">
        <v>0</v>
      </c>
      <c r="Z81">
        <v>1</v>
      </c>
      <c r="AA81">
        <v>0</v>
      </c>
      <c r="AB81">
        <v>0</v>
      </c>
      <c r="AC81">
        <v>0</v>
      </c>
      <c r="AD81">
        <v>0</v>
      </c>
      <c r="AE81">
        <v>0</v>
      </c>
      <c r="AF81">
        <v>0</v>
      </c>
      <c r="AG81">
        <v>1</v>
      </c>
    </row>
    <row r="82" spans="1:33" hidden="1" x14ac:dyDescent="0.2">
      <c r="A82">
        <v>81</v>
      </c>
      <c r="B82" t="s">
        <v>113</v>
      </c>
      <c r="C82" t="s">
        <v>108</v>
      </c>
      <c r="D82">
        <v>25</v>
      </c>
      <c r="E82" t="s">
        <v>114</v>
      </c>
      <c r="F82" t="s">
        <v>53</v>
      </c>
      <c r="G82" t="s">
        <v>76</v>
      </c>
      <c r="H82">
        <v>6952</v>
      </c>
      <c r="I82">
        <v>0</v>
      </c>
      <c r="J82">
        <v>1</v>
      </c>
      <c r="K82">
        <v>0</v>
      </c>
      <c r="L82">
        <v>0</v>
      </c>
      <c r="M82" t="s">
        <v>36</v>
      </c>
      <c r="N82" t="s">
        <v>36</v>
      </c>
      <c r="O82" t="s">
        <v>36</v>
      </c>
      <c r="P82" t="s">
        <v>37</v>
      </c>
      <c r="Q82" t="s">
        <v>36</v>
      </c>
      <c r="R82" t="s">
        <v>36</v>
      </c>
      <c r="S82" t="s">
        <v>36</v>
      </c>
      <c r="T82" t="s">
        <v>36</v>
      </c>
      <c r="U82">
        <v>1</v>
      </c>
      <c r="V82">
        <v>1</v>
      </c>
      <c r="W82">
        <v>0</v>
      </c>
      <c r="X82">
        <v>0</v>
      </c>
      <c r="Y82">
        <v>0</v>
      </c>
      <c r="Z82">
        <v>1</v>
      </c>
      <c r="AA82">
        <v>0</v>
      </c>
      <c r="AB82">
        <v>0</v>
      </c>
      <c r="AC82">
        <v>0</v>
      </c>
      <c r="AD82">
        <v>0</v>
      </c>
      <c r="AE82">
        <v>0</v>
      </c>
      <c r="AF82">
        <v>0</v>
      </c>
      <c r="AG82">
        <v>1</v>
      </c>
    </row>
    <row r="83" spans="1:33" x14ac:dyDescent="0.2">
      <c r="A83">
        <v>82</v>
      </c>
      <c r="B83" t="s">
        <v>113</v>
      </c>
      <c r="C83" t="s">
        <v>108</v>
      </c>
      <c r="D83">
        <v>25</v>
      </c>
      <c r="E83" t="s">
        <v>114</v>
      </c>
      <c r="F83" t="s">
        <v>41</v>
      </c>
      <c r="G83" t="s">
        <v>67</v>
      </c>
      <c r="H83">
        <v>9280</v>
      </c>
      <c r="I83">
        <v>0</v>
      </c>
      <c r="J83">
        <v>1</v>
      </c>
      <c r="K83">
        <v>0</v>
      </c>
      <c r="L83">
        <v>0</v>
      </c>
      <c r="M83" t="s">
        <v>69</v>
      </c>
      <c r="N83" t="s">
        <v>86</v>
      </c>
      <c r="O83" t="s">
        <v>70</v>
      </c>
      <c r="P83" t="s">
        <v>37</v>
      </c>
      <c r="Q83" t="s">
        <v>48</v>
      </c>
      <c r="R83" t="s">
        <v>46</v>
      </c>
      <c r="S83" t="s">
        <v>47</v>
      </c>
      <c r="T83">
        <v>0</v>
      </c>
      <c r="U83">
        <v>0</v>
      </c>
      <c r="V83">
        <v>1</v>
      </c>
      <c r="W83">
        <v>1</v>
      </c>
      <c r="X83">
        <v>1</v>
      </c>
      <c r="Y83">
        <v>0</v>
      </c>
      <c r="Z83">
        <v>1</v>
      </c>
      <c r="AA83">
        <v>0</v>
      </c>
      <c r="AB83">
        <v>0</v>
      </c>
      <c r="AC83">
        <v>0</v>
      </c>
      <c r="AD83">
        <v>0</v>
      </c>
      <c r="AE83">
        <v>1</v>
      </c>
      <c r="AF83">
        <v>0</v>
      </c>
      <c r="AG83">
        <v>0</v>
      </c>
    </row>
    <row r="84" spans="1:33" hidden="1" x14ac:dyDescent="0.2">
      <c r="A84">
        <v>83</v>
      </c>
      <c r="B84" t="s">
        <v>113</v>
      </c>
      <c r="C84" t="s">
        <v>108</v>
      </c>
      <c r="D84">
        <v>25</v>
      </c>
      <c r="E84" t="s">
        <v>114</v>
      </c>
      <c r="F84" t="s">
        <v>53</v>
      </c>
      <c r="G84" t="s">
        <v>71</v>
      </c>
      <c r="H84">
        <v>18440</v>
      </c>
      <c r="I84">
        <v>0</v>
      </c>
      <c r="J84">
        <v>1</v>
      </c>
      <c r="K84">
        <v>1</v>
      </c>
      <c r="L84">
        <v>0</v>
      </c>
      <c r="M84" t="s">
        <v>36</v>
      </c>
      <c r="N84" t="s">
        <v>36</v>
      </c>
      <c r="O84" t="s">
        <v>36</v>
      </c>
      <c r="P84" t="s">
        <v>37</v>
      </c>
      <c r="Q84" t="s">
        <v>36</v>
      </c>
      <c r="R84" t="s">
        <v>36</v>
      </c>
      <c r="S84" t="s">
        <v>36</v>
      </c>
      <c r="T84" t="s">
        <v>36</v>
      </c>
      <c r="U84">
        <v>0</v>
      </c>
      <c r="V84">
        <v>1</v>
      </c>
      <c r="W84">
        <v>1</v>
      </c>
      <c r="X84">
        <v>1</v>
      </c>
      <c r="Y84">
        <v>0</v>
      </c>
      <c r="Z84">
        <v>1</v>
      </c>
      <c r="AA84">
        <v>0</v>
      </c>
      <c r="AB84">
        <v>0</v>
      </c>
      <c r="AC84">
        <v>0</v>
      </c>
      <c r="AD84">
        <v>0</v>
      </c>
      <c r="AE84">
        <v>1</v>
      </c>
      <c r="AF84">
        <v>0</v>
      </c>
      <c r="AG84">
        <v>0</v>
      </c>
    </row>
    <row r="85" spans="1:33" hidden="1" x14ac:dyDescent="0.2">
      <c r="A85">
        <v>84</v>
      </c>
      <c r="B85" t="s">
        <v>113</v>
      </c>
      <c r="C85" t="s">
        <v>108</v>
      </c>
      <c r="D85">
        <v>25</v>
      </c>
      <c r="E85" t="s">
        <v>114</v>
      </c>
      <c r="F85" t="s">
        <v>77</v>
      </c>
      <c r="G85" t="s">
        <v>36</v>
      </c>
      <c r="H85">
        <v>96190</v>
      </c>
      <c r="I85" t="s">
        <v>117</v>
      </c>
      <c r="J85" t="s">
        <v>118</v>
      </c>
      <c r="K85" t="s">
        <v>119</v>
      </c>
      <c r="L85" t="s">
        <v>36</v>
      </c>
      <c r="M85" t="s">
        <v>36</v>
      </c>
      <c r="N85" t="s">
        <v>36</v>
      </c>
      <c r="O85" t="s">
        <v>36</v>
      </c>
      <c r="P85" t="s">
        <v>37</v>
      </c>
      <c r="Q85" t="s">
        <v>36</v>
      </c>
      <c r="R85" t="s">
        <v>36</v>
      </c>
      <c r="S85" t="s">
        <v>36</v>
      </c>
      <c r="T85" t="s">
        <v>36</v>
      </c>
      <c r="U85" t="s">
        <v>36</v>
      </c>
      <c r="V85" t="s">
        <v>36</v>
      </c>
      <c r="W85" t="s">
        <v>36</v>
      </c>
      <c r="X85" t="s">
        <v>36</v>
      </c>
      <c r="Y85" t="s">
        <v>36</v>
      </c>
      <c r="Z85" t="s">
        <v>36</v>
      </c>
      <c r="AA85" t="s">
        <v>36</v>
      </c>
      <c r="AB85" t="s">
        <v>36</v>
      </c>
      <c r="AC85" t="s">
        <v>36</v>
      </c>
      <c r="AD85" t="s">
        <v>36</v>
      </c>
      <c r="AE85" t="s">
        <v>36</v>
      </c>
      <c r="AF85" t="s">
        <v>36</v>
      </c>
      <c r="AG85" t="s">
        <v>36</v>
      </c>
    </row>
    <row r="86" spans="1:33" hidden="1" x14ac:dyDescent="0.2">
      <c r="A86">
        <v>85</v>
      </c>
      <c r="B86" t="s">
        <v>120</v>
      </c>
      <c r="C86" t="s">
        <v>108</v>
      </c>
      <c r="D86">
        <v>25</v>
      </c>
      <c r="E86" t="s">
        <v>34</v>
      </c>
      <c r="F86" t="s">
        <v>35</v>
      </c>
      <c r="G86" t="s">
        <v>36</v>
      </c>
      <c r="H86">
        <v>32833</v>
      </c>
      <c r="I86" t="s">
        <v>36</v>
      </c>
      <c r="J86" t="s">
        <v>36</v>
      </c>
      <c r="K86" t="s">
        <v>36</v>
      </c>
      <c r="L86" t="s">
        <v>36</v>
      </c>
      <c r="M86" t="s">
        <v>36</v>
      </c>
      <c r="N86" t="s">
        <v>36</v>
      </c>
      <c r="O86" t="s">
        <v>36</v>
      </c>
      <c r="P86" t="s">
        <v>37</v>
      </c>
      <c r="Q86" t="s">
        <v>36</v>
      </c>
      <c r="R86" t="s">
        <v>36</v>
      </c>
      <c r="S86" t="s">
        <v>36</v>
      </c>
      <c r="T86" t="s">
        <v>36</v>
      </c>
      <c r="U86" t="s">
        <v>36</v>
      </c>
      <c r="V86" t="s">
        <v>36</v>
      </c>
      <c r="W86" t="s">
        <v>36</v>
      </c>
      <c r="X86" t="s">
        <v>36</v>
      </c>
      <c r="Y86" t="s">
        <v>36</v>
      </c>
      <c r="Z86" t="s">
        <v>36</v>
      </c>
      <c r="AA86" t="s">
        <v>36</v>
      </c>
      <c r="AB86" t="s">
        <v>36</v>
      </c>
      <c r="AC86" t="s">
        <v>36</v>
      </c>
      <c r="AD86" t="s">
        <v>36</v>
      </c>
      <c r="AE86" t="s">
        <v>36</v>
      </c>
      <c r="AF86" t="s">
        <v>36</v>
      </c>
      <c r="AG86" t="s">
        <v>36</v>
      </c>
    </row>
    <row r="87" spans="1:33" hidden="1" x14ac:dyDescent="0.2">
      <c r="A87">
        <v>86</v>
      </c>
      <c r="B87" t="s">
        <v>120</v>
      </c>
      <c r="C87" t="s">
        <v>108</v>
      </c>
      <c r="D87">
        <v>25</v>
      </c>
      <c r="E87" t="s">
        <v>34</v>
      </c>
      <c r="F87" t="s">
        <v>38</v>
      </c>
      <c r="G87" t="s">
        <v>39</v>
      </c>
      <c r="H87">
        <v>16114</v>
      </c>
      <c r="I87">
        <v>0</v>
      </c>
      <c r="J87">
        <v>0</v>
      </c>
      <c r="K87">
        <v>0</v>
      </c>
      <c r="L87">
        <v>1</v>
      </c>
      <c r="M87" t="s">
        <v>36</v>
      </c>
      <c r="N87" t="s">
        <v>36</v>
      </c>
      <c r="O87" t="s">
        <v>36</v>
      </c>
      <c r="P87" t="s">
        <v>37</v>
      </c>
      <c r="Q87" t="s">
        <v>36</v>
      </c>
      <c r="R87" t="s">
        <v>36</v>
      </c>
      <c r="S87" t="s">
        <v>36</v>
      </c>
      <c r="T87" t="s">
        <v>36</v>
      </c>
      <c r="U87" t="s">
        <v>36</v>
      </c>
      <c r="V87" t="s">
        <v>36</v>
      </c>
      <c r="W87" t="s">
        <v>36</v>
      </c>
      <c r="X87" t="s">
        <v>36</v>
      </c>
      <c r="Y87" t="s">
        <v>36</v>
      </c>
      <c r="Z87" t="s">
        <v>36</v>
      </c>
      <c r="AA87" t="s">
        <v>36</v>
      </c>
      <c r="AB87" t="s">
        <v>36</v>
      </c>
      <c r="AC87" t="s">
        <v>36</v>
      </c>
      <c r="AD87" t="s">
        <v>36</v>
      </c>
      <c r="AE87" t="s">
        <v>36</v>
      </c>
      <c r="AF87" t="s">
        <v>36</v>
      </c>
      <c r="AG87" t="s">
        <v>36</v>
      </c>
    </row>
    <row r="88" spans="1:33" hidden="1" x14ac:dyDescent="0.2">
      <c r="A88">
        <v>87</v>
      </c>
      <c r="B88" t="s">
        <v>120</v>
      </c>
      <c r="C88" t="s">
        <v>108</v>
      </c>
      <c r="D88">
        <v>25</v>
      </c>
      <c r="E88" t="s">
        <v>34</v>
      </c>
      <c r="F88" t="s">
        <v>38</v>
      </c>
      <c r="G88" t="s">
        <v>40</v>
      </c>
      <c r="H88">
        <v>29721</v>
      </c>
      <c r="I88">
        <v>0</v>
      </c>
      <c r="J88">
        <v>1</v>
      </c>
      <c r="K88">
        <v>1</v>
      </c>
      <c r="L88">
        <v>0</v>
      </c>
      <c r="M88" t="s">
        <v>36</v>
      </c>
      <c r="N88" t="s">
        <v>36</v>
      </c>
      <c r="O88" t="s">
        <v>36</v>
      </c>
      <c r="P88" t="s">
        <v>37</v>
      </c>
      <c r="Q88" t="s">
        <v>36</v>
      </c>
      <c r="R88" t="s">
        <v>36</v>
      </c>
      <c r="S88" t="s">
        <v>36</v>
      </c>
      <c r="T88" t="s">
        <v>36</v>
      </c>
      <c r="U88" t="s">
        <v>36</v>
      </c>
      <c r="V88" t="s">
        <v>36</v>
      </c>
      <c r="W88" t="s">
        <v>36</v>
      </c>
      <c r="X88" t="s">
        <v>36</v>
      </c>
      <c r="Y88" t="s">
        <v>36</v>
      </c>
      <c r="Z88" t="s">
        <v>36</v>
      </c>
      <c r="AA88" t="s">
        <v>36</v>
      </c>
      <c r="AB88" t="s">
        <v>36</v>
      </c>
      <c r="AC88" t="s">
        <v>36</v>
      </c>
      <c r="AD88" t="s">
        <v>36</v>
      </c>
      <c r="AE88" t="s">
        <v>36</v>
      </c>
      <c r="AF88" t="s">
        <v>36</v>
      </c>
      <c r="AG88" t="s">
        <v>36</v>
      </c>
    </row>
    <row r="89" spans="1:33" x14ac:dyDescent="0.2">
      <c r="A89">
        <v>88</v>
      </c>
      <c r="B89" t="s">
        <v>120</v>
      </c>
      <c r="C89" t="s">
        <v>108</v>
      </c>
      <c r="D89">
        <v>25</v>
      </c>
      <c r="E89" t="s">
        <v>34</v>
      </c>
      <c r="F89" t="s">
        <v>41</v>
      </c>
      <c r="G89" t="s">
        <v>49</v>
      </c>
      <c r="H89">
        <v>27427</v>
      </c>
      <c r="I89">
        <v>1</v>
      </c>
      <c r="J89">
        <v>1</v>
      </c>
      <c r="K89">
        <v>1</v>
      </c>
      <c r="L89">
        <v>0</v>
      </c>
      <c r="M89" t="s">
        <v>95</v>
      </c>
      <c r="N89" t="s">
        <v>52</v>
      </c>
      <c r="O89" t="s">
        <v>51</v>
      </c>
      <c r="P89" t="s">
        <v>37</v>
      </c>
      <c r="Q89" t="s">
        <v>60</v>
      </c>
      <c r="R89" t="s">
        <v>46</v>
      </c>
      <c r="S89" t="s">
        <v>47</v>
      </c>
      <c r="T89">
        <v>1</v>
      </c>
      <c r="U89">
        <v>0</v>
      </c>
      <c r="V89">
        <v>0</v>
      </c>
      <c r="W89">
        <v>1</v>
      </c>
      <c r="X89">
        <v>1</v>
      </c>
      <c r="Y89">
        <v>0</v>
      </c>
      <c r="Z89">
        <v>1</v>
      </c>
      <c r="AA89">
        <v>1</v>
      </c>
      <c r="AB89">
        <v>0</v>
      </c>
      <c r="AC89">
        <v>0</v>
      </c>
      <c r="AD89">
        <v>1</v>
      </c>
      <c r="AE89">
        <v>1</v>
      </c>
      <c r="AF89">
        <v>0</v>
      </c>
      <c r="AG89">
        <v>0</v>
      </c>
    </row>
    <row r="90" spans="1:33" x14ac:dyDescent="0.2">
      <c r="A90">
        <v>89</v>
      </c>
      <c r="B90" t="s">
        <v>120</v>
      </c>
      <c r="C90" t="s">
        <v>108</v>
      </c>
      <c r="D90">
        <v>25</v>
      </c>
      <c r="E90" t="s">
        <v>34</v>
      </c>
      <c r="F90" t="s">
        <v>41</v>
      </c>
      <c r="G90" t="s">
        <v>72</v>
      </c>
      <c r="H90">
        <v>13791</v>
      </c>
      <c r="I90">
        <v>0</v>
      </c>
      <c r="J90">
        <v>0</v>
      </c>
      <c r="K90">
        <v>0</v>
      </c>
      <c r="L90">
        <v>1</v>
      </c>
      <c r="M90" t="s">
        <v>73</v>
      </c>
      <c r="N90" t="s">
        <v>93</v>
      </c>
      <c r="O90" t="s">
        <v>115</v>
      </c>
      <c r="P90" t="s">
        <v>37</v>
      </c>
      <c r="Q90" t="s">
        <v>48</v>
      </c>
      <c r="R90" t="s">
        <v>59</v>
      </c>
      <c r="S90" t="s">
        <v>65</v>
      </c>
      <c r="T90">
        <v>0</v>
      </c>
      <c r="U90">
        <v>1</v>
      </c>
      <c r="V90">
        <v>1</v>
      </c>
      <c r="W90">
        <v>0</v>
      </c>
      <c r="X90">
        <v>0</v>
      </c>
      <c r="Y90">
        <v>0</v>
      </c>
      <c r="Z90">
        <v>1</v>
      </c>
      <c r="AA90">
        <v>0</v>
      </c>
      <c r="AB90">
        <v>0</v>
      </c>
      <c r="AC90">
        <v>0</v>
      </c>
      <c r="AD90">
        <v>0</v>
      </c>
      <c r="AE90">
        <v>0</v>
      </c>
      <c r="AF90">
        <v>0</v>
      </c>
      <c r="AG90">
        <v>1</v>
      </c>
    </row>
    <row r="91" spans="1:33" hidden="1" x14ac:dyDescent="0.2">
      <c r="A91">
        <v>90</v>
      </c>
      <c r="B91" t="s">
        <v>120</v>
      </c>
      <c r="C91" t="s">
        <v>108</v>
      </c>
      <c r="D91">
        <v>25</v>
      </c>
      <c r="E91" t="s">
        <v>34</v>
      </c>
      <c r="F91" t="s">
        <v>53</v>
      </c>
      <c r="G91" t="s">
        <v>71</v>
      </c>
      <c r="H91">
        <v>12857</v>
      </c>
      <c r="I91">
        <v>1</v>
      </c>
      <c r="J91">
        <v>1</v>
      </c>
      <c r="K91">
        <v>1</v>
      </c>
      <c r="L91">
        <v>0</v>
      </c>
      <c r="M91" t="s">
        <v>36</v>
      </c>
      <c r="N91" t="s">
        <v>36</v>
      </c>
      <c r="O91" t="s">
        <v>36</v>
      </c>
      <c r="P91" t="s">
        <v>37</v>
      </c>
      <c r="Q91" t="s">
        <v>36</v>
      </c>
      <c r="R91" t="s">
        <v>36</v>
      </c>
      <c r="S91" t="s">
        <v>36</v>
      </c>
      <c r="T91" t="s">
        <v>36</v>
      </c>
      <c r="U91">
        <v>1</v>
      </c>
      <c r="V91">
        <v>1</v>
      </c>
      <c r="W91">
        <v>0</v>
      </c>
      <c r="X91">
        <v>0</v>
      </c>
      <c r="Y91">
        <v>0</v>
      </c>
      <c r="Z91">
        <v>1</v>
      </c>
      <c r="AA91">
        <v>0</v>
      </c>
      <c r="AB91">
        <v>0</v>
      </c>
      <c r="AC91">
        <v>0</v>
      </c>
      <c r="AD91">
        <v>0</v>
      </c>
      <c r="AE91">
        <v>0</v>
      </c>
      <c r="AF91">
        <v>0</v>
      </c>
      <c r="AG91">
        <v>1</v>
      </c>
    </row>
    <row r="92" spans="1:33" x14ac:dyDescent="0.2">
      <c r="A92">
        <v>91</v>
      </c>
      <c r="B92" t="s">
        <v>120</v>
      </c>
      <c r="C92" t="s">
        <v>108</v>
      </c>
      <c r="D92">
        <v>25</v>
      </c>
      <c r="E92" t="s">
        <v>34</v>
      </c>
      <c r="F92" t="s">
        <v>41</v>
      </c>
      <c r="G92" t="s">
        <v>67</v>
      </c>
      <c r="H92">
        <v>8321</v>
      </c>
      <c r="I92">
        <v>0</v>
      </c>
      <c r="J92">
        <v>0</v>
      </c>
      <c r="K92">
        <v>0</v>
      </c>
      <c r="L92">
        <v>1</v>
      </c>
      <c r="M92" t="s">
        <v>86</v>
      </c>
      <c r="N92" t="s">
        <v>69</v>
      </c>
      <c r="O92" t="s">
        <v>68</v>
      </c>
      <c r="P92" t="s">
        <v>37</v>
      </c>
      <c r="Q92" t="s">
        <v>46</v>
      </c>
      <c r="R92" t="s">
        <v>48</v>
      </c>
      <c r="S92" t="s">
        <v>65</v>
      </c>
      <c r="T92">
        <v>0</v>
      </c>
      <c r="U92">
        <v>1</v>
      </c>
      <c r="V92">
        <v>1</v>
      </c>
      <c r="W92">
        <v>0</v>
      </c>
      <c r="X92">
        <v>1</v>
      </c>
      <c r="Y92">
        <v>0</v>
      </c>
      <c r="Z92">
        <v>1</v>
      </c>
      <c r="AA92">
        <v>0</v>
      </c>
      <c r="AB92">
        <v>0</v>
      </c>
      <c r="AC92">
        <v>0</v>
      </c>
      <c r="AD92">
        <v>0</v>
      </c>
      <c r="AE92">
        <v>0</v>
      </c>
      <c r="AF92">
        <v>0</v>
      </c>
      <c r="AG92">
        <v>1</v>
      </c>
    </row>
    <row r="93" spans="1:33" hidden="1" x14ac:dyDescent="0.2">
      <c r="A93">
        <v>92</v>
      </c>
      <c r="B93" t="s">
        <v>120</v>
      </c>
      <c r="C93" t="s">
        <v>108</v>
      </c>
      <c r="D93">
        <v>25</v>
      </c>
      <c r="E93" t="s">
        <v>34</v>
      </c>
      <c r="F93" t="s">
        <v>53</v>
      </c>
      <c r="G93" t="s">
        <v>54</v>
      </c>
      <c r="H93">
        <v>28626</v>
      </c>
      <c r="I93">
        <v>1</v>
      </c>
      <c r="J93">
        <v>1</v>
      </c>
      <c r="K93">
        <v>1</v>
      </c>
      <c r="L93">
        <v>0</v>
      </c>
      <c r="M93" t="s">
        <v>36</v>
      </c>
      <c r="N93" t="s">
        <v>36</v>
      </c>
      <c r="O93" t="s">
        <v>36</v>
      </c>
      <c r="P93" t="s">
        <v>37</v>
      </c>
      <c r="Q93" t="s">
        <v>36</v>
      </c>
      <c r="R93" t="s">
        <v>36</v>
      </c>
      <c r="S93" t="s">
        <v>36</v>
      </c>
      <c r="T93" t="s">
        <v>36</v>
      </c>
      <c r="U93">
        <v>1</v>
      </c>
      <c r="V93">
        <v>1</v>
      </c>
      <c r="W93">
        <v>0</v>
      </c>
      <c r="X93">
        <v>1</v>
      </c>
      <c r="Y93">
        <v>0</v>
      </c>
      <c r="Z93">
        <v>1</v>
      </c>
      <c r="AA93">
        <v>0</v>
      </c>
      <c r="AB93">
        <v>0</v>
      </c>
      <c r="AC93">
        <v>0</v>
      </c>
      <c r="AD93">
        <v>0</v>
      </c>
      <c r="AE93">
        <v>0</v>
      </c>
      <c r="AF93">
        <v>0</v>
      </c>
      <c r="AG93">
        <v>1</v>
      </c>
    </row>
    <row r="94" spans="1:33" x14ac:dyDescent="0.2">
      <c r="A94">
        <v>93</v>
      </c>
      <c r="B94" t="s">
        <v>120</v>
      </c>
      <c r="C94" t="s">
        <v>108</v>
      </c>
      <c r="D94">
        <v>25</v>
      </c>
      <c r="E94" t="s">
        <v>34</v>
      </c>
      <c r="F94" t="s">
        <v>41</v>
      </c>
      <c r="G94" t="s">
        <v>61</v>
      </c>
      <c r="H94">
        <v>28744</v>
      </c>
      <c r="I94">
        <v>0</v>
      </c>
      <c r="J94">
        <v>0</v>
      </c>
      <c r="K94">
        <v>0</v>
      </c>
      <c r="L94">
        <v>1</v>
      </c>
      <c r="M94" t="s">
        <v>63</v>
      </c>
      <c r="N94" t="s">
        <v>62</v>
      </c>
      <c r="O94" t="s">
        <v>64</v>
      </c>
      <c r="P94" t="s">
        <v>37</v>
      </c>
      <c r="Q94" t="s">
        <v>46</v>
      </c>
      <c r="R94" t="s">
        <v>65</v>
      </c>
      <c r="S94" t="s">
        <v>48</v>
      </c>
      <c r="T94">
        <v>0</v>
      </c>
      <c r="U94">
        <v>1</v>
      </c>
      <c r="V94">
        <v>1</v>
      </c>
      <c r="W94">
        <v>0</v>
      </c>
      <c r="X94">
        <v>1</v>
      </c>
      <c r="Y94">
        <v>0</v>
      </c>
      <c r="Z94">
        <v>1</v>
      </c>
      <c r="AA94">
        <v>0</v>
      </c>
      <c r="AB94">
        <v>0</v>
      </c>
      <c r="AC94">
        <v>0</v>
      </c>
      <c r="AD94">
        <v>0</v>
      </c>
      <c r="AE94">
        <v>0</v>
      </c>
      <c r="AF94">
        <v>0</v>
      </c>
      <c r="AG94">
        <v>1</v>
      </c>
    </row>
    <row r="95" spans="1:33" x14ac:dyDescent="0.2">
      <c r="A95">
        <v>94</v>
      </c>
      <c r="B95" t="s">
        <v>120</v>
      </c>
      <c r="C95" t="s">
        <v>108</v>
      </c>
      <c r="D95">
        <v>25</v>
      </c>
      <c r="E95" t="s">
        <v>34</v>
      </c>
      <c r="F95" t="s">
        <v>41</v>
      </c>
      <c r="G95" t="s">
        <v>55</v>
      </c>
      <c r="H95">
        <v>8435</v>
      </c>
      <c r="I95">
        <v>1</v>
      </c>
      <c r="J95">
        <v>0</v>
      </c>
      <c r="K95">
        <v>0</v>
      </c>
      <c r="L95">
        <v>0</v>
      </c>
      <c r="M95" t="s">
        <v>85</v>
      </c>
      <c r="N95" t="s">
        <v>94</v>
      </c>
      <c r="O95" t="s">
        <v>58</v>
      </c>
      <c r="P95" t="s">
        <v>37</v>
      </c>
      <c r="Q95" t="s">
        <v>65</v>
      </c>
      <c r="R95" t="s">
        <v>47</v>
      </c>
      <c r="S95" t="s">
        <v>60</v>
      </c>
      <c r="T95">
        <v>1</v>
      </c>
      <c r="U95">
        <v>1</v>
      </c>
      <c r="V95">
        <v>0</v>
      </c>
      <c r="W95">
        <v>1</v>
      </c>
      <c r="X95">
        <v>0</v>
      </c>
      <c r="Y95">
        <v>0</v>
      </c>
      <c r="Z95">
        <v>1</v>
      </c>
      <c r="AA95">
        <v>0</v>
      </c>
      <c r="AB95">
        <v>1</v>
      </c>
      <c r="AC95">
        <v>0</v>
      </c>
      <c r="AD95">
        <v>0</v>
      </c>
      <c r="AE95">
        <v>0</v>
      </c>
      <c r="AF95">
        <v>0</v>
      </c>
      <c r="AG95">
        <v>0</v>
      </c>
    </row>
    <row r="96" spans="1:33" hidden="1" x14ac:dyDescent="0.2">
      <c r="A96">
        <v>95</v>
      </c>
      <c r="B96" t="s">
        <v>120</v>
      </c>
      <c r="C96" t="s">
        <v>108</v>
      </c>
      <c r="D96">
        <v>25</v>
      </c>
      <c r="E96" t="s">
        <v>34</v>
      </c>
      <c r="F96" t="s">
        <v>53</v>
      </c>
      <c r="G96" t="s">
        <v>76</v>
      </c>
      <c r="H96">
        <v>17082</v>
      </c>
      <c r="I96">
        <v>1</v>
      </c>
      <c r="J96">
        <v>0</v>
      </c>
      <c r="K96">
        <v>0</v>
      </c>
      <c r="L96">
        <v>0</v>
      </c>
      <c r="M96" t="s">
        <v>36</v>
      </c>
      <c r="N96" t="s">
        <v>36</v>
      </c>
      <c r="O96" t="s">
        <v>36</v>
      </c>
      <c r="P96" t="s">
        <v>37</v>
      </c>
      <c r="Q96" t="s">
        <v>36</v>
      </c>
      <c r="R96" t="s">
        <v>36</v>
      </c>
      <c r="S96" t="s">
        <v>36</v>
      </c>
      <c r="T96" t="s">
        <v>36</v>
      </c>
      <c r="U96">
        <v>1</v>
      </c>
      <c r="V96">
        <v>0</v>
      </c>
      <c r="W96">
        <v>1</v>
      </c>
      <c r="X96">
        <v>0</v>
      </c>
      <c r="Y96">
        <v>0</v>
      </c>
      <c r="Z96">
        <v>1</v>
      </c>
      <c r="AA96">
        <v>0</v>
      </c>
      <c r="AB96">
        <v>1</v>
      </c>
      <c r="AC96">
        <v>0</v>
      </c>
      <c r="AD96">
        <v>0</v>
      </c>
      <c r="AE96">
        <v>0</v>
      </c>
      <c r="AF96">
        <v>0</v>
      </c>
      <c r="AG96">
        <v>0</v>
      </c>
    </row>
    <row r="97" spans="1:33" x14ac:dyDescent="0.2">
      <c r="A97">
        <v>96</v>
      </c>
      <c r="B97" t="s">
        <v>120</v>
      </c>
      <c r="C97" t="s">
        <v>108</v>
      </c>
      <c r="D97">
        <v>25</v>
      </c>
      <c r="E97" t="s">
        <v>34</v>
      </c>
      <c r="F97" t="s">
        <v>41</v>
      </c>
      <c r="G97" t="s">
        <v>42</v>
      </c>
      <c r="H97">
        <v>12669</v>
      </c>
      <c r="I97">
        <v>0</v>
      </c>
      <c r="J97">
        <v>0</v>
      </c>
      <c r="K97">
        <v>0</v>
      </c>
      <c r="L97">
        <v>1</v>
      </c>
      <c r="M97" t="s">
        <v>43</v>
      </c>
      <c r="N97" t="s">
        <v>44</v>
      </c>
      <c r="O97" t="s">
        <v>116</v>
      </c>
      <c r="P97" t="s">
        <v>37</v>
      </c>
      <c r="Q97" t="s">
        <v>46</v>
      </c>
      <c r="R97" t="s">
        <v>47</v>
      </c>
      <c r="S97" t="s">
        <v>60</v>
      </c>
      <c r="T97">
        <v>1</v>
      </c>
      <c r="U97">
        <v>0</v>
      </c>
      <c r="V97">
        <v>0</v>
      </c>
      <c r="W97">
        <v>1</v>
      </c>
      <c r="X97">
        <v>1</v>
      </c>
      <c r="Y97">
        <v>0</v>
      </c>
      <c r="Z97">
        <v>1</v>
      </c>
      <c r="AA97">
        <v>0</v>
      </c>
      <c r="AB97">
        <v>0</v>
      </c>
      <c r="AC97">
        <v>0</v>
      </c>
      <c r="AD97">
        <v>0</v>
      </c>
      <c r="AE97">
        <v>0</v>
      </c>
      <c r="AF97">
        <v>0</v>
      </c>
      <c r="AG97">
        <v>1</v>
      </c>
    </row>
    <row r="98" spans="1:33" hidden="1" x14ac:dyDescent="0.2">
      <c r="A98">
        <v>97</v>
      </c>
      <c r="B98" t="s">
        <v>120</v>
      </c>
      <c r="C98" t="s">
        <v>108</v>
      </c>
      <c r="D98">
        <v>25</v>
      </c>
      <c r="E98" t="s">
        <v>34</v>
      </c>
      <c r="F98" t="s">
        <v>53</v>
      </c>
      <c r="G98" t="s">
        <v>66</v>
      </c>
      <c r="H98">
        <v>14686</v>
      </c>
      <c r="I98">
        <v>1</v>
      </c>
      <c r="J98">
        <v>1</v>
      </c>
      <c r="K98">
        <v>0</v>
      </c>
      <c r="L98">
        <v>0</v>
      </c>
      <c r="M98" t="s">
        <v>36</v>
      </c>
      <c r="N98" t="s">
        <v>36</v>
      </c>
      <c r="O98" t="s">
        <v>36</v>
      </c>
      <c r="P98" t="s">
        <v>37</v>
      </c>
      <c r="Q98" t="s">
        <v>36</v>
      </c>
      <c r="R98" t="s">
        <v>36</v>
      </c>
      <c r="S98" t="s">
        <v>36</v>
      </c>
      <c r="T98" t="s">
        <v>36</v>
      </c>
      <c r="U98">
        <v>0</v>
      </c>
      <c r="V98">
        <v>0</v>
      </c>
      <c r="W98">
        <v>1</v>
      </c>
      <c r="X98">
        <v>1</v>
      </c>
      <c r="Y98">
        <v>0</v>
      </c>
      <c r="Z98">
        <v>1</v>
      </c>
      <c r="AA98">
        <v>0</v>
      </c>
      <c r="AB98">
        <v>0</v>
      </c>
      <c r="AC98">
        <v>0</v>
      </c>
      <c r="AD98">
        <v>0</v>
      </c>
      <c r="AE98">
        <v>0</v>
      </c>
      <c r="AF98">
        <v>0</v>
      </c>
      <c r="AG98">
        <v>1</v>
      </c>
    </row>
    <row r="99" spans="1:33" hidden="1" x14ac:dyDescent="0.2">
      <c r="A99">
        <v>98</v>
      </c>
      <c r="B99" t="s">
        <v>120</v>
      </c>
      <c r="C99" t="s">
        <v>108</v>
      </c>
      <c r="D99">
        <v>25</v>
      </c>
      <c r="E99" t="s">
        <v>34</v>
      </c>
      <c r="F99" t="s">
        <v>77</v>
      </c>
      <c r="G99" t="s">
        <v>36</v>
      </c>
      <c r="H99">
        <v>35912</v>
      </c>
      <c r="I99" t="s">
        <v>121</v>
      </c>
      <c r="J99" t="s">
        <v>122</v>
      </c>
      <c r="K99" t="s">
        <v>123</v>
      </c>
      <c r="L99" t="s">
        <v>36</v>
      </c>
      <c r="M99" t="s">
        <v>36</v>
      </c>
      <c r="N99" t="s">
        <v>36</v>
      </c>
      <c r="O99" t="s">
        <v>36</v>
      </c>
      <c r="P99" t="s">
        <v>37</v>
      </c>
      <c r="Q99" t="s">
        <v>36</v>
      </c>
      <c r="R99" t="s">
        <v>36</v>
      </c>
      <c r="S99" t="s">
        <v>36</v>
      </c>
      <c r="T99" t="s">
        <v>36</v>
      </c>
      <c r="U99" t="s">
        <v>36</v>
      </c>
      <c r="V99" t="s">
        <v>36</v>
      </c>
      <c r="W99" t="s">
        <v>36</v>
      </c>
      <c r="X99" t="s">
        <v>36</v>
      </c>
      <c r="Y99" t="s">
        <v>36</v>
      </c>
      <c r="Z99" t="s">
        <v>36</v>
      </c>
      <c r="AA99" t="s">
        <v>36</v>
      </c>
      <c r="AB99" t="s">
        <v>36</v>
      </c>
      <c r="AC99" t="s">
        <v>36</v>
      </c>
      <c r="AD99" t="s">
        <v>36</v>
      </c>
      <c r="AE99" t="s">
        <v>36</v>
      </c>
      <c r="AF99" t="s">
        <v>36</v>
      </c>
      <c r="AG99" t="s">
        <v>36</v>
      </c>
    </row>
    <row r="100" spans="1:33" hidden="1" x14ac:dyDescent="0.2">
      <c r="A100">
        <v>99</v>
      </c>
      <c r="B100" t="s">
        <v>124</v>
      </c>
      <c r="C100" t="s">
        <v>33</v>
      </c>
      <c r="D100">
        <v>35</v>
      </c>
      <c r="E100" t="s">
        <v>114</v>
      </c>
      <c r="F100" t="s">
        <v>35</v>
      </c>
      <c r="G100" t="s">
        <v>36</v>
      </c>
      <c r="H100">
        <v>27808</v>
      </c>
      <c r="I100" t="s">
        <v>36</v>
      </c>
      <c r="J100" t="s">
        <v>36</v>
      </c>
      <c r="K100" t="s">
        <v>36</v>
      </c>
      <c r="L100" t="s">
        <v>36</v>
      </c>
      <c r="M100" t="s">
        <v>36</v>
      </c>
      <c r="N100" t="s">
        <v>36</v>
      </c>
      <c r="O100" t="s">
        <v>36</v>
      </c>
      <c r="P100" t="s">
        <v>37</v>
      </c>
      <c r="Q100" t="s">
        <v>36</v>
      </c>
      <c r="R100" t="s">
        <v>36</v>
      </c>
      <c r="S100" t="s">
        <v>36</v>
      </c>
      <c r="T100" t="s">
        <v>36</v>
      </c>
      <c r="U100" t="s">
        <v>36</v>
      </c>
      <c r="V100" t="s">
        <v>36</v>
      </c>
      <c r="W100" t="s">
        <v>36</v>
      </c>
      <c r="X100" t="s">
        <v>36</v>
      </c>
      <c r="Y100" t="s">
        <v>36</v>
      </c>
      <c r="Z100" t="s">
        <v>36</v>
      </c>
      <c r="AA100" t="s">
        <v>36</v>
      </c>
      <c r="AB100" t="s">
        <v>36</v>
      </c>
      <c r="AC100" t="s">
        <v>36</v>
      </c>
      <c r="AD100" t="s">
        <v>36</v>
      </c>
      <c r="AE100" t="s">
        <v>36</v>
      </c>
      <c r="AF100" t="s">
        <v>36</v>
      </c>
      <c r="AG100" t="s">
        <v>36</v>
      </c>
    </row>
    <row r="101" spans="1:33" hidden="1" x14ac:dyDescent="0.2">
      <c r="A101">
        <v>100</v>
      </c>
      <c r="B101" t="s">
        <v>124</v>
      </c>
      <c r="C101" t="s">
        <v>33</v>
      </c>
      <c r="D101">
        <v>35</v>
      </c>
      <c r="E101" t="s">
        <v>114</v>
      </c>
      <c r="F101" t="s">
        <v>38</v>
      </c>
      <c r="G101" t="s">
        <v>39</v>
      </c>
      <c r="H101">
        <v>32499</v>
      </c>
      <c r="I101">
        <v>0</v>
      </c>
      <c r="J101">
        <v>0</v>
      </c>
      <c r="K101">
        <v>0</v>
      </c>
      <c r="L101">
        <v>1</v>
      </c>
      <c r="M101" t="s">
        <v>36</v>
      </c>
      <c r="N101" t="s">
        <v>36</v>
      </c>
      <c r="O101" t="s">
        <v>36</v>
      </c>
      <c r="P101" t="s">
        <v>37</v>
      </c>
      <c r="Q101" t="s">
        <v>36</v>
      </c>
      <c r="R101" t="s">
        <v>36</v>
      </c>
      <c r="S101" t="s">
        <v>36</v>
      </c>
      <c r="T101" t="s">
        <v>36</v>
      </c>
      <c r="U101" t="s">
        <v>36</v>
      </c>
      <c r="V101" t="s">
        <v>36</v>
      </c>
      <c r="W101" t="s">
        <v>36</v>
      </c>
      <c r="X101" t="s">
        <v>36</v>
      </c>
      <c r="Y101" t="s">
        <v>36</v>
      </c>
      <c r="Z101" t="s">
        <v>36</v>
      </c>
      <c r="AA101" t="s">
        <v>36</v>
      </c>
      <c r="AB101" t="s">
        <v>36</v>
      </c>
      <c r="AC101" t="s">
        <v>36</v>
      </c>
      <c r="AD101" t="s">
        <v>36</v>
      </c>
      <c r="AE101" t="s">
        <v>36</v>
      </c>
      <c r="AF101" t="s">
        <v>36</v>
      </c>
      <c r="AG101" t="s">
        <v>36</v>
      </c>
    </row>
    <row r="102" spans="1:33" hidden="1" x14ac:dyDescent="0.2">
      <c r="A102">
        <v>101</v>
      </c>
      <c r="B102" t="s">
        <v>124</v>
      </c>
      <c r="C102" t="s">
        <v>33</v>
      </c>
      <c r="D102">
        <v>35</v>
      </c>
      <c r="E102" t="s">
        <v>114</v>
      </c>
      <c r="F102" t="s">
        <v>38</v>
      </c>
      <c r="G102" t="s">
        <v>40</v>
      </c>
      <c r="H102">
        <v>39703</v>
      </c>
      <c r="I102">
        <v>0</v>
      </c>
      <c r="J102">
        <v>0</v>
      </c>
      <c r="K102">
        <v>0</v>
      </c>
      <c r="L102">
        <v>1</v>
      </c>
      <c r="M102" t="s">
        <v>36</v>
      </c>
      <c r="N102" t="s">
        <v>36</v>
      </c>
      <c r="O102" t="s">
        <v>36</v>
      </c>
      <c r="P102" t="s">
        <v>37</v>
      </c>
      <c r="Q102" t="s">
        <v>36</v>
      </c>
      <c r="R102" t="s">
        <v>36</v>
      </c>
      <c r="S102" t="s">
        <v>36</v>
      </c>
      <c r="T102" t="s">
        <v>36</v>
      </c>
      <c r="U102" t="s">
        <v>36</v>
      </c>
      <c r="V102" t="s">
        <v>36</v>
      </c>
      <c r="W102" t="s">
        <v>36</v>
      </c>
      <c r="X102" t="s">
        <v>36</v>
      </c>
      <c r="Y102" t="s">
        <v>36</v>
      </c>
      <c r="Z102" t="s">
        <v>36</v>
      </c>
      <c r="AA102" t="s">
        <v>36</v>
      </c>
      <c r="AB102" t="s">
        <v>36</v>
      </c>
      <c r="AC102" t="s">
        <v>36</v>
      </c>
      <c r="AD102" t="s">
        <v>36</v>
      </c>
      <c r="AE102" t="s">
        <v>36</v>
      </c>
      <c r="AF102" t="s">
        <v>36</v>
      </c>
      <c r="AG102" t="s">
        <v>36</v>
      </c>
    </row>
    <row r="103" spans="1:33" x14ac:dyDescent="0.2">
      <c r="A103">
        <v>102</v>
      </c>
      <c r="B103" t="s">
        <v>124</v>
      </c>
      <c r="C103" t="s">
        <v>33</v>
      </c>
      <c r="D103">
        <v>35</v>
      </c>
      <c r="E103" t="s">
        <v>114</v>
      </c>
      <c r="F103" t="s">
        <v>41</v>
      </c>
      <c r="G103" t="s">
        <v>49</v>
      </c>
      <c r="H103">
        <v>38375</v>
      </c>
      <c r="I103">
        <v>0</v>
      </c>
      <c r="J103">
        <v>0</v>
      </c>
      <c r="K103">
        <v>1</v>
      </c>
      <c r="L103">
        <v>0</v>
      </c>
      <c r="M103" t="s">
        <v>51</v>
      </c>
      <c r="N103" t="s">
        <v>52</v>
      </c>
      <c r="O103" t="s">
        <v>95</v>
      </c>
      <c r="P103" t="s">
        <v>37</v>
      </c>
      <c r="Q103" t="s">
        <v>47</v>
      </c>
      <c r="R103" t="s">
        <v>46</v>
      </c>
      <c r="S103" t="s">
        <v>60</v>
      </c>
      <c r="T103">
        <v>1</v>
      </c>
      <c r="U103">
        <v>0</v>
      </c>
      <c r="V103">
        <v>0</v>
      </c>
      <c r="W103">
        <v>1</v>
      </c>
      <c r="X103">
        <v>1</v>
      </c>
      <c r="Y103">
        <v>0</v>
      </c>
      <c r="Z103">
        <v>1</v>
      </c>
      <c r="AA103">
        <v>1</v>
      </c>
      <c r="AB103">
        <v>0</v>
      </c>
      <c r="AC103">
        <v>0</v>
      </c>
      <c r="AD103">
        <v>0</v>
      </c>
      <c r="AE103">
        <v>0</v>
      </c>
      <c r="AF103">
        <v>0</v>
      </c>
      <c r="AG103">
        <v>0</v>
      </c>
    </row>
    <row r="104" spans="1:33" x14ac:dyDescent="0.2">
      <c r="A104">
        <v>103</v>
      </c>
      <c r="B104" t="s">
        <v>124</v>
      </c>
      <c r="C104" t="s">
        <v>33</v>
      </c>
      <c r="D104">
        <v>35</v>
      </c>
      <c r="E104" t="s">
        <v>114</v>
      </c>
      <c r="F104" t="s">
        <v>41</v>
      </c>
      <c r="G104" t="s">
        <v>55</v>
      </c>
      <c r="H104">
        <v>23002</v>
      </c>
      <c r="I104">
        <v>0</v>
      </c>
      <c r="J104">
        <v>1</v>
      </c>
      <c r="K104">
        <v>0</v>
      </c>
      <c r="L104">
        <v>0</v>
      </c>
      <c r="M104" t="s">
        <v>84</v>
      </c>
      <c r="N104" t="s">
        <v>94</v>
      </c>
      <c r="O104" t="s">
        <v>85</v>
      </c>
      <c r="P104" t="s">
        <v>37</v>
      </c>
      <c r="Q104" t="s">
        <v>46</v>
      </c>
      <c r="R104" t="s">
        <v>47</v>
      </c>
      <c r="S104" t="s">
        <v>65</v>
      </c>
      <c r="T104">
        <v>0</v>
      </c>
      <c r="U104">
        <v>1</v>
      </c>
      <c r="V104">
        <v>0</v>
      </c>
      <c r="W104">
        <v>1</v>
      </c>
      <c r="X104">
        <v>1</v>
      </c>
      <c r="Y104">
        <v>0</v>
      </c>
      <c r="Z104">
        <v>1</v>
      </c>
      <c r="AA104">
        <v>0</v>
      </c>
      <c r="AB104">
        <v>0</v>
      </c>
      <c r="AC104">
        <v>0</v>
      </c>
      <c r="AD104">
        <v>1</v>
      </c>
      <c r="AE104">
        <v>0</v>
      </c>
      <c r="AF104">
        <v>0</v>
      </c>
      <c r="AG104">
        <v>0</v>
      </c>
    </row>
    <row r="105" spans="1:33" hidden="1" x14ac:dyDescent="0.2">
      <c r="A105">
        <v>104</v>
      </c>
      <c r="B105" t="s">
        <v>124</v>
      </c>
      <c r="C105" t="s">
        <v>33</v>
      </c>
      <c r="D105">
        <v>35</v>
      </c>
      <c r="E105" t="s">
        <v>114</v>
      </c>
      <c r="F105" t="s">
        <v>53</v>
      </c>
      <c r="G105" t="s">
        <v>54</v>
      </c>
      <c r="H105">
        <v>25538</v>
      </c>
      <c r="I105">
        <v>0</v>
      </c>
      <c r="J105">
        <v>0</v>
      </c>
      <c r="K105">
        <v>1</v>
      </c>
      <c r="L105">
        <v>0</v>
      </c>
      <c r="M105" t="s">
        <v>36</v>
      </c>
      <c r="N105" t="s">
        <v>36</v>
      </c>
      <c r="O105" t="s">
        <v>36</v>
      </c>
      <c r="P105" t="s">
        <v>37</v>
      </c>
      <c r="Q105" t="s">
        <v>36</v>
      </c>
      <c r="R105" t="s">
        <v>36</v>
      </c>
      <c r="S105" t="s">
        <v>36</v>
      </c>
      <c r="T105" t="s">
        <v>36</v>
      </c>
      <c r="U105">
        <v>1</v>
      </c>
      <c r="V105">
        <v>0</v>
      </c>
      <c r="W105">
        <v>1</v>
      </c>
      <c r="X105">
        <v>1</v>
      </c>
      <c r="Y105">
        <v>0</v>
      </c>
      <c r="Z105">
        <v>1</v>
      </c>
      <c r="AA105">
        <v>0</v>
      </c>
      <c r="AB105">
        <v>0</v>
      </c>
      <c r="AC105">
        <v>0</v>
      </c>
      <c r="AD105">
        <v>1</v>
      </c>
      <c r="AE105">
        <v>0</v>
      </c>
      <c r="AF105">
        <v>0</v>
      </c>
      <c r="AG105">
        <v>0</v>
      </c>
    </row>
    <row r="106" spans="1:33" x14ac:dyDescent="0.2">
      <c r="A106">
        <v>105</v>
      </c>
      <c r="B106" t="s">
        <v>124</v>
      </c>
      <c r="C106" t="s">
        <v>33</v>
      </c>
      <c r="D106">
        <v>35</v>
      </c>
      <c r="E106" t="s">
        <v>114</v>
      </c>
      <c r="F106" t="s">
        <v>41</v>
      </c>
      <c r="G106" t="s">
        <v>72</v>
      </c>
      <c r="H106">
        <v>23822</v>
      </c>
      <c r="I106">
        <v>0</v>
      </c>
      <c r="J106">
        <v>0</v>
      </c>
      <c r="K106">
        <v>0</v>
      </c>
      <c r="L106">
        <v>1</v>
      </c>
      <c r="M106" t="s">
        <v>75</v>
      </c>
      <c r="N106" t="s">
        <v>93</v>
      </c>
      <c r="O106" t="s">
        <v>115</v>
      </c>
      <c r="P106" t="s">
        <v>37</v>
      </c>
      <c r="Q106" t="s">
        <v>46</v>
      </c>
      <c r="R106" t="s">
        <v>59</v>
      </c>
      <c r="S106" t="s">
        <v>65</v>
      </c>
      <c r="T106">
        <v>0</v>
      </c>
      <c r="U106">
        <v>1</v>
      </c>
      <c r="V106">
        <v>0</v>
      </c>
      <c r="W106">
        <v>0</v>
      </c>
      <c r="X106">
        <v>1</v>
      </c>
      <c r="Y106">
        <v>0</v>
      </c>
      <c r="Z106">
        <v>1</v>
      </c>
      <c r="AA106">
        <v>0</v>
      </c>
      <c r="AB106">
        <v>0</v>
      </c>
      <c r="AC106">
        <v>0</v>
      </c>
      <c r="AD106">
        <v>0</v>
      </c>
      <c r="AE106">
        <v>0</v>
      </c>
      <c r="AF106">
        <v>0</v>
      </c>
      <c r="AG106">
        <v>1</v>
      </c>
    </row>
    <row r="107" spans="1:33" x14ac:dyDescent="0.2">
      <c r="A107">
        <v>106</v>
      </c>
      <c r="B107" t="s">
        <v>124</v>
      </c>
      <c r="C107" t="s">
        <v>33</v>
      </c>
      <c r="D107">
        <v>35</v>
      </c>
      <c r="E107" t="s">
        <v>114</v>
      </c>
      <c r="F107" t="s">
        <v>41</v>
      </c>
      <c r="G107" t="s">
        <v>67</v>
      </c>
      <c r="H107">
        <v>13085</v>
      </c>
      <c r="I107">
        <v>1</v>
      </c>
      <c r="J107">
        <v>0</v>
      </c>
      <c r="K107">
        <v>0</v>
      </c>
      <c r="L107">
        <v>0</v>
      </c>
      <c r="M107" t="s">
        <v>68</v>
      </c>
      <c r="N107" t="s">
        <v>70</v>
      </c>
      <c r="O107" t="s">
        <v>109</v>
      </c>
      <c r="P107" t="s">
        <v>37</v>
      </c>
      <c r="Q107" t="s">
        <v>65</v>
      </c>
      <c r="R107" t="s">
        <v>47</v>
      </c>
      <c r="S107" t="s">
        <v>59</v>
      </c>
      <c r="T107">
        <v>0</v>
      </c>
      <c r="U107">
        <v>1</v>
      </c>
      <c r="V107">
        <v>0</v>
      </c>
      <c r="W107">
        <v>1</v>
      </c>
      <c r="X107">
        <v>0</v>
      </c>
      <c r="Y107">
        <v>0</v>
      </c>
      <c r="Z107">
        <v>1</v>
      </c>
      <c r="AA107">
        <v>0</v>
      </c>
      <c r="AB107">
        <v>1</v>
      </c>
      <c r="AC107">
        <v>0</v>
      </c>
      <c r="AD107">
        <v>0</v>
      </c>
      <c r="AE107">
        <v>0</v>
      </c>
      <c r="AF107">
        <v>0</v>
      </c>
      <c r="AG107">
        <v>0</v>
      </c>
    </row>
    <row r="108" spans="1:33" hidden="1" x14ac:dyDescent="0.2">
      <c r="A108">
        <v>107</v>
      </c>
      <c r="B108" t="s">
        <v>124</v>
      </c>
      <c r="C108" t="s">
        <v>33</v>
      </c>
      <c r="D108">
        <v>35</v>
      </c>
      <c r="E108" t="s">
        <v>114</v>
      </c>
      <c r="F108" t="s">
        <v>53</v>
      </c>
      <c r="G108" t="s">
        <v>76</v>
      </c>
      <c r="H108">
        <v>17100</v>
      </c>
      <c r="I108">
        <v>0</v>
      </c>
      <c r="J108">
        <v>1</v>
      </c>
      <c r="K108">
        <v>0</v>
      </c>
      <c r="L108">
        <v>0</v>
      </c>
      <c r="M108" t="s">
        <v>36</v>
      </c>
      <c r="N108" t="s">
        <v>36</v>
      </c>
      <c r="O108" t="s">
        <v>36</v>
      </c>
      <c r="P108" t="s">
        <v>37</v>
      </c>
      <c r="Q108" t="s">
        <v>36</v>
      </c>
      <c r="R108" t="s">
        <v>36</v>
      </c>
      <c r="S108" t="s">
        <v>36</v>
      </c>
      <c r="T108" t="s">
        <v>36</v>
      </c>
      <c r="U108">
        <v>1</v>
      </c>
      <c r="V108">
        <v>0</v>
      </c>
      <c r="W108">
        <v>1</v>
      </c>
      <c r="X108">
        <v>0</v>
      </c>
      <c r="Y108">
        <v>0</v>
      </c>
      <c r="Z108">
        <v>1</v>
      </c>
      <c r="AA108">
        <v>0</v>
      </c>
      <c r="AB108">
        <v>1</v>
      </c>
      <c r="AC108">
        <v>0</v>
      </c>
      <c r="AD108">
        <v>0</v>
      </c>
      <c r="AE108">
        <v>0</v>
      </c>
      <c r="AF108">
        <v>0</v>
      </c>
      <c r="AG108">
        <v>0</v>
      </c>
    </row>
    <row r="109" spans="1:33" x14ac:dyDescent="0.2">
      <c r="A109">
        <v>108</v>
      </c>
      <c r="B109" t="s">
        <v>124</v>
      </c>
      <c r="C109" t="s">
        <v>33</v>
      </c>
      <c r="D109">
        <v>35</v>
      </c>
      <c r="E109" t="s">
        <v>114</v>
      </c>
      <c r="F109" t="s">
        <v>41</v>
      </c>
      <c r="G109" t="s">
        <v>42</v>
      </c>
      <c r="H109">
        <v>8430</v>
      </c>
      <c r="I109">
        <v>0</v>
      </c>
      <c r="J109">
        <v>0</v>
      </c>
      <c r="K109">
        <v>1</v>
      </c>
      <c r="L109">
        <v>0</v>
      </c>
      <c r="M109" t="s">
        <v>45</v>
      </c>
      <c r="N109" t="s">
        <v>43</v>
      </c>
      <c r="O109" t="s">
        <v>82</v>
      </c>
      <c r="P109" t="s">
        <v>37</v>
      </c>
      <c r="Q109" t="s">
        <v>48</v>
      </c>
      <c r="R109" t="s">
        <v>46</v>
      </c>
      <c r="S109" t="s">
        <v>65</v>
      </c>
      <c r="T109">
        <v>0</v>
      </c>
      <c r="U109">
        <v>1</v>
      </c>
      <c r="V109">
        <v>1</v>
      </c>
      <c r="W109">
        <v>0</v>
      </c>
      <c r="X109">
        <v>1</v>
      </c>
      <c r="Y109">
        <v>0</v>
      </c>
      <c r="Z109">
        <v>1</v>
      </c>
      <c r="AA109">
        <v>0</v>
      </c>
      <c r="AB109">
        <v>1</v>
      </c>
      <c r="AC109">
        <v>0</v>
      </c>
      <c r="AD109">
        <v>0</v>
      </c>
      <c r="AE109">
        <v>0</v>
      </c>
      <c r="AF109">
        <v>0</v>
      </c>
      <c r="AG109">
        <v>0</v>
      </c>
    </row>
    <row r="110" spans="1:33" hidden="1" x14ac:dyDescent="0.2">
      <c r="A110">
        <v>109</v>
      </c>
      <c r="B110" t="s">
        <v>124</v>
      </c>
      <c r="C110" t="s">
        <v>33</v>
      </c>
      <c r="D110">
        <v>35</v>
      </c>
      <c r="E110" t="s">
        <v>114</v>
      </c>
      <c r="F110" t="s">
        <v>53</v>
      </c>
      <c r="G110" t="s">
        <v>66</v>
      </c>
      <c r="H110">
        <v>16347</v>
      </c>
      <c r="I110">
        <v>1</v>
      </c>
      <c r="J110">
        <v>0</v>
      </c>
      <c r="K110">
        <v>0</v>
      </c>
      <c r="L110">
        <v>0</v>
      </c>
      <c r="M110" t="s">
        <v>36</v>
      </c>
      <c r="N110" t="s">
        <v>36</v>
      </c>
      <c r="O110" t="s">
        <v>36</v>
      </c>
      <c r="P110" t="s">
        <v>37</v>
      </c>
      <c r="Q110" t="s">
        <v>36</v>
      </c>
      <c r="R110" t="s">
        <v>36</v>
      </c>
      <c r="S110" t="s">
        <v>36</v>
      </c>
      <c r="T110" t="s">
        <v>36</v>
      </c>
      <c r="U110">
        <v>1</v>
      </c>
      <c r="V110">
        <v>1</v>
      </c>
      <c r="W110">
        <v>0</v>
      </c>
      <c r="X110">
        <v>1</v>
      </c>
      <c r="Y110">
        <v>0</v>
      </c>
      <c r="Z110">
        <v>1</v>
      </c>
      <c r="AA110">
        <v>0</v>
      </c>
      <c r="AB110">
        <v>1</v>
      </c>
      <c r="AC110">
        <v>0</v>
      </c>
      <c r="AD110">
        <v>0</v>
      </c>
      <c r="AE110">
        <v>0</v>
      </c>
      <c r="AF110">
        <v>0</v>
      </c>
      <c r="AG110">
        <v>0</v>
      </c>
    </row>
    <row r="111" spans="1:33" x14ac:dyDescent="0.2">
      <c r="A111">
        <v>110</v>
      </c>
      <c r="B111" t="s">
        <v>124</v>
      </c>
      <c r="C111" t="s">
        <v>33</v>
      </c>
      <c r="D111">
        <v>35</v>
      </c>
      <c r="E111" t="s">
        <v>114</v>
      </c>
      <c r="F111" t="s">
        <v>41</v>
      </c>
      <c r="G111" t="s">
        <v>61</v>
      </c>
      <c r="H111">
        <v>13747</v>
      </c>
      <c r="I111">
        <v>0</v>
      </c>
      <c r="J111">
        <v>1</v>
      </c>
      <c r="K111">
        <v>0</v>
      </c>
      <c r="L111">
        <v>0</v>
      </c>
      <c r="M111" t="s">
        <v>97</v>
      </c>
      <c r="N111" t="s">
        <v>125</v>
      </c>
      <c r="O111" t="s">
        <v>63</v>
      </c>
      <c r="P111" t="s">
        <v>37</v>
      </c>
      <c r="Q111" t="s">
        <v>59</v>
      </c>
      <c r="R111" t="s">
        <v>60</v>
      </c>
      <c r="S111" t="s">
        <v>46</v>
      </c>
      <c r="T111">
        <v>1</v>
      </c>
      <c r="U111">
        <v>0</v>
      </c>
      <c r="V111">
        <v>0</v>
      </c>
      <c r="W111">
        <v>0</v>
      </c>
      <c r="X111">
        <v>1</v>
      </c>
      <c r="Y111">
        <v>0</v>
      </c>
      <c r="Z111">
        <v>1</v>
      </c>
      <c r="AA111">
        <v>1</v>
      </c>
      <c r="AB111">
        <v>0</v>
      </c>
      <c r="AC111">
        <v>0</v>
      </c>
      <c r="AD111">
        <v>0</v>
      </c>
      <c r="AE111">
        <v>0</v>
      </c>
      <c r="AF111">
        <v>0</v>
      </c>
      <c r="AG111">
        <v>0</v>
      </c>
    </row>
    <row r="112" spans="1:33" hidden="1" x14ac:dyDescent="0.2">
      <c r="A112">
        <v>111</v>
      </c>
      <c r="B112" t="s">
        <v>124</v>
      </c>
      <c r="C112" t="s">
        <v>33</v>
      </c>
      <c r="D112">
        <v>35</v>
      </c>
      <c r="E112" t="s">
        <v>114</v>
      </c>
      <c r="F112" t="s">
        <v>53</v>
      </c>
      <c r="G112" t="s">
        <v>71</v>
      </c>
      <c r="H112">
        <v>39282</v>
      </c>
      <c r="I112">
        <v>0</v>
      </c>
      <c r="J112">
        <v>0</v>
      </c>
      <c r="K112">
        <v>1</v>
      </c>
      <c r="L112">
        <v>0</v>
      </c>
      <c r="M112" t="s">
        <v>36</v>
      </c>
      <c r="N112" t="s">
        <v>36</v>
      </c>
      <c r="O112" t="s">
        <v>36</v>
      </c>
      <c r="P112" t="s">
        <v>37</v>
      </c>
      <c r="Q112" t="s">
        <v>36</v>
      </c>
      <c r="R112" t="s">
        <v>36</v>
      </c>
      <c r="S112" t="s">
        <v>36</v>
      </c>
      <c r="T112" t="s">
        <v>36</v>
      </c>
      <c r="U112">
        <v>0</v>
      </c>
      <c r="V112">
        <v>0</v>
      </c>
      <c r="W112">
        <v>0</v>
      </c>
      <c r="X112">
        <v>1</v>
      </c>
      <c r="Y112">
        <v>0</v>
      </c>
      <c r="Z112">
        <v>1</v>
      </c>
      <c r="AA112">
        <v>1</v>
      </c>
      <c r="AB112">
        <v>0</v>
      </c>
      <c r="AC112">
        <v>0</v>
      </c>
      <c r="AD112">
        <v>0</v>
      </c>
      <c r="AE112">
        <v>0</v>
      </c>
      <c r="AF112">
        <v>0</v>
      </c>
      <c r="AG112">
        <v>0</v>
      </c>
    </row>
    <row r="113" spans="1:33" hidden="1" x14ac:dyDescent="0.2">
      <c r="A113">
        <v>112</v>
      </c>
      <c r="B113" t="s">
        <v>124</v>
      </c>
      <c r="C113" t="s">
        <v>33</v>
      </c>
      <c r="D113">
        <v>35</v>
      </c>
      <c r="E113" t="s">
        <v>114</v>
      </c>
      <c r="F113" t="s">
        <v>77</v>
      </c>
      <c r="G113" t="s">
        <v>36</v>
      </c>
      <c r="H113">
        <v>31660</v>
      </c>
      <c r="I113" t="s">
        <v>126</v>
      </c>
      <c r="J113" t="s">
        <v>127</v>
      </c>
      <c r="K113" t="s">
        <v>128</v>
      </c>
      <c r="L113" t="s">
        <v>36</v>
      </c>
      <c r="M113" t="s">
        <v>36</v>
      </c>
      <c r="N113" t="s">
        <v>36</v>
      </c>
      <c r="O113" t="s">
        <v>36</v>
      </c>
      <c r="P113" t="s">
        <v>37</v>
      </c>
      <c r="Q113" t="s">
        <v>36</v>
      </c>
      <c r="R113" t="s">
        <v>36</v>
      </c>
      <c r="S113" t="s">
        <v>36</v>
      </c>
      <c r="T113" t="s">
        <v>36</v>
      </c>
      <c r="U113" t="s">
        <v>36</v>
      </c>
      <c r="V113" t="s">
        <v>36</v>
      </c>
      <c r="W113" t="s">
        <v>36</v>
      </c>
      <c r="X113" t="s">
        <v>36</v>
      </c>
      <c r="Y113" t="s">
        <v>36</v>
      </c>
      <c r="Z113" t="s">
        <v>36</v>
      </c>
      <c r="AA113" t="s">
        <v>36</v>
      </c>
      <c r="AB113" t="s">
        <v>36</v>
      </c>
      <c r="AC113" t="s">
        <v>36</v>
      </c>
      <c r="AD113" t="s">
        <v>36</v>
      </c>
      <c r="AE113" t="s">
        <v>36</v>
      </c>
      <c r="AF113" t="s">
        <v>36</v>
      </c>
      <c r="AG113" t="s">
        <v>36</v>
      </c>
    </row>
    <row r="114" spans="1:33" hidden="1" x14ac:dyDescent="0.2">
      <c r="A114">
        <v>113</v>
      </c>
      <c r="B114" t="s">
        <v>129</v>
      </c>
      <c r="C114" t="s">
        <v>33</v>
      </c>
      <c r="D114">
        <v>32</v>
      </c>
      <c r="E114" t="s">
        <v>34</v>
      </c>
      <c r="F114" t="s">
        <v>35</v>
      </c>
      <c r="G114" t="s">
        <v>36</v>
      </c>
      <c r="H114">
        <v>22868</v>
      </c>
      <c r="I114" t="s">
        <v>36</v>
      </c>
      <c r="J114" t="s">
        <v>36</v>
      </c>
      <c r="K114" t="s">
        <v>36</v>
      </c>
      <c r="L114" t="s">
        <v>36</v>
      </c>
      <c r="M114" t="s">
        <v>36</v>
      </c>
      <c r="N114" t="s">
        <v>36</v>
      </c>
      <c r="O114" t="s">
        <v>36</v>
      </c>
      <c r="P114" t="s">
        <v>37</v>
      </c>
      <c r="Q114" t="s">
        <v>36</v>
      </c>
      <c r="R114" t="s">
        <v>36</v>
      </c>
      <c r="S114" t="s">
        <v>36</v>
      </c>
      <c r="T114" t="s">
        <v>36</v>
      </c>
      <c r="U114" t="s">
        <v>36</v>
      </c>
      <c r="V114" t="s">
        <v>36</v>
      </c>
      <c r="W114" t="s">
        <v>36</v>
      </c>
      <c r="X114" t="s">
        <v>36</v>
      </c>
      <c r="Y114" t="s">
        <v>36</v>
      </c>
      <c r="Z114" t="s">
        <v>36</v>
      </c>
      <c r="AA114" t="s">
        <v>36</v>
      </c>
      <c r="AB114" t="s">
        <v>36</v>
      </c>
      <c r="AC114" t="s">
        <v>36</v>
      </c>
      <c r="AD114" t="s">
        <v>36</v>
      </c>
      <c r="AE114" t="s">
        <v>36</v>
      </c>
      <c r="AF114" t="s">
        <v>36</v>
      </c>
      <c r="AG114" t="s">
        <v>36</v>
      </c>
    </row>
    <row r="115" spans="1:33" hidden="1" x14ac:dyDescent="0.2">
      <c r="A115">
        <v>114</v>
      </c>
      <c r="B115" t="s">
        <v>129</v>
      </c>
      <c r="C115" t="s">
        <v>33</v>
      </c>
      <c r="D115">
        <v>32</v>
      </c>
      <c r="E115" t="s">
        <v>34</v>
      </c>
      <c r="F115" t="s">
        <v>38</v>
      </c>
      <c r="G115" t="s">
        <v>39</v>
      </c>
      <c r="H115">
        <v>23011</v>
      </c>
      <c r="I115">
        <v>0</v>
      </c>
      <c r="J115">
        <v>0</v>
      </c>
      <c r="K115">
        <v>0</v>
      </c>
      <c r="L115">
        <v>1</v>
      </c>
      <c r="M115" t="s">
        <v>36</v>
      </c>
      <c r="N115" t="s">
        <v>36</v>
      </c>
      <c r="O115" t="s">
        <v>36</v>
      </c>
      <c r="P115" t="s">
        <v>37</v>
      </c>
      <c r="Q115" t="s">
        <v>36</v>
      </c>
      <c r="R115" t="s">
        <v>36</v>
      </c>
      <c r="S115" t="s">
        <v>36</v>
      </c>
      <c r="T115" t="s">
        <v>36</v>
      </c>
      <c r="U115" t="s">
        <v>36</v>
      </c>
      <c r="V115" t="s">
        <v>36</v>
      </c>
      <c r="W115" t="s">
        <v>36</v>
      </c>
      <c r="X115" t="s">
        <v>36</v>
      </c>
      <c r="Y115" t="s">
        <v>36</v>
      </c>
      <c r="Z115" t="s">
        <v>36</v>
      </c>
      <c r="AA115" t="s">
        <v>36</v>
      </c>
      <c r="AB115" t="s">
        <v>36</v>
      </c>
      <c r="AC115" t="s">
        <v>36</v>
      </c>
      <c r="AD115" t="s">
        <v>36</v>
      </c>
      <c r="AE115" t="s">
        <v>36</v>
      </c>
      <c r="AF115" t="s">
        <v>36</v>
      </c>
      <c r="AG115" t="s">
        <v>36</v>
      </c>
    </row>
    <row r="116" spans="1:33" hidden="1" x14ac:dyDescent="0.2">
      <c r="A116">
        <v>115</v>
      </c>
      <c r="B116" t="s">
        <v>129</v>
      </c>
      <c r="C116" t="s">
        <v>33</v>
      </c>
      <c r="D116">
        <v>32</v>
      </c>
      <c r="E116" t="s">
        <v>34</v>
      </c>
      <c r="F116" t="s">
        <v>38</v>
      </c>
      <c r="G116" t="s">
        <v>40</v>
      </c>
      <c r="H116">
        <v>34498</v>
      </c>
      <c r="I116">
        <v>0</v>
      </c>
      <c r="J116">
        <v>0</v>
      </c>
      <c r="K116">
        <v>1</v>
      </c>
      <c r="L116">
        <v>0</v>
      </c>
      <c r="M116" t="s">
        <v>36</v>
      </c>
      <c r="N116" t="s">
        <v>36</v>
      </c>
      <c r="O116" t="s">
        <v>36</v>
      </c>
      <c r="P116" t="s">
        <v>37</v>
      </c>
      <c r="Q116" t="s">
        <v>36</v>
      </c>
      <c r="R116" t="s">
        <v>36</v>
      </c>
      <c r="S116" t="s">
        <v>36</v>
      </c>
      <c r="T116" t="s">
        <v>36</v>
      </c>
      <c r="U116" t="s">
        <v>36</v>
      </c>
      <c r="V116" t="s">
        <v>36</v>
      </c>
      <c r="W116" t="s">
        <v>36</v>
      </c>
      <c r="X116" t="s">
        <v>36</v>
      </c>
      <c r="Y116" t="s">
        <v>36</v>
      </c>
      <c r="Z116" t="s">
        <v>36</v>
      </c>
      <c r="AA116" t="s">
        <v>36</v>
      </c>
      <c r="AB116" t="s">
        <v>36</v>
      </c>
      <c r="AC116" t="s">
        <v>36</v>
      </c>
      <c r="AD116" t="s">
        <v>36</v>
      </c>
      <c r="AE116" t="s">
        <v>36</v>
      </c>
      <c r="AF116" t="s">
        <v>36</v>
      </c>
      <c r="AG116" t="s">
        <v>36</v>
      </c>
    </row>
    <row r="117" spans="1:33" x14ac:dyDescent="0.2">
      <c r="A117">
        <v>116</v>
      </c>
      <c r="B117" t="s">
        <v>129</v>
      </c>
      <c r="C117" t="s">
        <v>33</v>
      </c>
      <c r="D117">
        <v>32</v>
      </c>
      <c r="E117" t="s">
        <v>34</v>
      </c>
      <c r="F117" t="s">
        <v>41</v>
      </c>
      <c r="G117" t="s">
        <v>72</v>
      </c>
      <c r="H117">
        <v>19491</v>
      </c>
      <c r="I117">
        <v>0</v>
      </c>
      <c r="J117">
        <v>0</v>
      </c>
      <c r="K117">
        <v>1</v>
      </c>
      <c r="L117">
        <v>0</v>
      </c>
      <c r="M117" t="s">
        <v>93</v>
      </c>
      <c r="N117" t="s">
        <v>75</v>
      </c>
      <c r="O117" t="s">
        <v>73</v>
      </c>
      <c r="P117" t="s">
        <v>37</v>
      </c>
      <c r="Q117" t="s">
        <v>59</v>
      </c>
      <c r="R117" t="s">
        <v>46</v>
      </c>
      <c r="S117" t="s">
        <v>48</v>
      </c>
      <c r="T117">
        <v>0</v>
      </c>
      <c r="U117">
        <v>0</v>
      </c>
      <c r="V117">
        <v>1</v>
      </c>
      <c r="W117">
        <v>0</v>
      </c>
      <c r="X117">
        <v>1</v>
      </c>
      <c r="Y117">
        <v>0</v>
      </c>
      <c r="Z117">
        <v>1</v>
      </c>
      <c r="AA117">
        <v>0</v>
      </c>
      <c r="AB117">
        <v>0</v>
      </c>
      <c r="AC117">
        <v>1</v>
      </c>
      <c r="AD117">
        <v>0</v>
      </c>
      <c r="AE117">
        <v>0</v>
      </c>
      <c r="AF117">
        <v>0</v>
      </c>
      <c r="AG117">
        <v>0</v>
      </c>
    </row>
    <row r="118" spans="1:33" x14ac:dyDescent="0.2">
      <c r="A118">
        <v>117</v>
      </c>
      <c r="B118" t="s">
        <v>129</v>
      </c>
      <c r="C118" t="s">
        <v>33</v>
      </c>
      <c r="D118">
        <v>32</v>
      </c>
      <c r="E118" t="s">
        <v>34</v>
      </c>
      <c r="F118" t="s">
        <v>41</v>
      </c>
      <c r="G118" t="s">
        <v>42</v>
      </c>
      <c r="H118">
        <v>89244</v>
      </c>
      <c r="I118">
        <v>1</v>
      </c>
      <c r="J118">
        <v>1</v>
      </c>
      <c r="K118">
        <v>1</v>
      </c>
      <c r="L118">
        <v>0</v>
      </c>
      <c r="M118" t="s">
        <v>43</v>
      </c>
      <c r="N118" t="s">
        <v>102</v>
      </c>
      <c r="O118" t="s">
        <v>82</v>
      </c>
      <c r="P118" t="s">
        <v>37</v>
      </c>
      <c r="Q118" t="s">
        <v>46</v>
      </c>
      <c r="R118" t="s">
        <v>59</v>
      </c>
      <c r="S118" t="s">
        <v>65</v>
      </c>
      <c r="T118">
        <v>0</v>
      </c>
      <c r="U118">
        <v>1</v>
      </c>
      <c r="V118">
        <v>0</v>
      </c>
      <c r="W118">
        <v>0</v>
      </c>
      <c r="X118">
        <v>1</v>
      </c>
      <c r="Y118">
        <v>0</v>
      </c>
      <c r="Z118">
        <v>1</v>
      </c>
      <c r="AA118">
        <v>0</v>
      </c>
      <c r="AB118">
        <v>1</v>
      </c>
      <c r="AC118">
        <v>0</v>
      </c>
      <c r="AD118">
        <v>0</v>
      </c>
      <c r="AE118">
        <v>1</v>
      </c>
      <c r="AF118">
        <v>0</v>
      </c>
      <c r="AG118">
        <v>0</v>
      </c>
    </row>
    <row r="119" spans="1:33" hidden="1" x14ac:dyDescent="0.2">
      <c r="A119">
        <v>118</v>
      </c>
      <c r="B119" t="s">
        <v>129</v>
      </c>
      <c r="C119" t="s">
        <v>33</v>
      </c>
      <c r="D119">
        <v>32</v>
      </c>
      <c r="E119" t="s">
        <v>34</v>
      </c>
      <c r="F119" t="s">
        <v>53</v>
      </c>
      <c r="G119" t="s">
        <v>54</v>
      </c>
      <c r="H119">
        <v>25075</v>
      </c>
      <c r="I119">
        <v>1</v>
      </c>
      <c r="J119">
        <v>1</v>
      </c>
      <c r="K119">
        <v>1</v>
      </c>
      <c r="L119">
        <v>0</v>
      </c>
      <c r="M119" t="s">
        <v>36</v>
      </c>
      <c r="N119" t="s">
        <v>36</v>
      </c>
      <c r="O119" t="s">
        <v>36</v>
      </c>
      <c r="P119" t="s">
        <v>37</v>
      </c>
      <c r="Q119" t="s">
        <v>36</v>
      </c>
      <c r="R119" t="s">
        <v>36</v>
      </c>
      <c r="S119" t="s">
        <v>36</v>
      </c>
      <c r="T119" t="s">
        <v>36</v>
      </c>
      <c r="U119">
        <v>1</v>
      </c>
      <c r="V119">
        <v>0</v>
      </c>
      <c r="W119">
        <v>0</v>
      </c>
      <c r="X119">
        <v>1</v>
      </c>
      <c r="Y119">
        <v>0</v>
      </c>
      <c r="Z119">
        <v>1</v>
      </c>
      <c r="AA119">
        <v>0</v>
      </c>
      <c r="AB119">
        <v>1</v>
      </c>
      <c r="AC119">
        <v>0</v>
      </c>
      <c r="AD119">
        <v>0</v>
      </c>
      <c r="AE119">
        <v>1</v>
      </c>
      <c r="AF119">
        <v>0</v>
      </c>
      <c r="AG119">
        <v>0</v>
      </c>
    </row>
    <row r="120" spans="1:33" x14ac:dyDescent="0.2">
      <c r="A120">
        <v>119</v>
      </c>
      <c r="B120" t="s">
        <v>129</v>
      </c>
      <c r="C120" t="s">
        <v>33</v>
      </c>
      <c r="D120">
        <v>32</v>
      </c>
      <c r="E120" t="s">
        <v>34</v>
      </c>
      <c r="F120" t="s">
        <v>41</v>
      </c>
      <c r="G120" t="s">
        <v>49</v>
      </c>
      <c r="H120">
        <v>12738</v>
      </c>
      <c r="I120">
        <v>1</v>
      </c>
      <c r="J120">
        <v>1</v>
      </c>
      <c r="K120">
        <v>1</v>
      </c>
      <c r="L120">
        <v>0</v>
      </c>
      <c r="M120" t="s">
        <v>52</v>
      </c>
      <c r="N120" t="s">
        <v>51</v>
      </c>
      <c r="O120" t="s">
        <v>83</v>
      </c>
      <c r="P120" t="s">
        <v>37</v>
      </c>
      <c r="Q120" t="s">
        <v>46</v>
      </c>
      <c r="R120" t="s">
        <v>47</v>
      </c>
      <c r="S120" t="s">
        <v>59</v>
      </c>
      <c r="T120">
        <v>0</v>
      </c>
      <c r="U120">
        <v>0</v>
      </c>
      <c r="V120">
        <v>0</v>
      </c>
      <c r="W120">
        <v>1</v>
      </c>
      <c r="X120">
        <v>1</v>
      </c>
      <c r="Y120">
        <v>0</v>
      </c>
      <c r="Z120">
        <v>1</v>
      </c>
      <c r="AA120">
        <v>0</v>
      </c>
      <c r="AB120">
        <v>0</v>
      </c>
      <c r="AC120">
        <v>0</v>
      </c>
      <c r="AD120">
        <v>1</v>
      </c>
      <c r="AE120">
        <v>1</v>
      </c>
      <c r="AF120">
        <v>0</v>
      </c>
      <c r="AG120">
        <v>0</v>
      </c>
    </row>
    <row r="121" spans="1:33" hidden="1" x14ac:dyDescent="0.2">
      <c r="A121">
        <v>120</v>
      </c>
      <c r="B121" t="s">
        <v>129</v>
      </c>
      <c r="C121" t="s">
        <v>33</v>
      </c>
      <c r="D121">
        <v>32</v>
      </c>
      <c r="E121" t="s">
        <v>34</v>
      </c>
      <c r="F121" t="s">
        <v>53</v>
      </c>
      <c r="G121" t="s">
        <v>76</v>
      </c>
      <c r="H121">
        <v>9661</v>
      </c>
      <c r="I121">
        <v>0</v>
      </c>
      <c r="J121">
        <v>1</v>
      </c>
      <c r="K121">
        <v>0</v>
      </c>
      <c r="L121">
        <v>0</v>
      </c>
      <c r="M121" t="s">
        <v>36</v>
      </c>
      <c r="N121" t="s">
        <v>36</v>
      </c>
      <c r="O121" t="s">
        <v>36</v>
      </c>
      <c r="P121" t="s">
        <v>37</v>
      </c>
      <c r="Q121" t="s">
        <v>36</v>
      </c>
      <c r="R121" t="s">
        <v>36</v>
      </c>
      <c r="S121" t="s">
        <v>36</v>
      </c>
      <c r="T121" t="s">
        <v>36</v>
      </c>
      <c r="U121">
        <v>0</v>
      </c>
      <c r="V121">
        <v>0</v>
      </c>
      <c r="W121">
        <v>1</v>
      </c>
      <c r="X121">
        <v>1</v>
      </c>
      <c r="Y121">
        <v>0</v>
      </c>
      <c r="Z121">
        <v>1</v>
      </c>
      <c r="AA121">
        <v>0</v>
      </c>
      <c r="AB121">
        <v>0</v>
      </c>
      <c r="AC121">
        <v>0</v>
      </c>
      <c r="AD121">
        <v>1</v>
      </c>
      <c r="AE121">
        <v>1</v>
      </c>
      <c r="AF121">
        <v>0</v>
      </c>
      <c r="AG121">
        <v>0</v>
      </c>
    </row>
    <row r="122" spans="1:33" x14ac:dyDescent="0.2">
      <c r="A122">
        <v>121</v>
      </c>
      <c r="B122" t="s">
        <v>129</v>
      </c>
      <c r="C122" t="s">
        <v>33</v>
      </c>
      <c r="D122">
        <v>32</v>
      </c>
      <c r="E122" t="s">
        <v>34</v>
      </c>
      <c r="F122" t="s">
        <v>41</v>
      </c>
      <c r="G122" t="s">
        <v>55</v>
      </c>
      <c r="H122">
        <v>18156</v>
      </c>
      <c r="I122">
        <v>1</v>
      </c>
      <c r="J122">
        <v>1</v>
      </c>
      <c r="K122">
        <v>1</v>
      </c>
      <c r="L122">
        <v>0</v>
      </c>
      <c r="M122" t="s">
        <v>94</v>
      </c>
      <c r="N122" t="s">
        <v>84</v>
      </c>
      <c r="O122" t="s">
        <v>57</v>
      </c>
      <c r="P122" t="s">
        <v>37</v>
      </c>
      <c r="Q122" t="s">
        <v>47</v>
      </c>
      <c r="R122" t="s">
        <v>46</v>
      </c>
      <c r="S122" t="s">
        <v>48</v>
      </c>
      <c r="T122">
        <v>0</v>
      </c>
      <c r="U122">
        <v>0</v>
      </c>
      <c r="V122">
        <v>1</v>
      </c>
      <c r="W122">
        <v>1</v>
      </c>
      <c r="X122">
        <v>1</v>
      </c>
      <c r="Y122">
        <v>0</v>
      </c>
      <c r="Z122">
        <v>1</v>
      </c>
      <c r="AA122">
        <v>0</v>
      </c>
      <c r="AB122">
        <v>0</v>
      </c>
      <c r="AC122">
        <v>1</v>
      </c>
      <c r="AD122">
        <v>1</v>
      </c>
      <c r="AE122">
        <v>1</v>
      </c>
      <c r="AF122">
        <v>0</v>
      </c>
      <c r="AG122">
        <v>0</v>
      </c>
    </row>
    <row r="123" spans="1:33" x14ac:dyDescent="0.2">
      <c r="A123">
        <v>122</v>
      </c>
      <c r="B123" t="s">
        <v>129</v>
      </c>
      <c r="C123" t="s">
        <v>33</v>
      </c>
      <c r="D123">
        <v>32</v>
      </c>
      <c r="E123" t="s">
        <v>34</v>
      </c>
      <c r="F123" t="s">
        <v>41</v>
      </c>
      <c r="G123" t="s">
        <v>67</v>
      </c>
      <c r="H123">
        <v>14819</v>
      </c>
      <c r="I123">
        <v>1</v>
      </c>
      <c r="J123">
        <v>1</v>
      </c>
      <c r="K123">
        <v>1</v>
      </c>
      <c r="L123">
        <v>0</v>
      </c>
      <c r="M123" t="s">
        <v>70</v>
      </c>
      <c r="N123" t="s">
        <v>69</v>
      </c>
      <c r="O123" t="s">
        <v>86</v>
      </c>
      <c r="P123" t="s">
        <v>37</v>
      </c>
      <c r="Q123" t="s">
        <v>47</v>
      </c>
      <c r="R123" t="s">
        <v>48</v>
      </c>
      <c r="S123" t="s">
        <v>46</v>
      </c>
      <c r="T123">
        <v>0</v>
      </c>
      <c r="U123">
        <v>0</v>
      </c>
      <c r="V123">
        <v>1</v>
      </c>
      <c r="W123">
        <v>1</v>
      </c>
      <c r="X123">
        <v>1</v>
      </c>
      <c r="Y123">
        <v>0</v>
      </c>
      <c r="Z123">
        <v>1</v>
      </c>
      <c r="AA123">
        <v>0</v>
      </c>
      <c r="AB123">
        <v>0</v>
      </c>
      <c r="AC123">
        <v>1</v>
      </c>
      <c r="AD123">
        <v>1</v>
      </c>
      <c r="AE123">
        <v>1</v>
      </c>
      <c r="AF123">
        <v>0</v>
      </c>
      <c r="AG123">
        <v>0</v>
      </c>
    </row>
    <row r="124" spans="1:33" hidden="1" x14ac:dyDescent="0.2">
      <c r="A124">
        <v>123</v>
      </c>
      <c r="B124" t="s">
        <v>129</v>
      </c>
      <c r="C124" t="s">
        <v>33</v>
      </c>
      <c r="D124">
        <v>32</v>
      </c>
      <c r="E124" t="s">
        <v>34</v>
      </c>
      <c r="F124" t="s">
        <v>53</v>
      </c>
      <c r="G124" t="s">
        <v>66</v>
      </c>
      <c r="H124">
        <v>14037</v>
      </c>
      <c r="I124">
        <v>1</v>
      </c>
      <c r="J124">
        <v>1</v>
      </c>
      <c r="K124">
        <v>0</v>
      </c>
      <c r="L124">
        <v>0</v>
      </c>
      <c r="M124" t="s">
        <v>36</v>
      </c>
      <c r="N124" t="s">
        <v>36</v>
      </c>
      <c r="O124" t="s">
        <v>36</v>
      </c>
      <c r="P124" t="s">
        <v>37</v>
      </c>
      <c r="Q124" t="s">
        <v>36</v>
      </c>
      <c r="R124" t="s">
        <v>36</v>
      </c>
      <c r="S124" t="s">
        <v>36</v>
      </c>
      <c r="T124" t="s">
        <v>36</v>
      </c>
      <c r="U124">
        <v>0</v>
      </c>
      <c r="V124">
        <v>1</v>
      </c>
      <c r="W124">
        <v>1</v>
      </c>
      <c r="X124">
        <v>1</v>
      </c>
      <c r="Y124">
        <v>0</v>
      </c>
      <c r="Z124">
        <v>1</v>
      </c>
      <c r="AA124">
        <v>0</v>
      </c>
      <c r="AB124">
        <v>0</v>
      </c>
      <c r="AC124">
        <v>1</v>
      </c>
      <c r="AD124">
        <v>1</v>
      </c>
      <c r="AE124">
        <v>1</v>
      </c>
      <c r="AF124">
        <v>0</v>
      </c>
      <c r="AG124">
        <v>0</v>
      </c>
    </row>
    <row r="125" spans="1:33" x14ac:dyDescent="0.2">
      <c r="A125">
        <v>124</v>
      </c>
      <c r="B125" t="s">
        <v>129</v>
      </c>
      <c r="C125" t="s">
        <v>33</v>
      </c>
      <c r="D125">
        <v>32</v>
      </c>
      <c r="E125" t="s">
        <v>34</v>
      </c>
      <c r="F125" t="s">
        <v>41</v>
      </c>
      <c r="G125" t="s">
        <v>61</v>
      </c>
      <c r="H125">
        <v>9308</v>
      </c>
      <c r="I125">
        <v>1</v>
      </c>
      <c r="J125">
        <v>1</v>
      </c>
      <c r="K125">
        <v>1</v>
      </c>
      <c r="L125">
        <v>0</v>
      </c>
      <c r="M125" t="s">
        <v>63</v>
      </c>
      <c r="N125" t="s">
        <v>64</v>
      </c>
      <c r="O125" t="s">
        <v>87</v>
      </c>
      <c r="P125" t="s">
        <v>37</v>
      </c>
      <c r="Q125" t="s">
        <v>46</v>
      </c>
      <c r="R125" t="s">
        <v>48</v>
      </c>
      <c r="S125" t="s">
        <v>47</v>
      </c>
      <c r="T125">
        <v>0</v>
      </c>
      <c r="U125">
        <v>0</v>
      </c>
      <c r="V125">
        <v>1</v>
      </c>
      <c r="W125">
        <v>1</v>
      </c>
      <c r="X125">
        <v>1</v>
      </c>
      <c r="Y125">
        <v>0</v>
      </c>
      <c r="Z125">
        <v>1</v>
      </c>
      <c r="AA125">
        <v>0</v>
      </c>
      <c r="AB125">
        <v>0</v>
      </c>
      <c r="AC125">
        <v>1</v>
      </c>
      <c r="AD125">
        <v>1</v>
      </c>
      <c r="AE125">
        <v>1</v>
      </c>
      <c r="AF125">
        <v>0</v>
      </c>
      <c r="AG125">
        <v>0</v>
      </c>
    </row>
    <row r="126" spans="1:33" hidden="1" x14ac:dyDescent="0.2">
      <c r="A126">
        <v>125</v>
      </c>
      <c r="B126" t="s">
        <v>129</v>
      </c>
      <c r="C126" t="s">
        <v>33</v>
      </c>
      <c r="D126">
        <v>32</v>
      </c>
      <c r="E126" t="s">
        <v>34</v>
      </c>
      <c r="F126" t="s">
        <v>53</v>
      </c>
      <c r="G126" t="s">
        <v>71</v>
      </c>
      <c r="H126">
        <v>8770</v>
      </c>
      <c r="I126">
        <v>1</v>
      </c>
      <c r="J126">
        <v>1</v>
      </c>
      <c r="K126">
        <v>1</v>
      </c>
      <c r="L126">
        <v>0</v>
      </c>
      <c r="M126" t="s">
        <v>36</v>
      </c>
      <c r="N126" t="s">
        <v>36</v>
      </c>
      <c r="O126" t="s">
        <v>36</v>
      </c>
      <c r="P126" t="s">
        <v>37</v>
      </c>
      <c r="Q126" t="s">
        <v>36</v>
      </c>
      <c r="R126" t="s">
        <v>36</v>
      </c>
      <c r="S126" t="s">
        <v>36</v>
      </c>
      <c r="T126" t="s">
        <v>36</v>
      </c>
      <c r="U126">
        <v>0</v>
      </c>
      <c r="V126">
        <v>1</v>
      </c>
      <c r="W126">
        <v>1</v>
      </c>
      <c r="X126">
        <v>1</v>
      </c>
      <c r="Y126">
        <v>0</v>
      </c>
      <c r="Z126">
        <v>1</v>
      </c>
      <c r="AA126">
        <v>0</v>
      </c>
      <c r="AB126">
        <v>0</v>
      </c>
      <c r="AC126">
        <v>1</v>
      </c>
      <c r="AD126">
        <v>1</v>
      </c>
      <c r="AE126">
        <v>1</v>
      </c>
      <c r="AF126">
        <v>0</v>
      </c>
      <c r="AG126">
        <v>0</v>
      </c>
    </row>
    <row r="127" spans="1:33" hidden="1" x14ac:dyDescent="0.2">
      <c r="A127">
        <v>126</v>
      </c>
      <c r="B127" t="s">
        <v>129</v>
      </c>
      <c r="C127" t="s">
        <v>33</v>
      </c>
      <c r="D127">
        <v>32</v>
      </c>
      <c r="E127" t="s">
        <v>34</v>
      </c>
      <c r="F127" t="s">
        <v>77</v>
      </c>
      <c r="G127" t="s">
        <v>36</v>
      </c>
      <c r="H127">
        <v>78445</v>
      </c>
      <c r="I127" t="s">
        <v>130</v>
      </c>
      <c r="J127" t="s">
        <v>131</v>
      </c>
      <c r="K127" t="s">
        <v>132</v>
      </c>
      <c r="L127" t="s">
        <v>36</v>
      </c>
      <c r="M127" t="s">
        <v>36</v>
      </c>
      <c r="N127" t="s">
        <v>36</v>
      </c>
      <c r="O127" t="s">
        <v>36</v>
      </c>
      <c r="P127" t="s">
        <v>37</v>
      </c>
      <c r="Q127" t="s">
        <v>36</v>
      </c>
      <c r="R127" t="s">
        <v>36</v>
      </c>
      <c r="S127" t="s">
        <v>36</v>
      </c>
      <c r="T127" t="s">
        <v>36</v>
      </c>
      <c r="U127" t="s">
        <v>36</v>
      </c>
      <c r="V127" t="s">
        <v>36</v>
      </c>
      <c r="W127" t="s">
        <v>36</v>
      </c>
      <c r="X127" t="s">
        <v>36</v>
      </c>
      <c r="Y127" t="s">
        <v>36</v>
      </c>
      <c r="Z127" t="s">
        <v>36</v>
      </c>
      <c r="AA127" t="s">
        <v>36</v>
      </c>
      <c r="AB127" t="s">
        <v>36</v>
      </c>
      <c r="AC127" t="s">
        <v>36</v>
      </c>
      <c r="AD127" t="s">
        <v>36</v>
      </c>
      <c r="AE127" t="s">
        <v>36</v>
      </c>
      <c r="AF127" t="s">
        <v>36</v>
      </c>
      <c r="AG127" t="s">
        <v>36</v>
      </c>
    </row>
    <row r="128" spans="1:33" hidden="1" x14ac:dyDescent="0.2">
      <c r="A128">
        <v>127</v>
      </c>
      <c r="B128" t="s">
        <v>133</v>
      </c>
      <c r="C128" t="s">
        <v>108</v>
      </c>
      <c r="D128">
        <v>37</v>
      </c>
      <c r="E128" t="s">
        <v>34</v>
      </c>
      <c r="F128" t="s">
        <v>35</v>
      </c>
      <c r="G128" t="s">
        <v>36</v>
      </c>
      <c r="H128">
        <v>25047</v>
      </c>
      <c r="I128" t="s">
        <v>36</v>
      </c>
      <c r="J128" t="s">
        <v>36</v>
      </c>
      <c r="K128" t="s">
        <v>36</v>
      </c>
      <c r="L128" t="s">
        <v>36</v>
      </c>
      <c r="M128" t="s">
        <v>36</v>
      </c>
      <c r="N128" t="s">
        <v>36</v>
      </c>
      <c r="O128" t="s">
        <v>36</v>
      </c>
      <c r="P128" t="s">
        <v>37</v>
      </c>
      <c r="Q128" t="s">
        <v>36</v>
      </c>
      <c r="R128" t="s">
        <v>36</v>
      </c>
      <c r="S128" t="s">
        <v>36</v>
      </c>
      <c r="T128" t="s">
        <v>36</v>
      </c>
      <c r="U128" t="s">
        <v>36</v>
      </c>
      <c r="V128" t="s">
        <v>36</v>
      </c>
      <c r="W128" t="s">
        <v>36</v>
      </c>
      <c r="X128" t="s">
        <v>36</v>
      </c>
      <c r="Y128" t="s">
        <v>36</v>
      </c>
      <c r="Z128" t="s">
        <v>36</v>
      </c>
      <c r="AA128" t="s">
        <v>36</v>
      </c>
      <c r="AB128" t="s">
        <v>36</v>
      </c>
      <c r="AC128" t="s">
        <v>36</v>
      </c>
      <c r="AD128" t="s">
        <v>36</v>
      </c>
      <c r="AE128" t="s">
        <v>36</v>
      </c>
      <c r="AF128" t="s">
        <v>36</v>
      </c>
      <c r="AG128" t="s">
        <v>36</v>
      </c>
    </row>
    <row r="129" spans="1:33" hidden="1" x14ac:dyDescent="0.2">
      <c r="A129">
        <v>128</v>
      </c>
      <c r="B129" t="s">
        <v>133</v>
      </c>
      <c r="C129" t="s">
        <v>108</v>
      </c>
      <c r="D129">
        <v>37</v>
      </c>
      <c r="E129" t="s">
        <v>34</v>
      </c>
      <c r="F129" t="s">
        <v>38</v>
      </c>
      <c r="G129" t="s">
        <v>40</v>
      </c>
      <c r="H129">
        <v>60344</v>
      </c>
      <c r="I129">
        <v>0</v>
      </c>
      <c r="J129">
        <v>0</v>
      </c>
      <c r="K129">
        <v>1</v>
      </c>
      <c r="L129">
        <v>1</v>
      </c>
      <c r="M129" t="s">
        <v>36</v>
      </c>
      <c r="N129" t="s">
        <v>36</v>
      </c>
      <c r="O129" t="s">
        <v>36</v>
      </c>
      <c r="P129" t="s">
        <v>37</v>
      </c>
      <c r="Q129" t="s">
        <v>36</v>
      </c>
      <c r="R129" t="s">
        <v>36</v>
      </c>
      <c r="S129" t="s">
        <v>36</v>
      </c>
      <c r="T129" t="s">
        <v>36</v>
      </c>
      <c r="U129" t="s">
        <v>36</v>
      </c>
      <c r="V129" t="s">
        <v>36</v>
      </c>
      <c r="W129" t="s">
        <v>36</v>
      </c>
      <c r="X129" t="s">
        <v>36</v>
      </c>
      <c r="Y129" t="s">
        <v>36</v>
      </c>
      <c r="Z129" t="s">
        <v>36</v>
      </c>
      <c r="AA129" t="s">
        <v>36</v>
      </c>
      <c r="AB129" t="s">
        <v>36</v>
      </c>
      <c r="AC129" t="s">
        <v>36</v>
      </c>
      <c r="AD129" t="s">
        <v>36</v>
      </c>
      <c r="AE129" t="s">
        <v>36</v>
      </c>
      <c r="AF129" t="s">
        <v>36</v>
      </c>
      <c r="AG129" t="s">
        <v>36</v>
      </c>
    </row>
    <row r="130" spans="1:33" hidden="1" x14ac:dyDescent="0.2">
      <c r="A130">
        <v>129</v>
      </c>
      <c r="B130" t="s">
        <v>133</v>
      </c>
      <c r="C130" t="s">
        <v>108</v>
      </c>
      <c r="D130">
        <v>37</v>
      </c>
      <c r="E130" t="s">
        <v>34</v>
      </c>
      <c r="F130" t="s">
        <v>38</v>
      </c>
      <c r="G130" t="s">
        <v>39</v>
      </c>
      <c r="H130">
        <v>36206</v>
      </c>
      <c r="I130">
        <v>0</v>
      </c>
      <c r="J130">
        <v>0</v>
      </c>
      <c r="K130">
        <v>0</v>
      </c>
      <c r="L130">
        <v>1</v>
      </c>
      <c r="M130" t="s">
        <v>36</v>
      </c>
      <c r="N130" t="s">
        <v>36</v>
      </c>
      <c r="O130" t="s">
        <v>36</v>
      </c>
      <c r="P130" t="s">
        <v>37</v>
      </c>
      <c r="Q130" t="s">
        <v>36</v>
      </c>
      <c r="R130" t="s">
        <v>36</v>
      </c>
      <c r="S130" t="s">
        <v>36</v>
      </c>
      <c r="T130" t="s">
        <v>36</v>
      </c>
      <c r="U130" t="s">
        <v>36</v>
      </c>
      <c r="V130" t="s">
        <v>36</v>
      </c>
      <c r="W130" t="s">
        <v>36</v>
      </c>
      <c r="X130" t="s">
        <v>36</v>
      </c>
      <c r="Y130" t="s">
        <v>36</v>
      </c>
      <c r="Z130" t="s">
        <v>36</v>
      </c>
      <c r="AA130" t="s">
        <v>36</v>
      </c>
      <c r="AB130" t="s">
        <v>36</v>
      </c>
      <c r="AC130" t="s">
        <v>36</v>
      </c>
      <c r="AD130" t="s">
        <v>36</v>
      </c>
      <c r="AE130" t="s">
        <v>36</v>
      </c>
      <c r="AF130" t="s">
        <v>36</v>
      </c>
      <c r="AG130" t="s">
        <v>36</v>
      </c>
    </row>
    <row r="131" spans="1:33" x14ac:dyDescent="0.2">
      <c r="A131">
        <v>130</v>
      </c>
      <c r="B131" t="s">
        <v>133</v>
      </c>
      <c r="C131" t="s">
        <v>108</v>
      </c>
      <c r="D131">
        <v>37</v>
      </c>
      <c r="E131" t="s">
        <v>34</v>
      </c>
      <c r="F131" t="s">
        <v>41</v>
      </c>
      <c r="G131" t="s">
        <v>55</v>
      </c>
      <c r="H131">
        <v>53561</v>
      </c>
      <c r="I131">
        <v>0</v>
      </c>
      <c r="J131">
        <v>0</v>
      </c>
      <c r="K131">
        <v>0</v>
      </c>
      <c r="L131">
        <v>1</v>
      </c>
      <c r="M131" t="s">
        <v>56</v>
      </c>
      <c r="N131" t="s">
        <v>57</v>
      </c>
      <c r="O131" t="s">
        <v>84</v>
      </c>
      <c r="P131" t="s">
        <v>37</v>
      </c>
      <c r="Q131" t="s">
        <v>59</v>
      </c>
      <c r="R131" t="s">
        <v>48</v>
      </c>
      <c r="S131" t="s">
        <v>46</v>
      </c>
      <c r="T131">
        <v>0</v>
      </c>
      <c r="U131">
        <v>0</v>
      </c>
      <c r="V131">
        <v>1</v>
      </c>
      <c r="W131">
        <v>0</v>
      </c>
      <c r="X131">
        <v>1</v>
      </c>
      <c r="Y131">
        <v>0</v>
      </c>
      <c r="Z131">
        <v>1</v>
      </c>
      <c r="AA131">
        <v>0</v>
      </c>
      <c r="AB131">
        <v>0</v>
      </c>
      <c r="AC131">
        <v>0</v>
      </c>
      <c r="AD131">
        <v>0</v>
      </c>
      <c r="AE131">
        <v>0</v>
      </c>
      <c r="AF131">
        <v>0</v>
      </c>
      <c r="AG131">
        <v>1</v>
      </c>
    </row>
    <row r="132" spans="1:33" x14ac:dyDescent="0.2">
      <c r="A132">
        <v>131</v>
      </c>
      <c r="B132" t="s">
        <v>133</v>
      </c>
      <c r="C132" t="s">
        <v>108</v>
      </c>
      <c r="D132">
        <v>37</v>
      </c>
      <c r="E132" t="s">
        <v>34</v>
      </c>
      <c r="F132" t="s">
        <v>41</v>
      </c>
      <c r="G132" t="s">
        <v>42</v>
      </c>
      <c r="H132">
        <v>32417</v>
      </c>
      <c r="I132">
        <v>1</v>
      </c>
      <c r="J132">
        <v>1</v>
      </c>
      <c r="K132">
        <v>1</v>
      </c>
      <c r="L132">
        <v>0</v>
      </c>
      <c r="M132" t="s">
        <v>45</v>
      </c>
      <c r="N132" t="s">
        <v>82</v>
      </c>
      <c r="O132" t="s">
        <v>116</v>
      </c>
      <c r="P132" t="s">
        <v>37</v>
      </c>
      <c r="Q132" t="s">
        <v>48</v>
      </c>
      <c r="R132" t="s">
        <v>65</v>
      </c>
      <c r="S132" t="s">
        <v>60</v>
      </c>
      <c r="T132">
        <v>1</v>
      </c>
      <c r="U132">
        <v>1</v>
      </c>
      <c r="V132">
        <v>1</v>
      </c>
      <c r="W132">
        <v>0</v>
      </c>
      <c r="X132">
        <v>0</v>
      </c>
      <c r="Y132">
        <v>0</v>
      </c>
      <c r="Z132">
        <v>1</v>
      </c>
      <c r="AA132">
        <v>1</v>
      </c>
      <c r="AB132">
        <v>1</v>
      </c>
      <c r="AC132">
        <v>1</v>
      </c>
      <c r="AD132">
        <v>0</v>
      </c>
      <c r="AE132">
        <v>0</v>
      </c>
      <c r="AF132">
        <v>0</v>
      </c>
      <c r="AG132">
        <v>0</v>
      </c>
    </row>
    <row r="133" spans="1:33" hidden="1" x14ac:dyDescent="0.2">
      <c r="A133">
        <v>132</v>
      </c>
      <c r="B133" t="s">
        <v>133</v>
      </c>
      <c r="C133" t="s">
        <v>108</v>
      </c>
      <c r="D133">
        <v>37</v>
      </c>
      <c r="E133" t="s">
        <v>34</v>
      </c>
      <c r="F133" t="s">
        <v>53</v>
      </c>
      <c r="G133" t="s">
        <v>66</v>
      </c>
      <c r="H133">
        <v>26310</v>
      </c>
      <c r="I133">
        <v>1</v>
      </c>
      <c r="J133">
        <v>1</v>
      </c>
      <c r="K133">
        <v>0</v>
      </c>
      <c r="L133">
        <v>0</v>
      </c>
      <c r="M133" t="s">
        <v>36</v>
      </c>
      <c r="N133" t="s">
        <v>36</v>
      </c>
      <c r="O133" t="s">
        <v>36</v>
      </c>
      <c r="P133" t="s">
        <v>37</v>
      </c>
      <c r="Q133" t="s">
        <v>36</v>
      </c>
      <c r="R133" t="s">
        <v>36</v>
      </c>
      <c r="S133" t="s">
        <v>36</v>
      </c>
      <c r="T133" t="s">
        <v>36</v>
      </c>
      <c r="U133">
        <v>1</v>
      </c>
      <c r="V133">
        <v>1</v>
      </c>
      <c r="W133">
        <v>0</v>
      </c>
      <c r="X133">
        <v>0</v>
      </c>
      <c r="Y133">
        <v>0</v>
      </c>
      <c r="Z133">
        <v>1</v>
      </c>
      <c r="AA133">
        <v>1</v>
      </c>
      <c r="AB133">
        <v>1</v>
      </c>
      <c r="AC133">
        <v>1</v>
      </c>
      <c r="AD133">
        <v>0</v>
      </c>
      <c r="AE133">
        <v>0</v>
      </c>
      <c r="AF133">
        <v>0</v>
      </c>
      <c r="AG133">
        <v>0</v>
      </c>
    </row>
    <row r="134" spans="1:33" x14ac:dyDescent="0.2">
      <c r="A134">
        <v>133</v>
      </c>
      <c r="B134" t="s">
        <v>133</v>
      </c>
      <c r="C134" t="s">
        <v>108</v>
      </c>
      <c r="D134">
        <v>37</v>
      </c>
      <c r="E134" t="s">
        <v>34</v>
      </c>
      <c r="F134" t="s">
        <v>41</v>
      </c>
      <c r="G134" t="s">
        <v>72</v>
      </c>
      <c r="H134">
        <v>30680</v>
      </c>
      <c r="I134">
        <v>0</v>
      </c>
      <c r="J134">
        <v>0</v>
      </c>
      <c r="K134">
        <v>0</v>
      </c>
      <c r="L134">
        <v>1</v>
      </c>
      <c r="M134" t="s">
        <v>93</v>
      </c>
      <c r="N134" t="s">
        <v>75</v>
      </c>
      <c r="O134" t="s">
        <v>104</v>
      </c>
      <c r="P134" t="s">
        <v>37</v>
      </c>
      <c r="Q134" t="s">
        <v>59</v>
      </c>
      <c r="R134" t="s">
        <v>46</v>
      </c>
      <c r="S134" t="s">
        <v>60</v>
      </c>
      <c r="T134">
        <v>1</v>
      </c>
      <c r="U134">
        <v>0</v>
      </c>
      <c r="V134">
        <v>0</v>
      </c>
      <c r="W134">
        <v>0</v>
      </c>
      <c r="X134">
        <v>1</v>
      </c>
      <c r="Y134">
        <v>0</v>
      </c>
      <c r="Z134">
        <v>1</v>
      </c>
      <c r="AA134">
        <v>0</v>
      </c>
      <c r="AB134">
        <v>0</v>
      </c>
      <c r="AC134">
        <v>0</v>
      </c>
      <c r="AD134">
        <v>0</v>
      </c>
      <c r="AE134">
        <v>0</v>
      </c>
      <c r="AF134">
        <v>0</v>
      </c>
      <c r="AG134">
        <v>1</v>
      </c>
    </row>
    <row r="135" spans="1:33" x14ac:dyDescent="0.2">
      <c r="A135">
        <v>134</v>
      </c>
      <c r="B135" t="s">
        <v>133</v>
      </c>
      <c r="C135" t="s">
        <v>108</v>
      </c>
      <c r="D135">
        <v>37</v>
      </c>
      <c r="E135" t="s">
        <v>34</v>
      </c>
      <c r="F135" t="s">
        <v>41</v>
      </c>
      <c r="G135" t="s">
        <v>61</v>
      </c>
      <c r="H135">
        <v>18313</v>
      </c>
      <c r="I135">
        <v>1</v>
      </c>
      <c r="J135">
        <v>0</v>
      </c>
      <c r="K135">
        <v>0</v>
      </c>
      <c r="L135">
        <v>0</v>
      </c>
      <c r="M135" t="s">
        <v>62</v>
      </c>
      <c r="N135" t="s">
        <v>63</v>
      </c>
      <c r="O135" t="s">
        <v>97</v>
      </c>
      <c r="P135" t="s">
        <v>37</v>
      </c>
      <c r="Q135" t="s">
        <v>65</v>
      </c>
      <c r="R135" t="s">
        <v>46</v>
      </c>
      <c r="S135" t="s">
        <v>59</v>
      </c>
      <c r="T135">
        <v>0</v>
      </c>
      <c r="U135">
        <v>1</v>
      </c>
      <c r="V135">
        <v>0</v>
      </c>
      <c r="W135">
        <v>0</v>
      </c>
      <c r="X135">
        <v>1</v>
      </c>
      <c r="Y135">
        <v>0</v>
      </c>
      <c r="Z135">
        <v>1</v>
      </c>
      <c r="AA135">
        <v>0</v>
      </c>
      <c r="AB135">
        <v>1</v>
      </c>
      <c r="AC135">
        <v>0</v>
      </c>
      <c r="AD135">
        <v>0</v>
      </c>
      <c r="AE135">
        <v>0</v>
      </c>
      <c r="AF135">
        <v>0</v>
      </c>
      <c r="AG135">
        <v>0</v>
      </c>
    </row>
    <row r="136" spans="1:33" hidden="1" x14ac:dyDescent="0.2">
      <c r="A136">
        <v>135</v>
      </c>
      <c r="B136" t="s">
        <v>133</v>
      </c>
      <c r="C136" t="s">
        <v>108</v>
      </c>
      <c r="D136">
        <v>37</v>
      </c>
      <c r="E136" t="s">
        <v>34</v>
      </c>
      <c r="F136" t="s">
        <v>53</v>
      </c>
      <c r="G136" t="s">
        <v>71</v>
      </c>
      <c r="H136">
        <v>24226</v>
      </c>
      <c r="I136">
        <v>0</v>
      </c>
      <c r="J136">
        <v>0</v>
      </c>
      <c r="K136">
        <v>0</v>
      </c>
      <c r="L136">
        <v>1</v>
      </c>
      <c r="M136" t="s">
        <v>36</v>
      </c>
      <c r="N136" t="s">
        <v>36</v>
      </c>
      <c r="O136" t="s">
        <v>36</v>
      </c>
      <c r="P136" t="s">
        <v>37</v>
      </c>
      <c r="Q136" t="s">
        <v>36</v>
      </c>
      <c r="R136" t="s">
        <v>36</v>
      </c>
      <c r="S136" t="s">
        <v>36</v>
      </c>
      <c r="T136" t="s">
        <v>36</v>
      </c>
      <c r="U136">
        <v>1</v>
      </c>
      <c r="V136">
        <v>0</v>
      </c>
      <c r="W136">
        <v>0</v>
      </c>
      <c r="X136">
        <v>1</v>
      </c>
      <c r="Y136">
        <v>0</v>
      </c>
      <c r="Z136">
        <v>1</v>
      </c>
      <c r="AA136">
        <v>0</v>
      </c>
      <c r="AB136">
        <v>1</v>
      </c>
      <c r="AC136">
        <v>0</v>
      </c>
      <c r="AD136">
        <v>0</v>
      </c>
      <c r="AE136">
        <v>0</v>
      </c>
      <c r="AF136">
        <v>0</v>
      </c>
      <c r="AG136">
        <v>0</v>
      </c>
    </row>
    <row r="137" spans="1:33" x14ac:dyDescent="0.2">
      <c r="A137">
        <v>136</v>
      </c>
      <c r="B137" t="s">
        <v>133</v>
      </c>
      <c r="C137" t="s">
        <v>108</v>
      </c>
      <c r="D137">
        <v>37</v>
      </c>
      <c r="E137" t="s">
        <v>34</v>
      </c>
      <c r="F137" t="s">
        <v>41</v>
      </c>
      <c r="G137" t="s">
        <v>49</v>
      </c>
      <c r="H137">
        <v>14200</v>
      </c>
      <c r="I137">
        <v>0</v>
      </c>
      <c r="J137">
        <v>0</v>
      </c>
      <c r="K137">
        <v>1</v>
      </c>
      <c r="L137">
        <v>0</v>
      </c>
      <c r="M137" t="s">
        <v>83</v>
      </c>
      <c r="N137" t="s">
        <v>95</v>
      </c>
      <c r="O137" t="s">
        <v>51</v>
      </c>
      <c r="P137" t="s">
        <v>37</v>
      </c>
      <c r="Q137" t="s">
        <v>59</v>
      </c>
      <c r="R137" t="s">
        <v>60</v>
      </c>
      <c r="S137" t="s">
        <v>47</v>
      </c>
      <c r="T137">
        <v>1</v>
      </c>
      <c r="U137">
        <v>0</v>
      </c>
      <c r="V137">
        <v>0</v>
      </c>
      <c r="W137">
        <v>1</v>
      </c>
      <c r="X137">
        <v>0</v>
      </c>
      <c r="Y137">
        <v>0</v>
      </c>
      <c r="Z137">
        <v>1</v>
      </c>
      <c r="AA137">
        <v>0</v>
      </c>
      <c r="AB137">
        <v>0</v>
      </c>
      <c r="AC137">
        <v>0</v>
      </c>
      <c r="AD137">
        <v>1</v>
      </c>
      <c r="AE137">
        <v>0</v>
      </c>
      <c r="AF137">
        <v>0</v>
      </c>
      <c r="AG137">
        <v>0</v>
      </c>
    </row>
    <row r="138" spans="1:33" hidden="1" x14ac:dyDescent="0.2">
      <c r="A138">
        <v>137</v>
      </c>
      <c r="B138" t="s">
        <v>133</v>
      </c>
      <c r="C138" t="s">
        <v>108</v>
      </c>
      <c r="D138">
        <v>37</v>
      </c>
      <c r="E138" t="s">
        <v>34</v>
      </c>
      <c r="F138" t="s">
        <v>53</v>
      </c>
      <c r="G138" t="s">
        <v>54</v>
      </c>
      <c r="H138">
        <v>19224</v>
      </c>
      <c r="I138">
        <v>1</v>
      </c>
      <c r="J138">
        <v>0</v>
      </c>
      <c r="K138">
        <v>0</v>
      </c>
      <c r="L138">
        <v>0</v>
      </c>
      <c r="M138" t="s">
        <v>36</v>
      </c>
      <c r="N138" t="s">
        <v>36</v>
      </c>
      <c r="O138" t="s">
        <v>36</v>
      </c>
      <c r="P138" t="s">
        <v>37</v>
      </c>
      <c r="Q138" t="s">
        <v>36</v>
      </c>
      <c r="R138" t="s">
        <v>36</v>
      </c>
      <c r="S138" t="s">
        <v>36</v>
      </c>
      <c r="T138" t="s">
        <v>36</v>
      </c>
      <c r="U138">
        <v>0</v>
      </c>
      <c r="V138">
        <v>0</v>
      </c>
      <c r="W138">
        <v>1</v>
      </c>
      <c r="X138">
        <v>0</v>
      </c>
      <c r="Y138">
        <v>0</v>
      </c>
      <c r="Z138">
        <v>1</v>
      </c>
      <c r="AA138">
        <v>0</v>
      </c>
      <c r="AB138">
        <v>0</v>
      </c>
      <c r="AC138">
        <v>0</v>
      </c>
      <c r="AD138">
        <v>1</v>
      </c>
      <c r="AE138">
        <v>0</v>
      </c>
      <c r="AF138">
        <v>0</v>
      </c>
      <c r="AG138">
        <v>0</v>
      </c>
    </row>
    <row r="139" spans="1:33" x14ac:dyDescent="0.2">
      <c r="A139">
        <v>138</v>
      </c>
      <c r="B139" t="s">
        <v>133</v>
      </c>
      <c r="C139" t="s">
        <v>108</v>
      </c>
      <c r="D139">
        <v>37</v>
      </c>
      <c r="E139" t="s">
        <v>34</v>
      </c>
      <c r="F139" t="s">
        <v>41</v>
      </c>
      <c r="G139" t="s">
        <v>67</v>
      </c>
      <c r="H139">
        <v>10629</v>
      </c>
      <c r="I139">
        <v>0</v>
      </c>
      <c r="J139">
        <v>0</v>
      </c>
      <c r="K139">
        <v>1</v>
      </c>
      <c r="L139">
        <v>0</v>
      </c>
      <c r="M139" t="s">
        <v>69</v>
      </c>
      <c r="N139" t="s">
        <v>70</v>
      </c>
      <c r="O139" t="s">
        <v>68</v>
      </c>
      <c r="P139" t="s">
        <v>37</v>
      </c>
      <c r="Q139" t="s">
        <v>48</v>
      </c>
      <c r="R139" t="s">
        <v>47</v>
      </c>
      <c r="S139" t="s">
        <v>65</v>
      </c>
      <c r="T139">
        <v>0</v>
      </c>
      <c r="U139">
        <v>1</v>
      </c>
      <c r="V139">
        <v>1</v>
      </c>
      <c r="W139">
        <v>1</v>
      </c>
      <c r="X139">
        <v>0</v>
      </c>
      <c r="Y139">
        <v>0</v>
      </c>
      <c r="Z139">
        <v>1</v>
      </c>
      <c r="AA139">
        <v>0</v>
      </c>
      <c r="AB139">
        <v>1</v>
      </c>
      <c r="AC139">
        <v>0</v>
      </c>
      <c r="AD139">
        <v>0</v>
      </c>
      <c r="AE139">
        <v>0</v>
      </c>
      <c r="AF139">
        <v>0</v>
      </c>
      <c r="AG139">
        <v>0</v>
      </c>
    </row>
    <row r="140" spans="1:33" hidden="1" x14ac:dyDescent="0.2">
      <c r="A140">
        <v>139</v>
      </c>
      <c r="B140" t="s">
        <v>133</v>
      </c>
      <c r="C140" t="s">
        <v>108</v>
      </c>
      <c r="D140">
        <v>37</v>
      </c>
      <c r="E140" t="s">
        <v>34</v>
      </c>
      <c r="F140" t="s">
        <v>53</v>
      </c>
      <c r="G140" t="s">
        <v>76</v>
      </c>
      <c r="H140">
        <v>17427</v>
      </c>
      <c r="I140">
        <v>1</v>
      </c>
      <c r="J140">
        <v>0</v>
      </c>
      <c r="K140">
        <v>0</v>
      </c>
      <c r="L140">
        <v>0</v>
      </c>
      <c r="M140" t="s">
        <v>36</v>
      </c>
      <c r="N140" t="s">
        <v>36</v>
      </c>
      <c r="O140" t="s">
        <v>36</v>
      </c>
      <c r="P140" t="s">
        <v>37</v>
      </c>
      <c r="Q140" t="s">
        <v>36</v>
      </c>
      <c r="R140" t="s">
        <v>36</v>
      </c>
      <c r="S140" t="s">
        <v>36</v>
      </c>
      <c r="T140" t="s">
        <v>36</v>
      </c>
      <c r="U140">
        <v>1</v>
      </c>
      <c r="V140">
        <v>1</v>
      </c>
      <c r="W140">
        <v>1</v>
      </c>
      <c r="X140">
        <v>0</v>
      </c>
      <c r="Y140">
        <v>0</v>
      </c>
      <c r="Z140">
        <v>1</v>
      </c>
      <c r="AA140">
        <v>0</v>
      </c>
      <c r="AB140">
        <v>1</v>
      </c>
      <c r="AC140">
        <v>0</v>
      </c>
      <c r="AD140">
        <v>0</v>
      </c>
      <c r="AE140">
        <v>0</v>
      </c>
      <c r="AF140">
        <v>0</v>
      </c>
      <c r="AG140">
        <v>0</v>
      </c>
    </row>
    <row r="141" spans="1:33" hidden="1" x14ac:dyDescent="0.2">
      <c r="A141">
        <v>140</v>
      </c>
      <c r="B141" t="s">
        <v>133</v>
      </c>
      <c r="C141" t="s">
        <v>108</v>
      </c>
      <c r="D141">
        <v>37</v>
      </c>
      <c r="E141" t="s">
        <v>34</v>
      </c>
      <c r="F141" t="s">
        <v>77</v>
      </c>
      <c r="G141" t="s">
        <v>36</v>
      </c>
      <c r="H141">
        <v>29400</v>
      </c>
      <c r="I141" t="s">
        <v>134</v>
      </c>
      <c r="J141" t="s">
        <v>135</v>
      </c>
      <c r="K141" t="s">
        <v>136</v>
      </c>
      <c r="L141" t="s">
        <v>36</v>
      </c>
      <c r="M141" t="s">
        <v>36</v>
      </c>
      <c r="N141" t="s">
        <v>36</v>
      </c>
      <c r="O141" t="s">
        <v>36</v>
      </c>
      <c r="P141" t="s">
        <v>37</v>
      </c>
      <c r="Q141" t="s">
        <v>36</v>
      </c>
      <c r="R141" t="s">
        <v>36</v>
      </c>
      <c r="S141" t="s">
        <v>36</v>
      </c>
      <c r="T141" t="s">
        <v>36</v>
      </c>
      <c r="U141" t="s">
        <v>36</v>
      </c>
      <c r="V141" t="s">
        <v>36</v>
      </c>
      <c r="W141" t="s">
        <v>36</v>
      </c>
      <c r="X141" t="s">
        <v>36</v>
      </c>
      <c r="Y141" t="s">
        <v>36</v>
      </c>
      <c r="Z141" t="s">
        <v>36</v>
      </c>
      <c r="AA141" t="s">
        <v>36</v>
      </c>
      <c r="AB141" t="s">
        <v>36</v>
      </c>
      <c r="AC141" t="s">
        <v>36</v>
      </c>
      <c r="AD141" t="s">
        <v>36</v>
      </c>
      <c r="AE141" t="s">
        <v>36</v>
      </c>
      <c r="AF141" t="s">
        <v>36</v>
      </c>
      <c r="AG141" t="s">
        <v>36</v>
      </c>
    </row>
    <row r="142" spans="1:33" hidden="1" x14ac:dyDescent="0.2">
      <c r="A142">
        <v>141</v>
      </c>
      <c r="B142" t="s">
        <v>137</v>
      </c>
      <c r="C142" t="s">
        <v>108</v>
      </c>
      <c r="D142">
        <v>47</v>
      </c>
      <c r="E142" t="s">
        <v>34</v>
      </c>
      <c r="F142" t="s">
        <v>35</v>
      </c>
      <c r="G142" t="s">
        <v>36</v>
      </c>
      <c r="H142">
        <v>14658</v>
      </c>
      <c r="I142" t="s">
        <v>36</v>
      </c>
      <c r="J142" t="s">
        <v>36</v>
      </c>
      <c r="K142" t="s">
        <v>36</v>
      </c>
      <c r="L142" t="s">
        <v>36</v>
      </c>
      <c r="M142" t="s">
        <v>36</v>
      </c>
      <c r="N142" t="s">
        <v>36</v>
      </c>
      <c r="O142" t="s">
        <v>36</v>
      </c>
      <c r="P142" t="s">
        <v>37</v>
      </c>
      <c r="Q142" t="s">
        <v>36</v>
      </c>
      <c r="R142" t="s">
        <v>36</v>
      </c>
      <c r="S142" t="s">
        <v>36</v>
      </c>
      <c r="T142" t="s">
        <v>36</v>
      </c>
      <c r="U142" t="s">
        <v>36</v>
      </c>
      <c r="V142" t="s">
        <v>36</v>
      </c>
      <c r="W142" t="s">
        <v>36</v>
      </c>
      <c r="X142" t="s">
        <v>36</v>
      </c>
      <c r="Y142" t="s">
        <v>36</v>
      </c>
      <c r="Z142" t="s">
        <v>36</v>
      </c>
      <c r="AA142" t="s">
        <v>36</v>
      </c>
      <c r="AB142" t="s">
        <v>36</v>
      </c>
      <c r="AC142" t="s">
        <v>36</v>
      </c>
      <c r="AD142" t="s">
        <v>36</v>
      </c>
      <c r="AE142" t="s">
        <v>36</v>
      </c>
      <c r="AF142" t="s">
        <v>36</v>
      </c>
      <c r="AG142" t="s">
        <v>36</v>
      </c>
    </row>
    <row r="143" spans="1:33" hidden="1" x14ac:dyDescent="0.2">
      <c r="A143">
        <v>142</v>
      </c>
      <c r="B143" t="s">
        <v>137</v>
      </c>
      <c r="C143" t="s">
        <v>108</v>
      </c>
      <c r="D143">
        <v>47</v>
      </c>
      <c r="E143" t="s">
        <v>34</v>
      </c>
      <c r="F143" t="s">
        <v>38</v>
      </c>
      <c r="G143" t="s">
        <v>40</v>
      </c>
      <c r="H143">
        <v>21589</v>
      </c>
      <c r="I143">
        <v>0</v>
      </c>
      <c r="J143">
        <v>0</v>
      </c>
      <c r="K143">
        <v>1</v>
      </c>
      <c r="L143">
        <v>0</v>
      </c>
      <c r="M143" t="s">
        <v>36</v>
      </c>
      <c r="N143" t="s">
        <v>36</v>
      </c>
      <c r="O143" t="s">
        <v>36</v>
      </c>
      <c r="P143" t="s">
        <v>37</v>
      </c>
      <c r="Q143" t="s">
        <v>36</v>
      </c>
      <c r="R143" t="s">
        <v>36</v>
      </c>
      <c r="S143" t="s">
        <v>36</v>
      </c>
      <c r="T143" t="s">
        <v>36</v>
      </c>
      <c r="U143" t="s">
        <v>36</v>
      </c>
      <c r="V143" t="s">
        <v>36</v>
      </c>
      <c r="W143" t="s">
        <v>36</v>
      </c>
      <c r="X143" t="s">
        <v>36</v>
      </c>
      <c r="Y143" t="s">
        <v>36</v>
      </c>
      <c r="Z143" t="s">
        <v>36</v>
      </c>
      <c r="AA143" t="s">
        <v>36</v>
      </c>
      <c r="AB143" t="s">
        <v>36</v>
      </c>
      <c r="AC143" t="s">
        <v>36</v>
      </c>
      <c r="AD143" t="s">
        <v>36</v>
      </c>
      <c r="AE143" t="s">
        <v>36</v>
      </c>
      <c r="AF143" t="s">
        <v>36</v>
      </c>
      <c r="AG143" t="s">
        <v>36</v>
      </c>
    </row>
    <row r="144" spans="1:33" hidden="1" x14ac:dyDescent="0.2">
      <c r="A144">
        <v>143</v>
      </c>
      <c r="B144" t="s">
        <v>137</v>
      </c>
      <c r="C144" t="s">
        <v>108</v>
      </c>
      <c r="D144">
        <v>47</v>
      </c>
      <c r="E144" t="s">
        <v>34</v>
      </c>
      <c r="F144" t="s">
        <v>38</v>
      </c>
      <c r="G144" t="s">
        <v>39</v>
      </c>
      <c r="H144">
        <v>25271</v>
      </c>
      <c r="I144">
        <v>0</v>
      </c>
      <c r="J144">
        <v>0</v>
      </c>
      <c r="K144">
        <v>0</v>
      </c>
      <c r="L144">
        <v>1</v>
      </c>
      <c r="M144" t="s">
        <v>36</v>
      </c>
      <c r="N144" t="s">
        <v>36</v>
      </c>
      <c r="O144" t="s">
        <v>36</v>
      </c>
      <c r="P144" t="s">
        <v>37</v>
      </c>
      <c r="Q144" t="s">
        <v>36</v>
      </c>
      <c r="R144" t="s">
        <v>36</v>
      </c>
      <c r="S144" t="s">
        <v>36</v>
      </c>
      <c r="T144" t="s">
        <v>36</v>
      </c>
      <c r="U144" t="s">
        <v>36</v>
      </c>
      <c r="V144" t="s">
        <v>36</v>
      </c>
      <c r="W144" t="s">
        <v>36</v>
      </c>
      <c r="X144" t="s">
        <v>36</v>
      </c>
      <c r="Y144" t="s">
        <v>36</v>
      </c>
      <c r="Z144" t="s">
        <v>36</v>
      </c>
      <c r="AA144" t="s">
        <v>36</v>
      </c>
      <c r="AB144" t="s">
        <v>36</v>
      </c>
      <c r="AC144" t="s">
        <v>36</v>
      </c>
      <c r="AD144" t="s">
        <v>36</v>
      </c>
      <c r="AE144" t="s">
        <v>36</v>
      </c>
      <c r="AF144" t="s">
        <v>36</v>
      </c>
      <c r="AG144" t="s">
        <v>36</v>
      </c>
    </row>
    <row r="145" spans="1:33" x14ac:dyDescent="0.2">
      <c r="A145">
        <v>144</v>
      </c>
      <c r="B145" t="s">
        <v>137</v>
      </c>
      <c r="C145" t="s">
        <v>108</v>
      </c>
      <c r="D145">
        <v>47</v>
      </c>
      <c r="E145" t="s">
        <v>34</v>
      </c>
      <c r="F145" t="s">
        <v>41</v>
      </c>
      <c r="G145" t="s">
        <v>55</v>
      </c>
      <c r="H145">
        <v>34307</v>
      </c>
      <c r="I145">
        <v>0</v>
      </c>
      <c r="J145">
        <v>0</v>
      </c>
      <c r="K145">
        <v>0</v>
      </c>
      <c r="L145">
        <v>1</v>
      </c>
      <c r="M145" t="s">
        <v>56</v>
      </c>
      <c r="N145" t="s">
        <v>84</v>
      </c>
      <c r="O145" t="s">
        <v>85</v>
      </c>
      <c r="P145" t="s">
        <v>37</v>
      </c>
      <c r="Q145" t="s">
        <v>59</v>
      </c>
      <c r="R145" t="s">
        <v>46</v>
      </c>
      <c r="S145" t="s">
        <v>65</v>
      </c>
      <c r="T145">
        <v>0</v>
      </c>
      <c r="U145">
        <v>1</v>
      </c>
      <c r="V145">
        <v>0</v>
      </c>
      <c r="W145">
        <v>0</v>
      </c>
      <c r="X145">
        <v>1</v>
      </c>
      <c r="Y145">
        <v>0</v>
      </c>
      <c r="Z145">
        <v>1</v>
      </c>
      <c r="AA145">
        <v>0</v>
      </c>
      <c r="AB145">
        <v>0</v>
      </c>
      <c r="AC145">
        <v>0</v>
      </c>
      <c r="AD145">
        <v>0</v>
      </c>
      <c r="AE145">
        <v>0</v>
      </c>
      <c r="AF145">
        <v>0</v>
      </c>
      <c r="AG145">
        <v>1</v>
      </c>
    </row>
    <row r="146" spans="1:33" hidden="1" x14ac:dyDescent="0.2">
      <c r="A146">
        <v>145</v>
      </c>
      <c r="B146" t="s">
        <v>137</v>
      </c>
      <c r="C146" t="s">
        <v>108</v>
      </c>
      <c r="D146">
        <v>47</v>
      </c>
      <c r="E146" t="s">
        <v>34</v>
      </c>
      <c r="F146" t="s">
        <v>53</v>
      </c>
      <c r="G146" t="s">
        <v>54</v>
      </c>
      <c r="H146">
        <v>26783</v>
      </c>
      <c r="I146">
        <v>0</v>
      </c>
      <c r="J146">
        <v>0</v>
      </c>
      <c r="K146">
        <v>0</v>
      </c>
      <c r="L146">
        <v>1</v>
      </c>
      <c r="M146" t="s">
        <v>36</v>
      </c>
      <c r="N146" t="s">
        <v>36</v>
      </c>
      <c r="O146" t="s">
        <v>36</v>
      </c>
      <c r="P146" t="s">
        <v>37</v>
      </c>
      <c r="Q146" t="s">
        <v>36</v>
      </c>
      <c r="R146" t="s">
        <v>36</v>
      </c>
      <c r="S146" t="s">
        <v>36</v>
      </c>
      <c r="T146" t="s">
        <v>36</v>
      </c>
      <c r="U146">
        <v>1</v>
      </c>
      <c r="V146">
        <v>0</v>
      </c>
      <c r="W146">
        <v>0</v>
      </c>
      <c r="X146">
        <v>1</v>
      </c>
      <c r="Y146">
        <v>0</v>
      </c>
      <c r="Z146">
        <v>1</v>
      </c>
      <c r="AA146">
        <v>0</v>
      </c>
      <c r="AB146">
        <v>0</v>
      </c>
      <c r="AC146">
        <v>0</v>
      </c>
      <c r="AD146">
        <v>0</v>
      </c>
      <c r="AE146">
        <v>0</v>
      </c>
      <c r="AF146">
        <v>0</v>
      </c>
      <c r="AG146">
        <v>1</v>
      </c>
    </row>
    <row r="147" spans="1:33" x14ac:dyDescent="0.2">
      <c r="A147">
        <v>146</v>
      </c>
      <c r="B147" t="s">
        <v>137</v>
      </c>
      <c r="C147" t="s">
        <v>108</v>
      </c>
      <c r="D147">
        <v>47</v>
      </c>
      <c r="E147" t="s">
        <v>34</v>
      </c>
      <c r="F147" t="s">
        <v>41</v>
      </c>
      <c r="G147" t="s">
        <v>49</v>
      </c>
      <c r="H147">
        <v>17611</v>
      </c>
      <c r="I147">
        <v>1</v>
      </c>
      <c r="J147">
        <v>0</v>
      </c>
      <c r="K147">
        <v>0</v>
      </c>
      <c r="L147">
        <v>0</v>
      </c>
      <c r="M147" t="s">
        <v>96</v>
      </c>
      <c r="N147" t="s">
        <v>50</v>
      </c>
      <c r="O147" t="s">
        <v>51</v>
      </c>
      <c r="P147" t="s">
        <v>37</v>
      </c>
      <c r="Q147" t="s">
        <v>65</v>
      </c>
      <c r="R147" t="s">
        <v>48</v>
      </c>
      <c r="S147" t="s">
        <v>47</v>
      </c>
      <c r="T147">
        <v>0</v>
      </c>
      <c r="U147">
        <v>1</v>
      </c>
      <c r="V147">
        <v>1</v>
      </c>
      <c r="W147">
        <v>1</v>
      </c>
      <c r="X147">
        <v>0</v>
      </c>
      <c r="Y147">
        <v>0</v>
      </c>
      <c r="Z147">
        <v>1</v>
      </c>
      <c r="AA147">
        <v>0</v>
      </c>
      <c r="AB147">
        <v>1</v>
      </c>
      <c r="AC147">
        <v>0</v>
      </c>
      <c r="AD147">
        <v>0</v>
      </c>
      <c r="AE147">
        <v>0</v>
      </c>
      <c r="AF147">
        <v>0</v>
      </c>
      <c r="AG147">
        <v>0</v>
      </c>
    </row>
    <row r="148" spans="1:33" x14ac:dyDescent="0.2">
      <c r="A148">
        <v>147</v>
      </c>
      <c r="B148" t="s">
        <v>137</v>
      </c>
      <c r="C148" t="s">
        <v>108</v>
      </c>
      <c r="D148">
        <v>47</v>
      </c>
      <c r="E148" t="s">
        <v>34</v>
      </c>
      <c r="F148" t="s">
        <v>41</v>
      </c>
      <c r="G148" t="s">
        <v>72</v>
      </c>
      <c r="H148">
        <v>18769</v>
      </c>
      <c r="I148">
        <v>0</v>
      </c>
      <c r="J148">
        <v>0</v>
      </c>
      <c r="K148">
        <v>0</v>
      </c>
      <c r="L148">
        <v>1</v>
      </c>
      <c r="M148" t="s">
        <v>74</v>
      </c>
      <c r="N148" t="s">
        <v>73</v>
      </c>
      <c r="O148" t="s">
        <v>115</v>
      </c>
      <c r="P148" t="s">
        <v>37</v>
      </c>
      <c r="Q148" t="s">
        <v>47</v>
      </c>
      <c r="R148" t="s">
        <v>48</v>
      </c>
      <c r="S148" t="s">
        <v>65</v>
      </c>
      <c r="T148">
        <v>0</v>
      </c>
      <c r="U148">
        <v>1</v>
      </c>
      <c r="V148">
        <v>1</v>
      </c>
      <c r="W148">
        <v>1</v>
      </c>
      <c r="X148">
        <v>0</v>
      </c>
      <c r="Y148">
        <v>0</v>
      </c>
      <c r="Z148">
        <v>1</v>
      </c>
      <c r="AA148">
        <v>0</v>
      </c>
      <c r="AB148">
        <v>0</v>
      </c>
      <c r="AC148">
        <v>0</v>
      </c>
      <c r="AD148">
        <v>0</v>
      </c>
      <c r="AE148">
        <v>0</v>
      </c>
      <c r="AF148">
        <v>0</v>
      </c>
      <c r="AG148">
        <v>1</v>
      </c>
    </row>
    <row r="149" spans="1:33" hidden="1" x14ac:dyDescent="0.2">
      <c r="A149">
        <v>148</v>
      </c>
      <c r="B149" t="s">
        <v>137</v>
      </c>
      <c r="C149" t="s">
        <v>108</v>
      </c>
      <c r="D149">
        <v>47</v>
      </c>
      <c r="E149" t="s">
        <v>34</v>
      </c>
      <c r="F149" t="s">
        <v>53</v>
      </c>
      <c r="G149" t="s">
        <v>66</v>
      </c>
      <c r="H149">
        <v>13825</v>
      </c>
      <c r="I149">
        <v>1</v>
      </c>
      <c r="J149">
        <v>1</v>
      </c>
      <c r="K149">
        <v>0</v>
      </c>
      <c r="L149">
        <v>0</v>
      </c>
      <c r="M149" t="s">
        <v>36</v>
      </c>
      <c r="N149" t="s">
        <v>36</v>
      </c>
      <c r="O149" t="s">
        <v>36</v>
      </c>
      <c r="P149" t="s">
        <v>37</v>
      </c>
      <c r="Q149" t="s">
        <v>36</v>
      </c>
      <c r="R149" t="s">
        <v>36</v>
      </c>
      <c r="S149" t="s">
        <v>36</v>
      </c>
      <c r="T149" t="s">
        <v>36</v>
      </c>
      <c r="U149">
        <v>1</v>
      </c>
      <c r="V149">
        <v>1</v>
      </c>
      <c r="W149">
        <v>1</v>
      </c>
      <c r="X149">
        <v>0</v>
      </c>
      <c r="Y149">
        <v>0</v>
      </c>
      <c r="Z149">
        <v>1</v>
      </c>
      <c r="AA149">
        <v>0</v>
      </c>
      <c r="AB149">
        <v>0</v>
      </c>
      <c r="AC149">
        <v>0</v>
      </c>
      <c r="AD149">
        <v>0</v>
      </c>
      <c r="AE149">
        <v>0</v>
      </c>
      <c r="AF149">
        <v>0</v>
      </c>
      <c r="AG149">
        <v>1</v>
      </c>
    </row>
    <row r="150" spans="1:33" x14ac:dyDescent="0.2">
      <c r="A150">
        <v>149</v>
      </c>
      <c r="B150" t="s">
        <v>137</v>
      </c>
      <c r="C150" t="s">
        <v>108</v>
      </c>
      <c r="D150">
        <v>47</v>
      </c>
      <c r="E150" t="s">
        <v>34</v>
      </c>
      <c r="F150" t="s">
        <v>41</v>
      </c>
      <c r="G150" t="s">
        <v>61</v>
      </c>
      <c r="H150">
        <v>5137</v>
      </c>
      <c r="I150">
        <v>0</v>
      </c>
      <c r="J150">
        <v>0</v>
      </c>
      <c r="K150">
        <v>0</v>
      </c>
      <c r="L150">
        <v>1</v>
      </c>
      <c r="M150" t="s">
        <v>62</v>
      </c>
      <c r="N150" t="s">
        <v>63</v>
      </c>
      <c r="O150" t="s">
        <v>97</v>
      </c>
      <c r="P150" t="s">
        <v>37</v>
      </c>
      <c r="Q150" t="s">
        <v>65</v>
      </c>
      <c r="R150" t="s">
        <v>46</v>
      </c>
      <c r="S150" t="s">
        <v>59</v>
      </c>
      <c r="T150">
        <v>0</v>
      </c>
      <c r="U150">
        <v>1</v>
      </c>
      <c r="V150">
        <v>0</v>
      </c>
      <c r="W150">
        <v>0</v>
      </c>
      <c r="X150">
        <v>1</v>
      </c>
      <c r="Y150">
        <v>0</v>
      </c>
      <c r="Z150">
        <v>1</v>
      </c>
      <c r="AA150">
        <v>0</v>
      </c>
      <c r="AB150">
        <v>0</v>
      </c>
      <c r="AC150">
        <v>0</v>
      </c>
      <c r="AD150">
        <v>0</v>
      </c>
      <c r="AE150">
        <v>0</v>
      </c>
      <c r="AF150">
        <v>0</v>
      </c>
      <c r="AG150">
        <v>1</v>
      </c>
    </row>
    <row r="151" spans="1:33" hidden="1" x14ac:dyDescent="0.2">
      <c r="A151">
        <v>150</v>
      </c>
      <c r="B151" t="s">
        <v>137</v>
      </c>
      <c r="C151" t="s">
        <v>108</v>
      </c>
      <c r="D151">
        <v>47</v>
      </c>
      <c r="E151" t="s">
        <v>34</v>
      </c>
      <c r="F151" t="s">
        <v>53</v>
      </c>
      <c r="G151" t="s">
        <v>76</v>
      </c>
      <c r="H151">
        <v>15545</v>
      </c>
      <c r="I151">
        <v>1</v>
      </c>
      <c r="J151">
        <v>1</v>
      </c>
      <c r="K151">
        <v>0</v>
      </c>
      <c r="L151">
        <v>0</v>
      </c>
      <c r="M151" t="s">
        <v>36</v>
      </c>
      <c r="N151" t="s">
        <v>36</v>
      </c>
      <c r="O151" t="s">
        <v>36</v>
      </c>
      <c r="P151" t="s">
        <v>37</v>
      </c>
      <c r="Q151" t="s">
        <v>36</v>
      </c>
      <c r="R151" t="s">
        <v>36</v>
      </c>
      <c r="S151" t="s">
        <v>36</v>
      </c>
      <c r="T151" t="s">
        <v>36</v>
      </c>
      <c r="U151">
        <v>1</v>
      </c>
      <c r="V151">
        <v>0</v>
      </c>
      <c r="W151">
        <v>0</v>
      </c>
      <c r="X151">
        <v>1</v>
      </c>
      <c r="Y151">
        <v>0</v>
      </c>
      <c r="Z151">
        <v>1</v>
      </c>
      <c r="AA151">
        <v>0</v>
      </c>
      <c r="AB151">
        <v>0</v>
      </c>
      <c r="AC151">
        <v>0</v>
      </c>
      <c r="AD151">
        <v>0</v>
      </c>
      <c r="AE151">
        <v>0</v>
      </c>
      <c r="AF151">
        <v>0</v>
      </c>
      <c r="AG151">
        <v>1</v>
      </c>
    </row>
    <row r="152" spans="1:33" x14ac:dyDescent="0.2">
      <c r="A152">
        <v>151</v>
      </c>
      <c r="B152" t="s">
        <v>137</v>
      </c>
      <c r="C152" t="s">
        <v>108</v>
      </c>
      <c r="D152">
        <v>47</v>
      </c>
      <c r="E152" t="s">
        <v>34</v>
      </c>
      <c r="F152" t="s">
        <v>41</v>
      </c>
      <c r="G152" t="s">
        <v>42</v>
      </c>
      <c r="H152">
        <v>8663</v>
      </c>
      <c r="I152">
        <v>0</v>
      </c>
      <c r="J152">
        <v>0</v>
      </c>
      <c r="K152">
        <v>0</v>
      </c>
      <c r="L152">
        <v>1</v>
      </c>
      <c r="M152" t="s">
        <v>102</v>
      </c>
      <c r="N152" t="s">
        <v>44</v>
      </c>
      <c r="O152" t="s">
        <v>82</v>
      </c>
      <c r="P152" t="s">
        <v>37</v>
      </c>
      <c r="Q152" t="s">
        <v>59</v>
      </c>
      <c r="R152" t="s">
        <v>47</v>
      </c>
      <c r="S152" t="s">
        <v>65</v>
      </c>
      <c r="T152">
        <v>0</v>
      </c>
      <c r="U152">
        <v>1</v>
      </c>
      <c r="V152">
        <v>0</v>
      </c>
      <c r="W152">
        <v>1</v>
      </c>
      <c r="X152">
        <v>0</v>
      </c>
      <c r="Y152">
        <v>0</v>
      </c>
      <c r="Z152">
        <v>1</v>
      </c>
      <c r="AA152">
        <v>0</v>
      </c>
      <c r="AB152">
        <v>0</v>
      </c>
      <c r="AC152">
        <v>0</v>
      </c>
      <c r="AD152">
        <v>0</v>
      </c>
      <c r="AE152">
        <v>0</v>
      </c>
      <c r="AF152">
        <v>0</v>
      </c>
      <c r="AG152">
        <v>1</v>
      </c>
    </row>
    <row r="153" spans="1:33" x14ac:dyDescent="0.2">
      <c r="A153">
        <v>152</v>
      </c>
      <c r="B153" t="s">
        <v>137</v>
      </c>
      <c r="C153" t="s">
        <v>108</v>
      </c>
      <c r="D153">
        <v>47</v>
      </c>
      <c r="E153" t="s">
        <v>34</v>
      </c>
      <c r="F153" t="s">
        <v>41</v>
      </c>
      <c r="G153" t="s">
        <v>67</v>
      </c>
      <c r="H153">
        <v>13970</v>
      </c>
      <c r="I153">
        <v>0</v>
      </c>
      <c r="J153">
        <v>0</v>
      </c>
      <c r="K153">
        <v>0</v>
      </c>
      <c r="L153">
        <v>1</v>
      </c>
      <c r="M153" t="s">
        <v>103</v>
      </c>
      <c r="N153" t="s">
        <v>69</v>
      </c>
      <c r="O153" t="s">
        <v>86</v>
      </c>
      <c r="P153" t="s">
        <v>37</v>
      </c>
      <c r="Q153" t="s">
        <v>60</v>
      </c>
      <c r="R153" t="s">
        <v>48</v>
      </c>
      <c r="S153" t="s">
        <v>46</v>
      </c>
      <c r="T153">
        <v>1</v>
      </c>
      <c r="U153">
        <v>0</v>
      </c>
      <c r="V153">
        <v>1</v>
      </c>
      <c r="W153">
        <v>0</v>
      </c>
      <c r="X153">
        <v>1</v>
      </c>
      <c r="Y153">
        <v>0</v>
      </c>
      <c r="Z153">
        <v>1</v>
      </c>
      <c r="AA153">
        <v>0</v>
      </c>
      <c r="AB153">
        <v>0</v>
      </c>
      <c r="AC153">
        <v>0</v>
      </c>
      <c r="AD153">
        <v>0</v>
      </c>
      <c r="AE153">
        <v>0</v>
      </c>
      <c r="AF153">
        <v>0</v>
      </c>
      <c r="AG153">
        <v>1</v>
      </c>
    </row>
    <row r="154" spans="1:33" hidden="1" x14ac:dyDescent="0.2">
      <c r="A154">
        <v>153</v>
      </c>
      <c r="B154" t="s">
        <v>137</v>
      </c>
      <c r="C154" t="s">
        <v>108</v>
      </c>
      <c r="D154">
        <v>47</v>
      </c>
      <c r="E154" t="s">
        <v>34</v>
      </c>
      <c r="F154" t="s">
        <v>53</v>
      </c>
      <c r="G154" t="s">
        <v>71</v>
      </c>
      <c r="H154">
        <v>56247</v>
      </c>
      <c r="I154">
        <v>0</v>
      </c>
      <c r="J154">
        <v>1</v>
      </c>
      <c r="K154">
        <v>0</v>
      </c>
      <c r="L154">
        <v>0</v>
      </c>
      <c r="M154" t="s">
        <v>36</v>
      </c>
      <c r="N154" t="s">
        <v>36</v>
      </c>
      <c r="O154" t="s">
        <v>36</v>
      </c>
      <c r="P154" t="s">
        <v>37</v>
      </c>
      <c r="Q154" t="s">
        <v>36</v>
      </c>
      <c r="R154" t="s">
        <v>36</v>
      </c>
      <c r="S154" t="s">
        <v>36</v>
      </c>
      <c r="T154" t="s">
        <v>36</v>
      </c>
      <c r="U154">
        <v>0</v>
      </c>
      <c r="V154">
        <v>1</v>
      </c>
      <c r="W154">
        <v>0</v>
      </c>
      <c r="X154">
        <v>1</v>
      </c>
      <c r="Y154">
        <v>0</v>
      </c>
      <c r="Z154">
        <v>1</v>
      </c>
      <c r="AA154">
        <v>0</v>
      </c>
      <c r="AB154">
        <v>0</v>
      </c>
      <c r="AC154">
        <v>0</v>
      </c>
      <c r="AD154">
        <v>0</v>
      </c>
      <c r="AE154">
        <v>0</v>
      </c>
      <c r="AF154">
        <v>0</v>
      </c>
      <c r="AG154">
        <v>1</v>
      </c>
    </row>
    <row r="155" spans="1:33" hidden="1" x14ac:dyDescent="0.2">
      <c r="A155">
        <v>154</v>
      </c>
      <c r="B155" t="s">
        <v>137</v>
      </c>
      <c r="C155" t="s">
        <v>108</v>
      </c>
      <c r="D155">
        <v>47</v>
      </c>
      <c r="E155" t="s">
        <v>34</v>
      </c>
      <c r="F155" t="s">
        <v>77</v>
      </c>
      <c r="G155" t="s">
        <v>36</v>
      </c>
      <c r="H155">
        <v>62756</v>
      </c>
      <c r="I155" t="s">
        <v>138</v>
      </c>
      <c r="J155" t="s">
        <v>139</v>
      </c>
      <c r="K155" t="s">
        <v>140</v>
      </c>
      <c r="L155" t="s">
        <v>36</v>
      </c>
      <c r="M155" t="s">
        <v>36</v>
      </c>
      <c r="N155" t="s">
        <v>36</v>
      </c>
      <c r="O155" t="s">
        <v>36</v>
      </c>
      <c r="P155" t="s">
        <v>37</v>
      </c>
      <c r="Q155" t="s">
        <v>36</v>
      </c>
      <c r="R155" t="s">
        <v>36</v>
      </c>
      <c r="S155" t="s">
        <v>36</v>
      </c>
      <c r="T155" t="s">
        <v>36</v>
      </c>
      <c r="U155" t="s">
        <v>36</v>
      </c>
      <c r="V155" t="s">
        <v>36</v>
      </c>
      <c r="W155" t="s">
        <v>36</v>
      </c>
      <c r="X155" t="s">
        <v>36</v>
      </c>
      <c r="Y155" t="s">
        <v>36</v>
      </c>
      <c r="Z155" t="s">
        <v>36</v>
      </c>
      <c r="AA155" t="s">
        <v>36</v>
      </c>
      <c r="AB155" t="s">
        <v>36</v>
      </c>
      <c r="AC155" t="s">
        <v>36</v>
      </c>
      <c r="AD155" t="s">
        <v>36</v>
      </c>
      <c r="AE155" t="s">
        <v>36</v>
      </c>
      <c r="AF155" t="s">
        <v>36</v>
      </c>
      <c r="AG155" t="s">
        <v>36</v>
      </c>
    </row>
    <row r="156" spans="1:33" hidden="1" x14ac:dyDescent="0.2">
      <c r="A156">
        <v>155</v>
      </c>
      <c r="B156" t="s">
        <v>141</v>
      </c>
      <c r="C156" t="s">
        <v>108</v>
      </c>
      <c r="D156">
        <v>36</v>
      </c>
      <c r="E156" t="s">
        <v>34</v>
      </c>
      <c r="F156" t="s">
        <v>35</v>
      </c>
      <c r="G156" t="s">
        <v>36</v>
      </c>
      <c r="H156">
        <v>19202</v>
      </c>
      <c r="I156" t="s">
        <v>36</v>
      </c>
      <c r="J156" t="s">
        <v>36</v>
      </c>
      <c r="K156" t="s">
        <v>36</v>
      </c>
      <c r="L156" t="s">
        <v>36</v>
      </c>
      <c r="M156" t="s">
        <v>36</v>
      </c>
      <c r="N156" t="s">
        <v>36</v>
      </c>
      <c r="O156" t="s">
        <v>36</v>
      </c>
      <c r="P156" t="s">
        <v>37</v>
      </c>
      <c r="Q156" t="s">
        <v>36</v>
      </c>
      <c r="R156" t="s">
        <v>36</v>
      </c>
      <c r="S156" t="s">
        <v>36</v>
      </c>
      <c r="T156" t="s">
        <v>36</v>
      </c>
      <c r="U156" t="s">
        <v>36</v>
      </c>
      <c r="V156" t="s">
        <v>36</v>
      </c>
      <c r="W156" t="s">
        <v>36</v>
      </c>
      <c r="X156" t="s">
        <v>36</v>
      </c>
      <c r="Y156" t="s">
        <v>36</v>
      </c>
      <c r="Z156" t="s">
        <v>36</v>
      </c>
      <c r="AA156" t="s">
        <v>36</v>
      </c>
      <c r="AB156" t="s">
        <v>36</v>
      </c>
      <c r="AC156" t="s">
        <v>36</v>
      </c>
      <c r="AD156" t="s">
        <v>36</v>
      </c>
      <c r="AE156" t="s">
        <v>36</v>
      </c>
      <c r="AF156" t="s">
        <v>36</v>
      </c>
      <c r="AG156" t="s">
        <v>36</v>
      </c>
    </row>
    <row r="157" spans="1:33" hidden="1" x14ac:dyDescent="0.2">
      <c r="A157">
        <v>156</v>
      </c>
      <c r="B157" t="s">
        <v>141</v>
      </c>
      <c r="C157" t="s">
        <v>108</v>
      </c>
      <c r="D157">
        <v>36</v>
      </c>
      <c r="E157" t="s">
        <v>34</v>
      </c>
      <c r="F157" t="s">
        <v>38</v>
      </c>
      <c r="G157" t="s">
        <v>39</v>
      </c>
      <c r="H157">
        <v>28825</v>
      </c>
      <c r="I157">
        <v>0</v>
      </c>
      <c r="J157">
        <v>0</v>
      </c>
      <c r="K157">
        <v>0</v>
      </c>
      <c r="L157">
        <v>1</v>
      </c>
      <c r="M157" t="s">
        <v>36</v>
      </c>
      <c r="N157" t="s">
        <v>36</v>
      </c>
      <c r="O157" t="s">
        <v>36</v>
      </c>
      <c r="P157" t="s">
        <v>37</v>
      </c>
      <c r="Q157" t="s">
        <v>36</v>
      </c>
      <c r="R157" t="s">
        <v>36</v>
      </c>
      <c r="S157" t="s">
        <v>36</v>
      </c>
      <c r="T157" t="s">
        <v>36</v>
      </c>
      <c r="U157" t="s">
        <v>36</v>
      </c>
      <c r="V157" t="s">
        <v>36</v>
      </c>
      <c r="W157" t="s">
        <v>36</v>
      </c>
      <c r="X157" t="s">
        <v>36</v>
      </c>
      <c r="Y157" t="s">
        <v>36</v>
      </c>
      <c r="Z157" t="s">
        <v>36</v>
      </c>
      <c r="AA157" t="s">
        <v>36</v>
      </c>
      <c r="AB157" t="s">
        <v>36</v>
      </c>
      <c r="AC157" t="s">
        <v>36</v>
      </c>
      <c r="AD157" t="s">
        <v>36</v>
      </c>
      <c r="AE157" t="s">
        <v>36</v>
      </c>
      <c r="AF157" t="s">
        <v>36</v>
      </c>
      <c r="AG157" t="s">
        <v>36</v>
      </c>
    </row>
    <row r="158" spans="1:33" hidden="1" x14ac:dyDescent="0.2">
      <c r="A158">
        <v>157</v>
      </c>
      <c r="B158" t="s">
        <v>141</v>
      </c>
      <c r="C158" t="s">
        <v>108</v>
      </c>
      <c r="D158">
        <v>36</v>
      </c>
      <c r="E158" t="s">
        <v>34</v>
      </c>
      <c r="F158" t="s">
        <v>38</v>
      </c>
      <c r="G158" t="s">
        <v>40</v>
      </c>
      <c r="H158">
        <v>29660</v>
      </c>
      <c r="I158">
        <v>0</v>
      </c>
      <c r="J158">
        <v>0</v>
      </c>
      <c r="K158">
        <v>1</v>
      </c>
      <c r="L158">
        <v>0</v>
      </c>
      <c r="M158" t="s">
        <v>36</v>
      </c>
      <c r="N158" t="s">
        <v>36</v>
      </c>
      <c r="O158" t="s">
        <v>36</v>
      </c>
      <c r="P158" t="s">
        <v>37</v>
      </c>
      <c r="Q158" t="s">
        <v>36</v>
      </c>
      <c r="R158" t="s">
        <v>36</v>
      </c>
      <c r="S158" t="s">
        <v>36</v>
      </c>
      <c r="T158" t="s">
        <v>36</v>
      </c>
      <c r="U158" t="s">
        <v>36</v>
      </c>
      <c r="V158" t="s">
        <v>36</v>
      </c>
      <c r="W158" t="s">
        <v>36</v>
      </c>
      <c r="X158" t="s">
        <v>36</v>
      </c>
      <c r="Y158" t="s">
        <v>36</v>
      </c>
      <c r="Z158" t="s">
        <v>36</v>
      </c>
      <c r="AA158" t="s">
        <v>36</v>
      </c>
      <c r="AB158" t="s">
        <v>36</v>
      </c>
      <c r="AC158" t="s">
        <v>36</v>
      </c>
      <c r="AD158" t="s">
        <v>36</v>
      </c>
      <c r="AE158" t="s">
        <v>36</v>
      </c>
      <c r="AF158" t="s">
        <v>36</v>
      </c>
      <c r="AG158" t="s">
        <v>36</v>
      </c>
    </row>
    <row r="159" spans="1:33" x14ac:dyDescent="0.2">
      <c r="A159">
        <v>158</v>
      </c>
      <c r="B159" t="s">
        <v>141</v>
      </c>
      <c r="C159" t="s">
        <v>108</v>
      </c>
      <c r="D159">
        <v>36</v>
      </c>
      <c r="E159" t="s">
        <v>34</v>
      </c>
      <c r="F159" t="s">
        <v>41</v>
      </c>
      <c r="G159" t="s">
        <v>67</v>
      </c>
      <c r="H159">
        <v>124116</v>
      </c>
      <c r="I159">
        <v>0</v>
      </c>
      <c r="J159">
        <v>0</v>
      </c>
      <c r="K159">
        <v>0</v>
      </c>
      <c r="L159">
        <v>1</v>
      </c>
      <c r="M159" t="s">
        <v>70</v>
      </c>
      <c r="N159" t="s">
        <v>69</v>
      </c>
      <c r="O159" t="s">
        <v>103</v>
      </c>
      <c r="P159" t="s">
        <v>37</v>
      </c>
      <c r="Q159" t="s">
        <v>47</v>
      </c>
      <c r="R159" t="s">
        <v>48</v>
      </c>
      <c r="S159" t="s">
        <v>60</v>
      </c>
      <c r="T159">
        <v>1</v>
      </c>
      <c r="U159">
        <v>0</v>
      </c>
      <c r="V159">
        <v>1</v>
      </c>
      <c r="W159">
        <v>1</v>
      </c>
      <c r="X159">
        <v>0</v>
      </c>
      <c r="Y159">
        <v>0</v>
      </c>
      <c r="Z159">
        <v>1</v>
      </c>
      <c r="AA159">
        <v>0</v>
      </c>
      <c r="AB159">
        <v>0</v>
      </c>
      <c r="AC159">
        <v>0</v>
      </c>
      <c r="AD159">
        <v>0</v>
      </c>
      <c r="AE159">
        <v>0</v>
      </c>
      <c r="AF159">
        <v>0</v>
      </c>
      <c r="AG159">
        <v>1</v>
      </c>
    </row>
    <row r="160" spans="1:33" hidden="1" x14ac:dyDescent="0.2">
      <c r="A160">
        <v>159</v>
      </c>
      <c r="B160" t="s">
        <v>141</v>
      </c>
      <c r="C160" t="s">
        <v>108</v>
      </c>
      <c r="D160">
        <v>36</v>
      </c>
      <c r="E160" t="s">
        <v>34</v>
      </c>
      <c r="F160" t="s">
        <v>53</v>
      </c>
      <c r="G160" t="s">
        <v>54</v>
      </c>
      <c r="H160">
        <v>115588</v>
      </c>
      <c r="I160">
        <v>0</v>
      </c>
      <c r="J160">
        <v>0</v>
      </c>
      <c r="K160">
        <v>1</v>
      </c>
      <c r="L160">
        <v>0</v>
      </c>
      <c r="M160" t="s">
        <v>36</v>
      </c>
      <c r="N160" t="s">
        <v>36</v>
      </c>
      <c r="O160" t="s">
        <v>36</v>
      </c>
      <c r="P160" t="s">
        <v>37</v>
      </c>
      <c r="Q160" t="s">
        <v>36</v>
      </c>
      <c r="R160" t="s">
        <v>36</v>
      </c>
      <c r="S160" t="s">
        <v>36</v>
      </c>
      <c r="T160" t="s">
        <v>36</v>
      </c>
      <c r="U160">
        <v>0</v>
      </c>
      <c r="V160">
        <v>1</v>
      </c>
      <c r="W160">
        <v>1</v>
      </c>
      <c r="X160">
        <v>0</v>
      </c>
      <c r="Y160">
        <v>0</v>
      </c>
      <c r="Z160">
        <v>1</v>
      </c>
      <c r="AA160">
        <v>0</v>
      </c>
      <c r="AB160">
        <v>0</v>
      </c>
      <c r="AC160">
        <v>0</v>
      </c>
      <c r="AD160">
        <v>0</v>
      </c>
      <c r="AE160">
        <v>0</v>
      </c>
      <c r="AF160">
        <v>0</v>
      </c>
      <c r="AG160">
        <v>1</v>
      </c>
    </row>
    <row r="161" spans="1:33" x14ac:dyDescent="0.2">
      <c r="A161">
        <v>160</v>
      </c>
      <c r="B161" t="s">
        <v>141</v>
      </c>
      <c r="C161" t="s">
        <v>108</v>
      </c>
      <c r="D161">
        <v>36</v>
      </c>
      <c r="E161" t="s">
        <v>34</v>
      </c>
      <c r="F161" t="s">
        <v>41</v>
      </c>
      <c r="G161" t="s">
        <v>49</v>
      </c>
      <c r="H161">
        <v>11677</v>
      </c>
      <c r="I161">
        <v>0</v>
      </c>
      <c r="J161">
        <v>0</v>
      </c>
      <c r="K161">
        <v>0</v>
      </c>
      <c r="L161">
        <v>1</v>
      </c>
      <c r="M161" t="s">
        <v>50</v>
      </c>
      <c r="N161" t="s">
        <v>51</v>
      </c>
      <c r="O161" t="s">
        <v>52</v>
      </c>
      <c r="P161" t="s">
        <v>37</v>
      </c>
      <c r="Q161" t="s">
        <v>48</v>
      </c>
      <c r="R161" t="s">
        <v>47</v>
      </c>
      <c r="S161" t="s">
        <v>46</v>
      </c>
      <c r="T161">
        <v>0</v>
      </c>
      <c r="U161">
        <v>0</v>
      </c>
      <c r="V161">
        <v>1</v>
      </c>
      <c r="W161">
        <v>1</v>
      </c>
      <c r="X161">
        <v>1</v>
      </c>
      <c r="Y161">
        <v>0</v>
      </c>
      <c r="Z161">
        <v>1</v>
      </c>
      <c r="AA161">
        <v>0</v>
      </c>
      <c r="AB161">
        <v>0</v>
      </c>
      <c r="AC161">
        <v>0</v>
      </c>
      <c r="AD161">
        <v>0</v>
      </c>
      <c r="AE161">
        <v>0</v>
      </c>
      <c r="AF161">
        <v>0</v>
      </c>
      <c r="AG161">
        <v>1</v>
      </c>
    </row>
    <row r="162" spans="1:33" x14ac:dyDescent="0.2">
      <c r="A162">
        <v>161</v>
      </c>
      <c r="B162" t="s">
        <v>141</v>
      </c>
      <c r="C162" t="s">
        <v>108</v>
      </c>
      <c r="D162">
        <v>36</v>
      </c>
      <c r="E162" t="s">
        <v>34</v>
      </c>
      <c r="F162" t="s">
        <v>41</v>
      </c>
      <c r="G162" t="s">
        <v>61</v>
      </c>
      <c r="H162">
        <v>5770</v>
      </c>
      <c r="I162">
        <v>0</v>
      </c>
      <c r="J162">
        <v>0</v>
      </c>
      <c r="K162">
        <v>0</v>
      </c>
      <c r="L162">
        <v>1</v>
      </c>
      <c r="M162" t="s">
        <v>125</v>
      </c>
      <c r="N162" t="s">
        <v>97</v>
      </c>
      <c r="O162" t="s">
        <v>87</v>
      </c>
      <c r="P162" t="s">
        <v>37</v>
      </c>
      <c r="Q162" t="s">
        <v>60</v>
      </c>
      <c r="R162" t="s">
        <v>59</v>
      </c>
      <c r="S162" t="s">
        <v>47</v>
      </c>
      <c r="T162">
        <v>1</v>
      </c>
      <c r="U162">
        <v>0</v>
      </c>
      <c r="V162">
        <v>0</v>
      </c>
      <c r="W162">
        <v>1</v>
      </c>
      <c r="X162">
        <v>0</v>
      </c>
      <c r="Y162">
        <v>0</v>
      </c>
      <c r="Z162">
        <v>1</v>
      </c>
      <c r="AA162">
        <v>0</v>
      </c>
      <c r="AB162">
        <v>0</v>
      </c>
      <c r="AC162">
        <v>0</v>
      </c>
      <c r="AD162">
        <v>0</v>
      </c>
      <c r="AE162">
        <v>0</v>
      </c>
      <c r="AF162">
        <v>0</v>
      </c>
      <c r="AG162">
        <v>1</v>
      </c>
    </row>
    <row r="163" spans="1:33" hidden="1" x14ac:dyDescent="0.2">
      <c r="A163">
        <v>162</v>
      </c>
      <c r="B163" t="s">
        <v>141</v>
      </c>
      <c r="C163" t="s">
        <v>108</v>
      </c>
      <c r="D163">
        <v>36</v>
      </c>
      <c r="E163" t="s">
        <v>34</v>
      </c>
      <c r="F163" t="s">
        <v>53</v>
      </c>
      <c r="G163" t="s">
        <v>66</v>
      </c>
      <c r="H163">
        <v>24610</v>
      </c>
      <c r="I163">
        <v>1</v>
      </c>
      <c r="J163">
        <v>1</v>
      </c>
      <c r="K163">
        <v>0</v>
      </c>
      <c r="L163">
        <v>0</v>
      </c>
      <c r="M163" t="s">
        <v>36</v>
      </c>
      <c r="N163" t="s">
        <v>36</v>
      </c>
      <c r="O163" t="s">
        <v>36</v>
      </c>
      <c r="P163" t="s">
        <v>37</v>
      </c>
      <c r="Q163" t="s">
        <v>36</v>
      </c>
      <c r="R163" t="s">
        <v>36</v>
      </c>
      <c r="S163" t="s">
        <v>36</v>
      </c>
      <c r="T163" t="s">
        <v>36</v>
      </c>
      <c r="U163">
        <v>0</v>
      </c>
      <c r="V163">
        <v>0</v>
      </c>
      <c r="W163">
        <v>1</v>
      </c>
      <c r="X163">
        <v>0</v>
      </c>
      <c r="Y163">
        <v>0</v>
      </c>
      <c r="Z163">
        <v>1</v>
      </c>
      <c r="AA163">
        <v>0</v>
      </c>
      <c r="AB163">
        <v>0</v>
      </c>
      <c r="AC163">
        <v>0</v>
      </c>
      <c r="AD163">
        <v>0</v>
      </c>
      <c r="AE163">
        <v>0</v>
      </c>
      <c r="AF163">
        <v>0</v>
      </c>
      <c r="AG163">
        <v>1</v>
      </c>
    </row>
    <row r="164" spans="1:33" x14ac:dyDescent="0.2">
      <c r="A164">
        <v>163</v>
      </c>
      <c r="B164" t="s">
        <v>141</v>
      </c>
      <c r="C164" t="s">
        <v>108</v>
      </c>
      <c r="D164">
        <v>36</v>
      </c>
      <c r="E164" t="s">
        <v>34</v>
      </c>
      <c r="F164" t="s">
        <v>41</v>
      </c>
      <c r="G164" t="s">
        <v>72</v>
      </c>
      <c r="H164">
        <v>9675</v>
      </c>
      <c r="I164">
        <v>0</v>
      </c>
      <c r="J164">
        <v>0</v>
      </c>
      <c r="K164">
        <v>0</v>
      </c>
      <c r="L164">
        <v>1</v>
      </c>
      <c r="M164" t="s">
        <v>74</v>
      </c>
      <c r="N164" t="s">
        <v>75</v>
      </c>
      <c r="O164" t="s">
        <v>73</v>
      </c>
      <c r="P164" t="s">
        <v>37</v>
      </c>
      <c r="Q164" t="s">
        <v>47</v>
      </c>
      <c r="R164" t="s">
        <v>46</v>
      </c>
      <c r="S164" t="s">
        <v>48</v>
      </c>
      <c r="T164">
        <v>0</v>
      </c>
      <c r="U164">
        <v>0</v>
      </c>
      <c r="V164">
        <v>1</v>
      </c>
      <c r="W164">
        <v>1</v>
      </c>
      <c r="X164">
        <v>1</v>
      </c>
      <c r="Y164">
        <v>0</v>
      </c>
      <c r="Z164">
        <v>1</v>
      </c>
      <c r="AA164">
        <v>0</v>
      </c>
      <c r="AB164">
        <v>0</v>
      </c>
      <c r="AC164">
        <v>0</v>
      </c>
      <c r="AD164">
        <v>0</v>
      </c>
      <c r="AE164">
        <v>0</v>
      </c>
      <c r="AF164">
        <v>0</v>
      </c>
      <c r="AG164">
        <v>1</v>
      </c>
    </row>
    <row r="165" spans="1:33" hidden="1" x14ac:dyDescent="0.2">
      <c r="A165">
        <v>164</v>
      </c>
      <c r="B165" t="s">
        <v>141</v>
      </c>
      <c r="C165" t="s">
        <v>108</v>
      </c>
      <c r="D165">
        <v>36</v>
      </c>
      <c r="E165" t="s">
        <v>34</v>
      </c>
      <c r="F165" t="s">
        <v>53</v>
      </c>
      <c r="G165" t="s">
        <v>76</v>
      </c>
      <c r="H165">
        <v>9850</v>
      </c>
      <c r="I165">
        <v>1</v>
      </c>
      <c r="J165">
        <v>0</v>
      </c>
      <c r="K165">
        <v>0</v>
      </c>
      <c r="L165">
        <v>0</v>
      </c>
      <c r="M165" t="s">
        <v>36</v>
      </c>
      <c r="N165" t="s">
        <v>36</v>
      </c>
      <c r="O165" t="s">
        <v>36</v>
      </c>
      <c r="P165" t="s">
        <v>37</v>
      </c>
      <c r="Q165" t="s">
        <v>36</v>
      </c>
      <c r="R165" t="s">
        <v>36</v>
      </c>
      <c r="S165" t="s">
        <v>36</v>
      </c>
      <c r="T165" t="s">
        <v>36</v>
      </c>
      <c r="U165">
        <v>0</v>
      </c>
      <c r="V165">
        <v>1</v>
      </c>
      <c r="W165">
        <v>1</v>
      </c>
      <c r="X165">
        <v>1</v>
      </c>
      <c r="Y165">
        <v>0</v>
      </c>
      <c r="Z165">
        <v>1</v>
      </c>
      <c r="AA165">
        <v>0</v>
      </c>
      <c r="AB165">
        <v>0</v>
      </c>
      <c r="AC165">
        <v>0</v>
      </c>
      <c r="AD165">
        <v>0</v>
      </c>
      <c r="AE165">
        <v>0</v>
      </c>
      <c r="AF165">
        <v>0</v>
      </c>
      <c r="AG165">
        <v>1</v>
      </c>
    </row>
    <row r="166" spans="1:33" x14ac:dyDescent="0.2">
      <c r="A166">
        <v>165</v>
      </c>
      <c r="B166" t="s">
        <v>141</v>
      </c>
      <c r="C166" t="s">
        <v>108</v>
      </c>
      <c r="D166">
        <v>36</v>
      </c>
      <c r="E166" t="s">
        <v>34</v>
      </c>
      <c r="F166" t="s">
        <v>41</v>
      </c>
      <c r="G166" t="s">
        <v>55</v>
      </c>
      <c r="H166">
        <v>6087</v>
      </c>
      <c r="I166">
        <v>0</v>
      </c>
      <c r="J166">
        <v>0</v>
      </c>
      <c r="K166">
        <v>0</v>
      </c>
      <c r="L166">
        <v>1</v>
      </c>
      <c r="M166" t="s">
        <v>85</v>
      </c>
      <c r="N166" t="s">
        <v>84</v>
      </c>
      <c r="O166" t="s">
        <v>57</v>
      </c>
      <c r="P166" t="s">
        <v>37</v>
      </c>
      <c r="Q166" t="s">
        <v>65</v>
      </c>
      <c r="R166" t="s">
        <v>46</v>
      </c>
      <c r="S166" t="s">
        <v>48</v>
      </c>
      <c r="T166">
        <v>0</v>
      </c>
      <c r="U166">
        <v>1</v>
      </c>
      <c r="V166">
        <v>1</v>
      </c>
      <c r="W166">
        <v>0</v>
      </c>
      <c r="X166">
        <v>1</v>
      </c>
      <c r="Y166">
        <v>0</v>
      </c>
      <c r="Z166">
        <v>1</v>
      </c>
      <c r="AA166">
        <v>0</v>
      </c>
      <c r="AB166">
        <v>0</v>
      </c>
      <c r="AC166">
        <v>0</v>
      </c>
      <c r="AD166">
        <v>0</v>
      </c>
      <c r="AE166">
        <v>0</v>
      </c>
      <c r="AF166">
        <v>0</v>
      </c>
      <c r="AG166">
        <v>1</v>
      </c>
    </row>
    <row r="167" spans="1:33" x14ac:dyDescent="0.2">
      <c r="A167">
        <v>166</v>
      </c>
      <c r="B167" t="s">
        <v>141</v>
      </c>
      <c r="C167" t="s">
        <v>108</v>
      </c>
      <c r="D167">
        <v>36</v>
      </c>
      <c r="E167" t="s">
        <v>34</v>
      </c>
      <c r="F167" t="s">
        <v>41</v>
      </c>
      <c r="G167" t="s">
        <v>42</v>
      </c>
      <c r="H167">
        <v>3930</v>
      </c>
      <c r="I167">
        <v>0</v>
      </c>
      <c r="J167">
        <v>0</v>
      </c>
      <c r="K167">
        <v>0</v>
      </c>
      <c r="L167">
        <v>1</v>
      </c>
      <c r="M167" t="s">
        <v>102</v>
      </c>
      <c r="N167" t="s">
        <v>43</v>
      </c>
      <c r="O167" t="s">
        <v>44</v>
      </c>
      <c r="P167" t="s">
        <v>37</v>
      </c>
      <c r="Q167" t="s">
        <v>59</v>
      </c>
      <c r="R167" t="s">
        <v>46</v>
      </c>
      <c r="S167" t="s">
        <v>47</v>
      </c>
      <c r="T167">
        <v>0</v>
      </c>
      <c r="U167">
        <v>0</v>
      </c>
      <c r="V167">
        <v>0</v>
      </c>
      <c r="W167">
        <v>1</v>
      </c>
      <c r="X167">
        <v>1</v>
      </c>
      <c r="Y167">
        <v>0</v>
      </c>
      <c r="Z167">
        <v>1</v>
      </c>
      <c r="AA167">
        <v>0</v>
      </c>
      <c r="AB167">
        <v>0</v>
      </c>
      <c r="AC167">
        <v>0</v>
      </c>
      <c r="AD167">
        <v>0</v>
      </c>
      <c r="AE167">
        <v>0</v>
      </c>
      <c r="AF167">
        <v>0</v>
      </c>
      <c r="AG167">
        <v>1</v>
      </c>
    </row>
    <row r="168" spans="1:33" hidden="1" x14ac:dyDescent="0.2">
      <c r="A168">
        <v>167</v>
      </c>
      <c r="B168" t="s">
        <v>141</v>
      </c>
      <c r="C168" t="s">
        <v>108</v>
      </c>
      <c r="D168">
        <v>36</v>
      </c>
      <c r="E168" t="s">
        <v>34</v>
      </c>
      <c r="F168" t="s">
        <v>53</v>
      </c>
      <c r="G168" t="s">
        <v>71</v>
      </c>
      <c r="H168">
        <v>17718</v>
      </c>
      <c r="I168">
        <v>0</v>
      </c>
      <c r="J168">
        <v>0</v>
      </c>
      <c r="K168">
        <v>0</v>
      </c>
      <c r="L168">
        <v>1</v>
      </c>
      <c r="M168" t="s">
        <v>36</v>
      </c>
      <c r="N168" t="s">
        <v>36</v>
      </c>
      <c r="O168" t="s">
        <v>36</v>
      </c>
      <c r="P168" t="s">
        <v>37</v>
      </c>
      <c r="Q168" t="s">
        <v>36</v>
      </c>
      <c r="R168" t="s">
        <v>36</v>
      </c>
      <c r="S168" t="s">
        <v>36</v>
      </c>
      <c r="T168" t="s">
        <v>36</v>
      </c>
      <c r="U168">
        <v>0</v>
      </c>
      <c r="V168">
        <v>0</v>
      </c>
      <c r="W168">
        <v>1</v>
      </c>
      <c r="X168">
        <v>1</v>
      </c>
      <c r="Y168">
        <v>0</v>
      </c>
      <c r="Z168">
        <v>1</v>
      </c>
      <c r="AA168">
        <v>0</v>
      </c>
      <c r="AB168">
        <v>0</v>
      </c>
      <c r="AC168">
        <v>0</v>
      </c>
      <c r="AD168">
        <v>0</v>
      </c>
      <c r="AE168">
        <v>0</v>
      </c>
      <c r="AF168">
        <v>0</v>
      </c>
      <c r="AG168">
        <v>1</v>
      </c>
    </row>
    <row r="169" spans="1:33" hidden="1" x14ac:dyDescent="0.2">
      <c r="A169">
        <v>168</v>
      </c>
      <c r="B169" t="s">
        <v>141</v>
      </c>
      <c r="C169" t="s">
        <v>108</v>
      </c>
      <c r="D169">
        <v>36</v>
      </c>
      <c r="E169" t="s">
        <v>34</v>
      </c>
      <c r="F169" t="s">
        <v>77</v>
      </c>
      <c r="G169" t="s">
        <v>36</v>
      </c>
      <c r="H169">
        <v>28805</v>
      </c>
      <c r="I169" t="s">
        <v>112</v>
      </c>
      <c r="J169" t="s">
        <v>142</v>
      </c>
      <c r="L169" t="s">
        <v>36</v>
      </c>
      <c r="M169" t="s">
        <v>36</v>
      </c>
      <c r="N169" t="s">
        <v>36</v>
      </c>
      <c r="O169" t="s">
        <v>36</v>
      </c>
      <c r="P169" t="s">
        <v>37</v>
      </c>
      <c r="Q169" t="s">
        <v>36</v>
      </c>
      <c r="R169" t="s">
        <v>36</v>
      </c>
      <c r="S169" t="s">
        <v>36</v>
      </c>
      <c r="T169" t="s">
        <v>36</v>
      </c>
      <c r="U169" t="s">
        <v>36</v>
      </c>
      <c r="V169" t="s">
        <v>36</v>
      </c>
      <c r="W169" t="s">
        <v>36</v>
      </c>
      <c r="X169" t="s">
        <v>36</v>
      </c>
      <c r="Y169" t="s">
        <v>36</v>
      </c>
      <c r="Z169" t="s">
        <v>36</v>
      </c>
      <c r="AA169" t="s">
        <v>36</v>
      </c>
      <c r="AB169" t="s">
        <v>36</v>
      </c>
      <c r="AC169" t="s">
        <v>36</v>
      </c>
      <c r="AD169" t="s">
        <v>36</v>
      </c>
      <c r="AE169" t="s">
        <v>36</v>
      </c>
      <c r="AF169" t="s">
        <v>36</v>
      </c>
      <c r="AG169" t="s">
        <v>36</v>
      </c>
    </row>
    <row r="170" spans="1:33" hidden="1" x14ac:dyDescent="0.2">
      <c r="A170">
        <v>169</v>
      </c>
      <c r="B170" t="s">
        <v>143</v>
      </c>
      <c r="C170" t="s">
        <v>108</v>
      </c>
      <c r="D170">
        <v>37</v>
      </c>
      <c r="E170" t="s">
        <v>34</v>
      </c>
      <c r="F170" t="s">
        <v>35</v>
      </c>
      <c r="G170" t="s">
        <v>36</v>
      </c>
      <c r="H170">
        <v>75392</v>
      </c>
      <c r="I170" t="s">
        <v>36</v>
      </c>
      <c r="J170" t="s">
        <v>36</v>
      </c>
      <c r="K170" t="s">
        <v>36</v>
      </c>
      <c r="L170" t="s">
        <v>36</v>
      </c>
      <c r="M170" t="s">
        <v>36</v>
      </c>
      <c r="N170" t="s">
        <v>36</v>
      </c>
      <c r="O170" t="s">
        <v>36</v>
      </c>
      <c r="P170" t="s">
        <v>37</v>
      </c>
      <c r="Q170" t="s">
        <v>36</v>
      </c>
      <c r="R170" t="s">
        <v>36</v>
      </c>
      <c r="S170" t="s">
        <v>36</v>
      </c>
      <c r="T170" t="s">
        <v>36</v>
      </c>
      <c r="U170" t="s">
        <v>36</v>
      </c>
      <c r="V170" t="s">
        <v>36</v>
      </c>
      <c r="W170" t="s">
        <v>36</v>
      </c>
      <c r="X170" t="s">
        <v>36</v>
      </c>
      <c r="Y170" t="s">
        <v>36</v>
      </c>
      <c r="Z170" t="s">
        <v>36</v>
      </c>
      <c r="AA170" t="s">
        <v>36</v>
      </c>
      <c r="AB170" t="s">
        <v>36</v>
      </c>
      <c r="AC170" t="s">
        <v>36</v>
      </c>
      <c r="AD170" t="s">
        <v>36</v>
      </c>
      <c r="AE170" t="s">
        <v>36</v>
      </c>
      <c r="AF170" t="s">
        <v>36</v>
      </c>
      <c r="AG170" t="s">
        <v>36</v>
      </c>
    </row>
    <row r="171" spans="1:33" hidden="1" x14ac:dyDescent="0.2">
      <c r="A171">
        <v>170</v>
      </c>
      <c r="B171" t="s">
        <v>143</v>
      </c>
      <c r="C171" t="s">
        <v>108</v>
      </c>
      <c r="D171">
        <v>37</v>
      </c>
      <c r="E171" t="s">
        <v>34</v>
      </c>
      <c r="F171" t="s">
        <v>38</v>
      </c>
      <c r="G171" t="s">
        <v>39</v>
      </c>
      <c r="H171">
        <v>37140</v>
      </c>
      <c r="I171">
        <v>0</v>
      </c>
      <c r="J171">
        <v>0</v>
      </c>
      <c r="K171">
        <v>0</v>
      </c>
      <c r="L171">
        <v>1</v>
      </c>
      <c r="M171" t="s">
        <v>36</v>
      </c>
      <c r="N171" t="s">
        <v>36</v>
      </c>
      <c r="O171" t="s">
        <v>36</v>
      </c>
      <c r="P171" t="s">
        <v>37</v>
      </c>
      <c r="Q171" t="s">
        <v>36</v>
      </c>
      <c r="R171" t="s">
        <v>36</v>
      </c>
      <c r="S171" t="s">
        <v>36</v>
      </c>
      <c r="T171" t="s">
        <v>36</v>
      </c>
      <c r="U171" t="s">
        <v>36</v>
      </c>
      <c r="V171" t="s">
        <v>36</v>
      </c>
      <c r="W171" t="s">
        <v>36</v>
      </c>
      <c r="X171" t="s">
        <v>36</v>
      </c>
      <c r="Y171" t="s">
        <v>36</v>
      </c>
      <c r="Z171" t="s">
        <v>36</v>
      </c>
      <c r="AA171" t="s">
        <v>36</v>
      </c>
      <c r="AB171" t="s">
        <v>36</v>
      </c>
      <c r="AC171" t="s">
        <v>36</v>
      </c>
      <c r="AD171" t="s">
        <v>36</v>
      </c>
      <c r="AE171" t="s">
        <v>36</v>
      </c>
      <c r="AF171" t="s">
        <v>36</v>
      </c>
      <c r="AG171" t="s">
        <v>36</v>
      </c>
    </row>
    <row r="172" spans="1:33" hidden="1" x14ac:dyDescent="0.2">
      <c r="A172">
        <v>171</v>
      </c>
      <c r="B172" t="s">
        <v>143</v>
      </c>
      <c r="C172" t="s">
        <v>108</v>
      </c>
      <c r="D172">
        <v>37</v>
      </c>
      <c r="E172" t="s">
        <v>34</v>
      </c>
      <c r="F172" t="s">
        <v>38</v>
      </c>
      <c r="G172" t="s">
        <v>40</v>
      </c>
      <c r="H172">
        <v>40134</v>
      </c>
      <c r="I172">
        <v>0</v>
      </c>
      <c r="J172">
        <v>0</v>
      </c>
      <c r="K172">
        <v>1</v>
      </c>
      <c r="L172">
        <v>0</v>
      </c>
      <c r="M172" t="s">
        <v>36</v>
      </c>
      <c r="N172" t="s">
        <v>36</v>
      </c>
      <c r="O172" t="s">
        <v>36</v>
      </c>
      <c r="P172" t="s">
        <v>37</v>
      </c>
      <c r="Q172" t="s">
        <v>36</v>
      </c>
      <c r="R172" t="s">
        <v>36</v>
      </c>
      <c r="S172" t="s">
        <v>36</v>
      </c>
      <c r="T172" t="s">
        <v>36</v>
      </c>
      <c r="U172" t="s">
        <v>36</v>
      </c>
      <c r="V172" t="s">
        <v>36</v>
      </c>
      <c r="W172" t="s">
        <v>36</v>
      </c>
      <c r="X172" t="s">
        <v>36</v>
      </c>
      <c r="Y172" t="s">
        <v>36</v>
      </c>
      <c r="Z172" t="s">
        <v>36</v>
      </c>
      <c r="AA172" t="s">
        <v>36</v>
      </c>
      <c r="AB172" t="s">
        <v>36</v>
      </c>
      <c r="AC172" t="s">
        <v>36</v>
      </c>
      <c r="AD172" t="s">
        <v>36</v>
      </c>
      <c r="AE172" t="s">
        <v>36</v>
      </c>
      <c r="AF172" t="s">
        <v>36</v>
      </c>
      <c r="AG172" t="s">
        <v>36</v>
      </c>
    </row>
    <row r="173" spans="1:33" x14ac:dyDescent="0.2">
      <c r="A173">
        <v>172</v>
      </c>
      <c r="B173" t="s">
        <v>143</v>
      </c>
      <c r="C173" t="s">
        <v>108</v>
      </c>
      <c r="D173">
        <v>37</v>
      </c>
      <c r="E173" t="s">
        <v>34</v>
      </c>
      <c r="F173" t="s">
        <v>41</v>
      </c>
      <c r="G173" t="s">
        <v>67</v>
      </c>
      <c r="H173">
        <v>55509</v>
      </c>
      <c r="I173">
        <v>0</v>
      </c>
      <c r="J173">
        <v>0</v>
      </c>
      <c r="K173">
        <v>0</v>
      </c>
      <c r="L173">
        <v>1</v>
      </c>
      <c r="M173" t="s">
        <v>70</v>
      </c>
      <c r="N173" t="s">
        <v>86</v>
      </c>
      <c r="O173" t="s">
        <v>68</v>
      </c>
      <c r="P173" t="s">
        <v>37</v>
      </c>
      <c r="Q173" t="s">
        <v>47</v>
      </c>
      <c r="R173" t="s">
        <v>46</v>
      </c>
      <c r="S173" t="s">
        <v>65</v>
      </c>
      <c r="T173">
        <v>0</v>
      </c>
      <c r="U173">
        <v>1</v>
      </c>
      <c r="V173">
        <v>0</v>
      </c>
      <c r="W173">
        <v>1</v>
      </c>
      <c r="X173">
        <v>1</v>
      </c>
      <c r="Y173">
        <v>0</v>
      </c>
      <c r="Z173">
        <v>1</v>
      </c>
      <c r="AA173">
        <v>0</v>
      </c>
      <c r="AB173">
        <v>0</v>
      </c>
      <c r="AC173">
        <v>0</v>
      </c>
      <c r="AD173">
        <v>0</v>
      </c>
      <c r="AE173">
        <v>0</v>
      </c>
      <c r="AF173">
        <v>0</v>
      </c>
      <c r="AG173">
        <v>1</v>
      </c>
    </row>
    <row r="174" spans="1:33" x14ac:dyDescent="0.2">
      <c r="A174">
        <v>173</v>
      </c>
      <c r="B174" t="s">
        <v>143</v>
      </c>
      <c r="C174" t="s">
        <v>108</v>
      </c>
      <c r="D174">
        <v>37</v>
      </c>
      <c r="E174" t="s">
        <v>34</v>
      </c>
      <c r="F174" t="s">
        <v>41</v>
      </c>
      <c r="G174" t="s">
        <v>42</v>
      </c>
      <c r="H174">
        <v>46904</v>
      </c>
      <c r="I174">
        <v>1</v>
      </c>
      <c r="J174">
        <v>1</v>
      </c>
      <c r="K174">
        <v>1</v>
      </c>
      <c r="L174">
        <v>0</v>
      </c>
      <c r="M174" t="s">
        <v>44</v>
      </c>
      <c r="N174" t="s">
        <v>102</v>
      </c>
      <c r="O174" t="s">
        <v>45</v>
      </c>
      <c r="P174" t="s">
        <v>37</v>
      </c>
      <c r="Q174" t="s">
        <v>47</v>
      </c>
      <c r="R174" t="s">
        <v>59</v>
      </c>
      <c r="S174" t="s">
        <v>48</v>
      </c>
      <c r="T174">
        <v>0</v>
      </c>
      <c r="U174">
        <v>0</v>
      </c>
      <c r="V174">
        <v>1</v>
      </c>
      <c r="W174">
        <v>1</v>
      </c>
      <c r="X174">
        <v>0</v>
      </c>
      <c r="Y174">
        <v>0</v>
      </c>
      <c r="Z174">
        <v>1</v>
      </c>
      <c r="AA174">
        <v>0</v>
      </c>
      <c r="AB174">
        <v>0</v>
      </c>
      <c r="AC174">
        <v>1</v>
      </c>
      <c r="AD174">
        <v>1</v>
      </c>
      <c r="AE174">
        <v>0</v>
      </c>
      <c r="AF174">
        <v>0</v>
      </c>
      <c r="AG174">
        <v>0</v>
      </c>
    </row>
    <row r="175" spans="1:33" hidden="1" x14ac:dyDescent="0.2">
      <c r="A175">
        <v>174</v>
      </c>
      <c r="B175" t="s">
        <v>143</v>
      </c>
      <c r="C175" t="s">
        <v>108</v>
      </c>
      <c r="D175">
        <v>37</v>
      </c>
      <c r="E175" t="s">
        <v>34</v>
      </c>
      <c r="F175" t="s">
        <v>53</v>
      </c>
      <c r="G175" t="s">
        <v>76</v>
      </c>
      <c r="H175">
        <v>18909</v>
      </c>
      <c r="I175">
        <v>1</v>
      </c>
      <c r="J175">
        <v>0</v>
      </c>
      <c r="K175">
        <v>0</v>
      </c>
      <c r="L175">
        <v>0</v>
      </c>
      <c r="M175" t="s">
        <v>36</v>
      </c>
      <c r="N175" t="s">
        <v>36</v>
      </c>
      <c r="O175" t="s">
        <v>36</v>
      </c>
      <c r="P175" t="s">
        <v>37</v>
      </c>
      <c r="Q175" t="s">
        <v>36</v>
      </c>
      <c r="R175" t="s">
        <v>36</v>
      </c>
      <c r="S175" t="s">
        <v>36</v>
      </c>
      <c r="T175" t="s">
        <v>36</v>
      </c>
      <c r="U175">
        <v>0</v>
      </c>
      <c r="V175">
        <v>1</v>
      </c>
      <c r="W175">
        <v>1</v>
      </c>
      <c r="X175">
        <v>0</v>
      </c>
      <c r="Y175">
        <v>0</v>
      </c>
      <c r="Z175">
        <v>1</v>
      </c>
      <c r="AA175">
        <v>0</v>
      </c>
      <c r="AB175">
        <v>0</v>
      </c>
      <c r="AC175">
        <v>1</v>
      </c>
      <c r="AD175">
        <v>1</v>
      </c>
      <c r="AE175">
        <v>0</v>
      </c>
      <c r="AF175">
        <v>0</v>
      </c>
      <c r="AG175">
        <v>0</v>
      </c>
    </row>
    <row r="176" spans="1:33" x14ac:dyDescent="0.2">
      <c r="A176">
        <v>175</v>
      </c>
      <c r="B176" t="s">
        <v>143</v>
      </c>
      <c r="C176" t="s">
        <v>108</v>
      </c>
      <c r="D176">
        <v>37</v>
      </c>
      <c r="E176" t="s">
        <v>34</v>
      </c>
      <c r="F176" t="s">
        <v>41</v>
      </c>
      <c r="G176" t="s">
        <v>61</v>
      </c>
      <c r="H176">
        <v>15061</v>
      </c>
      <c r="I176">
        <v>1</v>
      </c>
      <c r="J176">
        <v>0</v>
      </c>
      <c r="K176">
        <v>0</v>
      </c>
      <c r="L176">
        <v>0</v>
      </c>
      <c r="M176" t="s">
        <v>62</v>
      </c>
      <c r="N176" t="s">
        <v>64</v>
      </c>
      <c r="O176" t="s">
        <v>125</v>
      </c>
      <c r="P176" t="s">
        <v>37</v>
      </c>
      <c r="Q176" t="s">
        <v>65</v>
      </c>
      <c r="R176" t="s">
        <v>48</v>
      </c>
      <c r="S176" t="s">
        <v>60</v>
      </c>
      <c r="T176">
        <v>1</v>
      </c>
      <c r="U176">
        <v>1</v>
      </c>
      <c r="V176">
        <v>1</v>
      </c>
      <c r="W176">
        <v>0</v>
      </c>
      <c r="X176">
        <v>0</v>
      </c>
      <c r="Y176">
        <v>0</v>
      </c>
      <c r="Z176">
        <v>1</v>
      </c>
      <c r="AA176">
        <v>0</v>
      </c>
      <c r="AB176">
        <v>1</v>
      </c>
      <c r="AC176">
        <v>0</v>
      </c>
      <c r="AD176">
        <v>0</v>
      </c>
      <c r="AE176">
        <v>0</v>
      </c>
      <c r="AF176">
        <v>0</v>
      </c>
      <c r="AG176">
        <v>0</v>
      </c>
    </row>
    <row r="177" spans="1:33" hidden="1" x14ac:dyDescent="0.2">
      <c r="A177">
        <v>176</v>
      </c>
      <c r="B177" t="s">
        <v>143</v>
      </c>
      <c r="C177" t="s">
        <v>108</v>
      </c>
      <c r="D177">
        <v>37</v>
      </c>
      <c r="E177" t="s">
        <v>34</v>
      </c>
      <c r="F177" t="s">
        <v>53</v>
      </c>
      <c r="G177" t="s">
        <v>54</v>
      </c>
      <c r="H177">
        <v>32727</v>
      </c>
      <c r="I177">
        <v>0</v>
      </c>
      <c r="J177">
        <v>1</v>
      </c>
      <c r="K177">
        <v>1</v>
      </c>
      <c r="L177">
        <v>0</v>
      </c>
      <c r="M177" t="s">
        <v>36</v>
      </c>
      <c r="N177" t="s">
        <v>36</v>
      </c>
      <c r="O177" t="s">
        <v>36</v>
      </c>
      <c r="P177" t="s">
        <v>37</v>
      </c>
      <c r="Q177" t="s">
        <v>36</v>
      </c>
      <c r="R177" t="s">
        <v>36</v>
      </c>
      <c r="S177" t="s">
        <v>36</v>
      </c>
      <c r="T177" t="s">
        <v>36</v>
      </c>
      <c r="U177">
        <v>1</v>
      </c>
      <c r="V177">
        <v>1</v>
      </c>
      <c r="W177">
        <v>0</v>
      </c>
      <c r="X177">
        <v>0</v>
      </c>
      <c r="Y177">
        <v>0</v>
      </c>
      <c r="Z177">
        <v>1</v>
      </c>
      <c r="AA177">
        <v>0</v>
      </c>
      <c r="AB177">
        <v>1</v>
      </c>
      <c r="AC177">
        <v>0</v>
      </c>
      <c r="AD177">
        <v>0</v>
      </c>
      <c r="AE177">
        <v>0</v>
      </c>
      <c r="AF177">
        <v>0</v>
      </c>
      <c r="AG177">
        <v>0</v>
      </c>
    </row>
    <row r="178" spans="1:33" x14ac:dyDescent="0.2">
      <c r="A178">
        <v>177</v>
      </c>
      <c r="B178" t="s">
        <v>143</v>
      </c>
      <c r="C178" t="s">
        <v>108</v>
      </c>
      <c r="D178">
        <v>37</v>
      </c>
      <c r="E178" t="s">
        <v>34</v>
      </c>
      <c r="F178" t="s">
        <v>41</v>
      </c>
      <c r="G178" t="s">
        <v>55</v>
      </c>
      <c r="H178">
        <v>34192</v>
      </c>
      <c r="I178">
        <v>0</v>
      </c>
      <c r="J178">
        <v>0</v>
      </c>
      <c r="K178">
        <v>1</v>
      </c>
      <c r="L178">
        <v>0</v>
      </c>
      <c r="M178" t="s">
        <v>84</v>
      </c>
      <c r="N178" t="s">
        <v>57</v>
      </c>
      <c r="O178" t="s">
        <v>94</v>
      </c>
      <c r="P178" t="s">
        <v>37</v>
      </c>
      <c r="Q178" t="s">
        <v>46</v>
      </c>
      <c r="R178" t="s">
        <v>48</v>
      </c>
      <c r="S178" t="s">
        <v>47</v>
      </c>
      <c r="T178">
        <v>0</v>
      </c>
      <c r="U178">
        <v>0</v>
      </c>
      <c r="V178">
        <v>1</v>
      </c>
      <c r="W178">
        <v>1</v>
      </c>
      <c r="X178">
        <v>1</v>
      </c>
      <c r="Y178">
        <v>0</v>
      </c>
      <c r="Z178">
        <v>1</v>
      </c>
      <c r="AA178">
        <v>0</v>
      </c>
      <c r="AB178">
        <v>0</v>
      </c>
      <c r="AC178">
        <v>0</v>
      </c>
      <c r="AD178">
        <v>1</v>
      </c>
      <c r="AE178">
        <v>0</v>
      </c>
      <c r="AF178">
        <v>0</v>
      </c>
      <c r="AG178">
        <v>0</v>
      </c>
    </row>
    <row r="179" spans="1:33" x14ac:dyDescent="0.2">
      <c r="A179">
        <v>178</v>
      </c>
      <c r="B179" t="s">
        <v>143</v>
      </c>
      <c r="C179" t="s">
        <v>108</v>
      </c>
      <c r="D179">
        <v>37</v>
      </c>
      <c r="E179" t="s">
        <v>34</v>
      </c>
      <c r="F179" t="s">
        <v>41</v>
      </c>
      <c r="G179" t="s">
        <v>49</v>
      </c>
      <c r="H179">
        <v>12805</v>
      </c>
      <c r="I179">
        <v>0</v>
      </c>
      <c r="J179">
        <v>1</v>
      </c>
      <c r="K179">
        <v>0</v>
      </c>
      <c r="L179">
        <v>0</v>
      </c>
      <c r="M179" t="s">
        <v>83</v>
      </c>
      <c r="N179" t="s">
        <v>96</v>
      </c>
      <c r="O179" t="s">
        <v>51</v>
      </c>
      <c r="P179" t="s">
        <v>37</v>
      </c>
      <c r="Q179" t="s">
        <v>59</v>
      </c>
      <c r="R179" t="s">
        <v>65</v>
      </c>
      <c r="S179" t="s">
        <v>47</v>
      </c>
      <c r="T179">
        <v>0</v>
      </c>
      <c r="U179">
        <v>1</v>
      </c>
      <c r="V179">
        <v>0</v>
      </c>
      <c r="W179">
        <v>1</v>
      </c>
      <c r="X179">
        <v>0</v>
      </c>
      <c r="Y179">
        <v>0</v>
      </c>
      <c r="Z179">
        <v>1</v>
      </c>
      <c r="AA179">
        <v>0</v>
      </c>
      <c r="AB179">
        <v>1</v>
      </c>
      <c r="AC179">
        <v>0</v>
      </c>
      <c r="AD179">
        <v>0</v>
      </c>
      <c r="AE179">
        <v>0</v>
      </c>
      <c r="AF179">
        <v>0</v>
      </c>
      <c r="AG179">
        <v>0</v>
      </c>
    </row>
    <row r="180" spans="1:33" hidden="1" x14ac:dyDescent="0.2">
      <c r="A180">
        <v>179</v>
      </c>
      <c r="B180" t="s">
        <v>143</v>
      </c>
      <c r="C180" t="s">
        <v>108</v>
      </c>
      <c r="D180">
        <v>37</v>
      </c>
      <c r="E180" t="s">
        <v>34</v>
      </c>
      <c r="F180" t="s">
        <v>53</v>
      </c>
      <c r="G180" t="s">
        <v>66</v>
      </c>
      <c r="H180">
        <v>15427</v>
      </c>
      <c r="I180">
        <v>0</v>
      </c>
      <c r="J180">
        <v>1</v>
      </c>
      <c r="K180">
        <v>0</v>
      </c>
      <c r="L180">
        <v>0</v>
      </c>
      <c r="M180" t="s">
        <v>36</v>
      </c>
      <c r="N180" t="s">
        <v>36</v>
      </c>
      <c r="O180" t="s">
        <v>36</v>
      </c>
      <c r="P180" t="s">
        <v>37</v>
      </c>
      <c r="Q180" t="s">
        <v>36</v>
      </c>
      <c r="R180" t="s">
        <v>36</v>
      </c>
      <c r="S180" t="s">
        <v>36</v>
      </c>
      <c r="T180" t="s">
        <v>36</v>
      </c>
      <c r="U180">
        <v>1</v>
      </c>
      <c r="V180">
        <v>0</v>
      </c>
      <c r="W180">
        <v>1</v>
      </c>
      <c r="X180">
        <v>0</v>
      </c>
      <c r="Y180">
        <v>0</v>
      </c>
      <c r="Z180">
        <v>1</v>
      </c>
      <c r="AA180">
        <v>0</v>
      </c>
      <c r="AB180">
        <v>1</v>
      </c>
      <c r="AC180">
        <v>0</v>
      </c>
      <c r="AD180">
        <v>0</v>
      </c>
      <c r="AE180">
        <v>0</v>
      </c>
      <c r="AF180">
        <v>0</v>
      </c>
      <c r="AG180">
        <v>0</v>
      </c>
    </row>
    <row r="181" spans="1:33" x14ac:dyDescent="0.2">
      <c r="A181">
        <v>180</v>
      </c>
      <c r="B181" t="s">
        <v>143</v>
      </c>
      <c r="C181" t="s">
        <v>108</v>
      </c>
      <c r="D181">
        <v>37</v>
      </c>
      <c r="E181" t="s">
        <v>34</v>
      </c>
      <c r="F181" t="s">
        <v>41</v>
      </c>
      <c r="G181" t="s">
        <v>72</v>
      </c>
      <c r="H181">
        <v>11638</v>
      </c>
      <c r="I181">
        <v>0</v>
      </c>
      <c r="J181">
        <v>0</v>
      </c>
      <c r="K181">
        <v>1</v>
      </c>
      <c r="L181">
        <v>0</v>
      </c>
      <c r="M181" t="s">
        <v>75</v>
      </c>
      <c r="N181" t="s">
        <v>104</v>
      </c>
      <c r="O181" t="s">
        <v>115</v>
      </c>
      <c r="P181" t="s">
        <v>37</v>
      </c>
      <c r="Q181" t="s">
        <v>46</v>
      </c>
      <c r="R181" t="s">
        <v>60</v>
      </c>
      <c r="S181" t="s">
        <v>65</v>
      </c>
      <c r="T181">
        <v>1</v>
      </c>
      <c r="U181">
        <v>1</v>
      </c>
      <c r="V181">
        <v>0</v>
      </c>
      <c r="W181">
        <v>0</v>
      </c>
      <c r="X181">
        <v>1</v>
      </c>
      <c r="Y181">
        <v>0</v>
      </c>
      <c r="Z181">
        <v>1</v>
      </c>
      <c r="AA181">
        <v>0</v>
      </c>
      <c r="AB181">
        <v>1</v>
      </c>
      <c r="AC181">
        <v>0</v>
      </c>
      <c r="AD181">
        <v>0</v>
      </c>
      <c r="AE181">
        <v>0</v>
      </c>
      <c r="AF181">
        <v>0</v>
      </c>
      <c r="AG181">
        <v>0</v>
      </c>
    </row>
    <row r="182" spans="1:33" hidden="1" x14ac:dyDescent="0.2">
      <c r="A182">
        <v>181</v>
      </c>
      <c r="B182" t="s">
        <v>143</v>
      </c>
      <c r="C182" t="s">
        <v>108</v>
      </c>
      <c r="D182">
        <v>37</v>
      </c>
      <c r="E182" t="s">
        <v>34</v>
      </c>
      <c r="F182" t="s">
        <v>53</v>
      </c>
      <c r="G182" t="s">
        <v>71</v>
      </c>
      <c r="H182">
        <v>21959</v>
      </c>
      <c r="I182">
        <v>1</v>
      </c>
      <c r="J182">
        <v>1</v>
      </c>
      <c r="K182">
        <v>1</v>
      </c>
      <c r="L182">
        <v>0</v>
      </c>
      <c r="M182" t="s">
        <v>36</v>
      </c>
      <c r="N182" t="s">
        <v>36</v>
      </c>
      <c r="O182" t="s">
        <v>36</v>
      </c>
      <c r="P182" t="s">
        <v>37</v>
      </c>
      <c r="Q182" t="s">
        <v>36</v>
      </c>
      <c r="R182" t="s">
        <v>36</v>
      </c>
      <c r="S182" t="s">
        <v>36</v>
      </c>
      <c r="T182" t="s">
        <v>36</v>
      </c>
      <c r="U182">
        <v>1</v>
      </c>
      <c r="V182">
        <v>0</v>
      </c>
      <c r="W182">
        <v>0</v>
      </c>
      <c r="X182">
        <v>1</v>
      </c>
      <c r="Y182">
        <v>0</v>
      </c>
      <c r="Z182">
        <v>1</v>
      </c>
      <c r="AA182">
        <v>0</v>
      </c>
      <c r="AB182">
        <v>1</v>
      </c>
      <c r="AC182">
        <v>0</v>
      </c>
      <c r="AD182">
        <v>0</v>
      </c>
      <c r="AE182">
        <v>0</v>
      </c>
      <c r="AF182">
        <v>0</v>
      </c>
      <c r="AG182">
        <v>0</v>
      </c>
    </row>
    <row r="183" spans="1:33" hidden="1" x14ac:dyDescent="0.2">
      <c r="A183">
        <v>182</v>
      </c>
      <c r="B183" t="s">
        <v>143</v>
      </c>
      <c r="C183" t="s">
        <v>108</v>
      </c>
      <c r="D183">
        <v>37</v>
      </c>
      <c r="E183" t="s">
        <v>34</v>
      </c>
      <c r="F183" t="s">
        <v>77</v>
      </c>
      <c r="G183" t="s">
        <v>36</v>
      </c>
      <c r="H183">
        <v>55409</v>
      </c>
      <c r="I183" t="s">
        <v>144</v>
      </c>
      <c r="J183" t="s">
        <v>145</v>
      </c>
      <c r="K183" t="s">
        <v>146</v>
      </c>
      <c r="L183" t="s">
        <v>36</v>
      </c>
      <c r="M183" t="s">
        <v>36</v>
      </c>
      <c r="N183" t="s">
        <v>36</v>
      </c>
      <c r="O183" t="s">
        <v>36</v>
      </c>
      <c r="P183" t="s">
        <v>37</v>
      </c>
      <c r="Q183" t="s">
        <v>36</v>
      </c>
      <c r="R183" t="s">
        <v>36</v>
      </c>
      <c r="S183" t="s">
        <v>36</v>
      </c>
      <c r="T183" t="s">
        <v>36</v>
      </c>
      <c r="U183" t="s">
        <v>36</v>
      </c>
      <c r="V183" t="s">
        <v>36</v>
      </c>
      <c r="W183" t="s">
        <v>36</v>
      </c>
      <c r="X183" t="s">
        <v>36</v>
      </c>
      <c r="Y183" t="s">
        <v>36</v>
      </c>
      <c r="Z183" t="s">
        <v>36</v>
      </c>
      <c r="AA183" t="s">
        <v>36</v>
      </c>
      <c r="AB183" t="s">
        <v>36</v>
      </c>
      <c r="AC183" t="s">
        <v>36</v>
      </c>
      <c r="AD183" t="s">
        <v>36</v>
      </c>
      <c r="AE183" t="s">
        <v>36</v>
      </c>
      <c r="AF183" t="s">
        <v>36</v>
      </c>
      <c r="AG183" t="s">
        <v>36</v>
      </c>
    </row>
    <row r="184" spans="1:33" hidden="1" x14ac:dyDescent="0.2">
      <c r="A184">
        <v>183</v>
      </c>
      <c r="B184" t="s">
        <v>147</v>
      </c>
      <c r="C184" t="s">
        <v>108</v>
      </c>
      <c r="D184">
        <v>32</v>
      </c>
      <c r="E184" t="s">
        <v>114</v>
      </c>
      <c r="F184" t="s">
        <v>35</v>
      </c>
      <c r="G184" t="s">
        <v>36</v>
      </c>
      <c r="H184">
        <v>28296</v>
      </c>
      <c r="I184" t="s">
        <v>36</v>
      </c>
      <c r="J184" t="s">
        <v>36</v>
      </c>
      <c r="K184" t="s">
        <v>36</v>
      </c>
      <c r="L184" t="s">
        <v>36</v>
      </c>
      <c r="M184" t="s">
        <v>36</v>
      </c>
      <c r="N184" t="s">
        <v>36</v>
      </c>
      <c r="O184" t="s">
        <v>36</v>
      </c>
      <c r="P184" t="s">
        <v>37</v>
      </c>
      <c r="Q184" t="s">
        <v>36</v>
      </c>
      <c r="R184" t="s">
        <v>36</v>
      </c>
      <c r="S184" t="s">
        <v>36</v>
      </c>
      <c r="T184" t="s">
        <v>36</v>
      </c>
      <c r="U184" t="s">
        <v>36</v>
      </c>
      <c r="V184" t="s">
        <v>36</v>
      </c>
      <c r="W184" t="s">
        <v>36</v>
      </c>
      <c r="X184" t="s">
        <v>36</v>
      </c>
      <c r="Y184" t="s">
        <v>36</v>
      </c>
      <c r="Z184" t="s">
        <v>36</v>
      </c>
      <c r="AA184" t="s">
        <v>36</v>
      </c>
      <c r="AB184" t="s">
        <v>36</v>
      </c>
      <c r="AC184" t="s">
        <v>36</v>
      </c>
      <c r="AD184" t="s">
        <v>36</v>
      </c>
      <c r="AE184" t="s">
        <v>36</v>
      </c>
      <c r="AF184" t="s">
        <v>36</v>
      </c>
      <c r="AG184" t="s">
        <v>36</v>
      </c>
    </row>
    <row r="185" spans="1:33" hidden="1" x14ac:dyDescent="0.2">
      <c r="A185">
        <v>184</v>
      </c>
      <c r="B185" t="s">
        <v>147</v>
      </c>
      <c r="C185" t="s">
        <v>108</v>
      </c>
      <c r="D185">
        <v>32</v>
      </c>
      <c r="E185" t="s">
        <v>114</v>
      </c>
      <c r="F185" t="s">
        <v>38</v>
      </c>
      <c r="G185" t="s">
        <v>39</v>
      </c>
      <c r="H185">
        <v>26626</v>
      </c>
      <c r="I185">
        <v>0</v>
      </c>
      <c r="J185">
        <v>0</v>
      </c>
      <c r="K185">
        <v>0</v>
      </c>
      <c r="L185">
        <v>1</v>
      </c>
      <c r="M185" t="s">
        <v>36</v>
      </c>
      <c r="N185" t="s">
        <v>36</v>
      </c>
      <c r="O185" t="s">
        <v>36</v>
      </c>
      <c r="P185" t="s">
        <v>37</v>
      </c>
      <c r="Q185" t="s">
        <v>36</v>
      </c>
      <c r="R185" t="s">
        <v>36</v>
      </c>
      <c r="S185" t="s">
        <v>36</v>
      </c>
      <c r="T185" t="s">
        <v>36</v>
      </c>
      <c r="U185" t="s">
        <v>36</v>
      </c>
      <c r="V185" t="s">
        <v>36</v>
      </c>
      <c r="W185" t="s">
        <v>36</v>
      </c>
      <c r="X185" t="s">
        <v>36</v>
      </c>
      <c r="Y185" t="s">
        <v>36</v>
      </c>
      <c r="Z185" t="s">
        <v>36</v>
      </c>
      <c r="AA185" t="s">
        <v>36</v>
      </c>
      <c r="AB185" t="s">
        <v>36</v>
      </c>
      <c r="AC185" t="s">
        <v>36</v>
      </c>
      <c r="AD185" t="s">
        <v>36</v>
      </c>
      <c r="AE185" t="s">
        <v>36</v>
      </c>
      <c r="AF185" t="s">
        <v>36</v>
      </c>
      <c r="AG185" t="s">
        <v>36</v>
      </c>
    </row>
    <row r="186" spans="1:33" hidden="1" x14ac:dyDescent="0.2">
      <c r="A186">
        <v>185</v>
      </c>
      <c r="B186" t="s">
        <v>147</v>
      </c>
      <c r="C186" t="s">
        <v>108</v>
      </c>
      <c r="D186">
        <v>32</v>
      </c>
      <c r="E186" t="s">
        <v>114</v>
      </c>
      <c r="F186" t="s">
        <v>38</v>
      </c>
      <c r="G186" t="s">
        <v>40</v>
      </c>
      <c r="H186">
        <v>21075</v>
      </c>
      <c r="I186">
        <v>0</v>
      </c>
      <c r="J186">
        <v>0</v>
      </c>
      <c r="K186">
        <v>1</v>
      </c>
      <c r="L186">
        <v>0</v>
      </c>
      <c r="M186" t="s">
        <v>36</v>
      </c>
      <c r="N186" t="s">
        <v>36</v>
      </c>
      <c r="O186" t="s">
        <v>36</v>
      </c>
      <c r="P186" t="s">
        <v>37</v>
      </c>
      <c r="Q186" t="s">
        <v>36</v>
      </c>
      <c r="R186" t="s">
        <v>36</v>
      </c>
      <c r="S186" t="s">
        <v>36</v>
      </c>
      <c r="T186" t="s">
        <v>36</v>
      </c>
      <c r="U186" t="s">
        <v>36</v>
      </c>
      <c r="V186" t="s">
        <v>36</v>
      </c>
      <c r="W186" t="s">
        <v>36</v>
      </c>
      <c r="X186" t="s">
        <v>36</v>
      </c>
      <c r="Y186" t="s">
        <v>36</v>
      </c>
      <c r="Z186" t="s">
        <v>36</v>
      </c>
      <c r="AA186" t="s">
        <v>36</v>
      </c>
      <c r="AB186" t="s">
        <v>36</v>
      </c>
      <c r="AC186" t="s">
        <v>36</v>
      </c>
      <c r="AD186" t="s">
        <v>36</v>
      </c>
      <c r="AE186" t="s">
        <v>36</v>
      </c>
      <c r="AF186" t="s">
        <v>36</v>
      </c>
      <c r="AG186" t="s">
        <v>36</v>
      </c>
    </row>
    <row r="187" spans="1:33" x14ac:dyDescent="0.2">
      <c r="A187">
        <v>186</v>
      </c>
      <c r="B187" t="s">
        <v>147</v>
      </c>
      <c r="C187" t="s">
        <v>108</v>
      </c>
      <c r="D187">
        <v>32</v>
      </c>
      <c r="E187" t="s">
        <v>114</v>
      </c>
      <c r="F187" t="s">
        <v>41</v>
      </c>
      <c r="G187" t="s">
        <v>49</v>
      </c>
      <c r="H187">
        <v>58847</v>
      </c>
      <c r="I187">
        <v>0</v>
      </c>
      <c r="J187">
        <v>0</v>
      </c>
      <c r="K187">
        <v>0</v>
      </c>
      <c r="L187">
        <v>1</v>
      </c>
      <c r="M187" t="s">
        <v>52</v>
      </c>
      <c r="N187" t="s">
        <v>96</v>
      </c>
      <c r="O187" t="s">
        <v>51</v>
      </c>
      <c r="P187" t="s">
        <v>37</v>
      </c>
      <c r="Q187" t="s">
        <v>46</v>
      </c>
      <c r="R187" t="s">
        <v>65</v>
      </c>
      <c r="S187" t="s">
        <v>47</v>
      </c>
      <c r="T187">
        <v>0</v>
      </c>
      <c r="U187">
        <v>1</v>
      </c>
      <c r="V187">
        <v>0</v>
      </c>
      <c r="W187">
        <v>1</v>
      </c>
      <c r="X187">
        <v>1</v>
      </c>
      <c r="Y187">
        <v>0</v>
      </c>
      <c r="Z187">
        <v>1</v>
      </c>
      <c r="AA187">
        <v>0</v>
      </c>
      <c r="AB187">
        <v>0</v>
      </c>
      <c r="AC187">
        <v>0</v>
      </c>
      <c r="AD187">
        <v>0</v>
      </c>
      <c r="AE187">
        <v>0</v>
      </c>
      <c r="AF187">
        <v>0</v>
      </c>
      <c r="AG187">
        <v>1</v>
      </c>
    </row>
    <row r="188" spans="1:33" x14ac:dyDescent="0.2">
      <c r="A188">
        <v>187</v>
      </c>
      <c r="B188" t="s">
        <v>147</v>
      </c>
      <c r="C188" t="s">
        <v>108</v>
      </c>
      <c r="D188">
        <v>32</v>
      </c>
      <c r="E188" t="s">
        <v>114</v>
      </c>
      <c r="F188" t="s">
        <v>41</v>
      </c>
      <c r="G188" t="s">
        <v>55</v>
      </c>
      <c r="H188">
        <v>17491</v>
      </c>
      <c r="I188">
        <v>0</v>
      </c>
      <c r="J188">
        <v>0</v>
      </c>
      <c r="K188">
        <v>1</v>
      </c>
      <c r="L188">
        <v>0</v>
      </c>
      <c r="M188" t="s">
        <v>56</v>
      </c>
      <c r="N188" t="s">
        <v>58</v>
      </c>
      <c r="O188" t="s">
        <v>85</v>
      </c>
      <c r="P188" t="s">
        <v>37</v>
      </c>
      <c r="Q188" t="s">
        <v>59</v>
      </c>
      <c r="R188" t="s">
        <v>60</v>
      </c>
      <c r="S188" t="s">
        <v>65</v>
      </c>
      <c r="T188">
        <v>1</v>
      </c>
      <c r="U188">
        <v>1</v>
      </c>
      <c r="V188">
        <v>0</v>
      </c>
      <c r="W188">
        <v>0</v>
      </c>
      <c r="X188">
        <v>0</v>
      </c>
      <c r="Y188">
        <v>0</v>
      </c>
      <c r="Z188">
        <v>1</v>
      </c>
      <c r="AA188">
        <v>0</v>
      </c>
      <c r="AB188">
        <v>1</v>
      </c>
      <c r="AC188">
        <v>0</v>
      </c>
      <c r="AD188">
        <v>0</v>
      </c>
      <c r="AE188">
        <v>0</v>
      </c>
      <c r="AF188">
        <v>0</v>
      </c>
      <c r="AG188">
        <v>0</v>
      </c>
    </row>
    <row r="189" spans="1:33" hidden="1" x14ac:dyDescent="0.2">
      <c r="A189">
        <v>188</v>
      </c>
      <c r="B189" t="s">
        <v>147</v>
      </c>
      <c r="C189" t="s">
        <v>108</v>
      </c>
      <c r="D189">
        <v>32</v>
      </c>
      <c r="E189" t="s">
        <v>114</v>
      </c>
      <c r="F189" t="s">
        <v>53</v>
      </c>
      <c r="G189" t="s">
        <v>54</v>
      </c>
      <c r="H189">
        <v>24292</v>
      </c>
      <c r="I189">
        <v>0</v>
      </c>
      <c r="J189">
        <v>0</v>
      </c>
      <c r="K189">
        <v>1</v>
      </c>
      <c r="L189">
        <v>0</v>
      </c>
      <c r="M189" t="s">
        <v>36</v>
      </c>
      <c r="N189" t="s">
        <v>36</v>
      </c>
      <c r="O189" t="s">
        <v>36</v>
      </c>
      <c r="P189" t="s">
        <v>37</v>
      </c>
      <c r="Q189" t="s">
        <v>36</v>
      </c>
      <c r="R189" t="s">
        <v>36</v>
      </c>
      <c r="S189" t="s">
        <v>36</v>
      </c>
      <c r="T189" t="s">
        <v>36</v>
      </c>
      <c r="U189">
        <v>1</v>
      </c>
      <c r="V189">
        <v>0</v>
      </c>
      <c r="W189">
        <v>0</v>
      </c>
      <c r="X189">
        <v>0</v>
      </c>
      <c r="Y189">
        <v>0</v>
      </c>
      <c r="Z189">
        <v>1</v>
      </c>
      <c r="AA189">
        <v>0</v>
      </c>
      <c r="AB189">
        <v>1</v>
      </c>
      <c r="AC189">
        <v>0</v>
      </c>
      <c r="AD189">
        <v>0</v>
      </c>
      <c r="AE189">
        <v>0</v>
      </c>
      <c r="AF189">
        <v>0</v>
      </c>
      <c r="AG189">
        <v>0</v>
      </c>
    </row>
    <row r="190" spans="1:33" x14ac:dyDescent="0.2">
      <c r="A190">
        <v>189</v>
      </c>
      <c r="B190" t="s">
        <v>147</v>
      </c>
      <c r="C190" t="s">
        <v>108</v>
      </c>
      <c r="D190">
        <v>32</v>
      </c>
      <c r="E190" t="s">
        <v>114</v>
      </c>
      <c r="F190" t="s">
        <v>41</v>
      </c>
      <c r="G190" t="s">
        <v>72</v>
      </c>
      <c r="H190">
        <v>39493</v>
      </c>
      <c r="I190">
        <v>0</v>
      </c>
      <c r="J190">
        <v>1</v>
      </c>
      <c r="K190">
        <v>0</v>
      </c>
      <c r="L190">
        <v>0</v>
      </c>
      <c r="M190" t="s">
        <v>74</v>
      </c>
      <c r="N190" t="s">
        <v>115</v>
      </c>
      <c r="O190" t="s">
        <v>73</v>
      </c>
      <c r="P190" t="s">
        <v>37</v>
      </c>
      <c r="Q190" t="s">
        <v>47</v>
      </c>
      <c r="R190" t="s">
        <v>65</v>
      </c>
      <c r="S190" t="s">
        <v>48</v>
      </c>
      <c r="T190">
        <v>0</v>
      </c>
      <c r="U190">
        <v>1</v>
      </c>
      <c r="V190">
        <v>1</v>
      </c>
      <c r="W190">
        <v>1</v>
      </c>
      <c r="X190">
        <v>0</v>
      </c>
      <c r="Y190">
        <v>0</v>
      </c>
      <c r="Z190">
        <v>1</v>
      </c>
      <c r="AA190">
        <v>0</v>
      </c>
      <c r="AB190">
        <v>1</v>
      </c>
      <c r="AC190">
        <v>0</v>
      </c>
      <c r="AD190">
        <v>0</v>
      </c>
      <c r="AE190">
        <v>0</v>
      </c>
      <c r="AF190">
        <v>0</v>
      </c>
      <c r="AG190">
        <v>0</v>
      </c>
    </row>
    <row r="191" spans="1:33" hidden="1" x14ac:dyDescent="0.2">
      <c r="A191">
        <v>190</v>
      </c>
      <c r="B191" t="s">
        <v>147</v>
      </c>
      <c r="C191" t="s">
        <v>108</v>
      </c>
      <c r="D191">
        <v>32</v>
      </c>
      <c r="E191" t="s">
        <v>114</v>
      </c>
      <c r="F191" t="s">
        <v>53</v>
      </c>
      <c r="G191" t="s">
        <v>71</v>
      </c>
      <c r="H191">
        <v>37870</v>
      </c>
      <c r="I191">
        <v>0</v>
      </c>
      <c r="J191">
        <v>0</v>
      </c>
      <c r="K191">
        <v>1</v>
      </c>
      <c r="L191">
        <v>0</v>
      </c>
      <c r="M191" t="s">
        <v>36</v>
      </c>
      <c r="N191" t="s">
        <v>36</v>
      </c>
      <c r="O191" t="s">
        <v>36</v>
      </c>
      <c r="P191" t="s">
        <v>37</v>
      </c>
      <c r="Q191" t="s">
        <v>36</v>
      </c>
      <c r="R191" t="s">
        <v>36</v>
      </c>
      <c r="S191" t="s">
        <v>36</v>
      </c>
      <c r="T191" t="s">
        <v>36</v>
      </c>
      <c r="U191">
        <v>1</v>
      </c>
      <c r="V191">
        <v>1</v>
      </c>
      <c r="W191">
        <v>1</v>
      </c>
      <c r="X191">
        <v>0</v>
      </c>
      <c r="Y191">
        <v>0</v>
      </c>
      <c r="Z191">
        <v>1</v>
      </c>
      <c r="AA191">
        <v>0</v>
      </c>
      <c r="AB191">
        <v>1</v>
      </c>
      <c r="AC191">
        <v>0</v>
      </c>
      <c r="AD191">
        <v>0</v>
      </c>
      <c r="AE191">
        <v>0</v>
      </c>
      <c r="AF191">
        <v>0</v>
      </c>
      <c r="AG191">
        <v>0</v>
      </c>
    </row>
    <row r="192" spans="1:33" x14ac:dyDescent="0.2">
      <c r="A192">
        <v>191</v>
      </c>
      <c r="B192" t="s">
        <v>147</v>
      </c>
      <c r="C192" t="s">
        <v>108</v>
      </c>
      <c r="D192">
        <v>32</v>
      </c>
      <c r="E192" t="s">
        <v>114</v>
      </c>
      <c r="F192" t="s">
        <v>41</v>
      </c>
      <c r="G192" t="s">
        <v>42</v>
      </c>
      <c r="H192">
        <v>20118</v>
      </c>
      <c r="I192">
        <v>0</v>
      </c>
      <c r="J192">
        <v>0</v>
      </c>
      <c r="K192">
        <v>0</v>
      </c>
      <c r="L192">
        <v>1</v>
      </c>
      <c r="M192" t="s">
        <v>45</v>
      </c>
      <c r="N192" t="s">
        <v>44</v>
      </c>
      <c r="O192" t="s">
        <v>43</v>
      </c>
      <c r="P192" t="s">
        <v>37</v>
      </c>
      <c r="Q192" t="s">
        <v>48</v>
      </c>
      <c r="R192" t="s">
        <v>47</v>
      </c>
      <c r="S192" t="s">
        <v>46</v>
      </c>
      <c r="T192">
        <v>0</v>
      </c>
      <c r="U192">
        <v>0</v>
      </c>
      <c r="V192">
        <v>1</v>
      </c>
      <c r="W192">
        <v>1</v>
      </c>
      <c r="X192">
        <v>1</v>
      </c>
      <c r="Y192">
        <v>0</v>
      </c>
      <c r="Z192">
        <v>1</v>
      </c>
      <c r="AA192">
        <v>0</v>
      </c>
      <c r="AB192">
        <v>0</v>
      </c>
      <c r="AC192">
        <v>0</v>
      </c>
      <c r="AD192">
        <v>0</v>
      </c>
      <c r="AE192">
        <v>0</v>
      </c>
      <c r="AF192">
        <v>0</v>
      </c>
      <c r="AG192">
        <v>1</v>
      </c>
    </row>
    <row r="193" spans="1:33" x14ac:dyDescent="0.2">
      <c r="A193">
        <v>192</v>
      </c>
      <c r="B193" t="s">
        <v>147</v>
      </c>
      <c r="C193" t="s">
        <v>108</v>
      </c>
      <c r="D193">
        <v>32</v>
      </c>
      <c r="E193" t="s">
        <v>114</v>
      </c>
      <c r="F193" t="s">
        <v>41</v>
      </c>
      <c r="G193" t="s">
        <v>61</v>
      </c>
      <c r="H193">
        <v>19023</v>
      </c>
      <c r="I193">
        <v>0</v>
      </c>
      <c r="J193">
        <v>0</v>
      </c>
      <c r="K193">
        <v>1</v>
      </c>
      <c r="L193">
        <v>0</v>
      </c>
      <c r="M193" t="s">
        <v>87</v>
      </c>
      <c r="N193" t="s">
        <v>62</v>
      </c>
      <c r="O193" t="s">
        <v>125</v>
      </c>
      <c r="P193" t="s">
        <v>37</v>
      </c>
      <c r="Q193" t="s">
        <v>47</v>
      </c>
      <c r="R193" t="s">
        <v>65</v>
      </c>
      <c r="S193" t="s">
        <v>60</v>
      </c>
      <c r="T193">
        <v>1</v>
      </c>
      <c r="U193">
        <v>1</v>
      </c>
      <c r="V193">
        <v>0</v>
      </c>
      <c r="W193">
        <v>1</v>
      </c>
      <c r="X193">
        <v>0</v>
      </c>
      <c r="Y193">
        <v>0</v>
      </c>
      <c r="Z193">
        <v>1</v>
      </c>
      <c r="AA193">
        <v>1</v>
      </c>
      <c r="AB193">
        <v>0</v>
      </c>
      <c r="AC193">
        <v>0</v>
      </c>
      <c r="AD193">
        <v>0</v>
      </c>
      <c r="AE193">
        <v>0</v>
      </c>
      <c r="AF193">
        <v>0</v>
      </c>
      <c r="AG193">
        <v>0</v>
      </c>
    </row>
    <row r="194" spans="1:33" hidden="1" x14ac:dyDescent="0.2">
      <c r="A194">
        <v>193</v>
      </c>
      <c r="B194" t="s">
        <v>147</v>
      </c>
      <c r="C194" t="s">
        <v>108</v>
      </c>
      <c r="D194">
        <v>32</v>
      </c>
      <c r="E194" t="s">
        <v>114</v>
      </c>
      <c r="F194" t="s">
        <v>53</v>
      </c>
      <c r="G194" t="s">
        <v>76</v>
      </c>
      <c r="H194">
        <v>21484</v>
      </c>
      <c r="I194">
        <v>1</v>
      </c>
      <c r="J194">
        <v>0</v>
      </c>
      <c r="K194">
        <v>0</v>
      </c>
      <c r="L194">
        <v>0</v>
      </c>
      <c r="M194" t="s">
        <v>36</v>
      </c>
      <c r="N194" t="s">
        <v>36</v>
      </c>
      <c r="O194" t="s">
        <v>36</v>
      </c>
      <c r="P194" t="s">
        <v>37</v>
      </c>
      <c r="Q194" t="s">
        <v>36</v>
      </c>
      <c r="R194" t="s">
        <v>36</v>
      </c>
      <c r="S194" t="s">
        <v>36</v>
      </c>
      <c r="T194" t="s">
        <v>36</v>
      </c>
      <c r="U194">
        <v>1</v>
      </c>
      <c r="V194">
        <v>0</v>
      </c>
      <c r="W194">
        <v>1</v>
      </c>
      <c r="X194">
        <v>0</v>
      </c>
      <c r="Y194">
        <v>0</v>
      </c>
      <c r="Z194">
        <v>1</v>
      </c>
      <c r="AA194">
        <v>1</v>
      </c>
      <c r="AB194">
        <v>0</v>
      </c>
      <c r="AC194">
        <v>0</v>
      </c>
      <c r="AD194">
        <v>0</v>
      </c>
      <c r="AE194">
        <v>0</v>
      </c>
      <c r="AF194">
        <v>0</v>
      </c>
      <c r="AG194">
        <v>0</v>
      </c>
    </row>
    <row r="195" spans="1:33" x14ac:dyDescent="0.2">
      <c r="A195">
        <v>194</v>
      </c>
      <c r="B195" t="s">
        <v>147</v>
      </c>
      <c r="C195" t="s">
        <v>108</v>
      </c>
      <c r="D195">
        <v>32</v>
      </c>
      <c r="E195" t="s">
        <v>114</v>
      </c>
      <c r="F195" t="s">
        <v>41</v>
      </c>
      <c r="G195" t="s">
        <v>67</v>
      </c>
      <c r="H195">
        <v>13600</v>
      </c>
      <c r="I195">
        <v>0</v>
      </c>
      <c r="J195">
        <v>0</v>
      </c>
      <c r="K195">
        <v>0</v>
      </c>
      <c r="L195">
        <v>1</v>
      </c>
      <c r="M195" t="s">
        <v>68</v>
      </c>
      <c r="N195" t="s">
        <v>70</v>
      </c>
      <c r="O195" t="s">
        <v>109</v>
      </c>
      <c r="P195" t="s">
        <v>37</v>
      </c>
      <c r="Q195" t="s">
        <v>65</v>
      </c>
      <c r="R195" t="s">
        <v>47</v>
      </c>
      <c r="S195" t="s">
        <v>59</v>
      </c>
      <c r="T195">
        <v>0</v>
      </c>
      <c r="U195">
        <v>1</v>
      </c>
      <c r="V195">
        <v>0</v>
      </c>
      <c r="W195">
        <v>1</v>
      </c>
      <c r="X195">
        <v>0</v>
      </c>
      <c r="Y195">
        <v>0</v>
      </c>
      <c r="Z195">
        <v>1</v>
      </c>
      <c r="AA195">
        <v>0</v>
      </c>
      <c r="AB195">
        <v>0</v>
      </c>
      <c r="AC195">
        <v>0</v>
      </c>
      <c r="AD195">
        <v>0</v>
      </c>
      <c r="AE195">
        <v>0</v>
      </c>
      <c r="AF195">
        <v>0</v>
      </c>
      <c r="AG195">
        <v>1</v>
      </c>
    </row>
    <row r="196" spans="1:33" hidden="1" x14ac:dyDescent="0.2">
      <c r="A196">
        <v>195</v>
      </c>
      <c r="B196" t="s">
        <v>147</v>
      </c>
      <c r="C196" t="s">
        <v>108</v>
      </c>
      <c r="D196">
        <v>32</v>
      </c>
      <c r="E196" t="s">
        <v>114</v>
      </c>
      <c r="F196" t="s">
        <v>53</v>
      </c>
      <c r="G196" t="s">
        <v>66</v>
      </c>
      <c r="H196">
        <v>20851</v>
      </c>
      <c r="I196">
        <v>1</v>
      </c>
      <c r="J196">
        <v>0</v>
      </c>
      <c r="K196">
        <v>0</v>
      </c>
      <c r="L196">
        <v>0</v>
      </c>
      <c r="M196" t="s">
        <v>36</v>
      </c>
      <c r="N196" t="s">
        <v>36</v>
      </c>
      <c r="O196" t="s">
        <v>36</v>
      </c>
      <c r="P196" t="s">
        <v>37</v>
      </c>
      <c r="Q196" t="s">
        <v>36</v>
      </c>
      <c r="R196" t="s">
        <v>36</v>
      </c>
      <c r="S196" t="s">
        <v>36</v>
      </c>
      <c r="T196" t="s">
        <v>36</v>
      </c>
      <c r="U196">
        <v>1</v>
      </c>
      <c r="V196">
        <v>0</v>
      </c>
      <c r="W196">
        <v>1</v>
      </c>
      <c r="X196">
        <v>0</v>
      </c>
      <c r="Y196">
        <v>0</v>
      </c>
      <c r="Z196">
        <v>1</v>
      </c>
      <c r="AA196">
        <v>0</v>
      </c>
      <c r="AB196">
        <v>0</v>
      </c>
      <c r="AC196">
        <v>0</v>
      </c>
      <c r="AD196">
        <v>0</v>
      </c>
      <c r="AE196">
        <v>0</v>
      </c>
      <c r="AF196">
        <v>0</v>
      </c>
      <c r="AG196">
        <v>1</v>
      </c>
    </row>
    <row r="197" spans="1:33" hidden="1" x14ac:dyDescent="0.2">
      <c r="A197">
        <v>196</v>
      </c>
      <c r="B197" t="s">
        <v>147</v>
      </c>
      <c r="C197" t="s">
        <v>108</v>
      </c>
      <c r="D197">
        <v>32</v>
      </c>
      <c r="E197" t="s">
        <v>114</v>
      </c>
      <c r="F197" t="s">
        <v>77</v>
      </c>
      <c r="G197" t="s">
        <v>36</v>
      </c>
      <c r="H197">
        <v>119804</v>
      </c>
      <c r="I197" t="s">
        <v>148</v>
      </c>
      <c r="J197" t="s">
        <v>149</v>
      </c>
      <c r="K197" t="s">
        <v>150</v>
      </c>
      <c r="L197" t="s">
        <v>36</v>
      </c>
      <c r="M197" t="s">
        <v>36</v>
      </c>
      <c r="N197" t="s">
        <v>36</v>
      </c>
      <c r="O197" t="s">
        <v>36</v>
      </c>
      <c r="P197" t="s">
        <v>37</v>
      </c>
      <c r="Q197" t="s">
        <v>36</v>
      </c>
      <c r="R197" t="s">
        <v>36</v>
      </c>
      <c r="S197" t="s">
        <v>36</v>
      </c>
      <c r="T197" t="s">
        <v>36</v>
      </c>
      <c r="U197" t="s">
        <v>36</v>
      </c>
      <c r="V197" t="s">
        <v>36</v>
      </c>
      <c r="W197" t="s">
        <v>36</v>
      </c>
      <c r="X197" t="s">
        <v>36</v>
      </c>
      <c r="Y197" t="s">
        <v>36</v>
      </c>
      <c r="Z197" t="s">
        <v>36</v>
      </c>
      <c r="AA197" t="s">
        <v>36</v>
      </c>
      <c r="AB197" t="s">
        <v>36</v>
      </c>
      <c r="AC197" t="s">
        <v>36</v>
      </c>
      <c r="AD197" t="s">
        <v>36</v>
      </c>
      <c r="AE197" t="s">
        <v>36</v>
      </c>
      <c r="AF197" t="s">
        <v>36</v>
      </c>
      <c r="AG197" t="s">
        <v>36</v>
      </c>
    </row>
    <row r="198" spans="1:33" hidden="1" x14ac:dyDescent="0.2">
      <c r="A198">
        <v>197</v>
      </c>
      <c r="B198" t="s">
        <v>151</v>
      </c>
      <c r="C198" t="s">
        <v>108</v>
      </c>
      <c r="D198">
        <v>25</v>
      </c>
      <c r="E198" t="s">
        <v>34</v>
      </c>
      <c r="F198" t="s">
        <v>35</v>
      </c>
      <c r="G198" t="s">
        <v>36</v>
      </c>
      <c r="H198">
        <v>12540</v>
      </c>
      <c r="I198" t="s">
        <v>36</v>
      </c>
      <c r="J198" t="s">
        <v>36</v>
      </c>
      <c r="K198" t="s">
        <v>36</v>
      </c>
      <c r="L198" t="s">
        <v>36</v>
      </c>
      <c r="M198" t="s">
        <v>36</v>
      </c>
      <c r="N198" t="s">
        <v>36</v>
      </c>
      <c r="O198" t="s">
        <v>36</v>
      </c>
      <c r="P198" t="s">
        <v>37</v>
      </c>
      <c r="Q198" t="s">
        <v>36</v>
      </c>
      <c r="R198" t="s">
        <v>36</v>
      </c>
      <c r="S198" t="s">
        <v>36</v>
      </c>
      <c r="T198" t="s">
        <v>36</v>
      </c>
      <c r="U198" t="s">
        <v>36</v>
      </c>
      <c r="V198" t="s">
        <v>36</v>
      </c>
      <c r="W198" t="s">
        <v>36</v>
      </c>
      <c r="X198" t="s">
        <v>36</v>
      </c>
      <c r="Y198" t="s">
        <v>36</v>
      </c>
      <c r="Z198" t="s">
        <v>36</v>
      </c>
      <c r="AA198" t="s">
        <v>36</v>
      </c>
      <c r="AB198" t="s">
        <v>36</v>
      </c>
      <c r="AC198" t="s">
        <v>36</v>
      </c>
      <c r="AD198" t="s">
        <v>36</v>
      </c>
      <c r="AE198" t="s">
        <v>36</v>
      </c>
      <c r="AF198" t="s">
        <v>36</v>
      </c>
      <c r="AG198" t="s">
        <v>36</v>
      </c>
    </row>
    <row r="199" spans="1:33" hidden="1" x14ac:dyDescent="0.2">
      <c r="A199">
        <v>198</v>
      </c>
      <c r="B199" t="s">
        <v>151</v>
      </c>
      <c r="C199" t="s">
        <v>108</v>
      </c>
      <c r="D199">
        <v>25</v>
      </c>
      <c r="E199" t="s">
        <v>34</v>
      </c>
      <c r="F199" t="s">
        <v>38</v>
      </c>
      <c r="G199" t="s">
        <v>39</v>
      </c>
      <c r="H199">
        <v>30560</v>
      </c>
      <c r="I199">
        <v>0</v>
      </c>
      <c r="J199">
        <v>0</v>
      </c>
      <c r="K199">
        <v>0</v>
      </c>
      <c r="L199">
        <v>1</v>
      </c>
      <c r="M199" t="s">
        <v>36</v>
      </c>
      <c r="N199" t="s">
        <v>36</v>
      </c>
      <c r="O199" t="s">
        <v>36</v>
      </c>
      <c r="P199" t="s">
        <v>37</v>
      </c>
      <c r="Q199" t="s">
        <v>36</v>
      </c>
      <c r="R199" t="s">
        <v>36</v>
      </c>
      <c r="S199" t="s">
        <v>36</v>
      </c>
      <c r="T199" t="s">
        <v>36</v>
      </c>
      <c r="U199" t="s">
        <v>36</v>
      </c>
      <c r="V199" t="s">
        <v>36</v>
      </c>
      <c r="W199" t="s">
        <v>36</v>
      </c>
      <c r="X199" t="s">
        <v>36</v>
      </c>
      <c r="Y199" t="s">
        <v>36</v>
      </c>
      <c r="Z199" t="s">
        <v>36</v>
      </c>
      <c r="AA199" t="s">
        <v>36</v>
      </c>
      <c r="AB199" t="s">
        <v>36</v>
      </c>
      <c r="AC199" t="s">
        <v>36</v>
      </c>
      <c r="AD199" t="s">
        <v>36</v>
      </c>
      <c r="AE199" t="s">
        <v>36</v>
      </c>
      <c r="AF199" t="s">
        <v>36</v>
      </c>
      <c r="AG199" t="s">
        <v>36</v>
      </c>
    </row>
    <row r="200" spans="1:33" hidden="1" x14ac:dyDescent="0.2">
      <c r="A200">
        <v>199</v>
      </c>
      <c r="B200" t="s">
        <v>151</v>
      </c>
      <c r="C200" t="s">
        <v>108</v>
      </c>
      <c r="D200">
        <v>25</v>
      </c>
      <c r="E200" t="s">
        <v>34</v>
      </c>
      <c r="F200" t="s">
        <v>38</v>
      </c>
      <c r="G200" t="s">
        <v>40</v>
      </c>
      <c r="H200">
        <v>19664</v>
      </c>
      <c r="I200">
        <v>0</v>
      </c>
      <c r="J200">
        <v>0</v>
      </c>
      <c r="K200">
        <v>1</v>
      </c>
      <c r="L200">
        <v>0</v>
      </c>
      <c r="M200" t="s">
        <v>36</v>
      </c>
      <c r="N200" t="s">
        <v>36</v>
      </c>
      <c r="O200" t="s">
        <v>36</v>
      </c>
      <c r="P200" t="s">
        <v>37</v>
      </c>
      <c r="Q200" t="s">
        <v>36</v>
      </c>
      <c r="R200" t="s">
        <v>36</v>
      </c>
      <c r="S200" t="s">
        <v>36</v>
      </c>
      <c r="T200" t="s">
        <v>36</v>
      </c>
      <c r="U200" t="s">
        <v>36</v>
      </c>
      <c r="V200" t="s">
        <v>36</v>
      </c>
      <c r="W200" t="s">
        <v>36</v>
      </c>
      <c r="X200" t="s">
        <v>36</v>
      </c>
      <c r="Y200" t="s">
        <v>36</v>
      </c>
      <c r="Z200" t="s">
        <v>36</v>
      </c>
      <c r="AA200" t="s">
        <v>36</v>
      </c>
      <c r="AB200" t="s">
        <v>36</v>
      </c>
      <c r="AC200" t="s">
        <v>36</v>
      </c>
      <c r="AD200" t="s">
        <v>36</v>
      </c>
      <c r="AE200" t="s">
        <v>36</v>
      </c>
      <c r="AF200" t="s">
        <v>36</v>
      </c>
      <c r="AG200" t="s">
        <v>36</v>
      </c>
    </row>
    <row r="201" spans="1:33" x14ac:dyDescent="0.2">
      <c r="A201">
        <v>200</v>
      </c>
      <c r="B201" t="s">
        <v>151</v>
      </c>
      <c r="C201" t="s">
        <v>108</v>
      </c>
      <c r="D201">
        <v>25</v>
      </c>
      <c r="E201" t="s">
        <v>34</v>
      </c>
      <c r="F201" t="s">
        <v>41</v>
      </c>
      <c r="G201" t="s">
        <v>55</v>
      </c>
      <c r="H201">
        <v>23798</v>
      </c>
      <c r="I201">
        <v>0</v>
      </c>
      <c r="J201">
        <v>1</v>
      </c>
      <c r="K201">
        <v>0</v>
      </c>
      <c r="L201">
        <v>0</v>
      </c>
      <c r="M201" t="s">
        <v>58</v>
      </c>
      <c r="N201" t="s">
        <v>85</v>
      </c>
      <c r="O201" t="s">
        <v>57</v>
      </c>
      <c r="P201" t="s">
        <v>37</v>
      </c>
      <c r="Q201" t="s">
        <v>60</v>
      </c>
      <c r="R201" t="s">
        <v>65</v>
      </c>
      <c r="S201" t="s">
        <v>48</v>
      </c>
      <c r="T201">
        <v>1</v>
      </c>
      <c r="U201">
        <v>1</v>
      </c>
      <c r="V201">
        <v>1</v>
      </c>
      <c r="W201">
        <v>0</v>
      </c>
      <c r="X201">
        <v>0</v>
      </c>
      <c r="Y201">
        <v>0</v>
      </c>
      <c r="Z201">
        <v>1</v>
      </c>
      <c r="AA201">
        <v>0</v>
      </c>
      <c r="AB201">
        <v>1</v>
      </c>
      <c r="AC201">
        <v>0</v>
      </c>
      <c r="AD201">
        <v>0</v>
      </c>
      <c r="AE201">
        <v>0</v>
      </c>
      <c r="AF201">
        <v>0</v>
      </c>
      <c r="AG201">
        <v>0</v>
      </c>
    </row>
    <row r="202" spans="1:33" hidden="1" x14ac:dyDescent="0.2">
      <c r="A202">
        <v>201</v>
      </c>
      <c r="B202" t="s">
        <v>151</v>
      </c>
      <c r="C202" t="s">
        <v>108</v>
      </c>
      <c r="D202">
        <v>25</v>
      </c>
      <c r="E202" t="s">
        <v>34</v>
      </c>
      <c r="F202" t="s">
        <v>53</v>
      </c>
      <c r="G202" t="s">
        <v>76</v>
      </c>
      <c r="H202">
        <v>16005</v>
      </c>
      <c r="I202">
        <v>0</v>
      </c>
      <c r="J202">
        <v>0</v>
      </c>
      <c r="K202">
        <v>0</v>
      </c>
      <c r="L202">
        <v>1</v>
      </c>
      <c r="M202" t="s">
        <v>36</v>
      </c>
      <c r="N202" t="s">
        <v>36</v>
      </c>
      <c r="O202" t="s">
        <v>36</v>
      </c>
      <c r="P202" t="s">
        <v>37</v>
      </c>
      <c r="Q202" t="s">
        <v>36</v>
      </c>
      <c r="R202" t="s">
        <v>36</v>
      </c>
      <c r="S202" t="s">
        <v>36</v>
      </c>
      <c r="T202" t="s">
        <v>36</v>
      </c>
      <c r="U202">
        <v>1</v>
      </c>
      <c r="V202">
        <v>1</v>
      </c>
      <c r="W202">
        <v>0</v>
      </c>
      <c r="X202">
        <v>0</v>
      </c>
      <c r="Y202">
        <v>0</v>
      </c>
      <c r="Z202">
        <v>1</v>
      </c>
      <c r="AA202">
        <v>0</v>
      </c>
      <c r="AB202">
        <v>1</v>
      </c>
      <c r="AC202">
        <v>0</v>
      </c>
      <c r="AD202">
        <v>0</v>
      </c>
      <c r="AE202">
        <v>0</v>
      </c>
      <c r="AF202">
        <v>0</v>
      </c>
      <c r="AG202">
        <v>0</v>
      </c>
    </row>
    <row r="203" spans="1:33" x14ac:dyDescent="0.2">
      <c r="A203">
        <v>202</v>
      </c>
      <c r="B203" t="s">
        <v>151</v>
      </c>
      <c r="C203" t="s">
        <v>108</v>
      </c>
      <c r="D203">
        <v>25</v>
      </c>
      <c r="E203" t="s">
        <v>34</v>
      </c>
      <c r="F203" t="s">
        <v>41</v>
      </c>
      <c r="G203" t="s">
        <v>72</v>
      </c>
      <c r="H203">
        <v>32650</v>
      </c>
      <c r="I203">
        <v>1</v>
      </c>
      <c r="J203">
        <v>1</v>
      </c>
      <c r="K203">
        <v>1</v>
      </c>
      <c r="L203">
        <v>0</v>
      </c>
      <c r="M203" t="s">
        <v>75</v>
      </c>
      <c r="N203" t="s">
        <v>74</v>
      </c>
      <c r="O203" t="s">
        <v>115</v>
      </c>
      <c r="P203" t="s">
        <v>37</v>
      </c>
      <c r="Q203" t="s">
        <v>46</v>
      </c>
      <c r="R203" t="s">
        <v>47</v>
      </c>
      <c r="S203" t="s">
        <v>65</v>
      </c>
      <c r="T203">
        <v>0</v>
      </c>
      <c r="U203">
        <v>1</v>
      </c>
      <c r="V203">
        <v>0</v>
      </c>
      <c r="W203">
        <v>1</v>
      </c>
      <c r="X203">
        <v>1</v>
      </c>
      <c r="Y203">
        <v>0</v>
      </c>
      <c r="Z203">
        <v>1</v>
      </c>
      <c r="AA203">
        <v>0</v>
      </c>
      <c r="AB203">
        <v>1</v>
      </c>
      <c r="AC203">
        <v>0</v>
      </c>
      <c r="AD203">
        <v>1</v>
      </c>
      <c r="AE203">
        <v>1</v>
      </c>
      <c r="AF203">
        <v>0</v>
      </c>
      <c r="AG203">
        <v>0</v>
      </c>
    </row>
    <row r="204" spans="1:33" x14ac:dyDescent="0.2">
      <c r="A204">
        <v>203</v>
      </c>
      <c r="B204" t="s">
        <v>151</v>
      </c>
      <c r="C204" t="s">
        <v>108</v>
      </c>
      <c r="D204">
        <v>25</v>
      </c>
      <c r="E204" t="s">
        <v>34</v>
      </c>
      <c r="F204" t="s">
        <v>41</v>
      </c>
      <c r="G204" t="s">
        <v>42</v>
      </c>
      <c r="H204">
        <v>37115</v>
      </c>
      <c r="I204">
        <v>1</v>
      </c>
      <c r="J204">
        <v>1</v>
      </c>
      <c r="K204">
        <v>1</v>
      </c>
      <c r="L204">
        <v>0</v>
      </c>
      <c r="M204" t="s">
        <v>43</v>
      </c>
      <c r="N204" t="s">
        <v>102</v>
      </c>
      <c r="O204" t="s">
        <v>82</v>
      </c>
      <c r="P204" t="s">
        <v>37</v>
      </c>
      <c r="Q204" t="s">
        <v>46</v>
      </c>
      <c r="R204" t="s">
        <v>59</v>
      </c>
      <c r="S204" t="s">
        <v>65</v>
      </c>
      <c r="T204">
        <v>0</v>
      </c>
      <c r="U204">
        <v>1</v>
      </c>
      <c r="V204">
        <v>0</v>
      </c>
      <c r="W204">
        <v>0</v>
      </c>
      <c r="X204">
        <v>1</v>
      </c>
      <c r="Y204">
        <v>0</v>
      </c>
      <c r="Z204">
        <v>1</v>
      </c>
      <c r="AA204">
        <v>0</v>
      </c>
      <c r="AB204">
        <v>1</v>
      </c>
      <c r="AC204">
        <v>0</v>
      </c>
      <c r="AD204">
        <v>0</v>
      </c>
      <c r="AE204">
        <v>1</v>
      </c>
      <c r="AF204">
        <v>0</v>
      </c>
      <c r="AG204">
        <v>0</v>
      </c>
    </row>
    <row r="205" spans="1:33" hidden="1" x14ac:dyDescent="0.2">
      <c r="A205">
        <v>204</v>
      </c>
      <c r="B205" t="s">
        <v>151</v>
      </c>
      <c r="C205" t="s">
        <v>108</v>
      </c>
      <c r="D205">
        <v>25</v>
      </c>
      <c r="E205" t="s">
        <v>34</v>
      </c>
      <c r="F205" t="s">
        <v>53</v>
      </c>
      <c r="G205" t="s">
        <v>71</v>
      </c>
      <c r="H205">
        <v>32489</v>
      </c>
      <c r="I205">
        <v>0</v>
      </c>
      <c r="J205">
        <v>0</v>
      </c>
      <c r="K205">
        <v>1</v>
      </c>
      <c r="L205">
        <v>0</v>
      </c>
      <c r="M205" t="s">
        <v>36</v>
      </c>
      <c r="N205" t="s">
        <v>36</v>
      </c>
      <c r="O205" t="s">
        <v>36</v>
      </c>
      <c r="P205" t="s">
        <v>37</v>
      </c>
      <c r="Q205" t="s">
        <v>36</v>
      </c>
      <c r="R205" t="s">
        <v>36</v>
      </c>
      <c r="S205" t="s">
        <v>36</v>
      </c>
      <c r="T205" t="s">
        <v>36</v>
      </c>
      <c r="U205">
        <v>1</v>
      </c>
      <c r="V205">
        <v>0</v>
      </c>
      <c r="W205">
        <v>0</v>
      </c>
      <c r="X205">
        <v>1</v>
      </c>
      <c r="Y205">
        <v>0</v>
      </c>
      <c r="Z205">
        <v>1</v>
      </c>
      <c r="AA205">
        <v>0</v>
      </c>
      <c r="AB205">
        <v>1</v>
      </c>
      <c r="AC205">
        <v>0</v>
      </c>
      <c r="AD205">
        <v>0</v>
      </c>
      <c r="AE205">
        <v>1</v>
      </c>
      <c r="AF205">
        <v>0</v>
      </c>
      <c r="AG205">
        <v>0</v>
      </c>
    </row>
    <row r="206" spans="1:33" x14ac:dyDescent="0.2">
      <c r="A206">
        <v>205</v>
      </c>
      <c r="B206" t="s">
        <v>151</v>
      </c>
      <c r="C206" t="s">
        <v>108</v>
      </c>
      <c r="D206">
        <v>25</v>
      </c>
      <c r="E206" t="s">
        <v>34</v>
      </c>
      <c r="F206" t="s">
        <v>41</v>
      </c>
      <c r="G206" t="s">
        <v>67</v>
      </c>
      <c r="H206">
        <v>8113</v>
      </c>
      <c r="I206">
        <v>1</v>
      </c>
      <c r="J206">
        <v>1</v>
      </c>
      <c r="K206">
        <v>1</v>
      </c>
      <c r="L206">
        <v>0</v>
      </c>
      <c r="M206" t="s">
        <v>70</v>
      </c>
      <c r="N206" t="s">
        <v>109</v>
      </c>
      <c r="O206" t="s">
        <v>68</v>
      </c>
      <c r="P206" t="s">
        <v>37</v>
      </c>
      <c r="Q206" t="s">
        <v>47</v>
      </c>
      <c r="R206" t="s">
        <v>59</v>
      </c>
      <c r="S206" t="s">
        <v>65</v>
      </c>
      <c r="T206">
        <v>0</v>
      </c>
      <c r="U206">
        <v>1</v>
      </c>
      <c r="V206">
        <v>0</v>
      </c>
      <c r="W206">
        <v>1</v>
      </c>
      <c r="X206">
        <v>0</v>
      </c>
      <c r="Y206">
        <v>0</v>
      </c>
      <c r="Z206">
        <v>1</v>
      </c>
      <c r="AA206">
        <v>0</v>
      </c>
      <c r="AB206">
        <v>1</v>
      </c>
      <c r="AC206">
        <v>0</v>
      </c>
      <c r="AD206">
        <v>1</v>
      </c>
      <c r="AE206">
        <v>0</v>
      </c>
      <c r="AF206">
        <v>0</v>
      </c>
      <c r="AG206">
        <v>0</v>
      </c>
    </row>
    <row r="207" spans="1:33" hidden="1" x14ac:dyDescent="0.2">
      <c r="A207">
        <v>206</v>
      </c>
      <c r="B207" t="s">
        <v>151</v>
      </c>
      <c r="C207" t="s">
        <v>108</v>
      </c>
      <c r="D207">
        <v>25</v>
      </c>
      <c r="E207" t="s">
        <v>34</v>
      </c>
      <c r="F207" t="s">
        <v>53</v>
      </c>
      <c r="G207" t="s">
        <v>54</v>
      </c>
      <c r="H207">
        <v>24750</v>
      </c>
      <c r="I207">
        <v>0</v>
      </c>
      <c r="J207">
        <v>1</v>
      </c>
      <c r="K207">
        <v>1</v>
      </c>
      <c r="L207">
        <v>0</v>
      </c>
      <c r="M207" t="s">
        <v>36</v>
      </c>
      <c r="N207" t="s">
        <v>36</v>
      </c>
      <c r="O207" t="s">
        <v>36</v>
      </c>
      <c r="P207" t="s">
        <v>37</v>
      </c>
      <c r="Q207" t="s">
        <v>36</v>
      </c>
      <c r="R207" t="s">
        <v>36</v>
      </c>
      <c r="S207" t="s">
        <v>36</v>
      </c>
      <c r="T207" t="s">
        <v>36</v>
      </c>
      <c r="U207">
        <v>1</v>
      </c>
      <c r="V207">
        <v>0</v>
      </c>
      <c r="W207">
        <v>1</v>
      </c>
      <c r="X207">
        <v>0</v>
      </c>
      <c r="Y207">
        <v>0</v>
      </c>
      <c r="Z207">
        <v>1</v>
      </c>
      <c r="AA207">
        <v>0</v>
      </c>
      <c r="AB207">
        <v>1</v>
      </c>
      <c r="AC207">
        <v>0</v>
      </c>
      <c r="AD207">
        <v>1</v>
      </c>
      <c r="AE207">
        <v>0</v>
      </c>
      <c r="AF207">
        <v>0</v>
      </c>
      <c r="AG207">
        <v>0</v>
      </c>
    </row>
    <row r="208" spans="1:33" x14ac:dyDescent="0.2">
      <c r="A208">
        <v>207</v>
      </c>
      <c r="B208" t="s">
        <v>151</v>
      </c>
      <c r="C208" t="s">
        <v>108</v>
      </c>
      <c r="D208">
        <v>25</v>
      </c>
      <c r="E208" t="s">
        <v>34</v>
      </c>
      <c r="F208" t="s">
        <v>41</v>
      </c>
      <c r="G208" t="s">
        <v>49</v>
      </c>
      <c r="H208">
        <v>8031</v>
      </c>
      <c r="I208">
        <v>1</v>
      </c>
      <c r="J208">
        <v>0</v>
      </c>
      <c r="K208">
        <v>1</v>
      </c>
      <c r="L208">
        <v>0</v>
      </c>
      <c r="M208" t="s">
        <v>83</v>
      </c>
      <c r="N208" t="s">
        <v>51</v>
      </c>
      <c r="O208" t="s">
        <v>52</v>
      </c>
      <c r="P208" t="s">
        <v>37</v>
      </c>
      <c r="Q208" t="s">
        <v>59</v>
      </c>
      <c r="R208" t="s">
        <v>47</v>
      </c>
      <c r="S208" t="s">
        <v>46</v>
      </c>
      <c r="T208">
        <v>0</v>
      </c>
      <c r="U208">
        <v>0</v>
      </c>
      <c r="V208">
        <v>0</v>
      </c>
      <c r="W208">
        <v>1</v>
      </c>
      <c r="X208">
        <v>1</v>
      </c>
      <c r="Y208">
        <v>0</v>
      </c>
      <c r="Z208">
        <v>1</v>
      </c>
      <c r="AA208">
        <v>0</v>
      </c>
      <c r="AB208">
        <v>0</v>
      </c>
      <c r="AC208">
        <v>0</v>
      </c>
      <c r="AD208">
        <v>0</v>
      </c>
      <c r="AE208">
        <v>1</v>
      </c>
      <c r="AF208">
        <v>0</v>
      </c>
      <c r="AG208">
        <v>0</v>
      </c>
    </row>
    <row r="209" spans="1:33" x14ac:dyDescent="0.2">
      <c r="A209">
        <v>208</v>
      </c>
      <c r="B209" t="s">
        <v>151</v>
      </c>
      <c r="C209" t="s">
        <v>108</v>
      </c>
      <c r="D209">
        <v>25</v>
      </c>
      <c r="E209" t="s">
        <v>34</v>
      </c>
      <c r="F209" t="s">
        <v>41</v>
      </c>
      <c r="G209" t="s">
        <v>61</v>
      </c>
      <c r="H209">
        <v>9527</v>
      </c>
      <c r="I209">
        <v>1</v>
      </c>
      <c r="J209">
        <v>1</v>
      </c>
      <c r="K209">
        <v>1</v>
      </c>
      <c r="L209">
        <v>0</v>
      </c>
      <c r="M209" t="s">
        <v>62</v>
      </c>
      <c r="N209" t="s">
        <v>125</v>
      </c>
      <c r="O209" t="s">
        <v>63</v>
      </c>
      <c r="P209" t="s">
        <v>37</v>
      </c>
      <c r="Q209" t="s">
        <v>65</v>
      </c>
      <c r="R209" t="s">
        <v>60</v>
      </c>
      <c r="S209" t="s">
        <v>46</v>
      </c>
      <c r="T209">
        <v>1</v>
      </c>
      <c r="U209">
        <v>1</v>
      </c>
      <c r="V209">
        <v>0</v>
      </c>
      <c r="W209">
        <v>0</v>
      </c>
      <c r="X209">
        <v>1</v>
      </c>
      <c r="Y209">
        <v>0</v>
      </c>
      <c r="Z209">
        <v>1</v>
      </c>
      <c r="AA209">
        <v>1</v>
      </c>
      <c r="AB209">
        <v>1</v>
      </c>
      <c r="AC209">
        <v>0</v>
      </c>
      <c r="AD209">
        <v>0</v>
      </c>
      <c r="AE209">
        <v>1</v>
      </c>
      <c r="AF209">
        <v>0</v>
      </c>
      <c r="AG209">
        <v>0</v>
      </c>
    </row>
    <row r="210" spans="1:33" hidden="1" x14ac:dyDescent="0.2">
      <c r="A210">
        <v>209</v>
      </c>
      <c r="B210" t="s">
        <v>151</v>
      </c>
      <c r="C210" t="s">
        <v>108</v>
      </c>
      <c r="D210">
        <v>25</v>
      </c>
      <c r="E210" t="s">
        <v>34</v>
      </c>
      <c r="F210" t="s">
        <v>53</v>
      </c>
      <c r="G210" t="s">
        <v>66</v>
      </c>
      <c r="H210">
        <v>20647</v>
      </c>
      <c r="I210">
        <v>0</v>
      </c>
      <c r="J210">
        <v>0</v>
      </c>
      <c r="K210">
        <v>0</v>
      </c>
      <c r="L210">
        <v>1</v>
      </c>
      <c r="M210" t="s">
        <v>36</v>
      </c>
      <c r="N210" t="s">
        <v>36</v>
      </c>
      <c r="O210" t="s">
        <v>36</v>
      </c>
      <c r="P210" t="s">
        <v>37</v>
      </c>
      <c r="Q210" t="s">
        <v>36</v>
      </c>
      <c r="R210" t="s">
        <v>36</v>
      </c>
      <c r="S210" t="s">
        <v>36</v>
      </c>
      <c r="T210" t="s">
        <v>36</v>
      </c>
      <c r="U210">
        <v>1</v>
      </c>
      <c r="V210">
        <v>0</v>
      </c>
      <c r="W210">
        <v>0</v>
      </c>
      <c r="X210">
        <v>1</v>
      </c>
      <c r="Y210">
        <v>0</v>
      </c>
      <c r="Z210">
        <v>1</v>
      </c>
      <c r="AA210">
        <v>1</v>
      </c>
      <c r="AB210">
        <v>1</v>
      </c>
      <c r="AC210">
        <v>0</v>
      </c>
      <c r="AD210">
        <v>0</v>
      </c>
      <c r="AE210">
        <v>1</v>
      </c>
      <c r="AF210">
        <v>0</v>
      </c>
      <c r="AG210">
        <v>0</v>
      </c>
    </row>
    <row r="211" spans="1:33" hidden="1" x14ac:dyDescent="0.2">
      <c r="A211">
        <v>210</v>
      </c>
      <c r="B211" t="s">
        <v>151</v>
      </c>
      <c r="C211" t="s">
        <v>108</v>
      </c>
      <c r="D211">
        <v>25</v>
      </c>
      <c r="E211" t="s">
        <v>34</v>
      </c>
      <c r="F211" t="s">
        <v>77</v>
      </c>
      <c r="G211" t="s">
        <v>36</v>
      </c>
      <c r="H211">
        <v>67016</v>
      </c>
      <c r="I211" t="s">
        <v>152</v>
      </c>
      <c r="J211" t="s">
        <v>153</v>
      </c>
      <c r="K211" t="s">
        <v>154</v>
      </c>
      <c r="L211" t="s">
        <v>36</v>
      </c>
      <c r="M211" t="s">
        <v>36</v>
      </c>
      <c r="N211" t="s">
        <v>36</v>
      </c>
      <c r="O211" t="s">
        <v>36</v>
      </c>
      <c r="P211" t="s">
        <v>37</v>
      </c>
      <c r="Q211" t="s">
        <v>36</v>
      </c>
      <c r="R211" t="s">
        <v>36</v>
      </c>
      <c r="S211" t="s">
        <v>36</v>
      </c>
      <c r="T211" t="s">
        <v>36</v>
      </c>
      <c r="U211" t="s">
        <v>36</v>
      </c>
      <c r="V211" t="s">
        <v>36</v>
      </c>
      <c r="W211" t="s">
        <v>36</v>
      </c>
      <c r="X211" t="s">
        <v>36</v>
      </c>
      <c r="Y211" t="s">
        <v>36</v>
      </c>
      <c r="Z211" t="s">
        <v>36</v>
      </c>
      <c r="AA211" t="s">
        <v>36</v>
      </c>
      <c r="AB211" t="s">
        <v>36</v>
      </c>
      <c r="AC211" t="s">
        <v>36</v>
      </c>
      <c r="AD211" t="s">
        <v>36</v>
      </c>
      <c r="AE211" t="s">
        <v>36</v>
      </c>
      <c r="AF211" t="s">
        <v>36</v>
      </c>
      <c r="AG211" t="s">
        <v>36</v>
      </c>
    </row>
    <row r="212" spans="1:33" hidden="1" x14ac:dyDescent="0.2">
      <c r="A212">
        <v>211</v>
      </c>
      <c r="B212" t="s">
        <v>155</v>
      </c>
      <c r="C212" t="s">
        <v>108</v>
      </c>
      <c r="D212">
        <v>20</v>
      </c>
      <c r="E212" t="s">
        <v>34</v>
      </c>
      <c r="F212" t="s">
        <v>35</v>
      </c>
      <c r="G212" t="s">
        <v>36</v>
      </c>
      <c r="H212">
        <v>31246</v>
      </c>
      <c r="I212" t="s">
        <v>36</v>
      </c>
      <c r="J212" t="s">
        <v>36</v>
      </c>
      <c r="K212" t="s">
        <v>36</v>
      </c>
      <c r="L212" t="s">
        <v>36</v>
      </c>
      <c r="M212" t="s">
        <v>36</v>
      </c>
      <c r="N212" t="s">
        <v>36</v>
      </c>
      <c r="O212" t="s">
        <v>36</v>
      </c>
      <c r="P212" t="s">
        <v>37</v>
      </c>
      <c r="Q212" t="s">
        <v>36</v>
      </c>
      <c r="R212" t="s">
        <v>36</v>
      </c>
      <c r="S212" t="s">
        <v>36</v>
      </c>
      <c r="T212" t="s">
        <v>36</v>
      </c>
      <c r="U212" t="s">
        <v>36</v>
      </c>
      <c r="V212" t="s">
        <v>36</v>
      </c>
      <c r="W212" t="s">
        <v>36</v>
      </c>
      <c r="X212" t="s">
        <v>36</v>
      </c>
      <c r="Y212" t="s">
        <v>36</v>
      </c>
      <c r="Z212" t="s">
        <v>36</v>
      </c>
      <c r="AA212" t="s">
        <v>36</v>
      </c>
      <c r="AB212" t="s">
        <v>36</v>
      </c>
      <c r="AC212" t="s">
        <v>36</v>
      </c>
      <c r="AD212" t="s">
        <v>36</v>
      </c>
      <c r="AE212" t="s">
        <v>36</v>
      </c>
      <c r="AF212" t="s">
        <v>36</v>
      </c>
      <c r="AG212" t="s">
        <v>36</v>
      </c>
    </row>
    <row r="213" spans="1:33" hidden="1" x14ac:dyDescent="0.2">
      <c r="A213">
        <v>212</v>
      </c>
      <c r="B213" t="s">
        <v>155</v>
      </c>
      <c r="C213" t="s">
        <v>108</v>
      </c>
      <c r="D213">
        <v>20</v>
      </c>
      <c r="E213" t="s">
        <v>34</v>
      </c>
      <c r="F213" t="s">
        <v>38</v>
      </c>
      <c r="G213" t="s">
        <v>40</v>
      </c>
      <c r="H213">
        <v>66155</v>
      </c>
      <c r="I213">
        <v>0</v>
      </c>
      <c r="J213">
        <v>0</v>
      </c>
      <c r="K213">
        <v>0</v>
      </c>
      <c r="L213">
        <v>1</v>
      </c>
      <c r="M213" t="s">
        <v>36</v>
      </c>
      <c r="N213" t="s">
        <v>36</v>
      </c>
      <c r="O213" t="s">
        <v>36</v>
      </c>
      <c r="P213" t="s">
        <v>37</v>
      </c>
      <c r="Q213" t="s">
        <v>36</v>
      </c>
      <c r="R213" t="s">
        <v>36</v>
      </c>
      <c r="S213" t="s">
        <v>36</v>
      </c>
      <c r="T213" t="s">
        <v>36</v>
      </c>
      <c r="U213" t="s">
        <v>36</v>
      </c>
      <c r="V213" t="s">
        <v>36</v>
      </c>
      <c r="W213" t="s">
        <v>36</v>
      </c>
      <c r="X213" t="s">
        <v>36</v>
      </c>
      <c r="Y213" t="s">
        <v>36</v>
      </c>
      <c r="Z213" t="s">
        <v>36</v>
      </c>
      <c r="AA213" t="s">
        <v>36</v>
      </c>
      <c r="AB213" t="s">
        <v>36</v>
      </c>
      <c r="AC213" t="s">
        <v>36</v>
      </c>
      <c r="AD213" t="s">
        <v>36</v>
      </c>
      <c r="AE213" t="s">
        <v>36</v>
      </c>
      <c r="AF213" t="s">
        <v>36</v>
      </c>
      <c r="AG213" t="s">
        <v>36</v>
      </c>
    </row>
    <row r="214" spans="1:33" hidden="1" x14ac:dyDescent="0.2">
      <c r="A214">
        <v>213</v>
      </c>
      <c r="B214" t="s">
        <v>155</v>
      </c>
      <c r="C214" t="s">
        <v>108</v>
      </c>
      <c r="D214">
        <v>20</v>
      </c>
      <c r="E214" t="s">
        <v>34</v>
      </c>
      <c r="F214" t="s">
        <v>38</v>
      </c>
      <c r="G214" t="s">
        <v>39</v>
      </c>
      <c r="H214">
        <v>51144</v>
      </c>
      <c r="I214">
        <v>0</v>
      </c>
      <c r="J214">
        <v>0</v>
      </c>
      <c r="K214">
        <v>0</v>
      </c>
      <c r="L214">
        <v>1</v>
      </c>
      <c r="M214" t="s">
        <v>36</v>
      </c>
      <c r="N214" t="s">
        <v>36</v>
      </c>
      <c r="O214" t="s">
        <v>36</v>
      </c>
      <c r="P214" t="s">
        <v>37</v>
      </c>
      <c r="Q214" t="s">
        <v>36</v>
      </c>
      <c r="R214" t="s">
        <v>36</v>
      </c>
      <c r="S214" t="s">
        <v>36</v>
      </c>
      <c r="T214" t="s">
        <v>36</v>
      </c>
      <c r="U214" t="s">
        <v>36</v>
      </c>
      <c r="V214" t="s">
        <v>36</v>
      </c>
      <c r="W214" t="s">
        <v>36</v>
      </c>
      <c r="X214" t="s">
        <v>36</v>
      </c>
      <c r="Y214" t="s">
        <v>36</v>
      </c>
      <c r="Z214" t="s">
        <v>36</v>
      </c>
      <c r="AA214" t="s">
        <v>36</v>
      </c>
      <c r="AB214" t="s">
        <v>36</v>
      </c>
      <c r="AC214" t="s">
        <v>36</v>
      </c>
      <c r="AD214" t="s">
        <v>36</v>
      </c>
      <c r="AE214" t="s">
        <v>36</v>
      </c>
      <c r="AF214" t="s">
        <v>36</v>
      </c>
      <c r="AG214" t="s">
        <v>36</v>
      </c>
    </row>
    <row r="215" spans="1:33" x14ac:dyDescent="0.2">
      <c r="A215">
        <v>214</v>
      </c>
      <c r="B215" t="s">
        <v>155</v>
      </c>
      <c r="C215" t="s">
        <v>108</v>
      </c>
      <c r="D215">
        <v>20</v>
      </c>
      <c r="E215" t="s">
        <v>34</v>
      </c>
      <c r="F215" t="s">
        <v>41</v>
      </c>
      <c r="G215" t="s">
        <v>67</v>
      </c>
      <c r="H215">
        <v>38962</v>
      </c>
      <c r="I215">
        <v>0</v>
      </c>
      <c r="J215">
        <v>0</v>
      </c>
      <c r="K215">
        <v>0</v>
      </c>
      <c r="L215">
        <v>1</v>
      </c>
      <c r="M215" t="s">
        <v>68</v>
      </c>
      <c r="N215" t="s">
        <v>69</v>
      </c>
      <c r="O215" t="s">
        <v>86</v>
      </c>
      <c r="P215" t="s">
        <v>37</v>
      </c>
      <c r="Q215" t="s">
        <v>65</v>
      </c>
      <c r="R215" t="s">
        <v>48</v>
      </c>
      <c r="S215" t="s">
        <v>46</v>
      </c>
      <c r="T215">
        <v>0</v>
      </c>
      <c r="U215">
        <v>1</v>
      </c>
      <c r="V215">
        <v>1</v>
      </c>
      <c r="W215">
        <v>0</v>
      </c>
      <c r="X215">
        <v>1</v>
      </c>
      <c r="Y215">
        <v>0</v>
      </c>
      <c r="Z215">
        <v>1</v>
      </c>
      <c r="AA215">
        <v>0</v>
      </c>
      <c r="AB215">
        <v>0</v>
      </c>
      <c r="AC215">
        <v>0</v>
      </c>
      <c r="AD215">
        <v>0</v>
      </c>
      <c r="AE215">
        <v>0</v>
      </c>
      <c r="AF215">
        <v>0</v>
      </c>
      <c r="AG215">
        <v>1</v>
      </c>
    </row>
    <row r="216" spans="1:33" x14ac:dyDescent="0.2">
      <c r="A216">
        <v>215</v>
      </c>
      <c r="B216" t="s">
        <v>155</v>
      </c>
      <c r="C216" t="s">
        <v>108</v>
      </c>
      <c r="D216">
        <v>20</v>
      </c>
      <c r="E216" t="s">
        <v>34</v>
      </c>
      <c r="F216" t="s">
        <v>41</v>
      </c>
      <c r="G216" t="s">
        <v>42</v>
      </c>
      <c r="H216">
        <v>45126</v>
      </c>
      <c r="I216">
        <v>0</v>
      </c>
      <c r="J216">
        <v>0</v>
      </c>
      <c r="K216">
        <v>0</v>
      </c>
      <c r="L216">
        <v>1</v>
      </c>
      <c r="M216" t="s">
        <v>43</v>
      </c>
      <c r="N216" t="s">
        <v>116</v>
      </c>
      <c r="O216" t="s">
        <v>45</v>
      </c>
      <c r="P216" t="s">
        <v>37</v>
      </c>
      <c r="Q216" t="s">
        <v>46</v>
      </c>
      <c r="R216" t="s">
        <v>60</v>
      </c>
      <c r="S216" t="s">
        <v>48</v>
      </c>
      <c r="T216">
        <v>1</v>
      </c>
      <c r="U216">
        <v>0</v>
      </c>
      <c r="V216">
        <v>1</v>
      </c>
      <c r="W216">
        <v>0</v>
      </c>
      <c r="X216">
        <v>1</v>
      </c>
      <c r="Y216">
        <v>0</v>
      </c>
      <c r="Z216">
        <v>1</v>
      </c>
      <c r="AA216">
        <v>0</v>
      </c>
      <c r="AB216">
        <v>0</v>
      </c>
      <c r="AC216">
        <v>0</v>
      </c>
      <c r="AD216">
        <v>0</v>
      </c>
      <c r="AE216">
        <v>0</v>
      </c>
      <c r="AF216">
        <v>0</v>
      </c>
      <c r="AG216">
        <v>1</v>
      </c>
    </row>
    <row r="217" spans="1:33" hidden="1" x14ac:dyDescent="0.2">
      <c r="A217">
        <v>216</v>
      </c>
      <c r="B217" t="s">
        <v>155</v>
      </c>
      <c r="C217" t="s">
        <v>108</v>
      </c>
      <c r="D217">
        <v>20</v>
      </c>
      <c r="E217" t="s">
        <v>34</v>
      </c>
      <c r="F217" t="s">
        <v>53</v>
      </c>
      <c r="G217" t="s">
        <v>66</v>
      </c>
      <c r="H217">
        <v>8275</v>
      </c>
      <c r="I217">
        <v>1</v>
      </c>
      <c r="J217">
        <v>0</v>
      </c>
      <c r="K217">
        <v>0</v>
      </c>
      <c r="L217">
        <v>0</v>
      </c>
      <c r="M217" t="s">
        <v>36</v>
      </c>
      <c r="N217" t="s">
        <v>36</v>
      </c>
      <c r="O217" t="s">
        <v>36</v>
      </c>
      <c r="P217" t="s">
        <v>37</v>
      </c>
      <c r="Q217" t="s">
        <v>36</v>
      </c>
      <c r="R217" t="s">
        <v>36</v>
      </c>
      <c r="S217" t="s">
        <v>36</v>
      </c>
      <c r="T217" t="s">
        <v>36</v>
      </c>
      <c r="U217">
        <v>0</v>
      </c>
      <c r="V217">
        <v>1</v>
      </c>
      <c r="W217">
        <v>0</v>
      </c>
      <c r="X217">
        <v>1</v>
      </c>
      <c r="Y217">
        <v>0</v>
      </c>
      <c r="Z217">
        <v>1</v>
      </c>
      <c r="AA217">
        <v>0</v>
      </c>
      <c r="AB217">
        <v>0</v>
      </c>
      <c r="AC217">
        <v>0</v>
      </c>
      <c r="AD217">
        <v>0</v>
      </c>
      <c r="AE217">
        <v>0</v>
      </c>
      <c r="AF217">
        <v>0</v>
      </c>
      <c r="AG217">
        <v>1</v>
      </c>
    </row>
    <row r="218" spans="1:33" x14ac:dyDescent="0.2">
      <c r="A218">
        <v>217</v>
      </c>
      <c r="B218" t="s">
        <v>155</v>
      </c>
      <c r="C218" t="s">
        <v>108</v>
      </c>
      <c r="D218">
        <v>20</v>
      </c>
      <c r="E218" t="s">
        <v>34</v>
      </c>
      <c r="F218" t="s">
        <v>41</v>
      </c>
      <c r="G218" t="s">
        <v>55</v>
      </c>
      <c r="H218">
        <v>6446</v>
      </c>
      <c r="I218">
        <v>0</v>
      </c>
      <c r="J218">
        <v>0</v>
      </c>
      <c r="K218">
        <v>0</v>
      </c>
      <c r="L218">
        <v>1</v>
      </c>
      <c r="M218" t="s">
        <v>94</v>
      </c>
      <c r="N218" t="s">
        <v>84</v>
      </c>
      <c r="O218" t="s">
        <v>57</v>
      </c>
      <c r="P218" t="s">
        <v>37</v>
      </c>
      <c r="Q218" t="s">
        <v>47</v>
      </c>
      <c r="R218" t="s">
        <v>46</v>
      </c>
      <c r="S218" t="s">
        <v>48</v>
      </c>
      <c r="T218">
        <v>0</v>
      </c>
      <c r="U218">
        <v>0</v>
      </c>
      <c r="V218">
        <v>1</v>
      </c>
      <c r="W218">
        <v>1</v>
      </c>
      <c r="X218">
        <v>1</v>
      </c>
      <c r="Y218">
        <v>0</v>
      </c>
      <c r="Z218">
        <v>1</v>
      </c>
      <c r="AA218">
        <v>0</v>
      </c>
      <c r="AB218">
        <v>0</v>
      </c>
      <c r="AC218">
        <v>0</v>
      </c>
      <c r="AD218">
        <v>0</v>
      </c>
      <c r="AE218">
        <v>0</v>
      </c>
      <c r="AF218">
        <v>0</v>
      </c>
      <c r="AG218">
        <v>1</v>
      </c>
    </row>
    <row r="219" spans="1:33" x14ac:dyDescent="0.2">
      <c r="A219">
        <v>218</v>
      </c>
      <c r="B219" t="s">
        <v>155</v>
      </c>
      <c r="C219" t="s">
        <v>108</v>
      </c>
      <c r="D219">
        <v>20</v>
      </c>
      <c r="E219" t="s">
        <v>34</v>
      </c>
      <c r="F219" t="s">
        <v>41</v>
      </c>
      <c r="G219" t="s">
        <v>49</v>
      </c>
      <c r="H219">
        <v>10409</v>
      </c>
      <c r="I219">
        <v>0</v>
      </c>
      <c r="J219">
        <v>0</v>
      </c>
      <c r="K219">
        <v>0</v>
      </c>
      <c r="L219">
        <v>1</v>
      </c>
      <c r="M219" t="s">
        <v>96</v>
      </c>
      <c r="N219" t="s">
        <v>50</v>
      </c>
      <c r="O219" t="s">
        <v>95</v>
      </c>
      <c r="P219" t="s">
        <v>37</v>
      </c>
      <c r="Q219" t="s">
        <v>65</v>
      </c>
      <c r="R219" t="s">
        <v>48</v>
      </c>
      <c r="S219" t="s">
        <v>60</v>
      </c>
      <c r="T219">
        <v>1</v>
      </c>
      <c r="U219">
        <v>1</v>
      </c>
      <c r="V219">
        <v>1</v>
      </c>
      <c r="W219">
        <v>0</v>
      </c>
      <c r="X219">
        <v>0</v>
      </c>
      <c r="Y219">
        <v>0</v>
      </c>
      <c r="Z219">
        <v>1</v>
      </c>
      <c r="AA219">
        <v>0</v>
      </c>
      <c r="AB219">
        <v>0</v>
      </c>
      <c r="AC219">
        <v>0</v>
      </c>
      <c r="AD219">
        <v>0</v>
      </c>
      <c r="AE219">
        <v>0</v>
      </c>
      <c r="AF219">
        <v>0</v>
      </c>
      <c r="AG219">
        <v>1</v>
      </c>
    </row>
    <row r="220" spans="1:33" hidden="1" x14ac:dyDescent="0.2">
      <c r="A220">
        <v>219</v>
      </c>
      <c r="B220" t="s">
        <v>155</v>
      </c>
      <c r="C220" t="s">
        <v>108</v>
      </c>
      <c r="D220">
        <v>20</v>
      </c>
      <c r="E220" t="s">
        <v>34</v>
      </c>
      <c r="F220" t="s">
        <v>53</v>
      </c>
      <c r="G220" t="s">
        <v>71</v>
      </c>
      <c r="H220">
        <v>11176</v>
      </c>
      <c r="I220">
        <v>0</v>
      </c>
      <c r="J220">
        <v>1</v>
      </c>
      <c r="K220">
        <v>0</v>
      </c>
      <c r="L220">
        <v>0</v>
      </c>
      <c r="M220" t="s">
        <v>36</v>
      </c>
      <c r="N220" t="s">
        <v>36</v>
      </c>
      <c r="O220" t="s">
        <v>36</v>
      </c>
      <c r="P220" t="s">
        <v>37</v>
      </c>
      <c r="Q220" t="s">
        <v>36</v>
      </c>
      <c r="R220" t="s">
        <v>36</v>
      </c>
      <c r="S220" t="s">
        <v>36</v>
      </c>
      <c r="T220" t="s">
        <v>36</v>
      </c>
      <c r="U220">
        <v>1</v>
      </c>
      <c r="V220">
        <v>1</v>
      </c>
      <c r="W220">
        <v>0</v>
      </c>
      <c r="X220">
        <v>0</v>
      </c>
      <c r="Y220">
        <v>0</v>
      </c>
      <c r="Z220">
        <v>1</v>
      </c>
      <c r="AA220">
        <v>0</v>
      </c>
      <c r="AB220">
        <v>0</v>
      </c>
      <c r="AC220">
        <v>0</v>
      </c>
      <c r="AD220">
        <v>0</v>
      </c>
      <c r="AE220">
        <v>0</v>
      </c>
      <c r="AF220">
        <v>0</v>
      </c>
      <c r="AG220">
        <v>1</v>
      </c>
    </row>
    <row r="221" spans="1:33" x14ac:dyDescent="0.2">
      <c r="A221">
        <v>220</v>
      </c>
      <c r="B221" t="s">
        <v>155</v>
      </c>
      <c r="C221" t="s">
        <v>108</v>
      </c>
      <c r="D221">
        <v>20</v>
      </c>
      <c r="E221" t="s">
        <v>34</v>
      </c>
      <c r="F221" t="s">
        <v>41</v>
      </c>
      <c r="G221" t="s">
        <v>72</v>
      </c>
      <c r="H221">
        <v>10957</v>
      </c>
      <c r="I221">
        <v>0</v>
      </c>
      <c r="J221">
        <v>0</v>
      </c>
      <c r="K221">
        <v>0</v>
      </c>
      <c r="L221">
        <v>1</v>
      </c>
      <c r="M221" t="s">
        <v>73</v>
      </c>
      <c r="N221" t="s">
        <v>93</v>
      </c>
      <c r="O221" t="s">
        <v>74</v>
      </c>
      <c r="P221" t="s">
        <v>37</v>
      </c>
      <c r="Q221" t="s">
        <v>48</v>
      </c>
      <c r="R221" t="s">
        <v>59</v>
      </c>
      <c r="S221" t="s">
        <v>47</v>
      </c>
      <c r="T221">
        <v>0</v>
      </c>
      <c r="U221">
        <v>0</v>
      </c>
      <c r="V221">
        <v>1</v>
      </c>
      <c r="W221">
        <v>1</v>
      </c>
      <c r="X221">
        <v>0</v>
      </c>
      <c r="Y221">
        <v>0</v>
      </c>
      <c r="Z221">
        <v>1</v>
      </c>
      <c r="AA221">
        <v>0</v>
      </c>
      <c r="AB221">
        <v>0</v>
      </c>
      <c r="AC221">
        <v>0</v>
      </c>
      <c r="AD221">
        <v>0</v>
      </c>
      <c r="AE221">
        <v>0</v>
      </c>
      <c r="AF221">
        <v>0</v>
      </c>
      <c r="AG221">
        <v>1</v>
      </c>
    </row>
    <row r="222" spans="1:33" hidden="1" x14ac:dyDescent="0.2">
      <c r="A222">
        <v>221</v>
      </c>
      <c r="B222" t="s">
        <v>155</v>
      </c>
      <c r="C222" t="s">
        <v>108</v>
      </c>
      <c r="D222">
        <v>20</v>
      </c>
      <c r="E222" t="s">
        <v>34</v>
      </c>
      <c r="F222" t="s">
        <v>53</v>
      </c>
      <c r="G222" t="s">
        <v>54</v>
      </c>
      <c r="H222">
        <v>11685</v>
      </c>
      <c r="I222">
        <v>0</v>
      </c>
      <c r="J222">
        <v>0</v>
      </c>
      <c r="K222">
        <v>1</v>
      </c>
      <c r="L222">
        <v>0</v>
      </c>
      <c r="M222" t="s">
        <v>36</v>
      </c>
      <c r="N222" t="s">
        <v>36</v>
      </c>
      <c r="O222" t="s">
        <v>36</v>
      </c>
      <c r="P222" t="s">
        <v>37</v>
      </c>
      <c r="Q222" t="s">
        <v>36</v>
      </c>
      <c r="R222" t="s">
        <v>36</v>
      </c>
      <c r="S222" t="s">
        <v>36</v>
      </c>
      <c r="T222" t="s">
        <v>36</v>
      </c>
      <c r="U222">
        <v>0</v>
      </c>
      <c r="V222">
        <v>1</v>
      </c>
      <c r="W222">
        <v>1</v>
      </c>
      <c r="X222">
        <v>0</v>
      </c>
      <c r="Y222">
        <v>0</v>
      </c>
      <c r="Z222">
        <v>1</v>
      </c>
      <c r="AA222">
        <v>0</v>
      </c>
      <c r="AB222">
        <v>0</v>
      </c>
      <c r="AC222">
        <v>0</v>
      </c>
      <c r="AD222">
        <v>0</v>
      </c>
      <c r="AE222">
        <v>0</v>
      </c>
      <c r="AF222">
        <v>0</v>
      </c>
      <c r="AG222">
        <v>1</v>
      </c>
    </row>
    <row r="223" spans="1:33" x14ac:dyDescent="0.2">
      <c r="A223">
        <v>222</v>
      </c>
      <c r="B223" t="s">
        <v>155</v>
      </c>
      <c r="C223" t="s">
        <v>108</v>
      </c>
      <c r="D223">
        <v>20</v>
      </c>
      <c r="E223" t="s">
        <v>34</v>
      </c>
      <c r="F223" t="s">
        <v>41</v>
      </c>
      <c r="G223" t="s">
        <v>61</v>
      </c>
      <c r="H223">
        <v>9583</v>
      </c>
      <c r="I223">
        <v>0</v>
      </c>
      <c r="J223">
        <v>0</v>
      </c>
      <c r="K223">
        <v>0</v>
      </c>
      <c r="L223">
        <v>1</v>
      </c>
      <c r="M223" t="s">
        <v>63</v>
      </c>
      <c r="N223" t="s">
        <v>64</v>
      </c>
      <c r="O223" t="s">
        <v>87</v>
      </c>
      <c r="P223" t="s">
        <v>37</v>
      </c>
      <c r="Q223" t="s">
        <v>46</v>
      </c>
      <c r="R223" t="s">
        <v>48</v>
      </c>
      <c r="S223" t="s">
        <v>47</v>
      </c>
      <c r="T223">
        <v>0</v>
      </c>
      <c r="U223">
        <v>0</v>
      </c>
      <c r="V223">
        <v>1</v>
      </c>
      <c r="W223">
        <v>1</v>
      </c>
      <c r="X223">
        <v>1</v>
      </c>
      <c r="Y223">
        <v>0</v>
      </c>
      <c r="Z223">
        <v>1</v>
      </c>
      <c r="AA223">
        <v>0</v>
      </c>
      <c r="AB223">
        <v>0</v>
      </c>
      <c r="AC223">
        <v>0</v>
      </c>
      <c r="AD223">
        <v>0</v>
      </c>
      <c r="AE223">
        <v>0</v>
      </c>
      <c r="AF223">
        <v>0</v>
      </c>
      <c r="AG223">
        <v>1</v>
      </c>
    </row>
    <row r="224" spans="1:33" hidden="1" x14ac:dyDescent="0.2">
      <c r="A224">
        <v>223</v>
      </c>
      <c r="B224" t="s">
        <v>155</v>
      </c>
      <c r="C224" t="s">
        <v>108</v>
      </c>
      <c r="D224">
        <v>20</v>
      </c>
      <c r="E224" t="s">
        <v>34</v>
      </c>
      <c r="F224" t="s">
        <v>53</v>
      </c>
      <c r="G224" t="s">
        <v>76</v>
      </c>
      <c r="H224">
        <v>37253</v>
      </c>
      <c r="I224">
        <v>1</v>
      </c>
      <c r="J224">
        <v>0</v>
      </c>
      <c r="K224">
        <v>0</v>
      </c>
      <c r="L224">
        <v>0</v>
      </c>
      <c r="M224" t="s">
        <v>36</v>
      </c>
      <c r="N224" t="s">
        <v>36</v>
      </c>
      <c r="O224" t="s">
        <v>36</v>
      </c>
      <c r="P224" t="s">
        <v>37</v>
      </c>
      <c r="Q224" t="s">
        <v>36</v>
      </c>
      <c r="R224" t="s">
        <v>36</v>
      </c>
      <c r="S224" t="s">
        <v>36</v>
      </c>
      <c r="T224" t="s">
        <v>36</v>
      </c>
      <c r="U224">
        <v>0</v>
      </c>
      <c r="V224">
        <v>1</v>
      </c>
      <c r="W224">
        <v>1</v>
      </c>
      <c r="X224">
        <v>1</v>
      </c>
      <c r="Y224">
        <v>0</v>
      </c>
      <c r="Z224">
        <v>1</v>
      </c>
      <c r="AA224">
        <v>0</v>
      </c>
      <c r="AB224">
        <v>0</v>
      </c>
      <c r="AC224">
        <v>0</v>
      </c>
      <c r="AD224">
        <v>0</v>
      </c>
      <c r="AE224">
        <v>0</v>
      </c>
      <c r="AF224">
        <v>0</v>
      </c>
      <c r="AG224">
        <v>1</v>
      </c>
    </row>
    <row r="225" spans="1:33" hidden="1" x14ac:dyDescent="0.2">
      <c r="A225">
        <v>224</v>
      </c>
      <c r="B225" t="s">
        <v>155</v>
      </c>
      <c r="C225" t="s">
        <v>108</v>
      </c>
      <c r="D225">
        <v>20</v>
      </c>
      <c r="E225" t="s">
        <v>34</v>
      </c>
      <c r="F225" t="s">
        <v>77</v>
      </c>
      <c r="G225" t="s">
        <v>36</v>
      </c>
      <c r="H225">
        <v>64951</v>
      </c>
      <c r="I225" t="s">
        <v>156</v>
      </c>
      <c r="J225" t="s">
        <v>157</v>
      </c>
      <c r="K225" t="s">
        <v>158</v>
      </c>
      <c r="L225" t="s">
        <v>36</v>
      </c>
      <c r="M225" t="s">
        <v>36</v>
      </c>
      <c r="N225" t="s">
        <v>36</v>
      </c>
      <c r="O225" t="s">
        <v>36</v>
      </c>
      <c r="P225" t="s">
        <v>37</v>
      </c>
      <c r="Q225" t="s">
        <v>36</v>
      </c>
      <c r="R225" t="s">
        <v>36</v>
      </c>
      <c r="S225" t="s">
        <v>36</v>
      </c>
      <c r="T225" t="s">
        <v>36</v>
      </c>
      <c r="U225" t="s">
        <v>36</v>
      </c>
      <c r="V225" t="s">
        <v>36</v>
      </c>
      <c r="W225" t="s">
        <v>36</v>
      </c>
      <c r="X225" t="s">
        <v>36</v>
      </c>
      <c r="Y225" t="s">
        <v>36</v>
      </c>
      <c r="Z225" t="s">
        <v>36</v>
      </c>
      <c r="AA225" t="s">
        <v>36</v>
      </c>
      <c r="AB225" t="s">
        <v>36</v>
      </c>
      <c r="AC225" t="s">
        <v>36</v>
      </c>
      <c r="AD225" t="s">
        <v>36</v>
      </c>
      <c r="AE225" t="s">
        <v>36</v>
      </c>
      <c r="AF225" t="s">
        <v>36</v>
      </c>
      <c r="AG225" t="s">
        <v>36</v>
      </c>
    </row>
    <row r="226" spans="1:33" hidden="1" x14ac:dyDescent="0.2">
      <c r="A226">
        <v>225</v>
      </c>
      <c r="B226" t="s">
        <v>159</v>
      </c>
      <c r="C226" t="s">
        <v>108</v>
      </c>
      <c r="D226">
        <v>35</v>
      </c>
      <c r="E226" t="s">
        <v>114</v>
      </c>
      <c r="F226" t="s">
        <v>35</v>
      </c>
      <c r="G226" t="s">
        <v>36</v>
      </c>
      <c r="H226">
        <v>20777</v>
      </c>
      <c r="I226" t="s">
        <v>36</v>
      </c>
      <c r="J226" t="s">
        <v>36</v>
      </c>
      <c r="K226" t="s">
        <v>36</v>
      </c>
      <c r="L226" t="s">
        <v>36</v>
      </c>
      <c r="M226" t="s">
        <v>36</v>
      </c>
      <c r="N226" t="s">
        <v>36</v>
      </c>
      <c r="O226" t="s">
        <v>36</v>
      </c>
      <c r="P226" t="s">
        <v>37</v>
      </c>
      <c r="Q226" t="s">
        <v>36</v>
      </c>
      <c r="R226" t="s">
        <v>36</v>
      </c>
      <c r="S226" t="s">
        <v>36</v>
      </c>
      <c r="T226" t="s">
        <v>36</v>
      </c>
      <c r="U226" t="s">
        <v>36</v>
      </c>
      <c r="V226" t="s">
        <v>36</v>
      </c>
      <c r="W226" t="s">
        <v>36</v>
      </c>
      <c r="X226" t="s">
        <v>36</v>
      </c>
      <c r="Y226" t="s">
        <v>36</v>
      </c>
      <c r="Z226" t="s">
        <v>36</v>
      </c>
      <c r="AA226" t="s">
        <v>36</v>
      </c>
      <c r="AB226" t="s">
        <v>36</v>
      </c>
      <c r="AC226" t="s">
        <v>36</v>
      </c>
      <c r="AD226" t="s">
        <v>36</v>
      </c>
      <c r="AE226" t="s">
        <v>36</v>
      </c>
      <c r="AF226" t="s">
        <v>36</v>
      </c>
      <c r="AG226" t="s">
        <v>36</v>
      </c>
    </row>
    <row r="227" spans="1:33" hidden="1" x14ac:dyDescent="0.2">
      <c r="A227">
        <v>226</v>
      </c>
      <c r="B227" t="s">
        <v>159</v>
      </c>
      <c r="C227" t="s">
        <v>108</v>
      </c>
      <c r="D227">
        <v>35</v>
      </c>
      <c r="E227" t="s">
        <v>114</v>
      </c>
      <c r="F227" t="s">
        <v>38</v>
      </c>
      <c r="G227" t="s">
        <v>40</v>
      </c>
      <c r="H227">
        <v>37453</v>
      </c>
      <c r="I227">
        <v>0</v>
      </c>
      <c r="J227">
        <v>0</v>
      </c>
      <c r="K227">
        <v>1</v>
      </c>
      <c r="L227">
        <v>0</v>
      </c>
      <c r="M227" t="s">
        <v>36</v>
      </c>
      <c r="N227" t="s">
        <v>36</v>
      </c>
      <c r="O227" t="s">
        <v>36</v>
      </c>
      <c r="P227" t="s">
        <v>37</v>
      </c>
      <c r="Q227" t="s">
        <v>36</v>
      </c>
      <c r="R227" t="s">
        <v>36</v>
      </c>
      <c r="S227" t="s">
        <v>36</v>
      </c>
      <c r="T227" t="s">
        <v>36</v>
      </c>
      <c r="U227" t="s">
        <v>36</v>
      </c>
      <c r="V227" t="s">
        <v>36</v>
      </c>
      <c r="W227" t="s">
        <v>36</v>
      </c>
      <c r="X227" t="s">
        <v>36</v>
      </c>
      <c r="Y227" t="s">
        <v>36</v>
      </c>
      <c r="Z227" t="s">
        <v>36</v>
      </c>
      <c r="AA227" t="s">
        <v>36</v>
      </c>
      <c r="AB227" t="s">
        <v>36</v>
      </c>
      <c r="AC227" t="s">
        <v>36</v>
      </c>
      <c r="AD227" t="s">
        <v>36</v>
      </c>
      <c r="AE227" t="s">
        <v>36</v>
      </c>
      <c r="AF227" t="s">
        <v>36</v>
      </c>
      <c r="AG227" t="s">
        <v>36</v>
      </c>
    </row>
    <row r="228" spans="1:33" hidden="1" x14ac:dyDescent="0.2">
      <c r="A228">
        <v>227</v>
      </c>
      <c r="B228" t="s">
        <v>159</v>
      </c>
      <c r="C228" t="s">
        <v>108</v>
      </c>
      <c r="D228">
        <v>35</v>
      </c>
      <c r="E228" t="s">
        <v>114</v>
      </c>
      <c r="F228" t="s">
        <v>38</v>
      </c>
      <c r="G228" t="s">
        <v>39</v>
      </c>
      <c r="H228">
        <v>69761</v>
      </c>
      <c r="I228">
        <v>0</v>
      </c>
      <c r="J228">
        <v>0</v>
      </c>
      <c r="K228">
        <v>0</v>
      </c>
      <c r="L228">
        <v>1</v>
      </c>
      <c r="M228" t="s">
        <v>36</v>
      </c>
      <c r="N228" t="s">
        <v>36</v>
      </c>
      <c r="O228" t="s">
        <v>36</v>
      </c>
      <c r="P228" t="s">
        <v>37</v>
      </c>
      <c r="Q228" t="s">
        <v>36</v>
      </c>
      <c r="R228" t="s">
        <v>36</v>
      </c>
      <c r="S228" t="s">
        <v>36</v>
      </c>
      <c r="T228" t="s">
        <v>36</v>
      </c>
      <c r="U228" t="s">
        <v>36</v>
      </c>
      <c r="V228" t="s">
        <v>36</v>
      </c>
      <c r="W228" t="s">
        <v>36</v>
      </c>
      <c r="X228" t="s">
        <v>36</v>
      </c>
      <c r="Y228" t="s">
        <v>36</v>
      </c>
      <c r="Z228" t="s">
        <v>36</v>
      </c>
      <c r="AA228" t="s">
        <v>36</v>
      </c>
      <c r="AB228" t="s">
        <v>36</v>
      </c>
      <c r="AC228" t="s">
        <v>36</v>
      </c>
      <c r="AD228" t="s">
        <v>36</v>
      </c>
      <c r="AE228" t="s">
        <v>36</v>
      </c>
      <c r="AF228" t="s">
        <v>36</v>
      </c>
      <c r="AG228" t="s">
        <v>36</v>
      </c>
    </row>
    <row r="229" spans="1:33" x14ac:dyDescent="0.2">
      <c r="A229">
        <v>228</v>
      </c>
      <c r="B229" t="s">
        <v>159</v>
      </c>
      <c r="C229" t="s">
        <v>108</v>
      </c>
      <c r="D229">
        <v>35</v>
      </c>
      <c r="E229" t="s">
        <v>114</v>
      </c>
      <c r="F229" t="s">
        <v>41</v>
      </c>
      <c r="G229" t="s">
        <v>61</v>
      </c>
      <c r="H229">
        <v>79441</v>
      </c>
      <c r="I229">
        <v>0</v>
      </c>
      <c r="J229">
        <v>0</v>
      </c>
      <c r="K229">
        <v>0</v>
      </c>
      <c r="L229">
        <v>1</v>
      </c>
      <c r="M229" t="s">
        <v>62</v>
      </c>
      <c r="N229" t="s">
        <v>97</v>
      </c>
      <c r="O229" t="s">
        <v>87</v>
      </c>
      <c r="P229" t="s">
        <v>37</v>
      </c>
      <c r="Q229" t="s">
        <v>65</v>
      </c>
      <c r="R229" t="s">
        <v>59</v>
      </c>
      <c r="S229" t="s">
        <v>47</v>
      </c>
      <c r="T229">
        <v>0</v>
      </c>
      <c r="U229">
        <v>1</v>
      </c>
      <c r="V229">
        <v>0</v>
      </c>
      <c r="W229">
        <v>1</v>
      </c>
      <c r="X229">
        <v>0</v>
      </c>
      <c r="Y229">
        <v>0</v>
      </c>
      <c r="Z229">
        <v>1</v>
      </c>
      <c r="AA229">
        <v>0</v>
      </c>
      <c r="AB229">
        <v>0</v>
      </c>
      <c r="AC229">
        <v>0</v>
      </c>
      <c r="AD229">
        <v>0</v>
      </c>
      <c r="AE229">
        <v>0</v>
      </c>
      <c r="AF229">
        <v>0</v>
      </c>
      <c r="AG229">
        <v>1</v>
      </c>
    </row>
    <row r="230" spans="1:33" x14ac:dyDescent="0.2">
      <c r="A230">
        <v>229</v>
      </c>
      <c r="B230" t="s">
        <v>159</v>
      </c>
      <c r="C230" t="s">
        <v>108</v>
      </c>
      <c r="D230">
        <v>35</v>
      </c>
      <c r="E230" t="s">
        <v>114</v>
      </c>
      <c r="F230" t="s">
        <v>41</v>
      </c>
      <c r="G230" t="s">
        <v>42</v>
      </c>
      <c r="H230">
        <v>29445</v>
      </c>
      <c r="I230">
        <v>1</v>
      </c>
      <c r="J230">
        <v>1</v>
      </c>
      <c r="K230">
        <v>1</v>
      </c>
      <c r="L230">
        <v>0</v>
      </c>
      <c r="M230" t="s">
        <v>116</v>
      </c>
      <c r="N230" t="s">
        <v>44</v>
      </c>
      <c r="O230" t="s">
        <v>45</v>
      </c>
      <c r="P230" t="s">
        <v>37</v>
      </c>
      <c r="Q230" t="s">
        <v>60</v>
      </c>
      <c r="R230" t="s">
        <v>47</v>
      </c>
      <c r="S230" t="s">
        <v>48</v>
      </c>
      <c r="T230">
        <v>1</v>
      </c>
      <c r="U230">
        <v>0</v>
      </c>
      <c r="V230">
        <v>1</v>
      </c>
      <c r="W230">
        <v>1</v>
      </c>
      <c r="X230">
        <v>0</v>
      </c>
      <c r="Y230">
        <v>0</v>
      </c>
      <c r="Z230">
        <v>1</v>
      </c>
      <c r="AA230">
        <v>1</v>
      </c>
      <c r="AB230">
        <v>0</v>
      </c>
      <c r="AC230">
        <v>1</v>
      </c>
      <c r="AD230">
        <v>1</v>
      </c>
      <c r="AE230">
        <v>0</v>
      </c>
      <c r="AF230">
        <v>0</v>
      </c>
      <c r="AG230">
        <v>0</v>
      </c>
    </row>
    <row r="231" spans="1:33" hidden="1" x14ac:dyDescent="0.2">
      <c r="A231">
        <v>230</v>
      </c>
      <c r="B231" t="s">
        <v>159</v>
      </c>
      <c r="C231" t="s">
        <v>108</v>
      </c>
      <c r="D231">
        <v>35</v>
      </c>
      <c r="E231" t="s">
        <v>114</v>
      </c>
      <c r="F231" t="s">
        <v>53</v>
      </c>
      <c r="G231" t="s">
        <v>66</v>
      </c>
      <c r="H231">
        <v>22857</v>
      </c>
      <c r="I231">
        <v>1</v>
      </c>
      <c r="J231">
        <v>1</v>
      </c>
      <c r="K231">
        <v>0</v>
      </c>
      <c r="L231">
        <v>0</v>
      </c>
      <c r="M231" t="s">
        <v>36</v>
      </c>
      <c r="N231" t="s">
        <v>36</v>
      </c>
      <c r="O231" t="s">
        <v>36</v>
      </c>
      <c r="P231" t="s">
        <v>37</v>
      </c>
      <c r="Q231" t="s">
        <v>36</v>
      </c>
      <c r="R231" t="s">
        <v>36</v>
      </c>
      <c r="S231" t="s">
        <v>36</v>
      </c>
      <c r="T231" t="s">
        <v>36</v>
      </c>
      <c r="U231">
        <v>0</v>
      </c>
      <c r="V231">
        <v>1</v>
      </c>
      <c r="W231">
        <v>1</v>
      </c>
      <c r="X231">
        <v>0</v>
      </c>
      <c r="Y231">
        <v>0</v>
      </c>
      <c r="Z231">
        <v>1</v>
      </c>
      <c r="AA231">
        <v>1</v>
      </c>
      <c r="AB231">
        <v>0</v>
      </c>
      <c r="AC231">
        <v>1</v>
      </c>
      <c r="AD231">
        <v>1</v>
      </c>
      <c r="AE231">
        <v>0</v>
      </c>
      <c r="AF231">
        <v>0</v>
      </c>
      <c r="AG231">
        <v>0</v>
      </c>
    </row>
    <row r="232" spans="1:33" x14ac:dyDescent="0.2">
      <c r="A232">
        <v>231</v>
      </c>
      <c r="B232" t="s">
        <v>159</v>
      </c>
      <c r="C232" t="s">
        <v>108</v>
      </c>
      <c r="D232">
        <v>35</v>
      </c>
      <c r="E232" t="s">
        <v>114</v>
      </c>
      <c r="F232" t="s">
        <v>41</v>
      </c>
      <c r="G232" t="s">
        <v>72</v>
      </c>
      <c r="H232">
        <v>30082</v>
      </c>
      <c r="I232">
        <v>1</v>
      </c>
      <c r="J232">
        <v>1</v>
      </c>
      <c r="K232">
        <v>1</v>
      </c>
      <c r="L232">
        <v>0</v>
      </c>
      <c r="M232" t="s">
        <v>74</v>
      </c>
      <c r="N232" t="s">
        <v>93</v>
      </c>
      <c r="O232" t="s">
        <v>73</v>
      </c>
      <c r="P232" t="s">
        <v>37</v>
      </c>
      <c r="Q232" t="s">
        <v>47</v>
      </c>
      <c r="R232" t="s">
        <v>59</v>
      </c>
      <c r="S232" t="s">
        <v>48</v>
      </c>
      <c r="T232">
        <v>0</v>
      </c>
      <c r="U232">
        <v>0</v>
      </c>
      <c r="V232">
        <v>1</v>
      </c>
      <c r="W232">
        <v>1</v>
      </c>
      <c r="X232">
        <v>0</v>
      </c>
      <c r="Y232">
        <v>0</v>
      </c>
      <c r="Z232">
        <v>1</v>
      </c>
      <c r="AA232">
        <v>0</v>
      </c>
      <c r="AB232">
        <v>0</v>
      </c>
      <c r="AC232">
        <v>1</v>
      </c>
      <c r="AD232">
        <v>1</v>
      </c>
      <c r="AE232">
        <v>0</v>
      </c>
      <c r="AF232">
        <v>0</v>
      </c>
      <c r="AG232">
        <v>0</v>
      </c>
    </row>
    <row r="233" spans="1:33" x14ac:dyDescent="0.2">
      <c r="A233">
        <v>232</v>
      </c>
      <c r="B233" t="s">
        <v>159</v>
      </c>
      <c r="C233" t="s">
        <v>108</v>
      </c>
      <c r="D233">
        <v>35</v>
      </c>
      <c r="E233" t="s">
        <v>114</v>
      </c>
      <c r="F233" t="s">
        <v>41</v>
      </c>
      <c r="G233" t="s">
        <v>55</v>
      </c>
      <c r="H233">
        <v>15802</v>
      </c>
      <c r="I233">
        <v>1</v>
      </c>
      <c r="J233">
        <v>1</v>
      </c>
      <c r="K233">
        <v>1</v>
      </c>
      <c r="L233">
        <v>0</v>
      </c>
      <c r="M233" t="s">
        <v>94</v>
      </c>
      <c r="N233" t="s">
        <v>57</v>
      </c>
      <c r="O233" t="s">
        <v>85</v>
      </c>
      <c r="P233" t="s">
        <v>37</v>
      </c>
      <c r="Q233" t="s">
        <v>47</v>
      </c>
      <c r="R233" t="s">
        <v>48</v>
      </c>
      <c r="S233" t="s">
        <v>65</v>
      </c>
      <c r="T233">
        <v>0</v>
      </c>
      <c r="U233">
        <v>1</v>
      </c>
      <c r="V233">
        <v>1</v>
      </c>
      <c r="W233">
        <v>1</v>
      </c>
      <c r="X233">
        <v>0</v>
      </c>
      <c r="Y233">
        <v>0</v>
      </c>
      <c r="Z233">
        <v>1</v>
      </c>
      <c r="AA233">
        <v>0</v>
      </c>
      <c r="AB233">
        <v>1</v>
      </c>
      <c r="AC233">
        <v>1</v>
      </c>
      <c r="AD233">
        <v>1</v>
      </c>
      <c r="AE233">
        <v>0</v>
      </c>
      <c r="AF233">
        <v>0</v>
      </c>
      <c r="AG233">
        <v>0</v>
      </c>
    </row>
    <row r="234" spans="1:33" hidden="1" x14ac:dyDescent="0.2">
      <c r="A234">
        <v>233</v>
      </c>
      <c r="B234" t="s">
        <v>159</v>
      </c>
      <c r="C234" t="s">
        <v>108</v>
      </c>
      <c r="D234">
        <v>35</v>
      </c>
      <c r="E234" t="s">
        <v>114</v>
      </c>
      <c r="F234" t="s">
        <v>53</v>
      </c>
      <c r="G234" t="s">
        <v>54</v>
      </c>
      <c r="H234">
        <v>26405</v>
      </c>
      <c r="I234">
        <v>0</v>
      </c>
      <c r="J234">
        <v>0</v>
      </c>
      <c r="K234">
        <v>1</v>
      </c>
      <c r="L234">
        <v>0</v>
      </c>
      <c r="M234" t="s">
        <v>36</v>
      </c>
      <c r="N234" t="s">
        <v>36</v>
      </c>
      <c r="O234" t="s">
        <v>36</v>
      </c>
      <c r="P234" t="s">
        <v>37</v>
      </c>
      <c r="Q234" t="s">
        <v>36</v>
      </c>
      <c r="R234" t="s">
        <v>36</v>
      </c>
      <c r="S234" t="s">
        <v>36</v>
      </c>
      <c r="T234" t="s">
        <v>36</v>
      </c>
      <c r="U234">
        <v>1</v>
      </c>
      <c r="V234">
        <v>1</v>
      </c>
      <c r="W234">
        <v>1</v>
      </c>
      <c r="X234">
        <v>0</v>
      </c>
      <c r="Y234">
        <v>0</v>
      </c>
      <c r="Z234">
        <v>1</v>
      </c>
      <c r="AA234">
        <v>0</v>
      </c>
      <c r="AB234">
        <v>1</v>
      </c>
      <c r="AC234">
        <v>1</v>
      </c>
      <c r="AD234">
        <v>1</v>
      </c>
      <c r="AE234">
        <v>0</v>
      </c>
      <c r="AF234">
        <v>0</v>
      </c>
      <c r="AG234">
        <v>0</v>
      </c>
    </row>
    <row r="235" spans="1:33" x14ac:dyDescent="0.2">
      <c r="A235">
        <v>234</v>
      </c>
      <c r="B235" t="s">
        <v>159</v>
      </c>
      <c r="C235" t="s">
        <v>108</v>
      </c>
      <c r="D235">
        <v>35</v>
      </c>
      <c r="E235" t="s">
        <v>114</v>
      </c>
      <c r="F235" t="s">
        <v>41</v>
      </c>
      <c r="G235" t="s">
        <v>67</v>
      </c>
      <c r="H235">
        <v>14489</v>
      </c>
      <c r="I235">
        <v>1</v>
      </c>
      <c r="J235">
        <v>1</v>
      </c>
      <c r="K235">
        <v>1</v>
      </c>
      <c r="L235">
        <v>0</v>
      </c>
      <c r="M235" t="s">
        <v>70</v>
      </c>
      <c r="N235" t="s">
        <v>68</v>
      </c>
      <c r="O235" t="s">
        <v>69</v>
      </c>
      <c r="P235" t="s">
        <v>37</v>
      </c>
      <c r="Q235" t="s">
        <v>47</v>
      </c>
      <c r="R235" t="s">
        <v>65</v>
      </c>
      <c r="S235" t="s">
        <v>48</v>
      </c>
      <c r="T235">
        <v>0</v>
      </c>
      <c r="U235">
        <v>1</v>
      </c>
      <c r="V235">
        <v>1</v>
      </c>
      <c r="W235">
        <v>1</v>
      </c>
      <c r="X235">
        <v>0</v>
      </c>
      <c r="Y235">
        <v>0</v>
      </c>
      <c r="Z235">
        <v>1</v>
      </c>
      <c r="AA235">
        <v>0</v>
      </c>
      <c r="AB235">
        <v>1</v>
      </c>
      <c r="AC235">
        <v>1</v>
      </c>
      <c r="AD235">
        <v>1</v>
      </c>
      <c r="AE235">
        <v>0</v>
      </c>
      <c r="AF235">
        <v>0</v>
      </c>
      <c r="AG235">
        <v>0</v>
      </c>
    </row>
    <row r="236" spans="1:33" hidden="1" x14ac:dyDescent="0.2">
      <c r="A236">
        <v>235</v>
      </c>
      <c r="B236" t="s">
        <v>159</v>
      </c>
      <c r="C236" t="s">
        <v>108</v>
      </c>
      <c r="D236">
        <v>35</v>
      </c>
      <c r="E236" t="s">
        <v>114</v>
      </c>
      <c r="F236" t="s">
        <v>53</v>
      </c>
      <c r="G236" t="s">
        <v>76</v>
      </c>
      <c r="H236">
        <v>23117</v>
      </c>
      <c r="I236">
        <v>1</v>
      </c>
      <c r="J236">
        <v>1</v>
      </c>
      <c r="K236">
        <v>0</v>
      </c>
      <c r="L236">
        <v>0</v>
      </c>
      <c r="M236" t="s">
        <v>36</v>
      </c>
      <c r="N236" t="s">
        <v>36</v>
      </c>
      <c r="O236" t="s">
        <v>36</v>
      </c>
      <c r="P236" t="s">
        <v>37</v>
      </c>
      <c r="Q236" t="s">
        <v>36</v>
      </c>
      <c r="R236" t="s">
        <v>36</v>
      </c>
      <c r="S236" t="s">
        <v>36</v>
      </c>
      <c r="T236" t="s">
        <v>36</v>
      </c>
      <c r="U236">
        <v>1</v>
      </c>
      <c r="V236">
        <v>1</v>
      </c>
      <c r="W236">
        <v>1</v>
      </c>
      <c r="X236">
        <v>0</v>
      </c>
      <c r="Y236">
        <v>0</v>
      </c>
      <c r="Z236">
        <v>1</v>
      </c>
      <c r="AA236">
        <v>0</v>
      </c>
      <c r="AB236">
        <v>1</v>
      </c>
      <c r="AC236">
        <v>1</v>
      </c>
      <c r="AD236">
        <v>1</v>
      </c>
      <c r="AE236">
        <v>0</v>
      </c>
      <c r="AF236">
        <v>0</v>
      </c>
      <c r="AG236">
        <v>0</v>
      </c>
    </row>
    <row r="237" spans="1:33" x14ac:dyDescent="0.2">
      <c r="A237">
        <v>236</v>
      </c>
      <c r="B237" t="s">
        <v>159</v>
      </c>
      <c r="C237" t="s">
        <v>108</v>
      </c>
      <c r="D237">
        <v>35</v>
      </c>
      <c r="E237" t="s">
        <v>114</v>
      </c>
      <c r="F237" t="s">
        <v>41</v>
      </c>
      <c r="G237" t="s">
        <v>49</v>
      </c>
      <c r="H237">
        <v>19636</v>
      </c>
      <c r="I237">
        <v>1</v>
      </c>
      <c r="J237">
        <v>1</v>
      </c>
      <c r="K237">
        <v>1</v>
      </c>
      <c r="L237">
        <v>0</v>
      </c>
      <c r="M237" t="s">
        <v>52</v>
      </c>
      <c r="N237" t="s">
        <v>51</v>
      </c>
      <c r="O237" t="s">
        <v>96</v>
      </c>
      <c r="P237" t="s">
        <v>37</v>
      </c>
      <c r="Q237" t="s">
        <v>46</v>
      </c>
      <c r="R237" t="s">
        <v>47</v>
      </c>
      <c r="S237" t="s">
        <v>65</v>
      </c>
      <c r="T237">
        <v>0</v>
      </c>
      <c r="U237">
        <v>1</v>
      </c>
      <c r="V237">
        <v>0</v>
      </c>
      <c r="W237">
        <v>1</v>
      </c>
      <c r="X237">
        <v>1</v>
      </c>
      <c r="Y237">
        <v>0</v>
      </c>
      <c r="Z237">
        <v>1</v>
      </c>
      <c r="AA237">
        <v>0</v>
      </c>
      <c r="AB237">
        <v>1</v>
      </c>
      <c r="AC237">
        <v>0</v>
      </c>
      <c r="AD237">
        <v>1</v>
      </c>
      <c r="AE237">
        <v>1</v>
      </c>
      <c r="AF237">
        <v>0</v>
      </c>
      <c r="AG237">
        <v>0</v>
      </c>
    </row>
    <row r="238" spans="1:33" hidden="1" x14ac:dyDescent="0.2">
      <c r="A238">
        <v>237</v>
      </c>
      <c r="B238" t="s">
        <v>159</v>
      </c>
      <c r="C238" t="s">
        <v>108</v>
      </c>
      <c r="D238">
        <v>35</v>
      </c>
      <c r="E238" t="s">
        <v>114</v>
      </c>
      <c r="F238" t="s">
        <v>53</v>
      </c>
      <c r="G238" t="s">
        <v>71</v>
      </c>
      <c r="H238">
        <v>30467</v>
      </c>
      <c r="I238">
        <v>0</v>
      </c>
      <c r="J238">
        <v>0</v>
      </c>
      <c r="K238">
        <v>1</v>
      </c>
      <c r="L238">
        <v>0</v>
      </c>
      <c r="M238" t="s">
        <v>36</v>
      </c>
      <c r="N238" t="s">
        <v>36</v>
      </c>
      <c r="O238" t="s">
        <v>36</v>
      </c>
      <c r="P238" t="s">
        <v>37</v>
      </c>
      <c r="Q238" t="s">
        <v>36</v>
      </c>
      <c r="R238" t="s">
        <v>36</v>
      </c>
      <c r="S238" t="s">
        <v>36</v>
      </c>
      <c r="T238" t="s">
        <v>36</v>
      </c>
      <c r="U238">
        <v>1</v>
      </c>
      <c r="V238">
        <v>0</v>
      </c>
      <c r="W238">
        <v>1</v>
      </c>
      <c r="X238">
        <v>1</v>
      </c>
      <c r="Y238">
        <v>0</v>
      </c>
      <c r="Z238">
        <v>1</v>
      </c>
      <c r="AA238">
        <v>0</v>
      </c>
      <c r="AB238">
        <v>1</v>
      </c>
      <c r="AC238">
        <v>0</v>
      </c>
      <c r="AD238">
        <v>1</v>
      </c>
      <c r="AE238">
        <v>1</v>
      </c>
      <c r="AF238">
        <v>0</v>
      </c>
      <c r="AG238">
        <v>0</v>
      </c>
    </row>
    <row r="239" spans="1:33" hidden="1" x14ac:dyDescent="0.2">
      <c r="A239">
        <v>238</v>
      </c>
      <c r="B239" t="s">
        <v>159</v>
      </c>
      <c r="C239" t="s">
        <v>108</v>
      </c>
      <c r="D239">
        <v>35</v>
      </c>
      <c r="E239" t="s">
        <v>114</v>
      </c>
      <c r="F239" t="s">
        <v>77</v>
      </c>
      <c r="G239" t="s">
        <v>36</v>
      </c>
      <c r="H239">
        <v>77976</v>
      </c>
      <c r="I239" t="s">
        <v>160</v>
      </c>
      <c r="J239" t="s">
        <v>161</v>
      </c>
      <c r="K239" t="s">
        <v>162</v>
      </c>
      <c r="L239" t="s">
        <v>36</v>
      </c>
      <c r="M239" t="s">
        <v>36</v>
      </c>
      <c r="N239" t="s">
        <v>36</v>
      </c>
      <c r="O239" t="s">
        <v>36</v>
      </c>
      <c r="P239" t="s">
        <v>37</v>
      </c>
      <c r="Q239" t="s">
        <v>36</v>
      </c>
      <c r="R239" t="s">
        <v>36</v>
      </c>
      <c r="S239" t="s">
        <v>36</v>
      </c>
      <c r="T239" t="s">
        <v>36</v>
      </c>
      <c r="U239" t="s">
        <v>36</v>
      </c>
      <c r="V239" t="s">
        <v>36</v>
      </c>
      <c r="W239" t="s">
        <v>36</v>
      </c>
      <c r="X239" t="s">
        <v>36</v>
      </c>
      <c r="Y239" t="s">
        <v>36</v>
      </c>
      <c r="Z239" t="s">
        <v>36</v>
      </c>
      <c r="AA239" t="s">
        <v>36</v>
      </c>
      <c r="AB239" t="s">
        <v>36</v>
      </c>
      <c r="AC239" t="s">
        <v>36</v>
      </c>
      <c r="AD239" t="s">
        <v>36</v>
      </c>
      <c r="AE239" t="s">
        <v>36</v>
      </c>
      <c r="AF239" t="s">
        <v>36</v>
      </c>
      <c r="AG239" t="s">
        <v>36</v>
      </c>
    </row>
    <row r="240" spans="1:33" hidden="1" x14ac:dyDescent="0.2">
      <c r="A240">
        <v>239</v>
      </c>
      <c r="B240" t="s">
        <v>163</v>
      </c>
      <c r="C240" t="s">
        <v>33</v>
      </c>
      <c r="D240">
        <v>25</v>
      </c>
      <c r="E240" t="s">
        <v>34</v>
      </c>
      <c r="F240" t="s">
        <v>35</v>
      </c>
      <c r="G240" t="s">
        <v>36</v>
      </c>
      <c r="H240">
        <v>31985</v>
      </c>
      <c r="I240" t="s">
        <v>36</v>
      </c>
      <c r="J240" t="s">
        <v>36</v>
      </c>
      <c r="K240" t="s">
        <v>36</v>
      </c>
      <c r="L240" t="s">
        <v>36</v>
      </c>
      <c r="M240" t="s">
        <v>36</v>
      </c>
      <c r="N240" t="s">
        <v>36</v>
      </c>
      <c r="O240" t="s">
        <v>36</v>
      </c>
      <c r="P240" t="s">
        <v>37</v>
      </c>
      <c r="Q240" t="s">
        <v>36</v>
      </c>
      <c r="R240" t="s">
        <v>36</v>
      </c>
      <c r="S240" t="s">
        <v>36</v>
      </c>
      <c r="T240" t="s">
        <v>36</v>
      </c>
      <c r="U240" t="s">
        <v>36</v>
      </c>
      <c r="V240" t="s">
        <v>36</v>
      </c>
      <c r="W240" t="s">
        <v>36</v>
      </c>
      <c r="X240" t="s">
        <v>36</v>
      </c>
      <c r="Y240" t="s">
        <v>36</v>
      </c>
      <c r="Z240" t="s">
        <v>36</v>
      </c>
      <c r="AA240" t="s">
        <v>36</v>
      </c>
      <c r="AB240" t="s">
        <v>36</v>
      </c>
      <c r="AC240" t="s">
        <v>36</v>
      </c>
      <c r="AD240" t="s">
        <v>36</v>
      </c>
      <c r="AE240" t="s">
        <v>36</v>
      </c>
      <c r="AF240" t="s">
        <v>36</v>
      </c>
      <c r="AG240" t="s">
        <v>36</v>
      </c>
    </row>
    <row r="241" spans="1:33" hidden="1" x14ac:dyDescent="0.2">
      <c r="A241">
        <v>240</v>
      </c>
      <c r="B241" t="s">
        <v>163</v>
      </c>
      <c r="C241" t="s">
        <v>33</v>
      </c>
      <c r="D241">
        <v>25</v>
      </c>
      <c r="E241" t="s">
        <v>34</v>
      </c>
      <c r="F241" t="s">
        <v>38</v>
      </c>
      <c r="G241" t="s">
        <v>40</v>
      </c>
      <c r="H241">
        <v>25808</v>
      </c>
      <c r="I241">
        <v>0</v>
      </c>
      <c r="J241">
        <v>0</v>
      </c>
      <c r="K241">
        <v>1</v>
      </c>
      <c r="L241">
        <v>0</v>
      </c>
      <c r="M241" t="s">
        <v>36</v>
      </c>
      <c r="N241" t="s">
        <v>36</v>
      </c>
      <c r="O241" t="s">
        <v>36</v>
      </c>
      <c r="P241" t="s">
        <v>37</v>
      </c>
      <c r="Q241" t="s">
        <v>36</v>
      </c>
      <c r="R241" t="s">
        <v>36</v>
      </c>
      <c r="S241" t="s">
        <v>36</v>
      </c>
      <c r="T241" t="s">
        <v>36</v>
      </c>
      <c r="U241" t="s">
        <v>36</v>
      </c>
      <c r="V241" t="s">
        <v>36</v>
      </c>
      <c r="W241" t="s">
        <v>36</v>
      </c>
      <c r="X241" t="s">
        <v>36</v>
      </c>
      <c r="Y241" t="s">
        <v>36</v>
      </c>
      <c r="Z241" t="s">
        <v>36</v>
      </c>
      <c r="AA241" t="s">
        <v>36</v>
      </c>
      <c r="AB241" t="s">
        <v>36</v>
      </c>
      <c r="AC241" t="s">
        <v>36</v>
      </c>
      <c r="AD241" t="s">
        <v>36</v>
      </c>
      <c r="AE241" t="s">
        <v>36</v>
      </c>
      <c r="AF241" t="s">
        <v>36</v>
      </c>
      <c r="AG241" t="s">
        <v>36</v>
      </c>
    </row>
    <row r="242" spans="1:33" hidden="1" x14ac:dyDescent="0.2">
      <c r="A242">
        <v>241</v>
      </c>
      <c r="B242" t="s">
        <v>163</v>
      </c>
      <c r="C242" t="s">
        <v>33</v>
      </c>
      <c r="D242">
        <v>25</v>
      </c>
      <c r="E242" t="s">
        <v>34</v>
      </c>
      <c r="F242" t="s">
        <v>38</v>
      </c>
      <c r="G242" t="s">
        <v>39</v>
      </c>
      <c r="H242">
        <v>24862</v>
      </c>
      <c r="I242">
        <v>0</v>
      </c>
      <c r="J242">
        <v>0</v>
      </c>
      <c r="K242">
        <v>0</v>
      </c>
      <c r="L242">
        <v>1</v>
      </c>
      <c r="M242" t="s">
        <v>36</v>
      </c>
      <c r="N242" t="s">
        <v>36</v>
      </c>
      <c r="O242" t="s">
        <v>36</v>
      </c>
      <c r="P242" t="s">
        <v>37</v>
      </c>
      <c r="Q242" t="s">
        <v>36</v>
      </c>
      <c r="R242" t="s">
        <v>36</v>
      </c>
      <c r="S242" t="s">
        <v>36</v>
      </c>
      <c r="T242" t="s">
        <v>36</v>
      </c>
      <c r="U242" t="s">
        <v>36</v>
      </c>
      <c r="V242" t="s">
        <v>36</v>
      </c>
      <c r="W242" t="s">
        <v>36</v>
      </c>
      <c r="X242" t="s">
        <v>36</v>
      </c>
      <c r="Y242" t="s">
        <v>36</v>
      </c>
      <c r="Z242" t="s">
        <v>36</v>
      </c>
      <c r="AA242" t="s">
        <v>36</v>
      </c>
      <c r="AB242" t="s">
        <v>36</v>
      </c>
      <c r="AC242" t="s">
        <v>36</v>
      </c>
      <c r="AD242" t="s">
        <v>36</v>
      </c>
      <c r="AE242" t="s">
        <v>36</v>
      </c>
      <c r="AF242" t="s">
        <v>36</v>
      </c>
      <c r="AG242" t="s">
        <v>36</v>
      </c>
    </row>
    <row r="243" spans="1:33" x14ac:dyDescent="0.2">
      <c r="A243">
        <v>242</v>
      </c>
      <c r="B243" t="s">
        <v>163</v>
      </c>
      <c r="C243" t="s">
        <v>33</v>
      </c>
      <c r="D243">
        <v>25</v>
      </c>
      <c r="E243" t="s">
        <v>34</v>
      </c>
      <c r="F243" t="s">
        <v>41</v>
      </c>
      <c r="G243" t="s">
        <v>42</v>
      </c>
      <c r="H243">
        <v>32828</v>
      </c>
      <c r="I243">
        <v>1</v>
      </c>
      <c r="J243">
        <v>1</v>
      </c>
      <c r="K243">
        <v>1</v>
      </c>
      <c r="L243">
        <v>0</v>
      </c>
      <c r="M243" t="s">
        <v>102</v>
      </c>
      <c r="N243" t="s">
        <v>116</v>
      </c>
      <c r="O243" t="s">
        <v>43</v>
      </c>
      <c r="P243" t="s">
        <v>37</v>
      </c>
      <c r="Q243" t="s">
        <v>59</v>
      </c>
      <c r="R243" t="s">
        <v>60</v>
      </c>
      <c r="S243" t="s">
        <v>46</v>
      </c>
      <c r="T243">
        <v>1</v>
      </c>
      <c r="U243">
        <v>0</v>
      </c>
      <c r="V243">
        <v>0</v>
      </c>
      <c r="W243">
        <v>0</v>
      </c>
      <c r="X243">
        <v>1</v>
      </c>
      <c r="Y243">
        <v>0</v>
      </c>
      <c r="Z243">
        <v>1</v>
      </c>
      <c r="AA243">
        <v>1</v>
      </c>
      <c r="AB243">
        <v>0</v>
      </c>
      <c r="AC243">
        <v>0</v>
      </c>
      <c r="AD243">
        <v>0</v>
      </c>
      <c r="AE243">
        <v>1</v>
      </c>
      <c r="AF243">
        <v>0</v>
      </c>
      <c r="AG243">
        <v>0</v>
      </c>
    </row>
    <row r="244" spans="1:33" x14ac:dyDescent="0.2">
      <c r="A244">
        <v>243</v>
      </c>
      <c r="B244" t="s">
        <v>163</v>
      </c>
      <c r="C244" t="s">
        <v>33</v>
      </c>
      <c r="D244">
        <v>25</v>
      </c>
      <c r="E244" t="s">
        <v>34</v>
      </c>
      <c r="F244" t="s">
        <v>41</v>
      </c>
      <c r="G244" t="s">
        <v>49</v>
      </c>
      <c r="H244">
        <v>13879</v>
      </c>
      <c r="I244">
        <v>1</v>
      </c>
      <c r="J244">
        <v>1</v>
      </c>
      <c r="K244">
        <v>1</v>
      </c>
      <c r="L244">
        <v>0</v>
      </c>
      <c r="M244" t="s">
        <v>50</v>
      </c>
      <c r="N244" t="s">
        <v>95</v>
      </c>
      <c r="O244" t="s">
        <v>52</v>
      </c>
      <c r="P244" t="s">
        <v>37</v>
      </c>
      <c r="Q244" t="s">
        <v>48</v>
      </c>
      <c r="R244" t="s">
        <v>60</v>
      </c>
      <c r="S244" t="s">
        <v>46</v>
      </c>
      <c r="T244">
        <v>1</v>
      </c>
      <c r="U244">
        <v>0</v>
      </c>
      <c r="V244">
        <v>1</v>
      </c>
      <c r="W244">
        <v>0</v>
      </c>
      <c r="X244">
        <v>1</v>
      </c>
      <c r="Y244">
        <v>0</v>
      </c>
      <c r="Z244">
        <v>1</v>
      </c>
      <c r="AA244">
        <v>1</v>
      </c>
      <c r="AB244">
        <v>0</v>
      </c>
      <c r="AC244">
        <v>1</v>
      </c>
      <c r="AD244">
        <v>0</v>
      </c>
      <c r="AE244">
        <v>1</v>
      </c>
      <c r="AF244">
        <v>0</v>
      </c>
      <c r="AG244">
        <v>0</v>
      </c>
    </row>
    <row r="245" spans="1:33" hidden="1" x14ac:dyDescent="0.2">
      <c r="A245">
        <v>244</v>
      </c>
      <c r="B245" t="s">
        <v>163</v>
      </c>
      <c r="C245" t="s">
        <v>33</v>
      </c>
      <c r="D245">
        <v>25</v>
      </c>
      <c r="E245" t="s">
        <v>34</v>
      </c>
      <c r="F245" t="s">
        <v>53</v>
      </c>
      <c r="G245" t="s">
        <v>66</v>
      </c>
      <c r="H245">
        <v>43076</v>
      </c>
      <c r="I245">
        <v>1</v>
      </c>
      <c r="J245">
        <v>1</v>
      </c>
      <c r="K245">
        <v>0</v>
      </c>
      <c r="L245">
        <v>0</v>
      </c>
      <c r="M245" t="s">
        <v>36</v>
      </c>
      <c r="N245" t="s">
        <v>36</v>
      </c>
      <c r="O245" t="s">
        <v>36</v>
      </c>
      <c r="P245" t="s">
        <v>37</v>
      </c>
      <c r="Q245" t="s">
        <v>36</v>
      </c>
      <c r="R245" t="s">
        <v>36</v>
      </c>
      <c r="S245" t="s">
        <v>36</v>
      </c>
      <c r="T245" t="s">
        <v>36</v>
      </c>
      <c r="U245">
        <v>0</v>
      </c>
      <c r="V245">
        <v>1</v>
      </c>
      <c r="W245">
        <v>0</v>
      </c>
      <c r="X245">
        <v>1</v>
      </c>
      <c r="Y245">
        <v>0</v>
      </c>
      <c r="Z245">
        <v>1</v>
      </c>
      <c r="AA245">
        <v>1</v>
      </c>
      <c r="AB245">
        <v>0</v>
      </c>
      <c r="AC245">
        <v>1</v>
      </c>
      <c r="AD245">
        <v>0</v>
      </c>
      <c r="AE245">
        <v>1</v>
      </c>
      <c r="AF245">
        <v>0</v>
      </c>
      <c r="AG245">
        <v>0</v>
      </c>
    </row>
    <row r="246" spans="1:33" x14ac:dyDescent="0.2">
      <c r="A246">
        <v>245</v>
      </c>
      <c r="B246" t="s">
        <v>163</v>
      </c>
      <c r="C246" t="s">
        <v>33</v>
      </c>
      <c r="D246">
        <v>25</v>
      </c>
      <c r="E246" t="s">
        <v>34</v>
      </c>
      <c r="F246" t="s">
        <v>41</v>
      </c>
      <c r="G246" t="s">
        <v>55</v>
      </c>
      <c r="H246">
        <v>16933</v>
      </c>
      <c r="I246">
        <v>1</v>
      </c>
      <c r="J246">
        <v>1</v>
      </c>
      <c r="K246">
        <v>1</v>
      </c>
      <c r="L246">
        <v>0</v>
      </c>
      <c r="M246" t="s">
        <v>57</v>
      </c>
      <c r="N246" t="s">
        <v>56</v>
      </c>
      <c r="O246" t="s">
        <v>84</v>
      </c>
      <c r="P246" t="s">
        <v>37</v>
      </c>
      <c r="Q246" t="s">
        <v>48</v>
      </c>
      <c r="R246" t="s">
        <v>59</v>
      </c>
      <c r="S246" t="s">
        <v>46</v>
      </c>
      <c r="T246">
        <v>0</v>
      </c>
      <c r="U246">
        <v>0</v>
      </c>
      <c r="V246">
        <v>1</v>
      </c>
      <c r="W246">
        <v>0</v>
      </c>
      <c r="X246">
        <v>1</v>
      </c>
      <c r="Y246">
        <v>0</v>
      </c>
      <c r="Z246">
        <v>1</v>
      </c>
      <c r="AA246">
        <v>0</v>
      </c>
      <c r="AB246">
        <v>0</v>
      </c>
      <c r="AC246">
        <v>1</v>
      </c>
      <c r="AD246">
        <v>0</v>
      </c>
      <c r="AE246">
        <v>1</v>
      </c>
      <c r="AF246">
        <v>0</v>
      </c>
      <c r="AG246">
        <v>0</v>
      </c>
    </row>
    <row r="247" spans="1:33" hidden="1" x14ac:dyDescent="0.2">
      <c r="A247">
        <v>246</v>
      </c>
      <c r="B247" t="s">
        <v>163</v>
      </c>
      <c r="C247" t="s">
        <v>33</v>
      </c>
      <c r="D247">
        <v>25</v>
      </c>
      <c r="E247" t="s">
        <v>34</v>
      </c>
      <c r="F247" t="s">
        <v>53</v>
      </c>
      <c r="G247" t="s">
        <v>54</v>
      </c>
      <c r="H247">
        <v>23696</v>
      </c>
      <c r="I247">
        <v>0</v>
      </c>
      <c r="J247">
        <v>1</v>
      </c>
      <c r="K247">
        <v>0</v>
      </c>
      <c r="L247">
        <v>0</v>
      </c>
      <c r="M247" t="s">
        <v>36</v>
      </c>
      <c r="N247" t="s">
        <v>36</v>
      </c>
      <c r="O247" t="s">
        <v>36</v>
      </c>
      <c r="P247" t="s">
        <v>37</v>
      </c>
      <c r="Q247" t="s">
        <v>36</v>
      </c>
      <c r="R247" t="s">
        <v>36</v>
      </c>
      <c r="S247" t="s">
        <v>36</v>
      </c>
      <c r="T247" t="s">
        <v>36</v>
      </c>
      <c r="U247">
        <v>0</v>
      </c>
      <c r="V247">
        <v>1</v>
      </c>
      <c r="W247">
        <v>0</v>
      </c>
      <c r="X247">
        <v>1</v>
      </c>
      <c r="Y247">
        <v>0</v>
      </c>
      <c r="Z247">
        <v>1</v>
      </c>
      <c r="AA247">
        <v>0</v>
      </c>
      <c r="AB247">
        <v>0</v>
      </c>
      <c r="AC247">
        <v>1</v>
      </c>
      <c r="AD247">
        <v>0</v>
      </c>
      <c r="AE247">
        <v>1</v>
      </c>
      <c r="AF247">
        <v>0</v>
      </c>
      <c r="AG247">
        <v>0</v>
      </c>
    </row>
    <row r="248" spans="1:33" x14ac:dyDescent="0.2">
      <c r="A248">
        <v>247</v>
      </c>
      <c r="B248" t="s">
        <v>163</v>
      </c>
      <c r="C248" t="s">
        <v>33</v>
      </c>
      <c r="D248">
        <v>25</v>
      </c>
      <c r="E248" t="s">
        <v>34</v>
      </c>
      <c r="F248" t="s">
        <v>41</v>
      </c>
      <c r="G248" t="s">
        <v>67</v>
      </c>
      <c r="H248">
        <v>14114</v>
      </c>
      <c r="I248">
        <v>1</v>
      </c>
      <c r="J248">
        <v>1</v>
      </c>
      <c r="K248">
        <v>1</v>
      </c>
      <c r="L248">
        <v>0</v>
      </c>
      <c r="M248" t="s">
        <v>103</v>
      </c>
      <c r="N248" t="s">
        <v>69</v>
      </c>
      <c r="O248" t="s">
        <v>70</v>
      </c>
      <c r="P248" t="s">
        <v>37</v>
      </c>
      <c r="Q248" t="s">
        <v>60</v>
      </c>
      <c r="R248" t="s">
        <v>48</v>
      </c>
      <c r="S248" t="s">
        <v>47</v>
      </c>
      <c r="T248">
        <v>1</v>
      </c>
      <c r="U248">
        <v>0</v>
      </c>
      <c r="V248">
        <v>1</v>
      </c>
      <c r="W248">
        <v>1</v>
      </c>
      <c r="X248">
        <v>0</v>
      </c>
      <c r="Y248">
        <v>0</v>
      </c>
      <c r="Z248">
        <v>1</v>
      </c>
      <c r="AA248">
        <v>1</v>
      </c>
      <c r="AB248">
        <v>0</v>
      </c>
      <c r="AC248">
        <v>1</v>
      </c>
      <c r="AD248">
        <v>1</v>
      </c>
      <c r="AE248">
        <v>0</v>
      </c>
      <c r="AF248">
        <v>0</v>
      </c>
      <c r="AG248">
        <v>0</v>
      </c>
    </row>
    <row r="249" spans="1:33" x14ac:dyDescent="0.2">
      <c r="A249">
        <v>248</v>
      </c>
      <c r="B249" t="s">
        <v>163</v>
      </c>
      <c r="C249" t="s">
        <v>33</v>
      </c>
      <c r="D249">
        <v>25</v>
      </c>
      <c r="E249" t="s">
        <v>34</v>
      </c>
      <c r="F249" t="s">
        <v>41</v>
      </c>
      <c r="G249" t="s">
        <v>61</v>
      </c>
      <c r="H249">
        <v>43075</v>
      </c>
      <c r="I249">
        <v>1</v>
      </c>
      <c r="J249">
        <v>1</v>
      </c>
      <c r="K249">
        <v>1</v>
      </c>
      <c r="L249">
        <v>0</v>
      </c>
      <c r="M249" t="s">
        <v>63</v>
      </c>
      <c r="N249" t="s">
        <v>87</v>
      </c>
      <c r="O249" t="s">
        <v>64</v>
      </c>
      <c r="P249" t="s">
        <v>37</v>
      </c>
      <c r="Q249" t="s">
        <v>46</v>
      </c>
      <c r="R249" t="s">
        <v>47</v>
      </c>
      <c r="S249" t="s">
        <v>48</v>
      </c>
      <c r="T249">
        <v>0</v>
      </c>
      <c r="U249">
        <v>0</v>
      </c>
      <c r="V249">
        <v>1</v>
      </c>
      <c r="W249">
        <v>1</v>
      </c>
      <c r="X249">
        <v>1</v>
      </c>
      <c r="Y249">
        <v>0</v>
      </c>
      <c r="Z249">
        <v>1</v>
      </c>
      <c r="AA249">
        <v>0</v>
      </c>
      <c r="AB249">
        <v>0</v>
      </c>
      <c r="AC249">
        <v>1</v>
      </c>
      <c r="AD249">
        <v>1</v>
      </c>
      <c r="AE249">
        <v>1</v>
      </c>
      <c r="AF249">
        <v>0</v>
      </c>
      <c r="AG249">
        <v>0</v>
      </c>
    </row>
    <row r="250" spans="1:33" hidden="1" x14ac:dyDescent="0.2">
      <c r="A250">
        <v>249</v>
      </c>
      <c r="B250" t="s">
        <v>163</v>
      </c>
      <c r="C250" t="s">
        <v>33</v>
      </c>
      <c r="D250">
        <v>25</v>
      </c>
      <c r="E250" t="s">
        <v>34</v>
      </c>
      <c r="F250" t="s">
        <v>53</v>
      </c>
      <c r="G250" t="s">
        <v>71</v>
      </c>
      <c r="H250">
        <v>23277</v>
      </c>
      <c r="I250">
        <v>1</v>
      </c>
      <c r="J250">
        <v>1</v>
      </c>
      <c r="K250">
        <v>0</v>
      </c>
      <c r="L250">
        <v>0</v>
      </c>
      <c r="M250" t="s">
        <v>36</v>
      </c>
      <c r="N250" t="s">
        <v>36</v>
      </c>
      <c r="O250" t="s">
        <v>36</v>
      </c>
      <c r="P250" t="s">
        <v>37</v>
      </c>
      <c r="Q250" t="s">
        <v>36</v>
      </c>
      <c r="R250" t="s">
        <v>36</v>
      </c>
      <c r="S250" t="s">
        <v>36</v>
      </c>
      <c r="T250" t="s">
        <v>36</v>
      </c>
      <c r="U250">
        <v>0</v>
      </c>
      <c r="V250">
        <v>1</v>
      </c>
      <c r="W250">
        <v>1</v>
      </c>
      <c r="X250">
        <v>1</v>
      </c>
      <c r="Y250">
        <v>0</v>
      </c>
      <c r="Z250">
        <v>1</v>
      </c>
      <c r="AA250">
        <v>0</v>
      </c>
      <c r="AB250">
        <v>0</v>
      </c>
      <c r="AC250">
        <v>1</v>
      </c>
      <c r="AD250">
        <v>1</v>
      </c>
      <c r="AE250">
        <v>1</v>
      </c>
      <c r="AF250">
        <v>0</v>
      </c>
      <c r="AG250">
        <v>0</v>
      </c>
    </row>
    <row r="251" spans="1:33" x14ac:dyDescent="0.2">
      <c r="A251">
        <v>250</v>
      </c>
      <c r="B251" t="s">
        <v>163</v>
      </c>
      <c r="C251" t="s">
        <v>33</v>
      </c>
      <c r="D251">
        <v>25</v>
      </c>
      <c r="E251" t="s">
        <v>34</v>
      </c>
      <c r="F251" t="s">
        <v>41</v>
      </c>
      <c r="G251" t="s">
        <v>72</v>
      </c>
      <c r="H251">
        <v>11510</v>
      </c>
      <c r="I251">
        <v>1</v>
      </c>
      <c r="J251">
        <v>1</v>
      </c>
      <c r="K251">
        <v>1</v>
      </c>
      <c r="L251">
        <v>0</v>
      </c>
      <c r="M251" t="s">
        <v>93</v>
      </c>
      <c r="N251" t="s">
        <v>115</v>
      </c>
      <c r="O251" t="s">
        <v>74</v>
      </c>
      <c r="P251" t="s">
        <v>37</v>
      </c>
      <c r="Q251" t="s">
        <v>59</v>
      </c>
      <c r="R251" t="s">
        <v>65</v>
      </c>
      <c r="S251" t="s">
        <v>47</v>
      </c>
      <c r="T251">
        <v>0</v>
      </c>
      <c r="U251">
        <v>1</v>
      </c>
      <c r="V251">
        <v>0</v>
      </c>
      <c r="W251">
        <v>1</v>
      </c>
      <c r="X251">
        <v>0</v>
      </c>
      <c r="Y251">
        <v>0</v>
      </c>
      <c r="Z251">
        <v>1</v>
      </c>
      <c r="AA251">
        <v>0</v>
      </c>
      <c r="AB251">
        <v>1</v>
      </c>
      <c r="AC251">
        <v>0</v>
      </c>
      <c r="AD251">
        <v>1</v>
      </c>
      <c r="AE251">
        <v>0</v>
      </c>
      <c r="AF251">
        <v>0</v>
      </c>
      <c r="AG251">
        <v>0</v>
      </c>
    </row>
    <row r="252" spans="1:33" hidden="1" x14ac:dyDescent="0.2">
      <c r="A252">
        <v>251</v>
      </c>
      <c r="B252" t="s">
        <v>163</v>
      </c>
      <c r="C252" t="s">
        <v>33</v>
      </c>
      <c r="D252">
        <v>25</v>
      </c>
      <c r="E252" t="s">
        <v>34</v>
      </c>
      <c r="F252" t="s">
        <v>53</v>
      </c>
      <c r="G252" t="s">
        <v>76</v>
      </c>
      <c r="H252">
        <v>11568</v>
      </c>
      <c r="I252">
        <v>1</v>
      </c>
      <c r="J252">
        <v>0</v>
      </c>
      <c r="K252">
        <v>0</v>
      </c>
      <c r="L252">
        <v>0</v>
      </c>
      <c r="M252" t="s">
        <v>36</v>
      </c>
      <c r="N252" t="s">
        <v>36</v>
      </c>
      <c r="O252" t="s">
        <v>36</v>
      </c>
      <c r="P252" t="s">
        <v>37</v>
      </c>
      <c r="Q252" t="s">
        <v>36</v>
      </c>
      <c r="R252" t="s">
        <v>36</v>
      </c>
      <c r="S252" t="s">
        <v>36</v>
      </c>
      <c r="T252" t="s">
        <v>36</v>
      </c>
      <c r="U252">
        <v>1</v>
      </c>
      <c r="V252">
        <v>0</v>
      </c>
      <c r="W252">
        <v>1</v>
      </c>
      <c r="X252">
        <v>0</v>
      </c>
      <c r="Y252">
        <v>0</v>
      </c>
      <c r="Z252">
        <v>1</v>
      </c>
      <c r="AA252">
        <v>0</v>
      </c>
      <c r="AB252">
        <v>1</v>
      </c>
      <c r="AC252">
        <v>0</v>
      </c>
      <c r="AD252">
        <v>1</v>
      </c>
      <c r="AE252">
        <v>0</v>
      </c>
      <c r="AF252">
        <v>0</v>
      </c>
      <c r="AG252">
        <v>0</v>
      </c>
    </row>
    <row r="253" spans="1:33" hidden="1" x14ac:dyDescent="0.2">
      <c r="A253">
        <v>252</v>
      </c>
      <c r="B253" t="s">
        <v>163</v>
      </c>
      <c r="C253" t="s">
        <v>33</v>
      </c>
      <c r="D253">
        <v>25</v>
      </c>
      <c r="E253" t="s">
        <v>34</v>
      </c>
      <c r="F253" t="s">
        <v>77</v>
      </c>
      <c r="G253" t="s">
        <v>36</v>
      </c>
      <c r="H253">
        <v>41942</v>
      </c>
      <c r="I253" t="s">
        <v>164</v>
      </c>
      <c r="J253" t="s">
        <v>165</v>
      </c>
      <c r="K253" t="s">
        <v>166</v>
      </c>
      <c r="L253" t="s">
        <v>36</v>
      </c>
      <c r="M253" t="s">
        <v>36</v>
      </c>
      <c r="N253" t="s">
        <v>36</v>
      </c>
      <c r="O253" t="s">
        <v>36</v>
      </c>
      <c r="P253" t="s">
        <v>37</v>
      </c>
      <c r="Q253" t="s">
        <v>36</v>
      </c>
      <c r="R253" t="s">
        <v>36</v>
      </c>
      <c r="S253" t="s">
        <v>36</v>
      </c>
      <c r="T253" t="s">
        <v>36</v>
      </c>
      <c r="U253" t="s">
        <v>36</v>
      </c>
      <c r="V253" t="s">
        <v>36</v>
      </c>
      <c r="W253" t="s">
        <v>36</v>
      </c>
      <c r="X253" t="s">
        <v>36</v>
      </c>
      <c r="Y253" t="s">
        <v>36</v>
      </c>
      <c r="Z253" t="s">
        <v>36</v>
      </c>
      <c r="AA253" t="s">
        <v>36</v>
      </c>
      <c r="AB253" t="s">
        <v>36</v>
      </c>
      <c r="AC253" t="s">
        <v>36</v>
      </c>
      <c r="AD253" t="s">
        <v>36</v>
      </c>
      <c r="AE253" t="s">
        <v>36</v>
      </c>
      <c r="AF253" t="s">
        <v>36</v>
      </c>
      <c r="AG253" t="s">
        <v>36</v>
      </c>
    </row>
    <row r="254" spans="1:33" hidden="1" x14ac:dyDescent="0.2">
      <c r="A254">
        <v>253</v>
      </c>
      <c r="B254" t="s">
        <v>167</v>
      </c>
      <c r="C254" t="s">
        <v>33</v>
      </c>
      <c r="D254">
        <v>39</v>
      </c>
      <c r="E254" t="s">
        <v>34</v>
      </c>
      <c r="F254" t="s">
        <v>35</v>
      </c>
      <c r="G254" t="s">
        <v>36</v>
      </c>
      <c r="H254">
        <v>31797</v>
      </c>
      <c r="I254" t="s">
        <v>36</v>
      </c>
      <c r="J254" t="s">
        <v>36</v>
      </c>
      <c r="K254" t="s">
        <v>36</v>
      </c>
      <c r="L254" t="s">
        <v>36</v>
      </c>
      <c r="M254" t="s">
        <v>36</v>
      </c>
      <c r="N254" t="s">
        <v>36</v>
      </c>
      <c r="O254" t="s">
        <v>36</v>
      </c>
      <c r="P254" t="s">
        <v>37</v>
      </c>
      <c r="Q254" t="s">
        <v>36</v>
      </c>
      <c r="R254" t="s">
        <v>36</v>
      </c>
      <c r="S254" t="s">
        <v>36</v>
      </c>
      <c r="T254" t="s">
        <v>36</v>
      </c>
      <c r="U254" t="s">
        <v>36</v>
      </c>
      <c r="V254" t="s">
        <v>36</v>
      </c>
      <c r="W254" t="s">
        <v>36</v>
      </c>
      <c r="X254" t="s">
        <v>36</v>
      </c>
      <c r="Y254" t="s">
        <v>36</v>
      </c>
      <c r="Z254" t="s">
        <v>36</v>
      </c>
      <c r="AA254" t="s">
        <v>36</v>
      </c>
      <c r="AB254" t="s">
        <v>36</v>
      </c>
      <c r="AC254" t="s">
        <v>36</v>
      </c>
      <c r="AD254" t="s">
        <v>36</v>
      </c>
      <c r="AE254" t="s">
        <v>36</v>
      </c>
      <c r="AF254" t="s">
        <v>36</v>
      </c>
      <c r="AG254" t="s">
        <v>36</v>
      </c>
    </row>
    <row r="255" spans="1:33" hidden="1" x14ac:dyDescent="0.2">
      <c r="A255">
        <v>254</v>
      </c>
      <c r="B255" t="s">
        <v>167</v>
      </c>
      <c r="C255" t="s">
        <v>33</v>
      </c>
      <c r="D255">
        <v>39</v>
      </c>
      <c r="E255" t="s">
        <v>34</v>
      </c>
      <c r="F255" t="s">
        <v>38</v>
      </c>
      <c r="G255" t="s">
        <v>39</v>
      </c>
      <c r="H255">
        <v>40991</v>
      </c>
      <c r="I255">
        <v>0</v>
      </c>
      <c r="J255">
        <v>0</v>
      </c>
      <c r="K255">
        <v>0</v>
      </c>
      <c r="L255">
        <v>1</v>
      </c>
      <c r="M255" t="s">
        <v>36</v>
      </c>
      <c r="N255" t="s">
        <v>36</v>
      </c>
      <c r="O255" t="s">
        <v>36</v>
      </c>
      <c r="P255" t="s">
        <v>37</v>
      </c>
      <c r="Q255" t="s">
        <v>36</v>
      </c>
      <c r="R255" t="s">
        <v>36</v>
      </c>
      <c r="S255" t="s">
        <v>36</v>
      </c>
      <c r="T255" t="s">
        <v>36</v>
      </c>
      <c r="U255" t="s">
        <v>36</v>
      </c>
      <c r="V255" t="s">
        <v>36</v>
      </c>
      <c r="W255" t="s">
        <v>36</v>
      </c>
      <c r="X255" t="s">
        <v>36</v>
      </c>
      <c r="Y255" t="s">
        <v>36</v>
      </c>
      <c r="Z255" t="s">
        <v>36</v>
      </c>
      <c r="AA255" t="s">
        <v>36</v>
      </c>
      <c r="AB255" t="s">
        <v>36</v>
      </c>
      <c r="AC255" t="s">
        <v>36</v>
      </c>
      <c r="AD255" t="s">
        <v>36</v>
      </c>
      <c r="AE255" t="s">
        <v>36</v>
      </c>
      <c r="AF255" t="s">
        <v>36</v>
      </c>
      <c r="AG255" t="s">
        <v>36</v>
      </c>
    </row>
    <row r="256" spans="1:33" hidden="1" x14ac:dyDescent="0.2">
      <c r="A256">
        <v>255</v>
      </c>
      <c r="B256" t="s">
        <v>167</v>
      </c>
      <c r="C256" t="s">
        <v>33</v>
      </c>
      <c r="D256">
        <v>39</v>
      </c>
      <c r="E256" t="s">
        <v>34</v>
      </c>
      <c r="F256" t="s">
        <v>38</v>
      </c>
      <c r="G256" t="s">
        <v>40</v>
      </c>
      <c r="H256">
        <v>32594</v>
      </c>
      <c r="I256">
        <v>0</v>
      </c>
      <c r="J256">
        <v>0</v>
      </c>
      <c r="K256">
        <v>1</v>
      </c>
      <c r="L256">
        <v>0</v>
      </c>
      <c r="M256" t="s">
        <v>36</v>
      </c>
      <c r="N256" t="s">
        <v>36</v>
      </c>
      <c r="O256" t="s">
        <v>36</v>
      </c>
      <c r="P256" t="s">
        <v>37</v>
      </c>
      <c r="Q256" t="s">
        <v>36</v>
      </c>
      <c r="R256" t="s">
        <v>36</v>
      </c>
      <c r="S256" t="s">
        <v>36</v>
      </c>
      <c r="T256" t="s">
        <v>36</v>
      </c>
      <c r="U256" t="s">
        <v>36</v>
      </c>
      <c r="V256" t="s">
        <v>36</v>
      </c>
      <c r="W256" t="s">
        <v>36</v>
      </c>
      <c r="X256" t="s">
        <v>36</v>
      </c>
      <c r="Y256" t="s">
        <v>36</v>
      </c>
      <c r="Z256" t="s">
        <v>36</v>
      </c>
      <c r="AA256" t="s">
        <v>36</v>
      </c>
      <c r="AB256" t="s">
        <v>36</v>
      </c>
      <c r="AC256" t="s">
        <v>36</v>
      </c>
      <c r="AD256" t="s">
        <v>36</v>
      </c>
      <c r="AE256" t="s">
        <v>36</v>
      </c>
      <c r="AF256" t="s">
        <v>36</v>
      </c>
      <c r="AG256" t="s">
        <v>36</v>
      </c>
    </row>
    <row r="257" spans="1:33" x14ac:dyDescent="0.2">
      <c r="A257">
        <v>256</v>
      </c>
      <c r="B257" t="s">
        <v>167</v>
      </c>
      <c r="C257" t="s">
        <v>33</v>
      </c>
      <c r="D257">
        <v>39</v>
      </c>
      <c r="E257" t="s">
        <v>34</v>
      </c>
      <c r="F257" t="s">
        <v>41</v>
      </c>
      <c r="G257" t="s">
        <v>49</v>
      </c>
      <c r="H257">
        <v>57599</v>
      </c>
      <c r="I257">
        <v>0</v>
      </c>
      <c r="J257">
        <v>0</v>
      </c>
      <c r="K257">
        <v>0</v>
      </c>
      <c r="L257">
        <v>1</v>
      </c>
      <c r="M257" t="s">
        <v>51</v>
      </c>
      <c r="N257" t="s">
        <v>52</v>
      </c>
      <c r="O257" t="s">
        <v>83</v>
      </c>
      <c r="P257" t="s">
        <v>37</v>
      </c>
      <c r="Q257" t="s">
        <v>47</v>
      </c>
      <c r="R257" t="s">
        <v>46</v>
      </c>
      <c r="S257" t="s">
        <v>59</v>
      </c>
      <c r="T257">
        <v>0</v>
      </c>
      <c r="U257">
        <v>0</v>
      </c>
      <c r="V257">
        <v>0</v>
      </c>
      <c r="W257">
        <v>1</v>
      </c>
      <c r="X257">
        <v>1</v>
      </c>
      <c r="Y257">
        <v>0</v>
      </c>
      <c r="Z257">
        <v>1</v>
      </c>
      <c r="AA257">
        <v>0</v>
      </c>
      <c r="AB257">
        <v>0</v>
      </c>
      <c r="AC257">
        <v>0</v>
      </c>
      <c r="AD257">
        <v>0</v>
      </c>
      <c r="AE257">
        <v>0</v>
      </c>
      <c r="AF257">
        <v>0</v>
      </c>
      <c r="AG257">
        <v>1</v>
      </c>
    </row>
    <row r="258" spans="1:33" hidden="1" x14ac:dyDescent="0.2">
      <c r="A258">
        <v>257</v>
      </c>
      <c r="B258" t="s">
        <v>167</v>
      </c>
      <c r="C258" t="s">
        <v>33</v>
      </c>
      <c r="D258">
        <v>39</v>
      </c>
      <c r="E258" t="s">
        <v>34</v>
      </c>
      <c r="F258" t="s">
        <v>53</v>
      </c>
      <c r="G258" t="s">
        <v>54</v>
      </c>
      <c r="H258">
        <v>37398</v>
      </c>
      <c r="I258">
        <v>0</v>
      </c>
      <c r="J258">
        <v>1</v>
      </c>
      <c r="K258">
        <v>0</v>
      </c>
      <c r="L258">
        <v>0</v>
      </c>
      <c r="M258" t="s">
        <v>36</v>
      </c>
      <c r="N258" t="s">
        <v>36</v>
      </c>
      <c r="O258" t="s">
        <v>36</v>
      </c>
      <c r="P258" t="s">
        <v>37</v>
      </c>
      <c r="Q258" t="s">
        <v>36</v>
      </c>
      <c r="R258" t="s">
        <v>36</v>
      </c>
      <c r="S258" t="s">
        <v>36</v>
      </c>
      <c r="T258" t="s">
        <v>36</v>
      </c>
      <c r="U258">
        <v>0</v>
      </c>
      <c r="V258">
        <v>0</v>
      </c>
      <c r="W258">
        <v>1</v>
      </c>
      <c r="X258">
        <v>1</v>
      </c>
      <c r="Y258">
        <v>0</v>
      </c>
      <c r="Z258">
        <v>1</v>
      </c>
      <c r="AA258">
        <v>0</v>
      </c>
      <c r="AB258">
        <v>0</v>
      </c>
      <c r="AC258">
        <v>0</v>
      </c>
      <c r="AD258">
        <v>0</v>
      </c>
      <c r="AE258">
        <v>0</v>
      </c>
      <c r="AF258">
        <v>0</v>
      </c>
      <c r="AG258">
        <v>1</v>
      </c>
    </row>
    <row r="259" spans="1:33" x14ac:dyDescent="0.2">
      <c r="A259">
        <v>258</v>
      </c>
      <c r="B259" t="s">
        <v>167</v>
      </c>
      <c r="C259" t="s">
        <v>33</v>
      </c>
      <c r="D259">
        <v>39</v>
      </c>
      <c r="E259" t="s">
        <v>34</v>
      </c>
      <c r="F259" t="s">
        <v>41</v>
      </c>
      <c r="G259" t="s">
        <v>42</v>
      </c>
      <c r="H259">
        <v>43361</v>
      </c>
      <c r="I259">
        <v>0</v>
      </c>
      <c r="J259">
        <v>0</v>
      </c>
      <c r="K259">
        <v>0</v>
      </c>
      <c r="L259">
        <v>1</v>
      </c>
      <c r="M259" t="s">
        <v>82</v>
      </c>
      <c r="N259" t="s">
        <v>44</v>
      </c>
      <c r="O259" t="s">
        <v>102</v>
      </c>
      <c r="P259" t="s">
        <v>37</v>
      </c>
      <c r="Q259" t="s">
        <v>65</v>
      </c>
      <c r="R259" t="s">
        <v>47</v>
      </c>
      <c r="S259" t="s">
        <v>59</v>
      </c>
      <c r="T259">
        <v>0</v>
      </c>
      <c r="U259">
        <v>1</v>
      </c>
      <c r="V259">
        <v>0</v>
      </c>
      <c r="W259">
        <v>1</v>
      </c>
      <c r="X259">
        <v>0</v>
      </c>
      <c r="Y259">
        <v>0</v>
      </c>
      <c r="Z259">
        <v>1</v>
      </c>
      <c r="AA259">
        <v>0</v>
      </c>
      <c r="AB259">
        <v>0</v>
      </c>
      <c r="AC259">
        <v>0</v>
      </c>
      <c r="AD259">
        <v>0</v>
      </c>
      <c r="AE259">
        <v>0</v>
      </c>
      <c r="AF259">
        <v>0</v>
      </c>
      <c r="AG259">
        <v>1</v>
      </c>
    </row>
    <row r="260" spans="1:33" x14ac:dyDescent="0.2">
      <c r="A260">
        <v>259</v>
      </c>
      <c r="B260" t="s">
        <v>167</v>
      </c>
      <c r="C260" t="s">
        <v>33</v>
      </c>
      <c r="D260">
        <v>39</v>
      </c>
      <c r="E260" t="s">
        <v>34</v>
      </c>
      <c r="F260" t="s">
        <v>41</v>
      </c>
      <c r="G260" t="s">
        <v>55</v>
      </c>
      <c r="H260">
        <v>28088</v>
      </c>
      <c r="I260">
        <v>0</v>
      </c>
      <c r="J260">
        <v>0</v>
      </c>
      <c r="K260">
        <v>0</v>
      </c>
      <c r="L260">
        <v>1</v>
      </c>
      <c r="M260" t="s">
        <v>94</v>
      </c>
      <c r="N260" t="s">
        <v>84</v>
      </c>
      <c r="O260" t="s">
        <v>57</v>
      </c>
      <c r="P260" t="s">
        <v>37</v>
      </c>
      <c r="Q260" t="s">
        <v>47</v>
      </c>
      <c r="R260" t="s">
        <v>46</v>
      </c>
      <c r="S260" t="s">
        <v>48</v>
      </c>
      <c r="T260">
        <v>0</v>
      </c>
      <c r="U260">
        <v>0</v>
      </c>
      <c r="V260">
        <v>1</v>
      </c>
      <c r="W260">
        <v>1</v>
      </c>
      <c r="X260">
        <v>1</v>
      </c>
      <c r="Y260">
        <v>0</v>
      </c>
      <c r="Z260">
        <v>1</v>
      </c>
      <c r="AA260">
        <v>0</v>
      </c>
      <c r="AB260">
        <v>0</v>
      </c>
      <c r="AC260">
        <v>0</v>
      </c>
      <c r="AD260">
        <v>0</v>
      </c>
      <c r="AE260">
        <v>0</v>
      </c>
      <c r="AF260">
        <v>0</v>
      </c>
      <c r="AG260">
        <v>1</v>
      </c>
    </row>
    <row r="261" spans="1:33" hidden="1" x14ac:dyDescent="0.2">
      <c r="A261">
        <v>260</v>
      </c>
      <c r="B261" t="s">
        <v>167</v>
      </c>
      <c r="C261" t="s">
        <v>33</v>
      </c>
      <c r="D261">
        <v>39</v>
      </c>
      <c r="E261" t="s">
        <v>34</v>
      </c>
      <c r="F261" t="s">
        <v>53</v>
      </c>
      <c r="G261" t="s">
        <v>76</v>
      </c>
      <c r="H261">
        <v>23609</v>
      </c>
      <c r="I261">
        <v>1</v>
      </c>
      <c r="J261">
        <v>0</v>
      </c>
      <c r="K261">
        <v>0</v>
      </c>
      <c r="L261">
        <v>0</v>
      </c>
      <c r="M261" t="s">
        <v>36</v>
      </c>
      <c r="N261" t="s">
        <v>36</v>
      </c>
      <c r="O261" t="s">
        <v>36</v>
      </c>
      <c r="P261" t="s">
        <v>37</v>
      </c>
      <c r="Q261" t="s">
        <v>36</v>
      </c>
      <c r="R261" t="s">
        <v>36</v>
      </c>
      <c r="S261" t="s">
        <v>36</v>
      </c>
      <c r="T261" t="s">
        <v>36</v>
      </c>
      <c r="U261">
        <v>0</v>
      </c>
      <c r="V261">
        <v>1</v>
      </c>
      <c r="W261">
        <v>1</v>
      </c>
      <c r="X261">
        <v>1</v>
      </c>
      <c r="Y261">
        <v>0</v>
      </c>
      <c r="Z261">
        <v>1</v>
      </c>
      <c r="AA261">
        <v>0</v>
      </c>
      <c r="AB261">
        <v>0</v>
      </c>
      <c r="AC261">
        <v>0</v>
      </c>
      <c r="AD261">
        <v>0</v>
      </c>
      <c r="AE261">
        <v>0</v>
      </c>
      <c r="AF261">
        <v>0</v>
      </c>
      <c r="AG261">
        <v>1</v>
      </c>
    </row>
    <row r="262" spans="1:33" x14ac:dyDescent="0.2">
      <c r="A262">
        <v>261</v>
      </c>
      <c r="B262" t="s">
        <v>167</v>
      </c>
      <c r="C262" t="s">
        <v>33</v>
      </c>
      <c r="D262">
        <v>39</v>
      </c>
      <c r="E262" t="s">
        <v>34</v>
      </c>
      <c r="F262" t="s">
        <v>41</v>
      </c>
      <c r="G262" t="s">
        <v>72</v>
      </c>
      <c r="H262">
        <v>18712</v>
      </c>
      <c r="I262">
        <v>0</v>
      </c>
      <c r="J262">
        <v>0</v>
      </c>
      <c r="K262">
        <v>0</v>
      </c>
      <c r="L262">
        <v>1</v>
      </c>
      <c r="M262" t="s">
        <v>74</v>
      </c>
      <c r="N262" t="s">
        <v>73</v>
      </c>
      <c r="O262" t="s">
        <v>75</v>
      </c>
      <c r="P262" t="s">
        <v>37</v>
      </c>
      <c r="Q262" t="s">
        <v>47</v>
      </c>
      <c r="R262" t="s">
        <v>48</v>
      </c>
      <c r="S262" t="s">
        <v>46</v>
      </c>
      <c r="T262">
        <v>0</v>
      </c>
      <c r="U262">
        <v>0</v>
      </c>
      <c r="V262">
        <v>1</v>
      </c>
      <c r="W262">
        <v>1</v>
      </c>
      <c r="X262">
        <v>1</v>
      </c>
      <c r="Y262">
        <v>0</v>
      </c>
      <c r="Z262">
        <v>1</v>
      </c>
      <c r="AA262">
        <v>0</v>
      </c>
      <c r="AB262">
        <v>0</v>
      </c>
      <c r="AC262">
        <v>0</v>
      </c>
      <c r="AD262">
        <v>0</v>
      </c>
      <c r="AE262">
        <v>0</v>
      </c>
      <c r="AF262">
        <v>0</v>
      </c>
      <c r="AG262">
        <v>1</v>
      </c>
    </row>
    <row r="263" spans="1:33" hidden="1" x14ac:dyDescent="0.2">
      <c r="A263">
        <v>262</v>
      </c>
      <c r="B263" t="s">
        <v>167</v>
      </c>
      <c r="C263" t="s">
        <v>33</v>
      </c>
      <c r="D263">
        <v>39</v>
      </c>
      <c r="E263" t="s">
        <v>34</v>
      </c>
      <c r="F263" t="s">
        <v>53</v>
      </c>
      <c r="G263" t="s">
        <v>71</v>
      </c>
      <c r="H263">
        <v>40203</v>
      </c>
      <c r="I263">
        <v>0</v>
      </c>
      <c r="J263">
        <v>0</v>
      </c>
      <c r="K263">
        <v>0</v>
      </c>
      <c r="L263">
        <v>1</v>
      </c>
      <c r="M263" t="s">
        <v>36</v>
      </c>
      <c r="N263" t="s">
        <v>36</v>
      </c>
      <c r="O263" t="s">
        <v>36</v>
      </c>
      <c r="P263" t="s">
        <v>37</v>
      </c>
      <c r="Q263" t="s">
        <v>36</v>
      </c>
      <c r="R263" t="s">
        <v>36</v>
      </c>
      <c r="S263" t="s">
        <v>36</v>
      </c>
      <c r="T263" t="s">
        <v>36</v>
      </c>
      <c r="U263">
        <v>0</v>
      </c>
      <c r="V263">
        <v>1</v>
      </c>
      <c r="W263">
        <v>1</v>
      </c>
      <c r="X263">
        <v>1</v>
      </c>
      <c r="Y263">
        <v>0</v>
      </c>
      <c r="Z263">
        <v>1</v>
      </c>
      <c r="AA263">
        <v>0</v>
      </c>
      <c r="AB263">
        <v>0</v>
      </c>
      <c r="AC263">
        <v>0</v>
      </c>
      <c r="AD263">
        <v>0</v>
      </c>
      <c r="AE263">
        <v>0</v>
      </c>
      <c r="AF263">
        <v>0</v>
      </c>
      <c r="AG263">
        <v>1</v>
      </c>
    </row>
    <row r="264" spans="1:33" x14ac:dyDescent="0.2">
      <c r="A264">
        <v>263</v>
      </c>
      <c r="B264" t="s">
        <v>167</v>
      </c>
      <c r="C264" t="s">
        <v>33</v>
      </c>
      <c r="D264">
        <v>39</v>
      </c>
      <c r="E264" t="s">
        <v>34</v>
      </c>
      <c r="F264" t="s">
        <v>41</v>
      </c>
      <c r="G264" t="s">
        <v>61</v>
      </c>
      <c r="H264">
        <v>24768</v>
      </c>
      <c r="I264">
        <v>0</v>
      </c>
      <c r="J264">
        <v>0</v>
      </c>
      <c r="K264">
        <v>0</v>
      </c>
      <c r="L264">
        <v>1</v>
      </c>
      <c r="M264" t="s">
        <v>97</v>
      </c>
      <c r="N264" t="s">
        <v>64</v>
      </c>
      <c r="O264" t="s">
        <v>63</v>
      </c>
      <c r="P264" t="s">
        <v>37</v>
      </c>
      <c r="Q264" t="s">
        <v>59</v>
      </c>
      <c r="R264" t="s">
        <v>48</v>
      </c>
      <c r="S264" t="s">
        <v>46</v>
      </c>
      <c r="T264">
        <v>0</v>
      </c>
      <c r="U264">
        <v>0</v>
      </c>
      <c r="V264">
        <v>1</v>
      </c>
      <c r="W264">
        <v>0</v>
      </c>
      <c r="X264">
        <v>1</v>
      </c>
      <c r="Y264">
        <v>0</v>
      </c>
      <c r="Z264">
        <v>1</v>
      </c>
      <c r="AA264">
        <v>0</v>
      </c>
      <c r="AB264">
        <v>0</v>
      </c>
      <c r="AC264">
        <v>0</v>
      </c>
      <c r="AD264">
        <v>0</v>
      </c>
      <c r="AE264">
        <v>0</v>
      </c>
      <c r="AF264">
        <v>0</v>
      </c>
      <c r="AG264">
        <v>1</v>
      </c>
    </row>
    <row r="265" spans="1:33" x14ac:dyDescent="0.2">
      <c r="A265">
        <v>264</v>
      </c>
      <c r="B265" t="s">
        <v>167</v>
      </c>
      <c r="C265" t="s">
        <v>33</v>
      </c>
      <c r="D265">
        <v>39</v>
      </c>
      <c r="E265" t="s">
        <v>34</v>
      </c>
      <c r="F265" t="s">
        <v>41</v>
      </c>
      <c r="G265" t="s">
        <v>67</v>
      </c>
      <c r="H265">
        <v>19606</v>
      </c>
      <c r="I265">
        <v>0</v>
      </c>
      <c r="J265">
        <v>0</v>
      </c>
      <c r="K265">
        <v>0</v>
      </c>
      <c r="L265">
        <v>1</v>
      </c>
      <c r="M265" t="s">
        <v>69</v>
      </c>
      <c r="N265" t="s">
        <v>103</v>
      </c>
      <c r="O265" t="s">
        <v>68</v>
      </c>
      <c r="P265" t="s">
        <v>37</v>
      </c>
      <c r="Q265" t="s">
        <v>48</v>
      </c>
      <c r="R265" t="s">
        <v>60</v>
      </c>
      <c r="S265" t="s">
        <v>65</v>
      </c>
      <c r="T265">
        <v>1</v>
      </c>
      <c r="U265">
        <v>1</v>
      </c>
      <c r="V265">
        <v>1</v>
      </c>
      <c r="W265">
        <v>0</v>
      </c>
      <c r="X265">
        <v>0</v>
      </c>
      <c r="Y265">
        <v>0</v>
      </c>
      <c r="Z265">
        <v>1</v>
      </c>
      <c r="AA265">
        <v>0</v>
      </c>
      <c r="AB265">
        <v>0</v>
      </c>
      <c r="AC265">
        <v>0</v>
      </c>
      <c r="AD265">
        <v>0</v>
      </c>
      <c r="AE265">
        <v>0</v>
      </c>
      <c r="AF265">
        <v>0</v>
      </c>
      <c r="AG265">
        <v>1</v>
      </c>
    </row>
    <row r="266" spans="1:33" hidden="1" x14ac:dyDescent="0.2">
      <c r="A266">
        <v>265</v>
      </c>
      <c r="B266" t="s">
        <v>167</v>
      </c>
      <c r="C266" t="s">
        <v>33</v>
      </c>
      <c r="D266">
        <v>39</v>
      </c>
      <c r="E266" t="s">
        <v>34</v>
      </c>
      <c r="F266" t="s">
        <v>53</v>
      </c>
      <c r="G266" t="s">
        <v>66</v>
      </c>
      <c r="H266">
        <v>30611</v>
      </c>
      <c r="I266">
        <v>1</v>
      </c>
      <c r="J266">
        <v>0</v>
      </c>
      <c r="K266">
        <v>0</v>
      </c>
      <c r="L266">
        <v>0</v>
      </c>
      <c r="M266" t="s">
        <v>36</v>
      </c>
      <c r="N266" t="s">
        <v>36</v>
      </c>
      <c r="O266" t="s">
        <v>36</v>
      </c>
      <c r="P266" t="s">
        <v>37</v>
      </c>
      <c r="Q266" t="s">
        <v>36</v>
      </c>
      <c r="R266" t="s">
        <v>36</v>
      </c>
      <c r="S266" t="s">
        <v>36</v>
      </c>
      <c r="T266" t="s">
        <v>36</v>
      </c>
      <c r="U266">
        <v>1</v>
      </c>
      <c r="V266">
        <v>1</v>
      </c>
      <c r="W266">
        <v>0</v>
      </c>
      <c r="X266">
        <v>0</v>
      </c>
      <c r="Y266">
        <v>0</v>
      </c>
      <c r="Z266">
        <v>1</v>
      </c>
      <c r="AA266">
        <v>0</v>
      </c>
      <c r="AB266">
        <v>0</v>
      </c>
      <c r="AC266">
        <v>0</v>
      </c>
      <c r="AD266">
        <v>0</v>
      </c>
      <c r="AE266">
        <v>0</v>
      </c>
      <c r="AF266">
        <v>0</v>
      </c>
      <c r="AG266">
        <v>1</v>
      </c>
    </row>
    <row r="267" spans="1:33" hidden="1" x14ac:dyDescent="0.2">
      <c r="A267">
        <v>266</v>
      </c>
      <c r="B267" t="s">
        <v>167</v>
      </c>
      <c r="C267" t="s">
        <v>33</v>
      </c>
      <c r="D267">
        <v>39</v>
      </c>
      <c r="E267" t="s">
        <v>34</v>
      </c>
      <c r="F267" t="s">
        <v>77</v>
      </c>
      <c r="G267" t="s">
        <v>36</v>
      </c>
      <c r="H267">
        <v>76198</v>
      </c>
      <c r="I267" t="s">
        <v>168</v>
      </c>
      <c r="J267" t="s">
        <v>169</v>
      </c>
      <c r="L267" t="s">
        <v>36</v>
      </c>
      <c r="M267" t="s">
        <v>36</v>
      </c>
      <c r="N267" t="s">
        <v>36</v>
      </c>
      <c r="O267" t="s">
        <v>36</v>
      </c>
      <c r="P267" t="s">
        <v>37</v>
      </c>
      <c r="Q267" t="s">
        <v>36</v>
      </c>
      <c r="R267" t="s">
        <v>36</v>
      </c>
      <c r="S267" t="s">
        <v>36</v>
      </c>
      <c r="T267" t="s">
        <v>36</v>
      </c>
      <c r="U267" t="s">
        <v>36</v>
      </c>
      <c r="V267" t="s">
        <v>36</v>
      </c>
      <c r="W267" t="s">
        <v>36</v>
      </c>
      <c r="X267" t="s">
        <v>36</v>
      </c>
      <c r="Y267" t="s">
        <v>36</v>
      </c>
      <c r="Z267" t="s">
        <v>36</v>
      </c>
      <c r="AA267" t="s">
        <v>36</v>
      </c>
      <c r="AB267" t="s">
        <v>36</v>
      </c>
      <c r="AC267" t="s">
        <v>36</v>
      </c>
      <c r="AD267" t="s">
        <v>36</v>
      </c>
      <c r="AE267" t="s">
        <v>36</v>
      </c>
      <c r="AF267" t="s">
        <v>36</v>
      </c>
      <c r="AG267" t="s">
        <v>36</v>
      </c>
    </row>
    <row r="268" spans="1:33" hidden="1" x14ac:dyDescent="0.2">
      <c r="A268">
        <v>267</v>
      </c>
      <c r="B268" t="s">
        <v>170</v>
      </c>
      <c r="C268" t="s">
        <v>108</v>
      </c>
      <c r="D268">
        <v>34</v>
      </c>
      <c r="E268" t="s">
        <v>34</v>
      </c>
      <c r="F268" t="s">
        <v>35</v>
      </c>
      <c r="G268" t="s">
        <v>36</v>
      </c>
      <c r="H268">
        <v>28587</v>
      </c>
      <c r="I268" t="s">
        <v>36</v>
      </c>
      <c r="J268" t="s">
        <v>36</v>
      </c>
      <c r="K268" t="s">
        <v>36</v>
      </c>
      <c r="L268" t="s">
        <v>36</v>
      </c>
      <c r="M268" t="s">
        <v>36</v>
      </c>
      <c r="N268" t="s">
        <v>36</v>
      </c>
      <c r="O268" t="s">
        <v>36</v>
      </c>
      <c r="P268" t="s">
        <v>37</v>
      </c>
      <c r="Q268" t="s">
        <v>36</v>
      </c>
      <c r="R268" t="s">
        <v>36</v>
      </c>
      <c r="S268" t="s">
        <v>36</v>
      </c>
      <c r="T268" t="s">
        <v>36</v>
      </c>
      <c r="U268" t="s">
        <v>36</v>
      </c>
      <c r="V268" t="s">
        <v>36</v>
      </c>
      <c r="W268" t="s">
        <v>36</v>
      </c>
      <c r="X268" t="s">
        <v>36</v>
      </c>
      <c r="Y268" t="s">
        <v>36</v>
      </c>
      <c r="Z268" t="s">
        <v>36</v>
      </c>
      <c r="AA268" t="s">
        <v>36</v>
      </c>
      <c r="AB268" t="s">
        <v>36</v>
      </c>
      <c r="AC268" t="s">
        <v>36</v>
      </c>
      <c r="AD268" t="s">
        <v>36</v>
      </c>
      <c r="AE268" t="s">
        <v>36</v>
      </c>
      <c r="AF268" t="s">
        <v>36</v>
      </c>
      <c r="AG268" t="s">
        <v>36</v>
      </c>
    </row>
    <row r="269" spans="1:33" hidden="1" x14ac:dyDescent="0.2">
      <c r="A269">
        <v>268</v>
      </c>
      <c r="B269" t="s">
        <v>170</v>
      </c>
      <c r="C269" t="s">
        <v>108</v>
      </c>
      <c r="D269">
        <v>34</v>
      </c>
      <c r="E269" t="s">
        <v>34</v>
      </c>
      <c r="F269" t="s">
        <v>38</v>
      </c>
      <c r="G269" t="s">
        <v>39</v>
      </c>
      <c r="H269">
        <v>85075</v>
      </c>
      <c r="I269">
        <v>0</v>
      </c>
      <c r="J269">
        <v>0</v>
      </c>
      <c r="K269">
        <v>0</v>
      </c>
      <c r="L269">
        <v>1</v>
      </c>
      <c r="M269" t="s">
        <v>36</v>
      </c>
      <c r="N269" t="s">
        <v>36</v>
      </c>
      <c r="O269" t="s">
        <v>36</v>
      </c>
      <c r="P269" t="s">
        <v>37</v>
      </c>
      <c r="Q269" t="s">
        <v>36</v>
      </c>
      <c r="R269" t="s">
        <v>36</v>
      </c>
      <c r="S269" t="s">
        <v>36</v>
      </c>
      <c r="T269" t="s">
        <v>36</v>
      </c>
      <c r="U269" t="s">
        <v>36</v>
      </c>
      <c r="V269" t="s">
        <v>36</v>
      </c>
      <c r="W269" t="s">
        <v>36</v>
      </c>
      <c r="X269" t="s">
        <v>36</v>
      </c>
      <c r="Y269" t="s">
        <v>36</v>
      </c>
      <c r="Z269" t="s">
        <v>36</v>
      </c>
      <c r="AA269" t="s">
        <v>36</v>
      </c>
      <c r="AB269" t="s">
        <v>36</v>
      </c>
      <c r="AC269" t="s">
        <v>36</v>
      </c>
      <c r="AD269" t="s">
        <v>36</v>
      </c>
      <c r="AE269" t="s">
        <v>36</v>
      </c>
      <c r="AF269" t="s">
        <v>36</v>
      </c>
      <c r="AG269" t="s">
        <v>36</v>
      </c>
    </row>
    <row r="270" spans="1:33" hidden="1" x14ac:dyDescent="0.2">
      <c r="A270">
        <v>269</v>
      </c>
      <c r="B270" t="s">
        <v>170</v>
      </c>
      <c r="C270" t="s">
        <v>108</v>
      </c>
      <c r="D270">
        <v>34</v>
      </c>
      <c r="E270" t="s">
        <v>34</v>
      </c>
      <c r="F270" t="s">
        <v>38</v>
      </c>
      <c r="G270" t="s">
        <v>40</v>
      </c>
      <c r="H270">
        <v>37401</v>
      </c>
      <c r="I270">
        <v>0</v>
      </c>
      <c r="J270">
        <v>1</v>
      </c>
      <c r="K270">
        <v>1</v>
      </c>
      <c r="L270">
        <v>0</v>
      </c>
      <c r="M270" t="s">
        <v>36</v>
      </c>
      <c r="N270" t="s">
        <v>36</v>
      </c>
      <c r="O270" t="s">
        <v>36</v>
      </c>
      <c r="P270" t="s">
        <v>37</v>
      </c>
      <c r="Q270" t="s">
        <v>36</v>
      </c>
      <c r="R270" t="s">
        <v>36</v>
      </c>
      <c r="S270" t="s">
        <v>36</v>
      </c>
      <c r="T270" t="s">
        <v>36</v>
      </c>
      <c r="U270" t="s">
        <v>36</v>
      </c>
      <c r="V270" t="s">
        <v>36</v>
      </c>
      <c r="W270" t="s">
        <v>36</v>
      </c>
      <c r="X270" t="s">
        <v>36</v>
      </c>
      <c r="Y270" t="s">
        <v>36</v>
      </c>
      <c r="Z270" t="s">
        <v>36</v>
      </c>
      <c r="AA270" t="s">
        <v>36</v>
      </c>
      <c r="AB270" t="s">
        <v>36</v>
      </c>
      <c r="AC270" t="s">
        <v>36</v>
      </c>
      <c r="AD270" t="s">
        <v>36</v>
      </c>
      <c r="AE270" t="s">
        <v>36</v>
      </c>
      <c r="AF270" t="s">
        <v>36</v>
      </c>
      <c r="AG270" t="s">
        <v>36</v>
      </c>
    </row>
    <row r="271" spans="1:33" x14ac:dyDescent="0.2">
      <c r="A271">
        <v>270</v>
      </c>
      <c r="B271" t="s">
        <v>170</v>
      </c>
      <c r="C271" t="s">
        <v>108</v>
      </c>
      <c r="D271">
        <v>34</v>
      </c>
      <c r="E271" t="s">
        <v>34</v>
      </c>
      <c r="F271" t="s">
        <v>41</v>
      </c>
      <c r="G271" t="s">
        <v>67</v>
      </c>
      <c r="H271">
        <v>49125</v>
      </c>
      <c r="I271">
        <v>1</v>
      </c>
      <c r="J271">
        <v>1</v>
      </c>
      <c r="K271">
        <v>1</v>
      </c>
      <c r="L271">
        <v>0</v>
      </c>
      <c r="M271" t="s">
        <v>70</v>
      </c>
      <c r="N271" t="s">
        <v>86</v>
      </c>
      <c r="O271" t="s">
        <v>69</v>
      </c>
      <c r="P271" t="s">
        <v>37</v>
      </c>
      <c r="Q271" t="s">
        <v>47</v>
      </c>
      <c r="R271" t="s">
        <v>46</v>
      </c>
      <c r="S271" t="s">
        <v>48</v>
      </c>
      <c r="T271">
        <v>0</v>
      </c>
      <c r="U271">
        <v>0</v>
      </c>
      <c r="V271">
        <v>1</v>
      </c>
      <c r="W271">
        <v>1</v>
      </c>
      <c r="X271">
        <v>1</v>
      </c>
      <c r="Y271">
        <v>0</v>
      </c>
      <c r="Z271">
        <v>1</v>
      </c>
      <c r="AA271">
        <v>0</v>
      </c>
      <c r="AB271">
        <v>0</v>
      </c>
      <c r="AC271">
        <v>1</v>
      </c>
      <c r="AD271">
        <v>1</v>
      </c>
      <c r="AE271">
        <v>1</v>
      </c>
      <c r="AF271">
        <v>0</v>
      </c>
      <c r="AG271">
        <v>0</v>
      </c>
    </row>
    <row r="272" spans="1:33" hidden="1" x14ac:dyDescent="0.2">
      <c r="A272">
        <v>271</v>
      </c>
      <c r="B272" t="s">
        <v>170</v>
      </c>
      <c r="C272" t="s">
        <v>108</v>
      </c>
      <c r="D272">
        <v>34</v>
      </c>
      <c r="E272" t="s">
        <v>34</v>
      </c>
      <c r="F272" t="s">
        <v>53</v>
      </c>
      <c r="G272" t="s">
        <v>66</v>
      </c>
      <c r="H272">
        <v>31052</v>
      </c>
      <c r="I272">
        <v>1</v>
      </c>
      <c r="J272">
        <v>1</v>
      </c>
      <c r="K272">
        <v>0</v>
      </c>
      <c r="L272">
        <v>0</v>
      </c>
      <c r="M272" t="s">
        <v>36</v>
      </c>
      <c r="N272" t="s">
        <v>36</v>
      </c>
      <c r="O272" t="s">
        <v>36</v>
      </c>
      <c r="P272" t="s">
        <v>37</v>
      </c>
      <c r="Q272" t="s">
        <v>36</v>
      </c>
      <c r="R272" t="s">
        <v>36</v>
      </c>
      <c r="S272" t="s">
        <v>36</v>
      </c>
      <c r="T272" t="s">
        <v>36</v>
      </c>
      <c r="U272">
        <v>0</v>
      </c>
      <c r="V272">
        <v>1</v>
      </c>
      <c r="W272">
        <v>1</v>
      </c>
      <c r="X272">
        <v>1</v>
      </c>
      <c r="Y272">
        <v>0</v>
      </c>
      <c r="Z272">
        <v>1</v>
      </c>
      <c r="AA272">
        <v>0</v>
      </c>
      <c r="AB272">
        <v>0</v>
      </c>
      <c r="AC272">
        <v>1</v>
      </c>
      <c r="AD272">
        <v>1</v>
      </c>
      <c r="AE272">
        <v>1</v>
      </c>
      <c r="AF272">
        <v>0</v>
      </c>
      <c r="AG272">
        <v>0</v>
      </c>
    </row>
    <row r="273" spans="1:33" x14ac:dyDescent="0.2">
      <c r="A273">
        <v>272</v>
      </c>
      <c r="B273" t="s">
        <v>170</v>
      </c>
      <c r="C273" t="s">
        <v>108</v>
      </c>
      <c r="D273">
        <v>34</v>
      </c>
      <c r="E273" t="s">
        <v>34</v>
      </c>
      <c r="F273" t="s">
        <v>41</v>
      </c>
      <c r="G273" t="s">
        <v>49</v>
      </c>
      <c r="H273">
        <v>40229</v>
      </c>
      <c r="I273">
        <v>1</v>
      </c>
      <c r="J273">
        <v>1</v>
      </c>
      <c r="K273">
        <v>1</v>
      </c>
      <c r="L273">
        <v>0</v>
      </c>
      <c r="M273" t="s">
        <v>52</v>
      </c>
      <c r="N273" t="s">
        <v>96</v>
      </c>
      <c r="O273" t="s">
        <v>50</v>
      </c>
      <c r="P273" t="s">
        <v>37</v>
      </c>
      <c r="Q273" t="s">
        <v>46</v>
      </c>
      <c r="R273" t="s">
        <v>65</v>
      </c>
      <c r="S273" t="s">
        <v>48</v>
      </c>
      <c r="T273">
        <v>0</v>
      </c>
      <c r="U273">
        <v>1</v>
      </c>
      <c r="V273">
        <v>1</v>
      </c>
      <c r="W273">
        <v>0</v>
      </c>
      <c r="X273">
        <v>1</v>
      </c>
      <c r="Y273">
        <v>0</v>
      </c>
      <c r="Z273">
        <v>1</v>
      </c>
      <c r="AA273">
        <v>0</v>
      </c>
      <c r="AB273">
        <v>1</v>
      </c>
      <c r="AC273">
        <v>1</v>
      </c>
      <c r="AD273">
        <v>0</v>
      </c>
      <c r="AE273">
        <v>1</v>
      </c>
      <c r="AF273">
        <v>0</v>
      </c>
      <c r="AG273">
        <v>0</v>
      </c>
    </row>
    <row r="274" spans="1:33" x14ac:dyDescent="0.2">
      <c r="A274">
        <v>273</v>
      </c>
      <c r="B274" t="s">
        <v>170</v>
      </c>
      <c r="C274" t="s">
        <v>108</v>
      </c>
      <c r="D274">
        <v>34</v>
      </c>
      <c r="E274" t="s">
        <v>34</v>
      </c>
      <c r="F274" t="s">
        <v>41</v>
      </c>
      <c r="G274" t="s">
        <v>42</v>
      </c>
      <c r="H274">
        <v>22164</v>
      </c>
      <c r="I274">
        <v>1</v>
      </c>
      <c r="J274">
        <v>1</v>
      </c>
      <c r="K274">
        <v>1</v>
      </c>
      <c r="L274">
        <v>0</v>
      </c>
      <c r="M274" t="s">
        <v>43</v>
      </c>
      <c r="N274" t="s">
        <v>82</v>
      </c>
      <c r="O274" t="s">
        <v>45</v>
      </c>
      <c r="P274" t="s">
        <v>37</v>
      </c>
      <c r="Q274" t="s">
        <v>46</v>
      </c>
      <c r="R274" t="s">
        <v>65</v>
      </c>
      <c r="S274" t="s">
        <v>48</v>
      </c>
      <c r="T274">
        <v>0</v>
      </c>
      <c r="U274">
        <v>1</v>
      </c>
      <c r="V274">
        <v>1</v>
      </c>
      <c r="W274">
        <v>0</v>
      </c>
      <c r="X274">
        <v>1</v>
      </c>
      <c r="Y274">
        <v>0</v>
      </c>
      <c r="Z274">
        <v>1</v>
      </c>
      <c r="AA274">
        <v>0</v>
      </c>
      <c r="AB274">
        <v>1</v>
      </c>
      <c r="AC274">
        <v>1</v>
      </c>
      <c r="AD274">
        <v>0</v>
      </c>
      <c r="AE274">
        <v>1</v>
      </c>
      <c r="AF274">
        <v>0</v>
      </c>
      <c r="AG274">
        <v>0</v>
      </c>
    </row>
    <row r="275" spans="1:33" hidden="1" x14ac:dyDescent="0.2">
      <c r="A275">
        <v>274</v>
      </c>
      <c r="B275" t="s">
        <v>170</v>
      </c>
      <c r="C275" t="s">
        <v>108</v>
      </c>
      <c r="D275">
        <v>34</v>
      </c>
      <c r="E275" t="s">
        <v>34</v>
      </c>
      <c r="F275" t="s">
        <v>53</v>
      </c>
      <c r="G275" t="s">
        <v>54</v>
      </c>
      <c r="H275">
        <v>52583</v>
      </c>
      <c r="I275">
        <v>0</v>
      </c>
      <c r="J275">
        <v>1</v>
      </c>
      <c r="K275">
        <v>0</v>
      </c>
      <c r="L275">
        <v>0</v>
      </c>
      <c r="M275" t="s">
        <v>36</v>
      </c>
      <c r="N275" t="s">
        <v>36</v>
      </c>
      <c r="O275" t="s">
        <v>36</v>
      </c>
      <c r="P275" t="s">
        <v>37</v>
      </c>
      <c r="Q275" t="s">
        <v>36</v>
      </c>
      <c r="R275" t="s">
        <v>36</v>
      </c>
      <c r="S275" t="s">
        <v>36</v>
      </c>
      <c r="T275" t="s">
        <v>36</v>
      </c>
      <c r="U275">
        <v>1</v>
      </c>
      <c r="V275">
        <v>1</v>
      </c>
      <c r="W275">
        <v>0</v>
      </c>
      <c r="X275">
        <v>1</v>
      </c>
      <c r="Y275">
        <v>0</v>
      </c>
      <c r="Z275">
        <v>1</v>
      </c>
      <c r="AA275">
        <v>0</v>
      </c>
      <c r="AB275">
        <v>1</v>
      </c>
      <c r="AC275">
        <v>1</v>
      </c>
      <c r="AD275">
        <v>0</v>
      </c>
      <c r="AE275">
        <v>1</v>
      </c>
      <c r="AF275">
        <v>0</v>
      </c>
      <c r="AG275">
        <v>0</v>
      </c>
    </row>
    <row r="276" spans="1:33" x14ac:dyDescent="0.2">
      <c r="A276">
        <v>275</v>
      </c>
      <c r="B276" t="s">
        <v>170</v>
      </c>
      <c r="C276" t="s">
        <v>108</v>
      </c>
      <c r="D276">
        <v>34</v>
      </c>
      <c r="E276" t="s">
        <v>34</v>
      </c>
      <c r="F276" t="s">
        <v>41</v>
      </c>
      <c r="G276" t="s">
        <v>55</v>
      </c>
      <c r="H276">
        <v>22373</v>
      </c>
      <c r="I276">
        <v>1</v>
      </c>
      <c r="J276">
        <v>1</v>
      </c>
      <c r="K276">
        <v>1</v>
      </c>
      <c r="L276">
        <v>0</v>
      </c>
      <c r="M276" t="s">
        <v>57</v>
      </c>
      <c r="N276" t="s">
        <v>85</v>
      </c>
      <c r="O276" t="s">
        <v>56</v>
      </c>
      <c r="P276" t="s">
        <v>37</v>
      </c>
      <c r="Q276" t="s">
        <v>48</v>
      </c>
      <c r="R276" t="s">
        <v>65</v>
      </c>
      <c r="S276" t="s">
        <v>59</v>
      </c>
      <c r="T276">
        <v>0</v>
      </c>
      <c r="U276">
        <v>1</v>
      </c>
      <c r="V276">
        <v>1</v>
      </c>
      <c r="W276">
        <v>0</v>
      </c>
      <c r="X276">
        <v>0</v>
      </c>
      <c r="Y276">
        <v>0</v>
      </c>
      <c r="Z276">
        <v>1</v>
      </c>
      <c r="AA276">
        <v>0</v>
      </c>
      <c r="AB276">
        <v>1</v>
      </c>
      <c r="AC276">
        <v>1</v>
      </c>
      <c r="AD276">
        <v>0</v>
      </c>
      <c r="AE276">
        <v>0</v>
      </c>
      <c r="AF276">
        <v>0</v>
      </c>
      <c r="AG276">
        <v>0</v>
      </c>
    </row>
    <row r="277" spans="1:33" hidden="1" x14ac:dyDescent="0.2">
      <c r="A277">
        <v>276</v>
      </c>
      <c r="B277" t="s">
        <v>170</v>
      </c>
      <c r="C277" t="s">
        <v>108</v>
      </c>
      <c r="D277">
        <v>34</v>
      </c>
      <c r="E277" t="s">
        <v>34</v>
      </c>
      <c r="F277" t="s">
        <v>53</v>
      </c>
      <c r="G277" t="s">
        <v>76</v>
      </c>
      <c r="H277">
        <v>45178</v>
      </c>
      <c r="I277">
        <v>1</v>
      </c>
      <c r="J277">
        <v>1</v>
      </c>
      <c r="K277">
        <v>0</v>
      </c>
      <c r="L277">
        <v>0</v>
      </c>
      <c r="M277" t="s">
        <v>36</v>
      </c>
      <c r="N277" t="s">
        <v>36</v>
      </c>
      <c r="O277" t="s">
        <v>36</v>
      </c>
      <c r="P277" t="s">
        <v>37</v>
      </c>
      <c r="Q277" t="s">
        <v>36</v>
      </c>
      <c r="R277" t="s">
        <v>36</v>
      </c>
      <c r="S277" t="s">
        <v>36</v>
      </c>
      <c r="T277" t="s">
        <v>36</v>
      </c>
      <c r="U277">
        <v>1</v>
      </c>
      <c r="V277">
        <v>1</v>
      </c>
      <c r="W277">
        <v>0</v>
      </c>
      <c r="X277">
        <v>0</v>
      </c>
      <c r="Y277">
        <v>0</v>
      </c>
      <c r="Z277">
        <v>1</v>
      </c>
      <c r="AA277">
        <v>0</v>
      </c>
      <c r="AB277">
        <v>1</v>
      </c>
      <c r="AC277">
        <v>1</v>
      </c>
      <c r="AD277">
        <v>0</v>
      </c>
      <c r="AE277">
        <v>0</v>
      </c>
      <c r="AF277">
        <v>0</v>
      </c>
      <c r="AG277">
        <v>0</v>
      </c>
    </row>
    <row r="278" spans="1:33" x14ac:dyDescent="0.2">
      <c r="A278">
        <v>277</v>
      </c>
      <c r="B278" t="s">
        <v>170</v>
      </c>
      <c r="C278" t="s">
        <v>108</v>
      </c>
      <c r="D278">
        <v>34</v>
      </c>
      <c r="E278" t="s">
        <v>34</v>
      </c>
      <c r="F278" t="s">
        <v>41</v>
      </c>
      <c r="G278" t="s">
        <v>72</v>
      </c>
      <c r="H278">
        <v>25789</v>
      </c>
      <c r="I278">
        <v>0</v>
      </c>
      <c r="J278">
        <v>0</v>
      </c>
      <c r="K278">
        <v>0</v>
      </c>
      <c r="L278">
        <v>1</v>
      </c>
      <c r="M278" t="s">
        <v>73</v>
      </c>
      <c r="N278" t="s">
        <v>74</v>
      </c>
      <c r="O278" t="s">
        <v>75</v>
      </c>
      <c r="P278" t="s">
        <v>37</v>
      </c>
      <c r="Q278" t="s">
        <v>48</v>
      </c>
      <c r="R278" t="s">
        <v>47</v>
      </c>
      <c r="S278" t="s">
        <v>46</v>
      </c>
      <c r="T278">
        <v>0</v>
      </c>
      <c r="U278">
        <v>0</v>
      </c>
      <c r="V278">
        <v>1</v>
      </c>
      <c r="W278">
        <v>1</v>
      </c>
      <c r="X278">
        <v>1</v>
      </c>
      <c r="Y278">
        <v>0</v>
      </c>
      <c r="Z278">
        <v>1</v>
      </c>
      <c r="AA278">
        <v>0</v>
      </c>
      <c r="AB278">
        <v>0</v>
      </c>
      <c r="AC278">
        <v>0</v>
      </c>
      <c r="AD278">
        <v>0</v>
      </c>
      <c r="AE278">
        <v>0</v>
      </c>
      <c r="AF278">
        <v>0</v>
      </c>
      <c r="AG278">
        <v>1</v>
      </c>
    </row>
    <row r="279" spans="1:33" x14ac:dyDescent="0.2">
      <c r="A279">
        <v>278</v>
      </c>
      <c r="B279" t="s">
        <v>170</v>
      </c>
      <c r="C279" t="s">
        <v>108</v>
      </c>
      <c r="D279">
        <v>34</v>
      </c>
      <c r="E279" t="s">
        <v>34</v>
      </c>
      <c r="F279" t="s">
        <v>41</v>
      </c>
      <c r="G279" t="s">
        <v>61</v>
      </c>
      <c r="H279">
        <v>12572</v>
      </c>
      <c r="I279">
        <v>1</v>
      </c>
      <c r="J279">
        <v>1</v>
      </c>
      <c r="K279">
        <v>1</v>
      </c>
      <c r="L279">
        <v>0</v>
      </c>
      <c r="M279" t="s">
        <v>64</v>
      </c>
      <c r="N279" t="s">
        <v>125</v>
      </c>
      <c r="O279" t="s">
        <v>63</v>
      </c>
      <c r="P279" t="s">
        <v>37</v>
      </c>
      <c r="Q279" t="s">
        <v>48</v>
      </c>
      <c r="R279" t="s">
        <v>60</v>
      </c>
      <c r="S279" t="s">
        <v>46</v>
      </c>
      <c r="T279">
        <v>1</v>
      </c>
      <c r="U279">
        <v>0</v>
      </c>
      <c r="V279">
        <v>1</v>
      </c>
      <c r="W279">
        <v>0</v>
      </c>
      <c r="X279">
        <v>1</v>
      </c>
      <c r="Y279">
        <v>0</v>
      </c>
      <c r="Z279">
        <v>1</v>
      </c>
      <c r="AA279">
        <v>1</v>
      </c>
      <c r="AB279">
        <v>0</v>
      </c>
      <c r="AC279">
        <v>1</v>
      </c>
      <c r="AD279">
        <v>0</v>
      </c>
      <c r="AE279">
        <v>1</v>
      </c>
      <c r="AF279">
        <v>0</v>
      </c>
      <c r="AG279">
        <v>0</v>
      </c>
    </row>
    <row r="280" spans="1:33" hidden="1" x14ac:dyDescent="0.2">
      <c r="A280">
        <v>279</v>
      </c>
      <c r="B280" t="s">
        <v>170</v>
      </c>
      <c r="C280" t="s">
        <v>108</v>
      </c>
      <c r="D280">
        <v>34</v>
      </c>
      <c r="E280" t="s">
        <v>34</v>
      </c>
      <c r="F280" t="s">
        <v>53</v>
      </c>
      <c r="G280" t="s">
        <v>71</v>
      </c>
      <c r="H280">
        <v>53935</v>
      </c>
      <c r="I280">
        <v>0</v>
      </c>
      <c r="J280">
        <v>0</v>
      </c>
      <c r="K280">
        <v>0</v>
      </c>
      <c r="L280">
        <v>1</v>
      </c>
      <c r="M280" t="s">
        <v>36</v>
      </c>
      <c r="N280" t="s">
        <v>36</v>
      </c>
      <c r="O280" t="s">
        <v>36</v>
      </c>
      <c r="P280" t="s">
        <v>37</v>
      </c>
      <c r="Q280" t="s">
        <v>36</v>
      </c>
      <c r="R280" t="s">
        <v>36</v>
      </c>
      <c r="S280" t="s">
        <v>36</v>
      </c>
      <c r="T280" t="s">
        <v>36</v>
      </c>
      <c r="U280">
        <v>0</v>
      </c>
      <c r="V280">
        <v>1</v>
      </c>
      <c r="W280">
        <v>0</v>
      </c>
      <c r="X280">
        <v>1</v>
      </c>
      <c r="Y280">
        <v>0</v>
      </c>
      <c r="Z280">
        <v>1</v>
      </c>
      <c r="AA280">
        <v>1</v>
      </c>
      <c r="AB280">
        <v>0</v>
      </c>
      <c r="AC280">
        <v>1</v>
      </c>
      <c r="AD280">
        <v>0</v>
      </c>
      <c r="AE280">
        <v>1</v>
      </c>
      <c r="AF280">
        <v>0</v>
      </c>
      <c r="AG280">
        <v>0</v>
      </c>
    </row>
    <row r="281" spans="1:33" hidden="1" x14ac:dyDescent="0.2">
      <c r="A281">
        <v>280</v>
      </c>
      <c r="B281" t="s">
        <v>170</v>
      </c>
      <c r="C281" t="s">
        <v>108</v>
      </c>
      <c r="D281">
        <v>34</v>
      </c>
      <c r="E281" t="s">
        <v>34</v>
      </c>
      <c r="F281" t="s">
        <v>77</v>
      </c>
      <c r="G281" t="s">
        <v>36</v>
      </c>
      <c r="H281">
        <v>63913</v>
      </c>
      <c r="I281" t="s">
        <v>171</v>
      </c>
      <c r="J281" t="s">
        <v>172</v>
      </c>
      <c r="K281" t="s">
        <v>162</v>
      </c>
      <c r="L281" t="s">
        <v>36</v>
      </c>
      <c r="M281" t="s">
        <v>36</v>
      </c>
      <c r="N281" t="s">
        <v>36</v>
      </c>
      <c r="O281" t="s">
        <v>36</v>
      </c>
      <c r="P281" t="s">
        <v>37</v>
      </c>
      <c r="Q281" t="s">
        <v>36</v>
      </c>
      <c r="R281" t="s">
        <v>36</v>
      </c>
      <c r="S281" t="s">
        <v>36</v>
      </c>
      <c r="T281" t="s">
        <v>36</v>
      </c>
      <c r="U281" t="s">
        <v>36</v>
      </c>
      <c r="V281" t="s">
        <v>36</v>
      </c>
      <c r="W281" t="s">
        <v>36</v>
      </c>
      <c r="X281" t="s">
        <v>36</v>
      </c>
      <c r="Y281" t="s">
        <v>36</v>
      </c>
      <c r="Z281" t="s">
        <v>36</v>
      </c>
      <c r="AA281" t="s">
        <v>36</v>
      </c>
      <c r="AB281" t="s">
        <v>36</v>
      </c>
      <c r="AC281" t="s">
        <v>36</v>
      </c>
      <c r="AD281" t="s">
        <v>36</v>
      </c>
      <c r="AE281" t="s">
        <v>36</v>
      </c>
      <c r="AF281" t="s">
        <v>36</v>
      </c>
      <c r="AG281" t="s">
        <v>36</v>
      </c>
    </row>
    <row r="282" spans="1:33" hidden="1" x14ac:dyDescent="0.2">
      <c r="A282">
        <v>281</v>
      </c>
      <c r="B282" t="s">
        <v>173</v>
      </c>
      <c r="C282" t="s">
        <v>174</v>
      </c>
      <c r="D282">
        <v>40</v>
      </c>
      <c r="E282" t="s">
        <v>114</v>
      </c>
      <c r="F282" t="s">
        <v>35</v>
      </c>
      <c r="G282" t="s">
        <v>36</v>
      </c>
      <c r="H282">
        <v>25736</v>
      </c>
      <c r="I282" t="s">
        <v>36</v>
      </c>
      <c r="J282" t="s">
        <v>36</v>
      </c>
      <c r="K282" t="s">
        <v>36</v>
      </c>
      <c r="L282" t="s">
        <v>36</v>
      </c>
      <c r="M282" t="s">
        <v>36</v>
      </c>
      <c r="N282" t="s">
        <v>36</v>
      </c>
      <c r="O282" t="s">
        <v>36</v>
      </c>
      <c r="P282" t="s">
        <v>37</v>
      </c>
      <c r="Q282" t="s">
        <v>36</v>
      </c>
      <c r="R282" t="s">
        <v>36</v>
      </c>
      <c r="S282" t="s">
        <v>36</v>
      </c>
      <c r="T282" t="s">
        <v>36</v>
      </c>
      <c r="U282" t="s">
        <v>36</v>
      </c>
      <c r="V282" t="s">
        <v>36</v>
      </c>
      <c r="W282" t="s">
        <v>36</v>
      </c>
      <c r="X282" t="s">
        <v>36</v>
      </c>
      <c r="Y282" t="s">
        <v>36</v>
      </c>
      <c r="Z282" t="s">
        <v>36</v>
      </c>
      <c r="AA282" t="s">
        <v>36</v>
      </c>
      <c r="AB282" t="s">
        <v>36</v>
      </c>
      <c r="AC282" t="s">
        <v>36</v>
      </c>
      <c r="AD282" t="s">
        <v>36</v>
      </c>
      <c r="AE282" t="s">
        <v>36</v>
      </c>
      <c r="AF282" t="s">
        <v>36</v>
      </c>
      <c r="AG282" t="s">
        <v>36</v>
      </c>
    </row>
    <row r="283" spans="1:33" hidden="1" x14ac:dyDescent="0.2">
      <c r="A283">
        <v>282</v>
      </c>
      <c r="B283" t="s">
        <v>173</v>
      </c>
      <c r="C283" t="s">
        <v>174</v>
      </c>
      <c r="D283">
        <v>40</v>
      </c>
      <c r="E283" t="s">
        <v>114</v>
      </c>
      <c r="F283" t="s">
        <v>38</v>
      </c>
      <c r="G283" t="s">
        <v>39</v>
      </c>
      <c r="H283">
        <v>36466</v>
      </c>
      <c r="I283">
        <v>0</v>
      </c>
      <c r="J283">
        <v>0</v>
      </c>
      <c r="K283">
        <v>0</v>
      </c>
      <c r="L283">
        <v>1</v>
      </c>
      <c r="M283" t="s">
        <v>36</v>
      </c>
      <c r="N283" t="s">
        <v>36</v>
      </c>
      <c r="O283" t="s">
        <v>36</v>
      </c>
      <c r="P283" t="s">
        <v>37</v>
      </c>
      <c r="Q283" t="s">
        <v>36</v>
      </c>
      <c r="R283" t="s">
        <v>36</v>
      </c>
      <c r="S283" t="s">
        <v>36</v>
      </c>
      <c r="T283" t="s">
        <v>36</v>
      </c>
      <c r="U283" t="s">
        <v>36</v>
      </c>
      <c r="V283" t="s">
        <v>36</v>
      </c>
      <c r="W283" t="s">
        <v>36</v>
      </c>
      <c r="X283" t="s">
        <v>36</v>
      </c>
      <c r="Y283" t="s">
        <v>36</v>
      </c>
      <c r="Z283" t="s">
        <v>36</v>
      </c>
      <c r="AA283" t="s">
        <v>36</v>
      </c>
      <c r="AB283" t="s">
        <v>36</v>
      </c>
      <c r="AC283" t="s">
        <v>36</v>
      </c>
      <c r="AD283" t="s">
        <v>36</v>
      </c>
      <c r="AE283" t="s">
        <v>36</v>
      </c>
      <c r="AF283" t="s">
        <v>36</v>
      </c>
      <c r="AG283" t="s">
        <v>36</v>
      </c>
    </row>
    <row r="284" spans="1:33" hidden="1" x14ac:dyDescent="0.2">
      <c r="A284">
        <v>283</v>
      </c>
      <c r="B284" t="s">
        <v>173</v>
      </c>
      <c r="C284" t="s">
        <v>174</v>
      </c>
      <c r="D284">
        <v>40</v>
      </c>
      <c r="E284" t="s">
        <v>114</v>
      </c>
      <c r="F284" t="s">
        <v>38</v>
      </c>
      <c r="G284" t="s">
        <v>40</v>
      </c>
      <c r="H284">
        <v>44230</v>
      </c>
      <c r="I284">
        <v>0</v>
      </c>
      <c r="J284">
        <v>0</v>
      </c>
      <c r="K284">
        <v>1</v>
      </c>
      <c r="L284">
        <v>0</v>
      </c>
      <c r="M284" t="s">
        <v>36</v>
      </c>
      <c r="N284" t="s">
        <v>36</v>
      </c>
      <c r="O284" t="s">
        <v>36</v>
      </c>
      <c r="P284" t="s">
        <v>37</v>
      </c>
      <c r="Q284" t="s">
        <v>36</v>
      </c>
      <c r="R284" t="s">
        <v>36</v>
      </c>
      <c r="S284" t="s">
        <v>36</v>
      </c>
      <c r="T284" t="s">
        <v>36</v>
      </c>
      <c r="U284" t="s">
        <v>36</v>
      </c>
      <c r="V284" t="s">
        <v>36</v>
      </c>
      <c r="W284" t="s">
        <v>36</v>
      </c>
      <c r="X284" t="s">
        <v>36</v>
      </c>
      <c r="Y284" t="s">
        <v>36</v>
      </c>
      <c r="Z284" t="s">
        <v>36</v>
      </c>
      <c r="AA284" t="s">
        <v>36</v>
      </c>
      <c r="AB284" t="s">
        <v>36</v>
      </c>
      <c r="AC284" t="s">
        <v>36</v>
      </c>
      <c r="AD284" t="s">
        <v>36</v>
      </c>
      <c r="AE284" t="s">
        <v>36</v>
      </c>
      <c r="AF284" t="s">
        <v>36</v>
      </c>
      <c r="AG284" t="s">
        <v>36</v>
      </c>
    </row>
    <row r="285" spans="1:33" x14ac:dyDescent="0.2">
      <c r="A285">
        <v>284</v>
      </c>
      <c r="B285" t="s">
        <v>173</v>
      </c>
      <c r="C285" t="s">
        <v>174</v>
      </c>
      <c r="D285">
        <v>40</v>
      </c>
      <c r="E285" t="s">
        <v>114</v>
      </c>
      <c r="F285" t="s">
        <v>41</v>
      </c>
      <c r="G285" t="s">
        <v>42</v>
      </c>
      <c r="H285">
        <v>55172</v>
      </c>
      <c r="I285">
        <v>0</v>
      </c>
      <c r="J285">
        <v>0</v>
      </c>
      <c r="K285">
        <v>0</v>
      </c>
      <c r="L285">
        <v>1</v>
      </c>
      <c r="M285" t="s">
        <v>44</v>
      </c>
      <c r="N285" t="s">
        <v>43</v>
      </c>
      <c r="O285" t="s">
        <v>102</v>
      </c>
      <c r="P285" t="s">
        <v>37</v>
      </c>
      <c r="Q285" t="s">
        <v>47</v>
      </c>
      <c r="R285" t="s">
        <v>46</v>
      </c>
      <c r="S285" t="s">
        <v>59</v>
      </c>
      <c r="T285">
        <v>0</v>
      </c>
      <c r="U285">
        <v>0</v>
      </c>
      <c r="V285">
        <v>0</v>
      </c>
      <c r="W285">
        <v>1</v>
      </c>
      <c r="X285">
        <v>1</v>
      </c>
      <c r="Y285">
        <v>0</v>
      </c>
      <c r="Z285">
        <v>1</v>
      </c>
      <c r="AA285">
        <v>0</v>
      </c>
      <c r="AB285">
        <v>0</v>
      </c>
      <c r="AC285">
        <v>0</v>
      </c>
      <c r="AD285">
        <v>0</v>
      </c>
      <c r="AE285">
        <v>0</v>
      </c>
      <c r="AF285">
        <v>0</v>
      </c>
      <c r="AG285">
        <v>1</v>
      </c>
    </row>
    <row r="286" spans="1:33" hidden="1" x14ac:dyDescent="0.2">
      <c r="A286">
        <v>285</v>
      </c>
      <c r="B286" t="s">
        <v>173</v>
      </c>
      <c r="C286" t="s">
        <v>174</v>
      </c>
      <c r="D286">
        <v>40</v>
      </c>
      <c r="E286" t="s">
        <v>114</v>
      </c>
      <c r="F286" t="s">
        <v>53</v>
      </c>
      <c r="G286" t="s">
        <v>66</v>
      </c>
      <c r="H286">
        <v>26158</v>
      </c>
      <c r="I286">
        <v>1</v>
      </c>
      <c r="J286">
        <v>1</v>
      </c>
      <c r="K286">
        <v>0</v>
      </c>
      <c r="L286">
        <v>0</v>
      </c>
      <c r="M286" t="s">
        <v>36</v>
      </c>
      <c r="N286" t="s">
        <v>36</v>
      </c>
      <c r="O286" t="s">
        <v>36</v>
      </c>
      <c r="P286" t="s">
        <v>37</v>
      </c>
      <c r="Q286" t="s">
        <v>36</v>
      </c>
      <c r="R286" t="s">
        <v>36</v>
      </c>
      <c r="S286" t="s">
        <v>36</v>
      </c>
      <c r="T286" t="s">
        <v>36</v>
      </c>
      <c r="U286">
        <v>0</v>
      </c>
      <c r="V286">
        <v>0</v>
      </c>
      <c r="W286">
        <v>1</v>
      </c>
      <c r="X286">
        <v>1</v>
      </c>
      <c r="Y286">
        <v>0</v>
      </c>
      <c r="Z286">
        <v>1</v>
      </c>
      <c r="AA286">
        <v>0</v>
      </c>
      <c r="AB286">
        <v>0</v>
      </c>
      <c r="AC286">
        <v>0</v>
      </c>
      <c r="AD286">
        <v>0</v>
      </c>
      <c r="AE286">
        <v>0</v>
      </c>
      <c r="AF286">
        <v>0</v>
      </c>
      <c r="AG286">
        <v>1</v>
      </c>
    </row>
    <row r="287" spans="1:33" x14ac:dyDescent="0.2">
      <c r="A287">
        <v>286</v>
      </c>
      <c r="B287" t="s">
        <v>173</v>
      </c>
      <c r="C287" t="s">
        <v>174</v>
      </c>
      <c r="D287">
        <v>40</v>
      </c>
      <c r="E287" t="s">
        <v>114</v>
      </c>
      <c r="F287" t="s">
        <v>41</v>
      </c>
      <c r="G287" t="s">
        <v>67</v>
      </c>
      <c r="H287">
        <v>38057</v>
      </c>
      <c r="I287">
        <v>0</v>
      </c>
      <c r="J287">
        <v>0</v>
      </c>
      <c r="K287">
        <v>0</v>
      </c>
      <c r="L287">
        <v>1</v>
      </c>
      <c r="M287" t="s">
        <v>68</v>
      </c>
      <c r="N287" t="s">
        <v>86</v>
      </c>
      <c r="O287" t="s">
        <v>103</v>
      </c>
      <c r="P287" t="s">
        <v>37</v>
      </c>
      <c r="Q287" t="s">
        <v>65</v>
      </c>
      <c r="R287" t="s">
        <v>46</v>
      </c>
      <c r="S287" t="s">
        <v>60</v>
      </c>
      <c r="T287">
        <v>1</v>
      </c>
      <c r="U287">
        <v>1</v>
      </c>
      <c r="V287">
        <v>0</v>
      </c>
      <c r="W287">
        <v>0</v>
      </c>
      <c r="X287">
        <v>1</v>
      </c>
      <c r="Y287">
        <v>0</v>
      </c>
      <c r="Z287">
        <v>1</v>
      </c>
      <c r="AA287">
        <v>0</v>
      </c>
      <c r="AB287">
        <v>0</v>
      </c>
      <c r="AC287">
        <v>0</v>
      </c>
      <c r="AD287">
        <v>0</v>
      </c>
      <c r="AE287">
        <v>0</v>
      </c>
      <c r="AF287">
        <v>0</v>
      </c>
      <c r="AG287">
        <v>1</v>
      </c>
    </row>
    <row r="288" spans="1:33" x14ac:dyDescent="0.2">
      <c r="A288">
        <v>287</v>
      </c>
      <c r="B288" t="s">
        <v>173</v>
      </c>
      <c r="C288" t="s">
        <v>174</v>
      </c>
      <c r="D288">
        <v>40</v>
      </c>
      <c r="E288" t="s">
        <v>114</v>
      </c>
      <c r="F288" t="s">
        <v>41</v>
      </c>
      <c r="G288" t="s">
        <v>49</v>
      </c>
      <c r="H288">
        <v>17769</v>
      </c>
      <c r="I288">
        <v>0</v>
      </c>
      <c r="J288">
        <v>0</v>
      </c>
      <c r="K288">
        <v>0</v>
      </c>
      <c r="L288">
        <v>1</v>
      </c>
      <c r="M288" t="s">
        <v>83</v>
      </c>
      <c r="N288" t="s">
        <v>52</v>
      </c>
      <c r="O288" t="s">
        <v>50</v>
      </c>
      <c r="P288" t="s">
        <v>37</v>
      </c>
      <c r="Q288" t="s">
        <v>59</v>
      </c>
      <c r="R288" t="s">
        <v>46</v>
      </c>
      <c r="S288" t="s">
        <v>48</v>
      </c>
      <c r="T288">
        <v>0</v>
      </c>
      <c r="U288">
        <v>0</v>
      </c>
      <c r="V288">
        <v>1</v>
      </c>
      <c r="W288">
        <v>0</v>
      </c>
      <c r="X288">
        <v>1</v>
      </c>
      <c r="Y288">
        <v>0</v>
      </c>
      <c r="Z288">
        <v>1</v>
      </c>
      <c r="AA288">
        <v>0</v>
      </c>
      <c r="AB288">
        <v>0</v>
      </c>
      <c r="AC288">
        <v>0</v>
      </c>
      <c r="AD288">
        <v>0</v>
      </c>
      <c r="AE288">
        <v>0</v>
      </c>
      <c r="AF288">
        <v>0</v>
      </c>
      <c r="AG288">
        <v>1</v>
      </c>
    </row>
    <row r="289" spans="1:33" hidden="1" x14ac:dyDescent="0.2">
      <c r="A289">
        <v>288</v>
      </c>
      <c r="B289" t="s">
        <v>173</v>
      </c>
      <c r="C289" t="s">
        <v>174</v>
      </c>
      <c r="D289">
        <v>40</v>
      </c>
      <c r="E289" t="s">
        <v>114</v>
      </c>
      <c r="F289" t="s">
        <v>53</v>
      </c>
      <c r="G289" t="s">
        <v>54</v>
      </c>
      <c r="H289">
        <v>25604</v>
      </c>
      <c r="I289">
        <v>0</v>
      </c>
      <c r="J289">
        <v>1</v>
      </c>
      <c r="K289">
        <v>1</v>
      </c>
      <c r="L289">
        <v>0</v>
      </c>
      <c r="M289" t="s">
        <v>36</v>
      </c>
      <c r="N289" t="s">
        <v>36</v>
      </c>
      <c r="O289" t="s">
        <v>36</v>
      </c>
      <c r="P289" t="s">
        <v>37</v>
      </c>
      <c r="Q289" t="s">
        <v>36</v>
      </c>
      <c r="R289" t="s">
        <v>36</v>
      </c>
      <c r="S289" t="s">
        <v>36</v>
      </c>
      <c r="T289" t="s">
        <v>36</v>
      </c>
      <c r="U289">
        <v>0</v>
      </c>
      <c r="V289">
        <v>1</v>
      </c>
      <c r="W289">
        <v>0</v>
      </c>
      <c r="X289">
        <v>1</v>
      </c>
      <c r="Y289">
        <v>0</v>
      </c>
      <c r="Z289">
        <v>1</v>
      </c>
      <c r="AA289">
        <v>0</v>
      </c>
      <c r="AB289">
        <v>0</v>
      </c>
      <c r="AC289">
        <v>0</v>
      </c>
      <c r="AD289">
        <v>0</v>
      </c>
      <c r="AE289">
        <v>0</v>
      </c>
      <c r="AF289">
        <v>0</v>
      </c>
      <c r="AG289">
        <v>1</v>
      </c>
    </row>
    <row r="290" spans="1:33" x14ac:dyDescent="0.2">
      <c r="A290">
        <v>289</v>
      </c>
      <c r="B290" t="s">
        <v>173</v>
      </c>
      <c r="C290" t="s">
        <v>174</v>
      </c>
      <c r="D290">
        <v>40</v>
      </c>
      <c r="E290" t="s">
        <v>114</v>
      </c>
      <c r="F290" t="s">
        <v>41</v>
      </c>
      <c r="G290" t="s">
        <v>61</v>
      </c>
      <c r="H290">
        <v>16965</v>
      </c>
      <c r="I290">
        <v>0</v>
      </c>
      <c r="J290">
        <v>0</v>
      </c>
      <c r="K290">
        <v>1</v>
      </c>
      <c r="L290">
        <v>0</v>
      </c>
      <c r="M290" t="s">
        <v>63</v>
      </c>
      <c r="N290" t="s">
        <v>64</v>
      </c>
      <c r="O290" t="s">
        <v>62</v>
      </c>
      <c r="P290" t="s">
        <v>37</v>
      </c>
      <c r="Q290" t="s">
        <v>46</v>
      </c>
      <c r="R290" t="s">
        <v>48</v>
      </c>
      <c r="S290" t="s">
        <v>65</v>
      </c>
      <c r="T290">
        <v>0</v>
      </c>
      <c r="U290">
        <v>1</v>
      </c>
      <c r="V290">
        <v>1</v>
      </c>
      <c r="W290">
        <v>0</v>
      </c>
      <c r="X290">
        <v>1</v>
      </c>
      <c r="Y290">
        <v>0</v>
      </c>
      <c r="Z290">
        <v>1</v>
      </c>
      <c r="AA290">
        <v>0</v>
      </c>
      <c r="AB290">
        <v>1</v>
      </c>
      <c r="AC290">
        <v>0</v>
      </c>
      <c r="AD290">
        <v>0</v>
      </c>
      <c r="AE290">
        <v>0</v>
      </c>
      <c r="AF290">
        <v>0</v>
      </c>
      <c r="AG290">
        <v>0</v>
      </c>
    </row>
    <row r="291" spans="1:33" hidden="1" x14ac:dyDescent="0.2">
      <c r="A291">
        <v>290</v>
      </c>
      <c r="B291" t="s">
        <v>173</v>
      </c>
      <c r="C291" t="s">
        <v>174</v>
      </c>
      <c r="D291">
        <v>40</v>
      </c>
      <c r="E291" t="s">
        <v>114</v>
      </c>
      <c r="F291" t="s">
        <v>53</v>
      </c>
      <c r="G291" t="s">
        <v>71</v>
      </c>
      <c r="H291">
        <v>29612</v>
      </c>
      <c r="I291">
        <v>0</v>
      </c>
      <c r="J291">
        <v>1</v>
      </c>
      <c r="K291">
        <v>1</v>
      </c>
      <c r="L291">
        <v>0</v>
      </c>
      <c r="M291" t="s">
        <v>36</v>
      </c>
      <c r="N291" t="s">
        <v>36</v>
      </c>
      <c r="O291" t="s">
        <v>36</v>
      </c>
      <c r="P291" t="s">
        <v>37</v>
      </c>
      <c r="Q291" t="s">
        <v>36</v>
      </c>
      <c r="R291" t="s">
        <v>36</v>
      </c>
      <c r="S291" t="s">
        <v>36</v>
      </c>
      <c r="T291" t="s">
        <v>36</v>
      </c>
      <c r="U291">
        <v>1</v>
      </c>
      <c r="V291">
        <v>1</v>
      </c>
      <c r="W291">
        <v>0</v>
      </c>
      <c r="X291">
        <v>1</v>
      </c>
      <c r="Y291">
        <v>0</v>
      </c>
      <c r="Z291">
        <v>1</v>
      </c>
      <c r="AA291">
        <v>0</v>
      </c>
      <c r="AB291">
        <v>1</v>
      </c>
      <c r="AC291">
        <v>0</v>
      </c>
      <c r="AD291">
        <v>0</v>
      </c>
      <c r="AE291">
        <v>0</v>
      </c>
      <c r="AF291">
        <v>0</v>
      </c>
      <c r="AG291">
        <v>0</v>
      </c>
    </row>
    <row r="292" spans="1:33" x14ac:dyDescent="0.2">
      <c r="A292">
        <v>291</v>
      </c>
      <c r="B292" t="s">
        <v>173</v>
      </c>
      <c r="C292" t="s">
        <v>174</v>
      </c>
      <c r="D292">
        <v>40</v>
      </c>
      <c r="E292" t="s">
        <v>114</v>
      </c>
      <c r="F292" t="s">
        <v>41</v>
      </c>
      <c r="G292" t="s">
        <v>72</v>
      </c>
      <c r="H292">
        <v>13613</v>
      </c>
      <c r="I292">
        <v>0</v>
      </c>
      <c r="J292">
        <v>0</v>
      </c>
      <c r="K292">
        <v>0</v>
      </c>
      <c r="L292">
        <v>1</v>
      </c>
      <c r="M292" t="s">
        <v>75</v>
      </c>
      <c r="N292" t="s">
        <v>93</v>
      </c>
      <c r="O292" t="s">
        <v>104</v>
      </c>
      <c r="P292" t="s">
        <v>37</v>
      </c>
      <c r="Q292" t="s">
        <v>46</v>
      </c>
      <c r="R292" t="s">
        <v>59</v>
      </c>
      <c r="S292" t="s">
        <v>60</v>
      </c>
      <c r="T292">
        <v>1</v>
      </c>
      <c r="U292">
        <v>0</v>
      </c>
      <c r="V292">
        <v>0</v>
      </c>
      <c r="W292">
        <v>0</v>
      </c>
      <c r="X292">
        <v>1</v>
      </c>
      <c r="Y292">
        <v>0</v>
      </c>
      <c r="Z292">
        <v>1</v>
      </c>
      <c r="AA292">
        <v>0</v>
      </c>
      <c r="AB292">
        <v>0</v>
      </c>
      <c r="AC292">
        <v>0</v>
      </c>
      <c r="AD292">
        <v>0</v>
      </c>
      <c r="AE292">
        <v>0</v>
      </c>
      <c r="AF292">
        <v>0</v>
      </c>
      <c r="AG292">
        <v>1</v>
      </c>
    </row>
    <row r="293" spans="1:33" x14ac:dyDescent="0.2">
      <c r="A293">
        <v>292</v>
      </c>
      <c r="B293" t="s">
        <v>173</v>
      </c>
      <c r="C293" t="s">
        <v>174</v>
      </c>
      <c r="D293">
        <v>40</v>
      </c>
      <c r="E293" t="s">
        <v>114</v>
      </c>
      <c r="F293" t="s">
        <v>41</v>
      </c>
      <c r="G293" t="s">
        <v>55</v>
      </c>
      <c r="H293">
        <v>21735</v>
      </c>
      <c r="I293">
        <v>0</v>
      </c>
      <c r="J293">
        <v>1</v>
      </c>
      <c r="K293">
        <v>0</v>
      </c>
      <c r="L293">
        <v>0</v>
      </c>
      <c r="M293" t="s">
        <v>84</v>
      </c>
      <c r="N293" t="s">
        <v>94</v>
      </c>
      <c r="O293" t="s">
        <v>57</v>
      </c>
      <c r="P293" t="s">
        <v>37</v>
      </c>
      <c r="Q293" t="s">
        <v>46</v>
      </c>
      <c r="R293" t="s">
        <v>47</v>
      </c>
      <c r="S293" t="s">
        <v>48</v>
      </c>
      <c r="T293">
        <v>0</v>
      </c>
      <c r="U293">
        <v>0</v>
      </c>
      <c r="V293">
        <v>1</v>
      </c>
      <c r="W293">
        <v>1</v>
      </c>
      <c r="X293">
        <v>1</v>
      </c>
      <c r="Y293">
        <v>0</v>
      </c>
      <c r="Z293">
        <v>1</v>
      </c>
      <c r="AA293">
        <v>0</v>
      </c>
      <c r="AB293">
        <v>0</v>
      </c>
      <c r="AC293">
        <v>0</v>
      </c>
      <c r="AD293">
        <v>1</v>
      </c>
      <c r="AE293">
        <v>0</v>
      </c>
      <c r="AF293">
        <v>0</v>
      </c>
      <c r="AG293">
        <v>0</v>
      </c>
    </row>
    <row r="294" spans="1:33" hidden="1" x14ac:dyDescent="0.2">
      <c r="A294">
        <v>293</v>
      </c>
      <c r="B294" t="s">
        <v>173</v>
      </c>
      <c r="C294" t="s">
        <v>174</v>
      </c>
      <c r="D294">
        <v>40</v>
      </c>
      <c r="E294" t="s">
        <v>114</v>
      </c>
      <c r="F294" t="s">
        <v>53</v>
      </c>
      <c r="G294" t="s">
        <v>76</v>
      </c>
      <c r="H294">
        <v>15388</v>
      </c>
      <c r="I294">
        <v>1</v>
      </c>
      <c r="J294">
        <v>0</v>
      </c>
      <c r="K294">
        <v>0</v>
      </c>
      <c r="L294">
        <v>0</v>
      </c>
      <c r="M294" t="s">
        <v>36</v>
      </c>
      <c r="N294" t="s">
        <v>36</v>
      </c>
      <c r="O294" t="s">
        <v>36</v>
      </c>
      <c r="P294" t="s">
        <v>37</v>
      </c>
      <c r="Q294" t="s">
        <v>36</v>
      </c>
      <c r="R294" t="s">
        <v>36</v>
      </c>
      <c r="S294" t="s">
        <v>36</v>
      </c>
      <c r="T294" t="s">
        <v>36</v>
      </c>
      <c r="U294">
        <v>0</v>
      </c>
      <c r="V294">
        <v>1</v>
      </c>
      <c r="W294">
        <v>1</v>
      </c>
      <c r="X294">
        <v>1</v>
      </c>
      <c r="Y294">
        <v>0</v>
      </c>
      <c r="Z294">
        <v>1</v>
      </c>
      <c r="AA294">
        <v>0</v>
      </c>
      <c r="AB294">
        <v>0</v>
      </c>
      <c r="AC294">
        <v>0</v>
      </c>
      <c r="AD294">
        <v>1</v>
      </c>
      <c r="AE294">
        <v>0</v>
      </c>
      <c r="AF294">
        <v>0</v>
      </c>
      <c r="AG294">
        <v>0</v>
      </c>
    </row>
    <row r="295" spans="1:33" hidden="1" x14ac:dyDescent="0.2">
      <c r="A295">
        <v>294</v>
      </c>
      <c r="B295" t="s">
        <v>173</v>
      </c>
      <c r="C295" t="s">
        <v>174</v>
      </c>
      <c r="D295">
        <v>40</v>
      </c>
      <c r="E295" t="s">
        <v>114</v>
      </c>
      <c r="F295" t="s">
        <v>77</v>
      </c>
      <c r="G295" t="s">
        <v>36</v>
      </c>
      <c r="H295">
        <v>37058</v>
      </c>
      <c r="I295" t="s">
        <v>175</v>
      </c>
      <c r="J295" t="s">
        <v>176</v>
      </c>
      <c r="K295" t="s">
        <v>177</v>
      </c>
      <c r="L295" t="s">
        <v>36</v>
      </c>
      <c r="M295" t="s">
        <v>36</v>
      </c>
      <c r="N295" t="s">
        <v>36</v>
      </c>
      <c r="O295" t="s">
        <v>36</v>
      </c>
      <c r="P295" t="s">
        <v>37</v>
      </c>
      <c r="Q295" t="s">
        <v>36</v>
      </c>
      <c r="R295" t="s">
        <v>36</v>
      </c>
      <c r="S295" t="s">
        <v>36</v>
      </c>
      <c r="T295" t="s">
        <v>36</v>
      </c>
      <c r="U295" t="s">
        <v>36</v>
      </c>
      <c r="V295" t="s">
        <v>36</v>
      </c>
      <c r="W295" t="s">
        <v>36</v>
      </c>
      <c r="X295" t="s">
        <v>36</v>
      </c>
      <c r="Y295" t="s">
        <v>36</v>
      </c>
      <c r="Z295" t="s">
        <v>36</v>
      </c>
      <c r="AA295" t="s">
        <v>36</v>
      </c>
      <c r="AB295" t="s">
        <v>36</v>
      </c>
      <c r="AC295" t="s">
        <v>36</v>
      </c>
      <c r="AD295" t="s">
        <v>36</v>
      </c>
      <c r="AE295" t="s">
        <v>36</v>
      </c>
      <c r="AF295" t="s">
        <v>36</v>
      </c>
      <c r="AG295" t="s">
        <v>36</v>
      </c>
    </row>
    <row r="296" spans="1:33" hidden="1" x14ac:dyDescent="0.2">
      <c r="A296">
        <v>295</v>
      </c>
      <c r="B296" t="s">
        <v>178</v>
      </c>
      <c r="C296" t="s">
        <v>108</v>
      </c>
      <c r="D296">
        <v>39</v>
      </c>
      <c r="E296" t="s">
        <v>114</v>
      </c>
      <c r="F296" t="s">
        <v>35</v>
      </c>
      <c r="G296" t="s">
        <v>36</v>
      </c>
      <c r="H296">
        <v>40955</v>
      </c>
      <c r="I296" t="s">
        <v>36</v>
      </c>
      <c r="J296" t="s">
        <v>36</v>
      </c>
      <c r="K296" t="s">
        <v>36</v>
      </c>
      <c r="L296" t="s">
        <v>36</v>
      </c>
      <c r="M296" t="s">
        <v>36</v>
      </c>
      <c r="N296" t="s">
        <v>36</v>
      </c>
      <c r="O296" t="s">
        <v>36</v>
      </c>
      <c r="P296" t="s">
        <v>37</v>
      </c>
      <c r="Q296" t="s">
        <v>36</v>
      </c>
      <c r="R296" t="s">
        <v>36</v>
      </c>
      <c r="S296" t="s">
        <v>36</v>
      </c>
      <c r="T296" t="s">
        <v>36</v>
      </c>
      <c r="U296" t="s">
        <v>36</v>
      </c>
      <c r="V296" t="s">
        <v>36</v>
      </c>
      <c r="W296" t="s">
        <v>36</v>
      </c>
      <c r="X296" t="s">
        <v>36</v>
      </c>
      <c r="Y296" t="s">
        <v>36</v>
      </c>
      <c r="Z296" t="s">
        <v>36</v>
      </c>
      <c r="AA296" t="s">
        <v>36</v>
      </c>
      <c r="AB296" t="s">
        <v>36</v>
      </c>
      <c r="AC296" t="s">
        <v>36</v>
      </c>
      <c r="AD296" t="s">
        <v>36</v>
      </c>
      <c r="AE296" t="s">
        <v>36</v>
      </c>
      <c r="AF296" t="s">
        <v>36</v>
      </c>
      <c r="AG296" t="s">
        <v>36</v>
      </c>
    </row>
    <row r="297" spans="1:33" hidden="1" x14ac:dyDescent="0.2">
      <c r="A297">
        <v>296</v>
      </c>
      <c r="B297" t="s">
        <v>178</v>
      </c>
      <c r="C297" t="s">
        <v>108</v>
      </c>
      <c r="D297">
        <v>39</v>
      </c>
      <c r="E297" t="s">
        <v>114</v>
      </c>
      <c r="F297" t="s">
        <v>38</v>
      </c>
      <c r="G297" t="s">
        <v>39</v>
      </c>
      <c r="H297">
        <v>33997</v>
      </c>
      <c r="I297">
        <v>0</v>
      </c>
      <c r="J297">
        <v>0</v>
      </c>
      <c r="K297">
        <v>0</v>
      </c>
      <c r="L297">
        <v>1</v>
      </c>
      <c r="M297" t="s">
        <v>36</v>
      </c>
      <c r="N297" t="s">
        <v>36</v>
      </c>
      <c r="O297" t="s">
        <v>36</v>
      </c>
      <c r="P297" t="s">
        <v>37</v>
      </c>
      <c r="Q297" t="s">
        <v>36</v>
      </c>
      <c r="R297" t="s">
        <v>36</v>
      </c>
      <c r="S297" t="s">
        <v>36</v>
      </c>
      <c r="T297" t="s">
        <v>36</v>
      </c>
      <c r="U297" t="s">
        <v>36</v>
      </c>
      <c r="V297" t="s">
        <v>36</v>
      </c>
      <c r="W297" t="s">
        <v>36</v>
      </c>
      <c r="X297" t="s">
        <v>36</v>
      </c>
      <c r="Y297" t="s">
        <v>36</v>
      </c>
      <c r="Z297" t="s">
        <v>36</v>
      </c>
      <c r="AA297" t="s">
        <v>36</v>
      </c>
      <c r="AB297" t="s">
        <v>36</v>
      </c>
      <c r="AC297" t="s">
        <v>36</v>
      </c>
      <c r="AD297" t="s">
        <v>36</v>
      </c>
      <c r="AE297" t="s">
        <v>36</v>
      </c>
      <c r="AF297" t="s">
        <v>36</v>
      </c>
      <c r="AG297" t="s">
        <v>36</v>
      </c>
    </row>
    <row r="298" spans="1:33" hidden="1" x14ac:dyDescent="0.2">
      <c r="A298">
        <v>297</v>
      </c>
      <c r="B298" t="s">
        <v>178</v>
      </c>
      <c r="C298" t="s">
        <v>108</v>
      </c>
      <c r="D298">
        <v>39</v>
      </c>
      <c r="E298" t="s">
        <v>114</v>
      </c>
      <c r="F298" t="s">
        <v>38</v>
      </c>
      <c r="G298" t="s">
        <v>40</v>
      </c>
      <c r="H298">
        <v>55849</v>
      </c>
      <c r="I298">
        <v>0</v>
      </c>
      <c r="J298">
        <v>0</v>
      </c>
      <c r="K298">
        <v>1</v>
      </c>
      <c r="L298">
        <v>0</v>
      </c>
      <c r="M298" t="s">
        <v>36</v>
      </c>
      <c r="N298" t="s">
        <v>36</v>
      </c>
      <c r="O298" t="s">
        <v>36</v>
      </c>
      <c r="P298" t="s">
        <v>37</v>
      </c>
      <c r="Q298" t="s">
        <v>36</v>
      </c>
      <c r="R298" t="s">
        <v>36</v>
      </c>
      <c r="S298" t="s">
        <v>36</v>
      </c>
      <c r="T298" t="s">
        <v>36</v>
      </c>
      <c r="U298" t="s">
        <v>36</v>
      </c>
      <c r="V298" t="s">
        <v>36</v>
      </c>
      <c r="W298" t="s">
        <v>36</v>
      </c>
      <c r="X298" t="s">
        <v>36</v>
      </c>
      <c r="Y298" t="s">
        <v>36</v>
      </c>
      <c r="Z298" t="s">
        <v>36</v>
      </c>
      <c r="AA298" t="s">
        <v>36</v>
      </c>
      <c r="AB298" t="s">
        <v>36</v>
      </c>
      <c r="AC298" t="s">
        <v>36</v>
      </c>
      <c r="AD298" t="s">
        <v>36</v>
      </c>
      <c r="AE298" t="s">
        <v>36</v>
      </c>
      <c r="AF298" t="s">
        <v>36</v>
      </c>
      <c r="AG298" t="s">
        <v>36</v>
      </c>
    </row>
    <row r="299" spans="1:33" x14ac:dyDescent="0.2">
      <c r="A299">
        <v>298</v>
      </c>
      <c r="B299" t="s">
        <v>178</v>
      </c>
      <c r="C299" t="s">
        <v>108</v>
      </c>
      <c r="D299">
        <v>39</v>
      </c>
      <c r="E299" t="s">
        <v>114</v>
      </c>
      <c r="F299" t="s">
        <v>41</v>
      </c>
      <c r="G299" t="s">
        <v>72</v>
      </c>
      <c r="H299">
        <v>92366</v>
      </c>
      <c r="I299">
        <v>0</v>
      </c>
      <c r="J299">
        <v>0</v>
      </c>
      <c r="K299">
        <v>0</v>
      </c>
      <c r="L299">
        <v>1</v>
      </c>
      <c r="M299" t="s">
        <v>73</v>
      </c>
      <c r="N299" t="s">
        <v>74</v>
      </c>
      <c r="O299" t="s">
        <v>75</v>
      </c>
      <c r="P299" t="s">
        <v>37</v>
      </c>
      <c r="Q299" t="s">
        <v>48</v>
      </c>
      <c r="R299" t="s">
        <v>47</v>
      </c>
      <c r="S299" t="s">
        <v>46</v>
      </c>
      <c r="T299">
        <v>0</v>
      </c>
      <c r="U299">
        <v>0</v>
      </c>
      <c r="V299">
        <v>1</v>
      </c>
      <c r="W299">
        <v>1</v>
      </c>
      <c r="X299">
        <v>1</v>
      </c>
      <c r="Y299">
        <v>0</v>
      </c>
      <c r="Z299">
        <v>1</v>
      </c>
      <c r="AA299">
        <v>0</v>
      </c>
      <c r="AB299">
        <v>0</v>
      </c>
      <c r="AC299">
        <v>0</v>
      </c>
      <c r="AD299">
        <v>0</v>
      </c>
      <c r="AE299">
        <v>0</v>
      </c>
      <c r="AF299">
        <v>0</v>
      </c>
      <c r="AG299">
        <v>1</v>
      </c>
    </row>
    <row r="300" spans="1:33" x14ac:dyDescent="0.2">
      <c r="A300">
        <v>299</v>
      </c>
      <c r="B300" t="s">
        <v>178</v>
      </c>
      <c r="C300" t="s">
        <v>108</v>
      </c>
      <c r="D300">
        <v>39</v>
      </c>
      <c r="E300" t="s">
        <v>114</v>
      </c>
      <c r="F300" t="s">
        <v>41</v>
      </c>
      <c r="G300" t="s">
        <v>55</v>
      </c>
      <c r="H300">
        <v>28999</v>
      </c>
      <c r="I300">
        <v>0</v>
      </c>
      <c r="J300">
        <v>0</v>
      </c>
      <c r="K300">
        <v>0</v>
      </c>
      <c r="L300">
        <v>1</v>
      </c>
      <c r="M300" t="s">
        <v>84</v>
      </c>
      <c r="N300" t="s">
        <v>57</v>
      </c>
      <c r="O300" t="s">
        <v>94</v>
      </c>
      <c r="P300" t="s">
        <v>37</v>
      </c>
      <c r="Q300" t="s">
        <v>46</v>
      </c>
      <c r="R300" t="s">
        <v>48</v>
      </c>
      <c r="S300" t="s">
        <v>47</v>
      </c>
      <c r="T300">
        <v>0</v>
      </c>
      <c r="U300">
        <v>0</v>
      </c>
      <c r="V300">
        <v>1</v>
      </c>
      <c r="W300">
        <v>1</v>
      </c>
      <c r="X300">
        <v>1</v>
      </c>
      <c r="Y300">
        <v>0</v>
      </c>
      <c r="Z300">
        <v>1</v>
      </c>
      <c r="AA300">
        <v>0</v>
      </c>
      <c r="AB300">
        <v>0</v>
      </c>
      <c r="AC300">
        <v>0</v>
      </c>
      <c r="AD300">
        <v>0</v>
      </c>
      <c r="AE300">
        <v>0</v>
      </c>
      <c r="AF300">
        <v>0</v>
      </c>
      <c r="AG300">
        <v>1</v>
      </c>
    </row>
    <row r="301" spans="1:33" hidden="1" x14ac:dyDescent="0.2">
      <c r="A301">
        <v>300</v>
      </c>
      <c r="B301" t="s">
        <v>178</v>
      </c>
      <c r="C301" t="s">
        <v>108</v>
      </c>
      <c r="D301">
        <v>39</v>
      </c>
      <c r="E301" t="s">
        <v>114</v>
      </c>
      <c r="F301" t="s">
        <v>53</v>
      </c>
      <c r="G301" t="s">
        <v>76</v>
      </c>
      <c r="H301">
        <v>23422</v>
      </c>
      <c r="I301">
        <v>0</v>
      </c>
      <c r="J301">
        <v>0</v>
      </c>
      <c r="K301">
        <v>0</v>
      </c>
      <c r="L301">
        <v>1</v>
      </c>
      <c r="M301" t="s">
        <v>36</v>
      </c>
      <c r="N301" t="s">
        <v>36</v>
      </c>
      <c r="O301" t="s">
        <v>36</v>
      </c>
      <c r="P301" t="s">
        <v>37</v>
      </c>
      <c r="Q301" t="s">
        <v>36</v>
      </c>
      <c r="R301" t="s">
        <v>36</v>
      </c>
      <c r="S301" t="s">
        <v>36</v>
      </c>
      <c r="T301" t="s">
        <v>36</v>
      </c>
      <c r="U301">
        <v>0</v>
      </c>
      <c r="V301">
        <v>1</v>
      </c>
      <c r="W301">
        <v>1</v>
      </c>
      <c r="X301">
        <v>1</v>
      </c>
      <c r="Y301">
        <v>0</v>
      </c>
      <c r="Z301">
        <v>1</v>
      </c>
      <c r="AA301">
        <v>0</v>
      </c>
      <c r="AB301">
        <v>0</v>
      </c>
      <c r="AC301">
        <v>0</v>
      </c>
      <c r="AD301">
        <v>0</v>
      </c>
      <c r="AE301">
        <v>0</v>
      </c>
      <c r="AF301">
        <v>0</v>
      </c>
      <c r="AG301">
        <v>1</v>
      </c>
    </row>
    <row r="302" spans="1:33" x14ac:dyDescent="0.2">
      <c r="A302">
        <v>301</v>
      </c>
      <c r="B302" t="s">
        <v>178</v>
      </c>
      <c r="C302" t="s">
        <v>108</v>
      </c>
      <c r="D302">
        <v>39</v>
      </c>
      <c r="E302" t="s">
        <v>114</v>
      </c>
      <c r="F302" t="s">
        <v>41</v>
      </c>
      <c r="G302" t="s">
        <v>61</v>
      </c>
      <c r="H302">
        <v>20832</v>
      </c>
      <c r="I302">
        <v>1</v>
      </c>
      <c r="J302">
        <v>1</v>
      </c>
      <c r="K302">
        <v>1</v>
      </c>
      <c r="L302">
        <v>0</v>
      </c>
      <c r="M302" t="s">
        <v>87</v>
      </c>
      <c r="N302" t="s">
        <v>62</v>
      </c>
      <c r="O302" t="s">
        <v>63</v>
      </c>
      <c r="P302" t="s">
        <v>37</v>
      </c>
      <c r="Q302" t="s">
        <v>47</v>
      </c>
      <c r="R302" t="s">
        <v>65</v>
      </c>
      <c r="S302" t="s">
        <v>46</v>
      </c>
      <c r="T302">
        <v>0</v>
      </c>
      <c r="U302">
        <v>1</v>
      </c>
      <c r="V302">
        <v>0</v>
      </c>
      <c r="W302">
        <v>1</v>
      </c>
      <c r="X302">
        <v>1</v>
      </c>
      <c r="Y302">
        <v>0</v>
      </c>
      <c r="Z302">
        <v>1</v>
      </c>
      <c r="AA302">
        <v>0</v>
      </c>
      <c r="AB302">
        <v>1</v>
      </c>
      <c r="AC302">
        <v>0</v>
      </c>
      <c r="AD302">
        <v>1</v>
      </c>
      <c r="AE302">
        <v>1</v>
      </c>
      <c r="AF302">
        <v>0</v>
      </c>
      <c r="AG302">
        <v>0</v>
      </c>
    </row>
    <row r="303" spans="1:33" hidden="1" x14ac:dyDescent="0.2">
      <c r="A303">
        <v>302</v>
      </c>
      <c r="B303" t="s">
        <v>178</v>
      </c>
      <c r="C303" t="s">
        <v>108</v>
      </c>
      <c r="D303">
        <v>39</v>
      </c>
      <c r="E303" t="s">
        <v>114</v>
      </c>
      <c r="F303" t="s">
        <v>53</v>
      </c>
      <c r="G303" t="s">
        <v>71</v>
      </c>
      <c r="H303">
        <v>53048</v>
      </c>
      <c r="I303">
        <v>1</v>
      </c>
      <c r="J303">
        <v>1</v>
      </c>
      <c r="K303">
        <v>1</v>
      </c>
      <c r="L303">
        <v>0</v>
      </c>
      <c r="M303" t="s">
        <v>36</v>
      </c>
      <c r="N303" t="s">
        <v>36</v>
      </c>
      <c r="O303" t="s">
        <v>36</v>
      </c>
      <c r="P303" t="s">
        <v>37</v>
      </c>
      <c r="Q303" t="s">
        <v>36</v>
      </c>
      <c r="R303" t="s">
        <v>36</v>
      </c>
      <c r="S303" t="s">
        <v>36</v>
      </c>
      <c r="T303" t="s">
        <v>36</v>
      </c>
      <c r="U303">
        <v>1</v>
      </c>
      <c r="V303">
        <v>0</v>
      </c>
      <c r="W303">
        <v>1</v>
      </c>
      <c r="X303">
        <v>1</v>
      </c>
      <c r="Y303">
        <v>0</v>
      </c>
      <c r="Z303">
        <v>1</v>
      </c>
      <c r="AA303">
        <v>0</v>
      </c>
      <c r="AB303">
        <v>1</v>
      </c>
      <c r="AC303">
        <v>0</v>
      </c>
      <c r="AD303">
        <v>1</v>
      </c>
      <c r="AE303">
        <v>1</v>
      </c>
      <c r="AF303">
        <v>0</v>
      </c>
      <c r="AG303">
        <v>0</v>
      </c>
    </row>
    <row r="304" spans="1:33" x14ac:dyDescent="0.2">
      <c r="A304">
        <v>303</v>
      </c>
      <c r="B304" t="s">
        <v>178</v>
      </c>
      <c r="C304" t="s">
        <v>108</v>
      </c>
      <c r="D304">
        <v>39</v>
      </c>
      <c r="E304" t="s">
        <v>114</v>
      </c>
      <c r="F304" t="s">
        <v>41</v>
      </c>
      <c r="G304" t="s">
        <v>49</v>
      </c>
      <c r="H304">
        <v>41461</v>
      </c>
      <c r="I304">
        <v>1</v>
      </c>
      <c r="J304">
        <v>1</v>
      </c>
      <c r="K304">
        <v>1</v>
      </c>
      <c r="L304">
        <v>0</v>
      </c>
      <c r="M304" t="s">
        <v>52</v>
      </c>
      <c r="N304" t="s">
        <v>96</v>
      </c>
      <c r="O304" t="s">
        <v>51</v>
      </c>
      <c r="P304" t="s">
        <v>37</v>
      </c>
      <c r="Q304" t="s">
        <v>46</v>
      </c>
      <c r="R304" t="s">
        <v>65</v>
      </c>
      <c r="S304" t="s">
        <v>47</v>
      </c>
      <c r="T304">
        <v>0</v>
      </c>
      <c r="U304">
        <v>1</v>
      </c>
      <c r="V304">
        <v>0</v>
      </c>
      <c r="W304">
        <v>1</v>
      </c>
      <c r="X304">
        <v>1</v>
      </c>
      <c r="Y304">
        <v>0</v>
      </c>
      <c r="Z304">
        <v>1</v>
      </c>
      <c r="AA304">
        <v>0</v>
      </c>
      <c r="AB304">
        <v>1</v>
      </c>
      <c r="AC304">
        <v>0</v>
      </c>
      <c r="AD304">
        <v>1</v>
      </c>
      <c r="AE304">
        <v>1</v>
      </c>
      <c r="AF304">
        <v>0</v>
      </c>
      <c r="AG304">
        <v>0</v>
      </c>
    </row>
    <row r="305" spans="1:33" x14ac:dyDescent="0.2">
      <c r="A305">
        <v>304</v>
      </c>
      <c r="B305" t="s">
        <v>178</v>
      </c>
      <c r="C305" t="s">
        <v>108</v>
      </c>
      <c r="D305">
        <v>39</v>
      </c>
      <c r="E305" t="s">
        <v>114</v>
      </c>
      <c r="F305" t="s">
        <v>41</v>
      </c>
      <c r="G305" t="s">
        <v>67</v>
      </c>
      <c r="H305">
        <v>5469</v>
      </c>
      <c r="I305">
        <v>1</v>
      </c>
      <c r="J305">
        <v>1</v>
      </c>
      <c r="K305">
        <v>1</v>
      </c>
      <c r="L305">
        <v>0</v>
      </c>
      <c r="M305" t="s">
        <v>68</v>
      </c>
      <c r="N305" t="s">
        <v>103</v>
      </c>
      <c r="O305" t="s">
        <v>70</v>
      </c>
      <c r="P305" t="s">
        <v>37</v>
      </c>
      <c r="Q305" t="s">
        <v>65</v>
      </c>
      <c r="R305" t="s">
        <v>60</v>
      </c>
      <c r="S305" t="s">
        <v>47</v>
      </c>
      <c r="T305">
        <v>1</v>
      </c>
      <c r="U305">
        <v>1</v>
      </c>
      <c r="V305">
        <v>0</v>
      </c>
      <c r="W305">
        <v>1</v>
      </c>
      <c r="X305">
        <v>0</v>
      </c>
      <c r="Y305">
        <v>0</v>
      </c>
      <c r="Z305">
        <v>1</v>
      </c>
      <c r="AA305">
        <v>1</v>
      </c>
      <c r="AB305">
        <v>1</v>
      </c>
      <c r="AC305">
        <v>0</v>
      </c>
      <c r="AD305">
        <v>1</v>
      </c>
      <c r="AE305">
        <v>0</v>
      </c>
      <c r="AF305">
        <v>0</v>
      </c>
      <c r="AG305">
        <v>0</v>
      </c>
    </row>
    <row r="306" spans="1:33" hidden="1" x14ac:dyDescent="0.2">
      <c r="A306">
        <v>305</v>
      </c>
      <c r="B306" t="s">
        <v>178</v>
      </c>
      <c r="C306" t="s">
        <v>108</v>
      </c>
      <c r="D306">
        <v>39</v>
      </c>
      <c r="E306" t="s">
        <v>114</v>
      </c>
      <c r="F306" t="s">
        <v>53</v>
      </c>
      <c r="G306" t="s">
        <v>66</v>
      </c>
      <c r="H306">
        <v>20397</v>
      </c>
      <c r="I306">
        <v>1</v>
      </c>
      <c r="J306">
        <v>1</v>
      </c>
      <c r="K306">
        <v>0</v>
      </c>
      <c r="L306">
        <v>0</v>
      </c>
      <c r="M306" t="s">
        <v>36</v>
      </c>
      <c r="N306" t="s">
        <v>36</v>
      </c>
      <c r="O306" t="s">
        <v>36</v>
      </c>
      <c r="P306" t="s">
        <v>37</v>
      </c>
      <c r="Q306" t="s">
        <v>36</v>
      </c>
      <c r="R306" t="s">
        <v>36</v>
      </c>
      <c r="S306" t="s">
        <v>36</v>
      </c>
      <c r="T306" t="s">
        <v>36</v>
      </c>
      <c r="U306">
        <v>1</v>
      </c>
      <c r="V306">
        <v>0</v>
      </c>
      <c r="W306">
        <v>1</v>
      </c>
      <c r="X306">
        <v>0</v>
      </c>
      <c r="Y306">
        <v>0</v>
      </c>
      <c r="Z306">
        <v>1</v>
      </c>
      <c r="AA306">
        <v>1</v>
      </c>
      <c r="AB306">
        <v>1</v>
      </c>
      <c r="AC306">
        <v>0</v>
      </c>
      <c r="AD306">
        <v>1</v>
      </c>
      <c r="AE306">
        <v>0</v>
      </c>
      <c r="AF306">
        <v>0</v>
      </c>
      <c r="AG306">
        <v>0</v>
      </c>
    </row>
    <row r="307" spans="1:33" x14ac:dyDescent="0.2">
      <c r="A307">
        <v>306</v>
      </c>
      <c r="B307" t="s">
        <v>178</v>
      </c>
      <c r="C307" t="s">
        <v>108</v>
      </c>
      <c r="D307">
        <v>39</v>
      </c>
      <c r="E307" t="s">
        <v>114</v>
      </c>
      <c r="F307" t="s">
        <v>41</v>
      </c>
      <c r="G307" t="s">
        <v>42</v>
      </c>
      <c r="H307">
        <v>6461</v>
      </c>
      <c r="I307">
        <v>1</v>
      </c>
      <c r="J307">
        <v>1</v>
      </c>
      <c r="K307">
        <v>1</v>
      </c>
      <c r="L307">
        <v>0</v>
      </c>
      <c r="M307" t="s">
        <v>45</v>
      </c>
      <c r="N307" t="s">
        <v>43</v>
      </c>
      <c r="O307" t="s">
        <v>44</v>
      </c>
      <c r="P307" t="s">
        <v>37</v>
      </c>
      <c r="Q307" t="s">
        <v>48</v>
      </c>
      <c r="R307" t="s">
        <v>46</v>
      </c>
      <c r="S307" t="s">
        <v>47</v>
      </c>
      <c r="T307">
        <v>0</v>
      </c>
      <c r="U307">
        <v>0</v>
      </c>
      <c r="V307">
        <v>1</v>
      </c>
      <c r="W307">
        <v>1</v>
      </c>
      <c r="X307">
        <v>1</v>
      </c>
      <c r="Y307">
        <v>0</v>
      </c>
      <c r="Z307">
        <v>1</v>
      </c>
      <c r="AA307">
        <v>0</v>
      </c>
      <c r="AB307">
        <v>0</v>
      </c>
      <c r="AC307">
        <v>1</v>
      </c>
      <c r="AD307">
        <v>1</v>
      </c>
      <c r="AE307">
        <v>1</v>
      </c>
      <c r="AF307">
        <v>0</v>
      </c>
      <c r="AG307">
        <v>0</v>
      </c>
    </row>
    <row r="308" spans="1:33" hidden="1" x14ac:dyDescent="0.2">
      <c r="A308">
        <v>307</v>
      </c>
      <c r="B308" t="s">
        <v>178</v>
      </c>
      <c r="C308" t="s">
        <v>108</v>
      </c>
      <c r="D308">
        <v>39</v>
      </c>
      <c r="E308" t="s">
        <v>114</v>
      </c>
      <c r="F308" t="s">
        <v>53</v>
      </c>
      <c r="G308" t="s">
        <v>54</v>
      </c>
      <c r="H308">
        <v>43270</v>
      </c>
      <c r="I308">
        <v>1</v>
      </c>
      <c r="J308">
        <v>1</v>
      </c>
      <c r="K308">
        <v>1</v>
      </c>
      <c r="L308">
        <v>0</v>
      </c>
      <c r="M308" t="s">
        <v>36</v>
      </c>
      <c r="N308" t="s">
        <v>36</v>
      </c>
      <c r="O308" t="s">
        <v>36</v>
      </c>
      <c r="P308" t="s">
        <v>37</v>
      </c>
      <c r="Q308" t="s">
        <v>36</v>
      </c>
      <c r="R308" t="s">
        <v>36</v>
      </c>
      <c r="S308" t="s">
        <v>36</v>
      </c>
      <c r="T308" t="s">
        <v>36</v>
      </c>
      <c r="U308">
        <v>0</v>
      </c>
      <c r="V308">
        <v>1</v>
      </c>
      <c r="W308">
        <v>1</v>
      </c>
      <c r="X308">
        <v>1</v>
      </c>
      <c r="Y308">
        <v>0</v>
      </c>
      <c r="Z308">
        <v>1</v>
      </c>
      <c r="AA308">
        <v>0</v>
      </c>
      <c r="AB308">
        <v>0</v>
      </c>
      <c r="AC308">
        <v>1</v>
      </c>
      <c r="AD308">
        <v>1</v>
      </c>
      <c r="AE308">
        <v>1</v>
      </c>
      <c r="AF308">
        <v>0</v>
      </c>
      <c r="AG308">
        <v>0</v>
      </c>
    </row>
    <row r="309" spans="1:33" hidden="1" x14ac:dyDescent="0.2">
      <c r="A309">
        <v>308</v>
      </c>
      <c r="B309" t="s">
        <v>178</v>
      </c>
      <c r="C309" t="s">
        <v>108</v>
      </c>
      <c r="D309">
        <v>39</v>
      </c>
      <c r="E309" t="s">
        <v>114</v>
      </c>
      <c r="F309" t="s">
        <v>77</v>
      </c>
      <c r="G309" t="s">
        <v>36</v>
      </c>
      <c r="H309">
        <v>33391</v>
      </c>
      <c r="I309" t="s">
        <v>179</v>
      </c>
      <c r="J309" t="s">
        <v>166</v>
      </c>
      <c r="K309" t="s">
        <v>166</v>
      </c>
      <c r="L309" t="s">
        <v>36</v>
      </c>
      <c r="M309" t="s">
        <v>36</v>
      </c>
      <c r="N309" t="s">
        <v>36</v>
      </c>
      <c r="O309" t="s">
        <v>36</v>
      </c>
      <c r="P309" t="s">
        <v>37</v>
      </c>
      <c r="Q309" t="s">
        <v>36</v>
      </c>
      <c r="R309" t="s">
        <v>36</v>
      </c>
      <c r="S309" t="s">
        <v>36</v>
      </c>
      <c r="T309" t="s">
        <v>36</v>
      </c>
      <c r="U309" t="s">
        <v>36</v>
      </c>
      <c r="V309" t="s">
        <v>36</v>
      </c>
      <c r="W309" t="s">
        <v>36</v>
      </c>
      <c r="X309" t="s">
        <v>36</v>
      </c>
      <c r="Y309" t="s">
        <v>36</v>
      </c>
      <c r="Z309" t="s">
        <v>36</v>
      </c>
      <c r="AA309" t="s">
        <v>36</v>
      </c>
      <c r="AB309" t="s">
        <v>36</v>
      </c>
      <c r="AC309" t="s">
        <v>36</v>
      </c>
      <c r="AD309" t="s">
        <v>36</v>
      </c>
      <c r="AE309" t="s">
        <v>36</v>
      </c>
      <c r="AF309" t="s">
        <v>36</v>
      </c>
      <c r="AG309" t="s">
        <v>36</v>
      </c>
    </row>
    <row r="310" spans="1:33" hidden="1" x14ac:dyDescent="0.2">
      <c r="A310">
        <v>309</v>
      </c>
      <c r="B310" t="s">
        <v>180</v>
      </c>
      <c r="C310" t="s">
        <v>108</v>
      </c>
      <c r="D310">
        <v>35</v>
      </c>
      <c r="E310" t="s">
        <v>114</v>
      </c>
      <c r="F310" t="s">
        <v>35</v>
      </c>
      <c r="G310" t="s">
        <v>36</v>
      </c>
      <c r="H310">
        <v>40608</v>
      </c>
      <c r="I310" t="s">
        <v>36</v>
      </c>
      <c r="J310" t="s">
        <v>36</v>
      </c>
      <c r="K310" t="s">
        <v>36</v>
      </c>
      <c r="L310" t="s">
        <v>36</v>
      </c>
      <c r="M310" t="s">
        <v>36</v>
      </c>
      <c r="N310" t="s">
        <v>36</v>
      </c>
      <c r="O310" t="s">
        <v>36</v>
      </c>
      <c r="P310" t="s">
        <v>37</v>
      </c>
      <c r="Q310" t="s">
        <v>36</v>
      </c>
      <c r="R310" t="s">
        <v>36</v>
      </c>
      <c r="S310" t="s">
        <v>36</v>
      </c>
      <c r="T310" t="s">
        <v>36</v>
      </c>
      <c r="U310" t="s">
        <v>36</v>
      </c>
      <c r="V310" t="s">
        <v>36</v>
      </c>
      <c r="W310" t="s">
        <v>36</v>
      </c>
      <c r="X310" t="s">
        <v>36</v>
      </c>
      <c r="Y310" t="s">
        <v>36</v>
      </c>
      <c r="Z310" t="s">
        <v>36</v>
      </c>
      <c r="AA310" t="s">
        <v>36</v>
      </c>
      <c r="AB310" t="s">
        <v>36</v>
      </c>
      <c r="AC310" t="s">
        <v>36</v>
      </c>
      <c r="AD310" t="s">
        <v>36</v>
      </c>
      <c r="AE310" t="s">
        <v>36</v>
      </c>
      <c r="AF310" t="s">
        <v>36</v>
      </c>
      <c r="AG310" t="s">
        <v>36</v>
      </c>
    </row>
    <row r="311" spans="1:33" hidden="1" x14ac:dyDescent="0.2">
      <c r="A311">
        <v>310</v>
      </c>
      <c r="B311" t="s">
        <v>180</v>
      </c>
      <c r="C311" t="s">
        <v>108</v>
      </c>
      <c r="D311">
        <v>35</v>
      </c>
      <c r="E311" t="s">
        <v>114</v>
      </c>
      <c r="F311" t="s">
        <v>38</v>
      </c>
      <c r="G311" t="s">
        <v>40</v>
      </c>
      <c r="H311">
        <v>44534</v>
      </c>
      <c r="I311">
        <v>0</v>
      </c>
      <c r="J311">
        <v>0</v>
      </c>
      <c r="K311">
        <v>1</v>
      </c>
      <c r="L311">
        <v>0</v>
      </c>
      <c r="M311" t="s">
        <v>36</v>
      </c>
      <c r="N311" t="s">
        <v>36</v>
      </c>
      <c r="O311" t="s">
        <v>36</v>
      </c>
      <c r="P311" t="s">
        <v>37</v>
      </c>
      <c r="Q311" t="s">
        <v>36</v>
      </c>
      <c r="R311" t="s">
        <v>36</v>
      </c>
      <c r="S311" t="s">
        <v>36</v>
      </c>
      <c r="T311" t="s">
        <v>36</v>
      </c>
      <c r="U311" t="s">
        <v>36</v>
      </c>
      <c r="V311" t="s">
        <v>36</v>
      </c>
      <c r="W311" t="s">
        <v>36</v>
      </c>
      <c r="X311" t="s">
        <v>36</v>
      </c>
      <c r="Y311" t="s">
        <v>36</v>
      </c>
      <c r="Z311" t="s">
        <v>36</v>
      </c>
      <c r="AA311" t="s">
        <v>36</v>
      </c>
      <c r="AB311" t="s">
        <v>36</v>
      </c>
      <c r="AC311" t="s">
        <v>36</v>
      </c>
      <c r="AD311" t="s">
        <v>36</v>
      </c>
      <c r="AE311" t="s">
        <v>36</v>
      </c>
      <c r="AF311" t="s">
        <v>36</v>
      </c>
      <c r="AG311" t="s">
        <v>36</v>
      </c>
    </row>
    <row r="312" spans="1:33" hidden="1" x14ac:dyDescent="0.2">
      <c r="A312">
        <v>311</v>
      </c>
      <c r="B312" t="s">
        <v>180</v>
      </c>
      <c r="C312" t="s">
        <v>108</v>
      </c>
      <c r="D312">
        <v>35</v>
      </c>
      <c r="E312" t="s">
        <v>114</v>
      </c>
      <c r="F312" t="s">
        <v>38</v>
      </c>
      <c r="G312" t="s">
        <v>39</v>
      </c>
      <c r="H312">
        <v>36901</v>
      </c>
      <c r="I312">
        <v>0</v>
      </c>
      <c r="J312">
        <v>0</v>
      </c>
      <c r="K312">
        <v>0</v>
      </c>
      <c r="L312">
        <v>1</v>
      </c>
      <c r="M312" t="s">
        <v>36</v>
      </c>
      <c r="N312" t="s">
        <v>36</v>
      </c>
      <c r="O312" t="s">
        <v>36</v>
      </c>
      <c r="P312" t="s">
        <v>37</v>
      </c>
      <c r="Q312" t="s">
        <v>36</v>
      </c>
      <c r="R312" t="s">
        <v>36</v>
      </c>
      <c r="S312" t="s">
        <v>36</v>
      </c>
      <c r="T312" t="s">
        <v>36</v>
      </c>
      <c r="U312" t="s">
        <v>36</v>
      </c>
      <c r="V312" t="s">
        <v>36</v>
      </c>
      <c r="W312" t="s">
        <v>36</v>
      </c>
      <c r="X312" t="s">
        <v>36</v>
      </c>
      <c r="Y312" t="s">
        <v>36</v>
      </c>
      <c r="Z312" t="s">
        <v>36</v>
      </c>
      <c r="AA312" t="s">
        <v>36</v>
      </c>
      <c r="AB312" t="s">
        <v>36</v>
      </c>
      <c r="AC312" t="s">
        <v>36</v>
      </c>
      <c r="AD312" t="s">
        <v>36</v>
      </c>
      <c r="AE312" t="s">
        <v>36</v>
      </c>
      <c r="AF312" t="s">
        <v>36</v>
      </c>
      <c r="AG312" t="s">
        <v>36</v>
      </c>
    </row>
    <row r="313" spans="1:33" x14ac:dyDescent="0.2">
      <c r="A313">
        <v>312</v>
      </c>
      <c r="B313" t="s">
        <v>180</v>
      </c>
      <c r="C313" t="s">
        <v>108</v>
      </c>
      <c r="D313">
        <v>35</v>
      </c>
      <c r="E313" t="s">
        <v>114</v>
      </c>
      <c r="F313" t="s">
        <v>41</v>
      </c>
      <c r="G313" t="s">
        <v>49</v>
      </c>
      <c r="H313">
        <v>59316</v>
      </c>
      <c r="I313">
        <v>0</v>
      </c>
      <c r="J313">
        <v>0</v>
      </c>
      <c r="K313">
        <v>0</v>
      </c>
      <c r="L313">
        <v>1</v>
      </c>
      <c r="M313" t="s">
        <v>50</v>
      </c>
      <c r="N313" t="s">
        <v>51</v>
      </c>
      <c r="O313" t="s">
        <v>95</v>
      </c>
      <c r="P313" t="s">
        <v>37</v>
      </c>
      <c r="Q313" t="s">
        <v>48</v>
      </c>
      <c r="R313" t="s">
        <v>47</v>
      </c>
      <c r="S313" t="s">
        <v>60</v>
      </c>
      <c r="T313">
        <v>1</v>
      </c>
      <c r="U313">
        <v>0</v>
      </c>
      <c r="V313">
        <v>1</v>
      </c>
      <c r="W313">
        <v>1</v>
      </c>
      <c r="X313">
        <v>0</v>
      </c>
      <c r="Y313">
        <v>0</v>
      </c>
      <c r="Z313">
        <v>1</v>
      </c>
      <c r="AA313">
        <v>0</v>
      </c>
      <c r="AB313">
        <v>0</v>
      </c>
      <c r="AC313">
        <v>0</v>
      </c>
      <c r="AD313">
        <v>0</v>
      </c>
      <c r="AE313">
        <v>0</v>
      </c>
      <c r="AF313">
        <v>0</v>
      </c>
      <c r="AG313">
        <v>1</v>
      </c>
    </row>
    <row r="314" spans="1:33" x14ac:dyDescent="0.2">
      <c r="A314">
        <v>313</v>
      </c>
      <c r="B314" t="s">
        <v>180</v>
      </c>
      <c r="C314" t="s">
        <v>108</v>
      </c>
      <c r="D314">
        <v>35</v>
      </c>
      <c r="E314" t="s">
        <v>114</v>
      </c>
      <c r="F314" t="s">
        <v>41</v>
      </c>
      <c r="G314" t="s">
        <v>42</v>
      </c>
      <c r="H314">
        <v>47385</v>
      </c>
      <c r="I314">
        <v>1</v>
      </c>
      <c r="J314">
        <v>1</v>
      </c>
      <c r="K314">
        <v>1</v>
      </c>
      <c r="L314">
        <v>0</v>
      </c>
      <c r="M314" t="s">
        <v>82</v>
      </c>
      <c r="N314" t="s">
        <v>44</v>
      </c>
      <c r="O314" t="s">
        <v>102</v>
      </c>
      <c r="P314" t="s">
        <v>37</v>
      </c>
      <c r="Q314" t="s">
        <v>65</v>
      </c>
      <c r="R314" t="s">
        <v>47</v>
      </c>
      <c r="S314" t="s">
        <v>59</v>
      </c>
      <c r="T314">
        <v>0</v>
      </c>
      <c r="U314">
        <v>1</v>
      </c>
      <c r="V314">
        <v>0</v>
      </c>
      <c r="W314">
        <v>1</v>
      </c>
      <c r="X314">
        <v>0</v>
      </c>
      <c r="Y314">
        <v>0</v>
      </c>
      <c r="Z314">
        <v>1</v>
      </c>
      <c r="AA314">
        <v>0</v>
      </c>
      <c r="AB314">
        <v>1</v>
      </c>
      <c r="AC314">
        <v>0</v>
      </c>
      <c r="AD314">
        <v>1</v>
      </c>
      <c r="AE314">
        <v>0</v>
      </c>
      <c r="AF314">
        <v>0</v>
      </c>
      <c r="AG314">
        <v>0</v>
      </c>
    </row>
    <row r="315" spans="1:33" hidden="1" x14ac:dyDescent="0.2">
      <c r="A315">
        <v>314</v>
      </c>
      <c r="B315" t="s">
        <v>180</v>
      </c>
      <c r="C315" t="s">
        <v>108</v>
      </c>
      <c r="D315">
        <v>35</v>
      </c>
      <c r="E315" t="s">
        <v>114</v>
      </c>
      <c r="F315" t="s">
        <v>53</v>
      </c>
      <c r="G315" t="s">
        <v>76</v>
      </c>
      <c r="H315">
        <v>31388</v>
      </c>
      <c r="I315">
        <v>1</v>
      </c>
      <c r="J315">
        <v>0</v>
      </c>
      <c r="K315">
        <v>0</v>
      </c>
      <c r="L315">
        <v>0</v>
      </c>
      <c r="M315" t="s">
        <v>36</v>
      </c>
      <c r="N315" t="s">
        <v>36</v>
      </c>
      <c r="O315" t="s">
        <v>36</v>
      </c>
      <c r="P315" t="s">
        <v>37</v>
      </c>
      <c r="Q315" t="s">
        <v>36</v>
      </c>
      <c r="R315" t="s">
        <v>36</v>
      </c>
      <c r="S315" t="s">
        <v>36</v>
      </c>
      <c r="T315" t="s">
        <v>36</v>
      </c>
      <c r="U315">
        <v>1</v>
      </c>
      <c r="V315">
        <v>0</v>
      </c>
      <c r="W315">
        <v>1</v>
      </c>
      <c r="X315">
        <v>0</v>
      </c>
      <c r="Y315">
        <v>0</v>
      </c>
      <c r="Z315">
        <v>1</v>
      </c>
      <c r="AA315">
        <v>0</v>
      </c>
      <c r="AB315">
        <v>1</v>
      </c>
      <c r="AC315">
        <v>0</v>
      </c>
      <c r="AD315">
        <v>1</v>
      </c>
      <c r="AE315">
        <v>0</v>
      </c>
      <c r="AF315">
        <v>0</v>
      </c>
      <c r="AG315">
        <v>0</v>
      </c>
    </row>
    <row r="316" spans="1:33" x14ac:dyDescent="0.2">
      <c r="A316">
        <v>315</v>
      </c>
      <c r="B316" t="s">
        <v>180</v>
      </c>
      <c r="C316" t="s">
        <v>108</v>
      </c>
      <c r="D316">
        <v>35</v>
      </c>
      <c r="E316" t="s">
        <v>114</v>
      </c>
      <c r="F316" t="s">
        <v>41</v>
      </c>
      <c r="G316" t="s">
        <v>72</v>
      </c>
      <c r="H316">
        <v>29755</v>
      </c>
      <c r="I316">
        <v>1</v>
      </c>
      <c r="J316">
        <v>1</v>
      </c>
      <c r="K316">
        <v>1</v>
      </c>
      <c r="L316">
        <v>0</v>
      </c>
      <c r="M316" t="s">
        <v>75</v>
      </c>
      <c r="N316" t="s">
        <v>73</v>
      </c>
      <c r="O316" t="s">
        <v>115</v>
      </c>
      <c r="P316" t="s">
        <v>37</v>
      </c>
      <c r="Q316" t="s">
        <v>46</v>
      </c>
      <c r="R316" t="s">
        <v>48</v>
      </c>
      <c r="S316" t="s">
        <v>65</v>
      </c>
      <c r="T316">
        <v>0</v>
      </c>
      <c r="U316">
        <v>1</v>
      </c>
      <c r="V316">
        <v>1</v>
      </c>
      <c r="W316">
        <v>0</v>
      </c>
      <c r="X316">
        <v>1</v>
      </c>
      <c r="Y316">
        <v>0</v>
      </c>
      <c r="Z316">
        <v>1</v>
      </c>
      <c r="AA316">
        <v>0</v>
      </c>
      <c r="AB316">
        <v>1</v>
      </c>
      <c r="AC316">
        <v>1</v>
      </c>
      <c r="AD316">
        <v>0</v>
      </c>
      <c r="AE316">
        <v>1</v>
      </c>
      <c r="AF316">
        <v>0</v>
      </c>
      <c r="AG316">
        <v>0</v>
      </c>
    </row>
    <row r="317" spans="1:33" x14ac:dyDescent="0.2">
      <c r="A317">
        <v>316</v>
      </c>
      <c r="B317" t="s">
        <v>180</v>
      </c>
      <c r="C317" t="s">
        <v>108</v>
      </c>
      <c r="D317">
        <v>35</v>
      </c>
      <c r="E317" t="s">
        <v>114</v>
      </c>
      <c r="F317" t="s">
        <v>41</v>
      </c>
      <c r="G317" t="s">
        <v>61</v>
      </c>
      <c r="H317">
        <v>29417</v>
      </c>
      <c r="I317">
        <v>1</v>
      </c>
      <c r="J317">
        <v>1</v>
      </c>
      <c r="K317">
        <v>1</v>
      </c>
      <c r="L317">
        <v>0</v>
      </c>
      <c r="M317" t="s">
        <v>64</v>
      </c>
      <c r="N317" t="s">
        <v>62</v>
      </c>
      <c r="O317" t="s">
        <v>63</v>
      </c>
      <c r="P317" t="s">
        <v>37</v>
      </c>
      <c r="Q317" t="s">
        <v>48</v>
      </c>
      <c r="R317" t="s">
        <v>65</v>
      </c>
      <c r="S317" t="s">
        <v>46</v>
      </c>
      <c r="T317">
        <v>0</v>
      </c>
      <c r="U317">
        <v>1</v>
      </c>
      <c r="V317">
        <v>1</v>
      </c>
      <c r="W317">
        <v>0</v>
      </c>
      <c r="X317">
        <v>1</v>
      </c>
      <c r="Y317">
        <v>0</v>
      </c>
      <c r="Z317">
        <v>1</v>
      </c>
      <c r="AA317">
        <v>0</v>
      </c>
      <c r="AB317">
        <v>1</v>
      </c>
      <c r="AC317">
        <v>1</v>
      </c>
      <c r="AD317">
        <v>0</v>
      </c>
      <c r="AE317">
        <v>1</v>
      </c>
      <c r="AF317">
        <v>0</v>
      </c>
      <c r="AG317">
        <v>0</v>
      </c>
    </row>
    <row r="318" spans="1:33" hidden="1" x14ac:dyDescent="0.2">
      <c r="A318">
        <v>317</v>
      </c>
      <c r="B318" t="s">
        <v>180</v>
      </c>
      <c r="C318" t="s">
        <v>108</v>
      </c>
      <c r="D318">
        <v>35</v>
      </c>
      <c r="E318" t="s">
        <v>114</v>
      </c>
      <c r="F318" t="s">
        <v>53</v>
      </c>
      <c r="G318" t="s">
        <v>66</v>
      </c>
      <c r="H318">
        <v>41075</v>
      </c>
      <c r="I318">
        <v>0</v>
      </c>
      <c r="J318">
        <v>0</v>
      </c>
      <c r="K318">
        <v>0</v>
      </c>
      <c r="L318">
        <v>1</v>
      </c>
      <c r="M318" t="s">
        <v>36</v>
      </c>
      <c r="N318" t="s">
        <v>36</v>
      </c>
      <c r="O318" t="s">
        <v>36</v>
      </c>
      <c r="P318" t="s">
        <v>37</v>
      </c>
      <c r="Q318" t="s">
        <v>36</v>
      </c>
      <c r="R318" t="s">
        <v>36</v>
      </c>
      <c r="S318" t="s">
        <v>36</v>
      </c>
      <c r="T318" t="s">
        <v>36</v>
      </c>
      <c r="U318">
        <v>1</v>
      </c>
      <c r="V318">
        <v>1</v>
      </c>
      <c r="W318">
        <v>0</v>
      </c>
      <c r="X318">
        <v>1</v>
      </c>
      <c r="Y318">
        <v>0</v>
      </c>
      <c r="Z318">
        <v>1</v>
      </c>
      <c r="AA318">
        <v>0</v>
      </c>
      <c r="AB318">
        <v>1</v>
      </c>
      <c r="AC318">
        <v>1</v>
      </c>
      <c r="AD318">
        <v>0</v>
      </c>
      <c r="AE318">
        <v>1</v>
      </c>
      <c r="AF318">
        <v>0</v>
      </c>
      <c r="AG318">
        <v>0</v>
      </c>
    </row>
    <row r="319" spans="1:33" x14ac:dyDescent="0.2">
      <c r="A319">
        <v>318</v>
      </c>
      <c r="B319" t="s">
        <v>180</v>
      </c>
      <c r="C319" t="s">
        <v>108</v>
      </c>
      <c r="D319">
        <v>35</v>
      </c>
      <c r="E319" t="s">
        <v>114</v>
      </c>
      <c r="F319" t="s">
        <v>41</v>
      </c>
      <c r="G319" t="s">
        <v>55</v>
      </c>
      <c r="H319">
        <v>17984</v>
      </c>
      <c r="I319">
        <v>0</v>
      </c>
      <c r="J319">
        <v>0</v>
      </c>
      <c r="K319">
        <v>0</v>
      </c>
      <c r="L319">
        <v>1</v>
      </c>
      <c r="M319" t="s">
        <v>84</v>
      </c>
      <c r="N319" t="s">
        <v>56</v>
      </c>
      <c r="O319" t="s">
        <v>57</v>
      </c>
      <c r="P319" t="s">
        <v>37</v>
      </c>
      <c r="Q319" t="s">
        <v>46</v>
      </c>
      <c r="R319" t="s">
        <v>59</v>
      </c>
      <c r="S319" t="s">
        <v>48</v>
      </c>
      <c r="T319">
        <v>0</v>
      </c>
      <c r="U319">
        <v>0</v>
      </c>
      <c r="V319">
        <v>1</v>
      </c>
      <c r="W319">
        <v>0</v>
      </c>
      <c r="X319">
        <v>1</v>
      </c>
      <c r="Y319">
        <v>0</v>
      </c>
      <c r="Z319">
        <v>1</v>
      </c>
      <c r="AA319">
        <v>0</v>
      </c>
      <c r="AB319">
        <v>0</v>
      </c>
      <c r="AC319">
        <v>0</v>
      </c>
      <c r="AD319">
        <v>0</v>
      </c>
      <c r="AE319">
        <v>0</v>
      </c>
      <c r="AF319">
        <v>0</v>
      </c>
      <c r="AG319">
        <v>1</v>
      </c>
    </row>
    <row r="320" spans="1:33" hidden="1" x14ac:dyDescent="0.2">
      <c r="A320">
        <v>319</v>
      </c>
      <c r="B320" t="s">
        <v>180</v>
      </c>
      <c r="C320" t="s">
        <v>108</v>
      </c>
      <c r="D320">
        <v>35</v>
      </c>
      <c r="E320" t="s">
        <v>114</v>
      </c>
      <c r="F320" t="s">
        <v>53</v>
      </c>
      <c r="G320" t="s">
        <v>54</v>
      </c>
      <c r="H320">
        <v>49355</v>
      </c>
      <c r="I320">
        <v>0</v>
      </c>
      <c r="J320">
        <v>1</v>
      </c>
      <c r="K320">
        <v>1</v>
      </c>
      <c r="L320">
        <v>0</v>
      </c>
      <c r="M320" t="s">
        <v>36</v>
      </c>
      <c r="N320" t="s">
        <v>36</v>
      </c>
      <c r="O320" t="s">
        <v>36</v>
      </c>
      <c r="P320" t="s">
        <v>37</v>
      </c>
      <c r="Q320" t="s">
        <v>36</v>
      </c>
      <c r="R320" t="s">
        <v>36</v>
      </c>
      <c r="S320" t="s">
        <v>36</v>
      </c>
      <c r="T320" t="s">
        <v>36</v>
      </c>
      <c r="U320">
        <v>0</v>
      </c>
      <c r="V320">
        <v>1</v>
      </c>
      <c r="W320">
        <v>0</v>
      </c>
      <c r="X320">
        <v>1</v>
      </c>
      <c r="Y320">
        <v>0</v>
      </c>
      <c r="Z320">
        <v>1</v>
      </c>
      <c r="AA320">
        <v>0</v>
      </c>
      <c r="AB320">
        <v>0</v>
      </c>
      <c r="AC320">
        <v>0</v>
      </c>
      <c r="AD320">
        <v>0</v>
      </c>
      <c r="AE320">
        <v>0</v>
      </c>
      <c r="AF320">
        <v>0</v>
      </c>
      <c r="AG320">
        <v>1</v>
      </c>
    </row>
    <row r="321" spans="1:33" x14ac:dyDescent="0.2">
      <c r="A321">
        <v>320</v>
      </c>
      <c r="B321" t="s">
        <v>180</v>
      </c>
      <c r="C321" t="s">
        <v>108</v>
      </c>
      <c r="D321">
        <v>35</v>
      </c>
      <c r="E321" t="s">
        <v>114</v>
      </c>
      <c r="F321" t="s">
        <v>41</v>
      </c>
      <c r="G321" t="s">
        <v>67</v>
      </c>
      <c r="H321">
        <v>17418</v>
      </c>
      <c r="I321">
        <v>0</v>
      </c>
      <c r="J321">
        <v>0</v>
      </c>
      <c r="K321">
        <v>0</v>
      </c>
      <c r="L321">
        <v>1</v>
      </c>
      <c r="M321" t="s">
        <v>68</v>
      </c>
      <c r="N321" t="s">
        <v>69</v>
      </c>
      <c r="O321" t="s">
        <v>86</v>
      </c>
      <c r="P321" t="s">
        <v>37</v>
      </c>
      <c r="Q321" t="s">
        <v>65</v>
      </c>
      <c r="R321" t="s">
        <v>48</v>
      </c>
      <c r="S321" t="s">
        <v>46</v>
      </c>
      <c r="T321">
        <v>0</v>
      </c>
      <c r="U321">
        <v>1</v>
      </c>
      <c r="V321">
        <v>1</v>
      </c>
      <c r="W321">
        <v>0</v>
      </c>
      <c r="X321">
        <v>1</v>
      </c>
      <c r="Y321">
        <v>0</v>
      </c>
      <c r="Z321">
        <v>1</v>
      </c>
      <c r="AA321">
        <v>0</v>
      </c>
      <c r="AB321">
        <v>0</v>
      </c>
      <c r="AC321">
        <v>0</v>
      </c>
      <c r="AD321">
        <v>0</v>
      </c>
      <c r="AE321">
        <v>0</v>
      </c>
      <c r="AF321">
        <v>0</v>
      </c>
      <c r="AG321">
        <v>1</v>
      </c>
    </row>
    <row r="322" spans="1:33" hidden="1" x14ac:dyDescent="0.2">
      <c r="A322">
        <v>321</v>
      </c>
      <c r="B322" t="s">
        <v>180</v>
      </c>
      <c r="C322" t="s">
        <v>108</v>
      </c>
      <c r="D322">
        <v>35</v>
      </c>
      <c r="E322" t="s">
        <v>114</v>
      </c>
      <c r="F322" t="s">
        <v>53</v>
      </c>
      <c r="G322" t="s">
        <v>71</v>
      </c>
      <c r="H322">
        <v>55713</v>
      </c>
      <c r="I322">
        <v>1</v>
      </c>
      <c r="J322">
        <v>1</v>
      </c>
      <c r="K322">
        <v>1</v>
      </c>
      <c r="L322">
        <v>0</v>
      </c>
      <c r="M322" t="s">
        <v>36</v>
      </c>
      <c r="N322" t="s">
        <v>36</v>
      </c>
      <c r="O322" t="s">
        <v>36</v>
      </c>
      <c r="P322" t="s">
        <v>37</v>
      </c>
      <c r="Q322" t="s">
        <v>36</v>
      </c>
      <c r="R322" t="s">
        <v>36</v>
      </c>
      <c r="S322" t="s">
        <v>36</v>
      </c>
      <c r="T322" t="s">
        <v>36</v>
      </c>
      <c r="U322">
        <v>1</v>
      </c>
      <c r="V322">
        <v>1</v>
      </c>
      <c r="W322">
        <v>0</v>
      </c>
      <c r="X322">
        <v>1</v>
      </c>
      <c r="Y322">
        <v>0</v>
      </c>
      <c r="Z322">
        <v>1</v>
      </c>
      <c r="AA322">
        <v>0</v>
      </c>
      <c r="AB322">
        <v>0</v>
      </c>
      <c r="AC322">
        <v>0</v>
      </c>
      <c r="AD322">
        <v>0</v>
      </c>
      <c r="AE322">
        <v>0</v>
      </c>
      <c r="AF322">
        <v>0</v>
      </c>
      <c r="AG322">
        <v>1</v>
      </c>
    </row>
    <row r="323" spans="1:33" hidden="1" x14ac:dyDescent="0.2">
      <c r="A323">
        <v>322</v>
      </c>
      <c r="B323" t="s">
        <v>180</v>
      </c>
      <c r="C323" t="s">
        <v>108</v>
      </c>
      <c r="D323">
        <v>35</v>
      </c>
      <c r="E323" t="s">
        <v>114</v>
      </c>
      <c r="F323" t="s">
        <v>77</v>
      </c>
      <c r="G323" t="s">
        <v>36</v>
      </c>
      <c r="H323">
        <v>42552</v>
      </c>
      <c r="I323" t="s">
        <v>181</v>
      </c>
      <c r="J323" t="s">
        <v>182</v>
      </c>
      <c r="K323" t="s">
        <v>112</v>
      </c>
      <c r="L323" t="s">
        <v>36</v>
      </c>
      <c r="M323" t="s">
        <v>36</v>
      </c>
      <c r="N323" t="s">
        <v>36</v>
      </c>
      <c r="O323" t="s">
        <v>36</v>
      </c>
      <c r="P323" t="s">
        <v>37</v>
      </c>
      <c r="Q323" t="s">
        <v>36</v>
      </c>
      <c r="R323" t="s">
        <v>36</v>
      </c>
      <c r="S323" t="s">
        <v>36</v>
      </c>
      <c r="T323" t="s">
        <v>36</v>
      </c>
      <c r="U323" t="s">
        <v>36</v>
      </c>
      <c r="V323" t="s">
        <v>36</v>
      </c>
      <c r="W323" t="s">
        <v>36</v>
      </c>
      <c r="X323" t="s">
        <v>36</v>
      </c>
      <c r="Y323" t="s">
        <v>36</v>
      </c>
      <c r="Z323" t="s">
        <v>36</v>
      </c>
      <c r="AA323" t="s">
        <v>36</v>
      </c>
      <c r="AB323" t="s">
        <v>36</v>
      </c>
      <c r="AC323" t="s">
        <v>36</v>
      </c>
      <c r="AD323" t="s">
        <v>36</v>
      </c>
      <c r="AE323" t="s">
        <v>36</v>
      </c>
      <c r="AF323" t="s">
        <v>36</v>
      </c>
      <c r="AG323" t="s">
        <v>36</v>
      </c>
    </row>
    <row r="324" spans="1:33" hidden="1" x14ac:dyDescent="0.2">
      <c r="A324">
        <v>323</v>
      </c>
      <c r="B324" t="s">
        <v>183</v>
      </c>
      <c r="C324" t="s">
        <v>108</v>
      </c>
      <c r="D324">
        <v>62</v>
      </c>
      <c r="E324" t="s">
        <v>114</v>
      </c>
      <c r="F324" t="s">
        <v>35</v>
      </c>
      <c r="G324" t="s">
        <v>36</v>
      </c>
      <c r="H324">
        <v>41137</v>
      </c>
      <c r="I324" t="s">
        <v>36</v>
      </c>
      <c r="J324" t="s">
        <v>36</v>
      </c>
      <c r="K324" t="s">
        <v>36</v>
      </c>
      <c r="L324" t="s">
        <v>36</v>
      </c>
      <c r="M324" t="s">
        <v>36</v>
      </c>
      <c r="N324" t="s">
        <v>36</v>
      </c>
      <c r="O324" t="s">
        <v>36</v>
      </c>
      <c r="P324" t="s">
        <v>37</v>
      </c>
      <c r="Q324" t="s">
        <v>36</v>
      </c>
      <c r="R324" t="s">
        <v>36</v>
      </c>
      <c r="S324" t="s">
        <v>36</v>
      </c>
      <c r="T324" t="s">
        <v>36</v>
      </c>
      <c r="U324" t="s">
        <v>36</v>
      </c>
      <c r="V324" t="s">
        <v>36</v>
      </c>
      <c r="W324" t="s">
        <v>36</v>
      </c>
      <c r="X324" t="s">
        <v>36</v>
      </c>
      <c r="Y324" t="s">
        <v>36</v>
      </c>
      <c r="Z324" t="s">
        <v>36</v>
      </c>
      <c r="AA324" t="s">
        <v>36</v>
      </c>
      <c r="AB324" t="s">
        <v>36</v>
      </c>
      <c r="AC324" t="s">
        <v>36</v>
      </c>
      <c r="AD324" t="s">
        <v>36</v>
      </c>
      <c r="AE324" t="s">
        <v>36</v>
      </c>
      <c r="AF324" t="s">
        <v>36</v>
      </c>
      <c r="AG324" t="s">
        <v>36</v>
      </c>
    </row>
    <row r="325" spans="1:33" hidden="1" x14ac:dyDescent="0.2">
      <c r="A325">
        <v>324</v>
      </c>
      <c r="B325" t="s">
        <v>183</v>
      </c>
      <c r="C325" t="s">
        <v>108</v>
      </c>
      <c r="D325">
        <v>62</v>
      </c>
      <c r="E325" t="s">
        <v>114</v>
      </c>
      <c r="F325" t="s">
        <v>38</v>
      </c>
      <c r="G325" t="s">
        <v>40</v>
      </c>
      <c r="H325">
        <v>55867</v>
      </c>
      <c r="I325">
        <v>0</v>
      </c>
      <c r="J325">
        <v>0</v>
      </c>
      <c r="K325">
        <v>1</v>
      </c>
      <c r="L325">
        <v>0</v>
      </c>
      <c r="M325" t="s">
        <v>36</v>
      </c>
      <c r="N325" t="s">
        <v>36</v>
      </c>
      <c r="O325" t="s">
        <v>36</v>
      </c>
      <c r="P325" t="s">
        <v>37</v>
      </c>
      <c r="Q325" t="s">
        <v>36</v>
      </c>
      <c r="R325" t="s">
        <v>36</v>
      </c>
      <c r="S325" t="s">
        <v>36</v>
      </c>
      <c r="T325" t="s">
        <v>36</v>
      </c>
      <c r="U325" t="s">
        <v>36</v>
      </c>
      <c r="V325" t="s">
        <v>36</v>
      </c>
      <c r="W325" t="s">
        <v>36</v>
      </c>
      <c r="X325" t="s">
        <v>36</v>
      </c>
      <c r="Y325" t="s">
        <v>36</v>
      </c>
      <c r="Z325" t="s">
        <v>36</v>
      </c>
      <c r="AA325" t="s">
        <v>36</v>
      </c>
      <c r="AB325" t="s">
        <v>36</v>
      </c>
      <c r="AC325" t="s">
        <v>36</v>
      </c>
      <c r="AD325" t="s">
        <v>36</v>
      </c>
      <c r="AE325" t="s">
        <v>36</v>
      </c>
      <c r="AF325" t="s">
        <v>36</v>
      </c>
      <c r="AG325" t="s">
        <v>36</v>
      </c>
    </row>
    <row r="326" spans="1:33" hidden="1" x14ac:dyDescent="0.2">
      <c r="A326">
        <v>325</v>
      </c>
      <c r="B326" t="s">
        <v>183</v>
      </c>
      <c r="C326" t="s">
        <v>108</v>
      </c>
      <c r="D326">
        <v>62</v>
      </c>
      <c r="E326" t="s">
        <v>114</v>
      </c>
      <c r="F326" t="s">
        <v>38</v>
      </c>
      <c r="G326" t="s">
        <v>39</v>
      </c>
      <c r="H326">
        <v>54213</v>
      </c>
      <c r="I326">
        <v>0</v>
      </c>
      <c r="J326">
        <v>0</v>
      </c>
      <c r="K326">
        <v>0</v>
      </c>
      <c r="L326">
        <v>1</v>
      </c>
      <c r="M326" t="s">
        <v>36</v>
      </c>
      <c r="N326" t="s">
        <v>36</v>
      </c>
      <c r="O326" t="s">
        <v>36</v>
      </c>
      <c r="P326" t="s">
        <v>37</v>
      </c>
      <c r="Q326" t="s">
        <v>36</v>
      </c>
      <c r="R326" t="s">
        <v>36</v>
      </c>
      <c r="S326" t="s">
        <v>36</v>
      </c>
      <c r="T326" t="s">
        <v>36</v>
      </c>
      <c r="U326" t="s">
        <v>36</v>
      </c>
      <c r="V326" t="s">
        <v>36</v>
      </c>
      <c r="W326" t="s">
        <v>36</v>
      </c>
      <c r="X326" t="s">
        <v>36</v>
      </c>
      <c r="Y326" t="s">
        <v>36</v>
      </c>
      <c r="Z326" t="s">
        <v>36</v>
      </c>
      <c r="AA326" t="s">
        <v>36</v>
      </c>
      <c r="AB326" t="s">
        <v>36</v>
      </c>
      <c r="AC326" t="s">
        <v>36</v>
      </c>
      <c r="AD326" t="s">
        <v>36</v>
      </c>
      <c r="AE326" t="s">
        <v>36</v>
      </c>
      <c r="AF326" t="s">
        <v>36</v>
      </c>
      <c r="AG326" t="s">
        <v>36</v>
      </c>
    </row>
    <row r="327" spans="1:33" x14ac:dyDescent="0.2">
      <c r="A327">
        <v>326</v>
      </c>
      <c r="B327" t="s">
        <v>183</v>
      </c>
      <c r="C327" t="s">
        <v>108</v>
      </c>
      <c r="D327">
        <v>62</v>
      </c>
      <c r="E327" t="s">
        <v>114</v>
      </c>
      <c r="F327" t="s">
        <v>41</v>
      </c>
      <c r="G327" t="s">
        <v>55</v>
      </c>
      <c r="H327">
        <v>51096</v>
      </c>
      <c r="I327">
        <v>0</v>
      </c>
      <c r="J327">
        <v>0</v>
      </c>
      <c r="K327">
        <v>0</v>
      </c>
      <c r="L327">
        <v>1</v>
      </c>
      <c r="M327" t="s">
        <v>84</v>
      </c>
      <c r="N327" t="s">
        <v>94</v>
      </c>
      <c r="O327" t="s">
        <v>85</v>
      </c>
      <c r="P327" t="s">
        <v>37</v>
      </c>
      <c r="Q327" t="s">
        <v>46</v>
      </c>
      <c r="R327" t="s">
        <v>47</v>
      </c>
      <c r="S327" t="s">
        <v>65</v>
      </c>
      <c r="T327">
        <v>0</v>
      </c>
      <c r="U327">
        <v>1</v>
      </c>
      <c r="V327">
        <v>0</v>
      </c>
      <c r="W327">
        <v>1</v>
      </c>
      <c r="X327">
        <v>1</v>
      </c>
      <c r="Y327">
        <v>0</v>
      </c>
      <c r="Z327">
        <v>1</v>
      </c>
      <c r="AA327">
        <v>0</v>
      </c>
      <c r="AB327">
        <v>0</v>
      </c>
      <c r="AC327">
        <v>0</v>
      </c>
      <c r="AD327">
        <v>0</v>
      </c>
      <c r="AE327">
        <v>0</v>
      </c>
      <c r="AF327">
        <v>0</v>
      </c>
      <c r="AG327">
        <v>1</v>
      </c>
    </row>
    <row r="328" spans="1:33" x14ac:dyDescent="0.2">
      <c r="A328">
        <v>327</v>
      </c>
      <c r="B328" t="s">
        <v>183</v>
      </c>
      <c r="C328" t="s">
        <v>108</v>
      </c>
      <c r="D328">
        <v>62</v>
      </c>
      <c r="E328" t="s">
        <v>114</v>
      </c>
      <c r="F328" t="s">
        <v>41</v>
      </c>
      <c r="G328" t="s">
        <v>67</v>
      </c>
      <c r="H328">
        <v>37439</v>
      </c>
      <c r="I328">
        <v>0</v>
      </c>
      <c r="J328">
        <v>0</v>
      </c>
      <c r="K328">
        <v>0</v>
      </c>
      <c r="L328">
        <v>1</v>
      </c>
      <c r="M328" t="s">
        <v>70</v>
      </c>
      <c r="N328" t="s">
        <v>68</v>
      </c>
      <c r="O328" t="s">
        <v>103</v>
      </c>
      <c r="P328" t="s">
        <v>37</v>
      </c>
      <c r="Q328" t="s">
        <v>47</v>
      </c>
      <c r="R328" t="s">
        <v>65</v>
      </c>
      <c r="S328" t="s">
        <v>60</v>
      </c>
      <c r="T328">
        <v>1</v>
      </c>
      <c r="U328">
        <v>1</v>
      </c>
      <c r="V328">
        <v>0</v>
      </c>
      <c r="W328">
        <v>1</v>
      </c>
      <c r="X328">
        <v>0</v>
      </c>
      <c r="Y328">
        <v>0</v>
      </c>
      <c r="Z328">
        <v>1</v>
      </c>
      <c r="AA328">
        <v>0</v>
      </c>
      <c r="AB328">
        <v>0</v>
      </c>
      <c r="AC328">
        <v>0</v>
      </c>
      <c r="AD328">
        <v>0</v>
      </c>
      <c r="AE328">
        <v>0</v>
      </c>
      <c r="AF328">
        <v>0</v>
      </c>
      <c r="AG328">
        <v>1</v>
      </c>
    </row>
    <row r="329" spans="1:33" hidden="1" x14ac:dyDescent="0.2">
      <c r="A329">
        <v>328</v>
      </c>
      <c r="B329" t="s">
        <v>183</v>
      </c>
      <c r="C329" t="s">
        <v>108</v>
      </c>
      <c r="D329">
        <v>62</v>
      </c>
      <c r="E329" t="s">
        <v>114</v>
      </c>
      <c r="F329" t="s">
        <v>53</v>
      </c>
      <c r="G329" t="s">
        <v>66</v>
      </c>
      <c r="H329">
        <v>40991</v>
      </c>
      <c r="I329">
        <v>1</v>
      </c>
      <c r="J329">
        <v>0</v>
      </c>
      <c r="K329">
        <v>0</v>
      </c>
      <c r="L329">
        <v>0</v>
      </c>
      <c r="M329" t="s">
        <v>36</v>
      </c>
      <c r="N329" t="s">
        <v>36</v>
      </c>
      <c r="O329" t="s">
        <v>36</v>
      </c>
      <c r="P329" t="s">
        <v>37</v>
      </c>
      <c r="Q329" t="s">
        <v>36</v>
      </c>
      <c r="R329" t="s">
        <v>36</v>
      </c>
      <c r="S329" t="s">
        <v>36</v>
      </c>
      <c r="T329" t="s">
        <v>36</v>
      </c>
      <c r="U329">
        <v>1</v>
      </c>
      <c r="V329">
        <v>0</v>
      </c>
      <c r="W329">
        <v>1</v>
      </c>
      <c r="X329">
        <v>0</v>
      </c>
      <c r="Y329">
        <v>0</v>
      </c>
      <c r="Z329">
        <v>1</v>
      </c>
      <c r="AA329">
        <v>0</v>
      </c>
      <c r="AB329">
        <v>0</v>
      </c>
      <c r="AC329">
        <v>0</v>
      </c>
      <c r="AD329">
        <v>0</v>
      </c>
      <c r="AE329">
        <v>0</v>
      </c>
      <c r="AF329">
        <v>0</v>
      </c>
      <c r="AG329">
        <v>1</v>
      </c>
    </row>
    <row r="330" spans="1:33" x14ac:dyDescent="0.2">
      <c r="A330">
        <v>329</v>
      </c>
      <c r="B330" t="s">
        <v>183</v>
      </c>
      <c r="C330" t="s">
        <v>108</v>
      </c>
      <c r="D330">
        <v>62</v>
      </c>
      <c r="E330" t="s">
        <v>114</v>
      </c>
      <c r="F330" t="s">
        <v>41</v>
      </c>
      <c r="G330" t="s">
        <v>72</v>
      </c>
      <c r="H330">
        <v>23859</v>
      </c>
      <c r="I330">
        <v>0</v>
      </c>
      <c r="J330">
        <v>0</v>
      </c>
      <c r="K330">
        <v>0</v>
      </c>
      <c r="L330">
        <v>1</v>
      </c>
      <c r="M330" t="s">
        <v>115</v>
      </c>
      <c r="N330" t="s">
        <v>93</v>
      </c>
      <c r="O330" t="s">
        <v>104</v>
      </c>
      <c r="P330" t="s">
        <v>37</v>
      </c>
      <c r="Q330" t="s">
        <v>65</v>
      </c>
      <c r="R330" t="s">
        <v>59</v>
      </c>
      <c r="S330" t="s">
        <v>60</v>
      </c>
      <c r="T330">
        <v>1</v>
      </c>
      <c r="U330">
        <v>1</v>
      </c>
      <c r="V330">
        <v>0</v>
      </c>
      <c r="W330">
        <v>0</v>
      </c>
      <c r="X330">
        <v>0</v>
      </c>
      <c r="Y330">
        <v>0</v>
      </c>
      <c r="Z330">
        <v>1</v>
      </c>
      <c r="AA330">
        <v>0</v>
      </c>
      <c r="AB330">
        <v>0</v>
      </c>
      <c r="AC330">
        <v>0</v>
      </c>
      <c r="AD330">
        <v>0</v>
      </c>
      <c r="AE330">
        <v>0</v>
      </c>
      <c r="AF330">
        <v>0</v>
      </c>
      <c r="AG330">
        <v>1</v>
      </c>
    </row>
    <row r="331" spans="1:33" hidden="1" x14ac:dyDescent="0.2">
      <c r="A331">
        <v>330</v>
      </c>
      <c r="B331" t="s">
        <v>183</v>
      </c>
      <c r="C331" t="s">
        <v>108</v>
      </c>
      <c r="D331">
        <v>62</v>
      </c>
      <c r="E331" t="s">
        <v>114</v>
      </c>
      <c r="F331" t="s">
        <v>53</v>
      </c>
      <c r="G331" t="s">
        <v>76</v>
      </c>
      <c r="H331">
        <v>27726</v>
      </c>
      <c r="I331">
        <v>1</v>
      </c>
      <c r="J331">
        <v>0</v>
      </c>
      <c r="K331">
        <v>0</v>
      </c>
      <c r="L331">
        <v>0</v>
      </c>
      <c r="M331" t="s">
        <v>36</v>
      </c>
      <c r="N331" t="s">
        <v>36</v>
      </c>
      <c r="O331" t="s">
        <v>36</v>
      </c>
      <c r="P331" t="s">
        <v>37</v>
      </c>
      <c r="Q331" t="s">
        <v>36</v>
      </c>
      <c r="R331" t="s">
        <v>36</v>
      </c>
      <c r="S331" t="s">
        <v>36</v>
      </c>
      <c r="T331" t="s">
        <v>36</v>
      </c>
      <c r="U331">
        <v>1</v>
      </c>
      <c r="V331">
        <v>0</v>
      </c>
      <c r="W331">
        <v>0</v>
      </c>
      <c r="X331">
        <v>0</v>
      </c>
      <c r="Y331">
        <v>0</v>
      </c>
      <c r="Z331">
        <v>1</v>
      </c>
      <c r="AA331">
        <v>0</v>
      </c>
      <c r="AB331">
        <v>0</v>
      </c>
      <c r="AC331">
        <v>0</v>
      </c>
      <c r="AD331">
        <v>0</v>
      </c>
      <c r="AE331">
        <v>0</v>
      </c>
      <c r="AF331">
        <v>0</v>
      </c>
      <c r="AG331">
        <v>1</v>
      </c>
    </row>
    <row r="332" spans="1:33" x14ac:dyDescent="0.2">
      <c r="A332">
        <v>331</v>
      </c>
      <c r="B332" t="s">
        <v>183</v>
      </c>
      <c r="C332" t="s">
        <v>108</v>
      </c>
      <c r="D332">
        <v>62</v>
      </c>
      <c r="E332" t="s">
        <v>114</v>
      </c>
      <c r="F332" t="s">
        <v>41</v>
      </c>
      <c r="G332" t="s">
        <v>42</v>
      </c>
      <c r="H332">
        <v>21037</v>
      </c>
      <c r="I332">
        <v>0</v>
      </c>
      <c r="J332">
        <v>0</v>
      </c>
      <c r="K332">
        <v>0</v>
      </c>
      <c r="L332">
        <v>1</v>
      </c>
      <c r="M332" t="s">
        <v>43</v>
      </c>
      <c r="N332" t="s">
        <v>45</v>
      </c>
      <c r="O332" t="s">
        <v>102</v>
      </c>
      <c r="P332" t="s">
        <v>37</v>
      </c>
      <c r="Q332" t="s">
        <v>46</v>
      </c>
      <c r="R332" t="s">
        <v>48</v>
      </c>
      <c r="S332" t="s">
        <v>59</v>
      </c>
      <c r="T332">
        <v>0</v>
      </c>
      <c r="U332">
        <v>0</v>
      </c>
      <c r="V332">
        <v>1</v>
      </c>
      <c r="W332">
        <v>0</v>
      </c>
      <c r="X332">
        <v>1</v>
      </c>
      <c r="Y332">
        <v>0</v>
      </c>
      <c r="Z332">
        <v>1</v>
      </c>
      <c r="AA332">
        <v>0</v>
      </c>
      <c r="AB332">
        <v>0</v>
      </c>
      <c r="AC332">
        <v>0</v>
      </c>
      <c r="AD332">
        <v>0</v>
      </c>
      <c r="AE332">
        <v>0</v>
      </c>
      <c r="AF332">
        <v>0</v>
      </c>
      <c r="AG332">
        <v>1</v>
      </c>
    </row>
    <row r="333" spans="1:33" x14ac:dyDescent="0.2">
      <c r="A333">
        <v>332</v>
      </c>
      <c r="B333" t="s">
        <v>183</v>
      </c>
      <c r="C333" t="s">
        <v>108</v>
      </c>
      <c r="D333">
        <v>62</v>
      </c>
      <c r="E333" t="s">
        <v>114</v>
      </c>
      <c r="F333" t="s">
        <v>41</v>
      </c>
      <c r="G333" t="s">
        <v>49</v>
      </c>
      <c r="H333">
        <v>29425</v>
      </c>
      <c r="I333">
        <v>0</v>
      </c>
      <c r="J333">
        <v>0</v>
      </c>
      <c r="K333">
        <v>0</v>
      </c>
      <c r="L333">
        <v>1</v>
      </c>
      <c r="M333" t="s">
        <v>51</v>
      </c>
      <c r="N333" t="s">
        <v>52</v>
      </c>
      <c r="O333" t="s">
        <v>95</v>
      </c>
      <c r="P333" t="s">
        <v>37</v>
      </c>
      <c r="Q333" t="s">
        <v>47</v>
      </c>
      <c r="R333" t="s">
        <v>46</v>
      </c>
      <c r="S333" t="s">
        <v>60</v>
      </c>
      <c r="T333">
        <v>1</v>
      </c>
      <c r="U333">
        <v>0</v>
      </c>
      <c r="V333">
        <v>0</v>
      </c>
      <c r="W333">
        <v>1</v>
      </c>
      <c r="X333">
        <v>1</v>
      </c>
      <c r="Y333">
        <v>0</v>
      </c>
      <c r="Z333">
        <v>1</v>
      </c>
      <c r="AA333">
        <v>0</v>
      </c>
      <c r="AB333">
        <v>0</v>
      </c>
      <c r="AC333">
        <v>0</v>
      </c>
      <c r="AD333">
        <v>0</v>
      </c>
      <c r="AE333">
        <v>0</v>
      </c>
      <c r="AF333">
        <v>0</v>
      </c>
      <c r="AG333">
        <v>1</v>
      </c>
    </row>
    <row r="334" spans="1:33" hidden="1" x14ac:dyDescent="0.2">
      <c r="A334">
        <v>333</v>
      </c>
      <c r="B334" t="s">
        <v>183</v>
      </c>
      <c r="C334" t="s">
        <v>108</v>
      </c>
      <c r="D334">
        <v>62</v>
      </c>
      <c r="E334" t="s">
        <v>114</v>
      </c>
      <c r="F334" t="s">
        <v>53</v>
      </c>
      <c r="G334" t="s">
        <v>54</v>
      </c>
      <c r="H334">
        <v>33709</v>
      </c>
      <c r="I334">
        <v>0</v>
      </c>
      <c r="J334">
        <v>0</v>
      </c>
      <c r="K334">
        <v>1</v>
      </c>
      <c r="L334">
        <v>0</v>
      </c>
      <c r="M334" t="s">
        <v>36</v>
      </c>
      <c r="N334" t="s">
        <v>36</v>
      </c>
      <c r="O334" t="s">
        <v>36</v>
      </c>
      <c r="P334" t="s">
        <v>37</v>
      </c>
      <c r="Q334" t="s">
        <v>36</v>
      </c>
      <c r="R334" t="s">
        <v>36</v>
      </c>
      <c r="S334" t="s">
        <v>36</v>
      </c>
      <c r="T334" t="s">
        <v>36</v>
      </c>
      <c r="U334">
        <v>0</v>
      </c>
      <c r="V334">
        <v>0</v>
      </c>
      <c r="W334">
        <v>1</v>
      </c>
      <c r="X334">
        <v>1</v>
      </c>
      <c r="Y334">
        <v>0</v>
      </c>
      <c r="Z334">
        <v>1</v>
      </c>
      <c r="AA334">
        <v>0</v>
      </c>
      <c r="AB334">
        <v>0</v>
      </c>
      <c r="AC334">
        <v>0</v>
      </c>
      <c r="AD334">
        <v>0</v>
      </c>
      <c r="AE334">
        <v>0</v>
      </c>
      <c r="AF334">
        <v>0</v>
      </c>
      <c r="AG334">
        <v>1</v>
      </c>
    </row>
    <row r="335" spans="1:33" x14ac:dyDescent="0.2">
      <c r="A335">
        <v>334</v>
      </c>
      <c r="B335" t="s">
        <v>183</v>
      </c>
      <c r="C335" t="s">
        <v>108</v>
      </c>
      <c r="D335">
        <v>62</v>
      </c>
      <c r="E335" t="s">
        <v>114</v>
      </c>
      <c r="F335" t="s">
        <v>41</v>
      </c>
      <c r="G335" t="s">
        <v>61</v>
      </c>
      <c r="H335">
        <v>26012</v>
      </c>
      <c r="I335">
        <v>0</v>
      </c>
      <c r="J335">
        <v>0</v>
      </c>
      <c r="K335">
        <v>0</v>
      </c>
      <c r="L335">
        <v>1</v>
      </c>
      <c r="M335" t="s">
        <v>62</v>
      </c>
      <c r="N335" t="s">
        <v>87</v>
      </c>
      <c r="O335" t="s">
        <v>64</v>
      </c>
      <c r="P335" t="s">
        <v>37</v>
      </c>
      <c r="Q335" t="s">
        <v>65</v>
      </c>
      <c r="R335" t="s">
        <v>47</v>
      </c>
      <c r="S335" t="s">
        <v>48</v>
      </c>
      <c r="T335">
        <v>0</v>
      </c>
      <c r="U335">
        <v>1</v>
      </c>
      <c r="V335">
        <v>1</v>
      </c>
      <c r="W335">
        <v>1</v>
      </c>
      <c r="X335">
        <v>0</v>
      </c>
      <c r="Y335">
        <v>0</v>
      </c>
      <c r="Z335">
        <v>1</v>
      </c>
      <c r="AA335">
        <v>0</v>
      </c>
      <c r="AB335">
        <v>0</v>
      </c>
      <c r="AC335">
        <v>0</v>
      </c>
      <c r="AD335">
        <v>0</v>
      </c>
      <c r="AE335">
        <v>0</v>
      </c>
      <c r="AF335">
        <v>0</v>
      </c>
      <c r="AG335">
        <v>1</v>
      </c>
    </row>
    <row r="336" spans="1:33" hidden="1" x14ac:dyDescent="0.2">
      <c r="A336">
        <v>335</v>
      </c>
      <c r="B336" t="s">
        <v>183</v>
      </c>
      <c r="C336" t="s">
        <v>108</v>
      </c>
      <c r="D336">
        <v>62</v>
      </c>
      <c r="E336" t="s">
        <v>114</v>
      </c>
      <c r="F336" t="s">
        <v>53</v>
      </c>
      <c r="G336" t="s">
        <v>71</v>
      </c>
      <c r="H336">
        <v>45787</v>
      </c>
      <c r="I336">
        <v>0</v>
      </c>
      <c r="J336">
        <v>0</v>
      </c>
      <c r="K336">
        <v>1</v>
      </c>
      <c r="L336">
        <v>0</v>
      </c>
      <c r="M336" t="s">
        <v>36</v>
      </c>
      <c r="N336" t="s">
        <v>36</v>
      </c>
      <c r="O336" t="s">
        <v>36</v>
      </c>
      <c r="P336" t="s">
        <v>37</v>
      </c>
      <c r="Q336" t="s">
        <v>36</v>
      </c>
      <c r="R336" t="s">
        <v>36</v>
      </c>
      <c r="S336" t="s">
        <v>36</v>
      </c>
      <c r="T336" t="s">
        <v>36</v>
      </c>
      <c r="U336">
        <v>1</v>
      </c>
      <c r="V336">
        <v>1</v>
      </c>
      <c r="W336">
        <v>1</v>
      </c>
      <c r="X336">
        <v>0</v>
      </c>
      <c r="Y336">
        <v>0</v>
      </c>
      <c r="Z336">
        <v>1</v>
      </c>
      <c r="AA336">
        <v>0</v>
      </c>
      <c r="AB336">
        <v>0</v>
      </c>
      <c r="AC336">
        <v>0</v>
      </c>
      <c r="AD336">
        <v>0</v>
      </c>
      <c r="AE336">
        <v>0</v>
      </c>
      <c r="AF336">
        <v>0</v>
      </c>
      <c r="AG336">
        <v>1</v>
      </c>
    </row>
    <row r="337" spans="1:33" hidden="1" x14ac:dyDescent="0.2">
      <c r="A337">
        <v>336</v>
      </c>
      <c r="B337" t="s">
        <v>183</v>
      </c>
      <c r="C337" t="s">
        <v>108</v>
      </c>
      <c r="D337">
        <v>62</v>
      </c>
      <c r="E337" t="s">
        <v>114</v>
      </c>
      <c r="F337" t="s">
        <v>77</v>
      </c>
      <c r="G337" t="s">
        <v>36</v>
      </c>
      <c r="H337">
        <v>86252</v>
      </c>
      <c r="I337" t="s">
        <v>184</v>
      </c>
      <c r="J337" t="s">
        <v>185</v>
      </c>
      <c r="K337" t="s">
        <v>186</v>
      </c>
      <c r="L337" t="s">
        <v>36</v>
      </c>
      <c r="M337" t="s">
        <v>36</v>
      </c>
      <c r="N337" t="s">
        <v>36</v>
      </c>
      <c r="O337" t="s">
        <v>36</v>
      </c>
      <c r="P337" t="s">
        <v>37</v>
      </c>
      <c r="Q337" t="s">
        <v>36</v>
      </c>
      <c r="R337" t="s">
        <v>36</v>
      </c>
      <c r="S337" t="s">
        <v>36</v>
      </c>
      <c r="T337" t="s">
        <v>36</v>
      </c>
      <c r="U337" t="s">
        <v>36</v>
      </c>
      <c r="V337" t="s">
        <v>36</v>
      </c>
      <c r="W337" t="s">
        <v>36</v>
      </c>
      <c r="X337" t="s">
        <v>36</v>
      </c>
      <c r="Y337" t="s">
        <v>36</v>
      </c>
      <c r="Z337" t="s">
        <v>36</v>
      </c>
      <c r="AA337" t="s">
        <v>36</v>
      </c>
      <c r="AB337" t="s">
        <v>36</v>
      </c>
      <c r="AC337" t="s">
        <v>36</v>
      </c>
      <c r="AD337" t="s">
        <v>36</v>
      </c>
      <c r="AE337" t="s">
        <v>36</v>
      </c>
      <c r="AF337" t="s">
        <v>36</v>
      </c>
      <c r="AG337" t="s">
        <v>36</v>
      </c>
    </row>
    <row r="338" spans="1:33" hidden="1" x14ac:dyDescent="0.2">
      <c r="A338">
        <v>337</v>
      </c>
      <c r="B338" t="s">
        <v>187</v>
      </c>
      <c r="C338" t="s">
        <v>188</v>
      </c>
      <c r="D338">
        <v>27</v>
      </c>
      <c r="E338" t="s">
        <v>114</v>
      </c>
      <c r="F338" t="s">
        <v>35</v>
      </c>
      <c r="G338" t="s">
        <v>36</v>
      </c>
      <c r="H338">
        <v>26290</v>
      </c>
      <c r="I338" t="s">
        <v>36</v>
      </c>
      <c r="J338" t="s">
        <v>36</v>
      </c>
      <c r="K338" t="s">
        <v>36</v>
      </c>
      <c r="L338" t="s">
        <v>36</v>
      </c>
      <c r="M338" t="s">
        <v>36</v>
      </c>
      <c r="N338" t="s">
        <v>36</v>
      </c>
      <c r="O338" t="s">
        <v>36</v>
      </c>
      <c r="P338" t="s">
        <v>37</v>
      </c>
      <c r="Q338" t="s">
        <v>36</v>
      </c>
      <c r="R338" t="s">
        <v>36</v>
      </c>
      <c r="S338" t="s">
        <v>36</v>
      </c>
      <c r="T338" t="s">
        <v>36</v>
      </c>
      <c r="U338" t="s">
        <v>36</v>
      </c>
      <c r="V338" t="s">
        <v>36</v>
      </c>
      <c r="W338" t="s">
        <v>36</v>
      </c>
      <c r="X338" t="s">
        <v>36</v>
      </c>
      <c r="Y338" t="s">
        <v>36</v>
      </c>
      <c r="Z338" t="s">
        <v>36</v>
      </c>
      <c r="AA338" t="s">
        <v>36</v>
      </c>
      <c r="AB338" t="s">
        <v>36</v>
      </c>
      <c r="AC338" t="s">
        <v>36</v>
      </c>
      <c r="AD338" t="s">
        <v>36</v>
      </c>
      <c r="AE338" t="s">
        <v>36</v>
      </c>
      <c r="AF338" t="s">
        <v>36</v>
      </c>
      <c r="AG338" t="s">
        <v>36</v>
      </c>
    </row>
    <row r="339" spans="1:33" hidden="1" x14ac:dyDescent="0.2">
      <c r="A339">
        <v>338</v>
      </c>
      <c r="B339" t="s">
        <v>187</v>
      </c>
      <c r="C339" t="s">
        <v>188</v>
      </c>
      <c r="D339">
        <v>27</v>
      </c>
      <c r="E339" t="s">
        <v>114</v>
      </c>
      <c r="F339" t="s">
        <v>38</v>
      </c>
      <c r="G339" t="s">
        <v>40</v>
      </c>
      <c r="H339">
        <v>7859</v>
      </c>
      <c r="I339">
        <v>0</v>
      </c>
      <c r="J339">
        <v>0</v>
      </c>
      <c r="K339">
        <v>1</v>
      </c>
      <c r="L339">
        <v>0</v>
      </c>
      <c r="M339" t="s">
        <v>36</v>
      </c>
      <c r="N339" t="s">
        <v>36</v>
      </c>
      <c r="O339" t="s">
        <v>36</v>
      </c>
      <c r="P339" t="s">
        <v>37</v>
      </c>
      <c r="Q339" t="s">
        <v>36</v>
      </c>
      <c r="R339" t="s">
        <v>36</v>
      </c>
      <c r="S339" t="s">
        <v>36</v>
      </c>
      <c r="T339" t="s">
        <v>36</v>
      </c>
      <c r="U339" t="s">
        <v>36</v>
      </c>
      <c r="V339" t="s">
        <v>36</v>
      </c>
      <c r="W339" t="s">
        <v>36</v>
      </c>
      <c r="X339" t="s">
        <v>36</v>
      </c>
      <c r="Y339" t="s">
        <v>36</v>
      </c>
      <c r="Z339" t="s">
        <v>36</v>
      </c>
      <c r="AA339" t="s">
        <v>36</v>
      </c>
      <c r="AB339" t="s">
        <v>36</v>
      </c>
      <c r="AC339" t="s">
        <v>36</v>
      </c>
      <c r="AD339" t="s">
        <v>36</v>
      </c>
      <c r="AE339" t="s">
        <v>36</v>
      </c>
      <c r="AF339" t="s">
        <v>36</v>
      </c>
      <c r="AG339" t="s">
        <v>36</v>
      </c>
    </row>
    <row r="340" spans="1:33" hidden="1" x14ac:dyDescent="0.2">
      <c r="A340">
        <v>339</v>
      </c>
      <c r="B340" t="s">
        <v>187</v>
      </c>
      <c r="C340" t="s">
        <v>188</v>
      </c>
      <c r="D340">
        <v>27</v>
      </c>
      <c r="E340" t="s">
        <v>114</v>
      </c>
      <c r="F340" t="s">
        <v>38</v>
      </c>
      <c r="G340" t="s">
        <v>39</v>
      </c>
      <c r="H340">
        <v>10700</v>
      </c>
      <c r="I340">
        <v>0</v>
      </c>
      <c r="J340">
        <v>1</v>
      </c>
      <c r="K340">
        <v>0</v>
      </c>
      <c r="L340">
        <v>0</v>
      </c>
      <c r="M340" t="s">
        <v>36</v>
      </c>
      <c r="N340" t="s">
        <v>36</v>
      </c>
      <c r="O340" t="s">
        <v>36</v>
      </c>
      <c r="P340" t="s">
        <v>37</v>
      </c>
      <c r="Q340" t="s">
        <v>36</v>
      </c>
      <c r="R340" t="s">
        <v>36</v>
      </c>
      <c r="S340" t="s">
        <v>36</v>
      </c>
      <c r="T340" t="s">
        <v>36</v>
      </c>
      <c r="U340" t="s">
        <v>36</v>
      </c>
      <c r="V340" t="s">
        <v>36</v>
      </c>
      <c r="W340" t="s">
        <v>36</v>
      </c>
      <c r="X340" t="s">
        <v>36</v>
      </c>
      <c r="Y340" t="s">
        <v>36</v>
      </c>
      <c r="Z340" t="s">
        <v>36</v>
      </c>
      <c r="AA340" t="s">
        <v>36</v>
      </c>
      <c r="AB340" t="s">
        <v>36</v>
      </c>
      <c r="AC340" t="s">
        <v>36</v>
      </c>
      <c r="AD340" t="s">
        <v>36</v>
      </c>
      <c r="AE340" t="s">
        <v>36</v>
      </c>
      <c r="AF340" t="s">
        <v>36</v>
      </c>
      <c r="AG340" t="s">
        <v>36</v>
      </c>
    </row>
    <row r="341" spans="1:33" x14ac:dyDescent="0.2">
      <c r="A341">
        <v>340</v>
      </c>
      <c r="B341" t="s">
        <v>187</v>
      </c>
      <c r="C341" t="s">
        <v>188</v>
      </c>
      <c r="D341">
        <v>27</v>
      </c>
      <c r="E341" t="s">
        <v>114</v>
      </c>
      <c r="F341" t="s">
        <v>41</v>
      </c>
      <c r="G341" t="s">
        <v>42</v>
      </c>
      <c r="H341">
        <v>2639</v>
      </c>
      <c r="I341">
        <v>0</v>
      </c>
      <c r="J341">
        <v>0</v>
      </c>
      <c r="K341">
        <v>1</v>
      </c>
      <c r="L341">
        <v>0</v>
      </c>
      <c r="M341" t="s">
        <v>44</v>
      </c>
      <c r="N341" t="s">
        <v>45</v>
      </c>
      <c r="O341" t="s">
        <v>116</v>
      </c>
      <c r="P341" t="s">
        <v>37</v>
      </c>
      <c r="Q341" t="s">
        <v>47</v>
      </c>
      <c r="R341" t="s">
        <v>48</v>
      </c>
      <c r="S341" t="s">
        <v>60</v>
      </c>
      <c r="T341">
        <v>1</v>
      </c>
      <c r="U341">
        <v>0</v>
      </c>
      <c r="V341">
        <v>1</v>
      </c>
      <c r="W341">
        <v>1</v>
      </c>
      <c r="X341">
        <v>0</v>
      </c>
      <c r="Y341">
        <v>0</v>
      </c>
      <c r="Z341">
        <v>1</v>
      </c>
      <c r="AA341">
        <v>1</v>
      </c>
      <c r="AB341">
        <v>0</v>
      </c>
      <c r="AC341">
        <v>0</v>
      </c>
      <c r="AD341">
        <v>0</v>
      </c>
      <c r="AE341">
        <v>0</v>
      </c>
      <c r="AF341">
        <v>0</v>
      </c>
      <c r="AG341">
        <v>0</v>
      </c>
    </row>
    <row r="342" spans="1:33" x14ac:dyDescent="0.2">
      <c r="A342">
        <v>341</v>
      </c>
      <c r="B342" t="s">
        <v>187</v>
      </c>
      <c r="C342" t="s">
        <v>188</v>
      </c>
      <c r="D342">
        <v>27</v>
      </c>
      <c r="E342" t="s">
        <v>114</v>
      </c>
      <c r="F342" t="s">
        <v>41</v>
      </c>
      <c r="G342" t="s">
        <v>61</v>
      </c>
      <c r="H342">
        <v>3202</v>
      </c>
      <c r="I342">
        <v>0</v>
      </c>
      <c r="J342">
        <v>0</v>
      </c>
      <c r="K342">
        <v>1</v>
      </c>
      <c r="L342">
        <v>0</v>
      </c>
      <c r="M342" t="s">
        <v>125</v>
      </c>
      <c r="N342" t="s">
        <v>87</v>
      </c>
      <c r="O342" t="s">
        <v>64</v>
      </c>
      <c r="P342" t="s">
        <v>37</v>
      </c>
      <c r="Q342" t="s">
        <v>60</v>
      </c>
      <c r="R342" t="s">
        <v>47</v>
      </c>
      <c r="S342" t="s">
        <v>48</v>
      </c>
      <c r="T342">
        <v>1</v>
      </c>
      <c r="U342">
        <v>0</v>
      </c>
      <c r="V342">
        <v>1</v>
      </c>
      <c r="W342">
        <v>1</v>
      </c>
      <c r="X342">
        <v>0</v>
      </c>
      <c r="Y342">
        <v>0</v>
      </c>
      <c r="Z342">
        <v>1</v>
      </c>
      <c r="AA342">
        <v>0</v>
      </c>
      <c r="AB342">
        <v>0</v>
      </c>
      <c r="AC342">
        <v>1</v>
      </c>
      <c r="AD342">
        <v>0</v>
      </c>
      <c r="AE342">
        <v>0</v>
      </c>
      <c r="AF342">
        <v>0</v>
      </c>
      <c r="AG342">
        <v>0</v>
      </c>
    </row>
    <row r="343" spans="1:33" hidden="1" x14ac:dyDescent="0.2">
      <c r="A343">
        <v>342</v>
      </c>
      <c r="B343" t="s">
        <v>187</v>
      </c>
      <c r="C343" t="s">
        <v>188</v>
      </c>
      <c r="D343">
        <v>27</v>
      </c>
      <c r="E343" t="s">
        <v>114</v>
      </c>
      <c r="F343" t="s">
        <v>53</v>
      </c>
      <c r="G343" t="s">
        <v>76</v>
      </c>
      <c r="H343">
        <v>11595</v>
      </c>
      <c r="I343">
        <v>0</v>
      </c>
      <c r="J343">
        <v>0</v>
      </c>
      <c r="K343">
        <v>0</v>
      </c>
      <c r="L343">
        <v>1</v>
      </c>
      <c r="M343" t="s">
        <v>36</v>
      </c>
      <c r="N343" t="s">
        <v>36</v>
      </c>
      <c r="O343" t="s">
        <v>36</v>
      </c>
      <c r="P343" t="s">
        <v>37</v>
      </c>
      <c r="Q343" t="s">
        <v>36</v>
      </c>
      <c r="R343" t="s">
        <v>36</v>
      </c>
      <c r="S343" t="s">
        <v>36</v>
      </c>
      <c r="T343" t="s">
        <v>36</v>
      </c>
      <c r="U343">
        <v>0</v>
      </c>
      <c r="V343">
        <v>1</v>
      </c>
      <c r="W343">
        <v>1</v>
      </c>
      <c r="X343">
        <v>0</v>
      </c>
      <c r="Y343">
        <v>0</v>
      </c>
      <c r="Z343">
        <v>1</v>
      </c>
      <c r="AA343">
        <v>0</v>
      </c>
      <c r="AB343">
        <v>0</v>
      </c>
      <c r="AC343">
        <v>1</v>
      </c>
      <c r="AD343">
        <v>0</v>
      </c>
      <c r="AE343">
        <v>0</v>
      </c>
      <c r="AF343">
        <v>0</v>
      </c>
      <c r="AG343">
        <v>0</v>
      </c>
    </row>
    <row r="344" spans="1:33" x14ac:dyDescent="0.2">
      <c r="A344">
        <v>343</v>
      </c>
      <c r="B344" t="s">
        <v>187</v>
      </c>
      <c r="C344" t="s">
        <v>188</v>
      </c>
      <c r="D344">
        <v>27</v>
      </c>
      <c r="E344" t="s">
        <v>114</v>
      </c>
      <c r="F344" t="s">
        <v>41</v>
      </c>
      <c r="G344" t="s">
        <v>67</v>
      </c>
      <c r="H344">
        <v>1969</v>
      </c>
      <c r="I344">
        <v>0</v>
      </c>
      <c r="J344">
        <v>1</v>
      </c>
      <c r="K344">
        <v>0</v>
      </c>
      <c r="L344">
        <v>0</v>
      </c>
      <c r="M344" t="s">
        <v>86</v>
      </c>
      <c r="N344" t="s">
        <v>103</v>
      </c>
      <c r="O344" t="s">
        <v>109</v>
      </c>
      <c r="P344" t="s">
        <v>37</v>
      </c>
      <c r="Q344" t="s">
        <v>46</v>
      </c>
      <c r="R344" t="s">
        <v>60</v>
      </c>
      <c r="S344" t="s">
        <v>59</v>
      </c>
      <c r="T344">
        <v>1</v>
      </c>
      <c r="U344">
        <v>0</v>
      </c>
      <c r="V344">
        <v>0</v>
      </c>
      <c r="W344">
        <v>0</v>
      </c>
      <c r="X344">
        <v>1</v>
      </c>
      <c r="Y344">
        <v>0</v>
      </c>
      <c r="Z344">
        <v>1</v>
      </c>
      <c r="AA344">
        <v>1</v>
      </c>
      <c r="AB344">
        <v>0</v>
      </c>
      <c r="AC344">
        <v>0</v>
      </c>
      <c r="AD344">
        <v>0</v>
      </c>
      <c r="AE344">
        <v>0</v>
      </c>
      <c r="AF344">
        <v>0</v>
      </c>
      <c r="AG344">
        <v>0</v>
      </c>
    </row>
    <row r="345" spans="1:33" x14ac:dyDescent="0.2">
      <c r="A345">
        <v>344</v>
      </c>
      <c r="B345" t="s">
        <v>187</v>
      </c>
      <c r="C345" t="s">
        <v>188</v>
      </c>
      <c r="D345">
        <v>27</v>
      </c>
      <c r="E345" t="s">
        <v>114</v>
      </c>
      <c r="F345" t="s">
        <v>41</v>
      </c>
      <c r="G345" t="s">
        <v>72</v>
      </c>
      <c r="H345">
        <v>5473</v>
      </c>
      <c r="I345">
        <v>0</v>
      </c>
      <c r="J345">
        <v>0</v>
      </c>
      <c r="K345">
        <v>1</v>
      </c>
      <c r="L345">
        <v>0</v>
      </c>
      <c r="M345" t="s">
        <v>74</v>
      </c>
      <c r="N345" t="s">
        <v>115</v>
      </c>
      <c r="O345" t="s">
        <v>73</v>
      </c>
      <c r="P345" t="s">
        <v>37</v>
      </c>
      <c r="Q345" t="s">
        <v>47</v>
      </c>
      <c r="R345" t="s">
        <v>65</v>
      </c>
      <c r="S345" t="s">
        <v>48</v>
      </c>
      <c r="T345">
        <v>0</v>
      </c>
      <c r="U345">
        <v>1</v>
      </c>
      <c r="V345">
        <v>1</v>
      </c>
      <c r="W345">
        <v>1</v>
      </c>
      <c r="X345">
        <v>0</v>
      </c>
      <c r="Y345">
        <v>0</v>
      </c>
      <c r="Z345">
        <v>1</v>
      </c>
      <c r="AA345">
        <v>0</v>
      </c>
      <c r="AB345">
        <v>0</v>
      </c>
      <c r="AC345">
        <v>1</v>
      </c>
      <c r="AD345">
        <v>0</v>
      </c>
      <c r="AE345">
        <v>0</v>
      </c>
      <c r="AF345">
        <v>0</v>
      </c>
      <c r="AG345">
        <v>0</v>
      </c>
    </row>
    <row r="346" spans="1:33" hidden="1" x14ac:dyDescent="0.2">
      <c r="A346">
        <v>345</v>
      </c>
      <c r="B346" t="s">
        <v>187</v>
      </c>
      <c r="C346" t="s">
        <v>188</v>
      </c>
      <c r="D346">
        <v>27</v>
      </c>
      <c r="E346" t="s">
        <v>114</v>
      </c>
      <c r="F346" t="s">
        <v>53</v>
      </c>
      <c r="G346" t="s">
        <v>54</v>
      </c>
      <c r="H346">
        <v>53016</v>
      </c>
      <c r="I346">
        <v>0</v>
      </c>
      <c r="J346">
        <v>1</v>
      </c>
      <c r="K346">
        <v>0</v>
      </c>
      <c r="L346">
        <v>0</v>
      </c>
      <c r="M346" t="s">
        <v>36</v>
      </c>
      <c r="N346" t="s">
        <v>36</v>
      </c>
      <c r="O346" t="s">
        <v>36</v>
      </c>
      <c r="P346" t="s">
        <v>37</v>
      </c>
      <c r="Q346" t="s">
        <v>36</v>
      </c>
      <c r="R346" t="s">
        <v>36</v>
      </c>
      <c r="S346" t="s">
        <v>36</v>
      </c>
      <c r="T346" t="s">
        <v>36</v>
      </c>
      <c r="U346">
        <v>1</v>
      </c>
      <c r="V346">
        <v>1</v>
      </c>
      <c r="W346">
        <v>1</v>
      </c>
      <c r="X346">
        <v>0</v>
      </c>
      <c r="Y346">
        <v>0</v>
      </c>
      <c r="Z346">
        <v>1</v>
      </c>
      <c r="AA346">
        <v>0</v>
      </c>
      <c r="AB346">
        <v>0</v>
      </c>
      <c r="AC346">
        <v>1</v>
      </c>
      <c r="AD346">
        <v>0</v>
      </c>
      <c r="AE346">
        <v>0</v>
      </c>
      <c r="AF346">
        <v>0</v>
      </c>
      <c r="AG346">
        <v>0</v>
      </c>
    </row>
    <row r="347" spans="1:33" x14ac:dyDescent="0.2">
      <c r="A347">
        <v>346</v>
      </c>
      <c r="B347" t="s">
        <v>187</v>
      </c>
      <c r="C347" t="s">
        <v>188</v>
      </c>
      <c r="D347">
        <v>27</v>
      </c>
      <c r="E347" t="s">
        <v>114</v>
      </c>
      <c r="F347" t="s">
        <v>41</v>
      </c>
      <c r="G347" t="s">
        <v>55</v>
      </c>
      <c r="H347">
        <v>4329</v>
      </c>
      <c r="I347">
        <v>0</v>
      </c>
      <c r="J347">
        <v>0</v>
      </c>
      <c r="K347">
        <v>1</v>
      </c>
      <c r="L347">
        <v>0</v>
      </c>
      <c r="M347" t="s">
        <v>58</v>
      </c>
      <c r="N347" t="s">
        <v>84</v>
      </c>
      <c r="O347" t="s">
        <v>94</v>
      </c>
      <c r="P347" t="s">
        <v>37</v>
      </c>
      <c r="Q347" t="s">
        <v>60</v>
      </c>
      <c r="R347" t="s">
        <v>46</v>
      </c>
      <c r="S347" t="s">
        <v>47</v>
      </c>
      <c r="T347">
        <v>1</v>
      </c>
      <c r="U347">
        <v>0</v>
      </c>
      <c r="V347">
        <v>0</v>
      </c>
      <c r="W347">
        <v>1</v>
      </c>
      <c r="X347">
        <v>1</v>
      </c>
      <c r="Y347">
        <v>0</v>
      </c>
      <c r="Z347">
        <v>1</v>
      </c>
      <c r="AA347">
        <v>0</v>
      </c>
      <c r="AB347">
        <v>0</v>
      </c>
      <c r="AC347">
        <v>0</v>
      </c>
      <c r="AD347">
        <v>1</v>
      </c>
      <c r="AE347">
        <v>0</v>
      </c>
      <c r="AF347">
        <v>0</v>
      </c>
      <c r="AG347">
        <v>0</v>
      </c>
    </row>
    <row r="348" spans="1:33" hidden="1" x14ac:dyDescent="0.2">
      <c r="A348">
        <v>347</v>
      </c>
      <c r="B348" t="s">
        <v>187</v>
      </c>
      <c r="C348" t="s">
        <v>188</v>
      </c>
      <c r="D348">
        <v>27</v>
      </c>
      <c r="E348" t="s">
        <v>114</v>
      </c>
      <c r="F348" t="s">
        <v>53</v>
      </c>
      <c r="G348" t="s">
        <v>71</v>
      </c>
      <c r="H348">
        <v>3779</v>
      </c>
      <c r="I348">
        <v>0</v>
      </c>
      <c r="J348">
        <v>1</v>
      </c>
      <c r="K348">
        <v>0</v>
      </c>
      <c r="L348">
        <v>0</v>
      </c>
      <c r="M348" t="s">
        <v>36</v>
      </c>
      <c r="N348" t="s">
        <v>36</v>
      </c>
      <c r="O348" t="s">
        <v>36</v>
      </c>
      <c r="P348" t="s">
        <v>37</v>
      </c>
      <c r="Q348" t="s">
        <v>36</v>
      </c>
      <c r="R348" t="s">
        <v>36</v>
      </c>
      <c r="S348" t="s">
        <v>36</v>
      </c>
      <c r="T348" t="s">
        <v>36</v>
      </c>
      <c r="U348">
        <v>0</v>
      </c>
      <c r="V348">
        <v>0</v>
      </c>
      <c r="W348">
        <v>1</v>
      </c>
      <c r="X348">
        <v>1</v>
      </c>
      <c r="Y348">
        <v>0</v>
      </c>
      <c r="Z348">
        <v>1</v>
      </c>
      <c r="AA348">
        <v>0</v>
      </c>
      <c r="AB348">
        <v>0</v>
      </c>
      <c r="AC348">
        <v>0</v>
      </c>
      <c r="AD348">
        <v>1</v>
      </c>
      <c r="AE348">
        <v>0</v>
      </c>
      <c r="AF348">
        <v>0</v>
      </c>
      <c r="AG348">
        <v>0</v>
      </c>
    </row>
    <row r="349" spans="1:33" x14ac:dyDescent="0.2">
      <c r="A349">
        <v>348</v>
      </c>
      <c r="B349" t="s">
        <v>187</v>
      </c>
      <c r="C349" t="s">
        <v>188</v>
      </c>
      <c r="D349">
        <v>27</v>
      </c>
      <c r="E349" t="s">
        <v>114</v>
      </c>
      <c r="F349" t="s">
        <v>41</v>
      </c>
      <c r="G349" t="s">
        <v>49</v>
      </c>
      <c r="H349">
        <v>1897</v>
      </c>
      <c r="I349">
        <v>0</v>
      </c>
      <c r="J349">
        <v>1</v>
      </c>
      <c r="K349">
        <v>0</v>
      </c>
      <c r="L349">
        <v>0</v>
      </c>
      <c r="M349" t="s">
        <v>96</v>
      </c>
      <c r="N349" t="s">
        <v>95</v>
      </c>
      <c r="O349" t="s">
        <v>52</v>
      </c>
      <c r="P349" t="s">
        <v>37</v>
      </c>
      <c r="Q349" t="s">
        <v>65</v>
      </c>
      <c r="R349" t="s">
        <v>60</v>
      </c>
      <c r="S349" t="s">
        <v>46</v>
      </c>
      <c r="T349">
        <v>1</v>
      </c>
      <c r="U349">
        <v>1</v>
      </c>
      <c r="V349">
        <v>0</v>
      </c>
      <c r="W349">
        <v>0</v>
      </c>
      <c r="X349">
        <v>1</v>
      </c>
      <c r="Y349">
        <v>0</v>
      </c>
      <c r="Z349">
        <v>1</v>
      </c>
      <c r="AA349">
        <v>1</v>
      </c>
      <c r="AB349">
        <v>0</v>
      </c>
      <c r="AC349">
        <v>0</v>
      </c>
      <c r="AD349">
        <v>0</v>
      </c>
      <c r="AE349">
        <v>0</v>
      </c>
      <c r="AF349">
        <v>0</v>
      </c>
      <c r="AG349">
        <v>0</v>
      </c>
    </row>
    <row r="350" spans="1:33" hidden="1" x14ac:dyDescent="0.2">
      <c r="A350">
        <v>349</v>
      </c>
      <c r="B350" t="s">
        <v>187</v>
      </c>
      <c r="C350" t="s">
        <v>188</v>
      </c>
      <c r="D350">
        <v>27</v>
      </c>
      <c r="E350" t="s">
        <v>114</v>
      </c>
      <c r="F350" t="s">
        <v>53</v>
      </c>
      <c r="G350" t="s">
        <v>66</v>
      </c>
      <c r="H350">
        <v>1955</v>
      </c>
      <c r="I350">
        <v>0</v>
      </c>
      <c r="J350">
        <v>1</v>
      </c>
      <c r="K350">
        <v>0</v>
      </c>
      <c r="L350">
        <v>0</v>
      </c>
      <c r="M350" t="s">
        <v>36</v>
      </c>
      <c r="N350" t="s">
        <v>36</v>
      </c>
      <c r="O350" t="s">
        <v>36</v>
      </c>
      <c r="P350" t="s">
        <v>37</v>
      </c>
      <c r="Q350" t="s">
        <v>36</v>
      </c>
      <c r="R350" t="s">
        <v>36</v>
      </c>
      <c r="S350" t="s">
        <v>36</v>
      </c>
      <c r="T350" t="s">
        <v>36</v>
      </c>
      <c r="U350">
        <v>1</v>
      </c>
      <c r="V350">
        <v>0</v>
      </c>
      <c r="W350">
        <v>0</v>
      </c>
      <c r="X350">
        <v>1</v>
      </c>
      <c r="Y350">
        <v>0</v>
      </c>
      <c r="Z350">
        <v>1</v>
      </c>
      <c r="AA350">
        <v>1</v>
      </c>
      <c r="AB350">
        <v>0</v>
      </c>
      <c r="AC350">
        <v>0</v>
      </c>
      <c r="AD350">
        <v>0</v>
      </c>
      <c r="AE350">
        <v>0</v>
      </c>
      <c r="AF350">
        <v>0</v>
      </c>
      <c r="AG350">
        <v>0</v>
      </c>
    </row>
    <row r="351" spans="1:33" hidden="1" x14ac:dyDescent="0.2">
      <c r="A351">
        <v>350</v>
      </c>
      <c r="B351" t="s">
        <v>187</v>
      </c>
      <c r="C351" t="s">
        <v>188</v>
      </c>
      <c r="D351">
        <v>27</v>
      </c>
      <c r="E351" t="s">
        <v>114</v>
      </c>
      <c r="F351" t="s">
        <v>77</v>
      </c>
      <c r="G351" t="s">
        <v>36</v>
      </c>
      <c r="H351">
        <v>17034</v>
      </c>
      <c r="I351" t="s">
        <v>189</v>
      </c>
      <c r="J351" t="s">
        <v>190</v>
      </c>
      <c r="K351" t="s">
        <v>191</v>
      </c>
      <c r="L351" t="s">
        <v>36</v>
      </c>
      <c r="M351" t="s">
        <v>36</v>
      </c>
      <c r="N351" t="s">
        <v>36</v>
      </c>
      <c r="O351" t="s">
        <v>36</v>
      </c>
      <c r="P351" t="s">
        <v>37</v>
      </c>
      <c r="Q351" t="s">
        <v>36</v>
      </c>
      <c r="R351" t="s">
        <v>36</v>
      </c>
      <c r="S351" t="s">
        <v>36</v>
      </c>
      <c r="T351" t="s">
        <v>36</v>
      </c>
      <c r="U351" t="s">
        <v>36</v>
      </c>
      <c r="V351" t="s">
        <v>36</v>
      </c>
      <c r="W351" t="s">
        <v>36</v>
      </c>
      <c r="X351" t="s">
        <v>36</v>
      </c>
      <c r="Y351" t="s">
        <v>36</v>
      </c>
      <c r="Z351" t="s">
        <v>36</v>
      </c>
      <c r="AA351" t="s">
        <v>36</v>
      </c>
      <c r="AB351" t="s">
        <v>36</v>
      </c>
      <c r="AC351" t="s">
        <v>36</v>
      </c>
      <c r="AD351" t="s">
        <v>36</v>
      </c>
      <c r="AE351" t="s">
        <v>36</v>
      </c>
      <c r="AF351" t="s">
        <v>36</v>
      </c>
      <c r="AG351" t="s">
        <v>36</v>
      </c>
    </row>
    <row r="352" spans="1:33" hidden="1" x14ac:dyDescent="0.2">
      <c r="A352">
        <v>351</v>
      </c>
      <c r="B352" t="s">
        <v>192</v>
      </c>
      <c r="C352" t="s">
        <v>108</v>
      </c>
      <c r="D352">
        <v>50</v>
      </c>
      <c r="E352" t="s">
        <v>114</v>
      </c>
      <c r="F352" t="s">
        <v>35</v>
      </c>
      <c r="G352" t="s">
        <v>36</v>
      </c>
      <c r="H352">
        <v>69543</v>
      </c>
      <c r="I352" t="s">
        <v>36</v>
      </c>
      <c r="J352" t="s">
        <v>36</v>
      </c>
      <c r="K352" t="s">
        <v>36</v>
      </c>
      <c r="L352" t="s">
        <v>36</v>
      </c>
      <c r="M352" t="s">
        <v>36</v>
      </c>
      <c r="N352" t="s">
        <v>36</v>
      </c>
      <c r="O352" t="s">
        <v>36</v>
      </c>
      <c r="P352" t="s">
        <v>37</v>
      </c>
      <c r="Q352" t="s">
        <v>36</v>
      </c>
      <c r="R352" t="s">
        <v>36</v>
      </c>
      <c r="S352" t="s">
        <v>36</v>
      </c>
      <c r="T352" t="s">
        <v>36</v>
      </c>
      <c r="U352" t="s">
        <v>36</v>
      </c>
      <c r="V352" t="s">
        <v>36</v>
      </c>
      <c r="W352" t="s">
        <v>36</v>
      </c>
      <c r="X352" t="s">
        <v>36</v>
      </c>
      <c r="Y352" t="s">
        <v>36</v>
      </c>
      <c r="Z352" t="s">
        <v>36</v>
      </c>
      <c r="AA352" t="s">
        <v>36</v>
      </c>
      <c r="AB352" t="s">
        <v>36</v>
      </c>
      <c r="AC352" t="s">
        <v>36</v>
      </c>
      <c r="AD352" t="s">
        <v>36</v>
      </c>
      <c r="AE352" t="s">
        <v>36</v>
      </c>
      <c r="AF352" t="s">
        <v>36</v>
      </c>
      <c r="AG352" t="s">
        <v>36</v>
      </c>
    </row>
    <row r="353" spans="1:33" hidden="1" x14ac:dyDescent="0.2">
      <c r="A353">
        <v>352</v>
      </c>
      <c r="B353" t="s">
        <v>192</v>
      </c>
      <c r="C353" t="s">
        <v>108</v>
      </c>
      <c r="D353">
        <v>50</v>
      </c>
      <c r="E353" t="s">
        <v>114</v>
      </c>
      <c r="F353" t="s">
        <v>38</v>
      </c>
      <c r="G353" t="s">
        <v>40</v>
      </c>
      <c r="H353">
        <v>46408</v>
      </c>
      <c r="I353">
        <v>0</v>
      </c>
      <c r="J353">
        <v>0</v>
      </c>
      <c r="K353">
        <v>1</v>
      </c>
      <c r="L353">
        <v>0</v>
      </c>
      <c r="M353" t="s">
        <v>36</v>
      </c>
      <c r="N353" t="s">
        <v>36</v>
      </c>
      <c r="O353" t="s">
        <v>36</v>
      </c>
      <c r="P353" t="s">
        <v>37</v>
      </c>
      <c r="Q353" t="s">
        <v>36</v>
      </c>
      <c r="R353" t="s">
        <v>36</v>
      </c>
      <c r="S353" t="s">
        <v>36</v>
      </c>
      <c r="T353" t="s">
        <v>36</v>
      </c>
      <c r="U353" t="s">
        <v>36</v>
      </c>
      <c r="V353" t="s">
        <v>36</v>
      </c>
      <c r="W353" t="s">
        <v>36</v>
      </c>
      <c r="X353" t="s">
        <v>36</v>
      </c>
      <c r="Y353" t="s">
        <v>36</v>
      </c>
      <c r="Z353" t="s">
        <v>36</v>
      </c>
      <c r="AA353" t="s">
        <v>36</v>
      </c>
      <c r="AB353" t="s">
        <v>36</v>
      </c>
      <c r="AC353" t="s">
        <v>36</v>
      </c>
      <c r="AD353" t="s">
        <v>36</v>
      </c>
      <c r="AE353" t="s">
        <v>36</v>
      </c>
      <c r="AF353" t="s">
        <v>36</v>
      </c>
      <c r="AG353" t="s">
        <v>36</v>
      </c>
    </row>
    <row r="354" spans="1:33" hidden="1" x14ac:dyDescent="0.2">
      <c r="A354">
        <v>353</v>
      </c>
      <c r="B354" t="s">
        <v>192</v>
      </c>
      <c r="C354" t="s">
        <v>108</v>
      </c>
      <c r="D354">
        <v>50</v>
      </c>
      <c r="E354" t="s">
        <v>114</v>
      </c>
      <c r="F354" t="s">
        <v>38</v>
      </c>
      <c r="G354" t="s">
        <v>39</v>
      </c>
      <c r="H354">
        <v>41806</v>
      </c>
      <c r="I354">
        <v>0</v>
      </c>
      <c r="J354">
        <v>0</v>
      </c>
      <c r="K354">
        <v>0</v>
      </c>
      <c r="L354">
        <v>1</v>
      </c>
      <c r="M354" t="s">
        <v>36</v>
      </c>
      <c r="N354" t="s">
        <v>36</v>
      </c>
      <c r="O354" t="s">
        <v>36</v>
      </c>
      <c r="P354" t="s">
        <v>37</v>
      </c>
      <c r="Q354" t="s">
        <v>36</v>
      </c>
      <c r="R354" t="s">
        <v>36</v>
      </c>
      <c r="S354" t="s">
        <v>36</v>
      </c>
      <c r="T354" t="s">
        <v>36</v>
      </c>
      <c r="U354" t="s">
        <v>36</v>
      </c>
      <c r="V354" t="s">
        <v>36</v>
      </c>
      <c r="W354" t="s">
        <v>36</v>
      </c>
      <c r="X354" t="s">
        <v>36</v>
      </c>
      <c r="Y354" t="s">
        <v>36</v>
      </c>
      <c r="Z354" t="s">
        <v>36</v>
      </c>
      <c r="AA354" t="s">
        <v>36</v>
      </c>
      <c r="AB354" t="s">
        <v>36</v>
      </c>
      <c r="AC354" t="s">
        <v>36</v>
      </c>
      <c r="AD354" t="s">
        <v>36</v>
      </c>
      <c r="AE354" t="s">
        <v>36</v>
      </c>
      <c r="AF354" t="s">
        <v>36</v>
      </c>
      <c r="AG354" t="s">
        <v>36</v>
      </c>
    </row>
    <row r="355" spans="1:33" x14ac:dyDescent="0.2">
      <c r="A355">
        <v>354</v>
      </c>
      <c r="B355" t="s">
        <v>192</v>
      </c>
      <c r="C355" t="s">
        <v>108</v>
      </c>
      <c r="D355">
        <v>50</v>
      </c>
      <c r="E355" t="s">
        <v>114</v>
      </c>
      <c r="F355" t="s">
        <v>41</v>
      </c>
      <c r="G355" t="s">
        <v>72</v>
      </c>
      <c r="H355">
        <v>63607</v>
      </c>
      <c r="I355">
        <v>0</v>
      </c>
      <c r="J355">
        <v>0</v>
      </c>
      <c r="K355">
        <v>0</v>
      </c>
      <c r="L355">
        <v>1</v>
      </c>
      <c r="M355" t="s">
        <v>74</v>
      </c>
      <c r="N355" t="s">
        <v>115</v>
      </c>
      <c r="O355" t="s">
        <v>75</v>
      </c>
      <c r="P355" t="s">
        <v>37</v>
      </c>
      <c r="Q355" t="s">
        <v>47</v>
      </c>
      <c r="R355" t="s">
        <v>65</v>
      </c>
      <c r="S355" t="s">
        <v>46</v>
      </c>
      <c r="T355">
        <v>0</v>
      </c>
      <c r="U355">
        <v>1</v>
      </c>
      <c r="V355">
        <v>0</v>
      </c>
      <c r="W355">
        <v>1</v>
      </c>
      <c r="X355">
        <v>1</v>
      </c>
      <c r="Y355">
        <v>0</v>
      </c>
      <c r="Z355">
        <v>1</v>
      </c>
      <c r="AA355">
        <v>0</v>
      </c>
      <c r="AB355">
        <v>0</v>
      </c>
      <c r="AC355">
        <v>0</v>
      </c>
      <c r="AD355">
        <v>0</v>
      </c>
      <c r="AE355">
        <v>0</v>
      </c>
      <c r="AF355">
        <v>0</v>
      </c>
      <c r="AG355">
        <v>1</v>
      </c>
    </row>
    <row r="356" spans="1:33" x14ac:dyDescent="0.2">
      <c r="A356">
        <v>355</v>
      </c>
      <c r="B356" t="s">
        <v>192</v>
      </c>
      <c r="C356" t="s">
        <v>108</v>
      </c>
      <c r="D356">
        <v>50</v>
      </c>
      <c r="E356" t="s">
        <v>114</v>
      </c>
      <c r="F356" t="s">
        <v>41</v>
      </c>
      <c r="G356" t="s">
        <v>61</v>
      </c>
      <c r="H356">
        <v>33728</v>
      </c>
      <c r="I356">
        <v>0</v>
      </c>
      <c r="J356">
        <v>0</v>
      </c>
      <c r="K356">
        <v>0</v>
      </c>
      <c r="L356">
        <v>1</v>
      </c>
      <c r="M356" t="s">
        <v>87</v>
      </c>
      <c r="N356" t="s">
        <v>62</v>
      </c>
      <c r="O356" t="s">
        <v>63</v>
      </c>
      <c r="P356" t="s">
        <v>37</v>
      </c>
      <c r="Q356" t="s">
        <v>47</v>
      </c>
      <c r="R356" t="s">
        <v>65</v>
      </c>
      <c r="S356" t="s">
        <v>46</v>
      </c>
      <c r="T356">
        <v>0</v>
      </c>
      <c r="U356">
        <v>1</v>
      </c>
      <c r="V356">
        <v>0</v>
      </c>
      <c r="W356">
        <v>1</v>
      </c>
      <c r="X356">
        <v>1</v>
      </c>
      <c r="Y356">
        <v>0</v>
      </c>
      <c r="Z356">
        <v>1</v>
      </c>
      <c r="AA356">
        <v>0</v>
      </c>
      <c r="AB356">
        <v>0</v>
      </c>
      <c r="AC356">
        <v>0</v>
      </c>
      <c r="AD356">
        <v>0</v>
      </c>
      <c r="AE356">
        <v>0</v>
      </c>
      <c r="AF356">
        <v>0</v>
      </c>
      <c r="AG356">
        <v>1</v>
      </c>
    </row>
    <row r="357" spans="1:33" hidden="1" x14ac:dyDescent="0.2">
      <c r="A357">
        <v>356</v>
      </c>
      <c r="B357" t="s">
        <v>192</v>
      </c>
      <c r="C357" t="s">
        <v>108</v>
      </c>
      <c r="D357">
        <v>50</v>
      </c>
      <c r="E357" t="s">
        <v>114</v>
      </c>
      <c r="F357" t="s">
        <v>53</v>
      </c>
      <c r="G357" t="s">
        <v>54</v>
      </c>
      <c r="H357">
        <v>44351</v>
      </c>
      <c r="I357">
        <v>0</v>
      </c>
      <c r="J357">
        <v>1</v>
      </c>
      <c r="K357">
        <v>1</v>
      </c>
      <c r="L357">
        <v>0</v>
      </c>
      <c r="M357" t="s">
        <v>36</v>
      </c>
      <c r="N357" t="s">
        <v>36</v>
      </c>
      <c r="O357" t="s">
        <v>36</v>
      </c>
      <c r="P357" t="s">
        <v>37</v>
      </c>
      <c r="Q357" t="s">
        <v>36</v>
      </c>
      <c r="R357" t="s">
        <v>36</v>
      </c>
      <c r="S357" t="s">
        <v>36</v>
      </c>
      <c r="T357" t="s">
        <v>36</v>
      </c>
      <c r="U357">
        <v>1</v>
      </c>
      <c r="V357">
        <v>0</v>
      </c>
      <c r="W357">
        <v>1</v>
      </c>
      <c r="X357">
        <v>1</v>
      </c>
      <c r="Y357">
        <v>0</v>
      </c>
      <c r="Z357">
        <v>1</v>
      </c>
      <c r="AA357">
        <v>0</v>
      </c>
      <c r="AB357">
        <v>0</v>
      </c>
      <c r="AC357">
        <v>0</v>
      </c>
      <c r="AD357">
        <v>0</v>
      </c>
      <c r="AE357">
        <v>0</v>
      </c>
      <c r="AF357">
        <v>0</v>
      </c>
      <c r="AG357">
        <v>1</v>
      </c>
    </row>
    <row r="358" spans="1:33" x14ac:dyDescent="0.2">
      <c r="A358">
        <v>357</v>
      </c>
      <c r="B358" t="s">
        <v>192</v>
      </c>
      <c r="C358" t="s">
        <v>108</v>
      </c>
      <c r="D358">
        <v>50</v>
      </c>
      <c r="E358" t="s">
        <v>114</v>
      </c>
      <c r="F358" t="s">
        <v>41</v>
      </c>
      <c r="G358" t="s">
        <v>49</v>
      </c>
      <c r="H358">
        <v>30485</v>
      </c>
      <c r="I358">
        <v>0</v>
      </c>
      <c r="J358">
        <v>0</v>
      </c>
      <c r="K358">
        <v>0</v>
      </c>
      <c r="L358">
        <v>1</v>
      </c>
      <c r="M358" t="s">
        <v>52</v>
      </c>
      <c r="N358" t="s">
        <v>50</v>
      </c>
      <c r="O358" t="s">
        <v>51</v>
      </c>
      <c r="P358" t="s">
        <v>37</v>
      </c>
      <c r="Q358" t="s">
        <v>46</v>
      </c>
      <c r="R358" t="s">
        <v>48</v>
      </c>
      <c r="S358" t="s">
        <v>47</v>
      </c>
      <c r="T358">
        <v>0</v>
      </c>
      <c r="U358">
        <v>0</v>
      </c>
      <c r="V358">
        <v>1</v>
      </c>
      <c r="W358">
        <v>1</v>
      </c>
      <c r="X358">
        <v>1</v>
      </c>
      <c r="Y358">
        <v>0</v>
      </c>
      <c r="Z358">
        <v>1</v>
      </c>
      <c r="AA358">
        <v>0</v>
      </c>
      <c r="AB358">
        <v>0</v>
      </c>
      <c r="AC358">
        <v>0</v>
      </c>
      <c r="AD358">
        <v>0</v>
      </c>
      <c r="AE358">
        <v>0</v>
      </c>
      <c r="AF358">
        <v>0</v>
      </c>
      <c r="AG358">
        <v>1</v>
      </c>
    </row>
    <row r="359" spans="1:33" x14ac:dyDescent="0.2">
      <c r="A359">
        <v>358</v>
      </c>
      <c r="B359" t="s">
        <v>192</v>
      </c>
      <c r="C359" t="s">
        <v>108</v>
      </c>
      <c r="D359">
        <v>50</v>
      </c>
      <c r="E359" t="s">
        <v>114</v>
      </c>
      <c r="F359" t="s">
        <v>41</v>
      </c>
      <c r="G359" t="s">
        <v>55</v>
      </c>
      <c r="H359">
        <v>33447</v>
      </c>
      <c r="I359">
        <v>0</v>
      </c>
      <c r="J359">
        <v>0</v>
      </c>
      <c r="K359">
        <v>0</v>
      </c>
      <c r="L359">
        <v>1</v>
      </c>
      <c r="M359" t="s">
        <v>94</v>
      </c>
      <c r="N359" t="s">
        <v>84</v>
      </c>
      <c r="O359" t="s">
        <v>85</v>
      </c>
      <c r="P359" t="s">
        <v>37</v>
      </c>
      <c r="Q359" t="s">
        <v>47</v>
      </c>
      <c r="R359" t="s">
        <v>46</v>
      </c>
      <c r="S359" t="s">
        <v>65</v>
      </c>
      <c r="T359">
        <v>0</v>
      </c>
      <c r="U359">
        <v>1</v>
      </c>
      <c r="V359">
        <v>0</v>
      </c>
      <c r="W359">
        <v>1</v>
      </c>
      <c r="X359">
        <v>1</v>
      </c>
      <c r="Y359">
        <v>0</v>
      </c>
      <c r="Z359">
        <v>1</v>
      </c>
      <c r="AA359">
        <v>0</v>
      </c>
      <c r="AB359">
        <v>0</v>
      </c>
      <c r="AC359">
        <v>0</v>
      </c>
      <c r="AD359">
        <v>0</v>
      </c>
      <c r="AE359">
        <v>0</v>
      </c>
      <c r="AF359">
        <v>0</v>
      </c>
      <c r="AG359">
        <v>1</v>
      </c>
    </row>
    <row r="360" spans="1:33" hidden="1" x14ac:dyDescent="0.2">
      <c r="A360">
        <v>359</v>
      </c>
      <c r="B360" t="s">
        <v>192</v>
      </c>
      <c r="C360" t="s">
        <v>108</v>
      </c>
      <c r="D360">
        <v>50</v>
      </c>
      <c r="E360" t="s">
        <v>114</v>
      </c>
      <c r="F360" t="s">
        <v>53</v>
      </c>
      <c r="G360" t="s">
        <v>71</v>
      </c>
      <c r="H360">
        <v>49618</v>
      </c>
      <c r="I360">
        <v>0</v>
      </c>
      <c r="J360">
        <v>0</v>
      </c>
      <c r="K360">
        <v>0</v>
      </c>
      <c r="L360">
        <v>1</v>
      </c>
      <c r="M360" t="s">
        <v>36</v>
      </c>
      <c r="N360" t="s">
        <v>36</v>
      </c>
      <c r="O360" t="s">
        <v>36</v>
      </c>
      <c r="P360" t="s">
        <v>37</v>
      </c>
      <c r="Q360" t="s">
        <v>36</v>
      </c>
      <c r="R360" t="s">
        <v>36</v>
      </c>
      <c r="S360" t="s">
        <v>36</v>
      </c>
      <c r="T360" t="s">
        <v>36</v>
      </c>
      <c r="U360">
        <v>1</v>
      </c>
      <c r="V360">
        <v>0</v>
      </c>
      <c r="W360">
        <v>1</v>
      </c>
      <c r="X360">
        <v>1</v>
      </c>
      <c r="Y360">
        <v>0</v>
      </c>
      <c r="Z360">
        <v>1</v>
      </c>
      <c r="AA360">
        <v>0</v>
      </c>
      <c r="AB360">
        <v>0</v>
      </c>
      <c r="AC360">
        <v>0</v>
      </c>
      <c r="AD360">
        <v>0</v>
      </c>
      <c r="AE360">
        <v>0</v>
      </c>
      <c r="AF360">
        <v>0</v>
      </c>
      <c r="AG360">
        <v>1</v>
      </c>
    </row>
    <row r="361" spans="1:33" x14ac:dyDescent="0.2">
      <c r="A361">
        <v>360</v>
      </c>
      <c r="B361" t="s">
        <v>192</v>
      </c>
      <c r="C361" t="s">
        <v>108</v>
      </c>
      <c r="D361">
        <v>50</v>
      </c>
      <c r="E361" t="s">
        <v>114</v>
      </c>
      <c r="F361" t="s">
        <v>41</v>
      </c>
      <c r="G361" t="s">
        <v>67</v>
      </c>
      <c r="H361">
        <v>28904</v>
      </c>
      <c r="I361">
        <v>0</v>
      </c>
      <c r="J361">
        <v>0</v>
      </c>
      <c r="K361">
        <v>0</v>
      </c>
      <c r="L361">
        <v>1</v>
      </c>
      <c r="M361" t="s">
        <v>86</v>
      </c>
      <c r="N361" t="s">
        <v>69</v>
      </c>
      <c r="O361" t="s">
        <v>103</v>
      </c>
      <c r="P361" t="s">
        <v>37</v>
      </c>
      <c r="Q361" t="s">
        <v>46</v>
      </c>
      <c r="R361" t="s">
        <v>48</v>
      </c>
      <c r="S361" t="s">
        <v>60</v>
      </c>
      <c r="T361">
        <v>1</v>
      </c>
      <c r="U361">
        <v>0</v>
      </c>
      <c r="V361">
        <v>1</v>
      </c>
      <c r="W361">
        <v>0</v>
      </c>
      <c r="X361">
        <v>1</v>
      </c>
      <c r="Y361">
        <v>0</v>
      </c>
      <c r="Z361">
        <v>1</v>
      </c>
      <c r="AA361">
        <v>0</v>
      </c>
      <c r="AB361">
        <v>0</v>
      </c>
      <c r="AC361">
        <v>0</v>
      </c>
      <c r="AD361">
        <v>0</v>
      </c>
      <c r="AE361">
        <v>0</v>
      </c>
      <c r="AF361">
        <v>0</v>
      </c>
      <c r="AG361">
        <v>1</v>
      </c>
    </row>
    <row r="362" spans="1:33" hidden="1" x14ac:dyDescent="0.2">
      <c r="A362">
        <v>361</v>
      </c>
      <c r="B362" t="s">
        <v>192</v>
      </c>
      <c r="C362" t="s">
        <v>108</v>
      </c>
      <c r="D362">
        <v>50</v>
      </c>
      <c r="E362" t="s">
        <v>114</v>
      </c>
      <c r="F362" t="s">
        <v>53</v>
      </c>
      <c r="G362" t="s">
        <v>66</v>
      </c>
      <c r="H362">
        <v>42514</v>
      </c>
      <c r="I362">
        <v>1</v>
      </c>
      <c r="J362">
        <v>1</v>
      </c>
      <c r="K362">
        <v>0</v>
      </c>
      <c r="L362">
        <v>0</v>
      </c>
      <c r="M362" t="s">
        <v>36</v>
      </c>
      <c r="N362" t="s">
        <v>36</v>
      </c>
      <c r="O362" t="s">
        <v>36</v>
      </c>
      <c r="P362" t="s">
        <v>37</v>
      </c>
      <c r="Q362" t="s">
        <v>36</v>
      </c>
      <c r="R362" t="s">
        <v>36</v>
      </c>
      <c r="S362" t="s">
        <v>36</v>
      </c>
      <c r="T362" t="s">
        <v>36</v>
      </c>
      <c r="U362">
        <v>0</v>
      </c>
      <c r="V362">
        <v>1</v>
      </c>
      <c r="W362">
        <v>0</v>
      </c>
      <c r="X362">
        <v>1</v>
      </c>
      <c r="Y362">
        <v>0</v>
      </c>
      <c r="Z362">
        <v>1</v>
      </c>
      <c r="AA362">
        <v>0</v>
      </c>
      <c r="AB362">
        <v>0</v>
      </c>
      <c r="AC362">
        <v>0</v>
      </c>
      <c r="AD362">
        <v>0</v>
      </c>
      <c r="AE362">
        <v>0</v>
      </c>
      <c r="AF362">
        <v>0</v>
      </c>
      <c r="AG362">
        <v>1</v>
      </c>
    </row>
    <row r="363" spans="1:33" x14ac:dyDescent="0.2">
      <c r="A363">
        <v>362</v>
      </c>
      <c r="B363" t="s">
        <v>192</v>
      </c>
      <c r="C363" t="s">
        <v>108</v>
      </c>
      <c r="D363">
        <v>50</v>
      </c>
      <c r="E363" t="s">
        <v>114</v>
      </c>
      <c r="F363" t="s">
        <v>41</v>
      </c>
      <c r="G363" t="s">
        <v>42</v>
      </c>
      <c r="H363">
        <v>16446</v>
      </c>
      <c r="I363">
        <v>0</v>
      </c>
      <c r="J363">
        <v>0</v>
      </c>
      <c r="K363">
        <v>0</v>
      </c>
      <c r="L363">
        <v>1</v>
      </c>
      <c r="M363" t="s">
        <v>43</v>
      </c>
      <c r="N363" t="s">
        <v>45</v>
      </c>
      <c r="O363" t="s">
        <v>82</v>
      </c>
      <c r="P363" t="s">
        <v>37</v>
      </c>
      <c r="Q363" t="s">
        <v>46</v>
      </c>
      <c r="R363" t="s">
        <v>48</v>
      </c>
      <c r="S363" t="s">
        <v>65</v>
      </c>
      <c r="T363">
        <v>0</v>
      </c>
      <c r="U363">
        <v>1</v>
      </c>
      <c r="V363">
        <v>1</v>
      </c>
      <c r="W363">
        <v>0</v>
      </c>
      <c r="X363">
        <v>1</v>
      </c>
      <c r="Y363">
        <v>0</v>
      </c>
      <c r="Z363">
        <v>1</v>
      </c>
      <c r="AA363">
        <v>0</v>
      </c>
      <c r="AB363">
        <v>0</v>
      </c>
      <c r="AC363">
        <v>0</v>
      </c>
      <c r="AD363">
        <v>0</v>
      </c>
      <c r="AE363">
        <v>0</v>
      </c>
      <c r="AF363">
        <v>0</v>
      </c>
      <c r="AG363">
        <v>1</v>
      </c>
    </row>
    <row r="364" spans="1:33" hidden="1" x14ac:dyDescent="0.2">
      <c r="A364">
        <v>363</v>
      </c>
      <c r="B364" t="s">
        <v>192</v>
      </c>
      <c r="C364" t="s">
        <v>108</v>
      </c>
      <c r="D364">
        <v>50</v>
      </c>
      <c r="E364" t="s">
        <v>114</v>
      </c>
      <c r="F364" t="s">
        <v>53</v>
      </c>
      <c r="G364" t="s">
        <v>76</v>
      </c>
      <c r="H364">
        <v>29041</v>
      </c>
      <c r="I364">
        <v>0</v>
      </c>
      <c r="J364">
        <v>0</v>
      </c>
      <c r="K364">
        <v>0</v>
      </c>
      <c r="L364">
        <v>1</v>
      </c>
      <c r="M364" t="s">
        <v>36</v>
      </c>
      <c r="N364" t="s">
        <v>36</v>
      </c>
      <c r="O364" t="s">
        <v>36</v>
      </c>
      <c r="P364" t="s">
        <v>37</v>
      </c>
      <c r="Q364" t="s">
        <v>36</v>
      </c>
      <c r="R364" t="s">
        <v>36</v>
      </c>
      <c r="S364" t="s">
        <v>36</v>
      </c>
      <c r="T364" t="s">
        <v>36</v>
      </c>
      <c r="U364">
        <v>1</v>
      </c>
      <c r="V364">
        <v>1</v>
      </c>
      <c r="W364">
        <v>0</v>
      </c>
      <c r="X364">
        <v>1</v>
      </c>
      <c r="Y364">
        <v>0</v>
      </c>
      <c r="Z364">
        <v>1</v>
      </c>
      <c r="AA364">
        <v>0</v>
      </c>
      <c r="AB364">
        <v>0</v>
      </c>
      <c r="AC364">
        <v>0</v>
      </c>
      <c r="AD364">
        <v>0</v>
      </c>
      <c r="AE364">
        <v>0</v>
      </c>
      <c r="AF364">
        <v>0</v>
      </c>
      <c r="AG364">
        <v>1</v>
      </c>
    </row>
    <row r="365" spans="1:33" hidden="1" x14ac:dyDescent="0.2">
      <c r="A365">
        <v>364</v>
      </c>
      <c r="B365" t="s">
        <v>192</v>
      </c>
      <c r="C365" t="s">
        <v>108</v>
      </c>
      <c r="D365">
        <v>50</v>
      </c>
      <c r="E365" t="s">
        <v>114</v>
      </c>
      <c r="F365" t="s">
        <v>77</v>
      </c>
      <c r="G365" t="s">
        <v>36</v>
      </c>
      <c r="H365">
        <v>96588</v>
      </c>
      <c r="I365" t="s">
        <v>193</v>
      </c>
      <c r="J365" t="s">
        <v>194</v>
      </c>
      <c r="L365" t="s">
        <v>36</v>
      </c>
      <c r="M365" t="s">
        <v>36</v>
      </c>
      <c r="N365" t="s">
        <v>36</v>
      </c>
      <c r="O365" t="s">
        <v>36</v>
      </c>
      <c r="P365" t="s">
        <v>37</v>
      </c>
      <c r="Q365" t="s">
        <v>36</v>
      </c>
      <c r="R365" t="s">
        <v>36</v>
      </c>
      <c r="S365" t="s">
        <v>36</v>
      </c>
      <c r="T365" t="s">
        <v>36</v>
      </c>
      <c r="U365" t="s">
        <v>36</v>
      </c>
      <c r="V365" t="s">
        <v>36</v>
      </c>
      <c r="W365" t="s">
        <v>36</v>
      </c>
      <c r="X365" t="s">
        <v>36</v>
      </c>
      <c r="Y365" t="s">
        <v>36</v>
      </c>
      <c r="Z365" t="s">
        <v>36</v>
      </c>
      <c r="AA365" t="s">
        <v>36</v>
      </c>
      <c r="AB365" t="s">
        <v>36</v>
      </c>
      <c r="AC365" t="s">
        <v>36</v>
      </c>
      <c r="AD365" t="s">
        <v>36</v>
      </c>
      <c r="AE365" t="s">
        <v>36</v>
      </c>
      <c r="AF365" t="s">
        <v>36</v>
      </c>
      <c r="AG365" t="s">
        <v>36</v>
      </c>
    </row>
    <row r="366" spans="1:33" hidden="1" x14ac:dyDescent="0.2">
      <c r="A366">
        <v>365</v>
      </c>
      <c r="B366" t="s">
        <v>195</v>
      </c>
      <c r="C366" t="s">
        <v>108</v>
      </c>
      <c r="D366">
        <v>35</v>
      </c>
      <c r="E366" t="s">
        <v>34</v>
      </c>
      <c r="F366" t="s">
        <v>35</v>
      </c>
      <c r="G366" t="s">
        <v>36</v>
      </c>
      <c r="H366">
        <v>26861</v>
      </c>
      <c r="I366" t="s">
        <v>36</v>
      </c>
      <c r="J366" t="s">
        <v>36</v>
      </c>
      <c r="K366" t="s">
        <v>36</v>
      </c>
      <c r="L366" t="s">
        <v>36</v>
      </c>
      <c r="M366" t="s">
        <v>36</v>
      </c>
      <c r="N366" t="s">
        <v>36</v>
      </c>
      <c r="O366" t="s">
        <v>36</v>
      </c>
      <c r="P366" t="s">
        <v>37</v>
      </c>
      <c r="Q366" t="s">
        <v>36</v>
      </c>
      <c r="R366" t="s">
        <v>36</v>
      </c>
      <c r="S366" t="s">
        <v>36</v>
      </c>
      <c r="T366" t="s">
        <v>36</v>
      </c>
      <c r="U366" t="s">
        <v>36</v>
      </c>
      <c r="V366" t="s">
        <v>36</v>
      </c>
      <c r="W366" t="s">
        <v>36</v>
      </c>
      <c r="X366" t="s">
        <v>36</v>
      </c>
      <c r="Y366" t="s">
        <v>36</v>
      </c>
      <c r="Z366" t="s">
        <v>36</v>
      </c>
      <c r="AA366" t="s">
        <v>36</v>
      </c>
      <c r="AB366" t="s">
        <v>36</v>
      </c>
      <c r="AC366" t="s">
        <v>36</v>
      </c>
      <c r="AD366" t="s">
        <v>36</v>
      </c>
      <c r="AE366" t="s">
        <v>36</v>
      </c>
      <c r="AF366" t="s">
        <v>36</v>
      </c>
      <c r="AG366" t="s">
        <v>36</v>
      </c>
    </row>
    <row r="367" spans="1:33" hidden="1" x14ac:dyDescent="0.2">
      <c r="A367">
        <v>366</v>
      </c>
      <c r="B367" t="s">
        <v>195</v>
      </c>
      <c r="C367" t="s">
        <v>108</v>
      </c>
      <c r="D367">
        <v>35</v>
      </c>
      <c r="E367" t="s">
        <v>34</v>
      </c>
      <c r="F367" t="s">
        <v>38</v>
      </c>
      <c r="G367" t="s">
        <v>40</v>
      </c>
      <c r="H367">
        <v>77767</v>
      </c>
      <c r="I367">
        <v>0</v>
      </c>
      <c r="J367">
        <v>0</v>
      </c>
      <c r="K367">
        <v>1</v>
      </c>
      <c r="L367">
        <v>0</v>
      </c>
      <c r="M367" t="s">
        <v>36</v>
      </c>
      <c r="N367" t="s">
        <v>36</v>
      </c>
      <c r="O367" t="s">
        <v>36</v>
      </c>
      <c r="P367" t="s">
        <v>37</v>
      </c>
      <c r="Q367" t="s">
        <v>36</v>
      </c>
      <c r="R367" t="s">
        <v>36</v>
      </c>
      <c r="S367" t="s">
        <v>36</v>
      </c>
      <c r="T367" t="s">
        <v>36</v>
      </c>
      <c r="U367" t="s">
        <v>36</v>
      </c>
      <c r="V367" t="s">
        <v>36</v>
      </c>
      <c r="W367" t="s">
        <v>36</v>
      </c>
      <c r="X367" t="s">
        <v>36</v>
      </c>
      <c r="Y367" t="s">
        <v>36</v>
      </c>
      <c r="Z367" t="s">
        <v>36</v>
      </c>
      <c r="AA367" t="s">
        <v>36</v>
      </c>
      <c r="AB367" t="s">
        <v>36</v>
      </c>
      <c r="AC367" t="s">
        <v>36</v>
      </c>
      <c r="AD367" t="s">
        <v>36</v>
      </c>
      <c r="AE367" t="s">
        <v>36</v>
      </c>
      <c r="AF367" t="s">
        <v>36</v>
      </c>
      <c r="AG367" t="s">
        <v>36</v>
      </c>
    </row>
    <row r="368" spans="1:33" hidden="1" x14ac:dyDescent="0.2">
      <c r="A368">
        <v>367</v>
      </c>
      <c r="B368" t="s">
        <v>195</v>
      </c>
      <c r="C368" t="s">
        <v>108</v>
      </c>
      <c r="D368">
        <v>35</v>
      </c>
      <c r="E368" t="s">
        <v>34</v>
      </c>
      <c r="F368" t="s">
        <v>38</v>
      </c>
      <c r="G368" t="s">
        <v>39</v>
      </c>
      <c r="H368">
        <v>61255</v>
      </c>
      <c r="I368">
        <v>0</v>
      </c>
      <c r="J368">
        <v>0</v>
      </c>
      <c r="K368">
        <v>0</v>
      </c>
      <c r="L368">
        <v>1</v>
      </c>
      <c r="M368" t="s">
        <v>36</v>
      </c>
      <c r="N368" t="s">
        <v>36</v>
      </c>
      <c r="O368" t="s">
        <v>36</v>
      </c>
      <c r="P368" t="s">
        <v>37</v>
      </c>
      <c r="Q368" t="s">
        <v>36</v>
      </c>
      <c r="R368" t="s">
        <v>36</v>
      </c>
      <c r="S368" t="s">
        <v>36</v>
      </c>
      <c r="T368" t="s">
        <v>36</v>
      </c>
      <c r="U368" t="s">
        <v>36</v>
      </c>
      <c r="V368" t="s">
        <v>36</v>
      </c>
      <c r="W368" t="s">
        <v>36</v>
      </c>
      <c r="X368" t="s">
        <v>36</v>
      </c>
      <c r="Y368" t="s">
        <v>36</v>
      </c>
      <c r="Z368" t="s">
        <v>36</v>
      </c>
      <c r="AA368" t="s">
        <v>36</v>
      </c>
      <c r="AB368" t="s">
        <v>36</v>
      </c>
      <c r="AC368" t="s">
        <v>36</v>
      </c>
      <c r="AD368" t="s">
        <v>36</v>
      </c>
      <c r="AE368" t="s">
        <v>36</v>
      </c>
      <c r="AF368" t="s">
        <v>36</v>
      </c>
      <c r="AG368" t="s">
        <v>36</v>
      </c>
    </row>
    <row r="369" spans="1:33" x14ac:dyDescent="0.2">
      <c r="A369">
        <v>368</v>
      </c>
      <c r="B369" t="s">
        <v>195</v>
      </c>
      <c r="C369" t="s">
        <v>108</v>
      </c>
      <c r="D369">
        <v>35</v>
      </c>
      <c r="E369" t="s">
        <v>34</v>
      </c>
      <c r="F369" t="s">
        <v>41</v>
      </c>
      <c r="G369" t="s">
        <v>72</v>
      </c>
      <c r="H369">
        <v>56649</v>
      </c>
      <c r="I369">
        <v>0</v>
      </c>
      <c r="J369">
        <v>0</v>
      </c>
      <c r="K369">
        <v>0</v>
      </c>
      <c r="L369">
        <v>1</v>
      </c>
      <c r="M369" t="s">
        <v>73</v>
      </c>
      <c r="N369" t="s">
        <v>75</v>
      </c>
      <c r="O369" t="s">
        <v>74</v>
      </c>
      <c r="P369" t="s">
        <v>37</v>
      </c>
      <c r="Q369" t="s">
        <v>48</v>
      </c>
      <c r="R369" t="s">
        <v>46</v>
      </c>
      <c r="S369" t="s">
        <v>47</v>
      </c>
      <c r="T369">
        <v>0</v>
      </c>
      <c r="U369">
        <v>0</v>
      </c>
      <c r="V369">
        <v>1</v>
      </c>
      <c r="W369">
        <v>1</v>
      </c>
      <c r="X369">
        <v>1</v>
      </c>
      <c r="Y369">
        <v>0</v>
      </c>
      <c r="Z369">
        <v>1</v>
      </c>
      <c r="AA369">
        <v>0</v>
      </c>
      <c r="AB369">
        <v>0</v>
      </c>
      <c r="AC369">
        <v>0</v>
      </c>
      <c r="AD369">
        <v>0</v>
      </c>
      <c r="AE369">
        <v>0</v>
      </c>
      <c r="AF369">
        <v>0</v>
      </c>
      <c r="AG369">
        <v>1</v>
      </c>
    </row>
    <row r="370" spans="1:33" x14ac:dyDescent="0.2">
      <c r="A370">
        <v>369</v>
      </c>
      <c r="B370" t="s">
        <v>195</v>
      </c>
      <c r="C370" t="s">
        <v>108</v>
      </c>
      <c r="D370">
        <v>35</v>
      </c>
      <c r="E370" t="s">
        <v>34</v>
      </c>
      <c r="F370" t="s">
        <v>41</v>
      </c>
      <c r="G370" t="s">
        <v>49</v>
      </c>
      <c r="H370">
        <v>35937</v>
      </c>
      <c r="I370">
        <v>1</v>
      </c>
      <c r="J370">
        <v>1</v>
      </c>
      <c r="K370">
        <v>1</v>
      </c>
      <c r="L370">
        <v>0</v>
      </c>
      <c r="M370" t="s">
        <v>96</v>
      </c>
      <c r="N370" t="s">
        <v>95</v>
      </c>
      <c r="O370" t="s">
        <v>51</v>
      </c>
      <c r="P370" t="s">
        <v>37</v>
      </c>
      <c r="Q370" t="s">
        <v>65</v>
      </c>
      <c r="R370" t="s">
        <v>60</v>
      </c>
      <c r="S370" t="s">
        <v>47</v>
      </c>
      <c r="T370">
        <v>1</v>
      </c>
      <c r="U370">
        <v>1</v>
      </c>
      <c r="V370">
        <v>0</v>
      </c>
      <c r="W370">
        <v>1</v>
      </c>
      <c r="X370">
        <v>0</v>
      </c>
      <c r="Y370">
        <v>0</v>
      </c>
      <c r="Z370">
        <v>1</v>
      </c>
      <c r="AA370">
        <v>1</v>
      </c>
      <c r="AB370">
        <v>1</v>
      </c>
      <c r="AC370">
        <v>0</v>
      </c>
      <c r="AD370">
        <v>1</v>
      </c>
      <c r="AE370">
        <v>0</v>
      </c>
      <c r="AF370">
        <v>0</v>
      </c>
      <c r="AG370">
        <v>0</v>
      </c>
    </row>
    <row r="371" spans="1:33" hidden="1" x14ac:dyDescent="0.2">
      <c r="A371">
        <v>370</v>
      </c>
      <c r="B371" t="s">
        <v>195</v>
      </c>
      <c r="C371" t="s">
        <v>108</v>
      </c>
      <c r="D371">
        <v>35</v>
      </c>
      <c r="E371" t="s">
        <v>34</v>
      </c>
      <c r="F371" t="s">
        <v>53</v>
      </c>
      <c r="G371" t="s">
        <v>66</v>
      </c>
      <c r="H371">
        <v>27458</v>
      </c>
      <c r="I371">
        <v>1</v>
      </c>
      <c r="J371">
        <v>1</v>
      </c>
      <c r="K371">
        <v>0</v>
      </c>
      <c r="L371">
        <v>0</v>
      </c>
      <c r="M371" t="s">
        <v>36</v>
      </c>
      <c r="N371" t="s">
        <v>36</v>
      </c>
      <c r="O371" t="s">
        <v>36</v>
      </c>
      <c r="P371" t="s">
        <v>37</v>
      </c>
      <c r="Q371" t="s">
        <v>36</v>
      </c>
      <c r="R371" t="s">
        <v>36</v>
      </c>
      <c r="S371" t="s">
        <v>36</v>
      </c>
      <c r="T371" t="s">
        <v>36</v>
      </c>
      <c r="U371">
        <v>1</v>
      </c>
      <c r="V371">
        <v>0</v>
      </c>
      <c r="W371">
        <v>1</v>
      </c>
      <c r="X371">
        <v>0</v>
      </c>
      <c r="Y371">
        <v>0</v>
      </c>
      <c r="Z371">
        <v>1</v>
      </c>
      <c r="AA371">
        <v>1</v>
      </c>
      <c r="AB371">
        <v>1</v>
      </c>
      <c r="AC371">
        <v>0</v>
      </c>
      <c r="AD371">
        <v>1</v>
      </c>
      <c r="AE371">
        <v>0</v>
      </c>
      <c r="AF371">
        <v>0</v>
      </c>
      <c r="AG371">
        <v>0</v>
      </c>
    </row>
    <row r="372" spans="1:33" x14ac:dyDescent="0.2">
      <c r="A372">
        <v>371</v>
      </c>
      <c r="B372" t="s">
        <v>195</v>
      </c>
      <c r="C372" t="s">
        <v>108</v>
      </c>
      <c r="D372">
        <v>35</v>
      </c>
      <c r="E372" t="s">
        <v>34</v>
      </c>
      <c r="F372" t="s">
        <v>41</v>
      </c>
      <c r="G372" t="s">
        <v>67</v>
      </c>
      <c r="H372">
        <v>42060</v>
      </c>
      <c r="I372">
        <v>1</v>
      </c>
      <c r="J372">
        <v>0</v>
      </c>
      <c r="K372">
        <v>0</v>
      </c>
      <c r="L372">
        <v>0</v>
      </c>
      <c r="M372" t="s">
        <v>68</v>
      </c>
      <c r="N372" t="s">
        <v>86</v>
      </c>
      <c r="O372" t="s">
        <v>109</v>
      </c>
      <c r="P372" t="s">
        <v>37</v>
      </c>
      <c r="Q372" t="s">
        <v>65</v>
      </c>
      <c r="R372" t="s">
        <v>46</v>
      </c>
      <c r="S372" t="s">
        <v>59</v>
      </c>
      <c r="T372">
        <v>0</v>
      </c>
      <c r="U372">
        <v>1</v>
      </c>
      <c r="V372">
        <v>0</v>
      </c>
      <c r="W372">
        <v>0</v>
      </c>
      <c r="X372">
        <v>1</v>
      </c>
      <c r="Y372">
        <v>0</v>
      </c>
      <c r="Z372">
        <v>1</v>
      </c>
      <c r="AA372">
        <v>0</v>
      </c>
      <c r="AB372">
        <v>1</v>
      </c>
      <c r="AC372">
        <v>0</v>
      </c>
      <c r="AD372">
        <v>0</v>
      </c>
      <c r="AE372">
        <v>0</v>
      </c>
      <c r="AF372">
        <v>0</v>
      </c>
      <c r="AG372">
        <v>0</v>
      </c>
    </row>
    <row r="373" spans="1:33" hidden="1" x14ac:dyDescent="0.2">
      <c r="A373">
        <v>372</v>
      </c>
      <c r="B373" t="s">
        <v>195</v>
      </c>
      <c r="C373" t="s">
        <v>108</v>
      </c>
      <c r="D373">
        <v>35</v>
      </c>
      <c r="E373" t="s">
        <v>34</v>
      </c>
      <c r="F373" t="s">
        <v>53</v>
      </c>
      <c r="G373" t="s">
        <v>54</v>
      </c>
      <c r="H373">
        <v>44789</v>
      </c>
      <c r="I373">
        <v>0</v>
      </c>
      <c r="J373">
        <v>0</v>
      </c>
      <c r="K373">
        <v>0</v>
      </c>
      <c r="L373">
        <v>0</v>
      </c>
      <c r="M373" t="s">
        <v>36</v>
      </c>
      <c r="N373" t="s">
        <v>36</v>
      </c>
      <c r="O373" t="s">
        <v>36</v>
      </c>
      <c r="P373" t="s">
        <v>37</v>
      </c>
      <c r="Q373" t="s">
        <v>36</v>
      </c>
      <c r="R373" t="s">
        <v>36</v>
      </c>
      <c r="S373" t="s">
        <v>36</v>
      </c>
      <c r="T373" t="s">
        <v>36</v>
      </c>
      <c r="U373">
        <v>1</v>
      </c>
      <c r="V373">
        <v>0</v>
      </c>
      <c r="W373">
        <v>0</v>
      </c>
      <c r="X373">
        <v>1</v>
      </c>
      <c r="Y373">
        <v>0</v>
      </c>
      <c r="Z373">
        <v>1</v>
      </c>
      <c r="AA373">
        <v>0</v>
      </c>
      <c r="AB373">
        <v>1</v>
      </c>
      <c r="AC373">
        <v>0</v>
      </c>
      <c r="AD373">
        <v>0</v>
      </c>
      <c r="AE373">
        <v>0</v>
      </c>
      <c r="AF373">
        <v>0</v>
      </c>
      <c r="AG373">
        <v>0</v>
      </c>
    </row>
    <row r="374" spans="1:33" x14ac:dyDescent="0.2">
      <c r="A374">
        <v>373</v>
      </c>
      <c r="B374" t="s">
        <v>195</v>
      </c>
      <c r="C374" t="s">
        <v>108</v>
      </c>
      <c r="D374">
        <v>35</v>
      </c>
      <c r="E374" t="s">
        <v>34</v>
      </c>
      <c r="F374" t="s">
        <v>41</v>
      </c>
      <c r="G374" t="s">
        <v>55</v>
      </c>
      <c r="H374">
        <v>37904</v>
      </c>
      <c r="I374">
        <v>1</v>
      </c>
      <c r="J374">
        <v>0</v>
      </c>
      <c r="K374">
        <v>0</v>
      </c>
      <c r="L374">
        <v>0</v>
      </c>
      <c r="M374" t="s">
        <v>94</v>
      </c>
      <c r="N374" t="s">
        <v>57</v>
      </c>
      <c r="O374" t="s">
        <v>84</v>
      </c>
      <c r="P374" t="s">
        <v>37</v>
      </c>
      <c r="Q374" t="s">
        <v>47</v>
      </c>
      <c r="R374" t="s">
        <v>48</v>
      </c>
      <c r="S374" t="s">
        <v>46</v>
      </c>
      <c r="T374">
        <v>0</v>
      </c>
      <c r="U374">
        <v>0</v>
      </c>
      <c r="V374">
        <v>1</v>
      </c>
      <c r="W374">
        <v>1</v>
      </c>
      <c r="X374">
        <v>1</v>
      </c>
      <c r="Y374">
        <v>0</v>
      </c>
      <c r="Z374">
        <v>1</v>
      </c>
      <c r="AA374">
        <v>0</v>
      </c>
      <c r="AB374">
        <v>0</v>
      </c>
      <c r="AC374">
        <v>0</v>
      </c>
      <c r="AD374">
        <v>1</v>
      </c>
      <c r="AE374">
        <v>0</v>
      </c>
      <c r="AF374">
        <v>0</v>
      </c>
      <c r="AG374">
        <v>0</v>
      </c>
    </row>
    <row r="375" spans="1:33" x14ac:dyDescent="0.2">
      <c r="A375">
        <v>374</v>
      </c>
      <c r="B375" t="s">
        <v>195</v>
      </c>
      <c r="C375" t="s">
        <v>108</v>
      </c>
      <c r="D375">
        <v>35</v>
      </c>
      <c r="E375" t="s">
        <v>34</v>
      </c>
      <c r="F375" t="s">
        <v>41</v>
      </c>
      <c r="G375" t="s">
        <v>61</v>
      </c>
      <c r="H375">
        <v>25176</v>
      </c>
      <c r="I375">
        <v>0</v>
      </c>
      <c r="J375">
        <v>0</v>
      </c>
      <c r="K375">
        <v>1</v>
      </c>
      <c r="L375">
        <v>0</v>
      </c>
      <c r="M375" t="s">
        <v>63</v>
      </c>
      <c r="N375" t="s">
        <v>125</v>
      </c>
      <c r="O375" t="s">
        <v>62</v>
      </c>
      <c r="P375" t="s">
        <v>37</v>
      </c>
      <c r="Q375" t="s">
        <v>46</v>
      </c>
      <c r="R375" t="s">
        <v>60</v>
      </c>
      <c r="S375" t="s">
        <v>65</v>
      </c>
      <c r="T375">
        <v>1</v>
      </c>
      <c r="U375">
        <v>1</v>
      </c>
      <c r="V375">
        <v>0</v>
      </c>
      <c r="W375">
        <v>0</v>
      </c>
      <c r="X375">
        <v>1</v>
      </c>
      <c r="Y375">
        <v>0</v>
      </c>
      <c r="Z375">
        <v>1</v>
      </c>
      <c r="AA375">
        <v>0</v>
      </c>
      <c r="AB375">
        <v>1</v>
      </c>
      <c r="AC375">
        <v>0</v>
      </c>
      <c r="AD375">
        <v>0</v>
      </c>
      <c r="AE375">
        <v>0</v>
      </c>
      <c r="AF375">
        <v>0</v>
      </c>
      <c r="AG375">
        <v>0</v>
      </c>
    </row>
    <row r="376" spans="1:33" hidden="1" x14ac:dyDescent="0.2">
      <c r="A376">
        <v>375</v>
      </c>
      <c r="B376" t="s">
        <v>195</v>
      </c>
      <c r="C376" t="s">
        <v>108</v>
      </c>
      <c r="D376">
        <v>35</v>
      </c>
      <c r="E376" t="s">
        <v>34</v>
      </c>
      <c r="F376" t="s">
        <v>53</v>
      </c>
      <c r="G376" t="s">
        <v>71</v>
      </c>
      <c r="H376">
        <v>63566</v>
      </c>
      <c r="I376">
        <v>1</v>
      </c>
      <c r="J376">
        <v>1</v>
      </c>
      <c r="K376">
        <v>1</v>
      </c>
      <c r="L376">
        <v>0</v>
      </c>
      <c r="M376" t="s">
        <v>36</v>
      </c>
      <c r="N376" t="s">
        <v>36</v>
      </c>
      <c r="O376" t="s">
        <v>36</v>
      </c>
      <c r="P376" t="s">
        <v>37</v>
      </c>
      <c r="Q376" t="s">
        <v>36</v>
      </c>
      <c r="R376" t="s">
        <v>36</v>
      </c>
      <c r="S376" t="s">
        <v>36</v>
      </c>
      <c r="T376" t="s">
        <v>36</v>
      </c>
      <c r="U376">
        <v>1</v>
      </c>
      <c r="V376">
        <v>0</v>
      </c>
      <c r="W376">
        <v>0</v>
      </c>
      <c r="X376">
        <v>1</v>
      </c>
      <c r="Y376">
        <v>0</v>
      </c>
      <c r="Z376">
        <v>1</v>
      </c>
      <c r="AA376">
        <v>0</v>
      </c>
      <c r="AB376">
        <v>1</v>
      </c>
      <c r="AC376">
        <v>0</v>
      </c>
      <c r="AD376">
        <v>0</v>
      </c>
      <c r="AE376">
        <v>0</v>
      </c>
      <c r="AF376">
        <v>0</v>
      </c>
      <c r="AG376">
        <v>0</v>
      </c>
    </row>
    <row r="377" spans="1:33" x14ac:dyDescent="0.2">
      <c r="A377">
        <v>376</v>
      </c>
      <c r="B377" t="s">
        <v>195</v>
      </c>
      <c r="C377" t="s">
        <v>108</v>
      </c>
      <c r="D377">
        <v>35</v>
      </c>
      <c r="E377" t="s">
        <v>34</v>
      </c>
      <c r="F377" t="s">
        <v>41</v>
      </c>
      <c r="G377" t="s">
        <v>42</v>
      </c>
      <c r="H377">
        <v>12256</v>
      </c>
      <c r="I377">
        <v>0</v>
      </c>
      <c r="J377">
        <v>1</v>
      </c>
      <c r="K377">
        <v>0</v>
      </c>
      <c r="L377">
        <v>0</v>
      </c>
      <c r="M377" t="s">
        <v>43</v>
      </c>
      <c r="N377" t="s">
        <v>82</v>
      </c>
      <c r="O377" t="s">
        <v>45</v>
      </c>
      <c r="P377" t="s">
        <v>37</v>
      </c>
      <c r="Q377" t="s">
        <v>46</v>
      </c>
      <c r="R377" t="s">
        <v>65</v>
      </c>
      <c r="S377" t="s">
        <v>48</v>
      </c>
      <c r="T377">
        <v>0</v>
      </c>
      <c r="U377">
        <v>1</v>
      </c>
      <c r="V377">
        <v>1</v>
      </c>
      <c r="W377">
        <v>0</v>
      </c>
      <c r="X377">
        <v>1</v>
      </c>
      <c r="Y377">
        <v>0</v>
      </c>
      <c r="Z377">
        <v>1</v>
      </c>
      <c r="AA377">
        <v>0</v>
      </c>
      <c r="AB377">
        <v>1</v>
      </c>
      <c r="AC377">
        <v>0</v>
      </c>
      <c r="AD377">
        <v>0</v>
      </c>
      <c r="AE377">
        <v>0</v>
      </c>
      <c r="AF377">
        <v>0</v>
      </c>
      <c r="AG377">
        <v>0</v>
      </c>
    </row>
    <row r="378" spans="1:33" hidden="1" x14ac:dyDescent="0.2">
      <c r="A378">
        <v>377</v>
      </c>
      <c r="B378" t="s">
        <v>195</v>
      </c>
      <c r="C378" t="s">
        <v>108</v>
      </c>
      <c r="D378">
        <v>35</v>
      </c>
      <c r="E378" t="s">
        <v>34</v>
      </c>
      <c r="F378" t="s">
        <v>53</v>
      </c>
      <c r="G378" t="s">
        <v>76</v>
      </c>
      <c r="H378">
        <v>25995</v>
      </c>
      <c r="I378">
        <v>1</v>
      </c>
      <c r="J378">
        <v>0</v>
      </c>
      <c r="K378">
        <v>0</v>
      </c>
      <c r="L378">
        <v>0</v>
      </c>
      <c r="M378" t="s">
        <v>36</v>
      </c>
      <c r="N378" t="s">
        <v>36</v>
      </c>
      <c r="O378" t="s">
        <v>36</v>
      </c>
      <c r="P378" t="s">
        <v>37</v>
      </c>
      <c r="Q378" t="s">
        <v>36</v>
      </c>
      <c r="R378" t="s">
        <v>36</v>
      </c>
      <c r="S378" t="s">
        <v>36</v>
      </c>
      <c r="T378" t="s">
        <v>36</v>
      </c>
      <c r="U378">
        <v>1</v>
      </c>
      <c r="V378">
        <v>1</v>
      </c>
      <c r="W378">
        <v>0</v>
      </c>
      <c r="X378">
        <v>1</v>
      </c>
      <c r="Y378">
        <v>0</v>
      </c>
      <c r="Z378">
        <v>1</v>
      </c>
      <c r="AA378">
        <v>0</v>
      </c>
      <c r="AB378">
        <v>1</v>
      </c>
      <c r="AC378">
        <v>0</v>
      </c>
      <c r="AD378">
        <v>0</v>
      </c>
      <c r="AE378">
        <v>0</v>
      </c>
      <c r="AF378">
        <v>0</v>
      </c>
      <c r="AG378">
        <v>0</v>
      </c>
    </row>
    <row r="379" spans="1:33" hidden="1" x14ac:dyDescent="0.2">
      <c r="A379">
        <v>378</v>
      </c>
      <c r="B379" t="s">
        <v>195</v>
      </c>
      <c r="C379" t="s">
        <v>108</v>
      </c>
      <c r="D379">
        <v>35</v>
      </c>
      <c r="E379" t="s">
        <v>34</v>
      </c>
      <c r="F379" t="s">
        <v>77</v>
      </c>
      <c r="G379" t="s">
        <v>36</v>
      </c>
      <c r="H379">
        <v>78959</v>
      </c>
      <c r="I379" t="s">
        <v>196</v>
      </c>
      <c r="J379" t="s">
        <v>197</v>
      </c>
      <c r="L379" t="s">
        <v>36</v>
      </c>
      <c r="M379" t="s">
        <v>36</v>
      </c>
      <c r="N379" t="s">
        <v>36</v>
      </c>
      <c r="O379" t="s">
        <v>36</v>
      </c>
      <c r="P379" t="s">
        <v>37</v>
      </c>
      <c r="Q379" t="s">
        <v>36</v>
      </c>
      <c r="R379" t="s">
        <v>36</v>
      </c>
      <c r="S379" t="s">
        <v>36</v>
      </c>
      <c r="T379" t="s">
        <v>36</v>
      </c>
      <c r="U379" t="s">
        <v>36</v>
      </c>
      <c r="V379" t="s">
        <v>36</v>
      </c>
      <c r="W379" t="s">
        <v>36</v>
      </c>
      <c r="X379" t="s">
        <v>36</v>
      </c>
      <c r="Y379" t="s">
        <v>36</v>
      </c>
      <c r="Z379" t="s">
        <v>36</v>
      </c>
      <c r="AA379" t="s">
        <v>36</v>
      </c>
      <c r="AB379" t="s">
        <v>36</v>
      </c>
      <c r="AC379" t="s">
        <v>36</v>
      </c>
      <c r="AD379" t="s">
        <v>36</v>
      </c>
      <c r="AE379" t="s">
        <v>36</v>
      </c>
      <c r="AF379" t="s">
        <v>36</v>
      </c>
      <c r="AG379" t="s">
        <v>36</v>
      </c>
    </row>
    <row r="380" spans="1:33" hidden="1" x14ac:dyDescent="0.2">
      <c r="A380">
        <v>379</v>
      </c>
      <c r="B380" t="s">
        <v>198</v>
      </c>
      <c r="C380" t="s">
        <v>108</v>
      </c>
      <c r="D380">
        <v>34</v>
      </c>
      <c r="E380" t="s">
        <v>34</v>
      </c>
      <c r="F380" t="s">
        <v>35</v>
      </c>
      <c r="G380" t="s">
        <v>36</v>
      </c>
      <c r="H380">
        <v>72383</v>
      </c>
      <c r="I380" t="s">
        <v>36</v>
      </c>
      <c r="J380" t="s">
        <v>36</v>
      </c>
      <c r="K380" t="s">
        <v>36</v>
      </c>
      <c r="L380" t="s">
        <v>36</v>
      </c>
      <c r="M380" t="s">
        <v>36</v>
      </c>
      <c r="N380" t="s">
        <v>36</v>
      </c>
      <c r="O380" t="s">
        <v>36</v>
      </c>
      <c r="P380" t="s">
        <v>37</v>
      </c>
      <c r="Q380" t="s">
        <v>36</v>
      </c>
      <c r="R380" t="s">
        <v>36</v>
      </c>
      <c r="S380" t="s">
        <v>36</v>
      </c>
      <c r="T380" t="s">
        <v>36</v>
      </c>
      <c r="U380" t="s">
        <v>36</v>
      </c>
      <c r="V380" t="s">
        <v>36</v>
      </c>
      <c r="W380" t="s">
        <v>36</v>
      </c>
      <c r="X380" t="s">
        <v>36</v>
      </c>
      <c r="Y380" t="s">
        <v>36</v>
      </c>
      <c r="Z380" t="s">
        <v>36</v>
      </c>
      <c r="AA380" t="s">
        <v>36</v>
      </c>
      <c r="AB380" t="s">
        <v>36</v>
      </c>
      <c r="AC380" t="s">
        <v>36</v>
      </c>
      <c r="AD380" t="s">
        <v>36</v>
      </c>
      <c r="AE380" t="s">
        <v>36</v>
      </c>
      <c r="AF380" t="s">
        <v>36</v>
      </c>
      <c r="AG380" t="s">
        <v>36</v>
      </c>
    </row>
    <row r="381" spans="1:33" hidden="1" x14ac:dyDescent="0.2">
      <c r="A381">
        <v>380</v>
      </c>
      <c r="B381" t="s">
        <v>198</v>
      </c>
      <c r="C381" t="s">
        <v>108</v>
      </c>
      <c r="D381">
        <v>34</v>
      </c>
      <c r="E381" t="s">
        <v>34</v>
      </c>
      <c r="F381" t="s">
        <v>38</v>
      </c>
      <c r="G381" t="s">
        <v>39</v>
      </c>
      <c r="H381">
        <v>47843</v>
      </c>
      <c r="I381">
        <v>0</v>
      </c>
      <c r="J381">
        <v>0</v>
      </c>
      <c r="K381">
        <v>0</v>
      </c>
      <c r="L381">
        <v>1</v>
      </c>
      <c r="M381" t="s">
        <v>36</v>
      </c>
      <c r="N381" t="s">
        <v>36</v>
      </c>
      <c r="O381" t="s">
        <v>36</v>
      </c>
      <c r="P381" t="s">
        <v>37</v>
      </c>
      <c r="Q381" t="s">
        <v>36</v>
      </c>
      <c r="R381" t="s">
        <v>36</v>
      </c>
      <c r="S381" t="s">
        <v>36</v>
      </c>
      <c r="T381" t="s">
        <v>36</v>
      </c>
      <c r="U381" t="s">
        <v>36</v>
      </c>
      <c r="V381" t="s">
        <v>36</v>
      </c>
      <c r="W381" t="s">
        <v>36</v>
      </c>
      <c r="X381" t="s">
        <v>36</v>
      </c>
      <c r="Y381" t="s">
        <v>36</v>
      </c>
      <c r="Z381" t="s">
        <v>36</v>
      </c>
      <c r="AA381" t="s">
        <v>36</v>
      </c>
      <c r="AB381" t="s">
        <v>36</v>
      </c>
      <c r="AC381" t="s">
        <v>36</v>
      </c>
      <c r="AD381" t="s">
        <v>36</v>
      </c>
      <c r="AE381" t="s">
        <v>36</v>
      </c>
      <c r="AF381" t="s">
        <v>36</v>
      </c>
      <c r="AG381" t="s">
        <v>36</v>
      </c>
    </row>
    <row r="382" spans="1:33" hidden="1" x14ac:dyDescent="0.2">
      <c r="A382">
        <v>381</v>
      </c>
      <c r="B382" t="s">
        <v>198</v>
      </c>
      <c r="C382" t="s">
        <v>108</v>
      </c>
      <c r="D382">
        <v>34</v>
      </c>
      <c r="E382" t="s">
        <v>34</v>
      </c>
      <c r="F382" t="s">
        <v>38</v>
      </c>
      <c r="G382" t="s">
        <v>40</v>
      </c>
      <c r="H382">
        <v>52400</v>
      </c>
      <c r="I382">
        <v>0</v>
      </c>
      <c r="J382">
        <v>0</v>
      </c>
      <c r="K382">
        <v>1</v>
      </c>
      <c r="L382">
        <v>0</v>
      </c>
      <c r="M382" t="s">
        <v>36</v>
      </c>
      <c r="N382" t="s">
        <v>36</v>
      </c>
      <c r="O382" t="s">
        <v>36</v>
      </c>
      <c r="P382" t="s">
        <v>37</v>
      </c>
      <c r="Q382" t="s">
        <v>36</v>
      </c>
      <c r="R382" t="s">
        <v>36</v>
      </c>
      <c r="S382" t="s">
        <v>36</v>
      </c>
      <c r="T382" t="s">
        <v>36</v>
      </c>
      <c r="U382" t="s">
        <v>36</v>
      </c>
      <c r="V382" t="s">
        <v>36</v>
      </c>
      <c r="W382" t="s">
        <v>36</v>
      </c>
      <c r="X382" t="s">
        <v>36</v>
      </c>
      <c r="Y382" t="s">
        <v>36</v>
      </c>
      <c r="Z382" t="s">
        <v>36</v>
      </c>
      <c r="AA382" t="s">
        <v>36</v>
      </c>
      <c r="AB382" t="s">
        <v>36</v>
      </c>
      <c r="AC382" t="s">
        <v>36</v>
      </c>
      <c r="AD382" t="s">
        <v>36</v>
      </c>
      <c r="AE382" t="s">
        <v>36</v>
      </c>
      <c r="AF382" t="s">
        <v>36</v>
      </c>
      <c r="AG382" t="s">
        <v>36</v>
      </c>
    </row>
    <row r="383" spans="1:33" x14ac:dyDescent="0.2">
      <c r="A383">
        <v>382</v>
      </c>
      <c r="B383" t="s">
        <v>198</v>
      </c>
      <c r="C383" t="s">
        <v>108</v>
      </c>
      <c r="D383">
        <v>34</v>
      </c>
      <c r="E383" t="s">
        <v>34</v>
      </c>
      <c r="F383" t="s">
        <v>41</v>
      </c>
      <c r="G383" t="s">
        <v>67</v>
      </c>
      <c r="H383">
        <v>50873</v>
      </c>
      <c r="I383">
        <v>0</v>
      </c>
      <c r="J383">
        <v>0</v>
      </c>
      <c r="K383">
        <v>0</v>
      </c>
      <c r="L383">
        <v>1</v>
      </c>
      <c r="M383" t="s">
        <v>68</v>
      </c>
      <c r="N383" t="s">
        <v>86</v>
      </c>
      <c r="O383" t="s">
        <v>70</v>
      </c>
      <c r="P383" t="s">
        <v>37</v>
      </c>
      <c r="Q383" t="s">
        <v>65</v>
      </c>
      <c r="R383" t="s">
        <v>46</v>
      </c>
      <c r="S383" t="s">
        <v>47</v>
      </c>
      <c r="T383">
        <v>0</v>
      </c>
      <c r="U383">
        <v>1</v>
      </c>
      <c r="V383">
        <v>0</v>
      </c>
      <c r="W383">
        <v>1</v>
      </c>
      <c r="X383">
        <v>1</v>
      </c>
      <c r="Y383">
        <v>0</v>
      </c>
      <c r="Z383">
        <v>1</v>
      </c>
      <c r="AA383">
        <v>0</v>
      </c>
      <c r="AB383">
        <v>0</v>
      </c>
      <c r="AC383">
        <v>0</v>
      </c>
      <c r="AD383">
        <v>0</v>
      </c>
      <c r="AE383">
        <v>0</v>
      </c>
      <c r="AF383">
        <v>0</v>
      </c>
      <c r="AG383">
        <v>1</v>
      </c>
    </row>
    <row r="384" spans="1:33" x14ac:dyDescent="0.2">
      <c r="A384">
        <v>383</v>
      </c>
      <c r="B384" t="s">
        <v>198</v>
      </c>
      <c r="C384" t="s">
        <v>108</v>
      </c>
      <c r="D384">
        <v>34</v>
      </c>
      <c r="E384" t="s">
        <v>34</v>
      </c>
      <c r="F384" t="s">
        <v>41</v>
      </c>
      <c r="G384" t="s">
        <v>72</v>
      </c>
      <c r="H384">
        <v>90351</v>
      </c>
      <c r="I384">
        <v>0</v>
      </c>
      <c r="J384">
        <v>0</v>
      </c>
      <c r="K384">
        <v>0</v>
      </c>
      <c r="L384">
        <v>1</v>
      </c>
      <c r="M384" t="s">
        <v>93</v>
      </c>
      <c r="N384" t="s">
        <v>73</v>
      </c>
      <c r="O384" t="s">
        <v>75</v>
      </c>
      <c r="P384" t="s">
        <v>37</v>
      </c>
      <c r="Q384" t="s">
        <v>59</v>
      </c>
      <c r="R384" t="s">
        <v>48</v>
      </c>
      <c r="S384" t="s">
        <v>46</v>
      </c>
      <c r="T384">
        <v>0</v>
      </c>
      <c r="U384">
        <v>0</v>
      </c>
      <c r="V384">
        <v>1</v>
      </c>
      <c r="W384">
        <v>0</v>
      </c>
      <c r="X384">
        <v>1</v>
      </c>
      <c r="Y384">
        <v>0</v>
      </c>
      <c r="Z384">
        <v>1</v>
      </c>
      <c r="AA384">
        <v>0</v>
      </c>
      <c r="AB384">
        <v>0</v>
      </c>
      <c r="AC384">
        <v>0</v>
      </c>
      <c r="AD384">
        <v>0</v>
      </c>
      <c r="AE384">
        <v>0</v>
      </c>
      <c r="AF384">
        <v>0</v>
      </c>
      <c r="AG384">
        <v>1</v>
      </c>
    </row>
    <row r="385" spans="1:33" hidden="1" x14ac:dyDescent="0.2">
      <c r="A385">
        <v>384</v>
      </c>
      <c r="B385" t="s">
        <v>198</v>
      </c>
      <c r="C385" t="s">
        <v>108</v>
      </c>
      <c r="D385">
        <v>34</v>
      </c>
      <c r="E385" t="s">
        <v>34</v>
      </c>
      <c r="F385" t="s">
        <v>53</v>
      </c>
      <c r="G385" t="s">
        <v>76</v>
      </c>
      <c r="H385">
        <v>37569</v>
      </c>
      <c r="I385">
        <v>1</v>
      </c>
      <c r="J385">
        <v>0</v>
      </c>
      <c r="K385">
        <v>0</v>
      </c>
      <c r="L385">
        <v>0</v>
      </c>
      <c r="M385" t="s">
        <v>36</v>
      </c>
      <c r="N385" t="s">
        <v>36</v>
      </c>
      <c r="O385" t="s">
        <v>36</v>
      </c>
      <c r="P385" t="s">
        <v>37</v>
      </c>
      <c r="Q385" t="s">
        <v>36</v>
      </c>
      <c r="R385" t="s">
        <v>36</v>
      </c>
      <c r="S385" t="s">
        <v>36</v>
      </c>
      <c r="T385" t="s">
        <v>36</v>
      </c>
      <c r="U385">
        <v>0</v>
      </c>
      <c r="V385">
        <v>1</v>
      </c>
      <c r="W385">
        <v>0</v>
      </c>
      <c r="X385">
        <v>1</v>
      </c>
      <c r="Y385">
        <v>0</v>
      </c>
      <c r="Z385">
        <v>1</v>
      </c>
      <c r="AA385">
        <v>0</v>
      </c>
      <c r="AB385">
        <v>0</v>
      </c>
      <c r="AC385">
        <v>0</v>
      </c>
      <c r="AD385">
        <v>0</v>
      </c>
      <c r="AE385">
        <v>0</v>
      </c>
      <c r="AF385">
        <v>0</v>
      </c>
      <c r="AG385">
        <v>1</v>
      </c>
    </row>
    <row r="386" spans="1:33" x14ac:dyDescent="0.2">
      <c r="A386">
        <v>385</v>
      </c>
      <c r="B386" t="s">
        <v>198</v>
      </c>
      <c r="C386" t="s">
        <v>108</v>
      </c>
      <c r="D386">
        <v>34</v>
      </c>
      <c r="E386" t="s">
        <v>34</v>
      </c>
      <c r="F386" t="s">
        <v>41</v>
      </c>
      <c r="G386" t="s">
        <v>49</v>
      </c>
      <c r="H386">
        <v>44071</v>
      </c>
      <c r="I386">
        <v>0</v>
      </c>
      <c r="J386">
        <v>1</v>
      </c>
      <c r="K386">
        <v>0</v>
      </c>
      <c r="L386">
        <v>0</v>
      </c>
      <c r="M386" t="s">
        <v>52</v>
      </c>
      <c r="N386" t="s">
        <v>51</v>
      </c>
      <c r="O386" t="s">
        <v>50</v>
      </c>
      <c r="P386" t="s">
        <v>37</v>
      </c>
      <c r="Q386" t="s">
        <v>46</v>
      </c>
      <c r="R386" t="s">
        <v>47</v>
      </c>
      <c r="S386" t="s">
        <v>48</v>
      </c>
      <c r="T386">
        <v>0</v>
      </c>
      <c r="U386">
        <v>0</v>
      </c>
      <c r="V386">
        <v>1</v>
      </c>
      <c r="W386">
        <v>1</v>
      </c>
      <c r="X386">
        <v>1</v>
      </c>
      <c r="Y386">
        <v>0</v>
      </c>
      <c r="Z386">
        <v>1</v>
      </c>
      <c r="AA386">
        <v>0</v>
      </c>
      <c r="AB386">
        <v>0</v>
      </c>
      <c r="AC386">
        <v>0</v>
      </c>
      <c r="AD386">
        <v>1</v>
      </c>
      <c r="AE386">
        <v>0</v>
      </c>
      <c r="AF386">
        <v>0</v>
      </c>
      <c r="AG386">
        <v>0</v>
      </c>
    </row>
    <row r="387" spans="1:33" x14ac:dyDescent="0.2">
      <c r="A387">
        <v>386</v>
      </c>
      <c r="B387" t="s">
        <v>198</v>
      </c>
      <c r="C387" t="s">
        <v>108</v>
      </c>
      <c r="D387">
        <v>34</v>
      </c>
      <c r="E387" t="s">
        <v>34</v>
      </c>
      <c r="F387" t="s">
        <v>41</v>
      </c>
      <c r="G387" t="s">
        <v>55</v>
      </c>
      <c r="H387">
        <v>45090</v>
      </c>
      <c r="I387">
        <v>0</v>
      </c>
      <c r="J387">
        <v>0</v>
      </c>
      <c r="K387">
        <v>1</v>
      </c>
      <c r="L387">
        <v>0</v>
      </c>
      <c r="M387" t="s">
        <v>56</v>
      </c>
      <c r="N387" t="s">
        <v>58</v>
      </c>
      <c r="O387" t="s">
        <v>94</v>
      </c>
      <c r="P387" t="s">
        <v>37</v>
      </c>
      <c r="Q387" t="s">
        <v>59</v>
      </c>
      <c r="R387" t="s">
        <v>60</v>
      </c>
      <c r="S387" t="s">
        <v>47</v>
      </c>
      <c r="T387">
        <v>1</v>
      </c>
      <c r="U387">
        <v>0</v>
      </c>
      <c r="V387">
        <v>0</v>
      </c>
      <c r="W387">
        <v>1</v>
      </c>
      <c r="X387">
        <v>0</v>
      </c>
      <c r="Y387">
        <v>0</v>
      </c>
      <c r="Z387">
        <v>1</v>
      </c>
      <c r="AA387">
        <v>0</v>
      </c>
      <c r="AB387">
        <v>0</v>
      </c>
      <c r="AC387">
        <v>0</v>
      </c>
      <c r="AD387">
        <v>1</v>
      </c>
      <c r="AE387">
        <v>0</v>
      </c>
      <c r="AF387">
        <v>0</v>
      </c>
      <c r="AG387">
        <v>0</v>
      </c>
    </row>
    <row r="388" spans="1:33" hidden="1" x14ac:dyDescent="0.2">
      <c r="A388">
        <v>387</v>
      </c>
      <c r="B388" t="s">
        <v>198</v>
      </c>
      <c r="C388" t="s">
        <v>108</v>
      </c>
      <c r="D388">
        <v>34</v>
      </c>
      <c r="E388" t="s">
        <v>34</v>
      </c>
      <c r="F388" t="s">
        <v>53</v>
      </c>
      <c r="G388" t="s">
        <v>54</v>
      </c>
      <c r="H388">
        <v>30376</v>
      </c>
      <c r="I388">
        <v>0</v>
      </c>
      <c r="J388">
        <v>0</v>
      </c>
      <c r="K388">
        <v>1</v>
      </c>
      <c r="L388">
        <v>0</v>
      </c>
      <c r="M388" t="s">
        <v>36</v>
      </c>
      <c r="N388" t="s">
        <v>36</v>
      </c>
      <c r="O388" t="s">
        <v>36</v>
      </c>
      <c r="P388" t="s">
        <v>37</v>
      </c>
      <c r="Q388" t="s">
        <v>36</v>
      </c>
      <c r="R388" t="s">
        <v>36</v>
      </c>
      <c r="S388" t="s">
        <v>36</v>
      </c>
      <c r="T388" t="s">
        <v>36</v>
      </c>
      <c r="U388">
        <v>0</v>
      </c>
      <c r="V388">
        <v>0</v>
      </c>
      <c r="W388">
        <v>1</v>
      </c>
      <c r="X388">
        <v>0</v>
      </c>
      <c r="Y388">
        <v>0</v>
      </c>
      <c r="Z388">
        <v>1</v>
      </c>
      <c r="AA388">
        <v>0</v>
      </c>
      <c r="AB388">
        <v>0</v>
      </c>
      <c r="AC388">
        <v>0</v>
      </c>
      <c r="AD388">
        <v>1</v>
      </c>
      <c r="AE388">
        <v>0</v>
      </c>
      <c r="AF388">
        <v>0</v>
      </c>
      <c r="AG388">
        <v>0</v>
      </c>
    </row>
    <row r="389" spans="1:33" x14ac:dyDescent="0.2">
      <c r="A389">
        <v>388</v>
      </c>
      <c r="B389" t="s">
        <v>198</v>
      </c>
      <c r="C389" t="s">
        <v>108</v>
      </c>
      <c r="D389">
        <v>34</v>
      </c>
      <c r="E389" t="s">
        <v>34</v>
      </c>
      <c r="F389" t="s">
        <v>41</v>
      </c>
      <c r="G389" t="s">
        <v>42</v>
      </c>
      <c r="H389">
        <v>10849</v>
      </c>
      <c r="I389">
        <v>0</v>
      </c>
      <c r="J389">
        <v>0</v>
      </c>
      <c r="K389">
        <v>1</v>
      </c>
      <c r="L389">
        <v>0</v>
      </c>
      <c r="M389" t="s">
        <v>45</v>
      </c>
      <c r="N389" t="s">
        <v>43</v>
      </c>
      <c r="O389" t="s">
        <v>44</v>
      </c>
      <c r="P389" t="s">
        <v>37</v>
      </c>
      <c r="Q389" t="s">
        <v>48</v>
      </c>
      <c r="R389" t="s">
        <v>46</v>
      </c>
      <c r="S389" t="s">
        <v>47</v>
      </c>
      <c r="T389">
        <v>0</v>
      </c>
      <c r="U389">
        <v>0</v>
      </c>
      <c r="V389">
        <v>1</v>
      </c>
      <c r="W389">
        <v>1</v>
      </c>
      <c r="X389">
        <v>1</v>
      </c>
      <c r="Y389">
        <v>0</v>
      </c>
      <c r="Z389">
        <v>1</v>
      </c>
      <c r="AA389">
        <v>0</v>
      </c>
      <c r="AB389">
        <v>0</v>
      </c>
      <c r="AC389">
        <v>0</v>
      </c>
      <c r="AD389">
        <v>1</v>
      </c>
      <c r="AE389">
        <v>0</v>
      </c>
      <c r="AF389">
        <v>0</v>
      </c>
      <c r="AG389">
        <v>0</v>
      </c>
    </row>
    <row r="390" spans="1:33" hidden="1" x14ac:dyDescent="0.2">
      <c r="A390">
        <v>389</v>
      </c>
      <c r="B390" t="s">
        <v>198</v>
      </c>
      <c r="C390" t="s">
        <v>108</v>
      </c>
      <c r="D390">
        <v>34</v>
      </c>
      <c r="E390" t="s">
        <v>34</v>
      </c>
      <c r="F390" t="s">
        <v>53</v>
      </c>
      <c r="G390" t="s">
        <v>71</v>
      </c>
      <c r="H390">
        <v>46037</v>
      </c>
      <c r="I390">
        <v>0</v>
      </c>
      <c r="J390">
        <v>0</v>
      </c>
      <c r="K390">
        <v>1</v>
      </c>
      <c r="L390">
        <v>0</v>
      </c>
      <c r="M390" t="s">
        <v>36</v>
      </c>
      <c r="N390" t="s">
        <v>36</v>
      </c>
      <c r="O390" t="s">
        <v>36</v>
      </c>
      <c r="P390" t="s">
        <v>37</v>
      </c>
      <c r="Q390" t="s">
        <v>36</v>
      </c>
      <c r="R390" t="s">
        <v>36</v>
      </c>
      <c r="S390" t="s">
        <v>36</v>
      </c>
      <c r="T390" t="s">
        <v>36</v>
      </c>
      <c r="U390">
        <v>0</v>
      </c>
      <c r="V390">
        <v>1</v>
      </c>
      <c r="W390">
        <v>1</v>
      </c>
      <c r="X390">
        <v>1</v>
      </c>
      <c r="Y390">
        <v>0</v>
      </c>
      <c r="Z390">
        <v>1</v>
      </c>
      <c r="AA390">
        <v>0</v>
      </c>
      <c r="AB390">
        <v>0</v>
      </c>
      <c r="AC390">
        <v>0</v>
      </c>
      <c r="AD390">
        <v>1</v>
      </c>
      <c r="AE390">
        <v>0</v>
      </c>
      <c r="AF390">
        <v>0</v>
      </c>
      <c r="AG390">
        <v>0</v>
      </c>
    </row>
    <row r="391" spans="1:33" x14ac:dyDescent="0.2">
      <c r="A391">
        <v>390</v>
      </c>
      <c r="B391" t="s">
        <v>198</v>
      </c>
      <c r="C391" t="s">
        <v>108</v>
      </c>
      <c r="D391">
        <v>34</v>
      </c>
      <c r="E391" t="s">
        <v>34</v>
      </c>
      <c r="F391" t="s">
        <v>41</v>
      </c>
      <c r="G391" t="s">
        <v>61</v>
      </c>
      <c r="H391">
        <v>12318</v>
      </c>
      <c r="I391">
        <v>0</v>
      </c>
      <c r="J391">
        <v>0</v>
      </c>
      <c r="K391">
        <v>1</v>
      </c>
      <c r="L391">
        <v>0</v>
      </c>
      <c r="M391" t="s">
        <v>125</v>
      </c>
      <c r="N391" t="s">
        <v>97</v>
      </c>
      <c r="O391" t="s">
        <v>87</v>
      </c>
      <c r="P391" t="s">
        <v>37</v>
      </c>
      <c r="Q391" t="s">
        <v>60</v>
      </c>
      <c r="R391" t="s">
        <v>59</v>
      </c>
      <c r="S391" t="s">
        <v>47</v>
      </c>
      <c r="T391">
        <v>1</v>
      </c>
      <c r="U391">
        <v>0</v>
      </c>
      <c r="V391">
        <v>0</v>
      </c>
      <c r="W391">
        <v>1</v>
      </c>
      <c r="X391">
        <v>0</v>
      </c>
      <c r="Y391">
        <v>0</v>
      </c>
      <c r="Z391">
        <v>1</v>
      </c>
      <c r="AA391">
        <v>0</v>
      </c>
      <c r="AB391">
        <v>0</v>
      </c>
      <c r="AC391">
        <v>0</v>
      </c>
      <c r="AD391">
        <v>1</v>
      </c>
      <c r="AE391">
        <v>0</v>
      </c>
      <c r="AF391">
        <v>0</v>
      </c>
      <c r="AG391">
        <v>0</v>
      </c>
    </row>
    <row r="392" spans="1:33" hidden="1" x14ac:dyDescent="0.2">
      <c r="A392">
        <v>391</v>
      </c>
      <c r="B392" t="s">
        <v>198</v>
      </c>
      <c r="C392" t="s">
        <v>108</v>
      </c>
      <c r="D392">
        <v>34</v>
      </c>
      <c r="E392" t="s">
        <v>34</v>
      </c>
      <c r="F392" t="s">
        <v>53</v>
      </c>
      <c r="G392" t="s">
        <v>66</v>
      </c>
      <c r="H392">
        <v>28962</v>
      </c>
      <c r="I392">
        <v>1</v>
      </c>
      <c r="J392">
        <v>0</v>
      </c>
      <c r="K392">
        <v>0</v>
      </c>
      <c r="L392">
        <v>0</v>
      </c>
      <c r="M392" t="s">
        <v>36</v>
      </c>
      <c r="N392" t="s">
        <v>36</v>
      </c>
      <c r="O392" t="s">
        <v>36</v>
      </c>
      <c r="P392" t="s">
        <v>37</v>
      </c>
      <c r="Q392" t="s">
        <v>36</v>
      </c>
      <c r="R392" t="s">
        <v>36</v>
      </c>
      <c r="S392" t="s">
        <v>36</v>
      </c>
      <c r="T392" t="s">
        <v>36</v>
      </c>
      <c r="U392">
        <v>0</v>
      </c>
      <c r="V392">
        <v>0</v>
      </c>
      <c r="W392">
        <v>1</v>
      </c>
      <c r="X392">
        <v>0</v>
      </c>
      <c r="Y392">
        <v>0</v>
      </c>
      <c r="Z392">
        <v>1</v>
      </c>
      <c r="AA392">
        <v>0</v>
      </c>
      <c r="AB392">
        <v>0</v>
      </c>
      <c r="AC392">
        <v>0</v>
      </c>
      <c r="AD392">
        <v>1</v>
      </c>
      <c r="AE392">
        <v>0</v>
      </c>
      <c r="AF392">
        <v>0</v>
      </c>
      <c r="AG392">
        <v>0</v>
      </c>
    </row>
    <row r="393" spans="1:33" hidden="1" x14ac:dyDescent="0.2">
      <c r="A393">
        <v>392</v>
      </c>
      <c r="B393" t="s">
        <v>198</v>
      </c>
      <c r="C393" t="s">
        <v>108</v>
      </c>
      <c r="D393">
        <v>34</v>
      </c>
      <c r="E393" t="s">
        <v>34</v>
      </c>
      <c r="F393" t="s">
        <v>77</v>
      </c>
      <c r="G393" t="s">
        <v>36</v>
      </c>
      <c r="H393">
        <v>50379</v>
      </c>
      <c r="I393" t="s">
        <v>199</v>
      </c>
      <c r="J393" t="s">
        <v>200</v>
      </c>
      <c r="K393" t="s">
        <v>201</v>
      </c>
      <c r="L393" t="s">
        <v>36</v>
      </c>
      <c r="M393" t="s">
        <v>36</v>
      </c>
      <c r="N393" t="s">
        <v>36</v>
      </c>
      <c r="O393" t="s">
        <v>36</v>
      </c>
      <c r="P393" t="s">
        <v>37</v>
      </c>
      <c r="Q393" t="s">
        <v>36</v>
      </c>
      <c r="R393" t="s">
        <v>36</v>
      </c>
      <c r="S393" t="s">
        <v>36</v>
      </c>
      <c r="T393" t="s">
        <v>36</v>
      </c>
      <c r="U393" t="s">
        <v>36</v>
      </c>
      <c r="V393" t="s">
        <v>36</v>
      </c>
      <c r="W393" t="s">
        <v>36</v>
      </c>
      <c r="X393" t="s">
        <v>36</v>
      </c>
      <c r="Y393" t="s">
        <v>36</v>
      </c>
      <c r="Z393" t="s">
        <v>36</v>
      </c>
      <c r="AA393" t="s">
        <v>36</v>
      </c>
      <c r="AB393" t="s">
        <v>36</v>
      </c>
      <c r="AC393" t="s">
        <v>36</v>
      </c>
      <c r="AD393" t="s">
        <v>36</v>
      </c>
      <c r="AE393" t="s">
        <v>36</v>
      </c>
      <c r="AF393" t="s">
        <v>36</v>
      </c>
      <c r="AG393" t="s">
        <v>36</v>
      </c>
    </row>
    <row r="394" spans="1:33" hidden="1" x14ac:dyDescent="0.2">
      <c r="A394">
        <v>393</v>
      </c>
      <c r="B394" t="s">
        <v>202</v>
      </c>
      <c r="C394" t="s">
        <v>108</v>
      </c>
      <c r="D394">
        <v>29</v>
      </c>
      <c r="E394" t="s">
        <v>114</v>
      </c>
      <c r="F394" t="s">
        <v>35</v>
      </c>
      <c r="G394" t="s">
        <v>36</v>
      </c>
      <c r="H394">
        <v>47580</v>
      </c>
      <c r="I394" t="s">
        <v>36</v>
      </c>
      <c r="J394" t="s">
        <v>36</v>
      </c>
      <c r="K394" t="s">
        <v>36</v>
      </c>
      <c r="L394" t="s">
        <v>36</v>
      </c>
      <c r="M394" t="s">
        <v>36</v>
      </c>
      <c r="N394" t="s">
        <v>36</v>
      </c>
      <c r="O394" t="s">
        <v>36</v>
      </c>
      <c r="P394" t="s">
        <v>37</v>
      </c>
      <c r="Q394" t="s">
        <v>36</v>
      </c>
      <c r="R394" t="s">
        <v>36</v>
      </c>
      <c r="S394" t="s">
        <v>36</v>
      </c>
      <c r="T394" t="s">
        <v>36</v>
      </c>
      <c r="U394" t="s">
        <v>36</v>
      </c>
      <c r="V394" t="s">
        <v>36</v>
      </c>
      <c r="W394" t="s">
        <v>36</v>
      </c>
      <c r="X394" t="s">
        <v>36</v>
      </c>
      <c r="Y394" t="s">
        <v>36</v>
      </c>
      <c r="Z394" t="s">
        <v>36</v>
      </c>
      <c r="AA394" t="s">
        <v>36</v>
      </c>
      <c r="AB394" t="s">
        <v>36</v>
      </c>
      <c r="AC394" t="s">
        <v>36</v>
      </c>
      <c r="AD394" t="s">
        <v>36</v>
      </c>
      <c r="AE394" t="s">
        <v>36</v>
      </c>
      <c r="AF394" t="s">
        <v>36</v>
      </c>
      <c r="AG394" t="s">
        <v>36</v>
      </c>
    </row>
    <row r="395" spans="1:33" hidden="1" x14ac:dyDescent="0.2">
      <c r="A395">
        <v>394</v>
      </c>
      <c r="B395" t="s">
        <v>202</v>
      </c>
      <c r="C395" t="s">
        <v>108</v>
      </c>
      <c r="D395">
        <v>29</v>
      </c>
      <c r="E395" t="s">
        <v>114</v>
      </c>
      <c r="F395" t="s">
        <v>38</v>
      </c>
      <c r="G395" t="s">
        <v>39</v>
      </c>
      <c r="H395">
        <v>43243</v>
      </c>
      <c r="I395">
        <v>0</v>
      </c>
      <c r="J395">
        <v>0</v>
      </c>
      <c r="K395">
        <v>0</v>
      </c>
      <c r="L395">
        <v>1</v>
      </c>
      <c r="M395" t="s">
        <v>36</v>
      </c>
      <c r="N395" t="s">
        <v>36</v>
      </c>
      <c r="O395" t="s">
        <v>36</v>
      </c>
      <c r="P395" t="s">
        <v>37</v>
      </c>
      <c r="Q395" t="s">
        <v>36</v>
      </c>
      <c r="R395" t="s">
        <v>36</v>
      </c>
      <c r="S395" t="s">
        <v>36</v>
      </c>
      <c r="T395" t="s">
        <v>36</v>
      </c>
      <c r="U395" t="s">
        <v>36</v>
      </c>
      <c r="V395" t="s">
        <v>36</v>
      </c>
      <c r="W395" t="s">
        <v>36</v>
      </c>
      <c r="X395" t="s">
        <v>36</v>
      </c>
      <c r="Y395" t="s">
        <v>36</v>
      </c>
      <c r="Z395" t="s">
        <v>36</v>
      </c>
      <c r="AA395" t="s">
        <v>36</v>
      </c>
      <c r="AB395" t="s">
        <v>36</v>
      </c>
      <c r="AC395" t="s">
        <v>36</v>
      </c>
      <c r="AD395" t="s">
        <v>36</v>
      </c>
      <c r="AE395" t="s">
        <v>36</v>
      </c>
      <c r="AF395" t="s">
        <v>36</v>
      </c>
      <c r="AG395" t="s">
        <v>36</v>
      </c>
    </row>
    <row r="396" spans="1:33" hidden="1" x14ac:dyDescent="0.2">
      <c r="A396">
        <v>395</v>
      </c>
      <c r="B396" t="s">
        <v>202</v>
      </c>
      <c r="C396" t="s">
        <v>108</v>
      </c>
      <c r="D396">
        <v>29</v>
      </c>
      <c r="E396" t="s">
        <v>114</v>
      </c>
      <c r="F396" t="s">
        <v>38</v>
      </c>
      <c r="G396" t="s">
        <v>40</v>
      </c>
      <c r="H396">
        <v>2275</v>
      </c>
      <c r="I396">
        <v>0</v>
      </c>
      <c r="J396">
        <v>0</v>
      </c>
      <c r="K396">
        <v>0</v>
      </c>
      <c r="L396">
        <v>0</v>
      </c>
      <c r="M396" t="s">
        <v>36</v>
      </c>
      <c r="N396" t="s">
        <v>36</v>
      </c>
      <c r="O396" t="s">
        <v>36</v>
      </c>
      <c r="P396" t="s">
        <v>37</v>
      </c>
      <c r="Q396" t="s">
        <v>36</v>
      </c>
      <c r="R396" t="s">
        <v>36</v>
      </c>
      <c r="S396" t="s">
        <v>36</v>
      </c>
      <c r="T396" t="s">
        <v>36</v>
      </c>
      <c r="U396" t="s">
        <v>36</v>
      </c>
      <c r="V396" t="s">
        <v>36</v>
      </c>
      <c r="W396" t="s">
        <v>36</v>
      </c>
      <c r="X396" t="s">
        <v>36</v>
      </c>
      <c r="Y396" t="s">
        <v>36</v>
      </c>
      <c r="Z396" t="s">
        <v>36</v>
      </c>
      <c r="AA396" t="s">
        <v>36</v>
      </c>
      <c r="AB396" t="s">
        <v>36</v>
      </c>
      <c r="AC396" t="s">
        <v>36</v>
      </c>
      <c r="AD396" t="s">
        <v>36</v>
      </c>
      <c r="AE396" t="s">
        <v>36</v>
      </c>
      <c r="AF396" t="s">
        <v>36</v>
      </c>
      <c r="AG396" t="s">
        <v>36</v>
      </c>
    </row>
    <row r="397" spans="1:33" x14ac:dyDescent="0.2">
      <c r="A397">
        <v>396</v>
      </c>
      <c r="B397" t="s">
        <v>202</v>
      </c>
      <c r="C397" t="s">
        <v>108</v>
      </c>
      <c r="D397">
        <v>29</v>
      </c>
      <c r="E397" t="s">
        <v>114</v>
      </c>
      <c r="F397" t="s">
        <v>41</v>
      </c>
      <c r="G397" t="s">
        <v>49</v>
      </c>
      <c r="H397">
        <v>46577</v>
      </c>
      <c r="I397">
        <v>0</v>
      </c>
      <c r="J397">
        <v>0</v>
      </c>
      <c r="K397">
        <v>0</v>
      </c>
      <c r="L397">
        <v>1</v>
      </c>
      <c r="M397" t="s">
        <v>95</v>
      </c>
      <c r="N397" t="s">
        <v>96</v>
      </c>
      <c r="O397" t="s">
        <v>52</v>
      </c>
      <c r="P397" t="s">
        <v>37</v>
      </c>
      <c r="Q397" t="s">
        <v>60</v>
      </c>
      <c r="R397" t="s">
        <v>65</v>
      </c>
      <c r="S397" t="s">
        <v>46</v>
      </c>
      <c r="T397">
        <v>1</v>
      </c>
      <c r="U397">
        <v>1</v>
      </c>
      <c r="V397">
        <v>0</v>
      </c>
      <c r="W397">
        <v>0</v>
      </c>
      <c r="X397">
        <v>1</v>
      </c>
      <c r="Y397">
        <v>0</v>
      </c>
      <c r="Z397">
        <v>1</v>
      </c>
      <c r="AA397">
        <v>0</v>
      </c>
      <c r="AB397">
        <v>0</v>
      </c>
      <c r="AC397">
        <v>0</v>
      </c>
      <c r="AD397">
        <v>0</v>
      </c>
      <c r="AE397">
        <v>0</v>
      </c>
      <c r="AF397">
        <v>0</v>
      </c>
      <c r="AG397">
        <v>1</v>
      </c>
    </row>
    <row r="398" spans="1:33" x14ac:dyDescent="0.2">
      <c r="A398">
        <v>397</v>
      </c>
      <c r="B398" t="s">
        <v>202</v>
      </c>
      <c r="C398" t="s">
        <v>108</v>
      </c>
      <c r="D398">
        <v>29</v>
      </c>
      <c r="E398" t="s">
        <v>114</v>
      </c>
      <c r="F398" t="s">
        <v>41</v>
      </c>
      <c r="G398" t="s">
        <v>42</v>
      </c>
      <c r="H398">
        <v>33068</v>
      </c>
      <c r="I398">
        <v>0</v>
      </c>
      <c r="J398">
        <v>0</v>
      </c>
      <c r="K398">
        <v>0</v>
      </c>
      <c r="L398">
        <v>1</v>
      </c>
      <c r="M398" t="s">
        <v>116</v>
      </c>
      <c r="N398" t="s">
        <v>45</v>
      </c>
      <c r="O398" t="s">
        <v>43</v>
      </c>
      <c r="P398" t="s">
        <v>37</v>
      </c>
      <c r="Q398" t="s">
        <v>60</v>
      </c>
      <c r="R398" t="s">
        <v>48</v>
      </c>
      <c r="S398" t="s">
        <v>46</v>
      </c>
      <c r="T398">
        <v>1</v>
      </c>
      <c r="U398">
        <v>0</v>
      </c>
      <c r="V398">
        <v>1</v>
      </c>
      <c r="W398">
        <v>0</v>
      </c>
      <c r="X398">
        <v>1</v>
      </c>
      <c r="Y398">
        <v>0</v>
      </c>
      <c r="Z398">
        <v>1</v>
      </c>
      <c r="AA398">
        <v>0</v>
      </c>
      <c r="AB398">
        <v>0</v>
      </c>
      <c r="AC398">
        <v>0</v>
      </c>
      <c r="AD398">
        <v>0</v>
      </c>
      <c r="AE398">
        <v>0</v>
      </c>
      <c r="AF398">
        <v>0</v>
      </c>
      <c r="AG398">
        <v>1</v>
      </c>
    </row>
    <row r="399" spans="1:33" hidden="1" x14ac:dyDescent="0.2">
      <c r="A399">
        <v>398</v>
      </c>
      <c r="B399" t="s">
        <v>202</v>
      </c>
      <c r="C399" t="s">
        <v>108</v>
      </c>
      <c r="D399">
        <v>29</v>
      </c>
      <c r="E399" t="s">
        <v>114</v>
      </c>
      <c r="F399" t="s">
        <v>53</v>
      </c>
      <c r="G399" t="s">
        <v>66</v>
      </c>
      <c r="H399">
        <v>33429</v>
      </c>
      <c r="I399">
        <v>0</v>
      </c>
      <c r="J399">
        <v>1</v>
      </c>
      <c r="K399">
        <v>0</v>
      </c>
      <c r="L399">
        <v>0</v>
      </c>
      <c r="M399" t="s">
        <v>36</v>
      </c>
      <c r="N399" t="s">
        <v>36</v>
      </c>
      <c r="O399" t="s">
        <v>36</v>
      </c>
      <c r="P399" t="s">
        <v>37</v>
      </c>
      <c r="Q399" t="s">
        <v>36</v>
      </c>
      <c r="R399" t="s">
        <v>36</v>
      </c>
      <c r="S399" t="s">
        <v>36</v>
      </c>
      <c r="T399" t="s">
        <v>36</v>
      </c>
      <c r="U399">
        <v>0</v>
      </c>
      <c r="V399">
        <v>1</v>
      </c>
      <c r="W399">
        <v>0</v>
      </c>
      <c r="X399">
        <v>1</v>
      </c>
      <c r="Y399">
        <v>0</v>
      </c>
      <c r="Z399">
        <v>1</v>
      </c>
      <c r="AA399">
        <v>0</v>
      </c>
      <c r="AB399">
        <v>0</v>
      </c>
      <c r="AC399">
        <v>0</v>
      </c>
      <c r="AD399">
        <v>0</v>
      </c>
      <c r="AE399">
        <v>0</v>
      </c>
      <c r="AF399">
        <v>0</v>
      </c>
      <c r="AG399">
        <v>1</v>
      </c>
    </row>
    <row r="400" spans="1:33" x14ac:dyDescent="0.2">
      <c r="A400">
        <v>399</v>
      </c>
      <c r="B400" t="s">
        <v>202</v>
      </c>
      <c r="C400" t="s">
        <v>108</v>
      </c>
      <c r="D400">
        <v>29</v>
      </c>
      <c r="E400" t="s">
        <v>114</v>
      </c>
      <c r="F400" t="s">
        <v>41</v>
      </c>
      <c r="G400" t="s">
        <v>55</v>
      </c>
      <c r="H400">
        <v>53456</v>
      </c>
      <c r="I400">
        <v>1</v>
      </c>
      <c r="J400">
        <v>1</v>
      </c>
      <c r="K400">
        <v>1</v>
      </c>
      <c r="L400">
        <v>0</v>
      </c>
      <c r="M400" t="s">
        <v>94</v>
      </c>
      <c r="N400" t="s">
        <v>58</v>
      </c>
      <c r="O400" t="s">
        <v>84</v>
      </c>
      <c r="P400" t="s">
        <v>37</v>
      </c>
      <c r="Q400" t="s">
        <v>47</v>
      </c>
      <c r="R400" t="s">
        <v>60</v>
      </c>
      <c r="S400" t="s">
        <v>46</v>
      </c>
      <c r="T400">
        <v>1</v>
      </c>
      <c r="U400">
        <v>0</v>
      </c>
      <c r="V400">
        <v>0</v>
      </c>
      <c r="W400">
        <v>1</v>
      </c>
      <c r="X400">
        <v>1</v>
      </c>
      <c r="Y400">
        <v>0</v>
      </c>
      <c r="Z400">
        <v>1</v>
      </c>
      <c r="AA400">
        <v>1</v>
      </c>
      <c r="AB400">
        <v>0</v>
      </c>
      <c r="AC400">
        <v>0</v>
      </c>
      <c r="AD400">
        <v>1</v>
      </c>
      <c r="AE400">
        <v>1</v>
      </c>
      <c r="AF400">
        <v>0</v>
      </c>
      <c r="AG400">
        <v>0</v>
      </c>
    </row>
    <row r="401" spans="1:33" hidden="1" x14ac:dyDescent="0.2">
      <c r="A401">
        <v>400</v>
      </c>
      <c r="B401" t="s">
        <v>202</v>
      </c>
      <c r="C401" t="s">
        <v>108</v>
      </c>
      <c r="D401">
        <v>29</v>
      </c>
      <c r="E401" t="s">
        <v>114</v>
      </c>
      <c r="F401" t="s">
        <v>53</v>
      </c>
      <c r="G401" t="s">
        <v>71</v>
      </c>
      <c r="H401">
        <v>54402</v>
      </c>
      <c r="I401">
        <v>0</v>
      </c>
      <c r="J401">
        <v>0</v>
      </c>
      <c r="K401">
        <v>0</v>
      </c>
      <c r="L401">
        <v>1</v>
      </c>
      <c r="M401" t="s">
        <v>36</v>
      </c>
      <c r="N401" t="s">
        <v>36</v>
      </c>
      <c r="O401" t="s">
        <v>36</v>
      </c>
      <c r="P401" t="s">
        <v>37</v>
      </c>
      <c r="Q401" t="s">
        <v>36</v>
      </c>
      <c r="R401" t="s">
        <v>36</v>
      </c>
      <c r="S401" t="s">
        <v>36</v>
      </c>
      <c r="T401" t="s">
        <v>36</v>
      </c>
      <c r="U401">
        <v>0</v>
      </c>
      <c r="V401">
        <v>0</v>
      </c>
      <c r="W401">
        <v>1</v>
      </c>
      <c r="X401">
        <v>1</v>
      </c>
      <c r="Y401">
        <v>0</v>
      </c>
      <c r="Z401">
        <v>1</v>
      </c>
      <c r="AA401">
        <v>1</v>
      </c>
      <c r="AB401">
        <v>0</v>
      </c>
      <c r="AC401">
        <v>0</v>
      </c>
      <c r="AD401">
        <v>1</v>
      </c>
      <c r="AE401">
        <v>1</v>
      </c>
      <c r="AF401">
        <v>0</v>
      </c>
      <c r="AG401">
        <v>0</v>
      </c>
    </row>
    <row r="402" spans="1:33" x14ac:dyDescent="0.2">
      <c r="A402">
        <v>401</v>
      </c>
      <c r="B402" t="s">
        <v>202</v>
      </c>
      <c r="C402" t="s">
        <v>108</v>
      </c>
      <c r="D402">
        <v>29</v>
      </c>
      <c r="E402" t="s">
        <v>114</v>
      </c>
      <c r="F402" t="s">
        <v>41</v>
      </c>
      <c r="G402" t="s">
        <v>67</v>
      </c>
      <c r="H402">
        <v>40709</v>
      </c>
      <c r="I402">
        <v>1</v>
      </c>
      <c r="J402">
        <v>1</v>
      </c>
      <c r="K402">
        <v>1</v>
      </c>
      <c r="L402">
        <v>0</v>
      </c>
      <c r="M402" t="s">
        <v>69</v>
      </c>
      <c r="N402" t="s">
        <v>68</v>
      </c>
      <c r="O402" t="s">
        <v>109</v>
      </c>
      <c r="P402" t="s">
        <v>37</v>
      </c>
      <c r="Q402" t="s">
        <v>48</v>
      </c>
      <c r="R402" t="s">
        <v>65</v>
      </c>
      <c r="S402" t="s">
        <v>59</v>
      </c>
      <c r="T402">
        <v>0</v>
      </c>
      <c r="U402">
        <v>1</v>
      </c>
      <c r="V402">
        <v>1</v>
      </c>
      <c r="W402">
        <v>0</v>
      </c>
      <c r="X402">
        <v>0</v>
      </c>
      <c r="Y402">
        <v>0</v>
      </c>
      <c r="Z402">
        <v>1</v>
      </c>
      <c r="AA402">
        <v>0</v>
      </c>
      <c r="AB402">
        <v>1</v>
      </c>
      <c r="AC402">
        <v>1</v>
      </c>
      <c r="AD402">
        <v>0</v>
      </c>
      <c r="AE402">
        <v>0</v>
      </c>
      <c r="AF402">
        <v>0</v>
      </c>
      <c r="AG402">
        <v>0</v>
      </c>
    </row>
    <row r="403" spans="1:33" x14ac:dyDescent="0.2">
      <c r="A403">
        <v>402</v>
      </c>
      <c r="B403" t="s">
        <v>202</v>
      </c>
      <c r="C403" t="s">
        <v>108</v>
      </c>
      <c r="D403">
        <v>29</v>
      </c>
      <c r="E403" t="s">
        <v>114</v>
      </c>
      <c r="F403" t="s">
        <v>41</v>
      </c>
      <c r="G403" t="s">
        <v>72</v>
      </c>
      <c r="H403">
        <v>31216</v>
      </c>
      <c r="I403">
        <v>1</v>
      </c>
      <c r="J403">
        <v>1</v>
      </c>
      <c r="K403">
        <v>1</v>
      </c>
      <c r="L403">
        <v>0</v>
      </c>
      <c r="M403" t="s">
        <v>74</v>
      </c>
      <c r="N403" t="s">
        <v>115</v>
      </c>
      <c r="O403" t="s">
        <v>75</v>
      </c>
      <c r="P403" t="s">
        <v>37</v>
      </c>
      <c r="Q403" t="s">
        <v>47</v>
      </c>
      <c r="R403" t="s">
        <v>65</v>
      </c>
      <c r="S403" t="s">
        <v>46</v>
      </c>
      <c r="T403">
        <v>0</v>
      </c>
      <c r="U403">
        <v>1</v>
      </c>
      <c r="V403">
        <v>0</v>
      </c>
      <c r="W403">
        <v>1</v>
      </c>
      <c r="X403">
        <v>1</v>
      </c>
      <c r="Y403">
        <v>0</v>
      </c>
      <c r="Z403">
        <v>1</v>
      </c>
      <c r="AA403">
        <v>0</v>
      </c>
      <c r="AB403">
        <v>1</v>
      </c>
      <c r="AC403">
        <v>0</v>
      </c>
      <c r="AD403">
        <v>1</v>
      </c>
      <c r="AE403">
        <v>1</v>
      </c>
      <c r="AF403">
        <v>0</v>
      </c>
      <c r="AG403">
        <v>0</v>
      </c>
    </row>
    <row r="404" spans="1:33" hidden="1" x14ac:dyDescent="0.2">
      <c r="A404">
        <v>403</v>
      </c>
      <c r="B404" t="s">
        <v>202</v>
      </c>
      <c r="C404" t="s">
        <v>108</v>
      </c>
      <c r="D404">
        <v>29</v>
      </c>
      <c r="E404" t="s">
        <v>114</v>
      </c>
      <c r="F404" t="s">
        <v>53</v>
      </c>
      <c r="G404" t="s">
        <v>76</v>
      </c>
      <c r="H404">
        <v>29278</v>
      </c>
      <c r="I404">
        <v>0</v>
      </c>
      <c r="J404">
        <v>1</v>
      </c>
      <c r="K404">
        <v>0</v>
      </c>
      <c r="L404">
        <v>0</v>
      </c>
      <c r="M404" t="s">
        <v>36</v>
      </c>
      <c r="N404" t="s">
        <v>36</v>
      </c>
      <c r="O404" t="s">
        <v>36</v>
      </c>
      <c r="P404" t="s">
        <v>37</v>
      </c>
      <c r="Q404" t="s">
        <v>36</v>
      </c>
      <c r="R404" t="s">
        <v>36</v>
      </c>
      <c r="S404" t="s">
        <v>36</v>
      </c>
      <c r="T404" t="s">
        <v>36</v>
      </c>
      <c r="U404">
        <v>1</v>
      </c>
      <c r="V404">
        <v>0</v>
      </c>
      <c r="W404">
        <v>1</v>
      </c>
      <c r="X404">
        <v>1</v>
      </c>
      <c r="Y404">
        <v>0</v>
      </c>
      <c r="Z404">
        <v>1</v>
      </c>
      <c r="AA404">
        <v>0</v>
      </c>
      <c r="AB404">
        <v>1</v>
      </c>
      <c r="AC404">
        <v>0</v>
      </c>
      <c r="AD404">
        <v>1</v>
      </c>
      <c r="AE404">
        <v>1</v>
      </c>
      <c r="AF404">
        <v>0</v>
      </c>
      <c r="AG404">
        <v>0</v>
      </c>
    </row>
    <row r="405" spans="1:33" x14ac:dyDescent="0.2">
      <c r="A405">
        <v>404</v>
      </c>
      <c r="B405" t="s">
        <v>202</v>
      </c>
      <c r="C405" t="s">
        <v>108</v>
      </c>
      <c r="D405">
        <v>29</v>
      </c>
      <c r="E405" t="s">
        <v>114</v>
      </c>
      <c r="F405" t="s">
        <v>41</v>
      </c>
      <c r="G405" t="s">
        <v>61</v>
      </c>
      <c r="H405">
        <v>31576</v>
      </c>
      <c r="I405">
        <v>1</v>
      </c>
      <c r="J405">
        <v>1</v>
      </c>
      <c r="K405">
        <v>1</v>
      </c>
      <c r="L405">
        <v>0</v>
      </c>
      <c r="M405" t="s">
        <v>125</v>
      </c>
      <c r="N405" t="s">
        <v>64</v>
      </c>
      <c r="O405" t="s">
        <v>62</v>
      </c>
      <c r="P405" t="s">
        <v>37</v>
      </c>
      <c r="Q405" t="s">
        <v>60</v>
      </c>
      <c r="R405" t="s">
        <v>48</v>
      </c>
      <c r="S405" t="s">
        <v>65</v>
      </c>
      <c r="T405">
        <v>1</v>
      </c>
      <c r="U405">
        <v>1</v>
      </c>
      <c r="V405">
        <v>1</v>
      </c>
      <c r="W405">
        <v>0</v>
      </c>
      <c r="X405">
        <v>0</v>
      </c>
      <c r="Y405">
        <v>0</v>
      </c>
      <c r="Z405">
        <v>1</v>
      </c>
      <c r="AA405">
        <v>1</v>
      </c>
      <c r="AB405">
        <v>1</v>
      </c>
      <c r="AC405">
        <v>1</v>
      </c>
      <c r="AD405">
        <v>0</v>
      </c>
      <c r="AE405">
        <v>0</v>
      </c>
      <c r="AF405">
        <v>0</v>
      </c>
      <c r="AG405">
        <v>0</v>
      </c>
    </row>
    <row r="406" spans="1:33" hidden="1" x14ac:dyDescent="0.2">
      <c r="A406">
        <v>405</v>
      </c>
      <c r="B406" t="s">
        <v>202</v>
      </c>
      <c r="C406" t="s">
        <v>108</v>
      </c>
      <c r="D406">
        <v>29</v>
      </c>
      <c r="E406" t="s">
        <v>114</v>
      </c>
      <c r="F406" t="s">
        <v>53</v>
      </c>
      <c r="G406" t="s">
        <v>54</v>
      </c>
      <c r="H406">
        <v>34380</v>
      </c>
      <c r="I406">
        <v>0</v>
      </c>
      <c r="J406">
        <v>1</v>
      </c>
      <c r="K406">
        <v>1</v>
      </c>
      <c r="L406">
        <v>0</v>
      </c>
      <c r="M406" t="s">
        <v>36</v>
      </c>
      <c r="N406" t="s">
        <v>36</v>
      </c>
      <c r="O406" t="s">
        <v>36</v>
      </c>
      <c r="P406" t="s">
        <v>37</v>
      </c>
      <c r="Q406" t="s">
        <v>36</v>
      </c>
      <c r="R406" t="s">
        <v>36</v>
      </c>
      <c r="S406" t="s">
        <v>36</v>
      </c>
      <c r="T406" t="s">
        <v>36</v>
      </c>
      <c r="U406">
        <v>1</v>
      </c>
      <c r="V406">
        <v>1</v>
      </c>
      <c r="W406">
        <v>0</v>
      </c>
      <c r="X406">
        <v>0</v>
      </c>
      <c r="Y406">
        <v>0</v>
      </c>
      <c r="Z406">
        <v>1</v>
      </c>
      <c r="AA406">
        <v>1</v>
      </c>
      <c r="AB406">
        <v>1</v>
      </c>
      <c r="AC406">
        <v>1</v>
      </c>
      <c r="AD406">
        <v>0</v>
      </c>
      <c r="AE406">
        <v>0</v>
      </c>
      <c r="AF406">
        <v>0</v>
      </c>
      <c r="AG406">
        <v>0</v>
      </c>
    </row>
    <row r="407" spans="1:33" hidden="1" x14ac:dyDescent="0.2">
      <c r="A407">
        <v>406</v>
      </c>
      <c r="B407" t="s">
        <v>202</v>
      </c>
      <c r="C407" t="s">
        <v>108</v>
      </c>
      <c r="D407">
        <v>29</v>
      </c>
      <c r="E407" t="s">
        <v>114</v>
      </c>
      <c r="F407" t="s">
        <v>77</v>
      </c>
      <c r="G407" t="s">
        <v>36</v>
      </c>
      <c r="H407">
        <v>153965</v>
      </c>
      <c r="I407" t="s">
        <v>203</v>
      </c>
      <c r="J407" t="s">
        <v>204</v>
      </c>
      <c r="K407" t="s">
        <v>205</v>
      </c>
      <c r="L407" t="s">
        <v>36</v>
      </c>
      <c r="M407" t="s">
        <v>36</v>
      </c>
      <c r="N407" t="s">
        <v>36</v>
      </c>
      <c r="O407" t="s">
        <v>36</v>
      </c>
      <c r="P407" t="s">
        <v>37</v>
      </c>
      <c r="Q407" t="s">
        <v>36</v>
      </c>
      <c r="R407" t="s">
        <v>36</v>
      </c>
      <c r="S407" t="s">
        <v>36</v>
      </c>
      <c r="T407" t="s">
        <v>36</v>
      </c>
      <c r="U407" t="s">
        <v>36</v>
      </c>
      <c r="V407" t="s">
        <v>36</v>
      </c>
      <c r="W407" t="s">
        <v>36</v>
      </c>
      <c r="X407" t="s">
        <v>36</v>
      </c>
      <c r="Y407" t="s">
        <v>36</v>
      </c>
      <c r="Z407" t="s">
        <v>36</v>
      </c>
      <c r="AA407" t="s">
        <v>36</v>
      </c>
      <c r="AB407" t="s">
        <v>36</v>
      </c>
      <c r="AC407" t="s">
        <v>36</v>
      </c>
      <c r="AD407" t="s">
        <v>36</v>
      </c>
      <c r="AE407" t="s">
        <v>36</v>
      </c>
      <c r="AF407" t="s">
        <v>36</v>
      </c>
      <c r="AG407" t="s">
        <v>36</v>
      </c>
    </row>
    <row r="408" spans="1:33" hidden="1" x14ac:dyDescent="0.2">
      <c r="A408">
        <v>407</v>
      </c>
      <c r="B408" t="s">
        <v>206</v>
      </c>
      <c r="C408" t="s">
        <v>33</v>
      </c>
      <c r="D408">
        <v>58</v>
      </c>
      <c r="E408" t="s">
        <v>34</v>
      </c>
      <c r="F408" t="s">
        <v>35</v>
      </c>
      <c r="G408" t="s">
        <v>36</v>
      </c>
      <c r="H408">
        <v>38071</v>
      </c>
      <c r="I408" t="s">
        <v>36</v>
      </c>
      <c r="J408" t="s">
        <v>36</v>
      </c>
      <c r="K408" t="s">
        <v>36</v>
      </c>
      <c r="L408" t="s">
        <v>36</v>
      </c>
      <c r="M408" t="s">
        <v>36</v>
      </c>
      <c r="N408" t="s">
        <v>36</v>
      </c>
      <c r="O408" t="s">
        <v>36</v>
      </c>
      <c r="P408" t="s">
        <v>37</v>
      </c>
      <c r="Q408" t="s">
        <v>36</v>
      </c>
      <c r="R408" t="s">
        <v>36</v>
      </c>
      <c r="S408" t="s">
        <v>36</v>
      </c>
      <c r="T408" t="s">
        <v>36</v>
      </c>
      <c r="U408" t="s">
        <v>36</v>
      </c>
      <c r="V408" t="s">
        <v>36</v>
      </c>
      <c r="W408" t="s">
        <v>36</v>
      </c>
      <c r="X408" t="s">
        <v>36</v>
      </c>
      <c r="Y408" t="s">
        <v>36</v>
      </c>
      <c r="Z408" t="s">
        <v>36</v>
      </c>
      <c r="AA408" t="s">
        <v>36</v>
      </c>
      <c r="AB408" t="s">
        <v>36</v>
      </c>
      <c r="AC408" t="s">
        <v>36</v>
      </c>
      <c r="AD408" t="s">
        <v>36</v>
      </c>
      <c r="AE408" t="s">
        <v>36</v>
      </c>
      <c r="AF408" t="s">
        <v>36</v>
      </c>
      <c r="AG408" t="s">
        <v>36</v>
      </c>
    </row>
    <row r="409" spans="1:33" hidden="1" x14ac:dyDescent="0.2">
      <c r="A409">
        <v>408</v>
      </c>
      <c r="B409" t="s">
        <v>206</v>
      </c>
      <c r="C409" t="s">
        <v>33</v>
      </c>
      <c r="D409">
        <v>58</v>
      </c>
      <c r="E409" t="s">
        <v>34</v>
      </c>
      <c r="F409" t="s">
        <v>38</v>
      </c>
      <c r="G409" t="s">
        <v>39</v>
      </c>
      <c r="H409">
        <v>69843</v>
      </c>
      <c r="I409">
        <v>0</v>
      </c>
      <c r="J409">
        <v>0</v>
      </c>
      <c r="K409">
        <v>0</v>
      </c>
      <c r="L409">
        <v>1</v>
      </c>
      <c r="M409" t="s">
        <v>36</v>
      </c>
      <c r="N409" t="s">
        <v>36</v>
      </c>
      <c r="O409" t="s">
        <v>36</v>
      </c>
      <c r="P409" t="s">
        <v>37</v>
      </c>
      <c r="Q409" t="s">
        <v>36</v>
      </c>
      <c r="R409" t="s">
        <v>36</v>
      </c>
      <c r="S409" t="s">
        <v>36</v>
      </c>
      <c r="T409" t="s">
        <v>36</v>
      </c>
      <c r="U409" t="s">
        <v>36</v>
      </c>
      <c r="V409" t="s">
        <v>36</v>
      </c>
      <c r="W409" t="s">
        <v>36</v>
      </c>
      <c r="X409" t="s">
        <v>36</v>
      </c>
      <c r="Y409" t="s">
        <v>36</v>
      </c>
      <c r="Z409" t="s">
        <v>36</v>
      </c>
      <c r="AA409" t="s">
        <v>36</v>
      </c>
      <c r="AB409" t="s">
        <v>36</v>
      </c>
      <c r="AC409" t="s">
        <v>36</v>
      </c>
      <c r="AD409" t="s">
        <v>36</v>
      </c>
      <c r="AE409" t="s">
        <v>36</v>
      </c>
      <c r="AF409" t="s">
        <v>36</v>
      </c>
      <c r="AG409" t="s">
        <v>36</v>
      </c>
    </row>
    <row r="410" spans="1:33" hidden="1" x14ac:dyDescent="0.2">
      <c r="A410">
        <v>409</v>
      </c>
      <c r="B410" t="s">
        <v>206</v>
      </c>
      <c r="C410" t="s">
        <v>33</v>
      </c>
      <c r="D410">
        <v>58</v>
      </c>
      <c r="E410" t="s">
        <v>34</v>
      </c>
      <c r="F410" t="s">
        <v>38</v>
      </c>
      <c r="G410" t="s">
        <v>40</v>
      </c>
      <c r="H410">
        <v>82495</v>
      </c>
      <c r="I410">
        <v>0</v>
      </c>
      <c r="J410">
        <v>0</v>
      </c>
      <c r="K410">
        <v>0</v>
      </c>
      <c r="L410">
        <v>1</v>
      </c>
      <c r="M410" t="s">
        <v>36</v>
      </c>
      <c r="N410" t="s">
        <v>36</v>
      </c>
      <c r="O410" t="s">
        <v>36</v>
      </c>
      <c r="P410" t="s">
        <v>37</v>
      </c>
      <c r="Q410" t="s">
        <v>36</v>
      </c>
      <c r="R410" t="s">
        <v>36</v>
      </c>
      <c r="S410" t="s">
        <v>36</v>
      </c>
      <c r="T410" t="s">
        <v>36</v>
      </c>
      <c r="U410" t="s">
        <v>36</v>
      </c>
      <c r="V410" t="s">
        <v>36</v>
      </c>
      <c r="W410" t="s">
        <v>36</v>
      </c>
      <c r="X410" t="s">
        <v>36</v>
      </c>
      <c r="Y410" t="s">
        <v>36</v>
      </c>
      <c r="Z410" t="s">
        <v>36</v>
      </c>
      <c r="AA410" t="s">
        <v>36</v>
      </c>
      <c r="AB410" t="s">
        <v>36</v>
      </c>
      <c r="AC410" t="s">
        <v>36</v>
      </c>
      <c r="AD410" t="s">
        <v>36</v>
      </c>
      <c r="AE410" t="s">
        <v>36</v>
      </c>
      <c r="AF410" t="s">
        <v>36</v>
      </c>
      <c r="AG410" t="s">
        <v>36</v>
      </c>
    </row>
    <row r="411" spans="1:33" x14ac:dyDescent="0.2">
      <c r="A411">
        <v>410</v>
      </c>
      <c r="B411" t="s">
        <v>206</v>
      </c>
      <c r="C411" t="s">
        <v>33</v>
      </c>
      <c r="D411">
        <v>58</v>
      </c>
      <c r="E411" t="s">
        <v>34</v>
      </c>
      <c r="F411" t="s">
        <v>41</v>
      </c>
      <c r="G411" t="s">
        <v>61</v>
      </c>
      <c r="H411">
        <v>181011</v>
      </c>
      <c r="I411">
        <v>1</v>
      </c>
      <c r="J411">
        <v>1</v>
      </c>
      <c r="K411">
        <v>1</v>
      </c>
      <c r="L411">
        <v>0</v>
      </c>
      <c r="M411" t="s">
        <v>97</v>
      </c>
      <c r="N411" t="s">
        <v>62</v>
      </c>
      <c r="O411" t="s">
        <v>87</v>
      </c>
      <c r="P411" t="s">
        <v>37</v>
      </c>
      <c r="Q411" t="s">
        <v>59</v>
      </c>
      <c r="R411" t="s">
        <v>65</v>
      </c>
      <c r="S411" t="s">
        <v>47</v>
      </c>
      <c r="T411">
        <v>0</v>
      </c>
      <c r="U411">
        <v>1</v>
      </c>
      <c r="V411">
        <v>0</v>
      </c>
      <c r="W411">
        <v>1</v>
      </c>
      <c r="X411">
        <v>0</v>
      </c>
      <c r="Y411">
        <v>0</v>
      </c>
      <c r="Z411">
        <v>1</v>
      </c>
      <c r="AA411">
        <v>0</v>
      </c>
      <c r="AB411">
        <v>1</v>
      </c>
      <c r="AC411">
        <v>0</v>
      </c>
      <c r="AD411">
        <v>1</v>
      </c>
      <c r="AE411">
        <v>0</v>
      </c>
      <c r="AF411">
        <v>0</v>
      </c>
      <c r="AG411">
        <v>0</v>
      </c>
    </row>
    <row r="412" spans="1:33" hidden="1" x14ac:dyDescent="0.2">
      <c r="A412">
        <v>411</v>
      </c>
      <c r="B412" t="s">
        <v>206</v>
      </c>
      <c r="C412" t="s">
        <v>33</v>
      </c>
      <c r="D412">
        <v>58</v>
      </c>
      <c r="E412" t="s">
        <v>34</v>
      </c>
      <c r="F412" t="s">
        <v>53</v>
      </c>
      <c r="G412" t="s">
        <v>54</v>
      </c>
      <c r="H412">
        <v>72631</v>
      </c>
      <c r="I412">
        <v>1</v>
      </c>
      <c r="J412">
        <v>1</v>
      </c>
      <c r="K412">
        <v>1</v>
      </c>
      <c r="L412">
        <v>0</v>
      </c>
      <c r="M412" t="s">
        <v>36</v>
      </c>
      <c r="N412" t="s">
        <v>36</v>
      </c>
      <c r="O412" t="s">
        <v>36</v>
      </c>
      <c r="P412" t="s">
        <v>37</v>
      </c>
      <c r="Q412" t="s">
        <v>36</v>
      </c>
      <c r="R412" t="s">
        <v>36</v>
      </c>
      <c r="S412" t="s">
        <v>36</v>
      </c>
      <c r="T412" t="s">
        <v>36</v>
      </c>
      <c r="U412">
        <v>1</v>
      </c>
      <c r="V412">
        <v>0</v>
      </c>
      <c r="W412">
        <v>1</v>
      </c>
      <c r="X412">
        <v>0</v>
      </c>
      <c r="Y412">
        <v>0</v>
      </c>
      <c r="Z412">
        <v>1</v>
      </c>
      <c r="AA412">
        <v>0</v>
      </c>
      <c r="AB412">
        <v>1</v>
      </c>
      <c r="AC412">
        <v>0</v>
      </c>
      <c r="AD412">
        <v>1</v>
      </c>
      <c r="AE412">
        <v>0</v>
      </c>
      <c r="AF412">
        <v>0</v>
      </c>
      <c r="AG412">
        <v>0</v>
      </c>
    </row>
    <row r="413" spans="1:33" x14ac:dyDescent="0.2">
      <c r="A413">
        <v>412</v>
      </c>
      <c r="B413" t="s">
        <v>206</v>
      </c>
      <c r="C413" t="s">
        <v>33</v>
      </c>
      <c r="D413">
        <v>58</v>
      </c>
      <c r="E413" t="s">
        <v>34</v>
      </c>
      <c r="F413" t="s">
        <v>41</v>
      </c>
      <c r="G413" t="s">
        <v>55</v>
      </c>
      <c r="H413">
        <v>47410</v>
      </c>
      <c r="I413">
        <v>1</v>
      </c>
      <c r="J413">
        <v>1</v>
      </c>
      <c r="K413">
        <v>1</v>
      </c>
      <c r="L413">
        <v>0</v>
      </c>
      <c r="M413" t="s">
        <v>56</v>
      </c>
      <c r="N413" t="s">
        <v>85</v>
      </c>
      <c r="O413" t="s">
        <v>84</v>
      </c>
      <c r="P413" t="s">
        <v>37</v>
      </c>
      <c r="Q413" t="s">
        <v>59</v>
      </c>
      <c r="R413" t="s">
        <v>65</v>
      </c>
      <c r="S413" t="s">
        <v>46</v>
      </c>
      <c r="T413">
        <v>0</v>
      </c>
      <c r="U413">
        <v>1</v>
      </c>
      <c r="V413">
        <v>0</v>
      </c>
      <c r="W413">
        <v>0</v>
      </c>
      <c r="X413">
        <v>1</v>
      </c>
      <c r="Y413">
        <v>0</v>
      </c>
      <c r="Z413">
        <v>1</v>
      </c>
      <c r="AA413">
        <v>0</v>
      </c>
      <c r="AB413">
        <v>1</v>
      </c>
      <c r="AC413">
        <v>0</v>
      </c>
      <c r="AD413">
        <v>0</v>
      </c>
      <c r="AE413">
        <v>1</v>
      </c>
      <c r="AF413">
        <v>0</v>
      </c>
      <c r="AG413">
        <v>0</v>
      </c>
    </row>
    <row r="414" spans="1:33" x14ac:dyDescent="0.2">
      <c r="A414">
        <v>413</v>
      </c>
      <c r="B414" t="s">
        <v>206</v>
      </c>
      <c r="C414" t="s">
        <v>33</v>
      </c>
      <c r="D414">
        <v>58</v>
      </c>
      <c r="E414" t="s">
        <v>34</v>
      </c>
      <c r="F414" t="s">
        <v>41</v>
      </c>
      <c r="G414" t="s">
        <v>72</v>
      </c>
      <c r="H414">
        <v>38848</v>
      </c>
      <c r="I414">
        <v>1</v>
      </c>
      <c r="J414">
        <v>1</v>
      </c>
      <c r="K414">
        <v>1</v>
      </c>
      <c r="L414">
        <v>0</v>
      </c>
      <c r="M414" t="s">
        <v>75</v>
      </c>
      <c r="N414" t="s">
        <v>73</v>
      </c>
      <c r="O414" t="s">
        <v>93</v>
      </c>
      <c r="P414" t="s">
        <v>37</v>
      </c>
      <c r="Q414" t="s">
        <v>46</v>
      </c>
      <c r="R414" t="s">
        <v>48</v>
      </c>
      <c r="S414" t="s">
        <v>59</v>
      </c>
      <c r="T414">
        <v>0</v>
      </c>
      <c r="U414">
        <v>0</v>
      </c>
      <c r="V414">
        <v>1</v>
      </c>
      <c r="W414">
        <v>0</v>
      </c>
      <c r="X414">
        <v>1</v>
      </c>
      <c r="Y414">
        <v>0</v>
      </c>
      <c r="Z414">
        <v>1</v>
      </c>
      <c r="AA414">
        <v>0</v>
      </c>
      <c r="AB414">
        <v>0</v>
      </c>
      <c r="AC414">
        <v>1</v>
      </c>
      <c r="AD414">
        <v>0</v>
      </c>
      <c r="AE414">
        <v>1</v>
      </c>
      <c r="AF414">
        <v>0</v>
      </c>
      <c r="AG414">
        <v>0</v>
      </c>
    </row>
    <row r="415" spans="1:33" hidden="1" x14ac:dyDescent="0.2">
      <c r="A415">
        <v>414</v>
      </c>
      <c r="B415" t="s">
        <v>206</v>
      </c>
      <c r="C415" t="s">
        <v>33</v>
      </c>
      <c r="D415">
        <v>58</v>
      </c>
      <c r="E415" t="s">
        <v>34</v>
      </c>
      <c r="F415" t="s">
        <v>53</v>
      </c>
      <c r="G415" t="s">
        <v>76</v>
      </c>
      <c r="H415">
        <v>29845</v>
      </c>
      <c r="I415">
        <v>1</v>
      </c>
      <c r="J415">
        <v>1</v>
      </c>
      <c r="K415">
        <v>1</v>
      </c>
      <c r="L415">
        <v>0</v>
      </c>
      <c r="M415" t="s">
        <v>36</v>
      </c>
      <c r="N415" t="s">
        <v>36</v>
      </c>
      <c r="O415" t="s">
        <v>36</v>
      </c>
      <c r="P415" t="s">
        <v>37</v>
      </c>
      <c r="Q415" t="s">
        <v>36</v>
      </c>
      <c r="R415" t="s">
        <v>36</v>
      </c>
      <c r="S415" t="s">
        <v>36</v>
      </c>
      <c r="T415" t="s">
        <v>36</v>
      </c>
      <c r="U415">
        <v>0</v>
      </c>
      <c r="V415">
        <v>1</v>
      </c>
      <c r="W415">
        <v>0</v>
      </c>
      <c r="X415">
        <v>1</v>
      </c>
      <c r="Y415">
        <v>0</v>
      </c>
      <c r="Z415">
        <v>1</v>
      </c>
      <c r="AA415">
        <v>0</v>
      </c>
      <c r="AB415">
        <v>0</v>
      </c>
      <c r="AC415">
        <v>1</v>
      </c>
      <c r="AD415">
        <v>0</v>
      </c>
      <c r="AE415">
        <v>1</v>
      </c>
      <c r="AF415">
        <v>0</v>
      </c>
      <c r="AG415">
        <v>0</v>
      </c>
    </row>
    <row r="416" spans="1:33" x14ac:dyDescent="0.2">
      <c r="A416">
        <v>415</v>
      </c>
      <c r="B416" t="s">
        <v>206</v>
      </c>
      <c r="C416" t="s">
        <v>33</v>
      </c>
      <c r="D416">
        <v>58</v>
      </c>
      <c r="E416" t="s">
        <v>34</v>
      </c>
      <c r="F416" t="s">
        <v>41</v>
      </c>
      <c r="G416" t="s">
        <v>42</v>
      </c>
      <c r="H416">
        <v>6429</v>
      </c>
      <c r="I416">
        <v>1</v>
      </c>
      <c r="J416">
        <v>1</v>
      </c>
      <c r="K416">
        <v>1</v>
      </c>
      <c r="L416">
        <v>0</v>
      </c>
      <c r="M416" t="s">
        <v>43</v>
      </c>
      <c r="N416" t="s">
        <v>82</v>
      </c>
      <c r="O416" t="s">
        <v>102</v>
      </c>
      <c r="P416" t="s">
        <v>37</v>
      </c>
      <c r="Q416" t="s">
        <v>46</v>
      </c>
      <c r="R416" t="s">
        <v>65</v>
      </c>
      <c r="S416" t="s">
        <v>59</v>
      </c>
      <c r="T416">
        <v>0</v>
      </c>
      <c r="U416">
        <v>1</v>
      </c>
      <c r="V416">
        <v>0</v>
      </c>
      <c r="W416">
        <v>0</v>
      </c>
      <c r="X416">
        <v>1</v>
      </c>
      <c r="Y416">
        <v>0</v>
      </c>
      <c r="Z416">
        <v>1</v>
      </c>
      <c r="AA416">
        <v>0</v>
      </c>
      <c r="AB416">
        <v>1</v>
      </c>
      <c r="AC416">
        <v>0</v>
      </c>
      <c r="AD416">
        <v>0</v>
      </c>
      <c r="AE416">
        <v>1</v>
      </c>
      <c r="AF416">
        <v>0</v>
      </c>
      <c r="AG416">
        <v>0</v>
      </c>
    </row>
    <row r="417" spans="1:33" hidden="1" x14ac:dyDescent="0.2">
      <c r="A417">
        <v>416</v>
      </c>
      <c r="B417" t="s">
        <v>206</v>
      </c>
      <c r="C417" t="s">
        <v>33</v>
      </c>
      <c r="D417">
        <v>58</v>
      </c>
      <c r="E417" t="s">
        <v>34</v>
      </c>
      <c r="F417" t="s">
        <v>53</v>
      </c>
      <c r="G417" t="s">
        <v>66</v>
      </c>
      <c r="H417">
        <v>19792</v>
      </c>
      <c r="I417">
        <v>1</v>
      </c>
      <c r="J417">
        <v>1</v>
      </c>
      <c r="K417">
        <v>0</v>
      </c>
      <c r="L417">
        <v>0</v>
      </c>
      <c r="M417" t="s">
        <v>36</v>
      </c>
      <c r="N417" t="s">
        <v>36</v>
      </c>
      <c r="O417" t="s">
        <v>36</v>
      </c>
      <c r="P417" t="s">
        <v>37</v>
      </c>
      <c r="Q417" t="s">
        <v>36</v>
      </c>
      <c r="R417" t="s">
        <v>36</v>
      </c>
      <c r="S417" t="s">
        <v>36</v>
      </c>
      <c r="T417" t="s">
        <v>36</v>
      </c>
      <c r="U417">
        <v>1</v>
      </c>
      <c r="V417">
        <v>0</v>
      </c>
      <c r="W417">
        <v>0</v>
      </c>
      <c r="X417">
        <v>1</v>
      </c>
      <c r="Y417">
        <v>0</v>
      </c>
      <c r="Z417">
        <v>1</v>
      </c>
      <c r="AA417">
        <v>0</v>
      </c>
      <c r="AB417">
        <v>1</v>
      </c>
      <c r="AC417">
        <v>0</v>
      </c>
      <c r="AD417">
        <v>0</v>
      </c>
      <c r="AE417">
        <v>1</v>
      </c>
      <c r="AF417">
        <v>0</v>
      </c>
      <c r="AG417">
        <v>0</v>
      </c>
    </row>
    <row r="418" spans="1:33" x14ac:dyDescent="0.2">
      <c r="A418">
        <v>417</v>
      </c>
      <c r="B418" t="s">
        <v>206</v>
      </c>
      <c r="C418" t="s">
        <v>33</v>
      </c>
      <c r="D418">
        <v>58</v>
      </c>
      <c r="E418" t="s">
        <v>34</v>
      </c>
      <c r="F418" t="s">
        <v>41</v>
      </c>
      <c r="G418" t="s">
        <v>49</v>
      </c>
      <c r="H418">
        <v>13251</v>
      </c>
      <c r="I418">
        <v>1</v>
      </c>
      <c r="J418">
        <v>1</v>
      </c>
      <c r="K418">
        <v>1</v>
      </c>
      <c r="L418">
        <v>0</v>
      </c>
      <c r="M418" t="s">
        <v>96</v>
      </c>
      <c r="N418" t="s">
        <v>51</v>
      </c>
      <c r="O418" t="s">
        <v>52</v>
      </c>
      <c r="P418" t="s">
        <v>37</v>
      </c>
      <c r="Q418" t="s">
        <v>65</v>
      </c>
      <c r="R418" t="s">
        <v>47</v>
      </c>
      <c r="S418" t="s">
        <v>46</v>
      </c>
      <c r="T418">
        <v>0</v>
      </c>
      <c r="U418">
        <v>1</v>
      </c>
      <c r="V418">
        <v>0</v>
      </c>
      <c r="W418">
        <v>1</v>
      </c>
      <c r="X418">
        <v>1</v>
      </c>
      <c r="Y418">
        <v>0</v>
      </c>
      <c r="Z418">
        <v>1</v>
      </c>
      <c r="AA418">
        <v>0</v>
      </c>
      <c r="AB418">
        <v>1</v>
      </c>
      <c r="AC418">
        <v>0</v>
      </c>
      <c r="AD418">
        <v>1</v>
      </c>
      <c r="AE418">
        <v>1</v>
      </c>
      <c r="AF418">
        <v>0</v>
      </c>
      <c r="AG418">
        <v>0</v>
      </c>
    </row>
    <row r="419" spans="1:33" x14ac:dyDescent="0.2">
      <c r="A419">
        <v>418</v>
      </c>
      <c r="B419" t="s">
        <v>206</v>
      </c>
      <c r="C419" t="s">
        <v>33</v>
      </c>
      <c r="D419">
        <v>58</v>
      </c>
      <c r="E419" t="s">
        <v>34</v>
      </c>
      <c r="F419" t="s">
        <v>41</v>
      </c>
      <c r="G419" t="s">
        <v>67</v>
      </c>
      <c r="H419">
        <v>33489</v>
      </c>
      <c r="I419">
        <v>0</v>
      </c>
      <c r="J419">
        <v>1</v>
      </c>
      <c r="K419">
        <v>0</v>
      </c>
      <c r="L419">
        <v>0</v>
      </c>
      <c r="M419" t="s">
        <v>69</v>
      </c>
      <c r="N419" t="s">
        <v>68</v>
      </c>
      <c r="O419" t="s">
        <v>70</v>
      </c>
      <c r="P419" t="s">
        <v>37</v>
      </c>
      <c r="Q419" t="s">
        <v>48</v>
      </c>
      <c r="R419" t="s">
        <v>65</v>
      </c>
      <c r="S419" t="s">
        <v>47</v>
      </c>
      <c r="T419">
        <v>0</v>
      </c>
      <c r="U419">
        <v>1</v>
      </c>
      <c r="V419">
        <v>1</v>
      </c>
      <c r="W419">
        <v>1</v>
      </c>
      <c r="X419">
        <v>0</v>
      </c>
      <c r="Y419">
        <v>0</v>
      </c>
      <c r="Z419">
        <v>1</v>
      </c>
      <c r="AA419">
        <v>0</v>
      </c>
      <c r="AB419">
        <v>1</v>
      </c>
      <c r="AC419">
        <v>0</v>
      </c>
      <c r="AD419">
        <v>0</v>
      </c>
      <c r="AE419">
        <v>0</v>
      </c>
      <c r="AF419">
        <v>0</v>
      </c>
      <c r="AG419">
        <v>0</v>
      </c>
    </row>
    <row r="420" spans="1:33" hidden="1" x14ac:dyDescent="0.2">
      <c r="A420">
        <v>419</v>
      </c>
      <c r="B420" t="s">
        <v>206</v>
      </c>
      <c r="C420" t="s">
        <v>33</v>
      </c>
      <c r="D420">
        <v>58</v>
      </c>
      <c r="E420" t="s">
        <v>34</v>
      </c>
      <c r="F420" t="s">
        <v>53</v>
      </c>
      <c r="G420" t="s">
        <v>71</v>
      </c>
      <c r="H420">
        <v>50604</v>
      </c>
      <c r="I420">
        <v>0</v>
      </c>
      <c r="J420">
        <v>1</v>
      </c>
      <c r="K420">
        <v>0</v>
      </c>
      <c r="L420">
        <v>0</v>
      </c>
      <c r="M420" t="s">
        <v>36</v>
      </c>
      <c r="N420" t="s">
        <v>36</v>
      </c>
      <c r="O420" t="s">
        <v>36</v>
      </c>
      <c r="P420" t="s">
        <v>37</v>
      </c>
      <c r="Q420" t="s">
        <v>36</v>
      </c>
      <c r="R420" t="s">
        <v>36</v>
      </c>
      <c r="S420" t="s">
        <v>36</v>
      </c>
      <c r="T420" t="s">
        <v>36</v>
      </c>
      <c r="U420">
        <v>1</v>
      </c>
      <c r="V420">
        <v>1</v>
      </c>
      <c r="W420">
        <v>1</v>
      </c>
      <c r="X420">
        <v>0</v>
      </c>
      <c r="Y420">
        <v>0</v>
      </c>
      <c r="Z420">
        <v>1</v>
      </c>
      <c r="AA420">
        <v>0</v>
      </c>
      <c r="AB420">
        <v>1</v>
      </c>
      <c r="AC420">
        <v>0</v>
      </c>
      <c r="AD420">
        <v>0</v>
      </c>
      <c r="AE420">
        <v>0</v>
      </c>
      <c r="AF420">
        <v>0</v>
      </c>
      <c r="AG420">
        <v>0</v>
      </c>
    </row>
    <row r="421" spans="1:33" hidden="1" x14ac:dyDescent="0.2">
      <c r="A421">
        <v>420</v>
      </c>
      <c r="B421" t="s">
        <v>206</v>
      </c>
      <c r="C421" t="s">
        <v>33</v>
      </c>
      <c r="D421">
        <v>58</v>
      </c>
      <c r="E421" t="s">
        <v>34</v>
      </c>
      <c r="F421" t="s">
        <v>77</v>
      </c>
      <c r="G421" t="s">
        <v>36</v>
      </c>
      <c r="H421">
        <v>26600</v>
      </c>
      <c r="L421" t="s">
        <v>36</v>
      </c>
      <c r="M421" t="s">
        <v>36</v>
      </c>
      <c r="N421" t="s">
        <v>36</v>
      </c>
      <c r="O421" t="s">
        <v>36</v>
      </c>
      <c r="P421" t="s">
        <v>37</v>
      </c>
      <c r="Q421" t="s">
        <v>36</v>
      </c>
      <c r="R421" t="s">
        <v>36</v>
      </c>
      <c r="S421" t="s">
        <v>36</v>
      </c>
      <c r="T421" t="s">
        <v>36</v>
      </c>
      <c r="U421" t="s">
        <v>36</v>
      </c>
      <c r="V421" t="s">
        <v>36</v>
      </c>
      <c r="W421" t="s">
        <v>36</v>
      </c>
      <c r="X421" t="s">
        <v>36</v>
      </c>
      <c r="Y421" t="s">
        <v>36</v>
      </c>
      <c r="Z421" t="s">
        <v>36</v>
      </c>
      <c r="AA421" t="s">
        <v>36</v>
      </c>
      <c r="AB421" t="s">
        <v>36</v>
      </c>
      <c r="AC421" t="s">
        <v>36</v>
      </c>
      <c r="AD421" t="s">
        <v>36</v>
      </c>
      <c r="AE421" t="s">
        <v>36</v>
      </c>
      <c r="AF421" t="s">
        <v>36</v>
      </c>
      <c r="AG421" t="s">
        <v>36</v>
      </c>
    </row>
    <row r="422" spans="1:33" hidden="1" x14ac:dyDescent="0.2">
      <c r="A422">
        <v>421</v>
      </c>
      <c r="B422" t="s">
        <v>207</v>
      </c>
      <c r="C422" t="s">
        <v>33</v>
      </c>
      <c r="D422">
        <v>28</v>
      </c>
      <c r="E422" t="s">
        <v>114</v>
      </c>
      <c r="F422" t="s">
        <v>35</v>
      </c>
      <c r="G422" t="s">
        <v>36</v>
      </c>
      <c r="H422">
        <v>44312</v>
      </c>
      <c r="I422" t="s">
        <v>36</v>
      </c>
      <c r="J422" t="s">
        <v>36</v>
      </c>
      <c r="K422" t="s">
        <v>36</v>
      </c>
      <c r="L422" t="s">
        <v>36</v>
      </c>
      <c r="M422" t="s">
        <v>36</v>
      </c>
      <c r="N422" t="s">
        <v>36</v>
      </c>
      <c r="O422" t="s">
        <v>36</v>
      </c>
      <c r="P422" t="s">
        <v>37</v>
      </c>
      <c r="Q422" t="s">
        <v>36</v>
      </c>
      <c r="R422" t="s">
        <v>36</v>
      </c>
      <c r="S422" t="s">
        <v>36</v>
      </c>
      <c r="T422" t="s">
        <v>36</v>
      </c>
      <c r="U422" t="s">
        <v>36</v>
      </c>
      <c r="V422" t="s">
        <v>36</v>
      </c>
      <c r="W422" t="s">
        <v>36</v>
      </c>
      <c r="X422" t="s">
        <v>36</v>
      </c>
      <c r="Y422" t="s">
        <v>36</v>
      </c>
      <c r="Z422" t="s">
        <v>36</v>
      </c>
      <c r="AA422" t="s">
        <v>36</v>
      </c>
      <c r="AB422" t="s">
        <v>36</v>
      </c>
      <c r="AC422" t="s">
        <v>36</v>
      </c>
      <c r="AD422" t="s">
        <v>36</v>
      </c>
      <c r="AE422" t="s">
        <v>36</v>
      </c>
      <c r="AF422" t="s">
        <v>36</v>
      </c>
      <c r="AG422" t="s">
        <v>36</v>
      </c>
    </row>
    <row r="423" spans="1:33" hidden="1" x14ac:dyDescent="0.2">
      <c r="A423">
        <v>422</v>
      </c>
      <c r="B423" t="s">
        <v>207</v>
      </c>
      <c r="C423" t="s">
        <v>33</v>
      </c>
      <c r="D423">
        <v>28</v>
      </c>
      <c r="E423" t="s">
        <v>114</v>
      </c>
      <c r="F423" t="s">
        <v>38</v>
      </c>
      <c r="G423" t="s">
        <v>39</v>
      </c>
      <c r="H423">
        <v>27460</v>
      </c>
      <c r="I423">
        <v>0</v>
      </c>
      <c r="J423">
        <v>0</v>
      </c>
      <c r="K423">
        <v>0</v>
      </c>
      <c r="L423">
        <v>1</v>
      </c>
      <c r="M423" t="s">
        <v>36</v>
      </c>
      <c r="N423" t="s">
        <v>36</v>
      </c>
      <c r="O423" t="s">
        <v>36</v>
      </c>
      <c r="P423" t="s">
        <v>37</v>
      </c>
      <c r="Q423" t="s">
        <v>36</v>
      </c>
      <c r="R423" t="s">
        <v>36</v>
      </c>
      <c r="S423" t="s">
        <v>36</v>
      </c>
      <c r="T423" t="s">
        <v>36</v>
      </c>
      <c r="U423" t="s">
        <v>36</v>
      </c>
      <c r="V423" t="s">
        <v>36</v>
      </c>
      <c r="W423" t="s">
        <v>36</v>
      </c>
      <c r="X423" t="s">
        <v>36</v>
      </c>
      <c r="Y423" t="s">
        <v>36</v>
      </c>
      <c r="Z423" t="s">
        <v>36</v>
      </c>
      <c r="AA423" t="s">
        <v>36</v>
      </c>
      <c r="AB423" t="s">
        <v>36</v>
      </c>
      <c r="AC423" t="s">
        <v>36</v>
      </c>
      <c r="AD423" t="s">
        <v>36</v>
      </c>
      <c r="AE423" t="s">
        <v>36</v>
      </c>
      <c r="AF423" t="s">
        <v>36</v>
      </c>
      <c r="AG423" t="s">
        <v>36</v>
      </c>
    </row>
    <row r="424" spans="1:33" hidden="1" x14ac:dyDescent="0.2">
      <c r="A424">
        <v>423</v>
      </c>
      <c r="B424" t="s">
        <v>207</v>
      </c>
      <c r="C424" t="s">
        <v>33</v>
      </c>
      <c r="D424">
        <v>28</v>
      </c>
      <c r="E424" t="s">
        <v>114</v>
      </c>
      <c r="F424" t="s">
        <v>38</v>
      </c>
      <c r="G424" t="s">
        <v>40</v>
      </c>
      <c r="H424">
        <v>29591</v>
      </c>
      <c r="I424">
        <v>0</v>
      </c>
      <c r="J424">
        <v>0</v>
      </c>
      <c r="K424">
        <v>1</v>
      </c>
      <c r="L424">
        <v>0</v>
      </c>
      <c r="M424" t="s">
        <v>36</v>
      </c>
      <c r="N424" t="s">
        <v>36</v>
      </c>
      <c r="O424" t="s">
        <v>36</v>
      </c>
      <c r="P424" t="s">
        <v>37</v>
      </c>
      <c r="Q424" t="s">
        <v>36</v>
      </c>
      <c r="R424" t="s">
        <v>36</v>
      </c>
      <c r="S424" t="s">
        <v>36</v>
      </c>
      <c r="T424" t="s">
        <v>36</v>
      </c>
      <c r="U424" t="s">
        <v>36</v>
      </c>
      <c r="V424" t="s">
        <v>36</v>
      </c>
      <c r="W424" t="s">
        <v>36</v>
      </c>
      <c r="X424" t="s">
        <v>36</v>
      </c>
      <c r="Y424" t="s">
        <v>36</v>
      </c>
      <c r="Z424" t="s">
        <v>36</v>
      </c>
      <c r="AA424" t="s">
        <v>36</v>
      </c>
      <c r="AB424" t="s">
        <v>36</v>
      </c>
      <c r="AC424" t="s">
        <v>36</v>
      </c>
      <c r="AD424" t="s">
        <v>36</v>
      </c>
      <c r="AE424" t="s">
        <v>36</v>
      </c>
      <c r="AF424" t="s">
        <v>36</v>
      </c>
      <c r="AG424" t="s">
        <v>36</v>
      </c>
    </row>
    <row r="425" spans="1:33" x14ac:dyDescent="0.2">
      <c r="A425">
        <v>424</v>
      </c>
      <c r="B425" t="s">
        <v>207</v>
      </c>
      <c r="C425" t="s">
        <v>33</v>
      </c>
      <c r="D425">
        <v>28</v>
      </c>
      <c r="E425" t="s">
        <v>114</v>
      </c>
      <c r="F425" t="s">
        <v>41</v>
      </c>
      <c r="G425" t="s">
        <v>72</v>
      </c>
      <c r="H425">
        <v>31380</v>
      </c>
      <c r="I425">
        <v>0</v>
      </c>
      <c r="J425">
        <v>0</v>
      </c>
      <c r="K425">
        <v>0</v>
      </c>
      <c r="L425">
        <v>1</v>
      </c>
      <c r="M425" t="s">
        <v>74</v>
      </c>
      <c r="N425" t="s">
        <v>73</v>
      </c>
      <c r="O425" t="s">
        <v>93</v>
      </c>
      <c r="P425" t="s">
        <v>37</v>
      </c>
      <c r="Q425" t="s">
        <v>47</v>
      </c>
      <c r="R425" t="s">
        <v>48</v>
      </c>
      <c r="S425" t="s">
        <v>59</v>
      </c>
      <c r="T425">
        <v>0</v>
      </c>
      <c r="U425">
        <v>0</v>
      </c>
      <c r="V425">
        <v>1</v>
      </c>
      <c r="W425">
        <v>1</v>
      </c>
      <c r="X425">
        <v>0</v>
      </c>
      <c r="Y425">
        <v>0</v>
      </c>
      <c r="Z425">
        <v>1</v>
      </c>
      <c r="AA425">
        <v>0</v>
      </c>
      <c r="AB425">
        <v>0</v>
      </c>
      <c r="AC425">
        <v>0</v>
      </c>
      <c r="AD425">
        <v>0</v>
      </c>
      <c r="AE425">
        <v>0</v>
      </c>
      <c r="AF425">
        <v>0</v>
      </c>
      <c r="AG425">
        <v>1</v>
      </c>
    </row>
    <row r="426" spans="1:33" x14ac:dyDescent="0.2">
      <c r="A426">
        <v>425</v>
      </c>
      <c r="B426" t="s">
        <v>207</v>
      </c>
      <c r="C426" t="s">
        <v>33</v>
      </c>
      <c r="D426">
        <v>28</v>
      </c>
      <c r="E426" t="s">
        <v>114</v>
      </c>
      <c r="F426" t="s">
        <v>41</v>
      </c>
      <c r="G426" t="s">
        <v>55</v>
      </c>
      <c r="H426">
        <v>25656</v>
      </c>
      <c r="I426">
        <v>0</v>
      </c>
      <c r="J426">
        <v>0</v>
      </c>
      <c r="K426">
        <v>1</v>
      </c>
      <c r="L426">
        <v>0</v>
      </c>
      <c r="M426" t="s">
        <v>84</v>
      </c>
      <c r="N426" t="s">
        <v>56</v>
      </c>
      <c r="O426" t="s">
        <v>85</v>
      </c>
      <c r="P426" t="s">
        <v>37</v>
      </c>
      <c r="Q426" t="s">
        <v>46</v>
      </c>
      <c r="R426" t="s">
        <v>59</v>
      </c>
      <c r="S426" t="s">
        <v>65</v>
      </c>
      <c r="T426">
        <v>0</v>
      </c>
      <c r="U426">
        <v>1</v>
      </c>
      <c r="V426">
        <v>0</v>
      </c>
      <c r="W426">
        <v>0</v>
      </c>
      <c r="X426">
        <v>1</v>
      </c>
      <c r="Y426">
        <v>0</v>
      </c>
      <c r="Z426">
        <v>1</v>
      </c>
      <c r="AA426">
        <v>0</v>
      </c>
      <c r="AB426">
        <v>1</v>
      </c>
      <c r="AC426">
        <v>0</v>
      </c>
      <c r="AD426">
        <v>0</v>
      </c>
      <c r="AE426">
        <v>0</v>
      </c>
      <c r="AF426">
        <v>0</v>
      </c>
      <c r="AG426">
        <v>0</v>
      </c>
    </row>
    <row r="427" spans="1:33" hidden="1" x14ac:dyDescent="0.2">
      <c r="A427">
        <v>426</v>
      </c>
      <c r="B427" t="s">
        <v>207</v>
      </c>
      <c r="C427" t="s">
        <v>33</v>
      </c>
      <c r="D427">
        <v>28</v>
      </c>
      <c r="E427" t="s">
        <v>114</v>
      </c>
      <c r="F427" t="s">
        <v>53</v>
      </c>
      <c r="G427" t="s">
        <v>66</v>
      </c>
      <c r="H427">
        <v>42270</v>
      </c>
      <c r="I427">
        <v>1</v>
      </c>
      <c r="J427">
        <v>1</v>
      </c>
      <c r="K427">
        <v>0</v>
      </c>
      <c r="L427">
        <v>0</v>
      </c>
      <c r="M427" t="s">
        <v>36</v>
      </c>
      <c r="N427" t="s">
        <v>36</v>
      </c>
      <c r="O427" t="s">
        <v>36</v>
      </c>
      <c r="P427" t="s">
        <v>37</v>
      </c>
      <c r="Q427" t="s">
        <v>36</v>
      </c>
      <c r="R427" t="s">
        <v>36</v>
      </c>
      <c r="S427" t="s">
        <v>36</v>
      </c>
      <c r="T427" t="s">
        <v>36</v>
      </c>
      <c r="U427">
        <v>1</v>
      </c>
      <c r="V427">
        <v>0</v>
      </c>
      <c r="W427">
        <v>0</v>
      </c>
      <c r="X427">
        <v>1</v>
      </c>
      <c r="Y427">
        <v>0</v>
      </c>
      <c r="Z427">
        <v>1</v>
      </c>
      <c r="AA427">
        <v>0</v>
      </c>
      <c r="AB427">
        <v>1</v>
      </c>
      <c r="AC427">
        <v>0</v>
      </c>
      <c r="AD427">
        <v>0</v>
      </c>
      <c r="AE427">
        <v>0</v>
      </c>
      <c r="AF427">
        <v>0</v>
      </c>
      <c r="AG427">
        <v>0</v>
      </c>
    </row>
    <row r="428" spans="1:33" x14ac:dyDescent="0.2">
      <c r="A428">
        <v>427</v>
      </c>
      <c r="B428" t="s">
        <v>207</v>
      </c>
      <c r="C428" t="s">
        <v>33</v>
      </c>
      <c r="D428">
        <v>28</v>
      </c>
      <c r="E428" t="s">
        <v>114</v>
      </c>
      <c r="F428" t="s">
        <v>41</v>
      </c>
      <c r="G428" t="s">
        <v>61</v>
      </c>
      <c r="H428">
        <v>17837</v>
      </c>
      <c r="I428">
        <v>1</v>
      </c>
      <c r="J428">
        <v>1</v>
      </c>
      <c r="K428">
        <v>1</v>
      </c>
      <c r="L428">
        <v>0</v>
      </c>
      <c r="M428" t="s">
        <v>125</v>
      </c>
      <c r="N428" t="s">
        <v>63</v>
      </c>
      <c r="O428" t="s">
        <v>62</v>
      </c>
      <c r="P428" t="s">
        <v>37</v>
      </c>
      <c r="Q428" t="s">
        <v>60</v>
      </c>
      <c r="R428" t="s">
        <v>46</v>
      </c>
      <c r="S428" t="s">
        <v>65</v>
      </c>
      <c r="T428">
        <v>1</v>
      </c>
      <c r="U428">
        <v>1</v>
      </c>
      <c r="V428">
        <v>0</v>
      </c>
      <c r="W428">
        <v>0</v>
      </c>
      <c r="X428">
        <v>1</v>
      </c>
      <c r="Y428">
        <v>0</v>
      </c>
      <c r="Z428">
        <v>1</v>
      </c>
      <c r="AA428">
        <v>1</v>
      </c>
      <c r="AB428">
        <v>1</v>
      </c>
      <c r="AC428">
        <v>0</v>
      </c>
      <c r="AD428">
        <v>0</v>
      </c>
      <c r="AE428">
        <v>1</v>
      </c>
      <c r="AF428">
        <v>0</v>
      </c>
      <c r="AG428">
        <v>0</v>
      </c>
    </row>
    <row r="429" spans="1:33" hidden="1" x14ac:dyDescent="0.2">
      <c r="A429">
        <v>428</v>
      </c>
      <c r="B429" t="s">
        <v>207</v>
      </c>
      <c r="C429" t="s">
        <v>33</v>
      </c>
      <c r="D429">
        <v>28</v>
      </c>
      <c r="E429" t="s">
        <v>114</v>
      </c>
      <c r="F429" t="s">
        <v>53</v>
      </c>
      <c r="G429" t="s">
        <v>76</v>
      </c>
      <c r="H429">
        <v>15169</v>
      </c>
      <c r="I429">
        <v>1</v>
      </c>
      <c r="J429">
        <v>1</v>
      </c>
      <c r="K429">
        <v>0</v>
      </c>
      <c r="L429">
        <v>0</v>
      </c>
      <c r="M429" t="s">
        <v>36</v>
      </c>
      <c r="N429" t="s">
        <v>36</v>
      </c>
      <c r="O429" t="s">
        <v>36</v>
      </c>
      <c r="P429" t="s">
        <v>37</v>
      </c>
      <c r="Q429" t="s">
        <v>36</v>
      </c>
      <c r="R429" t="s">
        <v>36</v>
      </c>
      <c r="S429" t="s">
        <v>36</v>
      </c>
      <c r="T429" t="s">
        <v>36</v>
      </c>
      <c r="U429">
        <v>1</v>
      </c>
      <c r="V429">
        <v>0</v>
      </c>
      <c r="W429">
        <v>0</v>
      </c>
      <c r="X429">
        <v>1</v>
      </c>
      <c r="Y429">
        <v>0</v>
      </c>
      <c r="Z429">
        <v>1</v>
      </c>
      <c r="AA429">
        <v>1</v>
      </c>
      <c r="AB429">
        <v>1</v>
      </c>
      <c r="AC429">
        <v>0</v>
      </c>
      <c r="AD429">
        <v>0</v>
      </c>
      <c r="AE429">
        <v>1</v>
      </c>
      <c r="AF429">
        <v>0</v>
      </c>
      <c r="AG429">
        <v>0</v>
      </c>
    </row>
    <row r="430" spans="1:33" x14ac:dyDescent="0.2">
      <c r="A430">
        <v>429</v>
      </c>
      <c r="B430" t="s">
        <v>207</v>
      </c>
      <c r="C430" t="s">
        <v>33</v>
      </c>
      <c r="D430">
        <v>28</v>
      </c>
      <c r="E430" t="s">
        <v>114</v>
      </c>
      <c r="F430" t="s">
        <v>41</v>
      </c>
      <c r="G430" t="s">
        <v>42</v>
      </c>
      <c r="H430">
        <v>32654</v>
      </c>
      <c r="I430">
        <v>1</v>
      </c>
      <c r="J430">
        <v>1</v>
      </c>
      <c r="K430">
        <v>1</v>
      </c>
      <c r="L430">
        <v>0</v>
      </c>
      <c r="M430" t="s">
        <v>43</v>
      </c>
      <c r="N430" t="s">
        <v>45</v>
      </c>
      <c r="O430" t="s">
        <v>102</v>
      </c>
      <c r="P430" t="s">
        <v>37</v>
      </c>
      <c r="Q430" t="s">
        <v>46</v>
      </c>
      <c r="R430" t="s">
        <v>48</v>
      </c>
      <c r="S430" t="s">
        <v>59</v>
      </c>
      <c r="T430">
        <v>0</v>
      </c>
      <c r="U430">
        <v>0</v>
      </c>
      <c r="V430">
        <v>1</v>
      </c>
      <c r="W430">
        <v>0</v>
      </c>
      <c r="X430">
        <v>1</v>
      </c>
      <c r="Y430">
        <v>0</v>
      </c>
      <c r="Z430">
        <v>1</v>
      </c>
      <c r="AA430">
        <v>0</v>
      </c>
      <c r="AB430">
        <v>0</v>
      </c>
      <c r="AC430">
        <v>1</v>
      </c>
      <c r="AD430">
        <v>0</v>
      </c>
      <c r="AE430">
        <v>1</v>
      </c>
      <c r="AF430">
        <v>0</v>
      </c>
      <c r="AG430">
        <v>0</v>
      </c>
    </row>
    <row r="431" spans="1:33" x14ac:dyDescent="0.2">
      <c r="A431">
        <v>430</v>
      </c>
      <c r="B431" t="s">
        <v>207</v>
      </c>
      <c r="C431" t="s">
        <v>33</v>
      </c>
      <c r="D431">
        <v>28</v>
      </c>
      <c r="E431" t="s">
        <v>114</v>
      </c>
      <c r="F431" t="s">
        <v>41</v>
      </c>
      <c r="G431" t="s">
        <v>67</v>
      </c>
      <c r="H431">
        <v>13428</v>
      </c>
      <c r="I431">
        <v>1</v>
      </c>
      <c r="J431">
        <v>1</v>
      </c>
      <c r="K431">
        <v>1</v>
      </c>
      <c r="L431">
        <v>0</v>
      </c>
      <c r="M431" t="s">
        <v>68</v>
      </c>
      <c r="N431" t="s">
        <v>70</v>
      </c>
      <c r="O431" t="s">
        <v>86</v>
      </c>
      <c r="P431" t="s">
        <v>37</v>
      </c>
      <c r="Q431" t="s">
        <v>65</v>
      </c>
      <c r="R431" t="s">
        <v>47</v>
      </c>
      <c r="S431" t="s">
        <v>46</v>
      </c>
      <c r="T431">
        <v>0</v>
      </c>
      <c r="U431">
        <v>1</v>
      </c>
      <c r="V431">
        <v>0</v>
      </c>
      <c r="W431">
        <v>1</v>
      </c>
      <c r="X431">
        <v>1</v>
      </c>
      <c r="Y431">
        <v>0</v>
      </c>
      <c r="Z431">
        <v>1</v>
      </c>
      <c r="AA431">
        <v>0</v>
      </c>
      <c r="AB431">
        <v>1</v>
      </c>
      <c r="AC431">
        <v>0</v>
      </c>
      <c r="AD431">
        <v>1</v>
      </c>
      <c r="AE431">
        <v>1</v>
      </c>
      <c r="AF431">
        <v>0</v>
      </c>
      <c r="AG431">
        <v>0</v>
      </c>
    </row>
    <row r="432" spans="1:33" hidden="1" x14ac:dyDescent="0.2">
      <c r="A432">
        <v>431</v>
      </c>
      <c r="B432" t="s">
        <v>207</v>
      </c>
      <c r="C432" t="s">
        <v>33</v>
      </c>
      <c r="D432">
        <v>28</v>
      </c>
      <c r="E432" t="s">
        <v>114</v>
      </c>
      <c r="F432" t="s">
        <v>53</v>
      </c>
      <c r="G432" t="s">
        <v>54</v>
      </c>
      <c r="H432">
        <v>16156</v>
      </c>
      <c r="I432">
        <v>0</v>
      </c>
      <c r="J432">
        <v>1</v>
      </c>
      <c r="K432">
        <v>1</v>
      </c>
      <c r="L432">
        <v>0</v>
      </c>
      <c r="M432" t="s">
        <v>36</v>
      </c>
      <c r="N432" t="s">
        <v>36</v>
      </c>
      <c r="O432" t="s">
        <v>36</v>
      </c>
      <c r="P432" t="s">
        <v>37</v>
      </c>
      <c r="Q432" t="s">
        <v>36</v>
      </c>
      <c r="R432" t="s">
        <v>36</v>
      </c>
      <c r="S432" t="s">
        <v>36</v>
      </c>
      <c r="T432" t="s">
        <v>36</v>
      </c>
      <c r="U432">
        <v>1</v>
      </c>
      <c r="V432">
        <v>0</v>
      </c>
      <c r="W432">
        <v>1</v>
      </c>
      <c r="X432">
        <v>1</v>
      </c>
      <c r="Y432">
        <v>0</v>
      </c>
      <c r="Z432">
        <v>1</v>
      </c>
      <c r="AA432">
        <v>0</v>
      </c>
      <c r="AB432">
        <v>1</v>
      </c>
      <c r="AC432">
        <v>0</v>
      </c>
      <c r="AD432">
        <v>1</v>
      </c>
      <c r="AE432">
        <v>1</v>
      </c>
      <c r="AF432">
        <v>0</v>
      </c>
      <c r="AG432">
        <v>0</v>
      </c>
    </row>
    <row r="433" spans="1:33" x14ac:dyDescent="0.2">
      <c r="A433">
        <v>432</v>
      </c>
      <c r="B433" t="s">
        <v>207</v>
      </c>
      <c r="C433" t="s">
        <v>33</v>
      </c>
      <c r="D433">
        <v>28</v>
      </c>
      <c r="E433" t="s">
        <v>114</v>
      </c>
      <c r="F433" t="s">
        <v>41</v>
      </c>
      <c r="G433" t="s">
        <v>49</v>
      </c>
      <c r="H433">
        <v>17181</v>
      </c>
      <c r="I433">
        <v>1</v>
      </c>
      <c r="J433">
        <v>1</v>
      </c>
      <c r="K433">
        <v>1</v>
      </c>
      <c r="L433">
        <v>0</v>
      </c>
      <c r="M433" t="s">
        <v>51</v>
      </c>
      <c r="N433" t="s">
        <v>95</v>
      </c>
      <c r="O433" t="s">
        <v>96</v>
      </c>
      <c r="P433" t="s">
        <v>37</v>
      </c>
      <c r="Q433" t="s">
        <v>47</v>
      </c>
      <c r="R433" t="s">
        <v>60</v>
      </c>
      <c r="S433" t="s">
        <v>65</v>
      </c>
      <c r="T433">
        <v>1</v>
      </c>
      <c r="U433">
        <v>1</v>
      </c>
      <c r="V433">
        <v>0</v>
      </c>
      <c r="W433">
        <v>1</v>
      </c>
      <c r="X433">
        <v>0</v>
      </c>
      <c r="Y433">
        <v>0</v>
      </c>
      <c r="Z433">
        <v>1</v>
      </c>
      <c r="AA433">
        <v>1</v>
      </c>
      <c r="AB433">
        <v>1</v>
      </c>
      <c r="AC433">
        <v>0</v>
      </c>
      <c r="AD433">
        <v>1</v>
      </c>
      <c r="AE433">
        <v>0</v>
      </c>
      <c r="AF433">
        <v>0</v>
      </c>
      <c r="AG433">
        <v>0</v>
      </c>
    </row>
    <row r="434" spans="1:33" hidden="1" x14ac:dyDescent="0.2">
      <c r="A434">
        <v>433</v>
      </c>
      <c r="B434" t="s">
        <v>207</v>
      </c>
      <c r="C434" t="s">
        <v>33</v>
      </c>
      <c r="D434">
        <v>28</v>
      </c>
      <c r="E434" t="s">
        <v>114</v>
      </c>
      <c r="F434" t="s">
        <v>53</v>
      </c>
      <c r="G434" t="s">
        <v>71</v>
      </c>
      <c r="H434">
        <v>26790</v>
      </c>
      <c r="I434">
        <v>0</v>
      </c>
      <c r="J434">
        <v>1</v>
      </c>
      <c r="K434">
        <v>1</v>
      </c>
      <c r="L434">
        <v>0</v>
      </c>
      <c r="M434" t="s">
        <v>36</v>
      </c>
      <c r="N434" t="s">
        <v>36</v>
      </c>
      <c r="O434" t="s">
        <v>36</v>
      </c>
      <c r="P434" t="s">
        <v>37</v>
      </c>
      <c r="Q434" t="s">
        <v>36</v>
      </c>
      <c r="R434" t="s">
        <v>36</v>
      </c>
      <c r="S434" t="s">
        <v>36</v>
      </c>
      <c r="T434" t="s">
        <v>36</v>
      </c>
      <c r="U434">
        <v>1</v>
      </c>
      <c r="V434">
        <v>0</v>
      </c>
      <c r="W434">
        <v>1</v>
      </c>
      <c r="X434">
        <v>0</v>
      </c>
      <c r="Y434">
        <v>0</v>
      </c>
      <c r="Z434">
        <v>1</v>
      </c>
      <c r="AA434">
        <v>1</v>
      </c>
      <c r="AB434">
        <v>1</v>
      </c>
      <c r="AC434">
        <v>0</v>
      </c>
      <c r="AD434">
        <v>1</v>
      </c>
      <c r="AE434">
        <v>0</v>
      </c>
      <c r="AF434">
        <v>0</v>
      </c>
      <c r="AG434">
        <v>0</v>
      </c>
    </row>
    <row r="435" spans="1:33" hidden="1" x14ac:dyDescent="0.2">
      <c r="A435">
        <v>434</v>
      </c>
      <c r="B435" t="s">
        <v>207</v>
      </c>
      <c r="C435" t="s">
        <v>33</v>
      </c>
      <c r="D435">
        <v>28</v>
      </c>
      <c r="E435" t="s">
        <v>114</v>
      </c>
      <c r="F435" t="s">
        <v>77</v>
      </c>
      <c r="G435" t="s">
        <v>36</v>
      </c>
      <c r="H435">
        <v>27773</v>
      </c>
      <c r="I435" t="s">
        <v>208</v>
      </c>
      <c r="J435" t="s">
        <v>209</v>
      </c>
      <c r="K435" t="s">
        <v>166</v>
      </c>
      <c r="L435" t="s">
        <v>36</v>
      </c>
      <c r="M435" t="s">
        <v>36</v>
      </c>
      <c r="N435" t="s">
        <v>36</v>
      </c>
      <c r="O435" t="s">
        <v>36</v>
      </c>
      <c r="P435" t="s">
        <v>37</v>
      </c>
      <c r="Q435" t="s">
        <v>36</v>
      </c>
      <c r="R435" t="s">
        <v>36</v>
      </c>
      <c r="S435" t="s">
        <v>36</v>
      </c>
      <c r="T435" t="s">
        <v>36</v>
      </c>
      <c r="U435" t="s">
        <v>36</v>
      </c>
      <c r="V435" t="s">
        <v>36</v>
      </c>
      <c r="W435" t="s">
        <v>36</v>
      </c>
      <c r="X435" t="s">
        <v>36</v>
      </c>
      <c r="Y435" t="s">
        <v>36</v>
      </c>
      <c r="Z435" t="s">
        <v>36</v>
      </c>
      <c r="AA435" t="s">
        <v>36</v>
      </c>
      <c r="AB435" t="s">
        <v>36</v>
      </c>
      <c r="AC435" t="s">
        <v>36</v>
      </c>
      <c r="AD435" t="s">
        <v>36</v>
      </c>
      <c r="AE435" t="s">
        <v>36</v>
      </c>
      <c r="AF435" t="s">
        <v>36</v>
      </c>
      <c r="AG435" t="s">
        <v>36</v>
      </c>
    </row>
    <row r="436" spans="1:33" hidden="1" x14ac:dyDescent="0.2">
      <c r="A436">
        <v>435</v>
      </c>
      <c r="B436" t="s">
        <v>210</v>
      </c>
      <c r="C436" t="s">
        <v>108</v>
      </c>
      <c r="D436">
        <v>59</v>
      </c>
      <c r="E436" t="s">
        <v>114</v>
      </c>
      <c r="F436" t="s">
        <v>35</v>
      </c>
      <c r="G436" t="s">
        <v>36</v>
      </c>
      <c r="H436">
        <v>22919</v>
      </c>
      <c r="I436" t="s">
        <v>36</v>
      </c>
      <c r="J436" t="s">
        <v>36</v>
      </c>
      <c r="K436" t="s">
        <v>36</v>
      </c>
      <c r="L436" t="s">
        <v>36</v>
      </c>
      <c r="M436" t="s">
        <v>36</v>
      </c>
      <c r="N436" t="s">
        <v>36</v>
      </c>
      <c r="O436" t="s">
        <v>36</v>
      </c>
      <c r="P436" t="s">
        <v>37</v>
      </c>
      <c r="Q436" t="s">
        <v>36</v>
      </c>
      <c r="R436" t="s">
        <v>36</v>
      </c>
      <c r="S436" t="s">
        <v>36</v>
      </c>
      <c r="T436" t="s">
        <v>36</v>
      </c>
      <c r="U436" t="s">
        <v>36</v>
      </c>
      <c r="V436" t="s">
        <v>36</v>
      </c>
      <c r="W436" t="s">
        <v>36</v>
      </c>
      <c r="X436" t="s">
        <v>36</v>
      </c>
      <c r="Y436" t="s">
        <v>36</v>
      </c>
      <c r="Z436" t="s">
        <v>36</v>
      </c>
      <c r="AA436" t="s">
        <v>36</v>
      </c>
      <c r="AB436" t="s">
        <v>36</v>
      </c>
      <c r="AC436" t="s">
        <v>36</v>
      </c>
      <c r="AD436" t="s">
        <v>36</v>
      </c>
      <c r="AE436" t="s">
        <v>36</v>
      </c>
      <c r="AF436" t="s">
        <v>36</v>
      </c>
      <c r="AG436" t="s">
        <v>36</v>
      </c>
    </row>
    <row r="437" spans="1:33" hidden="1" x14ac:dyDescent="0.2">
      <c r="A437">
        <v>436</v>
      </c>
      <c r="B437" t="s">
        <v>210</v>
      </c>
      <c r="C437" t="s">
        <v>108</v>
      </c>
      <c r="D437">
        <v>59</v>
      </c>
      <c r="E437" t="s">
        <v>114</v>
      </c>
      <c r="F437" t="s">
        <v>38</v>
      </c>
      <c r="G437" t="s">
        <v>40</v>
      </c>
      <c r="H437">
        <v>70703</v>
      </c>
      <c r="I437">
        <v>0</v>
      </c>
      <c r="J437">
        <v>0</v>
      </c>
      <c r="K437">
        <v>1</v>
      </c>
      <c r="L437">
        <v>0</v>
      </c>
      <c r="M437" t="s">
        <v>36</v>
      </c>
      <c r="N437" t="s">
        <v>36</v>
      </c>
      <c r="O437" t="s">
        <v>36</v>
      </c>
      <c r="P437" t="s">
        <v>37</v>
      </c>
      <c r="Q437" t="s">
        <v>36</v>
      </c>
      <c r="R437" t="s">
        <v>36</v>
      </c>
      <c r="S437" t="s">
        <v>36</v>
      </c>
      <c r="T437" t="s">
        <v>36</v>
      </c>
      <c r="U437" t="s">
        <v>36</v>
      </c>
      <c r="V437" t="s">
        <v>36</v>
      </c>
      <c r="W437" t="s">
        <v>36</v>
      </c>
      <c r="X437" t="s">
        <v>36</v>
      </c>
      <c r="Y437" t="s">
        <v>36</v>
      </c>
      <c r="Z437" t="s">
        <v>36</v>
      </c>
      <c r="AA437" t="s">
        <v>36</v>
      </c>
      <c r="AB437" t="s">
        <v>36</v>
      </c>
      <c r="AC437" t="s">
        <v>36</v>
      </c>
      <c r="AD437" t="s">
        <v>36</v>
      </c>
      <c r="AE437" t="s">
        <v>36</v>
      </c>
      <c r="AF437" t="s">
        <v>36</v>
      </c>
      <c r="AG437" t="s">
        <v>36</v>
      </c>
    </row>
    <row r="438" spans="1:33" hidden="1" x14ac:dyDescent="0.2">
      <c r="A438">
        <v>437</v>
      </c>
      <c r="B438" t="s">
        <v>210</v>
      </c>
      <c r="C438" t="s">
        <v>108</v>
      </c>
      <c r="D438">
        <v>59</v>
      </c>
      <c r="E438" t="s">
        <v>114</v>
      </c>
      <c r="F438" t="s">
        <v>38</v>
      </c>
      <c r="G438" t="s">
        <v>39</v>
      </c>
      <c r="H438">
        <v>46829</v>
      </c>
      <c r="I438">
        <v>0</v>
      </c>
      <c r="J438">
        <v>0</v>
      </c>
      <c r="K438">
        <v>0</v>
      </c>
      <c r="L438">
        <v>1</v>
      </c>
      <c r="M438" t="s">
        <v>36</v>
      </c>
      <c r="N438" t="s">
        <v>36</v>
      </c>
      <c r="O438" t="s">
        <v>36</v>
      </c>
      <c r="P438" t="s">
        <v>37</v>
      </c>
      <c r="Q438" t="s">
        <v>36</v>
      </c>
      <c r="R438" t="s">
        <v>36</v>
      </c>
      <c r="S438" t="s">
        <v>36</v>
      </c>
      <c r="T438" t="s">
        <v>36</v>
      </c>
      <c r="U438" t="s">
        <v>36</v>
      </c>
      <c r="V438" t="s">
        <v>36</v>
      </c>
      <c r="W438" t="s">
        <v>36</v>
      </c>
      <c r="X438" t="s">
        <v>36</v>
      </c>
      <c r="Y438" t="s">
        <v>36</v>
      </c>
      <c r="Z438" t="s">
        <v>36</v>
      </c>
      <c r="AA438" t="s">
        <v>36</v>
      </c>
      <c r="AB438" t="s">
        <v>36</v>
      </c>
      <c r="AC438" t="s">
        <v>36</v>
      </c>
      <c r="AD438" t="s">
        <v>36</v>
      </c>
      <c r="AE438" t="s">
        <v>36</v>
      </c>
      <c r="AF438" t="s">
        <v>36</v>
      </c>
      <c r="AG438" t="s">
        <v>36</v>
      </c>
    </row>
    <row r="439" spans="1:33" x14ac:dyDescent="0.2">
      <c r="A439">
        <v>438</v>
      </c>
      <c r="B439" t="s">
        <v>210</v>
      </c>
      <c r="C439" t="s">
        <v>108</v>
      </c>
      <c r="D439">
        <v>59</v>
      </c>
      <c r="E439" t="s">
        <v>114</v>
      </c>
      <c r="F439" t="s">
        <v>41</v>
      </c>
      <c r="G439" t="s">
        <v>72</v>
      </c>
      <c r="H439">
        <v>94882</v>
      </c>
      <c r="I439">
        <v>0</v>
      </c>
      <c r="J439">
        <v>0</v>
      </c>
      <c r="K439">
        <v>0</v>
      </c>
      <c r="L439">
        <v>1</v>
      </c>
      <c r="M439" t="s">
        <v>74</v>
      </c>
      <c r="N439" t="s">
        <v>115</v>
      </c>
      <c r="O439" t="s">
        <v>104</v>
      </c>
      <c r="P439" t="s">
        <v>37</v>
      </c>
      <c r="Q439" t="s">
        <v>47</v>
      </c>
      <c r="R439" t="s">
        <v>65</v>
      </c>
      <c r="S439" t="s">
        <v>60</v>
      </c>
      <c r="T439">
        <v>1</v>
      </c>
      <c r="U439">
        <v>1</v>
      </c>
      <c r="V439">
        <v>0</v>
      </c>
      <c r="W439">
        <v>1</v>
      </c>
      <c r="X439">
        <v>0</v>
      </c>
      <c r="Y439">
        <v>0</v>
      </c>
      <c r="Z439">
        <v>1</v>
      </c>
      <c r="AA439">
        <v>0</v>
      </c>
      <c r="AB439">
        <v>0</v>
      </c>
      <c r="AC439">
        <v>0</v>
      </c>
      <c r="AD439">
        <v>0</v>
      </c>
      <c r="AE439">
        <v>0</v>
      </c>
      <c r="AF439">
        <v>0</v>
      </c>
      <c r="AG439">
        <v>1</v>
      </c>
    </row>
    <row r="440" spans="1:33" x14ac:dyDescent="0.2">
      <c r="A440">
        <v>439</v>
      </c>
      <c r="B440" t="s">
        <v>210</v>
      </c>
      <c r="C440" t="s">
        <v>108</v>
      </c>
      <c r="D440">
        <v>59</v>
      </c>
      <c r="E440" t="s">
        <v>114</v>
      </c>
      <c r="F440" t="s">
        <v>41</v>
      </c>
      <c r="G440" t="s">
        <v>42</v>
      </c>
      <c r="H440">
        <v>49818</v>
      </c>
      <c r="I440">
        <v>1</v>
      </c>
      <c r="J440">
        <v>1</v>
      </c>
      <c r="K440">
        <v>1</v>
      </c>
      <c r="L440">
        <v>0</v>
      </c>
      <c r="M440" t="s">
        <v>43</v>
      </c>
      <c r="N440" t="s">
        <v>45</v>
      </c>
      <c r="O440" t="s">
        <v>82</v>
      </c>
      <c r="P440" t="s">
        <v>37</v>
      </c>
      <c r="Q440" t="s">
        <v>46</v>
      </c>
      <c r="R440" t="s">
        <v>48</v>
      </c>
      <c r="S440" t="s">
        <v>65</v>
      </c>
      <c r="T440">
        <v>0</v>
      </c>
      <c r="U440">
        <v>1</v>
      </c>
      <c r="V440">
        <v>1</v>
      </c>
      <c r="W440">
        <v>0</v>
      </c>
      <c r="X440">
        <v>1</v>
      </c>
      <c r="Y440">
        <v>0</v>
      </c>
      <c r="Z440">
        <v>1</v>
      </c>
      <c r="AA440">
        <v>0</v>
      </c>
      <c r="AB440">
        <v>1</v>
      </c>
      <c r="AC440">
        <v>1</v>
      </c>
      <c r="AD440">
        <v>0</v>
      </c>
      <c r="AE440">
        <v>1</v>
      </c>
      <c r="AF440">
        <v>0</v>
      </c>
      <c r="AG440">
        <v>0</v>
      </c>
    </row>
    <row r="441" spans="1:33" hidden="1" x14ac:dyDescent="0.2">
      <c r="A441">
        <v>440</v>
      </c>
      <c r="B441" t="s">
        <v>210</v>
      </c>
      <c r="C441" t="s">
        <v>108</v>
      </c>
      <c r="D441">
        <v>59</v>
      </c>
      <c r="E441" t="s">
        <v>114</v>
      </c>
      <c r="F441" t="s">
        <v>53</v>
      </c>
      <c r="G441" t="s">
        <v>71</v>
      </c>
      <c r="H441">
        <v>41990</v>
      </c>
      <c r="I441">
        <v>0</v>
      </c>
      <c r="J441">
        <v>0</v>
      </c>
      <c r="K441">
        <v>0</v>
      </c>
      <c r="L441">
        <v>1</v>
      </c>
      <c r="M441" t="s">
        <v>36</v>
      </c>
      <c r="N441" t="s">
        <v>36</v>
      </c>
      <c r="O441" t="s">
        <v>36</v>
      </c>
      <c r="P441" t="s">
        <v>37</v>
      </c>
      <c r="Q441" t="s">
        <v>36</v>
      </c>
      <c r="R441" t="s">
        <v>36</v>
      </c>
      <c r="S441" t="s">
        <v>36</v>
      </c>
      <c r="T441" t="s">
        <v>36</v>
      </c>
      <c r="U441">
        <v>1</v>
      </c>
      <c r="V441">
        <v>1</v>
      </c>
      <c r="W441">
        <v>0</v>
      </c>
      <c r="X441">
        <v>1</v>
      </c>
      <c r="Y441">
        <v>0</v>
      </c>
      <c r="Z441">
        <v>1</v>
      </c>
      <c r="AA441">
        <v>0</v>
      </c>
      <c r="AB441">
        <v>1</v>
      </c>
      <c r="AC441">
        <v>1</v>
      </c>
      <c r="AD441">
        <v>0</v>
      </c>
      <c r="AE441">
        <v>1</v>
      </c>
      <c r="AF441">
        <v>0</v>
      </c>
      <c r="AG441">
        <v>0</v>
      </c>
    </row>
    <row r="442" spans="1:33" x14ac:dyDescent="0.2">
      <c r="A442">
        <v>441</v>
      </c>
      <c r="B442" t="s">
        <v>210</v>
      </c>
      <c r="C442" t="s">
        <v>108</v>
      </c>
      <c r="D442">
        <v>59</v>
      </c>
      <c r="E442" t="s">
        <v>114</v>
      </c>
      <c r="F442" t="s">
        <v>41</v>
      </c>
      <c r="G442" t="s">
        <v>61</v>
      </c>
      <c r="H442">
        <v>40801</v>
      </c>
      <c r="I442">
        <v>1</v>
      </c>
      <c r="J442">
        <v>1</v>
      </c>
      <c r="K442">
        <v>1</v>
      </c>
      <c r="L442">
        <v>0</v>
      </c>
      <c r="M442" t="s">
        <v>62</v>
      </c>
      <c r="N442" t="s">
        <v>97</v>
      </c>
      <c r="O442" t="s">
        <v>63</v>
      </c>
      <c r="P442" t="s">
        <v>37</v>
      </c>
      <c r="Q442" t="s">
        <v>65</v>
      </c>
      <c r="R442" t="s">
        <v>59</v>
      </c>
      <c r="S442" t="s">
        <v>46</v>
      </c>
      <c r="T442">
        <v>0</v>
      </c>
      <c r="U442">
        <v>1</v>
      </c>
      <c r="V442">
        <v>0</v>
      </c>
      <c r="W442">
        <v>0</v>
      </c>
      <c r="X442">
        <v>1</v>
      </c>
      <c r="Y442">
        <v>0</v>
      </c>
      <c r="Z442">
        <v>1</v>
      </c>
      <c r="AA442">
        <v>0</v>
      </c>
      <c r="AB442">
        <v>1</v>
      </c>
      <c r="AC442">
        <v>0</v>
      </c>
      <c r="AD442">
        <v>0</v>
      </c>
      <c r="AE442">
        <v>1</v>
      </c>
      <c r="AF442">
        <v>0</v>
      </c>
      <c r="AG442">
        <v>0</v>
      </c>
    </row>
    <row r="443" spans="1:33" x14ac:dyDescent="0.2">
      <c r="A443">
        <v>442</v>
      </c>
      <c r="B443" t="s">
        <v>210</v>
      </c>
      <c r="C443" t="s">
        <v>108</v>
      </c>
      <c r="D443">
        <v>59</v>
      </c>
      <c r="E443" t="s">
        <v>114</v>
      </c>
      <c r="F443" t="s">
        <v>41</v>
      </c>
      <c r="G443" t="s">
        <v>49</v>
      </c>
      <c r="H443">
        <v>60825</v>
      </c>
      <c r="I443">
        <v>1</v>
      </c>
      <c r="J443">
        <v>1</v>
      </c>
      <c r="K443">
        <v>1</v>
      </c>
      <c r="L443">
        <v>0</v>
      </c>
      <c r="M443" t="s">
        <v>83</v>
      </c>
      <c r="N443" t="s">
        <v>52</v>
      </c>
      <c r="O443" t="s">
        <v>95</v>
      </c>
      <c r="P443" t="s">
        <v>37</v>
      </c>
      <c r="Q443" t="s">
        <v>59</v>
      </c>
      <c r="R443" t="s">
        <v>46</v>
      </c>
      <c r="S443" t="s">
        <v>60</v>
      </c>
      <c r="T443">
        <v>1</v>
      </c>
      <c r="U443">
        <v>0</v>
      </c>
      <c r="V443">
        <v>0</v>
      </c>
      <c r="W443">
        <v>0</v>
      </c>
      <c r="X443">
        <v>1</v>
      </c>
      <c r="Y443">
        <v>0</v>
      </c>
      <c r="Z443">
        <v>1</v>
      </c>
      <c r="AA443">
        <v>1</v>
      </c>
      <c r="AB443">
        <v>0</v>
      </c>
      <c r="AC443">
        <v>0</v>
      </c>
      <c r="AD443">
        <v>0</v>
      </c>
      <c r="AE443">
        <v>1</v>
      </c>
      <c r="AF443">
        <v>0</v>
      </c>
      <c r="AG443">
        <v>0</v>
      </c>
    </row>
    <row r="444" spans="1:33" hidden="1" x14ac:dyDescent="0.2">
      <c r="A444">
        <v>443</v>
      </c>
      <c r="B444" t="s">
        <v>210</v>
      </c>
      <c r="C444" t="s">
        <v>108</v>
      </c>
      <c r="D444">
        <v>59</v>
      </c>
      <c r="E444" t="s">
        <v>114</v>
      </c>
      <c r="F444" t="s">
        <v>53</v>
      </c>
      <c r="G444" t="s">
        <v>54</v>
      </c>
      <c r="H444">
        <v>48359</v>
      </c>
      <c r="I444">
        <v>0</v>
      </c>
      <c r="J444">
        <v>1</v>
      </c>
      <c r="K444">
        <v>1</v>
      </c>
      <c r="L444">
        <v>0</v>
      </c>
      <c r="M444" t="s">
        <v>36</v>
      </c>
      <c r="N444" t="s">
        <v>36</v>
      </c>
      <c r="O444" t="s">
        <v>36</v>
      </c>
      <c r="P444" t="s">
        <v>37</v>
      </c>
      <c r="Q444" t="s">
        <v>36</v>
      </c>
      <c r="R444" t="s">
        <v>36</v>
      </c>
      <c r="S444" t="s">
        <v>36</v>
      </c>
      <c r="T444" t="s">
        <v>36</v>
      </c>
      <c r="U444">
        <v>0</v>
      </c>
      <c r="V444">
        <v>0</v>
      </c>
      <c r="W444">
        <v>0</v>
      </c>
      <c r="X444">
        <v>1</v>
      </c>
      <c r="Y444">
        <v>0</v>
      </c>
      <c r="Z444">
        <v>1</v>
      </c>
      <c r="AA444">
        <v>1</v>
      </c>
      <c r="AB444">
        <v>0</v>
      </c>
      <c r="AC444">
        <v>0</v>
      </c>
      <c r="AD444">
        <v>0</v>
      </c>
      <c r="AE444">
        <v>1</v>
      </c>
      <c r="AF444">
        <v>0</v>
      </c>
      <c r="AG444">
        <v>0</v>
      </c>
    </row>
    <row r="445" spans="1:33" x14ac:dyDescent="0.2">
      <c r="A445">
        <v>444</v>
      </c>
      <c r="B445" t="s">
        <v>210</v>
      </c>
      <c r="C445" t="s">
        <v>108</v>
      </c>
      <c r="D445">
        <v>59</v>
      </c>
      <c r="E445" t="s">
        <v>114</v>
      </c>
      <c r="F445" t="s">
        <v>41</v>
      </c>
      <c r="G445" t="s">
        <v>55</v>
      </c>
      <c r="H445">
        <v>82146</v>
      </c>
      <c r="I445">
        <v>0</v>
      </c>
      <c r="J445">
        <v>0</v>
      </c>
      <c r="K445">
        <v>0</v>
      </c>
      <c r="L445">
        <v>1</v>
      </c>
      <c r="M445" t="s">
        <v>57</v>
      </c>
      <c r="N445" t="s">
        <v>94</v>
      </c>
      <c r="O445" t="s">
        <v>58</v>
      </c>
      <c r="P445" t="s">
        <v>37</v>
      </c>
      <c r="Q445" t="s">
        <v>48</v>
      </c>
      <c r="R445" t="s">
        <v>47</v>
      </c>
      <c r="S445" t="s">
        <v>60</v>
      </c>
      <c r="T445">
        <v>1</v>
      </c>
      <c r="U445">
        <v>0</v>
      </c>
      <c r="V445">
        <v>1</v>
      </c>
      <c r="W445">
        <v>1</v>
      </c>
      <c r="X445">
        <v>0</v>
      </c>
      <c r="Y445">
        <v>0</v>
      </c>
      <c r="Z445">
        <v>1</v>
      </c>
      <c r="AA445">
        <v>0</v>
      </c>
      <c r="AB445">
        <v>0</v>
      </c>
      <c r="AC445">
        <v>0</v>
      </c>
      <c r="AD445">
        <v>0</v>
      </c>
      <c r="AE445">
        <v>0</v>
      </c>
      <c r="AF445">
        <v>0</v>
      </c>
      <c r="AG445">
        <v>1</v>
      </c>
    </row>
    <row r="446" spans="1:33" hidden="1" x14ac:dyDescent="0.2">
      <c r="A446">
        <v>445</v>
      </c>
      <c r="B446" t="s">
        <v>210</v>
      </c>
      <c r="C446" t="s">
        <v>108</v>
      </c>
      <c r="D446">
        <v>59</v>
      </c>
      <c r="E446" t="s">
        <v>114</v>
      </c>
      <c r="F446" t="s">
        <v>53</v>
      </c>
      <c r="G446" t="s">
        <v>66</v>
      </c>
      <c r="H446">
        <v>48261</v>
      </c>
      <c r="I446">
        <v>1</v>
      </c>
      <c r="J446">
        <v>0</v>
      </c>
      <c r="K446">
        <v>0</v>
      </c>
      <c r="L446">
        <v>0</v>
      </c>
      <c r="M446" t="s">
        <v>36</v>
      </c>
      <c r="N446" t="s">
        <v>36</v>
      </c>
      <c r="O446" t="s">
        <v>36</v>
      </c>
      <c r="P446" t="s">
        <v>37</v>
      </c>
      <c r="Q446" t="s">
        <v>36</v>
      </c>
      <c r="R446" t="s">
        <v>36</v>
      </c>
      <c r="S446" t="s">
        <v>36</v>
      </c>
      <c r="T446" t="s">
        <v>36</v>
      </c>
      <c r="U446">
        <v>0</v>
      </c>
      <c r="V446">
        <v>1</v>
      </c>
      <c r="W446">
        <v>1</v>
      </c>
      <c r="X446">
        <v>0</v>
      </c>
      <c r="Y446">
        <v>0</v>
      </c>
      <c r="Z446">
        <v>1</v>
      </c>
      <c r="AA446">
        <v>0</v>
      </c>
      <c r="AB446">
        <v>0</v>
      </c>
      <c r="AC446">
        <v>0</v>
      </c>
      <c r="AD446">
        <v>0</v>
      </c>
      <c r="AE446">
        <v>0</v>
      </c>
      <c r="AF446">
        <v>0</v>
      </c>
      <c r="AG446">
        <v>1</v>
      </c>
    </row>
    <row r="447" spans="1:33" x14ac:dyDescent="0.2">
      <c r="A447">
        <v>446</v>
      </c>
      <c r="B447" t="s">
        <v>210</v>
      </c>
      <c r="C447" t="s">
        <v>108</v>
      </c>
      <c r="D447">
        <v>59</v>
      </c>
      <c r="E447" t="s">
        <v>114</v>
      </c>
      <c r="F447" t="s">
        <v>41</v>
      </c>
      <c r="G447" t="s">
        <v>67</v>
      </c>
      <c r="H447">
        <v>50109</v>
      </c>
      <c r="I447">
        <v>1</v>
      </c>
      <c r="J447">
        <v>1</v>
      </c>
      <c r="K447">
        <v>1</v>
      </c>
      <c r="L447">
        <v>0</v>
      </c>
      <c r="M447" t="s">
        <v>68</v>
      </c>
      <c r="N447" t="s">
        <v>69</v>
      </c>
      <c r="O447" t="s">
        <v>70</v>
      </c>
      <c r="P447" t="s">
        <v>37</v>
      </c>
      <c r="Q447" t="s">
        <v>65</v>
      </c>
      <c r="R447" t="s">
        <v>48</v>
      </c>
      <c r="S447" t="s">
        <v>47</v>
      </c>
      <c r="T447">
        <v>0</v>
      </c>
      <c r="U447">
        <v>1</v>
      </c>
      <c r="V447">
        <v>1</v>
      </c>
      <c r="W447">
        <v>1</v>
      </c>
      <c r="X447">
        <v>0</v>
      </c>
      <c r="Y447">
        <v>0</v>
      </c>
      <c r="Z447">
        <v>1</v>
      </c>
      <c r="AA447">
        <v>0</v>
      </c>
      <c r="AB447">
        <v>1</v>
      </c>
      <c r="AC447">
        <v>1</v>
      </c>
      <c r="AD447">
        <v>1</v>
      </c>
      <c r="AE447">
        <v>0</v>
      </c>
      <c r="AF447">
        <v>0</v>
      </c>
      <c r="AG447">
        <v>0</v>
      </c>
    </row>
    <row r="448" spans="1:33" hidden="1" x14ac:dyDescent="0.2">
      <c r="A448">
        <v>447</v>
      </c>
      <c r="B448" t="s">
        <v>210</v>
      </c>
      <c r="C448" t="s">
        <v>108</v>
      </c>
      <c r="D448">
        <v>59</v>
      </c>
      <c r="E448" t="s">
        <v>114</v>
      </c>
      <c r="F448" t="s">
        <v>53</v>
      </c>
      <c r="G448" t="s">
        <v>76</v>
      </c>
      <c r="H448">
        <v>31956</v>
      </c>
      <c r="I448">
        <v>0</v>
      </c>
      <c r="J448">
        <v>0</v>
      </c>
      <c r="K448">
        <v>0</v>
      </c>
      <c r="L448">
        <v>1</v>
      </c>
      <c r="M448" t="s">
        <v>36</v>
      </c>
      <c r="N448" t="s">
        <v>36</v>
      </c>
      <c r="O448" t="s">
        <v>36</v>
      </c>
      <c r="P448" t="s">
        <v>37</v>
      </c>
      <c r="Q448" t="s">
        <v>36</v>
      </c>
      <c r="R448" t="s">
        <v>36</v>
      </c>
      <c r="S448" t="s">
        <v>36</v>
      </c>
      <c r="T448" t="s">
        <v>36</v>
      </c>
      <c r="U448">
        <v>1</v>
      </c>
      <c r="V448">
        <v>1</v>
      </c>
      <c r="W448">
        <v>1</v>
      </c>
      <c r="X448">
        <v>0</v>
      </c>
      <c r="Y448">
        <v>0</v>
      </c>
      <c r="Z448">
        <v>1</v>
      </c>
      <c r="AA448">
        <v>0</v>
      </c>
      <c r="AB448">
        <v>1</v>
      </c>
      <c r="AC448">
        <v>1</v>
      </c>
      <c r="AD448">
        <v>1</v>
      </c>
      <c r="AE448">
        <v>0</v>
      </c>
      <c r="AF448">
        <v>0</v>
      </c>
      <c r="AG448">
        <v>0</v>
      </c>
    </row>
    <row r="449" spans="1:33" hidden="1" x14ac:dyDescent="0.2">
      <c r="A449">
        <v>448</v>
      </c>
      <c r="B449" t="s">
        <v>210</v>
      </c>
      <c r="C449" t="s">
        <v>108</v>
      </c>
      <c r="D449">
        <v>59</v>
      </c>
      <c r="E449" t="s">
        <v>114</v>
      </c>
      <c r="F449" t="s">
        <v>77</v>
      </c>
      <c r="G449" t="s">
        <v>36</v>
      </c>
      <c r="H449">
        <v>92071</v>
      </c>
      <c r="I449" t="s">
        <v>211</v>
      </c>
      <c r="J449" t="s">
        <v>212</v>
      </c>
      <c r="K449" t="s">
        <v>213</v>
      </c>
      <c r="L449" t="s">
        <v>36</v>
      </c>
      <c r="M449" t="s">
        <v>36</v>
      </c>
      <c r="N449" t="s">
        <v>36</v>
      </c>
      <c r="O449" t="s">
        <v>36</v>
      </c>
      <c r="P449" t="s">
        <v>37</v>
      </c>
      <c r="Q449" t="s">
        <v>36</v>
      </c>
      <c r="R449" t="s">
        <v>36</v>
      </c>
      <c r="S449" t="s">
        <v>36</v>
      </c>
      <c r="T449" t="s">
        <v>36</v>
      </c>
      <c r="U449" t="s">
        <v>36</v>
      </c>
      <c r="V449" t="s">
        <v>36</v>
      </c>
      <c r="W449" t="s">
        <v>36</v>
      </c>
      <c r="X449" t="s">
        <v>36</v>
      </c>
      <c r="Y449" t="s">
        <v>36</v>
      </c>
      <c r="Z449" t="s">
        <v>36</v>
      </c>
      <c r="AA449" t="s">
        <v>36</v>
      </c>
      <c r="AB449" t="s">
        <v>36</v>
      </c>
      <c r="AC449" t="s">
        <v>36</v>
      </c>
      <c r="AD449" t="s">
        <v>36</v>
      </c>
      <c r="AE449" t="s">
        <v>36</v>
      </c>
      <c r="AF449" t="s">
        <v>36</v>
      </c>
      <c r="AG449" t="s">
        <v>36</v>
      </c>
    </row>
    <row r="450" spans="1:33" hidden="1" x14ac:dyDescent="0.2">
      <c r="A450">
        <v>449</v>
      </c>
      <c r="B450" t="s">
        <v>214</v>
      </c>
      <c r="C450" t="s">
        <v>108</v>
      </c>
      <c r="D450">
        <v>49</v>
      </c>
      <c r="E450" t="s">
        <v>34</v>
      </c>
      <c r="F450" t="s">
        <v>35</v>
      </c>
      <c r="G450" t="s">
        <v>36</v>
      </c>
      <c r="H450">
        <v>36523</v>
      </c>
      <c r="I450" t="s">
        <v>36</v>
      </c>
      <c r="J450" t="s">
        <v>36</v>
      </c>
      <c r="K450" t="s">
        <v>36</v>
      </c>
      <c r="L450" t="s">
        <v>36</v>
      </c>
      <c r="M450" t="s">
        <v>36</v>
      </c>
      <c r="N450" t="s">
        <v>36</v>
      </c>
      <c r="O450" t="s">
        <v>36</v>
      </c>
      <c r="P450" t="s">
        <v>37</v>
      </c>
      <c r="Q450" t="s">
        <v>36</v>
      </c>
      <c r="R450" t="s">
        <v>36</v>
      </c>
      <c r="S450" t="s">
        <v>36</v>
      </c>
      <c r="T450" t="s">
        <v>36</v>
      </c>
      <c r="U450" t="s">
        <v>36</v>
      </c>
      <c r="V450" t="s">
        <v>36</v>
      </c>
      <c r="W450" t="s">
        <v>36</v>
      </c>
      <c r="X450" t="s">
        <v>36</v>
      </c>
      <c r="Y450" t="s">
        <v>36</v>
      </c>
      <c r="Z450" t="s">
        <v>36</v>
      </c>
      <c r="AA450" t="s">
        <v>36</v>
      </c>
      <c r="AB450" t="s">
        <v>36</v>
      </c>
      <c r="AC450" t="s">
        <v>36</v>
      </c>
      <c r="AD450" t="s">
        <v>36</v>
      </c>
      <c r="AE450" t="s">
        <v>36</v>
      </c>
      <c r="AF450" t="s">
        <v>36</v>
      </c>
      <c r="AG450" t="s">
        <v>36</v>
      </c>
    </row>
    <row r="451" spans="1:33" hidden="1" x14ac:dyDescent="0.2">
      <c r="A451">
        <v>450</v>
      </c>
      <c r="B451" t="s">
        <v>214</v>
      </c>
      <c r="C451" t="s">
        <v>108</v>
      </c>
      <c r="D451">
        <v>49</v>
      </c>
      <c r="E451" t="s">
        <v>34</v>
      </c>
      <c r="F451" t="s">
        <v>38</v>
      </c>
      <c r="G451" t="s">
        <v>40</v>
      </c>
      <c r="H451">
        <v>48573</v>
      </c>
      <c r="I451">
        <v>0</v>
      </c>
      <c r="J451">
        <v>1</v>
      </c>
      <c r="K451">
        <v>1</v>
      </c>
      <c r="L451">
        <v>0</v>
      </c>
      <c r="M451" t="s">
        <v>36</v>
      </c>
      <c r="N451" t="s">
        <v>36</v>
      </c>
      <c r="O451" t="s">
        <v>36</v>
      </c>
      <c r="P451" t="s">
        <v>37</v>
      </c>
      <c r="Q451" t="s">
        <v>36</v>
      </c>
      <c r="R451" t="s">
        <v>36</v>
      </c>
      <c r="S451" t="s">
        <v>36</v>
      </c>
      <c r="T451" t="s">
        <v>36</v>
      </c>
      <c r="U451" t="s">
        <v>36</v>
      </c>
      <c r="V451" t="s">
        <v>36</v>
      </c>
      <c r="W451" t="s">
        <v>36</v>
      </c>
      <c r="X451" t="s">
        <v>36</v>
      </c>
      <c r="Y451" t="s">
        <v>36</v>
      </c>
      <c r="Z451" t="s">
        <v>36</v>
      </c>
      <c r="AA451" t="s">
        <v>36</v>
      </c>
      <c r="AB451" t="s">
        <v>36</v>
      </c>
      <c r="AC451" t="s">
        <v>36</v>
      </c>
      <c r="AD451" t="s">
        <v>36</v>
      </c>
      <c r="AE451" t="s">
        <v>36</v>
      </c>
      <c r="AF451" t="s">
        <v>36</v>
      </c>
      <c r="AG451" t="s">
        <v>36</v>
      </c>
    </row>
    <row r="452" spans="1:33" hidden="1" x14ac:dyDescent="0.2">
      <c r="A452">
        <v>451</v>
      </c>
      <c r="B452" t="s">
        <v>214</v>
      </c>
      <c r="C452" t="s">
        <v>108</v>
      </c>
      <c r="D452">
        <v>49</v>
      </c>
      <c r="E452" t="s">
        <v>34</v>
      </c>
      <c r="F452" t="s">
        <v>38</v>
      </c>
      <c r="G452" t="s">
        <v>39</v>
      </c>
      <c r="H452">
        <v>42661</v>
      </c>
      <c r="I452">
        <v>0</v>
      </c>
      <c r="J452">
        <v>0</v>
      </c>
      <c r="K452">
        <v>0</v>
      </c>
      <c r="L452">
        <v>1</v>
      </c>
      <c r="M452" t="s">
        <v>36</v>
      </c>
      <c r="N452" t="s">
        <v>36</v>
      </c>
      <c r="O452" t="s">
        <v>36</v>
      </c>
      <c r="P452" t="s">
        <v>37</v>
      </c>
      <c r="Q452" t="s">
        <v>36</v>
      </c>
      <c r="R452" t="s">
        <v>36</v>
      </c>
      <c r="S452" t="s">
        <v>36</v>
      </c>
      <c r="T452" t="s">
        <v>36</v>
      </c>
      <c r="U452" t="s">
        <v>36</v>
      </c>
      <c r="V452" t="s">
        <v>36</v>
      </c>
      <c r="W452" t="s">
        <v>36</v>
      </c>
      <c r="X452" t="s">
        <v>36</v>
      </c>
      <c r="Y452" t="s">
        <v>36</v>
      </c>
      <c r="Z452" t="s">
        <v>36</v>
      </c>
      <c r="AA452" t="s">
        <v>36</v>
      </c>
      <c r="AB452" t="s">
        <v>36</v>
      </c>
      <c r="AC452" t="s">
        <v>36</v>
      </c>
      <c r="AD452" t="s">
        <v>36</v>
      </c>
      <c r="AE452" t="s">
        <v>36</v>
      </c>
      <c r="AF452" t="s">
        <v>36</v>
      </c>
      <c r="AG452" t="s">
        <v>36</v>
      </c>
    </row>
    <row r="453" spans="1:33" x14ac:dyDescent="0.2">
      <c r="A453">
        <v>452</v>
      </c>
      <c r="B453" t="s">
        <v>214</v>
      </c>
      <c r="C453" t="s">
        <v>108</v>
      </c>
      <c r="D453">
        <v>49</v>
      </c>
      <c r="E453" t="s">
        <v>34</v>
      </c>
      <c r="F453" t="s">
        <v>41</v>
      </c>
      <c r="G453" t="s">
        <v>72</v>
      </c>
      <c r="H453">
        <v>82308</v>
      </c>
      <c r="I453">
        <v>0</v>
      </c>
      <c r="J453">
        <v>0</v>
      </c>
      <c r="K453">
        <v>0</v>
      </c>
      <c r="L453">
        <v>1</v>
      </c>
      <c r="M453" t="s">
        <v>74</v>
      </c>
      <c r="N453" t="s">
        <v>73</v>
      </c>
      <c r="O453" t="s">
        <v>75</v>
      </c>
      <c r="P453" t="s">
        <v>37</v>
      </c>
      <c r="Q453" t="s">
        <v>47</v>
      </c>
      <c r="R453" t="s">
        <v>48</v>
      </c>
      <c r="S453" t="s">
        <v>46</v>
      </c>
      <c r="T453">
        <v>0</v>
      </c>
      <c r="U453">
        <v>0</v>
      </c>
      <c r="V453">
        <v>1</v>
      </c>
      <c r="W453">
        <v>1</v>
      </c>
      <c r="X453">
        <v>1</v>
      </c>
      <c r="Y453">
        <v>0</v>
      </c>
      <c r="Z453">
        <v>1</v>
      </c>
      <c r="AA453">
        <v>0</v>
      </c>
      <c r="AB453">
        <v>0</v>
      </c>
      <c r="AC453">
        <v>0</v>
      </c>
      <c r="AD453">
        <v>0</v>
      </c>
      <c r="AE453">
        <v>0</v>
      </c>
      <c r="AF453">
        <v>0</v>
      </c>
      <c r="AG453">
        <v>1</v>
      </c>
    </row>
    <row r="454" spans="1:33" x14ac:dyDescent="0.2">
      <c r="A454">
        <v>453</v>
      </c>
      <c r="B454" t="s">
        <v>214</v>
      </c>
      <c r="C454" t="s">
        <v>108</v>
      </c>
      <c r="D454">
        <v>49</v>
      </c>
      <c r="E454" t="s">
        <v>34</v>
      </c>
      <c r="F454" t="s">
        <v>41</v>
      </c>
      <c r="G454" t="s">
        <v>49</v>
      </c>
      <c r="H454">
        <v>95075</v>
      </c>
      <c r="I454">
        <v>1</v>
      </c>
      <c r="J454">
        <v>1</v>
      </c>
      <c r="K454">
        <v>1</v>
      </c>
      <c r="L454">
        <v>0</v>
      </c>
      <c r="M454" t="s">
        <v>96</v>
      </c>
      <c r="N454" t="s">
        <v>95</v>
      </c>
      <c r="O454" t="s">
        <v>50</v>
      </c>
      <c r="P454" t="s">
        <v>37</v>
      </c>
      <c r="Q454" t="s">
        <v>65</v>
      </c>
      <c r="R454" t="s">
        <v>60</v>
      </c>
      <c r="S454" t="s">
        <v>48</v>
      </c>
      <c r="T454">
        <v>1</v>
      </c>
      <c r="U454">
        <v>1</v>
      </c>
      <c r="V454">
        <v>1</v>
      </c>
      <c r="W454">
        <v>0</v>
      </c>
      <c r="X454">
        <v>0</v>
      </c>
      <c r="Y454">
        <v>0</v>
      </c>
      <c r="Z454">
        <v>1</v>
      </c>
      <c r="AA454">
        <v>1</v>
      </c>
      <c r="AB454">
        <v>1</v>
      </c>
      <c r="AC454">
        <v>1</v>
      </c>
      <c r="AD454">
        <v>0</v>
      </c>
      <c r="AE454">
        <v>0</v>
      </c>
      <c r="AF454">
        <v>0</v>
      </c>
      <c r="AG454">
        <v>0</v>
      </c>
    </row>
    <row r="455" spans="1:33" hidden="1" x14ac:dyDescent="0.2">
      <c r="A455">
        <v>454</v>
      </c>
      <c r="B455" t="s">
        <v>214</v>
      </c>
      <c r="C455" t="s">
        <v>108</v>
      </c>
      <c r="D455">
        <v>49</v>
      </c>
      <c r="E455" t="s">
        <v>34</v>
      </c>
      <c r="F455" t="s">
        <v>53</v>
      </c>
      <c r="G455" t="s">
        <v>76</v>
      </c>
      <c r="H455">
        <v>46487</v>
      </c>
      <c r="I455">
        <v>1</v>
      </c>
      <c r="J455">
        <v>0</v>
      </c>
      <c r="K455">
        <v>0</v>
      </c>
      <c r="L455">
        <v>0</v>
      </c>
      <c r="M455" t="s">
        <v>36</v>
      </c>
      <c r="N455" t="s">
        <v>36</v>
      </c>
      <c r="O455" t="s">
        <v>36</v>
      </c>
      <c r="P455" t="s">
        <v>37</v>
      </c>
      <c r="Q455" t="s">
        <v>36</v>
      </c>
      <c r="R455" t="s">
        <v>36</v>
      </c>
      <c r="S455" t="s">
        <v>36</v>
      </c>
      <c r="T455" t="s">
        <v>36</v>
      </c>
      <c r="U455">
        <v>1</v>
      </c>
      <c r="V455">
        <v>1</v>
      </c>
      <c r="W455">
        <v>0</v>
      </c>
      <c r="X455">
        <v>0</v>
      </c>
      <c r="Y455">
        <v>0</v>
      </c>
      <c r="Z455">
        <v>1</v>
      </c>
      <c r="AA455">
        <v>1</v>
      </c>
      <c r="AB455">
        <v>1</v>
      </c>
      <c r="AC455">
        <v>1</v>
      </c>
      <c r="AD455">
        <v>0</v>
      </c>
      <c r="AE455">
        <v>0</v>
      </c>
      <c r="AF455">
        <v>0</v>
      </c>
      <c r="AG455">
        <v>0</v>
      </c>
    </row>
    <row r="456" spans="1:33" x14ac:dyDescent="0.2">
      <c r="A456">
        <v>455</v>
      </c>
      <c r="B456" t="s">
        <v>214</v>
      </c>
      <c r="C456" t="s">
        <v>108</v>
      </c>
      <c r="D456">
        <v>49</v>
      </c>
      <c r="E456" t="s">
        <v>34</v>
      </c>
      <c r="F456" t="s">
        <v>41</v>
      </c>
      <c r="G456" t="s">
        <v>55</v>
      </c>
      <c r="H456">
        <v>58352</v>
      </c>
      <c r="I456">
        <v>0</v>
      </c>
      <c r="J456">
        <v>0</v>
      </c>
      <c r="K456">
        <v>0</v>
      </c>
      <c r="L456">
        <v>1</v>
      </c>
      <c r="M456" t="s">
        <v>57</v>
      </c>
      <c r="N456" t="s">
        <v>58</v>
      </c>
      <c r="O456" t="s">
        <v>84</v>
      </c>
      <c r="P456" t="s">
        <v>37</v>
      </c>
      <c r="Q456" t="s">
        <v>48</v>
      </c>
      <c r="R456" t="s">
        <v>60</v>
      </c>
      <c r="S456" t="s">
        <v>46</v>
      </c>
      <c r="T456">
        <v>1</v>
      </c>
      <c r="U456">
        <v>0</v>
      </c>
      <c r="V456">
        <v>1</v>
      </c>
      <c r="W456">
        <v>0</v>
      </c>
      <c r="X456">
        <v>1</v>
      </c>
      <c r="Y456">
        <v>0</v>
      </c>
      <c r="Z456">
        <v>1</v>
      </c>
      <c r="AA456">
        <v>0</v>
      </c>
      <c r="AB456">
        <v>0</v>
      </c>
      <c r="AC456">
        <v>0</v>
      </c>
      <c r="AD456">
        <v>0</v>
      </c>
      <c r="AE456">
        <v>0</v>
      </c>
      <c r="AF456">
        <v>0</v>
      </c>
      <c r="AG456">
        <v>1</v>
      </c>
    </row>
    <row r="457" spans="1:33" x14ac:dyDescent="0.2">
      <c r="A457">
        <v>456</v>
      </c>
      <c r="B457" t="s">
        <v>214</v>
      </c>
      <c r="C457" t="s">
        <v>108</v>
      </c>
      <c r="D457">
        <v>49</v>
      </c>
      <c r="E457" t="s">
        <v>34</v>
      </c>
      <c r="F457" t="s">
        <v>41</v>
      </c>
      <c r="G457" t="s">
        <v>61</v>
      </c>
      <c r="H457">
        <v>24717</v>
      </c>
      <c r="I457">
        <v>1</v>
      </c>
      <c r="J457">
        <v>1</v>
      </c>
      <c r="K457">
        <v>1</v>
      </c>
      <c r="L457">
        <v>0</v>
      </c>
      <c r="M457" t="s">
        <v>64</v>
      </c>
      <c r="N457" t="s">
        <v>62</v>
      </c>
      <c r="O457" t="s">
        <v>125</v>
      </c>
      <c r="P457" t="s">
        <v>37</v>
      </c>
      <c r="Q457" t="s">
        <v>48</v>
      </c>
      <c r="R457" t="s">
        <v>65</v>
      </c>
      <c r="S457" t="s">
        <v>60</v>
      </c>
      <c r="T457">
        <v>1</v>
      </c>
      <c r="U457">
        <v>1</v>
      </c>
      <c r="V457">
        <v>1</v>
      </c>
      <c r="W457">
        <v>0</v>
      </c>
      <c r="X457">
        <v>0</v>
      </c>
      <c r="Y457">
        <v>0</v>
      </c>
      <c r="Z457">
        <v>1</v>
      </c>
      <c r="AA457">
        <v>1</v>
      </c>
      <c r="AB457">
        <v>1</v>
      </c>
      <c r="AC457">
        <v>1</v>
      </c>
      <c r="AD457">
        <v>0</v>
      </c>
      <c r="AE457">
        <v>0</v>
      </c>
      <c r="AF457">
        <v>0</v>
      </c>
      <c r="AG457">
        <v>0</v>
      </c>
    </row>
    <row r="458" spans="1:33" hidden="1" x14ac:dyDescent="0.2">
      <c r="A458">
        <v>457</v>
      </c>
      <c r="B458" t="s">
        <v>214</v>
      </c>
      <c r="C458" t="s">
        <v>108</v>
      </c>
      <c r="D458">
        <v>49</v>
      </c>
      <c r="E458" t="s">
        <v>34</v>
      </c>
      <c r="F458" t="s">
        <v>53</v>
      </c>
      <c r="G458" t="s">
        <v>54</v>
      </c>
      <c r="H458">
        <v>84885</v>
      </c>
      <c r="I458">
        <v>0</v>
      </c>
      <c r="J458">
        <v>1</v>
      </c>
      <c r="K458">
        <v>1</v>
      </c>
      <c r="L458">
        <v>0</v>
      </c>
      <c r="M458" t="s">
        <v>36</v>
      </c>
      <c r="N458" t="s">
        <v>36</v>
      </c>
      <c r="O458" t="s">
        <v>36</v>
      </c>
      <c r="P458" t="s">
        <v>37</v>
      </c>
      <c r="Q458" t="s">
        <v>36</v>
      </c>
      <c r="R458" t="s">
        <v>36</v>
      </c>
      <c r="S458" t="s">
        <v>36</v>
      </c>
      <c r="T458" t="s">
        <v>36</v>
      </c>
      <c r="U458">
        <v>1</v>
      </c>
      <c r="V458">
        <v>1</v>
      </c>
      <c r="W458">
        <v>0</v>
      </c>
      <c r="X458">
        <v>0</v>
      </c>
      <c r="Y458">
        <v>0</v>
      </c>
      <c r="Z458">
        <v>1</v>
      </c>
      <c r="AA458">
        <v>1</v>
      </c>
      <c r="AB458">
        <v>1</v>
      </c>
      <c r="AC458">
        <v>1</v>
      </c>
      <c r="AD458">
        <v>0</v>
      </c>
      <c r="AE458">
        <v>0</v>
      </c>
      <c r="AF458">
        <v>0</v>
      </c>
      <c r="AG458">
        <v>0</v>
      </c>
    </row>
    <row r="459" spans="1:33" x14ac:dyDescent="0.2">
      <c r="A459">
        <v>458</v>
      </c>
      <c r="B459" t="s">
        <v>214</v>
      </c>
      <c r="C459" t="s">
        <v>108</v>
      </c>
      <c r="D459">
        <v>49</v>
      </c>
      <c r="E459" t="s">
        <v>34</v>
      </c>
      <c r="F459" t="s">
        <v>41</v>
      </c>
      <c r="G459" t="s">
        <v>42</v>
      </c>
      <c r="H459">
        <v>53028</v>
      </c>
      <c r="I459">
        <v>0</v>
      </c>
      <c r="J459">
        <v>0</v>
      </c>
      <c r="K459">
        <v>0</v>
      </c>
      <c r="L459">
        <v>1</v>
      </c>
      <c r="M459" t="s">
        <v>44</v>
      </c>
      <c r="N459" t="s">
        <v>82</v>
      </c>
      <c r="O459" t="s">
        <v>116</v>
      </c>
      <c r="P459" t="s">
        <v>37</v>
      </c>
      <c r="Q459" t="s">
        <v>47</v>
      </c>
      <c r="R459" t="s">
        <v>65</v>
      </c>
      <c r="S459" t="s">
        <v>60</v>
      </c>
      <c r="T459">
        <v>1</v>
      </c>
      <c r="U459">
        <v>1</v>
      </c>
      <c r="V459">
        <v>0</v>
      </c>
      <c r="W459">
        <v>1</v>
      </c>
      <c r="X459">
        <v>0</v>
      </c>
      <c r="Y459">
        <v>0</v>
      </c>
      <c r="Z459">
        <v>1</v>
      </c>
      <c r="AA459">
        <v>0</v>
      </c>
      <c r="AB459">
        <v>0</v>
      </c>
      <c r="AC459">
        <v>0</v>
      </c>
      <c r="AD459">
        <v>0</v>
      </c>
      <c r="AE459">
        <v>0</v>
      </c>
      <c r="AF459">
        <v>0</v>
      </c>
      <c r="AG459">
        <v>1</v>
      </c>
    </row>
    <row r="460" spans="1:33" hidden="1" x14ac:dyDescent="0.2">
      <c r="A460">
        <v>459</v>
      </c>
      <c r="B460" t="s">
        <v>214</v>
      </c>
      <c r="C460" t="s">
        <v>108</v>
      </c>
      <c r="D460">
        <v>49</v>
      </c>
      <c r="E460" t="s">
        <v>34</v>
      </c>
      <c r="F460" t="s">
        <v>53</v>
      </c>
      <c r="G460" t="s">
        <v>71</v>
      </c>
      <c r="H460">
        <v>49198</v>
      </c>
      <c r="I460">
        <v>0</v>
      </c>
      <c r="J460">
        <v>0</v>
      </c>
      <c r="K460">
        <v>0</v>
      </c>
      <c r="L460">
        <v>1</v>
      </c>
      <c r="M460" t="s">
        <v>36</v>
      </c>
      <c r="N460" t="s">
        <v>36</v>
      </c>
      <c r="O460" t="s">
        <v>36</v>
      </c>
      <c r="P460" t="s">
        <v>37</v>
      </c>
      <c r="Q460" t="s">
        <v>36</v>
      </c>
      <c r="R460" t="s">
        <v>36</v>
      </c>
      <c r="S460" t="s">
        <v>36</v>
      </c>
      <c r="T460" t="s">
        <v>36</v>
      </c>
      <c r="U460">
        <v>1</v>
      </c>
      <c r="V460">
        <v>0</v>
      </c>
      <c r="W460">
        <v>1</v>
      </c>
      <c r="X460">
        <v>0</v>
      </c>
      <c r="Y460">
        <v>0</v>
      </c>
      <c r="Z460">
        <v>1</v>
      </c>
      <c r="AA460">
        <v>0</v>
      </c>
      <c r="AB460">
        <v>0</v>
      </c>
      <c r="AC460">
        <v>0</v>
      </c>
      <c r="AD460">
        <v>0</v>
      </c>
      <c r="AE460">
        <v>0</v>
      </c>
      <c r="AF460">
        <v>0</v>
      </c>
      <c r="AG460">
        <v>1</v>
      </c>
    </row>
    <row r="461" spans="1:33" x14ac:dyDescent="0.2">
      <c r="A461">
        <v>460</v>
      </c>
      <c r="B461" t="s">
        <v>214</v>
      </c>
      <c r="C461" t="s">
        <v>108</v>
      </c>
      <c r="D461">
        <v>49</v>
      </c>
      <c r="E461" t="s">
        <v>34</v>
      </c>
      <c r="F461" t="s">
        <v>41</v>
      </c>
      <c r="G461" t="s">
        <v>67</v>
      </c>
      <c r="H461">
        <v>28446</v>
      </c>
      <c r="I461">
        <v>1</v>
      </c>
      <c r="J461">
        <v>1</v>
      </c>
      <c r="K461">
        <v>1</v>
      </c>
      <c r="L461">
        <v>0</v>
      </c>
      <c r="M461" t="s">
        <v>86</v>
      </c>
      <c r="N461" t="s">
        <v>70</v>
      </c>
      <c r="O461" t="s">
        <v>68</v>
      </c>
      <c r="P461" t="s">
        <v>37</v>
      </c>
      <c r="Q461" t="s">
        <v>46</v>
      </c>
      <c r="R461" t="s">
        <v>47</v>
      </c>
      <c r="S461" t="s">
        <v>65</v>
      </c>
      <c r="T461">
        <v>0</v>
      </c>
      <c r="U461">
        <v>1</v>
      </c>
      <c r="V461">
        <v>0</v>
      </c>
      <c r="W461">
        <v>1</v>
      </c>
      <c r="X461">
        <v>1</v>
      </c>
      <c r="Y461">
        <v>0</v>
      </c>
      <c r="Z461">
        <v>1</v>
      </c>
      <c r="AA461">
        <v>0</v>
      </c>
      <c r="AB461">
        <v>1</v>
      </c>
      <c r="AC461">
        <v>0</v>
      </c>
      <c r="AD461">
        <v>1</v>
      </c>
      <c r="AE461">
        <v>1</v>
      </c>
      <c r="AF461">
        <v>0</v>
      </c>
      <c r="AG461">
        <v>0</v>
      </c>
    </row>
    <row r="462" spans="1:33" hidden="1" x14ac:dyDescent="0.2">
      <c r="A462">
        <v>461</v>
      </c>
      <c r="B462" t="s">
        <v>214</v>
      </c>
      <c r="C462" t="s">
        <v>108</v>
      </c>
      <c r="D462">
        <v>49</v>
      </c>
      <c r="E462" t="s">
        <v>34</v>
      </c>
      <c r="F462" t="s">
        <v>53</v>
      </c>
      <c r="G462" t="s">
        <v>66</v>
      </c>
      <c r="H462">
        <v>39444</v>
      </c>
      <c r="I462">
        <v>1</v>
      </c>
      <c r="J462">
        <v>1</v>
      </c>
      <c r="K462">
        <v>0</v>
      </c>
      <c r="L462">
        <v>0</v>
      </c>
      <c r="M462" t="s">
        <v>36</v>
      </c>
      <c r="N462" t="s">
        <v>36</v>
      </c>
      <c r="O462" t="s">
        <v>36</v>
      </c>
      <c r="P462" t="s">
        <v>37</v>
      </c>
      <c r="Q462" t="s">
        <v>36</v>
      </c>
      <c r="R462" t="s">
        <v>36</v>
      </c>
      <c r="S462" t="s">
        <v>36</v>
      </c>
      <c r="T462" t="s">
        <v>36</v>
      </c>
      <c r="U462">
        <v>1</v>
      </c>
      <c r="V462">
        <v>0</v>
      </c>
      <c r="W462">
        <v>1</v>
      </c>
      <c r="X462">
        <v>1</v>
      </c>
      <c r="Y462">
        <v>0</v>
      </c>
      <c r="Z462">
        <v>1</v>
      </c>
      <c r="AA462">
        <v>0</v>
      </c>
      <c r="AB462">
        <v>1</v>
      </c>
      <c r="AC462">
        <v>0</v>
      </c>
      <c r="AD462">
        <v>1</v>
      </c>
      <c r="AE462">
        <v>1</v>
      </c>
      <c r="AF462">
        <v>0</v>
      </c>
      <c r="AG462">
        <v>0</v>
      </c>
    </row>
    <row r="463" spans="1:33" hidden="1" x14ac:dyDescent="0.2">
      <c r="A463">
        <v>462</v>
      </c>
      <c r="B463" t="s">
        <v>214</v>
      </c>
      <c r="C463" t="s">
        <v>108</v>
      </c>
      <c r="D463">
        <v>49</v>
      </c>
      <c r="E463" t="s">
        <v>34</v>
      </c>
      <c r="F463" t="s">
        <v>77</v>
      </c>
      <c r="G463" t="s">
        <v>36</v>
      </c>
      <c r="H463">
        <v>80132</v>
      </c>
      <c r="I463" t="s">
        <v>215</v>
      </c>
      <c r="J463" t="s">
        <v>216</v>
      </c>
      <c r="L463" t="s">
        <v>36</v>
      </c>
      <c r="M463" t="s">
        <v>36</v>
      </c>
      <c r="N463" t="s">
        <v>36</v>
      </c>
      <c r="O463" t="s">
        <v>36</v>
      </c>
      <c r="P463" t="s">
        <v>37</v>
      </c>
      <c r="Q463" t="s">
        <v>36</v>
      </c>
      <c r="R463" t="s">
        <v>36</v>
      </c>
      <c r="S463" t="s">
        <v>36</v>
      </c>
      <c r="T463" t="s">
        <v>36</v>
      </c>
      <c r="U463" t="s">
        <v>36</v>
      </c>
      <c r="V463" t="s">
        <v>36</v>
      </c>
      <c r="W463" t="s">
        <v>36</v>
      </c>
      <c r="X463" t="s">
        <v>36</v>
      </c>
      <c r="Y463" t="s">
        <v>36</v>
      </c>
      <c r="Z463" t="s">
        <v>36</v>
      </c>
      <c r="AA463" t="s">
        <v>36</v>
      </c>
      <c r="AB463" t="s">
        <v>36</v>
      </c>
      <c r="AC463" t="s">
        <v>36</v>
      </c>
      <c r="AD463" t="s">
        <v>36</v>
      </c>
      <c r="AE463" t="s">
        <v>36</v>
      </c>
      <c r="AF463" t="s">
        <v>36</v>
      </c>
      <c r="AG463" t="s">
        <v>36</v>
      </c>
    </row>
    <row r="464" spans="1:33" hidden="1" x14ac:dyDescent="0.2">
      <c r="A464">
        <v>463</v>
      </c>
      <c r="B464" t="s">
        <v>217</v>
      </c>
      <c r="C464" t="s">
        <v>108</v>
      </c>
      <c r="D464">
        <v>24</v>
      </c>
      <c r="E464" t="s">
        <v>114</v>
      </c>
      <c r="F464" t="s">
        <v>35</v>
      </c>
      <c r="G464" t="s">
        <v>36</v>
      </c>
      <c r="H464">
        <v>38942</v>
      </c>
      <c r="I464" t="s">
        <v>36</v>
      </c>
      <c r="J464" t="s">
        <v>36</v>
      </c>
      <c r="K464" t="s">
        <v>36</v>
      </c>
      <c r="L464" t="s">
        <v>36</v>
      </c>
      <c r="M464" t="s">
        <v>36</v>
      </c>
      <c r="N464" t="s">
        <v>36</v>
      </c>
      <c r="O464" t="s">
        <v>36</v>
      </c>
      <c r="P464" t="s">
        <v>37</v>
      </c>
      <c r="Q464" t="s">
        <v>36</v>
      </c>
      <c r="R464" t="s">
        <v>36</v>
      </c>
      <c r="S464" t="s">
        <v>36</v>
      </c>
      <c r="T464" t="s">
        <v>36</v>
      </c>
      <c r="U464" t="s">
        <v>36</v>
      </c>
      <c r="V464" t="s">
        <v>36</v>
      </c>
      <c r="W464" t="s">
        <v>36</v>
      </c>
      <c r="X464" t="s">
        <v>36</v>
      </c>
      <c r="Y464" t="s">
        <v>36</v>
      </c>
      <c r="Z464" t="s">
        <v>36</v>
      </c>
      <c r="AA464" t="s">
        <v>36</v>
      </c>
      <c r="AB464" t="s">
        <v>36</v>
      </c>
      <c r="AC464" t="s">
        <v>36</v>
      </c>
      <c r="AD464" t="s">
        <v>36</v>
      </c>
      <c r="AE464" t="s">
        <v>36</v>
      </c>
      <c r="AF464" t="s">
        <v>36</v>
      </c>
      <c r="AG464" t="s">
        <v>36</v>
      </c>
    </row>
    <row r="465" spans="1:33" hidden="1" x14ac:dyDescent="0.2">
      <c r="A465">
        <v>464</v>
      </c>
      <c r="B465" t="s">
        <v>217</v>
      </c>
      <c r="C465" t="s">
        <v>108</v>
      </c>
      <c r="D465">
        <v>24</v>
      </c>
      <c r="E465" t="s">
        <v>114</v>
      </c>
      <c r="F465" t="s">
        <v>38</v>
      </c>
      <c r="G465" t="s">
        <v>40</v>
      </c>
      <c r="H465">
        <v>25924</v>
      </c>
      <c r="I465">
        <v>0</v>
      </c>
      <c r="J465">
        <v>0</v>
      </c>
      <c r="K465">
        <v>1</v>
      </c>
      <c r="L465">
        <v>0</v>
      </c>
      <c r="M465" t="s">
        <v>36</v>
      </c>
      <c r="N465" t="s">
        <v>36</v>
      </c>
      <c r="O465" t="s">
        <v>36</v>
      </c>
      <c r="P465" t="s">
        <v>37</v>
      </c>
      <c r="Q465" t="s">
        <v>36</v>
      </c>
      <c r="R465" t="s">
        <v>36</v>
      </c>
      <c r="S465" t="s">
        <v>36</v>
      </c>
      <c r="T465" t="s">
        <v>36</v>
      </c>
      <c r="U465" t="s">
        <v>36</v>
      </c>
      <c r="V465" t="s">
        <v>36</v>
      </c>
      <c r="W465" t="s">
        <v>36</v>
      </c>
      <c r="X465" t="s">
        <v>36</v>
      </c>
      <c r="Y465" t="s">
        <v>36</v>
      </c>
      <c r="Z465" t="s">
        <v>36</v>
      </c>
      <c r="AA465" t="s">
        <v>36</v>
      </c>
      <c r="AB465" t="s">
        <v>36</v>
      </c>
      <c r="AC465" t="s">
        <v>36</v>
      </c>
      <c r="AD465" t="s">
        <v>36</v>
      </c>
      <c r="AE465" t="s">
        <v>36</v>
      </c>
      <c r="AF465" t="s">
        <v>36</v>
      </c>
      <c r="AG465" t="s">
        <v>36</v>
      </c>
    </row>
    <row r="466" spans="1:33" hidden="1" x14ac:dyDescent="0.2">
      <c r="A466">
        <v>465</v>
      </c>
      <c r="B466" t="s">
        <v>217</v>
      </c>
      <c r="C466" t="s">
        <v>108</v>
      </c>
      <c r="D466">
        <v>24</v>
      </c>
      <c r="E466" t="s">
        <v>114</v>
      </c>
      <c r="F466" t="s">
        <v>38</v>
      </c>
      <c r="G466" t="s">
        <v>39</v>
      </c>
      <c r="H466">
        <v>22380</v>
      </c>
      <c r="I466">
        <v>0</v>
      </c>
      <c r="J466">
        <v>0</v>
      </c>
      <c r="K466">
        <v>0</v>
      </c>
      <c r="L466">
        <v>1</v>
      </c>
      <c r="M466" t="s">
        <v>36</v>
      </c>
      <c r="N466" t="s">
        <v>36</v>
      </c>
      <c r="O466" t="s">
        <v>36</v>
      </c>
      <c r="P466" t="s">
        <v>37</v>
      </c>
      <c r="Q466" t="s">
        <v>36</v>
      </c>
      <c r="R466" t="s">
        <v>36</v>
      </c>
      <c r="S466" t="s">
        <v>36</v>
      </c>
      <c r="T466" t="s">
        <v>36</v>
      </c>
      <c r="U466" t="s">
        <v>36</v>
      </c>
      <c r="V466" t="s">
        <v>36</v>
      </c>
      <c r="W466" t="s">
        <v>36</v>
      </c>
      <c r="X466" t="s">
        <v>36</v>
      </c>
      <c r="Y466" t="s">
        <v>36</v>
      </c>
      <c r="Z466" t="s">
        <v>36</v>
      </c>
      <c r="AA466" t="s">
        <v>36</v>
      </c>
      <c r="AB466" t="s">
        <v>36</v>
      </c>
      <c r="AC466" t="s">
        <v>36</v>
      </c>
      <c r="AD466" t="s">
        <v>36</v>
      </c>
      <c r="AE466" t="s">
        <v>36</v>
      </c>
      <c r="AF466" t="s">
        <v>36</v>
      </c>
      <c r="AG466" t="s">
        <v>36</v>
      </c>
    </row>
    <row r="467" spans="1:33" x14ac:dyDescent="0.2">
      <c r="A467">
        <v>466</v>
      </c>
      <c r="B467" t="s">
        <v>217</v>
      </c>
      <c r="C467" t="s">
        <v>108</v>
      </c>
      <c r="D467">
        <v>24</v>
      </c>
      <c r="E467" t="s">
        <v>114</v>
      </c>
      <c r="F467" t="s">
        <v>41</v>
      </c>
      <c r="G467" t="s">
        <v>61</v>
      </c>
      <c r="H467">
        <v>29700</v>
      </c>
      <c r="I467">
        <v>1</v>
      </c>
      <c r="J467">
        <v>1</v>
      </c>
      <c r="K467">
        <v>1</v>
      </c>
      <c r="L467">
        <v>0</v>
      </c>
      <c r="M467" t="s">
        <v>87</v>
      </c>
      <c r="N467" t="s">
        <v>97</v>
      </c>
      <c r="O467" t="s">
        <v>63</v>
      </c>
      <c r="P467" t="s">
        <v>37</v>
      </c>
      <c r="Q467" t="s">
        <v>47</v>
      </c>
      <c r="R467" t="s">
        <v>59</v>
      </c>
      <c r="S467" t="s">
        <v>46</v>
      </c>
      <c r="T467">
        <v>0</v>
      </c>
      <c r="U467">
        <v>0</v>
      </c>
      <c r="V467">
        <v>0</v>
      </c>
      <c r="W467">
        <v>1</v>
      </c>
      <c r="X467">
        <v>1</v>
      </c>
      <c r="Y467">
        <v>0</v>
      </c>
      <c r="Z467">
        <v>1</v>
      </c>
      <c r="AA467">
        <v>0</v>
      </c>
      <c r="AB467">
        <v>0</v>
      </c>
      <c r="AC467">
        <v>0</v>
      </c>
      <c r="AD467">
        <v>1</v>
      </c>
      <c r="AE467">
        <v>1</v>
      </c>
      <c r="AF467">
        <v>0</v>
      </c>
      <c r="AG467">
        <v>0</v>
      </c>
    </row>
    <row r="468" spans="1:33" x14ac:dyDescent="0.2">
      <c r="A468">
        <v>467</v>
      </c>
      <c r="B468" t="s">
        <v>217</v>
      </c>
      <c r="C468" t="s">
        <v>108</v>
      </c>
      <c r="D468">
        <v>24</v>
      </c>
      <c r="E468" t="s">
        <v>114</v>
      </c>
      <c r="F468" t="s">
        <v>41</v>
      </c>
      <c r="G468" t="s">
        <v>42</v>
      </c>
      <c r="H468">
        <v>54053</v>
      </c>
      <c r="I468">
        <v>0</v>
      </c>
      <c r="J468">
        <v>0</v>
      </c>
      <c r="K468">
        <v>0</v>
      </c>
      <c r="L468">
        <v>1</v>
      </c>
      <c r="M468" t="s">
        <v>44</v>
      </c>
      <c r="N468" t="s">
        <v>45</v>
      </c>
      <c r="O468" t="s">
        <v>43</v>
      </c>
      <c r="P468" t="s">
        <v>37</v>
      </c>
      <c r="Q468" t="s">
        <v>47</v>
      </c>
      <c r="R468" t="s">
        <v>48</v>
      </c>
      <c r="S468" t="s">
        <v>46</v>
      </c>
      <c r="T468">
        <v>0</v>
      </c>
      <c r="U468">
        <v>0</v>
      </c>
      <c r="V468">
        <v>1</v>
      </c>
      <c r="W468">
        <v>1</v>
      </c>
      <c r="X468">
        <v>1</v>
      </c>
      <c r="Y468">
        <v>0</v>
      </c>
      <c r="Z468">
        <v>1</v>
      </c>
      <c r="AA468">
        <v>0</v>
      </c>
      <c r="AB468">
        <v>0</v>
      </c>
      <c r="AC468">
        <v>0</v>
      </c>
      <c r="AD468">
        <v>0</v>
      </c>
      <c r="AE468">
        <v>0</v>
      </c>
      <c r="AF468">
        <v>0</v>
      </c>
      <c r="AG468">
        <v>1</v>
      </c>
    </row>
    <row r="469" spans="1:33" hidden="1" x14ac:dyDescent="0.2">
      <c r="A469">
        <v>468</v>
      </c>
      <c r="B469" t="s">
        <v>217</v>
      </c>
      <c r="C469" t="s">
        <v>108</v>
      </c>
      <c r="D469">
        <v>24</v>
      </c>
      <c r="E469" t="s">
        <v>114</v>
      </c>
      <c r="F469" t="s">
        <v>53</v>
      </c>
      <c r="G469" t="s">
        <v>54</v>
      </c>
      <c r="H469">
        <v>23699</v>
      </c>
      <c r="I469">
        <v>0</v>
      </c>
      <c r="J469">
        <v>0</v>
      </c>
      <c r="K469">
        <v>1</v>
      </c>
      <c r="L469">
        <v>0</v>
      </c>
      <c r="M469" t="s">
        <v>36</v>
      </c>
      <c r="N469" t="s">
        <v>36</v>
      </c>
      <c r="O469" t="s">
        <v>36</v>
      </c>
      <c r="P469" t="s">
        <v>37</v>
      </c>
      <c r="Q469" t="s">
        <v>36</v>
      </c>
      <c r="R469" t="s">
        <v>36</v>
      </c>
      <c r="S469" t="s">
        <v>36</v>
      </c>
      <c r="T469" t="s">
        <v>36</v>
      </c>
      <c r="U469">
        <v>0</v>
      </c>
      <c r="V469">
        <v>1</v>
      </c>
      <c r="W469">
        <v>1</v>
      </c>
      <c r="X469">
        <v>1</v>
      </c>
      <c r="Y469">
        <v>0</v>
      </c>
      <c r="Z469">
        <v>1</v>
      </c>
      <c r="AA469">
        <v>0</v>
      </c>
      <c r="AB469">
        <v>0</v>
      </c>
      <c r="AC469">
        <v>0</v>
      </c>
      <c r="AD469">
        <v>0</v>
      </c>
      <c r="AE469">
        <v>0</v>
      </c>
      <c r="AF469">
        <v>0</v>
      </c>
      <c r="AG469">
        <v>1</v>
      </c>
    </row>
    <row r="470" spans="1:33" x14ac:dyDescent="0.2">
      <c r="A470">
        <v>469</v>
      </c>
      <c r="B470" t="s">
        <v>217</v>
      </c>
      <c r="C470" t="s">
        <v>108</v>
      </c>
      <c r="D470">
        <v>24</v>
      </c>
      <c r="E470" t="s">
        <v>114</v>
      </c>
      <c r="F470" t="s">
        <v>41</v>
      </c>
      <c r="G470" t="s">
        <v>55</v>
      </c>
      <c r="H470">
        <v>23361</v>
      </c>
      <c r="I470">
        <v>0</v>
      </c>
      <c r="J470">
        <v>0</v>
      </c>
      <c r="K470">
        <v>0</v>
      </c>
      <c r="L470">
        <v>1</v>
      </c>
      <c r="M470" t="s">
        <v>85</v>
      </c>
      <c r="N470" t="s">
        <v>56</v>
      </c>
      <c r="O470" t="s">
        <v>57</v>
      </c>
      <c r="P470" t="s">
        <v>37</v>
      </c>
      <c r="Q470" t="s">
        <v>65</v>
      </c>
      <c r="R470" t="s">
        <v>59</v>
      </c>
      <c r="S470" t="s">
        <v>48</v>
      </c>
      <c r="T470">
        <v>0</v>
      </c>
      <c r="U470">
        <v>1</v>
      </c>
      <c r="V470">
        <v>1</v>
      </c>
      <c r="W470">
        <v>0</v>
      </c>
      <c r="X470">
        <v>0</v>
      </c>
      <c r="Y470">
        <v>0</v>
      </c>
      <c r="Z470">
        <v>1</v>
      </c>
      <c r="AA470">
        <v>0</v>
      </c>
      <c r="AB470">
        <v>0</v>
      </c>
      <c r="AC470">
        <v>0</v>
      </c>
      <c r="AD470">
        <v>0</v>
      </c>
      <c r="AE470">
        <v>0</v>
      </c>
      <c r="AF470">
        <v>0</v>
      </c>
      <c r="AG470">
        <v>1</v>
      </c>
    </row>
    <row r="471" spans="1:33" hidden="1" x14ac:dyDescent="0.2">
      <c r="A471">
        <v>470</v>
      </c>
      <c r="B471" t="s">
        <v>217</v>
      </c>
      <c r="C471" t="s">
        <v>108</v>
      </c>
      <c r="D471">
        <v>24</v>
      </c>
      <c r="E471" t="s">
        <v>114</v>
      </c>
      <c r="F471" t="s">
        <v>53</v>
      </c>
      <c r="G471" t="s">
        <v>71</v>
      </c>
      <c r="H471">
        <v>28262</v>
      </c>
      <c r="I471">
        <v>0</v>
      </c>
      <c r="J471">
        <v>0</v>
      </c>
      <c r="K471">
        <v>1</v>
      </c>
      <c r="L471">
        <v>0</v>
      </c>
      <c r="M471" t="s">
        <v>36</v>
      </c>
      <c r="N471" t="s">
        <v>36</v>
      </c>
      <c r="O471" t="s">
        <v>36</v>
      </c>
      <c r="P471" t="s">
        <v>37</v>
      </c>
      <c r="Q471" t="s">
        <v>36</v>
      </c>
      <c r="R471" t="s">
        <v>36</v>
      </c>
      <c r="S471" t="s">
        <v>36</v>
      </c>
      <c r="T471" t="s">
        <v>36</v>
      </c>
      <c r="U471">
        <v>1</v>
      </c>
      <c r="V471">
        <v>1</v>
      </c>
      <c r="W471">
        <v>0</v>
      </c>
      <c r="X471">
        <v>0</v>
      </c>
      <c r="Y471">
        <v>0</v>
      </c>
      <c r="Z471">
        <v>1</v>
      </c>
      <c r="AA471">
        <v>0</v>
      </c>
      <c r="AB471">
        <v>0</v>
      </c>
      <c r="AC471">
        <v>0</v>
      </c>
      <c r="AD471">
        <v>0</v>
      </c>
      <c r="AE471">
        <v>0</v>
      </c>
      <c r="AF471">
        <v>0</v>
      </c>
      <c r="AG471">
        <v>1</v>
      </c>
    </row>
    <row r="472" spans="1:33" x14ac:dyDescent="0.2">
      <c r="A472">
        <v>471</v>
      </c>
      <c r="B472" t="s">
        <v>217</v>
      </c>
      <c r="C472" t="s">
        <v>108</v>
      </c>
      <c r="D472">
        <v>24</v>
      </c>
      <c r="E472" t="s">
        <v>114</v>
      </c>
      <c r="F472" t="s">
        <v>41</v>
      </c>
      <c r="G472" t="s">
        <v>67</v>
      </c>
      <c r="H472">
        <v>34543</v>
      </c>
      <c r="I472">
        <v>0</v>
      </c>
      <c r="J472">
        <v>0</v>
      </c>
      <c r="K472">
        <v>0</v>
      </c>
      <c r="L472">
        <v>1</v>
      </c>
      <c r="M472" t="s">
        <v>109</v>
      </c>
      <c r="N472" t="s">
        <v>69</v>
      </c>
      <c r="O472" t="s">
        <v>68</v>
      </c>
      <c r="P472" t="s">
        <v>37</v>
      </c>
      <c r="Q472" t="s">
        <v>59</v>
      </c>
      <c r="R472" t="s">
        <v>48</v>
      </c>
      <c r="S472" t="s">
        <v>65</v>
      </c>
      <c r="T472">
        <v>0</v>
      </c>
      <c r="U472">
        <v>1</v>
      </c>
      <c r="V472">
        <v>1</v>
      </c>
      <c r="W472">
        <v>0</v>
      </c>
      <c r="X472">
        <v>0</v>
      </c>
      <c r="Y472">
        <v>0</v>
      </c>
      <c r="Z472">
        <v>1</v>
      </c>
      <c r="AA472">
        <v>0</v>
      </c>
      <c r="AB472">
        <v>0</v>
      </c>
      <c r="AC472">
        <v>0</v>
      </c>
      <c r="AD472">
        <v>0</v>
      </c>
      <c r="AE472">
        <v>0</v>
      </c>
      <c r="AF472">
        <v>0</v>
      </c>
      <c r="AG472">
        <v>1</v>
      </c>
    </row>
    <row r="473" spans="1:33" x14ac:dyDescent="0.2">
      <c r="A473">
        <v>472</v>
      </c>
      <c r="B473" t="s">
        <v>217</v>
      </c>
      <c r="C473" t="s">
        <v>108</v>
      </c>
      <c r="D473">
        <v>24</v>
      </c>
      <c r="E473" t="s">
        <v>114</v>
      </c>
      <c r="F473" t="s">
        <v>41</v>
      </c>
      <c r="G473" t="s">
        <v>72</v>
      </c>
      <c r="H473">
        <v>17827</v>
      </c>
      <c r="I473">
        <v>0</v>
      </c>
      <c r="J473">
        <v>0</v>
      </c>
      <c r="K473">
        <v>0</v>
      </c>
      <c r="L473">
        <v>1</v>
      </c>
      <c r="M473" t="s">
        <v>75</v>
      </c>
      <c r="N473" t="s">
        <v>104</v>
      </c>
      <c r="O473" t="s">
        <v>115</v>
      </c>
      <c r="P473" t="s">
        <v>37</v>
      </c>
      <c r="Q473" t="s">
        <v>46</v>
      </c>
      <c r="R473" t="s">
        <v>60</v>
      </c>
      <c r="S473" t="s">
        <v>65</v>
      </c>
      <c r="T473">
        <v>1</v>
      </c>
      <c r="U473">
        <v>1</v>
      </c>
      <c r="V473">
        <v>0</v>
      </c>
      <c r="W473">
        <v>0</v>
      </c>
      <c r="X473">
        <v>1</v>
      </c>
      <c r="Y473">
        <v>0</v>
      </c>
      <c r="Z473">
        <v>1</v>
      </c>
      <c r="AA473">
        <v>0</v>
      </c>
      <c r="AB473">
        <v>0</v>
      </c>
      <c r="AC473">
        <v>0</v>
      </c>
      <c r="AD473">
        <v>0</v>
      </c>
      <c r="AE473">
        <v>0</v>
      </c>
      <c r="AF473">
        <v>0</v>
      </c>
      <c r="AG473">
        <v>1</v>
      </c>
    </row>
    <row r="474" spans="1:33" hidden="1" x14ac:dyDescent="0.2">
      <c r="A474">
        <v>473</v>
      </c>
      <c r="B474" t="s">
        <v>217</v>
      </c>
      <c r="C474" t="s">
        <v>108</v>
      </c>
      <c r="D474">
        <v>24</v>
      </c>
      <c r="E474" t="s">
        <v>114</v>
      </c>
      <c r="F474" t="s">
        <v>53</v>
      </c>
      <c r="G474" t="s">
        <v>66</v>
      </c>
      <c r="H474">
        <v>40953</v>
      </c>
      <c r="I474">
        <v>1</v>
      </c>
      <c r="J474">
        <v>0</v>
      </c>
      <c r="K474">
        <v>0</v>
      </c>
      <c r="L474">
        <v>0</v>
      </c>
      <c r="M474" t="s">
        <v>36</v>
      </c>
      <c r="N474" t="s">
        <v>36</v>
      </c>
      <c r="O474" t="s">
        <v>36</v>
      </c>
      <c r="P474" t="s">
        <v>37</v>
      </c>
      <c r="Q474" t="s">
        <v>36</v>
      </c>
      <c r="R474" t="s">
        <v>36</v>
      </c>
      <c r="S474" t="s">
        <v>36</v>
      </c>
      <c r="T474" t="s">
        <v>36</v>
      </c>
      <c r="U474">
        <v>1</v>
      </c>
      <c r="V474">
        <v>0</v>
      </c>
      <c r="W474">
        <v>0</v>
      </c>
      <c r="X474">
        <v>1</v>
      </c>
      <c r="Y474">
        <v>0</v>
      </c>
      <c r="Z474">
        <v>1</v>
      </c>
      <c r="AA474">
        <v>0</v>
      </c>
      <c r="AB474">
        <v>0</v>
      </c>
      <c r="AC474">
        <v>0</v>
      </c>
      <c r="AD474">
        <v>0</v>
      </c>
      <c r="AE474">
        <v>0</v>
      </c>
      <c r="AF474">
        <v>0</v>
      </c>
      <c r="AG474">
        <v>1</v>
      </c>
    </row>
    <row r="475" spans="1:33" x14ac:dyDescent="0.2">
      <c r="A475">
        <v>474</v>
      </c>
      <c r="B475" t="s">
        <v>217</v>
      </c>
      <c r="C475" t="s">
        <v>108</v>
      </c>
      <c r="D475">
        <v>24</v>
      </c>
      <c r="E475" t="s">
        <v>114</v>
      </c>
      <c r="F475" t="s">
        <v>41</v>
      </c>
      <c r="G475" t="s">
        <v>49</v>
      </c>
      <c r="H475">
        <v>30967</v>
      </c>
      <c r="I475">
        <v>0</v>
      </c>
      <c r="J475">
        <v>0</v>
      </c>
      <c r="K475">
        <v>0</v>
      </c>
      <c r="L475">
        <v>1</v>
      </c>
      <c r="M475" t="s">
        <v>52</v>
      </c>
      <c r="N475" t="s">
        <v>50</v>
      </c>
      <c r="O475" t="s">
        <v>96</v>
      </c>
      <c r="P475" t="s">
        <v>37</v>
      </c>
      <c r="Q475" t="s">
        <v>46</v>
      </c>
      <c r="R475" t="s">
        <v>48</v>
      </c>
      <c r="S475" t="s">
        <v>65</v>
      </c>
      <c r="T475">
        <v>0</v>
      </c>
      <c r="U475">
        <v>1</v>
      </c>
      <c r="V475">
        <v>1</v>
      </c>
      <c r="W475">
        <v>0</v>
      </c>
      <c r="X475">
        <v>1</v>
      </c>
      <c r="Y475">
        <v>0</v>
      </c>
      <c r="Z475">
        <v>1</v>
      </c>
      <c r="AA475">
        <v>0</v>
      </c>
      <c r="AB475">
        <v>0</v>
      </c>
      <c r="AC475">
        <v>0</v>
      </c>
      <c r="AD475">
        <v>0</v>
      </c>
      <c r="AE475">
        <v>0</v>
      </c>
      <c r="AF475">
        <v>0</v>
      </c>
      <c r="AG475">
        <v>1</v>
      </c>
    </row>
    <row r="476" spans="1:33" hidden="1" x14ac:dyDescent="0.2">
      <c r="A476">
        <v>475</v>
      </c>
      <c r="B476" t="s">
        <v>217</v>
      </c>
      <c r="C476" t="s">
        <v>108</v>
      </c>
      <c r="D476">
        <v>24</v>
      </c>
      <c r="E476" t="s">
        <v>114</v>
      </c>
      <c r="F476" t="s">
        <v>53</v>
      </c>
      <c r="G476" t="s">
        <v>76</v>
      </c>
      <c r="H476">
        <v>22875</v>
      </c>
      <c r="I476">
        <v>1</v>
      </c>
      <c r="J476">
        <v>0</v>
      </c>
      <c r="K476">
        <v>0</v>
      </c>
      <c r="L476">
        <v>0</v>
      </c>
      <c r="M476" t="s">
        <v>36</v>
      </c>
      <c r="N476" t="s">
        <v>36</v>
      </c>
      <c r="O476" t="s">
        <v>36</v>
      </c>
      <c r="P476" t="s">
        <v>37</v>
      </c>
      <c r="Q476" t="s">
        <v>36</v>
      </c>
      <c r="R476" t="s">
        <v>36</v>
      </c>
      <c r="S476" t="s">
        <v>36</v>
      </c>
      <c r="T476" t="s">
        <v>36</v>
      </c>
      <c r="U476">
        <v>1</v>
      </c>
      <c r="V476">
        <v>1</v>
      </c>
      <c r="W476">
        <v>0</v>
      </c>
      <c r="X476">
        <v>1</v>
      </c>
      <c r="Y476">
        <v>0</v>
      </c>
      <c r="Z476">
        <v>1</v>
      </c>
      <c r="AA476">
        <v>0</v>
      </c>
      <c r="AB476">
        <v>0</v>
      </c>
      <c r="AC476">
        <v>0</v>
      </c>
      <c r="AD476">
        <v>0</v>
      </c>
      <c r="AE476">
        <v>0</v>
      </c>
      <c r="AF476">
        <v>0</v>
      </c>
      <c r="AG476">
        <v>1</v>
      </c>
    </row>
    <row r="477" spans="1:33" hidden="1" x14ac:dyDescent="0.2">
      <c r="A477">
        <v>476</v>
      </c>
      <c r="B477" t="s">
        <v>217</v>
      </c>
      <c r="C477" t="s">
        <v>108</v>
      </c>
      <c r="D477">
        <v>24</v>
      </c>
      <c r="E477" t="s">
        <v>114</v>
      </c>
      <c r="F477" t="s">
        <v>77</v>
      </c>
      <c r="G477" t="s">
        <v>36</v>
      </c>
      <c r="H477">
        <v>64794</v>
      </c>
      <c r="I477" t="s">
        <v>218</v>
      </c>
      <c r="J477" t="s">
        <v>219</v>
      </c>
      <c r="K477" t="s">
        <v>166</v>
      </c>
      <c r="L477" t="s">
        <v>36</v>
      </c>
      <c r="M477" t="s">
        <v>36</v>
      </c>
      <c r="N477" t="s">
        <v>36</v>
      </c>
      <c r="O477" t="s">
        <v>36</v>
      </c>
      <c r="P477" t="s">
        <v>37</v>
      </c>
      <c r="Q477" t="s">
        <v>36</v>
      </c>
      <c r="R477" t="s">
        <v>36</v>
      </c>
      <c r="S477" t="s">
        <v>36</v>
      </c>
      <c r="T477" t="s">
        <v>36</v>
      </c>
      <c r="U477" t="s">
        <v>36</v>
      </c>
      <c r="V477" t="s">
        <v>36</v>
      </c>
      <c r="W477" t="s">
        <v>36</v>
      </c>
      <c r="X477" t="s">
        <v>36</v>
      </c>
      <c r="Y477" t="s">
        <v>36</v>
      </c>
      <c r="Z477" t="s">
        <v>36</v>
      </c>
      <c r="AA477" t="s">
        <v>36</v>
      </c>
      <c r="AB477" t="s">
        <v>36</v>
      </c>
      <c r="AC477" t="s">
        <v>36</v>
      </c>
      <c r="AD477" t="s">
        <v>36</v>
      </c>
      <c r="AE477" t="s">
        <v>36</v>
      </c>
      <c r="AF477" t="s">
        <v>36</v>
      </c>
      <c r="AG477" t="s">
        <v>36</v>
      </c>
    </row>
    <row r="478" spans="1:33" hidden="1" x14ac:dyDescent="0.2">
      <c r="A478">
        <v>477</v>
      </c>
      <c r="B478" t="s">
        <v>220</v>
      </c>
      <c r="C478" t="s">
        <v>33</v>
      </c>
      <c r="D478">
        <v>32</v>
      </c>
      <c r="E478" t="s">
        <v>114</v>
      </c>
      <c r="F478" t="s">
        <v>35</v>
      </c>
      <c r="G478" t="s">
        <v>36</v>
      </c>
      <c r="H478">
        <v>28873</v>
      </c>
      <c r="I478" t="s">
        <v>36</v>
      </c>
      <c r="J478" t="s">
        <v>36</v>
      </c>
      <c r="K478" t="s">
        <v>36</v>
      </c>
      <c r="L478" t="s">
        <v>36</v>
      </c>
      <c r="M478" t="s">
        <v>36</v>
      </c>
      <c r="N478" t="s">
        <v>36</v>
      </c>
      <c r="O478" t="s">
        <v>36</v>
      </c>
      <c r="P478" t="s">
        <v>37</v>
      </c>
      <c r="Q478" t="s">
        <v>36</v>
      </c>
      <c r="R478" t="s">
        <v>36</v>
      </c>
      <c r="S478" t="s">
        <v>36</v>
      </c>
      <c r="T478" t="s">
        <v>36</v>
      </c>
      <c r="U478" t="s">
        <v>36</v>
      </c>
      <c r="V478" t="s">
        <v>36</v>
      </c>
      <c r="W478" t="s">
        <v>36</v>
      </c>
      <c r="X478" t="s">
        <v>36</v>
      </c>
      <c r="Y478" t="s">
        <v>36</v>
      </c>
      <c r="Z478" t="s">
        <v>36</v>
      </c>
      <c r="AA478" t="s">
        <v>36</v>
      </c>
      <c r="AB478" t="s">
        <v>36</v>
      </c>
      <c r="AC478" t="s">
        <v>36</v>
      </c>
      <c r="AD478" t="s">
        <v>36</v>
      </c>
      <c r="AE478" t="s">
        <v>36</v>
      </c>
      <c r="AF478" t="s">
        <v>36</v>
      </c>
      <c r="AG478" t="s">
        <v>36</v>
      </c>
    </row>
    <row r="479" spans="1:33" hidden="1" x14ac:dyDescent="0.2">
      <c r="A479">
        <v>478</v>
      </c>
      <c r="B479" t="s">
        <v>220</v>
      </c>
      <c r="C479" t="s">
        <v>33</v>
      </c>
      <c r="D479">
        <v>32</v>
      </c>
      <c r="E479" t="s">
        <v>114</v>
      </c>
      <c r="F479" t="s">
        <v>38</v>
      </c>
      <c r="G479" t="s">
        <v>39</v>
      </c>
      <c r="H479">
        <v>41879</v>
      </c>
      <c r="I479">
        <v>0</v>
      </c>
      <c r="J479">
        <v>0</v>
      </c>
      <c r="K479">
        <v>0</v>
      </c>
      <c r="L479">
        <v>1</v>
      </c>
      <c r="M479" t="s">
        <v>36</v>
      </c>
      <c r="N479" t="s">
        <v>36</v>
      </c>
      <c r="O479" t="s">
        <v>36</v>
      </c>
      <c r="P479" t="s">
        <v>37</v>
      </c>
      <c r="Q479" t="s">
        <v>36</v>
      </c>
      <c r="R479" t="s">
        <v>36</v>
      </c>
      <c r="S479" t="s">
        <v>36</v>
      </c>
      <c r="T479" t="s">
        <v>36</v>
      </c>
      <c r="U479" t="s">
        <v>36</v>
      </c>
      <c r="V479" t="s">
        <v>36</v>
      </c>
      <c r="W479" t="s">
        <v>36</v>
      </c>
      <c r="X479" t="s">
        <v>36</v>
      </c>
      <c r="Y479" t="s">
        <v>36</v>
      </c>
      <c r="Z479" t="s">
        <v>36</v>
      </c>
      <c r="AA479" t="s">
        <v>36</v>
      </c>
      <c r="AB479" t="s">
        <v>36</v>
      </c>
      <c r="AC479" t="s">
        <v>36</v>
      </c>
      <c r="AD479" t="s">
        <v>36</v>
      </c>
      <c r="AE479" t="s">
        <v>36</v>
      </c>
      <c r="AF479" t="s">
        <v>36</v>
      </c>
      <c r="AG479" t="s">
        <v>36</v>
      </c>
    </row>
    <row r="480" spans="1:33" hidden="1" x14ac:dyDescent="0.2">
      <c r="A480">
        <v>479</v>
      </c>
      <c r="B480" t="s">
        <v>220</v>
      </c>
      <c r="C480" t="s">
        <v>33</v>
      </c>
      <c r="D480">
        <v>32</v>
      </c>
      <c r="E480" t="s">
        <v>114</v>
      </c>
      <c r="F480" t="s">
        <v>38</v>
      </c>
      <c r="G480" t="s">
        <v>40</v>
      </c>
      <c r="H480">
        <v>39621</v>
      </c>
      <c r="I480">
        <v>0</v>
      </c>
      <c r="J480">
        <v>0</v>
      </c>
      <c r="K480">
        <v>1</v>
      </c>
      <c r="L480">
        <v>0</v>
      </c>
      <c r="M480" t="s">
        <v>36</v>
      </c>
      <c r="N480" t="s">
        <v>36</v>
      </c>
      <c r="O480" t="s">
        <v>36</v>
      </c>
      <c r="P480" t="s">
        <v>37</v>
      </c>
      <c r="Q480" t="s">
        <v>36</v>
      </c>
      <c r="R480" t="s">
        <v>36</v>
      </c>
      <c r="S480" t="s">
        <v>36</v>
      </c>
      <c r="T480" t="s">
        <v>36</v>
      </c>
      <c r="U480" t="s">
        <v>36</v>
      </c>
      <c r="V480" t="s">
        <v>36</v>
      </c>
      <c r="W480" t="s">
        <v>36</v>
      </c>
      <c r="X480" t="s">
        <v>36</v>
      </c>
      <c r="Y480" t="s">
        <v>36</v>
      </c>
      <c r="Z480" t="s">
        <v>36</v>
      </c>
      <c r="AA480" t="s">
        <v>36</v>
      </c>
      <c r="AB480" t="s">
        <v>36</v>
      </c>
      <c r="AC480" t="s">
        <v>36</v>
      </c>
      <c r="AD480" t="s">
        <v>36</v>
      </c>
      <c r="AE480" t="s">
        <v>36</v>
      </c>
      <c r="AF480" t="s">
        <v>36</v>
      </c>
      <c r="AG480" t="s">
        <v>36</v>
      </c>
    </row>
    <row r="481" spans="1:33" x14ac:dyDescent="0.2">
      <c r="A481">
        <v>480</v>
      </c>
      <c r="B481" t="s">
        <v>220</v>
      </c>
      <c r="C481" t="s">
        <v>33</v>
      </c>
      <c r="D481">
        <v>32</v>
      </c>
      <c r="E481" t="s">
        <v>114</v>
      </c>
      <c r="F481" t="s">
        <v>41</v>
      </c>
      <c r="G481" t="s">
        <v>42</v>
      </c>
      <c r="H481">
        <v>40749</v>
      </c>
      <c r="I481">
        <v>1</v>
      </c>
      <c r="J481">
        <v>0</v>
      </c>
      <c r="K481">
        <v>0</v>
      </c>
      <c r="L481">
        <v>0</v>
      </c>
      <c r="M481" t="s">
        <v>82</v>
      </c>
      <c r="N481" t="s">
        <v>102</v>
      </c>
      <c r="O481" t="s">
        <v>45</v>
      </c>
      <c r="P481" t="s">
        <v>37</v>
      </c>
      <c r="Q481" t="s">
        <v>65</v>
      </c>
      <c r="R481" t="s">
        <v>59</v>
      </c>
      <c r="S481" t="s">
        <v>48</v>
      </c>
      <c r="T481">
        <v>0</v>
      </c>
      <c r="U481">
        <v>1</v>
      </c>
      <c r="V481">
        <v>1</v>
      </c>
      <c r="W481">
        <v>0</v>
      </c>
      <c r="X481">
        <v>0</v>
      </c>
      <c r="Y481">
        <v>0</v>
      </c>
      <c r="Z481">
        <v>1</v>
      </c>
      <c r="AA481">
        <v>0</v>
      </c>
      <c r="AB481">
        <v>1</v>
      </c>
      <c r="AC481">
        <v>0</v>
      </c>
      <c r="AD481">
        <v>0</v>
      </c>
      <c r="AE481">
        <v>0</v>
      </c>
      <c r="AF481">
        <v>0</v>
      </c>
      <c r="AG481">
        <v>0</v>
      </c>
    </row>
    <row r="482" spans="1:33" hidden="1" x14ac:dyDescent="0.2">
      <c r="A482">
        <v>481</v>
      </c>
      <c r="B482" t="s">
        <v>220</v>
      </c>
      <c r="C482" t="s">
        <v>33</v>
      </c>
      <c r="D482">
        <v>32</v>
      </c>
      <c r="E482" t="s">
        <v>114</v>
      </c>
      <c r="F482" t="s">
        <v>53</v>
      </c>
      <c r="G482" t="s">
        <v>71</v>
      </c>
      <c r="H482">
        <v>44535</v>
      </c>
      <c r="I482">
        <v>0</v>
      </c>
      <c r="J482">
        <v>0</v>
      </c>
      <c r="K482">
        <v>1</v>
      </c>
      <c r="L482">
        <v>0</v>
      </c>
      <c r="M482" t="s">
        <v>36</v>
      </c>
      <c r="N482" t="s">
        <v>36</v>
      </c>
      <c r="O482" t="s">
        <v>36</v>
      </c>
      <c r="P482" t="s">
        <v>37</v>
      </c>
      <c r="Q482" t="s">
        <v>36</v>
      </c>
      <c r="R482" t="s">
        <v>36</v>
      </c>
      <c r="S482" t="s">
        <v>36</v>
      </c>
      <c r="T482" t="s">
        <v>36</v>
      </c>
      <c r="U482">
        <v>1</v>
      </c>
      <c r="V482">
        <v>1</v>
      </c>
      <c r="W482">
        <v>0</v>
      </c>
      <c r="X482">
        <v>0</v>
      </c>
      <c r="Y482">
        <v>0</v>
      </c>
      <c r="Z482">
        <v>1</v>
      </c>
      <c r="AA482">
        <v>0</v>
      </c>
      <c r="AB482">
        <v>1</v>
      </c>
      <c r="AC482">
        <v>0</v>
      </c>
      <c r="AD482">
        <v>0</v>
      </c>
      <c r="AE482">
        <v>0</v>
      </c>
      <c r="AF482">
        <v>0</v>
      </c>
      <c r="AG482">
        <v>0</v>
      </c>
    </row>
    <row r="483" spans="1:33" x14ac:dyDescent="0.2">
      <c r="A483">
        <v>482</v>
      </c>
      <c r="B483" t="s">
        <v>220</v>
      </c>
      <c r="C483" t="s">
        <v>33</v>
      </c>
      <c r="D483">
        <v>32</v>
      </c>
      <c r="E483" t="s">
        <v>114</v>
      </c>
      <c r="F483" t="s">
        <v>41</v>
      </c>
      <c r="G483" t="s">
        <v>55</v>
      </c>
      <c r="H483">
        <v>32854</v>
      </c>
      <c r="I483">
        <v>1</v>
      </c>
      <c r="J483">
        <v>0</v>
      </c>
      <c r="K483">
        <v>1</v>
      </c>
      <c r="L483">
        <v>0</v>
      </c>
      <c r="M483" t="s">
        <v>85</v>
      </c>
      <c r="N483" t="s">
        <v>84</v>
      </c>
      <c r="O483" t="s">
        <v>94</v>
      </c>
      <c r="P483" t="s">
        <v>37</v>
      </c>
      <c r="Q483" t="s">
        <v>65</v>
      </c>
      <c r="R483" t="s">
        <v>46</v>
      </c>
      <c r="S483" t="s">
        <v>47</v>
      </c>
      <c r="T483">
        <v>0</v>
      </c>
      <c r="U483">
        <v>1</v>
      </c>
      <c r="V483">
        <v>0</v>
      </c>
      <c r="W483">
        <v>1</v>
      </c>
      <c r="X483">
        <v>1</v>
      </c>
      <c r="Y483">
        <v>0</v>
      </c>
      <c r="Z483">
        <v>1</v>
      </c>
      <c r="AA483">
        <v>0</v>
      </c>
      <c r="AB483">
        <v>1</v>
      </c>
      <c r="AC483">
        <v>0</v>
      </c>
      <c r="AD483">
        <v>1</v>
      </c>
      <c r="AE483">
        <v>0</v>
      </c>
      <c r="AF483">
        <v>0</v>
      </c>
      <c r="AG483">
        <v>0</v>
      </c>
    </row>
    <row r="484" spans="1:33" x14ac:dyDescent="0.2">
      <c r="A484">
        <v>483</v>
      </c>
      <c r="B484" t="s">
        <v>220</v>
      </c>
      <c r="C484" t="s">
        <v>33</v>
      </c>
      <c r="D484">
        <v>32</v>
      </c>
      <c r="E484" t="s">
        <v>114</v>
      </c>
      <c r="F484" t="s">
        <v>41</v>
      </c>
      <c r="G484" t="s">
        <v>72</v>
      </c>
      <c r="H484">
        <v>24885</v>
      </c>
      <c r="I484">
        <v>0</v>
      </c>
      <c r="J484">
        <v>0</v>
      </c>
      <c r="K484">
        <v>0</v>
      </c>
      <c r="L484">
        <v>1</v>
      </c>
      <c r="M484" t="s">
        <v>75</v>
      </c>
      <c r="N484" t="s">
        <v>73</v>
      </c>
      <c r="O484" t="s">
        <v>93</v>
      </c>
      <c r="P484" t="s">
        <v>37</v>
      </c>
      <c r="Q484" t="s">
        <v>46</v>
      </c>
      <c r="R484" t="s">
        <v>48</v>
      </c>
      <c r="S484" t="s">
        <v>59</v>
      </c>
      <c r="T484">
        <v>0</v>
      </c>
      <c r="U484">
        <v>0</v>
      </c>
      <c r="V484">
        <v>1</v>
      </c>
      <c r="W484">
        <v>0</v>
      </c>
      <c r="X484">
        <v>1</v>
      </c>
      <c r="Y484">
        <v>0</v>
      </c>
      <c r="Z484">
        <v>1</v>
      </c>
      <c r="AA484">
        <v>0</v>
      </c>
      <c r="AB484">
        <v>0</v>
      </c>
      <c r="AC484">
        <v>0</v>
      </c>
      <c r="AD484">
        <v>0</v>
      </c>
      <c r="AE484">
        <v>0</v>
      </c>
      <c r="AF484">
        <v>0</v>
      </c>
      <c r="AG484">
        <v>1</v>
      </c>
    </row>
    <row r="485" spans="1:33" hidden="1" x14ac:dyDescent="0.2">
      <c r="A485">
        <v>484</v>
      </c>
      <c r="B485" t="s">
        <v>220</v>
      </c>
      <c r="C485" t="s">
        <v>33</v>
      </c>
      <c r="D485">
        <v>32</v>
      </c>
      <c r="E485" t="s">
        <v>114</v>
      </c>
      <c r="F485" t="s">
        <v>53</v>
      </c>
      <c r="G485" t="s">
        <v>76</v>
      </c>
      <c r="H485">
        <v>22406</v>
      </c>
      <c r="I485">
        <v>1</v>
      </c>
      <c r="J485">
        <v>0</v>
      </c>
      <c r="K485">
        <v>0</v>
      </c>
      <c r="L485">
        <v>0</v>
      </c>
      <c r="M485" t="s">
        <v>36</v>
      </c>
      <c r="N485" t="s">
        <v>36</v>
      </c>
      <c r="O485" t="s">
        <v>36</v>
      </c>
      <c r="P485" t="s">
        <v>37</v>
      </c>
      <c r="Q485" t="s">
        <v>36</v>
      </c>
      <c r="R485" t="s">
        <v>36</v>
      </c>
      <c r="S485" t="s">
        <v>36</v>
      </c>
      <c r="T485" t="s">
        <v>36</v>
      </c>
      <c r="U485">
        <v>0</v>
      </c>
      <c r="V485">
        <v>1</v>
      </c>
      <c r="W485">
        <v>0</v>
      </c>
      <c r="X485">
        <v>1</v>
      </c>
      <c r="Y485">
        <v>0</v>
      </c>
      <c r="Z485">
        <v>1</v>
      </c>
      <c r="AA485">
        <v>0</v>
      </c>
      <c r="AB485">
        <v>0</v>
      </c>
      <c r="AC485">
        <v>0</v>
      </c>
      <c r="AD485">
        <v>0</v>
      </c>
      <c r="AE485">
        <v>0</v>
      </c>
      <c r="AF485">
        <v>0</v>
      </c>
      <c r="AG485">
        <v>1</v>
      </c>
    </row>
    <row r="486" spans="1:33" x14ac:dyDescent="0.2">
      <c r="A486">
        <v>485</v>
      </c>
      <c r="B486" t="s">
        <v>220</v>
      </c>
      <c r="C486" t="s">
        <v>33</v>
      </c>
      <c r="D486">
        <v>32</v>
      </c>
      <c r="E486" t="s">
        <v>114</v>
      </c>
      <c r="F486" t="s">
        <v>41</v>
      </c>
      <c r="G486" t="s">
        <v>49</v>
      </c>
      <c r="H486">
        <v>24158</v>
      </c>
      <c r="I486">
        <v>1</v>
      </c>
      <c r="J486">
        <v>0</v>
      </c>
      <c r="K486">
        <v>0</v>
      </c>
      <c r="L486">
        <v>0</v>
      </c>
      <c r="M486" t="s">
        <v>51</v>
      </c>
      <c r="N486" t="s">
        <v>50</v>
      </c>
      <c r="O486" t="s">
        <v>52</v>
      </c>
      <c r="P486" t="s">
        <v>37</v>
      </c>
      <c r="Q486" t="s">
        <v>47</v>
      </c>
      <c r="R486" t="s">
        <v>48</v>
      </c>
      <c r="S486" t="s">
        <v>46</v>
      </c>
      <c r="T486">
        <v>0</v>
      </c>
      <c r="U486">
        <v>0</v>
      </c>
      <c r="V486">
        <v>1</v>
      </c>
      <c r="W486">
        <v>1</v>
      </c>
      <c r="X486">
        <v>1</v>
      </c>
      <c r="Y486">
        <v>0</v>
      </c>
      <c r="Z486">
        <v>1</v>
      </c>
      <c r="AA486">
        <v>0</v>
      </c>
      <c r="AB486">
        <v>0</v>
      </c>
      <c r="AC486">
        <v>0</v>
      </c>
      <c r="AD486">
        <v>1</v>
      </c>
      <c r="AE486">
        <v>0</v>
      </c>
      <c r="AF486">
        <v>0</v>
      </c>
      <c r="AG486">
        <v>0</v>
      </c>
    </row>
    <row r="487" spans="1:33" hidden="1" x14ac:dyDescent="0.2">
      <c r="A487">
        <v>486</v>
      </c>
      <c r="B487" t="s">
        <v>220</v>
      </c>
      <c r="C487" t="s">
        <v>33</v>
      </c>
      <c r="D487">
        <v>32</v>
      </c>
      <c r="E487" t="s">
        <v>114</v>
      </c>
      <c r="F487" t="s">
        <v>53</v>
      </c>
      <c r="G487" t="s">
        <v>66</v>
      </c>
      <c r="H487">
        <v>44583</v>
      </c>
      <c r="I487">
        <v>1</v>
      </c>
      <c r="J487">
        <v>1</v>
      </c>
      <c r="K487">
        <v>0</v>
      </c>
      <c r="L487">
        <v>0</v>
      </c>
      <c r="M487" t="s">
        <v>36</v>
      </c>
      <c r="N487" t="s">
        <v>36</v>
      </c>
      <c r="O487" t="s">
        <v>36</v>
      </c>
      <c r="P487" t="s">
        <v>37</v>
      </c>
      <c r="Q487" t="s">
        <v>36</v>
      </c>
      <c r="R487" t="s">
        <v>36</v>
      </c>
      <c r="S487" t="s">
        <v>36</v>
      </c>
      <c r="T487" t="s">
        <v>36</v>
      </c>
      <c r="U487">
        <v>0</v>
      </c>
      <c r="V487">
        <v>1</v>
      </c>
      <c r="W487">
        <v>1</v>
      </c>
      <c r="X487">
        <v>1</v>
      </c>
      <c r="Y487">
        <v>0</v>
      </c>
      <c r="Z487">
        <v>1</v>
      </c>
      <c r="AA487">
        <v>0</v>
      </c>
      <c r="AB487">
        <v>0</v>
      </c>
      <c r="AC487">
        <v>0</v>
      </c>
      <c r="AD487">
        <v>1</v>
      </c>
      <c r="AE487">
        <v>0</v>
      </c>
      <c r="AF487">
        <v>0</v>
      </c>
      <c r="AG487">
        <v>0</v>
      </c>
    </row>
    <row r="488" spans="1:33" x14ac:dyDescent="0.2">
      <c r="A488">
        <v>487</v>
      </c>
      <c r="B488" t="s">
        <v>220</v>
      </c>
      <c r="C488" t="s">
        <v>33</v>
      </c>
      <c r="D488">
        <v>32</v>
      </c>
      <c r="E488" t="s">
        <v>114</v>
      </c>
      <c r="F488" t="s">
        <v>41</v>
      </c>
      <c r="G488" t="s">
        <v>61</v>
      </c>
      <c r="H488">
        <v>22526</v>
      </c>
      <c r="I488">
        <v>1</v>
      </c>
      <c r="J488">
        <v>0</v>
      </c>
      <c r="K488">
        <v>0</v>
      </c>
      <c r="L488">
        <v>0</v>
      </c>
      <c r="M488" t="s">
        <v>87</v>
      </c>
      <c r="N488" t="s">
        <v>63</v>
      </c>
      <c r="O488" t="s">
        <v>97</v>
      </c>
      <c r="P488" t="s">
        <v>37</v>
      </c>
      <c r="Q488" t="s">
        <v>47</v>
      </c>
      <c r="R488" t="s">
        <v>46</v>
      </c>
      <c r="S488" t="s">
        <v>59</v>
      </c>
      <c r="T488">
        <v>0</v>
      </c>
      <c r="U488">
        <v>0</v>
      </c>
      <c r="V488">
        <v>0</v>
      </c>
      <c r="W488">
        <v>1</v>
      </c>
      <c r="X488">
        <v>1</v>
      </c>
      <c r="Y488">
        <v>0</v>
      </c>
      <c r="Z488">
        <v>1</v>
      </c>
      <c r="AA488">
        <v>0</v>
      </c>
      <c r="AB488">
        <v>0</v>
      </c>
      <c r="AC488">
        <v>0</v>
      </c>
      <c r="AD488">
        <v>1</v>
      </c>
      <c r="AE488">
        <v>0</v>
      </c>
      <c r="AF488">
        <v>0</v>
      </c>
      <c r="AG488">
        <v>0</v>
      </c>
    </row>
    <row r="489" spans="1:33" x14ac:dyDescent="0.2">
      <c r="A489">
        <v>488</v>
      </c>
      <c r="B489" t="s">
        <v>220</v>
      </c>
      <c r="C489" t="s">
        <v>33</v>
      </c>
      <c r="D489">
        <v>32</v>
      </c>
      <c r="E489" t="s">
        <v>114</v>
      </c>
      <c r="F489" t="s">
        <v>41</v>
      </c>
      <c r="G489" t="s">
        <v>67</v>
      </c>
      <c r="H489">
        <v>15270</v>
      </c>
      <c r="I489">
        <v>1</v>
      </c>
      <c r="J489">
        <v>1</v>
      </c>
      <c r="K489">
        <v>0</v>
      </c>
      <c r="L489">
        <v>0</v>
      </c>
      <c r="M489" t="s">
        <v>68</v>
      </c>
      <c r="N489" t="s">
        <v>70</v>
      </c>
      <c r="O489" t="s">
        <v>69</v>
      </c>
      <c r="P489" t="s">
        <v>37</v>
      </c>
      <c r="Q489" t="s">
        <v>65</v>
      </c>
      <c r="R489" t="s">
        <v>47</v>
      </c>
      <c r="S489" t="s">
        <v>48</v>
      </c>
      <c r="T489">
        <v>0</v>
      </c>
      <c r="U489">
        <v>1</v>
      </c>
      <c r="V489">
        <v>1</v>
      </c>
      <c r="W489">
        <v>1</v>
      </c>
      <c r="X489">
        <v>0</v>
      </c>
      <c r="Y489">
        <v>0</v>
      </c>
      <c r="Z489">
        <v>1</v>
      </c>
      <c r="AA489">
        <v>0</v>
      </c>
      <c r="AB489">
        <v>1</v>
      </c>
      <c r="AC489">
        <v>0</v>
      </c>
      <c r="AD489">
        <v>1</v>
      </c>
      <c r="AE489">
        <v>0</v>
      </c>
      <c r="AF489">
        <v>0</v>
      </c>
      <c r="AG489">
        <v>0</v>
      </c>
    </row>
    <row r="490" spans="1:33" hidden="1" x14ac:dyDescent="0.2">
      <c r="A490">
        <v>489</v>
      </c>
      <c r="B490" t="s">
        <v>220</v>
      </c>
      <c r="C490" t="s">
        <v>33</v>
      </c>
      <c r="D490">
        <v>32</v>
      </c>
      <c r="E490" t="s">
        <v>114</v>
      </c>
      <c r="F490" t="s">
        <v>53</v>
      </c>
      <c r="G490" t="s">
        <v>54</v>
      </c>
      <c r="H490">
        <v>28798</v>
      </c>
      <c r="I490">
        <v>0</v>
      </c>
      <c r="J490">
        <v>1</v>
      </c>
      <c r="K490">
        <v>1</v>
      </c>
      <c r="L490">
        <v>0</v>
      </c>
      <c r="M490" t="s">
        <v>36</v>
      </c>
      <c r="N490" t="s">
        <v>36</v>
      </c>
      <c r="O490" t="s">
        <v>36</v>
      </c>
      <c r="P490" t="s">
        <v>37</v>
      </c>
      <c r="Q490" t="s">
        <v>36</v>
      </c>
      <c r="R490" t="s">
        <v>36</v>
      </c>
      <c r="S490" t="s">
        <v>36</v>
      </c>
      <c r="T490" t="s">
        <v>36</v>
      </c>
      <c r="U490">
        <v>1</v>
      </c>
      <c r="V490">
        <v>1</v>
      </c>
      <c r="W490">
        <v>1</v>
      </c>
      <c r="X490">
        <v>0</v>
      </c>
      <c r="Y490">
        <v>0</v>
      </c>
      <c r="Z490">
        <v>1</v>
      </c>
      <c r="AA490">
        <v>0</v>
      </c>
      <c r="AB490">
        <v>1</v>
      </c>
      <c r="AC490">
        <v>0</v>
      </c>
      <c r="AD490">
        <v>1</v>
      </c>
      <c r="AE490">
        <v>0</v>
      </c>
      <c r="AF490">
        <v>0</v>
      </c>
      <c r="AG490">
        <v>0</v>
      </c>
    </row>
    <row r="491" spans="1:33" hidden="1" x14ac:dyDescent="0.2">
      <c r="A491">
        <v>490</v>
      </c>
      <c r="B491" t="s">
        <v>220</v>
      </c>
      <c r="C491" t="s">
        <v>33</v>
      </c>
      <c r="D491">
        <v>32</v>
      </c>
      <c r="E491" t="s">
        <v>114</v>
      </c>
      <c r="F491" t="s">
        <v>77</v>
      </c>
      <c r="G491" t="s">
        <v>36</v>
      </c>
      <c r="H491">
        <v>94038</v>
      </c>
      <c r="I491" t="s">
        <v>221</v>
      </c>
      <c r="J491" t="s">
        <v>222</v>
      </c>
      <c r="K491" t="s">
        <v>223</v>
      </c>
      <c r="L491" t="s">
        <v>36</v>
      </c>
      <c r="M491" t="s">
        <v>36</v>
      </c>
      <c r="N491" t="s">
        <v>36</v>
      </c>
      <c r="O491" t="s">
        <v>36</v>
      </c>
      <c r="P491" t="s">
        <v>37</v>
      </c>
      <c r="Q491" t="s">
        <v>36</v>
      </c>
      <c r="R491" t="s">
        <v>36</v>
      </c>
      <c r="S491" t="s">
        <v>36</v>
      </c>
      <c r="T491" t="s">
        <v>36</v>
      </c>
      <c r="U491" t="s">
        <v>36</v>
      </c>
      <c r="V491" t="s">
        <v>36</v>
      </c>
      <c r="W491" t="s">
        <v>36</v>
      </c>
      <c r="X491" t="s">
        <v>36</v>
      </c>
      <c r="Y491" t="s">
        <v>36</v>
      </c>
      <c r="Z491" t="s">
        <v>36</v>
      </c>
      <c r="AA491" t="s">
        <v>36</v>
      </c>
      <c r="AB491" t="s">
        <v>36</v>
      </c>
      <c r="AC491" t="s">
        <v>36</v>
      </c>
      <c r="AD491" t="s">
        <v>36</v>
      </c>
      <c r="AE491" t="s">
        <v>36</v>
      </c>
      <c r="AF491" t="s">
        <v>36</v>
      </c>
      <c r="AG491" t="s">
        <v>36</v>
      </c>
    </row>
    <row r="492" spans="1:33" hidden="1" x14ac:dyDescent="0.2">
      <c r="A492">
        <v>491</v>
      </c>
      <c r="B492" t="s">
        <v>224</v>
      </c>
      <c r="C492" t="s">
        <v>108</v>
      </c>
      <c r="D492">
        <v>31</v>
      </c>
      <c r="E492" t="s">
        <v>114</v>
      </c>
      <c r="F492" t="s">
        <v>35</v>
      </c>
      <c r="G492" t="s">
        <v>36</v>
      </c>
      <c r="H492">
        <v>149070</v>
      </c>
      <c r="I492" t="s">
        <v>36</v>
      </c>
      <c r="J492" t="s">
        <v>36</v>
      </c>
      <c r="K492" t="s">
        <v>36</v>
      </c>
      <c r="L492" t="s">
        <v>36</v>
      </c>
      <c r="M492" t="s">
        <v>36</v>
      </c>
      <c r="N492" t="s">
        <v>36</v>
      </c>
      <c r="O492" t="s">
        <v>36</v>
      </c>
      <c r="P492" t="s">
        <v>37</v>
      </c>
      <c r="Q492" t="s">
        <v>36</v>
      </c>
      <c r="R492" t="s">
        <v>36</v>
      </c>
      <c r="S492" t="s">
        <v>36</v>
      </c>
      <c r="T492" t="s">
        <v>36</v>
      </c>
      <c r="U492" t="s">
        <v>36</v>
      </c>
      <c r="V492" t="s">
        <v>36</v>
      </c>
      <c r="W492" t="s">
        <v>36</v>
      </c>
      <c r="X492" t="s">
        <v>36</v>
      </c>
      <c r="Y492" t="s">
        <v>36</v>
      </c>
      <c r="Z492" t="s">
        <v>36</v>
      </c>
      <c r="AA492" t="s">
        <v>36</v>
      </c>
      <c r="AB492" t="s">
        <v>36</v>
      </c>
      <c r="AC492" t="s">
        <v>36</v>
      </c>
      <c r="AD492" t="s">
        <v>36</v>
      </c>
      <c r="AE492" t="s">
        <v>36</v>
      </c>
      <c r="AF492" t="s">
        <v>36</v>
      </c>
      <c r="AG492" t="s">
        <v>36</v>
      </c>
    </row>
    <row r="493" spans="1:33" hidden="1" x14ac:dyDescent="0.2">
      <c r="A493">
        <v>492</v>
      </c>
      <c r="B493" t="s">
        <v>224</v>
      </c>
      <c r="C493" t="s">
        <v>108</v>
      </c>
      <c r="D493">
        <v>31</v>
      </c>
      <c r="E493" t="s">
        <v>114</v>
      </c>
      <c r="F493" t="s">
        <v>38</v>
      </c>
      <c r="G493" t="s">
        <v>40</v>
      </c>
      <c r="H493">
        <v>81400</v>
      </c>
      <c r="I493">
        <v>0</v>
      </c>
      <c r="J493">
        <v>0</v>
      </c>
      <c r="K493">
        <v>1</v>
      </c>
      <c r="L493">
        <v>0</v>
      </c>
      <c r="M493" t="s">
        <v>36</v>
      </c>
      <c r="N493" t="s">
        <v>36</v>
      </c>
      <c r="O493" t="s">
        <v>36</v>
      </c>
      <c r="P493" t="s">
        <v>37</v>
      </c>
      <c r="Q493" t="s">
        <v>36</v>
      </c>
      <c r="R493" t="s">
        <v>36</v>
      </c>
      <c r="S493" t="s">
        <v>36</v>
      </c>
      <c r="T493" t="s">
        <v>36</v>
      </c>
      <c r="U493" t="s">
        <v>36</v>
      </c>
      <c r="V493" t="s">
        <v>36</v>
      </c>
      <c r="W493" t="s">
        <v>36</v>
      </c>
      <c r="X493" t="s">
        <v>36</v>
      </c>
      <c r="Y493" t="s">
        <v>36</v>
      </c>
      <c r="Z493" t="s">
        <v>36</v>
      </c>
      <c r="AA493" t="s">
        <v>36</v>
      </c>
      <c r="AB493" t="s">
        <v>36</v>
      </c>
      <c r="AC493" t="s">
        <v>36</v>
      </c>
      <c r="AD493" t="s">
        <v>36</v>
      </c>
      <c r="AE493" t="s">
        <v>36</v>
      </c>
      <c r="AF493" t="s">
        <v>36</v>
      </c>
      <c r="AG493" t="s">
        <v>36</v>
      </c>
    </row>
    <row r="494" spans="1:33" hidden="1" x14ac:dyDescent="0.2">
      <c r="A494">
        <v>493</v>
      </c>
      <c r="B494" t="s">
        <v>224</v>
      </c>
      <c r="C494" t="s">
        <v>108</v>
      </c>
      <c r="D494">
        <v>31</v>
      </c>
      <c r="E494" t="s">
        <v>114</v>
      </c>
      <c r="F494" t="s">
        <v>38</v>
      </c>
      <c r="G494" t="s">
        <v>39</v>
      </c>
      <c r="H494">
        <v>49452</v>
      </c>
      <c r="I494">
        <v>0</v>
      </c>
      <c r="J494">
        <v>0</v>
      </c>
      <c r="K494">
        <v>0</v>
      </c>
      <c r="L494">
        <v>1</v>
      </c>
      <c r="M494" t="s">
        <v>36</v>
      </c>
      <c r="N494" t="s">
        <v>36</v>
      </c>
      <c r="O494" t="s">
        <v>36</v>
      </c>
      <c r="P494" t="s">
        <v>37</v>
      </c>
      <c r="Q494" t="s">
        <v>36</v>
      </c>
      <c r="R494" t="s">
        <v>36</v>
      </c>
      <c r="S494" t="s">
        <v>36</v>
      </c>
      <c r="T494" t="s">
        <v>36</v>
      </c>
      <c r="U494" t="s">
        <v>36</v>
      </c>
      <c r="V494" t="s">
        <v>36</v>
      </c>
      <c r="W494" t="s">
        <v>36</v>
      </c>
      <c r="X494" t="s">
        <v>36</v>
      </c>
      <c r="Y494" t="s">
        <v>36</v>
      </c>
      <c r="Z494" t="s">
        <v>36</v>
      </c>
      <c r="AA494" t="s">
        <v>36</v>
      </c>
      <c r="AB494" t="s">
        <v>36</v>
      </c>
      <c r="AC494" t="s">
        <v>36</v>
      </c>
      <c r="AD494" t="s">
        <v>36</v>
      </c>
      <c r="AE494" t="s">
        <v>36</v>
      </c>
      <c r="AF494" t="s">
        <v>36</v>
      </c>
      <c r="AG494" t="s">
        <v>36</v>
      </c>
    </row>
    <row r="495" spans="1:33" x14ac:dyDescent="0.2">
      <c r="A495">
        <v>494</v>
      </c>
      <c r="B495" t="s">
        <v>224</v>
      </c>
      <c r="C495" t="s">
        <v>108</v>
      </c>
      <c r="D495">
        <v>31</v>
      </c>
      <c r="E495" t="s">
        <v>114</v>
      </c>
      <c r="F495" t="s">
        <v>41</v>
      </c>
      <c r="G495" t="s">
        <v>67</v>
      </c>
      <c r="H495">
        <v>59849</v>
      </c>
      <c r="I495">
        <v>0</v>
      </c>
      <c r="J495">
        <v>0</v>
      </c>
      <c r="K495">
        <v>0</v>
      </c>
      <c r="L495">
        <v>1</v>
      </c>
      <c r="M495" t="s">
        <v>103</v>
      </c>
      <c r="N495" t="s">
        <v>86</v>
      </c>
      <c r="O495" t="s">
        <v>70</v>
      </c>
      <c r="P495" t="s">
        <v>37</v>
      </c>
      <c r="Q495" t="s">
        <v>60</v>
      </c>
      <c r="R495" t="s">
        <v>46</v>
      </c>
      <c r="S495" t="s">
        <v>47</v>
      </c>
      <c r="T495">
        <v>1</v>
      </c>
      <c r="U495">
        <v>0</v>
      </c>
      <c r="V495">
        <v>0</v>
      </c>
      <c r="W495">
        <v>1</v>
      </c>
      <c r="X495">
        <v>1</v>
      </c>
      <c r="Y495">
        <v>0</v>
      </c>
      <c r="Z495">
        <v>1</v>
      </c>
      <c r="AA495">
        <v>0</v>
      </c>
      <c r="AB495">
        <v>0</v>
      </c>
      <c r="AC495">
        <v>0</v>
      </c>
      <c r="AD495">
        <v>0</v>
      </c>
      <c r="AE495">
        <v>0</v>
      </c>
      <c r="AF495">
        <v>0</v>
      </c>
      <c r="AG495">
        <v>1</v>
      </c>
    </row>
    <row r="496" spans="1:33" x14ac:dyDescent="0.2">
      <c r="A496">
        <v>495</v>
      </c>
      <c r="B496" t="s">
        <v>224</v>
      </c>
      <c r="C496" t="s">
        <v>108</v>
      </c>
      <c r="D496">
        <v>31</v>
      </c>
      <c r="E496" t="s">
        <v>114</v>
      </c>
      <c r="F496" t="s">
        <v>41</v>
      </c>
      <c r="G496" t="s">
        <v>72</v>
      </c>
      <c r="H496">
        <v>120249</v>
      </c>
      <c r="I496">
        <v>1</v>
      </c>
      <c r="J496">
        <v>1</v>
      </c>
      <c r="K496">
        <v>1</v>
      </c>
      <c r="L496">
        <v>0</v>
      </c>
      <c r="M496" t="s">
        <v>115</v>
      </c>
      <c r="N496" t="s">
        <v>75</v>
      </c>
      <c r="O496" t="s">
        <v>73</v>
      </c>
      <c r="P496" t="s">
        <v>37</v>
      </c>
      <c r="Q496" t="s">
        <v>65</v>
      </c>
      <c r="R496" t="s">
        <v>46</v>
      </c>
      <c r="S496" t="s">
        <v>48</v>
      </c>
      <c r="T496">
        <v>0</v>
      </c>
      <c r="U496">
        <v>1</v>
      </c>
      <c r="V496">
        <v>1</v>
      </c>
      <c r="W496">
        <v>0</v>
      </c>
      <c r="X496">
        <v>1</v>
      </c>
      <c r="Y496">
        <v>0</v>
      </c>
      <c r="Z496">
        <v>1</v>
      </c>
      <c r="AA496">
        <v>0</v>
      </c>
      <c r="AB496">
        <v>1</v>
      </c>
      <c r="AC496">
        <v>1</v>
      </c>
      <c r="AD496">
        <v>0</v>
      </c>
      <c r="AE496">
        <v>1</v>
      </c>
      <c r="AF496">
        <v>0</v>
      </c>
      <c r="AG496">
        <v>0</v>
      </c>
    </row>
    <row r="497" spans="1:33" hidden="1" x14ac:dyDescent="0.2">
      <c r="A497">
        <v>496</v>
      </c>
      <c r="B497" t="s">
        <v>224</v>
      </c>
      <c r="C497" t="s">
        <v>108</v>
      </c>
      <c r="D497">
        <v>31</v>
      </c>
      <c r="E497" t="s">
        <v>114</v>
      </c>
      <c r="F497" t="s">
        <v>53</v>
      </c>
      <c r="G497" t="s">
        <v>76</v>
      </c>
      <c r="H497">
        <v>30194</v>
      </c>
      <c r="I497">
        <v>1</v>
      </c>
      <c r="J497">
        <v>0</v>
      </c>
      <c r="K497">
        <v>0</v>
      </c>
      <c r="L497">
        <v>0</v>
      </c>
      <c r="M497" t="s">
        <v>36</v>
      </c>
      <c r="N497" t="s">
        <v>36</v>
      </c>
      <c r="O497" t="s">
        <v>36</v>
      </c>
      <c r="P497" t="s">
        <v>37</v>
      </c>
      <c r="Q497" t="s">
        <v>36</v>
      </c>
      <c r="R497" t="s">
        <v>36</v>
      </c>
      <c r="S497" t="s">
        <v>36</v>
      </c>
      <c r="T497" t="s">
        <v>36</v>
      </c>
      <c r="U497">
        <v>1</v>
      </c>
      <c r="V497">
        <v>1</v>
      </c>
      <c r="W497">
        <v>0</v>
      </c>
      <c r="X497">
        <v>1</v>
      </c>
      <c r="Y497">
        <v>0</v>
      </c>
      <c r="Z497">
        <v>1</v>
      </c>
      <c r="AA497">
        <v>0</v>
      </c>
      <c r="AB497">
        <v>1</v>
      </c>
      <c r="AC497">
        <v>1</v>
      </c>
      <c r="AD497">
        <v>0</v>
      </c>
      <c r="AE497">
        <v>1</v>
      </c>
      <c r="AF497">
        <v>0</v>
      </c>
      <c r="AG497">
        <v>0</v>
      </c>
    </row>
    <row r="498" spans="1:33" x14ac:dyDescent="0.2">
      <c r="A498">
        <v>497</v>
      </c>
      <c r="B498" t="s">
        <v>224</v>
      </c>
      <c r="C498" t="s">
        <v>108</v>
      </c>
      <c r="D498">
        <v>31</v>
      </c>
      <c r="E498" t="s">
        <v>114</v>
      </c>
      <c r="F498" t="s">
        <v>41</v>
      </c>
      <c r="G498" t="s">
        <v>61</v>
      </c>
      <c r="H498">
        <v>45470</v>
      </c>
      <c r="I498">
        <v>1</v>
      </c>
      <c r="J498">
        <v>1</v>
      </c>
      <c r="K498">
        <v>1</v>
      </c>
      <c r="L498">
        <v>0</v>
      </c>
      <c r="M498" t="s">
        <v>63</v>
      </c>
      <c r="N498" t="s">
        <v>62</v>
      </c>
      <c r="O498" t="s">
        <v>125</v>
      </c>
      <c r="P498" t="s">
        <v>37</v>
      </c>
      <c r="Q498" t="s">
        <v>46</v>
      </c>
      <c r="R498" t="s">
        <v>65</v>
      </c>
      <c r="S498" t="s">
        <v>60</v>
      </c>
      <c r="T498">
        <v>1</v>
      </c>
      <c r="U498">
        <v>1</v>
      </c>
      <c r="V498">
        <v>0</v>
      </c>
      <c r="W498">
        <v>0</v>
      </c>
      <c r="X498">
        <v>1</v>
      </c>
      <c r="Y498">
        <v>0</v>
      </c>
      <c r="Z498">
        <v>1</v>
      </c>
      <c r="AA498">
        <v>1</v>
      </c>
      <c r="AB498">
        <v>1</v>
      </c>
      <c r="AC498">
        <v>0</v>
      </c>
      <c r="AD498">
        <v>0</v>
      </c>
      <c r="AE498">
        <v>1</v>
      </c>
      <c r="AF498">
        <v>0</v>
      </c>
      <c r="AG498">
        <v>0</v>
      </c>
    </row>
    <row r="499" spans="1:33" x14ac:dyDescent="0.2">
      <c r="A499">
        <v>498</v>
      </c>
      <c r="B499" t="s">
        <v>224</v>
      </c>
      <c r="C499" t="s">
        <v>108</v>
      </c>
      <c r="D499">
        <v>31</v>
      </c>
      <c r="E499" t="s">
        <v>114</v>
      </c>
      <c r="F499" t="s">
        <v>41</v>
      </c>
      <c r="G499" t="s">
        <v>49</v>
      </c>
      <c r="H499">
        <v>62097</v>
      </c>
      <c r="I499">
        <v>0</v>
      </c>
      <c r="J499">
        <v>0</v>
      </c>
      <c r="K499">
        <v>0</v>
      </c>
      <c r="L499">
        <v>1</v>
      </c>
      <c r="M499" t="s">
        <v>95</v>
      </c>
      <c r="N499" t="s">
        <v>51</v>
      </c>
      <c r="O499" t="s">
        <v>83</v>
      </c>
      <c r="P499" t="s">
        <v>37</v>
      </c>
      <c r="Q499" t="s">
        <v>60</v>
      </c>
      <c r="R499" t="s">
        <v>47</v>
      </c>
      <c r="S499" t="s">
        <v>59</v>
      </c>
      <c r="T499">
        <v>1</v>
      </c>
      <c r="U499">
        <v>0</v>
      </c>
      <c r="V499">
        <v>0</v>
      </c>
      <c r="W499">
        <v>1</v>
      </c>
      <c r="X499">
        <v>0</v>
      </c>
      <c r="Y499">
        <v>0</v>
      </c>
      <c r="Z499">
        <v>1</v>
      </c>
      <c r="AA499">
        <v>0</v>
      </c>
      <c r="AB499">
        <v>0</v>
      </c>
      <c r="AC499">
        <v>0</v>
      </c>
      <c r="AD499">
        <v>0</v>
      </c>
      <c r="AE499">
        <v>0</v>
      </c>
      <c r="AF499">
        <v>0</v>
      </c>
      <c r="AG499">
        <v>1</v>
      </c>
    </row>
    <row r="500" spans="1:33" hidden="1" x14ac:dyDescent="0.2">
      <c r="A500">
        <v>499</v>
      </c>
      <c r="B500" t="s">
        <v>224</v>
      </c>
      <c r="C500" t="s">
        <v>108</v>
      </c>
      <c r="D500">
        <v>31</v>
      </c>
      <c r="E500" t="s">
        <v>114</v>
      </c>
      <c r="F500" t="s">
        <v>53</v>
      </c>
      <c r="G500" t="s">
        <v>71</v>
      </c>
      <c r="H500">
        <v>66416</v>
      </c>
      <c r="I500">
        <v>0</v>
      </c>
      <c r="J500">
        <v>0</v>
      </c>
      <c r="K500">
        <v>1</v>
      </c>
      <c r="L500">
        <v>0</v>
      </c>
      <c r="M500" t="s">
        <v>36</v>
      </c>
      <c r="N500" t="s">
        <v>36</v>
      </c>
      <c r="O500" t="s">
        <v>36</v>
      </c>
      <c r="P500" t="s">
        <v>37</v>
      </c>
      <c r="Q500" t="s">
        <v>36</v>
      </c>
      <c r="R500" t="s">
        <v>36</v>
      </c>
      <c r="S500" t="s">
        <v>36</v>
      </c>
      <c r="T500" t="s">
        <v>36</v>
      </c>
      <c r="U500">
        <v>0</v>
      </c>
      <c r="V500">
        <v>0</v>
      </c>
      <c r="W500">
        <v>1</v>
      </c>
      <c r="X500">
        <v>0</v>
      </c>
      <c r="Y500">
        <v>0</v>
      </c>
      <c r="Z500">
        <v>1</v>
      </c>
      <c r="AA500">
        <v>0</v>
      </c>
      <c r="AB500">
        <v>0</v>
      </c>
      <c r="AC500">
        <v>0</v>
      </c>
      <c r="AD500">
        <v>0</v>
      </c>
      <c r="AE500">
        <v>0</v>
      </c>
      <c r="AF500">
        <v>0</v>
      </c>
      <c r="AG500">
        <v>1</v>
      </c>
    </row>
    <row r="501" spans="1:33" x14ac:dyDescent="0.2">
      <c r="A501">
        <v>500</v>
      </c>
      <c r="B501" t="s">
        <v>224</v>
      </c>
      <c r="C501" t="s">
        <v>108</v>
      </c>
      <c r="D501">
        <v>31</v>
      </c>
      <c r="E501" t="s">
        <v>114</v>
      </c>
      <c r="F501" t="s">
        <v>41</v>
      </c>
      <c r="G501" t="s">
        <v>42</v>
      </c>
      <c r="H501">
        <v>38508</v>
      </c>
      <c r="I501">
        <v>1</v>
      </c>
      <c r="J501">
        <v>1</v>
      </c>
      <c r="K501">
        <v>1</v>
      </c>
      <c r="L501">
        <v>0</v>
      </c>
      <c r="M501" t="s">
        <v>82</v>
      </c>
      <c r="N501" t="s">
        <v>116</v>
      </c>
      <c r="O501" t="s">
        <v>45</v>
      </c>
      <c r="P501" t="s">
        <v>37</v>
      </c>
      <c r="Q501" t="s">
        <v>65</v>
      </c>
      <c r="R501" t="s">
        <v>60</v>
      </c>
      <c r="S501" t="s">
        <v>48</v>
      </c>
      <c r="T501">
        <v>1</v>
      </c>
      <c r="U501">
        <v>1</v>
      </c>
      <c r="V501">
        <v>1</v>
      </c>
      <c r="W501">
        <v>0</v>
      </c>
      <c r="X501">
        <v>0</v>
      </c>
      <c r="Y501">
        <v>0</v>
      </c>
      <c r="Z501">
        <v>1</v>
      </c>
      <c r="AA501">
        <v>1</v>
      </c>
      <c r="AB501">
        <v>1</v>
      </c>
      <c r="AC501">
        <v>1</v>
      </c>
      <c r="AD501">
        <v>0</v>
      </c>
      <c r="AE501">
        <v>0</v>
      </c>
      <c r="AF501">
        <v>0</v>
      </c>
      <c r="AG501">
        <v>0</v>
      </c>
    </row>
    <row r="502" spans="1:33" hidden="1" x14ac:dyDescent="0.2">
      <c r="A502">
        <v>501</v>
      </c>
      <c r="B502" t="s">
        <v>224</v>
      </c>
      <c r="C502" t="s">
        <v>108</v>
      </c>
      <c r="D502">
        <v>31</v>
      </c>
      <c r="E502" t="s">
        <v>114</v>
      </c>
      <c r="F502" t="s">
        <v>53</v>
      </c>
      <c r="G502" t="s">
        <v>54</v>
      </c>
      <c r="H502">
        <v>84000</v>
      </c>
      <c r="I502">
        <v>0</v>
      </c>
      <c r="J502">
        <v>1</v>
      </c>
      <c r="K502">
        <v>0</v>
      </c>
      <c r="L502">
        <v>1</v>
      </c>
      <c r="M502" t="s">
        <v>36</v>
      </c>
      <c r="N502" t="s">
        <v>36</v>
      </c>
      <c r="O502" t="s">
        <v>36</v>
      </c>
      <c r="P502" t="s">
        <v>37</v>
      </c>
      <c r="Q502" t="s">
        <v>36</v>
      </c>
      <c r="R502" t="s">
        <v>36</v>
      </c>
      <c r="S502" t="s">
        <v>36</v>
      </c>
      <c r="T502" t="s">
        <v>36</v>
      </c>
      <c r="U502">
        <v>1</v>
      </c>
      <c r="V502">
        <v>1</v>
      </c>
      <c r="W502">
        <v>0</v>
      </c>
      <c r="X502">
        <v>0</v>
      </c>
      <c r="Y502">
        <v>0</v>
      </c>
      <c r="Z502">
        <v>1</v>
      </c>
      <c r="AA502">
        <v>1</v>
      </c>
      <c r="AB502">
        <v>1</v>
      </c>
      <c r="AC502">
        <v>1</v>
      </c>
      <c r="AD502">
        <v>0</v>
      </c>
      <c r="AE502">
        <v>0</v>
      </c>
      <c r="AF502">
        <v>0</v>
      </c>
      <c r="AG502">
        <v>0</v>
      </c>
    </row>
    <row r="503" spans="1:33" x14ac:dyDescent="0.2">
      <c r="A503">
        <v>502</v>
      </c>
      <c r="B503" t="s">
        <v>224</v>
      </c>
      <c r="C503" t="s">
        <v>108</v>
      </c>
      <c r="D503">
        <v>31</v>
      </c>
      <c r="E503" t="s">
        <v>114</v>
      </c>
      <c r="F503" t="s">
        <v>41</v>
      </c>
      <c r="G503" t="s">
        <v>55</v>
      </c>
      <c r="H503">
        <v>16421</v>
      </c>
      <c r="I503">
        <v>0</v>
      </c>
      <c r="J503">
        <v>0</v>
      </c>
      <c r="K503">
        <v>0</v>
      </c>
      <c r="L503">
        <v>1</v>
      </c>
      <c r="M503" t="s">
        <v>57</v>
      </c>
      <c r="N503" t="s">
        <v>84</v>
      </c>
      <c r="O503" t="s">
        <v>94</v>
      </c>
      <c r="P503" t="s">
        <v>37</v>
      </c>
      <c r="Q503" t="s">
        <v>48</v>
      </c>
      <c r="R503" t="s">
        <v>46</v>
      </c>
      <c r="S503" t="s">
        <v>47</v>
      </c>
      <c r="T503">
        <v>0</v>
      </c>
      <c r="U503">
        <v>0</v>
      </c>
      <c r="V503">
        <v>1</v>
      </c>
      <c r="W503">
        <v>1</v>
      </c>
      <c r="X503">
        <v>1</v>
      </c>
      <c r="Y503">
        <v>0</v>
      </c>
      <c r="Z503">
        <v>1</v>
      </c>
      <c r="AA503">
        <v>0</v>
      </c>
      <c r="AB503">
        <v>0</v>
      </c>
      <c r="AC503">
        <v>0</v>
      </c>
      <c r="AD503">
        <v>0</v>
      </c>
      <c r="AE503">
        <v>0</v>
      </c>
      <c r="AF503">
        <v>0</v>
      </c>
      <c r="AG503">
        <v>1</v>
      </c>
    </row>
    <row r="504" spans="1:33" hidden="1" x14ac:dyDescent="0.2">
      <c r="A504">
        <v>503</v>
      </c>
      <c r="B504" t="s">
        <v>224</v>
      </c>
      <c r="C504" t="s">
        <v>108</v>
      </c>
      <c r="D504">
        <v>31</v>
      </c>
      <c r="E504" t="s">
        <v>114</v>
      </c>
      <c r="F504" t="s">
        <v>53</v>
      </c>
      <c r="G504" t="s">
        <v>66</v>
      </c>
      <c r="H504">
        <v>30489</v>
      </c>
      <c r="I504">
        <v>0</v>
      </c>
      <c r="J504">
        <v>0</v>
      </c>
      <c r="K504">
        <v>0</v>
      </c>
      <c r="L504">
        <v>1</v>
      </c>
      <c r="M504" t="s">
        <v>36</v>
      </c>
      <c r="N504" t="s">
        <v>36</v>
      </c>
      <c r="O504" t="s">
        <v>36</v>
      </c>
      <c r="P504" t="s">
        <v>37</v>
      </c>
      <c r="Q504" t="s">
        <v>36</v>
      </c>
      <c r="R504" t="s">
        <v>36</v>
      </c>
      <c r="S504" t="s">
        <v>36</v>
      </c>
      <c r="T504" t="s">
        <v>36</v>
      </c>
      <c r="U504">
        <v>0</v>
      </c>
      <c r="V504">
        <v>1</v>
      </c>
      <c r="W504">
        <v>1</v>
      </c>
      <c r="X504">
        <v>1</v>
      </c>
      <c r="Y504">
        <v>0</v>
      </c>
      <c r="Z504">
        <v>1</v>
      </c>
      <c r="AA504">
        <v>0</v>
      </c>
      <c r="AB504">
        <v>0</v>
      </c>
      <c r="AC504">
        <v>0</v>
      </c>
      <c r="AD504">
        <v>0</v>
      </c>
      <c r="AE504">
        <v>0</v>
      </c>
      <c r="AF504">
        <v>0</v>
      </c>
      <c r="AG504">
        <v>1</v>
      </c>
    </row>
    <row r="505" spans="1:33" hidden="1" x14ac:dyDescent="0.2">
      <c r="A505">
        <v>504</v>
      </c>
      <c r="B505" t="s">
        <v>224</v>
      </c>
      <c r="C505" t="s">
        <v>108</v>
      </c>
      <c r="D505">
        <v>31</v>
      </c>
      <c r="E505" t="s">
        <v>114</v>
      </c>
      <c r="F505" t="s">
        <v>77</v>
      </c>
      <c r="G505" t="s">
        <v>36</v>
      </c>
      <c r="H505">
        <v>76911</v>
      </c>
      <c r="I505" t="s">
        <v>225</v>
      </c>
      <c r="J505" t="s">
        <v>226</v>
      </c>
      <c r="K505" t="s">
        <v>162</v>
      </c>
      <c r="L505" t="s">
        <v>36</v>
      </c>
      <c r="M505" t="s">
        <v>36</v>
      </c>
      <c r="N505" t="s">
        <v>36</v>
      </c>
      <c r="O505" t="s">
        <v>36</v>
      </c>
      <c r="P505" t="s">
        <v>37</v>
      </c>
      <c r="Q505" t="s">
        <v>36</v>
      </c>
      <c r="R505" t="s">
        <v>36</v>
      </c>
      <c r="S505" t="s">
        <v>36</v>
      </c>
      <c r="T505" t="s">
        <v>36</v>
      </c>
      <c r="U505" t="s">
        <v>36</v>
      </c>
      <c r="V505" t="s">
        <v>36</v>
      </c>
      <c r="W505" t="s">
        <v>36</v>
      </c>
      <c r="X505" t="s">
        <v>36</v>
      </c>
      <c r="Y505" t="s">
        <v>36</v>
      </c>
      <c r="Z505" t="s">
        <v>36</v>
      </c>
      <c r="AA505" t="s">
        <v>36</v>
      </c>
      <c r="AB505" t="s">
        <v>36</v>
      </c>
      <c r="AC505" t="s">
        <v>36</v>
      </c>
      <c r="AD505" t="s">
        <v>36</v>
      </c>
      <c r="AE505" t="s">
        <v>36</v>
      </c>
      <c r="AF505" t="s">
        <v>36</v>
      </c>
      <c r="AG505" t="s">
        <v>36</v>
      </c>
    </row>
    <row r="506" spans="1:33" hidden="1" x14ac:dyDescent="0.2">
      <c r="A506">
        <v>505</v>
      </c>
      <c r="B506" t="s">
        <v>227</v>
      </c>
      <c r="C506" t="s">
        <v>108</v>
      </c>
      <c r="D506">
        <v>36</v>
      </c>
      <c r="E506" t="s">
        <v>34</v>
      </c>
      <c r="F506" t="s">
        <v>35</v>
      </c>
      <c r="G506" t="s">
        <v>36</v>
      </c>
      <c r="H506">
        <v>45092</v>
      </c>
      <c r="I506" t="s">
        <v>36</v>
      </c>
      <c r="J506" t="s">
        <v>36</v>
      </c>
      <c r="K506" t="s">
        <v>36</v>
      </c>
      <c r="L506" t="s">
        <v>36</v>
      </c>
      <c r="M506" t="s">
        <v>36</v>
      </c>
      <c r="N506" t="s">
        <v>36</v>
      </c>
      <c r="O506" t="s">
        <v>36</v>
      </c>
      <c r="P506" t="s">
        <v>37</v>
      </c>
      <c r="Q506" t="s">
        <v>36</v>
      </c>
      <c r="R506" t="s">
        <v>36</v>
      </c>
      <c r="S506" t="s">
        <v>36</v>
      </c>
      <c r="T506" t="s">
        <v>36</v>
      </c>
      <c r="U506" t="s">
        <v>36</v>
      </c>
      <c r="V506" t="s">
        <v>36</v>
      </c>
      <c r="W506" t="s">
        <v>36</v>
      </c>
      <c r="X506" t="s">
        <v>36</v>
      </c>
      <c r="Y506" t="s">
        <v>36</v>
      </c>
      <c r="Z506" t="s">
        <v>36</v>
      </c>
      <c r="AA506" t="s">
        <v>36</v>
      </c>
      <c r="AB506" t="s">
        <v>36</v>
      </c>
      <c r="AC506" t="s">
        <v>36</v>
      </c>
      <c r="AD506" t="s">
        <v>36</v>
      </c>
      <c r="AE506" t="s">
        <v>36</v>
      </c>
      <c r="AF506" t="s">
        <v>36</v>
      </c>
      <c r="AG506" t="s">
        <v>36</v>
      </c>
    </row>
    <row r="507" spans="1:33" hidden="1" x14ac:dyDescent="0.2">
      <c r="A507">
        <v>506</v>
      </c>
      <c r="B507" t="s">
        <v>227</v>
      </c>
      <c r="C507" t="s">
        <v>108</v>
      </c>
      <c r="D507">
        <v>36</v>
      </c>
      <c r="E507" t="s">
        <v>34</v>
      </c>
      <c r="F507" t="s">
        <v>38</v>
      </c>
      <c r="G507" t="s">
        <v>40</v>
      </c>
      <c r="H507">
        <v>91846</v>
      </c>
      <c r="I507">
        <v>0</v>
      </c>
      <c r="J507">
        <v>0</v>
      </c>
      <c r="K507">
        <v>1</v>
      </c>
      <c r="L507">
        <v>0</v>
      </c>
      <c r="M507" t="s">
        <v>36</v>
      </c>
      <c r="N507" t="s">
        <v>36</v>
      </c>
      <c r="O507" t="s">
        <v>36</v>
      </c>
      <c r="P507" t="s">
        <v>37</v>
      </c>
      <c r="Q507" t="s">
        <v>36</v>
      </c>
      <c r="R507" t="s">
        <v>36</v>
      </c>
      <c r="S507" t="s">
        <v>36</v>
      </c>
      <c r="T507" t="s">
        <v>36</v>
      </c>
      <c r="U507" t="s">
        <v>36</v>
      </c>
      <c r="V507" t="s">
        <v>36</v>
      </c>
      <c r="W507" t="s">
        <v>36</v>
      </c>
      <c r="X507" t="s">
        <v>36</v>
      </c>
      <c r="Y507" t="s">
        <v>36</v>
      </c>
      <c r="Z507" t="s">
        <v>36</v>
      </c>
      <c r="AA507" t="s">
        <v>36</v>
      </c>
      <c r="AB507" t="s">
        <v>36</v>
      </c>
      <c r="AC507" t="s">
        <v>36</v>
      </c>
      <c r="AD507" t="s">
        <v>36</v>
      </c>
      <c r="AE507" t="s">
        <v>36</v>
      </c>
      <c r="AF507" t="s">
        <v>36</v>
      </c>
      <c r="AG507" t="s">
        <v>36</v>
      </c>
    </row>
    <row r="508" spans="1:33" hidden="1" x14ac:dyDescent="0.2">
      <c r="A508">
        <v>507</v>
      </c>
      <c r="B508" t="s">
        <v>227</v>
      </c>
      <c r="C508" t="s">
        <v>108</v>
      </c>
      <c r="D508">
        <v>36</v>
      </c>
      <c r="E508" t="s">
        <v>34</v>
      </c>
      <c r="F508" t="s">
        <v>38</v>
      </c>
      <c r="G508" t="s">
        <v>39</v>
      </c>
      <c r="H508">
        <v>54205</v>
      </c>
      <c r="I508">
        <v>0</v>
      </c>
      <c r="J508">
        <v>0</v>
      </c>
      <c r="K508">
        <v>0</v>
      </c>
      <c r="L508">
        <v>1</v>
      </c>
      <c r="M508" t="s">
        <v>36</v>
      </c>
      <c r="N508" t="s">
        <v>36</v>
      </c>
      <c r="O508" t="s">
        <v>36</v>
      </c>
      <c r="P508" t="s">
        <v>37</v>
      </c>
      <c r="Q508" t="s">
        <v>36</v>
      </c>
      <c r="R508" t="s">
        <v>36</v>
      </c>
      <c r="S508" t="s">
        <v>36</v>
      </c>
      <c r="T508" t="s">
        <v>36</v>
      </c>
      <c r="U508" t="s">
        <v>36</v>
      </c>
      <c r="V508" t="s">
        <v>36</v>
      </c>
      <c r="W508" t="s">
        <v>36</v>
      </c>
      <c r="X508" t="s">
        <v>36</v>
      </c>
      <c r="Y508" t="s">
        <v>36</v>
      </c>
      <c r="Z508" t="s">
        <v>36</v>
      </c>
      <c r="AA508" t="s">
        <v>36</v>
      </c>
      <c r="AB508" t="s">
        <v>36</v>
      </c>
      <c r="AC508" t="s">
        <v>36</v>
      </c>
      <c r="AD508" t="s">
        <v>36</v>
      </c>
      <c r="AE508" t="s">
        <v>36</v>
      </c>
      <c r="AF508" t="s">
        <v>36</v>
      </c>
      <c r="AG508" t="s">
        <v>36</v>
      </c>
    </row>
    <row r="509" spans="1:33" x14ac:dyDescent="0.2">
      <c r="A509">
        <v>508</v>
      </c>
      <c r="B509" t="s">
        <v>227</v>
      </c>
      <c r="C509" t="s">
        <v>108</v>
      </c>
      <c r="D509">
        <v>36</v>
      </c>
      <c r="E509" t="s">
        <v>34</v>
      </c>
      <c r="F509" t="s">
        <v>41</v>
      </c>
      <c r="G509" t="s">
        <v>67</v>
      </c>
      <c r="H509">
        <v>106758</v>
      </c>
      <c r="I509">
        <v>1</v>
      </c>
      <c r="J509">
        <v>1</v>
      </c>
      <c r="K509">
        <v>1</v>
      </c>
      <c r="L509">
        <v>0</v>
      </c>
      <c r="M509" t="s">
        <v>86</v>
      </c>
      <c r="N509" t="s">
        <v>68</v>
      </c>
      <c r="O509" t="s">
        <v>69</v>
      </c>
      <c r="P509" t="s">
        <v>37</v>
      </c>
      <c r="Q509" t="s">
        <v>46</v>
      </c>
      <c r="R509" t="s">
        <v>65</v>
      </c>
      <c r="S509" t="s">
        <v>48</v>
      </c>
      <c r="T509">
        <v>0</v>
      </c>
      <c r="U509">
        <v>1</v>
      </c>
      <c r="V509">
        <v>1</v>
      </c>
      <c r="W509">
        <v>0</v>
      </c>
      <c r="X509">
        <v>1</v>
      </c>
      <c r="Y509">
        <v>0</v>
      </c>
      <c r="Z509">
        <v>1</v>
      </c>
      <c r="AA509">
        <v>0</v>
      </c>
      <c r="AB509">
        <v>1</v>
      </c>
      <c r="AC509">
        <v>1</v>
      </c>
      <c r="AD509">
        <v>0</v>
      </c>
      <c r="AE509">
        <v>1</v>
      </c>
      <c r="AF509">
        <v>0</v>
      </c>
      <c r="AG509">
        <v>0</v>
      </c>
    </row>
    <row r="510" spans="1:33" x14ac:dyDescent="0.2">
      <c r="A510">
        <v>509</v>
      </c>
      <c r="B510" t="s">
        <v>227</v>
      </c>
      <c r="C510" t="s">
        <v>108</v>
      </c>
      <c r="D510">
        <v>36</v>
      </c>
      <c r="E510" t="s">
        <v>34</v>
      </c>
      <c r="F510" t="s">
        <v>41</v>
      </c>
      <c r="G510" t="s">
        <v>55</v>
      </c>
      <c r="H510">
        <v>53454</v>
      </c>
      <c r="I510">
        <v>1</v>
      </c>
      <c r="J510">
        <v>1</v>
      </c>
      <c r="K510">
        <v>0</v>
      </c>
      <c r="L510">
        <v>0</v>
      </c>
      <c r="M510" t="s">
        <v>94</v>
      </c>
      <c r="N510" t="s">
        <v>85</v>
      </c>
      <c r="O510" t="s">
        <v>56</v>
      </c>
      <c r="P510" t="s">
        <v>37</v>
      </c>
      <c r="Q510" t="s">
        <v>47</v>
      </c>
      <c r="R510" t="s">
        <v>65</v>
      </c>
      <c r="S510" t="s">
        <v>59</v>
      </c>
      <c r="T510">
        <v>0</v>
      </c>
      <c r="U510">
        <v>1</v>
      </c>
      <c r="V510">
        <v>0</v>
      </c>
      <c r="W510">
        <v>1</v>
      </c>
      <c r="X510">
        <v>0</v>
      </c>
      <c r="Y510">
        <v>0</v>
      </c>
      <c r="Z510">
        <v>1</v>
      </c>
      <c r="AA510">
        <v>0</v>
      </c>
      <c r="AB510">
        <v>1</v>
      </c>
      <c r="AC510">
        <v>0</v>
      </c>
      <c r="AD510">
        <v>1</v>
      </c>
      <c r="AE510">
        <v>0</v>
      </c>
      <c r="AF510">
        <v>0</v>
      </c>
      <c r="AG510">
        <v>0</v>
      </c>
    </row>
    <row r="511" spans="1:33" hidden="1" x14ac:dyDescent="0.2">
      <c r="A511">
        <v>510</v>
      </c>
      <c r="B511" t="s">
        <v>227</v>
      </c>
      <c r="C511" t="s">
        <v>108</v>
      </c>
      <c r="D511">
        <v>36</v>
      </c>
      <c r="E511" t="s">
        <v>34</v>
      </c>
      <c r="F511" t="s">
        <v>53</v>
      </c>
      <c r="G511" t="s">
        <v>71</v>
      </c>
      <c r="H511">
        <v>65351</v>
      </c>
      <c r="I511">
        <v>0</v>
      </c>
      <c r="J511">
        <v>0</v>
      </c>
      <c r="K511">
        <v>0</v>
      </c>
      <c r="L511">
        <v>1</v>
      </c>
      <c r="M511" t="s">
        <v>36</v>
      </c>
      <c r="N511" t="s">
        <v>36</v>
      </c>
      <c r="O511" t="s">
        <v>36</v>
      </c>
      <c r="P511" t="s">
        <v>37</v>
      </c>
      <c r="Q511" t="s">
        <v>36</v>
      </c>
      <c r="R511" t="s">
        <v>36</v>
      </c>
      <c r="S511" t="s">
        <v>36</v>
      </c>
      <c r="T511" t="s">
        <v>36</v>
      </c>
      <c r="U511">
        <v>1</v>
      </c>
      <c r="V511">
        <v>0</v>
      </c>
      <c r="W511">
        <v>1</v>
      </c>
      <c r="X511">
        <v>0</v>
      </c>
      <c r="Y511">
        <v>0</v>
      </c>
      <c r="Z511">
        <v>1</v>
      </c>
      <c r="AA511">
        <v>0</v>
      </c>
      <c r="AB511">
        <v>1</v>
      </c>
      <c r="AC511">
        <v>0</v>
      </c>
      <c r="AD511">
        <v>1</v>
      </c>
      <c r="AE511">
        <v>0</v>
      </c>
      <c r="AF511">
        <v>0</v>
      </c>
      <c r="AG511">
        <v>0</v>
      </c>
    </row>
    <row r="512" spans="1:33" x14ac:dyDescent="0.2">
      <c r="A512">
        <v>511</v>
      </c>
      <c r="B512" t="s">
        <v>227</v>
      </c>
      <c r="C512" t="s">
        <v>108</v>
      </c>
      <c r="D512">
        <v>36</v>
      </c>
      <c r="E512" t="s">
        <v>34</v>
      </c>
      <c r="F512" t="s">
        <v>41</v>
      </c>
      <c r="G512" t="s">
        <v>42</v>
      </c>
      <c r="H512">
        <v>30334</v>
      </c>
      <c r="I512">
        <v>0</v>
      </c>
      <c r="J512">
        <v>1</v>
      </c>
      <c r="K512">
        <v>0</v>
      </c>
      <c r="L512">
        <v>0</v>
      </c>
      <c r="M512" t="s">
        <v>116</v>
      </c>
      <c r="N512" t="s">
        <v>82</v>
      </c>
      <c r="O512" t="s">
        <v>45</v>
      </c>
      <c r="P512" t="s">
        <v>37</v>
      </c>
      <c r="Q512" t="s">
        <v>60</v>
      </c>
      <c r="R512" t="s">
        <v>65</v>
      </c>
      <c r="S512" t="s">
        <v>48</v>
      </c>
      <c r="T512">
        <v>1</v>
      </c>
      <c r="U512">
        <v>1</v>
      </c>
      <c r="V512">
        <v>1</v>
      </c>
      <c r="W512">
        <v>0</v>
      </c>
      <c r="X512">
        <v>0</v>
      </c>
      <c r="Y512">
        <v>0</v>
      </c>
      <c r="Z512">
        <v>1</v>
      </c>
      <c r="AA512">
        <v>0</v>
      </c>
      <c r="AB512">
        <v>1</v>
      </c>
      <c r="AC512">
        <v>0</v>
      </c>
      <c r="AD512">
        <v>0</v>
      </c>
      <c r="AE512">
        <v>0</v>
      </c>
      <c r="AF512">
        <v>0</v>
      </c>
      <c r="AG512">
        <v>0</v>
      </c>
    </row>
    <row r="513" spans="1:33" hidden="1" x14ac:dyDescent="0.2">
      <c r="A513">
        <v>512</v>
      </c>
      <c r="B513" t="s">
        <v>227</v>
      </c>
      <c r="C513" t="s">
        <v>108</v>
      </c>
      <c r="D513">
        <v>36</v>
      </c>
      <c r="E513" t="s">
        <v>34</v>
      </c>
      <c r="F513" t="s">
        <v>53</v>
      </c>
      <c r="G513" t="s">
        <v>76</v>
      </c>
      <c r="H513">
        <v>40584</v>
      </c>
      <c r="I513">
        <v>1</v>
      </c>
      <c r="J513">
        <v>0</v>
      </c>
      <c r="K513">
        <v>0</v>
      </c>
      <c r="L513">
        <v>0</v>
      </c>
      <c r="M513" t="s">
        <v>36</v>
      </c>
      <c r="N513" t="s">
        <v>36</v>
      </c>
      <c r="O513" t="s">
        <v>36</v>
      </c>
      <c r="P513" t="s">
        <v>37</v>
      </c>
      <c r="Q513" t="s">
        <v>36</v>
      </c>
      <c r="R513" t="s">
        <v>36</v>
      </c>
      <c r="S513" t="s">
        <v>36</v>
      </c>
      <c r="T513" t="s">
        <v>36</v>
      </c>
      <c r="U513">
        <v>1</v>
      </c>
      <c r="V513">
        <v>1</v>
      </c>
      <c r="W513">
        <v>0</v>
      </c>
      <c r="X513">
        <v>0</v>
      </c>
      <c r="Y513">
        <v>0</v>
      </c>
      <c r="Z513">
        <v>1</v>
      </c>
      <c r="AA513">
        <v>0</v>
      </c>
      <c r="AB513">
        <v>1</v>
      </c>
      <c r="AC513">
        <v>0</v>
      </c>
      <c r="AD513">
        <v>0</v>
      </c>
      <c r="AE513">
        <v>0</v>
      </c>
      <c r="AF513">
        <v>0</v>
      </c>
      <c r="AG513">
        <v>0</v>
      </c>
    </row>
    <row r="514" spans="1:33" x14ac:dyDescent="0.2">
      <c r="A514">
        <v>513</v>
      </c>
      <c r="B514" t="s">
        <v>227</v>
      </c>
      <c r="C514" t="s">
        <v>108</v>
      </c>
      <c r="D514">
        <v>36</v>
      </c>
      <c r="E514" t="s">
        <v>34</v>
      </c>
      <c r="F514" t="s">
        <v>41</v>
      </c>
      <c r="G514" t="s">
        <v>61</v>
      </c>
      <c r="H514">
        <v>31463</v>
      </c>
      <c r="I514">
        <v>0</v>
      </c>
      <c r="J514">
        <v>1</v>
      </c>
      <c r="K514">
        <v>0</v>
      </c>
      <c r="L514">
        <v>0</v>
      </c>
      <c r="M514" t="s">
        <v>63</v>
      </c>
      <c r="N514" t="s">
        <v>62</v>
      </c>
      <c r="O514" t="s">
        <v>87</v>
      </c>
      <c r="P514" t="s">
        <v>37</v>
      </c>
      <c r="Q514" t="s">
        <v>46</v>
      </c>
      <c r="R514" t="s">
        <v>65</v>
      </c>
      <c r="S514" t="s">
        <v>47</v>
      </c>
      <c r="T514">
        <v>0</v>
      </c>
      <c r="U514">
        <v>1</v>
      </c>
      <c r="V514">
        <v>0</v>
      </c>
      <c r="W514">
        <v>1</v>
      </c>
      <c r="X514">
        <v>1</v>
      </c>
      <c r="Y514">
        <v>0</v>
      </c>
      <c r="Z514">
        <v>1</v>
      </c>
      <c r="AA514">
        <v>0</v>
      </c>
      <c r="AB514">
        <v>1</v>
      </c>
      <c r="AC514">
        <v>0</v>
      </c>
      <c r="AD514">
        <v>0</v>
      </c>
      <c r="AE514">
        <v>0</v>
      </c>
      <c r="AF514">
        <v>0</v>
      </c>
      <c r="AG514">
        <v>0</v>
      </c>
    </row>
    <row r="515" spans="1:33" x14ac:dyDescent="0.2">
      <c r="A515">
        <v>514</v>
      </c>
      <c r="B515" t="s">
        <v>227</v>
      </c>
      <c r="C515" t="s">
        <v>108</v>
      </c>
      <c r="D515">
        <v>36</v>
      </c>
      <c r="E515" t="s">
        <v>34</v>
      </c>
      <c r="F515" t="s">
        <v>41</v>
      </c>
      <c r="G515" t="s">
        <v>72</v>
      </c>
      <c r="H515">
        <v>39590</v>
      </c>
      <c r="I515">
        <v>0</v>
      </c>
      <c r="J515">
        <v>0</v>
      </c>
      <c r="K515">
        <v>0</v>
      </c>
      <c r="L515">
        <v>1</v>
      </c>
      <c r="M515" t="s">
        <v>75</v>
      </c>
      <c r="N515" t="s">
        <v>74</v>
      </c>
      <c r="O515" t="s">
        <v>115</v>
      </c>
      <c r="P515" t="s">
        <v>37</v>
      </c>
      <c r="Q515" t="s">
        <v>46</v>
      </c>
      <c r="R515" t="s">
        <v>47</v>
      </c>
      <c r="S515" t="s">
        <v>65</v>
      </c>
      <c r="T515">
        <v>0</v>
      </c>
      <c r="U515">
        <v>1</v>
      </c>
      <c r="V515">
        <v>0</v>
      </c>
      <c r="W515">
        <v>1</v>
      </c>
      <c r="X515">
        <v>1</v>
      </c>
      <c r="Y515">
        <v>0</v>
      </c>
      <c r="Z515">
        <v>1</v>
      </c>
      <c r="AA515">
        <v>0</v>
      </c>
      <c r="AB515">
        <v>0</v>
      </c>
      <c r="AC515">
        <v>0</v>
      </c>
      <c r="AD515">
        <v>0</v>
      </c>
      <c r="AE515">
        <v>0</v>
      </c>
      <c r="AF515">
        <v>0</v>
      </c>
      <c r="AG515">
        <v>1</v>
      </c>
    </row>
    <row r="516" spans="1:33" hidden="1" x14ac:dyDescent="0.2">
      <c r="A516">
        <v>515</v>
      </c>
      <c r="B516" t="s">
        <v>227</v>
      </c>
      <c r="C516" t="s">
        <v>108</v>
      </c>
      <c r="D516">
        <v>36</v>
      </c>
      <c r="E516" t="s">
        <v>34</v>
      </c>
      <c r="F516" t="s">
        <v>53</v>
      </c>
      <c r="G516" t="s">
        <v>54</v>
      </c>
      <c r="H516">
        <v>56072</v>
      </c>
      <c r="I516">
        <v>0</v>
      </c>
      <c r="J516">
        <v>1</v>
      </c>
      <c r="K516">
        <v>0</v>
      </c>
      <c r="L516">
        <v>0</v>
      </c>
      <c r="M516" t="s">
        <v>36</v>
      </c>
      <c r="N516" t="s">
        <v>36</v>
      </c>
      <c r="O516" t="s">
        <v>36</v>
      </c>
      <c r="P516" t="s">
        <v>37</v>
      </c>
      <c r="Q516" t="s">
        <v>36</v>
      </c>
      <c r="R516" t="s">
        <v>36</v>
      </c>
      <c r="S516" t="s">
        <v>36</v>
      </c>
      <c r="T516" t="s">
        <v>36</v>
      </c>
      <c r="U516">
        <v>1</v>
      </c>
      <c r="V516">
        <v>0</v>
      </c>
      <c r="W516">
        <v>1</v>
      </c>
      <c r="X516">
        <v>1</v>
      </c>
      <c r="Y516">
        <v>0</v>
      </c>
      <c r="Z516">
        <v>1</v>
      </c>
      <c r="AA516">
        <v>0</v>
      </c>
      <c r="AB516">
        <v>0</v>
      </c>
      <c r="AC516">
        <v>0</v>
      </c>
      <c r="AD516">
        <v>0</v>
      </c>
      <c r="AE516">
        <v>0</v>
      </c>
      <c r="AF516">
        <v>0</v>
      </c>
      <c r="AG516">
        <v>1</v>
      </c>
    </row>
    <row r="517" spans="1:33" x14ac:dyDescent="0.2">
      <c r="A517">
        <v>516</v>
      </c>
      <c r="B517" t="s">
        <v>227</v>
      </c>
      <c r="C517" t="s">
        <v>108</v>
      </c>
      <c r="D517">
        <v>36</v>
      </c>
      <c r="E517" t="s">
        <v>34</v>
      </c>
      <c r="F517" t="s">
        <v>41</v>
      </c>
      <c r="G517" t="s">
        <v>49</v>
      </c>
      <c r="H517">
        <v>35935</v>
      </c>
      <c r="I517">
        <v>0</v>
      </c>
      <c r="J517">
        <v>1</v>
      </c>
      <c r="K517">
        <v>0</v>
      </c>
      <c r="L517">
        <v>0</v>
      </c>
      <c r="M517" t="s">
        <v>83</v>
      </c>
      <c r="N517" t="s">
        <v>96</v>
      </c>
      <c r="O517" t="s">
        <v>51</v>
      </c>
      <c r="P517" t="s">
        <v>37</v>
      </c>
      <c r="Q517" t="s">
        <v>59</v>
      </c>
      <c r="R517" t="s">
        <v>65</v>
      </c>
      <c r="S517" t="s">
        <v>47</v>
      </c>
      <c r="T517">
        <v>0</v>
      </c>
      <c r="U517">
        <v>1</v>
      </c>
      <c r="V517">
        <v>0</v>
      </c>
      <c r="W517">
        <v>1</v>
      </c>
      <c r="X517">
        <v>0</v>
      </c>
      <c r="Y517">
        <v>0</v>
      </c>
      <c r="Z517">
        <v>1</v>
      </c>
      <c r="AA517">
        <v>0</v>
      </c>
      <c r="AB517">
        <v>1</v>
      </c>
      <c r="AC517">
        <v>0</v>
      </c>
      <c r="AD517">
        <v>0</v>
      </c>
      <c r="AE517">
        <v>0</v>
      </c>
      <c r="AF517">
        <v>0</v>
      </c>
      <c r="AG517">
        <v>0</v>
      </c>
    </row>
    <row r="518" spans="1:33" hidden="1" x14ac:dyDescent="0.2">
      <c r="A518">
        <v>517</v>
      </c>
      <c r="B518" t="s">
        <v>227</v>
      </c>
      <c r="C518" t="s">
        <v>108</v>
      </c>
      <c r="D518">
        <v>36</v>
      </c>
      <c r="E518" t="s">
        <v>34</v>
      </c>
      <c r="F518" t="s">
        <v>53</v>
      </c>
      <c r="G518" t="s">
        <v>66</v>
      </c>
      <c r="H518">
        <v>39727</v>
      </c>
      <c r="I518">
        <v>0</v>
      </c>
      <c r="J518">
        <v>0</v>
      </c>
      <c r="K518">
        <v>1</v>
      </c>
      <c r="L518">
        <v>0</v>
      </c>
      <c r="M518" t="s">
        <v>36</v>
      </c>
      <c r="N518" t="s">
        <v>36</v>
      </c>
      <c r="O518" t="s">
        <v>36</v>
      </c>
      <c r="P518" t="s">
        <v>37</v>
      </c>
      <c r="Q518" t="s">
        <v>36</v>
      </c>
      <c r="R518" t="s">
        <v>36</v>
      </c>
      <c r="S518" t="s">
        <v>36</v>
      </c>
      <c r="T518" t="s">
        <v>36</v>
      </c>
      <c r="U518">
        <v>1</v>
      </c>
      <c r="V518">
        <v>0</v>
      </c>
      <c r="W518">
        <v>1</v>
      </c>
      <c r="X518">
        <v>0</v>
      </c>
      <c r="Y518">
        <v>0</v>
      </c>
      <c r="Z518">
        <v>1</v>
      </c>
      <c r="AA518">
        <v>0</v>
      </c>
      <c r="AB518">
        <v>1</v>
      </c>
      <c r="AC518">
        <v>0</v>
      </c>
      <c r="AD518">
        <v>0</v>
      </c>
      <c r="AE518">
        <v>0</v>
      </c>
      <c r="AF518">
        <v>0</v>
      </c>
      <c r="AG518">
        <v>0</v>
      </c>
    </row>
    <row r="519" spans="1:33" hidden="1" x14ac:dyDescent="0.2">
      <c r="A519">
        <v>518</v>
      </c>
      <c r="B519" t="s">
        <v>227</v>
      </c>
      <c r="C519" t="s">
        <v>108</v>
      </c>
      <c r="D519">
        <v>36</v>
      </c>
      <c r="E519" t="s">
        <v>34</v>
      </c>
      <c r="F519" t="s">
        <v>77</v>
      </c>
      <c r="G519" t="s">
        <v>36</v>
      </c>
      <c r="H519">
        <v>82887</v>
      </c>
      <c r="I519" t="s">
        <v>228</v>
      </c>
      <c r="J519" t="s">
        <v>229</v>
      </c>
      <c r="K519" t="s">
        <v>230</v>
      </c>
      <c r="L519" t="s">
        <v>36</v>
      </c>
      <c r="M519" t="s">
        <v>36</v>
      </c>
      <c r="N519" t="s">
        <v>36</v>
      </c>
      <c r="O519" t="s">
        <v>36</v>
      </c>
      <c r="P519" t="s">
        <v>37</v>
      </c>
      <c r="Q519" t="s">
        <v>36</v>
      </c>
      <c r="R519" t="s">
        <v>36</v>
      </c>
      <c r="S519" t="s">
        <v>36</v>
      </c>
      <c r="T519" t="s">
        <v>36</v>
      </c>
      <c r="U519" t="s">
        <v>36</v>
      </c>
      <c r="V519" t="s">
        <v>36</v>
      </c>
      <c r="W519" t="s">
        <v>36</v>
      </c>
      <c r="X519" t="s">
        <v>36</v>
      </c>
      <c r="Y519" t="s">
        <v>36</v>
      </c>
      <c r="Z519" t="s">
        <v>36</v>
      </c>
      <c r="AA519" t="s">
        <v>36</v>
      </c>
      <c r="AB519" t="s">
        <v>36</v>
      </c>
      <c r="AC519" t="s">
        <v>36</v>
      </c>
      <c r="AD519" t="s">
        <v>36</v>
      </c>
      <c r="AE519" t="s">
        <v>36</v>
      </c>
      <c r="AF519" t="s">
        <v>36</v>
      </c>
      <c r="AG519" t="s">
        <v>36</v>
      </c>
    </row>
    <row r="520" spans="1:33" hidden="1" x14ac:dyDescent="0.2">
      <c r="A520">
        <v>519</v>
      </c>
      <c r="B520" t="s">
        <v>231</v>
      </c>
      <c r="C520" t="s">
        <v>108</v>
      </c>
      <c r="D520">
        <v>49</v>
      </c>
      <c r="E520" t="s">
        <v>34</v>
      </c>
      <c r="F520" t="s">
        <v>35</v>
      </c>
      <c r="G520" t="s">
        <v>36</v>
      </c>
      <c r="H520">
        <v>51942</v>
      </c>
      <c r="I520" t="s">
        <v>36</v>
      </c>
      <c r="J520" t="s">
        <v>36</v>
      </c>
      <c r="K520" t="s">
        <v>36</v>
      </c>
      <c r="L520" t="s">
        <v>36</v>
      </c>
      <c r="M520" t="s">
        <v>36</v>
      </c>
      <c r="N520" t="s">
        <v>36</v>
      </c>
      <c r="O520" t="s">
        <v>36</v>
      </c>
      <c r="P520" t="s">
        <v>37</v>
      </c>
      <c r="Q520" t="s">
        <v>36</v>
      </c>
      <c r="R520" t="s">
        <v>36</v>
      </c>
      <c r="S520" t="s">
        <v>36</v>
      </c>
      <c r="T520" t="s">
        <v>36</v>
      </c>
      <c r="U520" t="s">
        <v>36</v>
      </c>
      <c r="V520" t="s">
        <v>36</v>
      </c>
      <c r="W520" t="s">
        <v>36</v>
      </c>
      <c r="X520" t="s">
        <v>36</v>
      </c>
      <c r="Y520" t="s">
        <v>36</v>
      </c>
      <c r="Z520" t="s">
        <v>36</v>
      </c>
      <c r="AA520" t="s">
        <v>36</v>
      </c>
      <c r="AB520" t="s">
        <v>36</v>
      </c>
      <c r="AC520" t="s">
        <v>36</v>
      </c>
      <c r="AD520" t="s">
        <v>36</v>
      </c>
      <c r="AE520" t="s">
        <v>36</v>
      </c>
      <c r="AF520" t="s">
        <v>36</v>
      </c>
      <c r="AG520" t="s">
        <v>36</v>
      </c>
    </row>
    <row r="521" spans="1:33" hidden="1" x14ac:dyDescent="0.2">
      <c r="A521">
        <v>520</v>
      </c>
      <c r="B521" t="s">
        <v>231</v>
      </c>
      <c r="C521" t="s">
        <v>108</v>
      </c>
      <c r="D521">
        <v>49</v>
      </c>
      <c r="E521" t="s">
        <v>34</v>
      </c>
      <c r="F521" t="s">
        <v>38</v>
      </c>
      <c r="G521" t="s">
        <v>40</v>
      </c>
      <c r="H521">
        <v>21680</v>
      </c>
      <c r="I521">
        <v>0</v>
      </c>
      <c r="J521">
        <v>0</v>
      </c>
      <c r="K521">
        <v>0</v>
      </c>
      <c r="L521">
        <v>1</v>
      </c>
      <c r="M521" t="s">
        <v>36</v>
      </c>
      <c r="N521" t="s">
        <v>36</v>
      </c>
      <c r="O521" t="s">
        <v>36</v>
      </c>
      <c r="P521" t="s">
        <v>37</v>
      </c>
      <c r="Q521" t="s">
        <v>36</v>
      </c>
      <c r="R521" t="s">
        <v>36</v>
      </c>
      <c r="S521" t="s">
        <v>36</v>
      </c>
      <c r="T521" t="s">
        <v>36</v>
      </c>
      <c r="U521" t="s">
        <v>36</v>
      </c>
      <c r="V521" t="s">
        <v>36</v>
      </c>
      <c r="W521" t="s">
        <v>36</v>
      </c>
      <c r="X521" t="s">
        <v>36</v>
      </c>
      <c r="Y521" t="s">
        <v>36</v>
      </c>
      <c r="Z521" t="s">
        <v>36</v>
      </c>
      <c r="AA521" t="s">
        <v>36</v>
      </c>
      <c r="AB521" t="s">
        <v>36</v>
      </c>
      <c r="AC521" t="s">
        <v>36</v>
      </c>
      <c r="AD521" t="s">
        <v>36</v>
      </c>
      <c r="AE521" t="s">
        <v>36</v>
      </c>
      <c r="AF521" t="s">
        <v>36</v>
      </c>
      <c r="AG521" t="s">
        <v>36</v>
      </c>
    </row>
    <row r="522" spans="1:33" hidden="1" x14ac:dyDescent="0.2">
      <c r="A522">
        <v>521</v>
      </c>
      <c r="B522" t="s">
        <v>231</v>
      </c>
      <c r="C522" t="s">
        <v>108</v>
      </c>
      <c r="D522">
        <v>49</v>
      </c>
      <c r="E522" t="s">
        <v>34</v>
      </c>
      <c r="F522" t="s">
        <v>38</v>
      </c>
      <c r="G522" t="s">
        <v>39</v>
      </c>
      <c r="H522">
        <v>36682</v>
      </c>
      <c r="I522">
        <v>1</v>
      </c>
      <c r="J522">
        <v>1</v>
      </c>
      <c r="K522">
        <v>0</v>
      </c>
      <c r="L522">
        <v>0</v>
      </c>
      <c r="M522" t="s">
        <v>36</v>
      </c>
      <c r="N522" t="s">
        <v>36</v>
      </c>
      <c r="O522" t="s">
        <v>36</v>
      </c>
      <c r="P522" t="s">
        <v>37</v>
      </c>
      <c r="Q522" t="s">
        <v>36</v>
      </c>
      <c r="R522" t="s">
        <v>36</v>
      </c>
      <c r="S522" t="s">
        <v>36</v>
      </c>
      <c r="T522" t="s">
        <v>36</v>
      </c>
      <c r="U522" t="s">
        <v>36</v>
      </c>
      <c r="V522" t="s">
        <v>36</v>
      </c>
      <c r="W522" t="s">
        <v>36</v>
      </c>
      <c r="X522" t="s">
        <v>36</v>
      </c>
      <c r="Y522" t="s">
        <v>36</v>
      </c>
      <c r="Z522" t="s">
        <v>36</v>
      </c>
      <c r="AA522" t="s">
        <v>36</v>
      </c>
      <c r="AB522" t="s">
        <v>36</v>
      </c>
      <c r="AC522" t="s">
        <v>36</v>
      </c>
      <c r="AD522" t="s">
        <v>36</v>
      </c>
      <c r="AE522" t="s">
        <v>36</v>
      </c>
      <c r="AF522" t="s">
        <v>36</v>
      </c>
      <c r="AG522" t="s">
        <v>36</v>
      </c>
    </row>
    <row r="523" spans="1:33" x14ac:dyDescent="0.2">
      <c r="A523">
        <v>522</v>
      </c>
      <c r="B523" t="s">
        <v>231</v>
      </c>
      <c r="C523" t="s">
        <v>108</v>
      </c>
      <c r="D523">
        <v>49</v>
      </c>
      <c r="E523" t="s">
        <v>34</v>
      </c>
      <c r="F523" t="s">
        <v>41</v>
      </c>
      <c r="G523" t="s">
        <v>49</v>
      </c>
      <c r="H523">
        <v>32523</v>
      </c>
      <c r="I523">
        <v>0</v>
      </c>
      <c r="J523">
        <v>0</v>
      </c>
      <c r="K523">
        <v>1</v>
      </c>
      <c r="L523">
        <v>0</v>
      </c>
      <c r="M523" t="s">
        <v>83</v>
      </c>
      <c r="N523" t="s">
        <v>95</v>
      </c>
      <c r="O523" t="s">
        <v>96</v>
      </c>
      <c r="P523" t="s">
        <v>37</v>
      </c>
      <c r="Q523" t="s">
        <v>59</v>
      </c>
      <c r="R523" t="s">
        <v>60</v>
      </c>
      <c r="S523" t="s">
        <v>65</v>
      </c>
      <c r="T523">
        <v>1</v>
      </c>
      <c r="U523">
        <v>1</v>
      </c>
      <c r="V523">
        <v>0</v>
      </c>
      <c r="W523">
        <v>0</v>
      </c>
      <c r="X523">
        <v>0</v>
      </c>
      <c r="Y523">
        <v>0</v>
      </c>
      <c r="Z523">
        <v>1</v>
      </c>
      <c r="AA523">
        <v>0</v>
      </c>
      <c r="AB523">
        <v>1</v>
      </c>
      <c r="AC523">
        <v>0</v>
      </c>
      <c r="AD523">
        <v>0</v>
      </c>
      <c r="AE523">
        <v>0</v>
      </c>
      <c r="AF523">
        <v>0</v>
      </c>
      <c r="AG523">
        <v>0</v>
      </c>
    </row>
    <row r="524" spans="1:33" x14ac:dyDescent="0.2">
      <c r="A524">
        <v>523</v>
      </c>
      <c r="B524" t="s">
        <v>231</v>
      </c>
      <c r="C524" t="s">
        <v>108</v>
      </c>
      <c r="D524">
        <v>49</v>
      </c>
      <c r="E524" t="s">
        <v>34</v>
      </c>
      <c r="F524" t="s">
        <v>41</v>
      </c>
      <c r="G524" t="s">
        <v>55</v>
      </c>
      <c r="H524">
        <v>23376</v>
      </c>
      <c r="I524">
        <v>0</v>
      </c>
      <c r="J524">
        <v>0</v>
      </c>
      <c r="K524">
        <v>0</v>
      </c>
      <c r="L524">
        <v>1</v>
      </c>
      <c r="M524" t="s">
        <v>58</v>
      </c>
      <c r="N524" t="s">
        <v>56</v>
      </c>
      <c r="O524" t="s">
        <v>94</v>
      </c>
      <c r="P524" t="s">
        <v>37</v>
      </c>
      <c r="Q524" t="s">
        <v>60</v>
      </c>
      <c r="R524" t="s">
        <v>59</v>
      </c>
      <c r="S524" t="s">
        <v>47</v>
      </c>
      <c r="T524">
        <v>1</v>
      </c>
      <c r="U524">
        <v>0</v>
      </c>
      <c r="V524">
        <v>0</v>
      </c>
      <c r="W524">
        <v>1</v>
      </c>
      <c r="X524">
        <v>0</v>
      </c>
      <c r="Y524">
        <v>0</v>
      </c>
      <c r="Z524">
        <v>1</v>
      </c>
      <c r="AA524">
        <v>0</v>
      </c>
      <c r="AB524">
        <v>0</v>
      </c>
      <c r="AC524">
        <v>0</v>
      </c>
      <c r="AD524">
        <v>0</v>
      </c>
      <c r="AE524">
        <v>0</v>
      </c>
      <c r="AF524">
        <v>0</v>
      </c>
      <c r="AG524">
        <v>1</v>
      </c>
    </row>
    <row r="525" spans="1:33" hidden="1" x14ac:dyDescent="0.2">
      <c r="A525">
        <v>524</v>
      </c>
      <c r="B525" t="s">
        <v>231</v>
      </c>
      <c r="C525" t="s">
        <v>108</v>
      </c>
      <c r="D525">
        <v>49</v>
      </c>
      <c r="E525" t="s">
        <v>34</v>
      </c>
      <c r="F525" t="s">
        <v>53</v>
      </c>
      <c r="G525" t="s">
        <v>76</v>
      </c>
      <c r="H525">
        <v>26178</v>
      </c>
      <c r="I525">
        <v>1</v>
      </c>
      <c r="J525">
        <v>0</v>
      </c>
      <c r="K525">
        <v>0</v>
      </c>
      <c r="L525">
        <v>0</v>
      </c>
      <c r="M525" t="s">
        <v>36</v>
      </c>
      <c r="N525" t="s">
        <v>36</v>
      </c>
      <c r="O525" t="s">
        <v>36</v>
      </c>
      <c r="P525" t="s">
        <v>37</v>
      </c>
      <c r="Q525" t="s">
        <v>36</v>
      </c>
      <c r="R525" t="s">
        <v>36</v>
      </c>
      <c r="S525" t="s">
        <v>36</v>
      </c>
      <c r="T525" t="s">
        <v>36</v>
      </c>
      <c r="U525">
        <v>0</v>
      </c>
      <c r="V525">
        <v>0</v>
      </c>
      <c r="W525">
        <v>1</v>
      </c>
      <c r="X525">
        <v>0</v>
      </c>
      <c r="Y525">
        <v>0</v>
      </c>
      <c r="Z525">
        <v>1</v>
      </c>
      <c r="AA525">
        <v>0</v>
      </c>
      <c r="AB525">
        <v>0</v>
      </c>
      <c r="AC525">
        <v>0</v>
      </c>
      <c r="AD525">
        <v>0</v>
      </c>
      <c r="AE525">
        <v>0</v>
      </c>
      <c r="AF525">
        <v>0</v>
      </c>
      <c r="AG525">
        <v>1</v>
      </c>
    </row>
    <row r="526" spans="1:33" x14ac:dyDescent="0.2">
      <c r="A526">
        <v>525</v>
      </c>
      <c r="B526" t="s">
        <v>231</v>
      </c>
      <c r="C526" t="s">
        <v>108</v>
      </c>
      <c r="D526">
        <v>49</v>
      </c>
      <c r="E526" t="s">
        <v>34</v>
      </c>
      <c r="F526" t="s">
        <v>41</v>
      </c>
      <c r="G526" t="s">
        <v>72</v>
      </c>
      <c r="H526">
        <v>10768</v>
      </c>
      <c r="I526">
        <v>0</v>
      </c>
      <c r="J526">
        <v>1</v>
      </c>
      <c r="K526">
        <v>0</v>
      </c>
      <c r="L526">
        <v>0</v>
      </c>
      <c r="M526" t="s">
        <v>75</v>
      </c>
      <c r="N526" t="s">
        <v>73</v>
      </c>
      <c r="O526" t="s">
        <v>93</v>
      </c>
      <c r="P526" t="s">
        <v>37</v>
      </c>
      <c r="Q526" t="s">
        <v>46</v>
      </c>
      <c r="R526" t="s">
        <v>48</v>
      </c>
      <c r="S526" t="s">
        <v>59</v>
      </c>
      <c r="T526">
        <v>0</v>
      </c>
      <c r="U526">
        <v>0</v>
      </c>
      <c r="V526">
        <v>1</v>
      </c>
      <c r="W526">
        <v>0</v>
      </c>
      <c r="X526">
        <v>1</v>
      </c>
      <c r="Y526">
        <v>0</v>
      </c>
      <c r="Z526">
        <v>1</v>
      </c>
      <c r="AA526">
        <v>0</v>
      </c>
      <c r="AB526">
        <v>0</v>
      </c>
      <c r="AC526">
        <v>1</v>
      </c>
      <c r="AD526">
        <v>0</v>
      </c>
      <c r="AE526">
        <v>0</v>
      </c>
      <c r="AF526">
        <v>0</v>
      </c>
      <c r="AG526">
        <v>0</v>
      </c>
    </row>
    <row r="527" spans="1:33" hidden="1" x14ac:dyDescent="0.2">
      <c r="A527">
        <v>526</v>
      </c>
      <c r="B527" t="s">
        <v>231</v>
      </c>
      <c r="C527" t="s">
        <v>108</v>
      </c>
      <c r="D527">
        <v>49</v>
      </c>
      <c r="E527" t="s">
        <v>34</v>
      </c>
      <c r="F527" t="s">
        <v>53</v>
      </c>
      <c r="G527" t="s">
        <v>66</v>
      </c>
      <c r="H527">
        <v>23552</v>
      </c>
      <c r="I527">
        <v>0</v>
      </c>
      <c r="J527">
        <v>1</v>
      </c>
      <c r="K527">
        <v>0</v>
      </c>
      <c r="L527">
        <v>0</v>
      </c>
      <c r="M527" t="s">
        <v>36</v>
      </c>
      <c r="N527" t="s">
        <v>36</v>
      </c>
      <c r="O527" t="s">
        <v>36</v>
      </c>
      <c r="P527" t="s">
        <v>37</v>
      </c>
      <c r="Q527" t="s">
        <v>36</v>
      </c>
      <c r="R527" t="s">
        <v>36</v>
      </c>
      <c r="S527" t="s">
        <v>36</v>
      </c>
      <c r="T527" t="s">
        <v>36</v>
      </c>
      <c r="U527">
        <v>0</v>
      </c>
      <c r="V527">
        <v>1</v>
      </c>
      <c r="W527">
        <v>0</v>
      </c>
      <c r="X527">
        <v>1</v>
      </c>
      <c r="Y527">
        <v>0</v>
      </c>
      <c r="Z527">
        <v>1</v>
      </c>
      <c r="AA527">
        <v>0</v>
      </c>
      <c r="AB527">
        <v>0</v>
      </c>
      <c r="AC527">
        <v>1</v>
      </c>
      <c r="AD527">
        <v>0</v>
      </c>
      <c r="AE527">
        <v>0</v>
      </c>
      <c r="AF527">
        <v>0</v>
      </c>
      <c r="AG527">
        <v>0</v>
      </c>
    </row>
    <row r="528" spans="1:33" x14ac:dyDescent="0.2">
      <c r="A528">
        <v>527</v>
      </c>
      <c r="B528" t="s">
        <v>231</v>
      </c>
      <c r="C528" t="s">
        <v>108</v>
      </c>
      <c r="D528">
        <v>49</v>
      </c>
      <c r="E528" t="s">
        <v>34</v>
      </c>
      <c r="F528" t="s">
        <v>41</v>
      </c>
      <c r="G528" t="s">
        <v>67</v>
      </c>
      <c r="H528">
        <v>43269</v>
      </c>
      <c r="I528">
        <v>0</v>
      </c>
      <c r="J528">
        <v>0</v>
      </c>
      <c r="K528">
        <v>1</v>
      </c>
      <c r="L528">
        <v>0</v>
      </c>
      <c r="M528" t="s">
        <v>69</v>
      </c>
      <c r="N528" t="s">
        <v>103</v>
      </c>
      <c r="O528" t="s">
        <v>68</v>
      </c>
      <c r="P528" t="s">
        <v>37</v>
      </c>
      <c r="Q528" t="s">
        <v>48</v>
      </c>
      <c r="R528" t="s">
        <v>60</v>
      </c>
      <c r="S528" t="s">
        <v>65</v>
      </c>
      <c r="T528">
        <v>1</v>
      </c>
      <c r="U528">
        <v>1</v>
      </c>
      <c r="V528">
        <v>1</v>
      </c>
      <c r="W528">
        <v>0</v>
      </c>
      <c r="X528">
        <v>0</v>
      </c>
      <c r="Y528">
        <v>0</v>
      </c>
      <c r="Z528">
        <v>1</v>
      </c>
      <c r="AA528">
        <v>0</v>
      </c>
      <c r="AB528">
        <v>1</v>
      </c>
      <c r="AC528">
        <v>0</v>
      </c>
      <c r="AD528">
        <v>0</v>
      </c>
      <c r="AE528">
        <v>0</v>
      </c>
      <c r="AF528">
        <v>0</v>
      </c>
      <c r="AG528">
        <v>0</v>
      </c>
    </row>
    <row r="529" spans="1:33" x14ac:dyDescent="0.2">
      <c r="A529">
        <v>528</v>
      </c>
      <c r="B529" t="s">
        <v>231</v>
      </c>
      <c r="C529" t="s">
        <v>108</v>
      </c>
      <c r="D529">
        <v>49</v>
      </c>
      <c r="E529" t="s">
        <v>34</v>
      </c>
      <c r="F529" t="s">
        <v>41</v>
      </c>
      <c r="G529" t="s">
        <v>61</v>
      </c>
      <c r="H529">
        <v>86149</v>
      </c>
      <c r="I529">
        <v>1</v>
      </c>
      <c r="J529">
        <v>0</v>
      </c>
      <c r="K529">
        <v>0</v>
      </c>
      <c r="L529">
        <v>0</v>
      </c>
      <c r="M529" t="s">
        <v>97</v>
      </c>
      <c r="N529" t="s">
        <v>62</v>
      </c>
      <c r="O529" t="s">
        <v>125</v>
      </c>
      <c r="P529" t="s">
        <v>37</v>
      </c>
      <c r="Q529" t="s">
        <v>59</v>
      </c>
      <c r="R529" t="s">
        <v>65</v>
      </c>
      <c r="S529" t="s">
        <v>60</v>
      </c>
      <c r="T529">
        <v>1</v>
      </c>
      <c r="U529">
        <v>1</v>
      </c>
      <c r="V529">
        <v>0</v>
      </c>
      <c r="W529">
        <v>0</v>
      </c>
      <c r="X529">
        <v>0</v>
      </c>
      <c r="Y529">
        <v>0</v>
      </c>
      <c r="Z529">
        <v>1</v>
      </c>
      <c r="AA529">
        <v>0</v>
      </c>
      <c r="AB529">
        <v>0</v>
      </c>
      <c r="AC529">
        <v>0</v>
      </c>
      <c r="AD529">
        <v>0</v>
      </c>
      <c r="AE529">
        <v>0</v>
      </c>
      <c r="AF529">
        <v>0</v>
      </c>
      <c r="AG529">
        <v>0</v>
      </c>
    </row>
    <row r="530" spans="1:33" hidden="1" x14ac:dyDescent="0.2">
      <c r="A530">
        <v>529</v>
      </c>
      <c r="B530" t="s">
        <v>231</v>
      </c>
      <c r="C530" t="s">
        <v>108</v>
      </c>
      <c r="D530">
        <v>49</v>
      </c>
      <c r="E530" t="s">
        <v>34</v>
      </c>
      <c r="F530" t="s">
        <v>53</v>
      </c>
      <c r="G530" t="s">
        <v>71</v>
      </c>
      <c r="H530">
        <v>84358</v>
      </c>
      <c r="I530">
        <v>0</v>
      </c>
      <c r="J530">
        <v>1</v>
      </c>
      <c r="K530">
        <v>0</v>
      </c>
      <c r="L530">
        <v>0</v>
      </c>
      <c r="M530" t="s">
        <v>36</v>
      </c>
      <c r="N530" t="s">
        <v>36</v>
      </c>
      <c r="O530" t="s">
        <v>36</v>
      </c>
      <c r="P530" t="s">
        <v>37</v>
      </c>
      <c r="Q530" t="s">
        <v>36</v>
      </c>
      <c r="R530" t="s">
        <v>36</v>
      </c>
      <c r="S530" t="s">
        <v>36</v>
      </c>
      <c r="T530" t="s">
        <v>36</v>
      </c>
      <c r="U530">
        <v>1</v>
      </c>
      <c r="V530">
        <v>0</v>
      </c>
      <c r="W530">
        <v>0</v>
      </c>
      <c r="X530">
        <v>0</v>
      </c>
      <c r="Y530">
        <v>0</v>
      </c>
      <c r="Z530">
        <v>1</v>
      </c>
      <c r="AA530">
        <v>0</v>
      </c>
      <c r="AB530">
        <v>0</v>
      </c>
      <c r="AC530">
        <v>0</v>
      </c>
      <c r="AD530">
        <v>0</v>
      </c>
      <c r="AE530">
        <v>0</v>
      </c>
      <c r="AF530">
        <v>0</v>
      </c>
      <c r="AG530">
        <v>0</v>
      </c>
    </row>
    <row r="531" spans="1:33" x14ac:dyDescent="0.2">
      <c r="A531">
        <v>530</v>
      </c>
      <c r="B531" t="s">
        <v>231</v>
      </c>
      <c r="C531" t="s">
        <v>108</v>
      </c>
      <c r="D531">
        <v>49</v>
      </c>
      <c r="E531" t="s">
        <v>34</v>
      </c>
      <c r="F531" t="s">
        <v>41</v>
      </c>
      <c r="G531" t="s">
        <v>42</v>
      </c>
      <c r="H531">
        <v>185076</v>
      </c>
      <c r="I531">
        <v>1</v>
      </c>
      <c r="J531">
        <v>0</v>
      </c>
      <c r="K531">
        <v>0</v>
      </c>
      <c r="L531">
        <v>0</v>
      </c>
      <c r="M531" t="s">
        <v>43</v>
      </c>
      <c r="N531" t="s">
        <v>44</v>
      </c>
      <c r="O531" t="s">
        <v>45</v>
      </c>
      <c r="P531" t="s">
        <v>37</v>
      </c>
      <c r="Q531" t="s">
        <v>46</v>
      </c>
      <c r="R531" t="s">
        <v>47</v>
      </c>
      <c r="S531" t="s">
        <v>48</v>
      </c>
      <c r="T531">
        <v>0</v>
      </c>
      <c r="U531">
        <v>0</v>
      </c>
      <c r="V531">
        <v>1</v>
      </c>
      <c r="W531">
        <v>1</v>
      </c>
      <c r="X531">
        <v>1</v>
      </c>
      <c r="Y531">
        <v>0</v>
      </c>
      <c r="Z531">
        <v>1</v>
      </c>
      <c r="AA531">
        <v>0</v>
      </c>
      <c r="AB531">
        <v>0</v>
      </c>
      <c r="AC531">
        <v>0</v>
      </c>
      <c r="AD531">
        <v>0</v>
      </c>
      <c r="AE531">
        <v>1</v>
      </c>
      <c r="AF531">
        <v>0</v>
      </c>
      <c r="AG531">
        <v>0</v>
      </c>
    </row>
    <row r="532" spans="1:33" hidden="1" x14ac:dyDescent="0.2">
      <c r="A532">
        <v>531</v>
      </c>
      <c r="B532" t="s">
        <v>231</v>
      </c>
      <c r="C532" t="s">
        <v>108</v>
      </c>
      <c r="D532">
        <v>49</v>
      </c>
      <c r="E532" t="s">
        <v>34</v>
      </c>
      <c r="F532" t="s">
        <v>53</v>
      </c>
      <c r="G532" t="s">
        <v>54</v>
      </c>
      <c r="H532">
        <v>33552</v>
      </c>
      <c r="I532">
        <v>0</v>
      </c>
      <c r="J532">
        <v>0</v>
      </c>
      <c r="K532">
        <v>0</v>
      </c>
      <c r="L532">
        <v>1</v>
      </c>
      <c r="M532" t="s">
        <v>36</v>
      </c>
      <c r="N532" t="s">
        <v>36</v>
      </c>
      <c r="O532" t="s">
        <v>36</v>
      </c>
      <c r="P532" t="s">
        <v>37</v>
      </c>
      <c r="Q532" t="s">
        <v>36</v>
      </c>
      <c r="R532" t="s">
        <v>36</v>
      </c>
      <c r="S532" t="s">
        <v>36</v>
      </c>
      <c r="T532" t="s">
        <v>36</v>
      </c>
      <c r="U532">
        <v>0</v>
      </c>
      <c r="V532">
        <v>1</v>
      </c>
      <c r="W532">
        <v>1</v>
      </c>
      <c r="X532">
        <v>1</v>
      </c>
      <c r="Y532">
        <v>0</v>
      </c>
      <c r="Z532">
        <v>1</v>
      </c>
      <c r="AA532">
        <v>0</v>
      </c>
      <c r="AB532">
        <v>0</v>
      </c>
      <c r="AC532">
        <v>0</v>
      </c>
      <c r="AD532">
        <v>0</v>
      </c>
      <c r="AE532">
        <v>1</v>
      </c>
      <c r="AF532">
        <v>0</v>
      </c>
      <c r="AG532">
        <v>0</v>
      </c>
    </row>
    <row r="533" spans="1:33" hidden="1" x14ac:dyDescent="0.2">
      <c r="A533">
        <v>532</v>
      </c>
      <c r="B533" t="s">
        <v>231</v>
      </c>
      <c r="C533" t="s">
        <v>108</v>
      </c>
      <c r="D533">
        <v>49</v>
      </c>
      <c r="E533" t="s">
        <v>34</v>
      </c>
      <c r="F533" t="s">
        <v>77</v>
      </c>
      <c r="G533" t="s">
        <v>36</v>
      </c>
      <c r="H533">
        <v>125779</v>
      </c>
      <c r="I533" t="s">
        <v>232</v>
      </c>
      <c r="J533" t="s">
        <v>233</v>
      </c>
      <c r="K533" t="s">
        <v>234</v>
      </c>
      <c r="L533" t="s">
        <v>36</v>
      </c>
      <c r="M533" t="s">
        <v>36</v>
      </c>
      <c r="N533" t="s">
        <v>36</v>
      </c>
      <c r="O533" t="s">
        <v>36</v>
      </c>
      <c r="P533" t="s">
        <v>37</v>
      </c>
      <c r="Q533" t="s">
        <v>36</v>
      </c>
      <c r="R533" t="s">
        <v>36</v>
      </c>
      <c r="S533" t="s">
        <v>36</v>
      </c>
      <c r="T533" t="s">
        <v>36</v>
      </c>
      <c r="U533" t="s">
        <v>36</v>
      </c>
      <c r="V533" t="s">
        <v>36</v>
      </c>
      <c r="W533" t="s">
        <v>36</v>
      </c>
      <c r="X533" t="s">
        <v>36</v>
      </c>
      <c r="Y533" t="s">
        <v>36</v>
      </c>
      <c r="Z533" t="s">
        <v>36</v>
      </c>
      <c r="AA533" t="s">
        <v>36</v>
      </c>
      <c r="AB533" t="s">
        <v>36</v>
      </c>
      <c r="AC533" t="s">
        <v>36</v>
      </c>
      <c r="AD533" t="s">
        <v>36</v>
      </c>
      <c r="AE533" t="s">
        <v>36</v>
      </c>
      <c r="AF533" t="s">
        <v>36</v>
      </c>
      <c r="AG533" t="s">
        <v>36</v>
      </c>
    </row>
    <row r="534" spans="1:33" hidden="1" x14ac:dyDescent="0.2">
      <c r="A534">
        <v>533</v>
      </c>
      <c r="B534" t="s">
        <v>235</v>
      </c>
      <c r="C534" t="s">
        <v>33</v>
      </c>
      <c r="D534">
        <v>63</v>
      </c>
      <c r="E534" t="s">
        <v>114</v>
      </c>
      <c r="F534" t="s">
        <v>35</v>
      </c>
      <c r="G534" t="s">
        <v>36</v>
      </c>
      <c r="H534">
        <v>44382</v>
      </c>
      <c r="I534" t="s">
        <v>36</v>
      </c>
      <c r="J534" t="s">
        <v>36</v>
      </c>
      <c r="K534" t="s">
        <v>36</v>
      </c>
      <c r="L534" t="s">
        <v>36</v>
      </c>
      <c r="M534" t="s">
        <v>36</v>
      </c>
      <c r="N534" t="s">
        <v>36</v>
      </c>
      <c r="O534" t="s">
        <v>36</v>
      </c>
      <c r="P534" t="s">
        <v>37</v>
      </c>
      <c r="Q534" t="s">
        <v>36</v>
      </c>
      <c r="R534" t="s">
        <v>36</v>
      </c>
      <c r="S534" t="s">
        <v>36</v>
      </c>
      <c r="T534" t="s">
        <v>36</v>
      </c>
      <c r="U534" t="s">
        <v>36</v>
      </c>
      <c r="V534" t="s">
        <v>36</v>
      </c>
      <c r="W534" t="s">
        <v>36</v>
      </c>
      <c r="X534" t="s">
        <v>36</v>
      </c>
      <c r="Y534" t="s">
        <v>36</v>
      </c>
      <c r="Z534" t="s">
        <v>36</v>
      </c>
      <c r="AA534" t="s">
        <v>36</v>
      </c>
      <c r="AB534" t="s">
        <v>36</v>
      </c>
      <c r="AC534" t="s">
        <v>36</v>
      </c>
      <c r="AD534" t="s">
        <v>36</v>
      </c>
      <c r="AE534" t="s">
        <v>36</v>
      </c>
      <c r="AF534" t="s">
        <v>36</v>
      </c>
      <c r="AG534" t="s">
        <v>36</v>
      </c>
    </row>
    <row r="535" spans="1:33" hidden="1" x14ac:dyDescent="0.2">
      <c r="A535">
        <v>534</v>
      </c>
      <c r="B535" t="s">
        <v>235</v>
      </c>
      <c r="C535" t="s">
        <v>33</v>
      </c>
      <c r="D535">
        <v>63</v>
      </c>
      <c r="E535" t="s">
        <v>114</v>
      </c>
      <c r="F535" t="s">
        <v>38</v>
      </c>
      <c r="G535" t="s">
        <v>40</v>
      </c>
      <c r="H535">
        <v>40195</v>
      </c>
      <c r="I535">
        <v>0</v>
      </c>
      <c r="J535">
        <v>0</v>
      </c>
      <c r="K535">
        <v>1</v>
      </c>
      <c r="L535">
        <v>0</v>
      </c>
      <c r="M535" t="s">
        <v>36</v>
      </c>
      <c r="N535" t="s">
        <v>36</v>
      </c>
      <c r="O535" t="s">
        <v>36</v>
      </c>
      <c r="P535" t="s">
        <v>37</v>
      </c>
      <c r="Q535" t="s">
        <v>36</v>
      </c>
      <c r="R535" t="s">
        <v>36</v>
      </c>
      <c r="S535" t="s">
        <v>36</v>
      </c>
      <c r="T535" t="s">
        <v>36</v>
      </c>
      <c r="U535" t="s">
        <v>36</v>
      </c>
      <c r="V535" t="s">
        <v>36</v>
      </c>
      <c r="W535" t="s">
        <v>36</v>
      </c>
      <c r="X535" t="s">
        <v>36</v>
      </c>
      <c r="Y535" t="s">
        <v>36</v>
      </c>
      <c r="Z535" t="s">
        <v>36</v>
      </c>
      <c r="AA535" t="s">
        <v>36</v>
      </c>
      <c r="AB535" t="s">
        <v>36</v>
      </c>
      <c r="AC535" t="s">
        <v>36</v>
      </c>
      <c r="AD535" t="s">
        <v>36</v>
      </c>
      <c r="AE535" t="s">
        <v>36</v>
      </c>
      <c r="AF535" t="s">
        <v>36</v>
      </c>
      <c r="AG535" t="s">
        <v>36</v>
      </c>
    </row>
    <row r="536" spans="1:33" hidden="1" x14ac:dyDescent="0.2">
      <c r="A536">
        <v>535</v>
      </c>
      <c r="B536" t="s">
        <v>235</v>
      </c>
      <c r="C536" t="s">
        <v>33</v>
      </c>
      <c r="D536">
        <v>63</v>
      </c>
      <c r="E536" t="s">
        <v>114</v>
      </c>
      <c r="F536" t="s">
        <v>38</v>
      </c>
      <c r="G536" t="s">
        <v>39</v>
      </c>
      <c r="H536">
        <v>66547</v>
      </c>
      <c r="I536">
        <v>0</v>
      </c>
      <c r="J536">
        <v>0</v>
      </c>
      <c r="K536">
        <v>0</v>
      </c>
      <c r="L536">
        <v>1</v>
      </c>
      <c r="M536" t="s">
        <v>36</v>
      </c>
      <c r="N536" t="s">
        <v>36</v>
      </c>
      <c r="O536" t="s">
        <v>36</v>
      </c>
      <c r="P536" t="s">
        <v>37</v>
      </c>
      <c r="Q536" t="s">
        <v>36</v>
      </c>
      <c r="R536" t="s">
        <v>36</v>
      </c>
      <c r="S536" t="s">
        <v>36</v>
      </c>
      <c r="T536" t="s">
        <v>36</v>
      </c>
      <c r="U536" t="s">
        <v>36</v>
      </c>
      <c r="V536" t="s">
        <v>36</v>
      </c>
      <c r="W536" t="s">
        <v>36</v>
      </c>
      <c r="X536" t="s">
        <v>36</v>
      </c>
      <c r="Y536" t="s">
        <v>36</v>
      </c>
      <c r="Z536" t="s">
        <v>36</v>
      </c>
      <c r="AA536" t="s">
        <v>36</v>
      </c>
      <c r="AB536" t="s">
        <v>36</v>
      </c>
      <c r="AC536" t="s">
        <v>36</v>
      </c>
      <c r="AD536" t="s">
        <v>36</v>
      </c>
      <c r="AE536" t="s">
        <v>36</v>
      </c>
      <c r="AF536" t="s">
        <v>36</v>
      </c>
      <c r="AG536" t="s">
        <v>36</v>
      </c>
    </row>
    <row r="537" spans="1:33" x14ac:dyDescent="0.2">
      <c r="A537">
        <v>536</v>
      </c>
      <c r="B537" t="s">
        <v>235</v>
      </c>
      <c r="C537" t="s">
        <v>33</v>
      </c>
      <c r="D537">
        <v>63</v>
      </c>
      <c r="E537" t="s">
        <v>114</v>
      </c>
      <c r="F537" t="s">
        <v>41</v>
      </c>
      <c r="G537" t="s">
        <v>55</v>
      </c>
      <c r="H537">
        <v>60427</v>
      </c>
      <c r="I537">
        <v>0</v>
      </c>
      <c r="J537">
        <v>1</v>
      </c>
      <c r="K537">
        <v>1</v>
      </c>
      <c r="L537">
        <v>0</v>
      </c>
      <c r="M537" t="s">
        <v>57</v>
      </c>
      <c r="N537" t="s">
        <v>85</v>
      </c>
      <c r="O537" t="s">
        <v>94</v>
      </c>
      <c r="P537" t="s">
        <v>37</v>
      </c>
      <c r="Q537" t="s">
        <v>48</v>
      </c>
      <c r="R537" t="s">
        <v>65</v>
      </c>
      <c r="S537" t="s">
        <v>47</v>
      </c>
      <c r="T537">
        <v>0</v>
      </c>
      <c r="U537">
        <v>1</v>
      </c>
      <c r="V537">
        <v>1</v>
      </c>
      <c r="W537">
        <v>1</v>
      </c>
      <c r="X537">
        <v>0</v>
      </c>
      <c r="Y537">
        <v>0</v>
      </c>
      <c r="Z537">
        <v>1</v>
      </c>
      <c r="AA537">
        <v>0</v>
      </c>
      <c r="AB537">
        <v>1</v>
      </c>
      <c r="AC537">
        <v>0</v>
      </c>
      <c r="AD537">
        <v>1</v>
      </c>
      <c r="AE537">
        <v>0</v>
      </c>
      <c r="AF537">
        <v>0</v>
      </c>
      <c r="AG537">
        <v>0</v>
      </c>
    </row>
    <row r="538" spans="1:33" x14ac:dyDescent="0.2">
      <c r="A538">
        <v>537</v>
      </c>
      <c r="B538" t="s">
        <v>235</v>
      </c>
      <c r="C538" t="s">
        <v>33</v>
      </c>
      <c r="D538">
        <v>63</v>
      </c>
      <c r="E538" t="s">
        <v>114</v>
      </c>
      <c r="F538" t="s">
        <v>41</v>
      </c>
      <c r="G538" t="s">
        <v>61</v>
      </c>
      <c r="H538">
        <v>44644</v>
      </c>
      <c r="I538">
        <v>1</v>
      </c>
      <c r="J538">
        <v>1</v>
      </c>
      <c r="K538">
        <v>1</v>
      </c>
      <c r="L538">
        <v>0</v>
      </c>
      <c r="M538" t="s">
        <v>63</v>
      </c>
      <c r="N538" t="s">
        <v>62</v>
      </c>
      <c r="O538" t="s">
        <v>87</v>
      </c>
      <c r="P538" t="s">
        <v>37</v>
      </c>
      <c r="Q538" t="s">
        <v>46</v>
      </c>
      <c r="R538" t="s">
        <v>65</v>
      </c>
      <c r="S538" t="s">
        <v>47</v>
      </c>
      <c r="T538">
        <v>0</v>
      </c>
      <c r="U538">
        <v>1</v>
      </c>
      <c r="V538">
        <v>0</v>
      </c>
      <c r="W538">
        <v>1</v>
      </c>
      <c r="X538">
        <v>1</v>
      </c>
      <c r="Y538">
        <v>0</v>
      </c>
      <c r="Z538">
        <v>1</v>
      </c>
      <c r="AA538">
        <v>0</v>
      </c>
      <c r="AB538">
        <v>1</v>
      </c>
      <c r="AC538">
        <v>0</v>
      </c>
      <c r="AD538">
        <v>1</v>
      </c>
      <c r="AE538">
        <v>1</v>
      </c>
      <c r="AF538">
        <v>0</v>
      </c>
      <c r="AG538">
        <v>0</v>
      </c>
    </row>
    <row r="539" spans="1:33" hidden="1" x14ac:dyDescent="0.2">
      <c r="A539">
        <v>538</v>
      </c>
      <c r="B539" t="s">
        <v>235</v>
      </c>
      <c r="C539" t="s">
        <v>33</v>
      </c>
      <c r="D539">
        <v>63</v>
      </c>
      <c r="E539" t="s">
        <v>114</v>
      </c>
      <c r="F539" t="s">
        <v>53</v>
      </c>
      <c r="G539" t="s">
        <v>54</v>
      </c>
      <c r="H539">
        <v>39558</v>
      </c>
      <c r="I539">
        <v>0</v>
      </c>
      <c r="J539">
        <v>1</v>
      </c>
      <c r="K539">
        <v>1</v>
      </c>
      <c r="L539">
        <v>0</v>
      </c>
      <c r="M539" t="s">
        <v>36</v>
      </c>
      <c r="N539" t="s">
        <v>36</v>
      </c>
      <c r="O539" t="s">
        <v>36</v>
      </c>
      <c r="P539" t="s">
        <v>37</v>
      </c>
      <c r="Q539" t="s">
        <v>36</v>
      </c>
      <c r="R539" t="s">
        <v>36</v>
      </c>
      <c r="S539" t="s">
        <v>36</v>
      </c>
      <c r="T539" t="s">
        <v>36</v>
      </c>
      <c r="U539">
        <v>1</v>
      </c>
      <c r="V539">
        <v>0</v>
      </c>
      <c r="W539">
        <v>1</v>
      </c>
      <c r="X539">
        <v>1</v>
      </c>
      <c r="Y539">
        <v>0</v>
      </c>
      <c r="Z539">
        <v>1</v>
      </c>
      <c r="AA539">
        <v>0</v>
      </c>
      <c r="AB539">
        <v>1</v>
      </c>
      <c r="AC539">
        <v>0</v>
      </c>
      <c r="AD539">
        <v>1</v>
      </c>
      <c r="AE539">
        <v>1</v>
      </c>
      <c r="AF539">
        <v>0</v>
      </c>
      <c r="AG539">
        <v>0</v>
      </c>
    </row>
    <row r="540" spans="1:33" x14ac:dyDescent="0.2">
      <c r="A540">
        <v>539</v>
      </c>
      <c r="B540" t="s">
        <v>235</v>
      </c>
      <c r="C540" t="s">
        <v>33</v>
      </c>
      <c r="D540">
        <v>63</v>
      </c>
      <c r="E540" t="s">
        <v>114</v>
      </c>
      <c r="F540" t="s">
        <v>41</v>
      </c>
      <c r="G540" t="s">
        <v>42</v>
      </c>
      <c r="H540">
        <v>29213</v>
      </c>
      <c r="I540">
        <v>1</v>
      </c>
      <c r="J540">
        <v>1</v>
      </c>
      <c r="K540">
        <v>1</v>
      </c>
      <c r="L540">
        <v>0</v>
      </c>
      <c r="M540" t="s">
        <v>82</v>
      </c>
      <c r="N540" t="s">
        <v>44</v>
      </c>
      <c r="O540" t="s">
        <v>43</v>
      </c>
      <c r="P540" t="s">
        <v>37</v>
      </c>
      <c r="Q540" t="s">
        <v>65</v>
      </c>
      <c r="R540" t="s">
        <v>47</v>
      </c>
      <c r="S540" t="s">
        <v>46</v>
      </c>
      <c r="T540">
        <v>0</v>
      </c>
      <c r="U540">
        <v>1</v>
      </c>
      <c r="V540">
        <v>0</v>
      </c>
      <c r="W540">
        <v>1</v>
      </c>
      <c r="X540">
        <v>1</v>
      </c>
      <c r="Y540">
        <v>0</v>
      </c>
      <c r="Z540">
        <v>1</v>
      </c>
      <c r="AA540">
        <v>0</v>
      </c>
      <c r="AB540">
        <v>1</v>
      </c>
      <c r="AC540">
        <v>0</v>
      </c>
      <c r="AD540">
        <v>1</v>
      </c>
      <c r="AE540">
        <v>1</v>
      </c>
      <c r="AF540">
        <v>0</v>
      </c>
      <c r="AG540">
        <v>0</v>
      </c>
    </row>
    <row r="541" spans="1:33" hidden="1" x14ac:dyDescent="0.2">
      <c r="A541">
        <v>540</v>
      </c>
      <c r="B541" t="s">
        <v>235</v>
      </c>
      <c r="C541" t="s">
        <v>33</v>
      </c>
      <c r="D541">
        <v>63</v>
      </c>
      <c r="E541" t="s">
        <v>114</v>
      </c>
      <c r="F541" t="s">
        <v>53</v>
      </c>
      <c r="G541" t="s">
        <v>76</v>
      </c>
      <c r="H541">
        <v>22210</v>
      </c>
      <c r="I541">
        <v>1</v>
      </c>
      <c r="J541">
        <v>0</v>
      </c>
      <c r="K541">
        <v>0</v>
      </c>
      <c r="L541">
        <v>0</v>
      </c>
      <c r="M541" t="s">
        <v>36</v>
      </c>
      <c r="N541" t="s">
        <v>36</v>
      </c>
      <c r="O541" t="s">
        <v>36</v>
      </c>
      <c r="P541" t="s">
        <v>37</v>
      </c>
      <c r="Q541" t="s">
        <v>36</v>
      </c>
      <c r="R541" t="s">
        <v>36</v>
      </c>
      <c r="S541" t="s">
        <v>36</v>
      </c>
      <c r="T541" t="s">
        <v>36</v>
      </c>
      <c r="U541">
        <v>1</v>
      </c>
      <c r="V541">
        <v>0</v>
      </c>
      <c r="W541">
        <v>1</v>
      </c>
      <c r="X541">
        <v>1</v>
      </c>
      <c r="Y541">
        <v>0</v>
      </c>
      <c r="Z541">
        <v>1</v>
      </c>
      <c r="AA541">
        <v>0</v>
      </c>
      <c r="AB541">
        <v>1</v>
      </c>
      <c r="AC541">
        <v>0</v>
      </c>
      <c r="AD541">
        <v>1</v>
      </c>
      <c r="AE541">
        <v>1</v>
      </c>
      <c r="AF541">
        <v>0</v>
      </c>
      <c r="AG541">
        <v>0</v>
      </c>
    </row>
    <row r="542" spans="1:33" x14ac:dyDescent="0.2">
      <c r="A542">
        <v>541</v>
      </c>
      <c r="B542" t="s">
        <v>235</v>
      </c>
      <c r="C542" t="s">
        <v>33</v>
      </c>
      <c r="D542">
        <v>63</v>
      </c>
      <c r="E542" t="s">
        <v>114</v>
      </c>
      <c r="F542" t="s">
        <v>41</v>
      </c>
      <c r="G542" t="s">
        <v>72</v>
      </c>
      <c r="H542">
        <v>30350</v>
      </c>
      <c r="I542">
        <v>0</v>
      </c>
      <c r="J542">
        <v>0</v>
      </c>
      <c r="K542">
        <v>0</v>
      </c>
      <c r="L542">
        <v>1</v>
      </c>
      <c r="M542" t="s">
        <v>74</v>
      </c>
      <c r="N542" t="s">
        <v>115</v>
      </c>
      <c r="O542" t="s">
        <v>75</v>
      </c>
      <c r="P542" t="s">
        <v>37</v>
      </c>
      <c r="Q542" t="s">
        <v>47</v>
      </c>
      <c r="R542" t="s">
        <v>65</v>
      </c>
      <c r="S542" t="s">
        <v>46</v>
      </c>
      <c r="T542">
        <v>0</v>
      </c>
      <c r="U542">
        <v>1</v>
      </c>
      <c r="V542">
        <v>0</v>
      </c>
      <c r="W542">
        <v>1</v>
      </c>
      <c r="X542">
        <v>1</v>
      </c>
      <c r="Y542">
        <v>0</v>
      </c>
      <c r="Z542">
        <v>1</v>
      </c>
      <c r="AA542">
        <v>0</v>
      </c>
      <c r="AB542">
        <v>0</v>
      </c>
      <c r="AC542">
        <v>0</v>
      </c>
      <c r="AD542">
        <v>0</v>
      </c>
      <c r="AE542">
        <v>0</v>
      </c>
      <c r="AF542">
        <v>0</v>
      </c>
      <c r="AG542">
        <v>1</v>
      </c>
    </row>
    <row r="543" spans="1:33" x14ac:dyDescent="0.2">
      <c r="A543">
        <v>542</v>
      </c>
      <c r="B543" t="s">
        <v>235</v>
      </c>
      <c r="C543" t="s">
        <v>33</v>
      </c>
      <c r="D543">
        <v>63</v>
      </c>
      <c r="E543" t="s">
        <v>114</v>
      </c>
      <c r="F543" t="s">
        <v>41</v>
      </c>
      <c r="G543" t="s">
        <v>67</v>
      </c>
      <c r="H543">
        <v>30037</v>
      </c>
      <c r="I543">
        <v>0</v>
      </c>
      <c r="J543">
        <v>0</v>
      </c>
      <c r="K543">
        <v>1</v>
      </c>
      <c r="L543">
        <v>0</v>
      </c>
      <c r="M543" t="s">
        <v>86</v>
      </c>
      <c r="N543" t="s">
        <v>103</v>
      </c>
      <c r="O543" t="s">
        <v>68</v>
      </c>
      <c r="P543" t="s">
        <v>37</v>
      </c>
      <c r="Q543" t="s">
        <v>46</v>
      </c>
      <c r="R543" t="s">
        <v>60</v>
      </c>
      <c r="S543" t="s">
        <v>65</v>
      </c>
      <c r="T543">
        <v>1</v>
      </c>
      <c r="U543">
        <v>1</v>
      </c>
      <c r="V543">
        <v>0</v>
      </c>
      <c r="W543">
        <v>0</v>
      </c>
      <c r="X543">
        <v>1</v>
      </c>
      <c r="Y543">
        <v>0</v>
      </c>
      <c r="Z543">
        <v>1</v>
      </c>
      <c r="AA543">
        <v>0</v>
      </c>
      <c r="AB543">
        <v>1</v>
      </c>
      <c r="AC543">
        <v>0</v>
      </c>
      <c r="AD543">
        <v>0</v>
      </c>
      <c r="AE543">
        <v>0</v>
      </c>
      <c r="AF543">
        <v>0</v>
      </c>
      <c r="AG543">
        <v>0</v>
      </c>
    </row>
    <row r="544" spans="1:33" hidden="1" x14ac:dyDescent="0.2">
      <c r="A544">
        <v>543</v>
      </c>
      <c r="B544" t="s">
        <v>235</v>
      </c>
      <c r="C544" t="s">
        <v>33</v>
      </c>
      <c r="D544">
        <v>63</v>
      </c>
      <c r="E544" t="s">
        <v>114</v>
      </c>
      <c r="F544" t="s">
        <v>53</v>
      </c>
      <c r="G544" t="s">
        <v>66</v>
      </c>
      <c r="H544">
        <v>26731</v>
      </c>
      <c r="I544">
        <v>1</v>
      </c>
      <c r="J544">
        <v>0</v>
      </c>
      <c r="K544">
        <v>0</v>
      </c>
      <c r="L544">
        <v>0</v>
      </c>
      <c r="M544" t="s">
        <v>36</v>
      </c>
      <c r="N544" t="s">
        <v>36</v>
      </c>
      <c r="O544" t="s">
        <v>36</v>
      </c>
      <c r="P544" t="s">
        <v>37</v>
      </c>
      <c r="Q544" t="s">
        <v>36</v>
      </c>
      <c r="R544" t="s">
        <v>36</v>
      </c>
      <c r="S544" t="s">
        <v>36</v>
      </c>
      <c r="T544" t="s">
        <v>36</v>
      </c>
      <c r="U544">
        <v>1</v>
      </c>
      <c r="V544">
        <v>0</v>
      </c>
      <c r="W544">
        <v>0</v>
      </c>
      <c r="X544">
        <v>1</v>
      </c>
      <c r="Y544">
        <v>0</v>
      </c>
      <c r="Z544">
        <v>1</v>
      </c>
      <c r="AA544">
        <v>0</v>
      </c>
      <c r="AB544">
        <v>1</v>
      </c>
      <c r="AC544">
        <v>0</v>
      </c>
      <c r="AD544">
        <v>0</v>
      </c>
      <c r="AE544">
        <v>0</v>
      </c>
      <c r="AF544">
        <v>0</v>
      </c>
      <c r="AG544">
        <v>0</v>
      </c>
    </row>
    <row r="545" spans="1:33" x14ac:dyDescent="0.2">
      <c r="A545">
        <v>544</v>
      </c>
      <c r="B545" t="s">
        <v>235</v>
      </c>
      <c r="C545" t="s">
        <v>33</v>
      </c>
      <c r="D545">
        <v>63</v>
      </c>
      <c r="E545" t="s">
        <v>114</v>
      </c>
      <c r="F545" t="s">
        <v>41</v>
      </c>
      <c r="G545" t="s">
        <v>49</v>
      </c>
      <c r="H545">
        <v>36019</v>
      </c>
      <c r="I545">
        <v>0</v>
      </c>
      <c r="J545">
        <v>0</v>
      </c>
      <c r="K545">
        <v>0</v>
      </c>
      <c r="L545">
        <v>1</v>
      </c>
      <c r="M545" t="s">
        <v>52</v>
      </c>
      <c r="N545" t="s">
        <v>83</v>
      </c>
      <c r="O545" t="s">
        <v>50</v>
      </c>
      <c r="P545" t="s">
        <v>37</v>
      </c>
      <c r="Q545" t="s">
        <v>46</v>
      </c>
      <c r="R545" t="s">
        <v>59</v>
      </c>
      <c r="S545" t="s">
        <v>48</v>
      </c>
      <c r="T545">
        <v>0</v>
      </c>
      <c r="U545">
        <v>0</v>
      </c>
      <c r="V545">
        <v>1</v>
      </c>
      <c r="W545">
        <v>0</v>
      </c>
      <c r="X545">
        <v>1</v>
      </c>
      <c r="Y545">
        <v>0</v>
      </c>
      <c r="Z545">
        <v>1</v>
      </c>
      <c r="AA545">
        <v>0</v>
      </c>
      <c r="AB545">
        <v>0</v>
      </c>
      <c r="AC545">
        <v>0</v>
      </c>
      <c r="AD545">
        <v>0</v>
      </c>
      <c r="AE545">
        <v>0</v>
      </c>
      <c r="AF545">
        <v>0</v>
      </c>
      <c r="AG545">
        <v>1</v>
      </c>
    </row>
    <row r="546" spans="1:33" hidden="1" x14ac:dyDescent="0.2">
      <c r="A546">
        <v>545</v>
      </c>
      <c r="B546" t="s">
        <v>235</v>
      </c>
      <c r="C546" t="s">
        <v>33</v>
      </c>
      <c r="D546">
        <v>63</v>
      </c>
      <c r="E546" t="s">
        <v>114</v>
      </c>
      <c r="F546" t="s">
        <v>53</v>
      </c>
      <c r="G546" t="s">
        <v>71</v>
      </c>
      <c r="H546">
        <v>44455</v>
      </c>
      <c r="I546">
        <v>0</v>
      </c>
      <c r="J546">
        <v>0</v>
      </c>
      <c r="K546">
        <v>1</v>
      </c>
      <c r="L546">
        <v>0</v>
      </c>
      <c r="M546" t="s">
        <v>36</v>
      </c>
      <c r="N546" t="s">
        <v>36</v>
      </c>
      <c r="O546" t="s">
        <v>36</v>
      </c>
      <c r="P546" t="s">
        <v>37</v>
      </c>
      <c r="Q546" t="s">
        <v>36</v>
      </c>
      <c r="R546" t="s">
        <v>36</v>
      </c>
      <c r="S546" t="s">
        <v>36</v>
      </c>
      <c r="T546" t="s">
        <v>36</v>
      </c>
      <c r="U546">
        <v>0</v>
      </c>
      <c r="V546">
        <v>1</v>
      </c>
      <c r="W546">
        <v>0</v>
      </c>
      <c r="X546">
        <v>1</v>
      </c>
      <c r="Y546">
        <v>0</v>
      </c>
      <c r="Z546">
        <v>1</v>
      </c>
      <c r="AA546">
        <v>0</v>
      </c>
      <c r="AB546">
        <v>0</v>
      </c>
      <c r="AC546">
        <v>0</v>
      </c>
      <c r="AD546">
        <v>0</v>
      </c>
      <c r="AE546">
        <v>0</v>
      </c>
      <c r="AF546">
        <v>0</v>
      </c>
      <c r="AG546">
        <v>1</v>
      </c>
    </row>
    <row r="547" spans="1:33" hidden="1" x14ac:dyDescent="0.2">
      <c r="A547">
        <v>546</v>
      </c>
      <c r="B547" t="s">
        <v>235</v>
      </c>
      <c r="C547" t="s">
        <v>33</v>
      </c>
      <c r="D547">
        <v>63</v>
      </c>
      <c r="E547" t="s">
        <v>114</v>
      </c>
      <c r="F547" t="s">
        <v>77</v>
      </c>
      <c r="G547" t="s">
        <v>36</v>
      </c>
      <c r="H547">
        <v>127256</v>
      </c>
      <c r="I547" t="s">
        <v>236</v>
      </c>
      <c r="J547" t="s">
        <v>237</v>
      </c>
      <c r="K547" t="s">
        <v>166</v>
      </c>
      <c r="L547" t="s">
        <v>36</v>
      </c>
      <c r="M547" t="s">
        <v>36</v>
      </c>
      <c r="N547" t="s">
        <v>36</v>
      </c>
      <c r="O547" t="s">
        <v>36</v>
      </c>
      <c r="P547" t="s">
        <v>37</v>
      </c>
      <c r="Q547" t="s">
        <v>36</v>
      </c>
      <c r="R547" t="s">
        <v>36</v>
      </c>
      <c r="S547" t="s">
        <v>36</v>
      </c>
      <c r="T547" t="s">
        <v>36</v>
      </c>
      <c r="U547" t="s">
        <v>36</v>
      </c>
      <c r="V547" t="s">
        <v>36</v>
      </c>
      <c r="W547" t="s">
        <v>36</v>
      </c>
      <c r="X547" t="s">
        <v>36</v>
      </c>
      <c r="Y547" t="s">
        <v>36</v>
      </c>
      <c r="Z547" t="s">
        <v>36</v>
      </c>
      <c r="AA547" t="s">
        <v>36</v>
      </c>
      <c r="AB547" t="s">
        <v>36</v>
      </c>
      <c r="AC547" t="s">
        <v>36</v>
      </c>
      <c r="AD547" t="s">
        <v>36</v>
      </c>
      <c r="AE547" t="s">
        <v>36</v>
      </c>
      <c r="AF547" t="s">
        <v>36</v>
      </c>
      <c r="AG547" t="s">
        <v>36</v>
      </c>
    </row>
    <row r="548" spans="1:33" hidden="1" x14ac:dyDescent="0.2">
      <c r="A548">
        <v>547</v>
      </c>
      <c r="B548" t="s">
        <v>238</v>
      </c>
      <c r="C548" t="s">
        <v>108</v>
      </c>
      <c r="D548">
        <v>26</v>
      </c>
      <c r="E548" t="s">
        <v>114</v>
      </c>
      <c r="F548" t="s">
        <v>35</v>
      </c>
      <c r="G548" t="s">
        <v>36</v>
      </c>
      <c r="H548">
        <v>32909</v>
      </c>
      <c r="I548" t="s">
        <v>36</v>
      </c>
      <c r="J548" t="s">
        <v>36</v>
      </c>
      <c r="K548" t="s">
        <v>36</v>
      </c>
      <c r="L548" t="s">
        <v>36</v>
      </c>
      <c r="M548" t="s">
        <v>36</v>
      </c>
      <c r="N548" t="s">
        <v>36</v>
      </c>
      <c r="O548" t="s">
        <v>36</v>
      </c>
      <c r="P548" t="s">
        <v>37</v>
      </c>
      <c r="Q548" t="s">
        <v>36</v>
      </c>
      <c r="R548" t="s">
        <v>36</v>
      </c>
      <c r="S548" t="s">
        <v>36</v>
      </c>
      <c r="T548" t="s">
        <v>36</v>
      </c>
      <c r="U548" t="s">
        <v>36</v>
      </c>
      <c r="V548" t="s">
        <v>36</v>
      </c>
      <c r="W548" t="s">
        <v>36</v>
      </c>
      <c r="X548" t="s">
        <v>36</v>
      </c>
      <c r="Y548" t="s">
        <v>36</v>
      </c>
      <c r="Z548" t="s">
        <v>36</v>
      </c>
      <c r="AA548" t="s">
        <v>36</v>
      </c>
      <c r="AB548" t="s">
        <v>36</v>
      </c>
      <c r="AC548" t="s">
        <v>36</v>
      </c>
      <c r="AD548" t="s">
        <v>36</v>
      </c>
      <c r="AE548" t="s">
        <v>36</v>
      </c>
      <c r="AF548" t="s">
        <v>36</v>
      </c>
      <c r="AG548" t="s">
        <v>36</v>
      </c>
    </row>
    <row r="549" spans="1:33" hidden="1" x14ac:dyDescent="0.2">
      <c r="A549">
        <v>548</v>
      </c>
      <c r="B549" t="s">
        <v>238</v>
      </c>
      <c r="C549" t="s">
        <v>108</v>
      </c>
      <c r="D549">
        <v>26</v>
      </c>
      <c r="E549" t="s">
        <v>114</v>
      </c>
      <c r="F549" t="s">
        <v>38</v>
      </c>
      <c r="G549" t="s">
        <v>40</v>
      </c>
      <c r="H549">
        <v>50917</v>
      </c>
      <c r="I549">
        <v>0</v>
      </c>
      <c r="J549">
        <v>0</v>
      </c>
      <c r="K549">
        <v>1</v>
      </c>
      <c r="L549">
        <v>0</v>
      </c>
      <c r="M549" t="s">
        <v>36</v>
      </c>
      <c r="N549" t="s">
        <v>36</v>
      </c>
      <c r="O549" t="s">
        <v>36</v>
      </c>
      <c r="P549" t="s">
        <v>37</v>
      </c>
      <c r="Q549" t="s">
        <v>36</v>
      </c>
      <c r="R549" t="s">
        <v>36</v>
      </c>
      <c r="S549" t="s">
        <v>36</v>
      </c>
      <c r="T549" t="s">
        <v>36</v>
      </c>
      <c r="U549" t="s">
        <v>36</v>
      </c>
      <c r="V549" t="s">
        <v>36</v>
      </c>
      <c r="W549" t="s">
        <v>36</v>
      </c>
      <c r="X549" t="s">
        <v>36</v>
      </c>
      <c r="Y549" t="s">
        <v>36</v>
      </c>
      <c r="Z549" t="s">
        <v>36</v>
      </c>
      <c r="AA549" t="s">
        <v>36</v>
      </c>
      <c r="AB549" t="s">
        <v>36</v>
      </c>
      <c r="AC549" t="s">
        <v>36</v>
      </c>
      <c r="AD549" t="s">
        <v>36</v>
      </c>
      <c r="AE549" t="s">
        <v>36</v>
      </c>
      <c r="AF549" t="s">
        <v>36</v>
      </c>
      <c r="AG549" t="s">
        <v>36</v>
      </c>
    </row>
    <row r="550" spans="1:33" hidden="1" x14ac:dyDescent="0.2">
      <c r="A550">
        <v>549</v>
      </c>
      <c r="B550" t="s">
        <v>238</v>
      </c>
      <c r="C550" t="s">
        <v>108</v>
      </c>
      <c r="D550">
        <v>26</v>
      </c>
      <c r="E550" t="s">
        <v>114</v>
      </c>
      <c r="F550" t="s">
        <v>38</v>
      </c>
      <c r="G550" t="s">
        <v>39</v>
      </c>
      <c r="H550">
        <v>56600</v>
      </c>
      <c r="I550">
        <v>0</v>
      </c>
      <c r="J550">
        <v>0</v>
      </c>
      <c r="K550">
        <v>0</v>
      </c>
      <c r="L550">
        <v>1</v>
      </c>
      <c r="M550" t="s">
        <v>36</v>
      </c>
      <c r="N550" t="s">
        <v>36</v>
      </c>
      <c r="O550" t="s">
        <v>36</v>
      </c>
      <c r="P550" t="s">
        <v>37</v>
      </c>
      <c r="Q550" t="s">
        <v>36</v>
      </c>
      <c r="R550" t="s">
        <v>36</v>
      </c>
      <c r="S550" t="s">
        <v>36</v>
      </c>
      <c r="T550" t="s">
        <v>36</v>
      </c>
      <c r="U550" t="s">
        <v>36</v>
      </c>
      <c r="V550" t="s">
        <v>36</v>
      </c>
      <c r="W550" t="s">
        <v>36</v>
      </c>
      <c r="X550" t="s">
        <v>36</v>
      </c>
      <c r="Y550" t="s">
        <v>36</v>
      </c>
      <c r="Z550" t="s">
        <v>36</v>
      </c>
      <c r="AA550" t="s">
        <v>36</v>
      </c>
      <c r="AB550" t="s">
        <v>36</v>
      </c>
      <c r="AC550" t="s">
        <v>36</v>
      </c>
      <c r="AD550" t="s">
        <v>36</v>
      </c>
      <c r="AE550" t="s">
        <v>36</v>
      </c>
      <c r="AF550" t="s">
        <v>36</v>
      </c>
      <c r="AG550" t="s">
        <v>36</v>
      </c>
    </row>
    <row r="551" spans="1:33" x14ac:dyDescent="0.2">
      <c r="A551">
        <v>550</v>
      </c>
      <c r="B551" t="s">
        <v>238</v>
      </c>
      <c r="C551" t="s">
        <v>108</v>
      </c>
      <c r="D551">
        <v>26</v>
      </c>
      <c r="E551" t="s">
        <v>114</v>
      </c>
      <c r="F551" t="s">
        <v>41</v>
      </c>
      <c r="G551" t="s">
        <v>67</v>
      </c>
      <c r="H551">
        <v>66002</v>
      </c>
      <c r="I551">
        <v>0</v>
      </c>
      <c r="J551">
        <v>0</v>
      </c>
      <c r="K551">
        <v>0</v>
      </c>
      <c r="L551">
        <v>1</v>
      </c>
      <c r="M551" t="s">
        <v>70</v>
      </c>
      <c r="N551" t="s">
        <v>68</v>
      </c>
      <c r="O551" t="s">
        <v>109</v>
      </c>
      <c r="P551" t="s">
        <v>37</v>
      </c>
      <c r="Q551" t="s">
        <v>47</v>
      </c>
      <c r="R551" t="s">
        <v>65</v>
      </c>
      <c r="S551" t="s">
        <v>59</v>
      </c>
      <c r="T551">
        <v>0</v>
      </c>
      <c r="U551">
        <v>1</v>
      </c>
      <c r="V551">
        <v>0</v>
      </c>
      <c r="W551">
        <v>1</v>
      </c>
      <c r="X551">
        <v>0</v>
      </c>
      <c r="Y551">
        <v>0</v>
      </c>
      <c r="Z551">
        <v>1</v>
      </c>
      <c r="AA551">
        <v>0</v>
      </c>
      <c r="AB551">
        <v>0</v>
      </c>
      <c r="AC551">
        <v>0</v>
      </c>
      <c r="AD551">
        <v>0</v>
      </c>
      <c r="AE551">
        <v>0</v>
      </c>
      <c r="AF551">
        <v>0</v>
      </c>
      <c r="AG551">
        <v>1</v>
      </c>
    </row>
    <row r="552" spans="1:33" hidden="1" x14ac:dyDescent="0.2">
      <c r="A552">
        <v>551</v>
      </c>
      <c r="B552" t="s">
        <v>238</v>
      </c>
      <c r="C552" t="s">
        <v>108</v>
      </c>
      <c r="D552">
        <v>26</v>
      </c>
      <c r="E552" t="s">
        <v>114</v>
      </c>
      <c r="F552" t="s">
        <v>53</v>
      </c>
      <c r="G552" t="s">
        <v>76</v>
      </c>
      <c r="H552">
        <v>36253</v>
      </c>
      <c r="I552">
        <v>1</v>
      </c>
      <c r="J552">
        <v>0</v>
      </c>
      <c r="K552">
        <v>0</v>
      </c>
      <c r="L552">
        <v>0</v>
      </c>
      <c r="M552" t="s">
        <v>36</v>
      </c>
      <c r="N552" t="s">
        <v>36</v>
      </c>
      <c r="O552" t="s">
        <v>36</v>
      </c>
      <c r="P552" t="s">
        <v>37</v>
      </c>
      <c r="Q552" t="s">
        <v>36</v>
      </c>
      <c r="R552" t="s">
        <v>36</v>
      </c>
      <c r="S552" t="s">
        <v>36</v>
      </c>
      <c r="T552" t="s">
        <v>36</v>
      </c>
      <c r="U552">
        <v>1</v>
      </c>
      <c r="V552">
        <v>0</v>
      </c>
      <c r="W552">
        <v>1</v>
      </c>
      <c r="X552">
        <v>0</v>
      </c>
      <c r="Y552">
        <v>0</v>
      </c>
      <c r="Z552">
        <v>1</v>
      </c>
      <c r="AA552">
        <v>0</v>
      </c>
      <c r="AB552">
        <v>0</v>
      </c>
      <c r="AC552">
        <v>0</v>
      </c>
      <c r="AD552">
        <v>0</v>
      </c>
      <c r="AE552">
        <v>0</v>
      </c>
      <c r="AF552">
        <v>0</v>
      </c>
      <c r="AG552">
        <v>1</v>
      </c>
    </row>
    <row r="553" spans="1:33" x14ac:dyDescent="0.2">
      <c r="A553">
        <v>552</v>
      </c>
      <c r="B553" t="s">
        <v>238</v>
      </c>
      <c r="C553" t="s">
        <v>108</v>
      </c>
      <c r="D553">
        <v>26</v>
      </c>
      <c r="E553" t="s">
        <v>114</v>
      </c>
      <c r="F553" t="s">
        <v>41</v>
      </c>
      <c r="G553" t="s">
        <v>61</v>
      </c>
      <c r="H553">
        <v>56148</v>
      </c>
      <c r="I553">
        <v>0</v>
      </c>
      <c r="J553">
        <v>0</v>
      </c>
      <c r="K553">
        <v>0</v>
      </c>
      <c r="L553">
        <v>1</v>
      </c>
      <c r="M553" t="s">
        <v>125</v>
      </c>
      <c r="N553" t="s">
        <v>62</v>
      </c>
      <c r="O553" t="s">
        <v>63</v>
      </c>
      <c r="P553" t="s">
        <v>37</v>
      </c>
      <c r="Q553" t="s">
        <v>60</v>
      </c>
      <c r="R553" t="s">
        <v>65</v>
      </c>
      <c r="S553" t="s">
        <v>46</v>
      </c>
      <c r="T553">
        <v>1</v>
      </c>
      <c r="U553">
        <v>1</v>
      </c>
      <c r="V553">
        <v>0</v>
      </c>
      <c r="W553">
        <v>0</v>
      </c>
      <c r="X553">
        <v>1</v>
      </c>
      <c r="Y553">
        <v>0</v>
      </c>
      <c r="Z553">
        <v>1</v>
      </c>
      <c r="AA553">
        <v>0</v>
      </c>
      <c r="AB553">
        <v>0</v>
      </c>
      <c r="AC553">
        <v>0</v>
      </c>
      <c r="AD553">
        <v>0</v>
      </c>
      <c r="AE553">
        <v>0</v>
      </c>
      <c r="AF553">
        <v>0</v>
      </c>
      <c r="AG553">
        <v>1</v>
      </c>
    </row>
    <row r="554" spans="1:33" x14ac:dyDescent="0.2">
      <c r="A554">
        <v>553</v>
      </c>
      <c r="B554" t="s">
        <v>238</v>
      </c>
      <c r="C554" t="s">
        <v>108</v>
      </c>
      <c r="D554">
        <v>26</v>
      </c>
      <c r="E554" t="s">
        <v>114</v>
      </c>
      <c r="F554" t="s">
        <v>41</v>
      </c>
      <c r="G554" t="s">
        <v>72</v>
      </c>
      <c r="H554">
        <v>42350</v>
      </c>
      <c r="I554">
        <v>1</v>
      </c>
      <c r="J554">
        <v>1</v>
      </c>
      <c r="K554">
        <v>1</v>
      </c>
      <c r="L554">
        <v>0</v>
      </c>
      <c r="M554" t="s">
        <v>73</v>
      </c>
      <c r="N554" t="s">
        <v>74</v>
      </c>
      <c r="O554" t="s">
        <v>115</v>
      </c>
      <c r="P554" t="s">
        <v>37</v>
      </c>
      <c r="Q554" t="s">
        <v>48</v>
      </c>
      <c r="R554" t="s">
        <v>47</v>
      </c>
      <c r="S554" t="s">
        <v>65</v>
      </c>
      <c r="T554">
        <v>0</v>
      </c>
      <c r="U554">
        <v>1</v>
      </c>
      <c r="V554">
        <v>1</v>
      </c>
      <c r="W554">
        <v>1</v>
      </c>
      <c r="X554">
        <v>0</v>
      </c>
      <c r="Y554">
        <v>0</v>
      </c>
      <c r="Z554">
        <v>1</v>
      </c>
      <c r="AA554">
        <v>0</v>
      </c>
      <c r="AB554">
        <v>1</v>
      </c>
      <c r="AC554">
        <v>1</v>
      </c>
      <c r="AD554">
        <v>1</v>
      </c>
      <c r="AE554">
        <v>0</v>
      </c>
      <c r="AF554">
        <v>0</v>
      </c>
      <c r="AG554">
        <v>0</v>
      </c>
    </row>
    <row r="555" spans="1:33" hidden="1" x14ac:dyDescent="0.2">
      <c r="A555">
        <v>554</v>
      </c>
      <c r="B555" t="s">
        <v>238</v>
      </c>
      <c r="C555" t="s">
        <v>108</v>
      </c>
      <c r="D555">
        <v>26</v>
      </c>
      <c r="E555" t="s">
        <v>114</v>
      </c>
      <c r="F555" t="s">
        <v>53</v>
      </c>
      <c r="G555" t="s">
        <v>66</v>
      </c>
      <c r="H555">
        <v>67837</v>
      </c>
      <c r="I555">
        <v>1</v>
      </c>
      <c r="J555">
        <v>1</v>
      </c>
      <c r="K555">
        <v>0</v>
      </c>
      <c r="L555">
        <v>0</v>
      </c>
      <c r="M555" t="s">
        <v>36</v>
      </c>
      <c r="N555" t="s">
        <v>36</v>
      </c>
      <c r="O555" t="s">
        <v>36</v>
      </c>
      <c r="P555" t="s">
        <v>37</v>
      </c>
      <c r="Q555" t="s">
        <v>36</v>
      </c>
      <c r="R555" t="s">
        <v>36</v>
      </c>
      <c r="S555" t="s">
        <v>36</v>
      </c>
      <c r="T555" t="s">
        <v>36</v>
      </c>
      <c r="U555">
        <v>1</v>
      </c>
      <c r="V555">
        <v>1</v>
      </c>
      <c r="W555">
        <v>1</v>
      </c>
      <c r="X555">
        <v>0</v>
      </c>
      <c r="Y555">
        <v>0</v>
      </c>
      <c r="Z555">
        <v>1</v>
      </c>
      <c r="AA555">
        <v>0</v>
      </c>
      <c r="AB555">
        <v>1</v>
      </c>
      <c r="AC555">
        <v>1</v>
      </c>
      <c r="AD555">
        <v>1</v>
      </c>
      <c r="AE555">
        <v>0</v>
      </c>
      <c r="AF555">
        <v>0</v>
      </c>
      <c r="AG555">
        <v>0</v>
      </c>
    </row>
    <row r="556" spans="1:33" x14ac:dyDescent="0.2">
      <c r="A556">
        <v>555</v>
      </c>
      <c r="B556" t="s">
        <v>238</v>
      </c>
      <c r="C556" t="s">
        <v>108</v>
      </c>
      <c r="D556">
        <v>26</v>
      </c>
      <c r="E556" t="s">
        <v>114</v>
      </c>
      <c r="F556" t="s">
        <v>41</v>
      </c>
      <c r="G556" t="s">
        <v>49</v>
      </c>
      <c r="H556">
        <v>36964</v>
      </c>
      <c r="I556">
        <v>1</v>
      </c>
      <c r="J556">
        <v>1</v>
      </c>
      <c r="K556">
        <v>1</v>
      </c>
      <c r="L556">
        <v>0</v>
      </c>
      <c r="M556" t="s">
        <v>52</v>
      </c>
      <c r="N556" t="s">
        <v>95</v>
      </c>
      <c r="O556" t="s">
        <v>50</v>
      </c>
      <c r="P556" t="s">
        <v>37</v>
      </c>
      <c r="Q556" t="s">
        <v>46</v>
      </c>
      <c r="R556" t="s">
        <v>60</v>
      </c>
      <c r="S556" t="s">
        <v>48</v>
      </c>
      <c r="T556">
        <v>1</v>
      </c>
      <c r="U556">
        <v>0</v>
      </c>
      <c r="V556">
        <v>1</v>
      </c>
      <c r="W556">
        <v>0</v>
      </c>
      <c r="X556">
        <v>1</v>
      </c>
      <c r="Y556">
        <v>0</v>
      </c>
      <c r="Z556">
        <v>1</v>
      </c>
      <c r="AA556">
        <v>1</v>
      </c>
      <c r="AB556">
        <v>0</v>
      </c>
      <c r="AC556">
        <v>1</v>
      </c>
      <c r="AD556">
        <v>0</v>
      </c>
      <c r="AE556">
        <v>1</v>
      </c>
      <c r="AF556">
        <v>0</v>
      </c>
      <c r="AG556">
        <v>0</v>
      </c>
    </row>
    <row r="557" spans="1:33" hidden="1" x14ac:dyDescent="0.2">
      <c r="A557">
        <v>556</v>
      </c>
      <c r="B557" t="s">
        <v>238</v>
      </c>
      <c r="C557" t="s">
        <v>108</v>
      </c>
      <c r="D557">
        <v>26</v>
      </c>
      <c r="E557" t="s">
        <v>114</v>
      </c>
      <c r="F557" t="s">
        <v>53</v>
      </c>
      <c r="G557" t="s">
        <v>54</v>
      </c>
      <c r="H557">
        <v>53133</v>
      </c>
      <c r="I557">
        <v>0</v>
      </c>
      <c r="J557">
        <v>1</v>
      </c>
      <c r="K557">
        <v>0</v>
      </c>
      <c r="L557">
        <v>0</v>
      </c>
      <c r="M557" t="s">
        <v>36</v>
      </c>
      <c r="N557" t="s">
        <v>36</v>
      </c>
      <c r="O557" t="s">
        <v>36</v>
      </c>
      <c r="P557" t="s">
        <v>37</v>
      </c>
      <c r="Q557" t="s">
        <v>36</v>
      </c>
      <c r="R557" t="s">
        <v>36</v>
      </c>
      <c r="S557" t="s">
        <v>36</v>
      </c>
      <c r="T557" t="s">
        <v>36</v>
      </c>
      <c r="U557">
        <v>0</v>
      </c>
      <c r="V557">
        <v>1</v>
      </c>
      <c r="W557">
        <v>0</v>
      </c>
      <c r="X557">
        <v>1</v>
      </c>
      <c r="Y557">
        <v>0</v>
      </c>
      <c r="Z557">
        <v>1</v>
      </c>
      <c r="AA557">
        <v>1</v>
      </c>
      <c r="AB557">
        <v>0</v>
      </c>
      <c r="AC557">
        <v>1</v>
      </c>
      <c r="AD557">
        <v>0</v>
      </c>
      <c r="AE557">
        <v>1</v>
      </c>
      <c r="AF557">
        <v>0</v>
      </c>
      <c r="AG557">
        <v>0</v>
      </c>
    </row>
    <row r="558" spans="1:33" x14ac:dyDescent="0.2">
      <c r="A558">
        <v>557</v>
      </c>
      <c r="B558" t="s">
        <v>238</v>
      </c>
      <c r="C558" t="s">
        <v>108</v>
      </c>
      <c r="D558">
        <v>26</v>
      </c>
      <c r="E558" t="s">
        <v>114</v>
      </c>
      <c r="F558" t="s">
        <v>41</v>
      </c>
      <c r="G558" t="s">
        <v>42</v>
      </c>
      <c r="H558">
        <v>37513</v>
      </c>
      <c r="I558">
        <v>1</v>
      </c>
      <c r="J558">
        <v>1</v>
      </c>
      <c r="K558">
        <v>1</v>
      </c>
      <c r="L558">
        <v>0</v>
      </c>
      <c r="M558" t="s">
        <v>116</v>
      </c>
      <c r="N558" t="s">
        <v>82</v>
      </c>
      <c r="O558" t="s">
        <v>43</v>
      </c>
      <c r="P558" t="s">
        <v>37</v>
      </c>
      <c r="Q558" t="s">
        <v>60</v>
      </c>
      <c r="R558" t="s">
        <v>65</v>
      </c>
      <c r="S558" t="s">
        <v>46</v>
      </c>
      <c r="T558">
        <v>1</v>
      </c>
      <c r="U558">
        <v>1</v>
      </c>
      <c r="V558">
        <v>0</v>
      </c>
      <c r="W558">
        <v>0</v>
      </c>
      <c r="X558">
        <v>1</v>
      </c>
      <c r="Y558">
        <v>0</v>
      </c>
      <c r="Z558">
        <v>1</v>
      </c>
      <c r="AA558">
        <v>1</v>
      </c>
      <c r="AB558">
        <v>1</v>
      </c>
      <c r="AC558">
        <v>0</v>
      </c>
      <c r="AD558">
        <v>0</v>
      </c>
      <c r="AE558">
        <v>1</v>
      </c>
      <c r="AF558">
        <v>0</v>
      </c>
      <c r="AG558">
        <v>0</v>
      </c>
    </row>
    <row r="559" spans="1:33" x14ac:dyDescent="0.2">
      <c r="A559">
        <v>558</v>
      </c>
      <c r="B559" t="s">
        <v>238</v>
      </c>
      <c r="C559" t="s">
        <v>108</v>
      </c>
      <c r="D559">
        <v>26</v>
      </c>
      <c r="E559" t="s">
        <v>114</v>
      </c>
      <c r="F559" t="s">
        <v>41</v>
      </c>
      <c r="G559" t="s">
        <v>55</v>
      </c>
      <c r="H559">
        <v>21226</v>
      </c>
      <c r="I559">
        <v>1</v>
      </c>
      <c r="J559">
        <v>1</v>
      </c>
      <c r="K559">
        <v>1</v>
      </c>
      <c r="L559">
        <v>0</v>
      </c>
      <c r="M559" t="s">
        <v>56</v>
      </c>
      <c r="N559" t="s">
        <v>85</v>
      </c>
      <c r="O559" t="s">
        <v>58</v>
      </c>
      <c r="P559" t="s">
        <v>37</v>
      </c>
      <c r="Q559" t="s">
        <v>59</v>
      </c>
      <c r="R559" t="s">
        <v>65</v>
      </c>
      <c r="S559" t="s">
        <v>60</v>
      </c>
      <c r="T559">
        <v>1</v>
      </c>
      <c r="U559">
        <v>1</v>
      </c>
      <c r="V559">
        <v>0</v>
      </c>
      <c r="W559">
        <v>0</v>
      </c>
      <c r="X559">
        <v>0</v>
      </c>
      <c r="Y559">
        <v>0</v>
      </c>
      <c r="Z559">
        <v>1</v>
      </c>
      <c r="AA559">
        <v>1</v>
      </c>
      <c r="AB559">
        <v>1</v>
      </c>
      <c r="AC559">
        <v>0</v>
      </c>
      <c r="AD559">
        <v>0</v>
      </c>
      <c r="AE559">
        <v>0</v>
      </c>
      <c r="AF559">
        <v>0</v>
      </c>
      <c r="AG559">
        <v>0</v>
      </c>
    </row>
    <row r="560" spans="1:33" hidden="1" x14ac:dyDescent="0.2">
      <c r="A560">
        <v>559</v>
      </c>
      <c r="B560" t="s">
        <v>238</v>
      </c>
      <c r="C560" t="s">
        <v>108</v>
      </c>
      <c r="D560">
        <v>26</v>
      </c>
      <c r="E560" t="s">
        <v>114</v>
      </c>
      <c r="F560" t="s">
        <v>53</v>
      </c>
      <c r="G560" t="s">
        <v>71</v>
      </c>
      <c r="H560">
        <v>66945</v>
      </c>
      <c r="I560">
        <v>0</v>
      </c>
      <c r="J560">
        <v>0</v>
      </c>
      <c r="K560">
        <v>1</v>
      </c>
      <c r="L560">
        <v>0</v>
      </c>
      <c r="M560" t="s">
        <v>36</v>
      </c>
      <c r="N560" t="s">
        <v>36</v>
      </c>
      <c r="O560" t="s">
        <v>36</v>
      </c>
      <c r="P560" t="s">
        <v>37</v>
      </c>
      <c r="Q560" t="s">
        <v>36</v>
      </c>
      <c r="R560" t="s">
        <v>36</v>
      </c>
      <c r="S560" t="s">
        <v>36</v>
      </c>
      <c r="T560" t="s">
        <v>36</v>
      </c>
      <c r="U560">
        <v>1</v>
      </c>
      <c r="V560">
        <v>0</v>
      </c>
      <c r="W560">
        <v>0</v>
      </c>
      <c r="X560">
        <v>0</v>
      </c>
      <c r="Y560">
        <v>0</v>
      </c>
      <c r="Z560">
        <v>1</v>
      </c>
      <c r="AA560">
        <v>1</v>
      </c>
      <c r="AB560">
        <v>1</v>
      </c>
      <c r="AC560">
        <v>0</v>
      </c>
      <c r="AD560">
        <v>0</v>
      </c>
      <c r="AE560">
        <v>0</v>
      </c>
      <c r="AF560">
        <v>0</v>
      </c>
      <c r="AG560">
        <v>0</v>
      </c>
    </row>
    <row r="561" spans="1:33" hidden="1" x14ac:dyDescent="0.2">
      <c r="A561">
        <v>560</v>
      </c>
      <c r="B561" t="s">
        <v>238</v>
      </c>
      <c r="C561" t="s">
        <v>108</v>
      </c>
      <c r="D561">
        <v>26</v>
      </c>
      <c r="E561" t="s">
        <v>114</v>
      </c>
      <c r="F561" t="s">
        <v>77</v>
      </c>
      <c r="G561" t="s">
        <v>36</v>
      </c>
      <c r="H561">
        <v>198335</v>
      </c>
      <c r="I561" t="s">
        <v>239</v>
      </c>
      <c r="J561" t="s">
        <v>240</v>
      </c>
      <c r="K561" t="s">
        <v>112</v>
      </c>
      <c r="L561" t="s">
        <v>36</v>
      </c>
      <c r="M561" t="s">
        <v>36</v>
      </c>
      <c r="N561" t="s">
        <v>36</v>
      </c>
      <c r="O561" t="s">
        <v>36</v>
      </c>
      <c r="P561" t="s">
        <v>37</v>
      </c>
      <c r="Q561" t="s">
        <v>36</v>
      </c>
      <c r="R561" t="s">
        <v>36</v>
      </c>
      <c r="S561" t="s">
        <v>36</v>
      </c>
      <c r="T561" t="s">
        <v>36</v>
      </c>
      <c r="U561" t="s">
        <v>36</v>
      </c>
      <c r="V561" t="s">
        <v>36</v>
      </c>
      <c r="W561" t="s">
        <v>36</v>
      </c>
      <c r="X561" t="s">
        <v>36</v>
      </c>
      <c r="Y561" t="s">
        <v>36</v>
      </c>
      <c r="Z561" t="s">
        <v>36</v>
      </c>
      <c r="AA561" t="s">
        <v>36</v>
      </c>
      <c r="AB561" t="s">
        <v>36</v>
      </c>
      <c r="AC561" t="s">
        <v>36</v>
      </c>
      <c r="AD561" t="s">
        <v>36</v>
      </c>
      <c r="AE561" t="s">
        <v>36</v>
      </c>
      <c r="AF561" t="s">
        <v>36</v>
      </c>
      <c r="AG561" t="s">
        <v>36</v>
      </c>
    </row>
    <row r="562" spans="1:33" hidden="1" x14ac:dyDescent="0.2">
      <c r="A562">
        <v>561</v>
      </c>
      <c r="B562" t="s">
        <v>241</v>
      </c>
      <c r="C562" t="s">
        <v>33</v>
      </c>
      <c r="D562">
        <v>24</v>
      </c>
      <c r="E562" t="s">
        <v>34</v>
      </c>
      <c r="F562" t="s">
        <v>35</v>
      </c>
      <c r="G562" t="s">
        <v>36</v>
      </c>
      <c r="H562">
        <v>87401</v>
      </c>
      <c r="I562" t="s">
        <v>36</v>
      </c>
      <c r="J562" t="s">
        <v>36</v>
      </c>
      <c r="K562" t="s">
        <v>36</v>
      </c>
      <c r="L562" t="s">
        <v>36</v>
      </c>
      <c r="M562" t="s">
        <v>36</v>
      </c>
      <c r="N562" t="s">
        <v>36</v>
      </c>
      <c r="O562" t="s">
        <v>36</v>
      </c>
      <c r="P562" t="s">
        <v>37</v>
      </c>
      <c r="Q562" t="s">
        <v>36</v>
      </c>
      <c r="R562" t="s">
        <v>36</v>
      </c>
      <c r="S562" t="s">
        <v>36</v>
      </c>
      <c r="T562" t="s">
        <v>36</v>
      </c>
      <c r="U562" t="s">
        <v>36</v>
      </c>
      <c r="V562" t="s">
        <v>36</v>
      </c>
      <c r="W562" t="s">
        <v>36</v>
      </c>
      <c r="X562" t="s">
        <v>36</v>
      </c>
      <c r="Y562" t="s">
        <v>36</v>
      </c>
      <c r="Z562" t="s">
        <v>36</v>
      </c>
      <c r="AA562" t="s">
        <v>36</v>
      </c>
      <c r="AB562" t="s">
        <v>36</v>
      </c>
      <c r="AC562" t="s">
        <v>36</v>
      </c>
      <c r="AD562" t="s">
        <v>36</v>
      </c>
      <c r="AE562" t="s">
        <v>36</v>
      </c>
      <c r="AF562" t="s">
        <v>36</v>
      </c>
      <c r="AG562" t="s">
        <v>36</v>
      </c>
    </row>
    <row r="563" spans="1:33" hidden="1" x14ac:dyDescent="0.2">
      <c r="A563">
        <v>562</v>
      </c>
      <c r="B563" t="s">
        <v>241</v>
      </c>
      <c r="C563" t="s">
        <v>33</v>
      </c>
      <c r="D563">
        <v>24</v>
      </c>
      <c r="E563" t="s">
        <v>34</v>
      </c>
      <c r="F563" t="s">
        <v>38</v>
      </c>
      <c r="G563" t="s">
        <v>40</v>
      </c>
      <c r="H563">
        <v>237970</v>
      </c>
      <c r="I563">
        <v>0</v>
      </c>
      <c r="J563">
        <v>1</v>
      </c>
      <c r="K563">
        <v>0</v>
      </c>
      <c r="L563">
        <v>0</v>
      </c>
      <c r="M563" t="s">
        <v>36</v>
      </c>
      <c r="N563" t="s">
        <v>36</v>
      </c>
      <c r="O563" t="s">
        <v>36</v>
      </c>
      <c r="P563" t="s">
        <v>37</v>
      </c>
      <c r="Q563" t="s">
        <v>36</v>
      </c>
      <c r="R563" t="s">
        <v>36</v>
      </c>
      <c r="S563" t="s">
        <v>36</v>
      </c>
      <c r="T563" t="s">
        <v>36</v>
      </c>
      <c r="U563" t="s">
        <v>36</v>
      </c>
      <c r="V563" t="s">
        <v>36</v>
      </c>
      <c r="W563" t="s">
        <v>36</v>
      </c>
      <c r="X563" t="s">
        <v>36</v>
      </c>
      <c r="Y563" t="s">
        <v>36</v>
      </c>
      <c r="Z563" t="s">
        <v>36</v>
      </c>
      <c r="AA563" t="s">
        <v>36</v>
      </c>
      <c r="AB563" t="s">
        <v>36</v>
      </c>
      <c r="AC563" t="s">
        <v>36</v>
      </c>
      <c r="AD563" t="s">
        <v>36</v>
      </c>
      <c r="AE563" t="s">
        <v>36</v>
      </c>
      <c r="AF563" t="s">
        <v>36</v>
      </c>
      <c r="AG563" t="s">
        <v>36</v>
      </c>
    </row>
    <row r="564" spans="1:33" hidden="1" x14ac:dyDescent="0.2">
      <c r="A564">
        <v>563</v>
      </c>
      <c r="B564" t="s">
        <v>241</v>
      </c>
      <c r="C564" t="s">
        <v>33</v>
      </c>
      <c r="D564">
        <v>24</v>
      </c>
      <c r="E564" t="s">
        <v>34</v>
      </c>
      <c r="F564" t="s">
        <v>38</v>
      </c>
      <c r="G564" t="s">
        <v>39</v>
      </c>
      <c r="H564">
        <v>16343</v>
      </c>
      <c r="I564">
        <v>0</v>
      </c>
      <c r="J564">
        <v>0</v>
      </c>
      <c r="K564">
        <v>1</v>
      </c>
      <c r="L564">
        <v>0</v>
      </c>
      <c r="M564" t="s">
        <v>36</v>
      </c>
      <c r="N564" t="s">
        <v>36</v>
      </c>
      <c r="O564" t="s">
        <v>36</v>
      </c>
      <c r="P564" t="s">
        <v>37</v>
      </c>
      <c r="Q564" t="s">
        <v>36</v>
      </c>
      <c r="R564" t="s">
        <v>36</v>
      </c>
      <c r="S564" t="s">
        <v>36</v>
      </c>
      <c r="T564" t="s">
        <v>36</v>
      </c>
      <c r="U564" t="s">
        <v>36</v>
      </c>
      <c r="V564" t="s">
        <v>36</v>
      </c>
      <c r="W564" t="s">
        <v>36</v>
      </c>
      <c r="X564" t="s">
        <v>36</v>
      </c>
      <c r="Y564" t="s">
        <v>36</v>
      </c>
      <c r="Z564" t="s">
        <v>36</v>
      </c>
      <c r="AA564" t="s">
        <v>36</v>
      </c>
      <c r="AB564" t="s">
        <v>36</v>
      </c>
      <c r="AC564" t="s">
        <v>36</v>
      </c>
      <c r="AD564" t="s">
        <v>36</v>
      </c>
      <c r="AE564" t="s">
        <v>36</v>
      </c>
      <c r="AF564" t="s">
        <v>36</v>
      </c>
      <c r="AG564" t="s">
        <v>36</v>
      </c>
    </row>
    <row r="565" spans="1:33" x14ac:dyDescent="0.2">
      <c r="A565">
        <v>564</v>
      </c>
      <c r="B565" t="s">
        <v>241</v>
      </c>
      <c r="C565" t="s">
        <v>33</v>
      </c>
      <c r="D565">
        <v>24</v>
      </c>
      <c r="E565" t="s">
        <v>34</v>
      </c>
      <c r="F565" t="s">
        <v>41</v>
      </c>
      <c r="G565" t="s">
        <v>61</v>
      </c>
      <c r="H565">
        <v>43455</v>
      </c>
      <c r="I565">
        <v>0</v>
      </c>
      <c r="J565">
        <v>1</v>
      </c>
      <c r="K565">
        <v>0</v>
      </c>
      <c r="L565">
        <v>0</v>
      </c>
      <c r="M565" t="s">
        <v>125</v>
      </c>
      <c r="N565" t="s">
        <v>87</v>
      </c>
      <c r="O565" t="s">
        <v>64</v>
      </c>
      <c r="P565" t="s">
        <v>37</v>
      </c>
      <c r="Q565" t="s">
        <v>60</v>
      </c>
      <c r="R565" t="s">
        <v>47</v>
      </c>
      <c r="S565" t="s">
        <v>48</v>
      </c>
      <c r="T565">
        <v>1</v>
      </c>
      <c r="U565">
        <v>0</v>
      </c>
      <c r="V565">
        <v>1</v>
      </c>
      <c r="W565">
        <v>1</v>
      </c>
      <c r="X565">
        <v>0</v>
      </c>
      <c r="Y565">
        <v>0</v>
      </c>
      <c r="Z565">
        <v>1</v>
      </c>
      <c r="AA565">
        <v>0</v>
      </c>
      <c r="AB565">
        <v>0</v>
      </c>
      <c r="AC565">
        <v>0</v>
      </c>
      <c r="AD565">
        <v>1</v>
      </c>
      <c r="AE565">
        <v>0</v>
      </c>
      <c r="AF565">
        <v>0</v>
      </c>
      <c r="AG565">
        <v>0</v>
      </c>
    </row>
    <row r="566" spans="1:33" x14ac:dyDescent="0.2">
      <c r="A566">
        <v>565</v>
      </c>
      <c r="B566" t="s">
        <v>241</v>
      </c>
      <c r="C566" t="s">
        <v>33</v>
      </c>
      <c r="D566">
        <v>24</v>
      </c>
      <c r="E566" t="s">
        <v>34</v>
      </c>
      <c r="F566" t="s">
        <v>41</v>
      </c>
      <c r="G566" t="s">
        <v>67</v>
      </c>
      <c r="H566">
        <v>5010</v>
      </c>
      <c r="I566">
        <v>0</v>
      </c>
      <c r="J566">
        <v>0</v>
      </c>
      <c r="K566">
        <v>1</v>
      </c>
      <c r="L566">
        <v>0</v>
      </c>
      <c r="M566" t="s">
        <v>109</v>
      </c>
      <c r="N566" t="s">
        <v>69</v>
      </c>
      <c r="O566" t="s">
        <v>68</v>
      </c>
      <c r="P566" t="s">
        <v>37</v>
      </c>
      <c r="Q566" t="s">
        <v>59</v>
      </c>
      <c r="R566" t="s">
        <v>48</v>
      </c>
      <c r="S566" t="s">
        <v>65</v>
      </c>
      <c r="T566">
        <v>0</v>
      </c>
      <c r="U566">
        <v>1</v>
      </c>
      <c r="V566">
        <v>1</v>
      </c>
      <c r="W566">
        <v>0</v>
      </c>
      <c r="X566">
        <v>0</v>
      </c>
      <c r="Y566">
        <v>0</v>
      </c>
      <c r="Z566">
        <v>1</v>
      </c>
      <c r="AA566">
        <v>0</v>
      </c>
      <c r="AB566">
        <v>1</v>
      </c>
      <c r="AC566">
        <v>0</v>
      </c>
      <c r="AD566">
        <v>0</v>
      </c>
      <c r="AE566">
        <v>0</v>
      </c>
      <c r="AF566">
        <v>0</v>
      </c>
      <c r="AG566">
        <v>0</v>
      </c>
    </row>
    <row r="567" spans="1:33" hidden="1" x14ac:dyDescent="0.2">
      <c r="A567">
        <v>566</v>
      </c>
      <c r="B567" t="s">
        <v>241</v>
      </c>
      <c r="C567" t="s">
        <v>33</v>
      </c>
      <c r="D567">
        <v>24</v>
      </c>
      <c r="E567" t="s">
        <v>34</v>
      </c>
      <c r="F567" t="s">
        <v>53</v>
      </c>
      <c r="G567" t="s">
        <v>76</v>
      </c>
      <c r="H567">
        <v>8066</v>
      </c>
      <c r="I567">
        <v>0</v>
      </c>
      <c r="J567">
        <v>0</v>
      </c>
      <c r="K567">
        <v>1</v>
      </c>
      <c r="L567">
        <v>0</v>
      </c>
      <c r="M567" t="s">
        <v>36</v>
      </c>
      <c r="N567" t="s">
        <v>36</v>
      </c>
      <c r="O567" t="s">
        <v>36</v>
      </c>
      <c r="P567" t="s">
        <v>37</v>
      </c>
      <c r="Q567" t="s">
        <v>36</v>
      </c>
      <c r="R567" t="s">
        <v>36</v>
      </c>
      <c r="S567" t="s">
        <v>36</v>
      </c>
      <c r="T567" t="s">
        <v>36</v>
      </c>
      <c r="U567">
        <v>1</v>
      </c>
      <c r="V567">
        <v>1</v>
      </c>
      <c r="W567">
        <v>0</v>
      </c>
      <c r="X567">
        <v>0</v>
      </c>
      <c r="Y567">
        <v>0</v>
      </c>
      <c r="Z567">
        <v>1</v>
      </c>
      <c r="AA567">
        <v>0</v>
      </c>
      <c r="AB567">
        <v>1</v>
      </c>
      <c r="AC567">
        <v>0</v>
      </c>
      <c r="AD567">
        <v>0</v>
      </c>
      <c r="AE567">
        <v>0</v>
      </c>
      <c r="AF567">
        <v>0</v>
      </c>
      <c r="AG567">
        <v>0</v>
      </c>
    </row>
    <row r="568" spans="1:33" x14ac:dyDescent="0.2">
      <c r="A568">
        <v>567</v>
      </c>
      <c r="B568" t="s">
        <v>241</v>
      </c>
      <c r="C568" t="s">
        <v>33</v>
      </c>
      <c r="D568">
        <v>24</v>
      </c>
      <c r="E568" t="s">
        <v>34</v>
      </c>
      <c r="F568" t="s">
        <v>41</v>
      </c>
      <c r="G568" t="s">
        <v>42</v>
      </c>
      <c r="H568">
        <v>4499</v>
      </c>
      <c r="I568">
        <v>0</v>
      </c>
      <c r="J568">
        <v>0</v>
      </c>
      <c r="K568">
        <v>1</v>
      </c>
      <c r="L568">
        <v>0</v>
      </c>
      <c r="M568" t="s">
        <v>43</v>
      </c>
      <c r="N568" t="s">
        <v>45</v>
      </c>
      <c r="O568" t="s">
        <v>44</v>
      </c>
      <c r="P568" t="s">
        <v>37</v>
      </c>
      <c r="Q568" t="s">
        <v>46</v>
      </c>
      <c r="R568" t="s">
        <v>48</v>
      </c>
      <c r="S568" t="s">
        <v>47</v>
      </c>
      <c r="T568">
        <v>0</v>
      </c>
      <c r="U568">
        <v>0</v>
      </c>
      <c r="V568">
        <v>1</v>
      </c>
      <c r="W568">
        <v>1</v>
      </c>
      <c r="X568">
        <v>1</v>
      </c>
      <c r="Y568">
        <v>0</v>
      </c>
      <c r="Z568">
        <v>1</v>
      </c>
      <c r="AA568">
        <v>0</v>
      </c>
      <c r="AB568">
        <v>0</v>
      </c>
      <c r="AC568">
        <v>0</v>
      </c>
      <c r="AD568">
        <v>1</v>
      </c>
      <c r="AE568">
        <v>0</v>
      </c>
      <c r="AF568">
        <v>0</v>
      </c>
      <c r="AG568">
        <v>0</v>
      </c>
    </row>
    <row r="569" spans="1:33" hidden="1" x14ac:dyDescent="0.2">
      <c r="A569">
        <v>568</v>
      </c>
      <c r="B569" t="s">
        <v>241</v>
      </c>
      <c r="C569" t="s">
        <v>33</v>
      </c>
      <c r="D569">
        <v>24</v>
      </c>
      <c r="E569" t="s">
        <v>34</v>
      </c>
      <c r="F569" t="s">
        <v>53</v>
      </c>
      <c r="G569" t="s">
        <v>54</v>
      </c>
      <c r="H569">
        <v>3842</v>
      </c>
      <c r="I569">
        <v>0</v>
      </c>
      <c r="J569">
        <v>0</v>
      </c>
      <c r="K569">
        <v>1</v>
      </c>
      <c r="L569">
        <v>0</v>
      </c>
      <c r="M569" t="s">
        <v>36</v>
      </c>
      <c r="N569" t="s">
        <v>36</v>
      </c>
      <c r="O569" t="s">
        <v>36</v>
      </c>
      <c r="P569" t="s">
        <v>37</v>
      </c>
      <c r="Q569" t="s">
        <v>36</v>
      </c>
      <c r="R569" t="s">
        <v>36</v>
      </c>
      <c r="S569" t="s">
        <v>36</v>
      </c>
      <c r="T569" t="s">
        <v>36</v>
      </c>
      <c r="U569">
        <v>0</v>
      </c>
      <c r="V569">
        <v>1</v>
      </c>
      <c r="W569">
        <v>1</v>
      </c>
      <c r="X569">
        <v>1</v>
      </c>
      <c r="Y569">
        <v>0</v>
      </c>
      <c r="Z569">
        <v>1</v>
      </c>
      <c r="AA569">
        <v>0</v>
      </c>
      <c r="AB569">
        <v>0</v>
      </c>
      <c r="AC569">
        <v>0</v>
      </c>
      <c r="AD569">
        <v>1</v>
      </c>
      <c r="AE569">
        <v>0</v>
      </c>
      <c r="AF569">
        <v>0</v>
      </c>
      <c r="AG569">
        <v>0</v>
      </c>
    </row>
    <row r="570" spans="1:33" x14ac:dyDescent="0.2">
      <c r="A570">
        <v>569</v>
      </c>
      <c r="B570" t="s">
        <v>241</v>
      </c>
      <c r="C570" t="s">
        <v>33</v>
      </c>
      <c r="D570">
        <v>24</v>
      </c>
      <c r="E570" t="s">
        <v>34</v>
      </c>
      <c r="F570" t="s">
        <v>41</v>
      </c>
      <c r="G570" t="s">
        <v>72</v>
      </c>
      <c r="H570">
        <v>2867</v>
      </c>
      <c r="I570">
        <v>0</v>
      </c>
      <c r="J570">
        <v>1</v>
      </c>
      <c r="K570">
        <v>0</v>
      </c>
      <c r="L570">
        <v>0</v>
      </c>
      <c r="M570" t="s">
        <v>74</v>
      </c>
      <c r="N570" t="s">
        <v>73</v>
      </c>
      <c r="O570" t="s">
        <v>75</v>
      </c>
      <c r="P570" t="s">
        <v>37</v>
      </c>
      <c r="Q570" t="s">
        <v>47</v>
      </c>
      <c r="R570" t="s">
        <v>48</v>
      </c>
      <c r="S570" t="s">
        <v>46</v>
      </c>
      <c r="T570">
        <v>0</v>
      </c>
      <c r="U570">
        <v>0</v>
      </c>
      <c r="V570">
        <v>1</v>
      </c>
      <c r="W570">
        <v>1</v>
      </c>
      <c r="X570">
        <v>1</v>
      </c>
      <c r="Y570">
        <v>0</v>
      </c>
      <c r="Z570">
        <v>1</v>
      </c>
      <c r="AA570">
        <v>0</v>
      </c>
      <c r="AB570">
        <v>0</v>
      </c>
      <c r="AC570">
        <v>1</v>
      </c>
      <c r="AD570">
        <v>0</v>
      </c>
      <c r="AE570">
        <v>0</v>
      </c>
      <c r="AF570">
        <v>0</v>
      </c>
      <c r="AG570">
        <v>0</v>
      </c>
    </row>
    <row r="571" spans="1:33" x14ac:dyDescent="0.2">
      <c r="A571">
        <v>570</v>
      </c>
      <c r="B571" t="s">
        <v>241</v>
      </c>
      <c r="C571" t="s">
        <v>33</v>
      </c>
      <c r="D571">
        <v>24</v>
      </c>
      <c r="E571" t="s">
        <v>34</v>
      </c>
      <c r="F571" t="s">
        <v>41</v>
      </c>
      <c r="G571" t="s">
        <v>49</v>
      </c>
      <c r="H571">
        <v>2650</v>
      </c>
      <c r="I571">
        <v>0</v>
      </c>
      <c r="J571">
        <v>0</v>
      </c>
      <c r="K571">
        <v>1</v>
      </c>
      <c r="L571">
        <v>0</v>
      </c>
      <c r="M571" t="s">
        <v>52</v>
      </c>
      <c r="N571" t="s">
        <v>95</v>
      </c>
      <c r="O571" t="s">
        <v>83</v>
      </c>
      <c r="P571" t="s">
        <v>37</v>
      </c>
      <c r="Q571" t="s">
        <v>46</v>
      </c>
      <c r="R571" t="s">
        <v>60</v>
      </c>
      <c r="S571" t="s">
        <v>59</v>
      </c>
      <c r="T571">
        <v>1</v>
      </c>
      <c r="U571">
        <v>0</v>
      </c>
      <c r="V571">
        <v>0</v>
      </c>
      <c r="W571">
        <v>0</v>
      </c>
      <c r="X571">
        <v>1</v>
      </c>
      <c r="Y571">
        <v>0</v>
      </c>
      <c r="Z571">
        <v>1</v>
      </c>
      <c r="AA571">
        <v>0</v>
      </c>
      <c r="AB571">
        <v>0</v>
      </c>
      <c r="AC571">
        <v>0</v>
      </c>
      <c r="AD571">
        <v>0</v>
      </c>
      <c r="AE571">
        <v>0</v>
      </c>
      <c r="AF571">
        <v>0</v>
      </c>
      <c r="AG571">
        <v>0</v>
      </c>
    </row>
    <row r="572" spans="1:33" hidden="1" x14ac:dyDescent="0.2">
      <c r="A572">
        <v>571</v>
      </c>
      <c r="B572" t="s">
        <v>241</v>
      </c>
      <c r="C572" t="s">
        <v>33</v>
      </c>
      <c r="D572">
        <v>24</v>
      </c>
      <c r="E572" t="s">
        <v>34</v>
      </c>
      <c r="F572" t="s">
        <v>53</v>
      </c>
      <c r="G572" t="s">
        <v>71</v>
      </c>
      <c r="H572">
        <v>2603</v>
      </c>
      <c r="I572">
        <v>0</v>
      </c>
      <c r="J572">
        <v>0</v>
      </c>
      <c r="K572">
        <v>1</v>
      </c>
      <c r="L572">
        <v>0</v>
      </c>
      <c r="M572" t="s">
        <v>36</v>
      </c>
      <c r="N572" t="s">
        <v>36</v>
      </c>
      <c r="O572" t="s">
        <v>36</v>
      </c>
      <c r="P572" t="s">
        <v>37</v>
      </c>
      <c r="Q572" t="s">
        <v>36</v>
      </c>
      <c r="R572" t="s">
        <v>36</v>
      </c>
      <c r="S572" t="s">
        <v>36</v>
      </c>
      <c r="T572" t="s">
        <v>36</v>
      </c>
      <c r="U572">
        <v>0</v>
      </c>
      <c r="V572">
        <v>0</v>
      </c>
      <c r="W572">
        <v>0</v>
      </c>
      <c r="X572">
        <v>1</v>
      </c>
      <c r="Y572">
        <v>0</v>
      </c>
      <c r="Z572">
        <v>1</v>
      </c>
      <c r="AA572">
        <v>0</v>
      </c>
      <c r="AB572">
        <v>0</v>
      </c>
      <c r="AC572">
        <v>0</v>
      </c>
      <c r="AD572">
        <v>0</v>
      </c>
      <c r="AE572">
        <v>0</v>
      </c>
      <c r="AF572">
        <v>0</v>
      </c>
      <c r="AG572">
        <v>0</v>
      </c>
    </row>
    <row r="573" spans="1:33" x14ac:dyDescent="0.2">
      <c r="A573">
        <v>572</v>
      </c>
      <c r="B573" t="s">
        <v>241</v>
      </c>
      <c r="C573" t="s">
        <v>33</v>
      </c>
      <c r="D573">
        <v>24</v>
      </c>
      <c r="E573" t="s">
        <v>34</v>
      </c>
      <c r="F573" t="s">
        <v>41</v>
      </c>
      <c r="G573" t="s">
        <v>55</v>
      </c>
      <c r="H573">
        <v>4898</v>
      </c>
      <c r="I573">
        <v>0</v>
      </c>
      <c r="J573">
        <v>0</v>
      </c>
      <c r="K573">
        <v>1</v>
      </c>
      <c r="L573">
        <v>0</v>
      </c>
      <c r="M573" t="s">
        <v>57</v>
      </c>
      <c r="N573" t="s">
        <v>84</v>
      </c>
      <c r="O573" t="s">
        <v>85</v>
      </c>
      <c r="P573" t="s">
        <v>37</v>
      </c>
      <c r="Q573" t="s">
        <v>48</v>
      </c>
      <c r="R573" t="s">
        <v>46</v>
      </c>
      <c r="S573" t="s">
        <v>65</v>
      </c>
      <c r="T573">
        <v>0</v>
      </c>
      <c r="U573">
        <v>1</v>
      </c>
      <c r="V573">
        <v>1</v>
      </c>
      <c r="W573">
        <v>0</v>
      </c>
      <c r="X573">
        <v>1</v>
      </c>
      <c r="Y573">
        <v>0</v>
      </c>
      <c r="Z573">
        <v>1</v>
      </c>
      <c r="AA573">
        <v>0</v>
      </c>
      <c r="AB573">
        <v>1</v>
      </c>
      <c r="AC573">
        <v>0</v>
      </c>
      <c r="AD573">
        <v>0</v>
      </c>
      <c r="AE573">
        <v>0</v>
      </c>
      <c r="AF573">
        <v>0</v>
      </c>
      <c r="AG573">
        <v>0</v>
      </c>
    </row>
    <row r="574" spans="1:33" hidden="1" x14ac:dyDescent="0.2">
      <c r="A574">
        <v>573</v>
      </c>
      <c r="B574" t="s">
        <v>241</v>
      </c>
      <c r="C574" t="s">
        <v>33</v>
      </c>
      <c r="D574">
        <v>24</v>
      </c>
      <c r="E574" t="s">
        <v>34</v>
      </c>
      <c r="F574" t="s">
        <v>53</v>
      </c>
      <c r="G574" t="s">
        <v>66</v>
      </c>
      <c r="H574">
        <v>2370</v>
      </c>
      <c r="I574">
        <v>0</v>
      </c>
      <c r="J574">
        <v>0</v>
      </c>
      <c r="K574">
        <v>1</v>
      </c>
      <c r="L574">
        <v>0</v>
      </c>
      <c r="M574" t="s">
        <v>36</v>
      </c>
      <c r="N574" t="s">
        <v>36</v>
      </c>
      <c r="O574" t="s">
        <v>36</v>
      </c>
      <c r="P574" t="s">
        <v>37</v>
      </c>
      <c r="Q574" t="s">
        <v>36</v>
      </c>
      <c r="R574" t="s">
        <v>36</v>
      </c>
      <c r="S574" t="s">
        <v>36</v>
      </c>
      <c r="T574" t="s">
        <v>36</v>
      </c>
      <c r="U574">
        <v>1</v>
      </c>
      <c r="V574">
        <v>1</v>
      </c>
      <c r="W574">
        <v>0</v>
      </c>
      <c r="X574">
        <v>1</v>
      </c>
      <c r="Y574">
        <v>0</v>
      </c>
      <c r="Z574">
        <v>1</v>
      </c>
      <c r="AA574">
        <v>0</v>
      </c>
      <c r="AB574">
        <v>1</v>
      </c>
      <c r="AC574">
        <v>0</v>
      </c>
      <c r="AD574">
        <v>0</v>
      </c>
      <c r="AE574">
        <v>0</v>
      </c>
      <c r="AF574">
        <v>0</v>
      </c>
      <c r="AG574">
        <v>0</v>
      </c>
    </row>
    <row r="575" spans="1:33" hidden="1" x14ac:dyDescent="0.2">
      <c r="A575">
        <v>574</v>
      </c>
      <c r="B575" t="s">
        <v>241</v>
      </c>
      <c r="C575" t="s">
        <v>33</v>
      </c>
      <c r="D575">
        <v>24</v>
      </c>
      <c r="E575" t="s">
        <v>34</v>
      </c>
      <c r="F575" t="s">
        <v>77</v>
      </c>
      <c r="G575" t="s">
        <v>36</v>
      </c>
      <c r="H575">
        <v>81951</v>
      </c>
      <c r="I575" t="s">
        <v>242</v>
      </c>
      <c r="J575" t="s">
        <v>243</v>
      </c>
      <c r="K575" t="s">
        <v>244</v>
      </c>
      <c r="L575" t="s">
        <v>36</v>
      </c>
      <c r="M575" t="s">
        <v>36</v>
      </c>
      <c r="N575" t="s">
        <v>36</v>
      </c>
      <c r="O575" t="s">
        <v>36</v>
      </c>
      <c r="P575" t="s">
        <v>37</v>
      </c>
      <c r="Q575" t="s">
        <v>36</v>
      </c>
      <c r="R575" t="s">
        <v>36</v>
      </c>
      <c r="S575" t="s">
        <v>36</v>
      </c>
      <c r="T575" t="s">
        <v>36</v>
      </c>
      <c r="U575" t="s">
        <v>36</v>
      </c>
      <c r="V575" t="s">
        <v>36</v>
      </c>
      <c r="W575" t="s">
        <v>36</v>
      </c>
      <c r="X575" t="s">
        <v>36</v>
      </c>
      <c r="Y575" t="s">
        <v>36</v>
      </c>
      <c r="Z575" t="s">
        <v>36</v>
      </c>
      <c r="AA575" t="s">
        <v>36</v>
      </c>
      <c r="AB575" t="s">
        <v>36</v>
      </c>
      <c r="AC575" t="s">
        <v>36</v>
      </c>
      <c r="AD575" t="s">
        <v>36</v>
      </c>
      <c r="AE575" t="s">
        <v>36</v>
      </c>
      <c r="AF575" t="s">
        <v>36</v>
      </c>
      <c r="AG575" t="s">
        <v>36</v>
      </c>
    </row>
    <row r="576" spans="1:33" hidden="1" x14ac:dyDescent="0.2">
      <c r="A576">
        <v>575</v>
      </c>
      <c r="B576" t="s">
        <v>245</v>
      </c>
      <c r="C576" t="s">
        <v>108</v>
      </c>
      <c r="D576">
        <v>41</v>
      </c>
      <c r="E576" t="s">
        <v>34</v>
      </c>
      <c r="F576" t="s">
        <v>35</v>
      </c>
      <c r="G576" t="s">
        <v>36</v>
      </c>
      <c r="H576">
        <v>110480</v>
      </c>
      <c r="I576" t="s">
        <v>36</v>
      </c>
      <c r="J576" t="s">
        <v>36</v>
      </c>
      <c r="K576" t="s">
        <v>36</v>
      </c>
      <c r="L576" t="s">
        <v>36</v>
      </c>
      <c r="M576" t="s">
        <v>36</v>
      </c>
      <c r="N576" t="s">
        <v>36</v>
      </c>
      <c r="O576" t="s">
        <v>36</v>
      </c>
      <c r="P576" t="s">
        <v>37</v>
      </c>
      <c r="Q576" t="s">
        <v>36</v>
      </c>
      <c r="R576" t="s">
        <v>36</v>
      </c>
      <c r="S576" t="s">
        <v>36</v>
      </c>
      <c r="T576" t="s">
        <v>36</v>
      </c>
      <c r="U576" t="s">
        <v>36</v>
      </c>
      <c r="V576" t="s">
        <v>36</v>
      </c>
      <c r="W576" t="s">
        <v>36</v>
      </c>
      <c r="X576" t="s">
        <v>36</v>
      </c>
      <c r="Y576" t="s">
        <v>36</v>
      </c>
      <c r="Z576" t="s">
        <v>36</v>
      </c>
      <c r="AA576" t="s">
        <v>36</v>
      </c>
      <c r="AB576" t="s">
        <v>36</v>
      </c>
      <c r="AC576" t="s">
        <v>36</v>
      </c>
      <c r="AD576" t="s">
        <v>36</v>
      </c>
      <c r="AE576" t="s">
        <v>36</v>
      </c>
      <c r="AF576" t="s">
        <v>36</v>
      </c>
      <c r="AG576" t="s">
        <v>36</v>
      </c>
    </row>
    <row r="577" spans="1:33" hidden="1" x14ac:dyDescent="0.2">
      <c r="A577">
        <v>576</v>
      </c>
      <c r="B577" t="s">
        <v>245</v>
      </c>
      <c r="C577" t="s">
        <v>108</v>
      </c>
      <c r="D577">
        <v>41</v>
      </c>
      <c r="E577" t="s">
        <v>34</v>
      </c>
      <c r="F577" t="s">
        <v>38</v>
      </c>
      <c r="G577" t="s">
        <v>39</v>
      </c>
      <c r="H577">
        <v>20995</v>
      </c>
      <c r="I577">
        <v>0</v>
      </c>
      <c r="J577">
        <v>0</v>
      </c>
      <c r="K577">
        <v>0</v>
      </c>
      <c r="L577">
        <v>1</v>
      </c>
      <c r="M577" t="s">
        <v>36</v>
      </c>
      <c r="N577" t="s">
        <v>36</v>
      </c>
      <c r="O577" t="s">
        <v>36</v>
      </c>
      <c r="P577" t="s">
        <v>37</v>
      </c>
      <c r="Q577" t="s">
        <v>36</v>
      </c>
      <c r="R577" t="s">
        <v>36</v>
      </c>
      <c r="S577" t="s">
        <v>36</v>
      </c>
      <c r="T577" t="s">
        <v>36</v>
      </c>
      <c r="U577" t="s">
        <v>36</v>
      </c>
      <c r="V577" t="s">
        <v>36</v>
      </c>
      <c r="W577" t="s">
        <v>36</v>
      </c>
      <c r="X577" t="s">
        <v>36</v>
      </c>
      <c r="Y577" t="s">
        <v>36</v>
      </c>
      <c r="Z577" t="s">
        <v>36</v>
      </c>
      <c r="AA577" t="s">
        <v>36</v>
      </c>
      <c r="AB577" t="s">
        <v>36</v>
      </c>
      <c r="AC577" t="s">
        <v>36</v>
      </c>
      <c r="AD577" t="s">
        <v>36</v>
      </c>
      <c r="AE577" t="s">
        <v>36</v>
      </c>
      <c r="AF577" t="s">
        <v>36</v>
      </c>
      <c r="AG577" t="s">
        <v>36</v>
      </c>
    </row>
    <row r="578" spans="1:33" hidden="1" x14ac:dyDescent="0.2">
      <c r="A578">
        <v>577</v>
      </c>
      <c r="B578" t="s">
        <v>245</v>
      </c>
      <c r="C578" t="s">
        <v>108</v>
      </c>
      <c r="D578">
        <v>41</v>
      </c>
      <c r="E578" t="s">
        <v>34</v>
      </c>
      <c r="F578" t="s">
        <v>38</v>
      </c>
      <c r="G578" t="s">
        <v>40</v>
      </c>
      <c r="H578">
        <v>16885</v>
      </c>
      <c r="I578">
        <v>0</v>
      </c>
      <c r="J578">
        <v>0</v>
      </c>
      <c r="K578">
        <v>1</v>
      </c>
      <c r="L578">
        <v>0</v>
      </c>
      <c r="M578" t="s">
        <v>36</v>
      </c>
      <c r="N578" t="s">
        <v>36</v>
      </c>
      <c r="O578" t="s">
        <v>36</v>
      </c>
      <c r="P578" t="s">
        <v>37</v>
      </c>
      <c r="Q578" t="s">
        <v>36</v>
      </c>
      <c r="R578" t="s">
        <v>36</v>
      </c>
      <c r="S578" t="s">
        <v>36</v>
      </c>
      <c r="T578" t="s">
        <v>36</v>
      </c>
      <c r="U578" t="s">
        <v>36</v>
      </c>
      <c r="V578" t="s">
        <v>36</v>
      </c>
      <c r="W578" t="s">
        <v>36</v>
      </c>
      <c r="X578" t="s">
        <v>36</v>
      </c>
      <c r="Y578" t="s">
        <v>36</v>
      </c>
      <c r="Z578" t="s">
        <v>36</v>
      </c>
      <c r="AA578" t="s">
        <v>36</v>
      </c>
      <c r="AB578" t="s">
        <v>36</v>
      </c>
      <c r="AC578" t="s">
        <v>36</v>
      </c>
      <c r="AD578" t="s">
        <v>36</v>
      </c>
      <c r="AE578" t="s">
        <v>36</v>
      </c>
      <c r="AF578" t="s">
        <v>36</v>
      </c>
      <c r="AG578" t="s">
        <v>36</v>
      </c>
    </row>
    <row r="579" spans="1:33" x14ac:dyDescent="0.2">
      <c r="A579">
        <v>578</v>
      </c>
      <c r="B579" t="s">
        <v>245</v>
      </c>
      <c r="C579" t="s">
        <v>108</v>
      </c>
      <c r="D579">
        <v>41</v>
      </c>
      <c r="E579" t="s">
        <v>34</v>
      </c>
      <c r="F579" t="s">
        <v>41</v>
      </c>
      <c r="G579" t="s">
        <v>61</v>
      </c>
      <c r="H579">
        <v>21667</v>
      </c>
      <c r="I579">
        <v>0</v>
      </c>
      <c r="J579">
        <v>1</v>
      </c>
      <c r="K579">
        <v>0</v>
      </c>
      <c r="L579">
        <v>0</v>
      </c>
      <c r="M579" t="s">
        <v>62</v>
      </c>
      <c r="N579" t="s">
        <v>125</v>
      </c>
      <c r="O579" t="s">
        <v>64</v>
      </c>
      <c r="P579" t="s">
        <v>37</v>
      </c>
      <c r="Q579" t="s">
        <v>65</v>
      </c>
      <c r="R579" t="s">
        <v>60</v>
      </c>
      <c r="S579" t="s">
        <v>48</v>
      </c>
      <c r="T579">
        <v>1</v>
      </c>
      <c r="U579">
        <v>1</v>
      </c>
      <c r="V579">
        <v>1</v>
      </c>
      <c r="W579">
        <v>0</v>
      </c>
      <c r="X579">
        <v>0</v>
      </c>
      <c r="Y579">
        <v>0</v>
      </c>
      <c r="Z579">
        <v>1</v>
      </c>
      <c r="AA579">
        <v>1</v>
      </c>
      <c r="AB579">
        <v>0</v>
      </c>
      <c r="AC579">
        <v>0</v>
      </c>
      <c r="AD579">
        <v>0</v>
      </c>
      <c r="AE579">
        <v>0</v>
      </c>
      <c r="AF579">
        <v>0</v>
      </c>
      <c r="AG579">
        <v>0</v>
      </c>
    </row>
    <row r="580" spans="1:33" x14ac:dyDescent="0.2">
      <c r="A580">
        <v>579</v>
      </c>
      <c r="B580" t="s">
        <v>245</v>
      </c>
      <c r="C580" t="s">
        <v>108</v>
      </c>
      <c r="D580">
        <v>41</v>
      </c>
      <c r="E580" t="s">
        <v>34</v>
      </c>
      <c r="F580" t="s">
        <v>41</v>
      </c>
      <c r="G580" t="s">
        <v>49</v>
      </c>
      <c r="H580">
        <v>17668</v>
      </c>
      <c r="I580">
        <v>0</v>
      </c>
      <c r="J580">
        <v>0</v>
      </c>
      <c r="K580">
        <v>0</v>
      </c>
      <c r="L580">
        <v>1</v>
      </c>
      <c r="M580" t="s">
        <v>95</v>
      </c>
      <c r="N580" t="s">
        <v>52</v>
      </c>
      <c r="O580" t="s">
        <v>51</v>
      </c>
      <c r="P580" t="s">
        <v>37</v>
      </c>
      <c r="Q580" t="s">
        <v>60</v>
      </c>
      <c r="R580" t="s">
        <v>46</v>
      </c>
      <c r="S580" t="s">
        <v>47</v>
      </c>
      <c r="T580">
        <v>1</v>
      </c>
      <c r="U580">
        <v>0</v>
      </c>
      <c r="V580">
        <v>0</v>
      </c>
      <c r="W580">
        <v>1</v>
      </c>
      <c r="X580">
        <v>1</v>
      </c>
      <c r="Y580">
        <v>0</v>
      </c>
      <c r="Z580">
        <v>1</v>
      </c>
      <c r="AA580">
        <v>0</v>
      </c>
      <c r="AB580">
        <v>0</v>
      </c>
      <c r="AC580">
        <v>0</v>
      </c>
      <c r="AD580">
        <v>0</v>
      </c>
      <c r="AE580">
        <v>0</v>
      </c>
      <c r="AF580">
        <v>0</v>
      </c>
      <c r="AG580">
        <v>1</v>
      </c>
    </row>
    <row r="581" spans="1:33" hidden="1" x14ac:dyDescent="0.2">
      <c r="A581">
        <v>580</v>
      </c>
      <c r="B581" t="s">
        <v>245</v>
      </c>
      <c r="C581" t="s">
        <v>108</v>
      </c>
      <c r="D581">
        <v>41</v>
      </c>
      <c r="E581" t="s">
        <v>34</v>
      </c>
      <c r="F581" t="s">
        <v>53</v>
      </c>
      <c r="G581" t="s">
        <v>71</v>
      </c>
      <c r="H581">
        <v>23677</v>
      </c>
      <c r="I581">
        <v>0</v>
      </c>
      <c r="J581">
        <v>0</v>
      </c>
      <c r="K581">
        <v>1</v>
      </c>
      <c r="L581">
        <v>0</v>
      </c>
      <c r="M581" t="s">
        <v>36</v>
      </c>
      <c r="N581" t="s">
        <v>36</v>
      </c>
      <c r="O581" t="s">
        <v>36</v>
      </c>
      <c r="P581" t="s">
        <v>37</v>
      </c>
      <c r="Q581" t="s">
        <v>36</v>
      </c>
      <c r="R581" t="s">
        <v>36</v>
      </c>
      <c r="S581" t="s">
        <v>36</v>
      </c>
      <c r="T581" t="s">
        <v>36</v>
      </c>
      <c r="U581">
        <v>0</v>
      </c>
      <c r="V581">
        <v>0</v>
      </c>
      <c r="W581">
        <v>1</v>
      </c>
      <c r="X581">
        <v>1</v>
      </c>
      <c r="Y581">
        <v>0</v>
      </c>
      <c r="Z581">
        <v>1</v>
      </c>
      <c r="AA581">
        <v>0</v>
      </c>
      <c r="AB581">
        <v>0</v>
      </c>
      <c r="AC581">
        <v>0</v>
      </c>
      <c r="AD581">
        <v>0</v>
      </c>
      <c r="AE581">
        <v>0</v>
      </c>
      <c r="AF581">
        <v>0</v>
      </c>
      <c r="AG581">
        <v>1</v>
      </c>
    </row>
    <row r="582" spans="1:33" x14ac:dyDescent="0.2">
      <c r="A582">
        <v>581</v>
      </c>
      <c r="B582" t="s">
        <v>245</v>
      </c>
      <c r="C582" t="s">
        <v>108</v>
      </c>
      <c r="D582">
        <v>41</v>
      </c>
      <c r="E582" t="s">
        <v>34</v>
      </c>
      <c r="F582" t="s">
        <v>41</v>
      </c>
      <c r="G582" t="s">
        <v>55</v>
      </c>
      <c r="H582">
        <v>27674</v>
      </c>
      <c r="I582">
        <v>0</v>
      </c>
      <c r="J582">
        <v>0</v>
      </c>
      <c r="K582">
        <v>0</v>
      </c>
      <c r="L582">
        <v>1</v>
      </c>
      <c r="M582" t="s">
        <v>84</v>
      </c>
      <c r="N582" t="s">
        <v>57</v>
      </c>
      <c r="O582" t="s">
        <v>58</v>
      </c>
      <c r="P582" t="s">
        <v>37</v>
      </c>
      <c r="Q582" t="s">
        <v>46</v>
      </c>
      <c r="R582" t="s">
        <v>48</v>
      </c>
      <c r="S582" t="s">
        <v>60</v>
      </c>
      <c r="T582">
        <v>1</v>
      </c>
      <c r="U582">
        <v>0</v>
      </c>
      <c r="V582">
        <v>1</v>
      </c>
      <c r="W582">
        <v>0</v>
      </c>
      <c r="X582">
        <v>1</v>
      </c>
      <c r="Y582">
        <v>0</v>
      </c>
      <c r="Z582">
        <v>1</v>
      </c>
      <c r="AA582">
        <v>0</v>
      </c>
      <c r="AB582">
        <v>0</v>
      </c>
      <c r="AC582">
        <v>0</v>
      </c>
      <c r="AD582">
        <v>0</v>
      </c>
      <c r="AE582">
        <v>0</v>
      </c>
      <c r="AF582">
        <v>0</v>
      </c>
      <c r="AG582">
        <v>1</v>
      </c>
    </row>
    <row r="583" spans="1:33" x14ac:dyDescent="0.2">
      <c r="A583">
        <v>582</v>
      </c>
      <c r="B583" t="s">
        <v>245</v>
      </c>
      <c r="C583" t="s">
        <v>108</v>
      </c>
      <c r="D583">
        <v>41</v>
      </c>
      <c r="E583" t="s">
        <v>34</v>
      </c>
      <c r="F583" t="s">
        <v>41</v>
      </c>
      <c r="G583" t="s">
        <v>67</v>
      </c>
      <c r="H583">
        <v>12084</v>
      </c>
      <c r="I583">
        <v>0</v>
      </c>
      <c r="J583">
        <v>0</v>
      </c>
      <c r="K583">
        <v>0</v>
      </c>
      <c r="L583">
        <v>1</v>
      </c>
      <c r="M583" t="s">
        <v>69</v>
      </c>
      <c r="N583" t="s">
        <v>70</v>
      </c>
      <c r="O583" t="s">
        <v>109</v>
      </c>
      <c r="P583" t="s">
        <v>37</v>
      </c>
      <c r="Q583" t="s">
        <v>48</v>
      </c>
      <c r="R583" t="s">
        <v>47</v>
      </c>
      <c r="S583" t="s">
        <v>59</v>
      </c>
      <c r="T583">
        <v>0</v>
      </c>
      <c r="U583">
        <v>0</v>
      </c>
      <c r="V583">
        <v>1</v>
      </c>
      <c r="W583">
        <v>1</v>
      </c>
      <c r="X583">
        <v>0</v>
      </c>
      <c r="Y583">
        <v>0</v>
      </c>
      <c r="Z583">
        <v>1</v>
      </c>
      <c r="AA583">
        <v>0</v>
      </c>
      <c r="AB583">
        <v>0</v>
      </c>
      <c r="AC583">
        <v>0</v>
      </c>
      <c r="AD583">
        <v>0</v>
      </c>
      <c r="AE583">
        <v>0</v>
      </c>
      <c r="AF583">
        <v>0</v>
      </c>
      <c r="AG583">
        <v>1</v>
      </c>
    </row>
    <row r="584" spans="1:33" hidden="1" x14ac:dyDescent="0.2">
      <c r="A584">
        <v>583</v>
      </c>
      <c r="B584" t="s">
        <v>245</v>
      </c>
      <c r="C584" t="s">
        <v>108</v>
      </c>
      <c r="D584">
        <v>41</v>
      </c>
      <c r="E584" t="s">
        <v>34</v>
      </c>
      <c r="F584" t="s">
        <v>53</v>
      </c>
      <c r="G584" t="s">
        <v>76</v>
      </c>
      <c r="H584">
        <v>14525</v>
      </c>
      <c r="I584">
        <v>0</v>
      </c>
      <c r="J584">
        <v>1</v>
      </c>
      <c r="K584">
        <v>0</v>
      </c>
      <c r="L584">
        <v>0</v>
      </c>
      <c r="M584" t="s">
        <v>36</v>
      </c>
      <c r="N584" t="s">
        <v>36</v>
      </c>
      <c r="O584" t="s">
        <v>36</v>
      </c>
      <c r="P584" t="s">
        <v>37</v>
      </c>
      <c r="Q584" t="s">
        <v>36</v>
      </c>
      <c r="R584" t="s">
        <v>36</v>
      </c>
      <c r="S584" t="s">
        <v>36</v>
      </c>
      <c r="T584" t="s">
        <v>36</v>
      </c>
      <c r="U584">
        <v>0</v>
      </c>
      <c r="V584">
        <v>1</v>
      </c>
      <c r="W584">
        <v>1</v>
      </c>
      <c r="X584">
        <v>0</v>
      </c>
      <c r="Y584">
        <v>0</v>
      </c>
      <c r="Z584">
        <v>1</v>
      </c>
      <c r="AA584">
        <v>0</v>
      </c>
      <c r="AB584">
        <v>0</v>
      </c>
      <c r="AC584">
        <v>0</v>
      </c>
      <c r="AD584">
        <v>0</v>
      </c>
      <c r="AE584">
        <v>0</v>
      </c>
      <c r="AF584">
        <v>0</v>
      </c>
      <c r="AG584">
        <v>1</v>
      </c>
    </row>
    <row r="585" spans="1:33" x14ac:dyDescent="0.2">
      <c r="A585">
        <v>584</v>
      </c>
      <c r="B585" t="s">
        <v>245</v>
      </c>
      <c r="C585" t="s">
        <v>108</v>
      </c>
      <c r="D585">
        <v>41</v>
      </c>
      <c r="E585" t="s">
        <v>34</v>
      </c>
      <c r="F585" t="s">
        <v>41</v>
      </c>
      <c r="G585" t="s">
        <v>72</v>
      </c>
      <c r="H585">
        <v>11556</v>
      </c>
      <c r="I585">
        <v>0</v>
      </c>
      <c r="J585">
        <v>0</v>
      </c>
      <c r="K585">
        <v>0</v>
      </c>
      <c r="L585">
        <v>1</v>
      </c>
      <c r="M585" t="s">
        <v>115</v>
      </c>
      <c r="N585" t="s">
        <v>75</v>
      </c>
      <c r="O585" t="s">
        <v>104</v>
      </c>
      <c r="P585" t="s">
        <v>37</v>
      </c>
      <c r="Q585" t="s">
        <v>65</v>
      </c>
      <c r="R585" t="s">
        <v>46</v>
      </c>
      <c r="S585" t="s">
        <v>60</v>
      </c>
      <c r="T585">
        <v>1</v>
      </c>
      <c r="U585">
        <v>1</v>
      </c>
      <c r="V585">
        <v>0</v>
      </c>
      <c r="W585">
        <v>0</v>
      </c>
      <c r="X585">
        <v>1</v>
      </c>
      <c r="Y585">
        <v>0</v>
      </c>
      <c r="Z585">
        <v>1</v>
      </c>
      <c r="AA585">
        <v>0</v>
      </c>
      <c r="AB585">
        <v>0</v>
      </c>
      <c r="AC585">
        <v>0</v>
      </c>
      <c r="AD585">
        <v>0</v>
      </c>
      <c r="AE585">
        <v>0</v>
      </c>
      <c r="AF585">
        <v>0</v>
      </c>
      <c r="AG585">
        <v>1</v>
      </c>
    </row>
    <row r="586" spans="1:33" hidden="1" x14ac:dyDescent="0.2">
      <c r="A586">
        <v>585</v>
      </c>
      <c r="B586" t="s">
        <v>245</v>
      </c>
      <c r="C586" t="s">
        <v>108</v>
      </c>
      <c r="D586">
        <v>41</v>
      </c>
      <c r="E586" t="s">
        <v>34</v>
      </c>
      <c r="F586" t="s">
        <v>53</v>
      </c>
      <c r="G586" t="s">
        <v>54</v>
      </c>
      <c r="H586">
        <v>26534</v>
      </c>
      <c r="I586">
        <v>0</v>
      </c>
      <c r="J586">
        <v>0</v>
      </c>
      <c r="K586">
        <v>1</v>
      </c>
      <c r="L586">
        <v>0</v>
      </c>
      <c r="M586" t="s">
        <v>36</v>
      </c>
      <c r="N586" t="s">
        <v>36</v>
      </c>
      <c r="O586" t="s">
        <v>36</v>
      </c>
      <c r="P586" t="s">
        <v>37</v>
      </c>
      <c r="Q586" t="s">
        <v>36</v>
      </c>
      <c r="R586" t="s">
        <v>36</v>
      </c>
      <c r="S586" t="s">
        <v>36</v>
      </c>
      <c r="T586" t="s">
        <v>36</v>
      </c>
      <c r="U586">
        <v>1</v>
      </c>
      <c r="V586">
        <v>0</v>
      </c>
      <c r="W586">
        <v>0</v>
      </c>
      <c r="X586">
        <v>1</v>
      </c>
      <c r="Y586">
        <v>0</v>
      </c>
      <c r="Z586">
        <v>1</v>
      </c>
      <c r="AA586">
        <v>0</v>
      </c>
      <c r="AB586">
        <v>0</v>
      </c>
      <c r="AC586">
        <v>0</v>
      </c>
      <c r="AD586">
        <v>0</v>
      </c>
      <c r="AE586">
        <v>0</v>
      </c>
      <c r="AF586">
        <v>0</v>
      </c>
      <c r="AG586">
        <v>1</v>
      </c>
    </row>
    <row r="587" spans="1:33" x14ac:dyDescent="0.2">
      <c r="A587">
        <v>586</v>
      </c>
      <c r="B587" t="s">
        <v>245</v>
      </c>
      <c r="C587" t="s">
        <v>108</v>
      </c>
      <c r="D587">
        <v>41</v>
      </c>
      <c r="E587" t="s">
        <v>34</v>
      </c>
      <c r="F587" t="s">
        <v>41</v>
      </c>
      <c r="G587" t="s">
        <v>42</v>
      </c>
      <c r="H587">
        <v>9716</v>
      </c>
      <c r="I587">
        <v>0</v>
      </c>
      <c r="J587">
        <v>0</v>
      </c>
      <c r="K587">
        <v>0</v>
      </c>
      <c r="L587">
        <v>1</v>
      </c>
      <c r="M587" t="s">
        <v>116</v>
      </c>
      <c r="N587" t="s">
        <v>44</v>
      </c>
      <c r="O587" t="s">
        <v>43</v>
      </c>
      <c r="P587" t="s">
        <v>37</v>
      </c>
      <c r="Q587" t="s">
        <v>60</v>
      </c>
      <c r="R587" t="s">
        <v>47</v>
      </c>
      <c r="S587" t="s">
        <v>46</v>
      </c>
      <c r="T587">
        <v>1</v>
      </c>
      <c r="U587">
        <v>0</v>
      </c>
      <c r="V587">
        <v>0</v>
      </c>
      <c r="W587">
        <v>1</v>
      </c>
      <c r="X587">
        <v>1</v>
      </c>
      <c r="Y587">
        <v>0</v>
      </c>
      <c r="Z587">
        <v>1</v>
      </c>
      <c r="AA587">
        <v>0</v>
      </c>
      <c r="AB587">
        <v>0</v>
      </c>
      <c r="AC587">
        <v>0</v>
      </c>
      <c r="AD587">
        <v>0</v>
      </c>
      <c r="AE587">
        <v>0</v>
      </c>
      <c r="AF587">
        <v>0</v>
      </c>
      <c r="AG587">
        <v>1</v>
      </c>
    </row>
    <row r="588" spans="1:33" hidden="1" x14ac:dyDescent="0.2">
      <c r="A588">
        <v>587</v>
      </c>
      <c r="B588" t="s">
        <v>245</v>
      </c>
      <c r="C588" t="s">
        <v>108</v>
      </c>
      <c r="D588">
        <v>41</v>
      </c>
      <c r="E588" t="s">
        <v>34</v>
      </c>
      <c r="F588" t="s">
        <v>53</v>
      </c>
      <c r="G588" t="s">
        <v>66</v>
      </c>
      <c r="H588">
        <v>13828</v>
      </c>
      <c r="I588">
        <v>0</v>
      </c>
      <c r="J588">
        <v>0</v>
      </c>
      <c r="K588">
        <v>0</v>
      </c>
      <c r="L588">
        <v>1</v>
      </c>
      <c r="M588" t="s">
        <v>36</v>
      </c>
      <c r="N588" t="s">
        <v>36</v>
      </c>
      <c r="O588" t="s">
        <v>36</v>
      </c>
      <c r="P588" t="s">
        <v>37</v>
      </c>
      <c r="Q588" t="s">
        <v>36</v>
      </c>
      <c r="R588" t="s">
        <v>36</v>
      </c>
      <c r="S588" t="s">
        <v>36</v>
      </c>
      <c r="T588" t="s">
        <v>36</v>
      </c>
      <c r="U588">
        <v>0</v>
      </c>
      <c r="V588">
        <v>0</v>
      </c>
      <c r="W588">
        <v>1</v>
      </c>
      <c r="X588">
        <v>1</v>
      </c>
      <c r="Y588">
        <v>0</v>
      </c>
      <c r="Z588">
        <v>1</v>
      </c>
      <c r="AA588">
        <v>0</v>
      </c>
      <c r="AB588">
        <v>0</v>
      </c>
      <c r="AC588">
        <v>0</v>
      </c>
      <c r="AD588">
        <v>0</v>
      </c>
      <c r="AE588">
        <v>0</v>
      </c>
      <c r="AF588">
        <v>0</v>
      </c>
      <c r="AG588">
        <v>1</v>
      </c>
    </row>
    <row r="589" spans="1:33" hidden="1" x14ac:dyDescent="0.2">
      <c r="A589">
        <v>588</v>
      </c>
      <c r="B589" t="s">
        <v>245</v>
      </c>
      <c r="C589" t="s">
        <v>108</v>
      </c>
      <c r="D589">
        <v>41</v>
      </c>
      <c r="E589" t="s">
        <v>34</v>
      </c>
      <c r="F589" t="s">
        <v>77</v>
      </c>
      <c r="G589" t="s">
        <v>36</v>
      </c>
      <c r="H589">
        <v>56294</v>
      </c>
      <c r="I589" t="s">
        <v>246</v>
      </c>
      <c r="J589" t="s">
        <v>247</v>
      </c>
      <c r="K589" t="s">
        <v>248</v>
      </c>
      <c r="L589" t="s">
        <v>36</v>
      </c>
      <c r="M589" t="s">
        <v>36</v>
      </c>
      <c r="N589" t="s">
        <v>36</v>
      </c>
      <c r="O589" t="s">
        <v>36</v>
      </c>
      <c r="P589" t="s">
        <v>37</v>
      </c>
      <c r="Q589" t="s">
        <v>36</v>
      </c>
      <c r="R589" t="s">
        <v>36</v>
      </c>
      <c r="S589" t="s">
        <v>36</v>
      </c>
      <c r="T589" t="s">
        <v>36</v>
      </c>
      <c r="U589" t="s">
        <v>36</v>
      </c>
      <c r="V589" t="s">
        <v>36</v>
      </c>
      <c r="W589" t="s">
        <v>36</v>
      </c>
      <c r="X589" t="s">
        <v>36</v>
      </c>
      <c r="Y589" t="s">
        <v>36</v>
      </c>
      <c r="Z589" t="s">
        <v>36</v>
      </c>
      <c r="AA589" t="s">
        <v>36</v>
      </c>
      <c r="AB589" t="s">
        <v>36</v>
      </c>
      <c r="AC589" t="s">
        <v>36</v>
      </c>
      <c r="AD589" t="s">
        <v>36</v>
      </c>
      <c r="AE589" t="s">
        <v>36</v>
      </c>
      <c r="AF589" t="s">
        <v>36</v>
      </c>
      <c r="AG589" t="s">
        <v>36</v>
      </c>
    </row>
    <row r="590" spans="1:33" hidden="1" x14ac:dyDescent="0.2">
      <c r="A590">
        <v>589</v>
      </c>
      <c r="B590" t="s">
        <v>249</v>
      </c>
      <c r="C590" t="s">
        <v>33</v>
      </c>
      <c r="D590">
        <v>49</v>
      </c>
      <c r="E590" t="s">
        <v>114</v>
      </c>
      <c r="F590" t="s">
        <v>35</v>
      </c>
      <c r="G590" t="s">
        <v>36</v>
      </c>
      <c r="H590">
        <v>32570</v>
      </c>
      <c r="I590" t="s">
        <v>36</v>
      </c>
      <c r="J590" t="s">
        <v>36</v>
      </c>
      <c r="K590" t="s">
        <v>36</v>
      </c>
      <c r="L590" t="s">
        <v>36</v>
      </c>
      <c r="M590" t="s">
        <v>36</v>
      </c>
      <c r="N590" t="s">
        <v>36</v>
      </c>
      <c r="O590" t="s">
        <v>36</v>
      </c>
      <c r="P590" t="s">
        <v>37</v>
      </c>
      <c r="Q590" t="s">
        <v>36</v>
      </c>
      <c r="R590" t="s">
        <v>36</v>
      </c>
      <c r="S590" t="s">
        <v>36</v>
      </c>
      <c r="T590" t="s">
        <v>36</v>
      </c>
      <c r="U590" t="s">
        <v>36</v>
      </c>
      <c r="V590" t="s">
        <v>36</v>
      </c>
      <c r="W590" t="s">
        <v>36</v>
      </c>
      <c r="X590" t="s">
        <v>36</v>
      </c>
      <c r="Y590" t="s">
        <v>36</v>
      </c>
      <c r="Z590" t="s">
        <v>36</v>
      </c>
      <c r="AA590" t="s">
        <v>36</v>
      </c>
      <c r="AB590" t="s">
        <v>36</v>
      </c>
      <c r="AC590" t="s">
        <v>36</v>
      </c>
      <c r="AD590" t="s">
        <v>36</v>
      </c>
      <c r="AE590" t="s">
        <v>36</v>
      </c>
      <c r="AF590" t="s">
        <v>36</v>
      </c>
      <c r="AG590" t="s">
        <v>36</v>
      </c>
    </row>
    <row r="591" spans="1:33" hidden="1" x14ac:dyDescent="0.2">
      <c r="A591">
        <v>590</v>
      </c>
      <c r="B591" t="s">
        <v>249</v>
      </c>
      <c r="C591" t="s">
        <v>33</v>
      </c>
      <c r="D591">
        <v>49</v>
      </c>
      <c r="E591" t="s">
        <v>114</v>
      </c>
      <c r="F591" t="s">
        <v>38</v>
      </c>
      <c r="G591" t="s">
        <v>40</v>
      </c>
      <c r="H591">
        <v>52635</v>
      </c>
      <c r="I591">
        <v>0</v>
      </c>
      <c r="J591">
        <v>0</v>
      </c>
      <c r="K591">
        <v>1</v>
      </c>
      <c r="L591">
        <v>0</v>
      </c>
      <c r="M591" t="s">
        <v>36</v>
      </c>
      <c r="N591" t="s">
        <v>36</v>
      </c>
      <c r="O591" t="s">
        <v>36</v>
      </c>
      <c r="P591" t="s">
        <v>37</v>
      </c>
      <c r="Q591" t="s">
        <v>36</v>
      </c>
      <c r="R591" t="s">
        <v>36</v>
      </c>
      <c r="S591" t="s">
        <v>36</v>
      </c>
      <c r="T591" t="s">
        <v>36</v>
      </c>
      <c r="U591" t="s">
        <v>36</v>
      </c>
      <c r="V591" t="s">
        <v>36</v>
      </c>
      <c r="W591" t="s">
        <v>36</v>
      </c>
      <c r="X591" t="s">
        <v>36</v>
      </c>
      <c r="Y591" t="s">
        <v>36</v>
      </c>
      <c r="Z591" t="s">
        <v>36</v>
      </c>
      <c r="AA591" t="s">
        <v>36</v>
      </c>
      <c r="AB591" t="s">
        <v>36</v>
      </c>
      <c r="AC591" t="s">
        <v>36</v>
      </c>
      <c r="AD591" t="s">
        <v>36</v>
      </c>
      <c r="AE591" t="s">
        <v>36</v>
      </c>
      <c r="AF591" t="s">
        <v>36</v>
      </c>
      <c r="AG591" t="s">
        <v>36</v>
      </c>
    </row>
    <row r="592" spans="1:33" hidden="1" x14ac:dyDescent="0.2">
      <c r="A592">
        <v>591</v>
      </c>
      <c r="B592" t="s">
        <v>249</v>
      </c>
      <c r="C592" t="s">
        <v>33</v>
      </c>
      <c r="D592">
        <v>49</v>
      </c>
      <c r="E592" t="s">
        <v>114</v>
      </c>
      <c r="F592" t="s">
        <v>38</v>
      </c>
      <c r="G592" t="s">
        <v>39</v>
      </c>
      <c r="H592">
        <v>82091</v>
      </c>
      <c r="I592">
        <v>0</v>
      </c>
      <c r="J592">
        <v>0</v>
      </c>
      <c r="K592">
        <v>0</v>
      </c>
      <c r="L592">
        <v>1</v>
      </c>
      <c r="M592" t="s">
        <v>36</v>
      </c>
      <c r="N592" t="s">
        <v>36</v>
      </c>
      <c r="O592" t="s">
        <v>36</v>
      </c>
      <c r="P592" t="s">
        <v>37</v>
      </c>
      <c r="Q592" t="s">
        <v>36</v>
      </c>
      <c r="R592" t="s">
        <v>36</v>
      </c>
      <c r="S592" t="s">
        <v>36</v>
      </c>
      <c r="T592" t="s">
        <v>36</v>
      </c>
      <c r="U592" t="s">
        <v>36</v>
      </c>
      <c r="V592" t="s">
        <v>36</v>
      </c>
      <c r="W592" t="s">
        <v>36</v>
      </c>
      <c r="X592" t="s">
        <v>36</v>
      </c>
      <c r="Y592" t="s">
        <v>36</v>
      </c>
      <c r="Z592" t="s">
        <v>36</v>
      </c>
      <c r="AA592" t="s">
        <v>36</v>
      </c>
      <c r="AB592" t="s">
        <v>36</v>
      </c>
      <c r="AC592" t="s">
        <v>36</v>
      </c>
      <c r="AD592" t="s">
        <v>36</v>
      </c>
      <c r="AE592" t="s">
        <v>36</v>
      </c>
      <c r="AF592" t="s">
        <v>36</v>
      </c>
      <c r="AG592" t="s">
        <v>36</v>
      </c>
    </row>
    <row r="593" spans="1:33" x14ac:dyDescent="0.2">
      <c r="A593">
        <v>592</v>
      </c>
      <c r="B593" t="s">
        <v>249</v>
      </c>
      <c r="C593" t="s">
        <v>33</v>
      </c>
      <c r="D593">
        <v>49</v>
      </c>
      <c r="E593" t="s">
        <v>114</v>
      </c>
      <c r="F593" t="s">
        <v>41</v>
      </c>
      <c r="G593" t="s">
        <v>55</v>
      </c>
      <c r="H593">
        <v>66896</v>
      </c>
      <c r="I593">
        <v>0</v>
      </c>
      <c r="J593">
        <v>0</v>
      </c>
      <c r="K593">
        <v>1</v>
      </c>
      <c r="L593">
        <v>0</v>
      </c>
      <c r="M593" t="s">
        <v>84</v>
      </c>
      <c r="N593" t="s">
        <v>57</v>
      </c>
      <c r="O593" t="s">
        <v>94</v>
      </c>
      <c r="P593" t="s">
        <v>37</v>
      </c>
      <c r="Q593" t="s">
        <v>46</v>
      </c>
      <c r="R593" t="s">
        <v>48</v>
      </c>
      <c r="S593" t="s">
        <v>47</v>
      </c>
      <c r="T593">
        <v>0</v>
      </c>
      <c r="U593">
        <v>0</v>
      </c>
      <c r="V593">
        <v>1</v>
      </c>
      <c r="W593">
        <v>1</v>
      </c>
      <c r="X593">
        <v>1</v>
      </c>
      <c r="Y593">
        <v>0</v>
      </c>
      <c r="Z593">
        <v>1</v>
      </c>
      <c r="AA593">
        <v>0</v>
      </c>
      <c r="AB593">
        <v>0</v>
      </c>
      <c r="AC593">
        <v>0</v>
      </c>
      <c r="AD593">
        <v>1</v>
      </c>
      <c r="AE593">
        <v>0</v>
      </c>
      <c r="AF593">
        <v>0</v>
      </c>
      <c r="AG593">
        <v>0</v>
      </c>
    </row>
    <row r="594" spans="1:33" hidden="1" x14ac:dyDescent="0.2">
      <c r="A594">
        <v>593</v>
      </c>
      <c r="B594" t="s">
        <v>249</v>
      </c>
      <c r="C594" t="s">
        <v>33</v>
      </c>
      <c r="D594">
        <v>49</v>
      </c>
      <c r="E594" t="s">
        <v>114</v>
      </c>
      <c r="F594" t="s">
        <v>53</v>
      </c>
      <c r="G594" t="s">
        <v>66</v>
      </c>
      <c r="H594">
        <v>92518</v>
      </c>
      <c r="I594">
        <v>0</v>
      </c>
      <c r="J594">
        <v>0</v>
      </c>
      <c r="K594">
        <v>0</v>
      </c>
      <c r="L594">
        <v>1</v>
      </c>
      <c r="M594" t="s">
        <v>36</v>
      </c>
      <c r="N594" t="s">
        <v>36</v>
      </c>
      <c r="O594" t="s">
        <v>36</v>
      </c>
      <c r="P594" t="s">
        <v>37</v>
      </c>
      <c r="Q594" t="s">
        <v>36</v>
      </c>
      <c r="R594" t="s">
        <v>36</v>
      </c>
      <c r="S594" t="s">
        <v>36</v>
      </c>
      <c r="T594" t="s">
        <v>36</v>
      </c>
      <c r="U594">
        <v>0</v>
      </c>
      <c r="V594">
        <v>1</v>
      </c>
      <c r="W594">
        <v>1</v>
      </c>
      <c r="X594">
        <v>1</v>
      </c>
      <c r="Y594">
        <v>0</v>
      </c>
      <c r="Z594">
        <v>1</v>
      </c>
      <c r="AA594">
        <v>0</v>
      </c>
      <c r="AB594">
        <v>0</v>
      </c>
      <c r="AC594">
        <v>0</v>
      </c>
      <c r="AD594">
        <v>1</v>
      </c>
      <c r="AE594">
        <v>0</v>
      </c>
      <c r="AF594">
        <v>0</v>
      </c>
      <c r="AG594">
        <v>0</v>
      </c>
    </row>
    <row r="595" spans="1:33" x14ac:dyDescent="0.2">
      <c r="A595">
        <v>594</v>
      </c>
      <c r="B595" t="s">
        <v>249</v>
      </c>
      <c r="C595" t="s">
        <v>33</v>
      </c>
      <c r="D595">
        <v>49</v>
      </c>
      <c r="E595" t="s">
        <v>114</v>
      </c>
      <c r="F595" t="s">
        <v>41</v>
      </c>
      <c r="G595" t="s">
        <v>49</v>
      </c>
      <c r="H595">
        <v>55410</v>
      </c>
      <c r="I595">
        <v>1</v>
      </c>
      <c r="J595">
        <v>0</v>
      </c>
      <c r="K595">
        <v>0</v>
      </c>
      <c r="L595">
        <v>0</v>
      </c>
      <c r="M595" t="s">
        <v>51</v>
      </c>
      <c r="N595" t="s">
        <v>50</v>
      </c>
      <c r="O595" t="s">
        <v>52</v>
      </c>
      <c r="P595" t="s">
        <v>37</v>
      </c>
      <c r="Q595" t="s">
        <v>47</v>
      </c>
      <c r="R595" t="s">
        <v>48</v>
      </c>
      <c r="S595" t="s">
        <v>46</v>
      </c>
      <c r="T595">
        <v>0</v>
      </c>
      <c r="U595">
        <v>0</v>
      </c>
      <c r="V595">
        <v>1</v>
      </c>
      <c r="W595">
        <v>1</v>
      </c>
      <c r="X595">
        <v>1</v>
      </c>
      <c r="Y595">
        <v>0</v>
      </c>
      <c r="Z595">
        <v>1</v>
      </c>
      <c r="AA595">
        <v>0</v>
      </c>
      <c r="AB595">
        <v>0</v>
      </c>
      <c r="AC595">
        <v>0</v>
      </c>
      <c r="AD595">
        <v>1</v>
      </c>
      <c r="AE595">
        <v>0</v>
      </c>
      <c r="AF595">
        <v>0</v>
      </c>
      <c r="AG595">
        <v>0</v>
      </c>
    </row>
    <row r="596" spans="1:33" x14ac:dyDescent="0.2">
      <c r="A596">
        <v>595</v>
      </c>
      <c r="B596" t="s">
        <v>249</v>
      </c>
      <c r="C596" t="s">
        <v>33</v>
      </c>
      <c r="D596">
        <v>49</v>
      </c>
      <c r="E596" t="s">
        <v>114</v>
      </c>
      <c r="F596" t="s">
        <v>41</v>
      </c>
      <c r="G596" t="s">
        <v>61</v>
      </c>
      <c r="H596">
        <v>65132</v>
      </c>
      <c r="I596">
        <v>0</v>
      </c>
      <c r="J596">
        <v>1</v>
      </c>
      <c r="K596">
        <v>0</v>
      </c>
      <c r="L596">
        <v>0</v>
      </c>
      <c r="M596" t="s">
        <v>63</v>
      </c>
      <c r="N596" t="s">
        <v>62</v>
      </c>
      <c r="O596" t="s">
        <v>125</v>
      </c>
      <c r="P596" t="s">
        <v>37</v>
      </c>
      <c r="Q596" t="s">
        <v>46</v>
      </c>
      <c r="R596" t="s">
        <v>65</v>
      </c>
      <c r="S596" t="s">
        <v>60</v>
      </c>
      <c r="T596">
        <v>1</v>
      </c>
      <c r="U596">
        <v>1</v>
      </c>
      <c r="V596">
        <v>0</v>
      </c>
      <c r="W596">
        <v>0</v>
      </c>
      <c r="X596">
        <v>1</v>
      </c>
      <c r="Y596">
        <v>0</v>
      </c>
      <c r="Z596">
        <v>1</v>
      </c>
      <c r="AA596">
        <v>0</v>
      </c>
      <c r="AB596">
        <v>1</v>
      </c>
      <c r="AC596">
        <v>0</v>
      </c>
      <c r="AD596">
        <v>0</v>
      </c>
      <c r="AE596">
        <v>0</v>
      </c>
      <c r="AF596">
        <v>0</v>
      </c>
      <c r="AG596">
        <v>0</v>
      </c>
    </row>
    <row r="597" spans="1:33" hidden="1" x14ac:dyDescent="0.2">
      <c r="A597">
        <v>596</v>
      </c>
      <c r="B597" t="s">
        <v>249</v>
      </c>
      <c r="C597" t="s">
        <v>33</v>
      </c>
      <c r="D597">
        <v>49</v>
      </c>
      <c r="E597" t="s">
        <v>114</v>
      </c>
      <c r="F597" t="s">
        <v>53</v>
      </c>
      <c r="G597" t="s">
        <v>71</v>
      </c>
      <c r="H597">
        <v>44573</v>
      </c>
      <c r="I597">
        <v>0</v>
      </c>
      <c r="J597">
        <v>0</v>
      </c>
      <c r="K597">
        <v>1</v>
      </c>
      <c r="L597">
        <v>0</v>
      </c>
      <c r="M597" t="s">
        <v>36</v>
      </c>
      <c r="N597" t="s">
        <v>36</v>
      </c>
      <c r="O597" t="s">
        <v>36</v>
      </c>
      <c r="P597" t="s">
        <v>37</v>
      </c>
      <c r="Q597" t="s">
        <v>36</v>
      </c>
      <c r="R597" t="s">
        <v>36</v>
      </c>
      <c r="S597" t="s">
        <v>36</v>
      </c>
      <c r="T597" t="s">
        <v>36</v>
      </c>
      <c r="U597">
        <v>1</v>
      </c>
      <c r="V597">
        <v>0</v>
      </c>
      <c r="W597">
        <v>0</v>
      </c>
      <c r="X597">
        <v>1</v>
      </c>
      <c r="Y597">
        <v>0</v>
      </c>
      <c r="Z597">
        <v>1</v>
      </c>
      <c r="AA597">
        <v>0</v>
      </c>
      <c r="AB597">
        <v>1</v>
      </c>
      <c r="AC597">
        <v>0</v>
      </c>
      <c r="AD597">
        <v>0</v>
      </c>
      <c r="AE597">
        <v>0</v>
      </c>
      <c r="AF597">
        <v>0</v>
      </c>
      <c r="AG597">
        <v>0</v>
      </c>
    </row>
    <row r="598" spans="1:33" x14ac:dyDescent="0.2">
      <c r="A598">
        <v>597</v>
      </c>
      <c r="B598" t="s">
        <v>249</v>
      </c>
      <c r="C598" t="s">
        <v>33</v>
      </c>
      <c r="D598">
        <v>49</v>
      </c>
      <c r="E598" t="s">
        <v>114</v>
      </c>
      <c r="F598" t="s">
        <v>41</v>
      </c>
      <c r="G598" t="s">
        <v>42</v>
      </c>
      <c r="H598">
        <v>27366</v>
      </c>
      <c r="I598">
        <v>0</v>
      </c>
      <c r="J598">
        <v>1</v>
      </c>
      <c r="K598">
        <v>0</v>
      </c>
      <c r="L598">
        <v>0</v>
      </c>
      <c r="M598" t="s">
        <v>45</v>
      </c>
      <c r="N598" t="s">
        <v>44</v>
      </c>
      <c r="O598" t="s">
        <v>43</v>
      </c>
      <c r="P598" t="s">
        <v>37</v>
      </c>
      <c r="Q598" t="s">
        <v>48</v>
      </c>
      <c r="R598" t="s">
        <v>47</v>
      </c>
      <c r="S598" t="s">
        <v>46</v>
      </c>
      <c r="T598">
        <v>0</v>
      </c>
      <c r="U598">
        <v>0</v>
      </c>
      <c r="V598">
        <v>1</v>
      </c>
      <c r="W598">
        <v>1</v>
      </c>
      <c r="X598">
        <v>1</v>
      </c>
      <c r="Y598">
        <v>0</v>
      </c>
      <c r="Z598">
        <v>1</v>
      </c>
      <c r="AA598">
        <v>0</v>
      </c>
      <c r="AB598">
        <v>0</v>
      </c>
      <c r="AC598">
        <v>0</v>
      </c>
      <c r="AD598">
        <v>1</v>
      </c>
      <c r="AE598">
        <v>0</v>
      </c>
      <c r="AF598">
        <v>0</v>
      </c>
      <c r="AG598">
        <v>0</v>
      </c>
    </row>
    <row r="599" spans="1:33" hidden="1" x14ac:dyDescent="0.2">
      <c r="A599">
        <v>598</v>
      </c>
      <c r="B599" t="s">
        <v>249</v>
      </c>
      <c r="C599" t="s">
        <v>33</v>
      </c>
      <c r="D599">
        <v>49</v>
      </c>
      <c r="E599" t="s">
        <v>114</v>
      </c>
      <c r="F599" t="s">
        <v>53</v>
      </c>
      <c r="G599" t="s">
        <v>54</v>
      </c>
      <c r="H599">
        <v>73275</v>
      </c>
      <c r="I599">
        <v>0</v>
      </c>
      <c r="J599">
        <v>1</v>
      </c>
      <c r="K599">
        <v>0</v>
      </c>
      <c r="L599">
        <v>0</v>
      </c>
      <c r="M599" t="s">
        <v>36</v>
      </c>
      <c r="N599" t="s">
        <v>36</v>
      </c>
      <c r="O599" t="s">
        <v>36</v>
      </c>
      <c r="P599" t="s">
        <v>37</v>
      </c>
      <c r="Q599" t="s">
        <v>36</v>
      </c>
      <c r="R599" t="s">
        <v>36</v>
      </c>
      <c r="S599" t="s">
        <v>36</v>
      </c>
      <c r="T599" t="s">
        <v>36</v>
      </c>
      <c r="U599">
        <v>0</v>
      </c>
      <c r="V599">
        <v>1</v>
      </c>
      <c r="W599">
        <v>1</v>
      </c>
      <c r="X599">
        <v>1</v>
      </c>
      <c r="Y599">
        <v>0</v>
      </c>
      <c r="Z599">
        <v>1</v>
      </c>
      <c r="AA599">
        <v>0</v>
      </c>
      <c r="AB599">
        <v>0</v>
      </c>
      <c r="AC599">
        <v>0</v>
      </c>
      <c r="AD599">
        <v>1</v>
      </c>
      <c r="AE599">
        <v>0</v>
      </c>
      <c r="AF599">
        <v>0</v>
      </c>
      <c r="AG599">
        <v>0</v>
      </c>
    </row>
    <row r="600" spans="1:33" x14ac:dyDescent="0.2">
      <c r="A600">
        <v>599</v>
      </c>
      <c r="B600" t="s">
        <v>249</v>
      </c>
      <c r="C600" t="s">
        <v>33</v>
      </c>
      <c r="D600">
        <v>49</v>
      </c>
      <c r="E600" t="s">
        <v>114</v>
      </c>
      <c r="F600" t="s">
        <v>41</v>
      </c>
      <c r="G600" t="s">
        <v>72</v>
      </c>
      <c r="H600">
        <v>33960</v>
      </c>
      <c r="I600">
        <v>0</v>
      </c>
      <c r="J600">
        <v>1</v>
      </c>
      <c r="K600">
        <v>0</v>
      </c>
      <c r="L600">
        <v>0</v>
      </c>
      <c r="M600" t="s">
        <v>74</v>
      </c>
      <c r="N600" t="s">
        <v>115</v>
      </c>
      <c r="O600" t="s">
        <v>75</v>
      </c>
      <c r="P600" t="s">
        <v>37</v>
      </c>
      <c r="Q600" t="s">
        <v>47</v>
      </c>
      <c r="R600" t="s">
        <v>65</v>
      </c>
      <c r="S600" t="s">
        <v>46</v>
      </c>
      <c r="T600">
        <v>0</v>
      </c>
      <c r="U600">
        <v>1</v>
      </c>
      <c r="V600">
        <v>0</v>
      </c>
      <c r="W600">
        <v>1</v>
      </c>
      <c r="X600">
        <v>1</v>
      </c>
      <c r="Y600">
        <v>0</v>
      </c>
      <c r="Z600">
        <v>1</v>
      </c>
      <c r="AA600">
        <v>0</v>
      </c>
      <c r="AB600">
        <v>1</v>
      </c>
      <c r="AC600">
        <v>0</v>
      </c>
      <c r="AD600">
        <v>0</v>
      </c>
      <c r="AE600">
        <v>0</v>
      </c>
      <c r="AF600">
        <v>0</v>
      </c>
      <c r="AG600">
        <v>0</v>
      </c>
    </row>
    <row r="601" spans="1:33" x14ac:dyDescent="0.2">
      <c r="A601">
        <v>600</v>
      </c>
      <c r="B601" t="s">
        <v>249</v>
      </c>
      <c r="C601" t="s">
        <v>33</v>
      </c>
      <c r="D601">
        <v>49</v>
      </c>
      <c r="E601" t="s">
        <v>114</v>
      </c>
      <c r="F601" t="s">
        <v>41</v>
      </c>
      <c r="G601" t="s">
        <v>67</v>
      </c>
      <c r="H601">
        <v>46139</v>
      </c>
      <c r="I601">
        <v>0</v>
      </c>
      <c r="J601">
        <v>0</v>
      </c>
      <c r="K601">
        <v>0</v>
      </c>
      <c r="L601">
        <v>1</v>
      </c>
      <c r="M601" t="s">
        <v>86</v>
      </c>
      <c r="N601" t="s">
        <v>69</v>
      </c>
      <c r="O601" t="s">
        <v>109</v>
      </c>
      <c r="P601" t="s">
        <v>37</v>
      </c>
      <c r="Q601" t="s">
        <v>46</v>
      </c>
      <c r="R601" t="s">
        <v>48</v>
      </c>
      <c r="S601" t="s">
        <v>59</v>
      </c>
      <c r="T601">
        <v>0</v>
      </c>
      <c r="U601">
        <v>0</v>
      </c>
      <c r="V601">
        <v>1</v>
      </c>
      <c r="W601">
        <v>0</v>
      </c>
      <c r="X601">
        <v>1</v>
      </c>
      <c r="Y601">
        <v>0</v>
      </c>
      <c r="Z601">
        <v>1</v>
      </c>
      <c r="AA601">
        <v>0</v>
      </c>
      <c r="AB601">
        <v>0</v>
      </c>
      <c r="AC601">
        <v>0</v>
      </c>
      <c r="AD601">
        <v>0</v>
      </c>
      <c r="AE601">
        <v>0</v>
      </c>
      <c r="AF601">
        <v>0</v>
      </c>
      <c r="AG601">
        <v>1</v>
      </c>
    </row>
    <row r="602" spans="1:33" hidden="1" x14ac:dyDescent="0.2">
      <c r="A602">
        <v>601</v>
      </c>
      <c r="B602" t="s">
        <v>249</v>
      </c>
      <c r="C602" t="s">
        <v>33</v>
      </c>
      <c r="D602">
        <v>49</v>
      </c>
      <c r="E602" t="s">
        <v>114</v>
      </c>
      <c r="F602" t="s">
        <v>53</v>
      </c>
      <c r="G602" t="s">
        <v>76</v>
      </c>
      <c r="H602">
        <v>36173</v>
      </c>
      <c r="I602">
        <v>1</v>
      </c>
      <c r="J602">
        <v>0</v>
      </c>
      <c r="K602">
        <v>0</v>
      </c>
      <c r="L602">
        <v>0</v>
      </c>
      <c r="M602" t="s">
        <v>36</v>
      </c>
      <c r="N602" t="s">
        <v>36</v>
      </c>
      <c r="O602" t="s">
        <v>36</v>
      </c>
      <c r="P602" t="s">
        <v>37</v>
      </c>
      <c r="Q602" t="s">
        <v>36</v>
      </c>
      <c r="R602" t="s">
        <v>36</v>
      </c>
      <c r="S602" t="s">
        <v>36</v>
      </c>
      <c r="T602" t="s">
        <v>36</v>
      </c>
      <c r="U602">
        <v>0</v>
      </c>
      <c r="V602">
        <v>1</v>
      </c>
      <c r="W602">
        <v>0</v>
      </c>
      <c r="X602">
        <v>1</v>
      </c>
      <c r="Y602">
        <v>0</v>
      </c>
      <c r="Z602">
        <v>1</v>
      </c>
      <c r="AA602">
        <v>0</v>
      </c>
      <c r="AB602">
        <v>0</v>
      </c>
      <c r="AC602">
        <v>0</v>
      </c>
      <c r="AD602">
        <v>0</v>
      </c>
      <c r="AE602">
        <v>0</v>
      </c>
      <c r="AF602">
        <v>0</v>
      </c>
      <c r="AG602">
        <v>1</v>
      </c>
    </row>
    <row r="603" spans="1:33" hidden="1" x14ac:dyDescent="0.2">
      <c r="A603">
        <v>602</v>
      </c>
      <c r="B603" t="s">
        <v>249</v>
      </c>
      <c r="C603" t="s">
        <v>33</v>
      </c>
      <c r="D603">
        <v>49</v>
      </c>
      <c r="E603" t="s">
        <v>114</v>
      </c>
      <c r="F603" t="s">
        <v>77</v>
      </c>
      <c r="G603" t="s">
        <v>36</v>
      </c>
      <c r="H603">
        <v>52795</v>
      </c>
      <c r="I603" t="s">
        <v>250</v>
      </c>
      <c r="J603" t="s">
        <v>251</v>
      </c>
      <c r="L603" t="s">
        <v>36</v>
      </c>
      <c r="M603" t="s">
        <v>36</v>
      </c>
      <c r="N603" t="s">
        <v>36</v>
      </c>
      <c r="O603" t="s">
        <v>36</v>
      </c>
      <c r="P603" t="s">
        <v>37</v>
      </c>
      <c r="Q603" t="s">
        <v>36</v>
      </c>
      <c r="R603" t="s">
        <v>36</v>
      </c>
      <c r="S603" t="s">
        <v>36</v>
      </c>
      <c r="T603" t="s">
        <v>36</v>
      </c>
      <c r="U603" t="s">
        <v>36</v>
      </c>
      <c r="V603" t="s">
        <v>36</v>
      </c>
      <c r="W603" t="s">
        <v>36</v>
      </c>
      <c r="X603" t="s">
        <v>36</v>
      </c>
      <c r="Y603" t="s">
        <v>36</v>
      </c>
      <c r="Z603" t="s">
        <v>36</v>
      </c>
      <c r="AA603" t="s">
        <v>36</v>
      </c>
      <c r="AB603" t="s">
        <v>36</v>
      </c>
      <c r="AC603" t="s">
        <v>36</v>
      </c>
      <c r="AD603" t="s">
        <v>36</v>
      </c>
      <c r="AE603" t="s">
        <v>36</v>
      </c>
      <c r="AF603" t="s">
        <v>36</v>
      </c>
      <c r="AG603" t="s">
        <v>36</v>
      </c>
    </row>
    <row r="604" spans="1:33" hidden="1" x14ac:dyDescent="0.2">
      <c r="A604">
        <v>603</v>
      </c>
      <c r="B604" t="s">
        <v>252</v>
      </c>
      <c r="C604" t="s">
        <v>108</v>
      </c>
      <c r="D604">
        <v>35</v>
      </c>
      <c r="E604" t="s">
        <v>34</v>
      </c>
      <c r="F604" t="s">
        <v>35</v>
      </c>
      <c r="G604" t="s">
        <v>36</v>
      </c>
      <c r="H604">
        <v>189516</v>
      </c>
      <c r="I604" t="s">
        <v>36</v>
      </c>
      <c r="J604" t="s">
        <v>36</v>
      </c>
      <c r="K604" t="s">
        <v>36</v>
      </c>
      <c r="L604" t="s">
        <v>36</v>
      </c>
      <c r="M604" t="s">
        <v>36</v>
      </c>
      <c r="N604" t="s">
        <v>36</v>
      </c>
      <c r="O604" t="s">
        <v>36</v>
      </c>
      <c r="P604" t="s">
        <v>37</v>
      </c>
      <c r="Q604" t="s">
        <v>36</v>
      </c>
      <c r="R604" t="s">
        <v>36</v>
      </c>
      <c r="S604" t="s">
        <v>36</v>
      </c>
      <c r="T604" t="s">
        <v>36</v>
      </c>
      <c r="U604" t="s">
        <v>36</v>
      </c>
      <c r="V604" t="s">
        <v>36</v>
      </c>
      <c r="W604" t="s">
        <v>36</v>
      </c>
      <c r="X604" t="s">
        <v>36</v>
      </c>
      <c r="Y604" t="s">
        <v>36</v>
      </c>
      <c r="Z604" t="s">
        <v>36</v>
      </c>
      <c r="AA604" t="s">
        <v>36</v>
      </c>
      <c r="AB604" t="s">
        <v>36</v>
      </c>
      <c r="AC604" t="s">
        <v>36</v>
      </c>
      <c r="AD604" t="s">
        <v>36</v>
      </c>
      <c r="AE604" t="s">
        <v>36</v>
      </c>
      <c r="AF604" t="s">
        <v>36</v>
      </c>
      <c r="AG604" t="s">
        <v>36</v>
      </c>
    </row>
    <row r="605" spans="1:33" hidden="1" x14ac:dyDescent="0.2">
      <c r="A605">
        <v>604</v>
      </c>
      <c r="B605" t="s">
        <v>252</v>
      </c>
      <c r="C605" t="s">
        <v>108</v>
      </c>
      <c r="D605">
        <v>35</v>
      </c>
      <c r="E605" t="s">
        <v>34</v>
      </c>
      <c r="F605" t="s">
        <v>38</v>
      </c>
      <c r="G605" t="s">
        <v>40</v>
      </c>
      <c r="H605">
        <v>50831</v>
      </c>
      <c r="I605">
        <v>0</v>
      </c>
      <c r="J605">
        <v>1</v>
      </c>
      <c r="K605">
        <v>1</v>
      </c>
      <c r="L605">
        <v>0</v>
      </c>
      <c r="M605" t="s">
        <v>36</v>
      </c>
      <c r="N605" t="s">
        <v>36</v>
      </c>
      <c r="O605" t="s">
        <v>36</v>
      </c>
      <c r="P605" t="s">
        <v>37</v>
      </c>
      <c r="Q605" t="s">
        <v>36</v>
      </c>
      <c r="R605" t="s">
        <v>36</v>
      </c>
      <c r="S605" t="s">
        <v>36</v>
      </c>
      <c r="T605" t="s">
        <v>36</v>
      </c>
      <c r="U605" t="s">
        <v>36</v>
      </c>
      <c r="V605" t="s">
        <v>36</v>
      </c>
      <c r="W605" t="s">
        <v>36</v>
      </c>
      <c r="X605" t="s">
        <v>36</v>
      </c>
      <c r="Y605" t="s">
        <v>36</v>
      </c>
      <c r="Z605" t="s">
        <v>36</v>
      </c>
      <c r="AA605" t="s">
        <v>36</v>
      </c>
      <c r="AB605" t="s">
        <v>36</v>
      </c>
      <c r="AC605" t="s">
        <v>36</v>
      </c>
      <c r="AD605" t="s">
        <v>36</v>
      </c>
      <c r="AE605" t="s">
        <v>36</v>
      </c>
      <c r="AF605" t="s">
        <v>36</v>
      </c>
      <c r="AG605" t="s">
        <v>36</v>
      </c>
    </row>
    <row r="606" spans="1:33" hidden="1" x14ac:dyDescent="0.2">
      <c r="A606">
        <v>605</v>
      </c>
      <c r="B606" t="s">
        <v>252</v>
      </c>
      <c r="C606" t="s">
        <v>108</v>
      </c>
      <c r="D606">
        <v>35</v>
      </c>
      <c r="E606" t="s">
        <v>34</v>
      </c>
      <c r="F606" t="s">
        <v>38</v>
      </c>
      <c r="G606" t="s">
        <v>39</v>
      </c>
      <c r="H606">
        <v>116336</v>
      </c>
      <c r="I606">
        <v>0</v>
      </c>
      <c r="J606">
        <v>0</v>
      </c>
      <c r="K606">
        <v>0</v>
      </c>
      <c r="L606">
        <v>1</v>
      </c>
      <c r="M606" t="s">
        <v>36</v>
      </c>
      <c r="N606" t="s">
        <v>36</v>
      </c>
      <c r="O606" t="s">
        <v>36</v>
      </c>
      <c r="P606" t="s">
        <v>37</v>
      </c>
      <c r="Q606" t="s">
        <v>36</v>
      </c>
      <c r="R606" t="s">
        <v>36</v>
      </c>
      <c r="S606" t="s">
        <v>36</v>
      </c>
      <c r="T606" t="s">
        <v>36</v>
      </c>
      <c r="U606" t="s">
        <v>36</v>
      </c>
      <c r="V606" t="s">
        <v>36</v>
      </c>
      <c r="W606" t="s">
        <v>36</v>
      </c>
      <c r="X606" t="s">
        <v>36</v>
      </c>
      <c r="Y606" t="s">
        <v>36</v>
      </c>
      <c r="Z606" t="s">
        <v>36</v>
      </c>
      <c r="AA606" t="s">
        <v>36</v>
      </c>
      <c r="AB606" t="s">
        <v>36</v>
      </c>
      <c r="AC606" t="s">
        <v>36</v>
      </c>
      <c r="AD606" t="s">
        <v>36</v>
      </c>
      <c r="AE606" t="s">
        <v>36</v>
      </c>
      <c r="AF606" t="s">
        <v>36</v>
      </c>
      <c r="AG606" t="s">
        <v>36</v>
      </c>
    </row>
    <row r="607" spans="1:33" x14ac:dyDescent="0.2">
      <c r="A607">
        <v>606</v>
      </c>
      <c r="B607" t="s">
        <v>252</v>
      </c>
      <c r="C607" t="s">
        <v>108</v>
      </c>
      <c r="D607">
        <v>35</v>
      </c>
      <c r="E607" t="s">
        <v>34</v>
      </c>
      <c r="F607" t="s">
        <v>41</v>
      </c>
      <c r="G607" t="s">
        <v>42</v>
      </c>
      <c r="H607">
        <v>62108</v>
      </c>
      <c r="I607">
        <v>0</v>
      </c>
      <c r="J607">
        <v>0</v>
      </c>
      <c r="K607">
        <v>1</v>
      </c>
      <c r="L607">
        <v>0</v>
      </c>
      <c r="M607" t="s">
        <v>82</v>
      </c>
      <c r="N607" t="s">
        <v>44</v>
      </c>
      <c r="O607" t="s">
        <v>116</v>
      </c>
      <c r="P607" t="s">
        <v>37</v>
      </c>
      <c r="Q607" t="s">
        <v>65</v>
      </c>
      <c r="R607" t="s">
        <v>47</v>
      </c>
      <c r="S607" t="s">
        <v>60</v>
      </c>
      <c r="T607">
        <v>1</v>
      </c>
      <c r="U607">
        <v>1</v>
      </c>
      <c r="V607">
        <v>0</v>
      </c>
      <c r="W607">
        <v>1</v>
      </c>
      <c r="X607">
        <v>0</v>
      </c>
      <c r="Y607">
        <v>0</v>
      </c>
      <c r="Z607">
        <v>1</v>
      </c>
      <c r="AA607">
        <v>1</v>
      </c>
      <c r="AB607">
        <v>0</v>
      </c>
      <c r="AC607">
        <v>0</v>
      </c>
      <c r="AD607">
        <v>0</v>
      </c>
      <c r="AE607">
        <v>0</v>
      </c>
      <c r="AF607">
        <v>0</v>
      </c>
      <c r="AG607">
        <v>0</v>
      </c>
    </row>
    <row r="608" spans="1:33" x14ac:dyDescent="0.2">
      <c r="A608">
        <v>607</v>
      </c>
      <c r="B608" t="s">
        <v>252</v>
      </c>
      <c r="C608" t="s">
        <v>108</v>
      </c>
      <c r="D608">
        <v>35</v>
      </c>
      <c r="E608" t="s">
        <v>34</v>
      </c>
      <c r="F608" t="s">
        <v>41</v>
      </c>
      <c r="G608" t="s">
        <v>72</v>
      </c>
      <c r="H608">
        <v>58242</v>
      </c>
      <c r="I608">
        <v>0</v>
      </c>
      <c r="J608">
        <v>0</v>
      </c>
      <c r="K608">
        <v>0</v>
      </c>
      <c r="L608">
        <v>1</v>
      </c>
      <c r="M608" t="s">
        <v>73</v>
      </c>
      <c r="N608" t="s">
        <v>74</v>
      </c>
      <c r="O608" t="s">
        <v>75</v>
      </c>
      <c r="P608" t="s">
        <v>37</v>
      </c>
      <c r="Q608" t="s">
        <v>48</v>
      </c>
      <c r="R608" t="s">
        <v>47</v>
      </c>
      <c r="S608" t="s">
        <v>46</v>
      </c>
      <c r="T608">
        <v>0</v>
      </c>
      <c r="U608">
        <v>0</v>
      </c>
      <c r="V608">
        <v>1</v>
      </c>
      <c r="W608">
        <v>1</v>
      </c>
      <c r="X608">
        <v>1</v>
      </c>
      <c r="Y608">
        <v>0</v>
      </c>
      <c r="Z608">
        <v>1</v>
      </c>
      <c r="AA608">
        <v>0</v>
      </c>
      <c r="AB608">
        <v>0</v>
      </c>
      <c r="AC608">
        <v>0</v>
      </c>
      <c r="AD608">
        <v>0</v>
      </c>
      <c r="AE608">
        <v>0</v>
      </c>
      <c r="AF608">
        <v>0</v>
      </c>
      <c r="AG608">
        <v>1</v>
      </c>
    </row>
    <row r="609" spans="1:33" hidden="1" x14ac:dyDescent="0.2">
      <c r="A609">
        <v>608</v>
      </c>
      <c r="B609" t="s">
        <v>252</v>
      </c>
      <c r="C609" t="s">
        <v>108</v>
      </c>
      <c r="D609">
        <v>35</v>
      </c>
      <c r="E609" t="s">
        <v>34</v>
      </c>
      <c r="F609" t="s">
        <v>53</v>
      </c>
      <c r="G609" t="s">
        <v>54</v>
      </c>
      <c r="H609">
        <v>80278</v>
      </c>
      <c r="I609">
        <v>0</v>
      </c>
      <c r="J609">
        <v>0</v>
      </c>
      <c r="K609">
        <v>1</v>
      </c>
      <c r="L609">
        <v>0</v>
      </c>
      <c r="M609" t="s">
        <v>36</v>
      </c>
      <c r="N609" t="s">
        <v>36</v>
      </c>
      <c r="O609" t="s">
        <v>36</v>
      </c>
      <c r="P609" t="s">
        <v>37</v>
      </c>
      <c r="Q609" t="s">
        <v>36</v>
      </c>
      <c r="R609" t="s">
        <v>36</v>
      </c>
      <c r="S609" t="s">
        <v>36</v>
      </c>
      <c r="T609" t="s">
        <v>36</v>
      </c>
      <c r="U609">
        <v>0</v>
      </c>
      <c r="V609">
        <v>1</v>
      </c>
      <c r="W609">
        <v>1</v>
      </c>
      <c r="X609">
        <v>1</v>
      </c>
      <c r="Y609">
        <v>0</v>
      </c>
      <c r="Z609">
        <v>1</v>
      </c>
      <c r="AA609">
        <v>0</v>
      </c>
      <c r="AB609">
        <v>0</v>
      </c>
      <c r="AC609">
        <v>0</v>
      </c>
      <c r="AD609">
        <v>0</v>
      </c>
      <c r="AE609">
        <v>0</v>
      </c>
      <c r="AF609">
        <v>0</v>
      </c>
      <c r="AG609">
        <v>1</v>
      </c>
    </row>
    <row r="610" spans="1:33" x14ac:dyDescent="0.2">
      <c r="A610">
        <v>609</v>
      </c>
      <c r="B610" t="s">
        <v>252</v>
      </c>
      <c r="C610" t="s">
        <v>108</v>
      </c>
      <c r="D610">
        <v>35</v>
      </c>
      <c r="E610" t="s">
        <v>34</v>
      </c>
      <c r="F610" t="s">
        <v>41</v>
      </c>
      <c r="G610" t="s">
        <v>67</v>
      </c>
      <c r="H610">
        <v>68710</v>
      </c>
      <c r="I610">
        <v>0</v>
      </c>
      <c r="J610">
        <v>0</v>
      </c>
      <c r="K610">
        <v>0</v>
      </c>
      <c r="L610">
        <v>1</v>
      </c>
      <c r="M610" t="s">
        <v>86</v>
      </c>
      <c r="N610" t="s">
        <v>68</v>
      </c>
      <c r="O610" t="s">
        <v>69</v>
      </c>
      <c r="P610" t="s">
        <v>37</v>
      </c>
      <c r="Q610" t="s">
        <v>46</v>
      </c>
      <c r="R610" t="s">
        <v>65</v>
      </c>
      <c r="S610" t="s">
        <v>48</v>
      </c>
      <c r="T610">
        <v>0</v>
      </c>
      <c r="U610">
        <v>1</v>
      </c>
      <c r="V610">
        <v>1</v>
      </c>
      <c r="W610">
        <v>0</v>
      </c>
      <c r="X610">
        <v>1</v>
      </c>
      <c r="Y610">
        <v>0</v>
      </c>
      <c r="Z610">
        <v>1</v>
      </c>
      <c r="AA610">
        <v>0</v>
      </c>
      <c r="AB610">
        <v>0</v>
      </c>
      <c r="AC610">
        <v>0</v>
      </c>
      <c r="AD610">
        <v>0</v>
      </c>
      <c r="AE610">
        <v>0</v>
      </c>
      <c r="AF610">
        <v>0</v>
      </c>
      <c r="AG610">
        <v>1</v>
      </c>
    </row>
    <row r="611" spans="1:33" x14ac:dyDescent="0.2">
      <c r="A611">
        <v>610</v>
      </c>
      <c r="B611" t="s">
        <v>252</v>
      </c>
      <c r="C611" t="s">
        <v>108</v>
      </c>
      <c r="D611">
        <v>35</v>
      </c>
      <c r="E611" t="s">
        <v>34</v>
      </c>
      <c r="F611" t="s">
        <v>41</v>
      </c>
      <c r="G611" t="s">
        <v>55</v>
      </c>
      <c r="H611">
        <v>51577</v>
      </c>
      <c r="I611">
        <v>0</v>
      </c>
      <c r="J611">
        <v>0</v>
      </c>
      <c r="K611">
        <v>0</v>
      </c>
      <c r="L611">
        <v>1</v>
      </c>
      <c r="M611" t="s">
        <v>58</v>
      </c>
      <c r="N611" t="s">
        <v>94</v>
      </c>
      <c r="O611" t="s">
        <v>85</v>
      </c>
      <c r="P611" t="s">
        <v>37</v>
      </c>
      <c r="Q611" t="s">
        <v>60</v>
      </c>
      <c r="R611" t="s">
        <v>47</v>
      </c>
      <c r="S611" t="s">
        <v>65</v>
      </c>
      <c r="T611">
        <v>1</v>
      </c>
      <c r="U611">
        <v>1</v>
      </c>
      <c r="V611">
        <v>0</v>
      </c>
      <c r="W611">
        <v>1</v>
      </c>
      <c r="X611">
        <v>0</v>
      </c>
      <c r="Y611">
        <v>0</v>
      </c>
      <c r="Z611">
        <v>1</v>
      </c>
      <c r="AA611">
        <v>0</v>
      </c>
      <c r="AB611">
        <v>0</v>
      </c>
      <c r="AC611">
        <v>0</v>
      </c>
      <c r="AD611">
        <v>0</v>
      </c>
      <c r="AE611">
        <v>0</v>
      </c>
      <c r="AF611">
        <v>0</v>
      </c>
      <c r="AG611">
        <v>1</v>
      </c>
    </row>
    <row r="612" spans="1:33" hidden="1" x14ac:dyDescent="0.2">
      <c r="A612">
        <v>611</v>
      </c>
      <c r="B612" t="s">
        <v>252</v>
      </c>
      <c r="C612" t="s">
        <v>108</v>
      </c>
      <c r="D612">
        <v>35</v>
      </c>
      <c r="E612" t="s">
        <v>34</v>
      </c>
      <c r="F612" t="s">
        <v>53</v>
      </c>
      <c r="G612" t="s">
        <v>76</v>
      </c>
      <c r="H612">
        <v>19456</v>
      </c>
      <c r="I612">
        <v>1</v>
      </c>
      <c r="J612">
        <v>0</v>
      </c>
      <c r="K612">
        <v>0</v>
      </c>
      <c r="L612">
        <v>0</v>
      </c>
      <c r="M612" t="s">
        <v>36</v>
      </c>
      <c r="N612" t="s">
        <v>36</v>
      </c>
      <c r="O612" t="s">
        <v>36</v>
      </c>
      <c r="P612" t="s">
        <v>37</v>
      </c>
      <c r="Q612" t="s">
        <v>36</v>
      </c>
      <c r="R612" t="s">
        <v>36</v>
      </c>
      <c r="S612" t="s">
        <v>36</v>
      </c>
      <c r="T612" t="s">
        <v>36</v>
      </c>
      <c r="U612">
        <v>1</v>
      </c>
      <c r="V612">
        <v>0</v>
      </c>
      <c r="W612">
        <v>1</v>
      </c>
      <c r="X612">
        <v>0</v>
      </c>
      <c r="Y612">
        <v>0</v>
      </c>
      <c r="Z612">
        <v>1</v>
      </c>
      <c r="AA612">
        <v>0</v>
      </c>
      <c r="AB612">
        <v>0</v>
      </c>
      <c r="AC612">
        <v>0</v>
      </c>
      <c r="AD612">
        <v>0</v>
      </c>
      <c r="AE612">
        <v>0</v>
      </c>
      <c r="AF612">
        <v>0</v>
      </c>
      <c r="AG612">
        <v>1</v>
      </c>
    </row>
    <row r="613" spans="1:33" x14ac:dyDescent="0.2">
      <c r="A613">
        <v>612</v>
      </c>
      <c r="B613" t="s">
        <v>252</v>
      </c>
      <c r="C613" t="s">
        <v>108</v>
      </c>
      <c r="D613">
        <v>35</v>
      </c>
      <c r="E613" t="s">
        <v>34</v>
      </c>
      <c r="F613" t="s">
        <v>41</v>
      </c>
      <c r="G613" t="s">
        <v>49</v>
      </c>
      <c r="H613">
        <v>81268</v>
      </c>
      <c r="I613">
        <v>0</v>
      </c>
      <c r="J613">
        <v>0</v>
      </c>
      <c r="K613">
        <v>0</v>
      </c>
      <c r="L613">
        <v>1</v>
      </c>
      <c r="M613" t="s">
        <v>51</v>
      </c>
      <c r="N613" t="s">
        <v>83</v>
      </c>
      <c r="O613" t="s">
        <v>96</v>
      </c>
      <c r="P613" t="s">
        <v>37</v>
      </c>
      <c r="Q613" t="s">
        <v>47</v>
      </c>
      <c r="R613" t="s">
        <v>59</v>
      </c>
      <c r="S613" t="s">
        <v>65</v>
      </c>
      <c r="T613">
        <v>0</v>
      </c>
      <c r="U613">
        <v>1</v>
      </c>
      <c r="V613">
        <v>0</v>
      </c>
      <c r="W613">
        <v>1</v>
      </c>
      <c r="X613">
        <v>0</v>
      </c>
      <c r="Y613">
        <v>0</v>
      </c>
      <c r="Z613">
        <v>1</v>
      </c>
      <c r="AA613">
        <v>0</v>
      </c>
      <c r="AB613">
        <v>0</v>
      </c>
      <c r="AC613">
        <v>0</v>
      </c>
      <c r="AD613">
        <v>0</v>
      </c>
      <c r="AE613">
        <v>0</v>
      </c>
      <c r="AF613">
        <v>0</v>
      </c>
      <c r="AG613">
        <v>1</v>
      </c>
    </row>
    <row r="614" spans="1:33" hidden="1" x14ac:dyDescent="0.2">
      <c r="A614">
        <v>613</v>
      </c>
      <c r="B614" t="s">
        <v>252</v>
      </c>
      <c r="C614" t="s">
        <v>108</v>
      </c>
      <c r="D614">
        <v>35</v>
      </c>
      <c r="E614" t="s">
        <v>34</v>
      </c>
      <c r="F614" t="s">
        <v>53</v>
      </c>
      <c r="G614" t="s">
        <v>71</v>
      </c>
      <c r="H614">
        <v>39223</v>
      </c>
      <c r="I614">
        <v>0</v>
      </c>
      <c r="J614">
        <v>0</v>
      </c>
      <c r="K614">
        <v>1</v>
      </c>
      <c r="L614">
        <v>0</v>
      </c>
      <c r="M614" t="s">
        <v>36</v>
      </c>
      <c r="N614" t="s">
        <v>36</v>
      </c>
      <c r="O614" t="s">
        <v>36</v>
      </c>
      <c r="P614" t="s">
        <v>37</v>
      </c>
      <c r="Q614" t="s">
        <v>36</v>
      </c>
      <c r="R614" t="s">
        <v>36</v>
      </c>
      <c r="S614" t="s">
        <v>36</v>
      </c>
      <c r="T614" t="s">
        <v>36</v>
      </c>
      <c r="U614">
        <v>1</v>
      </c>
      <c r="V614">
        <v>0</v>
      </c>
      <c r="W614">
        <v>1</v>
      </c>
      <c r="X614">
        <v>0</v>
      </c>
      <c r="Y614">
        <v>0</v>
      </c>
      <c r="Z614">
        <v>1</v>
      </c>
      <c r="AA614">
        <v>0</v>
      </c>
      <c r="AB614">
        <v>0</v>
      </c>
      <c r="AC614">
        <v>0</v>
      </c>
      <c r="AD614">
        <v>0</v>
      </c>
      <c r="AE614">
        <v>0</v>
      </c>
      <c r="AF614">
        <v>0</v>
      </c>
      <c r="AG614">
        <v>1</v>
      </c>
    </row>
    <row r="615" spans="1:33" x14ac:dyDescent="0.2">
      <c r="A615">
        <v>614</v>
      </c>
      <c r="B615" t="s">
        <v>252</v>
      </c>
      <c r="C615" t="s">
        <v>108</v>
      </c>
      <c r="D615">
        <v>35</v>
      </c>
      <c r="E615" t="s">
        <v>34</v>
      </c>
      <c r="F615" t="s">
        <v>41</v>
      </c>
      <c r="G615" t="s">
        <v>61</v>
      </c>
      <c r="H615">
        <v>19661</v>
      </c>
      <c r="I615">
        <v>0</v>
      </c>
      <c r="J615">
        <v>0</v>
      </c>
      <c r="K615">
        <v>0</v>
      </c>
      <c r="L615">
        <v>1</v>
      </c>
      <c r="M615" t="s">
        <v>87</v>
      </c>
      <c r="N615" t="s">
        <v>62</v>
      </c>
      <c r="O615" t="s">
        <v>64</v>
      </c>
      <c r="P615" t="s">
        <v>37</v>
      </c>
      <c r="Q615" t="s">
        <v>47</v>
      </c>
      <c r="R615" t="s">
        <v>65</v>
      </c>
      <c r="S615" t="s">
        <v>48</v>
      </c>
      <c r="T615">
        <v>0</v>
      </c>
      <c r="U615">
        <v>1</v>
      </c>
      <c r="V615">
        <v>1</v>
      </c>
      <c r="W615">
        <v>1</v>
      </c>
      <c r="X615">
        <v>0</v>
      </c>
      <c r="Y615">
        <v>0</v>
      </c>
      <c r="Z615">
        <v>1</v>
      </c>
      <c r="AA615">
        <v>0</v>
      </c>
      <c r="AB615">
        <v>0</v>
      </c>
      <c r="AC615">
        <v>0</v>
      </c>
      <c r="AD615">
        <v>0</v>
      </c>
      <c r="AE615">
        <v>0</v>
      </c>
      <c r="AF615">
        <v>0</v>
      </c>
      <c r="AG615">
        <v>1</v>
      </c>
    </row>
    <row r="616" spans="1:33" hidden="1" x14ac:dyDescent="0.2">
      <c r="A616">
        <v>615</v>
      </c>
      <c r="B616" t="s">
        <v>252</v>
      </c>
      <c r="C616" t="s">
        <v>108</v>
      </c>
      <c r="D616">
        <v>35</v>
      </c>
      <c r="E616" t="s">
        <v>34</v>
      </c>
      <c r="F616" t="s">
        <v>53</v>
      </c>
      <c r="G616" t="s">
        <v>66</v>
      </c>
      <c r="H616">
        <v>67802</v>
      </c>
      <c r="I616">
        <v>1</v>
      </c>
      <c r="J616">
        <v>1</v>
      </c>
      <c r="K616">
        <v>0</v>
      </c>
      <c r="L616">
        <v>0</v>
      </c>
      <c r="M616" t="s">
        <v>36</v>
      </c>
      <c r="N616" t="s">
        <v>36</v>
      </c>
      <c r="O616" t="s">
        <v>36</v>
      </c>
      <c r="P616" t="s">
        <v>37</v>
      </c>
      <c r="Q616" t="s">
        <v>36</v>
      </c>
      <c r="R616" t="s">
        <v>36</v>
      </c>
      <c r="S616" t="s">
        <v>36</v>
      </c>
      <c r="T616" t="s">
        <v>36</v>
      </c>
      <c r="U616">
        <v>1</v>
      </c>
      <c r="V616">
        <v>1</v>
      </c>
      <c r="W616">
        <v>1</v>
      </c>
      <c r="X616">
        <v>0</v>
      </c>
      <c r="Y616">
        <v>0</v>
      </c>
      <c r="Z616">
        <v>1</v>
      </c>
      <c r="AA616">
        <v>0</v>
      </c>
      <c r="AB616">
        <v>0</v>
      </c>
      <c r="AC616">
        <v>0</v>
      </c>
      <c r="AD616">
        <v>0</v>
      </c>
      <c r="AE616">
        <v>0</v>
      </c>
      <c r="AF616">
        <v>0</v>
      </c>
      <c r="AG616">
        <v>1</v>
      </c>
    </row>
    <row r="617" spans="1:33" hidden="1" x14ac:dyDescent="0.2">
      <c r="A617">
        <v>616</v>
      </c>
      <c r="B617" t="s">
        <v>252</v>
      </c>
      <c r="C617" t="s">
        <v>108</v>
      </c>
      <c r="D617">
        <v>35</v>
      </c>
      <c r="E617" t="s">
        <v>34</v>
      </c>
      <c r="F617" t="s">
        <v>77</v>
      </c>
      <c r="G617" t="s">
        <v>36</v>
      </c>
      <c r="H617">
        <v>81213</v>
      </c>
      <c r="I617" t="s">
        <v>253</v>
      </c>
      <c r="J617" t="s">
        <v>177</v>
      </c>
      <c r="L617" t="s">
        <v>36</v>
      </c>
      <c r="M617" t="s">
        <v>36</v>
      </c>
      <c r="N617" t="s">
        <v>36</v>
      </c>
      <c r="O617" t="s">
        <v>36</v>
      </c>
      <c r="P617" t="s">
        <v>37</v>
      </c>
      <c r="Q617" t="s">
        <v>36</v>
      </c>
      <c r="R617" t="s">
        <v>36</v>
      </c>
      <c r="S617" t="s">
        <v>36</v>
      </c>
      <c r="T617" t="s">
        <v>36</v>
      </c>
      <c r="U617" t="s">
        <v>36</v>
      </c>
      <c r="V617" t="s">
        <v>36</v>
      </c>
      <c r="W617" t="s">
        <v>36</v>
      </c>
      <c r="X617" t="s">
        <v>36</v>
      </c>
      <c r="Y617" t="s">
        <v>36</v>
      </c>
      <c r="Z617" t="s">
        <v>36</v>
      </c>
      <c r="AA617" t="s">
        <v>36</v>
      </c>
      <c r="AB617" t="s">
        <v>36</v>
      </c>
      <c r="AC617" t="s">
        <v>36</v>
      </c>
      <c r="AD617" t="s">
        <v>36</v>
      </c>
      <c r="AE617" t="s">
        <v>36</v>
      </c>
      <c r="AF617" t="s">
        <v>36</v>
      </c>
      <c r="AG617" t="s">
        <v>36</v>
      </c>
    </row>
    <row r="618" spans="1:33" hidden="1" x14ac:dyDescent="0.2">
      <c r="A618">
        <v>617</v>
      </c>
      <c r="B618" t="s">
        <v>254</v>
      </c>
      <c r="C618" t="s">
        <v>108</v>
      </c>
      <c r="D618">
        <v>54</v>
      </c>
      <c r="E618" t="s">
        <v>114</v>
      </c>
      <c r="F618" t="s">
        <v>35</v>
      </c>
      <c r="G618" t="s">
        <v>36</v>
      </c>
      <c r="H618">
        <v>26269</v>
      </c>
      <c r="I618" t="s">
        <v>36</v>
      </c>
      <c r="J618" t="s">
        <v>36</v>
      </c>
      <c r="K618" t="s">
        <v>36</v>
      </c>
      <c r="L618" t="s">
        <v>36</v>
      </c>
      <c r="M618" t="s">
        <v>36</v>
      </c>
      <c r="N618" t="s">
        <v>36</v>
      </c>
      <c r="O618" t="s">
        <v>36</v>
      </c>
      <c r="P618" t="s">
        <v>37</v>
      </c>
      <c r="Q618" t="s">
        <v>36</v>
      </c>
      <c r="R618" t="s">
        <v>36</v>
      </c>
      <c r="S618" t="s">
        <v>36</v>
      </c>
      <c r="T618" t="s">
        <v>36</v>
      </c>
      <c r="U618" t="s">
        <v>36</v>
      </c>
      <c r="V618" t="s">
        <v>36</v>
      </c>
      <c r="W618" t="s">
        <v>36</v>
      </c>
      <c r="X618" t="s">
        <v>36</v>
      </c>
      <c r="Y618" t="s">
        <v>36</v>
      </c>
      <c r="Z618" t="s">
        <v>36</v>
      </c>
      <c r="AA618" t="s">
        <v>36</v>
      </c>
      <c r="AB618" t="s">
        <v>36</v>
      </c>
      <c r="AC618" t="s">
        <v>36</v>
      </c>
      <c r="AD618" t="s">
        <v>36</v>
      </c>
      <c r="AE618" t="s">
        <v>36</v>
      </c>
      <c r="AF618" t="s">
        <v>36</v>
      </c>
      <c r="AG618" t="s">
        <v>36</v>
      </c>
    </row>
    <row r="619" spans="1:33" hidden="1" x14ac:dyDescent="0.2">
      <c r="A619">
        <v>618</v>
      </c>
      <c r="B619" t="s">
        <v>254</v>
      </c>
      <c r="C619" t="s">
        <v>108</v>
      </c>
      <c r="D619">
        <v>54</v>
      </c>
      <c r="E619" t="s">
        <v>114</v>
      </c>
      <c r="F619" t="s">
        <v>38</v>
      </c>
      <c r="G619" t="s">
        <v>39</v>
      </c>
      <c r="H619">
        <v>48878</v>
      </c>
      <c r="I619">
        <v>0</v>
      </c>
      <c r="J619">
        <v>0</v>
      </c>
      <c r="K619">
        <v>0</v>
      </c>
      <c r="L619">
        <v>1</v>
      </c>
      <c r="M619" t="s">
        <v>36</v>
      </c>
      <c r="N619" t="s">
        <v>36</v>
      </c>
      <c r="O619" t="s">
        <v>36</v>
      </c>
      <c r="P619" t="s">
        <v>37</v>
      </c>
      <c r="Q619" t="s">
        <v>36</v>
      </c>
      <c r="R619" t="s">
        <v>36</v>
      </c>
      <c r="S619" t="s">
        <v>36</v>
      </c>
      <c r="T619" t="s">
        <v>36</v>
      </c>
      <c r="U619" t="s">
        <v>36</v>
      </c>
      <c r="V619" t="s">
        <v>36</v>
      </c>
      <c r="W619" t="s">
        <v>36</v>
      </c>
      <c r="X619" t="s">
        <v>36</v>
      </c>
      <c r="Y619" t="s">
        <v>36</v>
      </c>
      <c r="Z619" t="s">
        <v>36</v>
      </c>
      <c r="AA619" t="s">
        <v>36</v>
      </c>
      <c r="AB619" t="s">
        <v>36</v>
      </c>
      <c r="AC619" t="s">
        <v>36</v>
      </c>
      <c r="AD619" t="s">
        <v>36</v>
      </c>
      <c r="AE619" t="s">
        <v>36</v>
      </c>
      <c r="AF619" t="s">
        <v>36</v>
      </c>
      <c r="AG619" t="s">
        <v>36</v>
      </c>
    </row>
    <row r="620" spans="1:33" hidden="1" x14ac:dyDescent="0.2">
      <c r="A620">
        <v>619</v>
      </c>
      <c r="B620" t="s">
        <v>254</v>
      </c>
      <c r="C620" t="s">
        <v>108</v>
      </c>
      <c r="D620">
        <v>54</v>
      </c>
      <c r="E620" t="s">
        <v>114</v>
      </c>
      <c r="F620" t="s">
        <v>38</v>
      </c>
      <c r="G620" t="s">
        <v>40</v>
      </c>
      <c r="H620">
        <v>62863</v>
      </c>
      <c r="I620">
        <v>0</v>
      </c>
      <c r="J620">
        <v>0</v>
      </c>
      <c r="K620">
        <v>1</v>
      </c>
      <c r="L620">
        <v>0</v>
      </c>
      <c r="M620" t="s">
        <v>36</v>
      </c>
      <c r="N620" t="s">
        <v>36</v>
      </c>
      <c r="O620" t="s">
        <v>36</v>
      </c>
      <c r="P620" t="s">
        <v>37</v>
      </c>
      <c r="Q620" t="s">
        <v>36</v>
      </c>
      <c r="R620" t="s">
        <v>36</v>
      </c>
      <c r="S620" t="s">
        <v>36</v>
      </c>
      <c r="T620" t="s">
        <v>36</v>
      </c>
      <c r="U620" t="s">
        <v>36</v>
      </c>
      <c r="V620" t="s">
        <v>36</v>
      </c>
      <c r="W620" t="s">
        <v>36</v>
      </c>
      <c r="X620" t="s">
        <v>36</v>
      </c>
      <c r="Y620" t="s">
        <v>36</v>
      </c>
      <c r="Z620" t="s">
        <v>36</v>
      </c>
      <c r="AA620" t="s">
        <v>36</v>
      </c>
      <c r="AB620" t="s">
        <v>36</v>
      </c>
      <c r="AC620" t="s">
        <v>36</v>
      </c>
      <c r="AD620" t="s">
        <v>36</v>
      </c>
      <c r="AE620" t="s">
        <v>36</v>
      </c>
      <c r="AF620" t="s">
        <v>36</v>
      </c>
      <c r="AG620" t="s">
        <v>36</v>
      </c>
    </row>
    <row r="621" spans="1:33" x14ac:dyDescent="0.2">
      <c r="A621">
        <v>620</v>
      </c>
      <c r="B621" t="s">
        <v>254</v>
      </c>
      <c r="C621" t="s">
        <v>108</v>
      </c>
      <c r="D621">
        <v>54</v>
      </c>
      <c r="E621" t="s">
        <v>114</v>
      </c>
      <c r="F621" t="s">
        <v>41</v>
      </c>
      <c r="G621" t="s">
        <v>61</v>
      </c>
      <c r="H621">
        <v>150397</v>
      </c>
      <c r="I621">
        <v>1</v>
      </c>
      <c r="J621">
        <v>1</v>
      </c>
      <c r="K621">
        <v>1</v>
      </c>
      <c r="L621">
        <v>0</v>
      </c>
      <c r="M621" t="s">
        <v>87</v>
      </c>
      <c r="N621" t="s">
        <v>125</v>
      </c>
      <c r="O621" t="s">
        <v>64</v>
      </c>
      <c r="P621" t="s">
        <v>37</v>
      </c>
      <c r="Q621" t="s">
        <v>47</v>
      </c>
      <c r="R621" t="s">
        <v>60</v>
      </c>
      <c r="S621" t="s">
        <v>48</v>
      </c>
      <c r="T621">
        <v>1</v>
      </c>
      <c r="U621">
        <v>0</v>
      </c>
      <c r="V621">
        <v>1</v>
      </c>
      <c r="W621">
        <v>1</v>
      </c>
      <c r="X621">
        <v>0</v>
      </c>
      <c r="Y621">
        <v>0</v>
      </c>
      <c r="Z621">
        <v>1</v>
      </c>
      <c r="AA621">
        <v>1</v>
      </c>
      <c r="AB621">
        <v>0</v>
      </c>
      <c r="AC621">
        <v>1</v>
      </c>
      <c r="AD621">
        <v>1</v>
      </c>
      <c r="AE621">
        <v>0</v>
      </c>
      <c r="AF621">
        <v>0</v>
      </c>
      <c r="AG621">
        <v>0</v>
      </c>
    </row>
    <row r="622" spans="1:33" x14ac:dyDescent="0.2">
      <c r="A622">
        <v>621</v>
      </c>
      <c r="B622" t="s">
        <v>254</v>
      </c>
      <c r="C622" t="s">
        <v>108</v>
      </c>
      <c r="D622">
        <v>54</v>
      </c>
      <c r="E622" t="s">
        <v>114</v>
      </c>
      <c r="F622" t="s">
        <v>41</v>
      </c>
      <c r="G622" t="s">
        <v>72</v>
      </c>
      <c r="H622">
        <v>98901</v>
      </c>
      <c r="I622">
        <v>0</v>
      </c>
      <c r="J622">
        <v>0</v>
      </c>
      <c r="K622">
        <v>0</v>
      </c>
      <c r="L622">
        <v>1</v>
      </c>
      <c r="M622" t="s">
        <v>115</v>
      </c>
      <c r="N622" t="s">
        <v>93</v>
      </c>
      <c r="O622" t="s">
        <v>75</v>
      </c>
      <c r="P622" t="s">
        <v>37</v>
      </c>
      <c r="Q622" t="s">
        <v>65</v>
      </c>
      <c r="R622" t="s">
        <v>59</v>
      </c>
      <c r="S622" t="s">
        <v>46</v>
      </c>
      <c r="T622">
        <v>0</v>
      </c>
      <c r="U622">
        <v>1</v>
      </c>
      <c r="V622">
        <v>0</v>
      </c>
      <c r="W622">
        <v>0</v>
      </c>
      <c r="X622">
        <v>1</v>
      </c>
      <c r="Y622">
        <v>0</v>
      </c>
      <c r="Z622">
        <v>1</v>
      </c>
      <c r="AA622">
        <v>0</v>
      </c>
      <c r="AB622">
        <v>0</v>
      </c>
      <c r="AC622">
        <v>0</v>
      </c>
      <c r="AD622">
        <v>0</v>
      </c>
      <c r="AE622">
        <v>0</v>
      </c>
      <c r="AF622">
        <v>0</v>
      </c>
      <c r="AG622">
        <v>1</v>
      </c>
    </row>
    <row r="623" spans="1:33" hidden="1" x14ac:dyDescent="0.2">
      <c r="A623">
        <v>622</v>
      </c>
      <c r="B623" t="s">
        <v>254</v>
      </c>
      <c r="C623" t="s">
        <v>108</v>
      </c>
      <c r="D623">
        <v>54</v>
      </c>
      <c r="E623" t="s">
        <v>114</v>
      </c>
      <c r="F623" t="s">
        <v>53</v>
      </c>
      <c r="G623" t="s">
        <v>76</v>
      </c>
      <c r="H623">
        <v>66264</v>
      </c>
      <c r="I623">
        <v>1</v>
      </c>
      <c r="J623">
        <v>0</v>
      </c>
      <c r="K623">
        <v>0</v>
      </c>
      <c r="L623">
        <v>0</v>
      </c>
      <c r="M623" t="s">
        <v>36</v>
      </c>
      <c r="N623" t="s">
        <v>36</v>
      </c>
      <c r="O623" t="s">
        <v>36</v>
      </c>
      <c r="P623" t="s">
        <v>37</v>
      </c>
      <c r="Q623" t="s">
        <v>36</v>
      </c>
      <c r="R623" t="s">
        <v>36</v>
      </c>
      <c r="S623" t="s">
        <v>36</v>
      </c>
      <c r="T623" t="s">
        <v>36</v>
      </c>
      <c r="U623">
        <v>1</v>
      </c>
      <c r="V623">
        <v>0</v>
      </c>
      <c r="W623">
        <v>0</v>
      </c>
      <c r="X623">
        <v>1</v>
      </c>
      <c r="Y623">
        <v>0</v>
      </c>
      <c r="Z623">
        <v>1</v>
      </c>
      <c r="AA623">
        <v>0</v>
      </c>
      <c r="AB623">
        <v>0</v>
      </c>
      <c r="AC623">
        <v>0</v>
      </c>
      <c r="AD623">
        <v>0</v>
      </c>
      <c r="AE623">
        <v>0</v>
      </c>
      <c r="AF623">
        <v>0</v>
      </c>
      <c r="AG623">
        <v>1</v>
      </c>
    </row>
    <row r="624" spans="1:33" x14ac:dyDescent="0.2">
      <c r="A624">
        <v>623</v>
      </c>
      <c r="B624" t="s">
        <v>254</v>
      </c>
      <c r="C624" t="s">
        <v>108</v>
      </c>
      <c r="D624">
        <v>54</v>
      </c>
      <c r="E624" t="s">
        <v>114</v>
      </c>
      <c r="F624" t="s">
        <v>41</v>
      </c>
      <c r="G624" t="s">
        <v>67</v>
      </c>
      <c r="H624">
        <v>52840</v>
      </c>
      <c r="I624">
        <v>0</v>
      </c>
      <c r="J624">
        <v>1</v>
      </c>
      <c r="K624">
        <v>1</v>
      </c>
      <c r="L624">
        <v>0</v>
      </c>
      <c r="M624" t="s">
        <v>69</v>
      </c>
      <c r="N624" t="s">
        <v>70</v>
      </c>
      <c r="O624" t="s">
        <v>68</v>
      </c>
      <c r="P624" t="s">
        <v>37</v>
      </c>
      <c r="Q624" t="s">
        <v>48</v>
      </c>
      <c r="R624" t="s">
        <v>47</v>
      </c>
      <c r="S624" t="s">
        <v>65</v>
      </c>
      <c r="T624">
        <v>0</v>
      </c>
      <c r="U624">
        <v>1</v>
      </c>
      <c r="V624">
        <v>1</v>
      </c>
      <c r="W624">
        <v>1</v>
      </c>
      <c r="X624">
        <v>0</v>
      </c>
      <c r="Y624">
        <v>0</v>
      </c>
      <c r="Z624">
        <v>1</v>
      </c>
      <c r="AA624">
        <v>0</v>
      </c>
      <c r="AB624">
        <v>1</v>
      </c>
      <c r="AC624">
        <v>0</v>
      </c>
      <c r="AD624">
        <v>1</v>
      </c>
      <c r="AE624">
        <v>0</v>
      </c>
      <c r="AF624">
        <v>0</v>
      </c>
      <c r="AG624">
        <v>0</v>
      </c>
    </row>
    <row r="625" spans="1:33" x14ac:dyDescent="0.2">
      <c r="A625">
        <v>624</v>
      </c>
      <c r="B625" t="s">
        <v>254</v>
      </c>
      <c r="C625" t="s">
        <v>108</v>
      </c>
      <c r="D625">
        <v>54</v>
      </c>
      <c r="E625" t="s">
        <v>114</v>
      </c>
      <c r="F625" t="s">
        <v>41</v>
      </c>
      <c r="G625" t="s">
        <v>42</v>
      </c>
      <c r="H625">
        <v>33404</v>
      </c>
      <c r="I625">
        <v>0</v>
      </c>
      <c r="J625">
        <v>0</v>
      </c>
      <c r="K625">
        <v>1</v>
      </c>
      <c r="L625">
        <v>0</v>
      </c>
      <c r="M625" t="s">
        <v>43</v>
      </c>
      <c r="N625" t="s">
        <v>45</v>
      </c>
      <c r="O625" t="s">
        <v>82</v>
      </c>
      <c r="P625" t="s">
        <v>37</v>
      </c>
      <c r="Q625" t="s">
        <v>46</v>
      </c>
      <c r="R625" t="s">
        <v>48</v>
      </c>
      <c r="S625" t="s">
        <v>65</v>
      </c>
      <c r="T625">
        <v>0</v>
      </c>
      <c r="U625">
        <v>1</v>
      </c>
      <c r="V625">
        <v>1</v>
      </c>
      <c r="W625">
        <v>0</v>
      </c>
      <c r="X625">
        <v>1</v>
      </c>
      <c r="Y625">
        <v>0</v>
      </c>
      <c r="Z625">
        <v>1</v>
      </c>
      <c r="AA625">
        <v>0</v>
      </c>
      <c r="AB625">
        <v>1</v>
      </c>
      <c r="AC625">
        <v>0</v>
      </c>
      <c r="AD625">
        <v>0</v>
      </c>
      <c r="AE625">
        <v>0</v>
      </c>
      <c r="AF625">
        <v>0</v>
      </c>
      <c r="AG625">
        <v>0</v>
      </c>
    </row>
    <row r="626" spans="1:33" hidden="1" x14ac:dyDescent="0.2">
      <c r="A626">
        <v>625</v>
      </c>
      <c r="B626" t="s">
        <v>254</v>
      </c>
      <c r="C626" t="s">
        <v>108</v>
      </c>
      <c r="D626">
        <v>54</v>
      </c>
      <c r="E626" t="s">
        <v>114</v>
      </c>
      <c r="F626" t="s">
        <v>53</v>
      </c>
      <c r="G626" t="s">
        <v>54</v>
      </c>
      <c r="H626">
        <v>59368</v>
      </c>
      <c r="I626">
        <v>1</v>
      </c>
      <c r="J626">
        <v>1</v>
      </c>
      <c r="K626">
        <v>1</v>
      </c>
      <c r="L626">
        <v>0</v>
      </c>
      <c r="M626" t="s">
        <v>36</v>
      </c>
      <c r="N626" t="s">
        <v>36</v>
      </c>
      <c r="O626" t="s">
        <v>36</v>
      </c>
      <c r="P626" t="s">
        <v>37</v>
      </c>
      <c r="Q626" t="s">
        <v>36</v>
      </c>
      <c r="R626" t="s">
        <v>36</v>
      </c>
      <c r="S626" t="s">
        <v>36</v>
      </c>
      <c r="T626" t="s">
        <v>36</v>
      </c>
      <c r="U626">
        <v>1</v>
      </c>
      <c r="V626">
        <v>1</v>
      </c>
      <c r="W626">
        <v>0</v>
      </c>
      <c r="X626">
        <v>1</v>
      </c>
      <c r="Y626">
        <v>0</v>
      </c>
      <c r="Z626">
        <v>1</v>
      </c>
      <c r="AA626">
        <v>0</v>
      </c>
      <c r="AB626">
        <v>1</v>
      </c>
      <c r="AC626">
        <v>0</v>
      </c>
      <c r="AD626">
        <v>0</v>
      </c>
      <c r="AE626">
        <v>0</v>
      </c>
      <c r="AF626">
        <v>0</v>
      </c>
      <c r="AG626">
        <v>0</v>
      </c>
    </row>
    <row r="627" spans="1:33" x14ac:dyDescent="0.2">
      <c r="A627">
        <v>626</v>
      </c>
      <c r="B627" t="s">
        <v>254</v>
      </c>
      <c r="C627" t="s">
        <v>108</v>
      </c>
      <c r="D627">
        <v>54</v>
      </c>
      <c r="E627" t="s">
        <v>114</v>
      </c>
      <c r="F627" t="s">
        <v>41</v>
      </c>
      <c r="G627" t="s">
        <v>49</v>
      </c>
      <c r="H627">
        <v>54610</v>
      </c>
      <c r="I627">
        <v>0</v>
      </c>
      <c r="J627">
        <v>0</v>
      </c>
      <c r="K627">
        <v>0</v>
      </c>
      <c r="L627">
        <v>1</v>
      </c>
      <c r="M627" t="s">
        <v>50</v>
      </c>
      <c r="N627" t="s">
        <v>96</v>
      </c>
      <c r="O627" t="s">
        <v>51</v>
      </c>
      <c r="P627" t="s">
        <v>37</v>
      </c>
      <c r="Q627" t="s">
        <v>48</v>
      </c>
      <c r="R627" t="s">
        <v>65</v>
      </c>
      <c r="S627" t="s">
        <v>47</v>
      </c>
      <c r="T627">
        <v>0</v>
      </c>
      <c r="U627">
        <v>1</v>
      </c>
      <c r="V627">
        <v>1</v>
      </c>
      <c r="W627">
        <v>1</v>
      </c>
      <c r="X627">
        <v>0</v>
      </c>
      <c r="Y627">
        <v>0</v>
      </c>
      <c r="Z627">
        <v>1</v>
      </c>
      <c r="AA627">
        <v>0</v>
      </c>
      <c r="AB627">
        <v>0</v>
      </c>
      <c r="AC627">
        <v>0</v>
      </c>
      <c r="AD627">
        <v>0</v>
      </c>
      <c r="AE627">
        <v>0</v>
      </c>
      <c r="AF627">
        <v>0</v>
      </c>
      <c r="AG627">
        <v>1</v>
      </c>
    </row>
    <row r="628" spans="1:33" hidden="1" x14ac:dyDescent="0.2">
      <c r="A628">
        <v>627</v>
      </c>
      <c r="B628" t="s">
        <v>254</v>
      </c>
      <c r="C628" t="s">
        <v>108</v>
      </c>
      <c r="D628">
        <v>54</v>
      </c>
      <c r="E628" t="s">
        <v>114</v>
      </c>
      <c r="F628" t="s">
        <v>53</v>
      </c>
      <c r="G628" t="s">
        <v>66</v>
      </c>
      <c r="H628">
        <v>55889</v>
      </c>
      <c r="I628">
        <v>1</v>
      </c>
      <c r="J628">
        <v>1</v>
      </c>
      <c r="K628">
        <v>0</v>
      </c>
      <c r="L628">
        <v>0</v>
      </c>
      <c r="M628" t="s">
        <v>36</v>
      </c>
      <c r="N628" t="s">
        <v>36</v>
      </c>
      <c r="O628" t="s">
        <v>36</v>
      </c>
      <c r="P628" t="s">
        <v>37</v>
      </c>
      <c r="Q628" t="s">
        <v>36</v>
      </c>
      <c r="R628" t="s">
        <v>36</v>
      </c>
      <c r="S628" t="s">
        <v>36</v>
      </c>
      <c r="T628" t="s">
        <v>36</v>
      </c>
      <c r="U628">
        <v>1</v>
      </c>
      <c r="V628">
        <v>1</v>
      </c>
      <c r="W628">
        <v>1</v>
      </c>
      <c r="X628">
        <v>0</v>
      </c>
      <c r="Y628">
        <v>0</v>
      </c>
      <c r="Z628">
        <v>1</v>
      </c>
      <c r="AA628">
        <v>0</v>
      </c>
      <c r="AB628">
        <v>0</v>
      </c>
      <c r="AC628">
        <v>0</v>
      </c>
      <c r="AD628">
        <v>0</v>
      </c>
      <c r="AE628">
        <v>0</v>
      </c>
      <c r="AF628">
        <v>0</v>
      </c>
      <c r="AG628">
        <v>1</v>
      </c>
    </row>
    <row r="629" spans="1:33" x14ac:dyDescent="0.2">
      <c r="A629">
        <v>628</v>
      </c>
      <c r="B629" t="s">
        <v>254</v>
      </c>
      <c r="C629" t="s">
        <v>108</v>
      </c>
      <c r="D629">
        <v>54</v>
      </c>
      <c r="E629" t="s">
        <v>114</v>
      </c>
      <c r="F629" t="s">
        <v>41</v>
      </c>
      <c r="G629" t="s">
        <v>55</v>
      </c>
      <c r="H629">
        <v>63583</v>
      </c>
      <c r="I629">
        <v>0</v>
      </c>
      <c r="J629">
        <v>0</v>
      </c>
      <c r="K629">
        <v>0</v>
      </c>
      <c r="L629">
        <v>1</v>
      </c>
      <c r="M629" t="s">
        <v>94</v>
      </c>
      <c r="N629" t="s">
        <v>84</v>
      </c>
      <c r="O629" t="s">
        <v>57</v>
      </c>
      <c r="P629" t="s">
        <v>37</v>
      </c>
      <c r="Q629" t="s">
        <v>47</v>
      </c>
      <c r="R629" t="s">
        <v>46</v>
      </c>
      <c r="S629" t="s">
        <v>48</v>
      </c>
      <c r="T629">
        <v>0</v>
      </c>
      <c r="U629">
        <v>0</v>
      </c>
      <c r="V629">
        <v>1</v>
      </c>
      <c r="W629">
        <v>1</v>
      </c>
      <c r="X629">
        <v>1</v>
      </c>
      <c r="Y629">
        <v>0</v>
      </c>
      <c r="Z629">
        <v>1</v>
      </c>
      <c r="AA629">
        <v>0</v>
      </c>
      <c r="AB629">
        <v>0</v>
      </c>
      <c r="AC629">
        <v>0</v>
      </c>
      <c r="AD629">
        <v>0</v>
      </c>
      <c r="AE629">
        <v>0</v>
      </c>
      <c r="AF629">
        <v>0</v>
      </c>
      <c r="AG629">
        <v>1</v>
      </c>
    </row>
    <row r="630" spans="1:33" hidden="1" x14ac:dyDescent="0.2">
      <c r="A630">
        <v>629</v>
      </c>
      <c r="B630" t="s">
        <v>254</v>
      </c>
      <c r="C630" t="s">
        <v>108</v>
      </c>
      <c r="D630">
        <v>54</v>
      </c>
      <c r="E630" t="s">
        <v>114</v>
      </c>
      <c r="F630" t="s">
        <v>53</v>
      </c>
      <c r="G630" t="s">
        <v>71</v>
      </c>
      <c r="H630">
        <v>44907</v>
      </c>
      <c r="I630">
        <v>0</v>
      </c>
      <c r="J630">
        <v>0</v>
      </c>
      <c r="K630">
        <v>1</v>
      </c>
      <c r="L630">
        <v>0</v>
      </c>
      <c r="M630" t="s">
        <v>36</v>
      </c>
      <c r="N630" t="s">
        <v>36</v>
      </c>
      <c r="O630" t="s">
        <v>36</v>
      </c>
      <c r="P630" t="s">
        <v>37</v>
      </c>
      <c r="Q630" t="s">
        <v>36</v>
      </c>
      <c r="R630" t="s">
        <v>36</v>
      </c>
      <c r="S630" t="s">
        <v>36</v>
      </c>
      <c r="T630" t="s">
        <v>36</v>
      </c>
      <c r="U630">
        <v>0</v>
      </c>
      <c r="V630">
        <v>1</v>
      </c>
      <c r="W630">
        <v>1</v>
      </c>
      <c r="X630">
        <v>1</v>
      </c>
      <c r="Y630">
        <v>0</v>
      </c>
      <c r="Z630">
        <v>1</v>
      </c>
      <c r="AA630">
        <v>0</v>
      </c>
      <c r="AB630">
        <v>0</v>
      </c>
      <c r="AC630">
        <v>0</v>
      </c>
      <c r="AD630">
        <v>0</v>
      </c>
      <c r="AE630">
        <v>0</v>
      </c>
      <c r="AF630">
        <v>0</v>
      </c>
      <c r="AG630">
        <v>1</v>
      </c>
    </row>
    <row r="631" spans="1:33" hidden="1" x14ac:dyDescent="0.2">
      <c r="A631">
        <v>630</v>
      </c>
      <c r="B631" t="s">
        <v>254</v>
      </c>
      <c r="C631" t="s">
        <v>108</v>
      </c>
      <c r="D631">
        <v>54</v>
      </c>
      <c r="E631" t="s">
        <v>114</v>
      </c>
      <c r="F631" t="s">
        <v>77</v>
      </c>
      <c r="G631" t="s">
        <v>36</v>
      </c>
      <c r="H631">
        <v>124724</v>
      </c>
      <c r="I631" t="s">
        <v>255</v>
      </c>
      <c r="J631" t="s">
        <v>256</v>
      </c>
      <c r="K631" t="s">
        <v>166</v>
      </c>
      <c r="L631" t="s">
        <v>36</v>
      </c>
      <c r="M631" t="s">
        <v>36</v>
      </c>
      <c r="N631" t="s">
        <v>36</v>
      </c>
      <c r="O631" t="s">
        <v>36</v>
      </c>
      <c r="P631" t="s">
        <v>37</v>
      </c>
      <c r="Q631" t="s">
        <v>36</v>
      </c>
      <c r="R631" t="s">
        <v>36</v>
      </c>
      <c r="S631" t="s">
        <v>36</v>
      </c>
      <c r="T631" t="s">
        <v>36</v>
      </c>
      <c r="U631" t="s">
        <v>36</v>
      </c>
      <c r="V631" t="s">
        <v>36</v>
      </c>
      <c r="W631" t="s">
        <v>36</v>
      </c>
      <c r="X631" t="s">
        <v>36</v>
      </c>
      <c r="Y631" t="s">
        <v>36</v>
      </c>
      <c r="Z631" t="s">
        <v>36</v>
      </c>
      <c r="AA631" t="s">
        <v>36</v>
      </c>
      <c r="AB631" t="s">
        <v>36</v>
      </c>
      <c r="AC631" t="s">
        <v>36</v>
      </c>
      <c r="AD631" t="s">
        <v>36</v>
      </c>
      <c r="AE631" t="s">
        <v>36</v>
      </c>
      <c r="AF631" t="s">
        <v>36</v>
      </c>
      <c r="AG631" t="s">
        <v>36</v>
      </c>
    </row>
    <row r="632" spans="1:33" hidden="1" x14ac:dyDescent="0.2">
      <c r="A632">
        <v>631</v>
      </c>
      <c r="B632" t="s">
        <v>257</v>
      </c>
      <c r="C632" t="s">
        <v>108</v>
      </c>
      <c r="D632">
        <v>57</v>
      </c>
      <c r="E632" t="s">
        <v>34</v>
      </c>
      <c r="F632" t="s">
        <v>35</v>
      </c>
      <c r="G632" t="s">
        <v>36</v>
      </c>
      <c r="H632">
        <v>76743</v>
      </c>
      <c r="I632" t="s">
        <v>36</v>
      </c>
      <c r="J632" t="s">
        <v>36</v>
      </c>
      <c r="K632" t="s">
        <v>36</v>
      </c>
      <c r="L632" t="s">
        <v>36</v>
      </c>
      <c r="M632" t="s">
        <v>36</v>
      </c>
      <c r="N632" t="s">
        <v>36</v>
      </c>
      <c r="O632" t="s">
        <v>36</v>
      </c>
      <c r="P632" t="s">
        <v>37</v>
      </c>
      <c r="Q632" t="s">
        <v>36</v>
      </c>
      <c r="R632" t="s">
        <v>36</v>
      </c>
      <c r="S632" t="s">
        <v>36</v>
      </c>
      <c r="T632" t="s">
        <v>36</v>
      </c>
      <c r="U632" t="s">
        <v>36</v>
      </c>
      <c r="V632" t="s">
        <v>36</v>
      </c>
      <c r="W632" t="s">
        <v>36</v>
      </c>
      <c r="X632" t="s">
        <v>36</v>
      </c>
      <c r="Y632" t="s">
        <v>36</v>
      </c>
      <c r="Z632" t="s">
        <v>36</v>
      </c>
      <c r="AA632" t="s">
        <v>36</v>
      </c>
      <c r="AB632" t="s">
        <v>36</v>
      </c>
      <c r="AC632" t="s">
        <v>36</v>
      </c>
      <c r="AD632" t="s">
        <v>36</v>
      </c>
      <c r="AE632" t="s">
        <v>36</v>
      </c>
      <c r="AF632" t="s">
        <v>36</v>
      </c>
      <c r="AG632" t="s">
        <v>36</v>
      </c>
    </row>
    <row r="633" spans="1:33" hidden="1" x14ac:dyDescent="0.2">
      <c r="A633">
        <v>632</v>
      </c>
      <c r="B633" t="s">
        <v>257</v>
      </c>
      <c r="C633" t="s">
        <v>108</v>
      </c>
      <c r="D633">
        <v>57</v>
      </c>
      <c r="E633" t="s">
        <v>34</v>
      </c>
      <c r="F633" t="s">
        <v>38</v>
      </c>
      <c r="G633" t="s">
        <v>39</v>
      </c>
      <c r="H633">
        <v>75161</v>
      </c>
      <c r="I633">
        <v>0</v>
      </c>
      <c r="J633">
        <v>0</v>
      </c>
      <c r="K633">
        <v>0</v>
      </c>
      <c r="L633">
        <v>1</v>
      </c>
      <c r="M633" t="s">
        <v>36</v>
      </c>
      <c r="N633" t="s">
        <v>36</v>
      </c>
      <c r="O633" t="s">
        <v>36</v>
      </c>
      <c r="P633" t="s">
        <v>37</v>
      </c>
      <c r="Q633" t="s">
        <v>36</v>
      </c>
      <c r="R633" t="s">
        <v>36</v>
      </c>
      <c r="S633" t="s">
        <v>36</v>
      </c>
      <c r="T633" t="s">
        <v>36</v>
      </c>
      <c r="U633" t="s">
        <v>36</v>
      </c>
      <c r="V633" t="s">
        <v>36</v>
      </c>
      <c r="W633" t="s">
        <v>36</v>
      </c>
      <c r="X633" t="s">
        <v>36</v>
      </c>
      <c r="Y633" t="s">
        <v>36</v>
      </c>
      <c r="Z633" t="s">
        <v>36</v>
      </c>
      <c r="AA633" t="s">
        <v>36</v>
      </c>
      <c r="AB633" t="s">
        <v>36</v>
      </c>
      <c r="AC633" t="s">
        <v>36</v>
      </c>
      <c r="AD633" t="s">
        <v>36</v>
      </c>
      <c r="AE633" t="s">
        <v>36</v>
      </c>
      <c r="AF633" t="s">
        <v>36</v>
      </c>
      <c r="AG633" t="s">
        <v>36</v>
      </c>
    </row>
    <row r="634" spans="1:33" hidden="1" x14ac:dyDescent="0.2">
      <c r="A634">
        <v>633</v>
      </c>
      <c r="B634" t="s">
        <v>257</v>
      </c>
      <c r="C634" t="s">
        <v>108</v>
      </c>
      <c r="D634">
        <v>57</v>
      </c>
      <c r="E634" t="s">
        <v>34</v>
      </c>
      <c r="F634" t="s">
        <v>38</v>
      </c>
      <c r="G634" t="s">
        <v>40</v>
      </c>
      <c r="H634">
        <v>66736</v>
      </c>
      <c r="I634">
        <v>0</v>
      </c>
      <c r="J634">
        <v>1</v>
      </c>
      <c r="K634">
        <v>1</v>
      </c>
      <c r="L634">
        <v>0</v>
      </c>
      <c r="M634" t="s">
        <v>36</v>
      </c>
      <c r="N634" t="s">
        <v>36</v>
      </c>
      <c r="O634" t="s">
        <v>36</v>
      </c>
      <c r="P634" t="s">
        <v>37</v>
      </c>
      <c r="Q634" t="s">
        <v>36</v>
      </c>
      <c r="R634" t="s">
        <v>36</v>
      </c>
      <c r="S634" t="s">
        <v>36</v>
      </c>
      <c r="T634" t="s">
        <v>36</v>
      </c>
      <c r="U634" t="s">
        <v>36</v>
      </c>
      <c r="V634" t="s">
        <v>36</v>
      </c>
      <c r="W634" t="s">
        <v>36</v>
      </c>
      <c r="X634" t="s">
        <v>36</v>
      </c>
      <c r="Y634" t="s">
        <v>36</v>
      </c>
      <c r="Z634" t="s">
        <v>36</v>
      </c>
      <c r="AA634" t="s">
        <v>36</v>
      </c>
      <c r="AB634" t="s">
        <v>36</v>
      </c>
      <c r="AC634" t="s">
        <v>36</v>
      </c>
      <c r="AD634" t="s">
        <v>36</v>
      </c>
      <c r="AE634" t="s">
        <v>36</v>
      </c>
      <c r="AF634" t="s">
        <v>36</v>
      </c>
      <c r="AG634" t="s">
        <v>36</v>
      </c>
    </row>
    <row r="635" spans="1:33" x14ac:dyDescent="0.2">
      <c r="A635">
        <v>634</v>
      </c>
      <c r="B635" t="s">
        <v>257</v>
      </c>
      <c r="C635" t="s">
        <v>108</v>
      </c>
      <c r="D635">
        <v>57</v>
      </c>
      <c r="E635" t="s">
        <v>34</v>
      </c>
      <c r="F635" t="s">
        <v>41</v>
      </c>
      <c r="G635" t="s">
        <v>61</v>
      </c>
      <c r="H635">
        <v>78057</v>
      </c>
      <c r="I635">
        <v>0</v>
      </c>
      <c r="J635">
        <v>0</v>
      </c>
      <c r="K635">
        <v>0</v>
      </c>
      <c r="L635">
        <v>1</v>
      </c>
      <c r="M635" t="s">
        <v>87</v>
      </c>
      <c r="N635" t="s">
        <v>125</v>
      </c>
      <c r="O635" t="s">
        <v>97</v>
      </c>
      <c r="P635" t="s">
        <v>37</v>
      </c>
      <c r="Q635" t="s">
        <v>47</v>
      </c>
      <c r="R635" t="s">
        <v>60</v>
      </c>
      <c r="S635" t="s">
        <v>59</v>
      </c>
      <c r="T635">
        <v>1</v>
      </c>
      <c r="U635">
        <v>0</v>
      </c>
      <c r="V635">
        <v>0</v>
      </c>
      <c r="W635">
        <v>1</v>
      </c>
      <c r="X635">
        <v>0</v>
      </c>
      <c r="Y635">
        <v>0</v>
      </c>
      <c r="Z635">
        <v>1</v>
      </c>
      <c r="AA635">
        <v>0</v>
      </c>
      <c r="AB635">
        <v>0</v>
      </c>
      <c r="AC635">
        <v>0</v>
      </c>
      <c r="AD635">
        <v>0</v>
      </c>
      <c r="AE635">
        <v>0</v>
      </c>
      <c r="AF635">
        <v>0</v>
      </c>
      <c r="AG635">
        <v>1</v>
      </c>
    </row>
    <row r="636" spans="1:33" x14ac:dyDescent="0.2">
      <c r="A636">
        <v>635</v>
      </c>
      <c r="B636" t="s">
        <v>257</v>
      </c>
      <c r="C636" t="s">
        <v>108</v>
      </c>
      <c r="D636">
        <v>57</v>
      </c>
      <c r="E636" t="s">
        <v>34</v>
      </c>
      <c r="F636" t="s">
        <v>41</v>
      </c>
      <c r="G636" t="s">
        <v>49</v>
      </c>
      <c r="H636">
        <v>61869</v>
      </c>
      <c r="I636">
        <v>0</v>
      </c>
      <c r="J636">
        <v>0</v>
      </c>
      <c r="K636">
        <v>1</v>
      </c>
      <c r="L636">
        <v>0</v>
      </c>
      <c r="M636" t="s">
        <v>51</v>
      </c>
      <c r="N636" t="s">
        <v>95</v>
      </c>
      <c r="O636" t="s">
        <v>96</v>
      </c>
      <c r="P636" t="s">
        <v>37</v>
      </c>
      <c r="Q636" t="s">
        <v>47</v>
      </c>
      <c r="R636" t="s">
        <v>60</v>
      </c>
      <c r="S636" t="s">
        <v>65</v>
      </c>
      <c r="T636">
        <v>1</v>
      </c>
      <c r="U636">
        <v>1</v>
      </c>
      <c r="V636">
        <v>0</v>
      </c>
      <c r="W636">
        <v>1</v>
      </c>
      <c r="X636">
        <v>0</v>
      </c>
      <c r="Y636">
        <v>0</v>
      </c>
      <c r="Z636">
        <v>1</v>
      </c>
      <c r="AA636">
        <v>0</v>
      </c>
      <c r="AB636">
        <v>1</v>
      </c>
      <c r="AC636">
        <v>0</v>
      </c>
      <c r="AD636">
        <v>0</v>
      </c>
      <c r="AE636">
        <v>0</v>
      </c>
      <c r="AF636">
        <v>0</v>
      </c>
      <c r="AG636">
        <v>0</v>
      </c>
    </row>
    <row r="637" spans="1:33" hidden="1" x14ac:dyDescent="0.2">
      <c r="A637">
        <v>636</v>
      </c>
      <c r="B637" t="s">
        <v>257</v>
      </c>
      <c r="C637" t="s">
        <v>108</v>
      </c>
      <c r="D637">
        <v>57</v>
      </c>
      <c r="E637" t="s">
        <v>34</v>
      </c>
      <c r="F637" t="s">
        <v>53</v>
      </c>
      <c r="G637" t="s">
        <v>71</v>
      </c>
      <c r="H637">
        <v>64367</v>
      </c>
      <c r="I637">
        <v>0</v>
      </c>
      <c r="J637">
        <v>0</v>
      </c>
      <c r="K637">
        <v>0</v>
      </c>
      <c r="L637">
        <v>1</v>
      </c>
      <c r="M637" t="s">
        <v>36</v>
      </c>
      <c r="N637" t="s">
        <v>36</v>
      </c>
      <c r="O637" t="s">
        <v>36</v>
      </c>
      <c r="P637" t="s">
        <v>37</v>
      </c>
      <c r="Q637" t="s">
        <v>36</v>
      </c>
      <c r="R637" t="s">
        <v>36</v>
      </c>
      <c r="S637" t="s">
        <v>36</v>
      </c>
      <c r="T637" t="s">
        <v>36</v>
      </c>
      <c r="U637">
        <v>1</v>
      </c>
      <c r="V637">
        <v>0</v>
      </c>
      <c r="W637">
        <v>1</v>
      </c>
      <c r="X637">
        <v>0</v>
      </c>
      <c r="Y637">
        <v>0</v>
      </c>
      <c r="Z637">
        <v>1</v>
      </c>
      <c r="AA637">
        <v>0</v>
      </c>
      <c r="AB637">
        <v>1</v>
      </c>
      <c r="AC637">
        <v>0</v>
      </c>
      <c r="AD637">
        <v>0</v>
      </c>
      <c r="AE637">
        <v>0</v>
      </c>
      <c r="AF637">
        <v>0</v>
      </c>
      <c r="AG637">
        <v>0</v>
      </c>
    </row>
    <row r="638" spans="1:33" x14ac:dyDescent="0.2">
      <c r="A638">
        <v>637</v>
      </c>
      <c r="B638" t="s">
        <v>257</v>
      </c>
      <c r="C638" t="s">
        <v>108</v>
      </c>
      <c r="D638">
        <v>57</v>
      </c>
      <c r="E638" t="s">
        <v>34</v>
      </c>
      <c r="F638" t="s">
        <v>41</v>
      </c>
      <c r="G638" t="s">
        <v>72</v>
      </c>
      <c r="H638">
        <v>67441</v>
      </c>
      <c r="I638">
        <v>0</v>
      </c>
      <c r="J638">
        <v>0</v>
      </c>
      <c r="K638">
        <v>0</v>
      </c>
      <c r="L638">
        <v>1</v>
      </c>
      <c r="M638" t="s">
        <v>73</v>
      </c>
      <c r="N638" t="s">
        <v>104</v>
      </c>
      <c r="O638" t="s">
        <v>93</v>
      </c>
      <c r="P638" t="s">
        <v>37</v>
      </c>
      <c r="Q638" t="s">
        <v>48</v>
      </c>
      <c r="R638" t="s">
        <v>60</v>
      </c>
      <c r="S638" t="s">
        <v>59</v>
      </c>
      <c r="T638">
        <v>1</v>
      </c>
      <c r="U638">
        <v>0</v>
      </c>
      <c r="V638">
        <v>1</v>
      </c>
      <c r="W638">
        <v>0</v>
      </c>
      <c r="X638">
        <v>0</v>
      </c>
      <c r="Y638">
        <v>0</v>
      </c>
      <c r="Z638">
        <v>1</v>
      </c>
      <c r="AA638">
        <v>0</v>
      </c>
      <c r="AB638">
        <v>0</v>
      </c>
      <c r="AC638">
        <v>0</v>
      </c>
      <c r="AD638">
        <v>0</v>
      </c>
      <c r="AE638">
        <v>0</v>
      </c>
      <c r="AF638">
        <v>0</v>
      </c>
      <c r="AG638">
        <v>1</v>
      </c>
    </row>
    <row r="639" spans="1:33" x14ac:dyDescent="0.2">
      <c r="A639">
        <v>638</v>
      </c>
      <c r="B639" t="s">
        <v>257</v>
      </c>
      <c r="C639" t="s">
        <v>108</v>
      </c>
      <c r="D639">
        <v>57</v>
      </c>
      <c r="E639" t="s">
        <v>34</v>
      </c>
      <c r="F639" t="s">
        <v>41</v>
      </c>
      <c r="G639" t="s">
        <v>42</v>
      </c>
      <c r="H639">
        <v>73127</v>
      </c>
      <c r="I639">
        <v>1</v>
      </c>
      <c r="J639">
        <v>1</v>
      </c>
      <c r="K639">
        <v>1</v>
      </c>
      <c r="L639">
        <v>0</v>
      </c>
      <c r="M639" t="s">
        <v>44</v>
      </c>
      <c r="N639" t="s">
        <v>45</v>
      </c>
      <c r="O639" t="s">
        <v>102</v>
      </c>
      <c r="P639" t="s">
        <v>37</v>
      </c>
      <c r="Q639" t="s">
        <v>47</v>
      </c>
      <c r="R639" t="s">
        <v>48</v>
      </c>
      <c r="S639" t="s">
        <v>59</v>
      </c>
      <c r="T639">
        <v>0</v>
      </c>
      <c r="U639">
        <v>0</v>
      </c>
      <c r="V639">
        <v>1</v>
      </c>
      <c r="W639">
        <v>1</v>
      </c>
      <c r="X639">
        <v>0</v>
      </c>
      <c r="Y639">
        <v>0</v>
      </c>
      <c r="Z639">
        <v>1</v>
      </c>
      <c r="AA639">
        <v>0</v>
      </c>
      <c r="AB639">
        <v>0</v>
      </c>
      <c r="AC639">
        <v>1</v>
      </c>
      <c r="AD639">
        <v>1</v>
      </c>
      <c r="AE639">
        <v>0</v>
      </c>
      <c r="AF639">
        <v>0</v>
      </c>
      <c r="AG639">
        <v>0</v>
      </c>
    </row>
    <row r="640" spans="1:33" hidden="1" x14ac:dyDescent="0.2">
      <c r="A640">
        <v>639</v>
      </c>
      <c r="B640" t="s">
        <v>257</v>
      </c>
      <c r="C640" t="s">
        <v>108</v>
      </c>
      <c r="D640">
        <v>57</v>
      </c>
      <c r="E640" t="s">
        <v>34</v>
      </c>
      <c r="F640" t="s">
        <v>53</v>
      </c>
      <c r="G640" t="s">
        <v>54</v>
      </c>
      <c r="H640">
        <v>54170</v>
      </c>
      <c r="I640">
        <v>0</v>
      </c>
      <c r="J640">
        <v>0</v>
      </c>
      <c r="K640">
        <v>1</v>
      </c>
      <c r="L640">
        <v>0</v>
      </c>
      <c r="M640" t="s">
        <v>36</v>
      </c>
      <c r="N640" t="s">
        <v>36</v>
      </c>
      <c r="O640" t="s">
        <v>36</v>
      </c>
      <c r="P640" t="s">
        <v>37</v>
      </c>
      <c r="Q640" t="s">
        <v>36</v>
      </c>
      <c r="R640" t="s">
        <v>36</v>
      </c>
      <c r="S640" t="s">
        <v>36</v>
      </c>
      <c r="T640" t="s">
        <v>36</v>
      </c>
      <c r="U640">
        <v>0</v>
      </c>
      <c r="V640">
        <v>1</v>
      </c>
      <c r="W640">
        <v>1</v>
      </c>
      <c r="X640">
        <v>0</v>
      </c>
      <c r="Y640">
        <v>0</v>
      </c>
      <c r="Z640">
        <v>1</v>
      </c>
      <c r="AA640">
        <v>0</v>
      </c>
      <c r="AB640">
        <v>0</v>
      </c>
      <c r="AC640">
        <v>1</v>
      </c>
      <c r="AD640">
        <v>1</v>
      </c>
      <c r="AE640">
        <v>0</v>
      </c>
      <c r="AF640">
        <v>0</v>
      </c>
      <c r="AG640">
        <v>0</v>
      </c>
    </row>
    <row r="641" spans="1:33" x14ac:dyDescent="0.2">
      <c r="A641">
        <v>640</v>
      </c>
      <c r="B641" t="s">
        <v>257</v>
      </c>
      <c r="C641" t="s">
        <v>108</v>
      </c>
      <c r="D641">
        <v>57</v>
      </c>
      <c r="E641" t="s">
        <v>34</v>
      </c>
      <c r="F641" t="s">
        <v>41</v>
      </c>
      <c r="G641" t="s">
        <v>55</v>
      </c>
      <c r="H641">
        <v>71858</v>
      </c>
      <c r="I641">
        <v>0</v>
      </c>
      <c r="J641">
        <v>0</v>
      </c>
      <c r="K641">
        <v>0</v>
      </c>
      <c r="L641">
        <v>1</v>
      </c>
      <c r="M641" t="s">
        <v>56</v>
      </c>
      <c r="N641" t="s">
        <v>94</v>
      </c>
      <c r="O641" t="s">
        <v>57</v>
      </c>
      <c r="P641" t="s">
        <v>37</v>
      </c>
      <c r="Q641" t="s">
        <v>59</v>
      </c>
      <c r="R641" t="s">
        <v>47</v>
      </c>
      <c r="S641" t="s">
        <v>48</v>
      </c>
      <c r="T641">
        <v>0</v>
      </c>
      <c r="U641">
        <v>0</v>
      </c>
      <c r="V641">
        <v>1</v>
      </c>
      <c r="W641">
        <v>1</v>
      </c>
      <c r="X641">
        <v>0</v>
      </c>
      <c r="Y641">
        <v>0</v>
      </c>
      <c r="Z641">
        <v>1</v>
      </c>
      <c r="AA641">
        <v>0</v>
      </c>
      <c r="AB641">
        <v>0</v>
      </c>
      <c r="AC641">
        <v>0</v>
      </c>
      <c r="AD641">
        <v>0</v>
      </c>
      <c r="AE641">
        <v>0</v>
      </c>
      <c r="AF641">
        <v>0</v>
      </c>
      <c r="AG641">
        <v>1</v>
      </c>
    </row>
    <row r="642" spans="1:33" hidden="1" x14ac:dyDescent="0.2">
      <c r="A642">
        <v>641</v>
      </c>
      <c r="B642" t="s">
        <v>257</v>
      </c>
      <c r="C642" t="s">
        <v>108</v>
      </c>
      <c r="D642">
        <v>57</v>
      </c>
      <c r="E642" t="s">
        <v>34</v>
      </c>
      <c r="F642" t="s">
        <v>53</v>
      </c>
      <c r="G642" t="s">
        <v>76</v>
      </c>
      <c r="H642">
        <v>37689</v>
      </c>
      <c r="I642">
        <v>0</v>
      </c>
      <c r="J642">
        <v>0</v>
      </c>
      <c r="K642">
        <v>0</v>
      </c>
      <c r="L642">
        <v>1</v>
      </c>
      <c r="M642" t="s">
        <v>36</v>
      </c>
      <c r="N642" t="s">
        <v>36</v>
      </c>
      <c r="O642" t="s">
        <v>36</v>
      </c>
      <c r="P642" t="s">
        <v>37</v>
      </c>
      <c r="Q642" t="s">
        <v>36</v>
      </c>
      <c r="R642" t="s">
        <v>36</v>
      </c>
      <c r="S642" t="s">
        <v>36</v>
      </c>
      <c r="T642" t="s">
        <v>36</v>
      </c>
      <c r="U642">
        <v>0</v>
      </c>
      <c r="V642">
        <v>1</v>
      </c>
      <c r="W642">
        <v>1</v>
      </c>
      <c r="X642">
        <v>0</v>
      </c>
      <c r="Y642">
        <v>0</v>
      </c>
      <c r="Z642">
        <v>1</v>
      </c>
      <c r="AA642">
        <v>0</v>
      </c>
      <c r="AB642">
        <v>0</v>
      </c>
      <c r="AC642">
        <v>0</v>
      </c>
      <c r="AD642">
        <v>0</v>
      </c>
      <c r="AE642">
        <v>0</v>
      </c>
      <c r="AF642">
        <v>0</v>
      </c>
      <c r="AG642">
        <v>1</v>
      </c>
    </row>
    <row r="643" spans="1:33" x14ac:dyDescent="0.2">
      <c r="A643">
        <v>642</v>
      </c>
      <c r="B643" t="s">
        <v>257</v>
      </c>
      <c r="C643" t="s">
        <v>108</v>
      </c>
      <c r="D643">
        <v>57</v>
      </c>
      <c r="E643" t="s">
        <v>34</v>
      </c>
      <c r="F643" t="s">
        <v>41</v>
      </c>
      <c r="G643" t="s">
        <v>67</v>
      </c>
      <c r="H643">
        <v>53448</v>
      </c>
      <c r="I643">
        <v>1</v>
      </c>
      <c r="J643">
        <v>0</v>
      </c>
      <c r="K643">
        <v>0</v>
      </c>
      <c r="L643">
        <v>0</v>
      </c>
      <c r="M643" t="s">
        <v>68</v>
      </c>
      <c r="N643" t="s">
        <v>109</v>
      </c>
      <c r="O643" t="s">
        <v>70</v>
      </c>
      <c r="P643" t="s">
        <v>37</v>
      </c>
      <c r="Q643" t="s">
        <v>65</v>
      </c>
      <c r="R643" t="s">
        <v>59</v>
      </c>
      <c r="S643" t="s">
        <v>47</v>
      </c>
      <c r="T643">
        <v>0</v>
      </c>
      <c r="U643">
        <v>1</v>
      </c>
      <c r="V643">
        <v>0</v>
      </c>
      <c r="W643">
        <v>1</v>
      </c>
      <c r="X643">
        <v>0</v>
      </c>
      <c r="Y643">
        <v>0</v>
      </c>
      <c r="Z643">
        <v>1</v>
      </c>
      <c r="AA643">
        <v>0</v>
      </c>
      <c r="AB643">
        <v>1</v>
      </c>
      <c r="AC643">
        <v>0</v>
      </c>
      <c r="AD643">
        <v>0</v>
      </c>
      <c r="AE643">
        <v>0</v>
      </c>
      <c r="AF643">
        <v>0</v>
      </c>
      <c r="AG643">
        <v>0</v>
      </c>
    </row>
    <row r="644" spans="1:33" hidden="1" x14ac:dyDescent="0.2">
      <c r="A644">
        <v>643</v>
      </c>
      <c r="B644" t="s">
        <v>257</v>
      </c>
      <c r="C644" t="s">
        <v>108</v>
      </c>
      <c r="D644">
        <v>57</v>
      </c>
      <c r="E644" t="s">
        <v>34</v>
      </c>
      <c r="F644" t="s">
        <v>53</v>
      </c>
      <c r="G644" t="s">
        <v>66</v>
      </c>
      <c r="H644">
        <v>49291</v>
      </c>
      <c r="I644">
        <v>1</v>
      </c>
      <c r="J644">
        <v>0</v>
      </c>
      <c r="K644">
        <v>0</v>
      </c>
      <c r="L644">
        <v>0</v>
      </c>
      <c r="M644" t="s">
        <v>36</v>
      </c>
      <c r="N644" t="s">
        <v>36</v>
      </c>
      <c r="O644" t="s">
        <v>36</v>
      </c>
      <c r="P644" t="s">
        <v>37</v>
      </c>
      <c r="Q644" t="s">
        <v>36</v>
      </c>
      <c r="R644" t="s">
        <v>36</v>
      </c>
      <c r="S644" t="s">
        <v>36</v>
      </c>
      <c r="T644" t="s">
        <v>36</v>
      </c>
      <c r="U644">
        <v>1</v>
      </c>
      <c r="V644">
        <v>0</v>
      </c>
      <c r="W644">
        <v>1</v>
      </c>
      <c r="X644">
        <v>0</v>
      </c>
      <c r="Y644">
        <v>0</v>
      </c>
      <c r="Z644">
        <v>1</v>
      </c>
      <c r="AA644">
        <v>0</v>
      </c>
      <c r="AB644">
        <v>1</v>
      </c>
      <c r="AC644">
        <v>0</v>
      </c>
      <c r="AD644">
        <v>0</v>
      </c>
      <c r="AE644">
        <v>0</v>
      </c>
      <c r="AF644">
        <v>0</v>
      </c>
      <c r="AG644">
        <v>0</v>
      </c>
    </row>
    <row r="645" spans="1:33" hidden="1" x14ac:dyDescent="0.2">
      <c r="A645">
        <v>644</v>
      </c>
      <c r="B645" t="s">
        <v>257</v>
      </c>
      <c r="C645" t="s">
        <v>108</v>
      </c>
      <c r="D645">
        <v>57</v>
      </c>
      <c r="E645" t="s">
        <v>34</v>
      </c>
      <c r="F645" t="s">
        <v>77</v>
      </c>
      <c r="G645" t="s">
        <v>36</v>
      </c>
      <c r="H645">
        <v>154300</v>
      </c>
      <c r="I645" t="s">
        <v>258</v>
      </c>
      <c r="J645" t="s">
        <v>259</v>
      </c>
      <c r="K645" t="s">
        <v>260</v>
      </c>
      <c r="L645" t="s">
        <v>36</v>
      </c>
      <c r="M645" t="s">
        <v>36</v>
      </c>
      <c r="N645" t="s">
        <v>36</v>
      </c>
      <c r="O645" t="s">
        <v>36</v>
      </c>
      <c r="P645" t="s">
        <v>37</v>
      </c>
      <c r="Q645" t="s">
        <v>36</v>
      </c>
      <c r="R645" t="s">
        <v>36</v>
      </c>
      <c r="S645" t="s">
        <v>36</v>
      </c>
      <c r="T645" t="s">
        <v>36</v>
      </c>
      <c r="U645" t="s">
        <v>36</v>
      </c>
      <c r="V645" t="s">
        <v>36</v>
      </c>
      <c r="W645" t="s">
        <v>36</v>
      </c>
      <c r="X645" t="s">
        <v>36</v>
      </c>
      <c r="Y645" t="s">
        <v>36</v>
      </c>
      <c r="Z645" t="s">
        <v>36</v>
      </c>
      <c r="AA645" t="s">
        <v>36</v>
      </c>
      <c r="AB645" t="s">
        <v>36</v>
      </c>
      <c r="AC645" t="s">
        <v>36</v>
      </c>
      <c r="AD645" t="s">
        <v>36</v>
      </c>
      <c r="AE645" t="s">
        <v>36</v>
      </c>
      <c r="AF645" t="s">
        <v>36</v>
      </c>
      <c r="AG645" t="s">
        <v>36</v>
      </c>
    </row>
    <row r="646" spans="1:33" hidden="1" x14ac:dyDescent="0.2">
      <c r="A646">
        <v>645</v>
      </c>
      <c r="B646" t="s">
        <v>261</v>
      </c>
      <c r="C646" t="s">
        <v>108</v>
      </c>
      <c r="D646">
        <v>37</v>
      </c>
      <c r="E646" t="s">
        <v>114</v>
      </c>
      <c r="F646" t="s">
        <v>35</v>
      </c>
      <c r="G646" t="s">
        <v>36</v>
      </c>
      <c r="H646">
        <v>37803</v>
      </c>
      <c r="I646" t="s">
        <v>36</v>
      </c>
      <c r="J646" t="s">
        <v>36</v>
      </c>
      <c r="K646" t="s">
        <v>36</v>
      </c>
      <c r="L646" t="s">
        <v>36</v>
      </c>
      <c r="M646" t="s">
        <v>36</v>
      </c>
      <c r="N646" t="s">
        <v>36</v>
      </c>
      <c r="O646" t="s">
        <v>36</v>
      </c>
      <c r="P646" t="s">
        <v>37</v>
      </c>
      <c r="Q646" t="s">
        <v>36</v>
      </c>
      <c r="R646" t="s">
        <v>36</v>
      </c>
      <c r="S646" t="s">
        <v>36</v>
      </c>
      <c r="T646" t="s">
        <v>36</v>
      </c>
      <c r="U646" t="s">
        <v>36</v>
      </c>
      <c r="V646" t="s">
        <v>36</v>
      </c>
      <c r="W646" t="s">
        <v>36</v>
      </c>
      <c r="X646" t="s">
        <v>36</v>
      </c>
      <c r="Y646" t="s">
        <v>36</v>
      </c>
      <c r="Z646" t="s">
        <v>36</v>
      </c>
      <c r="AA646" t="s">
        <v>36</v>
      </c>
      <c r="AB646" t="s">
        <v>36</v>
      </c>
      <c r="AC646" t="s">
        <v>36</v>
      </c>
      <c r="AD646" t="s">
        <v>36</v>
      </c>
      <c r="AE646" t="s">
        <v>36</v>
      </c>
      <c r="AF646" t="s">
        <v>36</v>
      </c>
      <c r="AG646" t="s">
        <v>36</v>
      </c>
    </row>
    <row r="647" spans="1:33" hidden="1" x14ac:dyDescent="0.2">
      <c r="A647">
        <v>646</v>
      </c>
      <c r="B647" t="s">
        <v>261</v>
      </c>
      <c r="C647" t="s">
        <v>108</v>
      </c>
      <c r="D647">
        <v>37</v>
      </c>
      <c r="E647" t="s">
        <v>114</v>
      </c>
      <c r="F647" t="s">
        <v>38</v>
      </c>
      <c r="G647" t="s">
        <v>39</v>
      </c>
      <c r="H647">
        <v>65067</v>
      </c>
      <c r="I647">
        <v>0</v>
      </c>
      <c r="J647">
        <v>1</v>
      </c>
      <c r="K647">
        <v>0</v>
      </c>
      <c r="L647">
        <v>0</v>
      </c>
      <c r="M647" t="s">
        <v>36</v>
      </c>
      <c r="N647" t="s">
        <v>36</v>
      </c>
      <c r="O647" t="s">
        <v>36</v>
      </c>
      <c r="P647" t="s">
        <v>37</v>
      </c>
      <c r="Q647" t="s">
        <v>36</v>
      </c>
      <c r="R647" t="s">
        <v>36</v>
      </c>
      <c r="S647" t="s">
        <v>36</v>
      </c>
      <c r="T647" t="s">
        <v>36</v>
      </c>
      <c r="U647" t="s">
        <v>36</v>
      </c>
      <c r="V647" t="s">
        <v>36</v>
      </c>
      <c r="W647" t="s">
        <v>36</v>
      </c>
      <c r="X647" t="s">
        <v>36</v>
      </c>
      <c r="Y647" t="s">
        <v>36</v>
      </c>
      <c r="Z647" t="s">
        <v>36</v>
      </c>
      <c r="AA647" t="s">
        <v>36</v>
      </c>
      <c r="AB647" t="s">
        <v>36</v>
      </c>
      <c r="AC647" t="s">
        <v>36</v>
      </c>
      <c r="AD647" t="s">
        <v>36</v>
      </c>
      <c r="AE647" t="s">
        <v>36</v>
      </c>
      <c r="AF647" t="s">
        <v>36</v>
      </c>
      <c r="AG647" t="s">
        <v>36</v>
      </c>
    </row>
    <row r="648" spans="1:33" hidden="1" x14ac:dyDescent="0.2">
      <c r="A648">
        <v>647</v>
      </c>
      <c r="B648" t="s">
        <v>261</v>
      </c>
      <c r="C648" t="s">
        <v>108</v>
      </c>
      <c r="D648">
        <v>37</v>
      </c>
      <c r="E648" t="s">
        <v>114</v>
      </c>
      <c r="F648" t="s">
        <v>38</v>
      </c>
      <c r="G648" t="s">
        <v>40</v>
      </c>
      <c r="H648">
        <v>40645</v>
      </c>
      <c r="I648">
        <v>0</v>
      </c>
      <c r="J648">
        <v>0</v>
      </c>
      <c r="K648">
        <v>1</v>
      </c>
      <c r="L648">
        <v>0</v>
      </c>
      <c r="M648" t="s">
        <v>36</v>
      </c>
      <c r="N648" t="s">
        <v>36</v>
      </c>
      <c r="O648" t="s">
        <v>36</v>
      </c>
      <c r="P648" t="s">
        <v>37</v>
      </c>
      <c r="Q648" t="s">
        <v>36</v>
      </c>
      <c r="R648" t="s">
        <v>36</v>
      </c>
      <c r="S648" t="s">
        <v>36</v>
      </c>
      <c r="T648" t="s">
        <v>36</v>
      </c>
      <c r="U648" t="s">
        <v>36</v>
      </c>
      <c r="V648" t="s">
        <v>36</v>
      </c>
      <c r="W648" t="s">
        <v>36</v>
      </c>
      <c r="X648" t="s">
        <v>36</v>
      </c>
      <c r="Y648" t="s">
        <v>36</v>
      </c>
      <c r="Z648" t="s">
        <v>36</v>
      </c>
      <c r="AA648" t="s">
        <v>36</v>
      </c>
      <c r="AB648" t="s">
        <v>36</v>
      </c>
      <c r="AC648" t="s">
        <v>36</v>
      </c>
      <c r="AD648" t="s">
        <v>36</v>
      </c>
      <c r="AE648" t="s">
        <v>36</v>
      </c>
      <c r="AF648" t="s">
        <v>36</v>
      </c>
      <c r="AG648" t="s">
        <v>36</v>
      </c>
    </row>
    <row r="649" spans="1:33" x14ac:dyDescent="0.2">
      <c r="A649">
        <v>648</v>
      </c>
      <c r="B649" t="s">
        <v>261</v>
      </c>
      <c r="C649" t="s">
        <v>108</v>
      </c>
      <c r="D649">
        <v>37</v>
      </c>
      <c r="E649" t="s">
        <v>114</v>
      </c>
      <c r="F649" t="s">
        <v>41</v>
      </c>
      <c r="G649" t="s">
        <v>67</v>
      </c>
      <c r="H649">
        <v>34044</v>
      </c>
      <c r="I649">
        <v>0</v>
      </c>
      <c r="J649">
        <v>0</v>
      </c>
      <c r="K649">
        <v>0</v>
      </c>
      <c r="L649">
        <v>1</v>
      </c>
      <c r="M649" t="s">
        <v>86</v>
      </c>
      <c r="N649" t="s">
        <v>69</v>
      </c>
      <c r="O649" t="s">
        <v>109</v>
      </c>
      <c r="P649" t="s">
        <v>37</v>
      </c>
      <c r="Q649" t="s">
        <v>46</v>
      </c>
      <c r="R649" t="s">
        <v>48</v>
      </c>
      <c r="S649" t="s">
        <v>59</v>
      </c>
      <c r="T649">
        <v>0</v>
      </c>
      <c r="U649">
        <v>0</v>
      </c>
      <c r="V649">
        <v>1</v>
      </c>
      <c r="W649">
        <v>0</v>
      </c>
      <c r="X649">
        <v>1</v>
      </c>
      <c r="Y649">
        <v>0</v>
      </c>
      <c r="Z649">
        <v>1</v>
      </c>
      <c r="AA649">
        <v>0</v>
      </c>
      <c r="AB649">
        <v>0</v>
      </c>
      <c r="AC649">
        <v>0</v>
      </c>
      <c r="AD649">
        <v>0</v>
      </c>
      <c r="AE649">
        <v>0</v>
      </c>
      <c r="AF649">
        <v>0</v>
      </c>
      <c r="AG649">
        <v>1</v>
      </c>
    </row>
    <row r="650" spans="1:33" x14ac:dyDescent="0.2">
      <c r="A650">
        <v>649</v>
      </c>
      <c r="B650" t="s">
        <v>261</v>
      </c>
      <c r="C650" t="s">
        <v>108</v>
      </c>
      <c r="D650">
        <v>37</v>
      </c>
      <c r="E650" t="s">
        <v>114</v>
      </c>
      <c r="F650" t="s">
        <v>41</v>
      </c>
      <c r="G650" t="s">
        <v>72</v>
      </c>
      <c r="H650">
        <v>84520</v>
      </c>
      <c r="I650">
        <v>0</v>
      </c>
      <c r="J650">
        <v>0</v>
      </c>
      <c r="K650">
        <v>0</v>
      </c>
      <c r="L650">
        <v>1</v>
      </c>
      <c r="M650" t="s">
        <v>73</v>
      </c>
      <c r="N650" t="s">
        <v>75</v>
      </c>
      <c r="O650" t="s">
        <v>74</v>
      </c>
      <c r="P650" t="s">
        <v>37</v>
      </c>
      <c r="Q650" t="s">
        <v>48</v>
      </c>
      <c r="R650" t="s">
        <v>46</v>
      </c>
      <c r="S650" t="s">
        <v>47</v>
      </c>
      <c r="T650">
        <v>0</v>
      </c>
      <c r="U650">
        <v>0</v>
      </c>
      <c r="V650">
        <v>1</v>
      </c>
      <c r="W650">
        <v>1</v>
      </c>
      <c r="X650">
        <v>1</v>
      </c>
      <c r="Y650">
        <v>0</v>
      </c>
      <c r="Z650">
        <v>1</v>
      </c>
      <c r="AA650">
        <v>0</v>
      </c>
      <c r="AB650">
        <v>0</v>
      </c>
      <c r="AC650">
        <v>0</v>
      </c>
      <c r="AD650">
        <v>0</v>
      </c>
      <c r="AE650">
        <v>0</v>
      </c>
      <c r="AF650">
        <v>0</v>
      </c>
      <c r="AG650">
        <v>1</v>
      </c>
    </row>
    <row r="651" spans="1:33" hidden="1" x14ac:dyDescent="0.2">
      <c r="A651">
        <v>650</v>
      </c>
      <c r="B651" t="s">
        <v>261</v>
      </c>
      <c r="C651" t="s">
        <v>108</v>
      </c>
      <c r="D651">
        <v>37</v>
      </c>
      <c r="E651" t="s">
        <v>114</v>
      </c>
      <c r="F651" t="s">
        <v>53</v>
      </c>
      <c r="G651" t="s">
        <v>54</v>
      </c>
      <c r="H651">
        <v>29116</v>
      </c>
      <c r="I651">
        <v>0</v>
      </c>
      <c r="J651">
        <v>1</v>
      </c>
      <c r="K651">
        <v>0</v>
      </c>
      <c r="L651">
        <v>0</v>
      </c>
      <c r="M651" t="s">
        <v>36</v>
      </c>
      <c r="N651" t="s">
        <v>36</v>
      </c>
      <c r="O651" t="s">
        <v>36</v>
      </c>
      <c r="P651" t="s">
        <v>37</v>
      </c>
      <c r="Q651" t="s">
        <v>36</v>
      </c>
      <c r="R651" t="s">
        <v>36</v>
      </c>
      <c r="S651" t="s">
        <v>36</v>
      </c>
      <c r="T651" t="s">
        <v>36</v>
      </c>
      <c r="U651">
        <v>0</v>
      </c>
      <c r="V651">
        <v>1</v>
      </c>
      <c r="W651">
        <v>1</v>
      </c>
      <c r="X651">
        <v>1</v>
      </c>
      <c r="Y651">
        <v>0</v>
      </c>
      <c r="Z651">
        <v>1</v>
      </c>
      <c r="AA651">
        <v>0</v>
      </c>
      <c r="AB651">
        <v>0</v>
      </c>
      <c r="AC651">
        <v>0</v>
      </c>
      <c r="AD651">
        <v>0</v>
      </c>
      <c r="AE651">
        <v>0</v>
      </c>
      <c r="AF651">
        <v>0</v>
      </c>
      <c r="AG651">
        <v>1</v>
      </c>
    </row>
    <row r="652" spans="1:33" x14ac:dyDescent="0.2">
      <c r="A652">
        <v>651</v>
      </c>
      <c r="B652" t="s">
        <v>261</v>
      </c>
      <c r="C652" t="s">
        <v>108</v>
      </c>
      <c r="D652">
        <v>37</v>
      </c>
      <c r="E652" t="s">
        <v>114</v>
      </c>
      <c r="F652" t="s">
        <v>41</v>
      </c>
      <c r="G652" t="s">
        <v>55</v>
      </c>
      <c r="H652">
        <v>265625</v>
      </c>
      <c r="I652">
        <v>0</v>
      </c>
      <c r="J652">
        <v>0</v>
      </c>
      <c r="K652">
        <v>0</v>
      </c>
      <c r="L652">
        <v>1</v>
      </c>
      <c r="M652" t="s">
        <v>58</v>
      </c>
      <c r="N652" t="s">
        <v>84</v>
      </c>
      <c r="O652" t="s">
        <v>56</v>
      </c>
      <c r="P652" t="s">
        <v>37</v>
      </c>
      <c r="Q652" t="s">
        <v>60</v>
      </c>
      <c r="R652" t="s">
        <v>46</v>
      </c>
      <c r="S652" t="s">
        <v>59</v>
      </c>
      <c r="T652">
        <v>1</v>
      </c>
      <c r="U652">
        <v>0</v>
      </c>
      <c r="V652">
        <v>0</v>
      </c>
      <c r="W652">
        <v>0</v>
      </c>
      <c r="X652">
        <v>1</v>
      </c>
      <c r="Y652">
        <v>0</v>
      </c>
      <c r="Z652">
        <v>1</v>
      </c>
      <c r="AA652">
        <v>0</v>
      </c>
      <c r="AB652">
        <v>0</v>
      </c>
      <c r="AC652">
        <v>0</v>
      </c>
      <c r="AD652">
        <v>0</v>
      </c>
      <c r="AE652">
        <v>0</v>
      </c>
      <c r="AF652">
        <v>0</v>
      </c>
      <c r="AG652">
        <v>1</v>
      </c>
    </row>
    <row r="653" spans="1:33" x14ac:dyDescent="0.2">
      <c r="A653">
        <v>652</v>
      </c>
      <c r="B653" t="s">
        <v>261</v>
      </c>
      <c r="C653" t="s">
        <v>108</v>
      </c>
      <c r="D653">
        <v>37</v>
      </c>
      <c r="E653" t="s">
        <v>114</v>
      </c>
      <c r="F653" t="s">
        <v>41</v>
      </c>
      <c r="G653" t="s">
        <v>49</v>
      </c>
      <c r="H653">
        <v>25200</v>
      </c>
      <c r="I653">
        <v>0</v>
      </c>
      <c r="J653">
        <v>1</v>
      </c>
      <c r="K653">
        <v>0</v>
      </c>
      <c r="L653">
        <v>0</v>
      </c>
      <c r="M653" t="s">
        <v>51</v>
      </c>
      <c r="N653" t="s">
        <v>96</v>
      </c>
      <c r="O653" t="s">
        <v>52</v>
      </c>
      <c r="P653" t="s">
        <v>37</v>
      </c>
      <c r="Q653" t="s">
        <v>47</v>
      </c>
      <c r="R653" t="s">
        <v>65</v>
      </c>
      <c r="S653" t="s">
        <v>46</v>
      </c>
      <c r="T653">
        <v>0</v>
      </c>
      <c r="U653">
        <v>1</v>
      </c>
      <c r="V653">
        <v>0</v>
      </c>
      <c r="W653">
        <v>1</v>
      </c>
      <c r="X653">
        <v>1</v>
      </c>
      <c r="Y653">
        <v>0</v>
      </c>
      <c r="Z653">
        <v>1</v>
      </c>
      <c r="AA653">
        <v>0</v>
      </c>
      <c r="AB653">
        <v>1</v>
      </c>
      <c r="AC653">
        <v>0</v>
      </c>
      <c r="AD653">
        <v>0</v>
      </c>
      <c r="AE653">
        <v>0</v>
      </c>
      <c r="AF653">
        <v>0</v>
      </c>
      <c r="AG653">
        <v>0</v>
      </c>
    </row>
    <row r="654" spans="1:33" hidden="1" x14ac:dyDescent="0.2">
      <c r="A654">
        <v>653</v>
      </c>
      <c r="B654" t="s">
        <v>261</v>
      </c>
      <c r="C654" t="s">
        <v>108</v>
      </c>
      <c r="D654">
        <v>37</v>
      </c>
      <c r="E654" t="s">
        <v>114</v>
      </c>
      <c r="F654" t="s">
        <v>53</v>
      </c>
      <c r="G654" t="s">
        <v>66</v>
      </c>
      <c r="H654">
        <v>39926</v>
      </c>
      <c r="I654">
        <v>1</v>
      </c>
      <c r="J654">
        <v>0</v>
      </c>
      <c r="K654">
        <v>0</v>
      </c>
      <c r="L654">
        <v>0</v>
      </c>
      <c r="M654" t="s">
        <v>36</v>
      </c>
      <c r="N654" t="s">
        <v>36</v>
      </c>
      <c r="O654" t="s">
        <v>36</v>
      </c>
      <c r="P654" t="s">
        <v>37</v>
      </c>
      <c r="Q654" t="s">
        <v>36</v>
      </c>
      <c r="R654" t="s">
        <v>36</v>
      </c>
      <c r="S654" t="s">
        <v>36</v>
      </c>
      <c r="T654" t="s">
        <v>36</v>
      </c>
      <c r="U654">
        <v>1</v>
      </c>
      <c r="V654">
        <v>0</v>
      </c>
      <c r="W654">
        <v>1</v>
      </c>
      <c r="X654">
        <v>1</v>
      </c>
      <c r="Y654">
        <v>0</v>
      </c>
      <c r="Z654">
        <v>1</v>
      </c>
      <c r="AA654">
        <v>0</v>
      </c>
      <c r="AB654">
        <v>1</v>
      </c>
      <c r="AC654">
        <v>0</v>
      </c>
      <c r="AD654">
        <v>0</v>
      </c>
      <c r="AE654">
        <v>0</v>
      </c>
      <c r="AF654">
        <v>0</v>
      </c>
      <c r="AG654">
        <v>0</v>
      </c>
    </row>
    <row r="655" spans="1:33" x14ac:dyDescent="0.2">
      <c r="A655">
        <v>654</v>
      </c>
      <c r="B655" t="s">
        <v>261</v>
      </c>
      <c r="C655" t="s">
        <v>108</v>
      </c>
      <c r="D655">
        <v>37</v>
      </c>
      <c r="E655" t="s">
        <v>114</v>
      </c>
      <c r="F655" t="s">
        <v>41</v>
      </c>
      <c r="G655" t="s">
        <v>61</v>
      </c>
      <c r="H655">
        <v>19789</v>
      </c>
      <c r="I655">
        <v>0</v>
      </c>
      <c r="J655">
        <v>0</v>
      </c>
      <c r="K655">
        <v>1</v>
      </c>
      <c r="L655">
        <v>0</v>
      </c>
      <c r="M655" t="s">
        <v>64</v>
      </c>
      <c r="N655" t="s">
        <v>63</v>
      </c>
      <c r="O655" t="s">
        <v>62</v>
      </c>
      <c r="P655" t="s">
        <v>37</v>
      </c>
      <c r="Q655" t="s">
        <v>48</v>
      </c>
      <c r="R655" t="s">
        <v>46</v>
      </c>
      <c r="S655" t="s">
        <v>65</v>
      </c>
      <c r="T655">
        <v>0</v>
      </c>
      <c r="U655">
        <v>1</v>
      </c>
      <c r="V655">
        <v>1</v>
      </c>
      <c r="W655">
        <v>0</v>
      </c>
      <c r="X655">
        <v>1</v>
      </c>
      <c r="Y655">
        <v>0</v>
      </c>
      <c r="Z655">
        <v>1</v>
      </c>
      <c r="AA655">
        <v>0</v>
      </c>
      <c r="AB655">
        <v>1</v>
      </c>
      <c r="AC655">
        <v>0</v>
      </c>
      <c r="AD655">
        <v>0</v>
      </c>
      <c r="AE655">
        <v>0</v>
      </c>
      <c r="AF655">
        <v>0</v>
      </c>
      <c r="AG655">
        <v>0</v>
      </c>
    </row>
    <row r="656" spans="1:33" hidden="1" x14ac:dyDescent="0.2">
      <c r="A656">
        <v>655</v>
      </c>
      <c r="B656" t="s">
        <v>261</v>
      </c>
      <c r="C656" t="s">
        <v>108</v>
      </c>
      <c r="D656">
        <v>37</v>
      </c>
      <c r="E656" t="s">
        <v>114</v>
      </c>
      <c r="F656" t="s">
        <v>53</v>
      </c>
      <c r="G656" t="s">
        <v>71</v>
      </c>
      <c r="H656">
        <v>81413</v>
      </c>
      <c r="I656">
        <v>1</v>
      </c>
      <c r="J656">
        <v>0</v>
      </c>
      <c r="K656">
        <v>0</v>
      </c>
      <c r="L656">
        <v>0</v>
      </c>
      <c r="M656" t="s">
        <v>36</v>
      </c>
      <c r="N656" t="s">
        <v>36</v>
      </c>
      <c r="O656" t="s">
        <v>36</v>
      </c>
      <c r="P656" t="s">
        <v>37</v>
      </c>
      <c r="Q656" t="s">
        <v>36</v>
      </c>
      <c r="R656" t="s">
        <v>36</v>
      </c>
      <c r="S656" t="s">
        <v>36</v>
      </c>
      <c r="T656" t="s">
        <v>36</v>
      </c>
      <c r="U656">
        <v>1</v>
      </c>
      <c r="V656">
        <v>1</v>
      </c>
      <c r="W656">
        <v>0</v>
      </c>
      <c r="X656">
        <v>1</v>
      </c>
      <c r="Y656">
        <v>0</v>
      </c>
      <c r="Z656">
        <v>1</v>
      </c>
      <c r="AA656">
        <v>0</v>
      </c>
      <c r="AB656">
        <v>1</v>
      </c>
      <c r="AC656">
        <v>0</v>
      </c>
      <c r="AD656">
        <v>0</v>
      </c>
      <c r="AE656">
        <v>0</v>
      </c>
      <c r="AF656">
        <v>0</v>
      </c>
      <c r="AG656">
        <v>0</v>
      </c>
    </row>
    <row r="657" spans="1:33" x14ac:dyDescent="0.2">
      <c r="A657">
        <v>656</v>
      </c>
      <c r="B657" t="s">
        <v>261</v>
      </c>
      <c r="C657" t="s">
        <v>108</v>
      </c>
      <c r="D657">
        <v>37</v>
      </c>
      <c r="E657" t="s">
        <v>114</v>
      </c>
      <c r="F657" t="s">
        <v>41</v>
      </c>
      <c r="G657" t="s">
        <v>42</v>
      </c>
      <c r="H657">
        <v>21460</v>
      </c>
      <c r="I657">
        <v>1</v>
      </c>
      <c r="J657">
        <v>0</v>
      </c>
      <c r="K657">
        <v>0</v>
      </c>
      <c r="L657">
        <v>0</v>
      </c>
      <c r="M657" t="s">
        <v>82</v>
      </c>
      <c r="N657" t="s">
        <v>44</v>
      </c>
      <c r="O657" t="s">
        <v>45</v>
      </c>
      <c r="P657" t="s">
        <v>37</v>
      </c>
      <c r="Q657" t="s">
        <v>65</v>
      </c>
      <c r="R657" t="s">
        <v>47</v>
      </c>
      <c r="S657" t="s">
        <v>48</v>
      </c>
      <c r="T657">
        <v>0</v>
      </c>
      <c r="U657">
        <v>1</v>
      </c>
      <c r="V657">
        <v>1</v>
      </c>
      <c r="W657">
        <v>1</v>
      </c>
      <c r="X657">
        <v>0</v>
      </c>
      <c r="Y657">
        <v>0</v>
      </c>
      <c r="Z657">
        <v>1</v>
      </c>
      <c r="AA657">
        <v>0</v>
      </c>
      <c r="AB657">
        <v>1</v>
      </c>
      <c r="AC657">
        <v>0</v>
      </c>
      <c r="AD657">
        <v>0</v>
      </c>
      <c r="AE657">
        <v>0</v>
      </c>
      <c r="AF657">
        <v>0</v>
      </c>
      <c r="AG657">
        <v>0</v>
      </c>
    </row>
    <row r="658" spans="1:33" hidden="1" x14ac:dyDescent="0.2">
      <c r="A658">
        <v>657</v>
      </c>
      <c r="B658" t="s">
        <v>261</v>
      </c>
      <c r="C658" t="s">
        <v>108</v>
      </c>
      <c r="D658">
        <v>37</v>
      </c>
      <c r="E658" t="s">
        <v>114</v>
      </c>
      <c r="F658" t="s">
        <v>53</v>
      </c>
      <c r="G658" t="s">
        <v>76</v>
      </c>
      <c r="H658">
        <v>33991</v>
      </c>
      <c r="I658">
        <v>1</v>
      </c>
      <c r="J658">
        <v>0</v>
      </c>
      <c r="K658">
        <v>0</v>
      </c>
      <c r="L658">
        <v>0</v>
      </c>
      <c r="M658" t="s">
        <v>36</v>
      </c>
      <c r="N658" t="s">
        <v>36</v>
      </c>
      <c r="O658" t="s">
        <v>36</v>
      </c>
      <c r="P658" t="s">
        <v>37</v>
      </c>
      <c r="Q658" t="s">
        <v>36</v>
      </c>
      <c r="R658" t="s">
        <v>36</v>
      </c>
      <c r="S658" t="s">
        <v>36</v>
      </c>
      <c r="T658" t="s">
        <v>36</v>
      </c>
      <c r="U658">
        <v>1</v>
      </c>
      <c r="V658">
        <v>1</v>
      </c>
      <c r="W658">
        <v>1</v>
      </c>
      <c r="X658">
        <v>0</v>
      </c>
      <c r="Y658">
        <v>0</v>
      </c>
      <c r="Z658">
        <v>1</v>
      </c>
      <c r="AA658">
        <v>0</v>
      </c>
      <c r="AB658">
        <v>1</v>
      </c>
      <c r="AC658">
        <v>0</v>
      </c>
      <c r="AD658">
        <v>0</v>
      </c>
      <c r="AE658">
        <v>0</v>
      </c>
      <c r="AF658">
        <v>0</v>
      </c>
      <c r="AG658">
        <v>0</v>
      </c>
    </row>
    <row r="659" spans="1:33" hidden="1" x14ac:dyDescent="0.2">
      <c r="A659">
        <v>658</v>
      </c>
      <c r="B659" t="s">
        <v>261</v>
      </c>
      <c r="C659" t="s">
        <v>108</v>
      </c>
      <c r="D659">
        <v>37</v>
      </c>
      <c r="E659" t="s">
        <v>114</v>
      </c>
      <c r="F659" t="s">
        <v>77</v>
      </c>
      <c r="G659" t="s">
        <v>36</v>
      </c>
      <c r="H659">
        <v>210936</v>
      </c>
      <c r="I659" t="s">
        <v>262</v>
      </c>
      <c r="J659" t="s">
        <v>263</v>
      </c>
      <c r="K659" t="s">
        <v>166</v>
      </c>
      <c r="L659" t="s">
        <v>36</v>
      </c>
      <c r="M659" t="s">
        <v>36</v>
      </c>
      <c r="N659" t="s">
        <v>36</v>
      </c>
      <c r="O659" t="s">
        <v>36</v>
      </c>
      <c r="P659" t="s">
        <v>37</v>
      </c>
      <c r="Q659" t="s">
        <v>36</v>
      </c>
      <c r="R659" t="s">
        <v>36</v>
      </c>
      <c r="S659" t="s">
        <v>36</v>
      </c>
      <c r="T659" t="s">
        <v>36</v>
      </c>
      <c r="U659" t="s">
        <v>36</v>
      </c>
      <c r="V659" t="s">
        <v>36</v>
      </c>
      <c r="W659" t="s">
        <v>36</v>
      </c>
      <c r="X659" t="s">
        <v>36</v>
      </c>
      <c r="Y659" t="s">
        <v>36</v>
      </c>
      <c r="Z659" t="s">
        <v>36</v>
      </c>
      <c r="AA659" t="s">
        <v>36</v>
      </c>
      <c r="AB659" t="s">
        <v>36</v>
      </c>
      <c r="AC659" t="s">
        <v>36</v>
      </c>
      <c r="AD659" t="s">
        <v>36</v>
      </c>
      <c r="AE659" t="s">
        <v>36</v>
      </c>
      <c r="AF659" t="s">
        <v>36</v>
      </c>
      <c r="AG659" t="s">
        <v>36</v>
      </c>
    </row>
    <row r="660" spans="1:33" hidden="1" x14ac:dyDescent="0.2">
      <c r="A660">
        <v>659</v>
      </c>
      <c r="B660" t="s">
        <v>264</v>
      </c>
      <c r="C660" t="s">
        <v>108</v>
      </c>
      <c r="D660">
        <v>26</v>
      </c>
      <c r="E660" t="s">
        <v>114</v>
      </c>
      <c r="F660" t="s">
        <v>35</v>
      </c>
      <c r="G660" t="s">
        <v>36</v>
      </c>
      <c r="H660">
        <v>11747</v>
      </c>
      <c r="I660" t="s">
        <v>36</v>
      </c>
      <c r="J660" t="s">
        <v>36</v>
      </c>
      <c r="K660" t="s">
        <v>36</v>
      </c>
      <c r="L660" t="s">
        <v>36</v>
      </c>
      <c r="M660" t="s">
        <v>36</v>
      </c>
      <c r="N660" t="s">
        <v>36</v>
      </c>
      <c r="O660" t="s">
        <v>36</v>
      </c>
      <c r="P660" t="s">
        <v>37</v>
      </c>
      <c r="Q660" t="s">
        <v>36</v>
      </c>
      <c r="R660" t="s">
        <v>36</v>
      </c>
      <c r="S660" t="s">
        <v>36</v>
      </c>
      <c r="T660" t="s">
        <v>36</v>
      </c>
      <c r="U660" t="s">
        <v>36</v>
      </c>
      <c r="V660" t="s">
        <v>36</v>
      </c>
      <c r="W660" t="s">
        <v>36</v>
      </c>
      <c r="X660" t="s">
        <v>36</v>
      </c>
      <c r="Y660" t="s">
        <v>36</v>
      </c>
      <c r="Z660" t="s">
        <v>36</v>
      </c>
      <c r="AA660" t="s">
        <v>36</v>
      </c>
      <c r="AB660" t="s">
        <v>36</v>
      </c>
      <c r="AC660" t="s">
        <v>36</v>
      </c>
      <c r="AD660" t="s">
        <v>36</v>
      </c>
      <c r="AE660" t="s">
        <v>36</v>
      </c>
      <c r="AF660" t="s">
        <v>36</v>
      </c>
      <c r="AG660" t="s">
        <v>36</v>
      </c>
    </row>
    <row r="661" spans="1:33" hidden="1" x14ac:dyDescent="0.2">
      <c r="A661">
        <v>660</v>
      </c>
      <c r="B661" t="s">
        <v>264</v>
      </c>
      <c r="C661" t="s">
        <v>108</v>
      </c>
      <c r="D661">
        <v>26</v>
      </c>
      <c r="E661" t="s">
        <v>114</v>
      </c>
      <c r="F661" t="s">
        <v>38</v>
      </c>
      <c r="G661" t="s">
        <v>40</v>
      </c>
      <c r="H661">
        <v>78574</v>
      </c>
      <c r="I661">
        <v>0</v>
      </c>
      <c r="J661">
        <v>0</v>
      </c>
      <c r="K661">
        <v>1</v>
      </c>
      <c r="L661">
        <v>0</v>
      </c>
      <c r="M661" t="s">
        <v>36</v>
      </c>
      <c r="N661" t="s">
        <v>36</v>
      </c>
      <c r="O661" t="s">
        <v>36</v>
      </c>
      <c r="P661" t="s">
        <v>37</v>
      </c>
      <c r="Q661" t="s">
        <v>36</v>
      </c>
      <c r="R661" t="s">
        <v>36</v>
      </c>
      <c r="S661" t="s">
        <v>36</v>
      </c>
      <c r="T661" t="s">
        <v>36</v>
      </c>
      <c r="U661" t="s">
        <v>36</v>
      </c>
      <c r="V661" t="s">
        <v>36</v>
      </c>
      <c r="W661" t="s">
        <v>36</v>
      </c>
      <c r="X661" t="s">
        <v>36</v>
      </c>
      <c r="Y661" t="s">
        <v>36</v>
      </c>
      <c r="Z661" t="s">
        <v>36</v>
      </c>
      <c r="AA661" t="s">
        <v>36</v>
      </c>
      <c r="AB661" t="s">
        <v>36</v>
      </c>
      <c r="AC661" t="s">
        <v>36</v>
      </c>
      <c r="AD661" t="s">
        <v>36</v>
      </c>
      <c r="AE661" t="s">
        <v>36</v>
      </c>
      <c r="AF661" t="s">
        <v>36</v>
      </c>
      <c r="AG661" t="s">
        <v>36</v>
      </c>
    </row>
    <row r="662" spans="1:33" hidden="1" x14ac:dyDescent="0.2">
      <c r="A662">
        <v>661</v>
      </c>
      <c r="B662" t="s">
        <v>264</v>
      </c>
      <c r="C662" t="s">
        <v>108</v>
      </c>
      <c r="D662">
        <v>26</v>
      </c>
      <c r="E662" t="s">
        <v>114</v>
      </c>
      <c r="F662" t="s">
        <v>38</v>
      </c>
      <c r="G662" t="s">
        <v>39</v>
      </c>
      <c r="H662">
        <v>114167</v>
      </c>
      <c r="I662">
        <v>0</v>
      </c>
      <c r="J662">
        <v>0</v>
      </c>
      <c r="K662">
        <v>0</v>
      </c>
      <c r="L662">
        <v>1</v>
      </c>
      <c r="M662" t="s">
        <v>36</v>
      </c>
      <c r="N662" t="s">
        <v>36</v>
      </c>
      <c r="O662" t="s">
        <v>36</v>
      </c>
      <c r="P662" t="s">
        <v>37</v>
      </c>
      <c r="Q662" t="s">
        <v>36</v>
      </c>
      <c r="R662" t="s">
        <v>36</v>
      </c>
      <c r="S662" t="s">
        <v>36</v>
      </c>
      <c r="T662" t="s">
        <v>36</v>
      </c>
      <c r="U662" t="s">
        <v>36</v>
      </c>
      <c r="V662" t="s">
        <v>36</v>
      </c>
      <c r="W662" t="s">
        <v>36</v>
      </c>
      <c r="X662" t="s">
        <v>36</v>
      </c>
      <c r="Y662" t="s">
        <v>36</v>
      </c>
      <c r="Z662" t="s">
        <v>36</v>
      </c>
      <c r="AA662" t="s">
        <v>36</v>
      </c>
      <c r="AB662" t="s">
        <v>36</v>
      </c>
      <c r="AC662" t="s">
        <v>36</v>
      </c>
      <c r="AD662" t="s">
        <v>36</v>
      </c>
      <c r="AE662" t="s">
        <v>36</v>
      </c>
      <c r="AF662" t="s">
        <v>36</v>
      </c>
      <c r="AG662" t="s">
        <v>36</v>
      </c>
    </row>
    <row r="663" spans="1:33" x14ac:dyDescent="0.2">
      <c r="A663">
        <v>662</v>
      </c>
      <c r="B663" t="s">
        <v>264</v>
      </c>
      <c r="C663" t="s">
        <v>108</v>
      </c>
      <c r="D663">
        <v>26</v>
      </c>
      <c r="E663" t="s">
        <v>114</v>
      </c>
      <c r="F663" t="s">
        <v>41</v>
      </c>
      <c r="G663" t="s">
        <v>55</v>
      </c>
      <c r="H663">
        <v>21786</v>
      </c>
      <c r="I663">
        <v>0</v>
      </c>
      <c r="J663">
        <v>0</v>
      </c>
      <c r="K663">
        <v>0</v>
      </c>
      <c r="L663">
        <v>1</v>
      </c>
      <c r="M663" t="s">
        <v>57</v>
      </c>
      <c r="N663" t="s">
        <v>85</v>
      </c>
      <c r="O663" t="s">
        <v>84</v>
      </c>
      <c r="P663" t="s">
        <v>37</v>
      </c>
      <c r="Q663" t="s">
        <v>48</v>
      </c>
      <c r="R663" t="s">
        <v>65</v>
      </c>
      <c r="S663" t="s">
        <v>46</v>
      </c>
      <c r="T663">
        <v>0</v>
      </c>
      <c r="U663">
        <v>1</v>
      </c>
      <c r="V663">
        <v>1</v>
      </c>
      <c r="W663">
        <v>0</v>
      </c>
      <c r="X663">
        <v>1</v>
      </c>
      <c r="Y663">
        <v>0</v>
      </c>
      <c r="Z663">
        <v>1</v>
      </c>
      <c r="AA663">
        <v>0</v>
      </c>
      <c r="AB663">
        <v>0</v>
      </c>
      <c r="AC663">
        <v>0</v>
      </c>
      <c r="AD663">
        <v>0</v>
      </c>
      <c r="AE663">
        <v>0</v>
      </c>
      <c r="AF663">
        <v>0</v>
      </c>
      <c r="AG663">
        <v>1</v>
      </c>
    </row>
    <row r="664" spans="1:33" hidden="1" x14ac:dyDescent="0.2">
      <c r="A664">
        <v>663</v>
      </c>
      <c r="B664" t="s">
        <v>264</v>
      </c>
      <c r="C664" t="s">
        <v>108</v>
      </c>
      <c r="D664">
        <v>26</v>
      </c>
      <c r="E664" t="s">
        <v>114</v>
      </c>
      <c r="F664" t="s">
        <v>53</v>
      </c>
      <c r="G664" t="s">
        <v>76</v>
      </c>
      <c r="H664">
        <v>185453</v>
      </c>
      <c r="I664">
        <v>1</v>
      </c>
      <c r="J664">
        <v>0</v>
      </c>
      <c r="K664">
        <v>0</v>
      </c>
      <c r="L664">
        <v>0</v>
      </c>
      <c r="M664" t="s">
        <v>36</v>
      </c>
      <c r="N664" t="s">
        <v>36</v>
      </c>
      <c r="O664" t="s">
        <v>36</v>
      </c>
      <c r="P664" t="s">
        <v>37</v>
      </c>
      <c r="Q664" t="s">
        <v>36</v>
      </c>
      <c r="R664" t="s">
        <v>36</v>
      </c>
      <c r="S664" t="s">
        <v>36</v>
      </c>
      <c r="T664" t="s">
        <v>36</v>
      </c>
      <c r="U664">
        <v>1</v>
      </c>
      <c r="V664">
        <v>1</v>
      </c>
      <c r="W664">
        <v>0</v>
      </c>
      <c r="X664">
        <v>1</v>
      </c>
      <c r="Y664">
        <v>0</v>
      </c>
      <c r="Z664">
        <v>1</v>
      </c>
      <c r="AA664">
        <v>0</v>
      </c>
      <c r="AB664">
        <v>0</v>
      </c>
      <c r="AC664">
        <v>0</v>
      </c>
      <c r="AD664">
        <v>0</v>
      </c>
      <c r="AE664">
        <v>0</v>
      </c>
      <c r="AF664">
        <v>0</v>
      </c>
      <c r="AG664">
        <v>1</v>
      </c>
    </row>
    <row r="665" spans="1:33" x14ac:dyDescent="0.2">
      <c r="A665">
        <v>664</v>
      </c>
      <c r="B665" t="s">
        <v>264</v>
      </c>
      <c r="C665" t="s">
        <v>108</v>
      </c>
      <c r="D665">
        <v>26</v>
      </c>
      <c r="E665" t="s">
        <v>114</v>
      </c>
      <c r="F665" t="s">
        <v>41</v>
      </c>
      <c r="G665" t="s">
        <v>49</v>
      </c>
      <c r="H665">
        <v>73179</v>
      </c>
      <c r="I665">
        <v>1</v>
      </c>
      <c r="J665">
        <v>0</v>
      </c>
      <c r="K665">
        <v>0</v>
      </c>
      <c r="L665">
        <v>0</v>
      </c>
      <c r="M665" t="s">
        <v>96</v>
      </c>
      <c r="N665" t="s">
        <v>52</v>
      </c>
      <c r="O665" t="s">
        <v>50</v>
      </c>
      <c r="P665" t="s">
        <v>37</v>
      </c>
      <c r="Q665" t="s">
        <v>65</v>
      </c>
      <c r="R665" t="s">
        <v>46</v>
      </c>
      <c r="S665" t="s">
        <v>48</v>
      </c>
      <c r="T665">
        <v>0</v>
      </c>
      <c r="U665">
        <v>1</v>
      </c>
      <c r="V665">
        <v>1</v>
      </c>
      <c r="W665">
        <v>0</v>
      </c>
      <c r="X665">
        <v>1</v>
      </c>
      <c r="Y665">
        <v>0</v>
      </c>
      <c r="Z665">
        <v>1</v>
      </c>
      <c r="AA665">
        <v>0</v>
      </c>
      <c r="AB665">
        <v>1</v>
      </c>
      <c r="AC665">
        <v>0</v>
      </c>
      <c r="AD665">
        <v>0</v>
      </c>
      <c r="AE665">
        <v>0</v>
      </c>
      <c r="AF665">
        <v>0</v>
      </c>
      <c r="AG665">
        <v>0</v>
      </c>
    </row>
    <row r="666" spans="1:33" x14ac:dyDescent="0.2">
      <c r="A666">
        <v>665</v>
      </c>
      <c r="B666" t="s">
        <v>264</v>
      </c>
      <c r="C666" t="s">
        <v>108</v>
      </c>
      <c r="D666">
        <v>26</v>
      </c>
      <c r="E666" t="s">
        <v>114</v>
      </c>
      <c r="F666" t="s">
        <v>41</v>
      </c>
      <c r="G666" t="s">
        <v>72</v>
      </c>
      <c r="H666">
        <v>32228</v>
      </c>
      <c r="I666">
        <v>0</v>
      </c>
      <c r="J666">
        <v>0</v>
      </c>
      <c r="K666">
        <v>1</v>
      </c>
      <c r="L666">
        <v>0</v>
      </c>
      <c r="M666" t="s">
        <v>93</v>
      </c>
      <c r="N666" t="s">
        <v>73</v>
      </c>
      <c r="O666" t="s">
        <v>74</v>
      </c>
      <c r="P666" t="s">
        <v>37</v>
      </c>
      <c r="Q666" t="s">
        <v>59</v>
      </c>
      <c r="R666" t="s">
        <v>48</v>
      </c>
      <c r="S666" t="s">
        <v>47</v>
      </c>
      <c r="T666">
        <v>0</v>
      </c>
      <c r="U666">
        <v>0</v>
      </c>
      <c r="V666">
        <v>1</v>
      </c>
      <c r="W666">
        <v>1</v>
      </c>
      <c r="X666">
        <v>0</v>
      </c>
      <c r="Y666">
        <v>0</v>
      </c>
      <c r="Z666">
        <v>1</v>
      </c>
      <c r="AA666">
        <v>0</v>
      </c>
      <c r="AB666">
        <v>0</v>
      </c>
      <c r="AC666">
        <v>0</v>
      </c>
      <c r="AD666">
        <v>1</v>
      </c>
      <c r="AE666">
        <v>0</v>
      </c>
      <c r="AF666">
        <v>0</v>
      </c>
      <c r="AG666">
        <v>0</v>
      </c>
    </row>
    <row r="667" spans="1:33" hidden="1" x14ac:dyDescent="0.2">
      <c r="A667">
        <v>666</v>
      </c>
      <c r="B667" t="s">
        <v>264</v>
      </c>
      <c r="C667" t="s">
        <v>108</v>
      </c>
      <c r="D667">
        <v>26</v>
      </c>
      <c r="E667" t="s">
        <v>114</v>
      </c>
      <c r="F667" t="s">
        <v>53</v>
      </c>
      <c r="G667" t="s">
        <v>54</v>
      </c>
      <c r="H667">
        <v>30340</v>
      </c>
      <c r="I667">
        <v>0</v>
      </c>
      <c r="J667">
        <v>0</v>
      </c>
      <c r="K667">
        <v>1</v>
      </c>
      <c r="L667">
        <v>0</v>
      </c>
      <c r="M667" t="s">
        <v>36</v>
      </c>
      <c r="N667" t="s">
        <v>36</v>
      </c>
      <c r="O667" t="s">
        <v>36</v>
      </c>
      <c r="P667" t="s">
        <v>37</v>
      </c>
      <c r="Q667" t="s">
        <v>36</v>
      </c>
      <c r="R667" t="s">
        <v>36</v>
      </c>
      <c r="S667" t="s">
        <v>36</v>
      </c>
      <c r="T667" t="s">
        <v>36</v>
      </c>
      <c r="U667">
        <v>0</v>
      </c>
      <c r="V667">
        <v>1</v>
      </c>
      <c r="W667">
        <v>1</v>
      </c>
      <c r="X667">
        <v>0</v>
      </c>
      <c r="Y667">
        <v>0</v>
      </c>
      <c r="Z667">
        <v>1</v>
      </c>
      <c r="AA667">
        <v>0</v>
      </c>
      <c r="AB667">
        <v>0</v>
      </c>
      <c r="AC667">
        <v>0</v>
      </c>
      <c r="AD667">
        <v>1</v>
      </c>
      <c r="AE667">
        <v>0</v>
      </c>
      <c r="AF667">
        <v>0</v>
      </c>
      <c r="AG667">
        <v>0</v>
      </c>
    </row>
    <row r="668" spans="1:33" x14ac:dyDescent="0.2">
      <c r="A668">
        <v>667</v>
      </c>
      <c r="B668" t="s">
        <v>264</v>
      </c>
      <c r="C668" t="s">
        <v>108</v>
      </c>
      <c r="D668">
        <v>26</v>
      </c>
      <c r="E668" t="s">
        <v>114</v>
      </c>
      <c r="F668" t="s">
        <v>41</v>
      </c>
      <c r="G668" t="s">
        <v>42</v>
      </c>
      <c r="H668">
        <v>11459</v>
      </c>
      <c r="I668">
        <v>1</v>
      </c>
      <c r="J668">
        <v>1</v>
      </c>
      <c r="K668">
        <v>1</v>
      </c>
      <c r="L668">
        <v>0</v>
      </c>
      <c r="M668" t="s">
        <v>45</v>
      </c>
      <c r="N668" t="s">
        <v>102</v>
      </c>
      <c r="O668" t="s">
        <v>82</v>
      </c>
      <c r="P668" t="s">
        <v>37</v>
      </c>
      <c r="Q668" t="s">
        <v>48</v>
      </c>
      <c r="R668" t="s">
        <v>59</v>
      </c>
      <c r="S668" t="s">
        <v>65</v>
      </c>
      <c r="T668">
        <v>0</v>
      </c>
      <c r="U668">
        <v>1</v>
      </c>
      <c r="V668">
        <v>1</v>
      </c>
      <c r="W668">
        <v>0</v>
      </c>
      <c r="X668">
        <v>0</v>
      </c>
      <c r="Y668">
        <v>0</v>
      </c>
      <c r="Z668">
        <v>1</v>
      </c>
      <c r="AA668">
        <v>0</v>
      </c>
      <c r="AB668">
        <v>1</v>
      </c>
      <c r="AC668">
        <v>1</v>
      </c>
      <c r="AD668">
        <v>0</v>
      </c>
      <c r="AE668">
        <v>0</v>
      </c>
      <c r="AF668">
        <v>0</v>
      </c>
      <c r="AG668">
        <v>0</v>
      </c>
    </row>
    <row r="669" spans="1:33" hidden="1" x14ac:dyDescent="0.2">
      <c r="A669">
        <v>668</v>
      </c>
      <c r="B669" t="s">
        <v>264</v>
      </c>
      <c r="C669" t="s">
        <v>108</v>
      </c>
      <c r="D669">
        <v>26</v>
      </c>
      <c r="E669" t="s">
        <v>114</v>
      </c>
      <c r="F669" t="s">
        <v>53</v>
      </c>
      <c r="G669" t="s">
        <v>66</v>
      </c>
      <c r="H669">
        <v>78378</v>
      </c>
      <c r="I669">
        <v>1</v>
      </c>
      <c r="J669">
        <v>1</v>
      </c>
      <c r="K669">
        <v>0</v>
      </c>
      <c r="L669">
        <v>0</v>
      </c>
      <c r="M669" t="s">
        <v>36</v>
      </c>
      <c r="N669" t="s">
        <v>36</v>
      </c>
      <c r="O669" t="s">
        <v>36</v>
      </c>
      <c r="P669" t="s">
        <v>37</v>
      </c>
      <c r="Q669" t="s">
        <v>36</v>
      </c>
      <c r="R669" t="s">
        <v>36</v>
      </c>
      <c r="S669" t="s">
        <v>36</v>
      </c>
      <c r="T669" t="s">
        <v>36</v>
      </c>
      <c r="U669">
        <v>1</v>
      </c>
      <c r="V669">
        <v>1</v>
      </c>
      <c r="W669">
        <v>0</v>
      </c>
      <c r="X669">
        <v>0</v>
      </c>
      <c r="Y669">
        <v>0</v>
      </c>
      <c r="Z669">
        <v>1</v>
      </c>
      <c r="AA669">
        <v>0</v>
      </c>
      <c r="AB669">
        <v>1</v>
      </c>
      <c r="AC669">
        <v>1</v>
      </c>
      <c r="AD669">
        <v>0</v>
      </c>
      <c r="AE669">
        <v>0</v>
      </c>
      <c r="AF669">
        <v>0</v>
      </c>
      <c r="AG669">
        <v>0</v>
      </c>
    </row>
    <row r="670" spans="1:33" x14ac:dyDescent="0.2">
      <c r="A670">
        <v>669</v>
      </c>
      <c r="B670" t="s">
        <v>264</v>
      </c>
      <c r="C670" t="s">
        <v>108</v>
      </c>
      <c r="D670">
        <v>26</v>
      </c>
      <c r="E670" t="s">
        <v>114</v>
      </c>
      <c r="F670" t="s">
        <v>41</v>
      </c>
      <c r="G670" t="s">
        <v>67</v>
      </c>
      <c r="H670">
        <v>24404</v>
      </c>
      <c r="I670">
        <v>1</v>
      </c>
      <c r="J670">
        <v>1</v>
      </c>
      <c r="K670">
        <v>1</v>
      </c>
      <c r="L670">
        <v>0</v>
      </c>
      <c r="M670" t="s">
        <v>70</v>
      </c>
      <c r="N670" t="s">
        <v>69</v>
      </c>
      <c r="O670" t="s">
        <v>103</v>
      </c>
      <c r="P670" t="s">
        <v>37</v>
      </c>
      <c r="Q670" t="s">
        <v>47</v>
      </c>
      <c r="R670" t="s">
        <v>48</v>
      </c>
      <c r="S670" t="s">
        <v>60</v>
      </c>
      <c r="T670">
        <v>1</v>
      </c>
      <c r="U670">
        <v>0</v>
      </c>
      <c r="V670">
        <v>1</v>
      </c>
      <c r="W670">
        <v>1</v>
      </c>
      <c r="X670">
        <v>0</v>
      </c>
      <c r="Y670">
        <v>0</v>
      </c>
      <c r="Z670">
        <v>1</v>
      </c>
      <c r="AA670">
        <v>1</v>
      </c>
      <c r="AB670">
        <v>0</v>
      </c>
      <c r="AC670">
        <v>1</v>
      </c>
      <c r="AD670">
        <v>1</v>
      </c>
      <c r="AE670">
        <v>0</v>
      </c>
      <c r="AF670">
        <v>0</v>
      </c>
      <c r="AG670">
        <v>0</v>
      </c>
    </row>
    <row r="671" spans="1:33" x14ac:dyDescent="0.2">
      <c r="A671">
        <v>670</v>
      </c>
      <c r="B671" t="s">
        <v>264</v>
      </c>
      <c r="C671" t="s">
        <v>108</v>
      </c>
      <c r="D671">
        <v>26</v>
      </c>
      <c r="E671" t="s">
        <v>114</v>
      </c>
      <c r="F671" t="s">
        <v>41</v>
      </c>
      <c r="G671" t="s">
        <v>61</v>
      </c>
      <c r="H671">
        <v>8868</v>
      </c>
      <c r="I671">
        <v>1</v>
      </c>
      <c r="J671">
        <v>1</v>
      </c>
      <c r="K671">
        <v>1</v>
      </c>
      <c r="L671">
        <v>0</v>
      </c>
      <c r="M671" t="s">
        <v>62</v>
      </c>
      <c r="N671" t="s">
        <v>97</v>
      </c>
      <c r="O671" t="s">
        <v>63</v>
      </c>
      <c r="P671" t="s">
        <v>37</v>
      </c>
      <c r="Q671" t="s">
        <v>65</v>
      </c>
      <c r="R671" t="s">
        <v>59</v>
      </c>
      <c r="S671" t="s">
        <v>46</v>
      </c>
      <c r="T671">
        <v>0</v>
      </c>
      <c r="U671">
        <v>1</v>
      </c>
      <c r="V671">
        <v>0</v>
      </c>
      <c r="W671">
        <v>0</v>
      </c>
      <c r="X671">
        <v>1</v>
      </c>
      <c r="Y671">
        <v>0</v>
      </c>
      <c r="Z671">
        <v>1</v>
      </c>
      <c r="AA671">
        <v>0</v>
      </c>
      <c r="AB671">
        <v>1</v>
      </c>
      <c r="AC671">
        <v>0</v>
      </c>
      <c r="AD671">
        <v>0</v>
      </c>
      <c r="AE671">
        <v>1</v>
      </c>
      <c r="AF671">
        <v>0</v>
      </c>
      <c r="AG671">
        <v>0</v>
      </c>
    </row>
    <row r="672" spans="1:33" hidden="1" x14ac:dyDescent="0.2">
      <c r="A672">
        <v>671</v>
      </c>
      <c r="B672" t="s">
        <v>264</v>
      </c>
      <c r="C672" t="s">
        <v>108</v>
      </c>
      <c r="D672">
        <v>26</v>
      </c>
      <c r="E672" t="s">
        <v>114</v>
      </c>
      <c r="F672" t="s">
        <v>53</v>
      </c>
      <c r="G672" t="s">
        <v>71</v>
      </c>
      <c r="H672">
        <v>22014</v>
      </c>
      <c r="I672">
        <v>0</v>
      </c>
      <c r="J672">
        <v>0</v>
      </c>
      <c r="K672">
        <v>0</v>
      </c>
      <c r="L672">
        <v>1</v>
      </c>
      <c r="M672" t="s">
        <v>36</v>
      </c>
      <c r="N672" t="s">
        <v>36</v>
      </c>
      <c r="O672" t="s">
        <v>36</v>
      </c>
      <c r="P672" t="s">
        <v>37</v>
      </c>
      <c r="Q672" t="s">
        <v>36</v>
      </c>
      <c r="R672" t="s">
        <v>36</v>
      </c>
      <c r="S672" t="s">
        <v>36</v>
      </c>
      <c r="T672" t="s">
        <v>36</v>
      </c>
      <c r="U672">
        <v>1</v>
      </c>
      <c r="V672">
        <v>0</v>
      </c>
      <c r="W672">
        <v>0</v>
      </c>
      <c r="X672">
        <v>1</v>
      </c>
      <c r="Y672">
        <v>0</v>
      </c>
      <c r="Z672">
        <v>1</v>
      </c>
      <c r="AA672">
        <v>0</v>
      </c>
      <c r="AB672">
        <v>1</v>
      </c>
      <c r="AC672">
        <v>0</v>
      </c>
      <c r="AD672">
        <v>0</v>
      </c>
      <c r="AE672">
        <v>1</v>
      </c>
      <c r="AF672">
        <v>0</v>
      </c>
      <c r="AG672">
        <v>0</v>
      </c>
    </row>
    <row r="673" spans="1:33" hidden="1" x14ac:dyDescent="0.2">
      <c r="A673">
        <v>672</v>
      </c>
      <c r="B673" t="s">
        <v>264</v>
      </c>
      <c r="C673" t="s">
        <v>108</v>
      </c>
      <c r="D673">
        <v>26</v>
      </c>
      <c r="E673" t="s">
        <v>114</v>
      </c>
      <c r="F673" t="s">
        <v>77</v>
      </c>
      <c r="G673" t="s">
        <v>36</v>
      </c>
      <c r="H673">
        <v>505289</v>
      </c>
      <c r="I673" t="s">
        <v>265</v>
      </c>
      <c r="J673" t="s">
        <v>266</v>
      </c>
      <c r="K673" t="s">
        <v>162</v>
      </c>
      <c r="L673" t="s">
        <v>36</v>
      </c>
      <c r="M673" t="s">
        <v>36</v>
      </c>
      <c r="N673" t="s">
        <v>36</v>
      </c>
      <c r="O673" t="s">
        <v>36</v>
      </c>
      <c r="P673" t="s">
        <v>37</v>
      </c>
      <c r="Q673" t="s">
        <v>36</v>
      </c>
      <c r="R673" t="s">
        <v>36</v>
      </c>
      <c r="S673" t="s">
        <v>36</v>
      </c>
      <c r="T673" t="s">
        <v>36</v>
      </c>
      <c r="U673" t="s">
        <v>36</v>
      </c>
      <c r="V673" t="s">
        <v>36</v>
      </c>
      <c r="W673" t="s">
        <v>36</v>
      </c>
      <c r="X673" t="s">
        <v>36</v>
      </c>
      <c r="Y673" t="s">
        <v>36</v>
      </c>
      <c r="Z673" t="s">
        <v>36</v>
      </c>
      <c r="AA673" t="s">
        <v>36</v>
      </c>
      <c r="AB673" t="s">
        <v>36</v>
      </c>
      <c r="AC673" t="s">
        <v>36</v>
      </c>
      <c r="AD673" t="s">
        <v>36</v>
      </c>
      <c r="AE673" t="s">
        <v>36</v>
      </c>
      <c r="AF673" t="s">
        <v>36</v>
      </c>
      <c r="AG673" t="s">
        <v>36</v>
      </c>
    </row>
    <row r="674" spans="1:33" hidden="1" x14ac:dyDescent="0.2">
      <c r="A674">
        <v>673</v>
      </c>
      <c r="B674" t="s">
        <v>267</v>
      </c>
      <c r="C674" t="s">
        <v>108</v>
      </c>
      <c r="D674">
        <v>35</v>
      </c>
      <c r="E674" t="s">
        <v>34</v>
      </c>
      <c r="F674" t="s">
        <v>35</v>
      </c>
      <c r="G674" t="s">
        <v>36</v>
      </c>
      <c r="H674">
        <v>13670</v>
      </c>
      <c r="I674" t="s">
        <v>36</v>
      </c>
      <c r="J674" t="s">
        <v>36</v>
      </c>
      <c r="K674" t="s">
        <v>36</v>
      </c>
      <c r="L674" t="s">
        <v>36</v>
      </c>
      <c r="M674" t="s">
        <v>36</v>
      </c>
      <c r="N674" t="s">
        <v>36</v>
      </c>
      <c r="O674" t="s">
        <v>36</v>
      </c>
      <c r="P674" t="s">
        <v>37</v>
      </c>
      <c r="Q674" t="s">
        <v>36</v>
      </c>
      <c r="R674" t="s">
        <v>36</v>
      </c>
      <c r="S674" t="s">
        <v>36</v>
      </c>
      <c r="T674" t="s">
        <v>36</v>
      </c>
      <c r="U674" t="s">
        <v>36</v>
      </c>
      <c r="V674" t="s">
        <v>36</v>
      </c>
      <c r="W674" t="s">
        <v>36</v>
      </c>
      <c r="X674" t="s">
        <v>36</v>
      </c>
      <c r="Y674" t="s">
        <v>36</v>
      </c>
      <c r="Z674" t="s">
        <v>36</v>
      </c>
      <c r="AA674" t="s">
        <v>36</v>
      </c>
      <c r="AB674" t="s">
        <v>36</v>
      </c>
      <c r="AC674" t="s">
        <v>36</v>
      </c>
      <c r="AD674" t="s">
        <v>36</v>
      </c>
      <c r="AE674" t="s">
        <v>36</v>
      </c>
      <c r="AF674" t="s">
        <v>36</v>
      </c>
      <c r="AG674" t="s">
        <v>36</v>
      </c>
    </row>
    <row r="675" spans="1:33" hidden="1" x14ac:dyDescent="0.2">
      <c r="A675">
        <v>674</v>
      </c>
      <c r="B675" t="s">
        <v>267</v>
      </c>
      <c r="C675" t="s">
        <v>108</v>
      </c>
      <c r="D675">
        <v>35</v>
      </c>
      <c r="E675" t="s">
        <v>34</v>
      </c>
      <c r="F675" t="s">
        <v>38</v>
      </c>
      <c r="G675" t="s">
        <v>39</v>
      </c>
      <c r="H675">
        <v>20981</v>
      </c>
      <c r="I675">
        <v>0</v>
      </c>
      <c r="J675">
        <v>0</v>
      </c>
      <c r="K675">
        <v>0</v>
      </c>
      <c r="L675">
        <v>1</v>
      </c>
      <c r="M675" t="s">
        <v>36</v>
      </c>
      <c r="N675" t="s">
        <v>36</v>
      </c>
      <c r="O675" t="s">
        <v>36</v>
      </c>
      <c r="P675" t="s">
        <v>37</v>
      </c>
      <c r="Q675" t="s">
        <v>36</v>
      </c>
      <c r="R675" t="s">
        <v>36</v>
      </c>
      <c r="S675" t="s">
        <v>36</v>
      </c>
      <c r="T675" t="s">
        <v>36</v>
      </c>
      <c r="U675" t="s">
        <v>36</v>
      </c>
      <c r="V675" t="s">
        <v>36</v>
      </c>
      <c r="W675" t="s">
        <v>36</v>
      </c>
      <c r="X675" t="s">
        <v>36</v>
      </c>
      <c r="Y675" t="s">
        <v>36</v>
      </c>
      <c r="Z675" t="s">
        <v>36</v>
      </c>
      <c r="AA675" t="s">
        <v>36</v>
      </c>
      <c r="AB675" t="s">
        <v>36</v>
      </c>
      <c r="AC675" t="s">
        <v>36</v>
      </c>
      <c r="AD675" t="s">
        <v>36</v>
      </c>
      <c r="AE675" t="s">
        <v>36</v>
      </c>
      <c r="AF675" t="s">
        <v>36</v>
      </c>
      <c r="AG675" t="s">
        <v>36</v>
      </c>
    </row>
    <row r="676" spans="1:33" hidden="1" x14ac:dyDescent="0.2">
      <c r="A676">
        <v>675</v>
      </c>
      <c r="B676" t="s">
        <v>267</v>
      </c>
      <c r="C676" t="s">
        <v>108</v>
      </c>
      <c r="D676">
        <v>35</v>
      </c>
      <c r="E676" t="s">
        <v>34</v>
      </c>
      <c r="F676" t="s">
        <v>38</v>
      </c>
      <c r="G676" t="s">
        <v>40</v>
      </c>
      <c r="H676">
        <v>26940</v>
      </c>
      <c r="I676">
        <v>0</v>
      </c>
      <c r="J676">
        <v>1</v>
      </c>
      <c r="K676">
        <v>1</v>
      </c>
      <c r="L676">
        <v>0</v>
      </c>
      <c r="M676" t="s">
        <v>36</v>
      </c>
      <c r="N676" t="s">
        <v>36</v>
      </c>
      <c r="O676" t="s">
        <v>36</v>
      </c>
      <c r="P676" t="s">
        <v>37</v>
      </c>
      <c r="Q676" t="s">
        <v>36</v>
      </c>
      <c r="R676" t="s">
        <v>36</v>
      </c>
      <c r="S676" t="s">
        <v>36</v>
      </c>
      <c r="T676" t="s">
        <v>36</v>
      </c>
      <c r="U676" t="s">
        <v>36</v>
      </c>
      <c r="V676" t="s">
        <v>36</v>
      </c>
      <c r="W676" t="s">
        <v>36</v>
      </c>
      <c r="X676" t="s">
        <v>36</v>
      </c>
      <c r="Y676" t="s">
        <v>36</v>
      </c>
      <c r="Z676" t="s">
        <v>36</v>
      </c>
      <c r="AA676" t="s">
        <v>36</v>
      </c>
      <c r="AB676" t="s">
        <v>36</v>
      </c>
      <c r="AC676" t="s">
        <v>36</v>
      </c>
      <c r="AD676" t="s">
        <v>36</v>
      </c>
      <c r="AE676" t="s">
        <v>36</v>
      </c>
      <c r="AF676" t="s">
        <v>36</v>
      </c>
      <c r="AG676" t="s">
        <v>36</v>
      </c>
    </row>
    <row r="677" spans="1:33" x14ac:dyDescent="0.2">
      <c r="A677">
        <v>676</v>
      </c>
      <c r="B677" t="s">
        <v>267</v>
      </c>
      <c r="C677" t="s">
        <v>108</v>
      </c>
      <c r="D677">
        <v>35</v>
      </c>
      <c r="E677" t="s">
        <v>34</v>
      </c>
      <c r="F677" t="s">
        <v>41</v>
      </c>
      <c r="G677" t="s">
        <v>42</v>
      </c>
      <c r="H677">
        <v>25163</v>
      </c>
      <c r="I677">
        <v>0</v>
      </c>
      <c r="J677">
        <v>0</v>
      </c>
      <c r="K677">
        <v>0</v>
      </c>
      <c r="L677">
        <v>1</v>
      </c>
      <c r="M677" t="s">
        <v>82</v>
      </c>
      <c r="N677" t="s">
        <v>43</v>
      </c>
      <c r="O677" t="s">
        <v>116</v>
      </c>
      <c r="P677" t="s">
        <v>37</v>
      </c>
      <c r="Q677" t="s">
        <v>65</v>
      </c>
      <c r="R677" t="s">
        <v>46</v>
      </c>
      <c r="S677" t="s">
        <v>60</v>
      </c>
      <c r="T677">
        <v>1</v>
      </c>
      <c r="U677">
        <v>1</v>
      </c>
      <c r="V677">
        <v>0</v>
      </c>
      <c r="W677">
        <v>0</v>
      </c>
      <c r="X677">
        <v>1</v>
      </c>
      <c r="Y677">
        <v>0</v>
      </c>
      <c r="Z677">
        <v>1</v>
      </c>
      <c r="AA677">
        <v>0</v>
      </c>
      <c r="AB677">
        <v>0</v>
      </c>
      <c r="AC677">
        <v>0</v>
      </c>
      <c r="AD677">
        <v>0</v>
      </c>
      <c r="AE677">
        <v>0</v>
      </c>
      <c r="AF677">
        <v>0</v>
      </c>
      <c r="AG677">
        <v>1</v>
      </c>
    </row>
    <row r="678" spans="1:33" x14ac:dyDescent="0.2">
      <c r="A678">
        <v>677</v>
      </c>
      <c r="B678" t="s">
        <v>267</v>
      </c>
      <c r="C678" t="s">
        <v>108</v>
      </c>
      <c r="D678">
        <v>35</v>
      </c>
      <c r="E678" t="s">
        <v>34</v>
      </c>
      <c r="F678" t="s">
        <v>41</v>
      </c>
      <c r="G678" t="s">
        <v>49</v>
      </c>
      <c r="H678">
        <v>19180</v>
      </c>
      <c r="I678">
        <v>0</v>
      </c>
      <c r="J678">
        <v>0</v>
      </c>
      <c r="K678">
        <v>0</v>
      </c>
      <c r="L678">
        <v>1</v>
      </c>
      <c r="M678" t="s">
        <v>50</v>
      </c>
      <c r="N678" t="s">
        <v>52</v>
      </c>
      <c r="O678" t="s">
        <v>83</v>
      </c>
      <c r="P678" t="s">
        <v>37</v>
      </c>
      <c r="Q678" t="s">
        <v>48</v>
      </c>
      <c r="R678" t="s">
        <v>46</v>
      </c>
      <c r="S678" t="s">
        <v>59</v>
      </c>
      <c r="T678">
        <v>0</v>
      </c>
      <c r="U678">
        <v>0</v>
      </c>
      <c r="V678">
        <v>1</v>
      </c>
      <c r="W678">
        <v>0</v>
      </c>
      <c r="X678">
        <v>1</v>
      </c>
      <c r="Y678">
        <v>0</v>
      </c>
      <c r="Z678">
        <v>1</v>
      </c>
      <c r="AA678">
        <v>0</v>
      </c>
      <c r="AB678">
        <v>0</v>
      </c>
      <c r="AC678">
        <v>0</v>
      </c>
      <c r="AD678">
        <v>0</v>
      </c>
      <c r="AE678">
        <v>0</v>
      </c>
      <c r="AF678">
        <v>0</v>
      </c>
      <c r="AG678">
        <v>1</v>
      </c>
    </row>
    <row r="679" spans="1:33" hidden="1" x14ac:dyDescent="0.2">
      <c r="A679">
        <v>678</v>
      </c>
      <c r="B679" t="s">
        <v>267</v>
      </c>
      <c r="C679" t="s">
        <v>108</v>
      </c>
      <c r="D679">
        <v>35</v>
      </c>
      <c r="E679" t="s">
        <v>34</v>
      </c>
      <c r="F679" t="s">
        <v>53</v>
      </c>
      <c r="G679" t="s">
        <v>66</v>
      </c>
      <c r="H679">
        <v>21684</v>
      </c>
      <c r="I679">
        <v>1</v>
      </c>
      <c r="J679">
        <v>0</v>
      </c>
      <c r="K679">
        <v>0</v>
      </c>
      <c r="L679">
        <v>0</v>
      </c>
      <c r="M679" t="s">
        <v>36</v>
      </c>
      <c r="N679" t="s">
        <v>36</v>
      </c>
      <c r="O679" t="s">
        <v>36</v>
      </c>
      <c r="P679" t="s">
        <v>37</v>
      </c>
      <c r="Q679" t="s">
        <v>36</v>
      </c>
      <c r="R679" t="s">
        <v>36</v>
      </c>
      <c r="S679" t="s">
        <v>36</v>
      </c>
      <c r="T679" t="s">
        <v>36</v>
      </c>
      <c r="U679">
        <v>0</v>
      </c>
      <c r="V679">
        <v>1</v>
      </c>
      <c r="W679">
        <v>0</v>
      </c>
      <c r="X679">
        <v>1</v>
      </c>
      <c r="Y679">
        <v>0</v>
      </c>
      <c r="Z679">
        <v>1</v>
      </c>
      <c r="AA679">
        <v>0</v>
      </c>
      <c r="AB679">
        <v>0</v>
      </c>
      <c r="AC679">
        <v>0</v>
      </c>
      <c r="AD679">
        <v>0</v>
      </c>
      <c r="AE679">
        <v>0</v>
      </c>
      <c r="AF679">
        <v>0</v>
      </c>
      <c r="AG679">
        <v>1</v>
      </c>
    </row>
    <row r="680" spans="1:33" x14ac:dyDescent="0.2">
      <c r="A680">
        <v>679</v>
      </c>
      <c r="B680" t="s">
        <v>267</v>
      </c>
      <c r="C680" t="s">
        <v>108</v>
      </c>
      <c r="D680">
        <v>35</v>
      </c>
      <c r="E680" t="s">
        <v>34</v>
      </c>
      <c r="F680" t="s">
        <v>41</v>
      </c>
      <c r="G680" t="s">
        <v>61</v>
      </c>
      <c r="H680">
        <v>18716</v>
      </c>
      <c r="I680">
        <v>0</v>
      </c>
      <c r="J680">
        <v>0</v>
      </c>
      <c r="K680">
        <v>0</v>
      </c>
      <c r="L680">
        <v>1</v>
      </c>
      <c r="M680" t="s">
        <v>62</v>
      </c>
      <c r="N680" t="s">
        <v>97</v>
      </c>
      <c r="O680" t="s">
        <v>64</v>
      </c>
      <c r="P680" t="s">
        <v>37</v>
      </c>
      <c r="Q680" t="s">
        <v>65</v>
      </c>
      <c r="R680" t="s">
        <v>59</v>
      </c>
      <c r="S680" t="s">
        <v>48</v>
      </c>
      <c r="T680">
        <v>0</v>
      </c>
      <c r="U680">
        <v>1</v>
      </c>
      <c r="V680">
        <v>1</v>
      </c>
      <c r="W680">
        <v>0</v>
      </c>
      <c r="X680">
        <v>0</v>
      </c>
      <c r="Y680">
        <v>0</v>
      </c>
      <c r="Z680">
        <v>1</v>
      </c>
      <c r="AA680">
        <v>0</v>
      </c>
      <c r="AB680">
        <v>0</v>
      </c>
      <c r="AC680">
        <v>0</v>
      </c>
      <c r="AD680">
        <v>0</v>
      </c>
      <c r="AE680">
        <v>0</v>
      </c>
      <c r="AF680">
        <v>0</v>
      </c>
      <c r="AG680">
        <v>1</v>
      </c>
    </row>
    <row r="681" spans="1:33" x14ac:dyDescent="0.2">
      <c r="A681">
        <v>680</v>
      </c>
      <c r="B681" t="s">
        <v>267</v>
      </c>
      <c r="C681" t="s">
        <v>108</v>
      </c>
      <c r="D681">
        <v>35</v>
      </c>
      <c r="E681" t="s">
        <v>34</v>
      </c>
      <c r="F681" t="s">
        <v>41</v>
      </c>
      <c r="G681" t="s">
        <v>72</v>
      </c>
      <c r="H681">
        <v>6106</v>
      </c>
      <c r="I681">
        <v>0</v>
      </c>
      <c r="J681">
        <v>0</v>
      </c>
      <c r="K681">
        <v>0</v>
      </c>
      <c r="L681">
        <v>1</v>
      </c>
      <c r="M681" t="s">
        <v>74</v>
      </c>
      <c r="N681" t="s">
        <v>93</v>
      </c>
      <c r="O681" t="s">
        <v>75</v>
      </c>
      <c r="P681" t="s">
        <v>37</v>
      </c>
      <c r="Q681" t="s">
        <v>47</v>
      </c>
      <c r="R681" t="s">
        <v>59</v>
      </c>
      <c r="S681" t="s">
        <v>46</v>
      </c>
      <c r="T681">
        <v>0</v>
      </c>
      <c r="U681">
        <v>0</v>
      </c>
      <c r="V681">
        <v>0</v>
      </c>
      <c r="W681">
        <v>1</v>
      </c>
      <c r="X681">
        <v>1</v>
      </c>
      <c r="Y681">
        <v>0</v>
      </c>
      <c r="Z681">
        <v>1</v>
      </c>
      <c r="AA681">
        <v>0</v>
      </c>
      <c r="AB681">
        <v>0</v>
      </c>
      <c r="AC681">
        <v>0</v>
      </c>
      <c r="AD681">
        <v>0</v>
      </c>
      <c r="AE681">
        <v>0</v>
      </c>
      <c r="AF681">
        <v>0</v>
      </c>
      <c r="AG681">
        <v>1</v>
      </c>
    </row>
    <row r="682" spans="1:33" hidden="1" x14ac:dyDescent="0.2">
      <c r="A682">
        <v>681</v>
      </c>
      <c r="B682" t="s">
        <v>267</v>
      </c>
      <c r="C682" t="s">
        <v>108</v>
      </c>
      <c r="D682">
        <v>35</v>
      </c>
      <c r="E682" t="s">
        <v>34</v>
      </c>
      <c r="F682" t="s">
        <v>53</v>
      </c>
      <c r="G682" t="s">
        <v>76</v>
      </c>
      <c r="H682">
        <v>20545</v>
      </c>
      <c r="I682">
        <v>1</v>
      </c>
      <c r="J682">
        <v>1</v>
      </c>
      <c r="K682">
        <v>0</v>
      </c>
      <c r="L682">
        <v>0</v>
      </c>
      <c r="M682" t="s">
        <v>36</v>
      </c>
      <c r="N682" t="s">
        <v>36</v>
      </c>
      <c r="O682" t="s">
        <v>36</v>
      </c>
      <c r="P682" t="s">
        <v>37</v>
      </c>
      <c r="Q682" t="s">
        <v>36</v>
      </c>
      <c r="R682" t="s">
        <v>36</v>
      </c>
      <c r="S682" t="s">
        <v>36</v>
      </c>
      <c r="T682" t="s">
        <v>36</v>
      </c>
      <c r="U682">
        <v>0</v>
      </c>
      <c r="V682">
        <v>0</v>
      </c>
      <c r="W682">
        <v>1</v>
      </c>
      <c r="X682">
        <v>1</v>
      </c>
      <c r="Y682">
        <v>0</v>
      </c>
      <c r="Z682">
        <v>1</v>
      </c>
      <c r="AA682">
        <v>0</v>
      </c>
      <c r="AB682">
        <v>0</v>
      </c>
      <c r="AC682">
        <v>0</v>
      </c>
      <c r="AD682">
        <v>0</v>
      </c>
      <c r="AE682">
        <v>0</v>
      </c>
      <c r="AF682">
        <v>0</v>
      </c>
      <c r="AG682">
        <v>1</v>
      </c>
    </row>
    <row r="683" spans="1:33" x14ac:dyDescent="0.2">
      <c r="A683">
        <v>682</v>
      </c>
      <c r="B683" t="s">
        <v>267</v>
      </c>
      <c r="C683" t="s">
        <v>108</v>
      </c>
      <c r="D683">
        <v>35</v>
      </c>
      <c r="E683" t="s">
        <v>34</v>
      </c>
      <c r="F683" t="s">
        <v>41</v>
      </c>
      <c r="G683" t="s">
        <v>67</v>
      </c>
      <c r="H683">
        <v>4890</v>
      </c>
      <c r="I683">
        <v>0</v>
      </c>
      <c r="J683">
        <v>0</v>
      </c>
      <c r="K683">
        <v>0</v>
      </c>
      <c r="L683">
        <v>1</v>
      </c>
      <c r="M683" t="s">
        <v>109</v>
      </c>
      <c r="N683" t="s">
        <v>69</v>
      </c>
      <c r="O683" t="s">
        <v>86</v>
      </c>
      <c r="P683" t="s">
        <v>37</v>
      </c>
      <c r="Q683" t="s">
        <v>59</v>
      </c>
      <c r="R683" t="s">
        <v>48</v>
      </c>
      <c r="S683" t="s">
        <v>46</v>
      </c>
      <c r="T683">
        <v>0</v>
      </c>
      <c r="U683">
        <v>0</v>
      </c>
      <c r="V683">
        <v>1</v>
      </c>
      <c r="W683">
        <v>0</v>
      </c>
      <c r="X683">
        <v>1</v>
      </c>
      <c r="Y683">
        <v>0</v>
      </c>
      <c r="Z683">
        <v>1</v>
      </c>
      <c r="AA683">
        <v>0</v>
      </c>
      <c r="AB683">
        <v>0</v>
      </c>
      <c r="AC683">
        <v>0</v>
      </c>
      <c r="AD683">
        <v>0</v>
      </c>
      <c r="AE683">
        <v>0</v>
      </c>
      <c r="AF683">
        <v>0</v>
      </c>
      <c r="AG683">
        <v>1</v>
      </c>
    </row>
    <row r="684" spans="1:33" hidden="1" x14ac:dyDescent="0.2">
      <c r="A684">
        <v>683</v>
      </c>
      <c r="B684" t="s">
        <v>267</v>
      </c>
      <c r="C684" t="s">
        <v>108</v>
      </c>
      <c r="D684">
        <v>35</v>
      </c>
      <c r="E684" t="s">
        <v>34</v>
      </c>
      <c r="F684" t="s">
        <v>53</v>
      </c>
      <c r="G684" t="s">
        <v>71</v>
      </c>
      <c r="H684">
        <v>21662</v>
      </c>
      <c r="I684">
        <v>0</v>
      </c>
      <c r="J684">
        <v>0</v>
      </c>
      <c r="K684">
        <v>1</v>
      </c>
      <c r="L684">
        <v>0</v>
      </c>
      <c r="M684" t="s">
        <v>36</v>
      </c>
      <c r="N684" t="s">
        <v>36</v>
      </c>
      <c r="O684" t="s">
        <v>36</v>
      </c>
      <c r="P684" t="s">
        <v>37</v>
      </c>
      <c r="Q684" t="s">
        <v>36</v>
      </c>
      <c r="R684" t="s">
        <v>36</v>
      </c>
      <c r="S684" t="s">
        <v>36</v>
      </c>
      <c r="T684" t="s">
        <v>36</v>
      </c>
      <c r="U684">
        <v>0</v>
      </c>
      <c r="V684">
        <v>1</v>
      </c>
      <c r="W684">
        <v>0</v>
      </c>
      <c r="X684">
        <v>1</v>
      </c>
      <c r="Y684">
        <v>0</v>
      </c>
      <c r="Z684">
        <v>1</v>
      </c>
      <c r="AA684">
        <v>0</v>
      </c>
      <c r="AB684">
        <v>0</v>
      </c>
      <c r="AC684">
        <v>0</v>
      </c>
      <c r="AD684">
        <v>0</v>
      </c>
      <c r="AE684">
        <v>0</v>
      </c>
      <c r="AF684">
        <v>0</v>
      </c>
      <c r="AG684">
        <v>1</v>
      </c>
    </row>
    <row r="685" spans="1:33" x14ac:dyDescent="0.2">
      <c r="A685">
        <v>684</v>
      </c>
      <c r="B685" t="s">
        <v>267</v>
      </c>
      <c r="C685" t="s">
        <v>108</v>
      </c>
      <c r="D685">
        <v>35</v>
      </c>
      <c r="E685" t="s">
        <v>34</v>
      </c>
      <c r="F685" t="s">
        <v>41</v>
      </c>
      <c r="G685" t="s">
        <v>55</v>
      </c>
      <c r="H685">
        <v>5321</v>
      </c>
      <c r="I685">
        <v>0</v>
      </c>
      <c r="J685">
        <v>0</v>
      </c>
      <c r="K685">
        <v>0</v>
      </c>
      <c r="L685">
        <v>1</v>
      </c>
      <c r="M685" t="s">
        <v>57</v>
      </c>
      <c r="N685" t="s">
        <v>85</v>
      </c>
      <c r="O685" t="s">
        <v>84</v>
      </c>
      <c r="P685" t="s">
        <v>37</v>
      </c>
      <c r="Q685" t="s">
        <v>48</v>
      </c>
      <c r="R685" t="s">
        <v>65</v>
      </c>
      <c r="S685" t="s">
        <v>46</v>
      </c>
      <c r="T685">
        <v>0</v>
      </c>
      <c r="U685">
        <v>1</v>
      </c>
      <c r="V685">
        <v>1</v>
      </c>
      <c r="W685">
        <v>0</v>
      </c>
      <c r="X685">
        <v>1</v>
      </c>
      <c r="Y685">
        <v>0</v>
      </c>
      <c r="Z685">
        <v>1</v>
      </c>
      <c r="AA685">
        <v>0</v>
      </c>
      <c r="AB685">
        <v>0</v>
      </c>
      <c r="AC685">
        <v>0</v>
      </c>
      <c r="AD685">
        <v>0</v>
      </c>
      <c r="AE685">
        <v>0</v>
      </c>
      <c r="AF685">
        <v>0</v>
      </c>
      <c r="AG685">
        <v>1</v>
      </c>
    </row>
    <row r="686" spans="1:33" hidden="1" x14ac:dyDescent="0.2">
      <c r="A686">
        <v>685</v>
      </c>
      <c r="B686" t="s">
        <v>267</v>
      </c>
      <c r="C686" t="s">
        <v>108</v>
      </c>
      <c r="D686">
        <v>35</v>
      </c>
      <c r="E686" t="s">
        <v>34</v>
      </c>
      <c r="F686" t="s">
        <v>53</v>
      </c>
      <c r="G686" t="s">
        <v>54</v>
      </c>
      <c r="H686">
        <v>21361</v>
      </c>
      <c r="I686">
        <v>0</v>
      </c>
      <c r="J686">
        <v>0</v>
      </c>
      <c r="K686">
        <v>1</v>
      </c>
      <c r="L686">
        <v>0</v>
      </c>
      <c r="M686" t="s">
        <v>36</v>
      </c>
      <c r="N686" t="s">
        <v>36</v>
      </c>
      <c r="O686" t="s">
        <v>36</v>
      </c>
      <c r="P686" t="s">
        <v>37</v>
      </c>
      <c r="Q686" t="s">
        <v>36</v>
      </c>
      <c r="R686" t="s">
        <v>36</v>
      </c>
      <c r="S686" t="s">
        <v>36</v>
      </c>
      <c r="T686" t="s">
        <v>36</v>
      </c>
      <c r="U686">
        <v>1</v>
      </c>
      <c r="V686">
        <v>1</v>
      </c>
      <c r="W686">
        <v>0</v>
      </c>
      <c r="X686">
        <v>1</v>
      </c>
      <c r="Y686">
        <v>0</v>
      </c>
      <c r="Z686">
        <v>1</v>
      </c>
      <c r="AA686">
        <v>0</v>
      </c>
      <c r="AB686">
        <v>0</v>
      </c>
      <c r="AC686">
        <v>0</v>
      </c>
      <c r="AD686">
        <v>0</v>
      </c>
      <c r="AE686">
        <v>0</v>
      </c>
      <c r="AF686">
        <v>0</v>
      </c>
      <c r="AG686">
        <v>1</v>
      </c>
    </row>
    <row r="687" spans="1:33" hidden="1" x14ac:dyDescent="0.2">
      <c r="A687">
        <v>686</v>
      </c>
      <c r="B687" t="s">
        <v>267</v>
      </c>
      <c r="C687" t="s">
        <v>108</v>
      </c>
      <c r="D687">
        <v>35</v>
      </c>
      <c r="E687" t="s">
        <v>34</v>
      </c>
      <c r="F687" t="s">
        <v>77</v>
      </c>
      <c r="G687" t="s">
        <v>36</v>
      </c>
      <c r="H687">
        <v>94599</v>
      </c>
      <c r="I687" t="s">
        <v>268</v>
      </c>
      <c r="J687" t="s">
        <v>269</v>
      </c>
      <c r="K687" t="s">
        <v>270</v>
      </c>
      <c r="L687" t="s">
        <v>36</v>
      </c>
      <c r="M687" t="s">
        <v>36</v>
      </c>
      <c r="N687" t="s">
        <v>36</v>
      </c>
      <c r="O687" t="s">
        <v>36</v>
      </c>
      <c r="P687" t="s">
        <v>37</v>
      </c>
      <c r="Q687" t="s">
        <v>36</v>
      </c>
      <c r="R687" t="s">
        <v>36</v>
      </c>
      <c r="S687" t="s">
        <v>36</v>
      </c>
      <c r="T687" t="s">
        <v>36</v>
      </c>
      <c r="U687" t="s">
        <v>36</v>
      </c>
      <c r="V687" t="s">
        <v>36</v>
      </c>
      <c r="W687" t="s">
        <v>36</v>
      </c>
      <c r="X687" t="s">
        <v>36</v>
      </c>
      <c r="Y687" t="s">
        <v>36</v>
      </c>
      <c r="Z687" t="s">
        <v>36</v>
      </c>
      <c r="AA687" t="s">
        <v>36</v>
      </c>
      <c r="AB687" t="s">
        <v>36</v>
      </c>
      <c r="AC687" t="s">
        <v>36</v>
      </c>
      <c r="AD687" t="s">
        <v>36</v>
      </c>
      <c r="AE687" t="s">
        <v>36</v>
      </c>
      <c r="AF687" t="s">
        <v>36</v>
      </c>
      <c r="AG687" t="s">
        <v>36</v>
      </c>
    </row>
    <row r="688" spans="1:33" hidden="1" x14ac:dyDescent="0.2">
      <c r="A688">
        <v>687</v>
      </c>
      <c r="B688" t="s">
        <v>271</v>
      </c>
      <c r="C688" t="s">
        <v>33</v>
      </c>
      <c r="D688">
        <v>53</v>
      </c>
      <c r="E688" t="s">
        <v>34</v>
      </c>
      <c r="F688" t="s">
        <v>35</v>
      </c>
      <c r="G688" t="s">
        <v>36</v>
      </c>
      <c r="H688">
        <v>15973</v>
      </c>
      <c r="I688" t="s">
        <v>36</v>
      </c>
      <c r="J688" t="s">
        <v>36</v>
      </c>
      <c r="K688" t="s">
        <v>36</v>
      </c>
      <c r="L688" t="s">
        <v>36</v>
      </c>
      <c r="M688" t="s">
        <v>36</v>
      </c>
      <c r="N688" t="s">
        <v>36</v>
      </c>
      <c r="O688" t="s">
        <v>36</v>
      </c>
      <c r="P688" t="s">
        <v>37</v>
      </c>
      <c r="Q688" t="s">
        <v>36</v>
      </c>
      <c r="R688" t="s">
        <v>36</v>
      </c>
      <c r="S688" t="s">
        <v>36</v>
      </c>
      <c r="T688" t="s">
        <v>36</v>
      </c>
      <c r="U688" t="s">
        <v>36</v>
      </c>
      <c r="V688" t="s">
        <v>36</v>
      </c>
      <c r="W688" t="s">
        <v>36</v>
      </c>
      <c r="X688" t="s">
        <v>36</v>
      </c>
      <c r="Y688" t="s">
        <v>36</v>
      </c>
      <c r="Z688" t="s">
        <v>36</v>
      </c>
      <c r="AA688" t="s">
        <v>36</v>
      </c>
      <c r="AB688" t="s">
        <v>36</v>
      </c>
      <c r="AC688" t="s">
        <v>36</v>
      </c>
      <c r="AD688" t="s">
        <v>36</v>
      </c>
      <c r="AE688" t="s">
        <v>36</v>
      </c>
      <c r="AF688" t="s">
        <v>36</v>
      </c>
      <c r="AG688" t="s">
        <v>36</v>
      </c>
    </row>
    <row r="689" spans="1:33" hidden="1" x14ac:dyDescent="0.2">
      <c r="A689">
        <v>688</v>
      </c>
      <c r="B689" t="s">
        <v>271</v>
      </c>
      <c r="C689" t="s">
        <v>33</v>
      </c>
      <c r="D689">
        <v>53</v>
      </c>
      <c r="E689" t="s">
        <v>34</v>
      </c>
      <c r="F689" t="s">
        <v>38</v>
      </c>
      <c r="G689" t="s">
        <v>39</v>
      </c>
      <c r="H689">
        <v>57650</v>
      </c>
      <c r="I689">
        <v>0</v>
      </c>
      <c r="J689">
        <v>0</v>
      </c>
      <c r="K689">
        <v>0</v>
      </c>
      <c r="L689">
        <v>1</v>
      </c>
      <c r="M689" t="s">
        <v>36</v>
      </c>
      <c r="N689" t="s">
        <v>36</v>
      </c>
      <c r="O689" t="s">
        <v>36</v>
      </c>
      <c r="P689" t="s">
        <v>37</v>
      </c>
      <c r="Q689" t="s">
        <v>36</v>
      </c>
      <c r="R689" t="s">
        <v>36</v>
      </c>
      <c r="S689" t="s">
        <v>36</v>
      </c>
      <c r="T689" t="s">
        <v>36</v>
      </c>
      <c r="U689" t="s">
        <v>36</v>
      </c>
      <c r="V689" t="s">
        <v>36</v>
      </c>
      <c r="W689" t="s">
        <v>36</v>
      </c>
      <c r="X689" t="s">
        <v>36</v>
      </c>
      <c r="Y689" t="s">
        <v>36</v>
      </c>
      <c r="Z689" t="s">
        <v>36</v>
      </c>
      <c r="AA689" t="s">
        <v>36</v>
      </c>
      <c r="AB689" t="s">
        <v>36</v>
      </c>
      <c r="AC689" t="s">
        <v>36</v>
      </c>
      <c r="AD689" t="s">
        <v>36</v>
      </c>
      <c r="AE689" t="s">
        <v>36</v>
      </c>
      <c r="AF689" t="s">
        <v>36</v>
      </c>
      <c r="AG689" t="s">
        <v>36</v>
      </c>
    </row>
    <row r="690" spans="1:33" hidden="1" x14ac:dyDescent="0.2">
      <c r="A690">
        <v>689</v>
      </c>
      <c r="B690" t="s">
        <v>271</v>
      </c>
      <c r="C690" t="s">
        <v>33</v>
      </c>
      <c r="D690">
        <v>53</v>
      </c>
      <c r="E690" t="s">
        <v>34</v>
      </c>
      <c r="F690" t="s">
        <v>38</v>
      </c>
      <c r="G690" t="s">
        <v>40</v>
      </c>
      <c r="H690">
        <v>69410</v>
      </c>
      <c r="I690">
        <v>0</v>
      </c>
      <c r="J690">
        <v>1</v>
      </c>
      <c r="K690">
        <v>1</v>
      </c>
      <c r="L690">
        <v>0</v>
      </c>
      <c r="M690" t="s">
        <v>36</v>
      </c>
      <c r="N690" t="s">
        <v>36</v>
      </c>
      <c r="O690" t="s">
        <v>36</v>
      </c>
      <c r="P690" t="s">
        <v>37</v>
      </c>
      <c r="Q690" t="s">
        <v>36</v>
      </c>
      <c r="R690" t="s">
        <v>36</v>
      </c>
      <c r="S690" t="s">
        <v>36</v>
      </c>
      <c r="T690" t="s">
        <v>36</v>
      </c>
      <c r="U690" t="s">
        <v>36</v>
      </c>
      <c r="V690" t="s">
        <v>36</v>
      </c>
      <c r="W690" t="s">
        <v>36</v>
      </c>
      <c r="X690" t="s">
        <v>36</v>
      </c>
      <c r="Y690" t="s">
        <v>36</v>
      </c>
      <c r="Z690" t="s">
        <v>36</v>
      </c>
      <c r="AA690" t="s">
        <v>36</v>
      </c>
      <c r="AB690" t="s">
        <v>36</v>
      </c>
      <c r="AC690" t="s">
        <v>36</v>
      </c>
      <c r="AD690" t="s">
        <v>36</v>
      </c>
      <c r="AE690" t="s">
        <v>36</v>
      </c>
      <c r="AF690" t="s">
        <v>36</v>
      </c>
      <c r="AG690" t="s">
        <v>36</v>
      </c>
    </row>
    <row r="691" spans="1:33" x14ac:dyDescent="0.2">
      <c r="A691">
        <v>690</v>
      </c>
      <c r="B691" t="s">
        <v>271</v>
      </c>
      <c r="C691" t="s">
        <v>33</v>
      </c>
      <c r="D691">
        <v>53</v>
      </c>
      <c r="E691" t="s">
        <v>34</v>
      </c>
      <c r="F691" t="s">
        <v>41</v>
      </c>
      <c r="G691" t="s">
        <v>72</v>
      </c>
      <c r="H691">
        <v>82267</v>
      </c>
      <c r="I691">
        <v>0</v>
      </c>
      <c r="J691">
        <v>0</v>
      </c>
      <c r="K691">
        <v>0</v>
      </c>
      <c r="L691">
        <v>1</v>
      </c>
      <c r="M691" t="s">
        <v>75</v>
      </c>
      <c r="N691" t="s">
        <v>93</v>
      </c>
      <c r="O691" t="s">
        <v>115</v>
      </c>
      <c r="P691" t="s">
        <v>37</v>
      </c>
      <c r="Q691" t="s">
        <v>46</v>
      </c>
      <c r="R691" t="s">
        <v>59</v>
      </c>
      <c r="S691" t="s">
        <v>65</v>
      </c>
      <c r="T691">
        <v>0</v>
      </c>
      <c r="U691">
        <v>1</v>
      </c>
      <c r="V691">
        <v>0</v>
      </c>
      <c r="W691">
        <v>0</v>
      </c>
      <c r="X691">
        <v>1</v>
      </c>
      <c r="Y691">
        <v>0</v>
      </c>
      <c r="Z691">
        <v>1</v>
      </c>
      <c r="AA691">
        <v>0</v>
      </c>
      <c r="AB691">
        <v>0</v>
      </c>
      <c r="AC691">
        <v>0</v>
      </c>
      <c r="AD691">
        <v>0</v>
      </c>
      <c r="AE691">
        <v>0</v>
      </c>
      <c r="AF691">
        <v>0</v>
      </c>
      <c r="AG691">
        <v>1</v>
      </c>
    </row>
    <row r="692" spans="1:33" x14ac:dyDescent="0.2">
      <c r="A692">
        <v>691</v>
      </c>
      <c r="B692" t="s">
        <v>271</v>
      </c>
      <c r="C692" t="s">
        <v>33</v>
      </c>
      <c r="D692">
        <v>53</v>
      </c>
      <c r="E692" t="s">
        <v>34</v>
      </c>
      <c r="F692" t="s">
        <v>41</v>
      </c>
      <c r="G692" t="s">
        <v>49</v>
      </c>
      <c r="H692">
        <v>102175</v>
      </c>
      <c r="I692">
        <v>1</v>
      </c>
      <c r="J692">
        <v>1</v>
      </c>
      <c r="K692">
        <v>1</v>
      </c>
      <c r="L692">
        <v>0</v>
      </c>
      <c r="M692" t="s">
        <v>96</v>
      </c>
      <c r="N692" t="s">
        <v>51</v>
      </c>
      <c r="O692" t="s">
        <v>52</v>
      </c>
      <c r="P692" t="s">
        <v>37</v>
      </c>
      <c r="Q692" t="s">
        <v>65</v>
      </c>
      <c r="R692" t="s">
        <v>47</v>
      </c>
      <c r="S692" t="s">
        <v>46</v>
      </c>
      <c r="T692">
        <v>0</v>
      </c>
      <c r="U692">
        <v>1</v>
      </c>
      <c r="V692">
        <v>0</v>
      </c>
      <c r="W692">
        <v>1</v>
      </c>
      <c r="X692">
        <v>1</v>
      </c>
      <c r="Y692">
        <v>0</v>
      </c>
      <c r="Z692">
        <v>1</v>
      </c>
      <c r="AA692">
        <v>0</v>
      </c>
      <c r="AB692">
        <v>1</v>
      </c>
      <c r="AC692">
        <v>0</v>
      </c>
      <c r="AD692">
        <v>1</v>
      </c>
      <c r="AE692">
        <v>1</v>
      </c>
      <c r="AF692">
        <v>0</v>
      </c>
      <c r="AG692">
        <v>0</v>
      </c>
    </row>
    <row r="693" spans="1:33" hidden="1" x14ac:dyDescent="0.2">
      <c r="A693">
        <v>692</v>
      </c>
      <c r="B693" t="s">
        <v>271</v>
      </c>
      <c r="C693" t="s">
        <v>33</v>
      </c>
      <c r="D693">
        <v>53</v>
      </c>
      <c r="E693" t="s">
        <v>34</v>
      </c>
      <c r="F693" t="s">
        <v>53</v>
      </c>
      <c r="G693" t="s">
        <v>54</v>
      </c>
      <c r="H693">
        <v>72995</v>
      </c>
      <c r="I693">
        <v>0</v>
      </c>
      <c r="J693">
        <v>1</v>
      </c>
      <c r="K693">
        <v>1</v>
      </c>
      <c r="L693">
        <v>0</v>
      </c>
      <c r="M693" t="s">
        <v>36</v>
      </c>
      <c r="N693" t="s">
        <v>36</v>
      </c>
      <c r="O693" t="s">
        <v>36</v>
      </c>
      <c r="P693" t="s">
        <v>37</v>
      </c>
      <c r="Q693" t="s">
        <v>36</v>
      </c>
      <c r="R693" t="s">
        <v>36</v>
      </c>
      <c r="S693" t="s">
        <v>36</v>
      </c>
      <c r="T693" t="s">
        <v>36</v>
      </c>
      <c r="U693">
        <v>1</v>
      </c>
      <c r="V693">
        <v>0</v>
      </c>
      <c r="W693">
        <v>1</v>
      </c>
      <c r="X693">
        <v>1</v>
      </c>
      <c r="Y693">
        <v>0</v>
      </c>
      <c r="Z693">
        <v>1</v>
      </c>
      <c r="AA693">
        <v>0</v>
      </c>
      <c r="AB693">
        <v>1</v>
      </c>
      <c r="AC693">
        <v>0</v>
      </c>
      <c r="AD693">
        <v>1</v>
      </c>
      <c r="AE693">
        <v>1</v>
      </c>
      <c r="AF693">
        <v>0</v>
      </c>
      <c r="AG693">
        <v>0</v>
      </c>
    </row>
    <row r="694" spans="1:33" x14ac:dyDescent="0.2">
      <c r="A694">
        <v>693</v>
      </c>
      <c r="B694" t="s">
        <v>271</v>
      </c>
      <c r="C694" t="s">
        <v>33</v>
      </c>
      <c r="D694">
        <v>53</v>
      </c>
      <c r="E694" t="s">
        <v>34</v>
      </c>
      <c r="F694" t="s">
        <v>41</v>
      </c>
      <c r="G694" t="s">
        <v>55</v>
      </c>
      <c r="H694">
        <v>123896</v>
      </c>
      <c r="I694">
        <v>0</v>
      </c>
      <c r="J694">
        <v>0</v>
      </c>
      <c r="K694">
        <v>0</v>
      </c>
      <c r="L694">
        <v>1</v>
      </c>
      <c r="M694" t="s">
        <v>85</v>
      </c>
      <c r="N694" t="s">
        <v>57</v>
      </c>
      <c r="O694" t="s">
        <v>56</v>
      </c>
      <c r="P694" t="s">
        <v>37</v>
      </c>
      <c r="Q694" t="s">
        <v>65</v>
      </c>
      <c r="R694" t="s">
        <v>48</v>
      </c>
      <c r="S694" t="s">
        <v>59</v>
      </c>
      <c r="T694">
        <v>0</v>
      </c>
      <c r="U694">
        <v>1</v>
      </c>
      <c r="V694">
        <v>1</v>
      </c>
      <c r="W694">
        <v>0</v>
      </c>
      <c r="X694">
        <v>0</v>
      </c>
      <c r="Y694">
        <v>0</v>
      </c>
      <c r="Z694">
        <v>1</v>
      </c>
      <c r="AA694">
        <v>0</v>
      </c>
      <c r="AB694">
        <v>0</v>
      </c>
      <c r="AC694">
        <v>0</v>
      </c>
      <c r="AD694">
        <v>0</v>
      </c>
      <c r="AE694">
        <v>0</v>
      </c>
      <c r="AF694">
        <v>0</v>
      </c>
      <c r="AG694">
        <v>1</v>
      </c>
    </row>
    <row r="695" spans="1:33" x14ac:dyDescent="0.2">
      <c r="A695">
        <v>694</v>
      </c>
      <c r="B695" t="s">
        <v>271</v>
      </c>
      <c r="C695" t="s">
        <v>33</v>
      </c>
      <c r="D695">
        <v>53</v>
      </c>
      <c r="E695" t="s">
        <v>34</v>
      </c>
      <c r="F695" t="s">
        <v>41</v>
      </c>
      <c r="G695" t="s">
        <v>67</v>
      </c>
      <c r="H695">
        <v>43060</v>
      </c>
      <c r="I695">
        <v>1</v>
      </c>
      <c r="J695">
        <v>1</v>
      </c>
      <c r="K695">
        <v>1</v>
      </c>
      <c r="L695">
        <v>0</v>
      </c>
      <c r="M695" t="s">
        <v>109</v>
      </c>
      <c r="N695" t="s">
        <v>68</v>
      </c>
      <c r="O695" t="s">
        <v>86</v>
      </c>
      <c r="P695" t="s">
        <v>37</v>
      </c>
      <c r="Q695" t="s">
        <v>59</v>
      </c>
      <c r="R695" t="s">
        <v>65</v>
      </c>
      <c r="S695" t="s">
        <v>46</v>
      </c>
      <c r="T695">
        <v>0</v>
      </c>
      <c r="U695">
        <v>1</v>
      </c>
      <c r="V695">
        <v>0</v>
      </c>
      <c r="W695">
        <v>0</v>
      </c>
      <c r="X695">
        <v>1</v>
      </c>
      <c r="Y695">
        <v>0</v>
      </c>
      <c r="Z695">
        <v>1</v>
      </c>
      <c r="AA695">
        <v>0</v>
      </c>
      <c r="AB695">
        <v>1</v>
      </c>
      <c r="AC695">
        <v>0</v>
      </c>
      <c r="AD695">
        <v>0</v>
      </c>
      <c r="AE695">
        <v>1</v>
      </c>
      <c r="AF695">
        <v>0</v>
      </c>
      <c r="AG695">
        <v>0</v>
      </c>
    </row>
    <row r="696" spans="1:33" hidden="1" x14ac:dyDescent="0.2">
      <c r="A696">
        <v>695</v>
      </c>
      <c r="B696" t="s">
        <v>271</v>
      </c>
      <c r="C696" t="s">
        <v>33</v>
      </c>
      <c r="D696">
        <v>53</v>
      </c>
      <c r="E696" t="s">
        <v>34</v>
      </c>
      <c r="F696" t="s">
        <v>53</v>
      </c>
      <c r="G696" t="s">
        <v>71</v>
      </c>
      <c r="H696">
        <v>144897</v>
      </c>
      <c r="I696">
        <v>0</v>
      </c>
      <c r="J696">
        <v>0</v>
      </c>
      <c r="K696">
        <v>0</v>
      </c>
      <c r="L696">
        <v>1</v>
      </c>
      <c r="M696" t="s">
        <v>36</v>
      </c>
      <c r="N696" t="s">
        <v>36</v>
      </c>
      <c r="O696" t="s">
        <v>36</v>
      </c>
      <c r="P696" t="s">
        <v>37</v>
      </c>
      <c r="Q696" t="s">
        <v>36</v>
      </c>
      <c r="R696" t="s">
        <v>36</v>
      </c>
      <c r="S696" t="s">
        <v>36</v>
      </c>
      <c r="T696" t="s">
        <v>36</v>
      </c>
      <c r="U696">
        <v>1</v>
      </c>
      <c r="V696">
        <v>0</v>
      </c>
      <c r="W696">
        <v>0</v>
      </c>
      <c r="X696">
        <v>1</v>
      </c>
      <c r="Y696">
        <v>0</v>
      </c>
      <c r="Z696">
        <v>1</v>
      </c>
      <c r="AA696">
        <v>0</v>
      </c>
      <c r="AB696">
        <v>1</v>
      </c>
      <c r="AC696">
        <v>0</v>
      </c>
      <c r="AD696">
        <v>0</v>
      </c>
      <c r="AE696">
        <v>1</v>
      </c>
      <c r="AF696">
        <v>0</v>
      </c>
      <c r="AG696">
        <v>0</v>
      </c>
    </row>
    <row r="697" spans="1:33" x14ac:dyDescent="0.2">
      <c r="A697">
        <v>696</v>
      </c>
      <c r="B697" t="s">
        <v>271</v>
      </c>
      <c r="C697" t="s">
        <v>33</v>
      </c>
      <c r="D697">
        <v>53</v>
      </c>
      <c r="E697" t="s">
        <v>34</v>
      </c>
      <c r="F697" t="s">
        <v>41</v>
      </c>
      <c r="G697" t="s">
        <v>42</v>
      </c>
      <c r="H697">
        <v>42342</v>
      </c>
      <c r="I697">
        <v>0</v>
      </c>
      <c r="J697">
        <v>1</v>
      </c>
      <c r="K697">
        <v>1</v>
      </c>
      <c r="L697">
        <v>0</v>
      </c>
      <c r="M697" t="s">
        <v>45</v>
      </c>
      <c r="N697" t="s">
        <v>44</v>
      </c>
      <c r="O697" t="s">
        <v>82</v>
      </c>
      <c r="P697" t="s">
        <v>37</v>
      </c>
      <c r="Q697" t="s">
        <v>48</v>
      </c>
      <c r="R697" t="s">
        <v>47</v>
      </c>
      <c r="S697" t="s">
        <v>65</v>
      </c>
      <c r="T697">
        <v>0</v>
      </c>
      <c r="U697">
        <v>1</v>
      </c>
      <c r="V697">
        <v>1</v>
      </c>
      <c r="W697">
        <v>1</v>
      </c>
      <c r="X697">
        <v>0</v>
      </c>
      <c r="Y697">
        <v>0</v>
      </c>
      <c r="Z697">
        <v>1</v>
      </c>
      <c r="AA697">
        <v>0</v>
      </c>
      <c r="AB697">
        <v>1</v>
      </c>
      <c r="AC697">
        <v>0</v>
      </c>
      <c r="AD697">
        <v>1</v>
      </c>
      <c r="AE697">
        <v>0</v>
      </c>
      <c r="AF697">
        <v>0</v>
      </c>
      <c r="AG697">
        <v>0</v>
      </c>
    </row>
    <row r="698" spans="1:33" hidden="1" x14ac:dyDescent="0.2">
      <c r="A698">
        <v>697</v>
      </c>
      <c r="B698" t="s">
        <v>271</v>
      </c>
      <c r="C698" t="s">
        <v>33</v>
      </c>
      <c r="D698">
        <v>53</v>
      </c>
      <c r="E698" t="s">
        <v>34</v>
      </c>
      <c r="F698" t="s">
        <v>53</v>
      </c>
      <c r="G698" t="s">
        <v>66</v>
      </c>
      <c r="H698">
        <v>56172</v>
      </c>
      <c r="I698">
        <v>0</v>
      </c>
      <c r="J698">
        <v>1</v>
      </c>
      <c r="K698">
        <v>0</v>
      </c>
      <c r="L698">
        <v>0</v>
      </c>
      <c r="M698" t="s">
        <v>36</v>
      </c>
      <c r="N698" t="s">
        <v>36</v>
      </c>
      <c r="O698" t="s">
        <v>36</v>
      </c>
      <c r="P698" t="s">
        <v>37</v>
      </c>
      <c r="Q698" t="s">
        <v>36</v>
      </c>
      <c r="R698" t="s">
        <v>36</v>
      </c>
      <c r="S698" t="s">
        <v>36</v>
      </c>
      <c r="T698" t="s">
        <v>36</v>
      </c>
      <c r="U698">
        <v>1</v>
      </c>
      <c r="V698">
        <v>1</v>
      </c>
      <c r="W698">
        <v>1</v>
      </c>
      <c r="X698">
        <v>0</v>
      </c>
      <c r="Y698">
        <v>0</v>
      </c>
      <c r="Z698">
        <v>1</v>
      </c>
      <c r="AA698">
        <v>0</v>
      </c>
      <c r="AB698">
        <v>1</v>
      </c>
      <c r="AC698">
        <v>0</v>
      </c>
      <c r="AD698">
        <v>1</v>
      </c>
      <c r="AE698">
        <v>0</v>
      </c>
      <c r="AF698">
        <v>0</v>
      </c>
      <c r="AG698">
        <v>0</v>
      </c>
    </row>
    <row r="699" spans="1:33" x14ac:dyDescent="0.2">
      <c r="A699">
        <v>698</v>
      </c>
      <c r="B699" t="s">
        <v>271</v>
      </c>
      <c r="C699" t="s">
        <v>33</v>
      </c>
      <c r="D699">
        <v>53</v>
      </c>
      <c r="E699" t="s">
        <v>34</v>
      </c>
      <c r="F699" t="s">
        <v>41</v>
      </c>
      <c r="G699" t="s">
        <v>61</v>
      </c>
      <c r="H699">
        <v>43553</v>
      </c>
      <c r="I699">
        <v>1</v>
      </c>
      <c r="J699">
        <v>1</v>
      </c>
      <c r="K699">
        <v>1</v>
      </c>
      <c r="L699">
        <v>0</v>
      </c>
      <c r="M699" t="s">
        <v>63</v>
      </c>
      <c r="N699" t="s">
        <v>62</v>
      </c>
      <c r="O699" t="s">
        <v>64</v>
      </c>
      <c r="P699" t="s">
        <v>37</v>
      </c>
      <c r="Q699" t="s">
        <v>46</v>
      </c>
      <c r="R699" t="s">
        <v>65</v>
      </c>
      <c r="S699" t="s">
        <v>48</v>
      </c>
      <c r="T699">
        <v>0</v>
      </c>
      <c r="U699">
        <v>1</v>
      </c>
      <c r="V699">
        <v>1</v>
      </c>
      <c r="W699">
        <v>0</v>
      </c>
      <c r="X699">
        <v>1</v>
      </c>
      <c r="Y699">
        <v>0</v>
      </c>
      <c r="Z699">
        <v>1</v>
      </c>
      <c r="AA699">
        <v>0</v>
      </c>
      <c r="AB699">
        <v>1</v>
      </c>
      <c r="AC699">
        <v>1</v>
      </c>
      <c r="AD699">
        <v>0</v>
      </c>
      <c r="AE699">
        <v>1</v>
      </c>
      <c r="AF699">
        <v>0</v>
      </c>
      <c r="AG699">
        <v>0</v>
      </c>
    </row>
    <row r="700" spans="1:33" hidden="1" x14ac:dyDescent="0.2">
      <c r="A700">
        <v>699</v>
      </c>
      <c r="B700" t="s">
        <v>271</v>
      </c>
      <c r="C700" t="s">
        <v>33</v>
      </c>
      <c r="D700">
        <v>53</v>
      </c>
      <c r="E700" t="s">
        <v>34</v>
      </c>
      <c r="F700" t="s">
        <v>53</v>
      </c>
      <c r="G700" t="s">
        <v>76</v>
      </c>
      <c r="H700">
        <v>30418</v>
      </c>
      <c r="I700">
        <v>1</v>
      </c>
      <c r="J700">
        <v>0</v>
      </c>
      <c r="K700">
        <v>0</v>
      </c>
      <c r="L700">
        <v>0</v>
      </c>
      <c r="M700" t="s">
        <v>36</v>
      </c>
      <c r="N700" t="s">
        <v>36</v>
      </c>
      <c r="O700" t="s">
        <v>36</v>
      </c>
      <c r="P700" t="s">
        <v>37</v>
      </c>
      <c r="Q700" t="s">
        <v>36</v>
      </c>
      <c r="R700" t="s">
        <v>36</v>
      </c>
      <c r="S700" t="s">
        <v>36</v>
      </c>
      <c r="T700" t="s">
        <v>36</v>
      </c>
      <c r="U700">
        <v>1</v>
      </c>
      <c r="V700">
        <v>1</v>
      </c>
      <c r="W700">
        <v>0</v>
      </c>
      <c r="X700">
        <v>1</v>
      </c>
      <c r="Y700">
        <v>0</v>
      </c>
      <c r="Z700">
        <v>1</v>
      </c>
      <c r="AA700">
        <v>0</v>
      </c>
      <c r="AB700">
        <v>1</v>
      </c>
      <c r="AC700">
        <v>1</v>
      </c>
      <c r="AD700">
        <v>0</v>
      </c>
      <c r="AE700">
        <v>1</v>
      </c>
      <c r="AF700">
        <v>0</v>
      </c>
      <c r="AG700">
        <v>0</v>
      </c>
    </row>
    <row r="701" spans="1:33" hidden="1" x14ac:dyDescent="0.2">
      <c r="A701">
        <v>700</v>
      </c>
      <c r="B701" t="s">
        <v>271</v>
      </c>
      <c r="C701" t="s">
        <v>33</v>
      </c>
      <c r="D701">
        <v>53</v>
      </c>
      <c r="E701" t="s">
        <v>34</v>
      </c>
      <c r="F701" t="s">
        <v>77</v>
      </c>
      <c r="G701" t="s">
        <v>36</v>
      </c>
      <c r="H701">
        <v>235957</v>
      </c>
      <c r="I701" t="s">
        <v>272</v>
      </c>
      <c r="J701" t="s">
        <v>273</v>
      </c>
      <c r="K701" t="s">
        <v>166</v>
      </c>
      <c r="L701" t="s">
        <v>36</v>
      </c>
      <c r="M701" t="s">
        <v>36</v>
      </c>
      <c r="N701" t="s">
        <v>36</v>
      </c>
      <c r="O701" t="s">
        <v>36</v>
      </c>
      <c r="P701" t="s">
        <v>37</v>
      </c>
      <c r="Q701" t="s">
        <v>36</v>
      </c>
      <c r="R701" t="s">
        <v>36</v>
      </c>
      <c r="S701" t="s">
        <v>36</v>
      </c>
      <c r="T701" t="s">
        <v>36</v>
      </c>
      <c r="U701" t="s">
        <v>36</v>
      </c>
      <c r="V701" t="s">
        <v>36</v>
      </c>
      <c r="W701" t="s">
        <v>36</v>
      </c>
      <c r="X701" t="s">
        <v>36</v>
      </c>
      <c r="Y701" t="s">
        <v>36</v>
      </c>
      <c r="Z701" t="s">
        <v>36</v>
      </c>
      <c r="AA701" t="s">
        <v>36</v>
      </c>
      <c r="AB701" t="s">
        <v>36</v>
      </c>
      <c r="AC701" t="s">
        <v>36</v>
      </c>
      <c r="AD701" t="s">
        <v>36</v>
      </c>
      <c r="AE701" t="s">
        <v>36</v>
      </c>
      <c r="AF701" t="s">
        <v>36</v>
      </c>
      <c r="AG701" t="s">
        <v>36</v>
      </c>
    </row>
    <row r="702" spans="1:33" hidden="1" x14ac:dyDescent="0.2">
      <c r="A702">
        <v>701</v>
      </c>
      <c r="B702" t="s">
        <v>274</v>
      </c>
      <c r="C702" t="s">
        <v>108</v>
      </c>
      <c r="D702">
        <v>26</v>
      </c>
      <c r="E702" t="s">
        <v>114</v>
      </c>
      <c r="F702" t="s">
        <v>35</v>
      </c>
      <c r="G702" t="s">
        <v>36</v>
      </c>
      <c r="H702">
        <v>62046</v>
      </c>
      <c r="I702" t="s">
        <v>36</v>
      </c>
      <c r="J702" t="s">
        <v>36</v>
      </c>
      <c r="K702" t="s">
        <v>36</v>
      </c>
      <c r="L702" t="s">
        <v>36</v>
      </c>
      <c r="M702" t="s">
        <v>36</v>
      </c>
      <c r="N702" t="s">
        <v>36</v>
      </c>
      <c r="O702" t="s">
        <v>36</v>
      </c>
      <c r="P702" t="s">
        <v>37</v>
      </c>
      <c r="Q702" t="s">
        <v>36</v>
      </c>
      <c r="R702" t="s">
        <v>36</v>
      </c>
      <c r="S702" t="s">
        <v>36</v>
      </c>
      <c r="T702" t="s">
        <v>36</v>
      </c>
      <c r="U702" t="s">
        <v>36</v>
      </c>
      <c r="V702" t="s">
        <v>36</v>
      </c>
      <c r="W702" t="s">
        <v>36</v>
      </c>
      <c r="X702" t="s">
        <v>36</v>
      </c>
      <c r="Y702" t="s">
        <v>36</v>
      </c>
      <c r="Z702" t="s">
        <v>36</v>
      </c>
      <c r="AA702" t="s">
        <v>36</v>
      </c>
      <c r="AB702" t="s">
        <v>36</v>
      </c>
      <c r="AC702" t="s">
        <v>36</v>
      </c>
      <c r="AD702" t="s">
        <v>36</v>
      </c>
      <c r="AE702" t="s">
        <v>36</v>
      </c>
      <c r="AF702" t="s">
        <v>36</v>
      </c>
      <c r="AG702" t="s">
        <v>36</v>
      </c>
    </row>
    <row r="703" spans="1:33" hidden="1" x14ac:dyDescent="0.2">
      <c r="A703">
        <v>702</v>
      </c>
      <c r="B703" t="s">
        <v>274</v>
      </c>
      <c r="C703" t="s">
        <v>108</v>
      </c>
      <c r="D703">
        <v>26</v>
      </c>
      <c r="E703" t="s">
        <v>114</v>
      </c>
      <c r="F703" t="s">
        <v>38</v>
      </c>
      <c r="G703" t="s">
        <v>40</v>
      </c>
      <c r="H703">
        <v>59967</v>
      </c>
      <c r="I703">
        <v>0</v>
      </c>
      <c r="J703">
        <v>0</v>
      </c>
      <c r="K703">
        <v>1</v>
      </c>
      <c r="L703">
        <v>0</v>
      </c>
      <c r="M703" t="s">
        <v>36</v>
      </c>
      <c r="N703" t="s">
        <v>36</v>
      </c>
      <c r="O703" t="s">
        <v>36</v>
      </c>
      <c r="P703" t="s">
        <v>37</v>
      </c>
      <c r="Q703" t="s">
        <v>36</v>
      </c>
      <c r="R703" t="s">
        <v>36</v>
      </c>
      <c r="S703" t="s">
        <v>36</v>
      </c>
      <c r="T703" t="s">
        <v>36</v>
      </c>
      <c r="U703" t="s">
        <v>36</v>
      </c>
      <c r="V703" t="s">
        <v>36</v>
      </c>
      <c r="W703" t="s">
        <v>36</v>
      </c>
      <c r="X703" t="s">
        <v>36</v>
      </c>
      <c r="Y703" t="s">
        <v>36</v>
      </c>
      <c r="Z703" t="s">
        <v>36</v>
      </c>
      <c r="AA703" t="s">
        <v>36</v>
      </c>
      <c r="AB703" t="s">
        <v>36</v>
      </c>
      <c r="AC703" t="s">
        <v>36</v>
      </c>
      <c r="AD703" t="s">
        <v>36</v>
      </c>
      <c r="AE703" t="s">
        <v>36</v>
      </c>
      <c r="AF703" t="s">
        <v>36</v>
      </c>
      <c r="AG703" t="s">
        <v>36</v>
      </c>
    </row>
    <row r="704" spans="1:33" hidden="1" x14ac:dyDescent="0.2">
      <c r="A704">
        <v>703</v>
      </c>
      <c r="B704" t="s">
        <v>274</v>
      </c>
      <c r="C704" t="s">
        <v>108</v>
      </c>
      <c r="D704">
        <v>26</v>
      </c>
      <c r="E704" t="s">
        <v>114</v>
      </c>
      <c r="F704" t="s">
        <v>38</v>
      </c>
      <c r="G704" t="s">
        <v>39</v>
      </c>
      <c r="H704">
        <v>41077</v>
      </c>
      <c r="I704">
        <v>0</v>
      </c>
      <c r="J704">
        <v>0</v>
      </c>
      <c r="K704">
        <v>0</v>
      </c>
      <c r="L704">
        <v>1</v>
      </c>
      <c r="M704" t="s">
        <v>36</v>
      </c>
      <c r="N704" t="s">
        <v>36</v>
      </c>
      <c r="O704" t="s">
        <v>36</v>
      </c>
      <c r="P704" t="s">
        <v>37</v>
      </c>
      <c r="Q704" t="s">
        <v>36</v>
      </c>
      <c r="R704" t="s">
        <v>36</v>
      </c>
      <c r="S704" t="s">
        <v>36</v>
      </c>
      <c r="T704" t="s">
        <v>36</v>
      </c>
      <c r="U704" t="s">
        <v>36</v>
      </c>
      <c r="V704" t="s">
        <v>36</v>
      </c>
      <c r="W704" t="s">
        <v>36</v>
      </c>
      <c r="X704" t="s">
        <v>36</v>
      </c>
      <c r="Y704" t="s">
        <v>36</v>
      </c>
      <c r="Z704" t="s">
        <v>36</v>
      </c>
      <c r="AA704" t="s">
        <v>36</v>
      </c>
      <c r="AB704" t="s">
        <v>36</v>
      </c>
      <c r="AC704" t="s">
        <v>36</v>
      </c>
      <c r="AD704" t="s">
        <v>36</v>
      </c>
      <c r="AE704" t="s">
        <v>36</v>
      </c>
      <c r="AF704" t="s">
        <v>36</v>
      </c>
      <c r="AG704" t="s">
        <v>36</v>
      </c>
    </row>
    <row r="705" spans="1:33" x14ac:dyDescent="0.2">
      <c r="A705">
        <v>704</v>
      </c>
      <c r="B705" t="s">
        <v>274</v>
      </c>
      <c r="C705" t="s">
        <v>108</v>
      </c>
      <c r="D705">
        <v>26</v>
      </c>
      <c r="E705" t="s">
        <v>114</v>
      </c>
      <c r="F705" t="s">
        <v>41</v>
      </c>
      <c r="G705" t="s">
        <v>72</v>
      </c>
      <c r="H705">
        <v>73968</v>
      </c>
      <c r="I705">
        <v>0</v>
      </c>
      <c r="J705">
        <v>0</v>
      </c>
      <c r="K705">
        <v>0</v>
      </c>
      <c r="L705">
        <v>1</v>
      </c>
      <c r="M705" t="s">
        <v>75</v>
      </c>
      <c r="N705" t="s">
        <v>73</v>
      </c>
      <c r="O705" t="s">
        <v>74</v>
      </c>
      <c r="P705" t="s">
        <v>37</v>
      </c>
      <c r="Q705" t="s">
        <v>46</v>
      </c>
      <c r="R705" t="s">
        <v>48</v>
      </c>
      <c r="S705" t="s">
        <v>47</v>
      </c>
      <c r="T705">
        <v>0</v>
      </c>
      <c r="U705">
        <v>0</v>
      </c>
      <c r="V705">
        <v>1</v>
      </c>
      <c r="W705">
        <v>1</v>
      </c>
      <c r="X705">
        <v>1</v>
      </c>
      <c r="Y705">
        <v>0</v>
      </c>
      <c r="Z705">
        <v>1</v>
      </c>
      <c r="AA705">
        <v>0</v>
      </c>
      <c r="AB705">
        <v>0</v>
      </c>
      <c r="AC705">
        <v>0</v>
      </c>
      <c r="AD705">
        <v>0</v>
      </c>
      <c r="AE705">
        <v>0</v>
      </c>
      <c r="AF705">
        <v>0</v>
      </c>
      <c r="AG705">
        <v>1</v>
      </c>
    </row>
    <row r="706" spans="1:33" x14ac:dyDescent="0.2">
      <c r="A706">
        <v>705</v>
      </c>
      <c r="B706" t="s">
        <v>274</v>
      </c>
      <c r="C706" t="s">
        <v>108</v>
      </c>
      <c r="D706">
        <v>26</v>
      </c>
      <c r="E706" t="s">
        <v>114</v>
      </c>
      <c r="F706" t="s">
        <v>41</v>
      </c>
      <c r="G706" t="s">
        <v>55</v>
      </c>
      <c r="H706">
        <v>102483</v>
      </c>
      <c r="I706">
        <v>0</v>
      </c>
      <c r="J706">
        <v>0</v>
      </c>
      <c r="K706">
        <v>1</v>
      </c>
      <c r="L706">
        <v>0</v>
      </c>
      <c r="M706" t="s">
        <v>56</v>
      </c>
      <c r="N706" t="s">
        <v>84</v>
      </c>
      <c r="O706" t="s">
        <v>94</v>
      </c>
      <c r="P706" t="s">
        <v>37</v>
      </c>
      <c r="Q706" t="s">
        <v>59</v>
      </c>
      <c r="R706" t="s">
        <v>46</v>
      </c>
      <c r="S706" t="s">
        <v>47</v>
      </c>
      <c r="T706">
        <v>0</v>
      </c>
      <c r="U706">
        <v>0</v>
      </c>
      <c r="V706">
        <v>0</v>
      </c>
      <c r="W706">
        <v>1</v>
      </c>
      <c r="X706">
        <v>1</v>
      </c>
      <c r="Y706">
        <v>0</v>
      </c>
      <c r="Z706">
        <v>1</v>
      </c>
      <c r="AA706">
        <v>0</v>
      </c>
      <c r="AB706">
        <v>0</v>
      </c>
      <c r="AC706">
        <v>0</v>
      </c>
      <c r="AD706">
        <v>1</v>
      </c>
      <c r="AE706">
        <v>0</v>
      </c>
      <c r="AF706">
        <v>0</v>
      </c>
      <c r="AG706">
        <v>0</v>
      </c>
    </row>
    <row r="707" spans="1:33" hidden="1" x14ac:dyDescent="0.2">
      <c r="A707">
        <v>706</v>
      </c>
      <c r="B707" t="s">
        <v>274</v>
      </c>
      <c r="C707" t="s">
        <v>108</v>
      </c>
      <c r="D707">
        <v>26</v>
      </c>
      <c r="E707" t="s">
        <v>114</v>
      </c>
      <c r="F707" t="s">
        <v>53</v>
      </c>
      <c r="G707" t="s">
        <v>66</v>
      </c>
      <c r="H707">
        <v>34000</v>
      </c>
      <c r="I707">
        <v>1</v>
      </c>
      <c r="J707">
        <v>0</v>
      </c>
      <c r="K707">
        <v>0</v>
      </c>
      <c r="L707">
        <v>0</v>
      </c>
      <c r="M707" t="s">
        <v>36</v>
      </c>
      <c r="N707" t="s">
        <v>36</v>
      </c>
      <c r="O707" t="s">
        <v>36</v>
      </c>
      <c r="P707" t="s">
        <v>37</v>
      </c>
      <c r="Q707" t="s">
        <v>36</v>
      </c>
      <c r="R707" t="s">
        <v>36</v>
      </c>
      <c r="S707" t="s">
        <v>36</v>
      </c>
      <c r="T707" t="s">
        <v>36</v>
      </c>
      <c r="U707">
        <v>0</v>
      </c>
      <c r="V707">
        <v>0</v>
      </c>
      <c r="W707">
        <v>1</v>
      </c>
      <c r="X707">
        <v>1</v>
      </c>
      <c r="Y707">
        <v>0</v>
      </c>
      <c r="Z707">
        <v>1</v>
      </c>
      <c r="AA707">
        <v>0</v>
      </c>
      <c r="AB707">
        <v>0</v>
      </c>
      <c r="AC707">
        <v>0</v>
      </c>
      <c r="AD707">
        <v>1</v>
      </c>
      <c r="AE707">
        <v>0</v>
      </c>
      <c r="AF707">
        <v>0</v>
      </c>
      <c r="AG707">
        <v>0</v>
      </c>
    </row>
    <row r="708" spans="1:33" x14ac:dyDescent="0.2">
      <c r="A708">
        <v>707</v>
      </c>
      <c r="B708" t="s">
        <v>274</v>
      </c>
      <c r="C708" t="s">
        <v>108</v>
      </c>
      <c r="D708">
        <v>26</v>
      </c>
      <c r="E708" t="s">
        <v>114</v>
      </c>
      <c r="F708" t="s">
        <v>41</v>
      </c>
      <c r="G708" t="s">
        <v>42</v>
      </c>
      <c r="H708">
        <v>68963</v>
      </c>
      <c r="I708">
        <v>0</v>
      </c>
      <c r="J708">
        <v>1</v>
      </c>
      <c r="K708">
        <v>0</v>
      </c>
      <c r="L708">
        <v>0</v>
      </c>
      <c r="M708" t="s">
        <v>102</v>
      </c>
      <c r="N708" t="s">
        <v>82</v>
      </c>
      <c r="O708" t="s">
        <v>44</v>
      </c>
      <c r="P708" t="s">
        <v>37</v>
      </c>
      <c r="Q708" t="s">
        <v>59</v>
      </c>
      <c r="R708" t="s">
        <v>65</v>
      </c>
      <c r="S708" t="s">
        <v>47</v>
      </c>
      <c r="T708">
        <v>0</v>
      </c>
      <c r="U708">
        <v>1</v>
      </c>
      <c r="V708">
        <v>0</v>
      </c>
      <c r="W708">
        <v>1</v>
      </c>
      <c r="X708">
        <v>0</v>
      </c>
      <c r="Y708">
        <v>0</v>
      </c>
      <c r="Z708">
        <v>1</v>
      </c>
      <c r="AA708">
        <v>0</v>
      </c>
      <c r="AB708">
        <v>1</v>
      </c>
      <c r="AC708">
        <v>0</v>
      </c>
      <c r="AD708">
        <v>0</v>
      </c>
      <c r="AE708">
        <v>0</v>
      </c>
      <c r="AF708">
        <v>0</v>
      </c>
      <c r="AG708">
        <v>0</v>
      </c>
    </row>
    <row r="709" spans="1:33" x14ac:dyDescent="0.2">
      <c r="A709">
        <v>708</v>
      </c>
      <c r="B709" t="s">
        <v>274</v>
      </c>
      <c r="C709" t="s">
        <v>108</v>
      </c>
      <c r="D709">
        <v>26</v>
      </c>
      <c r="E709" t="s">
        <v>114</v>
      </c>
      <c r="F709" t="s">
        <v>41</v>
      </c>
      <c r="G709" t="s">
        <v>49</v>
      </c>
      <c r="H709">
        <v>26027</v>
      </c>
      <c r="I709">
        <v>0</v>
      </c>
      <c r="J709">
        <v>0</v>
      </c>
      <c r="K709">
        <v>0</v>
      </c>
      <c r="L709">
        <v>1</v>
      </c>
      <c r="M709" t="s">
        <v>50</v>
      </c>
      <c r="N709" t="s">
        <v>83</v>
      </c>
      <c r="O709" t="s">
        <v>52</v>
      </c>
      <c r="P709" t="s">
        <v>37</v>
      </c>
      <c r="Q709" t="s">
        <v>48</v>
      </c>
      <c r="R709" t="s">
        <v>59</v>
      </c>
      <c r="S709" t="s">
        <v>46</v>
      </c>
      <c r="T709">
        <v>0</v>
      </c>
      <c r="U709">
        <v>0</v>
      </c>
      <c r="V709">
        <v>1</v>
      </c>
      <c r="W709">
        <v>0</v>
      </c>
      <c r="X709">
        <v>1</v>
      </c>
      <c r="Y709">
        <v>0</v>
      </c>
      <c r="Z709">
        <v>1</v>
      </c>
      <c r="AA709">
        <v>0</v>
      </c>
      <c r="AB709">
        <v>0</v>
      </c>
      <c r="AC709">
        <v>0</v>
      </c>
      <c r="AD709">
        <v>0</v>
      </c>
      <c r="AE709">
        <v>0</v>
      </c>
      <c r="AF709">
        <v>0</v>
      </c>
      <c r="AG709">
        <v>1</v>
      </c>
    </row>
    <row r="710" spans="1:33" hidden="1" x14ac:dyDescent="0.2">
      <c r="A710">
        <v>709</v>
      </c>
      <c r="B710" t="s">
        <v>274</v>
      </c>
      <c r="C710" t="s">
        <v>108</v>
      </c>
      <c r="D710">
        <v>26</v>
      </c>
      <c r="E710" t="s">
        <v>114</v>
      </c>
      <c r="F710" t="s">
        <v>53</v>
      </c>
      <c r="G710" t="s">
        <v>54</v>
      </c>
      <c r="H710">
        <v>114156</v>
      </c>
      <c r="I710">
        <v>1</v>
      </c>
      <c r="J710">
        <v>0</v>
      </c>
      <c r="K710">
        <v>1</v>
      </c>
      <c r="L710">
        <v>0</v>
      </c>
      <c r="M710" t="s">
        <v>36</v>
      </c>
      <c r="N710" t="s">
        <v>36</v>
      </c>
      <c r="O710" t="s">
        <v>36</v>
      </c>
      <c r="P710" t="s">
        <v>37</v>
      </c>
      <c r="Q710" t="s">
        <v>36</v>
      </c>
      <c r="R710" t="s">
        <v>36</v>
      </c>
      <c r="S710" t="s">
        <v>36</v>
      </c>
      <c r="T710" t="s">
        <v>36</v>
      </c>
      <c r="U710">
        <v>0</v>
      </c>
      <c r="V710">
        <v>1</v>
      </c>
      <c r="W710">
        <v>0</v>
      </c>
      <c r="X710">
        <v>1</v>
      </c>
      <c r="Y710">
        <v>0</v>
      </c>
      <c r="Z710">
        <v>1</v>
      </c>
      <c r="AA710">
        <v>0</v>
      </c>
      <c r="AB710">
        <v>0</v>
      </c>
      <c r="AC710">
        <v>0</v>
      </c>
      <c r="AD710">
        <v>0</v>
      </c>
      <c r="AE710">
        <v>0</v>
      </c>
      <c r="AF710">
        <v>0</v>
      </c>
      <c r="AG710">
        <v>1</v>
      </c>
    </row>
    <row r="711" spans="1:33" x14ac:dyDescent="0.2">
      <c r="A711">
        <v>710</v>
      </c>
      <c r="B711" t="s">
        <v>274</v>
      </c>
      <c r="C711" t="s">
        <v>108</v>
      </c>
      <c r="D711">
        <v>26</v>
      </c>
      <c r="E711" t="s">
        <v>114</v>
      </c>
      <c r="F711" t="s">
        <v>41</v>
      </c>
      <c r="G711" t="s">
        <v>61</v>
      </c>
      <c r="H711">
        <v>188065</v>
      </c>
      <c r="I711">
        <v>0</v>
      </c>
      <c r="J711">
        <v>1</v>
      </c>
      <c r="K711">
        <v>0</v>
      </c>
      <c r="L711">
        <v>0</v>
      </c>
      <c r="M711" t="s">
        <v>64</v>
      </c>
      <c r="N711" t="s">
        <v>87</v>
      </c>
      <c r="O711" t="s">
        <v>63</v>
      </c>
      <c r="P711" t="s">
        <v>37</v>
      </c>
      <c r="Q711" t="s">
        <v>48</v>
      </c>
      <c r="R711" t="s">
        <v>47</v>
      </c>
      <c r="S711" t="s">
        <v>46</v>
      </c>
      <c r="T711">
        <v>0</v>
      </c>
      <c r="U711">
        <v>0</v>
      </c>
      <c r="V711">
        <v>1</v>
      </c>
      <c r="W711">
        <v>1</v>
      </c>
      <c r="X711">
        <v>1</v>
      </c>
      <c r="Y711">
        <v>0</v>
      </c>
      <c r="Z711">
        <v>1</v>
      </c>
      <c r="AA711">
        <v>0</v>
      </c>
      <c r="AB711">
        <v>0</v>
      </c>
      <c r="AC711">
        <v>0</v>
      </c>
      <c r="AD711">
        <v>1</v>
      </c>
      <c r="AE711">
        <v>0</v>
      </c>
      <c r="AF711">
        <v>0</v>
      </c>
      <c r="AG711">
        <v>0</v>
      </c>
    </row>
    <row r="712" spans="1:33" hidden="1" x14ac:dyDescent="0.2">
      <c r="A712">
        <v>711</v>
      </c>
      <c r="B712" t="s">
        <v>274</v>
      </c>
      <c r="C712" t="s">
        <v>108</v>
      </c>
      <c r="D712">
        <v>26</v>
      </c>
      <c r="E712" t="s">
        <v>114</v>
      </c>
      <c r="F712" t="s">
        <v>53</v>
      </c>
      <c r="G712" t="s">
        <v>71</v>
      </c>
      <c r="H712">
        <v>42413</v>
      </c>
      <c r="I712">
        <v>0</v>
      </c>
      <c r="J712">
        <v>1</v>
      </c>
      <c r="K712">
        <v>0</v>
      </c>
      <c r="L712">
        <v>0</v>
      </c>
      <c r="M712" t="s">
        <v>36</v>
      </c>
      <c r="N712" t="s">
        <v>36</v>
      </c>
      <c r="O712" t="s">
        <v>36</v>
      </c>
      <c r="P712" t="s">
        <v>37</v>
      </c>
      <c r="Q712" t="s">
        <v>36</v>
      </c>
      <c r="R712" t="s">
        <v>36</v>
      </c>
      <c r="S712" t="s">
        <v>36</v>
      </c>
      <c r="T712" t="s">
        <v>36</v>
      </c>
      <c r="U712">
        <v>0</v>
      </c>
      <c r="V712">
        <v>1</v>
      </c>
      <c r="W712">
        <v>1</v>
      </c>
      <c r="X712">
        <v>1</v>
      </c>
      <c r="Y712">
        <v>0</v>
      </c>
      <c r="Z712">
        <v>1</v>
      </c>
      <c r="AA712">
        <v>0</v>
      </c>
      <c r="AB712">
        <v>0</v>
      </c>
      <c r="AC712">
        <v>0</v>
      </c>
      <c r="AD712">
        <v>1</v>
      </c>
      <c r="AE712">
        <v>0</v>
      </c>
      <c r="AF712">
        <v>0</v>
      </c>
      <c r="AG712">
        <v>0</v>
      </c>
    </row>
    <row r="713" spans="1:33" x14ac:dyDescent="0.2">
      <c r="A713">
        <v>712</v>
      </c>
      <c r="B713" t="s">
        <v>274</v>
      </c>
      <c r="C713" t="s">
        <v>108</v>
      </c>
      <c r="D713">
        <v>26</v>
      </c>
      <c r="E713" t="s">
        <v>114</v>
      </c>
      <c r="F713" t="s">
        <v>41</v>
      </c>
      <c r="G713" t="s">
        <v>67</v>
      </c>
      <c r="H713">
        <v>47654</v>
      </c>
      <c r="I713">
        <v>1</v>
      </c>
      <c r="J713">
        <v>0</v>
      </c>
      <c r="K713">
        <v>1</v>
      </c>
      <c r="L713">
        <v>0</v>
      </c>
      <c r="M713" t="s">
        <v>103</v>
      </c>
      <c r="N713" t="s">
        <v>86</v>
      </c>
      <c r="O713" t="s">
        <v>68</v>
      </c>
      <c r="P713" t="s">
        <v>37</v>
      </c>
      <c r="Q713" t="s">
        <v>60</v>
      </c>
      <c r="R713" t="s">
        <v>46</v>
      </c>
      <c r="S713" t="s">
        <v>65</v>
      </c>
      <c r="T713">
        <v>1</v>
      </c>
      <c r="U713">
        <v>1</v>
      </c>
      <c r="V713">
        <v>0</v>
      </c>
      <c r="W713">
        <v>0</v>
      </c>
      <c r="X713">
        <v>1</v>
      </c>
      <c r="Y713">
        <v>0</v>
      </c>
      <c r="Z713">
        <v>1</v>
      </c>
      <c r="AA713">
        <v>1</v>
      </c>
      <c r="AB713">
        <v>1</v>
      </c>
      <c r="AC713">
        <v>0</v>
      </c>
      <c r="AD713">
        <v>0</v>
      </c>
      <c r="AE713">
        <v>0</v>
      </c>
      <c r="AF713">
        <v>0</v>
      </c>
      <c r="AG713">
        <v>0</v>
      </c>
    </row>
    <row r="714" spans="1:33" hidden="1" x14ac:dyDescent="0.2">
      <c r="A714">
        <v>713</v>
      </c>
      <c r="B714" t="s">
        <v>274</v>
      </c>
      <c r="C714" t="s">
        <v>108</v>
      </c>
      <c r="D714">
        <v>26</v>
      </c>
      <c r="E714" t="s">
        <v>114</v>
      </c>
      <c r="F714" t="s">
        <v>53</v>
      </c>
      <c r="G714" t="s">
        <v>76</v>
      </c>
      <c r="H714">
        <v>29366</v>
      </c>
      <c r="I714">
        <v>1</v>
      </c>
      <c r="J714">
        <v>0</v>
      </c>
      <c r="K714">
        <v>0</v>
      </c>
      <c r="L714">
        <v>0</v>
      </c>
      <c r="M714" t="s">
        <v>36</v>
      </c>
      <c r="N714" t="s">
        <v>36</v>
      </c>
      <c r="O714" t="s">
        <v>36</v>
      </c>
      <c r="P714" t="s">
        <v>37</v>
      </c>
      <c r="Q714" t="s">
        <v>36</v>
      </c>
      <c r="R714" t="s">
        <v>36</v>
      </c>
      <c r="S714" t="s">
        <v>36</v>
      </c>
      <c r="T714" t="s">
        <v>36</v>
      </c>
      <c r="U714">
        <v>1</v>
      </c>
      <c r="V714">
        <v>0</v>
      </c>
      <c r="W714">
        <v>0</v>
      </c>
      <c r="X714">
        <v>1</v>
      </c>
      <c r="Y714">
        <v>0</v>
      </c>
      <c r="Z714">
        <v>1</v>
      </c>
      <c r="AA714">
        <v>1</v>
      </c>
      <c r="AB714">
        <v>1</v>
      </c>
      <c r="AC714">
        <v>0</v>
      </c>
      <c r="AD714">
        <v>0</v>
      </c>
      <c r="AE714">
        <v>0</v>
      </c>
      <c r="AF714">
        <v>0</v>
      </c>
      <c r="AG714">
        <v>0</v>
      </c>
    </row>
    <row r="715" spans="1:33" hidden="1" x14ac:dyDescent="0.2">
      <c r="A715">
        <v>714</v>
      </c>
      <c r="B715" t="s">
        <v>274</v>
      </c>
      <c r="C715" t="s">
        <v>108</v>
      </c>
      <c r="D715">
        <v>26</v>
      </c>
      <c r="E715" t="s">
        <v>114</v>
      </c>
      <c r="F715" t="s">
        <v>77</v>
      </c>
      <c r="G715" t="s">
        <v>36</v>
      </c>
      <c r="H715">
        <v>288554</v>
      </c>
      <c r="I715" t="s">
        <v>275</v>
      </c>
      <c r="J715" t="s">
        <v>276</v>
      </c>
      <c r="K715" t="s">
        <v>277</v>
      </c>
      <c r="L715" t="s">
        <v>36</v>
      </c>
      <c r="M715" t="s">
        <v>36</v>
      </c>
      <c r="N715" t="s">
        <v>36</v>
      </c>
      <c r="O715" t="s">
        <v>36</v>
      </c>
      <c r="P715" t="s">
        <v>37</v>
      </c>
      <c r="Q715" t="s">
        <v>36</v>
      </c>
      <c r="R715" t="s">
        <v>36</v>
      </c>
      <c r="S715" t="s">
        <v>36</v>
      </c>
      <c r="T715" t="s">
        <v>36</v>
      </c>
      <c r="U715" t="s">
        <v>36</v>
      </c>
      <c r="V715" t="s">
        <v>36</v>
      </c>
      <c r="W715" t="s">
        <v>36</v>
      </c>
      <c r="X715" t="s">
        <v>36</v>
      </c>
      <c r="Y715" t="s">
        <v>36</v>
      </c>
      <c r="Z715" t="s">
        <v>36</v>
      </c>
      <c r="AA715" t="s">
        <v>36</v>
      </c>
      <c r="AB715" t="s">
        <v>36</v>
      </c>
      <c r="AC715" t="s">
        <v>36</v>
      </c>
      <c r="AD715" t="s">
        <v>36</v>
      </c>
      <c r="AE715" t="s">
        <v>36</v>
      </c>
      <c r="AF715" t="s">
        <v>36</v>
      </c>
      <c r="AG715" t="s">
        <v>36</v>
      </c>
    </row>
    <row r="716" spans="1:33" hidden="1" x14ac:dyDescent="0.2">
      <c r="A716">
        <v>715</v>
      </c>
      <c r="B716" t="s">
        <v>278</v>
      </c>
      <c r="C716" t="s">
        <v>108</v>
      </c>
      <c r="D716">
        <v>63</v>
      </c>
      <c r="E716" t="s">
        <v>34</v>
      </c>
      <c r="F716" t="s">
        <v>35</v>
      </c>
      <c r="G716" t="s">
        <v>36</v>
      </c>
      <c r="H716">
        <v>84619</v>
      </c>
      <c r="I716" t="s">
        <v>36</v>
      </c>
      <c r="J716" t="s">
        <v>36</v>
      </c>
      <c r="K716" t="s">
        <v>36</v>
      </c>
      <c r="L716" t="s">
        <v>36</v>
      </c>
      <c r="M716" t="s">
        <v>36</v>
      </c>
      <c r="N716" t="s">
        <v>36</v>
      </c>
      <c r="O716" t="s">
        <v>36</v>
      </c>
      <c r="P716" t="s">
        <v>37</v>
      </c>
      <c r="Q716" t="s">
        <v>36</v>
      </c>
      <c r="R716" t="s">
        <v>36</v>
      </c>
      <c r="S716" t="s">
        <v>36</v>
      </c>
      <c r="T716" t="s">
        <v>36</v>
      </c>
      <c r="U716" t="s">
        <v>36</v>
      </c>
      <c r="V716" t="s">
        <v>36</v>
      </c>
      <c r="W716" t="s">
        <v>36</v>
      </c>
      <c r="X716" t="s">
        <v>36</v>
      </c>
      <c r="Y716" t="s">
        <v>36</v>
      </c>
      <c r="Z716" t="s">
        <v>36</v>
      </c>
      <c r="AA716" t="s">
        <v>36</v>
      </c>
      <c r="AB716" t="s">
        <v>36</v>
      </c>
      <c r="AC716" t="s">
        <v>36</v>
      </c>
      <c r="AD716" t="s">
        <v>36</v>
      </c>
      <c r="AE716" t="s">
        <v>36</v>
      </c>
      <c r="AF716" t="s">
        <v>36</v>
      </c>
      <c r="AG716" t="s">
        <v>36</v>
      </c>
    </row>
    <row r="717" spans="1:33" hidden="1" x14ac:dyDescent="0.2">
      <c r="A717">
        <v>716</v>
      </c>
      <c r="B717" t="s">
        <v>278</v>
      </c>
      <c r="C717" t="s">
        <v>108</v>
      </c>
      <c r="D717">
        <v>63</v>
      </c>
      <c r="E717" t="s">
        <v>34</v>
      </c>
      <c r="F717" t="s">
        <v>38</v>
      </c>
      <c r="G717" t="s">
        <v>40</v>
      </c>
      <c r="H717">
        <v>40633</v>
      </c>
      <c r="I717">
        <v>0</v>
      </c>
      <c r="J717">
        <v>0</v>
      </c>
      <c r="K717">
        <v>1</v>
      </c>
      <c r="L717">
        <v>0</v>
      </c>
      <c r="M717" t="s">
        <v>36</v>
      </c>
      <c r="N717" t="s">
        <v>36</v>
      </c>
      <c r="O717" t="s">
        <v>36</v>
      </c>
      <c r="P717" t="s">
        <v>37</v>
      </c>
      <c r="Q717" t="s">
        <v>36</v>
      </c>
      <c r="R717" t="s">
        <v>36</v>
      </c>
      <c r="S717" t="s">
        <v>36</v>
      </c>
      <c r="T717" t="s">
        <v>36</v>
      </c>
      <c r="U717" t="s">
        <v>36</v>
      </c>
      <c r="V717" t="s">
        <v>36</v>
      </c>
      <c r="W717" t="s">
        <v>36</v>
      </c>
      <c r="X717" t="s">
        <v>36</v>
      </c>
      <c r="Y717" t="s">
        <v>36</v>
      </c>
      <c r="Z717" t="s">
        <v>36</v>
      </c>
      <c r="AA717" t="s">
        <v>36</v>
      </c>
      <c r="AB717" t="s">
        <v>36</v>
      </c>
      <c r="AC717" t="s">
        <v>36</v>
      </c>
      <c r="AD717" t="s">
        <v>36</v>
      </c>
      <c r="AE717" t="s">
        <v>36</v>
      </c>
      <c r="AF717" t="s">
        <v>36</v>
      </c>
      <c r="AG717" t="s">
        <v>36</v>
      </c>
    </row>
    <row r="718" spans="1:33" hidden="1" x14ac:dyDescent="0.2">
      <c r="A718">
        <v>717</v>
      </c>
      <c r="B718" t="s">
        <v>278</v>
      </c>
      <c r="C718" t="s">
        <v>108</v>
      </c>
      <c r="D718">
        <v>63</v>
      </c>
      <c r="E718" t="s">
        <v>34</v>
      </c>
      <c r="F718" t="s">
        <v>38</v>
      </c>
      <c r="G718" t="s">
        <v>39</v>
      </c>
      <c r="H718">
        <v>50547</v>
      </c>
      <c r="I718">
        <v>0</v>
      </c>
      <c r="J718">
        <v>0</v>
      </c>
      <c r="K718">
        <v>0</v>
      </c>
      <c r="L718">
        <v>1</v>
      </c>
      <c r="M718" t="s">
        <v>36</v>
      </c>
      <c r="N718" t="s">
        <v>36</v>
      </c>
      <c r="O718" t="s">
        <v>36</v>
      </c>
      <c r="P718" t="s">
        <v>37</v>
      </c>
      <c r="Q718" t="s">
        <v>36</v>
      </c>
      <c r="R718" t="s">
        <v>36</v>
      </c>
      <c r="S718" t="s">
        <v>36</v>
      </c>
      <c r="T718" t="s">
        <v>36</v>
      </c>
      <c r="U718" t="s">
        <v>36</v>
      </c>
      <c r="V718" t="s">
        <v>36</v>
      </c>
      <c r="W718" t="s">
        <v>36</v>
      </c>
      <c r="X718" t="s">
        <v>36</v>
      </c>
      <c r="Y718" t="s">
        <v>36</v>
      </c>
      <c r="Z718" t="s">
        <v>36</v>
      </c>
      <c r="AA718" t="s">
        <v>36</v>
      </c>
      <c r="AB718" t="s">
        <v>36</v>
      </c>
      <c r="AC718" t="s">
        <v>36</v>
      </c>
      <c r="AD718" t="s">
        <v>36</v>
      </c>
      <c r="AE718" t="s">
        <v>36</v>
      </c>
      <c r="AF718" t="s">
        <v>36</v>
      </c>
      <c r="AG718" t="s">
        <v>36</v>
      </c>
    </row>
    <row r="719" spans="1:33" x14ac:dyDescent="0.2">
      <c r="A719">
        <v>718</v>
      </c>
      <c r="B719" t="s">
        <v>278</v>
      </c>
      <c r="C719" t="s">
        <v>108</v>
      </c>
      <c r="D719">
        <v>63</v>
      </c>
      <c r="E719" t="s">
        <v>34</v>
      </c>
      <c r="F719" t="s">
        <v>41</v>
      </c>
      <c r="G719" t="s">
        <v>67</v>
      </c>
      <c r="H719">
        <v>88200</v>
      </c>
      <c r="I719">
        <v>0</v>
      </c>
      <c r="J719">
        <v>0</v>
      </c>
      <c r="K719">
        <v>0</v>
      </c>
      <c r="L719">
        <v>1</v>
      </c>
      <c r="M719" t="s">
        <v>70</v>
      </c>
      <c r="N719" t="s">
        <v>109</v>
      </c>
      <c r="O719" t="s">
        <v>68</v>
      </c>
      <c r="P719" t="s">
        <v>37</v>
      </c>
      <c r="Q719" t="s">
        <v>47</v>
      </c>
      <c r="R719" t="s">
        <v>59</v>
      </c>
      <c r="S719" t="s">
        <v>65</v>
      </c>
      <c r="T719">
        <v>0</v>
      </c>
      <c r="U719">
        <v>1</v>
      </c>
      <c r="V719">
        <v>0</v>
      </c>
      <c r="W719">
        <v>1</v>
      </c>
      <c r="X719">
        <v>0</v>
      </c>
      <c r="Y719">
        <v>0</v>
      </c>
      <c r="Z719">
        <v>1</v>
      </c>
      <c r="AA719">
        <v>0</v>
      </c>
      <c r="AB719">
        <v>0</v>
      </c>
      <c r="AC719">
        <v>0</v>
      </c>
      <c r="AD719">
        <v>0</v>
      </c>
      <c r="AE719">
        <v>0</v>
      </c>
      <c r="AF719">
        <v>0</v>
      </c>
      <c r="AG719">
        <v>1</v>
      </c>
    </row>
    <row r="720" spans="1:33" x14ac:dyDescent="0.2">
      <c r="A720">
        <v>719</v>
      </c>
      <c r="B720" t="s">
        <v>278</v>
      </c>
      <c r="C720" t="s">
        <v>108</v>
      </c>
      <c r="D720">
        <v>63</v>
      </c>
      <c r="E720" t="s">
        <v>34</v>
      </c>
      <c r="F720" t="s">
        <v>41</v>
      </c>
      <c r="G720" t="s">
        <v>42</v>
      </c>
      <c r="H720">
        <v>121271</v>
      </c>
      <c r="I720">
        <v>1</v>
      </c>
      <c r="J720">
        <v>0</v>
      </c>
      <c r="K720">
        <v>0</v>
      </c>
      <c r="L720">
        <v>0</v>
      </c>
      <c r="M720" t="s">
        <v>82</v>
      </c>
      <c r="N720" t="s">
        <v>43</v>
      </c>
      <c r="O720" t="s">
        <v>44</v>
      </c>
      <c r="P720" t="s">
        <v>37</v>
      </c>
      <c r="Q720" t="s">
        <v>65</v>
      </c>
      <c r="R720" t="s">
        <v>46</v>
      </c>
      <c r="S720" t="s">
        <v>47</v>
      </c>
      <c r="T720">
        <v>0</v>
      </c>
      <c r="U720">
        <v>1</v>
      </c>
      <c r="V720">
        <v>0</v>
      </c>
      <c r="W720">
        <v>1</v>
      </c>
      <c r="X720">
        <v>1</v>
      </c>
      <c r="Y720">
        <v>0</v>
      </c>
      <c r="Z720">
        <v>1</v>
      </c>
      <c r="AA720">
        <v>0</v>
      </c>
      <c r="AB720">
        <v>1</v>
      </c>
      <c r="AC720">
        <v>0</v>
      </c>
      <c r="AD720">
        <v>0</v>
      </c>
      <c r="AE720">
        <v>0</v>
      </c>
      <c r="AF720">
        <v>0</v>
      </c>
      <c r="AG720">
        <v>0</v>
      </c>
    </row>
    <row r="721" spans="1:33" hidden="1" x14ac:dyDescent="0.2">
      <c r="A721">
        <v>720</v>
      </c>
      <c r="B721" t="s">
        <v>278</v>
      </c>
      <c r="C721" t="s">
        <v>108</v>
      </c>
      <c r="D721">
        <v>63</v>
      </c>
      <c r="E721" t="s">
        <v>34</v>
      </c>
      <c r="F721" t="s">
        <v>53</v>
      </c>
      <c r="G721" t="s">
        <v>66</v>
      </c>
      <c r="H721">
        <v>103100</v>
      </c>
      <c r="I721">
        <v>1</v>
      </c>
      <c r="J721">
        <v>1</v>
      </c>
      <c r="K721">
        <v>0</v>
      </c>
      <c r="L721">
        <v>0</v>
      </c>
      <c r="M721" t="s">
        <v>36</v>
      </c>
      <c r="N721" t="s">
        <v>36</v>
      </c>
      <c r="O721" t="s">
        <v>36</v>
      </c>
      <c r="P721" t="s">
        <v>37</v>
      </c>
      <c r="Q721" t="s">
        <v>36</v>
      </c>
      <c r="R721" t="s">
        <v>36</v>
      </c>
      <c r="S721" t="s">
        <v>36</v>
      </c>
      <c r="T721" t="s">
        <v>36</v>
      </c>
      <c r="U721">
        <v>1</v>
      </c>
      <c r="V721">
        <v>0</v>
      </c>
      <c r="W721">
        <v>1</v>
      </c>
      <c r="X721">
        <v>1</v>
      </c>
      <c r="Y721">
        <v>0</v>
      </c>
      <c r="Z721">
        <v>1</v>
      </c>
      <c r="AA721">
        <v>0</v>
      </c>
      <c r="AB721">
        <v>1</v>
      </c>
      <c r="AC721">
        <v>0</v>
      </c>
      <c r="AD721">
        <v>0</v>
      </c>
      <c r="AE721">
        <v>0</v>
      </c>
      <c r="AF721">
        <v>0</v>
      </c>
      <c r="AG721">
        <v>0</v>
      </c>
    </row>
    <row r="722" spans="1:33" x14ac:dyDescent="0.2">
      <c r="A722">
        <v>721</v>
      </c>
      <c r="B722" t="s">
        <v>278</v>
      </c>
      <c r="C722" t="s">
        <v>108</v>
      </c>
      <c r="D722">
        <v>63</v>
      </c>
      <c r="E722" t="s">
        <v>34</v>
      </c>
      <c r="F722" t="s">
        <v>41</v>
      </c>
      <c r="G722" t="s">
        <v>49</v>
      </c>
      <c r="H722">
        <v>48034</v>
      </c>
      <c r="I722">
        <v>0</v>
      </c>
      <c r="J722">
        <v>0</v>
      </c>
      <c r="K722">
        <v>1</v>
      </c>
      <c r="L722">
        <v>0</v>
      </c>
      <c r="M722" t="s">
        <v>51</v>
      </c>
      <c r="N722" t="s">
        <v>50</v>
      </c>
      <c r="O722" t="s">
        <v>95</v>
      </c>
      <c r="P722" t="s">
        <v>37</v>
      </c>
      <c r="Q722" t="s">
        <v>47</v>
      </c>
      <c r="R722" t="s">
        <v>48</v>
      </c>
      <c r="S722" t="s">
        <v>60</v>
      </c>
      <c r="T722">
        <v>1</v>
      </c>
      <c r="U722">
        <v>0</v>
      </c>
      <c r="V722">
        <v>1</v>
      </c>
      <c r="W722">
        <v>1</v>
      </c>
      <c r="X722">
        <v>0</v>
      </c>
      <c r="Y722">
        <v>0</v>
      </c>
      <c r="Z722">
        <v>1</v>
      </c>
      <c r="AA722">
        <v>1</v>
      </c>
      <c r="AB722">
        <v>0</v>
      </c>
      <c r="AC722">
        <v>0</v>
      </c>
      <c r="AD722">
        <v>0</v>
      </c>
      <c r="AE722">
        <v>0</v>
      </c>
      <c r="AF722">
        <v>0</v>
      </c>
      <c r="AG722">
        <v>0</v>
      </c>
    </row>
    <row r="723" spans="1:33" hidden="1" x14ac:dyDescent="0.2">
      <c r="A723">
        <v>722</v>
      </c>
      <c r="B723" t="s">
        <v>278</v>
      </c>
      <c r="C723" t="s">
        <v>108</v>
      </c>
      <c r="D723">
        <v>63</v>
      </c>
      <c r="E723" t="s">
        <v>34</v>
      </c>
      <c r="F723" t="s">
        <v>53</v>
      </c>
      <c r="G723" t="s">
        <v>54</v>
      </c>
      <c r="H723">
        <v>81939</v>
      </c>
      <c r="I723">
        <v>0</v>
      </c>
      <c r="J723">
        <v>1</v>
      </c>
      <c r="K723">
        <v>1</v>
      </c>
      <c r="L723">
        <v>0</v>
      </c>
      <c r="M723" t="s">
        <v>36</v>
      </c>
      <c r="N723" t="s">
        <v>36</v>
      </c>
      <c r="O723" t="s">
        <v>36</v>
      </c>
      <c r="P723" t="s">
        <v>37</v>
      </c>
      <c r="Q723" t="s">
        <v>36</v>
      </c>
      <c r="R723" t="s">
        <v>36</v>
      </c>
      <c r="S723" t="s">
        <v>36</v>
      </c>
      <c r="T723" t="s">
        <v>36</v>
      </c>
      <c r="U723">
        <v>0</v>
      </c>
      <c r="V723">
        <v>1</v>
      </c>
      <c r="W723">
        <v>1</v>
      </c>
      <c r="X723">
        <v>0</v>
      </c>
      <c r="Y723">
        <v>0</v>
      </c>
      <c r="Z723">
        <v>1</v>
      </c>
      <c r="AA723">
        <v>1</v>
      </c>
      <c r="AB723">
        <v>0</v>
      </c>
      <c r="AC723">
        <v>0</v>
      </c>
      <c r="AD723">
        <v>0</v>
      </c>
      <c r="AE723">
        <v>0</v>
      </c>
      <c r="AF723">
        <v>0</v>
      </c>
      <c r="AG723">
        <v>0</v>
      </c>
    </row>
    <row r="724" spans="1:33" x14ac:dyDescent="0.2">
      <c r="A724">
        <v>723</v>
      </c>
      <c r="B724" t="s">
        <v>278</v>
      </c>
      <c r="C724" t="s">
        <v>108</v>
      </c>
      <c r="D724">
        <v>63</v>
      </c>
      <c r="E724" t="s">
        <v>34</v>
      </c>
      <c r="F724" t="s">
        <v>41</v>
      </c>
      <c r="G724" t="s">
        <v>72</v>
      </c>
      <c r="H724">
        <v>98202</v>
      </c>
      <c r="I724">
        <v>0</v>
      </c>
      <c r="J724">
        <v>0</v>
      </c>
      <c r="K724">
        <v>0</v>
      </c>
      <c r="L724">
        <v>1</v>
      </c>
      <c r="M724" t="s">
        <v>74</v>
      </c>
      <c r="N724" t="s">
        <v>75</v>
      </c>
      <c r="O724" t="s">
        <v>93</v>
      </c>
      <c r="P724" t="s">
        <v>37</v>
      </c>
      <c r="Q724" t="s">
        <v>47</v>
      </c>
      <c r="R724" t="s">
        <v>46</v>
      </c>
      <c r="S724" t="s">
        <v>59</v>
      </c>
      <c r="T724">
        <v>0</v>
      </c>
      <c r="U724">
        <v>0</v>
      </c>
      <c r="V724">
        <v>0</v>
      </c>
      <c r="W724">
        <v>1</v>
      </c>
      <c r="X724">
        <v>1</v>
      </c>
      <c r="Y724">
        <v>0</v>
      </c>
      <c r="Z724">
        <v>1</v>
      </c>
      <c r="AA724">
        <v>0</v>
      </c>
      <c r="AB724">
        <v>0</v>
      </c>
      <c r="AC724">
        <v>0</v>
      </c>
      <c r="AD724">
        <v>0</v>
      </c>
      <c r="AE724">
        <v>0</v>
      </c>
      <c r="AF724">
        <v>0</v>
      </c>
      <c r="AG724">
        <v>1</v>
      </c>
    </row>
    <row r="725" spans="1:33" x14ac:dyDescent="0.2">
      <c r="A725">
        <v>724</v>
      </c>
      <c r="B725" t="s">
        <v>278</v>
      </c>
      <c r="C725" t="s">
        <v>108</v>
      </c>
      <c r="D725">
        <v>63</v>
      </c>
      <c r="E725" t="s">
        <v>34</v>
      </c>
      <c r="F725" t="s">
        <v>41</v>
      </c>
      <c r="G725" t="s">
        <v>61</v>
      </c>
      <c r="H725">
        <v>37432</v>
      </c>
      <c r="I725">
        <v>1</v>
      </c>
      <c r="J725">
        <v>0</v>
      </c>
      <c r="K725">
        <v>0</v>
      </c>
      <c r="L725">
        <v>0</v>
      </c>
      <c r="M725" t="s">
        <v>62</v>
      </c>
      <c r="N725" t="s">
        <v>87</v>
      </c>
      <c r="O725" t="s">
        <v>63</v>
      </c>
      <c r="P725" t="s">
        <v>37</v>
      </c>
      <c r="Q725" t="s">
        <v>65</v>
      </c>
      <c r="R725" t="s">
        <v>47</v>
      </c>
      <c r="S725" t="s">
        <v>46</v>
      </c>
      <c r="T725">
        <v>0</v>
      </c>
      <c r="U725">
        <v>1</v>
      </c>
      <c r="V725">
        <v>0</v>
      </c>
      <c r="W725">
        <v>1</v>
      </c>
      <c r="X725">
        <v>1</v>
      </c>
      <c r="Y725">
        <v>0</v>
      </c>
      <c r="Z725">
        <v>1</v>
      </c>
      <c r="AA725">
        <v>0</v>
      </c>
      <c r="AB725">
        <v>1</v>
      </c>
      <c r="AC725">
        <v>0</v>
      </c>
      <c r="AD725">
        <v>0</v>
      </c>
      <c r="AE725">
        <v>0</v>
      </c>
      <c r="AF725">
        <v>0</v>
      </c>
      <c r="AG725">
        <v>0</v>
      </c>
    </row>
    <row r="726" spans="1:33" hidden="1" x14ac:dyDescent="0.2">
      <c r="A726">
        <v>725</v>
      </c>
      <c r="B726" t="s">
        <v>278</v>
      </c>
      <c r="C726" t="s">
        <v>108</v>
      </c>
      <c r="D726">
        <v>63</v>
      </c>
      <c r="E726" t="s">
        <v>34</v>
      </c>
      <c r="F726" t="s">
        <v>53</v>
      </c>
      <c r="G726" t="s">
        <v>71</v>
      </c>
      <c r="H726">
        <v>46579</v>
      </c>
      <c r="I726">
        <v>0</v>
      </c>
      <c r="J726">
        <v>0</v>
      </c>
      <c r="K726">
        <v>1</v>
      </c>
      <c r="L726">
        <v>0</v>
      </c>
      <c r="M726" t="s">
        <v>36</v>
      </c>
      <c r="N726" t="s">
        <v>36</v>
      </c>
      <c r="O726" t="s">
        <v>36</v>
      </c>
      <c r="P726" t="s">
        <v>37</v>
      </c>
      <c r="Q726" t="s">
        <v>36</v>
      </c>
      <c r="R726" t="s">
        <v>36</v>
      </c>
      <c r="S726" t="s">
        <v>36</v>
      </c>
      <c r="T726" t="s">
        <v>36</v>
      </c>
      <c r="U726">
        <v>1</v>
      </c>
      <c r="V726">
        <v>0</v>
      </c>
      <c r="W726">
        <v>1</v>
      </c>
      <c r="X726">
        <v>1</v>
      </c>
      <c r="Y726">
        <v>0</v>
      </c>
      <c r="Z726">
        <v>1</v>
      </c>
      <c r="AA726">
        <v>0</v>
      </c>
      <c r="AB726">
        <v>1</v>
      </c>
      <c r="AC726">
        <v>0</v>
      </c>
      <c r="AD726">
        <v>0</v>
      </c>
      <c r="AE726">
        <v>0</v>
      </c>
      <c r="AF726">
        <v>0</v>
      </c>
      <c r="AG726">
        <v>0</v>
      </c>
    </row>
    <row r="727" spans="1:33" x14ac:dyDescent="0.2">
      <c r="A727">
        <v>726</v>
      </c>
      <c r="B727" t="s">
        <v>278</v>
      </c>
      <c r="C727" t="s">
        <v>108</v>
      </c>
      <c r="D727">
        <v>63</v>
      </c>
      <c r="E727" t="s">
        <v>34</v>
      </c>
      <c r="F727" t="s">
        <v>41</v>
      </c>
      <c r="G727" t="s">
        <v>55</v>
      </c>
      <c r="H727">
        <v>44361</v>
      </c>
      <c r="I727">
        <v>0</v>
      </c>
      <c r="J727">
        <v>0</v>
      </c>
      <c r="K727">
        <v>1</v>
      </c>
      <c r="L727">
        <v>0</v>
      </c>
      <c r="M727" t="s">
        <v>84</v>
      </c>
      <c r="N727" t="s">
        <v>57</v>
      </c>
      <c r="O727" t="s">
        <v>58</v>
      </c>
      <c r="P727" t="s">
        <v>37</v>
      </c>
      <c r="Q727" t="s">
        <v>46</v>
      </c>
      <c r="R727" t="s">
        <v>48</v>
      </c>
      <c r="S727" t="s">
        <v>60</v>
      </c>
      <c r="T727">
        <v>1</v>
      </c>
      <c r="U727">
        <v>0</v>
      </c>
      <c r="V727">
        <v>1</v>
      </c>
      <c r="W727">
        <v>0</v>
      </c>
      <c r="X727">
        <v>1</v>
      </c>
      <c r="Y727">
        <v>0</v>
      </c>
      <c r="Z727">
        <v>1</v>
      </c>
      <c r="AA727">
        <v>1</v>
      </c>
      <c r="AB727">
        <v>0</v>
      </c>
      <c r="AC727">
        <v>0</v>
      </c>
      <c r="AD727">
        <v>0</v>
      </c>
      <c r="AE727">
        <v>0</v>
      </c>
      <c r="AF727">
        <v>0</v>
      </c>
      <c r="AG727">
        <v>0</v>
      </c>
    </row>
    <row r="728" spans="1:33" hidden="1" x14ac:dyDescent="0.2">
      <c r="A728">
        <v>727</v>
      </c>
      <c r="B728" t="s">
        <v>278</v>
      </c>
      <c r="C728" t="s">
        <v>108</v>
      </c>
      <c r="D728">
        <v>63</v>
      </c>
      <c r="E728" t="s">
        <v>34</v>
      </c>
      <c r="F728" t="s">
        <v>53</v>
      </c>
      <c r="G728" t="s">
        <v>76</v>
      </c>
      <c r="H728">
        <v>29055</v>
      </c>
      <c r="I728">
        <v>0</v>
      </c>
      <c r="J728">
        <v>0</v>
      </c>
      <c r="K728">
        <v>0</v>
      </c>
      <c r="L728">
        <v>1</v>
      </c>
      <c r="M728" t="s">
        <v>36</v>
      </c>
      <c r="N728" t="s">
        <v>36</v>
      </c>
      <c r="O728" t="s">
        <v>36</v>
      </c>
      <c r="P728" t="s">
        <v>37</v>
      </c>
      <c r="Q728" t="s">
        <v>36</v>
      </c>
      <c r="R728" t="s">
        <v>36</v>
      </c>
      <c r="S728" t="s">
        <v>36</v>
      </c>
      <c r="T728" t="s">
        <v>36</v>
      </c>
      <c r="U728">
        <v>0</v>
      </c>
      <c r="V728">
        <v>1</v>
      </c>
      <c r="W728">
        <v>0</v>
      </c>
      <c r="X728">
        <v>1</v>
      </c>
      <c r="Y728">
        <v>0</v>
      </c>
      <c r="Z728">
        <v>1</v>
      </c>
      <c r="AA728">
        <v>1</v>
      </c>
      <c r="AB728">
        <v>0</v>
      </c>
      <c r="AC728">
        <v>0</v>
      </c>
      <c r="AD728">
        <v>0</v>
      </c>
      <c r="AE728">
        <v>0</v>
      </c>
      <c r="AF728">
        <v>0</v>
      </c>
      <c r="AG728">
        <v>0</v>
      </c>
    </row>
    <row r="729" spans="1:33" hidden="1" x14ac:dyDescent="0.2">
      <c r="A729">
        <v>728</v>
      </c>
      <c r="B729" t="s">
        <v>278</v>
      </c>
      <c r="C729" t="s">
        <v>108</v>
      </c>
      <c r="D729">
        <v>63</v>
      </c>
      <c r="E729" t="s">
        <v>34</v>
      </c>
      <c r="F729" t="s">
        <v>77</v>
      </c>
      <c r="G729" t="s">
        <v>36</v>
      </c>
      <c r="H729">
        <v>264874</v>
      </c>
      <c r="I729" t="s">
        <v>279</v>
      </c>
      <c r="J729" t="s">
        <v>280</v>
      </c>
      <c r="K729" t="s">
        <v>281</v>
      </c>
      <c r="L729" t="s">
        <v>36</v>
      </c>
      <c r="M729" t="s">
        <v>36</v>
      </c>
      <c r="N729" t="s">
        <v>36</v>
      </c>
      <c r="O729" t="s">
        <v>36</v>
      </c>
      <c r="P729" t="s">
        <v>37</v>
      </c>
      <c r="Q729" t="s">
        <v>36</v>
      </c>
      <c r="R729" t="s">
        <v>36</v>
      </c>
      <c r="S729" t="s">
        <v>36</v>
      </c>
      <c r="T729" t="s">
        <v>36</v>
      </c>
      <c r="U729" t="s">
        <v>36</v>
      </c>
      <c r="V729" t="s">
        <v>36</v>
      </c>
      <c r="W729" t="s">
        <v>36</v>
      </c>
      <c r="X729" t="s">
        <v>36</v>
      </c>
      <c r="Y729" t="s">
        <v>36</v>
      </c>
      <c r="Z729" t="s">
        <v>36</v>
      </c>
      <c r="AA729" t="s">
        <v>36</v>
      </c>
      <c r="AB729" t="s">
        <v>36</v>
      </c>
      <c r="AC729" t="s">
        <v>36</v>
      </c>
      <c r="AD729" t="s">
        <v>36</v>
      </c>
      <c r="AE729" t="s">
        <v>36</v>
      </c>
      <c r="AF729" t="s">
        <v>36</v>
      </c>
      <c r="AG729" t="s">
        <v>36</v>
      </c>
    </row>
    <row r="730" spans="1:33" hidden="1" x14ac:dyDescent="0.2">
      <c r="A730">
        <v>729</v>
      </c>
      <c r="B730" t="s">
        <v>282</v>
      </c>
      <c r="C730" t="s">
        <v>108</v>
      </c>
      <c r="D730">
        <v>28</v>
      </c>
      <c r="E730" t="s">
        <v>114</v>
      </c>
      <c r="F730" t="s">
        <v>35</v>
      </c>
      <c r="G730" t="s">
        <v>36</v>
      </c>
      <c r="H730">
        <v>46424</v>
      </c>
      <c r="I730" t="s">
        <v>36</v>
      </c>
      <c r="J730" t="s">
        <v>36</v>
      </c>
      <c r="K730" t="s">
        <v>36</v>
      </c>
      <c r="L730" t="s">
        <v>36</v>
      </c>
      <c r="M730" t="s">
        <v>36</v>
      </c>
      <c r="N730" t="s">
        <v>36</v>
      </c>
      <c r="O730" t="s">
        <v>36</v>
      </c>
      <c r="P730" t="s">
        <v>37</v>
      </c>
      <c r="Q730" t="s">
        <v>36</v>
      </c>
      <c r="R730" t="s">
        <v>36</v>
      </c>
      <c r="S730" t="s">
        <v>36</v>
      </c>
      <c r="T730" t="s">
        <v>36</v>
      </c>
      <c r="U730" t="s">
        <v>36</v>
      </c>
      <c r="V730" t="s">
        <v>36</v>
      </c>
      <c r="W730" t="s">
        <v>36</v>
      </c>
      <c r="X730" t="s">
        <v>36</v>
      </c>
      <c r="Y730" t="s">
        <v>36</v>
      </c>
      <c r="Z730" t="s">
        <v>36</v>
      </c>
      <c r="AA730" t="s">
        <v>36</v>
      </c>
      <c r="AB730" t="s">
        <v>36</v>
      </c>
      <c r="AC730" t="s">
        <v>36</v>
      </c>
      <c r="AD730" t="s">
        <v>36</v>
      </c>
      <c r="AE730" t="s">
        <v>36</v>
      </c>
      <c r="AF730" t="s">
        <v>36</v>
      </c>
      <c r="AG730" t="s">
        <v>36</v>
      </c>
    </row>
    <row r="731" spans="1:33" hidden="1" x14ac:dyDescent="0.2">
      <c r="A731">
        <v>730</v>
      </c>
      <c r="B731" t="s">
        <v>282</v>
      </c>
      <c r="C731" t="s">
        <v>108</v>
      </c>
      <c r="D731">
        <v>28</v>
      </c>
      <c r="E731" t="s">
        <v>114</v>
      </c>
      <c r="F731" t="s">
        <v>38</v>
      </c>
      <c r="G731" t="s">
        <v>39</v>
      </c>
      <c r="H731">
        <v>22523</v>
      </c>
      <c r="I731">
        <v>0</v>
      </c>
      <c r="J731">
        <v>0</v>
      </c>
      <c r="K731">
        <v>0</v>
      </c>
      <c r="L731">
        <v>1</v>
      </c>
      <c r="M731" t="s">
        <v>36</v>
      </c>
      <c r="N731" t="s">
        <v>36</v>
      </c>
      <c r="O731" t="s">
        <v>36</v>
      </c>
      <c r="P731" t="s">
        <v>37</v>
      </c>
      <c r="Q731" t="s">
        <v>36</v>
      </c>
      <c r="R731" t="s">
        <v>36</v>
      </c>
      <c r="S731" t="s">
        <v>36</v>
      </c>
      <c r="T731" t="s">
        <v>36</v>
      </c>
      <c r="U731" t="s">
        <v>36</v>
      </c>
      <c r="V731" t="s">
        <v>36</v>
      </c>
      <c r="W731" t="s">
        <v>36</v>
      </c>
      <c r="X731" t="s">
        <v>36</v>
      </c>
      <c r="Y731" t="s">
        <v>36</v>
      </c>
      <c r="Z731" t="s">
        <v>36</v>
      </c>
      <c r="AA731" t="s">
        <v>36</v>
      </c>
      <c r="AB731" t="s">
        <v>36</v>
      </c>
      <c r="AC731" t="s">
        <v>36</v>
      </c>
      <c r="AD731" t="s">
        <v>36</v>
      </c>
      <c r="AE731" t="s">
        <v>36</v>
      </c>
      <c r="AF731" t="s">
        <v>36</v>
      </c>
      <c r="AG731" t="s">
        <v>36</v>
      </c>
    </row>
    <row r="732" spans="1:33" hidden="1" x14ac:dyDescent="0.2">
      <c r="A732">
        <v>731</v>
      </c>
      <c r="B732" t="s">
        <v>282</v>
      </c>
      <c r="C732" t="s">
        <v>108</v>
      </c>
      <c r="D732">
        <v>28</v>
      </c>
      <c r="E732" t="s">
        <v>114</v>
      </c>
      <c r="F732" t="s">
        <v>38</v>
      </c>
      <c r="G732" t="s">
        <v>40</v>
      </c>
      <c r="H732">
        <v>38718</v>
      </c>
      <c r="I732">
        <v>0</v>
      </c>
      <c r="J732">
        <v>0</v>
      </c>
      <c r="K732">
        <v>1</v>
      </c>
      <c r="L732">
        <v>0</v>
      </c>
      <c r="M732" t="s">
        <v>36</v>
      </c>
      <c r="N732" t="s">
        <v>36</v>
      </c>
      <c r="O732" t="s">
        <v>36</v>
      </c>
      <c r="P732" t="s">
        <v>37</v>
      </c>
      <c r="Q732" t="s">
        <v>36</v>
      </c>
      <c r="R732" t="s">
        <v>36</v>
      </c>
      <c r="S732" t="s">
        <v>36</v>
      </c>
      <c r="T732" t="s">
        <v>36</v>
      </c>
      <c r="U732" t="s">
        <v>36</v>
      </c>
      <c r="V732" t="s">
        <v>36</v>
      </c>
      <c r="W732" t="s">
        <v>36</v>
      </c>
      <c r="X732" t="s">
        <v>36</v>
      </c>
      <c r="Y732" t="s">
        <v>36</v>
      </c>
      <c r="Z732" t="s">
        <v>36</v>
      </c>
      <c r="AA732" t="s">
        <v>36</v>
      </c>
      <c r="AB732" t="s">
        <v>36</v>
      </c>
      <c r="AC732" t="s">
        <v>36</v>
      </c>
      <c r="AD732" t="s">
        <v>36</v>
      </c>
      <c r="AE732" t="s">
        <v>36</v>
      </c>
      <c r="AF732" t="s">
        <v>36</v>
      </c>
      <c r="AG732" t="s">
        <v>36</v>
      </c>
    </row>
    <row r="733" spans="1:33" x14ac:dyDescent="0.2">
      <c r="A733">
        <v>732</v>
      </c>
      <c r="B733" t="s">
        <v>282</v>
      </c>
      <c r="C733" t="s">
        <v>108</v>
      </c>
      <c r="D733">
        <v>28</v>
      </c>
      <c r="E733" t="s">
        <v>114</v>
      </c>
      <c r="F733" t="s">
        <v>41</v>
      </c>
      <c r="G733" t="s">
        <v>67</v>
      </c>
      <c r="H733">
        <v>58253</v>
      </c>
      <c r="I733">
        <v>0</v>
      </c>
      <c r="J733">
        <v>0</v>
      </c>
      <c r="K733">
        <v>1</v>
      </c>
      <c r="L733">
        <v>0</v>
      </c>
      <c r="M733" t="s">
        <v>69</v>
      </c>
      <c r="N733" t="s">
        <v>109</v>
      </c>
      <c r="O733" t="s">
        <v>68</v>
      </c>
      <c r="P733" t="s">
        <v>37</v>
      </c>
      <c r="Q733" t="s">
        <v>48</v>
      </c>
      <c r="R733" t="s">
        <v>59</v>
      </c>
      <c r="S733" t="s">
        <v>65</v>
      </c>
      <c r="T733">
        <v>0</v>
      </c>
      <c r="U733">
        <v>1</v>
      </c>
      <c r="V733">
        <v>1</v>
      </c>
      <c r="W733">
        <v>0</v>
      </c>
      <c r="X733">
        <v>0</v>
      </c>
      <c r="Y733">
        <v>0</v>
      </c>
      <c r="Z733">
        <v>1</v>
      </c>
      <c r="AA733">
        <v>0</v>
      </c>
      <c r="AB733">
        <v>1</v>
      </c>
      <c r="AC733">
        <v>0</v>
      </c>
      <c r="AD733">
        <v>0</v>
      </c>
      <c r="AE733">
        <v>0</v>
      </c>
      <c r="AF733">
        <v>0</v>
      </c>
      <c r="AG733">
        <v>0</v>
      </c>
    </row>
    <row r="734" spans="1:33" x14ac:dyDescent="0.2">
      <c r="A734">
        <v>733</v>
      </c>
      <c r="B734" t="s">
        <v>282</v>
      </c>
      <c r="C734" t="s">
        <v>108</v>
      </c>
      <c r="D734">
        <v>28</v>
      </c>
      <c r="E734" t="s">
        <v>114</v>
      </c>
      <c r="F734" t="s">
        <v>41</v>
      </c>
      <c r="G734" t="s">
        <v>55</v>
      </c>
      <c r="H734">
        <v>31919</v>
      </c>
      <c r="I734">
        <v>1</v>
      </c>
      <c r="J734">
        <v>0</v>
      </c>
      <c r="K734">
        <v>0</v>
      </c>
      <c r="L734">
        <v>0</v>
      </c>
      <c r="M734" t="s">
        <v>58</v>
      </c>
      <c r="N734" t="s">
        <v>57</v>
      </c>
      <c r="O734" t="s">
        <v>85</v>
      </c>
      <c r="P734" t="s">
        <v>37</v>
      </c>
      <c r="Q734" t="s">
        <v>60</v>
      </c>
      <c r="R734" t="s">
        <v>48</v>
      </c>
      <c r="S734" t="s">
        <v>65</v>
      </c>
      <c r="T734">
        <v>1</v>
      </c>
      <c r="U734">
        <v>1</v>
      </c>
      <c r="V734">
        <v>1</v>
      </c>
      <c r="W734">
        <v>0</v>
      </c>
      <c r="X734">
        <v>0</v>
      </c>
      <c r="Y734">
        <v>0</v>
      </c>
      <c r="Z734">
        <v>1</v>
      </c>
      <c r="AA734">
        <v>1</v>
      </c>
      <c r="AB734">
        <v>0</v>
      </c>
      <c r="AC734">
        <v>0</v>
      </c>
      <c r="AD734">
        <v>0</v>
      </c>
      <c r="AE734">
        <v>0</v>
      </c>
      <c r="AF734">
        <v>0</v>
      </c>
      <c r="AG734">
        <v>0</v>
      </c>
    </row>
    <row r="735" spans="1:33" hidden="1" x14ac:dyDescent="0.2">
      <c r="A735">
        <v>734</v>
      </c>
      <c r="B735" t="s">
        <v>282</v>
      </c>
      <c r="C735" t="s">
        <v>108</v>
      </c>
      <c r="D735">
        <v>28</v>
      </c>
      <c r="E735" t="s">
        <v>114</v>
      </c>
      <c r="F735" t="s">
        <v>53</v>
      </c>
      <c r="G735" t="s">
        <v>76</v>
      </c>
      <c r="H735">
        <v>19015</v>
      </c>
      <c r="I735">
        <v>1</v>
      </c>
      <c r="J735">
        <v>0</v>
      </c>
      <c r="K735">
        <v>0</v>
      </c>
      <c r="L735">
        <v>0</v>
      </c>
      <c r="M735" t="s">
        <v>36</v>
      </c>
      <c r="N735" t="s">
        <v>36</v>
      </c>
      <c r="O735" t="s">
        <v>36</v>
      </c>
      <c r="P735" t="s">
        <v>37</v>
      </c>
      <c r="Q735" t="s">
        <v>36</v>
      </c>
      <c r="R735" t="s">
        <v>36</v>
      </c>
      <c r="S735" t="s">
        <v>36</v>
      </c>
      <c r="T735" t="s">
        <v>36</v>
      </c>
      <c r="U735">
        <v>1</v>
      </c>
      <c r="V735">
        <v>1</v>
      </c>
      <c r="W735">
        <v>0</v>
      </c>
      <c r="X735">
        <v>0</v>
      </c>
      <c r="Y735">
        <v>0</v>
      </c>
      <c r="Z735">
        <v>1</v>
      </c>
      <c r="AA735">
        <v>1</v>
      </c>
      <c r="AB735">
        <v>0</v>
      </c>
      <c r="AC735">
        <v>0</v>
      </c>
      <c r="AD735">
        <v>0</v>
      </c>
      <c r="AE735">
        <v>0</v>
      </c>
      <c r="AF735">
        <v>0</v>
      </c>
      <c r="AG735">
        <v>0</v>
      </c>
    </row>
    <row r="736" spans="1:33" x14ac:dyDescent="0.2">
      <c r="A736">
        <v>735</v>
      </c>
      <c r="B736" t="s">
        <v>282</v>
      </c>
      <c r="C736" t="s">
        <v>108</v>
      </c>
      <c r="D736">
        <v>28</v>
      </c>
      <c r="E736" t="s">
        <v>114</v>
      </c>
      <c r="F736" t="s">
        <v>41</v>
      </c>
      <c r="G736" t="s">
        <v>61</v>
      </c>
      <c r="H736">
        <v>16231</v>
      </c>
      <c r="I736">
        <v>0</v>
      </c>
      <c r="J736">
        <v>1</v>
      </c>
      <c r="K736">
        <v>0</v>
      </c>
      <c r="L736">
        <v>0</v>
      </c>
      <c r="M736" t="s">
        <v>63</v>
      </c>
      <c r="N736" t="s">
        <v>62</v>
      </c>
      <c r="O736" t="s">
        <v>64</v>
      </c>
      <c r="P736" t="s">
        <v>37</v>
      </c>
      <c r="Q736" t="s">
        <v>46</v>
      </c>
      <c r="R736" t="s">
        <v>65</v>
      </c>
      <c r="S736" t="s">
        <v>48</v>
      </c>
      <c r="T736">
        <v>0</v>
      </c>
      <c r="U736">
        <v>1</v>
      </c>
      <c r="V736">
        <v>1</v>
      </c>
      <c r="W736">
        <v>0</v>
      </c>
      <c r="X736">
        <v>1</v>
      </c>
      <c r="Y736">
        <v>0</v>
      </c>
      <c r="Z736">
        <v>1</v>
      </c>
      <c r="AA736">
        <v>0</v>
      </c>
      <c r="AB736">
        <v>1</v>
      </c>
      <c r="AC736">
        <v>0</v>
      </c>
      <c r="AD736">
        <v>0</v>
      </c>
      <c r="AE736">
        <v>0</v>
      </c>
      <c r="AF736">
        <v>0</v>
      </c>
      <c r="AG736">
        <v>0</v>
      </c>
    </row>
    <row r="737" spans="1:33" hidden="1" x14ac:dyDescent="0.2">
      <c r="A737">
        <v>736</v>
      </c>
      <c r="B737" t="s">
        <v>282</v>
      </c>
      <c r="C737" t="s">
        <v>108</v>
      </c>
      <c r="D737">
        <v>28</v>
      </c>
      <c r="E737" t="s">
        <v>114</v>
      </c>
      <c r="F737" t="s">
        <v>53</v>
      </c>
      <c r="G737" t="s">
        <v>54</v>
      </c>
      <c r="H737">
        <v>20445</v>
      </c>
      <c r="I737">
        <v>0</v>
      </c>
      <c r="J737">
        <v>0</v>
      </c>
      <c r="K737">
        <v>1</v>
      </c>
      <c r="L737">
        <v>0</v>
      </c>
      <c r="M737" t="s">
        <v>36</v>
      </c>
      <c r="N737" t="s">
        <v>36</v>
      </c>
      <c r="O737" t="s">
        <v>36</v>
      </c>
      <c r="P737" t="s">
        <v>37</v>
      </c>
      <c r="Q737" t="s">
        <v>36</v>
      </c>
      <c r="R737" t="s">
        <v>36</v>
      </c>
      <c r="S737" t="s">
        <v>36</v>
      </c>
      <c r="T737" t="s">
        <v>36</v>
      </c>
      <c r="U737">
        <v>1</v>
      </c>
      <c r="V737">
        <v>1</v>
      </c>
      <c r="W737">
        <v>0</v>
      </c>
      <c r="X737">
        <v>1</v>
      </c>
      <c r="Y737">
        <v>0</v>
      </c>
      <c r="Z737">
        <v>1</v>
      </c>
      <c r="AA737">
        <v>0</v>
      </c>
      <c r="AB737">
        <v>1</v>
      </c>
      <c r="AC737">
        <v>0</v>
      </c>
      <c r="AD737">
        <v>0</v>
      </c>
      <c r="AE737">
        <v>0</v>
      </c>
      <c r="AF737">
        <v>0</v>
      </c>
      <c r="AG737">
        <v>0</v>
      </c>
    </row>
    <row r="738" spans="1:33" x14ac:dyDescent="0.2">
      <c r="A738">
        <v>737</v>
      </c>
      <c r="B738" t="s">
        <v>282</v>
      </c>
      <c r="C738" t="s">
        <v>108</v>
      </c>
      <c r="D738">
        <v>28</v>
      </c>
      <c r="E738" t="s">
        <v>114</v>
      </c>
      <c r="F738" t="s">
        <v>41</v>
      </c>
      <c r="G738" t="s">
        <v>49</v>
      </c>
      <c r="H738">
        <v>20021</v>
      </c>
      <c r="I738">
        <v>1</v>
      </c>
      <c r="J738">
        <v>0</v>
      </c>
      <c r="K738">
        <v>0</v>
      </c>
      <c r="L738">
        <v>0</v>
      </c>
      <c r="M738" t="s">
        <v>96</v>
      </c>
      <c r="N738" t="s">
        <v>50</v>
      </c>
      <c r="O738" t="s">
        <v>83</v>
      </c>
      <c r="P738" t="s">
        <v>37</v>
      </c>
      <c r="Q738" t="s">
        <v>65</v>
      </c>
      <c r="R738" t="s">
        <v>48</v>
      </c>
      <c r="S738" t="s">
        <v>59</v>
      </c>
      <c r="T738">
        <v>0</v>
      </c>
      <c r="U738">
        <v>1</v>
      </c>
      <c r="V738">
        <v>1</v>
      </c>
      <c r="W738">
        <v>0</v>
      </c>
      <c r="X738">
        <v>0</v>
      </c>
      <c r="Y738">
        <v>0</v>
      </c>
      <c r="Z738">
        <v>1</v>
      </c>
      <c r="AA738">
        <v>0</v>
      </c>
      <c r="AB738">
        <v>1</v>
      </c>
      <c r="AC738">
        <v>0</v>
      </c>
      <c r="AD738">
        <v>0</v>
      </c>
      <c r="AE738">
        <v>0</v>
      </c>
      <c r="AF738">
        <v>0</v>
      </c>
      <c r="AG738">
        <v>0</v>
      </c>
    </row>
    <row r="739" spans="1:33" x14ac:dyDescent="0.2">
      <c r="A739">
        <v>738</v>
      </c>
      <c r="B739" t="s">
        <v>282</v>
      </c>
      <c r="C739" t="s">
        <v>108</v>
      </c>
      <c r="D739">
        <v>28</v>
      </c>
      <c r="E739" t="s">
        <v>114</v>
      </c>
      <c r="F739" t="s">
        <v>41</v>
      </c>
      <c r="G739" t="s">
        <v>42</v>
      </c>
      <c r="H739">
        <v>14617</v>
      </c>
      <c r="I739">
        <v>0</v>
      </c>
      <c r="J739">
        <v>1</v>
      </c>
      <c r="K739">
        <v>0</v>
      </c>
      <c r="L739">
        <v>0</v>
      </c>
      <c r="M739" t="s">
        <v>102</v>
      </c>
      <c r="N739" t="s">
        <v>82</v>
      </c>
      <c r="O739" t="s">
        <v>43</v>
      </c>
      <c r="P739" t="s">
        <v>37</v>
      </c>
      <c r="Q739" t="s">
        <v>59</v>
      </c>
      <c r="R739" t="s">
        <v>65</v>
      </c>
      <c r="S739" t="s">
        <v>46</v>
      </c>
      <c r="T739">
        <v>0</v>
      </c>
      <c r="U739">
        <v>1</v>
      </c>
      <c r="V739">
        <v>0</v>
      </c>
      <c r="W739">
        <v>0</v>
      </c>
      <c r="X739">
        <v>1</v>
      </c>
      <c r="Y739">
        <v>0</v>
      </c>
      <c r="Z739">
        <v>1</v>
      </c>
      <c r="AA739">
        <v>0</v>
      </c>
      <c r="AB739">
        <v>1</v>
      </c>
      <c r="AC739">
        <v>0</v>
      </c>
      <c r="AD739">
        <v>0</v>
      </c>
      <c r="AE739">
        <v>0</v>
      </c>
      <c r="AF739">
        <v>0</v>
      </c>
      <c r="AG739">
        <v>0</v>
      </c>
    </row>
    <row r="740" spans="1:33" hidden="1" x14ac:dyDescent="0.2">
      <c r="A740">
        <v>739</v>
      </c>
      <c r="B740" t="s">
        <v>282</v>
      </c>
      <c r="C740" t="s">
        <v>108</v>
      </c>
      <c r="D740">
        <v>28</v>
      </c>
      <c r="E740" t="s">
        <v>114</v>
      </c>
      <c r="F740" t="s">
        <v>53</v>
      </c>
      <c r="G740" t="s">
        <v>71</v>
      </c>
      <c r="H740">
        <v>35178</v>
      </c>
      <c r="I740">
        <v>0</v>
      </c>
      <c r="J740">
        <v>0</v>
      </c>
      <c r="K740">
        <v>0</v>
      </c>
      <c r="L740">
        <v>1</v>
      </c>
      <c r="M740" t="s">
        <v>36</v>
      </c>
      <c r="N740" t="s">
        <v>36</v>
      </c>
      <c r="O740" t="s">
        <v>36</v>
      </c>
      <c r="P740" t="s">
        <v>37</v>
      </c>
      <c r="Q740" t="s">
        <v>36</v>
      </c>
      <c r="R740" t="s">
        <v>36</v>
      </c>
      <c r="S740" t="s">
        <v>36</v>
      </c>
      <c r="T740" t="s">
        <v>36</v>
      </c>
      <c r="U740">
        <v>1</v>
      </c>
      <c r="V740">
        <v>0</v>
      </c>
      <c r="W740">
        <v>0</v>
      </c>
      <c r="X740">
        <v>1</v>
      </c>
      <c r="Y740">
        <v>0</v>
      </c>
      <c r="Z740">
        <v>1</v>
      </c>
      <c r="AA740">
        <v>0</v>
      </c>
      <c r="AB740">
        <v>1</v>
      </c>
      <c r="AC740">
        <v>0</v>
      </c>
      <c r="AD740">
        <v>0</v>
      </c>
      <c r="AE740">
        <v>0</v>
      </c>
      <c r="AF740">
        <v>0</v>
      </c>
      <c r="AG740">
        <v>0</v>
      </c>
    </row>
    <row r="741" spans="1:33" x14ac:dyDescent="0.2">
      <c r="A741">
        <v>740</v>
      </c>
      <c r="B741" t="s">
        <v>282</v>
      </c>
      <c r="C741" t="s">
        <v>108</v>
      </c>
      <c r="D741">
        <v>28</v>
      </c>
      <c r="E741" t="s">
        <v>114</v>
      </c>
      <c r="F741" t="s">
        <v>41</v>
      </c>
      <c r="G741" t="s">
        <v>72</v>
      </c>
      <c r="H741">
        <v>9821</v>
      </c>
      <c r="I741">
        <v>0</v>
      </c>
      <c r="J741">
        <v>0</v>
      </c>
      <c r="K741">
        <v>0</v>
      </c>
      <c r="L741">
        <v>1</v>
      </c>
      <c r="M741" t="s">
        <v>93</v>
      </c>
      <c r="N741" t="s">
        <v>73</v>
      </c>
      <c r="O741" t="s">
        <v>75</v>
      </c>
      <c r="P741" t="s">
        <v>37</v>
      </c>
      <c r="Q741" t="s">
        <v>59</v>
      </c>
      <c r="R741" t="s">
        <v>48</v>
      </c>
      <c r="S741" t="s">
        <v>46</v>
      </c>
      <c r="T741">
        <v>0</v>
      </c>
      <c r="U741">
        <v>0</v>
      </c>
      <c r="V741">
        <v>1</v>
      </c>
      <c r="W741">
        <v>0</v>
      </c>
      <c r="X741">
        <v>1</v>
      </c>
      <c r="Y741">
        <v>0</v>
      </c>
      <c r="Z741">
        <v>1</v>
      </c>
      <c r="AA741">
        <v>0</v>
      </c>
      <c r="AB741">
        <v>0</v>
      </c>
      <c r="AC741">
        <v>0</v>
      </c>
      <c r="AD741">
        <v>0</v>
      </c>
      <c r="AE741">
        <v>0</v>
      </c>
      <c r="AF741">
        <v>0</v>
      </c>
      <c r="AG741">
        <v>1</v>
      </c>
    </row>
    <row r="742" spans="1:33" hidden="1" x14ac:dyDescent="0.2">
      <c r="A742">
        <v>741</v>
      </c>
      <c r="B742" t="s">
        <v>282</v>
      </c>
      <c r="C742" t="s">
        <v>108</v>
      </c>
      <c r="D742">
        <v>28</v>
      </c>
      <c r="E742" t="s">
        <v>114</v>
      </c>
      <c r="F742" t="s">
        <v>53</v>
      </c>
      <c r="G742" t="s">
        <v>66</v>
      </c>
      <c r="H742">
        <v>14730</v>
      </c>
      <c r="I742">
        <v>1</v>
      </c>
      <c r="J742">
        <v>0</v>
      </c>
      <c r="K742">
        <v>0</v>
      </c>
      <c r="L742">
        <v>0</v>
      </c>
      <c r="M742" t="s">
        <v>36</v>
      </c>
      <c r="N742" t="s">
        <v>36</v>
      </c>
      <c r="O742" t="s">
        <v>36</v>
      </c>
      <c r="P742" t="s">
        <v>37</v>
      </c>
      <c r="Q742" t="s">
        <v>36</v>
      </c>
      <c r="R742" t="s">
        <v>36</v>
      </c>
      <c r="S742" t="s">
        <v>36</v>
      </c>
      <c r="T742" t="s">
        <v>36</v>
      </c>
      <c r="U742">
        <v>0</v>
      </c>
      <c r="V742">
        <v>1</v>
      </c>
      <c r="W742">
        <v>0</v>
      </c>
      <c r="X742">
        <v>1</v>
      </c>
      <c r="Y742">
        <v>0</v>
      </c>
      <c r="Z742">
        <v>1</v>
      </c>
      <c r="AA742">
        <v>0</v>
      </c>
      <c r="AB742">
        <v>0</v>
      </c>
      <c r="AC742">
        <v>0</v>
      </c>
      <c r="AD742">
        <v>0</v>
      </c>
      <c r="AE742">
        <v>0</v>
      </c>
      <c r="AF742">
        <v>0</v>
      </c>
      <c r="AG742">
        <v>1</v>
      </c>
    </row>
    <row r="743" spans="1:33" hidden="1" x14ac:dyDescent="0.2">
      <c r="A743">
        <v>742</v>
      </c>
      <c r="B743" t="s">
        <v>282</v>
      </c>
      <c r="C743" t="s">
        <v>108</v>
      </c>
      <c r="D743">
        <v>28</v>
      </c>
      <c r="E743" t="s">
        <v>114</v>
      </c>
      <c r="F743" t="s">
        <v>77</v>
      </c>
      <c r="G743" t="s">
        <v>36</v>
      </c>
      <c r="H743">
        <v>33076</v>
      </c>
      <c r="I743" t="s">
        <v>283</v>
      </c>
      <c r="J743" t="s">
        <v>284</v>
      </c>
      <c r="L743" t="s">
        <v>36</v>
      </c>
      <c r="M743" t="s">
        <v>36</v>
      </c>
      <c r="N743" t="s">
        <v>36</v>
      </c>
      <c r="O743" t="s">
        <v>36</v>
      </c>
      <c r="P743" t="s">
        <v>37</v>
      </c>
      <c r="Q743" t="s">
        <v>36</v>
      </c>
      <c r="R743" t="s">
        <v>36</v>
      </c>
      <c r="S743" t="s">
        <v>36</v>
      </c>
      <c r="T743" t="s">
        <v>36</v>
      </c>
      <c r="U743" t="s">
        <v>36</v>
      </c>
      <c r="V743" t="s">
        <v>36</v>
      </c>
      <c r="W743" t="s">
        <v>36</v>
      </c>
      <c r="X743" t="s">
        <v>36</v>
      </c>
      <c r="Y743" t="s">
        <v>36</v>
      </c>
      <c r="Z743" t="s">
        <v>36</v>
      </c>
      <c r="AA743" t="s">
        <v>36</v>
      </c>
      <c r="AB743" t="s">
        <v>36</v>
      </c>
      <c r="AC743" t="s">
        <v>36</v>
      </c>
      <c r="AD743" t="s">
        <v>36</v>
      </c>
      <c r="AE743" t="s">
        <v>36</v>
      </c>
      <c r="AF743" t="s">
        <v>36</v>
      </c>
      <c r="AG743" t="s">
        <v>36</v>
      </c>
    </row>
    <row r="744" spans="1:33" hidden="1" x14ac:dyDescent="0.2">
      <c r="A744">
        <v>743</v>
      </c>
      <c r="B744" t="s">
        <v>285</v>
      </c>
      <c r="C744" t="s">
        <v>188</v>
      </c>
      <c r="D744">
        <v>25</v>
      </c>
      <c r="E744" t="s">
        <v>34</v>
      </c>
      <c r="F744" t="s">
        <v>35</v>
      </c>
      <c r="G744" t="s">
        <v>36</v>
      </c>
      <c r="H744">
        <v>18994</v>
      </c>
      <c r="I744" t="s">
        <v>36</v>
      </c>
      <c r="J744" t="s">
        <v>36</v>
      </c>
      <c r="K744" t="s">
        <v>36</v>
      </c>
      <c r="L744" t="s">
        <v>36</v>
      </c>
      <c r="M744" t="s">
        <v>36</v>
      </c>
      <c r="N744" t="s">
        <v>36</v>
      </c>
      <c r="O744" t="s">
        <v>36</v>
      </c>
      <c r="P744" t="s">
        <v>37</v>
      </c>
      <c r="Q744" t="s">
        <v>36</v>
      </c>
      <c r="R744" t="s">
        <v>36</v>
      </c>
      <c r="S744" t="s">
        <v>36</v>
      </c>
      <c r="T744" t="s">
        <v>36</v>
      </c>
      <c r="U744" t="s">
        <v>36</v>
      </c>
      <c r="V744" t="s">
        <v>36</v>
      </c>
      <c r="W744" t="s">
        <v>36</v>
      </c>
      <c r="X744" t="s">
        <v>36</v>
      </c>
      <c r="Y744" t="s">
        <v>36</v>
      </c>
      <c r="Z744" t="s">
        <v>36</v>
      </c>
      <c r="AA744" t="s">
        <v>36</v>
      </c>
      <c r="AB744" t="s">
        <v>36</v>
      </c>
      <c r="AC744" t="s">
        <v>36</v>
      </c>
      <c r="AD744" t="s">
        <v>36</v>
      </c>
      <c r="AE744" t="s">
        <v>36</v>
      </c>
      <c r="AF744" t="s">
        <v>36</v>
      </c>
      <c r="AG744" t="s">
        <v>36</v>
      </c>
    </row>
    <row r="745" spans="1:33" hidden="1" x14ac:dyDescent="0.2">
      <c r="A745">
        <v>744</v>
      </c>
      <c r="B745" t="s">
        <v>285</v>
      </c>
      <c r="C745" t="s">
        <v>188</v>
      </c>
      <c r="D745">
        <v>25</v>
      </c>
      <c r="E745" t="s">
        <v>34</v>
      </c>
      <c r="F745" t="s">
        <v>38</v>
      </c>
      <c r="G745" t="s">
        <v>40</v>
      </c>
      <c r="H745">
        <v>2728</v>
      </c>
      <c r="I745">
        <v>1</v>
      </c>
      <c r="J745">
        <v>0</v>
      </c>
      <c r="K745">
        <v>0</v>
      </c>
      <c r="L745">
        <v>0</v>
      </c>
      <c r="M745" t="s">
        <v>36</v>
      </c>
      <c r="N745" t="s">
        <v>36</v>
      </c>
      <c r="O745" t="s">
        <v>36</v>
      </c>
      <c r="P745" t="s">
        <v>37</v>
      </c>
      <c r="Q745" t="s">
        <v>36</v>
      </c>
      <c r="R745" t="s">
        <v>36</v>
      </c>
      <c r="S745" t="s">
        <v>36</v>
      </c>
      <c r="T745" t="s">
        <v>36</v>
      </c>
      <c r="U745" t="s">
        <v>36</v>
      </c>
      <c r="V745" t="s">
        <v>36</v>
      </c>
      <c r="W745" t="s">
        <v>36</v>
      </c>
      <c r="X745" t="s">
        <v>36</v>
      </c>
      <c r="Y745" t="s">
        <v>36</v>
      </c>
      <c r="Z745" t="s">
        <v>36</v>
      </c>
      <c r="AA745" t="s">
        <v>36</v>
      </c>
      <c r="AB745" t="s">
        <v>36</v>
      </c>
      <c r="AC745" t="s">
        <v>36</v>
      </c>
      <c r="AD745" t="s">
        <v>36</v>
      </c>
      <c r="AE745" t="s">
        <v>36</v>
      </c>
      <c r="AF745" t="s">
        <v>36</v>
      </c>
      <c r="AG745" t="s">
        <v>36</v>
      </c>
    </row>
    <row r="746" spans="1:33" hidden="1" x14ac:dyDescent="0.2">
      <c r="A746">
        <v>745</v>
      </c>
      <c r="B746" t="s">
        <v>285</v>
      </c>
      <c r="C746" t="s">
        <v>188</v>
      </c>
      <c r="D746">
        <v>25</v>
      </c>
      <c r="E746" t="s">
        <v>34</v>
      </c>
      <c r="F746" t="s">
        <v>38</v>
      </c>
      <c r="G746" t="s">
        <v>39</v>
      </c>
      <c r="H746">
        <v>3415</v>
      </c>
      <c r="I746">
        <v>0</v>
      </c>
      <c r="J746">
        <v>1</v>
      </c>
      <c r="K746">
        <v>0</v>
      </c>
      <c r="L746">
        <v>0</v>
      </c>
      <c r="M746" t="s">
        <v>36</v>
      </c>
      <c r="N746" t="s">
        <v>36</v>
      </c>
      <c r="O746" t="s">
        <v>36</v>
      </c>
      <c r="P746" t="s">
        <v>37</v>
      </c>
      <c r="Q746" t="s">
        <v>36</v>
      </c>
      <c r="R746" t="s">
        <v>36</v>
      </c>
      <c r="S746" t="s">
        <v>36</v>
      </c>
      <c r="T746" t="s">
        <v>36</v>
      </c>
      <c r="U746" t="s">
        <v>36</v>
      </c>
      <c r="V746" t="s">
        <v>36</v>
      </c>
      <c r="W746" t="s">
        <v>36</v>
      </c>
      <c r="X746" t="s">
        <v>36</v>
      </c>
      <c r="Y746" t="s">
        <v>36</v>
      </c>
      <c r="Z746" t="s">
        <v>36</v>
      </c>
      <c r="AA746" t="s">
        <v>36</v>
      </c>
      <c r="AB746" t="s">
        <v>36</v>
      </c>
      <c r="AC746" t="s">
        <v>36</v>
      </c>
      <c r="AD746" t="s">
        <v>36</v>
      </c>
      <c r="AE746" t="s">
        <v>36</v>
      </c>
      <c r="AF746" t="s">
        <v>36</v>
      </c>
      <c r="AG746" t="s">
        <v>36</v>
      </c>
    </row>
    <row r="747" spans="1:33" x14ac:dyDescent="0.2">
      <c r="A747">
        <v>746</v>
      </c>
      <c r="B747" t="s">
        <v>285</v>
      </c>
      <c r="C747" t="s">
        <v>188</v>
      </c>
      <c r="D747">
        <v>25</v>
      </c>
      <c r="E747" t="s">
        <v>34</v>
      </c>
      <c r="F747" t="s">
        <v>41</v>
      </c>
      <c r="G747" t="s">
        <v>55</v>
      </c>
      <c r="H747">
        <v>3304</v>
      </c>
      <c r="I747">
        <v>0</v>
      </c>
      <c r="J747">
        <v>0</v>
      </c>
      <c r="K747">
        <v>1</v>
      </c>
      <c r="L747">
        <v>0</v>
      </c>
      <c r="M747" t="s">
        <v>57</v>
      </c>
      <c r="N747" t="s">
        <v>58</v>
      </c>
      <c r="O747" t="s">
        <v>94</v>
      </c>
      <c r="P747" t="s">
        <v>37</v>
      </c>
      <c r="Q747" t="s">
        <v>48</v>
      </c>
      <c r="R747" t="s">
        <v>60</v>
      </c>
      <c r="S747" t="s">
        <v>47</v>
      </c>
      <c r="T747">
        <v>1</v>
      </c>
      <c r="U747">
        <v>0</v>
      </c>
      <c r="V747">
        <v>1</v>
      </c>
      <c r="W747">
        <v>1</v>
      </c>
      <c r="X747">
        <v>0</v>
      </c>
      <c r="Y747">
        <v>0</v>
      </c>
      <c r="Z747">
        <v>1</v>
      </c>
      <c r="AA747">
        <v>0</v>
      </c>
      <c r="AB747">
        <v>0</v>
      </c>
      <c r="AC747">
        <v>0</v>
      </c>
      <c r="AD747">
        <v>1</v>
      </c>
      <c r="AE747">
        <v>0</v>
      </c>
      <c r="AF747">
        <v>0</v>
      </c>
      <c r="AG747">
        <v>0</v>
      </c>
    </row>
    <row r="748" spans="1:33" x14ac:dyDescent="0.2">
      <c r="A748">
        <v>747</v>
      </c>
      <c r="B748" t="s">
        <v>285</v>
      </c>
      <c r="C748" t="s">
        <v>188</v>
      </c>
      <c r="D748">
        <v>25</v>
      </c>
      <c r="E748" t="s">
        <v>34</v>
      </c>
      <c r="F748" t="s">
        <v>41</v>
      </c>
      <c r="G748" t="s">
        <v>49</v>
      </c>
      <c r="H748">
        <v>3696</v>
      </c>
      <c r="I748">
        <v>0</v>
      </c>
      <c r="J748">
        <v>0</v>
      </c>
      <c r="K748">
        <v>1</v>
      </c>
      <c r="L748">
        <v>0</v>
      </c>
      <c r="M748" t="s">
        <v>83</v>
      </c>
      <c r="N748" t="s">
        <v>52</v>
      </c>
      <c r="O748" t="s">
        <v>50</v>
      </c>
      <c r="P748" t="s">
        <v>37</v>
      </c>
      <c r="Q748" t="s">
        <v>59</v>
      </c>
      <c r="R748" t="s">
        <v>46</v>
      </c>
      <c r="S748" t="s">
        <v>48</v>
      </c>
      <c r="T748">
        <v>0</v>
      </c>
      <c r="U748">
        <v>0</v>
      </c>
      <c r="V748">
        <v>1</v>
      </c>
      <c r="W748">
        <v>0</v>
      </c>
      <c r="X748">
        <v>1</v>
      </c>
      <c r="Y748">
        <v>0</v>
      </c>
      <c r="Z748">
        <v>1</v>
      </c>
      <c r="AA748">
        <v>0</v>
      </c>
      <c r="AB748">
        <v>0</v>
      </c>
      <c r="AC748">
        <v>1</v>
      </c>
      <c r="AD748">
        <v>0</v>
      </c>
      <c r="AE748">
        <v>0</v>
      </c>
      <c r="AF748">
        <v>0</v>
      </c>
      <c r="AG748">
        <v>0</v>
      </c>
    </row>
    <row r="749" spans="1:33" hidden="1" x14ac:dyDescent="0.2">
      <c r="A749">
        <v>748</v>
      </c>
      <c r="B749" t="s">
        <v>285</v>
      </c>
      <c r="C749" t="s">
        <v>188</v>
      </c>
      <c r="D749">
        <v>25</v>
      </c>
      <c r="E749" t="s">
        <v>34</v>
      </c>
      <c r="F749" t="s">
        <v>53</v>
      </c>
      <c r="G749" t="s">
        <v>66</v>
      </c>
      <c r="H749">
        <v>2076</v>
      </c>
      <c r="I749">
        <v>0</v>
      </c>
      <c r="J749">
        <v>1</v>
      </c>
      <c r="K749">
        <v>0</v>
      </c>
      <c r="L749">
        <v>0</v>
      </c>
      <c r="M749" t="s">
        <v>36</v>
      </c>
      <c r="N749" t="s">
        <v>36</v>
      </c>
      <c r="O749" t="s">
        <v>36</v>
      </c>
      <c r="P749" t="s">
        <v>37</v>
      </c>
      <c r="Q749" t="s">
        <v>36</v>
      </c>
      <c r="R749" t="s">
        <v>36</v>
      </c>
      <c r="S749" t="s">
        <v>36</v>
      </c>
      <c r="T749" t="s">
        <v>36</v>
      </c>
      <c r="U749">
        <v>0</v>
      </c>
      <c r="V749">
        <v>1</v>
      </c>
      <c r="W749">
        <v>0</v>
      </c>
      <c r="X749">
        <v>1</v>
      </c>
      <c r="Y749">
        <v>0</v>
      </c>
      <c r="Z749">
        <v>1</v>
      </c>
      <c r="AA749">
        <v>0</v>
      </c>
      <c r="AB749">
        <v>0</v>
      </c>
      <c r="AC749">
        <v>1</v>
      </c>
      <c r="AD749">
        <v>0</v>
      </c>
      <c r="AE749">
        <v>0</v>
      </c>
      <c r="AF749">
        <v>0</v>
      </c>
      <c r="AG749">
        <v>0</v>
      </c>
    </row>
    <row r="750" spans="1:33" x14ac:dyDescent="0.2">
      <c r="A750">
        <v>749</v>
      </c>
      <c r="B750" t="s">
        <v>285</v>
      </c>
      <c r="C750" t="s">
        <v>188</v>
      </c>
      <c r="D750">
        <v>25</v>
      </c>
      <c r="E750" t="s">
        <v>34</v>
      </c>
      <c r="F750" t="s">
        <v>41</v>
      </c>
      <c r="G750" t="s">
        <v>67</v>
      </c>
      <c r="H750">
        <v>3660</v>
      </c>
      <c r="I750">
        <v>0</v>
      </c>
      <c r="J750">
        <v>0</v>
      </c>
      <c r="K750">
        <v>0</v>
      </c>
      <c r="L750">
        <v>1</v>
      </c>
      <c r="M750" t="s">
        <v>70</v>
      </c>
      <c r="N750" t="s">
        <v>68</v>
      </c>
      <c r="O750" t="s">
        <v>69</v>
      </c>
      <c r="P750" t="s">
        <v>37</v>
      </c>
      <c r="Q750" t="s">
        <v>47</v>
      </c>
      <c r="R750" t="s">
        <v>65</v>
      </c>
      <c r="S750" t="s">
        <v>48</v>
      </c>
      <c r="T750">
        <v>0</v>
      </c>
      <c r="U750">
        <v>1</v>
      </c>
      <c r="V750">
        <v>1</v>
      </c>
      <c r="W750">
        <v>1</v>
      </c>
      <c r="X750">
        <v>0</v>
      </c>
      <c r="Y750">
        <v>0</v>
      </c>
      <c r="Z750">
        <v>1</v>
      </c>
      <c r="AA750">
        <v>0</v>
      </c>
      <c r="AB750">
        <v>0</v>
      </c>
      <c r="AC750">
        <v>0</v>
      </c>
      <c r="AD750">
        <v>0</v>
      </c>
      <c r="AE750">
        <v>0</v>
      </c>
      <c r="AF750">
        <v>0</v>
      </c>
      <c r="AG750">
        <v>1</v>
      </c>
    </row>
    <row r="751" spans="1:33" x14ac:dyDescent="0.2">
      <c r="A751">
        <v>750</v>
      </c>
      <c r="B751" t="s">
        <v>285</v>
      </c>
      <c r="C751" t="s">
        <v>188</v>
      </c>
      <c r="D751">
        <v>25</v>
      </c>
      <c r="E751" t="s">
        <v>34</v>
      </c>
      <c r="F751" t="s">
        <v>41</v>
      </c>
      <c r="G751" t="s">
        <v>42</v>
      </c>
      <c r="H751">
        <v>2492</v>
      </c>
      <c r="I751">
        <v>0</v>
      </c>
      <c r="J751">
        <v>0</v>
      </c>
      <c r="K751">
        <v>1</v>
      </c>
      <c r="L751">
        <v>0</v>
      </c>
      <c r="M751" t="s">
        <v>45</v>
      </c>
      <c r="N751" t="s">
        <v>102</v>
      </c>
      <c r="O751" t="s">
        <v>82</v>
      </c>
      <c r="P751" t="s">
        <v>37</v>
      </c>
      <c r="Q751" t="s">
        <v>48</v>
      </c>
      <c r="R751" t="s">
        <v>59</v>
      </c>
      <c r="S751" t="s">
        <v>65</v>
      </c>
      <c r="T751">
        <v>0</v>
      </c>
      <c r="U751">
        <v>1</v>
      </c>
      <c r="V751">
        <v>1</v>
      </c>
      <c r="W751">
        <v>0</v>
      </c>
      <c r="X751">
        <v>0</v>
      </c>
      <c r="Y751">
        <v>0</v>
      </c>
      <c r="Z751">
        <v>1</v>
      </c>
      <c r="AA751">
        <v>0</v>
      </c>
      <c r="AB751">
        <v>1</v>
      </c>
      <c r="AC751">
        <v>0</v>
      </c>
      <c r="AD751">
        <v>0</v>
      </c>
      <c r="AE751">
        <v>0</v>
      </c>
      <c r="AF751">
        <v>0</v>
      </c>
      <c r="AG751">
        <v>0</v>
      </c>
    </row>
    <row r="752" spans="1:33" hidden="1" x14ac:dyDescent="0.2">
      <c r="A752">
        <v>751</v>
      </c>
      <c r="B752" t="s">
        <v>285</v>
      </c>
      <c r="C752" t="s">
        <v>188</v>
      </c>
      <c r="D752">
        <v>25</v>
      </c>
      <c r="E752" t="s">
        <v>34</v>
      </c>
      <c r="F752" t="s">
        <v>53</v>
      </c>
      <c r="G752" t="s">
        <v>54</v>
      </c>
      <c r="H752">
        <v>1847</v>
      </c>
      <c r="I752">
        <v>0</v>
      </c>
      <c r="J752">
        <v>0</v>
      </c>
      <c r="K752">
        <v>1</v>
      </c>
      <c r="L752">
        <v>0</v>
      </c>
      <c r="M752" t="s">
        <v>36</v>
      </c>
      <c r="N752" t="s">
        <v>36</v>
      </c>
      <c r="O752" t="s">
        <v>36</v>
      </c>
      <c r="P752" t="s">
        <v>37</v>
      </c>
      <c r="Q752" t="s">
        <v>36</v>
      </c>
      <c r="R752" t="s">
        <v>36</v>
      </c>
      <c r="S752" t="s">
        <v>36</v>
      </c>
      <c r="T752" t="s">
        <v>36</v>
      </c>
      <c r="U752">
        <v>1</v>
      </c>
      <c r="V752">
        <v>1</v>
      </c>
      <c r="W752">
        <v>0</v>
      </c>
      <c r="X752">
        <v>0</v>
      </c>
      <c r="Y752">
        <v>0</v>
      </c>
      <c r="Z752">
        <v>1</v>
      </c>
      <c r="AA752">
        <v>0</v>
      </c>
      <c r="AB752">
        <v>1</v>
      </c>
      <c r="AC752">
        <v>0</v>
      </c>
      <c r="AD752">
        <v>0</v>
      </c>
      <c r="AE752">
        <v>0</v>
      </c>
      <c r="AF752">
        <v>0</v>
      </c>
      <c r="AG752">
        <v>0</v>
      </c>
    </row>
    <row r="753" spans="1:33" x14ac:dyDescent="0.2">
      <c r="A753">
        <v>752</v>
      </c>
      <c r="B753" t="s">
        <v>285</v>
      </c>
      <c r="C753" t="s">
        <v>188</v>
      </c>
      <c r="D753">
        <v>25</v>
      </c>
      <c r="E753" t="s">
        <v>34</v>
      </c>
      <c r="F753" t="s">
        <v>41</v>
      </c>
      <c r="G753" t="s">
        <v>72</v>
      </c>
      <c r="H753">
        <v>1286</v>
      </c>
      <c r="I753">
        <v>0</v>
      </c>
      <c r="J753">
        <v>1</v>
      </c>
      <c r="K753">
        <v>0</v>
      </c>
      <c r="L753">
        <v>0</v>
      </c>
      <c r="M753" t="s">
        <v>115</v>
      </c>
      <c r="N753" t="s">
        <v>104</v>
      </c>
      <c r="O753" t="s">
        <v>93</v>
      </c>
      <c r="P753" t="s">
        <v>37</v>
      </c>
      <c r="Q753" t="s">
        <v>65</v>
      </c>
      <c r="R753" t="s">
        <v>60</v>
      </c>
      <c r="S753" t="s">
        <v>59</v>
      </c>
      <c r="T753">
        <v>1</v>
      </c>
      <c r="U753">
        <v>1</v>
      </c>
      <c r="V753">
        <v>0</v>
      </c>
      <c r="W753">
        <v>0</v>
      </c>
      <c r="X753">
        <v>0</v>
      </c>
      <c r="Y753">
        <v>0</v>
      </c>
      <c r="Z753">
        <v>1</v>
      </c>
      <c r="AA753">
        <v>1</v>
      </c>
      <c r="AB753">
        <v>0</v>
      </c>
      <c r="AC753">
        <v>0</v>
      </c>
      <c r="AD753">
        <v>0</v>
      </c>
      <c r="AE753">
        <v>0</v>
      </c>
      <c r="AF753">
        <v>0</v>
      </c>
      <c r="AG753">
        <v>0</v>
      </c>
    </row>
    <row r="754" spans="1:33" hidden="1" x14ac:dyDescent="0.2">
      <c r="A754">
        <v>753</v>
      </c>
      <c r="B754" t="s">
        <v>285</v>
      </c>
      <c r="C754" t="s">
        <v>188</v>
      </c>
      <c r="D754">
        <v>25</v>
      </c>
      <c r="E754" t="s">
        <v>34</v>
      </c>
      <c r="F754" t="s">
        <v>53</v>
      </c>
      <c r="G754" t="s">
        <v>76</v>
      </c>
      <c r="H754">
        <v>1416</v>
      </c>
      <c r="I754">
        <v>0</v>
      </c>
      <c r="J754">
        <v>0</v>
      </c>
      <c r="K754">
        <v>0</v>
      </c>
      <c r="L754">
        <v>1</v>
      </c>
      <c r="M754" t="s">
        <v>36</v>
      </c>
      <c r="N754" t="s">
        <v>36</v>
      </c>
      <c r="O754" t="s">
        <v>36</v>
      </c>
      <c r="P754" t="s">
        <v>37</v>
      </c>
      <c r="Q754" t="s">
        <v>36</v>
      </c>
      <c r="R754" t="s">
        <v>36</v>
      </c>
      <c r="S754" t="s">
        <v>36</v>
      </c>
      <c r="T754" t="s">
        <v>36</v>
      </c>
      <c r="U754">
        <v>1</v>
      </c>
      <c r="V754">
        <v>0</v>
      </c>
      <c r="W754">
        <v>0</v>
      </c>
      <c r="X754">
        <v>0</v>
      </c>
      <c r="Y754">
        <v>0</v>
      </c>
      <c r="Z754">
        <v>1</v>
      </c>
      <c r="AA754">
        <v>1</v>
      </c>
      <c r="AB754">
        <v>0</v>
      </c>
      <c r="AC754">
        <v>0</v>
      </c>
      <c r="AD754">
        <v>0</v>
      </c>
      <c r="AE754">
        <v>0</v>
      </c>
      <c r="AF754">
        <v>0</v>
      </c>
      <c r="AG754">
        <v>0</v>
      </c>
    </row>
    <row r="755" spans="1:33" x14ac:dyDescent="0.2">
      <c r="A755">
        <v>754</v>
      </c>
      <c r="B755" t="s">
        <v>285</v>
      </c>
      <c r="C755" t="s">
        <v>188</v>
      </c>
      <c r="D755">
        <v>25</v>
      </c>
      <c r="E755" t="s">
        <v>34</v>
      </c>
      <c r="F755" t="s">
        <v>41</v>
      </c>
      <c r="G755" t="s">
        <v>61</v>
      </c>
      <c r="H755">
        <v>3353</v>
      </c>
      <c r="I755">
        <v>1</v>
      </c>
      <c r="J755">
        <v>0</v>
      </c>
      <c r="K755">
        <v>0</v>
      </c>
      <c r="L755">
        <v>0</v>
      </c>
      <c r="M755" t="s">
        <v>62</v>
      </c>
      <c r="N755" t="s">
        <v>64</v>
      </c>
      <c r="O755" t="s">
        <v>97</v>
      </c>
      <c r="P755" t="s">
        <v>37</v>
      </c>
      <c r="Q755" t="s">
        <v>65</v>
      </c>
      <c r="R755" t="s">
        <v>48</v>
      </c>
      <c r="S755" t="s">
        <v>59</v>
      </c>
      <c r="T755">
        <v>0</v>
      </c>
      <c r="U755">
        <v>1</v>
      </c>
      <c r="V755">
        <v>1</v>
      </c>
      <c r="W755">
        <v>0</v>
      </c>
      <c r="X755">
        <v>0</v>
      </c>
      <c r="Y755">
        <v>0</v>
      </c>
      <c r="Z755">
        <v>1</v>
      </c>
      <c r="AA755">
        <v>0</v>
      </c>
      <c r="AB755">
        <v>1</v>
      </c>
      <c r="AC755">
        <v>0</v>
      </c>
      <c r="AD755">
        <v>0</v>
      </c>
      <c r="AE755">
        <v>0</v>
      </c>
      <c r="AF755">
        <v>0</v>
      </c>
      <c r="AG755">
        <v>0</v>
      </c>
    </row>
    <row r="756" spans="1:33" hidden="1" x14ac:dyDescent="0.2">
      <c r="A756">
        <v>755</v>
      </c>
      <c r="B756" t="s">
        <v>285</v>
      </c>
      <c r="C756" t="s">
        <v>188</v>
      </c>
      <c r="D756">
        <v>25</v>
      </c>
      <c r="E756" t="s">
        <v>34</v>
      </c>
      <c r="F756" t="s">
        <v>53</v>
      </c>
      <c r="G756" t="s">
        <v>71</v>
      </c>
      <c r="H756">
        <v>1889</v>
      </c>
      <c r="I756">
        <v>0</v>
      </c>
      <c r="J756">
        <v>1</v>
      </c>
      <c r="K756">
        <v>0</v>
      </c>
      <c r="L756">
        <v>0</v>
      </c>
      <c r="M756" t="s">
        <v>36</v>
      </c>
      <c r="N756" t="s">
        <v>36</v>
      </c>
      <c r="O756" t="s">
        <v>36</v>
      </c>
      <c r="P756" t="s">
        <v>37</v>
      </c>
      <c r="Q756" t="s">
        <v>36</v>
      </c>
      <c r="R756" t="s">
        <v>36</v>
      </c>
      <c r="S756" t="s">
        <v>36</v>
      </c>
      <c r="T756" t="s">
        <v>36</v>
      </c>
      <c r="U756">
        <v>1</v>
      </c>
      <c r="V756">
        <v>1</v>
      </c>
      <c r="W756">
        <v>0</v>
      </c>
      <c r="X756">
        <v>0</v>
      </c>
      <c r="Y756">
        <v>0</v>
      </c>
      <c r="Z756">
        <v>1</v>
      </c>
      <c r="AA756">
        <v>0</v>
      </c>
      <c r="AB756">
        <v>1</v>
      </c>
      <c r="AC756">
        <v>0</v>
      </c>
      <c r="AD756">
        <v>0</v>
      </c>
      <c r="AE756">
        <v>0</v>
      </c>
      <c r="AF756">
        <v>0</v>
      </c>
      <c r="AG756">
        <v>0</v>
      </c>
    </row>
    <row r="757" spans="1:33" hidden="1" x14ac:dyDescent="0.2">
      <c r="A757">
        <v>756</v>
      </c>
      <c r="B757" t="s">
        <v>285</v>
      </c>
      <c r="C757" t="s">
        <v>188</v>
      </c>
      <c r="D757">
        <v>25</v>
      </c>
      <c r="E757" t="s">
        <v>34</v>
      </c>
      <c r="F757" t="s">
        <v>77</v>
      </c>
      <c r="G757" t="s">
        <v>36</v>
      </c>
      <c r="H757">
        <v>36363</v>
      </c>
      <c r="I757" t="s">
        <v>286</v>
      </c>
      <c r="J757" t="s">
        <v>190</v>
      </c>
      <c r="K757" t="s">
        <v>287</v>
      </c>
      <c r="L757" t="s">
        <v>36</v>
      </c>
      <c r="M757" t="s">
        <v>36</v>
      </c>
      <c r="N757" t="s">
        <v>36</v>
      </c>
      <c r="O757" t="s">
        <v>36</v>
      </c>
      <c r="P757" t="s">
        <v>37</v>
      </c>
      <c r="Q757" t="s">
        <v>36</v>
      </c>
      <c r="R757" t="s">
        <v>36</v>
      </c>
      <c r="S757" t="s">
        <v>36</v>
      </c>
      <c r="T757" t="s">
        <v>36</v>
      </c>
      <c r="U757" t="s">
        <v>36</v>
      </c>
      <c r="V757" t="s">
        <v>36</v>
      </c>
      <c r="W757" t="s">
        <v>36</v>
      </c>
      <c r="X757" t="s">
        <v>36</v>
      </c>
      <c r="Y757" t="s">
        <v>36</v>
      </c>
      <c r="Z757" t="s">
        <v>36</v>
      </c>
      <c r="AA757" t="s">
        <v>36</v>
      </c>
      <c r="AB757" t="s">
        <v>36</v>
      </c>
      <c r="AC757" t="s">
        <v>36</v>
      </c>
      <c r="AD757" t="s">
        <v>36</v>
      </c>
      <c r="AE757" t="s">
        <v>36</v>
      </c>
      <c r="AF757" t="s">
        <v>36</v>
      </c>
      <c r="AG757" t="s">
        <v>36</v>
      </c>
    </row>
    <row r="758" spans="1:33" hidden="1" x14ac:dyDescent="0.2">
      <c r="A758">
        <v>757</v>
      </c>
      <c r="B758" t="s">
        <v>288</v>
      </c>
      <c r="C758" t="s">
        <v>33</v>
      </c>
      <c r="D758">
        <v>28</v>
      </c>
      <c r="E758" t="s">
        <v>34</v>
      </c>
      <c r="F758" t="s">
        <v>35</v>
      </c>
      <c r="G758" t="s">
        <v>36</v>
      </c>
      <c r="H758">
        <v>101306</v>
      </c>
      <c r="I758" t="s">
        <v>36</v>
      </c>
      <c r="J758" t="s">
        <v>36</v>
      </c>
      <c r="K758" t="s">
        <v>36</v>
      </c>
      <c r="L758" t="s">
        <v>36</v>
      </c>
      <c r="M758" t="s">
        <v>36</v>
      </c>
      <c r="N758" t="s">
        <v>36</v>
      </c>
      <c r="O758" t="s">
        <v>36</v>
      </c>
      <c r="P758" t="s">
        <v>37</v>
      </c>
      <c r="Q758" t="s">
        <v>36</v>
      </c>
      <c r="R758" t="s">
        <v>36</v>
      </c>
      <c r="S758" t="s">
        <v>36</v>
      </c>
      <c r="T758" t="s">
        <v>36</v>
      </c>
      <c r="U758" t="s">
        <v>36</v>
      </c>
      <c r="V758" t="s">
        <v>36</v>
      </c>
      <c r="W758" t="s">
        <v>36</v>
      </c>
      <c r="X758" t="s">
        <v>36</v>
      </c>
      <c r="Y758" t="s">
        <v>36</v>
      </c>
      <c r="Z758" t="s">
        <v>36</v>
      </c>
      <c r="AA758" t="s">
        <v>36</v>
      </c>
      <c r="AB758" t="s">
        <v>36</v>
      </c>
      <c r="AC758" t="s">
        <v>36</v>
      </c>
      <c r="AD758" t="s">
        <v>36</v>
      </c>
      <c r="AE758" t="s">
        <v>36</v>
      </c>
      <c r="AF758" t="s">
        <v>36</v>
      </c>
      <c r="AG758" t="s">
        <v>36</v>
      </c>
    </row>
    <row r="759" spans="1:33" hidden="1" x14ac:dyDescent="0.2">
      <c r="A759">
        <v>758</v>
      </c>
      <c r="B759" t="s">
        <v>288</v>
      </c>
      <c r="C759" t="s">
        <v>33</v>
      </c>
      <c r="D759">
        <v>28</v>
      </c>
      <c r="E759" t="s">
        <v>34</v>
      </c>
      <c r="F759" t="s">
        <v>38</v>
      </c>
      <c r="G759" t="s">
        <v>39</v>
      </c>
      <c r="H759">
        <v>100639</v>
      </c>
      <c r="I759">
        <v>0</v>
      </c>
      <c r="J759">
        <v>0</v>
      </c>
      <c r="K759">
        <v>0</v>
      </c>
      <c r="L759">
        <v>1</v>
      </c>
      <c r="M759" t="s">
        <v>36</v>
      </c>
      <c r="N759" t="s">
        <v>36</v>
      </c>
      <c r="O759" t="s">
        <v>36</v>
      </c>
      <c r="P759" t="s">
        <v>37</v>
      </c>
      <c r="Q759" t="s">
        <v>36</v>
      </c>
      <c r="R759" t="s">
        <v>36</v>
      </c>
      <c r="S759" t="s">
        <v>36</v>
      </c>
      <c r="T759" t="s">
        <v>36</v>
      </c>
      <c r="U759" t="s">
        <v>36</v>
      </c>
      <c r="V759" t="s">
        <v>36</v>
      </c>
      <c r="W759" t="s">
        <v>36</v>
      </c>
      <c r="X759" t="s">
        <v>36</v>
      </c>
      <c r="Y759" t="s">
        <v>36</v>
      </c>
      <c r="Z759" t="s">
        <v>36</v>
      </c>
      <c r="AA759" t="s">
        <v>36</v>
      </c>
      <c r="AB759" t="s">
        <v>36</v>
      </c>
      <c r="AC759" t="s">
        <v>36</v>
      </c>
      <c r="AD759" t="s">
        <v>36</v>
      </c>
      <c r="AE759" t="s">
        <v>36</v>
      </c>
      <c r="AF759" t="s">
        <v>36</v>
      </c>
      <c r="AG759" t="s">
        <v>36</v>
      </c>
    </row>
    <row r="760" spans="1:33" hidden="1" x14ac:dyDescent="0.2">
      <c r="A760">
        <v>759</v>
      </c>
      <c r="B760" t="s">
        <v>288</v>
      </c>
      <c r="C760" t="s">
        <v>33</v>
      </c>
      <c r="D760">
        <v>28</v>
      </c>
      <c r="E760" t="s">
        <v>34</v>
      </c>
      <c r="F760" t="s">
        <v>38</v>
      </c>
      <c r="G760" t="s">
        <v>40</v>
      </c>
      <c r="H760">
        <v>119163</v>
      </c>
      <c r="I760">
        <v>0</v>
      </c>
      <c r="J760">
        <v>0</v>
      </c>
      <c r="K760">
        <v>1</v>
      </c>
      <c r="L760">
        <v>0</v>
      </c>
      <c r="M760" t="s">
        <v>36</v>
      </c>
      <c r="N760" t="s">
        <v>36</v>
      </c>
      <c r="O760" t="s">
        <v>36</v>
      </c>
      <c r="P760" t="s">
        <v>37</v>
      </c>
      <c r="Q760" t="s">
        <v>36</v>
      </c>
      <c r="R760" t="s">
        <v>36</v>
      </c>
      <c r="S760" t="s">
        <v>36</v>
      </c>
      <c r="T760" t="s">
        <v>36</v>
      </c>
      <c r="U760" t="s">
        <v>36</v>
      </c>
      <c r="V760" t="s">
        <v>36</v>
      </c>
      <c r="W760" t="s">
        <v>36</v>
      </c>
      <c r="X760" t="s">
        <v>36</v>
      </c>
      <c r="Y760" t="s">
        <v>36</v>
      </c>
      <c r="Z760" t="s">
        <v>36</v>
      </c>
      <c r="AA760" t="s">
        <v>36</v>
      </c>
      <c r="AB760" t="s">
        <v>36</v>
      </c>
      <c r="AC760" t="s">
        <v>36</v>
      </c>
      <c r="AD760" t="s">
        <v>36</v>
      </c>
      <c r="AE760" t="s">
        <v>36</v>
      </c>
      <c r="AF760" t="s">
        <v>36</v>
      </c>
      <c r="AG760" t="s">
        <v>36</v>
      </c>
    </row>
    <row r="761" spans="1:33" x14ac:dyDescent="0.2">
      <c r="A761">
        <v>760</v>
      </c>
      <c r="B761" t="s">
        <v>288</v>
      </c>
      <c r="C761" t="s">
        <v>33</v>
      </c>
      <c r="D761">
        <v>28</v>
      </c>
      <c r="E761" t="s">
        <v>34</v>
      </c>
      <c r="F761" t="s">
        <v>41</v>
      </c>
      <c r="G761" t="s">
        <v>42</v>
      </c>
      <c r="H761">
        <v>202588</v>
      </c>
      <c r="I761">
        <v>0</v>
      </c>
      <c r="J761">
        <v>0</v>
      </c>
      <c r="K761">
        <v>0</v>
      </c>
      <c r="L761">
        <v>1</v>
      </c>
      <c r="M761" t="s">
        <v>116</v>
      </c>
      <c r="N761" t="s">
        <v>44</v>
      </c>
      <c r="O761" t="s">
        <v>43</v>
      </c>
      <c r="P761" t="s">
        <v>37</v>
      </c>
      <c r="Q761" t="s">
        <v>60</v>
      </c>
      <c r="R761" t="s">
        <v>47</v>
      </c>
      <c r="S761" t="s">
        <v>46</v>
      </c>
      <c r="T761">
        <v>1</v>
      </c>
      <c r="U761">
        <v>0</v>
      </c>
      <c r="V761">
        <v>0</v>
      </c>
      <c r="W761">
        <v>1</v>
      </c>
      <c r="X761">
        <v>1</v>
      </c>
      <c r="Y761">
        <v>0</v>
      </c>
      <c r="Z761">
        <v>1</v>
      </c>
      <c r="AA761">
        <v>0</v>
      </c>
      <c r="AB761">
        <v>0</v>
      </c>
      <c r="AC761">
        <v>0</v>
      </c>
      <c r="AD761">
        <v>0</v>
      </c>
      <c r="AE761">
        <v>0</v>
      </c>
      <c r="AF761">
        <v>0</v>
      </c>
      <c r="AG761">
        <v>1</v>
      </c>
    </row>
    <row r="762" spans="1:33" x14ac:dyDescent="0.2">
      <c r="A762">
        <v>761</v>
      </c>
      <c r="B762" t="s">
        <v>288</v>
      </c>
      <c r="C762" t="s">
        <v>33</v>
      </c>
      <c r="D762">
        <v>28</v>
      </c>
      <c r="E762" t="s">
        <v>34</v>
      </c>
      <c r="F762" t="s">
        <v>41</v>
      </c>
      <c r="G762" t="s">
        <v>72</v>
      </c>
      <c r="H762">
        <v>114905</v>
      </c>
      <c r="I762">
        <v>0</v>
      </c>
      <c r="J762">
        <v>1</v>
      </c>
      <c r="K762">
        <v>0</v>
      </c>
      <c r="L762">
        <v>0</v>
      </c>
      <c r="M762" t="s">
        <v>75</v>
      </c>
      <c r="N762" t="s">
        <v>104</v>
      </c>
      <c r="O762" t="s">
        <v>74</v>
      </c>
      <c r="P762" t="s">
        <v>37</v>
      </c>
      <c r="Q762" t="s">
        <v>46</v>
      </c>
      <c r="R762" t="s">
        <v>60</v>
      </c>
      <c r="S762" t="s">
        <v>47</v>
      </c>
      <c r="T762">
        <v>1</v>
      </c>
      <c r="U762">
        <v>0</v>
      </c>
      <c r="V762">
        <v>0</v>
      </c>
      <c r="W762">
        <v>1</v>
      </c>
      <c r="X762">
        <v>1</v>
      </c>
      <c r="Y762">
        <v>0</v>
      </c>
      <c r="Z762">
        <v>1</v>
      </c>
      <c r="AA762">
        <v>1</v>
      </c>
      <c r="AB762">
        <v>0</v>
      </c>
      <c r="AC762">
        <v>0</v>
      </c>
      <c r="AD762">
        <v>0</v>
      </c>
      <c r="AE762">
        <v>0</v>
      </c>
      <c r="AF762">
        <v>0</v>
      </c>
      <c r="AG762">
        <v>0</v>
      </c>
    </row>
    <row r="763" spans="1:33" hidden="1" x14ac:dyDescent="0.2">
      <c r="A763">
        <v>762</v>
      </c>
      <c r="B763" t="s">
        <v>288</v>
      </c>
      <c r="C763" t="s">
        <v>33</v>
      </c>
      <c r="D763">
        <v>28</v>
      </c>
      <c r="E763" t="s">
        <v>34</v>
      </c>
      <c r="F763" t="s">
        <v>53</v>
      </c>
      <c r="G763" t="s">
        <v>66</v>
      </c>
      <c r="H763">
        <v>63207</v>
      </c>
      <c r="I763">
        <v>1</v>
      </c>
      <c r="J763">
        <v>0</v>
      </c>
      <c r="K763">
        <v>0</v>
      </c>
      <c r="L763">
        <v>0</v>
      </c>
      <c r="M763" t="s">
        <v>36</v>
      </c>
      <c r="N763" t="s">
        <v>36</v>
      </c>
      <c r="O763" t="s">
        <v>36</v>
      </c>
      <c r="P763" t="s">
        <v>37</v>
      </c>
      <c r="Q763" t="s">
        <v>36</v>
      </c>
      <c r="R763" t="s">
        <v>36</v>
      </c>
      <c r="S763" t="s">
        <v>36</v>
      </c>
      <c r="T763" t="s">
        <v>36</v>
      </c>
      <c r="U763">
        <v>0</v>
      </c>
      <c r="V763">
        <v>0</v>
      </c>
      <c r="W763">
        <v>1</v>
      </c>
      <c r="X763">
        <v>1</v>
      </c>
      <c r="Y763">
        <v>0</v>
      </c>
      <c r="Z763">
        <v>1</v>
      </c>
      <c r="AA763">
        <v>1</v>
      </c>
      <c r="AB763">
        <v>0</v>
      </c>
      <c r="AC763">
        <v>0</v>
      </c>
      <c r="AD763">
        <v>0</v>
      </c>
      <c r="AE763">
        <v>0</v>
      </c>
      <c r="AF763">
        <v>0</v>
      </c>
      <c r="AG763">
        <v>0</v>
      </c>
    </row>
    <row r="764" spans="1:33" x14ac:dyDescent="0.2">
      <c r="A764">
        <v>763</v>
      </c>
      <c r="B764" t="s">
        <v>288</v>
      </c>
      <c r="C764" t="s">
        <v>33</v>
      </c>
      <c r="D764">
        <v>28</v>
      </c>
      <c r="E764" t="s">
        <v>34</v>
      </c>
      <c r="F764" t="s">
        <v>41</v>
      </c>
      <c r="G764" t="s">
        <v>61</v>
      </c>
      <c r="H764">
        <v>72354</v>
      </c>
      <c r="I764">
        <v>1</v>
      </c>
      <c r="J764">
        <v>0</v>
      </c>
      <c r="K764">
        <v>0</v>
      </c>
      <c r="L764">
        <v>1</v>
      </c>
      <c r="M764" t="s">
        <v>62</v>
      </c>
      <c r="N764" t="s">
        <v>63</v>
      </c>
      <c r="O764" t="s">
        <v>64</v>
      </c>
      <c r="P764" t="s">
        <v>37</v>
      </c>
      <c r="Q764" t="s">
        <v>65</v>
      </c>
      <c r="R764" t="s">
        <v>46</v>
      </c>
      <c r="S764" t="s">
        <v>48</v>
      </c>
      <c r="T764">
        <v>0</v>
      </c>
      <c r="U764">
        <v>1</v>
      </c>
      <c r="V764">
        <v>1</v>
      </c>
      <c r="W764">
        <v>0</v>
      </c>
      <c r="X764">
        <v>1</v>
      </c>
      <c r="Y764">
        <v>0</v>
      </c>
      <c r="Z764">
        <v>1</v>
      </c>
      <c r="AA764">
        <v>0</v>
      </c>
      <c r="AB764">
        <v>1</v>
      </c>
      <c r="AC764">
        <v>0</v>
      </c>
      <c r="AD764">
        <v>0</v>
      </c>
      <c r="AE764">
        <v>0</v>
      </c>
      <c r="AF764">
        <v>0</v>
      </c>
      <c r="AG764">
        <v>1</v>
      </c>
    </row>
    <row r="765" spans="1:33" hidden="1" x14ac:dyDescent="0.2">
      <c r="A765">
        <v>764</v>
      </c>
      <c r="B765" t="s">
        <v>288</v>
      </c>
      <c r="C765" t="s">
        <v>33</v>
      </c>
      <c r="D765">
        <v>28</v>
      </c>
      <c r="E765" t="s">
        <v>34</v>
      </c>
      <c r="F765" t="s">
        <v>53</v>
      </c>
      <c r="G765" t="s">
        <v>71</v>
      </c>
      <c r="H765">
        <v>106301</v>
      </c>
      <c r="I765">
        <v>1</v>
      </c>
      <c r="J765">
        <v>1</v>
      </c>
      <c r="K765">
        <v>0</v>
      </c>
      <c r="L765">
        <v>0</v>
      </c>
      <c r="M765" t="s">
        <v>36</v>
      </c>
      <c r="N765" t="s">
        <v>36</v>
      </c>
      <c r="O765" t="s">
        <v>36</v>
      </c>
      <c r="P765" t="s">
        <v>37</v>
      </c>
      <c r="Q765" t="s">
        <v>36</v>
      </c>
      <c r="R765" t="s">
        <v>36</v>
      </c>
      <c r="S765" t="s">
        <v>36</v>
      </c>
      <c r="T765" t="s">
        <v>36</v>
      </c>
      <c r="U765">
        <v>1</v>
      </c>
      <c r="V765">
        <v>1</v>
      </c>
      <c r="W765">
        <v>0</v>
      </c>
      <c r="X765">
        <v>1</v>
      </c>
      <c r="Y765">
        <v>0</v>
      </c>
      <c r="Z765">
        <v>1</v>
      </c>
      <c r="AA765">
        <v>0</v>
      </c>
      <c r="AB765">
        <v>1</v>
      </c>
      <c r="AC765">
        <v>0</v>
      </c>
      <c r="AD765">
        <v>0</v>
      </c>
      <c r="AE765">
        <v>0</v>
      </c>
      <c r="AF765">
        <v>0</v>
      </c>
      <c r="AG765">
        <v>1</v>
      </c>
    </row>
    <row r="766" spans="1:33" x14ac:dyDescent="0.2">
      <c r="A766">
        <v>765</v>
      </c>
      <c r="B766" t="s">
        <v>288</v>
      </c>
      <c r="C766" t="s">
        <v>33</v>
      </c>
      <c r="D766">
        <v>28</v>
      </c>
      <c r="E766" t="s">
        <v>34</v>
      </c>
      <c r="F766" t="s">
        <v>41</v>
      </c>
      <c r="G766" t="s">
        <v>49</v>
      </c>
      <c r="H766">
        <v>33028</v>
      </c>
      <c r="I766">
        <v>1</v>
      </c>
      <c r="J766">
        <v>1</v>
      </c>
      <c r="K766">
        <v>0</v>
      </c>
      <c r="L766">
        <v>0</v>
      </c>
      <c r="M766" t="s">
        <v>96</v>
      </c>
      <c r="N766" t="s">
        <v>51</v>
      </c>
      <c r="O766" t="s">
        <v>50</v>
      </c>
      <c r="P766" t="s">
        <v>37</v>
      </c>
      <c r="Q766" t="s">
        <v>65</v>
      </c>
      <c r="R766" t="s">
        <v>47</v>
      </c>
      <c r="S766" t="s">
        <v>48</v>
      </c>
      <c r="T766">
        <v>0</v>
      </c>
      <c r="U766">
        <v>1</v>
      </c>
      <c r="V766">
        <v>1</v>
      </c>
      <c r="W766">
        <v>1</v>
      </c>
      <c r="X766">
        <v>0</v>
      </c>
      <c r="Y766">
        <v>0</v>
      </c>
      <c r="Z766">
        <v>1</v>
      </c>
      <c r="AA766">
        <v>0</v>
      </c>
      <c r="AB766">
        <v>1</v>
      </c>
      <c r="AC766">
        <v>0</v>
      </c>
      <c r="AD766">
        <v>1</v>
      </c>
      <c r="AE766">
        <v>0</v>
      </c>
      <c r="AF766">
        <v>0</v>
      </c>
      <c r="AG766">
        <v>0</v>
      </c>
    </row>
    <row r="767" spans="1:33" x14ac:dyDescent="0.2">
      <c r="A767">
        <v>766</v>
      </c>
      <c r="B767" t="s">
        <v>288</v>
      </c>
      <c r="C767" t="s">
        <v>33</v>
      </c>
      <c r="D767">
        <v>28</v>
      </c>
      <c r="E767" t="s">
        <v>34</v>
      </c>
      <c r="F767" t="s">
        <v>41</v>
      </c>
      <c r="G767" t="s">
        <v>55</v>
      </c>
      <c r="H767">
        <v>37104</v>
      </c>
      <c r="I767">
        <v>0</v>
      </c>
      <c r="J767">
        <v>0</v>
      </c>
      <c r="K767">
        <v>1</v>
      </c>
      <c r="L767">
        <v>0</v>
      </c>
      <c r="M767" t="s">
        <v>84</v>
      </c>
      <c r="N767" t="s">
        <v>57</v>
      </c>
      <c r="O767" t="s">
        <v>94</v>
      </c>
      <c r="P767" t="s">
        <v>37</v>
      </c>
      <c r="Q767" t="s">
        <v>46</v>
      </c>
      <c r="R767" t="s">
        <v>48</v>
      </c>
      <c r="S767" t="s">
        <v>47</v>
      </c>
      <c r="T767">
        <v>0</v>
      </c>
      <c r="U767">
        <v>0</v>
      </c>
      <c r="V767">
        <v>1</v>
      </c>
      <c r="W767">
        <v>1</v>
      </c>
      <c r="X767">
        <v>1</v>
      </c>
      <c r="Y767">
        <v>0</v>
      </c>
      <c r="Z767">
        <v>1</v>
      </c>
      <c r="AA767">
        <v>0</v>
      </c>
      <c r="AB767">
        <v>0</v>
      </c>
      <c r="AC767">
        <v>0</v>
      </c>
      <c r="AD767">
        <v>1</v>
      </c>
      <c r="AE767">
        <v>0</v>
      </c>
      <c r="AF767">
        <v>0</v>
      </c>
      <c r="AG767">
        <v>0</v>
      </c>
    </row>
    <row r="768" spans="1:33" hidden="1" x14ac:dyDescent="0.2">
      <c r="A768">
        <v>767</v>
      </c>
      <c r="B768" t="s">
        <v>288</v>
      </c>
      <c r="C768" t="s">
        <v>33</v>
      </c>
      <c r="D768">
        <v>28</v>
      </c>
      <c r="E768" t="s">
        <v>34</v>
      </c>
      <c r="F768" t="s">
        <v>53</v>
      </c>
      <c r="G768" t="s">
        <v>76</v>
      </c>
      <c r="H768">
        <v>45429</v>
      </c>
      <c r="I768">
        <v>1</v>
      </c>
      <c r="J768">
        <v>0</v>
      </c>
      <c r="K768">
        <v>0</v>
      </c>
      <c r="L768">
        <v>1</v>
      </c>
      <c r="M768" t="s">
        <v>36</v>
      </c>
      <c r="N768" t="s">
        <v>36</v>
      </c>
      <c r="O768" t="s">
        <v>36</v>
      </c>
      <c r="P768" t="s">
        <v>37</v>
      </c>
      <c r="Q768" t="s">
        <v>36</v>
      </c>
      <c r="R768" t="s">
        <v>36</v>
      </c>
      <c r="S768" t="s">
        <v>36</v>
      </c>
      <c r="T768" t="s">
        <v>36</v>
      </c>
      <c r="U768">
        <v>0</v>
      </c>
      <c r="V768">
        <v>1</v>
      </c>
      <c r="W768">
        <v>1</v>
      </c>
      <c r="X768">
        <v>1</v>
      </c>
      <c r="Y768">
        <v>0</v>
      </c>
      <c r="Z768">
        <v>1</v>
      </c>
      <c r="AA768">
        <v>0</v>
      </c>
      <c r="AB768">
        <v>0</v>
      </c>
      <c r="AC768">
        <v>0</v>
      </c>
      <c r="AD768">
        <v>1</v>
      </c>
      <c r="AE768">
        <v>0</v>
      </c>
      <c r="AF768">
        <v>0</v>
      </c>
      <c r="AG768">
        <v>0</v>
      </c>
    </row>
    <row r="769" spans="1:33" x14ac:dyDescent="0.2">
      <c r="A769">
        <v>768</v>
      </c>
      <c r="B769" t="s">
        <v>288</v>
      </c>
      <c r="C769" t="s">
        <v>33</v>
      </c>
      <c r="D769">
        <v>28</v>
      </c>
      <c r="E769" t="s">
        <v>34</v>
      </c>
      <c r="F769" t="s">
        <v>41</v>
      </c>
      <c r="G769" t="s">
        <v>67</v>
      </c>
      <c r="H769">
        <v>27637</v>
      </c>
      <c r="I769">
        <v>0</v>
      </c>
      <c r="J769">
        <v>1</v>
      </c>
      <c r="K769">
        <v>1</v>
      </c>
      <c r="L769">
        <v>0</v>
      </c>
      <c r="M769" t="s">
        <v>86</v>
      </c>
      <c r="N769" t="s">
        <v>103</v>
      </c>
      <c r="O769" t="s">
        <v>70</v>
      </c>
      <c r="P769" t="s">
        <v>37</v>
      </c>
      <c r="Q769" t="s">
        <v>46</v>
      </c>
      <c r="R769" t="s">
        <v>60</v>
      </c>
      <c r="S769" t="s">
        <v>47</v>
      </c>
      <c r="T769">
        <v>1</v>
      </c>
      <c r="U769">
        <v>0</v>
      </c>
      <c r="V769">
        <v>0</v>
      </c>
      <c r="W769">
        <v>1</v>
      </c>
      <c r="X769">
        <v>1</v>
      </c>
      <c r="Y769">
        <v>0</v>
      </c>
      <c r="Z769">
        <v>1</v>
      </c>
      <c r="AA769">
        <v>1</v>
      </c>
      <c r="AB769">
        <v>0</v>
      </c>
      <c r="AC769">
        <v>0</v>
      </c>
      <c r="AD769">
        <v>1</v>
      </c>
      <c r="AE769">
        <v>0</v>
      </c>
      <c r="AF769">
        <v>0</v>
      </c>
      <c r="AG769">
        <v>0</v>
      </c>
    </row>
    <row r="770" spans="1:33" hidden="1" x14ac:dyDescent="0.2">
      <c r="A770">
        <v>769</v>
      </c>
      <c r="B770" t="s">
        <v>288</v>
      </c>
      <c r="C770" t="s">
        <v>33</v>
      </c>
      <c r="D770">
        <v>28</v>
      </c>
      <c r="E770" t="s">
        <v>34</v>
      </c>
      <c r="F770" t="s">
        <v>53</v>
      </c>
      <c r="G770" t="s">
        <v>54</v>
      </c>
      <c r="H770">
        <v>61618</v>
      </c>
      <c r="I770">
        <v>0</v>
      </c>
      <c r="J770">
        <v>1</v>
      </c>
      <c r="K770">
        <v>0</v>
      </c>
      <c r="L770">
        <v>0</v>
      </c>
      <c r="M770" t="s">
        <v>36</v>
      </c>
      <c r="N770" t="s">
        <v>36</v>
      </c>
      <c r="O770" t="s">
        <v>36</v>
      </c>
      <c r="P770" t="s">
        <v>37</v>
      </c>
      <c r="Q770" t="s">
        <v>36</v>
      </c>
      <c r="R770" t="s">
        <v>36</v>
      </c>
      <c r="S770" t="s">
        <v>36</v>
      </c>
      <c r="T770" t="s">
        <v>36</v>
      </c>
      <c r="U770">
        <v>0</v>
      </c>
      <c r="V770">
        <v>0</v>
      </c>
      <c r="W770">
        <v>1</v>
      </c>
      <c r="X770">
        <v>1</v>
      </c>
      <c r="Y770">
        <v>0</v>
      </c>
      <c r="Z770">
        <v>1</v>
      </c>
      <c r="AA770">
        <v>1</v>
      </c>
      <c r="AB770">
        <v>0</v>
      </c>
      <c r="AC770">
        <v>0</v>
      </c>
      <c r="AD770">
        <v>1</v>
      </c>
      <c r="AE770">
        <v>0</v>
      </c>
      <c r="AF770">
        <v>0</v>
      </c>
      <c r="AG770">
        <v>0</v>
      </c>
    </row>
    <row r="771" spans="1:33" hidden="1" x14ac:dyDescent="0.2">
      <c r="A771">
        <v>770</v>
      </c>
      <c r="B771" t="s">
        <v>288</v>
      </c>
      <c r="C771" t="s">
        <v>33</v>
      </c>
      <c r="D771">
        <v>28</v>
      </c>
      <c r="E771" t="s">
        <v>34</v>
      </c>
      <c r="F771" t="s">
        <v>77</v>
      </c>
      <c r="G771" t="s">
        <v>36</v>
      </c>
      <c r="H771">
        <v>191526</v>
      </c>
      <c r="I771" t="s">
        <v>289</v>
      </c>
      <c r="J771" t="s">
        <v>290</v>
      </c>
      <c r="K771" t="s">
        <v>291</v>
      </c>
      <c r="L771" t="s">
        <v>36</v>
      </c>
      <c r="M771" t="s">
        <v>36</v>
      </c>
      <c r="N771" t="s">
        <v>36</v>
      </c>
      <c r="O771" t="s">
        <v>36</v>
      </c>
      <c r="P771" t="s">
        <v>37</v>
      </c>
      <c r="Q771" t="s">
        <v>36</v>
      </c>
      <c r="R771" t="s">
        <v>36</v>
      </c>
      <c r="S771" t="s">
        <v>36</v>
      </c>
      <c r="T771" t="s">
        <v>36</v>
      </c>
      <c r="U771" t="s">
        <v>36</v>
      </c>
      <c r="V771" t="s">
        <v>36</v>
      </c>
      <c r="W771" t="s">
        <v>36</v>
      </c>
      <c r="X771" t="s">
        <v>36</v>
      </c>
      <c r="Y771" t="s">
        <v>36</v>
      </c>
      <c r="Z771" t="s">
        <v>36</v>
      </c>
      <c r="AA771" t="s">
        <v>36</v>
      </c>
      <c r="AB771" t="s">
        <v>36</v>
      </c>
      <c r="AC771" t="s">
        <v>36</v>
      </c>
      <c r="AD771" t="s">
        <v>36</v>
      </c>
      <c r="AE771" t="s">
        <v>36</v>
      </c>
      <c r="AF771" t="s">
        <v>36</v>
      </c>
      <c r="AG771" t="s">
        <v>36</v>
      </c>
    </row>
    <row r="772" spans="1:33" hidden="1" x14ac:dyDescent="0.2">
      <c r="A772">
        <v>771</v>
      </c>
      <c r="B772" t="s">
        <v>292</v>
      </c>
      <c r="C772" t="s">
        <v>108</v>
      </c>
      <c r="D772">
        <v>61</v>
      </c>
      <c r="E772" t="s">
        <v>34</v>
      </c>
      <c r="F772" t="s">
        <v>35</v>
      </c>
      <c r="G772" t="s">
        <v>36</v>
      </c>
      <c r="H772">
        <v>35349</v>
      </c>
      <c r="I772" t="s">
        <v>36</v>
      </c>
      <c r="J772" t="s">
        <v>36</v>
      </c>
      <c r="K772" t="s">
        <v>36</v>
      </c>
      <c r="L772" t="s">
        <v>36</v>
      </c>
      <c r="M772" t="s">
        <v>36</v>
      </c>
      <c r="N772" t="s">
        <v>36</v>
      </c>
      <c r="O772" t="s">
        <v>36</v>
      </c>
      <c r="P772" t="s">
        <v>37</v>
      </c>
      <c r="Q772" t="s">
        <v>36</v>
      </c>
      <c r="R772" t="s">
        <v>36</v>
      </c>
      <c r="S772" t="s">
        <v>36</v>
      </c>
      <c r="T772" t="s">
        <v>36</v>
      </c>
      <c r="U772" t="s">
        <v>36</v>
      </c>
      <c r="V772" t="s">
        <v>36</v>
      </c>
      <c r="W772" t="s">
        <v>36</v>
      </c>
      <c r="X772" t="s">
        <v>36</v>
      </c>
      <c r="Y772" t="s">
        <v>36</v>
      </c>
      <c r="Z772" t="s">
        <v>36</v>
      </c>
      <c r="AA772" t="s">
        <v>36</v>
      </c>
      <c r="AB772" t="s">
        <v>36</v>
      </c>
      <c r="AC772" t="s">
        <v>36</v>
      </c>
      <c r="AD772" t="s">
        <v>36</v>
      </c>
      <c r="AE772" t="s">
        <v>36</v>
      </c>
      <c r="AF772" t="s">
        <v>36</v>
      </c>
      <c r="AG772" t="s">
        <v>36</v>
      </c>
    </row>
    <row r="773" spans="1:33" hidden="1" x14ac:dyDescent="0.2">
      <c r="A773">
        <v>772</v>
      </c>
      <c r="B773" t="s">
        <v>292</v>
      </c>
      <c r="C773" t="s">
        <v>108</v>
      </c>
      <c r="D773">
        <v>61</v>
      </c>
      <c r="E773" t="s">
        <v>34</v>
      </c>
      <c r="F773" t="s">
        <v>38</v>
      </c>
      <c r="G773" t="s">
        <v>40</v>
      </c>
      <c r="H773">
        <v>47960</v>
      </c>
      <c r="I773">
        <v>0</v>
      </c>
      <c r="J773">
        <v>1</v>
      </c>
      <c r="K773">
        <v>1</v>
      </c>
      <c r="L773">
        <v>0</v>
      </c>
      <c r="M773" t="s">
        <v>36</v>
      </c>
      <c r="N773" t="s">
        <v>36</v>
      </c>
      <c r="O773" t="s">
        <v>36</v>
      </c>
      <c r="P773" t="s">
        <v>37</v>
      </c>
      <c r="Q773" t="s">
        <v>36</v>
      </c>
      <c r="R773" t="s">
        <v>36</v>
      </c>
      <c r="S773" t="s">
        <v>36</v>
      </c>
      <c r="T773" t="s">
        <v>36</v>
      </c>
      <c r="U773" t="s">
        <v>36</v>
      </c>
      <c r="V773" t="s">
        <v>36</v>
      </c>
      <c r="W773" t="s">
        <v>36</v>
      </c>
      <c r="X773" t="s">
        <v>36</v>
      </c>
      <c r="Y773" t="s">
        <v>36</v>
      </c>
      <c r="Z773" t="s">
        <v>36</v>
      </c>
      <c r="AA773" t="s">
        <v>36</v>
      </c>
      <c r="AB773" t="s">
        <v>36</v>
      </c>
      <c r="AC773" t="s">
        <v>36</v>
      </c>
      <c r="AD773" t="s">
        <v>36</v>
      </c>
      <c r="AE773" t="s">
        <v>36</v>
      </c>
      <c r="AF773" t="s">
        <v>36</v>
      </c>
      <c r="AG773" t="s">
        <v>36</v>
      </c>
    </row>
    <row r="774" spans="1:33" hidden="1" x14ac:dyDescent="0.2">
      <c r="A774">
        <v>773</v>
      </c>
      <c r="B774" t="s">
        <v>292</v>
      </c>
      <c r="C774" t="s">
        <v>108</v>
      </c>
      <c r="D774">
        <v>61</v>
      </c>
      <c r="E774" t="s">
        <v>34</v>
      </c>
      <c r="F774" t="s">
        <v>38</v>
      </c>
      <c r="G774" t="s">
        <v>39</v>
      </c>
      <c r="H774">
        <v>37231</v>
      </c>
      <c r="I774">
        <v>0</v>
      </c>
      <c r="J774">
        <v>0</v>
      </c>
      <c r="K774">
        <v>0</v>
      </c>
      <c r="L774">
        <v>1</v>
      </c>
      <c r="M774" t="s">
        <v>36</v>
      </c>
      <c r="N774" t="s">
        <v>36</v>
      </c>
      <c r="O774" t="s">
        <v>36</v>
      </c>
      <c r="P774" t="s">
        <v>37</v>
      </c>
      <c r="Q774" t="s">
        <v>36</v>
      </c>
      <c r="R774" t="s">
        <v>36</v>
      </c>
      <c r="S774" t="s">
        <v>36</v>
      </c>
      <c r="T774" t="s">
        <v>36</v>
      </c>
      <c r="U774" t="s">
        <v>36</v>
      </c>
      <c r="V774" t="s">
        <v>36</v>
      </c>
      <c r="W774" t="s">
        <v>36</v>
      </c>
      <c r="X774" t="s">
        <v>36</v>
      </c>
      <c r="Y774" t="s">
        <v>36</v>
      </c>
      <c r="Z774" t="s">
        <v>36</v>
      </c>
      <c r="AA774" t="s">
        <v>36</v>
      </c>
      <c r="AB774" t="s">
        <v>36</v>
      </c>
      <c r="AC774" t="s">
        <v>36</v>
      </c>
      <c r="AD774" t="s">
        <v>36</v>
      </c>
      <c r="AE774" t="s">
        <v>36</v>
      </c>
      <c r="AF774" t="s">
        <v>36</v>
      </c>
      <c r="AG774" t="s">
        <v>36</v>
      </c>
    </row>
    <row r="775" spans="1:33" x14ac:dyDescent="0.2">
      <c r="A775">
        <v>774</v>
      </c>
      <c r="B775" t="s">
        <v>292</v>
      </c>
      <c r="C775" t="s">
        <v>108</v>
      </c>
      <c r="D775">
        <v>61</v>
      </c>
      <c r="E775" t="s">
        <v>34</v>
      </c>
      <c r="F775" t="s">
        <v>41</v>
      </c>
      <c r="G775" t="s">
        <v>61</v>
      </c>
      <c r="H775">
        <v>76195</v>
      </c>
      <c r="I775">
        <v>0</v>
      </c>
      <c r="J775">
        <v>0</v>
      </c>
      <c r="K775">
        <v>0</v>
      </c>
      <c r="L775">
        <v>1</v>
      </c>
      <c r="M775" t="s">
        <v>125</v>
      </c>
      <c r="N775" t="s">
        <v>64</v>
      </c>
      <c r="O775" t="s">
        <v>87</v>
      </c>
      <c r="P775" t="s">
        <v>37</v>
      </c>
      <c r="Q775" t="s">
        <v>60</v>
      </c>
      <c r="R775" t="s">
        <v>48</v>
      </c>
      <c r="S775" t="s">
        <v>47</v>
      </c>
      <c r="T775">
        <v>1</v>
      </c>
      <c r="U775">
        <v>0</v>
      </c>
      <c r="V775">
        <v>1</v>
      </c>
      <c r="W775">
        <v>1</v>
      </c>
      <c r="X775">
        <v>0</v>
      </c>
      <c r="Y775">
        <v>0</v>
      </c>
      <c r="Z775">
        <v>1</v>
      </c>
      <c r="AA775">
        <v>0</v>
      </c>
      <c r="AB775">
        <v>0</v>
      </c>
      <c r="AC775">
        <v>0</v>
      </c>
      <c r="AD775">
        <v>0</v>
      </c>
      <c r="AE775">
        <v>0</v>
      </c>
      <c r="AF775">
        <v>0</v>
      </c>
      <c r="AG775">
        <v>1</v>
      </c>
    </row>
    <row r="776" spans="1:33" x14ac:dyDescent="0.2">
      <c r="A776">
        <v>775</v>
      </c>
      <c r="B776" t="s">
        <v>292</v>
      </c>
      <c r="C776" t="s">
        <v>108</v>
      </c>
      <c r="D776">
        <v>61</v>
      </c>
      <c r="E776" t="s">
        <v>34</v>
      </c>
      <c r="F776" t="s">
        <v>41</v>
      </c>
      <c r="G776" t="s">
        <v>49</v>
      </c>
      <c r="H776">
        <v>74640</v>
      </c>
      <c r="I776">
        <v>0</v>
      </c>
      <c r="J776">
        <v>1</v>
      </c>
      <c r="K776">
        <v>1</v>
      </c>
      <c r="L776">
        <v>0</v>
      </c>
      <c r="M776" t="s">
        <v>83</v>
      </c>
      <c r="N776" t="s">
        <v>96</v>
      </c>
      <c r="O776" t="s">
        <v>51</v>
      </c>
      <c r="P776" t="s">
        <v>37</v>
      </c>
      <c r="Q776" t="s">
        <v>59</v>
      </c>
      <c r="R776" t="s">
        <v>65</v>
      </c>
      <c r="S776" t="s">
        <v>47</v>
      </c>
      <c r="T776">
        <v>0</v>
      </c>
      <c r="U776">
        <v>1</v>
      </c>
      <c r="V776">
        <v>0</v>
      </c>
      <c r="W776">
        <v>1</v>
      </c>
      <c r="X776">
        <v>0</v>
      </c>
      <c r="Y776">
        <v>0</v>
      </c>
      <c r="Z776">
        <v>1</v>
      </c>
      <c r="AA776">
        <v>0</v>
      </c>
      <c r="AB776">
        <v>1</v>
      </c>
      <c r="AC776">
        <v>0</v>
      </c>
      <c r="AD776">
        <v>1</v>
      </c>
      <c r="AE776">
        <v>0</v>
      </c>
      <c r="AF776">
        <v>0</v>
      </c>
      <c r="AG776">
        <v>0</v>
      </c>
    </row>
    <row r="777" spans="1:33" hidden="1" x14ac:dyDescent="0.2">
      <c r="A777">
        <v>776</v>
      </c>
      <c r="B777" t="s">
        <v>292</v>
      </c>
      <c r="C777" t="s">
        <v>108</v>
      </c>
      <c r="D777">
        <v>61</v>
      </c>
      <c r="E777" t="s">
        <v>34</v>
      </c>
      <c r="F777" t="s">
        <v>53</v>
      </c>
      <c r="G777" t="s">
        <v>54</v>
      </c>
      <c r="H777">
        <v>17434</v>
      </c>
      <c r="I777">
        <v>0</v>
      </c>
      <c r="J777">
        <v>1</v>
      </c>
      <c r="K777">
        <v>1</v>
      </c>
      <c r="L777">
        <v>0</v>
      </c>
      <c r="M777" t="s">
        <v>36</v>
      </c>
      <c r="N777" t="s">
        <v>36</v>
      </c>
      <c r="O777" t="s">
        <v>36</v>
      </c>
      <c r="P777" t="s">
        <v>37</v>
      </c>
      <c r="Q777" t="s">
        <v>36</v>
      </c>
      <c r="R777" t="s">
        <v>36</v>
      </c>
      <c r="S777" t="s">
        <v>36</v>
      </c>
      <c r="T777" t="s">
        <v>36</v>
      </c>
      <c r="U777">
        <v>1</v>
      </c>
      <c r="V777">
        <v>0</v>
      </c>
      <c r="W777">
        <v>1</v>
      </c>
      <c r="X777">
        <v>0</v>
      </c>
      <c r="Y777">
        <v>0</v>
      </c>
      <c r="Z777">
        <v>1</v>
      </c>
      <c r="AA777">
        <v>0</v>
      </c>
      <c r="AB777">
        <v>1</v>
      </c>
      <c r="AC777">
        <v>0</v>
      </c>
      <c r="AD777">
        <v>1</v>
      </c>
      <c r="AE777">
        <v>0</v>
      </c>
      <c r="AF777">
        <v>0</v>
      </c>
      <c r="AG777">
        <v>0</v>
      </c>
    </row>
    <row r="778" spans="1:33" x14ac:dyDescent="0.2">
      <c r="A778">
        <v>777</v>
      </c>
      <c r="B778" t="s">
        <v>292</v>
      </c>
      <c r="C778" t="s">
        <v>108</v>
      </c>
      <c r="D778">
        <v>61</v>
      </c>
      <c r="E778" t="s">
        <v>34</v>
      </c>
      <c r="F778" t="s">
        <v>41</v>
      </c>
      <c r="G778" t="s">
        <v>42</v>
      </c>
      <c r="H778">
        <v>46063</v>
      </c>
      <c r="I778">
        <v>1</v>
      </c>
      <c r="J778">
        <v>1</v>
      </c>
      <c r="K778">
        <v>1</v>
      </c>
      <c r="L778">
        <v>0</v>
      </c>
      <c r="M778" t="s">
        <v>45</v>
      </c>
      <c r="N778" t="s">
        <v>102</v>
      </c>
      <c r="O778" t="s">
        <v>82</v>
      </c>
      <c r="P778" t="s">
        <v>37</v>
      </c>
      <c r="Q778" t="s">
        <v>48</v>
      </c>
      <c r="R778" t="s">
        <v>59</v>
      </c>
      <c r="S778" t="s">
        <v>65</v>
      </c>
      <c r="T778">
        <v>0</v>
      </c>
      <c r="U778">
        <v>1</v>
      </c>
      <c r="V778">
        <v>1</v>
      </c>
      <c r="W778">
        <v>0</v>
      </c>
      <c r="X778">
        <v>0</v>
      </c>
      <c r="Y778">
        <v>0</v>
      </c>
      <c r="Z778">
        <v>1</v>
      </c>
      <c r="AA778">
        <v>0</v>
      </c>
      <c r="AB778">
        <v>1</v>
      </c>
      <c r="AC778">
        <v>1</v>
      </c>
      <c r="AD778">
        <v>0</v>
      </c>
      <c r="AE778">
        <v>0</v>
      </c>
      <c r="AF778">
        <v>0</v>
      </c>
      <c r="AG778">
        <v>0</v>
      </c>
    </row>
    <row r="779" spans="1:33" hidden="1" x14ac:dyDescent="0.2">
      <c r="A779">
        <v>778</v>
      </c>
      <c r="B779" t="s">
        <v>292</v>
      </c>
      <c r="C779" t="s">
        <v>108</v>
      </c>
      <c r="D779">
        <v>61</v>
      </c>
      <c r="E779" t="s">
        <v>34</v>
      </c>
      <c r="F779" t="s">
        <v>53</v>
      </c>
      <c r="G779" t="s">
        <v>71</v>
      </c>
      <c r="H779">
        <v>14226</v>
      </c>
      <c r="I779">
        <v>0</v>
      </c>
      <c r="J779">
        <v>0</v>
      </c>
      <c r="K779">
        <v>0</v>
      </c>
      <c r="L779">
        <v>1</v>
      </c>
      <c r="M779" t="s">
        <v>36</v>
      </c>
      <c r="N779" t="s">
        <v>36</v>
      </c>
      <c r="O779" t="s">
        <v>36</v>
      </c>
      <c r="P779" t="s">
        <v>37</v>
      </c>
      <c r="Q779" t="s">
        <v>36</v>
      </c>
      <c r="R779" t="s">
        <v>36</v>
      </c>
      <c r="S779" t="s">
        <v>36</v>
      </c>
      <c r="T779" t="s">
        <v>36</v>
      </c>
      <c r="U779">
        <v>1</v>
      </c>
      <c r="V779">
        <v>1</v>
      </c>
      <c r="W779">
        <v>0</v>
      </c>
      <c r="X779">
        <v>0</v>
      </c>
      <c r="Y779">
        <v>0</v>
      </c>
      <c r="Z779">
        <v>1</v>
      </c>
      <c r="AA779">
        <v>0</v>
      </c>
      <c r="AB779">
        <v>1</v>
      </c>
      <c r="AC779">
        <v>1</v>
      </c>
      <c r="AD779">
        <v>0</v>
      </c>
      <c r="AE779">
        <v>0</v>
      </c>
      <c r="AF779">
        <v>0</v>
      </c>
      <c r="AG779">
        <v>0</v>
      </c>
    </row>
    <row r="780" spans="1:33" x14ac:dyDescent="0.2">
      <c r="A780">
        <v>779</v>
      </c>
      <c r="B780" t="s">
        <v>292</v>
      </c>
      <c r="C780" t="s">
        <v>108</v>
      </c>
      <c r="D780">
        <v>61</v>
      </c>
      <c r="E780" t="s">
        <v>34</v>
      </c>
      <c r="F780" t="s">
        <v>41</v>
      </c>
      <c r="G780" t="s">
        <v>67</v>
      </c>
      <c r="H780">
        <v>28011</v>
      </c>
      <c r="I780">
        <v>1</v>
      </c>
      <c r="J780">
        <v>0</v>
      </c>
      <c r="K780">
        <v>1</v>
      </c>
      <c r="L780">
        <v>0</v>
      </c>
      <c r="M780" t="s">
        <v>68</v>
      </c>
      <c r="N780" t="s">
        <v>109</v>
      </c>
      <c r="O780" t="s">
        <v>70</v>
      </c>
      <c r="P780" t="s">
        <v>37</v>
      </c>
      <c r="Q780" t="s">
        <v>65</v>
      </c>
      <c r="R780" t="s">
        <v>59</v>
      </c>
      <c r="S780" t="s">
        <v>47</v>
      </c>
      <c r="T780">
        <v>0</v>
      </c>
      <c r="U780">
        <v>1</v>
      </c>
      <c r="V780">
        <v>0</v>
      </c>
      <c r="W780">
        <v>1</v>
      </c>
      <c r="X780">
        <v>0</v>
      </c>
      <c r="Y780">
        <v>0</v>
      </c>
      <c r="Z780">
        <v>1</v>
      </c>
      <c r="AA780">
        <v>0</v>
      </c>
      <c r="AB780">
        <v>1</v>
      </c>
      <c r="AC780">
        <v>0</v>
      </c>
      <c r="AD780">
        <v>1</v>
      </c>
      <c r="AE780">
        <v>0</v>
      </c>
      <c r="AF780">
        <v>0</v>
      </c>
      <c r="AG780">
        <v>0</v>
      </c>
    </row>
    <row r="781" spans="1:33" x14ac:dyDescent="0.2">
      <c r="A781">
        <v>780</v>
      </c>
      <c r="B781" t="s">
        <v>292</v>
      </c>
      <c r="C781" t="s">
        <v>108</v>
      </c>
      <c r="D781">
        <v>61</v>
      </c>
      <c r="E781" t="s">
        <v>34</v>
      </c>
      <c r="F781" t="s">
        <v>41</v>
      </c>
      <c r="G781" t="s">
        <v>72</v>
      </c>
      <c r="H781">
        <v>33971</v>
      </c>
      <c r="I781">
        <v>1</v>
      </c>
      <c r="J781">
        <v>1</v>
      </c>
      <c r="K781">
        <v>1</v>
      </c>
      <c r="L781">
        <v>0</v>
      </c>
      <c r="M781" t="s">
        <v>73</v>
      </c>
      <c r="N781" t="s">
        <v>75</v>
      </c>
      <c r="O781" t="s">
        <v>115</v>
      </c>
      <c r="P781" t="s">
        <v>37</v>
      </c>
      <c r="Q781" t="s">
        <v>48</v>
      </c>
      <c r="R781" t="s">
        <v>46</v>
      </c>
      <c r="S781" t="s">
        <v>65</v>
      </c>
      <c r="T781">
        <v>0</v>
      </c>
      <c r="U781">
        <v>1</v>
      </c>
      <c r="V781">
        <v>1</v>
      </c>
      <c r="W781">
        <v>0</v>
      </c>
      <c r="X781">
        <v>1</v>
      </c>
      <c r="Y781">
        <v>0</v>
      </c>
      <c r="Z781">
        <v>1</v>
      </c>
      <c r="AA781">
        <v>0</v>
      </c>
      <c r="AB781">
        <v>1</v>
      </c>
      <c r="AC781">
        <v>1</v>
      </c>
      <c r="AD781">
        <v>0</v>
      </c>
      <c r="AE781">
        <v>1</v>
      </c>
      <c r="AF781">
        <v>0</v>
      </c>
      <c r="AG781">
        <v>0</v>
      </c>
    </row>
    <row r="782" spans="1:33" hidden="1" x14ac:dyDescent="0.2">
      <c r="A782">
        <v>781</v>
      </c>
      <c r="B782" t="s">
        <v>292</v>
      </c>
      <c r="C782" t="s">
        <v>108</v>
      </c>
      <c r="D782">
        <v>61</v>
      </c>
      <c r="E782" t="s">
        <v>34</v>
      </c>
      <c r="F782" t="s">
        <v>53</v>
      </c>
      <c r="G782" t="s">
        <v>76</v>
      </c>
      <c r="H782">
        <v>25876</v>
      </c>
      <c r="I782">
        <v>1</v>
      </c>
      <c r="J782">
        <v>0</v>
      </c>
      <c r="K782">
        <v>0</v>
      </c>
      <c r="L782">
        <v>0</v>
      </c>
      <c r="M782" t="s">
        <v>36</v>
      </c>
      <c r="N782" t="s">
        <v>36</v>
      </c>
      <c r="O782" t="s">
        <v>36</v>
      </c>
      <c r="P782" t="s">
        <v>37</v>
      </c>
      <c r="Q782" t="s">
        <v>36</v>
      </c>
      <c r="R782" t="s">
        <v>36</v>
      </c>
      <c r="S782" t="s">
        <v>36</v>
      </c>
      <c r="T782" t="s">
        <v>36</v>
      </c>
      <c r="U782">
        <v>1</v>
      </c>
      <c r="V782">
        <v>1</v>
      </c>
      <c r="W782">
        <v>0</v>
      </c>
      <c r="X782">
        <v>1</v>
      </c>
      <c r="Y782">
        <v>0</v>
      </c>
      <c r="Z782">
        <v>1</v>
      </c>
      <c r="AA782">
        <v>0</v>
      </c>
      <c r="AB782">
        <v>1</v>
      </c>
      <c r="AC782">
        <v>1</v>
      </c>
      <c r="AD782">
        <v>0</v>
      </c>
      <c r="AE782">
        <v>1</v>
      </c>
      <c r="AF782">
        <v>0</v>
      </c>
      <c r="AG782">
        <v>0</v>
      </c>
    </row>
    <row r="783" spans="1:33" x14ac:dyDescent="0.2">
      <c r="A783">
        <v>782</v>
      </c>
      <c r="B783" t="s">
        <v>292</v>
      </c>
      <c r="C783" t="s">
        <v>108</v>
      </c>
      <c r="D783">
        <v>61</v>
      </c>
      <c r="E783" t="s">
        <v>34</v>
      </c>
      <c r="F783" t="s">
        <v>41</v>
      </c>
      <c r="G783" t="s">
        <v>55</v>
      </c>
      <c r="H783">
        <v>14738</v>
      </c>
      <c r="I783">
        <v>1</v>
      </c>
      <c r="J783">
        <v>1</v>
      </c>
      <c r="K783">
        <v>1</v>
      </c>
      <c r="L783">
        <v>0</v>
      </c>
      <c r="M783" t="s">
        <v>57</v>
      </c>
      <c r="N783" t="s">
        <v>85</v>
      </c>
      <c r="O783" t="s">
        <v>58</v>
      </c>
      <c r="P783" t="s">
        <v>37</v>
      </c>
      <c r="Q783" t="s">
        <v>48</v>
      </c>
      <c r="R783" t="s">
        <v>65</v>
      </c>
      <c r="S783" t="s">
        <v>60</v>
      </c>
      <c r="T783">
        <v>1</v>
      </c>
      <c r="U783">
        <v>1</v>
      </c>
      <c r="V783">
        <v>1</v>
      </c>
      <c r="W783">
        <v>0</v>
      </c>
      <c r="X783">
        <v>0</v>
      </c>
      <c r="Y783">
        <v>0</v>
      </c>
      <c r="Z783">
        <v>1</v>
      </c>
      <c r="AA783">
        <v>1</v>
      </c>
      <c r="AB783">
        <v>1</v>
      </c>
      <c r="AC783">
        <v>1</v>
      </c>
      <c r="AD783">
        <v>0</v>
      </c>
      <c r="AE783">
        <v>0</v>
      </c>
      <c r="AF783">
        <v>0</v>
      </c>
      <c r="AG783">
        <v>0</v>
      </c>
    </row>
    <row r="784" spans="1:33" hidden="1" x14ac:dyDescent="0.2">
      <c r="A784">
        <v>783</v>
      </c>
      <c r="B784" t="s">
        <v>292</v>
      </c>
      <c r="C784" t="s">
        <v>108</v>
      </c>
      <c r="D784">
        <v>61</v>
      </c>
      <c r="E784" t="s">
        <v>34</v>
      </c>
      <c r="F784" t="s">
        <v>53</v>
      </c>
      <c r="G784" t="s">
        <v>66</v>
      </c>
      <c r="H784">
        <v>21601</v>
      </c>
      <c r="I784">
        <v>1</v>
      </c>
      <c r="J784">
        <v>1</v>
      </c>
      <c r="K784">
        <v>0</v>
      </c>
      <c r="L784">
        <v>0</v>
      </c>
      <c r="M784" t="s">
        <v>36</v>
      </c>
      <c r="N784" t="s">
        <v>36</v>
      </c>
      <c r="O784" t="s">
        <v>36</v>
      </c>
      <c r="P784" t="s">
        <v>37</v>
      </c>
      <c r="Q784" t="s">
        <v>36</v>
      </c>
      <c r="R784" t="s">
        <v>36</v>
      </c>
      <c r="S784" t="s">
        <v>36</v>
      </c>
      <c r="T784" t="s">
        <v>36</v>
      </c>
      <c r="U784">
        <v>1</v>
      </c>
      <c r="V784">
        <v>1</v>
      </c>
      <c r="W784">
        <v>0</v>
      </c>
      <c r="X784">
        <v>0</v>
      </c>
      <c r="Y784">
        <v>0</v>
      </c>
      <c r="Z784">
        <v>1</v>
      </c>
      <c r="AA784">
        <v>1</v>
      </c>
      <c r="AB784">
        <v>1</v>
      </c>
      <c r="AC784">
        <v>1</v>
      </c>
      <c r="AD784">
        <v>0</v>
      </c>
      <c r="AE784">
        <v>0</v>
      </c>
      <c r="AF784">
        <v>0</v>
      </c>
      <c r="AG784">
        <v>0</v>
      </c>
    </row>
    <row r="785" spans="1:33" hidden="1" x14ac:dyDescent="0.2">
      <c r="A785">
        <v>784</v>
      </c>
      <c r="B785" t="s">
        <v>292</v>
      </c>
      <c r="C785" t="s">
        <v>108</v>
      </c>
      <c r="D785">
        <v>61</v>
      </c>
      <c r="E785" t="s">
        <v>34</v>
      </c>
      <c r="F785" t="s">
        <v>77</v>
      </c>
      <c r="G785" t="s">
        <v>36</v>
      </c>
      <c r="H785">
        <v>113151</v>
      </c>
      <c r="I785" t="s">
        <v>293</v>
      </c>
      <c r="J785" t="s">
        <v>294</v>
      </c>
      <c r="K785" t="s">
        <v>166</v>
      </c>
      <c r="L785" t="s">
        <v>36</v>
      </c>
      <c r="M785" t="s">
        <v>36</v>
      </c>
      <c r="N785" t="s">
        <v>36</v>
      </c>
      <c r="O785" t="s">
        <v>36</v>
      </c>
      <c r="P785" t="s">
        <v>37</v>
      </c>
      <c r="Q785" t="s">
        <v>36</v>
      </c>
      <c r="R785" t="s">
        <v>36</v>
      </c>
      <c r="S785" t="s">
        <v>36</v>
      </c>
      <c r="T785" t="s">
        <v>36</v>
      </c>
      <c r="U785" t="s">
        <v>36</v>
      </c>
      <c r="V785" t="s">
        <v>36</v>
      </c>
      <c r="W785" t="s">
        <v>36</v>
      </c>
      <c r="X785" t="s">
        <v>36</v>
      </c>
      <c r="Y785" t="s">
        <v>36</v>
      </c>
      <c r="Z785" t="s">
        <v>36</v>
      </c>
      <c r="AA785" t="s">
        <v>36</v>
      </c>
      <c r="AB785" t="s">
        <v>36</v>
      </c>
      <c r="AC785" t="s">
        <v>36</v>
      </c>
      <c r="AD785" t="s">
        <v>36</v>
      </c>
      <c r="AE785" t="s">
        <v>36</v>
      </c>
      <c r="AF785" t="s">
        <v>36</v>
      </c>
      <c r="AG785" t="s">
        <v>36</v>
      </c>
    </row>
    <row r="786" spans="1:33" hidden="1" x14ac:dyDescent="0.2">
      <c r="A786">
        <v>785</v>
      </c>
      <c r="B786" t="s">
        <v>295</v>
      </c>
      <c r="C786" t="s">
        <v>33</v>
      </c>
      <c r="D786">
        <v>40</v>
      </c>
      <c r="E786" t="s">
        <v>114</v>
      </c>
      <c r="F786" t="s">
        <v>35</v>
      </c>
      <c r="G786" t="s">
        <v>36</v>
      </c>
      <c r="H786">
        <v>428673</v>
      </c>
      <c r="I786" t="s">
        <v>36</v>
      </c>
      <c r="J786" t="s">
        <v>36</v>
      </c>
      <c r="K786" t="s">
        <v>36</v>
      </c>
      <c r="L786" t="s">
        <v>36</v>
      </c>
      <c r="M786" t="s">
        <v>36</v>
      </c>
      <c r="N786" t="s">
        <v>36</v>
      </c>
      <c r="O786" t="s">
        <v>36</v>
      </c>
      <c r="P786" t="s">
        <v>37</v>
      </c>
      <c r="Q786" t="s">
        <v>36</v>
      </c>
      <c r="R786" t="s">
        <v>36</v>
      </c>
      <c r="S786" t="s">
        <v>36</v>
      </c>
      <c r="T786" t="s">
        <v>36</v>
      </c>
      <c r="U786" t="s">
        <v>36</v>
      </c>
      <c r="V786" t="s">
        <v>36</v>
      </c>
      <c r="W786" t="s">
        <v>36</v>
      </c>
      <c r="X786" t="s">
        <v>36</v>
      </c>
      <c r="Y786" t="s">
        <v>36</v>
      </c>
      <c r="Z786" t="s">
        <v>36</v>
      </c>
      <c r="AA786" t="s">
        <v>36</v>
      </c>
      <c r="AB786" t="s">
        <v>36</v>
      </c>
      <c r="AC786" t="s">
        <v>36</v>
      </c>
      <c r="AD786" t="s">
        <v>36</v>
      </c>
      <c r="AE786" t="s">
        <v>36</v>
      </c>
      <c r="AF786" t="s">
        <v>36</v>
      </c>
      <c r="AG786" t="s">
        <v>36</v>
      </c>
    </row>
    <row r="787" spans="1:33" hidden="1" x14ac:dyDescent="0.2">
      <c r="A787">
        <v>786</v>
      </c>
      <c r="B787" t="s">
        <v>295</v>
      </c>
      <c r="C787" t="s">
        <v>33</v>
      </c>
      <c r="D787">
        <v>40</v>
      </c>
      <c r="E787" t="s">
        <v>114</v>
      </c>
      <c r="F787" t="s">
        <v>38</v>
      </c>
      <c r="G787" t="s">
        <v>39</v>
      </c>
      <c r="H787">
        <v>44277</v>
      </c>
      <c r="I787">
        <v>0</v>
      </c>
      <c r="J787">
        <v>0</v>
      </c>
      <c r="K787">
        <v>0</v>
      </c>
      <c r="L787">
        <v>1</v>
      </c>
      <c r="M787" t="s">
        <v>36</v>
      </c>
      <c r="N787" t="s">
        <v>36</v>
      </c>
      <c r="O787" t="s">
        <v>36</v>
      </c>
      <c r="P787" t="s">
        <v>37</v>
      </c>
      <c r="Q787" t="s">
        <v>36</v>
      </c>
      <c r="R787" t="s">
        <v>36</v>
      </c>
      <c r="S787" t="s">
        <v>36</v>
      </c>
      <c r="T787" t="s">
        <v>36</v>
      </c>
      <c r="U787" t="s">
        <v>36</v>
      </c>
      <c r="V787" t="s">
        <v>36</v>
      </c>
      <c r="W787" t="s">
        <v>36</v>
      </c>
      <c r="X787" t="s">
        <v>36</v>
      </c>
      <c r="Y787" t="s">
        <v>36</v>
      </c>
      <c r="Z787" t="s">
        <v>36</v>
      </c>
      <c r="AA787" t="s">
        <v>36</v>
      </c>
      <c r="AB787" t="s">
        <v>36</v>
      </c>
      <c r="AC787" t="s">
        <v>36</v>
      </c>
      <c r="AD787" t="s">
        <v>36</v>
      </c>
      <c r="AE787" t="s">
        <v>36</v>
      </c>
      <c r="AF787" t="s">
        <v>36</v>
      </c>
      <c r="AG787" t="s">
        <v>36</v>
      </c>
    </row>
    <row r="788" spans="1:33" hidden="1" x14ac:dyDescent="0.2">
      <c r="A788">
        <v>787</v>
      </c>
      <c r="B788" t="s">
        <v>295</v>
      </c>
      <c r="C788" t="s">
        <v>33</v>
      </c>
      <c r="D788">
        <v>40</v>
      </c>
      <c r="E788" t="s">
        <v>114</v>
      </c>
      <c r="F788" t="s">
        <v>38</v>
      </c>
      <c r="G788" t="s">
        <v>40</v>
      </c>
      <c r="H788">
        <v>116120</v>
      </c>
      <c r="I788">
        <v>0</v>
      </c>
      <c r="J788">
        <v>0</v>
      </c>
      <c r="K788">
        <v>1</v>
      </c>
      <c r="L788">
        <v>0</v>
      </c>
      <c r="M788" t="s">
        <v>36</v>
      </c>
      <c r="N788" t="s">
        <v>36</v>
      </c>
      <c r="O788" t="s">
        <v>36</v>
      </c>
      <c r="P788" t="s">
        <v>37</v>
      </c>
      <c r="Q788" t="s">
        <v>36</v>
      </c>
      <c r="R788" t="s">
        <v>36</v>
      </c>
      <c r="S788" t="s">
        <v>36</v>
      </c>
      <c r="T788" t="s">
        <v>36</v>
      </c>
      <c r="U788" t="s">
        <v>36</v>
      </c>
      <c r="V788" t="s">
        <v>36</v>
      </c>
      <c r="W788" t="s">
        <v>36</v>
      </c>
      <c r="X788" t="s">
        <v>36</v>
      </c>
      <c r="Y788" t="s">
        <v>36</v>
      </c>
      <c r="Z788" t="s">
        <v>36</v>
      </c>
      <c r="AA788" t="s">
        <v>36</v>
      </c>
      <c r="AB788" t="s">
        <v>36</v>
      </c>
      <c r="AC788" t="s">
        <v>36</v>
      </c>
      <c r="AD788" t="s">
        <v>36</v>
      </c>
      <c r="AE788" t="s">
        <v>36</v>
      </c>
      <c r="AF788" t="s">
        <v>36</v>
      </c>
      <c r="AG788" t="s">
        <v>36</v>
      </c>
    </row>
    <row r="789" spans="1:33" x14ac:dyDescent="0.2">
      <c r="A789">
        <v>788</v>
      </c>
      <c r="B789" t="s">
        <v>295</v>
      </c>
      <c r="C789" t="s">
        <v>33</v>
      </c>
      <c r="D789">
        <v>40</v>
      </c>
      <c r="E789" t="s">
        <v>114</v>
      </c>
      <c r="F789" t="s">
        <v>41</v>
      </c>
      <c r="G789" t="s">
        <v>67</v>
      </c>
      <c r="H789">
        <v>63963</v>
      </c>
      <c r="I789">
        <v>1</v>
      </c>
      <c r="J789">
        <v>0</v>
      </c>
      <c r="K789">
        <v>0</v>
      </c>
      <c r="L789">
        <v>0</v>
      </c>
      <c r="M789" t="s">
        <v>68</v>
      </c>
      <c r="N789" t="s">
        <v>70</v>
      </c>
      <c r="O789" t="s">
        <v>103</v>
      </c>
      <c r="P789" t="s">
        <v>37</v>
      </c>
      <c r="Q789" t="s">
        <v>65</v>
      </c>
      <c r="R789" t="s">
        <v>47</v>
      </c>
      <c r="S789" t="s">
        <v>60</v>
      </c>
      <c r="T789">
        <v>1</v>
      </c>
      <c r="U789">
        <v>1</v>
      </c>
      <c r="V789">
        <v>0</v>
      </c>
      <c r="W789">
        <v>1</v>
      </c>
      <c r="X789">
        <v>0</v>
      </c>
      <c r="Y789">
        <v>0</v>
      </c>
      <c r="Z789">
        <v>1</v>
      </c>
      <c r="AA789">
        <v>0</v>
      </c>
      <c r="AB789">
        <v>1</v>
      </c>
      <c r="AC789">
        <v>0</v>
      </c>
      <c r="AD789">
        <v>0</v>
      </c>
      <c r="AE789">
        <v>0</v>
      </c>
      <c r="AF789">
        <v>0</v>
      </c>
      <c r="AG789">
        <v>0</v>
      </c>
    </row>
    <row r="790" spans="1:33" x14ac:dyDescent="0.2">
      <c r="A790">
        <v>789</v>
      </c>
      <c r="B790" t="s">
        <v>295</v>
      </c>
      <c r="C790" t="s">
        <v>33</v>
      </c>
      <c r="D790">
        <v>40</v>
      </c>
      <c r="E790" t="s">
        <v>114</v>
      </c>
      <c r="F790" t="s">
        <v>41</v>
      </c>
      <c r="G790" t="s">
        <v>72</v>
      </c>
      <c r="H790">
        <v>62379</v>
      </c>
      <c r="I790">
        <v>1</v>
      </c>
      <c r="J790">
        <v>1</v>
      </c>
      <c r="K790">
        <v>1</v>
      </c>
      <c r="L790">
        <v>0</v>
      </c>
      <c r="M790" t="s">
        <v>75</v>
      </c>
      <c r="N790" t="s">
        <v>74</v>
      </c>
      <c r="O790" t="s">
        <v>73</v>
      </c>
      <c r="P790" t="s">
        <v>37</v>
      </c>
      <c r="Q790" t="s">
        <v>46</v>
      </c>
      <c r="R790" t="s">
        <v>47</v>
      </c>
      <c r="S790" t="s">
        <v>48</v>
      </c>
      <c r="T790">
        <v>0</v>
      </c>
      <c r="U790">
        <v>0</v>
      </c>
      <c r="V790">
        <v>1</v>
      </c>
      <c r="W790">
        <v>1</v>
      </c>
      <c r="X790">
        <v>1</v>
      </c>
      <c r="Y790">
        <v>0</v>
      </c>
      <c r="Z790">
        <v>1</v>
      </c>
      <c r="AA790">
        <v>0</v>
      </c>
      <c r="AB790">
        <v>0</v>
      </c>
      <c r="AC790">
        <v>1</v>
      </c>
      <c r="AD790">
        <v>1</v>
      </c>
      <c r="AE790">
        <v>1</v>
      </c>
      <c r="AF790">
        <v>0</v>
      </c>
      <c r="AG790">
        <v>0</v>
      </c>
    </row>
    <row r="791" spans="1:33" hidden="1" x14ac:dyDescent="0.2">
      <c r="A791">
        <v>790</v>
      </c>
      <c r="B791" t="s">
        <v>295</v>
      </c>
      <c r="C791" t="s">
        <v>33</v>
      </c>
      <c r="D791">
        <v>40</v>
      </c>
      <c r="E791" t="s">
        <v>114</v>
      </c>
      <c r="F791" t="s">
        <v>53</v>
      </c>
      <c r="G791" t="s">
        <v>66</v>
      </c>
      <c r="H791">
        <v>29757</v>
      </c>
      <c r="I791">
        <v>1</v>
      </c>
      <c r="J791">
        <v>1</v>
      </c>
      <c r="K791">
        <v>0</v>
      </c>
      <c r="L791">
        <v>0</v>
      </c>
      <c r="M791" t="s">
        <v>36</v>
      </c>
      <c r="N791" t="s">
        <v>36</v>
      </c>
      <c r="O791" t="s">
        <v>36</v>
      </c>
      <c r="P791" t="s">
        <v>37</v>
      </c>
      <c r="Q791" t="s">
        <v>36</v>
      </c>
      <c r="R791" t="s">
        <v>36</v>
      </c>
      <c r="S791" t="s">
        <v>36</v>
      </c>
      <c r="T791" t="s">
        <v>36</v>
      </c>
      <c r="U791">
        <v>0</v>
      </c>
      <c r="V791">
        <v>1</v>
      </c>
      <c r="W791">
        <v>1</v>
      </c>
      <c r="X791">
        <v>1</v>
      </c>
      <c r="Y791">
        <v>0</v>
      </c>
      <c r="Z791">
        <v>1</v>
      </c>
      <c r="AA791">
        <v>0</v>
      </c>
      <c r="AB791">
        <v>0</v>
      </c>
      <c r="AC791">
        <v>1</v>
      </c>
      <c r="AD791">
        <v>1</v>
      </c>
      <c r="AE791">
        <v>1</v>
      </c>
      <c r="AF791">
        <v>0</v>
      </c>
      <c r="AG791">
        <v>0</v>
      </c>
    </row>
    <row r="792" spans="1:33" x14ac:dyDescent="0.2">
      <c r="A792">
        <v>791</v>
      </c>
      <c r="B792" t="s">
        <v>295</v>
      </c>
      <c r="C792" t="s">
        <v>33</v>
      </c>
      <c r="D792">
        <v>40</v>
      </c>
      <c r="E792" t="s">
        <v>114</v>
      </c>
      <c r="F792" t="s">
        <v>41</v>
      </c>
      <c r="G792" t="s">
        <v>61</v>
      </c>
      <c r="H792">
        <v>35235</v>
      </c>
      <c r="I792">
        <v>1</v>
      </c>
      <c r="J792">
        <v>1</v>
      </c>
      <c r="K792">
        <v>1</v>
      </c>
      <c r="L792">
        <v>0</v>
      </c>
      <c r="M792" t="s">
        <v>63</v>
      </c>
      <c r="N792" t="s">
        <v>97</v>
      </c>
      <c r="O792" t="s">
        <v>64</v>
      </c>
      <c r="P792" t="s">
        <v>37</v>
      </c>
      <c r="Q792" t="s">
        <v>46</v>
      </c>
      <c r="R792" t="s">
        <v>59</v>
      </c>
      <c r="S792" t="s">
        <v>48</v>
      </c>
      <c r="T792">
        <v>0</v>
      </c>
      <c r="U792">
        <v>0</v>
      </c>
      <c r="V792">
        <v>1</v>
      </c>
      <c r="W792">
        <v>0</v>
      </c>
      <c r="X792">
        <v>1</v>
      </c>
      <c r="Y792">
        <v>0</v>
      </c>
      <c r="Z792">
        <v>1</v>
      </c>
      <c r="AA792">
        <v>0</v>
      </c>
      <c r="AB792">
        <v>0</v>
      </c>
      <c r="AC792">
        <v>1</v>
      </c>
      <c r="AD792">
        <v>0</v>
      </c>
      <c r="AE792">
        <v>1</v>
      </c>
      <c r="AF792">
        <v>0</v>
      </c>
      <c r="AG792">
        <v>0</v>
      </c>
    </row>
    <row r="793" spans="1:33" hidden="1" x14ac:dyDescent="0.2">
      <c r="A793">
        <v>792</v>
      </c>
      <c r="B793" t="s">
        <v>295</v>
      </c>
      <c r="C793" t="s">
        <v>33</v>
      </c>
      <c r="D793">
        <v>40</v>
      </c>
      <c r="E793" t="s">
        <v>114</v>
      </c>
      <c r="F793" t="s">
        <v>53</v>
      </c>
      <c r="G793" t="s">
        <v>71</v>
      </c>
      <c r="H793">
        <v>41723</v>
      </c>
      <c r="I793">
        <v>0</v>
      </c>
      <c r="J793">
        <v>0</v>
      </c>
      <c r="K793">
        <v>1</v>
      </c>
      <c r="L793">
        <v>0</v>
      </c>
      <c r="M793" t="s">
        <v>36</v>
      </c>
      <c r="N793" t="s">
        <v>36</v>
      </c>
      <c r="O793" t="s">
        <v>36</v>
      </c>
      <c r="P793" t="s">
        <v>37</v>
      </c>
      <c r="Q793" t="s">
        <v>36</v>
      </c>
      <c r="R793" t="s">
        <v>36</v>
      </c>
      <c r="S793" t="s">
        <v>36</v>
      </c>
      <c r="T793" t="s">
        <v>36</v>
      </c>
      <c r="U793">
        <v>0</v>
      </c>
      <c r="V793">
        <v>1</v>
      </c>
      <c r="W793">
        <v>0</v>
      </c>
      <c r="X793">
        <v>1</v>
      </c>
      <c r="Y793">
        <v>0</v>
      </c>
      <c r="Z793">
        <v>1</v>
      </c>
      <c r="AA793">
        <v>0</v>
      </c>
      <c r="AB793">
        <v>0</v>
      </c>
      <c r="AC793">
        <v>1</v>
      </c>
      <c r="AD793">
        <v>0</v>
      </c>
      <c r="AE793">
        <v>1</v>
      </c>
      <c r="AF793">
        <v>0</v>
      </c>
      <c r="AG793">
        <v>0</v>
      </c>
    </row>
    <row r="794" spans="1:33" x14ac:dyDescent="0.2">
      <c r="A794">
        <v>793</v>
      </c>
      <c r="B794" t="s">
        <v>295</v>
      </c>
      <c r="C794" t="s">
        <v>33</v>
      </c>
      <c r="D794">
        <v>40</v>
      </c>
      <c r="E794" t="s">
        <v>114</v>
      </c>
      <c r="F794" t="s">
        <v>41</v>
      </c>
      <c r="G794" t="s">
        <v>49</v>
      </c>
      <c r="H794">
        <v>99015</v>
      </c>
      <c r="I794">
        <v>0</v>
      </c>
      <c r="J794">
        <v>0</v>
      </c>
      <c r="K794">
        <v>0</v>
      </c>
      <c r="L794">
        <v>1</v>
      </c>
      <c r="M794" t="s">
        <v>50</v>
      </c>
      <c r="N794" t="s">
        <v>96</v>
      </c>
      <c r="O794" t="s">
        <v>52</v>
      </c>
      <c r="P794" t="s">
        <v>37</v>
      </c>
      <c r="Q794" t="s">
        <v>48</v>
      </c>
      <c r="R794" t="s">
        <v>65</v>
      </c>
      <c r="S794" t="s">
        <v>46</v>
      </c>
      <c r="T794">
        <v>0</v>
      </c>
      <c r="U794">
        <v>1</v>
      </c>
      <c r="V794">
        <v>1</v>
      </c>
      <c r="W794">
        <v>0</v>
      </c>
      <c r="X794">
        <v>1</v>
      </c>
      <c r="Y794">
        <v>0</v>
      </c>
      <c r="Z794">
        <v>1</v>
      </c>
      <c r="AA794">
        <v>0</v>
      </c>
      <c r="AB794">
        <v>0</v>
      </c>
      <c r="AC794">
        <v>0</v>
      </c>
      <c r="AD794">
        <v>0</v>
      </c>
      <c r="AE794">
        <v>0</v>
      </c>
      <c r="AF794">
        <v>0</v>
      </c>
      <c r="AG794">
        <v>1</v>
      </c>
    </row>
    <row r="795" spans="1:33" x14ac:dyDescent="0.2">
      <c r="A795">
        <v>794</v>
      </c>
      <c r="B795" t="s">
        <v>295</v>
      </c>
      <c r="C795" t="s">
        <v>33</v>
      </c>
      <c r="D795">
        <v>40</v>
      </c>
      <c r="E795" t="s">
        <v>114</v>
      </c>
      <c r="F795" t="s">
        <v>41</v>
      </c>
      <c r="G795" t="s">
        <v>55</v>
      </c>
      <c r="H795">
        <v>150919</v>
      </c>
      <c r="I795">
        <v>0</v>
      </c>
      <c r="J795">
        <v>1</v>
      </c>
      <c r="K795">
        <v>0</v>
      </c>
      <c r="L795">
        <v>0</v>
      </c>
      <c r="M795" t="s">
        <v>57</v>
      </c>
      <c r="N795" t="s">
        <v>85</v>
      </c>
      <c r="O795" t="s">
        <v>56</v>
      </c>
      <c r="P795" t="s">
        <v>37</v>
      </c>
      <c r="Q795" t="s">
        <v>48</v>
      </c>
      <c r="R795" t="s">
        <v>65</v>
      </c>
      <c r="S795" t="s">
        <v>59</v>
      </c>
      <c r="T795">
        <v>0</v>
      </c>
      <c r="U795">
        <v>1</v>
      </c>
      <c r="V795">
        <v>1</v>
      </c>
      <c r="W795">
        <v>0</v>
      </c>
      <c r="X795">
        <v>0</v>
      </c>
      <c r="Y795">
        <v>0</v>
      </c>
      <c r="Z795">
        <v>1</v>
      </c>
      <c r="AA795">
        <v>0</v>
      </c>
      <c r="AB795">
        <v>1</v>
      </c>
      <c r="AC795">
        <v>0</v>
      </c>
      <c r="AD795">
        <v>0</v>
      </c>
      <c r="AE795">
        <v>0</v>
      </c>
      <c r="AF795">
        <v>0</v>
      </c>
      <c r="AG795">
        <v>0</v>
      </c>
    </row>
    <row r="796" spans="1:33" hidden="1" x14ac:dyDescent="0.2">
      <c r="A796">
        <v>795</v>
      </c>
      <c r="B796" t="s">
        <v>295</v>
      </c>
      <c r="C796" t="s">
        <v>33</v>
      </c>
      <c r="D796">
        <v>40</v>
      </c>
      <c r="E796" t="s">
        <v>114</v>
      </c>
      <c r="F796" t="s">
        <v>53</v>
      </c>
      <c r="G796" t="s">
        <v>76</v>
      </c>
      <c r="H796">
        <v>25848</v>
      </c>
      <c r="I796">
        <v>1</v>
      </c>
      <c r="J796">
        <v>1</v>
      </c>
      <c r="K796">
        <v>0</v>
      </c>
      <c r="L796">
        <v>0</v>
      </c>
      <c r="M796" t="s">
        <v>36</v>
      </c>
      <c r="N796" t="s">
        <v>36</v>
      </c>
      <c r="O796" t="s">
        <v>36</v>
      </c>
      <c r="P796" t="s">
        <v>37</v>
      </c>
      <c r="Q796" t="s">
        <v>36</v>
      </c>
      <c r="R796" t="s">
        <v>36</v>
      </c>
      <c r="S796" t="s">
        <v>36</v>
      </c>
      <c r="T796" t="s">
        <v>36</v>
      </c>
      <c r="U796">
        <v>1</v>
      </c>
      <c r="V796">
        <v>1</v>
      </c>
      <c r="W796">
        <v>0</v>
      </c>
      <c r="X796">
        <v>0</v>
      </c>
      <c r="Y796">
        <v>0</v>
      </c>
      <c r="Z796">
        <v>1</v>
      </c>
      <c r="AA796">
        <v>0</v>
      </c>
      <c r="AB796">
        <v>1</v>
      </c>
      <c r="AC796">
        <v>0</v>
      </c>
      <c r="AD796">
        <v>0</v>
      </c>
      <c r="AE796">
        <v>0</v>
      </c>
      <c r="AF796">
        <v>0</v>
      </c>
      <c r="AG796">
        <v>0</v>
      </c>
    </row>
    <row r="797" spans="1:33" x14ac:dyDescent="0.2">
      <c r="A797">
        <v>796</v>
      </c>
      <c r="B797" t="s">
        <v>295</v>
      </c>
      <c r="C797" t="s">
        <v>33</v>
      </c>
      <c r="D797">
        <v>40</v>
      </c>
      <c r="E797" t="s">
        <v>114</v>
      </c>
      <c r="F797" t="s">
        <v>41</v>
      </c>
      <c r="G797" t="s">
        <v>42</v>
      </c>
      <c r="H797">
        <v>103257</v>
      </c>
      <c r="I797">
        <v>0</v>
      </c>
      <c r="J797">
        <v>1</v>
      </c>
      <c r="K797">
        <v>1</v>
      </c>
      <c r="L797">
        <v>0</v>
      </c>
      <c r="M797" t="s">
        <v>102</v>
      </c>
      <c r="N797" t="s">
        <v>44</v>
      </c>
      <c r="O797" t="s">
        <v>82</v>
      </c>
      <c r="P797" t="s">
        <v>37</v>
      </c>
      <c r="Q797" t="s">
        <v>59</v>
      </c>
      <c r="R797" t="s">
        <v>47</v>
      </c>
      <c r="S797" t="s">
        <v>65</v>
      </c>
      <c r="T797">
        <v>0</v>
      </c>
      <c r="U797">
        <v>1</v>
      </c>
      <c r="V797">
        <v>0</v>
      </c>
      <c r="W797">
        <v>1</v>
      </c>
      <c r="X797">
        <v>0</v>
      </c>
      <c r="Y797">
        <v>0</v>
      </c>
      <c r="Z797">
        <v>1</v>
      </c>
      <c r="AA797">
        <v>0</v>
      </c>
      <c r="AB797">
        <v>1</v>
      </c>
      <c r="AC797">
        <v>0</v>
      </c>
      <c r="AD797">
        <v>1</v>
      </c>
      <c r="AE797">
        <v>0</v>
      </c>
      <c r="AF797">
        <v>0</v>
      </c>
      <c r="AG797">
        <v>0</v>
      </c>
    </row>
    <row r="798" spans="1:33" hidden="1" x14ac:dyDescent="0.2">
      <c r="A798">
        <v>797</v>
      </c>
      <c r="B798" t="s">
        <v>295</v>
      </c>
      <c r="C798" t="s">
        <v>33</v>
      </c>
      <c r="D798">
        <v>40</v>
      </c>
      <c r="E798" t="s">
        <v>114</v>
      </c>
      <c r="F798" t="s">
        <v>53</v>
      </c>
      <c r="G798" t="s">
        <v>54</v>
      </c>
      <c r="H798">
        <v>41856</v>
      </c>
      <c r="I798">
        <v>0</v>
      </c>
      <c r="J798">
        <v>1</v>
      </c>
      <c r="K798">
        <v>1</v>
      </c>
      <c r="L798">
        <v>0</v>
      </c>
      <c r="M798" t="s">
        <v>36</v>
      </c>
      <c r="N798" t="s">
        <v>36</v>
      </c>
      <c r="O798" t="s">
        <v>36</v>
      </c>
      <c r="P798" t="s">
        <v>37</v>
      </c>
      <c r="Q798" t="s">
        <v>36</v>
      </c>
      <c r="R798" t="s">
        <v>36</v>
      </c>
      <c r="S798" t="s">
        <v>36</v>
      </c>
      <c r="T798" t="s">
        <v>36</v>
      </c>
      <c r="U798">
        <v>1</v>
      </c>
      <c r="V798">
        <v>0</v>
      </c>
      <c r="W798">
        <v>1</v>
      </c>
      <c r="X798">
        <v>0</v>
      </c>
      <c r="Y798">
        <v>0</v>
      </c>
      <c r="Z798">
        <v>1</v>
      </c>
      <c r="AA798">
        <v>0</v>
      </c>
      <c r="AB798">
        <v>1</v>
      </c>
      <c r="AC798">
        <v>0</v>
      </c>
      <c r="AD798">
        <v>1</v>
      </c>
      <c r="AE798">
        <v>0</v>
      </c>
      <c r="AF798">
        <v>0</v>
      </c>
      <c r="AG798">
        <v>0</v>
      </c>
    </row>
    <row r="799" spans="1:33" hidden="1" x14ac:dyDescent="0.2">
      <c r="A799">
        <v>798</v>
      </c>
      <c r="B799" t="s">
        <v>295</v>
      </c>
      <c r="C799" t="s">
        <v>33</v>
      </c>
      <c r="D799">
        <v>40</v>
      </c>
      <c r="E799" t="s">
        <v>114</v>
      </c>
      <c r="F799" t="s">
        <v>77</v>
      </c>
      <c r="G799" t="s">
        <v>36</v>
      </c>
      <c r="H799">
        <v>204352</v>
      </c>
      <c r="I799" t="s">
        <v>296</v>
      </c>
      <c r="J799" t="s">
        <v>297</v>
      </c>
      <c r="K799" t="s">
        <v>166</v>
      </c>
      <c r="L799" t="s">
        <v>36</v>
      </c>
      <c r="M799" t="s">
        <v>36</v>
      </c>
      <c r="N799" t="s">
        <v>36</v>
      </c>
      <c r="O799" t="s">
        <v>36</v>
      </c>
      <c r="P799" t="s">
        <v>37</v>
      </c>
      <c r="Q799" t="s">
        <v>36</v>
      </c>
      <c r="R799" t="s">
        <v>36</v>
      </c>
      <c r="S799" t="s">
        <v>36</v>
      </c>
      <c r="T799" t="s">
        <v>36</v>
      </c>
      <c r="U799" t="s">
        <v>36</v>
      </c>
      <c r="V799" t="s">
        <v>36</v>
      </c>
      <c r="W799" t="s">
        <v>36</v>
      </c>
      <c r="X799" t="s">
        <v>36</v>
      </c>
      <c r="Y799" t="s">
        <v>36</v>
      </c>
      <c r="Z799" t="s">
        <v>36</v>
      </c>
      <c r="AA799" t="s">
        <v>36</v>
      </c>
      <c r="AB799" t="s">
        <v>36</v>
      </c>
      <c r="AC799" t="s">
        <v>36</v>
      </c>
      <c r="AD799" t="s">
        <v>36</v>
      </c>
      <c r="AE799" t="s">
        <v>36</v>
      </c>
      <c r="AF799" t="s">
        <v>36</v>
      </c>
      <c r="AG799" t="s">
        <v>36</v>
      </c>
    </row>
    <row r="800" spans="1:33" hidden="1" x14ac:dyDescent="0.2">
      <c r="A800">
        <v>799</v>
      </c>
      <c r="B800" t="s">
        <v>298</v>
      </c>
      <c r="C800" t="s">
        <v>108</v>
      </c>
      <c r="D800">
        <v>27</v>
      </c>
      <c r="E800" t="s">
        <v>34</v>
      </c>
      <c r="F800" t="s">
        <v>35</v>
      </c>
      <c r="G800" t="s">
        <v>36</v>
      </c>
      <c r="H800">
        <v>31207</v>
      </c>
      <c r="I800" t="s">
        <v>36</v>
      </c>
      <c r="J800" t="s">
        <v>36</v>
      </c>
      <c r="K800" t="s">
        <v>36</v>
      </c>
      <c r="L800" t="s">
        <v>36</v>
      </c>
      <c r="M800" t="s">
        <v>36</v>
      </c>
      <c r="N800" t="s">
        <v>36</v>
      </c>
      <c r="O800" t="s">
        <v>36</v>
      </c>
      <c r="P800" t="s">
        <v>37</v>
      </c>
      <c r="Q800" t="s">
        <v>36</v>
      </c>
      <c r="R800" t="s">
        <v>36</v>
      </c>
      <c r="S800" t="s">
        <v>36</v>
      </c>
      <c r="T800" t="s">
        <v>36</v>
      </c>
      <c r="U800" t="s">
        <v>36</v>
      </c>
      <c r="V800" t="s">
        <v>36</v>
      </c>
      <c r="W800" t="s">
        <v>36</v>
      </c>
      <c r="X800" t="s">
        <v>36</v>
      </c>
      <c r="Y800" t="s">
        <v>36</v>
      </c>
      <c r="Z800" t="s">
        <v>36</v>
      </c>
      <c r="AA800" t="s">
        <v>36</v>
      </c>
      <c r="AB800" t="s">
        <v>36</v>
      </c>
      <c r="AC800" t="s">
        <v>36</v>
      </c>
      <c r="AD800" t="s">
        <v>36</v>
      </c>
      <c r="AE800" t="s">
        <v>36</v>
      </c>
      <c r="AF800" t="s">
        <v>36</v>
      </c>
      <c r="AG800" t="s">
        <v>36</v>
      </c>
    </row>
    <row r="801" spans="1:33" hidden="1" x14ac:dyDescent="0.2">
      <c r="A801">
        <v>800</v>
      </c>
      <c r="B801" t="s">
        <v>298</v>
      </c>
      <c r="C801" t="s">
        <v>108</v>
      </c>
      <c r="D801">
        <v>27</v>
      </c>
      <c r="E801" t="s">
        <v>34</v>
      </c>
      <c r="F801" t="s">
        <v>38</v>
      </c>
      <c r="G801" t="s">
        <v>39</v>
      </c>
      <c r="H801">
        <v>35582</v>
      </c>
      <c r="I801">
        <v>0</v>
      </c>
      <c r="J801">
        <v>0</v>
      </c>
      <c r="K801">
        <v>0</v>
      </c>
      <c r="L801">
        <v>1</v>
      </c>
      <c r="M801" t="s">
        <v>36</v>
      </c>
      <c r="N801" t="s">
        <v>36</v>
      </c>
      <c r="O801" t="s">
        <v>36</v>
      </c>
      <c r="P801" t="s">
        <v>37</v>
      </c>
      <c r="Q801" t="s">
        <v>36</v>
      </c>
      <c r="R801" t="s">
        <v>36</v>
      </c>
      <c r="S801" t="s">
        <v>36</v>
      </c>
      <c r="T801" t="s">
        <v>36</v>
      </c>
      <c r="U801" t="s">
        <v>36</v>
      </c>
      <c r="V801" t="s">
        <v>36</v>
      </c>
      <c r="W801" t="s">
        <v>36</v>
      </c>
      <c r="X801" t="s">
        <v>36</v>
      </c>
      <c r="Y801" t="s">
        <v>36</v>
      </c>
      <c r="Z801" t="s">
        <v>36</v>
      </c>
      <c r="AA801" t="s">
        <v>36</v>
      </c>
      <c r="AB801" t="s">
        <v>36</v>
      </c>
      <c r="AC801" t="s">
        <v>36</v>
      </c>
      <c r="AD801" t="s">
        <v>36</v>
      </c>
      <c r="AE801" t="s">
        <v>36</v>
      </c>
      <c r="AF801" t="s">
        <v>36</v>
      </c>
      <c r="AG801" t="s">
        <v>36</v>
      </c>
    </row>
    <row r="802" spans="1:33" hidden="1" x14ac:dyDescent="0.2">
      <c r="A802">
        <v>801</v>
      </c>
      <c r="B802" t="s">
        <v>298</v>
      </c>
      <c r="C802" t="s">
        <v>108</v>
      </c>
      <c r="D802">
        <v>27</v>
      </c>
      <c r="E802" t="s">
        <v>34</v>
      </c>
      <c r="F802" t="s">
        <v>38</v>
      </c>
      <c r="G802" t="s">
        <v>40</v>
      </c>
      <c r="H802">
        <v>22805</v>
      </c>
      <c r="I802">
        <v>0</v>
      </c>
      <c r="J802">
        <v>0</v>
      </c>
      <c r="K802">
        <v>1</v>
      </c>
      <c r="L802">
        <v>0</v>
      </c>
      <c r="M802" t="s">
        <v>36</v>
      </c>
      <c r="N802" t="s">
        <v>36</v>
      </c>
      <c r="O802" t="s">
        <v>36</v>
      </c>
      <c r="P802" t="s">
        <v>37</v>
      </c>
      <c r="Q802" t="s">
        <v>36</v>
      </c>
      <c r="R802" t="s">
        <v>36</v>
      </c>
      <c r="S802" t="s">
        <v>36</v>
      </c>
      <c r="T802" t="s">
        <v>36</v>
      </c>
      <c r="U802" t="s">
        <v>36</v>
      </c>
      <c r="V802" t="s">
        <v>36</v>
      </c>
      <c r="W802" t="s">
        <v>36</v>
      </c>
      <c r="X802" t="s">
        <v>36</v>
      </c>
      <c r="Y802" t="s">
        <v>36</v>
      </c>
      <c r="Z802" t="s">
        <v>36</v>
      </c>
      <c r="AA802" t="s">
        <v>36</v>
      </c>
      <c r="AB802" t="s">
        <v>36</v>
      </c>
      <c r="AC802" t="s">
        <v>36</v>
      </c>
      <c r="AD802" t="s">
        <v>36</v>
      </c>
      <c r="AE802" t="s">
        <v>36</v>
      </c>
      <c r="AF802" t="s">
        <v>36</v>
      </c>
      <c r="AG802" t="s">
        <v>36</v>
      </c>
    </row>
    <row r="803" spans="1:33" x14ac:dyDescent="0.2">
      <c r="A803">
        <v>802</v>
      </c>
      <c r="B803" t="s">
        <v>298</v>
      </c>
      <c r="C803" t="s">
        <v>108</v>
      </c>
      <c r="D803">
        <v>27</v>
      </c>
      <c r="E803" t="s">
        <v>34</v>
      </c>
      <c r="F803" t="s">
        <v>41</v>
      </c>
      <c r="G803" t="s">
        <v>55</v>
      </c>
      <c r="H803">
        <v>50816</v>
      </c>
      <c r="I803">
        <v>0</v>
      </c>
      <c r="J803">
        <v>0</v>
      </c>
      <c r="K803">
        <v>1</v>
      </c>
      <c r="L803">
        <v>0</v>
      </c>
      <c r="M803" t="s">
        <v>84</v>
      </c>
      <c r="N803" t="s">
        <v>56</v>
      </c>
      <c r="O803" t="s">
        <v>85</v>
      </c>
      <c r="P803" t="s">
        <v>37</v>
      </c>
      <c r="Q803" t="s">
        <v>46</v>
      </c>
      <c r="R803" t="s">
        <v>59</v>
      </c>
      <c r="S803" t="s">
        <v>65</v>
      </c>
      <c r="T803">
        <v>0</v>
      </c>
      <c r="U803">
        <v>1</v>
      </c>
      <c r="V803">
        <v>0</v>
      </c>
      <c r="W803">
        <v>0</v>
      </c>
      <c r="X803">
        <v>1</v>
      </c>
      <c r="Y803">
        <v>0</v>
      </c>
      <c r="Z803">
        <v>1</v>
      </c>
      <c r="AA803">
        <v>0</v>
      </c>
      <c r="AB803">
        <v>1</v>
      </c>
      <c r="AC803">
        <v>0</v>
      </c>
      <c r="AD803">
        <v>0</v>
      </c>
      <c r="AE803">
        <v>0</v>
      </c>
      <c r="AF803">
        <v>0</v>
      </c>
      <c r="AG803">
        <v>0</v>
      </c>
    </row>
    <row r="804" spans="1:33" x14ac:dyDescent="0.2">
      <c r="A804">
        <v>803</v>
      </c>
      <c r="B804" t="s">
        <v>298</v>
      </c>
      <c r="C804" t="s">
        <v>108</v>
      </c>
      <c r="D804">
        <v>27</v>
      </c>
      <c r="E804" t="s">
        <v>34</v>
      </c>
      <c r="F804" t="s">
        <v>41</v>
      </c>
      <c r="G804" t="s">
        <v>49</v>
      </c>
      <c r="H804">
        <v>32072</v>
      </c>
      <c r="I804">
        <v>0</v>
      </c>
      <c r="J804">
        <v>1</v>
      </c>
      <c r="K804">
        <v>0</v>
      </c>
      <c r="L804">
        <v>0</v>
      </c>
      <c r="M804" t="s">
        <v>52</v>
      </c>
      <c r="N804" t="s">
        <v>51</v>
      </c>
      <c r="O804" t="s">
        <v>83</v>
      </c>
      <c r="P804" t="s">
        <v>37</v>
      </c>
      <c r="Q804" t="s">
        <v>46</v>
      </c>
      <c r="R804" t="s">
        <v>47</v>
      </c>
      <c r="S804" t="s">
        <v>59</v>
      </c>
      <c r="T804">
        <v>0</v>
      </c>
      <c r="U804">
        <v>0</v>
      </c>
      <c r="V804">
        <v>0</v>
      </c>
      <c r="W804">
        <v>1</v>
      </c>
      <c r="X804">
        <v>1</v>
      </c>
      <c r="Y804">
        <v>0</v>
      </c>
      <c r="Z804">
        <v>1</v>
      </c>
      <c r="AA804">
        <v>0</v>
      </c>
      <c r="AB804">
        <v>0</v>
      </c>
      <c r="AC804">
        <v>0</v>
      </c>
      <c r="AD804">
        <v>1</v>
      </c>
      <c r="AE804">
        <v>0</v>
      </c>
      <c r="AF804">
        <v>0</v>
      </c>
      <c r="AG804">
        <v>0</v>
      </c>
    </row>
    <row r="805" spans="1:33" hidden="1" x14ac:dyDescent="0.2">
      <c r="A805">
        <v>804</v>
      </c>
      <c r="B805" t="s">
        <v>298</v>
      </c>
      <c r="C805" t="s">
        <v>108</v>
      </c>
      <c r="D805">
        <v>27</v>
      </c>
      <c r="E805" t="s">
        <v>34</v>
      </c>
      <c r="F805" t="s">
        <v>53</v>
      </c>
      <c r="G805" t="s">
        <v>76</v>
      </c>
      <c r="H805">
        <v>17930</v>
      </c>
      <c r="I805">
        <v>1</v>
      </c>
      <c r="J805">
        <v>0</v>
      </c>
      <c r="K805">
        <v>0</v>
      </c>
      <c r="L805">
        <v>0</v>
      </c>
      <c r="M805" t="s">
        <v>36</v>
      </c>
      <c r="N805" t="s">
        <v>36</v>
      </c>
      <c r="O805" t="s">
        <v>36</v>
      </c>
      <c r="P805" t="s">
        <v>37</v>
      </c>
      <c r="Q805" t="s">
        <v>36</v>
      </c>
      <c r="R805" t="s">
        <v>36</v>
      </c>
      <c r="S805" t="s">
        <v>36</v>
      </c>
      <c r="T805" t="s">
        <v>36</v>
      </c>
      <c r="U805">
        <v>0</v>
      </c>
      <c r="V805">
        <v>0</v>
      </c>
      <c r="W805">
        <v>1</v>
      </c>
      <c r="X805">
        <v>1</v>
      </c>
      <c r="Y805">
        <v>0</v>
      </c>
      <c r="Z805">
        <v>1</v>
      </c>
      <c r="AA805">
        <v>0</v>
      </c>
      <c r="AB805">
        <v>0</v>
      </c>
      <c r="AC805">
        <v>0</v>
      </c>
      <c r="AD805">
        <v>1</v>
      </c>
      <c r="AE805">
        <v>0</v>
      </c>
      <c r="AF805">
        <v>0</v>
      </c>
      <c r="AG805">
        <v>0</v>
      </c>
    </row>
    <row r="806" spans="1:33" x14ac:dyDescent="0.2">
      <c r="A806">
        <v>805</v>
      </c>
      <c r="B806" t="s">
        <v>298</v>
      </c>
      <c r="C806" t="s">
        <v>108</v>
      </c>
      <c r="D806">
        <v>27</v>
      </c>
      <c r="E806" t="s">
        <v>34</v>
      </c>
      <c r="F806" t="s">
        <v>41</v>
      </c>
      <c r="G806" t="s">
        <v>42</v>
      </c>
      <c r="H806">
        <v>16719</v>
      </c>
      <c r="I806">
        <v>0</v>
      </c>
      <c r="J806">
        <v>1</v>
      </c>
      <c r="K806">
        <v>1</v>
      </c>
      <c r="L806">
        <v>0</v>
      </c>
      <c r="M806" t="s">
        <v>45</v>
      </c>
      <c r="N806" t="s">
        <v>116</v>
      </c>
      <c r="O806" t="s">
        <v>44</v>
      </c>
      <c r="P806" t="s">
        <v>37</v>
      </c>
      <c r="Q806" t="s">
        <v>48</v>
      </c>
      <c r="R806" t="s">
        <v>60</v>
      </c>
      <c r="S806" t="s">
        <v>47</v>
      </c>
      <c r="T806">
        <v>1</v>
      </c>
      <c r="U806">
        <v>0</v>
      </c>
      <c r="V806">
        <v>1</v>
      </c>
      <c r="W806">
        <v>1</v>
      </c>
      <c r="X806">
        <v>0</v>
      </c>
      <c r="Y806">
        <v>0</v>
      </c>
      <c r="Z806">
        <v>1</v>
      </c>
      <c r="AA806">
        <v>1</v>
      </c>
      <c r="AB806">
        <v>0</v>
      </c>
      <c r="AC806">
        <v>0</v>
      </c>
      <c r="AD806">
        <v>1</v>
      </c>
      <c r="AE806">
        <v>0</v>
      </c>
      <c r="AF806">
        <v>0</v>
      </c>
      <c r="AG806">
        <v>0</v>
      </c>
    </row>
    <row r="807" spans="1:33" x14ac:dyDescent="0.2">
      <c r="A807">
        <v>806</v>
      </c>
      <c r="B807" t="s">
        <v>298</v>
      </c>
      <c r="C807" t="s">
        <v>108</v>
      </c>
      <c r="D807">
        <v>27</v>
      </c>
      <c r="E807" t="s">
        <v>34</v>
      </c>
      <c r="F807" t="s">
        <v>41</v>
      </c>
      <c r="G807" t="s">
        <v>72</v>
      </c>
      <c r="H807">
        <v>31867</v>
      </c>
      <c r="I807">
        <v>1</v>
      </c>
      <c r="J807">
        <v>0</v>
      </c>
      <c r="K807">
        <v>0</v>
      </c>
      <c r="L807">
        <v>0</v>
      </c>
      <c r="M807" t="s">
        <v>104</v>
      </c>
      <c r="N807" t="s">
        <v>93</v>
      </c>
      <c r="O807" t="s">
        <v>73</v>
      </c>
      <c r="P807" t="s">
        <v>37</v>
      </c>
      <c r="Q807" t="s">
        <v>60</v>
      </c>
      <c r="R807" t="s">
        <v>59</v>
      </c>
      <c r="S807" t="s">
        <v>48</v>
      </c>
      <c r="T807">
        <v>1</v>
      </c>
      <c r="U807">
        <v>0</v>
      </c>
      <c r="V807">
        <v>1</v>
      </c>
      <c r="W807">
        <v>0</v>
      </c>
      <c r="X807">
        <v>0</v>
      </c>
      <c r="Y807">
        <v>0</v>
      </c>
      <c r="Z807">
        <v>1</v>
      </c>
      <c r="AA807">
        <v>1</v>
      </c>
      <c r="AB807">
        <v>0</v>
      </c>
      <c r="AC807">
        <v>0</v>
      </c>
      <c r="AD807">
        <v>0</v>
      </c>
      <c r="AE807">
        <v>0</v>
      </c>
      <c r="AF807">
        <v>0</v>
      </c>
      <c r="AG807">
        <v>0</v>
      </c>
    </row>
    <row r="808" spans="1:33" hidden="1" x14ac:dyDescent="0.2">
      <c r="A808">
        <v>807</v>
      </c>
      <c r="B808" t="s">
        <v>298</v>
      </c>
      <c r="C808" t="s">
        <v>108</v>
      </c>
      <c r="D808">
        <v>27</v>
      </c>
      <c r="E808" t="s">
        <v>34</v>
      </c>
      <c r="F808" t="s">
        <v>53</v>
      </c>
      <c r="G808" t="s">
        <v>71</v>
      </c>
      <c r="H808">
        <v>22802</v>
      </c>
      <c r="I808">
        <v>1</v>
      </c>
      <c r="J808">
        <v>1</v>
      </c>
      <c r="K808">
        <v>0</v>
      </c>
      <c r="L808">
        <v>0</v>
      </c>
      <c r="M808" t="s">
        <v>36</v>
      </c>
      <c r="N808" t="s">
        <v>36</v>
      </c>
      <c r="O808" t="s">
        <v>36</v>
      </c>
      <c r="P808" t="s">
        <v>37</v>
      </c>
      <c r="Q808" t="s">
        <v>36</v>
      </c>
      <c r="R808" t="s">
        <v>36</v>
      </c>
      <c r="S808" t="s">
        <v>36</v>
      </c>
      <c r="T808" t="s">
        <v>36</v>
      </c>
      <c r="U808">
        <v>0</v>
      </c>
      <c r="V808">
        <v>1</v>
      </c>
      <c r="W808">
        <v>0</v>
      </c>
      <c r="X808">
        <v>0</v>
      </c>
      <c r="Y808">
        <v>0</v>
      </c>
      <c r="Z808">
        <v>1</v>
      </c>
      <c r="AA808">
        <v>1</v>
      </c>
      <c r="AB808">
        <v>0</v>
      </c>
      <c r="AC808">
        <v>0</v>
      </c>
      <c r="AD808">
        <v>0</v>
      </c>
      <c r="AE808">
        <v>0</v>
      </c>
      <c r="AF808">
        <v>0</v>
      </c>
      <c r="AG808">
        <v>0</v>
      </c>
    </row>
    <row r="809" spans="1:33" x14ac:dyDescent="0.2">
      <c r="A809">
        <v>808</v>
      </c>
      <c r="B809" t="s">
        <v>298</v>
      </c>
      <c r="C809" t="s">
        <v>108</v>
      </c>
      <c r="D809">
        <v>27</v>
      </c>
      <c r="E809" t="s">
        <v>34</v>
      </c>
      <c r="F809" t="s">
        <v>41</v>
      </c>
      <c r="G809" t="s">
        <v>67</v>
      </c>
      <c r="H809">
        <v>118807</v>
      </c>
      <c r="I809">
        <v>0</v>
      </c>
      <c r="J809">
        <v>0</v>
      </c>
      <c r="K809">
        <v>1</v>
      </c>
      <c r="L809">
        <v>0</v>
      </c>
      <c r="M809" t="s">
        <v>86</v>
      </c>
      <c r="N809" t="s">
        <v>109</v>
      </c>
      <c r="O809" t="s">
        <v>68</v>
      </c>
      <c r="P809" t="s">
        <v>37</v>
      </c>
      <c r="Q809" t="s">
        <v>46</v>
      </c>
      <c r="R809" t="s">
        <v>59</v>
      </c>
      <c r="S809" t="s">
        <v>65</v>
      </c>
      <c r="T809">
        <v>0</v>
      </c>
      <c r="U809">
        <v>1</v>
      </c>
      <c r="V809">
        <v>0</v>
      </c>
      <c r="W809">
        <v>0</v>
      </c>
      <c r="X809">
        <v>1</v>
      </c>
      <c r="Y809">
        <v>0</v>
      </c>
      <c r="Z809">
        <v>1</v>
      </c>
      <c r="AA809">
        <v>0</v>
      </c>
      <c r="AB809">
        <v>1</v>
      </c>
      <c r="AC809">
        <v>0</v>
      </c>
      <c r="AD809">
        <v>0</v>
      </c>
      <c r="AE809">
        <v>0</v>
      </c>
      <c r="AF809">
        <v>0</v>
      </c>
      <c r="AG809">
        <v>0</v>
      </c>
    </row>
    <row r="810" spans="1:33" hidden="1" x14ac:dyDescent="0.2">
      <c r="A810">
        <v>809</v>
      </c>
      <c r="B810" t="s">
        <v>298</v>
      </c>
      <c r="C810" t="s">
        <v>108</v>
      </c>
      <c r="D810">
        <v>27</v>
      </c>
      <c r="E810" t="s">
        <v>34</v>
      </c>
      <c r="F810" t="s">
        <v>53</v>
      </c>
      <c r="G810" t="s">
        <v>66</v>
      </c>
      <c r="H810">
        <v>20673</v>
      </c>
      <c r="I810">
        <v>1</v>
      </c>
      <c r="J810">
        <v>1</v>
      </c>
      <c r="K810">
        <v>0</v>
      </c>
      <c r="L810">
        <v>0</v>
      </c>
      <c r="M810" t="s">
        <v>36</v>
      </c>
      <c r="N810" t="s">
        <v>36</v>
      </c>
      <c r="O810" t="s">
        <v>36</v>
      </c>
      <c r="P810" t="s">
        <v>37</v>
      </c>
      <c r="Q810" t="s">
        <v>36</v>
      </c>
      <c r="R810" t="s">
        <v>36</v>
      </c>
      <c r="S810" t="s">
        <v>36</v>
      </c>
      <c r="T810" t="s">
        <v>36</v>
      </c>
      <c r="U810">
        <v>1</v>
      </c>
      <c r="V810">
        <v>0</v>
      </c>
      <c r="W810">
        <v>0</v>
      </c>
      <c r="X810">
        <v>1</v>
      </c>
      <c r="Y810">
        <v>0</v>
      </c>
      <c r="Z810">
        <v>1</v>
      </c>
      <c r="AA810">
        <v>0</v>
      </c>
      <c r="AB810">
        <v>1</v>
      </c>
      <c r="AC810">
        <v>0</v>
      </c>
      <c r="AD810">
        <v>0</v>
      </c>
      <c r="AE810">
        <v>0</v>
      </c>
      <c r="AF810">
        <v>0</v>
      </c>
      <c r="AG810">
        <v>0</v>
      </c>
    </row>
    <row r="811" spans="1:33" x14ac:dyDescent="0.2">
      <c r="A811">
        <v>810</v>
      </c>
      <c r="B811" t="s">
        <v>298</v>
      </c>
      <c r="C811" t="s">
        <v>108</v>
      </c>
      <c r="D811">
        <v>27</v>
      </c>
      <c r="E811" t="s">
        <v>34</v>
      </c>
      <c r="F811" t="s">
        <v>41</v>
      </c>
      <c r="G811" t="s">
        <v>61</v>
      </c>
      <c r="H811">
        <v>16961</v>
      </c>
      <c r="I811">
        <v>0</v>
      </c>
      <c r="J811">
        <v>1</v>
      </c>
      <c r="K811">
        <v>1</v>
      </c>
      <c r="L811">
        <v>0</v>
      </c>
      <c r="M811" t="s">
        <v>97</v>
      </c>
      <c r="N811" t="s">
        <v>62</v>
      </c>
      <c r="O811" t="s">
        <v>87</v>
      </c>
      <c r="P811" t="s">
        <v>37</v>
      </c>
      <c r="Q811" t="s">
        <v>59</v>
      </c>
      <c r="R811" t="s">
        <v>65</v>
      </c>
      <c r="S811" t="s">
        <v>47</v>
      </c>
      <c r="T811">
        <v>0</v>
      </c>
      <c r="U811">
        <v>1</v>
      </c>
      <c r="V811">
        <v>0</v>
      </c>
      <c r="W811">
        <v>1</v>
      </c>
      <c r="X811">
        <v>0</v>
      </c>
      <c r="Y811">
        <v>0</v>
      </c>
      <c r="Z811">
        <v>1</v>
      </c>
      <c r="AA811">
        <v>0</v>
      </c>
      <c r="AB811">
        <v>1</v>
      </c>
      <c r="AC811">
        <v>0</v>
      </c>
      <c r="AD811">
        <v>1</v>
      </c>
      <c r="AE811">
        <v>0</v>
      </c>
      <c r="AF811">
        <v>0</v>
      </c>
      <c r="AG811">
        <v>0</v>
      </c>
    </row>
    <row r="812" spans="1:33" hidden="1" x14ac:dyDescent="0.2">
      <c r="A812">
        <v>811</v>
      </c>
      <c r="B812" t="s">
        <v>298</v>
      </c>
      <c r="C812" t="s">
        <v>108</v>
      </c>
      <c r="D812">
        <v>27</v>
      </c>
      <c r="E812" t="s">
        <v>34</v>
      </c>
      <c r="F812" t="s">
        <v>53</v>
      </c>
      <c r="G812" t="s">
        <v>54</v>
      </c>
      <c r="H812">
        <v>24671</v>
      </c>
      <c r="I812">
        <v>0</v>
      </c>
      <c r="J812">
        <v>0</v>
      </c>
      <c r="K812">
        <v>1</v>
      </c>
      <c r="L812">
        <v>0</v>
      </c>
      <c r="M812" t="s">
        <v>36</v>
      </c>
      <c r="N812" t="s">
        <v>36</v>
      </c>
      <c r="O812" t="s">
        <v>36</v>
      </c>
      <c r="P812" t="s">
        <v>37</v>
      </c>
      <c r="Q812" t="s">
        <v>36</v>
      </c>
      <c r="R812" t="s">
        <v>36</v>
      </c>
      <c r="S812" t="s">
        <v>36</v>
      </c>
      <c r="T812" t="s">
        <v>36</v>
      </c>
      <c r="U812">
        <v>1</v>
      </c>
      <c r="V812">
        <v>0</v>
      </c>
      <c r="W812">
        <v>1</v>
      </c>
      <c r="X812">
        <v>0</v>
      </c>
      <c r="Y812">
        <v>0</v>
      </c>
      <c r="Z812">
        <v>1</v>
      </c>
      <c r="AA812">
        <v>0</v>
      </c>
      <c r="AB812">
        <v>1</v>
      </c>
      <c r="AC812">
        <v>0</v>
      </c>
      <c r="AD812">
        <v>1</v>
      </c>
      <c r="AE812">
        <v>0</v>
      </c>
      <c r="AF812">
        <v>0</v>
      </c>
      <c r="AG812">
        <v>0</v>
      </c>
    </row>
    <row r="813" spans="1:33" hidden="1" x14ac:dyDescent="0.2">
      <c r="A813">
        <v>812</v>
      </c>
      <c r="B813" t="s">
        <v>298</v>
      </c>
      <c r="C813" t="s">
        <v>108</v>
      </c>
      <c r="D813">
        <v>27</v>
      </c>
      <c r="E813" t="s">
        <v>34</v>
      </c>
      <c r="F813" t="s">
        <v>77</v>
      </c>
      <c r="G813" t="s">
        <v>36</v>
      </c>
      <c r="H813">
        <v>70855</v>
      </c>
      <c r="I813" t="s">
        <v>299</v>
      </c>
      <c r="J813" t="s">
        <v>300</v>
      </c>
      <c r="K813" t="s">
        <v>301</v>
      </c>
      <c r="L813" t="s">
        <v>36</v>
      </c>
      <c r="M813" t="s">
        <v>36</v>
      </c>
      <c r="N813" t="s">
        <v>36</v>
      </c>
      <c r="O813" t="s">
        <v>36</v>
      </c>
      <c r="P813" t="s">
        <v>37</v>
      </c>
      <c r="Q813" t="s">
        <v>36</v>
      </c>
      <c r="R813" t="s">
        <v>36</v>
      </c>
      <c r="S813" t="s">
        <v>36</v>
      </c>
      <c r="T813" t="s">
        <v>36</v>
      </c>
      <c r="U813" t="s">
        <v>36</v>
      </c>
      <c r="V813" t="s">
        <v>36</v>
      </c>
      <c r="W813" t="s">
        <v>36</v>
      </c>
      <c r="X813" t="s">
        <v>36</v>
      </c>
      <c r="Y813" t="s">
        <v>36</v>
      </c>
      <c r="Z813" t="s">
        <v>36</v>
      </c>
      <c r="AA813" t="s">
        <v>36</v>
      </c>
      <c r="AB813" t="s">
        <v>36</v>
      </c>
      <c r="AC813" t="s">
        <v>36</v>
      </c>
      <c r="AD813" t="s">
        <v>36</v>
      </c>
      <c r="AE813" t="s">
        <v>36</v>
      </c>
      <c r="AF813" t="s">
        <v>36</v>
      </c>
      <c r="AG813" t="s">
        <v>36</v>
      </c>
    </row>
    <row r="814" spans="1:33" hidden="1" x14ac:dyDescent="0.2">
      <c r="A814">
        <v>813</v>
      </c>
      <c r="B814" t="s">
        <v>302</v>
      </c>
      <c r="C814" t="s">
        <v>33</v>
      </c>
      <c r="D814">
        <v>20</v>
      </c>
      <c r="E814" t="s">
        <v>114</v>
      </c>
      <c r="F814" t="s">
        <v>35</v>
      </c>
      <c r="G814" t="s">
        <v>36</v>
      </c>
      <c r="H814">
        <v>173949</v>
      </c>
      <c r="I814" t="s">
        <v>36</v>
      </c>
      <c r="J814" t="s">
        <v>36</v>
      </c>
      <c r="K814" t="s">
        <v>36</v>
      </c>
      <c r="L814" t="s">
        <v>36</v>
      </c>
      <c r="M814" t="s">
        <v>36</v>
      </c>
      <c r="N814" t="s">
        <v>36</v>
      </c>
      <c r="O814" t="s">
        <v>36</v>
      </c>
      <c r="P814" t="s">
        <v>37</v>
      </c>
      <c r="Q814" t="s">
        <v>36</v>
      </c>
      <c r="R814" t="s">
        <v>36</v>
      </c>
      <c r="S814" t="s">
        <v>36</v>
      </c>
      <c r="T814" t="s">
        <v>36</v>
      </c>
      <c r="U814" t="s">
        <v>36</v>
      </c>
      <c r="V814" t="s">
        <v>36</v>
      </c>
      <c r="W814" t="s">
        <v>36</v>
      </c>
      <c r="X814" t="s">
        <v>36</v>
      </c>
      <c r="Y814" t="s">
        <v>36</v>
      </c>
      <c r="Z814" t="s">
        <v>36</v>
      </c>
      <c r="AA814" t="s">
        <v>36</v>
      </c>
      <c r="AB814" t="s">
        <v>36</v>
      </c>
      <c r="AC814" t="s">
        <v>36</v>
      </c>
      <c r="AD814" t="s">
        <v>36</v>
      </c>
      <c r="AE814" t="s">
        <v>36</v>
      </c>
      <c r="AF814" t="s">
        <v>36</v>
      </c>
      <c r="AG814" t="s">
        <v>36</v>
      </c>
    </row>
    <row r="815" spans="1:33" hidden="1" x14ac:dyDescent="0.2">
      <c r="A815">
        <v>814</v>
      </c>
      <c r="B815" t="s">
        <v>302</v>
      </c>
      <c r="C815" t="s">
        <v>33</v>
      </c>
      <c r="D815">
        <v>20</v>
      </c>
      <c r="E815" t="s">
        <v>114</v>
      </c>
      <c r="F815" t="s">
        <v>38</v>
      </c>
      <c r="G815" t="s">
        <v>39</v>
      </c>
      <c r="H815">
        <v>44725</v>
      </c>
      <c r="I815">
        <v>0</v>
      </c>
      <c r="J815">
        <v>0</v>
      </c>
      <c r="K815">
        <v>0</v>
      </c>
      <c r="L815">
        <v>1</v>
      </c>
      <c r="M815" t="s">
        <v>36</v>
      </c>
      <c r="N815" t="s">
        <v>36</v>
      </c>
      <c r="O815" t="s">
        <v>36</v>
      </c>
      <c r="P815" t="s">
        <v>37</v>
      </c>
      <c r="Q815" t="s">
        <v>36</v>
      </c>
      <c r="R815" t="s">
        <v>36</v>
      </c>
      <c r="S815" t="s">
        <v>36</v>
      </c>
      <c r="T815" t="s">
        <v>36</v>
      </c>
      <c r="U815" t="s">
        <v>36</v>
      </c>
      <c r="V815" t="s">
        <v>36</v>
      </c>
      <c r="W815" t="s">
        <v>36</v>
      </c>
      <c r="X815" t="s">
        <v>36</v>
      </c>
      <c r="Y815" t="s">
        <v>36</v>
      </c>
      <c r="Z815" t="s">
        <v>36</v>
      </c>
      <c r="AA815" t="s">
        <v>36</v>
      </c>
      <c r="AB815" t="s">
        <v>36</v>
      </c>
      <c r="AC815" t="s">
        <v>36</v>
      </c>
      <c r="AD815" t="s">
        <v>36</v>
      </c>
      <c r="AE815" t="s">
        <v>36</v>
      </c>
      <c r="AF815" t="s">
        <v>36</v>
      </c>
      <c r="AG815" t="s">
        <v>36</v>
      </c>
    </row>
    <row r="816" spans="1:33" hidden="1" x14ac:dyDescent="0.2">
      <c r="A816">
        <v>815</v>
      </c>
      <c r="B816" t="s">
        <v>302</v>
      </c>
      <c r="C816" t="s">
        <v>33</v>
      </c>
      <c r="D816">
        <v>20</v>
      </c>
      <c r="E816" t="s">
        <v>114</v>
      </c>
      <c r="F816" t="s">
        <v>38</v>
      </c>
      <c r="G816" t="s">
        <v>40</v>
      </c>
      <c r="H816">
        <v>51081</v>
      </c>
      <c r="I816">
        <v>0</v>
      </c>
      <c r="J816">
        <v>0</v>
      </c>
      <c r="K816">
        <v>1</v>
      </c>
      <c r="L816">
        <v>0</v>
      </c>
      <c r="M816" t="s">
        <v>36</v>
      </c>
      <c r="N816" t="s">
        <v>36</v>
      </c>
      <c r="O816" t="s">
        <v>36</v>
      </c>
      <c r="P816" t="s">
        <v>37</v>
      </c>
      <c r="Q816" t="s">
        <v>36</v>
      </c>
      <c r="R816" t="s">
        <v>36</v>
      </c>
      <c r="S816" t="s">
        <v>36</v>
      </c>
      <c r="T816" t="s">
        <v>36</v>
      </c>
      <c r="U816" t="s">
        <v>36</v>
      </c>
      <c r="V816" t="s">
        <v>36</v>
      </c>
      <c r="W816" t="s">
        <v>36</v>
      </c>
      <c r="X816" t="s">
        <v>36</v>
      </c>
      <c r="Y816" t="s">
        <v>36</v>
      </c>
      <c r="Z816" t="s">
        <v>36</v>
      </c>
      <c r="AA816" t="s">
        <v>36</v>
      </c>
      <c r="AB816" t="s">
        <v>36</v>
      </c>
      <c r="AC816" t="s">
        <v>36</v>
      </c>
      <c r="AD816" t="s">
        <v>36</v>
      </c>
      <c r="AE816" t="s">
        <v>36</v>
      </c>
      <c r="AF816" t="s">
        <v>36</v>
      </c>
      <c r="AG816" t="s">
        <v>36</v>
      </c>
    </row>
    <row r="817" spans="1:33" x14ac:dyDescent="0.2">
      <c r="A817">
        <v>816</v>
      </c>
      <c r="B817" t="s">
        <v>302</v>
      </c>
      <c r="C817" t="s">
        <v>33</v>
      </c>
      <c r="D817">
        <v>20</v>
      </c>
      <c r="E817" t="s">
        <v>114</v>
      </c>
      <c r="F817" t="s">
        <v>41</v>
      </c>
      <c r="G817" t="s">
        <v>55</v>
      </c>
      <c r="H817">
        <v>36740</v>
      </c>
      <c r="I817">
        <v>0</v>
      </c>
      <c r="J817">
        <v>1</v>
      </c>
      <c r="K817">
        <v>0</v>
      </c>
      <c r="L817">
        <v>0</v>
      </c>
      <c r="M817" t="s">
        <v>56</v>
      </c>
      <c r="N817" t="s">
        <v>85</v>
      </c>
      <c r="O817" t="s">
        <v>57</v>
      </c>
      <c r="P817" t="s">
        <v>37</v>
      </c>
      <c r="Q817" t="s">
        <v>59</v>
      </c>
      <c r="R817" t="s">
        <v>65</v>
      </c>
      <c r="S817" t="s">
        <v>48</v>
      </c>
      <c r="T817">
        <v>0</v>
      </c>
      <c r="U817">
        <v>1</v>
      </c>
      <c r="V817">
        <v>1</v>
      </c>
      <c r="W817">
        <v>0</v>
      </c>
      <c r="X817">
        <v>0</v>
      </c>
      <c r="Y817">
        <v>0</v>
      </c>
      <c r="Z817">
        <v>1</v>
      </c>
      <c r="AA817">
        <v>0</v>
      </c>
      <c r="AB817">
        <v>1</v>
      </c>
      <c r="AC817">
        <v>0</v>
      </c>
      <c r="AD817">
        <v>0</v>
      </c>
      <c r="AE817">
        <v>0</v>
      </c>
      <c r="AF817">
        <v>0</v>
      </c>
      <c r="AG817">
        <v>0</v>
      </c>
    </row>
    <row r="818" spans="1:33" x14ac:dyDescent="0.2">
      <c r="A818">
        <v>817</v>
      </c>
      <c r="B818" t="s">
        <v>302</v>
      </c>
      <c r="C818" t="s">
        <v>33</v>
      </c>
      <c r="D818">
        <v>20</v>
      </c>
      <c r="E818" t="s">
        <v>114</v>
      </c>
      <c r="F818" t="s">
        <v>41</v>
      </c>
      <c r="G818" t="s">
        <v>72</v>
      </c>
      <c r="H818">
        <v>213511</v>
      </c>
      <c r="I818">
        <v>0</v>
      </c>
      <c r="J818">
        <v>0</v>
      </c>
      <c r="K818">
        <v>0</v>
      </c>
      <c r="L818">
        <v>1</v>
      </c>
      <c r="M818" t="s">
        <v>73</v>
      </c>
      <c r="N818" t="s">
        <v>115</v>
      </c>
      <c r="O818" t="s">
        <v>75</v>
      </c>
      <c r="P818" t="s">
        <v>37</v>
      </c>
      <c r="Q818" t="s">
        <v>48</v>
      </c>
      <c r="R818" t="s">
        <v>65</v>
      </c>
      <c r="S818" t="s">
        <v>46</v>
      </c>
      <c r="T818">
        <v>0</v>
      </c>
      <c r="U818">
        <v>1</v>
      </c>
      <c r="V818">
        <v>1</v>
      </c>
      <c r="W818">
        <v>0</v>
      </c>
      <c r="X818">
        <v>1</v>
      </c>
      <c r="Y818">
        <v>0</v>
      </c>
      <c r="Z818">
        <v>1</v>
      </c>
      <c r="AA818">
        <v>0</v>
      </c>
      <c r="AB818">
        <v>0</v>
      </c>
      <c r="AC818">
        <v>0</v>
      </c>
      <c r="AD818">
        <v>0</v>
      </c>
      <c r="AE818">
        <v>0</v>
      </c>
      <c r="AF818">
        <v>0</v>
      </c>
      <c r="AG818">
        <v>1</v>
      </c>
    </row>
    <row r="819" spans="1:33" hidden="1" x14ac:dyDescent="0.2">
      <c r="A819">
        <v>818</v>
      </c>
      <c r="B819" t="s">
        <v>302</v>
      </c>
      <c r="C819" t="s">
        <v>33</v>
      </c>
      <c r="D819">
        <v>20</v>
      </c>
      <c r="E819" t="s">
        <v>114</v>
      </c>
      <c r="F819" t="s">
        <v>53</v>
      </c>
      <c r="G819" t="s">
        <v>66</v>
      </c>
      <c r="H819">
        <v>77240</v>
      </c>
      <c r="I819">
        <v>1</v>
      </c>
      <c r="J819">
        <v>1</v>
      </c>
      <c r="K819">
        <v>0</v>
      </c>
      <c r="L819">
        <v>0</v>
      </c>
      <c r="M819" t="s">
        <v>36</v>
      </c>
      <c r="N819" t="s">
        <v>36</v>
      </c>
      <c r="O819" t="s">
        <v>36</v>
      </c>
      <c r="P819" t="s">
        <v>37</v>
      </c>
      <c r="Q819" t="s">
        <v>36</v>
      </c>
      <c r="R819" t="s">
        <v>36</v>
      </c>
      <c r="S819" t="s">
        <v>36</v>
      </c>
      <c r="T819" t="s">
        <v>36</v>
      </c>
      <c r="U819">
        <v>1</v>
      </c>
      <c r="V819">
        <v>1</v>
      </c>
      <c r="W819">
        <v>0</v>
      </c>
      <c r="X819">
        <v>1</v>
      </c>
      <c r="Y819">
        <v>0</v>
      </c>
      <c r="Z819">
        <v>1</v>
      </c>
      <c r="AA819">
        <v>0</v>
      </c>
      <c r="AB819">
        <v>0</v>
      </c>
      <c r="AC819">
        <v>0</v>
      </c>
      <c r="AD819">
        <v>0</v>
      </c>
      <c r="AE819">
        <v>0</v>
      </c>
      <c r="AF819">
        <v>0</v>
      </c>
      <c r="AG819">
        <v>1</v>
      </c>
    </row>
    <row r="820" spans="1:33" x14ac:dyDescent="0.2">
      <c r="A820">
        <v>819</v>
      </c>
      <c r="B820" t="s">
        <v>302</v>
      </c>
      <c r="C820" t="s">
        <v>33</v>
      </c>
      <c r="D820">
        <v>20</v>
      </c>
      <c r="E820" t="s">
        <v>114</v>
      </c>
      <c r="F820" t="s">
        <v>41</v>
      </c>
      <c r="G820" t="s">
        <v>42</v>
      </c>
      <c r="H820">
        <v>23019</v>
      </c>
      <c r="I820">
        <v>1</v>
      </c>
      <c r="J820">
        <v>1</v>
      </c>
      <c r="K820">
        <v>1</v>
      </c>
      <c r="L820">
        <v>0</v>
      </c>
      <c r="M820" t="s">
        <v>43</v>
      </c>
      <c r="N820" t="s">
        <v>44</v>
      </c>
      <c r="O820" t="s">
        <v>116</v>
      </c>
      <c r="P820" t="s">
        <v>37</v>
      </c>
      <c r="Q820" t="s">
        <v>46</v>
      </c>
      <c r="R820" t="s">
        <v>47</v>
      </c>
      <c r="S820" t="s">
        <v>60</v>
      </c>
      <c r="T820">
        <v>1</v>
      </c>
      <c r="U820">
        <v>0</v>
      </c>
      <c r="V820">
        <v>0</v>
      </c>
      <c r="W820">
        <v>1</v>
      </c>
      <c r="X820">
        <v>1</v>
      </c>
      <c r="Y820">
        <v>0</v>
      </c>
      <c r="Z820">
        <v>1</v>
      </c>
      <c r="AA820">
        <v>1</v>
      </c>
      <c r="AB820">
        <v>0</v>
      </c>
      <c r="AC820">
        <v>0</v>
      </c>
      <c r="AD820">
        <v>1</v>
      </c>
      <c r="AE820">
        <v>1</v>
      </c>
      <c r="AF820">
        <v>0</v>
      </c>
      <c r="AG820">
        <v>0</v>
      </c>
    </row>
    <row r="821" spans="1:33" x14ac:dyDescent="0.2">
      <c r="A821">
        <v>820</v>
      </c>
      <c r="B821" t="s">
        <v>302</v>
      </c>
      <c r="C821" t="s">
        <v>33</v>
      </c>
      <c r="D821">
        <v>20</v>
      </c>
      <c r="E821" t="s">
        <v>114</v>
      </c>
      <c r="F821" t="s">
        <v>41</v>
      </c>
      <c r="G821" t="s">
        <v>49</v>
      </c>
      <c r="H821">
        <v>20899</v>
      </c>
      <c r="I821">
        <v>1</v>
      </c>
      <c r="J821">
        <v>1</v>
      </c>
      <c r="K821">
        <v>1</v>
      </c>
      <c r="L821">
        <v>0</v>
      </c>
      <c r="M821" t="s">
        <v>51</v>
      </c>
      <c r="N821" t="s">
        <v>83</v>
      </c>
      <c r="O821" t="s">
        <v>50</v>
      </c>
      <c r="P821" t="s">
        <v>37</v>
      </c>
      <c r="Q821" t="s">
        <v>47</v>
      </c>
      <c r="R821" t="s">
        <v>59</v>
      </c>
      <c r="S821" t="s">
        <v>48</v>
      </c>
      <c r="T821">
        <v>0</v>
      </c>
      <c r="U821">
        <v>0</v>
      </c>
      <c r="V821">
        <v>1</v>
      </c>
      <c r="W821">
        <v>1</v>
      </c>
      <c r="X821">
        <v>0</v>
      </c>
      <c r="Y821">
        <v>0</v>
      </c>
      <c r="Z821">
        <v>1</v>
      </c>
      <c r="AA821">
        <v>0</v>
      </c>
      <c r="AB821">
        <v>0</v>
      </c>
      <c r="AC821">
        <v>1</v>
      </c>
      <c r="AD821">
        <v>1</v>
      </c>
      <c r="AE821">
        <v>0</v>
      </c>
      <c r="AF821">
        <v>0</v>
      </c>
      <c r="AG821">
        <v>0</v>
      </c>
    </row>
    <row r="822" spans="1:33" hidden="1" x14ac:dyDescent="0.2">
      <c r="A822">
        <v>821</v>
      </c>
      <c r="B822" t="s">
        <v>302</v>
      </c>
      <c r="C822" t="s">
        <v>33</v>
      </c>
      <c r="D822">
        <v>20</v>
      </c>
      <c r="E822" t="s">
        <v>114</v>
      </c>
      <c r="F822" t="s">
        <v>53</v>
      </c>
      <c r="G822" t="s">
        <v>54</v>
      </c>
      <c r="H822">
        <v>160459</v>
      </c>
      <c r="I822">
        <v>0</v>
      </c>
      <c r="J822">
        <v>1</v>
      </c>
      <c r="K822">
        <v>0</v>
      </c>
      <c r="L822">
        <v>0</v>
      </c>
      <c r="M822" t="s">
        <v>36</v>
      </c>
      <c r="N822" t="s">
        <v>36</v>
      </c>
      <c r="O822" t="s">
        <v>36</v>
      </c>
      <c r="P822" t="s">
        <v>37</v>
      </c>
      <c r="Q822" t="s">
        <v>36</v>
      </c>
      <c r="R822" t="s">
        <v>36</v>
      </c>
      <c r="S822" t="s">
        <v>36</v>
      </c>
      <c r="T822" t="s">
        <v>36</v>
      </c>
      <c r="U822">
        <v>0</v>
      </c>
      <c r="V822">
        <v>1</v>
      </c>
      <c r="W822">
        <v>1</v>
      </c>
      <c r="X822">
        <v>0</v>
      </c>
      <c r="Y822">
        <v>0</v>
      </c>
      <c r="Z822">
        <v>1</v>
      </c>
      <c r="AA822">
        <v>0</v>
      </c>
      <c r="AB822">
        <v>0</v>
      </c>
      <c r="AC822">
        <v>1</v>
      </c>
      <c r="AD822">
        <v>1</v>
      </c>
      <c r="AE822">
        <v>0</v>
      </c>
      <c r="AF822">
        <v>0</v>
      </c>
      <c r="AG822">
        <v>0</v>
      </c>
    </row>
    <row r="823" spans="1:33" x14ac:dyDescent="0.2">
      <c r="A823">
        <v>822</v>
      </c>
      <c r="B823" t="s">
        <v>302</v>
      </c>
      <c r="C823" t="s">
        <v>33</v>
      </c>
      <c r="D823">
        <v>20</v>
      </c>
      <c r="E823" t="s">
        <v>114</v>
      </c>
      <c r="F823" t="s">
        <v>41</v>
      </c>
      <c r="G823" t="s">
        <v>61</v>
      </c>
      <c r="H823">
        <v>12585</v>
      </c>
      <c r="I823">
        <v>1</v>
      </c>
      <c r="J823">
        <v>1</v>
      </c>
      <c r="K823">
        <v>1</v>
      </c>
      <c r="L823">
        <v>0</v>
      </c>
      <c r="M823" t="s">
        <v>97</v>
      </c>
      <c r="N823" t="s">
        <v>87</v>
      </c>
      <c r="O823" t="s">
        <v>63</v>
      </c>
      <c r="P823" t="s">
        <v>37</v>
      </c>
      <c r="Q823" t="s">
        <v>59</v>
      </c>
      <c r="R823" t="s">
        <v>47</v>
      </c>
      <c r="S823" t="s">
        <v>46</v>
      </c>
      <c r="T823">
        <v>0</v>
      </c>
      <c r="U823">
        <v>0</v>
      </c>
      <c r="V823">
        <v>0</v>
      </c>
      <c r="W823">
        <v>1</v>
      </c>
      <c r="X823">
        <v>1</v>
      </c>
      <c r="Y823">
        <v>0</v>
      </c>
      <c r="Z823">
        <v>1</v>
      </c>
      <c r="AA823">
        <v>0</v>
      </c>
      <c r="AB823">
        <v>0</v>
      </c>
      <c r="AC823">
        <v>0</v>
      </c>
      <c r="AD823">
        <v>1</v>
      </c>
      <c r="AE823">
        <v>1</v>
      </c>
      <c r="AF823">
        <v>0</v>
      </c>
      <c r="AG823">
        <v>0</v>
      </c>
    </row>
    <row r="824" spans="1:33" hidden="1" x14ac:dyDescent="0.2">
      <c r="A824">
        <v>823</v>
      </c>
      <c r="B824" t="s">
        <v>302</v>
      </c>
      <c r="C824" t="s">
        <v>33</v>
      </c>
      <c r="D824">
        <v>20</v>
      </c>
      <c r="E824" t="s">
        <v>114</v>
      </c>
      <c r="F824" t="s">
        <v>53</v>
      </c>
      <c r="G824" t="s">
        <v>71</v>
      </c>
      <c r="H824">
        <v>47913</v>
      </c>
      <c r="I824">
        <v>0</v>
      </c>
      <c r="J824">
        <v>0</v>
      </c>
      <c r="K824">
        <v>1</v>
      </c>
      <c r="L824">
        <v>0</v>
      </c>
      <c r="M824" t="s">
        <v>36</v>
      </c>
      <c r="N824" t="s">
        <v>36</v>
      </c>
      <c r="O824" t="s">
        <v>36</v>
      </c>
      <c r="P824" t="s">
        <v>37</v>
      </c>
      <c r="Q824" t="s">
        <v>36</v>
      </c>
      <c r="R824" t="s">
        <v>36</v>
      </c>
      <c r="S824" t="s">
        <v>36</v>
      </c>
      <c r="T824" t="s">
        <v>36</v>
      </c>
      <c r="U824">
        <v>0</v>
      </c>
      <c r="V824">
        <v>0</v>
      </c>
      <c r="W824">
        <v>1</v>
      </c>
      <c r="X824">
        <v>1</v>
      </c>
      <c r="Y824">
        <v>0</v>
      </c>
      <c r="Z824">
        <v>1</v>
      </c>
      <c r="AA824">
        <v>0</v>
      </c>
      <c r="AB824">
        <v>0</v>
      </c>
      <c r="AC824">
        <v>0</v>
      </c>
      <c r="AD824">
        <v>1</v>
      </c>
      <c r="AE824">
        <v>1</v>
      </c>
      <c r="AF824">
        <v>0</v>
      </c>
      <c r="AG824">
        <v>0</v>
      </c>
    </row>
    <row r="825" spans="1:33" x14ac:dyDescent="0.2">
      <c r="A825">
        <v>824</v>
      </c>
      <c r="B825" t="s">
        <v>302</v>
      </c>
      <c r="C825" t="s">
        <v>33</v>
      </c>
      <c r="D825">
        <v>20</v>
      </c>
      <c r="E825" t="s">
        <v>114</v>
      </c>
      <c r="F825" t="s">
        <v>41</v>
      </c>
      <c r="G825" t="s">
        <v>67</v>
      </c>
      <c r="H825">
        <v>26969</v>
      </c>
      <c r="I825">
        <v>1</v>
      </c>
      <c r="J825">
        <v>1</v>
      </c>
      <c r="K825">
        <v>1</v>
      </c>
      <c r="L825">
        <v>0</v>
      </c>
      <c r="M825" t="s">
        <v>69</v>
      </c>
      <c r="N825" t="s">
        <v>70</v>
      </c>
      <c r="O825" t="s">
        <v>86</v>
      </c>
      <c r="P825" t="s">
        <v>37</v>
      </c>
      <c r="Q825" t="s">
        <v>48</v>
      </c>
      <c r="R825" t="s">
        <v>47</v>
      </c>
      <c r="S825" t="s">
        <v>46</v>
      </c>
      <c r="T825">
        <v>0</v>
      </c>
      <c r="U825">
        <v>0</v>
      </c>
      <c r="V825">
        <v>1</v>
      </c>
      <c r="W825">
        <v>1</v>
      </c>
      <c r="X825">
        <v>1</v>
      </c>
      <c r="Y825">
        <v>0</v>
      </c>
      <c r="Z825">
        <v>1</v>
      </c>
      <c r="AA825">
        <v>0</v>
      </c>
      <c r="AB825">
        <v>0</v>
      </c>
      <c r="AC825">
        <v>1</v>
      </c>
      <c r="AD825">
        <v>1</v>
      </c>
      <c r="AE825">
        <v>1</v>
      </c>
      <c r="AF825">
        <v>0</v>
      </c>
      <c r="AG825">
        <v>0</v>
      </c>
    </row>
    <row r="826" spans="1:33" hidden="1" x14ac:dyDescent="0.2">
      <c r="A826">
        <v>825</v>
      </c>
      <c r="B826" t="s">
        <v>302</v>
      </c>
      <c r="C826" t="s">
        <v>33</v>
      </c>
      <c r="D826">
        <v>20</v>
      </c>
      <c r="E826" t="s">
        <v>114</v>
      </c>
      <c r="F826" t="s">
        <v>53</v>
      </c>
      <c r="G826" t="s">
        <v>76</v>
      </c>
      <c r="H826">
        <v>18042</v>
      </c>
      <c r="I826">
        <v>1</v>
      </c>
      <c r="J826">
        <v>1</v>
      </c>
      <c r="K826">
        <v>0</v>
      </c>
      <c r="L826">
        <v>0</v>
      </c>
      <c r="M826" t="s">
        <v>36</v>
      </c>
      <c r="N826" t="s">
        <v>36</v>
      </c>
      <c r="O826" t="s">
        <v>36</v>
      </c>
      <c r="P826" t="s">
        <v>37</v>
      </c>
      <c r="Q826" t="s">
        <v>36</v>
      </c>
      <c r="R826" t="s">
        <v>36</v>
      </c>
      <c r="S826" t="s">
        <v>36</v>
      </c>
      <c r="T826" t="s">
        <v>36</v>
      </c>
      <c r="U826">
        <v>0</v>
      </c>
      <c r="V826">
        <v>1</v>
      </c>
      <c r="W826">
        <v>1</v>
      </c>
      <c r="X826">
        <v>1</v>
      </c>
      <c r="Y826">
        <v>0</v>
      </c>
      <c r="Z826">
        <v>1</v>
      </c>
      <c r="AA826">
        <v>0</v>
      </c>
      <c r="AB826">
        <v>0</v>
      </c>
      <c r="AC826">
        <v>1</v>
      </c>
      <c r="AD826">
        <v>1</v>
      </c>
      <c r="AE826">
        <v>1</v>
      </c>
      <c r="AF826">
        <v>0</v>
      </c>
      <c r="AG826">
        <v>0</v>
      </c>
    </row>
    <row r="827" spans="1:33" hidden="1" x14ac:dyDescent="0.2">
      <c r="A827">
        <v>826</v>
      </c>
      <c r="B827" t="s">
        <v>302</v>
      </c>
      <c r="C827" t="s">
        <v>33</v>
      </c>
      <c r="D827">
        <v>20</v>
      </c>
      <c r="E827" t="s">
        <v>114</v>
      </c>
      <c r="F827" t="s">
        <v>77</v>
      </c>
      <c r="G827" t="s">
        <v>36</v>
      </c>
      <c r="H827">
        <v>146338</v>
      </c>
      <c r="I827" t="s">
        <v>303</v>
      </c>
      <c r="J827" t="s">
        <v>304</v>
      </c>
      <c r="L827" t="s">
        <v>36</v>
      </c>
      <c r="M827" t="s">
        <v>36</v>
      </c>
      <c r="N827" t="s">
        <v>36</v>
      </c>
      <c r="O827" t="s">
        <v>36</v>
      </c>
      <c r="P827" t="s">
        <v>37</v>
      </c>
      <c r="Q827" t="s">
        <v>36</v>
      </c>
      <c r="R827" t="s">
        <v>36</v>
      </c>
      <c r="S827" t="s">
        <v>36</v>
      </c>
      <c r="T827" t="s">
        <v>36</v>
      </c>
      <c r="U827" t="s">
        <v>36</v>
      </c>
      <c r="V827" t="s">
        <v>36</v>
      </c>
      <c r="W827" t="s">
        <v>36</v>
      </c>
      <c r="X827" t="s">
        <v>36</v>
      </c>
      <c r="Y827" t="s">
        <v>36</v>
      </c>
      <c r="Z827" t="s">
        <v>36</v>
      </c>
      <c r="AA827" t="s">
        <v>36</v>
      </c>
      <c r="AB827" t="s">
        <v>36</v>
      </c>
      <c r="AC827" t="s">
        <v>36</v>
      </c>
      <c r="AD827" t="s">
        <v>36</v>
      </c>
      <c r="AE827" t="s">
        <v>36</v>
      </c>
      <c r="AF827" t="s">
        <v>36</v>
      </c>
      <c r="AG827" t="s">
        <v>36</v>
      </c>
    </row>
    <row r="828" spans="1:33" hidden="1" x14ac:dyDescent="0.2">
      <c r="A828">
        <v>827</v>
      </c>
      <c r="B828" t="s">
        <v>305</v>
      </c>
      <c r="C828" t="s">
        <v>108</v>
      </c>
      <c r="D828">
        <v>52</v>
      </c>
      <c r="E828" t="s">
        <v>34</v>
      </c>
      <c r="F828" t="s">
        <v>35</v>
      </c>
      <c r="G828" t="s">
        <v>36</v>
      </c>
      <c r="H828">
        <v>235000</v>
      </c>
      <c r="I828" t="s">
        <v>36</v>
      </c>
      <c r="J828" t="s">
        <v>36</v>
      </c>
      <c r="K828" t="s">
        <v>36</v>
      </c>
      <c r="L828" t="s">
        <v>36</v>
      </c>
      <c r="M828" t="s">
        <v>36</v>
      </c>
      <c r="N828" t="s">
        <v>36</v>
      </c>
      <c r="O828" t="s">
        <v>36</v>
      </c>
      <c r="P828" t="s">
        <v>37</v>
      </c>
      <c r="Q828" t="s">
        <v>36</v>
      </c>
      <c r="R828" t="s">
        <v>36</v>
      </c>
      <c r="S828" t="s">
        <v>36</v>
      </c>
      <c r="T828" t="s">
        <v>36</v>
      </c>
      <c r="U828" t="s">
        <v>36</v>
      </c>
      <c r="V828" t="s">
        <v>36</v>
      </c>
      <c r="W828" t="s">
        <v>36</v>
      </c>
      <c r="X828" t="s">
        <v>36</v>
      </c>
      <c r="Y828" t="s">
        <v>36</v>
      </c>
      <c r="Z828" t="s">
        <v>36</v>
      </c>
      <c r="AA828" t="s">
        <v>36</v>
      </c>
      <c r="AB828" t="s">
        <v>36</v>
      </c>
      <c r="AC828" t="s">
        <v>36</v>
      </c>
      <c r="AD828" t="s">
        <v>36</v>
      </c>
      <c r="AE828" t="s">
        <v>36</v>
      </c>
      <c r="AF828" t="s">
        <v>36</v>
      </c>
      <c r="AG828" t="s">
        <v>36</v>
      </c>
    </row>
    <row r="829" spans="1:33" hidden="1" x14ac:dyDescent="0.2">
      <c r="A829">
        <v>828</v>
      </c>
      <c r="B829" t="s">
        <v>305</v>
      </c>
      <c r="C829" t="s">
        <v>108</v>
      </c>
      <c r="D829">
        <v>52</v>
      </c>
      <c r="E829" t="s">
        <v>34</v>
      </c>
      <c r="F829" t="s">
        <v>38</v>
      </c>
      <c r="G829" t="s">
        <v>40</v>
      </c>
      <c r="H829">
        <v>92415</v>
      </c>
      <c r="I829">
        <v>0</v>
      </c>
      <c r="J829">
        <v>0</v>
      </c>
      <c r="K829">
        <v>0</v>
      </c>
      <c r="L829">
        <v>1</v>
      </c>
      <c r="M829" t="s">
        <v>36</v>
      </c>
      <c r="N829" t="s">
        <v>36</v>
      </c>
      <c r="O829" t="s">
        <v>36</v>
      </c>
      <c r="P829" t="s">
        <v>37</v>
      </c>
      <c r="Q829" t="s">
        <v>36</v>
      </c>
      <c r="R829" t="s">
        <v>36</v>
      </c>
      <c r="S829" t="s">
        <v>36</v>
      </c>
      <c r="T829" t="s">
        <v>36</v>
      </c>
      <c r="U829" t="s">
        <v>36</v>
      </c>
      <c r="V829" t="s">
        <v>36</v>
      </c>
      <c r="W829" t="s">
        <v>36</v>
      </c>
      <c r="X829" t="s">
        <v>36</v>
      </c>
      <c r="Y829" t="s">
        <v>36</v>
      </c>
      <c r="Z829" t="s">
        <v>36</v>
      </c>
      <c r="AA829" t="s">
        <v>36</v>
      </c>
      <c r="AB829" t="s">
        <v>36</v>
      </c>
      <c r="AC829" t="s">
        <v>36</v>
      </c>
      <c r="AD829" t="s">
        <v>36</v>
      </c>
      <c r="AE829" t="s">
        <v>36</v>
      </c>
      <c r="AF829" t="s">
        <v>36</v>
      </c>
      <c r="AG829" t="s">
        <v>36</v>
      </c>
    </row>
    <row r="830" spans="1:33" hidden="1" x14ac:dyDescent="0.2">
      <c r="A830">
        <v>829</v>
      </c>
      <c r="B830" t="s">
        <v>305</v>
      </c>
      <c r="C830" t="s">
        <v>108</v>
      </c>
      <c r="D830">
        <v>52</v>
      </c>
      <c r="E830" t="s">
        <v>34</v>
      </c>
      <c r="F830" t="s">
        <v>38</v>
      </c>
      <c r="G830" t="s">
        <v>39</v>
      </c>
      <c r="H830">
        <v>32837</v>
      </c>
      <c r="I830">
        <v>0</v>
      </c>
      <c r="J830">
        <v>0</v>
      </c>
      <c r="K830">
        <v>0</v>
      </c>
      <c r="L830">
        <v>1</v>
      </c>
      <c r="M830" t="s">
        <v>36</v>
      </c>
      <c r="N830" t="s">
        <v>36</v>
      </c>
      <c r="O830" t="s">
        <v>36</v>
      </c>
      <c r="P830" t="s">
        <v>37</v>
      </c>
      <c r="Q830" t="s">
        <v>36</v>
      </c>
      <c r="R830" t="s">
        <v>36</v>
      </c>
      <c r="S830" t="s">
        <v>36</v>
      </c>
      <c r="T830" t="s">
        <v>36</v>
      </c>
      <c r="U830" t="s">
        <v>36</v>
      </c>
      <c r="V830" t="s">
        <v>36</v>
      </c>
      <c r="W830" t="s">
        <v>36</v>
      </c>
      <c r="X830" t="s">
        <v>36</v>
      </c>
      <c r="Y830" t="s">
        <v>36</v>
      </c>
      <c r="Z830" t="s">
        <v>36</v>
      </c>
      <c r="AA830" t="s">
        <v>36</v>
      </c>
      <c r="AB830" t="s">
        <v>36</v>
      </c>
      <c r="AC830" t="s">
        <v>36</v>
      </c>
      <c r="AD830" t="s">
        <v>36</v>
      </c>
      <c r="AE830" t="s">
        <v>36</v>
      </c>
      <c r="AF830" t="s">
        <v>36</v>
      </c>
      <c r="AG830" t="s">
        <v>36</v>
      </c>
    </row>
    <row r="831" spans="1:33" x14ac:dyDescent="0.2">
      <c r="A831">
        <v>830</v>
      </c>
      <c r="B831" t="s">
        <v>305</v>
      </c>
      <c r="C831" t="s">
        <v>108</v>
      </c>
      <c r="D831">
        <v>52</v>
      </c>
      <c r="E831" t="s">
        <v>34</v>
      </c>
      <c r="F831" t="s">
        <v>41</v>
      </c>
      <c r="G831" t="s">
        <v>49</v>
      </c>
      <c r="H831">
        <v>61316</v>
      </c>
      <c r="I831">
        <v>0</v>
      </c>
      <c r="J831">
        <v>1</v>
      </c>
      <c r="K831">
        <v>0</v>
      </c>
      <c r="L831">
        <v>0</v>
      </c>
      <c r="M831" t="s">
        <v>83</v>
      </c>
      <c r="N831" t="s">
        <v>96</v>
      </c>
      <c r="O831" t="s">
        <v>95</v>
      </c>
      <c r="P831" t="s">
        <v>37</v>
      </c>
      <c r="Q831" t="s">
        <v>59</v>
      </c>
      <c r="R831" t="s">
        <v>65</v>
      </c>
      <c r="S831" t="s">
        <v>60</v>
      </c>
      <c r="T831">
        <v>1</v>
      </c>
      <c r="U831">
        <v>1</v>
      </c>
      <c r="V831">
        <v>0</v>
      </c>
      <c r="W831">
        <v>0</v>
      </c>
      <c r="X831">
        <v>0</v>
      </c>
      <c r="Y831">
        <v>0</v>
      </c>
      <c r="Z831">
        <v>1</v>
      </c>
      <c r="AA831">
        <v>0</v>
      </c>
      <c r="AB831">
        <v>1</v>
      </c>
      <c r="AC831">
        <v>0</v>
      </c>
      <c r="AD831">
        <v>0</v>
      </c>
      <c r="AE831">
        <v>0</v>
      </c>
      <c r="AF831">
        <v>0</v>
      </c>
      <c r="AG831">
        <v>0</v>
      </c>
    </row>
    <row r="832" spans="1:33" x14ac:dyDescent="0.2">
      <c r="A832">
        <v>831</v>
      </c>
      <c r="B832" t="s">
        <v>305</v>
      </c>
      <c r="C832" t="s">
        <v>108</v>
      </c>
      <c r="D832">
        <v>52</v>
      </c>
      <c r="E832" t="s">
        <v>34</v>
      </c>
      <c r="F832" t="s">
        <v>41</v>
      </c>
      <c r="G832" t="s">
        <v>55</v>
      </c>
      <c r="H832">
        <v>37749</v>
      </c>
      <c r="I832">
        <v>0</v>
      </c>
      <c r="J832">
        <v>1</v>
      </c>
      <c r="K832">
        <v>0</v>
      </c>
      <c r="L832">
        <v>0</v>
      </c>
      <c r="M832" t="s">
        <v>58</v>
      </c>
      <c r="N832" t="s">
        <v>85</v>
      </c>
      <c r="O832" t="s">
        <v>57</v>
      </c>
      <c r="P832" t="s">
        <v>37</v>
      </c>
      <c r="Q832" t="s">
        <v>60</v>
      </c>
      <c r="R832" t="s">
        <v>65</v>
      </c>
      <c r="S832" t="s">
        <v>48</v>
      </c>
      <c r="T832">
        <v>1</v>
      </c>
      <c r="U832">
        <v>1</v>
      </c>
      <c r="V832">
        <v>1</v>
      </c>
      <c r="W832">
        <v>0</v>
      </c>
      <c r="X832">
        <v>0</v>
      </c>
      <c r="Y832">
        <v>0</v>
      </c>
      <c r="Z832">
        <v>1</v>
      </c>
      <c r="AA832">
        <v>0</v>
      </c>
      <c r="AB832">
        <v>1</v>
      </c>
      <c r="AC832">
        <v>0</v>
      </c>
      <c r="AD832">
        <v>0</v>
      </c>
      <c r="AE832">
        <v>0</v>
      </c>
      <c r="AF832">
        <v>0</v>
      </c>
      <c r="AG832">
        <v>0</v>
      </c>
    </row>
    <row r="833" spans="1:33" hidden="1" x14ac:dyDescent="0.2">
      <c r="A833">
        <v>832</v>
      </c>
      <c r="B833" t="s">
        <v>305</v>
      </c>
      <c r="C833" t="s">
        <v>108</v>
      </c>
      <c r="D833">
        <v>52</v>
      </c>
      <c r="E833" t="s">
        <v>34</v>
      </c>
      <c r="F833" t="s">
        <v>53</v>
      </c>
      <c r="G833" t="s">
        <v>66</v>
      </c>
      <c r="H833">
        <v>37654</v>
      </c>
      <c r="I833">
        <v>1</v>
      </c>
      <c r="J833">
        <v>1</v>
      </c>
      <c r="K833">
        <v>0</v>
      </c>
      <c r="L833">
        <v>0</v>
      </c>
      <c r="M833" t="s">
        <v>36</v>
      </c>
      <c r="N833" t="s">
        <v>36</v>
      </c>
      <c r="O833" t="s">
        <v>36</v>
      </c>
      <c r="P833" t="s">
        <v>37</v>
      </c>
      <c r="Q833" t="s">
        <v>36</v>
      </c>
      <c r="R833" t="s">
        <v>36</v>
      </c>
      <c r="S833" t="s">
        <v>36</v>
      </c>
      <c r="T833" t="s">
        <v>36</v>
      </c>
      <c r="U833">
        <v>1</v>
      </c>
      <c r="V833">
        <v>1</v>
      </c>
      <c r="W833">
        <v>0</v>
      </c>
      <c r="X833">
        <v>0</v>
      </c>
      <c r="Y833">
        <v>0</v>
      </c>
      <c r="Z833">
        <v>1</v>
      </c>
      <c r="AA833">
        <v>0</v>
      </c>
      <c r="AB833">
        <v>1</v>
      </c>
      <c r="AC833">
        <v>0</v>
      </c>
      <c r="AD833">
        <v>0</v>
      </c>
      <c r="AE833">
        <v>0</v>
      </c>
      <c r="AF833">
        <v>0</v>
      </c>
      <c r="AG833">
        <v>0</v>
      </c>
    </row>
    <row r="834" spans="1:33" x14ac:dyDescent="0.2">
      <c r="A834">
        <v>833</v>
      </c>
      <c r="B834" t="s">
        <v>305</v>
      </c>
      <c r="C834" t="s">
        <v>108</v>
      </c>
      <c r="D834">
        <v>52</v>
      </c>
      <c r="E834" t="s">
        <v>34</v>
      </c>
      <c r="F834" t="s">
        <v>41</v>
      </c>
      <c r="G834" t="s">
        <v>67</v>
      </c>
      <c r="H834">
        <v>20110</v>
      </c>
      <c r="I834">
        <v>1</v>
      </c>
      <c r="J834">
        <v>0</v>
      </c>
      <c r="K834">
        <v>0</v>
      </c>
      <c r="L834">
        <v>0</v>
      </c>
      <c r="M834" t="s">
        <v>70</v>
      </c>
      <c r="N834" t="s">
        <v>69</v>
      </c>
      <c r="O834" t="s">
        <v>109</v>
      </c>
      <c r="P834" t="s">
        <v>37</v>
      </c>
      <c r="Q834" t="s">
        <v>47</v>
      </c>
      <c r="R834" t="s">
        <v>48</v>
      </c>
      <c r="S834" t="s">
        <v>59</v>
      </c>
      <c r="T834">
        <v>0</v>
      </c>
      <c r="U834">
        <v>0</v>
      </c>
      <c r="V834">
        <v>1</v>
      </c>
      <c r="W834">
        <v>1</v>
      </c>
      <c r="X834">
        <v>0</v>
      </c>
      <c r="Y834">
        <v>0</v>
      </c>
      <c r="Z834">
        <v>1</v>
      </c>
      <c r="AA834">
        <v>0</v>
      </c>
      <c r="AB834">
        <v>0</v>
      </c>
      <c r="AC834">
        <v>0</v>
      </c>
      <c r="AD834">
        <v>1</v>
      </c>
      <c r="AE834">
        <v>0</v>
      </c>
      <c r="AF834">
        <v>0</v>
      </c>
      <c r="AG834">
        <v>0</v>
      </c>
    </row>
    <row r="835" spans="1:33" x14ac:dyDescent="0.2">
      <c r="A835">
        <v>834</v>
      </c>
      <c r="B835" t="s">
        <v>305</v>
      </c>
      <c r="C835" t="s">
        <v>108</v>
      </c>
      <c r="D835">
        <v>52</v>
      </c>
      <c r="E835" t="s">
        <v>34</v>
      </c>
      <c r="F835" t="s">
        <v>41</v>
      </c>
      <c r="G835" t="s">
        <v>72</v>
      </c>
      <c r="H835">
        <v>39284</v>
      </c>
      <c r="I835">
        <v>0</v>
      </c>
      <c r="J835">
        <v>0</v>
      </c>
      <c r="K835">
        <v>1</v>
      </c>
      <c r="L835">
        <v>0</v>
      </c>
      <c r="M835" t="s">
        <v>74</v>
      </c>
      <c r="N835" t="s">
        <v>73</v>
      </c>
      <c r="O835" t="s">
        <v>115</v>
      </c>
      <c r="P835" t="s">
        <v>37</v>
      </c>
      <c r="Q835" t="s">
        <v>47</v>
      </c>
      <c r="R835" t="s">
        <v>48</v>
      </c>
      <c r="S835" t="s">
        <v>65</v>
      </c>
      <c r="T835">
        <v>0</v>
      </c>
      <c r="U835">
        <v>1</v>
      </c>
      <c r="V835">
        <v>1</v>
      </c>
      <c r="W835">
        <v>1</v>
      </c>
      <c r="X835">
        <v>0</v>
      </c>
      <c r="Y835">
        <v>0</v>
      </c>
      <c r="Z835">
        <v>1</v>
      </c>
      <c r="AA835">
        <v>0</v>
      </c>
      <c r="AB835">
        <v>1</v>
      </c>
      <c r="AC835">
        <v>0</v>
      </c>
      <c r="AD835">
        <v>0</v>
      </c>
      <c r="AE835">
        <v>0</v>
      </c>
      <c r="AF835">
        <v>0</v>
      </c>
      <c r="AG835">
        <v>0</v>
      </c>
    </row>
    <row r="836" spans="1:33" hidden="1" x14ac:dyDescent="0.2">
      <c r="A836">
        <v>835</v>
      </c>
      <c r="B836" t="s">
        <v>305</v>
      </c>
      <c r="C836" t="s">
        <v>108</v>
      </c>
      <c r="D836">
        <v>52</v>
      </c>
      <c r="E836" t="s">
        <v>34</v>
      </c>
      <c r="F836" t="s">
        <v>53</v>
      </c>
      <c r="G836" t="s">
        <v>71</v>
      </c>
      <c r="H836">
        <v>46454</v>
      </c>
      <c r="I836">
        <v>0</v>
      </c>
      <c r="J836">
        <v>0</v>
      </c>
      <c r="K836">
        <v>0</v>
      </c>
      <c r="L836">
        <v>1</v>
      </c>
      <c r="M836" t="s">
        <v>36</v>
      </c>
      <c r="N836" t="s">
        <v>36</v>
      </c>
      <c r="O836" t="s">
        <v>36</v>
      </c>
      <c r="P836" t="s">
        <v>37</v>
      </c>
      <c r="Q836" t="s">
        <v>36</v>
      </c>
      <c r="R836" t="s">
        <v>36</v>
      </c>
      <c r="S836" t="s">
        <v>36</v>
      </c>
      <c r="T836" t="s">
        <v>36</v>
      </c>
      <c r="U836">
        <v>1</v>
      </c>
      <c r="V836">
        <v>1</v>
      </c>
      <c r="W836">
        <v>1</v>
      </c>
      <c r="X836">
        <v>0</v>
      </c>
      <c r="Y836">
        <v>0</v>
      </c>
      <c r="Z836">
        <v>1</v>
      </c>
      <c r="AA836">
        <v>0</v>
      </c>
      <c r="AB836">
        <v>1</v>
      </c>
      <c r="AC836">
        <v>0</v>
      </c>
      <c r="AD836">
        <v>0</v>
      </c>
      <c r="AE836">
        <v>0</v>
      </c>
      <c r="AF836">
        <v>0</v>
      </c>
      <c r="AG836">
        <v>0</v>
      </c>
    </row>
    <row r="837" spans="1:33" x14ac:dyDescent="0.2">
      <c r="A837">
        <v>836</v>
      </c>
      <c r="B837" t="s">
        <v>305</v>
      </c>
      <c r="C837" t="s">
        <v>108</v>
      </c>
      <c r="D837">
        <v>52</v>
      </c>
      <c r="E837" t="s">
        <v>34</v>
      </c>
      <c r="F837" t="s">
        <v>41</v>
      </c>
      <c r="G837" t="s">
        <v>61</v>
      </c>
      <c r="H837">
        <v>23989</v>
      </c>
      <c r="I837">
        <v>1</v>
      </c>
      <c r="J837">
        <v>0</v>
      </c>
      <c r="K837">
        <v>0</v>
      </c>
      <c r="L837">
        <v>0</v>
      </c>
      <c r="M837" t="s">
        <v>87</v>
      </c>
      <c r="N837" t="s">
        <v>63</v>
      </c>
      <c r="O837" t="s">
        <v>125</v>
      </c>
      <c r="P837" t="s">
        <v>37</v>
      </c>
      <c r="Q837" t="s">
        <v>47</v>
      </c>
      <c r="R837" t="s">
        <v>46</v>
      </c>
      <c r="S837" t="s">
        <v>60</v>
      </c>
      <c r="T837">
        <v>1</v>
      </c>
      <c r="U837">
        <v>0</v>
      </c>
      <c r="V837">
        <v>0</v>
      </c>
      <c r="W837">
        <v>1</v>
      </c>
      <c r="X837">
        <v>1</v>
      </c>
      <c r="Y837">
        <v>0</v>
      </c>
      <c r="Z837">
        <v>1</v>
      </c>
      <c r="AA837">
        <v>0</v>
      </c>
      <c r="AB837">
        <v>0</v>
      </c>
      <c r="AC837">
        <v>0</v>
      </c>
      <c r="AD837">
        <v>1</v>
      </c>
      <c r="AE837">
        <v>0</v>
      </c>
      <c r="AF837">
        <v>0</v>
      </c>
      <c r="AG837">
        <v>0</v>
      </c>
    </row>
    <row r="838" spans="1:33" hidden="1" x14ac:dyDescent="0.2">
      <c r="A838">
        <v>837</v>
      </c>
      <c r="B838" t="s">
        <v>305</v>
      </c>
      <c r="C838" t="s">
        <v>108</v>
      </c>
      <c r="D838">
        <v>52</v>
      </c>
      <c r="E838" t="s">
        <v>34</v>
      </c>
      <c r="F838" t="s">
        <v>53</v>
      </c>
      <c r="G838" t="s">
        <v>76</v>
      </c>
      <c r="H838">
        <v>22285</v>
      </c>
      <c r="I838">
        <v>1</v>
      </c>
      <c r="J838">
        <v>0</v>
      </c>
      <c r="K838">
        <v>0</v>
      </c>
      <c r="L838">
        <v>0</v>
      </c>
      <c r="M838" t="s">
        <v>36</v>
      </c>
      <c r="N838" t="s">
        <v>36</v>
      </c>
      <c r="O838" t="s">
        <v>36</v>
      </c>
      <c r="P838" t="s">
        <v>37</v>
      </c>
      <c r="Q838" t="s">
        <v>36</v>
      </c>
      <c r="R838" t="s">
        <v>36</v>
      </c>
      <c r="S838" t="s">
        <v>36</v>
      </c>
      <c r="T838" t="s">
        <v>36</v>
      </c>
      <c r="U838">
        <v>0</v>
      </c>
      <c r="V838">
        <v>0</v>
      </c>
      <c r="W838">
        <v>1</v>
      </c>
      <c r="X838">
        <v>1</v>
      </c>
      <c r="Y838">
        <v>0</v>
      </c>
      <c r="Z838">
        <v>1</v>
      </c>
      <c r="AA838">
        <v>0</v>
      </c>
      <c r="AB838">
        <v>0</v>
      </c>
      <c r="AC838">
        <v>0</v>
      </c>
      <c r="AD838">
        <v>1</v>
      </c>
      <c r="AE838">
        <v>0</v>
      </c>
      <c r="AF838">
        <v>0</v>
      </c>
      <c r="AG838">
        <v>0</v>
      </c>
    </row>
    <row r="839" spans="1:33" x14ac:dyDescent="0.2">
      <c r="A839">
        <v>838</v>
      </c>
      <c r="B839" t="s">
        <v>305</v>
      </c>
      <c r="C839" t="s">
        <v>108</v>
      </c>
      <c r="D839">
        <v>52</v>
      </c>
      <c r="E839" t="s">
        <v>34</v>
      </c>
      <c r="F839" t="s">
        <v>41</v>
      </c>
      <c r="G839" t="s">
        <v>42</v>
      </c>
      <c r="H839">
        <v>11371</v>
      </c>
      <c r="I839">
        <v>1</v>
      </c>
      <c r="J839">
        <v>0</v>
      </c>
      <c r="K839">
        <v>0</v>
      </c>
      <c r="L839">
        <v>0</v>
      </c>
      <c r="M839" t="s">
        <v>82</v>
      </c>
      <c r="N839" t="s">
        <v>44</v>
      </c>
      <c r="O839" t="s">
        <v>45</v>
      </c>
      <c r="P839" t="s">
        <v>37</v>
      </c>
      <c r="Q839" t="s">
        <v>65</v>
      </c>
      <c r="R839" t="s">
        <v>47</v>
      </c>
      <c r="S839" t="s">
        <v>48</v>
      </c>
      <c r="T839">
        <v>0</v>
      </c>
      <c r="U839">
        <v>1</v>
      </c>
      <c r="V839">
        <v>1</v>
      </c>
      <c r="W839">
        <v>1</v>
      </c>
      <c r="X839">
        <v>0</v>
      </c>
      <c r="Y839">
        <v>0</v>
      </c>
      <c r="Z839">
        <v>1</v>
      </c>
      <c r="AA839">
        <v>0</v>
      </c>
      <c r="AB839">
        <v>1</v>
      </c>
      <c r="AC839">
        <v>0</v>
      </c>
      <c r="AD839">
        <v>0</v>
      </c>
      <c r="AE839">
        <v>0</v>
      </c>
      <c r="AF839">
        <v>0</v>
      </c>
      <c r="AG839">
        <v>0</v>
      </c>
    </row>
    <row r="840" spans="1:33" hidden="1" x14ac:dyDescent="0.2">
      <c r="A840">
        <v>839</v>
      </c>
      <c r="B840" t="s">
        <v>305</v>
      </c>
      <c r="C840" t="s">
        <v>108</v>
      </c>
      <c r="D840">
        <v>52</v>
      </c>
      <c r="E840" t="s">
        <v>34</v>
      </c>
      <c r="F840" t="s">
        <v>53</v>
      </c>
      <c r="G840" t="s">
        <v>54</v>
      </c>
      <c r="H840">
        <v>664662</v>
      </c>
      <c r="I840">
        <v>0</v>
      </c>
      <c r="J840">
        <v>1</v>
      </c>
      <c r="K840">
        <v>0</v>
      </c>
      <c r="L840">
        <v>0</v>
      </c>
      <c r="M840" t="s">
        <v>36</v>
      </c>
      <c r="N840" t="s">
        <v>36</v>
      </c>
      <c r="O840" t="s">
        <v>36</v>
      </c>
      <c r="P840" t="s">
        <v>37</v>
      </c>
      <c r="Q840" t="s">
        <v>36</v>
      </c>
      <c r="R840" t="s">
        <v>36</v>
      </c>
      <c r="S840" t="s">
        <v>36</v>
      </c>
      <c r="T840" t="s">
        <v>36</v>
      </c>
      <c r="U840">
        <v>1</v>
      </c>
      <c r="V840">
        <v>1</v>
      </c>
      <c r="W840">
        <v>1</v>
      </c>
      <c r="X840">
        <v>0</v>
      </c>
      <c r="Y840">
        <v>0</v>
      </c>
      <c r="Z840">
        <v>1</v>
      </c>
      <c r="AA840">
        <v>0</v>
      </c>
      <c r="AB840">
        <v>1</v>
      </c>
      <c r="AC840">
        <v>0</v>
      </c>
      <c r="AD840">
        <v>0</v>
      </c>
      <c r="AE840">
        <v>0</v>
      </c>
      <c r="AF840">
        <v>0</v>
      </c>
      <c r="AG840">
        <v>0</v>
      </c>
    </row>
    <row r="841" spans="1:33" hidden="1" x14ac:dyDescent="0.2">
      <c r="A841">
        <v>840</v>
      </c>
      <c r="B841" t="s">
        <v>305</v>
      </c>
      <c r="C841" t="s">
        <v>108</v>
      </c>
      <c r="D841">
        <v>52</v>
      </c>
      <c r="E841" t="s">
        <v>34</v>
      </c>
      <c r="F841" t="s">
        <v>77</v>
      </c>
      <c r="G841" t="s">
        <v>36</v>
      </c>
      <c r="H841">
        <v>248709</v>
      </c>
      <c r="I841" t="s">
        <v>306</v>
      </c>
      <c r="J841" t="s">
        <v>307</v>
      </c>
      <c r="K841" t="s">
        <v>308</v>
      </c>
      <c r="L841" t="s">
        <v>36</v>
      </c>
      <c r="M841" t="s">
        <v>36</v>
      </c>
      <c r="N841" t="s">
        <v>36</v>
      </c>
      <c r="O841" t="s">
        <v>36</v>
      </c>
      <c r="P841" t="s">
        <v>37</v>
      </c>
      <c r="Q841" t="s">
        <v>36</v>
      </c>
      <c r="R841" t="s">
        <v>36</v>
      </c>
      <c r="S841" t="s">
        <v>36</v>
      </c>
      <c r="T841" t="s">
        <v>36</v>
      </c>
      <c r="U841" t="s">
        <v>36</v>
      </c>
      <c r="V841" t="s">
        <v>36</v>
      </c>
      <c r="W841" t="s">
        <v>36</v>
      </c>
      <c r="X841" t="s">
        <v>36</v>
      </c>
      <c r="Y841" t="s">
        <v>36</v>
      </c>
      <c r="Z841" t="s">
        <v>36</v>
      </c>
      <c r="AA841" t="s">
        <v>36</v>
      </c>
      <c r="AB841" t="s">
        <v>36</v>
      </c>
      <c r="AC841" t="s">
        <v>36</v>
      </c>
      <c r="AD841" t="s">
        <v>36</v>
      </c>
      <c r="AE841" t="s">
        <v>36</v>
      </c>
      <c r="AF841" t="s">
        <v>36</v>
      </c>
      <c r="AG841" t="s">
        <v>36</v>
      </c>
    </row>
    <row r="842" spans="1:33" hidden="1" x14ac:dyDescent="0.2">
      <c r="A842">
        <v>841</v>
      </c>
      <c r="B842" t="s">
        <v>309</v>
      </c>
      <c r="C842" t="s">
        <v>33</v>
      </c>
      <c r="D842">
        <v>36</v>
      </c>
      <c r="E842" t="s">
        <v>114</v>
      </c>
      <c r="F842" t="s">
        <v>35</v>
      </c>
      <c r="G842" t="s">
        <v>36</v>
      </c>
      <c r="H842">
        <v>67135</v>
      </c>
      <c r="I842" t="s">
        <v>36</v>
      </c>
      <c r="J842" t="s">
        <v>36</v>
      </c>
      <c r="K842" t="s">
        <v>36</v>
      </c>
      <c r="L842" t="s">
        <v>36</v>
      </c>
      <c r="M842" t="s">
        <v>36</v>
      </c>
      <c r="N842" t="s">
        <v>36</v>
      </c>
      <c r="O842" t="s">
        <v>36</v>
      </c>
      <c r="P842" t="s">
        <v>37</v>
      </c>
      <c r="Q842" t="s">
        <v>36</v>
      </c>
      <c r="R842" t="s">
        <v>36</v>
      </c>
      <c r="S842" t="s">
        <v>36</v>
      </c>
      <c r="T842" t="s">
        <v>36</v>
      </c>
      <c r="U842" t="s">
        <v>36</v>
      </c>
      <c r="V842" t="s">
        <v>36</v>
      </c>
      <c r="W842" t="s">
        <v>36</v>
      </c>
      <c r="X842" t="s">
        <v>36</v>
      </c>
      <c r="Y842" t="s">
        <v>36</v>
      </c>
      <c r="Z842" t="s">
        <v>36</v>
      </c>
      <c r="AA842" t="s">
        <v>36</v>
      </c>
      <c r="AB842" t="s">
        <v>36</v>
      </c>
      <c r="AC842" t="s">
        <v>36</v>
      </c>
      <c r="AD842" t="s">
        <v>36</v>
      </c>
      <c r="AE842" t="s">
        <v>36</v>
      </c>
      <c r="AF842" t="s">
        <v>36</v>
      </c>
      <c r="AG842" t="s">
        <v>36</v>
      </c>
    </row>
    <row r="843" spans="1:33" hidden="1" x14ac:dyDescent="0.2">
      <c r="A843">
        <v>842</v>
      </c>
      <c r="B843" t="s">
        <v>309</v>
      </c>
      <c r="C843" t="s">
        <v>33</v>
      </c>
      <c r="D843">
        <v>36</v>
      </c>
      <c r="E843" t="s">
        <v>114</v>
      </c>
      <c r="F843" t="s">
        <v>38</v>
      </c>
      <c r="G843" t="s">
        <v>39</v>
      </c>
      <c r="H843">
        <v>58026</v>
      </c>
      <c r="I843">
        <v>0</v>
      </c>
      <c r="J843">
        <v>0</v>
      </c>
      <c r="K843">
        <v>0</v>
      </c>
      <c r="L843">
        <v>1</v>
      </c>
      <c r="M843" t="s">
        <v>36</v>
      </c>
      <c r="N843" t="s">
        <v>36</v>
      </c>
      <c r="O843" t="s">
        <v>36</v>
      </c>
      <c r="P843" t="s">
        <v>37</v>
      </c>
      <c r="Q843" t="s">
        <v>36</v>
      </c>
      <c r="R843" t="s">
        <v>36</v>
      </c>
      <c r="S843" t="s">
        <v>36</v>
      </c>
      <c r="T843" t="s">
        <v>36</v>
      </c>
      <c r="U843" t="s">
        <v>36</v>
      </c>
      <c r="V843" t="s">
        <v>36</v>
      </c>
      <c r="W843" t="s">
        <v>36</v>
      </c>
      <c r="X843" t="s">
        <v>36</v>
      </c>
      <c r="Y843" t="s">
        <v>36</v>
      </c>
      <c r="Z843" t="s">
        <v>36</v>
      </c>
      <c r="AA843" t="s">
        <v>36</v>
      </c>
      <c r="AB843" t="s">
        <v>36</v>
      </c>
      <c r="AC843" t="s">
        <v>36</v>
      </c>
      <c r="AD843" t="s">
        <v>36</v>
      </c>
      <c r="AE843" t="s">
        <v>36</v>
      </c>
      <c r="AF843" t="s">
        <v>36</v>
      </c>
      <c r="AG843" t="s">
        <v>36</v>
      </c>
    </row>
    <row r="844" spans="1:33" hidden="1" x14ac:dyDescent="0.2">
      <c r="A844">
        <v>843</v>
      </c>
      <c r="B844" t="s">
        <v>309</v>
      </c>
      <c r="C844" t="s">
        <v>33</v>
      </c>
      <c r="D844">
        <v>36</v>
      </c>
      <c r="E844" t="s">
        <v>114</v>
      </c>
      <c r="F844" t="s">
        <v>38</v>
      </c>
      <c r="G844" t="s">
        <v>40</v>
      </c>
      <c r="H844">
        <v>80887</v>
      </c>
      <c r="I844">
        <v>0</v>
      </c>
      <c r="J844">
        <v>1</v>
      </c>
      <c r="K844">
        <v>1</v>
      </c>
      <c r="L844">
        <v>0</v>
      </c>
      <c r="M844" t="s">
        <v>36</v>
      </c>
      <c r="N844" t="s">
        <v>36</v>
      </c>
      <c r="O844" t="s">
        <v>36</v>
      </c>
      <c r="P844" t="s">
        <v>37</v>
      </c>
      <c r="Q844" t="s">
        <v>36</v>
      </c>
      <c r="R844" t="s">
        <v>36</v>
      </c>
      <c r="S844" t="s">
        <v>36</v>
      </c>
      <c r="T844" t="s">
        <v>36</v>
      </c>
      <c r="U844" t="s">
        <v>36</v>
      </c>
      <c r="V844" t="s">
        <v>36</v>
      </c>
      <c r="W844" t="s">
        <v>36</v>
      </c>
      <c r="X844" t="s">
        <v>36</v>
      </c>
      <c r="Y844" t="s">
        <v>36</v>
      </c>
      <c r="Z844" t="s">
        <v>36</v>
      </c>
      <c r="AA844" t="s">
        <v>36</v>
      </c>
      <c r="AB844" t="s">
        <v>36</v>
      </c>
      <c r="AC844" t="s">
        <v>36</v>
      </c>
      <c r="AD844" t="s">
        <v>36</v>
      </c>
      <c r="AE844" t="s">
        <v>36</v>
      </c>
      <c r="AF844" t="s">
        <v>36</v>
      </c>
      <c r="AG844" t="s">
        <v>36</v>
      </c>
    </row>
    <row r="845" spans="1:33" x14ac:dyDescent="0.2">
      <c r="A845">
        <v>844</v>
      </c>
      <c r="B845" t="s">
        <v>309</v>
      </c>
      <c r="C845" t="s">
        <v>33</v>
      </c>
      <c r="D845">
        <v>36</v>
      </c>
      <c r="E845" t="s">
        <v>114</v>
      </c>
      <c r="F845" t="s">
        <v>41</v>
      </c>
      <c r="G845" t="s">
        <v>67</v>
      </c>
      <c r="H845">
        <v>31697</v>
      </c>
      <c r="I845">
        <v>0</v>
      </c>
      <c r="J845">
        <v>0</v>
      </c>
      <c r="K845">
        <v>0</v>
      </c>
      <c r="L845">
        <v>1</v>
      </c>
      <c r="M845" t="s">
        <v>109</v>
      </c>
      <c r="N845" t="s">
        <v>68</v>
      </c>
      <c r="O845" t="s">
        <v>70</v>
      </c>
      <c r="P845" t="s">
        <v>37</v>
      </c>
      <c r="Q845" t="s">
        <v>59</v>
      </c>
      <c r="R845" t="s">
        <v>65</v>
      </c>
      <c r="S845" t="s">
        <v>47</v>
      </c>
      <c r="T845">
        <v>0</v>
      </c>
      <c r="U845">
        <v>1</v>
      </c>
      <c r="V845">
        <v>0</v>
      </c>
      <c r="W845">
        <v>1</v>
      </c>
      <c r="X845">
        <v>0</v>
      </c>
      <c r="Y845">
        <v>0</v>
      </c>
      <c r="Z845">
        <v>1</v>
      </c>
      <c r="AA845">
        <v>0</v>
      </c>
      <c r="AB845">
        <v>0</v>
      </c>
      <c r="AC845">
        <v>0</v>
      </c>
      <c r="AD845">
        <v>0</v>
      </c>
      <c r="AE845">
        <v>0</v>
      </c>
      <c r="AF845">
        <v>0</v>
      </c>
      <c r="AG845">
        <v>1</v>
      </c>
    </row>
    <row r="846" spans="1:33" x14ac:dyDescent="0.2">
      <c r="A846">
        <v>845</v>
      </c>
      <c r="B846" t="s">
        <v>309</v>
      </c>
      <c r="C846" t="s">
        <v>33</v>
      </c>
      <c r="D846">
        <v>36</v>
      </c>
      <c r="E846" t="s">
        <v>114</v>
      </c>
      <c r="F846" t="s">
        <v>41</v>
      </c>
      <c r="G846" t="s">
        <v>72</v>
      </c>
      <c r="H846">
        <v>143065</v>
      </c>
      <c r="I846">
        <v>0</v>
      </c>
      <c r="J846">
        <v>0</v>
      </c>
      <c r="K846">
        <v>0</v>
      </c>
      <c r="L846">
        <v>1</v>
      </c>
      <c r="M846" t="s">
        <v>74</v>
      </c>
      <c r="N846" t="s">
        <v>93</v>
      </c>
      <c r="O846" t="s">
        <v>104</v>
      </c>
      <c r="P846" t="s">
        <v>37</v>
      </c>
      <c r="Q846" t="s">
        <v>47</v>
      </c>
      <c r="R846" t="s">
        <v>59</v>
      </c>
      <c r="S846" t="s">
        <v>60</v>
      </c>
      <c r="T846">
        <v>1</v>
      </c>
      <c r="U846">
        <v>0</v>
      </c>
      <c r="V846">
        <v>0</v>
      </c>
      <c r="W846">
        <v>1</v>
      </c>
      <c r="X846">
        <v>0</v>
      </c>
      <c r="Y846">
        <v>0</v>
      </c>
      <c r="Z846">
        <v>1</v>
      </c>
      <c r="AA846">
        <v>0</v>
      </c>
      <c r="AB846">
        <v>0</v>
      </c>
      <c r="AC846">
        <v>0</v>
      </c>
      <c r="AD846">
        <v>0</v>
      </c>
      <c r="AE846">
        <v>0</v>
      </c>
      <c r="AF846">
        <v>0</v>
      </c>
      <c r="AG846">
        <v>1</v>
      </c>
    </row>
    <row r="847" spans="1:33" hidden="1" x14ac:dyDescent="0.2">
      <c r="A847">
        <v>846</v>
      </c>
      <c r="B847" t="s">
        <v>309</v>
      </c>
      <c r="C847" t="s">
        <v>33</v>
      </c>
      <c r="D847">
        <v>36</v>
      </c>
      <c r="E847" t="s">
        <v>114</v>
      </c>
      <c r="F847" t="s">
        <v>53</v>
      </c>
      <c r="G847" t="s">
        <v>71</v>
      </c>
      <c r="H847">
        <v>28788</v>
      </c>
      <c r="I847">
        <v>0</v>
      </c>
      <c r="J847">
        <v>0</v>
      </c>
      <c r="K847">
        <v>0</v>
      </c>
      <c r="L847">
        <v>1</v>
      </c>
      <c r="M847" t="s">
        <v>36</v>
      </c>
      <c r="N847" t="s">
        <v>36</v>
      </c>
      <c r="O847" t="s">
        <v>36</v>
      </c>
      <c r="P847" t="s">
        <v>37</v>
      </c>
      <c r="Q847" t="s">
        <v>36</v>
      </c>
      <c r="R847" t="s">
        <v>36</v>
      </c>
      <c r="S847" t="s">
        <v>36</v>
      </c>
      <c r="T847" t="s">
        <v>36</v>
      </c>
      <c r="U847">
        <v>0</v>
      </c>
      <c r="V847">
        <v>0</v>
      </c>
      <c r="W847">
        <v>1</v>
      </c>
      <c r="X847">
        <v>0</v>
      </c>
      <c r="Y847">
        <v>0</v>
      </c>
      <c r="Z847">
        <v>1</v>
      </c>
      <c r="AA847">
        <v>0</v>
      </c>
      <c r="AB847">
        <v>0</v>
      </c>
      <c r="AC847">
        <v>0</v>
      </c>
      <c r="AD847">
        <v>0</v>
      </c>
      <c r="AE847">
        <v>0</v>
      </c>
      <c r="AF847">
        <v>0</v>
      </c>
      <c r="AG847">
        <v>1</v>
      </c>
    </row>
    <row r="848" spans="1:33" x14ac:dyDescent="0.2">
      <c r="A848">
        <v>847</v>
      </c>
      <c r="B848" t="s">
        <v>309</v>
      </c>
      <c r="C848" t="s">
        <v>33</v>
      </c>
      <c r="D848">
        <v>36</v>
      </c>
      <c r="E848" t="s">
        <v>114</v>
      </c>
      <c r="F848" t="s">
        <v>41</v>
      </c>
      <c r="G848" t="s">
        <v>49</v>
      </c>
      <c r="H848">
        <v>131419</v>
      </c>
      <c r="I848">
        <v>0</v>
      </c>
      <c r="J848">
        <v>0</v>
      </c>
      <c r="K848">
        <v>0</v>
      </c>
      <c r="L848">
        <v>1</v>
      </c>
      <c r="M848" t="s">
        <v>83</v>
      </c>
      <c r="N848" t="s">
        <v>52</v>
      </c>
      <c r="O848" t="s">
        <v>50</v>
      </c>
      <c r="P848" t="s">
        <v>37</v>
      </c>
      <c r="Q848" t="s">
        <v>59</v>
      </c>
      <c r="R848" t="s">
        <v>46</v>
      </c>
      <c r="S848" t="s">
        <v>48</v>
      </c>
      <c r="T848">
        <v>0</v>
      </c>
      <c r="U848">
        <v>0</v>
      </c>
      <c r="V848">
        <v>1</v>
      </c>
      <c r="W848">
        <v>0</v>
      </c>
      <c r="X848">
        <v>1</v>
      </c>
      <c r="Y848">
        <v>0</v>
      </c>
      <c r="Z848">
        <v>1</v>
      </c>
      <c r="AA848">
        <v>0</v>
      </c>
      <c r="AB848">
        <v>0</v>
      </c>
      <c r="AC848">
        <v>0</v>
      </c>
      <c r="AD848">
        <v>0</v>
      </c>
      <c r="AE848">
        <v>0</v>
      </c>
      <c r="AF848">
        <v>0</v>
      </c>
      <c r="AG848">
        <v>1</v>
      </c>
    </row>
    <row r="849" spans="1:33" x14ac:dyDescent="0.2">
      <c r="A849">
        <v>848</v>
      </c>
      <c r="B849" t="s">
        <v>309</v>
      </c>
      <c r="C849" t="s">
        <v>33</v>
      </c>
      <c r="D849">
        <v>36</v>
      </c>
      <c r="E849" t="s">
        <v>114</v>
      </c>
      <c r="F849" t="s">
        <v>41</v>
      </c>
      <c r="G849" t="s">
        <v>42</v>
      </c>
      <c r="H849">
        <v>25102</v>
      </c>
      <c r="I849">
        <v>0</v>
      </c>
      <c r="J849">
        <v>0</v>
      </c>
      <c r="K849">
        <v>0</v>
      </c>
      <c r="L849">
        <v>1</v>
      </c>
      <c r="M849" t="s">
        <v>45</v>
      </c>
      <c r="N849" t="s">
        <v>43</v>
      </c>
      <c r="O849" t="s">
        <v>116</v>
      </c>
      <c r="P849" t="s">
        <v>37</v>
      </c>
      <c r="Q849" t="s">
        <v>48</v>
      </c>
      <c r="R849" t="s">
        <v>46</v>
      </c>
      <c r="S849" t="s">
        <v>60</v>
      </c>
      <c r="T849">
        <v>1</v>
      </c>
      <c r="U849">
        <v>0</v>
      </c>
      <c r="V849">
        <v>1</v>
      </c>
      <c r="W849">
        <v>0</v>
      </c>
      <c r="X849">
        <v>1</v>
      </c>
      <c r="Y849">
        <v>0</v>
      </c>
      <c r="Z849">
        <v>1</v>
      </c>
      <c r="AA849">
        <v>0</v>
      </c>
      <c r="AB849">
        <v>0</v>
      </c>
      <c r="AC849">
        <v>0</v>
      </c>
      <c r="AD849">
        <v>0</v>
      </c>
      <c r="AE849">
        <v>0</v>
      </c>
      <c r="AF849">
        <v>0</v>
      </c>
      <c r="AG849">
        <v>1</v>
      </c>
    </row>
    <row r="850" spans="1:33" hidden="1" x14ac:dyDescent="0.2">
      <c r="A850">
        <v>849</v>
      </c>
      <c r="B850" t="s">
        <v>309</v>
      </c>
      <c r="C850" t="s">
        <v>33</v>
      </c>
      <c r="D850">
        <v>36</v>
      </c>
      <c r="E850" t="s">
        <v>114</v>
      </c>
      <c r="F850" t="s">
        <v>53</v>
      </c>
      <c r="G850" t="s">
        <v>66</v>
      </c>
      <c r="H850">
        <v>103533</v>
      </c>
      <c r="I850">
        <v>1</v>
      </c>
      <c r="J850">
        <v>1</v>
      </c>
      <c r="K850">
        <v>0</v>
      </c>
      <c r="L850">
        <v>0</v>
      </c>
      <c r="M850" t="s">
        <v>36</v>
      </c>
      <c r="N850" t="s">
        <v>36</v>
      </c>
      <c r="O850" t="s">
        <v>36</v>
      </c>
      <c r="P850" t="s">
        <v>37</v>
      </c>
      <c r="Q850" t="s">
        <v>36</v>
      </c>
      <c r="R850" t="s">
        <v>36</v>
      </c>
      <c r="S850" t="s">
        <v>36</v>
      </c>
      <c r="T850" t="s">
        <v>36</v>
      </c>
      <c r="U850">
        <v>0</v>
      </c>
      <c r="V850">
        <v>1</v>
      </c>
      <c r="W850">
        <v>0</v>
      </c>
      <c r="X850">
        <v>1</v>
      </c>
      <c r="Y850">
        <v>0</v>
      </c>
      <c r="Z850">
        <v>1</v>
      </c>
      <c r="AA850">
        <v>0</v>
      </c>
      <c r="AB850">
        <v>0</v>
      </c>
      <c r="AC850">
        <v>0</v>
      </c>
      <c r="AD850">
        <v>0</v>
      </c>
      <c r="AE850">
        <v>0</v>
      </c>
      <c r="AF850">
        <v>0</v>
      </c>
      <c r="AG850">
        <v>1</v>
      </c>
    </row>
    <row r="851" spans="1:33" x14ac:dyDescent="0.2">
      <c r="A851">
        <v>850</v>
      </c>
      <c r="B851" t="s">
        <v>309</v>
      </c>
      <c r="C851" t="s">
        <v>33</v>
      </c>
      <c r="D851">
        <v>36</v>
      </c>
      <c r="E851" t="s">
        <v>114</v>
      </c>
      <c r="F851" t="s">
        <v>41</v>
      </c>
      <c r="G851" t="s">
        <v>55</v>
      </c>
      <c r="H851">
        <v>23159</v>
      </c>
      <c r="I851">
        <v>1</v>
      </c>
      <c r="J851">
        <v>1</v>
      </c>
      <c r="K851">
        <v>1</v>
      </c>
      <c r="L851">
        <v>0</v>
      </c>
      <c r="M851" t="s">
        <v>85</v>
      </c>
      <c r="N851" t="s">
        <v>94</v>
      </c>
      <c r="O851" t="s">
        <v>84</v>
      </c>
      <c r="P851" t="s">
        <v>37</v>
      </c>
      <c r="Q851" t="s">
        <v>65</v>
      </c>
      <c r="R851" t="s">
        <v>47</v>
      </c>
      <c r="S851" t="s">
        <v>46</v>
      </c>
      <c r="T851">
        <v>0</v>
      </c>
      <c r="U851">
        <v>1</v>
      </c>
      <c r="V851">
        <v>0</v>
      </c>
      <c r="W851">
        <v>1</v>
      </c>
      <c r="X851">
        <v>1</v>
      </c>
      <c r="Y851">
        <v>0</v>
      </c>
      <c r="Z851">
        <v>1</v>
      </c>
      <c r="AA851">
        <v>0</v>
      </c>
      <c r="AB851">
        <v>1</v>
      </c>
      <c r="AC851">
        <v>0</v>
      </c>
      <c r="AD851">
        <v>1</v>
      </c>
      <c r="AE851">
        <v>1</v>
      </c>
      <c r="AF851">
        <v>0</v>
      </c>
      <c r="AG851">
        <v>0</v>
      </c>
    </row>
    <row r="852" spans="1:33" hidden="1" x14ac:dyDescent="0.2">
      <c r="A852">
        <v>851</v>
      </c>
      <c r="B852" t="s">
        <v>309</v>
      </c>
      <c r="C852" t="s">
        <v>33</v>
      </c>
      <c r="D852">
        <v>36</v>
      </c>
      <c r="E852" t="s">
        <v>114</v>
      </c>
      <c r="F852" t="s">
        <v>53</v>
      </c>
      <c r="G852" t="s">
        <v>54</v>
      </c>
      <c r="H852">
        <v>23272</v>
      </c>
      <c r="I852">
        <v>0</v>
      </c>
      <c r="J852">
        <v>0</v>
      </c>
      <c r="K852">
        <v>1</v>
      </c>
      <c r="L852">
        <v>0</v>
      </c>
      <c r="M852" t="s">
        <v>36</v>
      </c>
      <c r="N852" t="s">
        <v>36</v>
      </c>
      <c r="O852" t="s">
        <v>36</v>
      </c>
      <c r="P852" t="s">
        <v>37</v>
      </c>
      <c r="Q852" t="s">
        <v>36</v>
      </c>
      <c r="R852" t="s">
        <v>36</v>
      </c>
      <c r="S852" t="s">
        <v>36</v>
      </c>
      <c r="T852" t="s">
        <v>36</v>
      </c>
      <c r="U852">
        <v>1</v>
      </c>
      <c r="V852">
        <v>0</v>
      </c>
      <c r="W852">
        <v>1</v>
      </c>
      <c r="X852">
        <v>1</v>
      </c>
      <c r="Y852">
        <v>0</v>
      </c>
      <c r="Z852">
        <v>1</v>
      </c>
      <c r="AA852">
        <v>0</v>
      </c>
      <c r="AB852">
        <v>1</v>
      </c>
      <c r="AC852">
        <v>0</v>
      </c>
      <c r="AD852">
        <v>1</v>
      </c>
      <c r="AE852">
        <v>1</v>
      </c>
      <c r="AF852">
        <v>0</v>
      </c>
      <c r="AG852">
        <v>0</v>
      </c>
    </row>
    <row r="853" spans="1:33" x14ac:dyDescent="0.2">
      <c r="A853">
        <v>852</v>
      </c>
      <c r="B853" t="s">
        <v>309</v>
      </c>
      <c r="C853" t="s">
        <v>33</v>
      </c>
      <c r="D853">
        <v>36</v>
      </c>
      <c r="E853" t="s">
        <v>114</v>
      </c>
      <c r="F853" t="s">
        <v>41</v>
      </c>
      <c r="G853" t="s">
        <v>61</v>
      </c>
      <c r="H853">
        <v>7856</v>
      </c>
      <c r="I853">
        <v>0</v>
      </c>
      <c r="J853">
        <v>0</v>
      </c>
      <c r="K853">
        <v>0</v>
      </c>
      <c r="L853">
        <v>1</v>
      </c>
      <c r="M853" t="s">
        <v>64</v>
      </c>
      <c r="N853" t="s">
        <v>125</v>
      </c>
      <c r="O853" t="s">
        <v>63</v>
      </c>
      <c r="P853" t="s">
        <v>37</v>
      </c>
      <c r="Q853" t="s">
        <v>48</v>
      </c>
      <c r="R853" t="s">
        <v>60</v>
      </c>
      <c r="S853" t="s">
        <v>46</v>
      </c>
      <c r="T853">
        <v>1</v>
      </c>
      <c r="U853">
        <v>0</v>
      </c>
      <c r="V853">
        <v>1</v>
      </c>
      <c r="W853">
        <v>0</v>
      </c>
      <c r="X853">
        <v>1</v>
      </c>
      <c r="Y853">
        <v>0</v>
      </c>
      <c r="Z853">
        <v>1</v>
      </c>
      <c r="AA853">
        <v>0</v>
      </c>
      <c r="AB853">
        <v>0</v>
      </c>
      <c r="AC853">
        <v>0</v>
      </c>
      <c r="AD853">
        <v>0</v>
      </c>
      <c r="AE853">
        <v>0</v>
      </c>
      <c r="AF853">
        <v>0</v>
      </c>
      <c r="AG853">
        <v>1</v>
      </c>
    </row>
    <row r="854" spans="1:33" hidden="1" x14ac:dyDescent="0.2">
      <c r="A854">
        <v>853</v>
      </c>
      <c r="B854" t="s">
        <v>309</v>
      </c>
      <c r="C854" t="s">
        <v>33</v>
      </c>
      <c r="D854">
        <v>36</v>
      </c>
      <c r="E854" t="s">
        <v>114</v>
      </c>
      <c r="F854" t="s">
        <v>53</v>
      </c>
      <c r="G854" t="s">
        <v>76</v>
      </c>
      <c r="H854">
        <v>23995</v>
      </c>
      <c r="I854">
        <v>1</v>
      </c>
      <c r="J854">
        <v>0</v>
      </c>
      <c r="K854">
        <v>0</v>
      </c>
      <c r="L854">
        <v>0</v>
      </c>
      <c r="M854" t="s">
        <v>36</v>
      </c>
      <c r="N854" t="s">
        <v>36</v>
      </c>
      <c r="O854" t="s">
        <v>36</v>
      </c>
      <c r="P854" t="s">
        <v>37</v>
      </c>
      <c r="Q854" t="s">
        <v>36</v>
      </c>
      <c r="R854" t="s">
        <v>36</v>
      </c>
      <c r="S854" t="s">
        <v>36</v>
      </c>
      <c r="T854" t="s">
        <v>36</v>
      </c>
      <c r="U854">
        <v>0</v>
      </c>
      <c r="V854">
        <v>1</v>
      </c>
      <c r="W854">
        <v>0</v>
      </c>
      <c r="X854">
        <v>1</v>
      </c>
      <c r="Y854">
        <v>0</v>
      </c>
      <c r="Z854">
        <v>1</v>
      </c>
      <c r="AA854">
        <v>0</v>
      </c>
      <c r="AB854">
        <v>0</v>
      </c>
      <c r="AC854">
        <v>0</v>
      </c>
      <c r="AD854">
        <v>0</v>
      </c>
      <c r="AE854">
        <v>0</v>
      </c>
      <c r="AF854">
        <v>0</v>
      </c>
      <c r="AG854">
        <v>1</v>
      </c>
    </row>
    <row r="855" spans="1:33" hidden="1" x14ac:dyDescent="0.2">
      <c r="A855">
        <v>854</v>
      </c>
      <c r="B855" t="s">
        <v>309</v>
      </c>
      <c r="C855" t="s">
        <v>33</v>
      </c>
      <c r="D855">
        <v>36</v>
      </c>
      <c r="E855" t="s">
        <v>114</v>
      </c>
      <c r="F855" t="s">
        <v>77</v>
      </c>
      <c r="G855" t="s">
        <v>36</v>
      </c>
      <c r="H855">
        <v>46286</v>
      </c>
      <c r="I855" t="s">
        <v>310</v>
      </c>
      <c r="J855" t="s">
        <v>311</v>
      </c>
      <c r="K855" t="s">
        <v>312</v>
      </c>
      <c r="L855" t="s">
        <v>36</v>
      </c>
      <c r="M855" t="s">
        <v>36</v>
      </c>
      <c r="N855" t="s">
        <v>36</v>
      </c>
      <c r="O855" t="s">
        <v>36</v>
      </c>
      <c r="P855" t="s">
        <v>37</v>
      </c>
      <c r="Q855" t="s">
        <v>36</v>
      </c>
      <c r="R855" t="s">
        <v>36</v>
      </c>
      <c r="S855" t="s">
        <v>36</v>
      </c>
      <c r="T855" t="s">
        <v>36</v>
      </c>
      <c r="U855" t="s">
        <v>36</v>
      </c>
      <c r="V855" t="s">
        <v>36</v>
      </c>
      <c r="W855" t="s">
        <v>36</v>
      </c>
      <c r="X855" t="s">
        <v>36</v>
      </c>
      <c r="Y855" t="s">
        <v>36</v>
      </c>
      <c r="Z855" t="s">
        <v>36</v>
      </c>
      <c r="AA855" t="s">
        <v>36</v>
      </c>
      <c r="AB855" t="s">
        <v>36</v>
      </c>
      <c r="AC855" t="s">
        <v>36</v>
      </c>
      <c r="AD855" t="s">
        <v>36</v>
      </c>
      <c r="AE855" t="s">
        <v>36</v>
      </c>
      <c r="AF855" t="s">
        <v>36</v>
      </c>
      <c r="AG855" t="s">
        <v>36</v>
      </c>
    </row>
    <row r="856" spans="1:33" hidden="1" x14ac:dyDescent="0.2">
      <c r="A856">
        <v>855</v>
      </c>
      <c r="B856" t="s">
        <v>313</v>
      </c>
      <c r="C856" t="s">
        <v>108</v>
      </c>
      <c r="D856">
        <v>29</v>
      </c>
      <c r="E856" t="s">
        <v>34</v>
      </c>
      <c r="F856" t="s">
        <v>35</v>
      </c>
      <c r="G856" t="s">
        <v>36</v>
      </c>
      <c r="H856">
        <v>77737</v>
      </c>
      <c r="I856" t="s">
        <v>36</v>
      </c>
      <c r="J856" t="s">
        <v>36</v>
      </c>
      <c r="K856" t="s">
        <v>36</v>
      </c>
      <c r="L856" t="s">
        <v>36</v>
      </c>
      <c r="M856" t="s">
        <v>36</v>
      </c>
      <c r="N856" t="s">
        <v>36</v>
      </c>
      <c r="O856" t="s">
        <v>36</v>
      </c>
      <c r="P856" t="s">
        <v>37</v>
      </c>
      <c r="Q856" t="s">
        <v>36</v>
      </c>
      <c r="R856" t="s">
        <v>36</v>
      </c>
      <c r="S856" t="s">
        <v>36</v>
      </c>
      <c r="T856" t="s">
        <v>36</v>
      </c>
      <c r="U856" t="s">
        <v>36</v>
      </c>
      <c r="V856" t="s">
        <v>36</v>
      </c>
      <c r="W856" t="s">
        <v>36</v>
      </c>
      <c r="X856" t="s">
        <v>36</v>
      </c>
      <c r="Y856" t="s">
        <v>36</v>
      </c>
      <c r="Z856" t="s">
        <v>36</v>
      </c>
      <c r="AA856" t="s">
        <v>36</v>
      </c>
      <c r="AB856" t="s">
        <v>36</v>
      </c>
      <c r="AC856" t="s">
        <v>36</v>
      </c>
      <c r="AD856" t="s">
        <v>36</v>
      </c>
      <c r="AE856" t="s">
        <v>36</v>
      </c>
      <c r="AF856" t="s">
        <v>36</v>
      </c>
      <c r="AG856" t="s">
        <v>36</v>
      </c>
    </row>
    <row r="857" spans="1:33" hidden="1" x14ac:dyDescent="0.2">
      <c r="A857">
        <v>856</v>
      </c>
      <c r="B857" t="s">
        <v>313</v>
      </c>
      <c r="C857" t="s">
        <v>108</v>
      </c>
      <c r="D857">
        <v>29</v>
      </c>
      <c r="E857" t="s">
        <v>34</v>
      </c>
      <c r="F857" t="s">
        <v>38</v>
      </c>
      <c r="G857" t="s">
        <v>39</v>
      </c>
      <c r="H857">
        <v>138212</v>
      </c>
      <c r="I857">
        <v>0</v>
      </c>
      <c r="J857">
        <v>0</v>
      </c>
      <c r="K857">
        <v>0</v>
      </c>
      <c r="L857">
        <v>1</v>
      </c>
      <c r="M857" t="s">
        <v>36</v>
      </c>
      <c r="N857" t="s">
        <v>36</v>
      </c>
      <c r="O857" t="s">
        <v>36</v>
      </c>
      <c r="P857" t="s">
        <v>37</v>
      </c>
      <c r="Q857" t="s">
        <v>36</v>
      </c>
      <c r="R857" t="s">
        <v>36</v>
      </c>
      <c r="S857" t="s">
        <v>36</v>
      </c>
      <c r="T857" t="s">
        <v>36</v>
      </c>
      <c r="U857" t="s">
        <v>36</v>
      </c>
      <c r="V857" t="s">
        <v>36</v>
      </c>
      <c r="W857" t="s">
        <v>36</v>
      </c>
      <c r="X857" t="s">
        <v>36</v>
      </c>
      <c r="Y857" t="s">
        <v>36</v>
      </c>
      <c r="Z857" t="s">
        <v>36</v>
      </c>
      <c r="AA857" t="s">
        <v>36</v>
      </c>
      <c r="AB857" t="s">
        <v>36</v>
      </c>
      <c r="AC857" t="s">
        <v>36</v>
      </c>
      <c r="AD857" t="s">
        <v>36</v>
      </c>
      <c r="AE857" t="s">
        <v>36</v>
      </c>
      <c r="AF857" t="s">
        <v>36</v>
      </c>
      <c r="AG857" t="s">
        <v>36</v>
      </c>
    </row>
    <row r="858" spans="1:33" hidden="1" x14ac:dyDescent="0.2">
      <c r="A858">
        <v>857</v>
      </c>
      <c r="B858" t="s">
        <v>313</v>
      </c>
      <c r="C858" t="s">
        <v>108</v>
      </c>
      <c r="D858">
        <v>29</v>
      </c>
      <c r="E858" t="s">
        <v>34</v>
      </c>
      <c r="F858" t="s">
        <v>38</v>
      </c>
      <c r="G858" t="s">
        <v>40</v>
      </c>
      <c r="H858">
        <v>46548</v>
      </c>
      <c r="I858">
        <v>0</v>
      </c>
      <c r="J858">
        <v>0</v>
      </c>
      <c r="K858">
        <v>1</v>
      </c>
      <c r="L858">
        <v>0</v>
      </c>
      <c r="M858" t="s">
        <v>36</v>
      </c>
      <c r="N858" t="s">
        <v>36</v>
      </c>
      <c r="O858" t="s">
        <v>36</v>
      </c>
      <c r="P858" t="s">
        <v>37</v>
      </c>
      <c r="Q858" t="s">
        <v>36</v>
      </c>
      <c r="R858" t="s">
        <v>36</v>
      </c>
      <c r="S858" t="s">
        <v>36</v>
      </c>
      <c r="T858" t="s">
        <v>36</v>
      </c>
      <c r="U858" t="s">
        <v>36</v>
      </c>
      <c r="V858" t="s">
        <v>36</v>
      </c>
      <c r="W858" t="s">
        <v>36</v>
      </c>
      <c r="X858" t="s">
        <v>36</v>
      </c>
      <c r="Y858" t="s">
        <v>36</v>
      </c>
      <c r="Z858" t="s">
        <v>36</v>
      </c>
      <c r="AA858" t="s">
        <v>36</v>
      </c>
      <c r="AB858" t="s">
        <v>36</v>
      </c>
      <c r="AC858" t="s">
        <v>36</v>
      </c>
      <c r="AD858" t="s">
        <v>36</v>
      </c>
      <c r="AE858" t="s">
        <v>36</v>
      </c>
      <c r="AF858" t="s">
        <v>36</v>
      </c>
      <c r="AG858" t="s">
        <v>36</v>
      </c>
    </row>
    <row r="859" spans="1:33" x14ac:dyDescent="0.2">
      <c r="A859">
        <v>858</v>
      </c>
      <c r="B859" t="s">
        <v>313</v>
      </c>
      <c r="C859" t="s">
        <v>108</v>
      </c>
      <c r="D859">
        <v>29</v>
      </c>
      <c r="E859" t="s">
        <v>34</v>
      </c>
      <c r="F859" t="s">
        <v>41</v>
      </c>
      <c r="G859" t="s">
        <v>72</v>
      </c>
      <c r="H859">
        <v>25300</v>
      </c>
      <c r="I859">
        <v>0</v>
      </c>
      <c r="J859">
        <v>1</v>
      </c>
      <c r="K859">
        <v>0</v>
      </c>
      <c r="L859">
        <v>0</v>
      </c>
      <c r="M859" t="s">
        <v>73</v>
      </c>
      <c r="N859" t="s">
        <v>75</v>
      </c>
      <c r="O859" t="s">
        <v>74</v>
      </c>
      <c r="P859" t="s">
        <v>37</v>
      </c>
      <c r="Q859" t="s">
        <v>48</v>
      </c>
      <c r="R859" t="s">
        <v>46</v>
      </c>
      <c r="S859" t="s">
        <v>47</v>
      </c>
      <c r="T859">
        <v>0</v>
      </c>
      <c r="U859">
        <v>0</v>
      </c>
      <c r="V859">
        <v>1</v>
      </c>
      <c r="W859">
        <v>1</v>
      </c>
      <c r="X859">
        <v>1</v>
      </c>
      <c r="Y859">
        <v>0</v>
      </c>
      <c r="Z859">
        <v>1</v>
      </c>
      <c r="AA859">
        <v>0</v>
      </c>
      <c r="AB859">
        <v>0</v>
      </c>
      <c r="AC859">
        <v>0</v>
      </c>
      <c r="AD859">
        <v>0</v>
      </c>
      <c r="AE859">
        <v>1</v>
      </c>
      <c r="AF859">
        <v>0</v>
      </c>
      <c r="AG859">
        <v>0</v>
      </c>
    </row>
    <row r="860" spans="1:33" hidden="1" x14ac:dyDescent="0.2">
      <c r="A860">
        <v>859</v>
      </c>
      <c r="B860" t="s">
        <v>313</v>
      </c>
      <c r="C860" t="s">
        <v>108</v>
      </c>
      <c r="D860">
        <v>29</v>
      </c>
      <c r="E860" t="s">
        <v>34</v>
      </c>
      <c r="F860" t="s">
        <v>53</v>
      </c>
      <c r="G860" t="s">
        <v>54</v>
      </c>
      <c r="H860">
        <v>1573562</v>
      </c>
      <c r="I860">
        <v>0</v>
      </c>
      <c r="J860">
        <v>0</v>
      </c>
      <c r="K860">
        <v>1</v>
      </c>
      <c r="L860">
        <v>0</v>
      </c>
      <c r="M860" t="s">
        <v>36</v>
      </c>
      <c r="N860" t="s">
        <v>36</v>
      </c>
      <c r="O860" t="s">
        <v>36</v>
      </c>
      <c r="P860" t="s">
        <v>37</v>
      </c>
      <c r="Q860" t="s">
        <v>36</v>
      </c>
      <c r="R860" t="s">
        <v>36</v>
      </c>
      <c r="S860" t="s">
        <v>36</v>
      </c>
      <c r="T860" t="s">
        <v>36</v>
      </c>
      <c r="U860">
        <v>0</v>
      </c>
      <c r="V860">
        <v>1</v>
      </c>
      <c r="W860">
        <v>1</v>
      </c>
      <c r="X860">
        <v>1</v>
      </c>
      <c r="Y860">
        <v>0</v>
      </c>
      <c r="Z860">
        <v>1</v>
      </c>
      <c r="AA860">
        <v>0</v>
      </c>
      <c r="AB860">
        <v>0</v>
      </c>
      <c r="AC860">
        <v>0</v>
      </c>
      <c r="AD860">
        <v>0</v>
      </c>
      <c r="AE860">
        <v>1</v>
      </c>
      <c r="AF860">
        <v>0</v>
      </c>
      <c r="AG860">
        <v>0</v>
      </c>
    </row>
    <row r="861" spans="1:33" x14ac:dyDescent="0.2">
      <c r="A861">
        <v>860</v>
      </c>
      <c r="B861" t="s">
        <v>313</v>
      </c>
      <c r="C861" t="s">
        <v>108</v>
      </c>
      <c r="D861">
        <v>29</v>
      </c>
      <c r="E861" t="s">
        <v>34</v>
      </c>
      <c r="F861" t="s">
        <v>41</v>
      </c>
      <c r="G861" t="s">
        <v>49</v>
      </c>
      <c r="H861">
        <v>78163</v>
      </c>
      <c r="I861">
        <v>1</v>
      </c>
      <c r="J861">
        <v>0</v>
      </c>
      <c r="K861">
        <v>0</v>
      </c>
      <c r="L861">
        <v>0</v>
      </c>
      <c r="M861" t="s">
        <v>96</v>
      </c>
      <c r="N861" t="s">
        <v>50</v>
      </c>
      <c r="O861" t="s">
        <v>95</v>
      </c>
      <c r="P861" t="s">
        <v>37</v>
      </c>
      <c r="Q861" t="s">
        <v>65</v>
      </c>
      <c r="R861" t="s">
        <v>48</v>
      </c>
      <c r="S861" t="s">
        <v>60</v>
      </c>
      <c r="T861">
        <v>1</v>
      </c>
      <c r="U861">
        <v>1</v>
      </c>
      <c r="V861">
        <v>1</v>
      </c>
      <c r="W861">
        <v>0</v>
      </c>
      <c r="X861">
        <v>0</v>
      </c>
      <c r="Y861">
        <v>0</v>
      </c>
      <c r="Z861">
        <v>1</v>
      </c>
      <c r="AA861">
        <v>0</v>
      </c>
      <c r="AB861">
        <v>1</v>
      </c>
      <c r="AC861">
        <v>0</v>
      </c>
      <c r="AD861">
        <v>0</v>
      </c>
      <c r="AE861">
        <v>0</v>
      </c>
      <c r="AF861">
        <v>0</v>
      </c>
      <c r="AG861">
        <v>0</v>
      </c>
    </row>
    <row r="862" spans="1:33" x14ac:dyDescent="0.2">
      <c r="A862">
        <v>861</v>
      </c>
      <c r="B862" t="s">
        <v>313</v>
      </c>
      <c r="C862" t="s">
        <v>108</v>
      </c>
      <c r="D862">
        <v>29</v>
      </c>
      <c r="E862" t="s">
        <v>34</v>
      </c>
      <c r="F862" t="s">
        <v>41</v>
      </c>
      <c r="G862" t="s">
        <v>61</v>
      </c>
      <c r="H862">
        <v>53036</v>
      </c>
      <c r="I862">
        <v>0</v>
      </c>
      <c r="J862">
        <v>0</v>
      </c>
      <c r="K862">
        <v>0</v>
      </c>
      <c r="L862">
        <v>1</v>
      </c>
      <c r="M862" t="s">
        <v>64</v>
      </c>
      <c r="N862" t="s">
        <v>63</v>
      </c>
      <c r="O862" t="s">
        <v>97</v>
      </c>
      <c r="P862" t="s">
        <v>37</v>
      </c>
      <c r="Q862" t="s">
        <v>48</v>
      </c>
      <c r="R862" t="s">
        <v>46</v>
      </c>
      <c r="S862" t="s">
        <v>59</v>
      </c>
      <c r="T862">
        <v>0</v>
      </c>
      <c r="U862">
        <v>0</v>
      </c>
      <c r="V862">
        <v>1</v>
      </c>
      <c r="W862">
        <v>0</v>
      </c>
      <c r="X862">
        <v>1</v>
      </c>
      <c r="Y862">
        <v>0</v>
      </c>
      <c r="Z862">
        <v>1</v>
      </c>
      <c r="AA862">
        <v>0</v>
      </c>
      <c r="AB862">
        <v>0</v>
      </c>
      <c r="AC862">
        <v>0</v>
      </c>
      <c r="AD862">
        <v>0</v>
      </c>
      <c r="AE862">
        <v>0</v>
      </c>
      <c r="AF862">
        <v>0</v>
      </c>
      <c r="AG862">
        <v>1</v>
      </c>
    </row>
    <row r="863" spans="1:33" hidden="1" x14ac:dyDescent="0.2">
      <c r="A863">
        <v>862</v>
      </c>
      <c r="B863" t="s">
        <v>313</v>
      </c>
      <c r="C863" t="s">
        <v>108</v>
      </c>
      <c r="D863">
        <v>29</v>
      </c>
      <c r="E863" t="s">
        <v>34</v>
      </c>
      <c r="F863" t="s">
        <v>53</v>
      </c>
      <c r="G863" t="s">
        <v>76</v>
      </c>
      <c r="H863">
        <v>46044</v>
      </c>
      <c r="I863">
        <v>1</v>
      </c>
      <c r="J863">
        <v>0</v>
      </c>
      <c r="K863">
        <v>0</v>
      </c>
      <c r="L863">
        <v>0</v>
      </c>
      <c r="M863" t="s">
        <v>36</v>
      </c>
      <c r="N863" t="s">
        <v>36</v>
      </c>
      <c r="O863" t="s">
        <v>36</v>
      </c>
      <c r="P863" t="s">
        <v>37</v>
      </c>
      <c r="Q863" t="s">
        <v>36</v>
      </c>
      <c r="R863" t="s">
        <v>36</v>
      </c>
      <c r="S863" t="s">
        <v>36</v>
      </c>
      <c r="T863" t="s">
        <v>36</v>
      </c>
      <c r="U863">
        <v>0</v>
      </c>
      <c r="V863">
        <v>1</v>
      </c>
      <c r="W863">
        <v>0</v>
      </c>
      <c r="X863">
        <v>1</v>
      </c>
      <c r="Y863">
        <v>0</v>
      </c>
      <c r="Z863">
        <v>1</v>
      </c>
      <c r="AA863">
        <v>0</v>
      </c>
      <c r="AB863">
        <v>0</v>
      </c>
      <c r="AC863">
        <v>0</v>
      </c>
      <c r="AD863">
        <v>0</v>
      </c>
      <c r="AE863">
        <v>0</v>
      </c>
      <c r="AF863">
        <v>0</v>
      </c>
      <c r="AG863">
        <v>1</v>
      </c>
    </row>
    <row r="864" spans="1:33" x14ac:dyDescent="0.2">
      <c r="A864">
        <v>863</v>
      </c>
      <c r="B864" t="s">
        <v>313</v>
      </c>
      <c r="C864" t="s">
        <v>108</v>
      </c>
      <c r="D864">
        <v>29</v>
      </c>
      <c r="E864" t="s">
        <v>34</v>
      </c>
      <c r="F864" t="s">
        <v>41</v>
      </c>
      <c r="G864" t="s">
        <v>67</v>
      </c>
      <c r="H864">
        <v>39917</v>
      </c>
      <c r="I864">
        <v>0</v>
      </c>
      <c r="J864">
        <v>0</v>
      </c>
      <c r="K864">
        <v>1</v>
      </c>
      <c r="L864">
        <v>0</v>
      </c>
      <c r="M864" t="s">
        <v>69</v>
      </c>
      <c r="N864" t="s">
        <v>86</v>
      </c>
      <c r="O864" t="s">
        <v>70</v>
      </c>
      <c r="P864" t="s">
        <v>37</v>
      </c>
      <c r="Q864" t="s">
        <v>48</v>
      </c>
      <c r="R864" t="s">
        <v>46</v>
      </c>
      <c r="S864" t="s">
        <v>47</v>
      </c>
      <c r="T864">
        <v>0</v>
      </c>
      <c r="U864">
        <v>0</v>
      </c>
      <c r="V864">
        <v>1</v>
      </c>
      <c r="W864">
        <v>1</v>
      </c>
      <c r="X864">
        <v>1</v>
      </c>
      <c r="Y864">
        <v>0</v>
      </c>
      <c r="Z864">
        <v>1</v>
      </c>
      <c r="AA864">
        <v>0</v>
      </c>
      <c r="AB864">
        <v>0</v>
      </c>
      <c r="AC864">
        <v>0</v>
      </c>
      <c r="AD864">
        <v>1</v>
      </c>
      <c r="AE864">
        <v>0</v>
      </c>
      <c r="AF864">
        <v>0</v>
      </c>
      <c r="AG864">
        <v>0</v>
      </c>
    </row>
    <row r="865" spans="1:33" hidden="1" x14ac:dyDescent="0.2">
      <c r="A865">
        <v>864</v>
      </c>
      <c r="B865" t="s">
        <v>313</v>
      </c>
      <c r="C865" t="s">
        <v>108</v>
      </c>
      <c r="D865">
        <v>29</v>
      </c>
      <c r="E865" t="s">
        <v>34</v>
      </c>
      <c r="F865" t="s">
        <v>53</v>
      </c>
      <c r="G865" t="s">
        <v>71</v>
      </c>
      <c r="H865">
        <v>74134</v>
      </c>
      <c r="I865">
        <v>0</v>
      </c>
      <c r="J865">
        <v>0</v>
      </c>
      <c r="K865">
        <v>1</v>
      </c>
      <c r="L865">
        <v>0</v>
      </c>
      <c r="M865" t="s">
        <v>36</v>
      </c>
      <c r="N865" t="s">
        <v>36</v>
      </c>
      <c r="O865" t="s">
        <v>36</v>
      </c>
      <c r="P865" t="s">
        <v>37</v>
      </c>
      <c r="Q865" t="s">
        <v>36</v>
      </c>
      <c r="R865" t="s">
        <v>36</v>
      </c>
      <c r="S865" t="s">
        <v>36</v>
      </c>
      <c r="T865" t="s">
        <v>36</v>
      </c>
      <c r="U865">
        <v>0</v>
      </c>
      <c r="V865">
        <v>1</v>
      </c>
      <c r="W865">
        <v>1</v>
      </c>
      <c r="X865">
        <v>1</v>
      </c>
      <c r="Y865">
        <v>0</v>
      </c>
      <c r="Z865">
        <v>1</v>
      </c>
      <c r="AA865">
        <v>0</v>
      </c>
      <c r="AB865">
        <v>0</v>
      </c>
      <c r="AC865">
        <v>0</v>
      </c>
      <c r="AD865">
        <v>1</v>
      </c>
      <c r="AE865">
        <v>0</v>
      </c>
      <c r="AF865">
        <v>0</v>
      </c>
      <c r="AG865">
        <v>0</v>
      </c>
    </row>
    <row r="866" spans="1:33" x14ac:dyDescent="0.2">
      <c r="A866">
        <v>865</v>
      </c>
      <c r="B866" t="s">
        <v>313</v>
      </c>
      <c r="C866" t="s">
        <v>108</v>
      </c>
      <c r="D866">
        <v>29</v>
      </c>
      <c r="E866" t="s">
        <v>34</v>
      </c>
      <c r="F866" t="s">
        <v>41</v>
      </c>
      <c r="G866" t="s">
        <v>42</v>
      </c>
      <c r="H866">
        <v>18596</v>
      </c>
      <c r="I866">
        <v>0</v>
      </c>
      <c r="J866">
        <v>1</v>
      </c>
      <c r="K866">
        <v>1</v>
      </c>
      <c r="L866">
        <v>0</v>
      </c>
      <c r="M866" t="s">
        <v>43</v>
      </c>
      <c r="N866" t="s">
        <v>82</v>
      </c>
      <c r="O866" t="s">
        <v>44</v>
      </c>
      <c r="P866" t="s">
        <v>37</v>
      </c>
      <c r="Q866" t="s">
        <v>46</v>
      </c>
      <c r="R866" t="s">
        <v>65</v>
      </c>
      <c r="S866" t="s">
        <v>47</v>
      </c>
      <c r="T866">
        <v>0</v>
      </c>
      <c r="U866">
        <v>1</v>
      </c>
      <c r="V866">
        <v>0</v>
      </c>
      <c r="W866">
        <v>1</v>
      </c>
      <c r="X866">
        <v>1</v>
      </c>
      <c r="Y866">
        <v>0</v>
      </c>
      <c r="Z866">
        <v>1</v>
      </c>
      <c r="AA866">
        <v>0</v>
      </c>
      <c r="AB866">
        <v>1</v>
      </c>
      <c r="AC866">
        <v>0</v>
      </c>
      <c r="AD866">
        <v>1</v>
      </c>
      <c r="AE866">
        <v>0</v>
      </c>
      <c r="AF866">
        <v>0</v>
      </c>
      <c r="AG866">
        <v>0</v>
      </c>
    </row>
    <row r="867" spans="1:33" x14ac:dyDescent="0.2">
      <c r="A867">
        <v>866</v>
      </c>
      <c r="B867" t="s">
        <v>313</v>
      </c>
      <c r="C867" t="s">
        <v>108</v>
      </c>
      <c r="D867">
        <v>29</v>
      </c>
      <c r="E867" t="s">
        <v>34</v>
      </c>
      <c r="F867" t="s">
        <v>41</v>
      </c>
      <c r="G867" t="s">
        <v>55</v>
      </c>
      <c r="H867">
        <v>7236</v>
      </c>
      <c r="I867">
        <v>0</v>
      </c>
      <c r="J867">
        <v>0</v>
      </c>
      <c r="K867">
        <v>1</v>
      </c>
      <c r="L867">
        <v>0</v>
      </c>
      <c r="M867" t="s">
        <v>58</v>
      </c>
      <c r="N867" t="s">
        <v>84</v>
      </c>
      <c r="O867" t="s">
        <v>94</v>
      </c>
      <c r="P867" t="s">
        <v>37</v>
      </c>
      <c r="Q867" t="s">
        <v>60</v>
      </c>
      <c r="R867" t="s">
        <v>46</v>
      </c>
      <c r="S867" t="s">
        <v>47</v>
      </c>
      <c r="T867">
        <v>1</v>
      </c>
      <c r="U867">
        <v>0</v>
      </c>
      <c r="V867">
        <v>0</v>
      </c>
      <c r="W867">
        <v>1</v>
      </c>
      <c r="X867">
        <v>1</v>
      </c>
      <c r="Y867">
        <v>0</v>
      </c>
      <c r="Z867">
        <v>1</v>
      </c>
      <c r="AA867">
        <v>0</v>
      </c>
      <c r="AB867">
        <v>0</v>
      </c>
      <c r="AC867">
        <v>0</v>
      </c>
      <c r="AD867">
        <v>1</v>
      </c>
      <c r="AE867">
        <v>0</v>
      </c>
      <c r="AF867">
        <v>0</v>
      </c>
      <c r="AG867">
        <v>0</v>
      </c>
    </row>
    <row r="868" spans="1:33" hidden="1" x14ac:dyDescent="0.2">
      <c r="A868">
        <v>867</v>
      </c>
      <c r="B868" t="s">
        <v>313</v>
      </c>
      <c r="C868" t="s">
        <v>108</v>
      </c>
      <c r="D868">
        <v>29</v>
      </c>
      <c r="E868" t="s">
        <v>34</v>
      </c>
      <c r="F868" t="s">
        <v>53</v>
      </c>
      <c r="G868" t="s">
        <v>66</v>
      </c>
      <c r="H868">
        <v>15852</v>
      </c>
      <c r="I868">
        <v>1</v>
      </c>
      <c r="J868">
        <v>1</v>
      </c>
      <c r="K868">
        <v>0</v>
      </c>
      <c r="L868">
        <v>0</v>
      </c>
      <c r="M868" t="s">
        <v>36</v>
      </c>
      <c r="N868" t="s">
        <v>36</v>
      </c>
      <c r="O868" t="s">
        <v>36</v>
      </c>
      <c r="P868" t="s">
        <v>37</v>
      </c>
      <c r="Q868" t="s">
        <v>36</v>
      </c>
      <c r="R868" t="s">
        <v>36</v>
      </c>
      <c r="S868" t="s">
        <v>36</v>
      </c>
      <c r="T868" t="s">
        <v>36</v>
      </c>
      <c r="U868">
        <v>0</v>
      </c>
      <c r="V868">
        <v>0</v>
      </c>
      <c r="W868">
        <v>1</v>
      </c>
      <c r="X868">
        <v>1</v>
      </c>
      <c r="Y868">
        <v>0</v>
      </c>
      <c r="Z868">
        <v>1</v>
      </c>
      <c r="AA868">
        <v>0</v>
      </c>
      <c r="AB868">
        <v>0</v>
      </c>
      <c r="AC868">
        <v>0</v>
      </c>
      <c r="AD868">
        <v>1</v>
      </c>
      <c r="AE868">
        <v>0</v>
      </c>
      <c r="AF868">
        <v>0</v>
      </c>
      <c r="AG868">
        <v>0</v>
      </c>
    </row>
    <row r="869" spans="1:33" hidden="1" x14ac:dyDescent="0.2">
      <c r="A869">
        <v>868</v>
      </c>
      <c r="B869" t="s">
        <v>313</v>
      </c>
      <c r="C869" t="s">
        <v>108</v>
      </c>
      <c r="D869">
        <v>29</v>
      </c>
      <c r="E869" t="s">
        <v>34</v>
      </c>
      <c r="F869" t="s">
        <v>77</v>
      </c>
      <c r="G869" t="s">
        <v>36</v>
      </c>
      <c r="H869">
        <v>124244</v>
      </c>
      <c r="I869" t="s">
        <v>314</v>
      </c>
      <c r="J869" t="s">
        <v>315</v>
      </c>
      <c r="K869" t="s">
        <v>316</v>
      </c>
      <c r="L869" t="s">
        <v>36</v>
      </c>
      <c r="M869" t="s">
        <v>36</v>
      </c>
      <c r="N869" t="s">
        <v>36</v>
      </c>
      <c r="O869" t="s">
        <v>36</v>
      </c>
      <c r="P869" t="s">
        <v>37</v>
      </c>
      <c r="Q869" t="s">
        <v>36</v>
      </c>
      <c r="R869" t="s">
        <v>36</v>
      </c>
      <c r="S869" t="s">
        <v>36</v>
      </c>
      <c r="T869" t="s">
        <v>36</v>
      </c>
      <c r="U869" t="s">
        <v>36</v>
      </c>
      <c r="V869" t="s">
        <v>36</v>
      </c>
      <c r="W869" t="s">
        <v>36</v>
      </c>
      <c r="X869" t="s">
        <v>36</v>
      </c>
      <c r="Y869" t="s">
        <v>36</v>
      </c>
      <c r="Z869" t="s">
        <v>36</v>
      </c>
      <c r="AA869" t="s">
        <v>36</v>
      </c>
      <c r="AB869" t="s">
        <v>36</v>
      </c>
      <c r="AC869" t="s">
        <v>36</v>
      </c>
      <c r="AD869" t="s">
        <v>36</v>
      </c>
      <c r="AE869" t="s">
        <v>36</v>
      </c>
      <c r="AF869" t="s">
        <v>36</v>
      </c>
      <c r="AG869" t="s">
        <v>36</v>
      </c>
    </row>
    <row r="870" spans="1:33" hidden="1" x14ac:dyDescent="0.2">
      <c r="A870">
        <v>869</v>
      </c>
      <c r="B870" t="s">
        <v>317</v>
      </c>
      <c r="C870" t="s">
        <v>108</v>
      </c>
      <c r="D870">
        <v>46</v>
      </c>
      <c r="E870" t="s">
        <v>114</v>
      </c>
      <c r="F870" t="s">
        <v>35</v>
      </c>
      <c r="G870" t="s">
        <v>36</v>
      </c>
      <c r="H870">
        <v>50573</v>
      </c>
      <c r="I870" t="s">
        <v>36</v>
      </c>
      <c r="J870" t="s">
        <v>36</v>
      </c>
      <c r="K870" t="s">
        <v>36</v>
      </c>
      <c r="L870" t="s">
        <v>36</v>
      </c>
      <c r="M870" t="s">
        <v>36</v>
      </c>
      <c r="N870" t="s">
        <v>36</v>
      </c>
      <c r="O870" t="s">
        <v>36</v>
      </c>
      <c r="P870" t="s">
        <v>37</v>
      </c>
      <c r="Q870" t="s">
        <v>36</v>
      </c>
      <c r="R870" t="s">
        <v>36</v>
      </c>
      <c r="S870" t="s">
        <v>36</v>
      </c>
      <c r="T870" t="s">
        <v>36</v>
      </c>
      <c r="U870" t="s">
        <v>36</v>
      </c>
      <c r="V870" t="s">
        <v>36</v>
      </c>
      <c r="W870" t="s">
        <v>36</v>
      </c>
      <c r="X870" t="s">
        <v>36</v>
      </c>
      <c r="Y870" t="s">
        <v>36</v>
      </c>
      <c r="Z870" t="s">
        <v>36</v>
      </c>
      <c r="AA870" t="s">
        <v>36</v>
      </c>
      <c r="AB870" t="s">
        <v>36</v>
      </c>
      <c r="AC870" t="s">
        <v>36</v>
      </c>
      <c r="AD870" t="s">
        <v>36</v>
      </c>
      <c r="AE870" t="s">
        <v>36</v>
      </c>
      <c r="AF870" t="s">
        <v>36</v>
      </c>
      <c r="AG870" t="s">
        <v>36</v>
      </c>
    </row>
    <row r="871" spans="1:33" hidden="1" x14ac:dyDescent="0.2">
      <c r="A871">
        <v>870</v>
      </c>
      <c r="B871" t="s">
        <v>317</v>
      </c>
      <c r="C871" t="s">
        <v>108</v>
      </c>
      <c r="D871">
        <v>46</v>
      </c>
      <c r="E871" t="s">
        <v>114</v>
      </c>
      <c r="F871" t="s">
        <v>38</v>
      </c>
      <c r="G871" t="s">
        <v>40</v>
      </c>
      <c r="H871">
        <v>106060</v>
      </c>
      <c r="I871">
        <v>0</v>
      </c>
      <c r="J871">
        <v>0</v>
      </c>
      <c r="K871">
        <v>1</v>
      </c>
      <c r="L871">
        <v>0</v>
      </c>
      <c r="M871" t="s">
        <v>36</v>
      </c>
      <c r="N871" t="s">
        <v>36</v>
      </c>
      <c r="O871" t="s">
        <v>36</v>
      </c>
      <c r="P871" t="s">
        <v>37</v>
      </c>
      <c r="Q871" t="s">
        <v>36</v>
      </c>
      <c r="R871" t="s">
        <v>36</v>
      </c>
      <c r="S871" t="s">
        <v>36</v>
      </c>
      <c r="T871" t="s">
        <v>36</v>
      </c>
      <c r="U871" t="s">
        <v>36</v>
      </c>
      <c r="V871" t="s">
        <v>36</v>
      </c>
      <c r="W871" t="s">
        <v>36</v>
      </c>
      <c r="X871" t="s">
        <v>36</v>
      </c>
      <c r="Y871" t="s">
        <v>36</v>
      </c>
      <c r="Z871" t="s">
        <v>36</v>
      </c>
      <c r="AA871" t="s">
        <v>36</v>
      </c>
      <c r="AB871" t="s">
        <v>36</v>
      </c>
      <c r="AC871" t="s">
        <v>36</v>
      </c>
      <c r="AD871" t="s">
        <v>36</v>
      </c>
      <c r="AE871" t="s">
        <v>36</v>
      </c>
      <c r="AF871" t="s">
        <v>36</v>
      </c>
      <c r="AG871" t="s">
        <v>36</v>
      </c>
    </row>
    <row r="872" spans="1:33" hidden="1" x14ac:dyDescent="0.2">
      <c r="A872">
        <v>871</v>
      </c>
      <c r="B872" t="s">
        <v>317</v>
      </c>
      <c r="C872" t="s">
        <v>108</v>
      </c>
      <c r="D872">
        <v>46</v>
      </c>
      <c r="E872" t="s">
        <v>114</v>
      </c>
      <c r="F872" t="s">
        <v>38</v>
      </c>
      <c r="G872" t="s">
        <v>39</v>
      </c>
      <c r="H872">
        <v>177589</v>
      </c>
      <c r="I872">
        <v>0</v>
      </c>
      <c r="J872">
        <v>0</v>
      </c>
      <c r="K872">
        <v>0</v>
      </c>
      <c r="L872">
        <v>1</v>
      </c>
      <c r="M872" t="s">
        <v>36</v>
      </c>
      <c r="N872" t="s">
        <v>36</v>
      </c>
      <c r="O872" t="s">
        <v>36</v>
      </c>
      <c r="P872" t="s">
        <v>37</v>
      </c>
      <c r="Q872" t="s">
        <v>36</v>
      </c>
      <c r="R872" t="s">
        <v>36</v>
      </c>
      <c r="S872" t="s">
        <v>36</v>
      </c>
      <c r="T872" t="s">
        <v>36</v>
      </c>
      <c r="U872" t="s">
        <v>36</v>
      </c>
      <c r="V872" t="s">
        <v>36</v>
      </c>
      <c r="W872" t="s">
        <v>36</v>
      </c>
      <c r="X872" t="s">
        <v>36</v>
      </c>
      <c r="Y872" t="s">
        <v>36</v>
      </c>
      <c r="Z872" t="s">
        <v>36</v>
      </c>
      <c r="AA872" t="s">
        <v>36</v>
      </c>
      <c r="AB872" t="s">
        <v>36</v>
      </c>
      <c r="AC872" t="s">
        <v>36</v>
      </c>
      <c r="AD872" t="s">
        <v>36</v>
      </c>
      <c r="AE872" t="s">
        <v>36</v>
      </c>
      <c r="AF872" t="s">
        <v>36</v>
      </c>
      <c r="AG872" t="s">
        <v>36</v>
      </c>
    </row>
    <row r="873" spans="1:33" x14ac:dyDescent="0.2">
      <c r="A873">
        <v>872</v>
      </c>
      <c r="B873" t="s">
        <v>317</v>
      </c>
      <c r="C873" t="s">
        <v>108</v>
      </c>
      <c r="D873">
        <v>46</v>
      </c>
      <c r="E873" t="s">
        <v>114</v>
      </c>
      <c r="F873" t="s">
        <v>41</v>
      </c>
      <c r="G873" t="s">
        <v>72</v>
      </c>
      <c r="H873">
        <v>97060</v>
      </c>
      <c r="I873">
        <v>0</v>
      </c>
      <c r="J873">
        <v>0</v>
      </c>
      <c r="K873">
        <v>0</v>
      </c>
      <c r="L873">
        <v>1</v>
      </c>
      <c r="M873" t="s">
        <v>75</v>
      </c>
      <c r="N873" t="s">
        <v>74</v>
      </c>
      <c r="O873" t="s">
        <v>104</v>
      </c>
      <c r="P873" t="s">
        <v>37</v>
      </c>
      <c r="Q873" t="s">
        <v>46</v>
      </c>
      <c r="R873" t="s">
        <v>47</v>
      </c>
      <c r="S873" t="s">
        <v>60</v>
      </c>
      <c r="T873">
        <v>1</v>
      </c>
      <c r="U873">
        <v>0</v>
      </c>
      <c r="V873">
        <v>0</v>
      </c>
      <c r="W873">
        <v>1</v>
      </c>
      <c r="X873">
        <v>1</v>
      </c>
      <c r="Y873">
        <v>0</v>
      </c>
      <c r="Z873">
        <v>1</v>
      </c>
      <c r="AA873">
        <v>0</v>
      </c>
      <c r="AB873">
        <v>0</v>
      </c>
      <c r="AC873">
        <v>0</v>
      </c>
      <c r="AD873">
        <v>0</v>
      </c>
      <c r="AE873">
        <v>0</v>
      </c>
      <c r="AF873">
        <v>0</v>
      </c>
      <c r="AG873">
        <v>1</v>
      </c>
    </row>
    <row r="874" spans="1:33" x14ac:dyDescent="0.2">
      <c r="A874">
        <v>873</v>
      </c>
      <c r="B874" t="s">
        <v>317</v>
      </c>
      <c r="C874" t="s">
        <v>108</v>
      </c>
      <c r="D874">
        <v>46</v>
      </c>
      <c r="E874" t="s">
        <v>114</v>
      </c>
      <c r="F874" t="s">
        <v>41</v>
      </c>
      <c r="G874" t="s">
        <v>55</v>
      </c>
      <c r="H874">
        <v>186060</v>
      </c>
      <c r="I874">
        <v>0</v>
      </c>
      <c r="J874">
        <v>0</v>
      </c>
      <c r="K874">
        <v>0</v>
      </c>
      <c r="L874">
        <v>1</v>
      </c>
      <c r="M874" t="s">
        <v>57</v>
      </c>
      <c r="N874" t="s">
        <v>56</v>
      </c>
      <c r="O874" t="s">
        <v>94</v>
      </c>
      <c r="P874" t="s">
        <v>37</v>
      </c>
      <c r="Q874" t="s">
        <v>48</v>
      </c>
      <c r="R874" t="s">
        <v>59</v>
      </c>
      <c r="S874" t="s">
        <v>47</v>
      </c>
      <c r="T874">
        <v>0</v>
      </c>
      <c r="U874">
        <v>0</v>
      </c>
      <c r="V874">
        <v>1</v>
      </c>
      <c r="W874">
        <v>1</v>
      </c>
      <c r="X874">
        <v>0</v>
      </c>
      <c r="Y874">
        <v>0</v>
      </c>
      <c r="Z874">
        <v>1</v>
      </c>
      <c r="AA874">
        <v>0</v>
      </c>
      <c r="AB874">
        <v>0</v>
      </c>
      <c r="AC874">
        <v>0</v>
      </c>
      <c r="AD874">
        <v>0</v>
      </c>
      <c r="AE874">
        <v>0</v>
      </c>
      <c r="AF874">
        <v>0</v>
      </c>
      <c r="AG874">
        <v>1</v>
      </c>
    </row>
    <row r="875" spans="1:33" hidden="1" x14ac:dyDescent="0.2">
      <c r="A875">
        <v>874</v>
      </c>
      <c r="B875" t="s">
        <v>317</v>
      </c>
      <c r="C875" t="s">
        <v>108</v>
      </c>
      <c r="D875">
        <v>46</v>
      </c>
      <c r="E875" t="s">
        <v>114</v>
      </c>
      <c r="F875" t="s">
        <v>53</v>
      </c>
      <c r="G875" t="s">
        <v>71</v>
      </c>
      <c r="H875">
        <v>63676</v>
      </c>
      <c r="I875">
        <v>0</v>
      </c>
      <c r="J875">
        <v>0</v>
      </c>
      <c r="K875">
        <v>1</v>
      </c>
      <c r="L875">
        <v>0</v>
      </c>
      <c r="M875" t="s">
        <v>36</v>
      </c>
      <c r="N875" t="s">
        <v>36</v>
      </c>
      <c r="O875" t="s">
        <v>36</v>
      </c>
      <c r="P875" t="s">
        <v>37</v>
      </c>
      <c r="Q875" t="s">
        <v>36</v>
      </c>
      <c r="R875" t="s">
        <v>36</v>
      </c>
      <c r="S875" t="s">
        <v>36</v>
      </c>
      <c r="T875" t="s">
        <v>36</v>
      </c>
      <c r="U875">
        <v>0</v>
      </c>
      <c r="V875">
        <v>1</v>
      </c>
      <c r="W875">
        <v>1</v>
      </c>
      <c r="X875">
        <v>0</v>
      </c>
      <c r="Y875">
        <v>0</v>
      </c>
      <c r="Z875">
        <v>1</v>
      </c>
      <c r="AA875">
        <v>0</v>
      </c>
      <c r="AB875">
        <v>0</v>
      </c>
      <c r="AC875">
        <v>0</v>
      </c>
      <c r="AD875">
        <v>0</v>
      </c>
      <c r="AE875">
        <v>0</v>
      </c>
      <c r="AF875">
        <v>0</v>
      </c>
      <c r="AG875">
        <v>1</v>
      </c>
    </row>
    <row r="876" spans="1:33" x14ac:dyDescent="0.2">
      <c r="A876">
        <v>875</v>
      </c>
      <c r="B876" t="s">
        <v>317</v>
      </c>
      <c r="C876" t="s">
        <v>108</v>
      </c>
      <c r="D876">
        <v>46</v>
      </c>
      <c r="E876" t="s">
        <v>114</v>
      </c>
      <c r="F876" t="s">
        <v>41</v>
      </c>
      <c r="G876" t="s">
        <v>42</v>
      </c>
      <c r="H876">
        <v>57603</v>
      </c>
      <c r="I876">
        <v>1</v>
      </c>
      <c r="J876">
        <v>1</v>
      </c>
      <c r="K876">
        <v>1</v>
      </c>
      <c r="L876">
        <v>0</v>
      </c>
      <c r="M876" t="s">
        <v>82</v>
      </c>
      <c r="N876" t="s">
        <v>45</v>
      </c>
      <c r="O876" t="s">
        <v>44</v>
      </c>
      <c r="P876" t="s">
        <v>37</v>
      </c>
      <c r="Q876" t="s">
        <v>65</v>
      </c>
      <c r="R876" t="s">
        <v>48</v>
      </c>
      <c r="S876" t="s">
        <v>47</v>
      </c>
      <c r="T876">
        <v>0</v>
      </c>
      <c r="U876">
        <v>1</v>
      </c>
      <c r="V876">
        <v>1</v>
      </c>
      <c r="W876">
        <v>1</v>
      </c>
      <c r="X876">
        <v>0</v>
      </c>
      <c r="Y876">
        <v>0</v>
      </c>
      <c r="Z876">
        <v>1</v>
      </c>
      <c r="AA876">
        <v>0</v>
      </c>
      <c r="AB876">
        <v>1</v>
      </c>
      <c r="AC876">
        <v>1</v>
      </c>
      <c r="AD876">
        <v>1</v>
      </c>
      <c r="AE876">
        <v>0</v>
      </c>
      <c r="AF876">
        <v>0</v>
      </c>
      <c r="AG876">
        <v>0</v>
      </c>
    </row>
    <row r="877" spans="1:33" x14ac:dyDescent="0.2">
      <c r="A877">
        <v>876</v>
      </c>
      <c r="B877" t="s">
        <v>317</v>
      </c>
      <c r="C877" t="s">
        <v>108</v>
      </c>
      <c r="D877">
        <v>46</v>
      </c>
      <c r="E877" t="s">
        <v>114</v>
      </c>
      <c r="F877" t="s">
        <v>41</v>
      </c>
      <c r="G877" t="s">
        <v>61</v>
      </c>
      <c r="H877">
        <v>86757</v>
      </c>
      <c r="I877">
        <v>0</v>
      </c>
      <c r="J877">
        <v>1</v>
      </c>
      <c r="K877">
        <v>0</v>
      </c>
      <c r="L877">
        <v>0</v>
      </c>
      <c r="M877" t="s">
        <v>64</v>
      </c>
      <c r="N877" t="s">
        <v>125</v>
      </c>
      <c r="O877" t="s">
        <v>63</v>
      </c>
      <c r="P877" t="s">
        <v>37</v>
      </c>
      <c r="Q877" t="s">
        <v>48</v>
      </c>
      <c r="R877" t="s">
        <v>60</v>
      </c>
      <c r="S877" t="s">
        <v>46</v>
      </c>
      <c r="T877">
        <v>1</v>
      </c>
      <c r="U877">
        <v>0</v>
      </c>
      <c r="V877">
        <v>1</v>
      </c>
      <c r="W877">
        <v>0</v>
      </c>
      <c r="X877">
        <v>1</v>
      </c>
      <c r="Y877">
        <v>0</v>
      </c>
      <c r="Z877">
        <v>1</v>
      </c>
      <c r="AA877">
        <v>1</v>
      </c>
      <c r="AB877">
        <v>0</v>
      </c>
      <c r="AC877">
        <v>0</v>
      </c>
      <c r="AD877">
        <v>0</v>
      </c>
      <c r="AE877">
        <v>0</v>
      </c>
      <c r="AF877">
        <v>0</v>
      </c>
      <c r="AG877">
        <v>0</v>
      </c>
    </row>
    <row r="878" spans="1:33" hidden="1" x14ac:dyDescent="0.2">
      <c r="A878">
        <v>877</v>
      </c>
      <c r="B878" t="s">
        <v>317</v>
      </c>
      <c r="C878" t="s">
        <v>108</v>
      </c>
      <c r="D878">
        <v>46</v>
      </c>
      <c r="E878" t="s">
        <v>114</v>
      </c>
      <c r="F878" t="s">
        <v>53</v>
      </c>
      <c r="G878" t="s">
        <v>66</v>
      </c>
      <c r="H878">
        <v>171740</v>
      </c>
      <c r="I878">
        <v>0</v>
      </c>
      <c r="J878">
        <v>0</v>
      </c>
      <c r="K878">
        <v>1</v>
      </c>
      <c r="L878">
        <v>0</v>
      </c>
      <c r="M878" t="s">
        <v>36</v>
      </c>
      <c r="N878" t="s">
        <v>36</v>
      </c>
      <c r="O878" t="s">
        <v>36</v>
      </c>
      <c r="P878" t="s">
        <v>37</v>
      </c>
      <c r="Q878" t="s">
        <v>36</v>
      </c>
      <c r="R878" t="s">
        <v>36</v>
      </c>
      <c r="S878" t="s">
        <v>36</v>
      </c>
      <c r="T878" t="s">
        <v>36</v>
      </c>
      <c r="U878">
        <v>0</v>
      </c>
      <c r="V878">
        <v>1</v>
      </c>
      <c r="W878">
        <v>0</v>
      </c>
      <c r="X878">
        <v>1</v>
      </c>
      <c r="Y878">
        <v>0</v>
      </c>
      <c r="Z878">
        <v>1</v>
      </c>
      <c r="AA878">
        <v>1</v>
      </c>
      <c r="AB878">
        <v>0</v>
      </c>
      <c r="AC878">
        <v>0</v>
      </c>
      <c r="AD878">
        <v>0</v>
      </c>
      <c r="AE878">
        <v>0</v>
      </c>
      <c r="AF878">
        <v>0</v>
      </c>
      <c r="AG878">
        <v>0</v>
      </c>
    </row>
    <row r="879" spans="1:33" x14ac:dyDescent="0.2">
      <c r="A879">
        <v>878</v>
      </c>
      <c r="B879" t="s">
        <v>317</v>
      </c>
      <c r="C879" t="s">
        <v>108</v>
      </c>
      <c r="D879">
        <v>46</v>
      </c>
      <c r="E879" t="s">
        <v>114</v>
      </c>
      <c r="F879" t="s">
        <v>41</v>
      </c>
      <c r="G879" t="s">
        <v>67</v>
      </c>
      <c r="H879">
        <v>38411</v>
      </c>
      <c r="I879">
        <v>0</v>
      </c>
      <c r="J879">
        <v>0</v>
      </c>
      <c r="K879">
        <v>0</v>
      </c>
      <c r="L879">
        <v>1</v>
      </c>
      <c r="M879" t="s">
        <v>70</v>
      </c>
      <c r="N879" t="s">
        <v>86</v>
      </c>
      <c r="O879" t="s">
        <v>69</v>
      </c>
      <c r="P879" t="s">
        <v>37</v>
      </c>
      <c r="Q879" t="s">
        <v>47</v>
      </c>
      <c r="R879" t="s">
        <v>46</v>
      </c>
      <c r="S879" t="s">
        <v>48</v>
      </c>
      <c r="T879">
        <v>0</v>
      </c>
      <c r="U879">
        <v>0</v>
      </c>
      <c r="V879">
        <v>1</v>
      </c>
      <c r="W879">
        <v>1</v>
      </c>
      <c r="X879">
        <v>1</v>
      </c>
      <c r="Y879">
        <v>0</v>
      </c>
      <c r="Z879">
        <v>1</v>
      </c>
      <c r="AA879">
        <v>0</v>
      </c>
      <c r="AB879">
        <v>0</v>
      </c>
      <c r="AC879">
        <v>0</v>
      </c>
      <c r="AD879">
        <v>0</v>
      </c>
      <c r="AE879">
        <v>0</v>
      </c>
      <c r="AF879">
        <v>0</v>
      </c>
      <c r="AG879">
        <v>1</v>
      </c>
    </row>
    <row r="880" spans="1:33" hidden="1" x14ac:dyDescent="0.2">
      <c r="A880">
        <v>879</v>
      </c>
      <c r="B880" t="s">
        <v>317</v>
      </c>
      <c r="C880" t="s">
        <v>108</v>
      </c>
      <c r="D880">
        <v>46</v>
      </c>
      <c r="E880" t="s">
        <v>114</v>
      </c>
      <c r="F880" t="s">
        <v>53</v>
      </c>
      <c r="G880" t="s">
        <v>54</v>
      </c>
      <c r="H880">
        <v>169304</v>
      </c>
      <c r="I880">
        <v>0</v>
      </c>
      <c r="J880">
        <v>0</v>
      </c>
      <c r="K880">
        <v>1</v>
      </c>
      <c r="L880">
        <v>0</v>
      </c>
      <c r="M880" t="s">
        <v>36</v>
      </c>
      <c r="N880" t="s">
        <v>36</v>
      </c>
      <c r="O880" t="s">
        <v>36</v>
      </c>
      <c r="P880" t="s">
        <v>37</v>
      </c>
      <c r="Q880" t="s">
        <v>36</v>
      </c>
      <c r="R880" t="s">
        <v>36</v>
      </c>
      <c r="S880" t="s">
        <v>36</v>
      </c>
      <c r="T880" t="s">
        <v>36</v>
      </c>
      <c r="U880">
        <v>0</v>
      </c>
      <c r="V880">
        <v>1</v>
      </c>
      <c r="W880">
        <v>1</v>
      </c>
      <c r="X880">
        <v>1</v>
      </c>
      <c r="Y880">
        <v>0</v>
      </c>
      <c r="Z880">
        <v>1</v>
      </c>
      <c r="AA880">
        <v>0</v>
      </c>
      <c r="AB880">
        <v>0</v>
      </c>
      <c r="AC880">
        <v>0</v>
      </c>
      <c r="AD880">
        <v>0</v>
      </c>
      <c r="AE880">
        <v>0</v>
      </c>
      <c r="AF880">
        <v>0</v>
      </c>
      <c r="AG880">
        <v>1</v>
      </c>
    </row>
    <row r="881" spans="1:33" x14ac:dyDescent="0.2">
      <c r="A881">
        <v>880</v>
      </c>
      <c r="B881" t="s">
        <v>317</v>
      </c>
      <c r="C881" t="s">
        <v>108</v>
      </c>
      <c r="D881">
        <v>46</v>
      </c>
      <c r="E881" t="s">
        <v>114</v>
      </c>
      <c r="F881" t="s">
        <v>41</v>
      </c>
      <c r="G881" t="s">
        <v>49</v>
      </c>
      <c r="H881">
        <v>30731</v>
      </c>
      <c r="I881">
        <v>0</v>
      </c>
      <c r="J881">
        <v>0</v>
      </c>
      <c r="K881">
        <v>0</v>
      </c>
      <c r="L881">
        <v>1</v>
      </c>
      <c r="M881" t="s">
        <v>51</v>
      </c>
      <c r="N881" t="s">
        <v>50</v>
      </c>
      <c r="O881" t="s">
        <v>96</v>
      </c>
      <c r="P881" t="s">
        <v>37</v>
      </c>
      <c r="Q881" t="s">
        <v>47</v>
      </c>
      <c r="R881" t="s">
        <v>48</v>
      </c>
      <c r="S881" t="s">
        <v>65</v>
      </c>
      <c r="T881">
        <v>0</v>
      </c>
      <c r="U881">
        <v>1</v>
      </c>
      <c r="V881">
        <v>1</v>
      </c>
      <c r="W881">
        <v>1</v>
      </c>
      <c r="X881">
        <v>0</v>
      </c>
      <c r="Y881">
        <v>0</v>
      </c>
      <c r="Z881">
        <v>1</v>
      </c>
      <c r="AA881">
        <v>0</v>
      </c>
      <c r="AB881">
        <v>0</v>
      </c>
      <c r="AC881">
        <v>0</v>
      </c>
      <c r="AD881">
        <v>0</v>
      </c>
      <c r="AE881">
        <v>0</v>
      </c>
      <c r="AF881">
        <v>0</v>
      </c>
      <c r="AG881">
        <v>1</v>
      </c>
    </row>
    <row r="882" spans="1:33" hidden="1" x14ac:dyDescent="0.2">
      <c r="A882">
        <v>881</v>
      </c>
      <c r="B882" t="s">
        <v>317</v>
      </c>
      <c r="C882" t="s">
        <v>108</v>
      </c>
      <c r="D882">
        <v>46</v>
      </c>
      <c r="E882" t="s">
        <v>114</v>
      </c>
      <c r="F882" t="s">
        <v>53</v>
      </c>
      <c r="G882" t="s">
        <v>76</v>
      </c>
      <c r="H882">
        <v>80690</v>
      </c>
      <c r="I882">
        <v>1</v>
      </c>
      <c r="J882">
        <v>0</v>
      </c>
      <c r="K882">
        <v>0</v>
      </c>
      <c r="L882">
        <v>1</v>
      </c>
      <c r="M882" t="s">
        <v>36</v>
      </c>
      <c r="N882" t="s">
        <v>36</v>
      </c>
      <c r="O882" t="s">
        <v>36</v>
      </c>
      <c r="P882" t="s">
        <v>37</v>
      </c>
      <c r="Q882" t="s">
        <v>36</v>
      </c>
      <c r="R882" t="s">
        <v>36</v>
      </c>
      <c r="S882" t="s">
        <v>36</v>
      </c>
      <c r="T882" t="s">
        <v>36</v>
      </c>
      <c r="U882">
        <v>1</v>
      </c>
      <c r="V882">
        <v>1</v>
      </c>
      <c r="W882">
        <v>1</v>
      </c>
      <c r="X882">
        <v>0</v>
      </c>
      <c r="Y882">
        <v>0</v>
      </c>
      <c r="Z882">
        <v>1</v>
      </c>
      <c r="AA882">
        <v>0</v>
      </c>
      <c r="AB882">
        <v>0</v>
      </c>
      <c r="AC882">
        <v>0</v>
      </c>
      <c r="AD882">
        <v>0</v>
      </c>
      <c r="AE882">
        <v>0</v>
      </c>
      <c r="AF882">
        <v>0</v>
      </c>
      <c r="AG882">
        <v>1</v>
      </c>
    </row>
    <row r="883" spans="1:33" hidden="1" x14ac:dyDescent="0.2">
      <c r="A883">
        <v>882</v>
      </c>
      <c r="B883" t="s">
        <v>317</v>
      </c>
      <c r="C883" t="s">
        <v>108</v>
      </c>
      <c r="D883">
        <v>46</v>
      </c>
      <c r="E883" t="s">
        <v>114</v>
      </c>
      <c r="F883" t="s">
        <v>77</v>
      </c>
      <c r="G883" t="s">
        <v>36</v>
      </c>
      <c r="H883">
        <v>88976</v>
      </c>
      <c r="I883" t="s">
        <v>318</v>
      </c>
      <c r="J883" t="s">
        <v>319</v>
      </c>
      <c r="K883" t="s">
        <v>162</v>
      </c>
      <c r="L883" t="s">
        <v>36</v>
      </c>
      <c r="M883" t="s">
        <v>36</v>
      </c>
      <c r="N883" t="s">
        <v>36</v>
      </c>
      <c r="O883" t="s">
        <v>36</v>
      </c>
      <c r="P883" t="s">
        <v>37</v>
      </c>
      <c r="Q883" t="s">
        <v>36</v>
      </c>
      <c r="R883" t="s">
        <v>36</v>
      </c>
      <c r="S883" t="s">
        <v>36</v>
      </c>
      <c r="T883" t="s">
        <v>36</v>
      </c>
      <c r="U883" t="s">
        <v>36</v>
      </c>
      <c r="V883" t="s">
        <v>36</v>
      </c>
      <c r="W883" t="s">
        <v>36</v>
      </c>
      <c r="X883" t="s">
        <v>36</v>
      </c>
      <c r="Y883" t="s">
        <v>36</v>
      </c>
      <c r="Z883" t="s">
        <v>36</v>
      </c>
      <c r="AA883" t="s">
        <v>36</v>
      </c>
      <c r="AB883" t="s">
        <v>36</v>
      </c>
      <c r="AC883" t="s">
        <v>36</v>
      </c>
      <c r="AD883" t="s">
        <v>36</v>
      </c>
      <c r="AE883" t="s">
        <v>36</v>
      </c>
      <c r="AF883" t="s">
        <v>36</v>
      </c>
      <c r="AG883" t="s">
        <v>36</v>
      </c>
    </row>
    <row r="884" spans="1:33" hidden="1" x14ac:dyDescent="0.2">
      <c r="A884">
        <v>883</v>
      </c>
      <c r="B884" t="s">
        <v>320</v>
      </c>
      <c r="C884" t="s">
        <v>108</v>
      </c>
      <c r="D884">
        <v>42</v>
      </c>
      <c r="E884" t="s">
        <v>34</v>
      </c>
      <c r="F884" t="s">
        <v>35</v>
      </c>
      <c r="G884" t="s">
        <v>36</v>
      </c>
      <c r="H884">
        <v>51159</v>
      </c>
      <c r="I884" t="s">
        <v>36</v>
      </c>
      <c r="J884" t="s">
        <v>36</v>
      </c>
      <c r="K884" t="s">
        <v>36</v>
      </c>
      <c r="L884" t="s">
        <v>36</v>
      </c>
      <c r="M884" t="s">
        <v>36</v>
      </c>
      <c r="N884" t="s">
        <v>36</v>
      </c>
      <c r="O884" t="s">
        <v>36</v>
      </c>
      <c r="P884" t="s">
        <v>37</v>
      </c>
      <c r="Q884" t="s">
        <v>36</v>
      </c>
      <c r="R884" t="s">
        <v>36</v>
      </c>
      <c r="S884" t="s">
        <v>36</v>
      </c>
      <c r="T884" t="s">
        <v>36</v>
      </c>
      <c r="U884" t="s">
        <v>36</v>
      </c>
      <c r="V884" t="s">
        <v>36</v>
      </c>
      <c r="W884" t="s">
        <v>36</v>
      </c>
      <c r="X884" t="s">
        <v>36</v>
      </c>
      <c r="Y884" t="s">
        <v>36</v>
      </c>
      <c r="Z884" t="s">
        <v>36</v>
      </c>
      <c r="AA884" t="s">
        <v>36</v>
      </c>
      <c r="AB884" t="s">
        <v>36</v>
      </c>
      <c r="AC884" t="s">
        <v>36</v>
      </c>
      <c r="AD884" t="s">
        <v>36</v>
      </c>
      <c r="AE884" t="s">
        <v>36</v>
      </c>
      <c r="AF884" t="s">
        <v>36</v>
      </c>
      <c r="AG884" t="s">
        <v>36</v>
      </c>
    </row>
    <row r="885" spans="1:33" hidden="1" x14ac:dyDescent="0.2">
      <c r="A885">
        <v>884</v>
      </c>
      <c r="B885" t="s">
        <v>320</v>
      </c>
      <c r="C885" t="s">
        <v>108</v>
      </c>
      <c r="D885">
        <v>42</v>
      </c>
      <c r="E885" t="s">
        <v>34</v>
      </c>
      <c r="F885" t="s">
        <v>38</v>
      </c>
      <c r="G885" t="s">
        <v>39</v>
      </c>
      <c r="H885">
        <v>71762</v>
      </c>
      <c r="I885">
        <v>0</v>
      </c>
      <c r="J885">
        <v>0</v>
      </c>
      <c r="K885">
        <v>0</v>
      </c>
      <c r="L885">
        <v>1</v>
      </c>
      <c r="M885" t="s">
        <v>36</v>
      </c>
      <c r="N885" t="s">
        <v>36</v>
      </c>
      <c r="O885" t="s">
        <v>36</v>
      </c>
      <c r="P885" t="s">
        <v>37</v>
      </c>
      <c r="Q885" t="s">
        <v>36</v>
      </c>
      <c r="R885" t="s">
        <v>36</v>
      </c>
      <c r="S885" t="s">
        <v>36</v>
      </c>
      <c r="T885" t="s">
        <v>36</v>
      </c>
      <c r="U885" t="s">
        <v>36</v>
      </c>
      <c r="V885" t="s">
        <v>36</v>
      </c>
      <c r="W885" t="s">
        <v>36</v>
      </c>
      <c r="X885" t="s">
        <v>36</v>
      </c>
      <c r="Y885" t="s">
        <v>36</v>
      </c>
      <c r="Z885" t="s">
        <v>36</v>
      </c>
      <c r="AA885" t="s">
        <v>36</v>
      </c>
      <c r="AB885" t="s">
        <v>36</v>
      </c>
      <c r="AC885" t="s">
        <v>36</v>
      </c>
      <c r="AD885" t="s">
        <v>36</v>
      </c>
      <c r="AE885" t="s">
        <v>36</v>
      </c>
      <c r="AF885" t="s">
        <v>36</v>
      </c>
      <c r="AG885" t="s">
        <v>36</v>
      </c>
    </row>
    <row r="886" spans="1:33" hidden="1" x14ac:dyDescent="0.2">
      <c r="A886">
        <v>885</v>
      </c>
      <c r="B886" t="s">
        <v>320</v>
      </c>
      <c r="C886" t="s">
        <v>108</v>
      </c>
      <c r="D886">
        <v>42</v>
      </c>
      <c r="E886" t="s">
        <v>34</v>
      </c>
      <c r="F886" t="s">
        <v>38</v>
      </c>
      <c r="G886" t="s">
        <v>40</v>
      </c>
      <c r="H886">
        <v>123036</v>
      </c>
      <c r="I886">
        <v>0</v>
      </c>
      <c r="J886">
        <v>1</v>
      </c>
      <c r="K886">
        <v>0</v>
      </c>
      <c r="L886">
        <v>0</v>
      </c>
      <c r="M886" t="s">
        <v>36</v>
      </c>
      <c r="N886" t="s">
        <v>36</v>
      </c>
      <c r="O886" t="s">
        <v>36</v>
      </c>
      <c r="P886" t="s">
        <v>37</v>
      </c>
      <c r="Q886" t="s">
        <v>36</v>
      </c>
      <c r="R886" t="s">
        <v>36</v>
      </c>
      <c r="S886" t="s">
        <v>36</v>
      </c>
      <c r="T886" t="s">
        <v>36</v>
      </c>
      <c r="U886" t="s">
        <v>36</v>
      </c>
      <c r="V886" t="s">
        <v>36</v>
      </c>
      <c r="W886" t="s">
        <v>36</v>
      </c>
      <c r="X886" t="s">
        <v>36</v>
      </c>
      <c r="Y886" t="s">
        <v>36</v>
      </c>
      <c r="Z886" t="s">
        <v>36</v>
      </c>
      <c r="AA886" t="s">
        <v>36</v>
      </c>
      <c r="AB886" t="s">
        <v>36</v>
      </c>
      <c r="AC886" t="s">
        <v>36</v>
      </c>
      <c r="AD886" t="s">
        <v>36</v>
      </c>
      <c r="AE886" t="s">
        <v>36</v>
      </c>
      <c r="AF886" t="s">
        <v>36</v>
      </c>
      <c r="AG886" t="s">
        <v>36</v>
      </c>
    </row>
    <row r="887" spans="1:33" x14ac:dyDescent="0.2">
      <c r="A887">
        <v>886</v>
      </c>
      <c r="B887" t="s">
        <v>320</v>
      </c>
      <c r="C887" t="s">
        <v>108</v>
      </c>
      <c r="D887">
        <v>42</v>
      </c>
      <c r="E887" t="s">
        <v>34</v>
      </c>
      <c r="F887" t="s">
        <v>41</v>
      </c>
      <c r="G887" t="s">
        <v>49</v>
      </c>
      <c r="H887">
        <v>81810</v>
      </c>
      <c r="I887">
        <v>0</v>
      </c>
      <c r="J887">
        <v>0</v>
      </c>
      <c r="K887">
        <v>0</v>
      </c>
      <c r="L887">
        <v>1</v>
      </c>
      <c r="M887" t="s">
        <v>83</v>
      </c>
      <c r="N887" t="s">
        <v>50</v>
      </c>
      <c r="O887" t="s">
        <v>52</v>
      </c>
      <c r="P887" t="s">
        <v>37</v>
      </c>
      <c r="Q887" t="s">
        <v>59</v>
      </c>
      <c r="R887" t="s">
        <v>48</v>
      </c>
      <c r="S887" t="s">
        <v>46</v>
      </c>
      <c r="T887">
        <v>0</v>
      </c>
      <c r="U887">
        <v>0</v>
      </c>
      <c r="V887">
        <v>1</v>
      </c>
      <c r="W887">
        <v>0</v>
      </c>
      <c r="X887">
        <v>1</v>
      </c>
      <c r="Y887">
        <v>0</v>
      </c>
      <c r="Z887">
        <v>1</v>
      </c>
      <c r="AA887">
        <v>0</v>
      </c>
      <c r="AB887">
        <v>0</v>
      </c>
      <c r="AC887">
        <v>0</v>
      </c>
      <c r="AD887">
        <v>0</v>
      </c>
      <c r="AE887">
        <v>0</v>
      </c>
      <c r="AF887">
        <v>0</v>
      </c>
      <c r="AG887">
        <v>1</v>
      </c>
    </row>
    <row r="888" spans="1:33" x14ac:dyDescent="0.2">
      <c r="A888">
        <v>887</v>
      </c>
      <c r="B888" t="s">
        <v>320</v>
      </c>
      <c r="C888" t="s">
        <v>108</v>
      </c>
      <c r="D888">
        <v>42</v>
      </c>
      <c r="E888" t="s">
        <v>34</v>
      </c>
      <c r="F888" t="s">
        <v>41</v>
      </c>
      <c r="G888" t="s">
        <v>67</v>
      </c>
      <c r="H888">
        <v>64273</v>
      </c>
      <c r="I888">
        <v>1</v>
      </c>
      <c r="J888">
        <v>0</v>
      </c>
      <c r="K888">
        <v>0</v>
      </c>
      <c r="L888">
        <v>0</v>
      </c>
      <c r="M888" t="s">
        <v>103</v>
      </c>
      <c r="N888" t="s">
        <v>68</v>
      </c>
      <c r="O888" t="s">
        <v>86</v>
      </c>
      <c r="P888" t="s">
        <v>37</v>
      </c>
      <c r="Q888" t="s">
        <v>60</v>
      </c>
      <c r="R888" t="s">
        <v>65</v>
      </c>
      <c r="S888" t="s">
        <v>46</v>
      </c>
      <c r="T888">
        <v>1</v>
      </c>
      <c r="U888">
        <v>1</v>
      </c>
      <c r="V888">
        <v>0</v>
      </c>
      <c r="W888">
        <v>0</v>
      </c>
      <c r="X888">
        <v>1</v>
      </c>
      <c r="Y888">
        <v>0</v>
      </c>
      <c r="Z888">
        <v>1</v>
      </c>
      <c r="AA888">
        <v>1</v>
      </c>
      <c r="AB888">
        <v>0</v>
      </c>
      <c r="AC888">
        <v>0</v>
      </c>
      <c r="AD888">
        <v>0</v>
      </c>
      <c r="AE888">
        <v>0</v>
      </c>
      <c r="AF888">
        <v>0</v>
      </c>
      <c r="AG888">
        <v>0</v>
      </c>
    </row>
    <row r="889" spans="1:33" hidden="1" x14ac:dyDescent="0.2">
      <c r="A889">
        <v>888</v>
      </c>
      <c r="B889" t="s">
        <v>320</v>
      </c>
      <c r="C889" t="s">
        <v>108</v>
      </c>
      <c r="D889">
        <v>42</v>
      </c>
      <c r="E889" t="s">
        <v>34</v>
      </c>
      <c r="F889" t="s">
        <v>53</v>
      </c>
      <c r="G889" t="s">
        <v>54</v>
      </c>
      <c r="H889">
        <v>60315</v>
      </c>
      <c r="I889">
        <v>0</v>
      </c>
      <c r="J889">
        <v>0</v>
      </c>
      <c r="K889">
        <v>1</v>
      </c>
      <c r="L889">
        <v>0</v>
      </c>
      <c r="M889" t="s">
        <v>36</v>
      </c>
      <c r="N889" t="s">
        <v>36</v>
      </c>
      <c r="O889" t="s">
        <v>36</v>
      </c>
      <c r="P889" t="s">
        <v>37</v>
      </c>
      <c r="Q889" t="s">
        <v>36</v>
      </c>
      <c r="R889" t="s">
        <v>36</v>
      </c>
      <c r="S889" t="s">
        <v>36</v>
      </c>
      <c r="T889" t="s">
        <v>36</v>
      </c>
      <c r="U889">
        <v>1</v>
      </c>
      <c r="V889">
        <v>0</v>
      </c>
      <c r="W889">
        <v>0</v>
      </c>
      <c r="X889">
        <v>1</v>
      </c>
      <c r="Y889">
        <v>0</v>
      </c>
      <c r="Z889">
        <v>1</v>
      </c>
      <c r="AA889">
        <v>1</v>
      </c>
      <c r="AB889">
        <v>0</v>
      </c>
      <c r="AC889">
        <v>0</v>
      </c>
      <c r="AD889">
        <v>0</v>
      </c>
      <c r="AE889">
        <v>0</v>
      </c>
      <c r="AF889">
        <v>0</v>
      </c>
      <c r="AG889">
        <v>0</v>
      </c>
    </row>
    <row r="890" spans="1:33" x14ac:dyDescent="0.2">
      <c r="A890">
        <v>889</v>
      </c>
      <c r="B890" t="s">
        <v>320</v>
      </c>
      <c r="C890" t="s">
        <v>108</v>
      </c>
      <c r="D890">
        <v>42</v>
      </c>
      <c r="E890" t="s">
        <v>34</v>
      </c>
      <c r="F890" t="s">
        <v>41</v>
      </c>
      <c r="G890" t="s">
        <v>42</v>
      </c>
      <c r="H890">
        <v>39035</v>
      </c>
      <c r="I890">
        <v>1</v>
      </c>
      <c r="J890">
        <v>0</v>
      </c>
      <c r="K890">
        <v>0</v>
      </c>
      <c r="L890">
        <v>0</v>
      </c>
      <c r="M890" t="s">
        <v>44</v>
      </c>
      <c r="N890" t="s">
        <v>102</v>
      </c>
      <c r="O890" t="s">
        <v>43</v>
      </c>
      <c r="P890" t="s">
        <v>37</v>
      </c>
      <c r="Q890" t="s">
        <v>47</v>
      </c>
      <c r="R890" t="s">
        <v>59</v>
      </c>
      <c r="S890" t="s">
        <v>46</v>
      </c>
      <c r="T890">
        <v>0</v>
      </c>
      <c r="U890">
        <v>0</v>
      </c>
      <c r="V890">
        <v>0</v>
      </c>
      <c r="W890">
        <v>1</v>
      </c>
      <c r="X890">
        <v>1</v>
      </c>
      <c r="Y890">
        <v>0</v>
      </c>
      <c r="Z890">
        <v>1</v>
      </c>
      <c r="AA890">
        <v>0</v>
      </c>
      <c r="AB890">
        <v>0</v>
      </c>
      <c r="AC890">
        <v>0</v>
      </c>
      <c r="AD890">
        <v>1</v>
      </c>
      <c r="AE890">
        <v>0</v>
      </c>
      <c r="AF890">
        <v>0</v>
      </c>
      <c r="AG890">
        <v>0</v>
      </c>
    </row>
    <row r="891" spans="1:33" x14ac:dyDescent="0.2">
      <c r="A891">
        <v>890</v>
      </c>
      <c r="B891" t="s">
        <v>320</v>
      </c>
      <c r="C891" t="s">
        <v>108</v>
      </c>
      <c r="D891">
        <v>42</v>
      </c>
      <c r="E891" t="s">
        <v>34</v>
      </c>
      <c r="F891" t="s">
        <v>41</v>
      </c>
      <c r="G891" t="s">
        <v>61</v>
      </c>
      <c r="H891">
        <v>42778</v>
      </c>
      <c r="I891">
        <v>0</v>
      </c>
      <c r="J891">
        <v>0</v>
      </c>
      <c r="K891">
        <v>1</v>
      </c>
      <c r="L891">
        <v>0</v>
      </c>
      <c r="M891" t="s">
        <v>125</v>
      </c>
      <c r="N891" t="s">
        <v>64</v>
      </c>
      <c r="O891" t="s">
        <v>62</v>
      </c>
      <c r="P891" t="s">
        <v>37</v>
      </c>
      <c r="Q891" t="s">
        <v>60</v>
      </c>
      <c r="R891" t="s">
        <v>48</v>
      </c>
      <c r="S891" t="s">
        <v>65</v>
      </c>
      <c r="T891">
        <v>1</v>
      </c>
      <c r="U891">
        <v>1</v>
      </c>
      <c r="V891">
        <v>1</v>
      </c>
      <c r="W891">
        <v>0</v>
      </c>
      <c r="X891">
        <v>0</v>
      </c>
      <c r="Y891">
        <v>0</v>
      </c>
      <c r="Z891">
        <v>1</v>
      </c>
      <c r="AA891">
        <v>0</v>
      </c>
      <c r="AB891">
        <v>1</v>
      </c>
      <c r="AC891">
        <v>0</v>
      </c>
      <c r="AD891">
        <v>0</v>
      </c>
      <c r="AE891">
        <v>0</v>
      </c>
      <c r="AF891">
        <v>0</v>
      </c>
      <c r="AG891">
        <v>0</v>
      </c>
    </row>
    <row r="892" spans="1:33" hidden="1" x14ac:dyDescent="0.2">
      <c r="A892">
        <v>891</v>
      </c>
      <c r="B892" t="s">
        <v>320</v>
      </c>
      <c r="C892" t="s">
        <v>108</v>
      </c>
      <c r="D892">
        <v>42</v>
      </c>
      <c r="E892" t="s">
        <v>34</v>
      </c>
      <c r="F892" t="s">
        <v>53</v>
      </c>
      <c r="G892" t="s">
        <v>76</v>
      </c>
      <c r="H892">
        <v>34230</v>
      </c>
      <c r="I892">
        <v>1</v>
      </c>
      <c r="J892">
        <v>0</v>
      </c>
      <c r="K892">
        <v>0</v>
      </c>
      <c r="L892">
        <v>0</v>
      </c>
      <c r="M892" t="s">
        <v>36</v>
      </c>
      <c r="N892" t="s">
        <v>36</v>
      </c>
      <c r="O892" t="s">
        <v>36</v>
      </c>
      <c r="P892" t="s">
        <v>37</v>
      </c>
      <c r="Q892" t="s">
        <v>36</v>
      </c>
      <c r="R892" t="s">
        <v>36</v>
      </c>
      <c r="S892" t="s">
        <v>36</v>
      </c>
      <c r="T892" t="s">
        <v>36</v>
      </c>
      <c r="U892">
        <v>1</v>
      </c>
      <c r="V892">
        <v>1</v>
      </c>
      <c r="W892">
        <v>0</v>
      </c>
      <c r="X892">
        <v>0</v>
      </c>
      <c r="Y892">
        <v>0</v>
      </c>
      <c r="Z892">
        <v>1</v>
      </c>
      <c r="AA892">
        <v>0</v>
      </c>
      <c r="AB892">
        <v>1</v>
      </c>
      <c r="AC892">
        <v>0</v>
      </c>
      <c r="AD892">
        <v>0</v>
      </c>
      <c r="AE892">
        <v>0</v>
      </c>
      <c r="AF892">
        <v>0</v>
      </c>
      <c r="AG892">
        <v>0</v>
      </c>
    </row>
    <row r="893" spans="1:33" x14ac:dyDescent="0.2">
      <c r="A893">
        <v>892</v>
      </c>
      <c r="B893" t="s">
        <v>320</v>
      </c>
      <c r="C893" t="s">
        <v>108</v>
      </c>
      <c r="D893">
        <v>42</v>
      </c>
      <c r="E893" t="s">
        <v>34</v>
      </c>
      <c r="F893" t="s">
        <v>41</v>
      </c>
      <c r="G893" t="s">
        <v>72</v>
      </c>
      <c r="H893">
        <v>35700</v>
      </c>
      <c r="I893">
        <v>1</v>
      </c>
      <c r="J893">
        <v>1</v>
      </c>
      <c r="K893">
        <v>0</v>
      </c>
      <c r="L893">
        <v>0</v>
      </c>
      <c r="M893" t="s">
        <v>74</v>
      </c>
      <c r="N893" t="s">
        <v>115</v>
      </c>
      <c r="O893" t="s">
        <v>93</v>
      </c>
      <c r="P893" t="s">
        <v>37</v>
      </c>
      <c r="Q893" t="s">
        <v>47</v>
      </c>
      <c r="R893" t="s">
        <v>65</v>
      </c>
      <c r="S893" t="s">
        <v>59</v>
      </c>
      <c r="T893">
        <v>0</v>
      </c>
      <c r="U893">
        <v>1</v>
      </c>
      <c r="V893">
        <v>0</v>
      </c>
      <c r="W893">
        <v>1</v>
      </c>
      <c r="X893">
        <v>0</v>
      </c>
      <c r="Y893">
        <v>0</v>
      </c>
      <c r="Z893">
        <v>1</v>
      </c>
      <c r="AA893">
        <v>0</v>
      </c>
      <c r="AB893">
        <v>1</v>
      </c>
      <c r="AC893">
        <v>0</v>
      </c>
      <c r="AD893">
        <v>1</v>
      </c>
      <c r="AE893">
        <v>0</v>
      </c>
      <c r="AF893">
        <v>0</v>
      </c>
      <c r="AG893">
        <v>0</v>
      </c>
    </row>
    <row r="894" spans="1:33" hidden="1" x14ac:dyDescent="0.2">
      <c r="A894">
        <v>893</v>
      </c>
      <c r="B894" t="s">
        <v>320</v>
      </c>
      <c r="C894" t="s">
        <v>108</v>
      </c>
      <c r="D894">
        <v>42</v>
      </c>
      <c r="E894" t="s">
        <v>34</v>
      </c>
      <c r="F894" t="s">
        <v>53</v>
      </c>
      <c r="G894" t="s">
        <v>66</v>
      </c>
      <c r="H894">
        <v>56379</v>
      </c>
      <c r="I894">
        <v>0</v>
      </c>
      <c r="J894">
        <v>0</v>
      </c>
      <c r="K894">
        <v>1</v>
      </c>
      <c r="L894">
        <v>0</v>
      </c>
      <c r="M894" t="s">
        <v>36</v>
      </c>
      <c r="N894" t="s">
        <v>36</v>
      </c>
      <c r="O894" t="s">
        <v>36</v>
      </c>
      <c r="P894" t="s">
        <v>37</v>
      </c>
      <c r="Q894" t="s">
        <v>36</v>
      </c>
      <c r="R894" t="s">
        <v>36</v>
      </c>
      <c r="S894" t="s">
        <v>36</v>
      </c>
      <c r="T894" t="s">
        <v>36</v>
      </c>
      <c r="U894">
        <v>1</v>
      </c>
      <c r="V894">
        <v>0</v>
      </c>
      <c r="W894">
        <v>1</v>
      </c>
      <c r="X894">
        <v>0</v>
      </c>
      <c r="Y894">
        <v>0</v>
      </c>
      <c r="Z894">
        <v>1</v>
      </c>
      <c r="AA894">
        <v>0</v>
      </c>
      <c r="AB894">
        <v>1</v>
      </c>
      <c r="AC894">
        <v>0</v>
      </c>
      <c r="AD894">
        <v>1</v>
      </c>
      <c r="AE894">
        <v>0</v>
      </c>
      <c r="AF894">
        <v>0</v>
      </c>
      <c r="AG894">
        <v>0</v>
      </c>
    </row>
    <row r="895" spans="1:33" x14ac:dyDescent="0.2">
      <c r="A895">
        <v>894</v>
      </c>
      <c r="B895" t="s">
        <v>320</v>
      </c>
      <c r="C895" t="s">
        <v>108</v>
      </c>
      <c r="D895">
        <v>42</v>
      </c>
      <c r="E895" t="s">
        <v>34</v>
      </c>
      <c r="F895" t="s">
        <v>41</v>
      </c>
      <c r="G895" t="s">
        <v>55</v>
      </c>
      <c r="H895">
        <v>34201</v>
      </c>
      <c r="I895">
        <v>0</v>
      </c>
      <c r="J895">
        <v>1</v>
      </c>
      <c r="K895">
        <v>1</v>
      </c>
      <c r="L895">
        <v>0</v>
      </c>
      <c r="M895" t="s">
        <v>84</v>
      </c>
      <c r="N895" t="s">
        <v>94</v>
      </c>
      <c r="O895" t="s">
        <v>85</v>
      </c>
      <c r="P895" t="s">
        <v>37</v>
      </c>
      <c r="Q895" t="s">
        <v>46</v>
      </c>
      <c r="R895" t="s">
        <v>47</v>
      </c>
      <c r="S895" t="s">
        <v>65</v>
      </c>
      <c r="T895">
        <v>0</v>
      </c>
      <c r="U895">
        <v>1</v>
      </c>
      <c r="V895">
        <v>0</v>
      </c>
      <c r="W895">
        <v>1</v>
      </c>
      <c r="X895">
        <v>1</v>
      </c>
      <c r="Y895">
        <v>0</v>
      </c>
      <c r="Z895">
        <v>1</v>
      </c>
      <c r="AA895">
        <v>0</v>
      </c>
      <c r="AB895">
        <v>1</v>
      </c>
      <c r="AC895">
        <v>0</v>
      </c>
      <c r="AD895">
        <v>1</v>
      </c>
      <c r="AE895">
        <v>0</v>
      </c>
      <c r="AF895">
        <v>0</v>
      </c>
      <c r="AG895">
        <v>0</v>
      </c>
    </row>
    <row r="896" spans="1:33" hidden="1" x14ac:dyDescent="0.2">
      <c r="A896">
        <v>895</v>
      </c>
      <c r="B896" t="s">
        <v>320</v>
      </c>
      <c r="C896" t="s">
        <v>108</v>
      </c>
      <c r="D896">
        <v>42</v>
      </c>
      <c r="E896" t="s">
        <v>34</v>
      </c>
      <c r="F896" t="s">
        <v>53</v>
      </c>
      <c r="G896" t="s">
        <v>71</v>
      </c>
      <c r="H896">
        <v>43394</v>
      </c>
      <c r="I896">
        <v>0</v>
      </c>
      <c r="J896">
        <v>0</v>
      </c>
      <c r="K896">
        <v>0</v>
      </c>
      <c r="L896">
        <v>1</v>
      </c>
      <c r="M896" t="s">
        <v>36</v>
      </c>
      <c r="N896" t="s">
        <v>36</v>
      </c>
      <c r="O896" t="s">
        <v>36</v>
      </c>
      <c r="P896" t="s">
        <v>37</v>
      </c>
      <c r="Q896" t="s">
        <v>36</v>
      </c>
      <c r="R896" t="s">
        <v>36</v>
      </c>
      <c r="S896" t="s">
        <v>36</v>
      </c>
      <c r="T896" t="s">
        <v>36</v>
      </c>
      <c r="U896">
        <v>1</v>
      </c>
      <c r="V896">
        <v>0</v>
      </c>
      <c r="W896">
        <v>1</v>
      </c>
      <c r="X896">
        <v>1</v>
      </c>
      <c r="Y896">
        <v>0</v>
      </c>
      <c r="Z896">
        <v>1</v>
      </c>
      <c r="AA896">
        <v>0</v>
      </c>
      <c r="AB896">
        <v>1</v>
      </c>
      <c r="AC896">
        <v>0</v>
      </c>
      <c r="AD896">
        <v>1</v>
      </c>
      <c r="AE896">
        <v>0</v>
      </c>
      <c r="AF896">
        <v>0</v>
      </c>
      <c r="AG896">
        <v>0</v>
      </c>
    </row>
    <row r="897" spans="1:33" hidden="1" x14ac:dyDescent="0.2">
      <c r="A897">
        <v>896</v>
      </c>
      <c r="B897" t="s">
        <v>320</v>
      </c>
      <c r="C897" t="s">
        <v>108</v>
      </c>
      <c r="D897">
        <v>42</v>
      </c>
      <c r="E897" t="s">
        <v>34</v>
      </c>
      <c r="F897" t="s">
        <v>77</v>
      </c>
      <c r="G897" t="s">
        <v>36</v>
      </c>
      <c r="H897">
        <v>120874</v>
      </c>
      <c r="I897" t="s">
        <v>321</v>
      </c>
      <c r="J897" t="s">
        <v>322</v>
      </c>
      <c r="K897" t="s">
        <v>166</v>
      </c>
      <c r="L897" t="s">
        <v>36</v>
      </c>
      <c r="M897" t="s">
        <v>36</v>
      </c>
      <c r="N897" t="s">
        <v>36</v>
      </c>
      <c r="O897" t="s">
        <v>36</v>
      </c>
      <c r="P897" t="s">
        <v>37</v>
      </c>
      <c r="Q897" t="s">
        <v>36</v>
      </c>
      <c r="R897" t="s">
        <v>36</v>
      </c>
      <c r="S897" t="s">
        <v>36</v>
      </c>
      <c r="T897" t="s">
        <v>36</v>
      </c>
      <c r="U897" t="s">
        <v>36</v>
      </c>
      <c r="V897" t="s">
        <v>36</v>
      </c>
      <c r="W897" t="s">
        <v>36</v>
      </c>
      <c r="X897" t="s">
        <v>36</v>
      </c>
      <c r="Y897" t="s">
        <v>36</v>
      </c>
      <c r="Z897" t="s">
        <v>36</v>
      </c>
      <c r="AA897" t="s">
        <v>36</v>
      </c>
      <c r="AB897" t="s">
        <v>36</v>
      </c>
      <c r="AC897" t="s">
        <v>36</v>
      </c>
      <c r="AD897" t="s">
        <v>36</v>
      </c>
      <c r="AE897" t="s">
        <v>36</v>
      </c>
      <c r="AF897" t="s">
        <v>36</v>
      </c>
      <c r="AG897" t="s">
        <v>36</v>
      </c>
    </row>
    <row r="898" spans="1:33" hidden="1" x14ac:dyDescent="0.2">
      <c r="A898">
        <v>897</v>
      </c>
      <c r="B898" t="s">
        <v>323</v>
      </c>
      <c r="C898" t="s">
        <v>108</v>
      </c>
      <c r="D898">
        <v>47</v>
      </c>
      <c r="E898" t="s">
        <v>114</v>
      </c>
      <c r="F898" t="s">
        <v>35</v>
      </c>
      <c r="G898" t="s">
        <v>36</v>
      </c>
      <c r="H898">
        <v>43310</v>
      </c>
      <c r="I898" t="s">
        <v>36</v>
      </c>
      <c r="J898" t="s">
        <v>36</v>
      </c>
      <c r="K898" t="s">
        <v>36</v>
      </c>
      <c r="L898" t="s">
        <v>36</v>
      </c>
      <c r="M898" t="s">
        <v>36</v>
      </c>
      <c r="N898" t="s">
        <v>36</v>
      </c>
      <c r="O898" t="s">
        <v>36</v>
      </c>
      <c r="P898" t="s">
        <v>37</v>
      </c>
      <c r="Q898" t="s">
        <v>36</v>
      </c>
      <c r="R898" t="s">
        <v>36</v>
      </c>
      <c r="S898" t="s">
        <v>36</v>
      </c>
      <c r="T898" t="s">
        <v>36</v>
      </c>
      <c r="U898" t="s">
        <v>36</v>
      </c>
      <c r="V898" t="s">
        <v>36</v>
      </c>
      <c r="W898" t="s">
        <v>36</v>
      </c>
      <c r="X898" t="s">
        <v>36</v>
      </c>
      <c r="Y898" t="s">
        <v>36</v>
      </c>
      <c r="Z898" t="s">
        <v>36</v>
      </c>
      <c r="AA898" t="s">
        <v>36</v>
      </c>
      <c r="AB898" t="s">
        <v>36</v>
      </c>
      <c r="AC898" t="s">
        <v>36</v>
      </c>
      <c r="AD898" t="s">
        <v>36</v>
      </c>
      <c r="AE898" t="s">
        <v>36</v>
      </c>
      <c r="AF898" t="s">
        <v>36</v>
      </c>
      <c r="AG898" t="s">
        <v>36</v>
      </c>
    </row>
    <row r="899" spans="1:33" hidden="1" x14ac:dyDescent="0.2">
      <c r="A899">
        <v>898</v>
      </c>
      <c r="B899" t="s">
        <v>323</v>
      </c>
      <c r="C899" t="s">
        <v>108</v>
      </c>
      <c r="D899">
        <v>47</v>
      </c>
      <c r="E899" t="s">
        <v>114</v>
      </c>
      <c r="F899" t="s">
        <v>38</v>
      </c>
      <c r="G899" t="s">
        <v>40</v>
      </c>
      <c r="H899">
        <v>78715</v>
      </c>
      <c r="I899">
        <v>0</v>
      </c>
      <c r="J899">
        <v>0</v>
      </c>
      <c r="K899">
        <v>1</v>
      </c>
      <c r="L899">
        <v>0</v>
      </c>
      <c r="M899" t="s">
        <v>36</v>
      </c>
      <c r="N899" t="s">
        <v>36</v>
      </c>
      <c r="O899" t="s">
        <v>36</v>
      </c>
      <c r="P899" t="s">
        <v>37</v>
      </c>
      <c r="Q899" t="s">
        <v>36</v>
      </c>
      <c r="R899" t="s">
        <v>36</v>
      </c>
      <c r="S899" t="s">
        <v>36</v>
      </c>
      <c r="T899" t="s">
        <v>36</v>
      </c>
      <c r="U899" t="s">
        <v>36</v>
      </c>
      <c r="V899" t="s">
        <v>36</v>
      </c>
      <c r="W899" t="s">
        <v>36</v>
      </c>
      <c r="X899" t="s">
        <v>36</v>
      </c>
      <c r="Y899" t="s">
        <v>36</v>
      </c>
      <c r="Z899" t="s">
        <v>36</v>
      </c>
      <c r="AA899" t="s">
        <v>36</v>
      </c>
      <c r="AB899" t="s">
        <v>36</v>
      </c>
      <c r="AC899" t="s">
        <v>36</v>
      </c>
      <c r="AD899" t="s">
        <v>36</v>
      </c>
      <c r="AE899" t="s">
        <v>36</v>
      </c>
      <c r="AF899" t="s">
        <v>36</v>
      </c>
      <c r="AG899" t="s">
        <v>36</v>
      </c>
    </row>
    <row r="900" spans="1:33" hidden="1" x14ac:dyDescent="0.2">
      <c r="A900">
        <v>899</v>
      </c>
      <c r="B900" t="s">
        <v>323</v>
      </c>
      <c r="C900" t="s">
        <v>108</v>
      </c>
      <c r="D900">
        <v>47</v>
      </c>
      <c r="E900" t="s">
        <v>114</v>
      </c>
      <c r="F900" t="s">
        <v>38</v>
      </c>
      <c r="G900" t="s">
        <v>39</v>
      </c>
      <c r="H900">
        <v>171289</v>
      </c>
      <c r="I900">
        <v>0</v>
      </c>
      <c r="J900">
        <v>0</v>
      </c>
      <c r="K900">
        <v>0</v>
      </c>
      <c r="L900">
        <v>0</v>
      </c>
      <c r="M900" t="s">
        <v>36</v>
      </c>
      <c r="N900" t="s">
        <v>36</v>
      </c>
      <c r="O900" t="s">
        <v>36</v>
      </c>
      <c r="P900" t="s">
        <v>37</v>
      </c>
      <c r="Q900" t="s">
        <v>36</v>
      </c>
      <c r="R900" t="s">
        <v>36</v>
      </c>
      <c r="S900" t="s">
        <v>36</v>
      </c>
      <c r="T900" t="s">
        <v>36</v>
      </c>
      <c r="U900" t="s">
        <v>36</v>
      </c>
      <c r="V900" t="s">
        <v>36</v>
      </c>
      <c r="W900" t="s">
        <v>36</v>
      </c>
      <c r="X900" t="s">
        <v>36</v>
      </c>
      <c r="Y900" t="s">
        <v>36</v>
      </c>
      <c r="Z900" t="s">
        <v>36</v>
      </c>
      <c r="AA900" t="s">
        <v>36</v>
      </c>
      <c r="AB900" t="s">
        <v>36</v>
      </c>
      <c r="AC900" t="s">
        <v>36</v>
      </c>
      <c r="AD900" t="s">
        <v>36</v>
      </c>
      <c r="AE900" t="s">
        <v>36</v>
      </c>
      <c r="AF900" t="s">
        <v>36</v>
      </c>
      <c r="AG900" t="s">
        <v>36</v>
      </c>
    </row>
    <row r="901" spans="1:33" x14ac:dyDescent="0.2">
      <c r="A901">
        <v>900</v>
      </c>
      <c r="B901" t="s">
        <v>323</v>
      </c>
      <c r="C901" t="s">
        <v>108</v>
      </c>
      <c r="D901">
        <v>47</v>
      </c>
      <c r="E901" t="s">
        <v>114</v>
      </c>
      <c r="F901" t="s">
        <v>41</v>
      </c>
      <c r="G901" t="s">
        <v>72</v>
      </c>
      <c r="H901">
        <v>124717</v>
      </c>
      <c r="I901">
        <v>0</v>
      </c>
      <c r="J901">
        <v>1</v>
      </c>
      <c r="K901">
        <v>0</v>
      </c>
      <c r="L901">
        <v>0</v>
      </c>
      <c r="M901" t="s">
        <v>93</v>
      </c>
      <c r="N901" t="s">
        <v>73</v>
      </c>
      <c r="O901" t="s">
        <v>75</v>
      </c>
      <c r="P901" t="s">
        <v>37</v>
      </c>
      <c r="Q901" t="s">
        <v>59</v>
      </c>
      <c r="R901" t="s">
        <v>48</v>
      </c>
      <c r="S901" t="s">
        <v>46</v>
      </c>
      <c r="T901">
        <v>0</v>
      </c>
      <c r="U901">
        <v>0</v>
      </c>
      <c r="V901">
        <v>1</v>
      </c>
      <c r="W901">
        <v>0</v>
      </c>
      <c r="X901">
        <v>1</v>
      </c>
      <c r="Y901">
        <v>0</v>
      </c>
      <c r="Z901">
        <v>1</v>
      </c>
      <c r="AA901">
        <v>0</v>
      </c>
      <c r="AB901">
        <v>0</v>
      </c>
      <c r="AC901">
        <v>1</v>
      </c>
      <c r="AD901">
        <v>0</v>
      </c>
      <c r="AE901">
        <v>0</v>
      </c>
      <c r="AF901">
        <v>0</v>
      </c>
      <c r="AG901">
        <v>0</v>
      </c>
    </row>
    <row r="902" spans="1:33" x14ac:dyDescent="0.2">
      <c r="A902">
        <v>901</v>
      </c>
      <c r="B902" t="s">
        <v>323</v>
      </c>
      <c r="C902" t="s">
        <v>108</v>
      </c>
      <c r="D902">
        <v>47</v>
      </c>
      <c r="E902" t="s">
        <v>114</v>
      </c>
      <c r="F902" t="s">
        <v>41</v>
      </c>
      <c r="G902" t="s">
        <v>61</v>
      </c>
      <c r="H902">
        <v>39364</v>
      </c>
      <c r="I902">
        <v>0</v>
      </c>
      <c r="J902">
        <v>0</v>
      </c>
      <c r="K902">
        <v>1</v>
      </c>
      <c r="L902">
        <v>0</v>
      </c>
      <c r="M902" t="s">
        <v>62</v>
      </c>
      <c r="N902" t="s">
        <v>97</v>
      </c>
      <c r="O902" t="s">
        <v>125</v>
      </c>
      <c r="P902" t="s">
        <v>37</v>
      </c>
      <c r="Q902" t="s">
        <v>65</v>
      </c>
      <c r="R902" t="s">
        <v>59</v>
      </c>
      <c r="S902" t="s">
        <v>60</v>
      </c>
      <c r="T902">
        <v>1</v>
      </c>
      <c r="U902">
        <v>1</v>
      </c>
      <c r="V902">
        <v>0</v>
      </c>
      <c r="W902">
        <v>0</v>
      </c>
      <c r="X902">
        <v>0</v>
      </c>
      <c r="Y902">
        <v>0</v>
      </c>
      <c r="Z902">
        <v>1</v>
      </c>
      <c r="AA902">
        <v>1</v>
      </c>
      <c r="AB902">
        <v>0</v>
      </c>
      <c r="AC902">
        <v>0</v>
      </c>
      <c r="AD902">
        <v>0</v>
      </c>
      <c r="AE902">
        <v>0</v>
      </c>
      <c r="AF902">
        <v>0</v>
      </c>
      <c r="AG902">
        <v>0</v>
      </c>
    </row>
    <row r="903" spans="1:33" hidden="1" x14ac:dyDescent="0.2">
      <c r="A903">
        <v>902</v>
      </c>
      <c r="B903" t="s">
        <v>323</v>
      </c>
      <c r="C903" t="s">
        <v>108</v>
      </c>
      <c r="D903">
        <v>47</v>
      </c>
      <c r="E903" t="s">
        <v>114</v>
      </c>
      <c r="F903" t="s">
        <v>53</v>
      </c>
      <c r="G903" t="s">
        <v>66</v>
      </c>
      <c r="H903">
        <v>41151</v>
      </c>
      <c r="I903">
        <v>1</v>
      </c>
      <c r="J903">
        <v>0</v>
      </c>
      <c r="K903">
        <v>0</v>
      </c>
      <c r="L903">
        <v>0</v>
      </c>
      <c r="M903" t="s">
        <v>36</v>
      </c>
      <c r="N903" t="s">
        <v>36</v>
      </c>
      <c r="O903" t="s">
        <v>36</v>
      </c>
      <c r="P903" t="s">
        <v>37</v>
      </c>
      <c r="Q903" t="s">
        <v>36</v>
      </c>
      <c r="R903" t="s">
        <v>36</v>
      </c>
      <c r="S903" t="s">
        <v>36</v>
      </c>
      <c r="T903" t="s">
        <v>36</v>
      </c>
      <c r="U903">
        <v>1</v>
      </c>
      <c r="V903">
        <v>0</v>
      </c>
      <c r="W903">
        <v>0</v>
      </c>
      <c r="X903">
        <v>0</v>
      </c>
      <c r="Y903">
        <v>0</v>
      </c>
      <c r="Z903">
        <v>1</v>
      </c>
      <c r="AA903">
        <v>1</v>
      </c>
      <c r="AB903">
        <v>0</v>
      </c>
      <c r="AC903">
        <v>0</v>
      </c>
      <c r="AD903">
        <v>0</v>
      </c>
      <c r="AE903">
        <v>0</v>
      </c>
      <c r="AF903">
        <v>0</v>
      </c>
      <c r="AG903">
        <v>0</v>
      </c>
    </row>
    <row r="904" spans="1:33" x14ac:dyDescent="0.2">
      <c r="A904">
        <v>903</v>
      </c>
      <c r="B904" t="s">
        <v>323</v>
      </c>
      <c r="C904" t="s">
        <v>108</v>
      </c>
      <c r="D904">
        <v>47</v>
      </c>
      <c r="E904" t="s">
        <v>114</v>
      </c>
      <c r="F904" t="s">
        <v>41</v>
      </c>
      <c r="G904" t="s">
        <v>42</v>
      </c>
      <c r="H904">
        <v>43806</v>
      </c>
      <c r="I904">
        <v>0</v>
      </c>
      <c r="J904">
        <v>0</v>
      </c>
      <c r="K904">
        <v>1</v>
      </c>
      <c r="L904">
        <v>0</v>
      </c>
      <c r="M904" t="s">
        <v>102</v>
      </c>
      <c r="N904" t="s">
        <v>45</v>
      </c>
      <c r="O904" t="s">
        <v>43</v>
      </c>
      <c r="P904" t="s">
        <v>37</v>
      </c>
      <c r="Q904" t="s">
        <v>59</v>
      </c>
      <c r="R904" t="s">
        <v>48</v>
      </c>
      <c r="S904" t="s">
        <v>46</v>
      </c>
      <c r="T904">
        <v>0</v>
      </c>
      <c r="U904">
        <v>0</v>
      </c>
      <c r="V904">
        <v>1</v>
      </c>
      <c r="W904">
        <v>0</v>
      </c>
      <c r="X904">
        <v>1</v>
      </c>
      <c r="Y904">
        <v>0</v>
      </c>
      <c r="Z904">
        <v>1</v>
      </c>
      <c r="AA904">
        <v>0</v>
      </c>
      <c r="AB904">
        <v>0</v>
      </c>
      <c r="AC904">
        <v>0</v>
      </c>
      <c r="AD904">
        <v>0</v>
      </c>
      <c r="AE904">
        <v>1</v>
      </c>
      <c r="AF904">
        <v>0</v>
      </c>
      <c r="AG904">
        <v>0</v>
      </c>
    </row>
    <row r="905" spans="1:33" hidden="1" x14ac:dyDescent="0.2">
      <c r="A905">
        <v>904</v>
      </c>
      <c r="B905" t="s">
        <v>323</v>
      </c>
      <c r="C905" t="s">
        <v>108</v>
      </c>
      <c r="D905">
        <v>47</v>
      </c>
      <c r="E905" t="s">
        <v>114</v>
      </c>
      <c r="F905" t="s">
        <v>53</v>
      </c>
      <c r="G905" t="s">
        <v>71</v>
      </c>
      <c r="H905">
        <v>55489</v>
      </c>
      <c r="I905">
        <v>0</v>
      </c>
      <c r="J905">
        <v>1</v>
      </c>
      <c r="K905">
        <v>0</v>
      </c>
      <c r="L905">
        <v>0</v>
      </c>
      <c r="M905" t="s">
        <v>36</v>
      </c>
      <c r="N905" t="s">
        <v>36</v>
      </c>
      <c r="O905" t="s">
        <v>36</v>
      </c>
      <c r="P905" t="s">
        <v>37</v>
      </c>
      <c r="Q905" t="s">
        <v>36</v>
      </c>
      <c r="R905" t="s">
        <v>36</v>
      </c>
      <c r="S905" t="s">
        <v>36</v>
      </c>
      <c r="T905" t="s">
        <v>36</v>
      </c>
      <c r="U905">
        <v>0</v>
      </c>
      <c r="V905">
        <v>1</v>
      </c>
      <c r="W905">
        <v>0</v>
      </c>
      <c r="X905">
        <v>1</v>
      </c>
      <c r="Y905">
        <v>0</v>
      </c>
      <c r="Z905">
        <v>1</v>
      </c>
      <c r="AA905">
        <v>0</v>
      </c>
      <c r="AB905">
        <v>0</v>
      </c>
      <c r="AC905">
        <v>0</v>
      </c>
      <c r="AD905">
        <v>0</v>
      </c>
      <c r="AE905">
        <v>1</v>
      </c>
      <c r="AF905">
        <v>0</v>
      </c>
      <c r="AG905">
        <v>0</v>
      </c>
    </row>
    <row r="906" spans="1:33" x14ac:dyDescent="0.2">
      <c r="A906">
        <v>905</v>
      </c>
      <c r="B906" t="s">
        <v>323</v>
      </c>
      <c r="C906" t="s">
        <v>108</v>
      </c>
      <c r="D906">
        <v>47</v>
      </c>
      <c r="E906" t="s">
        <v>114</v>
      </c>
      <c r="F906" t="s">
        <v>41</v>
      </c>
      <c r="G906" t="s">
        <v>55</v>
      </c>
      <c r="H906">
        <v>97709</v>
      </c>
      <c r="I906">
        <v>1</v>
      </c>
      <c r="J906">
        <v>0</v>
      </c>
      <c r="K906">
        <v>0</v>
      </c>
      <c r="L906">
        <v>0</v>
      </c>
      <c r="M906" t="s">
        <v>94</v>
      </c>
      <c r="N906" t="s">
        <v>57</v>
      </c>
      <c r="O906" t="s">
        <v>85</v>
      </c>
      <c r="P906" t="s">
        <v>37</v>
      </c>
      <c r="Q906" t="s">
        <v>47</v>
      </c>
      <c r="R906" t="s">
        <v>48</v>
      </c>
      <c r="S906" t="s">
        <v>65</v>
      </c>
      <c r="T906">
        <v>0</v>
      </c>
      <c r="U906">
        <v>1</v>
      </c>
      <c r="V906">
        <v>1</v>
      </c>
      <c r="W906">
        <v>1</v>
      </c>
      <c r="X906">
        <v>0</v>
      </c>
      <c r="Y906">
        <v>0</v>
      </c>
      <c r="Z906">
        <v>1</v>
      </c>
      <c r="AA906">
        <v>0</v>
      </c>
      <c r="AB906">
        <v>0</v>
      </c>
      <c r="AC906">
        <v>0</v>
      </c>
      <c r="AD906">
        <v>1</v>
      </c>
      <c r="AE906">
        <v>0</v>
      </c>
      <c r="AF906">
        <v>0</v>
      </c>
      <c r="AG906">
        <v>0</v>
      </c>
    </row>
    <row r="907" spans="1:33" x14ac:dyDescent="0.2">
      <c r="A907">
        <v>906</v>
      </c>
      <c r="B907" t="s">
        <v>323</v>
      </c>
      <c r="C907" t="s">
        <v>108</v>
      </c>
      <c r="D907">
        <v>47</v>
      </c>
      <c r="E907" t="s">
        <v>114</v>
      </c>
      <c r="F907" t="s">
        <v>41</v>
      </c>
      <c r="G907" t="s">
        <v>67</v>
      </c>
      <c r="H907">
        <v>40116</v>
      </c>
      <c r="I907">
        <v>0</v>
      </c>
      <c r="J907">
        <v>1</v>
      </c>
      <c r="K907">
        <v>0</v>
      </c>
      <c r="L907">
        <v>0</v>
      </c>
      <c r="M907" t="s">
        <v>109</v>
      </c>
      <c r="N907" t="s">
        <v>86</v>
      </c>
      <c r="O907" t="s">
        <v>69</v>
      </c>
      <c r="P907" t="s">
        <v>37</v>
      </c>
      <c r="Q907" t="s">
        <v>59</v>
      </c>
      <c r="R907" t="s">
        <v>46</v>
      </c>
      <c r="S907" t="s">
        <v>48</v>
      </c>
      <c r="T907">
        <v>0</v>
      </c>
      <c r="U907">
        <v>0</v>
      </c>
      <c r="V907">
        <v>1</v>
      </c>
      <c r="W907">
        <v>0</v>
      </c>
      <c r="X907">
        <v>1</v>
      </c>
      <c r="Y907">
        <v>0</v>
      </c>
      <c r="Z907">
        <v>1</v>
      </c>
      <c r="AA907">
        <v>0</v>
      </c>
      <c r="AB907">
        <v>0</v>
      </c>
      <c r="AC907">
        <v>0</v>
      </c>
      <c r="AD907">
        <v>0</v>
      </c>
      <c r="AE907">
        <v>1</v>
      </c>
      <c r="AF907">
        <v>0</v>
      </c>
      <c r="AG907">
        <v>0</v>
      </c>
    </row>
    <row r="908" spans="1:33" hidden="1" x14ac:dyDescent="0.2">
      <c r="A908">
        <v>907</v>
      </c>
      <c r="B908" t="s">
        <v>323</v>
      </c>
      <c r="C908" t="s">
        <v>108</v>
      </c>
      <c r="D908">
        <v>47</v>
      </c>
      <c r="E908" t="s">
        <v>114</v>
      </c>
      <c r="F908" t="s">
        <v>53</v>
      </c>
      <c r="G908" t="s">
        <v>76</v>
      </c>
      <c r="H908">
        <v>35914</v>
      </c>
      <c r="I908">
        <v>1</v>
      </c>
      <c r="J908">
        <v>0</v>
      </c>
      <c r="K908">
        <v>0</v>
      </c>
      <c r="L908">
        <v>0</v>
      </c>
      <c r="M908" t="s">
        <v>36</v>
      </c>
      <c r="N908" t="s">
        <v>36</v>
      </c>
      <c r="O908" t="s">
        <v>36</v>
      </c>
      <c r="P908" t="s">
        <v>37</v>
      </c>
      <c r="Q908" t="s">
        <v>36</v>
      </c>
      <c r="R908" t="s">
        <v>36</v>
      </c>
      <c r="S908" t="s">
        <v>36</v>
      </c>
      <c r="T908" t="s">
        <v>36</v>
      </c>
      <c r="U908">
        <v>0</v>
      </c>
      <c r="V908">
        <v>1</v>
      </c>
      <c r="W908">
        <v>0</v>
      </c>
      <c r="X908">
        <v>1</v>
      </c>
      <c r="Y908">
        <v>0</v>
      </c>
      <c r="Z908">
        <v>1</v>
      </c>
      <c r="AA908">
        <v>0</v>
      </c>
      <c r="AB908">
        <v>0</v>
      </c>
      <c r="AC908">
        <v>0</v>
      </c>
      <c r="AD908">
        <v>0</v>
      </c>
      <c r="AE908">
        <v>1</v>
      </c>
      <c r="AF908">
        <v>0</v>
      </c>
      <c r="AG908">
        <v>0</v>
      </c>
    </row>
    <row r="909" spans="1:33" x14ac:dyDescent="0.2">
      <c r="A909">
        <v>908</v>
      </c>
      <c r="B909" t="s">
        <v>323</v>
      </c>
      <c r="C909" t="s">
        <v>108</v>
      </c>
      <c r="D909">
        <v>47</v>
      </c>
      <c r="E909" t="s">
        <v>114</v>
      </c>
      <c r="F909" t="s">
        <v>41</v>
      </c>
      <c r="G909" t="s">
        <v>49</v>
      </c>
      <c r="H909">
        <v>38261</v>
      </c>
      <c r="I909">
        <v>1</v>
      </c>
      <c r="J909">
        <v>0</v>
      </c>
      <c r="K909">
        <v>0</v>
      </c>
      <c r="L909">
        <v>0</v>
      </c>
      <c r="M909" t="s">
        <v>51</v>
      </c>
      <c r="N909" t="s">
        <v>50</v>
      </c>
      <c r="O909" t="s">
        <v>52</v>
      </c>
      <c r="P909" t="s">
        <v>37</v>
      </c>
      <c r="Q909" t="s">
        <v>47</v>
      </c>
      <c r="R909" t="s">
        <v>48</v>
      </c>
      <c r="S909" t="s">
        <v>46</v>
      </c>
      <c r="T909">
        <v>0</v>
      </c>
      <c r="U909">
        <v>0</v>
      </c>
      <c r="V909">
        <v>1</v>
      </c>
      <c r="W909">
        <v>1</v>
      </c>
      <c r="X909">
        <v>1</v>
      </c>
      <c r="Y909">
        <v>0</v>
      </c>
      <c r="Z909">
        <v>1</v>
      </c>
      <c r="AA909">
        <v>0</v>
      </c>
      <c r="AB909">
        <v>0</v>
      </c>
      <c r="AC909">
        <v>0</v>
      </c>
      <c r="AD909">
        <v>1</v>
      </c>
      <c r="AE909">
        <v>0</v>
      </c>
      <c r="AF909">
        <v>0</v>
      </c>
      <c r="AG909">
        <v>0</v>
      </c>
    </row>
    <row r="910" spans="1:33" hidden="1" x14ac:dyDescent="0.2">
      <c r="A910">
        <v>909</v>
      </c>
      <c r="B910" t="s">
        <v>323</v>
      </c>
      <c r="C910" t="s">
        <v>108</v>
      </c>
      <c r="D910">
        <v>47</v>
      </c>
      <c r="E910" t="s">
        <v>114</v>
      </c>
      <c r="F910" t="s">
        <v>53</v>
      </c>
      <c r="G910" t="s">
        <v>54</v>
      </c>
      <c r="H910">
        <v>31316</v>
      </c>
      <c r="I910">
        <v>0</v>
      </c>
      <c r="J910">
        <v>1</v>
      </c>
      <c r="K910">
        <v>0</v>
      </c>
      <c r="L910">
        <v>0</v>
      </c>
      <c r="M910" t="s">
        <v>36</v>
      </c>
      <c r="N910" t="s">
        <v>36</v>
      </c>
      <c r="O910" t="s">
        <v>36</v>
      </c>
      <c r="P910" t="s">
        <v>37</v>
      </c>
      <c r="Q910" t="s">
        <v>36</v>
      </c>
      <c r="R910" t="s">
        <v>36</v>
      </c>
      <c r="S910" t="s">
        <v>36</v>
      </c>
      <c r="T910" t="s">
        <v>36</v>
      </c>
      <c r="U910">
        <v>0</v>
      </c>
      <c r="V910">
        <v>1</v>
      </c>
      <c r="W910">
        <v>1</v>
      </c>
      <c r="X910">
        <v>1</v>
      </c>
      <c r="Y910">
        <v>0</v>
      </c>
      <c r="Z910">
        <v>1</v>
      </c>
      <c r="AA910">
        <v>0</v>
      </c>
      <c r="AB910">
        <v>0</v>
      </c>
      <c r="AC910">
        <v>0</v>
      </c>
      <c r="AD910">
        <v>1</v>
      </c>
      <c r="AE910">
        <v>0</v>
      </c>
      <c r="AF910">
        <v>0</v>
      </c>
      <c r="AG910">
        <v>0</v>
      </c>
    </row>
    <row r="911" spans="1:33" hidden="1" x14ac:dyDescent="0.2">
      <c r="A911">
        <v>910</v>
      </c>
      <c r="B911" t="s">
        <v>323</v>
      </c>
      <c r="C911" t="s">
        <v>108</v>
      </c>
      <c r="D911">
        <v>47</v>
      </c>
      <c r="E911" t="s">
        <v>114</v>
      </c>
      <c r="F911" t="s">
        <v>77</v>
      </c>
      <c r="G911" t="s">
        <v>36</v>
      </c>
      <c r="H911">
        <v>80504</v>
      </c>
      <c r="I911" t="s">
        <v>324</v>
      </c>
      <c r="J911" t="s">
        <v>325</v>
      </c>
      <c r="K911" t="s">
        <v>112</v>
      </c>
      <c r="L911" t="s">
        <v>36</v>
      </c>
      <c r="M911" t="s">
        <v>36</v>
      </c>
      <c r="N911" t="s">
        <v>36</v>
      </c>
      <c r="O911" t="s">
        <v>36</v>
      </c>
      <c r="P911" t="s">
        <v>37</v>
      </c>
      <c r="Q911" t="s">
        <v>36</v>
      </c>
      <c r="R911" t="s">
        <v>36</v>
      </c>
      <c r="S911" t="s">
        <v>36</v>
      </c>
      <c r="T911" t="s">
        <v>36</v>
      </c>
      <c r="U911" t="s">
        <v>36</v>
      </c>
      <c r="V911" t="s">
        <v>36</v>
      </c>
      <c r="W911" t="s">
        <v>36</v>
      </c>
      <c r="X911" t="s">
        <v>36</v>
      </c>
      <c r="Y911" t="s">
        <v>36</v>
      </c>
      <c r="Z911" t="s">
        <v>36</v>
      </c>
      <c r="AA911" t="s">
        <v>36</v>
      </c>
      <c r="AB911" t="s">
        <v>36</v>
      </c>
      <c r="AC911" t="s">
        <v>36</v>
      </c>
      <c r="AD911" t="s">
        <v>36</v>
      </c>
      <c r="AE911" t="s">
        <v>36</v>
      </c>
      <c r="AF911" t="s">
        <v>36</v>
      </c>
      <c r="AG911" t="s">
        <v>36</v>
      </c>
    </row>
    <row r="912" spans="1:33" hidden="1" x14ac:dyDescent="0.2">
      <c r="A912">
        <v>911</v>
      </c>
      <c r="B912" t="s">
        <v>326</v>
      </c>
      <c r="C912" t="s">
        <v>33</v>
      </c>
      <c r="D912">
        <v>28</v>
      </c>
      <c r="E912" t="s">
        <v>114</v>
      </c>
      <c r="F912" t="s">
        <v>35</v>
      </c>
      <c r="G912" t="s">
        <v>36</v>
      </c>
      <c r="H912">
        <v>38521</v>
      </c>
      <c r="I912" t="s">
        <v>36</v>
      </c>
      <c r="J912" t="s">
        <v>36</v>
      </c>
      <c r="K912" t="s">
        <v>36</v>
      </c>
      <c r="L912" t="s">
        <v>36</v>
      </c>
      <c r="M912" t="s">
        <v>36</v>
      </c>
      <c r="N912" t="s">
        <v>36</v>
      </c>
      <c r="O912" t="s">
        <v>36</v>
      </c>
      <c r="P912" t="s">
        <v>37</v>
      </c>
      <c r="Q912" t="s">
        <v>36</v>
      </c>
      <c r="R912" t="s">
        <v>36</v>
      </c>
      <c r="S912" t="s">
        <v>36</v>
      </c>
      <c r="T912" t="s">
        <v>36</v>
      </c>
      <c r="U912" t="s">
        <v>36</v>
      </c>
      <c r="V912" t="s">
        <v>36</v>
      </c>
      <c r="W912" t="s">
        <v>36</v>
      </c>
      <c r="X912" t="s">
        <v>36</v>
      </c>
      <c r="Y912" t="s">
        <v>36</v>
      </c>
      <c r="Z912" t="s">
        <v>36</v>
      </c>
      <c r="AA912" t="s">
        <v>36</v>
      </c>
      <c r="AB912" t="s">
        <v>36</v>
      </c>
      <c r="AC912" t="s">
        <v>36</v>
      </c>
      <c r="AD912" t="s">
        <v>36</v>
      </c>
      <c r="AE912" t="s">
        <v>36</v>
      </c>
      <c r="AF912" t="s">
        <v>36</v>
      </c>
      <c r="AG912" t="s">
        <v>36</v>
      </c>
    </row>
    <row r="913" spans="1:33" hidden="1" x14ac:dyDescent="0.2">
      <c r="A913">
        <v>912</v>
      </c>
      <c r="B913" t="s">
        <v>326</v>
      </c>
      <c r="C913" t="s">
        <v>33</v>
      </c>
      <c r="D913">
        <v>28</v>
      </c>
      <c r="E913" t="s">
        <v>114</v>
      </c>
      <c r="F913" t="s">
        <v>38</v>
      </c>
      <c r="G913" t="s">
        <v>39</v>
      </c>
      <c r="H913">
        <v>143907</v>
      </c>
      <c r="I913">
        <v>0</v>
      </c>
      <c r="J913">
        <v>0</v>
      </c>
      <c r="K913">
        <v>0</v>
      </c>
      <c r="L913">
        <v>1</v>
      </c>
      <c r="M913" t="s">
        <v>36</v>
      </c>
      <c r="N913" t="s">
        <v>36</v>
      </c>
      <c r="O913" t="s">
        <v>36</v>
      </c>
      <c r="P913" t="s">
        <v>37</v>
      </c>
      <c r="Q913" t="s">
        <v>36</v>
      </c>
      <c r="R913" t="s">
        <v>36</v>
      </c>
      <c r="S913" t="s">
        <v>36</v>
      </c>
      <c r="T913" t="s">
        <v>36</v>
      </c>
      <c r="U913" t="s">
        <v>36</v>
      </c>
      <c r="V913" t="s">
        <v>36</v>
      </c>
      <c r="W913" t="s">
        <v>36</v>
      </c>
      <c r="X913" t="s">
        <v>36</v>
      </c>
      <c r="Y913" t="s">
        <v>36</v>
      </c>
      <c r="Z913" t="s">
        <v>36</v>
      </c>
      <c r="AA913" t="s">
        <v>36</v>
      </c>
      <c r="AB913" t="s">
        <v>36</v>
      </c>
      <c r="AC913" t="s">
        <v>36</v>
      </c>
      <c r="AD913" t="s">
        <v>36</v>
      </c>
      <c r="AE913" t="s">
        <v>36</v>
      </c>
      <c r="AF913" t="s">
        <v>36</v>
      </c>
      <c r="AG913" t="s">
        <v>36</v>
      </c>
    </row>
    <row r="914" spans="1:33" hidden="1" x14ac:dyDescent="0.2">
      <c r="A914">
        <v>913</v>
      </c>
      <c r="B914" t="s">
        <v>326</v>
      </c>
      <c r="C914" t="s">
        <v>33</v>
      </c>
      <c r="D914">
        <v>28</v>
      </c>
      <c r="E914" t="s">
        <v>114</v>
      </c>
      <c r="F914" t="s">
        <v>38</v>
      </c>
      <c r="G914" t="s">
        <v>40</v>
      </c>
      <c r="H914">
        <v>52310</v>
      </c>
      <c r="I914">
        <v>0</v>
      </c>
      <c r="J914">
        <v>0</v>
      </c>
      <c r="K914">
        <v>1</v>
      </c>
      <c r="L914">
        <v>0</v>
      </c>
      <c r="M914" t="s">
        <v>36</v>
      </c>
      <c r="N914" t="s">
        <v>36</v>
      </c>
      <c r="O914" t="s">
        <v>36</v>
      </c>
      <c r="P914" t="s">
        <v>37</v>
      </c>
      <c r="Q914" t="s">
        <v>36</v>
      </c>
      <c r="R914" t="s">
        <v>36</v>
      </c>
      <c r="S914" t="s">
        <v>36</v>
      </c>
      <c r="T914" t="s">
        <v>36</v>
      </c>
      <c r="U914" t="s">
        <v>36</v>
      </c>
      <c r="V914" t="s">
        <v>36</v>
      </c>
      <c r="W914" t="s">
        <v>36</v>
      </c>
      <c r="X914" t="s">
        <v>36</v>
      </c>
      <c r="Y914" t="s">
        <v>36</v>
      </c>
      <c r="Z914" t="s">
        <v>36</v>
      </c>
      <c r="AA914" t="s">
        <v>36</v>
      </c>
      <c r="AB914" t="s">
        <v>36</v>
      </c>
      <c r="AC914" t="s">
        <v>36</v>
      </c>
      <c r="AD914" t="s">
        <v>36</v>
      </c>
      <c r="AE914" t="s">
        <v>36</v>
      </c>
      <c r="AF914" t="s">
        <v>36</v>
      </c>
      <c r="AG914" t="s">
        <v>36</v>
      </c>
    </row>
    <row r="915" spans="1:33" x14ac:dyDescent="0.2">
      <c r="A915">
        <v>914</v>
      </c>
      <c r="B915" t="s">
        <v>326</v>
      </c>
      <c r="C915" t="s">
        <v>33</v>
      </c>
      <c r="D915">
        <v>28</v>
      </c>
      <c r="E915" t="s">
        <v>114</v>
      </c>
      <c r="F915" t="s">
        <v>41</v>
      </c>
      <c r="G915" t="s">
        <v>67</v>
      </c>
      <c r="H915">
        <v>32890</v>
      </c>
      <c r="I915">
        <v>0</v>
      </c>
      <c r="J915">
        <v>1</v>
      </c>
      <c r="K915">
        <v>0</v>
      </c>
      <c r="L915">
        <v>0</v>
      </c>
      <c r="M915" t="s">
        <v>69</v>
      </c>
      <c r="N915" t="s">
        <v>68</v>
      </c>
      <c r="O915" t="s">
        <v>103</v>
      </c>
      <c r="P915" t="s">
        <v>37</v>
      </c>
      <c r="Q915" t="s">
        <v>48</v>
      </c>
      <c r="R915" t="s">
        <v>65</v>
      </c>
      <c r="S915" t="s">
        <v>60</v>
      </c>
      <c r="T915">
        <v>1</v>
      </c>
      <c r="U915">
        <v>1</v>
      </c>
      <c r="V915">
        <v>1</v>
      </c>
      <c r="W915">
        <v>0</v>
      </c>
      <c r="X915">
        <v>0</v>
      </c>
      <c r="Y915">
        <v>0</v>
      </c>
      <c r="Z915">
        <v>1</v>
      </c>
      <c r="AA915">
        <v>0</v>
      </c>
      <c r="AB915">
        <v>1</v>
      </c>
      <c r="AC915">
        <v>0</v>
      </c>
      <c r="AD915">
        <v>0</v>
      </c>
      <c r="AE915">
        <v>0</v>
      </c>
      <c r="AF915">
        <v>0</v>
      </c>
      <c r="AG915">
        <v>0</v>
      </c>
    </row>
    <row r="916" spans="1:33" x14ac:dyDescent="0.2">
      <c r="A916">
        <v>915</v>
      </c>
      <c r="B916" t="s">
        <v>326</v>
      </c>
      <c r="C916" t="s">
        <v>33</v>
      </c>
      <c r="D916">
        <v>28</v>
      </c>
      <c r="E916" t="s">
        <v>114</v>
      </c>
      <c r="F916" t="s">
        <v>41</v>
      </c>
      <c r="G916" t="s">
        <v>49</v>
      </c>
      <c r="H916">
        <v>31455</v>
      </c>
      <c r="I916">
        <v>1</v>
      </c>
      <c r="J916">
        <v>0</v>
      </c>
      <c r="K916">
        <v>0</v>
      </c>
      <c r="L916">
        <v>0</v>
      </c>
      <c r="M916" t="s">
        <v>95</v>
      </c>
      <c r="N916" t="s">
        <v>50</v>
      </c>
      <c r="O916" t="s">
        <v>83</v>
      </c>
      <c r="P916" t="s">
        <v>37</v>
      </c>
      <c r="Q916" t="s">
        <v>60</v>
      </c>
      <c r="R916" t="s">
        <v>48</v>
      </c>
      <c r="S916" t="s">
        <v>59</v>
      </c>
      <c r="T916">
        <v>1</v>
      </c>
      <c r="U916">
        <v>0</v>
      </c>
      <c r="V916">
        <v>1</v>
      </c>
      <c r="W916">
        <v>0</v>
      </c>
      <c r="X916">
        <v>0</v>
      </c>
      <c r="Y916">
        <v>0</v>
      </c>
      <c r="Z916">
        <v>1</v>
      </c>
      <c r="AA916">
        <v>1</v>
      </c>
      <c r="AB916">
        <v>0</v>
      </c>
      <c r="AC916">
        <v>0</v>
      </c>
      <c r="AD916">
        <v>0</v>
      </c>
      <c r="AE916">
        <v>0</v>
      </c>
      <c r="AF916">
        <v>0</v>
      </c>
      <c r="AG916">
        <v>0</v>
      </c>
    </row>
    <row r="917" spans="1:33" hidden="1" x14ac:dyDescent="0.2">
      <c r="A917">
        <v>916</v>
      </c>
      <c r="B917" t="s">
        <v>326</v>
      </c>
      <c r="C917" t="s">
        <v>33</v>
      </c>
      <c r="D917">
        <v>28</v>
      </c>
      <c r="E917" t="s">
        <v>114</v>
      </c>
      <c r="F917" t="s">
        <v>53</v>
      </c>
      <c r="G917" t="s">
        <v>71</v>
      </c>
      <c r="H917">
        <v>76329</v>
      </c>
      <c r="I917">
        <v>0</v>
      </c>
      <c r="J917">
        <v>1</v>
      </c>
      <c r="K917">
        <v>0</v>
      </c>
      <c r="L917">
        <v>0</v>
      </c>
      <c r="M917" t="s">
        <v>36</v>
      </c>
      <c r="N917" t="s">
        <v>36</v>
      </c>
      <c r="O917" t="s">
        <v>36</v>
      </c>
      <c r="P917" t="s">
        <v>37</v>
      </c>
      <c r="Q917" t="s">
        <v>36</v>
      </c>
      <c r="R917" t="s">
        <v>36</v>
      </c>
      <c r="S917" t="s">
        <v>36</v>
      </c>
      <c r="T917" t="s">
        <v>36</v>
      </c>
      <c r="U917">
        <v>0</v>
      </c>
      <c r="V917">
        <v>1</v>
      </c>
      <c r="W917">
        <v>0</v>
      </c>
      <c r="X917">
        <v>0</v>
      </c>
      <c r="Y917">
        <v>0</v>
      </c>
      <c r="Z917">
        <v>1</v>
      </c>
      <c r="AA917">
        <v>1</v>
      </c>
      <c r="AB917">
        <v>0</v>
      </c>
      <c r="AC917">
        <v>0</v>
      </c>
      <c r="AD917">
        <v>0</v>
      </c>
      <c r="AE917">
        <v>0</v>
      </c>
      <c r="AF917">
        <v>0</v>
      </c>
      <c r="AG917">
        <v>0</v>
      </c>
    </row>
    <row r="918" spans="1:33" x14ac:dyDescent="0.2">
      <c r="A918">
        <v>917</v>
      </c>
      <c r="B918" t="s">
        <v>326</v>
      </c>
      <c r="C918" t="s">
        <v>33</v>
      </c>
      <c r="D918">
        <v>28</v>
      </c>
      <c r="E918" t="s">
        <v>114</v>
      </c>
      <c r="F918" t="s">
        <v>41</v>
      </c>
      <c r="G918" t="s">
        <v>72</v>
      </c>
      <c r="H918">
        <v>126083</v>
      </c>
      <c r="I918">
        <v>0</v>
      </c>
      <c r="J918">
        <v>0</v>
      </c>
      <c r="K918">
        <v>0</v>
      </c>
      <c r="L918">
        <v>1</v>
      </c>
      <c r="M918" t="s">
        <v>115</v>
      </c>
      <c r="N918" t="s">
        <v>74</v>
      </c>
      <c r="O918" t="s">
        <v>75</v>
      </c>
      <c r="P918" t="s">
        <v>37</v>
      </c>
      <c r="Q918" t="s">
        <v>65</v>
      </c>
      <c r="R918" t="s">
        <v>47</v>
      </c>
      <c r="S918" t="s">
        <v>46</v>
      </c>
      <c r="T918">
        <v>0</v>
      </c>
      <c r="U918">
        <v>1</v>
      </c>
      <c r="V918">
        <v>0</v>
      </c>
      <c r="W918">
        <v>1</v>
      </c>
      <c r="X918">
        <v>1</v>
      </c>
      <c r="Y918">
        <v>0</v>
      </c>
      <c r="Z918">
        <v>1</v>
      </c>
      <c r="AA918">
        <v>0</v>
      </c>
      <c r="AB918">
        <v>0</v>
      </c>
      <c r="AC918">
        <v>0</v>
      </c>
      <c r="AD918">
        <v>0</v>
      </c>
      <c r="AE918">
        <v>0</v>
      </c>
      <c r="AF918">
        <v>0</v>
      </c>
      <c r="AG918">
        <v>1</v>
      </c>
    </row>
    <row r="919" spans="1:33" hidden="1" x14ac:dyDescent="0.2">
      <c r="A919">
        <v>918</v>
      </c>
      <c r="B919" t="s">
        <v>326</v>
      </c>
      <c r="C919" t="s">
        <v>33</v>
      </c>
      <c r="D919">
        <v>28</v>
      </c>
      <c r="E919" t="s">
        <v>114</v>
      </c>
      <c r="F919" t="s">
        <v>53</v>
      </c>
      <c r="G919" t="s">
        <v>66</v>
      </c>
      <c r="H919">
        <v>24170</v>
      </c>
      <c r="I919">
        <v>1</v>
      </c>
      <c r="J919">
        <v>1</v>
      </c>
      <c r="K919">
        <v>0</v>
      </c>
      <c r="L919">
        <v>0</v>
      </c>
      <c r="M919" t="s">
        <v>36</v>
      </c>
      <c r="N919" t="s">
        <v>36</v>
      </c>
      <c r="O919" t="s">
        <v>36</v>
      </c>
      <c r="P919" t="s">
        <v>37</v>
      </c>
      <c r="Q919" t="s">
        <v>36</v>
      </c>
      <c r="R919" t="s">
        <v>36</v>
      </c>
      <c r="S919" t="s">
        <v>36</v>
      </c>
      <c r="T919" t="s">
        <v>36</v>
      </c>
      <c r="U919">
        <v>1</v>
      </c>
      <c r="V919">
        <v>0</v>
      </c>
      <c r="W919">
        <v>1</v>
      </c>
      <c r="X919">
        <v>1</v>
      </c>
      <c r="Y919">
        <v>0</v>
      </c>
      <c r="Z919">
        <v>1</v>
      </c>
      <c r="AA919">
        <v>0</v>
      </c>
      <c r="AB919">
        <v>0</v>
      </c>
      <c r="AC919">
        <v>0</v>
      </c>
      <c r="AD919">
        <v>0</v>
      </c>
      <c r="AE919">
        <v>0</v>
      </c>
      <c r="AF919">
        <v>0</v>
      </c>
      <c r="AG919">
        <v>1</v>
      </c>
    </row>
    <row r="920" spans="1:33" x14ac:dyDescent="0.2">
      <c r="A920">
        <v>919</v>
      </c>
      <c r="B920" t="s">
        <v>326</v>
      </c>
      <c r="C920" t="s">
        <v>33</v>
      </c>
      <c r="D920">
        <v>28</v>
      </c>
      <c r="E920" t="s">
        <v>114</v>
      </c>
      <c r="F920" t="s">
        <v>41</v>
      </c>
      <c r="G920" t="s">
        <v>61</v>
      </c>
      <c r="H920">
        <v>22241</v>
      </c>
      <c r="I920">
        <v>1</v>
      </c>
      <c r="J920">
        <v>1</v>
      </c>
      <c r="K920">
        <v>1</v>
      </c>
      <c r="L920">
        <v>0</v>
      </c>
      <c r="M920" t="s">
        <v>64</v>
      </c>
      <c r="N920" t="s">
        <v>97</v>
      </c>
      <c r="O920" t="s">
        <v>62</v>
      </c>
      <c r="P920" t="s">
        <v>37</v>
      </c>
      <c r="Q920" t="s">
        <v>48</v>
      </c>
      <c r="R920" t="s">
        <v>59</v>
      </c>
      <c r="S920" t="s">
        <v>65</v>
      </c>
      <c r="T920">
        <v>0</v>
      </c>
      <c r="U920">
        <v>1</v>
      </c>
      <c r="V920">
        <v>1</v>
      </c>
      <c r="W920">
        <v>0</v>
      </c>
      <c r="X920">
        <v>0</v>
      </c>
      <c r="Y920">
        <v>0</v>
      </c>
      <c r="Z920">
        <v>1</v>
      </c>
      <c r="AA920">
        <v>0</v>
      </c>
      <c r="AB920">
        <v>1</v>
      </c>
      <c r="AC920">
        <v>1</v>
      </c>
      <c r="AD920">
        <v>0</v>
      </c>
      <c r="AE920">
        <v>0</v>
      </c>
      <c r="AF920">
        <v>0</v>
      </c>
      <c r="AG920">
        <v>0</v>
      </c>
    </row>
    <row r="921" spans="1:33" x14ac:dyDescent="0.2">
      <c r="A921">
        <v>920</v>
      </c>
      <c r="B921" t="s">
        <v>326</v>
      </c>
      <c r="C921" t="s">
        <v>33</v>
      </c>
      <c r="D921">
        <v>28</v>
      </c>
      <c r="E921" t="s">
        <v>114</v>
      </c>
      <c r="F921" t="s">
        <v>41</v>
      </c>
      <c r="G921" t="s">
        <v>55</v>
      </c>
      <c r="H921">
        <v>15717</v>
      </c>
      <c r="I921">
        <v>1</v>
      </c>
      <c r="J921">
        <v>1</v>
      </c>
      <c r="K921">
        <v>1</v>
      </c>
      <c r="L921">
        <v>0</v>
      </c>
      <c r="M921" t="s">
        <v>56</v>
      </c>
      <c r="N921" t="s">
        <v>85</v>
      </c>
      <c r="O921" t="s">
        <v>58</v>
      </c>
      <c r="P921" t="s">
        <v>37</v>
      </c>
      <c r="Q921" t="s">
        <v>59</v>
      </c>
      <c r="R921" t="s">
        <v>65</v>
      </c>
      <c r="S921" t="s">
        <v>60</v>
      </c>
      <c r="T921">
        <v>1</v>
      </c>
      <c r="U921">
        <v>1</v>
      </c>
      <c r="V921">
        <v>0</v>
      </c>
      <c r="W921">
        <v>0</v>
      </c>
      <c r="X921">
        <v>0</v>
      </c>
      <c r="Y921">
        <v>0</v>
      </c>
      <c r="Z921">
        <v>1</v>
      </c>
      <c r="AA921">
        <v>1</v>
      </c>
      <c r="AB921">
        <v>1</v>
      </c>
      <c r="AC921">
        <v>0</v>
      </c>
      <c r="AD921">
        <v>0</v>
      </c>
      <c r="AE921">
        <v>0</v>
      </c>
      <c r="AF921">
        <v>0</v>
      </c>
      <c r="AG921">
        <v>0</v>
      </c>
    </row>
    <row r="922" spans="1:33" hidden="1" x14ac:dyDescent="0.2">
      <c r="A922">
        <v>921</v>
      </c>
      <c r="B922" t="s">
        <v>326</v>
      </c>
      <c r="C922" t="s">
        <v>33</v>
      </c>
      <c r="D922">
        <v>28</v>
      </c>
      <c r="E922" t="s">
        <v>114</v>
      </c>
      <c r="F922" t="s">
        <v>53</v>
      </c>
      <c r="G922" t="s">
        <v>76</v>
      </c>
      <c r="H922">
        <v>13780</v>
      </c>
      <c r="I922">
        <v>1</v>
      </c>
      <c r="J922">
        <v>1</v>
      </c>
      <c r="K922">
        <v>0</v>
      </c>
      <c r="L922">
        <v>0</v>
      </c>
      <c r="M922" t="s">
        <v>36</v>
      </c>
      <c r="N922" t="s">
        <v>36</v>
      </c>
      <c r="O922" t="s">
        <v>36</v>
      </c>
      <c r="P922" t="s">
        <v>37</v>
      </c>
      <c r="Q922" t="s">
        <v>36</v>
      </c>
      <c r="R922" t="s">
        <v>36</v>
      </c>
      <c r="S922" t="s">
        <v>36</v>
      </c>
      <c r="T922" t="s">
        <v>36</v>
      </c>
      <c r="U922">
        <v>1</v>
      </c>
      <c r="V922">
        <v>0</v>
      </c>
      <c r="W922">
        <v>0</v>
      </c>
      <c r="X922">
        <v>0</v>
      </c>
      <c r="Y922">
        <v>0</v>
      </c>
      <c r="Z922">
        <v>1</v>
      </c>
      <c r="AA922">
        <v>1</v>
      </c>
      <c r="AB922">
        <v>1</v>
      </c>
      <c r="AC922">
        <v>0</v>
      </c>
      <c r="AD922">
        <v>0</v>
      </c>
      <c r="AE922">
        <v>0</v>
      </c>
      <c r="AF922">
        <v>0</v>
      </c>
      <c r="AG922">
        <v>0</v>
      </c>
    </row>
    <row r="923" spans="1:33" x14ac:dyDescent="0.2">
      <c r="A923">
        <v>922</v>
      </c>
      <c r="B923" t="s">
        <v>326</v>
      </c>
      <c r="C923" t="s">
        <v>33</v>
      </c>
      <c r="D923">
        <v>28</v>
      </c>
      <c r="E923" t="s">
        <v>114</v>
      </c>
      <c r="F923" t="s">
        <v>41</v>
      </c>
      <c r="G923" t="s">
        <v>42</v>
      </c>
      <c r="H923">
        <v>15525</v>
      </c>
      <c r="I923">
        <v>1</v>
      </c>
      <c r="J923">
        <v>1</v>
      </c>
      <c r="K923">
        <v>1</v>
      </c>
      <c r="L923">
        <v>0</v>
      </c>
      <c r="M923" t="s">
        <v>44</v>
      </c>
      <c r="N923" t="s">
        <v>45</v>
      </c>
      <c r="O923" t="s">
        <v>82</v>
      </c>
      <c r="P923" t="s">
        <v>37</v>
      </c>
      <c r="Q923" t="s">
        <v>47</v>
      </c>
      <c r="R923" t="s">
        <v>48</v>
      </c>
      <c r="S923" t="s">
        <v>65</v>
      </c>
      <c r="T923">
        <v>0</v>
      </c>
      <c r="U923">
        <v>1</v>
      </c>
      <c r="V923">
        <v>1</v>
      </c>
      <c r="W923">
        <v>1</v>
      </c>
      <c r="X923">
        <v>0</v>
      </c>
      <c r="Y923">
        <v>0</v>
      </c>
      <c r="Z923">
        <v>1</v>
      </c>
      <c r="AA923">
        <v>0</v>
      </c>
      <c r="AB923">
        <v>1</v>
      </c>
      <c r="AC923">
        <v>1</v>
      </c>
      <c r="AD923">
        <v>1</v>
      </c>
      <c r="AE923">
        <v>0</v>
      </c>
      <c r="AF923">
        <v>0</v>
      </c>
      <c r="AG923">
        <v>0</v>
      </c>
    </row>
    <row r="924" spans="1:33" hidden="1" x14ac:dyDescent="0.2">
      <c r="A924">
        <v>923</v>
      </c>
      <c r="B924" t="s">
        <v>326</v>
      </c>
      <c r="C924" t="s">
        <v>33</v>
      </c>
      <c r="D924">
        <v>28</v>
      </c>
      <c r="E924" t="s">
        <v>114</v>
      </c>
      <c r="F924" t="s">
        <v>53</v>
      </c>
      <c r="G924" t="s">
        <v>54</v>
      </c>
      <c r="H924">
        <v>39973</v>
      </c>
      <c r="I924">
        <v>0</v>
      </c>
      <c r="J924">
        <v>1</v>
      </c>
      <c r="K924">
        <v>0</v>
      </c>
      <c r="L924">
        <v>0</v>
      </c>
      <c r="M924" t="s">
        <v>36</v>
      </c>
      <c r="N924" t="s">
        <v>36</v>
      </c>
      <c r="O924" t="s">
        <v>36</v>
      </c>
      <c r="P924" t="s">
        <v>37</v>
      </c>
      <c r="Q924" t="s">
        <v>36</v>
      </c>
      <c r="R924" t="s">
        <v>36</v>
      </c>
      <c r="S924" t="s">
        <v>36</v>
      </c>
      <c r="T924" t="s">
        <v>36</v>
      </c>
      <c r="U924">
        <v>1</v>
      </c>
      <c r="V924">
        <v>1</v>
      </c>
      <c r="W924">
        <v>1</v>
      </c>
      <c r="X924">
        <v>0</v>
      </c>
      <c r="Y924">
        <v>0</v>
      </c>
      <c r="Z924">
        <v>1</v>
      </c>
      <c r="AA924">
        <v>0</v>
      </c>
      <c r="AB924">
        <v>1</v>
      </c>
      <c r="AC924">
        <v>1</v>
      </c>
      <c r="AD924">
        <v>1</v>
      </c>
      <c r="AE924">
        <v>0</v>
      </c>
      <c r="AF924">
        <v>0</v>
      </c>
      <c r="AG924">
        <v>0</v>
      </c>
    </row>
    <row r="925" spans="1:33" hidden="1" x14ac:dyDescent="0.2">
      <c r="A925">
        <v>924</v>
      </c>
      <c r="B925" t="s">
        <v>326</v>
      </c>
      <c r="C925" t="s">
        <v>33</v>
      </c>
      <c r="D925">
        <v>28</v>
      </c>
      <c r="E925" t="s">
        <v>114</v>
      </c>
      <c r="F925" t="s">
        <v>77</v>
      </c>
      <c r="G925" t="s">
        <v>36</v>
      </c>
      <c r="H925">
        <v>52562</v>
      </c>
      <c r="I925" t="s">
        <v>327</v>
      </c>
      <c r="J925" t="s">
        <v>328</v>
      </c>
      <c r="K925" t="s">
        <v>329</v>
      </c>
      <c r="L925" t="s">
        <v>36</v>
      </c>
      <c r="M925" t="s">
        <v>36</v>
      </c>
      <c r="N925" t="s">
        <v>36</v>
      </c>
      <c r="O925" t="s">
        <v>36</v>
      </c>
      <c r="P925" t="s">
        <v>37</v>
      </c>
      <c r="Q925" t="s">
        <v>36</v>
      </c>
      <c r="R925" t="s">
        <v>36</v>
      </c>
      <c r="S925" t="s">
        <v>36</v>
      </c>
      <c r="T925" t="s">
        <v>36</v>
      </c>
      <c r="U925" t="s">
        <v>36</v>
      </c>
      <c r="V925" t="s">
        <v>36</v>
      </c>
      <c r="W925" t="s">
        <v>36</v>
      </c>
      <c r="X925" t="s">
        <v>36</v>
      </c>
      <c r="Y925" t="s">
        <v>36</v>
      </c>
      <c r="Z925" t="s">
        <v>36</v>
      </c>
      <c r="AA925" t="s">
        <v>36</v>
      </c>
      <c r="AB925" t="s">
        <v>36</v>
      </c>
      <c r="AC925" t="s">
        <v>36</v>
      </c>
      <c r="AD925" t="s">
        <v>36</v>
      </c>
      <c r="AE925" t="s">
        <v>36</v>
      </c>
      <c r="AF925" t="s">
        <v>36</v>
      </c>
      <c r="AG925" t="s">
        <v>36</v>
      </c>
    </row>
    <row r="926" spans="1:33" hidden="1" x14ac:dyDescent="0.2">
      <c r="A926">
        <v>925</v>
      </c>
      <c r="B926" t="s">
        <v>330</v>
      </c>
      <c r="C926" t="s">
        <v>108</v>
      </c>
      <c r="D926">
        <v>26</v>
      </c>
      <c r="E926" t="s">
        <v>114</v>
      </c>
      <c r="F926" t="s">
        <v>35</v>
      </c>
      <c r="G926" t="s">
        <v>36</v>
      </c>
      <c r="H926">
        <v>59115</v>
      </c>
      <c r="I926" t="s">
        <v>36</v>
      </c>
      <c r="J926" t="s">
        <v>36</v>
      </c>
      <c r="K926" t="s">
        <v>36</v>
      </c>
      <c r="L926" t="s">
        <v>36</v>
      </c>
      <c r="M926" t="s">
        <v>36</v>
      </c>
      <c r="N926" t="s">
        <v>36</v>
      </c>
      <c r="O926" t="s">
        <v>36</v>
      </c>
      <c r="P926" t="s">
        <v>37</v>
      </c>
      <c r="Q926" t="s">
        <v>36</v>
      </c>
      <c r="R926" t="s">
        <v>36</v>
      </c>
      <c r="S926" t="s">
        <v>36</v>
      </c>
      <c r="T926" t="s">
        <v>36</v>
      </c>
      <c r="U926" t="s">
        <v>36</v>
      </c>
      <c r="V926" t="s">
        <v>36</v>
      </c>
      <c r="W926" t="s">
        <v>36</v>
      </c>
      <c r="X926" t="s">
        <v>36</v>
      </c>
      <c r="Y926" t="s">
        <v>36</v>
      </c>
      <c r="Z926" t="s">
        <v>36</v>
      </c>
      <c r="AA926" t="s">
        <v>36</v>
      </c>
      <c r="AB926" t="s">
        <v>36</v>
      </c>
      <c r="AC926" t="s">
        <v>36</v>
      </c>
      <c r="AD926" t="s">
        <v>36</v>
      </c>
      <c r="AE926" t="s">
        <v>36</v>
      </c>
      <c r="AF926" t="s">
        <v>36</v>
      </c>
      <c r="AG926" t="s">
        <v>36</v>
      </c>
    </row>
    <row r="927" spans="1:33" hidden="1" x14ac:dyDescent="0.2">
      <c r="A927">
        <v>926</v>
      </c>
      <c r="B927" t="s">
        <v>330</v>
      </c>
      <c r="C927" t="s">
        <v>108</v>
      </c>
      <c r="D927">
        <v>26</v>
      </c>
      <c r="E927" t="s">
        <v>114</v>
      </c>
      <c r="F927" t="s">
        <v>38</v>
      </c>
      <c r="G927" t="s">
        <v>39</v>
      </c>
      <c r="H927">
        <v>40499</v>
      </c>
      <c r="I927">
        <v>0</v>
      </c>
      <c r="J927">
        <v>0</v>
      </c>
      <c r="K927">
        <v>0</v>
      </c>
      <c r="L927">
        <v>1</v>
      </c>
      <c r="M927" t="s">
        <v>36</v>
      </c>
      <c r="N927" t="s">
        <v>36</v>
      </c>
      <c r="O927" t="s">
        <v>36</v>
      </c>
      <c r="P927" t="s">
        <v>37</v>
      </c>
      <c r="Q927" t="s">
        <v>36</v>
      </c>
      <c r="R927" t="s">
        <v>36</v>
      </c>
      <c r="S927" t="s">
        <v>36</v>
      </c>
      <c r="T927" t="s">
        <v>36</v>
      </c>
      <c r="U927" t="s">
        <v>36</v>
      </c>
      <c r="V927" t="s">
        <v>36</v>
      </c>
      <c r="W927" t="s">
        <v>36</v>
      </c>
      <c r="X927" t="s">
        <v>36</v>
      </c>
      <c r="Y927" t="s">
        <v>36</v>
      </c>
      <c r="Z927" t="s">
        <v>36</v>
      </c>
      <c r="AA927" t="s">
        <v>36</v>
      </c>
      <c r="AB927" t="s">
        <v>36</v>
      </c>
      <c r="AC927" t="s">
        <v>36</v>
      </c>
      <c r="AD927" t="s">
        <v>36</v>
      </c>
      <c r="AE927" t="s">
        <v>36</v>
      </c>
      <c r="AF927" t="s">
        <v>36</v>
      </c>
      <c r="AG927" t="s">
        <v>36</v>
      </c>
    </row>
    <row r="928" spans="1:33" hidden="1" x14ac:dyDescent="0.2">
      <c r="A928">
        <v>927</v>
      </c>
      <c r="B928" t="s">
        <v>330</v>
      </c>
      <c r="C928" t="s">
        <v>108</v>
      </c>
      <c r="D928">
        <v>26</v>
      </c>
      <c r="E928" t="s">
        <v>114</v>
      </c>
      <c r="F928" t="s">
        <v>38</v>
      </c>
      <c r="G928" t="s">
        <v>40</v>
      </c>
      <c r="H928">
        <v>49967</v>
      </c>
      <c r="I928">
        <v>0</v>
      </c>
      <c r="J928">
        <v>1</v>
      </c>
      <c r="K928">
        <v>1</v>
      </c>
      <c r="L928">
        <v>0</v>
      </c>
      <c r="M928" t="s">
        <v>36</v>
      </c>
      <c r="N928" t="s">
        <v>36</v>
      </c>
      <c r="O928" t="s">
        <v>36</v>
      </c>
      <c r="P928" t="s">
        <v>37</v>
      </c>
      <c r="Q928" t="s">
        <v>36</v>
      </c>
      <c r="R928" t="s">
        <v>36</v>
      </c>
      <c r="S928" t="s">
        <v>36</v>
      </c>
      <c r="T928" t="s">
        <v>36</v>
      </c>
      <c r="U928" t="s">
        <v>36</v>
      </c>
      <c r="V928" t="s">
        <v>36</v>
      </c>
      <c r="W928" t="s">
        <v>36</v>
      </c>
      <c r="X928" t="s">
        <v>36</v>
      </c>
      <c r="Y928" t="s">
        <v>36</v>
      </c>
      <c r="Z928" t="s">
        <v>36</v>
      </c>
      <c r="AA928" t="s">
        <v>36</v>
      </c>
      <c r="AB928" t="s">
        <v>36</v>
      </c>
      <c r="AC928" t="s">
        <v>36</v>
      </c>
      <c r="AD928" t="s">
        <v>36</v>
      </c>
      <c r="AE928" t="s">
        <v>36</v>
      </c>
      <c r="AF928" t="s">
        <v>36</v>
      </c>
      <c r="AG928" t="s">
        <v>36</v>
      </c>
    </row>
    <row r="929" spans="1:33" x14ac:dyDescent="0.2">
      <c r="A929">
        <v>928</v>
      </c>
      <c r="B929" t="s">
        <v>330</v>
      </c>
      <c r="C929" t="s">
        <v>108</v>
      </c>
      <c r="D929">
        <v>26</v>
      </c>
      <c r="E929" t="s">
        <v>114</v>
      </c>
      <c r="F929" t="s">
        <v>41</v>
      </c>
      <c r="G929" t="s">
        <v>61</v>
      </c>
      <c r="H929">
        <v>135202</v>
      </c>
      <c r="I929">
        <v>1</v>
      </c>
      <c r="J929">
        <v>1</v>
      </c>
      <c r="K929">
        <v>1</v>
      </c>
      <c r="L929">
        <v>0</v>
      </c>
      <c r="M929" t="s">
        <v>63</v>
      </c>
      <c r="N929" t="s">
        <v>64</v>
      </c>
      <c r="O929" t="s">
        <v>97</v>
      </c>
      <c r="P929" t="s">
        <v>37</v>
      </c>
      <c r="Q929" t="s">
        <v>46</v>
      </c>
      <c r="R929" t="s">
        <v>48</v>
      </c>
      <c r="S929" t="s">
        <v>59</v>
      </c>
      <c r="T929">
        <v>0</v>
      </c>
      <c r="U929">
        <v>0</v>
      </c>
      <c r="V929">
        <v>1</v>
      </c>
      <c r="W929">
        <v>0</v>
      </c>
      <c r="X929">
        <v>1</v>
      </c>
      <c r="Y929">
        <v>0</v>
      </c>
      <c r="Z929">
        <v>1</v>
      </c>
      <c r="AA929">
        <v>0</v>
      </c>
      <c r="AB929">
        <v>0</v>
      </c>
      <c r="AC929">
        <v>1</v>
      </c>
      <c r="AD929">
        <v>0</v>
      </c>
      <c r="AE929">
        <v>1</v>
      </c>
      <c r="AF929">
        <v>0</v>
      </c>
      <c r="AG929">
        <v>0</v>
      </c>
    </row>
    <row r="930" spans="1:33" x14ac:dyDescent="0.2">
      <c r="A930">
        <v>929</v>
      </c>
      <c r="B930" t="s">
        <v>330</v>
      </c>
      <c r="C930" t="s">
        <v>108</v>
      </c>
      <c r="D930">
        <v>26</v>
      </c>
      <c r="E930" t="s">
        <v>114</v>
      </c>
      <c r="F930" t="s">
        <v>41</v>
      </c>
      <c r="G930" t="s">
        <v>42</v>
      </c>
      <c r="H930">
        <v>26461</v>
      </c>
      <c r="I930">
        <v>0</v>
      </c>
      <c r="J930">
        <v>0</v>
      </c>
      <c r="K930">
        <v>1</v>
      </c>
      <c r="L930">
        <v>0</v>
      </c>
      <c r="M930" t="s">
        <v>43</v>
      </c>
      <c r="N930" t="s">
        <v>45</v>
      </c>
      <c r="O930" t="s">
        <v>116</v>
      </c>
      <c r="P930" t="s">
        <v>37</v>
      </c>
      <c r="Q930" t="s">
        <v>46</v>
      </c>
      <c r="R930" t="s">
        <v>48</v>
      </c>
      <c r="S930" t="s">
        <v>60</v>
      </c>
      <c r="T930">
        <v>1</v>
      </c>
      <c r="U930">
        <v>0</v>
      </c>
      <c r="V930">
        <v>1</v>
      </c>
      <c r="W930">
        <v>0</v>
      </c>
      <c r="X930">
        <v>1</v>
      </c>
      <c r="Y930">
        <v>0</v>
      </c>
      <c r="Z930">
        <v>1</v>
      </c>
      <c r="AA930">
        <v>1</v>
      </c>
      <c r="AB930">
        <v>0</v>
      </c>
      <c r="AC930">
        <v>0</v>
      </c>
      <c r="AD930">
        <v>0</v>
      </c>
      <c r="AE930">
        <v>0</v>
      </c>
      <c r="AF930">
        <v>0</v>
      </c>
      <c r="AG930">
        <v>0</v>
      </c>
    </row>
    <row r="931" spans="1:33" hidden="1" x14ac:dyDescent="0.2">
      <c r="A931">
        <v>930</v>
      </c>
      <c r="B931" t="s">
        <v>330</v>
      </c>
      <c r="C931" t="s">
        <v>108</v>
      </c>
      <c r="D931">
        <v>26</v>
      </c>
      <c r="E931" t="s">
        <v>114</v>
      </c>
      <c r="F931" t="s">
        <v>53</v>
      </c>
      <c r="G931" t="s">
        <v>76</v>
      </c>
      <c r="H931">
        <v>19773</v>
      </c>
      <c r="I931">
        <v>1</v>
      </c>
      <c r="J931">
        <v>0</v>
      </c>
      <c r="K931">
        <v>0</v>
      </c>
      <c r="L931">
        <v>0</v>
      </c>
      <c r="M931" t="s">
        <v>36</v>
      </c>
      <c r="N931" t="s">
        <v>36</v>
      </c>
      <c r="O931" t="s">
        <v>36</v>
      </c>
      <c r="P931" t="s">
        <v>37</v>
      </c>
      <c r="Q931" t="s">
        <v>36</v>
      </c>
      <c r="R931" t="s">
        <v>36</v>
      </c>
      <c r="S931" t="s">
        <v>36</v>
      </c>
      <c r="T931" t="s">
        <v>36</v>
      </c>
      <c r="U931">
        <v>0</v>
      </c>
      <c r="V931">
        <v>1</v>
      </c>
      <c r="W931">
        <v>0</v>
      </c>
      <c r="X931">
        <v>1</v>
      </c>
      <c r="Y931">
        <v>0</v>
      </c>
      <c r="Z931">
        <v>1</v>
      </c>
      <c r="AA931">
        <v>1</v>
      </c>
      <c r="AB931">
        <v>0</v>
      </c>
      <c r="AC931">
        <v>0</v>
      </c>
      <c r="AD931">
        <v>0</v>
      </c>
      <c r="AE931">
        <v>0</v>
      </c>
      <c r="AF931">
        <v>0</v>
      </c>
      <c r="AG931">
        <v>0</v>
      </c>
    </row>
    <row r="932" spans="1:33" x14ac:dyDescent="0.2">
      <c r="A932">
        <v>931</v>
      </c>
      <c r="B932" t="s">
        <v>330</v>
      </c>
      <c r="C932" t="s">
        <v>108</v>
      </c>
      <c r="D932">
        <v>26</v>
      </c>
      <c r="E932" t="s">
        <v>114</v>
      </c>
      <c r="F932" t="s">
        <v>41</v>
      </c>
      <c r="G932" t="s">
        <v>49</v>
      </c>
      <c r="H932">
        <v>13165</v>
      </c>
      <c r="I932">
        <v>0</v>
      </c>
      <c r="J932">
        <v>0</v>
      </c>
      <c r="K932">
        <v>1</v>
      </c>
      <c r="L932">
        <v>0</v>
      </c>
      <c r="M932" t="s">
        <v>52</v>
      </c>
      <c r="N932" t="s">
        <v>51</v>
      </c>
      <c r="O932" t="s">
        <v>50</v>
      </c>
      <c r="P932" t="s">
        <v>37</v>
      </c>
      <c r="Q932" t="s">
        <v>46</v>
      </c>
      <c r="R932" t="s">
        <v>47</v>
      </c>
      <c r="S932" t="s">
        <v>48</v>
      </c>
      <c r="T932">
        <v>0</v>
      </c>
      <c r="U932">
        <v>0</v>
      </c>
      <c r="V932">
        <v>1</v>
      </c>
      <c r="W932">
        <v>1</v>
      </c>
      <c r="X932">
        <v>1</v>
      </c>
      <c r="Y932">
        <v>0</v>
      </c>
      <c r="Z932">
        <v>1</v>
      </c>
      <c r="AA932">
        <v>0</v>
      </c>
      <c r="AB932">
        <v>0</v>
      </c>
      <c r="AC932">
        <v>1</v>
      </c>
      <c r="AD932">
        <v>0</v>
      </c>
      <c r="AE932">
        <v>0</v>
      </c>
      <c r="AF932">
        <v>0</v>
      </c>
      <c r="AG932">
        <v>0</v>
      </c>
    </row>
    <row r="933" spans="1:33" x14ac:dyDescent="0.2">
      <c r="A933">
        <v>932</v>
      </c>
      <c r="B933" t="s">
        <v>330</v>
      </c>
      <c r="C933" t="s">
        <v>108</v>
      </c>
      <c r="D933">
        <v>26</v>
      </c>
      <c r="E933" t="s">
        <v>114</v>
      </c>
      <c r="F933" t="s">
        <v>41</v>
      </c>
      <c r="G933" t="s">
        <v>55</v>
      </c>
      <c r="H933">
        <v>3259</v>
      </c>
      <c r="I933">
        <v>0</v>
      </c>
      <c r="J933">
        <v>1</v>
      </c>
      <c r="K933">
        <v>0</v>
      </c>
      <c r="L933">
        <v>0</v>
      </c>
      <c r="M933" t="s">
        <v>58</v>
      </c>
      <c r="N933" t="s">
        <v>94</v>
      </c>
      <c r="O933" t="s">
        <v>56</v>
      </c>
      <c r="P933" t="s">
        <v>37</v>
      </c>
      <c r="Q933" t="s">
        <v>60</v>
      </c>
      <c r="R933" t="s">
        <v>47</v>
      </c>
      <c r="S933" t="s">
        <v>59</v>
      </c>
      <c r="T933">
        <v>1</v>
      </c>
      <c r="U933">
        <v>0</v>
      </c>
      <c r="V933">
        <v>0</v>
      </c>
      <c r="W933">
        <v>1</v>
      </c>
      <c r="X933">
        <v>0</v>
      </c>
      <c r="Y933">
        <v>0</v>
      </c>
      <c r="Z933">
        <v>1</v>
      </c>
      <c r="AA933">
        <v>0</v>
      </c>
      <c r="AB933">
        <v>0</v>
      </c>
      <c r="AC933">
        <v>0</v>
      </c>
      <c r="AD933">
        <v>1</v>
      </c>
      <c r="AE933">
        <v>0</v>
      </c>
      <c r="AF933">
        <v>0</v>
      </c>
      <c r="AG933">
        <v>0</v>
      </c>
    </row>
    <row r="934" spans="1:33" hidden="1" x14ac:dyDescent="0.2">
      <c r="A934">
        <v>933</v>
      </c>
      <c r="B934" t="s">
        <v>330</v>
      </c>
      <c r="C934" t="s">
        <v>108</v>
      </c>
      <c r="D934">
        <v>26</v>
      </c>
      <c r="E934" t="s">
        <v>114</v>
      </c>
      <c r="F934" t="s">
        <v>53</v>
      </c>
      <c r="G934" t="s">
        <v>66</v>
      </c>
      <c r="H934">
        <v>3061</v>
      </c>
      <c r="I934">
        <v>0</v>
      </c>
      <c r="J934">
        <v>0</v>
      </c>
      <c r="K934">
        <v>1</v>
      </c>
      <c r="L934">
        <v>0</v>
      </c>
      <c r="M934" t="s">
        <v>36</v>
      </c>
      <c r="N934" t="s">
        <v>36</v>
      </c>
      <c r="O934" t="s">
        <v>36</v>
      </c>
      <c r="P934" t="s">
        <v>37</v>
      </c>
      <c r="Q934" t="s">
        <v>36</v>
      </c>
      <c r="R934" t="s">
        <v>36</v>
      </c>
      <c r="S934" t="s">
        <v>36</v>
      </c>
      <c r="T934" t="s">
        <v>36</v>
      </c>
      <c r="U934">
        <v>0</v>
      </c>
      <c r="V934">
        <v>0</v>
      </c>
      <c r="W934">
        <v>1</v>
      </c>
      <c r="X934">
        <v>0</v>
      </c>
      <c r="Y934">
        <v>0</v>
      </c>
      <c r="Z934">
        <v>1</v>
      </c>
      <c r="AA934">
        <v>0</v>
      </c>
      <c r="AB934">
        <v>0</v>
      </c>
      <c r="AC934">
        <v>0</v>
      </c>
      <c r="AD934">
        <v>1</v>
      </c>
      <c r="AE934">
        <v>0</v>
      </c>
      <c r="AF934">
        <v>0</v>
      </c>
      <c r="AG934">
        <v>0</v>
      </c>
    </row>
    <row r="935" spans="1:33" x14ac:dyDescent="0.2">
      <c r="A935">
        <v>934</v>
      </c>
      <c r="B935" t="s">
        <v>330</v>
      </c>
      <c r="C935" t="s">
        <v>108</v>
      </c>
      <c r="D935">
        <v>26</v>
      </c>
      <c r="E935" t="s">
        <v>114</v>
      </c>
      <c r="F935" t="s">
        <v>41</v>
      </c>
      <c r="G935" t="s">
        <v>67</v>
      </c>
      <c r="H935">
        <v>3298</v>
      </c>
      <c r="I935">
        <v>0</v>
      </c>
      <c r="J935">
        <v>0</v>
      </c>
      <c r="K935">
        <v>1</v>
      </c>
      <c r="L935">
        <v>0</v>
      </c>
      <c r="M935" t="s">
        <v>69</v>
      </c>
      <c r="N935" t="s">
        <v>103</v>
      </c>
      <c r="O935" t="s">
        <v>86</v>
      </c>
      <c r="P935" t="s">
        <v>37</v>
      </c>
      <c r="Q935" t="s">
        <v>48</v>
      </c>
      <c r="R935" t="s">
        <v>60</v>
      </c>
      <c r="S935" t="s">
        <v>46</v>
      </c>
      <c r="T935">
        <v>1</v>
      </c>
      <c r="U935">
        <v>0</v>
      </c>
      <c r="V935">
        <v>1</v>
      </c>
      <c r="W935">
        <v>0</v>
      </c>
      <c r="X935">
        <v>1</v>
      </c>
      <c r="Y935">
        <v>0</v>
      </c>
      <c r="Z935">
        <v>1</v>
      </c>
      <c r="AA935">
        <v>0</v>
      </c>
      <c r="AB935">
        <v>0</v>
      </c>
      <c r="AC935">
        <v>0</v>
      </c>
      <c r="AD935">
        <v>0</v>
      </c>
      <c r="AE935">
        <v>1</v>
      </c>
      <c r="AF935">
        <v>0</v>
      </c>
      <c r="AG935">
        <v>0</v>
      </c>
    </row>
    <row r="936" spans="1:33" hidden="1" x14ac:dyDescent="0.2">
      <c r="A936">
        <v>935</v>
      </c>
      <c r="B936" t="s">
        <v>330</v>
      </c>
      <c r="C936" t="s">
        <v>108</v>
      </c>
      <c r="D936">
        <v>26</v>
      </c>
      <c r="E936" t="s">
        <v>114</v>
      </c>
      <c r="F936" t="s">
        <v>53</v>
      </c>
      <c r="G936" t="s">
        <v>54</v>
      </c>
      <c r="H936">
        <v>4733</v>
      </c>
      <c r="I936">
        <v>0</v>
      </c>
      <c r="J936">
        <v>1</v>
      </c>
      <c r="K936">
        <v>0</v>
      </c>
      <c r="L936">
        <v>0</v>
      </c>
      <c r="M936" t="s">
        <v>36</v>
      </c>
      <c r="N936" t="s">
        <v>36</v>
      </c>
      <c r="O936" t="s">
        <v>36</v>
      </c>
      <c r="P936" t="s">
        <v>37</v>
      </c>
      <c r="Q936" t="s">
        <v>36</v>
      </c>
      <c r="R936" t="s">
        <v>36</v>
      </c>
      <c r="S936" t="s">
        <v>36</v>
      </c>
      <c r="T936" t="s">
        <v>36</v>
      </c>
      <c r="U936">
        <v>0</v>
      </c>
      <c r="V936">
        <v>1</v>
      </c>
      <c r="W936">
        <v>0</v>
      </c>
      <c r="X936">
        <v>1</v>
      </c>
      <c r="Y936">
        <v>0</v>
      </c>
      <c r="Z936">
        <v>1</v>
      </c>
      <c r="AA936">
        <v>0</v>
      </c>
      <c r="AB936">
        <v>0</v>
      </c>
      <c r="AC936">
        <v>0</v>
      </c>
      <c r="AD936">
        <v>0</v>
      </c>
      <c r="AE936">
        <v>1</v>
      </c>
      <c r="AF936">
        <v>0</v>
      </c>
      <c r="AG936">
        <v>0</v>
      </c>
    </row>
    <row r="937" spans="1:33" x14ac:dyDescent="0.2">
      <c r="A937">
        <v>936</v>
      </c>
      <c r="B937" t="s">
        <v>330</v>
      </c>
      <c r="C937" t="s">
        <v>108</v>
      </c>
      <c r="D937">
        <v>26</v>
      </c>
      <c r="E937" t="s">
        <v>114</v>
      </c>
      <c r="F937" t="s">
        <v>41</v>
      </c>
      <c r="G937" t="s">
        <v>72</v>
      </c>
      <c r="H937">
        <v>3631</v>
      </c>
      <c r="I937">
        <v>1</v>
      </c>
      <c r="J937">
        <v>1</v>
      </c>
      <c r="K937">
        <v>0</v>
      </c>
      <c r="L937">
        <v>0</v>
      </c>
      <c r="M937" t="s">
        <v>74</v>
      </c>
      <c r="N937" t="s">
        <v>93</v>
      </c>
      <c r="O937" t="s">
        <v>73</v>
      </c>
      <c r="P937" t="s">
        <v>37</v>
      </c>
      <c r="Q937" t="s">
        <v>47</v>
      </c>
      <c r="R937" t="s">
        <v>59</v>
      </c>
      <c r="S937" t="s">
        <v>48</v>
      </c>
      <c r="T937">
        <v>0</v>
      </c>
      <c r="U937">
        <v>0</v>
      </c>
      <c r="V937">
        <v>1</v>
      </c>
      <c r="W937">
        <v>1</v>
      </c>
      <c r="X937">
        <v>0</v>
      </c>
      <c r="Y937">
        <v>0</v>
      </c>
      <c r="Z937">
        <v>1</v>
      </c>
      <c r="AA937">
        <v>0</v>
      </c>
      <c r="AB937">
        <v>0</v>
      </c>
      <c r="AC937">
        <v>0</v>
      </c>
      <c r="AD937">
        <v>1</v>
      </c>
      <c r="AE937">
        <v>0</v>
      </c>
      <c r="AF937">
        <v>0</v>
      </c>
      <c r="AG937">
        <v>0</v>
      </c>
    </row>
    <row r="938" spans="1:33" hidden="1" x14ac:dyDescent="0.2">
      <c r="A938">
        <v>937</v>
      </c>
      <c r="B938" t="s">
        <v>330</v>
      </c>
      <c r="C938" t="s">
        <v>108</v>
      </c>
      <c r="D938">
        <v>26</v>
      </c>
      <c r="E938" t="s">
        <v>114</v>
      </c>
      <c r="F938" t="s">
        <v>53</v>
      </c>
      <c r="G938" t="s">
        <v>71</v>
      </c>
      <c r="H938">
        <v>3737</v>
      </c>
      <c r="I938">
        <v>0</v>
      </c>
      <c r="J938">
        <v>0</v>
      </c>
      <c r="K938">
        <v>1</v>
      </c>
      <c r="L938">
        <v>0</v>
      </c>
      <c r="M938" t="s">
        <v>36</v>
      </c>
      <c r="N938" t="s">
        <v>36</v>
      </c>
      <c r="O938" t="s">
        <v>36</v>
      </c>
      <c r="P938" t="s">
        <v>37</v>
      </c>
      <c r="Q938" t="s">
        <v>36</v>
      </c>
      <c r="R938" t="s">
        <v>36</v>
      </c>
      <c r="S938" t="s">
        <v>36</v>
      </c>
      <c r="T938" t="s">
        <v>36</v>
      </c>
      <c r="U938">
        <v>0</v>
      </c>
      <c r="V938">
        <v>1</v>
      </c>
      <c r="W938">
        <v>1</v>
      </c>
      <c r="X938">
        <v>0</v>
      </c>
      <c r="Y938">
        <v>0</v>
      </c>
      <c r="Z938">
        <v>1</v>
      </c>
      <c r="AA938">
        <v>0</v>
      </c>
      <c r="AB938">
        <v>0</v>
      </c>
      <c r="AC938">
        <v>0</v>
      </c>
      <c r="AD938">
        <v>1</v>
      </c>
      <c r="AE938">
        <v>0</v>
      </c>
      <c r="AF938">
        <v>0</v>
      </c>
      <c r="AG938">
        <v>0</v>
      </c>
    </row>
    <row r="939" spans="1:33" hidden="1" x14ac:dyDescent="0.2">
      <c r="A939">
        <v>938</v>
      </c>
      <c r="B939" t="s">
        <v>330</v>
      </c>
      <c r="C939" t="s">
        <v>108</v>
      </c>
      <c r="D939">
        <v>26</v>
      </c>
      <c r="E939" t="s">
        <v>114</v>
      </c>
      <c r="F939" t="s">
        <v>77</v>
      </c>
      <c r="G939" t="s">
        <v>36</v>
      </c>
      <c r="H939">
        <v>92763</v>
      </c>
      <c r="I939" t="s">
        <v>331</v>
      </c>
      <c r="J939" t="s">
        <v>332</v>
      </c>
      <c r="K939" t="s">
        <v>333</v>
      </c>
      <c r="L939" t="s">
        <v>36</v>
      </c>
      <c r="M939" t="s">
        <v>36</v>
      </c>
      <c r="N939" t="s">
        <v>36</v>
      </c>
      <c r="O939" t="s">
        <v>36</v>
      </c>
      <c r="P939" t="s">
        <v>37</v>
      </c>
      <c r="Q939" t="s">
        <v>36</v>
      </c>
      <c r="R939" t="s">
        <v>36</v>
      </c>
      <c r="S939" t="s">
        <v>36</v>
      </c>
      <c r="T939" t="s">
        <v>36</v>
      </c>
      <c r="U939" t="s">
        <v>36</v>
      </c>
      <c r="V939" t="s">
        <v>36</v>
      </c>
      <c r="W939" t="s">
        <v>36</v>
      </c>
      <c r="X939" t="s">
        <v>36</v>
      </c>
      <c r="Y939" t="s">
        <v>36</v>
      </c>
      <c r="Z939" t="s">
        <v>36</v>
      </c>
      <c r="AA939" t="s">
        <v>36</v>
      </c>
      <c r="AB939" t="s">
        <v>36</v>
      </c>
      <c r="AC939" t="s">
        <v>36</v>
      </c>
      <c r="AD939" t="s">
        <v>36</v>
      </c>
      <c r="AE939" t="s">
        <v>36</v>
      </c>
      <c r="AF939" t="s">
        <v>36</v>
      </c>
      <c r="AG939" t="s">
        <v>36</v>
      </c>
    </row>
    <row r="940" spans="1:33" hidden="1" x14ac:dyDescent="0.2">
      <c r="A940">
        <v>939</v>
      </c>
      <c r="B940" t="s">
        <v>334</v>
      </c>
      <c r="C940" t="s">
        <v>33</v>
      </c>
      <c r="D940">
        <v>30</v>
      </c>
      <c r="E940" t="s">
        <v>114</v>
      </c>
      <c r="F940" t="s">
        <v>35</v>
      </c>
      <c r="G940" t="s">
        <v>36</v>
      </c>
      <c r="H940">
        <v>63214</v>
      </c>
      <c r="I940" t="s">
        <v>36</v>
      </c>
      <c r="J940" t="s">
        <v>36</v>
      </c>
      <c r="K940" t="s">
        <v>36</v>
      </c>
      <c r="L940" t="s">
        <v>36</v>
      </c>
      <c r="M940" t="s">
        <v>36</v>
      </c>
      <c r="N940" t="s">
        <v>36</v>
      </c>
      <c r="O940" t="s">
        <v>36</v>
      </c>
      <c r="P940" t="s">
        <v>37</v>
      </c>
      <c r="Q940" t="s">
        <v>36</v>
      </c>
      <c r="R940" t="s">
        <v>36</v>
      </c>
      <c r="S940" t="s">
        <v>36</v>
      </c>
      <c r="T940" t="s">
        <v>36</v>
      </c>
      <c r="U940" t="s">
        <v>36</v>
      </c>
      <c r="V940" t="s">
        <v>36</v>
      </c>
      <c r="W940" t="s">
        <v>36</v>
      </c>
      <c r="X940" t="s">
        <v>36</v>
      </c>
      <c r="Y940" t="s">
        <v>36</v>
      </c>
      <c r="Z940" t="s">
        <v>36</v>
      </c>
      <c r="AA940" t="s">
        <v>36</v>
      </c>
      <c r="AB940" t="s">
        <v>36</v>
      </c>
      <c r="AC940" t="s">
        <v>36</v>
      </c>
      <c r="AD940" t="s">
        <v>36</v>
      </c>
      <c r="AE940" t="s">
        <v>36</v>
      </c>
      <c r="AF940" t="s">
        <v>36</v>
      </c>
      <c r="AG940" t="s">
        <v>36</v>
      </c>
    </row>
    <row r="941" spans="1:33" hidden="1" x14ac:dyDescent="0.2">
      <c r="A941">
        <v>940</v>
      </c>
      <c r="B941" t="s">
        <v>334</v>
      </c>
      <c r="C941" t="s">
        <v>33</v>
      </c>
      <c r="D941">
        <v>30</v>
      </c>
      <c r="E941" t="s">
        <v>114</v>
      </c>
      <c r="F941" t="s">
        <v>38</v>
      </c>
      <c r="G941" t="s">
        <v>39</v>
      </c>
      <c r="H941">
        <v>18749</v>
      </c>
      <c r="I941">
        <v>0</v>
      </c>
      <c r="J941">
        <v>0</v>
      </c>
      <c r="K941">
        <v>0</v>
      </c>
      <c r="L941">
        <v>1</v>
      </c>
      <c r="M941" t="s">
        <v>36</v>
      </c>
      <c r="N941" t="s">
        <v>36</v>
      </c>
      <c r="O941" t="s">
        <v>36</v>
      </c>
      <c r="P941" t="s">
        <v>37</v>
      </c>
      <c r="Q941" t="s">
        <v>36</v>
      </c>
      <c r="R941" t="s">
        <v>36</v>
      </c>
      <c r="S941" t="s">
        <v>36</v>
      </c>
      <c r="T941" t="s">
        <v>36</v>
      </c>
      <c r="U941" t="s">
        <v>36</v>
      </c>
      <c r="V941" t="s">
        <v>36</v>
      </c>
      <c r="W941" t="s">
        <v>36</v>
      </c>
      <c r="X941" t="s">
        <v>36</v>
      </c>
      <c r="Y941" t="s">
        <v>36</v>
      </c>
      <c r="Z941" t="s">
        <v>36</v>
      </c>
      <c r="AA941" t="s">
        <v>36</v>
      </c>
      <c r="AB941" t="s">
        <v>36</v>
      </c>
      <c r="AC941" t="s">
        <v>36</v>
      </c>
      <c r="AD941" t="s">
        <v>36</v>
      </c>
      <c r="AE941" t="s">
        <v>36</v>
      </c>
      <c r="AF941" t="s">
        <v>36</v>
      </c>
      <c r="AG941" t="s">
        <v>36</v>
      </c>
    </row>
    <row r="942" spans="1:33" hidden="1" x14ac:dyDescent="0.2">
      <c r="A942">
        <v>941</v>
      </c>
      <c r="B942" t="s">
        <v>334</v>
      </c>
      <c r="C942" t="s">
        <v>33</v>
      </c>
      <c r="D942">
        <v>30</v>
      </c>
      <c r="E942" t="s">
        <v>114</v>
      </c>
      <c r="F942" t="s">
        <v>38</v>
      </c>
      <c r="G942" t="s">
        <v>40</v>
      </c>
      <c r="H942">
        <v>91269</v>
      </c>
      <c r="I942">
        <v>0</v>
      </c>
      <c r="J942">
        <v>1</v>
      </c>
      <c r="K942">
        <v>1</v>
      </c>
      <c r="L942">
        <v>0</v>
      </c>
      <c r="M942" t="s">
        <v>36</v>
      </c>
      <c r="N942" t="s">
        <v>36</v>
      </c>
      <c r="O942" t="s">
        <v>36</v>
      </c>
      <c r="P942" t="s">
        <v>37</v>
      </c>
      <c r="Q942" t="s">
        <v>36</v>
      </c>
      <c r="R942" t="s">
        <v>36</v>
      </c>
      <c r="S942" t="s">
        <v>36</v>
      </c>
      <c r="T942" t="s">
        <v>36</v>
      </c>
      <c r="U942" t="s">
        <v>36</v>
      </c>
      <c r="V942" t="s">
        <v>36</v>
      </c>
      <c r="W942" t="s">
        <v>36</v>
      </c>
      <c r="X942" t="s">
        <v>36</v>
      </c>
      <c r="Y942" t="s">
        <v>36</v>
      </c>
      <c r="Z942" t="s">
        <v>36</v>
      </c>
      <c r="AA942" t="s">
        <v>36</v>
      </c>
      <c r="AB942" t="s">
        <v>36</v>
      </c>
      <c r="AC942" t="s">
        <v>36</v>
      </c>
      <c r="AD942" t="s">
        <v>36</v>
      </c>
      <c r="AE942" t="s">
        <v>36</v>
      </c>
      <c r="AF942" t="s">
        <v>36</v>
      </c>
      <c r="AG942" t="s">
        <v>36</v>
      </c>
    </row>
    <row r="943" spans="1:33" x14ac:dyDescent="0.2">
      <c r="A943">
        <v>942</v>
      </c>
      <c r="B943" t="s">
        <v>334</v>
      </c>
      <c r="C943" t="s">
        <v>33</v>
      </c>
      <c r="D943">
        <v>30</v>
      </c>
      <c r="E943" t="s">
        <v>114</v>
      </c>
      <c r="F943" t="s">
        <v>41</v>
      </c>
      <c r="G943" t="s">
        <v>55</v>
      </c>
      <c r="H943">
        <v>41307</v>
      </c>
      <c r="I943">
        <v>0</v>
      </c>
      <c r="J943">
        <v>0</v>
      </c>
      <c r="K943">
        <v>0</v>
      </c>
      <c r="L943">
        <v>1</v>
      </c>
      <c r="M943" t="s">
        <v>94</v>
      </c>
      <c r="N943" t="s">
        <v>85</v>
      </c>
      <c r="O943" t="s">
        <v>84</v>
      </c>
      <c r="P943" t="s">
        <v>37</v>
      </c>
      <c r="Q943" t="s">
        <v>47</v>
      </c>
      <c r="R943" t="s">
        <v>65</v>
      </c>
      <c r="S943" t="s">
        <v>46</v>
      </c>
      <c r="T943">
        <v>0</v>
      </c>
      <c r="U943">
        <v>1</v>
      </c>
      <c r="V943">
        <v>0</v>
      </c>
      <c r="W943">
        <v>1</v>
      </c>
      <c r="X943">
        <v>1</v>
      </c>
      <c r="Y943">
        <v>0</v>
      </c>
      <c r="Z943">
        <v>1</v>
      </c>
      <c r="AA943">
        <v>0</v>
      </c>
      <c r="AB943">
        <v>0</v>
      </c>
      <c r="AC943">
        <v>0</v>
      </c>
      <c r="AD943">
        <v>0</v>
      </c>
      <c r="AE943">
        <v>0</v>
      </c>
      <c r="AF943">
        <v>0</v>
      </c>
      <c r="AG943">
        <v>1</v>
      </c>
    </row>
    <row r="944" spans="1:33" x14ac:dyDescent="0.2">
      <c r="A944">
        <v>943</v>
      </c>
      <c r="B944" t="s">
        <v>334</v>
      </c>
      <c r="C944" t="s">
        <v>33</v>
      </c>
      <c r="D944">
        <v>30</v>
      </c>
      <c r="E944" t="s">
        <v>114</v>
      </c>
      <c r="F944" t="s">
        <v>41</v>
      </c>
      <c r="G944" t="s">
        <v>67</v>
      </c>
      <c r="H944">
        <v>37730</v>
      </c>
      <c r="I944">
        <v>0</v>
      </c>
      <c r="J944">
        <v>0</v>
      </c>
      <c r="K944">
        <v>1</v>
      </c>
      <c r="L944">
        <v>0</v>
      </c>
      <c r="M944" t="s">
        <v>109</v>
      </c>
      <c r="N944" t="s">
        <v>86</v>
      </c>
      <c r="O944" t="s">
        <v>68</v>
      </c>
      <c r="P944" t="s">
        <v>37</v>
      </c>
      <c r="Q944" t="s">
        <v>59</v>
      </c>
      <c r="R944" t="s">
        <v>46</v>
      </c>
      <c r="S944" t="s">
        <v>65</v>
      </c>
      <c r="T944">
        <v>0</v>
      </c>
      <c r="U944">
        <v>1</v>
      </c>
      <c r="V944">
        <v>0</v>
      </c>
      <c r="W944">
        <v>0</v>
      </c>
      <c r="X944">
        <v>1</v>
      </c>
      <c r="Y944">
        <v>0</v>
      </c>
      <c r="Z944">
        <v>1</v>
      </c>
      <c r="AA944">
        <v>0</v>
      </c>
      <c r="AB944">
        <v>1</v>
      </c>
      <c r="AC944">
        <v>0</v>
      </c>
      <c r="AD944">
        <v>0</v>
      </c>
      <c r="AE944">
        <v>0</v>
      </c>
      <c r="AF944">
        <v>0</v>
      </c>
      <c r="AG944">
        <v>0</v>
      </c>
    </row>
    <row r="945" spans="1:33" hidden="1" x14ac:dyDescent="0.2">
      <c r="A945">
        <v>944</v>
      </c>
      <c r="B945" t="s">
        <v>334</v>
      </c>
      <c r="C945" t="s">
        <v>33</v>
      </c>
      <c r="D945">
        <v>30</v>
      </c>
      <c r="E945" t="s">
        <v>114</v>
      </c>
      <c r="F945" t="s">
        <v>53</v>
      </c>
      <c r="G945" t="s">
        <v>66</v>
      </c>
      <c r="H945">
        <v>18325</v>
      </c>
      <c r="I945">
        <v>1</v>
      </c>
      <c r="J945">
        <v>0</v>
      </c>
      <c r="K945">
        <v>0</v>
      </c>
      <c r="L945">
        <v>0</v>
      </c>
      <c r="M945" t="s">
        <v>36</v>
      </c>
      <c r="N945" t="s">
        <v>36</v>
      </c>
      <c r="O945" t="s">
        <v>36</v>
      </c>
      <c r="P945" t="s">
        <v>37</v>
      </c>
      <c r="Q945" t="s">
        <v>36</v>
      </c>
      <c r="R945" t="s">
        <v>36</v>
      </c>
      <c r="S945" t="s">
        <v>36</v>
      </c>
      <c r="T945" t="s">
        <v>36</v>
      </c>
      <c r="U945">
        <v>1</v>
      </c>
      <c r="V945">
        <v>0</v>
      </c>
      <c r="W945">
        <v>0</v>
      </c>
      <c r="X945">
        <v>1</v>
      </c>
      <c r="Y945">
        <v>0</v>
      </c>
      <c r="Z945">
        <v>1</v>
      </c>
      <c r="AA945">
        <v>0</v>
      </c>
      <c r="AB945">
        <v>1</v>
      </c>
      <c r="AC945">
        <v>0</v>
      </c>
      <c r="AD945">
        <v>0</v>
      </c>
      <c r="AE945">
        <v>0</v>
      </c>
      <c r="AF945">
        <v>0</v>
      </c>
      <c r="AG945">
        <v>0</v>
      </c>
    </row>
    <row r="946" spans="1:33" x14ac:dyDescent="0.2">
      <c r="A946">
        <v>945</v>
      </c>
      <c r="B946" t="s">
        <v>334</v>
      </c>
      <c r="C946" t="s">
        <v>33</v>
      </c>
      <c r="D946">
        <v>30</v>
      </c>
      <c r="E946" t="s">
        <v>114</v>
      </c>
      <c r="F946" t="s">
        <v>41</v>
      </c>
      <c r="G946" t="s">
        <v>42</v>
      </c>
      <c r="H946">
        <v>27682</v>
      </c>
      <c r="I946">
        <v>0</v>
      </c>
      <c r="J946">
        <v>0</v>
      </c>
      <c r="K946">
        <v>0</v>
      </c>
      <c r="L946">
        <v>1</v>
      </c>
      <c r="M946" t="s">
        <v>43</v>
      </c>
      <c r="N946" t="s">
        <v>44</v>
      </c>
      <c r="O946" t="s">
        <v>82</v>
      </c>
      <c r="P946" t="s">
        <v>37</v>
      </c>
      <c r="Q946" t="s">
        <v>46</v>
      </c>
      <c r="R946" t="s">
        <v>47</v>
      </c>
      <c r="S946" t="s">
        <v>65</v>
      </c>
      <c r="T946">
        <v>0</v>
      </c>
      <c r="U946">
        <v>1</v>
      </c>
      <c r="V946">
        <v>0</v>
      </c>
      <c r="W946">
        <v>1</v>
      </c>
      <c r="X946">
        <v>1</v>
      </c>
      <c r="Y946">
        <v>0</v>
      </c>
      <c r="Z946">
        <v>1</v>
      </c>
      <c r="AA946">
        <v>0</v>
      </c>
      <c r="AB946">
        <v>0</v>
      </c>
      <c r="AC946">
        <v>0</v>
      </c>
      <c r="AD946">
        <v>0</v>
      </c>
      <c r="AE946">
        <v>0</v>
      </c>
      <c r="AF946">
        <v>0</v>
      </c>
      <c r="AG946">
        <v>1</v>
      </c>
    </row>
    <row r="947" spans="1:33" x14ac:dyDescent="0.2">
      <c r="A947">
        <v>946</v>
      </c>
      <c r="B947" t="s">
        <v>334</v>
      </c>
      <c r="C947" t="s">
        <v>33</v>
      </c>
      <c r="D947">
        <v>30</v>
      </c>
      <c r="E947" t="s">
        <v>114</v>
      </c>
      <c r="F947" t="s">
        <v>41</v>
      </c>
      <c r="G947" t="s">
        <v>61</v>
      </c>
      <c r="H947">
        <v>92069</v>
      </c>
      <c r="I947">
        <v>0</v>
      </c>
      <c r="J947">
        <v>1</v>
      </c>
      <c r="K947">
        <v>0</v>
      </c>
      <c r="L947">
        <v>0</v>
      </c>
      <c r="M947" t="s">
        <v>63</v>
      </c>
      <c r="N947" t="s">
        <v>87</v>
      </c>
      <c r="O947" t="s">
        <v>64</v>
      </c>
      <c r="P947" t="s">
        <v>37</v>
      </c>
      <c r="Q947" t="s">
        <v>46</v>
      </c>
      <c r="R947" t="s">
        <v>47</v>
      </c>
      <c r="S947" t="s">
        <v>48</v>
      </c>
      <c r="T947">
        <v>0</v>
      </c>
      <c r="U947">
        <v>0</v>
      </c>
      <c r="V947">
        <v>1</v>
      </c>
      <c r="W947">
        <v>1</v>
      </c>
      <c r="X947">
        <v>1</v>
      </c>
      <c r="Y947">
        <v>0</v>
      </c>
      <c r="Z947">
        <v>1</v>
      </c>
      <c r="AA947">
        <v>0</v>
      </c>
      <c r="AB947">
        <v>0</v>
      </c>
      <c r="AC947">
        <v>0</v>
      </c>
      <c r="AD947">
        <v>1</v>
      </c>
      <c r="AE947">
        <v>0</v>
      </c>
      <c r="AF947">
        <v>0</v>
      </c>
      <c r="AG947">
        <v>0</v>
      </c>
    </row>
    <row r="948" spans="1:33" hidden="1" x14ac:dyDescent="0.2">
      <c r="A948">
        <v>947</v>
      </c>
      <c r="B948" t="s">
        <v>334</v>
      </c>
      <c r="C948" t="s">
        <v>33</v>
      </c>
      <c r="D948">
        <v>30</v>
      </c>
      <c r="E948" t="s">
        <v>114</v>
      </c>
      <c r="F948" t="s">
        <v>53</v>
      </c>
      <c r="G948" t="s">
        <v>71</v>
      </c>
      <c r="H948">
        <v>37829</v>
      </c>
      <c r="I948">
        <v>0</v>
      </c>
      <c r="J948">
        <v>1</v>
      </c>
      <c r="K948">
        <v>0</v>
      </c>
      <c r="L948">
        <v>0</v>
      </c>
      <c r="M948" t="s">
        <v>36</v>
      </c>
      <c r="N948" t="s">
        <v>36</v>
      </c>
      <c r="O948" t="s">
        <v>36</v>
      </c>
      <c r="P948" t="s">
        <v>37</v>
      </c>
      <c r="Q948" t="s">
        <v>36</v>
      </c>
      <c r="R948" t="s">
        <v>36</v>
      </c>
      <c r="S948" t="s">
        <v>36</v>
      </c>
      <c r="T948" t="s">
        <v>36</v>
      </c>
      <c r="U948">
        <v>0</v>
      </c>
      <c r="V948">
        <v>1</v>
      </c>
      <c r="W948">
        <v>1</v>
      </c>
      <c r="X948">
        <v>1</v>
      </c>
      <c r="Y948">
        <v>0</v>
      </c>
      <c r="Z948">
        <v>1</v>
      </c>
      <c r="AA948">
        <v>0</v>
      </c>
      <c r="AB948">
        <v>0</v>
      </c>
      <c r="AC948">
        <v>0</v>
      </c>
      <c r="AD948">
        <v>1</v>
      </c>
      <c r="AE948">
        <v>0</v>
      </c>
      <c r="AF948">
        <v>0</v>
      </c>
      <c r="AG948">
        <v>0</v>
      </c>
    </row>
    <row r="949" spans="1:33" x14ac:dyDescent="0.2">
      <c r="A949">
        <v>948</v>
      </c>
      <c r="B949" t="s">
        <v>334</v>
      </c>
      <c r="C949" t="s">
        <v>33</v>
      </c>
      <c r="D949">
        <v>30</v>
      </c>
      <c r="E949" t="s">
        <v>114</v>
      </c>
      <c r="F949" t="s">
        <v>41</v>
      </c>
      <c r="G949" t="s">
        <v>72</v>
      </c>
      <c r="H949">
        <v>13747</v>
      </c>
      <c r="I949">
        <v>0</v>
      </c>
      <c r="J949">
        <v>0</v>
      </c>
      <c r="K949">
        <v>1</v>
      </c>
      <c r="L949">
        <v>0</v>
      </c>
      <c r="M949" t="s">
        <v>73</v>
      </c>
      <c r="N949" t="s">
        <v>75</v>
      </c>
      <c r="O949" t="s">
        <v>115</v>
      </c>
      <c r="P949" t="s">
        <v>37</v>
      </c>
      <c r="Q949" t="s">
        <v>48</v>
      </c>
      <c r="R949" t="s">
        <v>46</v>
      </c>
      <c r="S949" t="s">
        <v>65</v>
      </c>
      <c r="T949">
        <v>0</v>
      </c>
      <c r="U949">
        <v>1</v>
      </c>
      <c r="V949">
        <v>1</v>
      </c>
      <c r="W949">
        <v>0</v>
      </c>
      <c r="X949">
        <v>1</v>
      </c>
      <c r="Y949">
        <v>0</v>
      </c>
      <c r="Z949">
        <v>1</v>
      </c>
      <c r="AA949">
        <v>0</v>
      </c>
      <c r="AB949">
        <v>1</v>
      </c>
      <c r="AC949">
        <v>0</v>
      </c>
      <c r="AD949">
        <v>0</v>
      </c>
      <c r="AE949">
        <v>0</v>
      </c>
      <c r="AF949">
        <v>0</v>
      </c>
      <c r="AG949">
        <v>0</v>
      </c>
    </row>
    <row r="950" spans="1:33" hidden="1" x14ac:dyDescent="0.2">
      <c r="A950">
        <v>949</v>
      </c>
      <c r="B950" t="s">
        <v>334</v>
      </c>
      <c r="C950" t="s">
        <v>33</v>
      </c>
      <c r="D950">
        <v>30</v>
      </c>
      <c r="E950" t="s">
        <v>114</v>
      </c>
      <c r="F950" t="s">
        <v>53</v>
      </c>
      <c r="G950" t="s">
        <v>76</v>
      </c>
      <c r="H950">
        <v>16885</v>
      </c>
      <c r="I950">
        <v>1</v>
      </c>
      <c r="J950">
        <v>0</v>
      </c>
      <c r="K950">
        <v>0</v>
      </c>
      <c r="L950">
        <v>0</v>
      </c>
      <c r="M950" t="s">
        <v>36</v>
      </c>
      <c r="N950" t="s">
        <v>36</v>
      </c>
      <c r="O950" t="s">
        <v>36</v>
      </c>
      <c r="P950" t="s">
        <v>37</v>
      </c>
      <c r="Q950" t="s">
        <v>36</v>
      </c>
      <c r="R950" t="s">
        <v>36</v>
      </c>
      <c r="S950" t="s">
        <v>36</v>
      </c>
      <c r="T950" t="s">
        <v>36</v>
      </c>
      <c r="U950">
        <v>1</v>
      </c>
      <c r="V950">
        <v>1</v>
      </c>
      <c r="W950">
        <v>0</v>
      </c>
      <c r="X950">
        <v>1</v>
      </c>
      <c r="Y950">
        <v>0</v>
      </c>
      <c r="Z950">
        <v>1</v>
      </c>
      <c r="AA950">
        <v>0</v>
      </c>
      <c r="AB950">
        <v>1</v>
      </c>
      <c r="AC950">
        <v>0</v>
      </c>
      <c r="AD950">
        <v>0</v>
      </c>
      <c r="AE950">
        <v>0</v>
      </c>
      <c r="AF950">
        <v>0</v>
      </c>
      <c r="AG950">
        <v>0</v>
      </c>
    </row>
    <row r="951" spans="1:33" x14ac:dyDescent="0.2">
      <c r="A951">
        <v>950</v>
      </c>
      <c r="B951" t="s">
        <v>334</v>
      </c>
      <c r="C951" t="s">
        <v>33</v>
      </c>
      <c r="D951">
        <v>30</v>
      </c>
      <c r="E951" t="s">
        <v>114</v>
      </c>
      <c r="F951" t="s">
        <v>41</v>
      </c>
      <c r="G951" t="s">
        <v>49</v>
      </c>
      <c r="H951">
        <v>13124</v>
      </c>
      <c r="I951">
        <v>1</v>
      </c>
      <c r="J951">
        <v>0</v>
      </c>
      <c r="K951">
        <v>0</v>
      </c>
      <c r="L951">
        <v>0</v>
      </c>
      <c r="M951" t="s">
        <v>51</v>
      </c>
      <c r="N951" t="s">
        <v>83</v>
      </c>
      <c r="O951" t="s">
        <v>50</v>
      </c>
      <c r="P951" t="s">
        <v>37</v>
      </c>
      <c r="Q951" t="s">
        <v>47</v>
      </c>
      <c r="R951" t="s">
        <v>59</v>
      </c>
      <c r="S951" t="s">
        <v>48</v>
      </c>
      <c r="T951">
        <v>0</v>
      </c>
      <c r="U951">
        <v>0</v>
      </c>
      <c r="V951">
        <v>1</v>
      </c>
      <c r="W951">
        <v>1</v>
      </c>
      <c r="X951">
        <v>0</v>
      </c>
      <c r="Y951">
        <v>0</v>
      </c>
      <c r="Z951">
        <v>1</v>
      </c>
      <c r="AA951">
        <v>0</v>
      </c>
      <c r="AB951">
        <v>0</v>
      </c>
      <c r="AC951">
        <v>0</v>
      </c>
      <c r="AD951">
        <v>1</v>
      </c>
      <c r="AE951">
        <v>0</v>
      </c>
      <c r="AF951">
        <v>0</v>
      </c>
      <c r="AG951">
        <v>0</v>
      </c>
    </row>
    <row r="952" spans="1:33" hidden="1" x14ac:dyDescent="0.2">
      <c r="A952">
        <v>951</v>
      </c>
      <c r="B952" t="s">
        <v>334</v>
      </c>
      <c r="C952" t="s">
        <v>33</v>
      </c>
      <c r="D952">
        <v>30</v>
      </c>
      <c r="E952" t="s">
        <v>114</v>
      </c>
      <c r="F952" t="s">
        <v>53</v>
      </c>
      <c r="G952" t="s">
        <v>54</v>
      </c>
      <c r="H952">
        <v>196364</v>
      </c>
      <c r="I952">
        <v>0</v>
      </c>
      <c r="J952">
        <v>1</v>
      </c>
      <c r="K952">
        <v>0</v>
      </c>
      <c r="L952">
        <v>0</v>
      </c>
      <c r="M952" t="s">
        <v>36</v>
      </c>
      <c r="N952" t="s">
        <v>36</v>
      </c>
      <c r="O952" t="s">
        <v>36</v>
      </c>
      <c r="P952" t="s">
        <v>37</v>
      </c>
      <c r="Q952" t="s">
        <v>36</v>
      </c>
      <c r="R952" t="s">
        <v>36</v>
      </c>
      <c r="S952" t="s">
        <v>36</v>
      </c>
      <c r="T952" t="s">
        <v>36</v>
      </c>
      <c r="U952">
        <v>0</v>
      </c>
      <c r="V952">
        <v>1</v>
      </c>
      <c r="W952">
        <v>1</v>
      </c>
      <c r="X952">
        <v>0</v>
      </c>
      <c r="Y952">
        <v>0</v>
      </c>
      <c r="Z952">
        <v>1</v>
      </c>
      <c r="AA952">
        <v>0</v>
      </c>
      <c r="AB952">
        <v>0</v>
      </c>
      <c r="AC952">
        <v>0</v>
      </c>
      <c r="AD952">
        <v>1</v>
      </c>
      <c r="AE952">
        <v>0</v>
      </c>
      <c r="AF952">
        <v>0</v>
      </c>
      <c r="AG952">
        <v>0</v>
      </c>
    </row>
    <row r="953" spans="1:33" hidden="1" x14ac:dyDescent="0.2">
      <c r="A953">
        <v>952</v>
      </c>
      <c r="B953" t="s">
        <v>334</v>
      </c>
      <c r="C953" t="s">
        <v>33</v>
      </c>
      <c r="D953">
        <v>30</v>
      </c>
      <c r="E953" t="s">
        <v>114</v>
      </c>
      <c r="F953" t="s">
        <v>77</v>
      </c>
      <c r="G953" t="s">
        <v>36</v>
      </c>
      <c r="H953">
        <v>70348</v>
      </c>
      <c r="I953" t="s">
        <v>335</v>
      </c>
      <c r="J953" t="s">
        <v>336</v>
      </c>
      <c r="K953" t="s">
        <v>337</v>
      </c>
      <c r="L953" t="s">
        <v>36</v>
      </c>
      <c r="M953" t="s">
        <v>36</v>
      </c>
      <c r="N953" t="s">
        <v>36</v>
      </c>
      <c r="O953" t="s">
        <v>36</v>
      </c>
      <c r="P953" t="s">
        <v>37</v>
      </c>
      <c r="Q953" t="s">
        <v>36</v>
      </c>
      <c r="R953" t="s">
        <v>36</v>
      </c>
      <c r="S953" t="s">
        <v>36</v>
      </c>
      <c r="T953" t="s">
        <v>36</v>
      </c>
      <c r="U953" t="s">
        <v>36</v>
      </c>
      <c r="V953" t="s">
        <v>36</v>
      </c>
      <c r="W953" t="s">
        <v>36</v>
      </c>
      <c r="X953" t="s">
        <v>36</v>
      </c>
      <c r="Y953" t="s">
        <v>36</v>
      </c>
      <c r="Z953" t="s">
        <v>36</v>
      </c>
      <c r="AA953" t="s">
        <v>36</v>
      </c>
      <c r="AB953" t="s">
        <v>36</v>
      </c>
      <c r="AC953" t="s">
        <v>36</v>
      </c>
      <c r="AD953" t="s">
        <v>36</v>
      </c>
      <c r="AE953" t="s">
        <v>36</v>
      </c>
      <c r="AF953" t="s">
        <v>36</v>
      </c>
      <c r="AG953" t="s">
        <v>36</v>
      </c>
    </row>
    <row r="954" spans="1:33" hidden="1" x14ac:dyDescent="0.2">
      <c r="A954">
        <v>953</v>
      </c>
      <c r="B954" t="s">
        <v>338</v>
      </c>
      <c r="C954" t="s">
        <v>33</v>
      </c>
      <c r="D954">
        <v>24</v>
      </c>
      <c r="E954" t="s">
        <v>34</v>
      </c>
      <c r="F954" t="s">
        <v>35</v>
      </c>
      <c r="G954" t="s">
        <v>36</v>
      </c>
      <c r="H954">
        <v>32676</v>
      </c>
      <c r="I954" t="s">
        <v>36</v>
      </c>
      <c r="J954" t="s">
        <v>36</v>
      </c>
      <c r="K954" t="s">
        <v>36</v>
      </c>
      <c r="L954" t="s">
        <v>36</v>
      </c>
      <c r="M954" t="s">
        <v>36</v>
      </c>
      <c r="N954" t="s">
        <v>36</v>
      </c>
      <c r="O954" t="s">
        <v>36</v>
      </c>
      <c r="P954" t="s">
        <v>37</v>
      </c>
      <c r="Q954" t="s">
        <v>36</v>
      </c>
      <c r="R954" t="s">
        <v>36</v>
      </c>
      <c r="S954" t="s">
        <v>36</v>
      </c>
      <c r="T954" t="s">
        <v>36</v>
      </c>
      <c r="U954" t="s">
        <v>36</v>
      </c>
      <c r="V954" t="s">
        <v>36</v>
      </c>
      <c r="W954" t="s">
        <v>36</v>
      </c>
      <c r="X954" t="s">
        <v>36</v>
      </c>
      <c r="Y954" t="s">
        <v>36</v>
      </c>
      <c r="Z954" t="s">
        <v>36</v>
      </c>
      <c r="AA954" t="s">
        <v>36</v>
      </c>
      <c r="AB954" t="s">
        <v>36</v>
      </c>
      <c r="AC954" t="s">
        <v>36</v>
      </c>
      <c r="AD954" t="s">
        <v>36</v>
      </c>
      <c r="AE954" t="s">
        <v>36</v>
      </c>
      <c r="AF954" t="s">
        <v>36</v>
      </c>
      <c r="AG954" t="s">
        <v>36</v>
      </c>
    </row>
    <row r="955" spans="1:33" hidden="1" x14ac:dyDescent="0.2">
      <c r="A955">
        <v>954</v>
      </c>
      <c r="B955" t="s">
        <v>338</v>
      </c>
      <c r="C955" t="s">
        <v>33</v>
      </c>
      <c r="D955">
        <v>24</v>
      </c>
      <c r="E955" t="s">
        <v>34</v>
      </c>
      <c r="F955" t="s">
        <v>38</v>
      </c>
      <c r="G955" t="s">
        <v>39</v>
      </c>
      <c r="H955">
        <v>18787</v>
      </c>
      <c r="I955">
        <v>0</v>
      </c>
      <c r="J955">
        <v>0</v>
      </c>
      <c r="K955">
        <v>1</v>
      </c>
      <c r="L955">
        <v>0</v>
      </c>
      <c r="M955" t="s">
        <v>36</v>
      </c>
      <c r="N955" t="s">
        <v>36</v>
      </c>
      <c r="O955" t="s">
        <v>36</v>
      </c>
      <c r="P955" t="s">
        <v>37</v>
      </c>
      <c r="Q955" t="s">
        <v>36</v>
      </c>
      <c r="R955" t="s">
        <v>36</v>
      </c>
      <c r="S955" t="s">
        <v>36</v>
      </c>
      <c r="T955" t="s">
        <v>36</v>
      </c>
      <c r="U955" t="s">
        <v>36</v>
      </c>
      <c r="V955" t="s">
        <v>36</v>
      </c>
      <c r="W955" t="s">
        <v>36</v>
      </c>
      <c r="X955" t="s">
        <v>36</v>
      </c>
      <c r="Y955" t="s">
        <v>36</v>
      </c>
      <c r="Z955" t="s">
        <v>36</v>
      </c>
      <c r="AA955" t="s">
        <v>36</v>
      </c>
      <c r="AB955" t="s">
        <v>36</v>
      </c>
      <c r="AC955" t="s">
        <v>36</v>
      </c>
      <c r="AD955" t="s">
        <v>36</v>
      </c>
      <c r="AE955" t="s">
        <v>36</v>
      </c>
      <c r="AF955" t="s">
        <v>36</v>
      </c>
      <c r="AG955" t="s">
        <v>36</v>
      </c>
    </row>
    <row r="956" spans="1:33" hidden="1" x14ac:dyDescent="0.2">
      <c r="A956">
        <v>955</v>
      </c>
      <c r="B956" t="s">
        <v>338</v>
      </c>
      <c r="C956" t="s">
        <v>33</v>
      </c>
      <c r="D956">
        <v>24</v>
      </c>
      <c r="E956" t="s">
        <v>34</v>
      </c>
      <c r="F956" t="s">
        <v>38</v>
      </c>
      <c r="G956" t="s">
        <v>40</v>
      </c>
      <c r="H956">
        <v>5509</v>
      </c>
      <c r="I956">
        <v>0</v>
      </c>
      <c r="J956">
        <v>0</v>
      </c>
      <c r="K956">
        <v>1</v>
      </c>
      <c r="L956">
        <v>0</v>
      </c>
      <c r="M956" t="s">
        <v>36</v>
      </c>
      <c r="N956" t="s">
        <v>36</v>
      </c>
      <c r="O956" t="s">
        <v>36</v>
      </c>
      <c r="P956" t="s">
        <v>37</v>
      </c>
      <c r="Q956" t="s">
        <v>36</v>
      </c>
      <c r="R956" t="s">
        <v>36</v>
      </c>
      <c r="S956" t="s">
        <v>36</v>
      </c>
      <c r="T956" t="s">
        <v>36</v>
      </c>
      <c r="U956" t="s">
        <v>36</v>
      </c>
      <c r="V956" t="s">
        <v>36</v>
      </c>
      <c r="W956" t="s">
        <v>36</v>
      </c>
      <c r="X956" t="s">
        <v>36</v>
      </c>
      <c r="Y956" t="s">
        <v>36</v>
      </c>
      <c r="Z956" t="s">
        <v>36</v>
      </c>
      <c r="AA956" t="s">
        <v>36</v>
      </c>
      <c r="AB956" t="s">
        <v>36</v>
      </c>
      <c r="AC956" t="s">
        <v>36</v>
      </c>
      <c r="AD956" t="s">
        <v>36</v>
      </c>
      <c r="AE956" t="s">
        <v>36</v>
      </c>
      <c r="AF956" t="s">
        <v>36</v>
      </c>
      <c r="AG956" t="s">
        <v>36</v>
      </c>
    </row>
    <row r="957" spans="1:33" x14ac:dyDescent="0.2">
      <c r="A957">
        <v>956</v>
      </c>
      <c r="B957" t="s">
        <v>338</v>
      </c>
      <c r="C957" t="s">
        <v>33</v>
      </c>
      <c r="D957">
        <v>24</v>
      </c>
      <c r="E957" t="s">
        <v>34</v>
      </c>
      <c r="F957" t="s">
        <v>41</v>
      </c>
      <c r="G957" t="s">
        <v>42</v>
      </c>
      <c r="H957">
        <v>14733</v>
      </c>
      <c r="I957">
        <v>0</v>
      </c>
      <c r="J957">
        <v>1</v>
      </c>
      <c r="K957">
        <v>0</v>
      </c>
      <c r="L957">
        <v>0</v>
      </c>
      <c r="M957" t="s">
        <v>43</v>
      </c>
      <c r="N957" t="s">
        <v>44</v>
      </c>
      <c r="O957" t="s">
        <v>116</v>
      </c>
      <c r="P957" t="s">
        <v>37</v>
      </c>
      <c r="Q957" t="s">
        <v>46</v>
      </c>
      <c r="R957" t="s">
        <v>47</v>
      </c>
      <c r="S957" t="s">
        <v>60</v>
      </c>
      <c r="T957">
        <v>1</v>
      </c>
      <c r="U957">
        <v>0</v>
      </c>
      <c r="V957">
        <v>0</v>
      </c>
      <c r="W957">
        <v>1</v>
      </c>
      <c r="X957">
        <v>1</v>
      </c>
      <c r="Y957">
        <v>0</v>
      </c>
      <c r="Z957">
        <v>1</v>
      </c>
      <c r="AA957">
        <v>0</v>
      </c>
      <c r="AB957">
        <v>0</v>
      </c>
      <c r="AC957">
        <v>0</v>
      </c>
      <c r="AD957">
        <v>1</v>
      </c>
      <c r="AE957">
        <v>0</v>
      </c>
      <c r="AF957">
        <v>0</v>
      </c>
      <c r="AG957">
        <v>0</v>
      </c>
    </row>
    <row r="958" spans="1:33" x14ac:dyDescent="0.2">
      <c r="A958">
        <v>957</v>
      </c>
      <c r="B958" t="s">
        <v>338</v>
      </c>
      <c r="C958" t="s">
        <v>33</v>
      </c>
      <c r="D958">
        <v>24</v>
      </c>
      <c r="E958" t="s">
        <v>34</v>
      </c>
      <c r="F958" t="s">
        <v>41</v>
      </c>
      <c r="G958" t="s">
        <v>55</v>
      </c>
      <c r="H958">
        <v>3776</v>
      </c>
      <c r="I958">
        <v>0</v>
      </c>
      <c r="J958">
        <v>0</v>
      </c>
      <c r="K958">
        <v>1</v>
      </c>
      <c r="L958">
        <v>0</v>
      </c>
      <c r="M958" t="s">
        <v>57</v>
      </c>
      <c r="N958" t="s">
        <v>94</v>
      </c>
      <c r="O958" t="s">
        <v>84</v>
      </c>
      <c r="P958" t="s">
        <v>37</v>
      </c>
      <c r="Q958" t="s">
        <v>48</v>
      </c>
      <c r="R958" t="s">
        <v>47</v>
      </c>
      <c r="S958" t="s">
        <v>46</v>
      </c>
      <c r="T958">
        <v>0</v>
      </c>
      <c r="U958">
        <v>0</v>
      </c>
      <c r="V958">
        <v>1</v>
      </c>
      <c r="W958">
        <v>1</v>
      </c>
      <c r="X958">
        <v>1</v>
      </c>
      <c r="Y958">
        <v>0</v>
      </c>
      <c r="Z958">
        <v>1</v>
      </c>
      <c r="AA958">
        <v>0</v>
      </c>
      <c r="AB958">
        <v>0</v>
      </c>
      <c r="AC958">
        <v>0</v>
      </c>
      <c r="AD958">
        <v>0</v>
      </c>
      <c r="AE958">
        <v>1</v>
      </c>
      <c r="AF958">
        <v>0</v>
      </c>
      <c r="AG958">
        <v>0</v>
      </c>
    </row>
    <row r="959" spans="1:33" hidden="1" x14ac:dyDescent="0.2">
      <c r="A959">
        <v>958</v>
      </c>
      <c r="B959" t="s">
        <v>338</v>
      </c>
      <c r="C959" t="s">
        <v>33</v>
      </c>
      <c r="D959">
        <v>24</v>
      </c>
      <c r="E959" t="s">
        <v>34</v>
      </c>
      <c r="F959" t="s">
        <v>53</v>
      </c>
      <c r="G959" t="s">
        <v>54</v>
      </c>
      <c r="H959">
        <v>2762</v>
      </c>
      <c r="I959">
        <v>0</v>
      </c>
      <c r="J959">
        <v>1</v>
      </c>
      <c r="K959">
        <v>0</v>
      </c>
      <c r="L959">
        <v>0</v>
      </c>
      <c r="M959" t="s">
        <v>36</v>
      </c>
      <c r="N959" t="s">
        <v>36</v>
      </c>
      <c r="O959" t="s">
        <v>36</v>
      </c>
      <c r="P959" t="s">
        <v>37</v>
      </c>
      <c r="Q959" t="s">
        <v>36</v>
      </c>
      <c r="R959" t="s">
        <v>36</v>
      </c>
      <c r="S959" t="s">
        <v>36</v>
      </c>
      <c r="T959" t="s">
        <v>36</v>
      </c>
      <c r="U959">
        <v>0</v>
      </c>
      <c r="V959">
        <v>1</v>
      </c>
      <c r="W959">
        <v>1</v>
      </c>
      <c r="X959">
        <v>1</v>
      </c>
      <c r="Y959">
        <v>0</v>
      </c>
      <c r="Z959">
        <v>1</v>
      </c>
      <c r="AA959">
        <v>0</v>
      </c>
      <c r="AB959">
        <v>0</v>
      </c>
      <c r="AC959">
        <v>0</v>
      </c>
      <c r="AD959">
        <v>0</v>
      </c>
      <c r="AE959">
        <v>1</v>
      </c>
      <c r="AF959">
        <v>0</v>
      </c>
      <c r="AG959">
        <v>0</v>
      </c>
    </row>
    <row r="960" spans="1:33" x14ac:dyDescent="0.2">
      <c r="A960">
        <v>959</v>
      </c>
      <c r="B960" t="s">
        <v>338</v>
      </c>
      <c r="C960" t="s">
        <v>33</v>
      </c>
      <c r="D960">
        <v>24</v>
      </c>
      <c r="E960" t="s">
        <v>34</v>
      </c>
      <c r="F960" t="s">
        <v>41</v>
      </c>
      <c r="G960" t="s">
        <v>49</v>
      </c>
      <c r="H960">
        <v>3072</v>
      </c>
      <c r="I960">
        <v>1</v>
      </c>
      <c r="J960">
        <v>0</v>
      </c>
      <c r="K960">
        <v>0</v>
      </c>
      <c r="L960">
        <v>0</v>
      </c>
      <c r="M960" t="s">
        <v>51</v>
      </c>
      <c r="N960" t="s">
        <v>83</v>
      </c>
      <c r="O960" t="s">
        <v>50</v>
      </c>
      <c r="P960" t="s">
        <v>37</v>
      </c>
      <c r="Q960" t="s">
        <v>47</v>
      </c>
      <c r="R960" t="s">
        <v>59</v>
      </c>
      <c r="S960" t="s">
        <v>48</v>
      </c>
      <c r="T960">
        <v>0</v>
      </c>
      <c r="U960">
        <v>0</v>
      </c>
      <c r="V960">
        <v>1</v>
      </c>
      <c r="W960">
        <v>1</v>
      </c>
      <c r="X960">
        <v>0</v>
      </c>
      <c r="Y960">
        <v>0</v>
      </c>
      <c r="Z960">
        <v>1</v>
      </c>
      <c r="AA960">
        <v>0</v>
      </c>
      <c r="AB960">
        <v>0</v>
      </c>
      <c r="AC960">
        <v>0</v>
      </c>
      <c r="AD960">
        <v>1</v>
      </c>
      <c r="AE960">
        <v>0</v>
      </c>
      <c r="AF960">
        <v>0</v>
      </c>
      <c r="AG960">
        <v>0</v>
      </c>
    </row>
    <row r="961" spans="1:33" x14ac:dyDescent="0.2">
      <c r="A961">
        <v>960</v>
      </c>
      <c r="B961" t="s">
        <v>338</v>
      </c>
      <c r="C961" t="s">
        <v>33</v>
      </c>
      <c r="D961">
        <v>24</v>
      </c>
      <c r="E961" t="s">
        <v>34</v>
      </c>
      <c r="F961" t="s">
        <v>41</v>
      </c>
      <c r="G961" t="s">
        <v>72</v>
      </c>
      <c r="H961">
        <v>3189</v>
      </c>
      <c r="I961">
        <v>0</v>
      </c>
      <c r="J961">
        <v>1</v>
      </c>
      <c r="K961">
        <v>0</v>
      </c>
      <c r="L961">
        <v>0</v>
      </c>
      <c r="M961" t="s">
        <v>93</v>
      </c>
      <c r="N961" t="s">
        <v>75</v>
      </c>
      <c r="O961" t="s">
        <v>74</v>
      </c>
      <c r="P961" t="s">
        <v>37</v>
      </c>
      <c r="Q961" t="s">
        <v>59</v>
      </c>
      <c r="R961" t="s">
        <v>46</v>
      </c>
      <c r="S961" t="s">
        <v>47</v>
      </c>
      <c r="T961">
        <v>0</v>
      </c>
      <c r="U961">
        <v>0</v>
      </c>
      <c r="V961">
        <v>0</v>
      </c>
      <c r="W961">
        <v>1</v>
      </c>
      <c r="X961">
        <v>1</v>
      </c>
      <c r="Y961">
        <v>0</v>
      </c>
      <c r="Z961">
        <v>1</v>
      </c>
      <c r="AA961">
        <v>0</v>
      </c>
      <c r="AB961">
        <v>0</v>
      </c>
      <c r="AC961">
        <v>0</v>
      </c>
      <c r="AD961">
        <v>0</v>
      </c>
      <c r="AE961">
        <v>1</v>
      </c>
      <c r="AF961">
        <v>0</v>
      </c>
      <c r="AG961">
        <v>0</v>
      </c>
    </row>
    <row r="962" spans="1:33" hidden="1" x14ac:dyDescent="0.2">
      <c r="A962">
        <v>961</v>
      </c>
      <c r="B962" t="s">
        <v>338</v>
      </c>
      <c r="C962" t="s">
        <v>33</v>
      </c>
      <c r="D962">
        <v>24</v>
      </c>
      <c r="E962" t="s">
        <v>34</v>
      </c>
      <c r="F962" t="s">
        <v>53</v>
      </c>
      <c r="G962" t="s">
        <v>66</v>
      </c>
      <c r="H962">
        <v>4214</v>
      </c>
      <c r="I962">
        <v>0</v>
      </c>
      <c r="J962">
        <v>0</v>
      </c>
      <c r="K962">
        <v>1</v>
      </c>
      <c r="L962">
        <v>0</v>
      </c>
      <c r="M962" t="s">
        <v>36</v>
      </c>
      <c r="N962" t="s">
        <v>36</v>
      </c>
      <c r="O962" t="s">
        <v>36</v>
      </c>
      <c r="P962" t="s">
        <v>37</v>
      </c>
      <c r="Q962" t="s">
        <v>36</v>
      </c>
      <c r="R962" t="s">
        <v>36</v>
      </c>
      <c r="S962" t="s">
        <v>36</v>
      </c>
      <c r="T962" t="s">
        <v>36</v>
      </c>
      <c r="U962">
        <v>0</v>
      </c>
      <c r="V962">
        <v>0</v>
      </c>
      <c r="W962">
        <v>1</v>
      </c>
      <c r="X962">
        <v>1</v>
      </c>
      <c r="Y962">
        <v>0</v>
      </c>
      <c r="Z962">
        <v>1</v>
      </c>
      <c r="AA962">
        <v>0</v>
      </c>
      <c r="AB962">
        <v>0</v>
      </c>
      <c r="AC962">
        <v>0</v>
      </c>
      <c r="AD962">
        <v>0</v>
      </c>
      <c r="AE962">
        <v>1</v>
      </c>
      <c r="AF962">
        <v>0</v>
      </c>
      <c r="AG962">
        <v>0</v>
      </c>
    </row>
    <row r="963" spans="1:33" x14ac:dyDescent="0.2">
      <c r="A963">
        <v>962</v>
      </c>
      <c r="B963" t="s">
        <v>338</v>
      </c>
      <c r="C963" t="s">
        <v>33</v>
      </c>
      <c r="D963">
        <v>24</v>
      </c>
      <c r="E963" t="s">
        <v>34</v>
      </c>
      <c r="F963" t="s">
        <v>41</v>
      </c>
      <c r="G963" t="s">
        <v>61</v>
      </c>
      <c r="H963">
        <v>4028</v>
      </c>
      <c r="I963">
        <v>1</v>
      </c>
      <c r="J963">
        <v>0</v>
      </c>
      <c r="K963">
        <v>0</v>
      </c>
      <c r="L963">
        <v>0</v>
      </c>
      <c r="M963" t="s">
        <v>87</v>
      </c>
      <c r="N963" t="s">
        <v>62</v>
      </c>
      <c r="O963" t="s">
        <v>63</v>
      </c>
      <c r="P963" t="s">
        <v>37</v>
      </c>
      <c r="Q963" t="s">
        <v>47</v>
      </c>
      <c r="R963" t="s">
        <v>65</v>
      </c>
      <c r="S963" t="s">
        <v>46</v>
      </c>
      <c r="T963">
        <v>0</v>
      </c>
      <c r="U963">
        <v>1</v>
      </c>
      <c r="V963">
        <v>0</v>
      </c>
      <c r="W963">
        <v>1</v>
      </c>
      <c r="X963">
        <v>1</v>
      </c>
      <c r="Y963">
        <v>0</v>
      </c>
      <c r="Z963">
        <v>1</v>
      </c>
      <c r="AA963">
        <v>0</v>
      </c>
      <c r="AB963">
        <v>0</v>
      </c>
      <c r="AC963">
        <v>0</v>
      </c>
      <c r="AD963">
        <v>1</v>
      </c>
      <c r="AE963">
        <v>0</v>
      </c>
      <c r="AF963">
        <v>0</v>
      </c>
      <c r="AG963">
        <v>0</v>
      </c>
    </row>
    <row r="964" spans="1:33" hidden="1" x14ac:dyDescent="0.2">
      <c r="A964">
        <v>963</v>
      </c>
      <c r="B964" t="s">
        <v>338</v>
      </c>
      <c r="C964" t="s">
        <v>33</v>
      </c>
      <c r="D964">
        <v>24</v>
      </c>
      <c r="E964" t="s">
        <v>34</v>
      </c>
      <c r="F964" t="s">
        <v>53</v>
      </c>
      <c r="G964" t="s">
        <v>71</v>
      </c>
      <c r="H964">
        <v>3422</v>
      </c>
      <c r="I964">
        <v>0</v>
      </c>
      <c r="J964">
        <v>1</v>
      </c>
      <c r="K964">
        <v>0</v>
      </c>
      <c r="L964">
        <v>0</v>
      </c>
      <c r="M964" t="s">
        <v>36</v>
      </c>
      <c r="N964" t="s">
        <v>36</v>
      </c>
      <c r="O964" t="s">
        <v>36</v>
      </c>
      <c r="P964" t="s">
        <v>37</v>
      </c>
      <c r="Q964" t="s">
        <v>36</v>
      </c>
      <c r="R964" t="s">
        <v>36</v>
      </c>
      <c r="S964" t="s">
        <v>36</v>
      </c>
      <c r="T964" t="s">
        <v>36</v>
      </c>
      <c r="U964">
        <v>1</v>
      </c>
      <c r="V964">
        <v>0</v>
      </c>
      <c r="W964">
        <v>1</v>
      </c>
      <c r="X964">
        <v>1</v>
      </c>
      <c r="Y964">
        <v>0</v>
      </c>
      <c r="Z964">
        <v>1</v>
      </c>
      <c r="AA964">
        <v>0</v>
      </c>
      <c r="AB964">
        <v>0</v>
      </c>
      <c r="AC964">
        <v>0</v>
      </c>
      <c r="AD964">
        <v>1</v>
      </c>
      <c r="AE964">
        <v>0</v>
      </c>
      <c r="AF964">
        <v>0</v>
      </c>
      <c r="AG964">
        <v>0</v>
      </c>
    </row>
    <row r="965" spans="1:33" x14ac:dyDescent="0.2">
      <c r="A965">
        <v>964</v>
      </c>
      <c r="B965" t="s">
        <v>338</v>
      </c>
      <c r="C965" t="s">
        <v>33</v>
      </c>
      <c r="D965">
        <v>24</v>
      </c>
      <c r="E965" t="s">
        <v>34</v>
      </c>
      <c r="F965" t="s">
        <v>41</v>
      </c>
      <c r="G965" t="s">
        <v>67</v>
      </c>
      <c r="H965">
        <v>18595</v>
      </c>
      <c r="I965">
        <v>0</v>
      </c>
      <c r="J965">
        <v>0</v>
      </c>
      <c r="K965">
        <v>1</v>
      </c>
      <c r="L965">
        <v>0</v>
      </c>
      <c r="M965" t="s">
        <v>103</v>
      </c>
      <c r="N965" t="s">
        <v>70</v>
      </c>
      <c r="O965" t="s">
        <v>69</v>
      </c>
      <c r="P965" t="s">
        <v>37</v>
      </c>
      <c r="Q965" t="s">
        <v>60</v>
      </c>
      <c r="R965" t="s">
        <v>47</v>
      </c>
      <c r="S965" t="s">
        <v>48</v>
      </c>
      <c r="T965">
        <v>1</v>
      </c>
      <c r="U965">
        <v>0</v>
      </c>
      <c r="V965">
        <v>1</v>
      </c>
      <c r="W965">
        <v>1</v>
      </c>
      <c r="X965">
        <v>0</v>
      </c>
      <c r="Y965">
        <v>0</v>
      </c>
      <c r="Z965">
        <v>1</v>
      </c>
      <c r="AA965">
        <v>0</v>
      </c>
      <c r="AB965">
        <v>0</v>
      </c>
      <c r="AC965">
        <v>1</v>
      </c>
      <c r="AD965">
        <v>0</v>
      </c>
      <c r="AE965">
        <v>0</v>
      </c>
      <c r="AF965">
        <v>0</v>
      </c>
      <c r="AG965">
        <v>0</v>
      </c>
    </row>
    <row r="966" spans="1:33" hidden="1" x14ac:dyDescent="0.2">
      <c r="A966">
        <v>965</v>
      </c>
      <c r="B966" t="s">
        <v>338</v>
      </c>
      <c r="C966" t="s">
        <v>33</v>
      </c>
      <c r="D966">
        <v>24</v>
      </c>
      <c r="E966" t="s">
        <v>34</v>
      </c>
      <c r="F966" t="s">
        <v>53</v>
      </c>
      <c r="G966" t="s">
        <v>76</v>
      </c>
      <c r="H966">
        <v>3532</v>
      </c>
      <c r="I966">
        <v>0</v>
      </c>
      <c r="J966">
        <v>0</v>
      </c>
      <c r="K966">
        <v>1</v>
      </c>
      <c r="L966">
        <v>0</v>
      </c>
      <c r="M966" t="s">
        <v>36</v>
      </c>
      <c r="N966" t="s">
        <v>36</v>
      </c>
      <c r="O966" t="s">
        <v>36</v>
      </c>
      <c r="P966" t="s">
        <v>37</v>
      </c>
      <c r="Q966" t="s">
        <v>36</v>
      </c>
      <c r="R966" t="s">
        <v>36</v>
      </c>
      <c r="S966" t="s">
        <v>36</v>
      </c>
      <c r="T966" t="s">
        <v>36</v>
      </c>
      <c r="U966">
        <v>0</v>
      </c>
      <c r="V966">
        <v>1</v>
      </c>
      <c r="W966">
        <v>1</v>
      </c>
      <c r="X966">
        <v>0</v>
      </c>
      <c r="Y966">
        <v>0</v>
      </c>
      <c r="Z966">
        <v>1</v>
      </c>
      <c r="AA966">
        <v>0</v>
      </c>
      <c r="AB966">
        <v>0</v>
      </c>
      <c r="AC966">
        <v>1</v>
      </c>
      <c r="AD966">
        <v>0</v>
      </c>
      <c r="AE966">
        <v>0</v>
      </c>
      <c r="AF966">
        <v>0</v>
      </c>
      <c r="AG966">
        <v>0</v>
      </c>
    </row>
    <row r="967" spans="1:33" hidden="1" x14ac:dyDescent="0.2">
      <c r="A967">
        <v>966</v>
      </c>
      <c r="B967" t="s">
        <v>338</v>
      </c>
      <c r="C967" t="s">
        <v>33</v>
      </c>
      <c r="D967">
        <v>24</v>
      </c>
      <c r="E967" t="s">
        <v>34</v>
      </c>
      <c r="F967" t="s">
        <v>77</v>
      </c>
      <c r="G967" t="s">
        <v>36</v>
      </c>
      <c r="H967">
        <v>98157</v>
      </c>
      <c r="I967" t="s">
        <v>339</v>
      </c>
      <c r="J967" t="s">
        <v>340</v>
      </c>
      <c r="K967" t="s">
        <v>166</v>
      </c>
      <c r="L967" t="s">
        <v>36</v>
      </c>
      <c r="M967" t="s">
        <v>36</v>
      </c>
      <c r="N967" t="s">
        <v>36</v>
      </c>
      <c r="O967" t="s">
        <v>36</v>
      </c>
      <c r="P967" t="s">
        <v>37</v>
      </c>
      <c r="Q967" t="s">
        <v>36</v>
      </c>
      <c r="R967" t="s">
        <v>36</v>
      </c>
      <c r="S967" t="s">
        <v>36</v>
      </c>
      <c r="T967" t="s">
        <v>36</v>
      </c>
      <c r="U967" t="s">
        <v>36</v>
      </c>
      <c r="V967" t="s">
        <v>36</v>
      </c>
      <c r="W967" t="s">
        <v>36</v>
      </c>
      <c r="X967" t="s">
        <v>36</v>
      </c>
      <c r="Y967" t="s">
        <v>36</v>
      </c>
      <c r="Z967" t="s">
        <v>36</v>
      </c>
      <c r="AA967" t="s">
        <v>36</v>
      </c>
      <c r="AB967" t="s">
        <v>36</v>
      </c>
      <c r="AC967" t="s">
        <v>36</v>
      </c>
      <c r="AD967" t="s">
        <v>36</v>
      </c>
      <c r="AE967" t="s">
        <v>36</v>
      </c>
      <c r="AF967" t="s">
        <v>36</v>
      </c>
      <c r="AG967" t="s">
        <v>36</v>
      </c>
    </row>
    <row r="968" spans="1:33" hidden="1" x14ac:dyDescent="0.2">
      <c r="A968">
        <v>967</v>
      </c>
      <c r="B968" t="s">
        <v>341</v>
      </c>
      <c r="C968" t="s">
        <v>108</v>
      </c>
      <c r="D968">
        <v>34</v>
      </c>
      <c r="E968" t="s">
        <v>114</v>
      </c>
      <c r="F968" t="s">
        <v>35</v>
      </c>
      <c r="G968" t="s">
        <v>36</v>
      </c>
      <c r="H968">
        <v>28990</v>
      </c>
      <c r="I968" t="s">
        <v>36</v>
      </c>
      <c r="J968" t="s">
        <v>36</v>
      </c>
      <c r="K968" t="s">
        <v>36</v>
      </c>
      <c r="L968" t="s">
        <v>36</v>
      </c>
      <c r="M968" t="s">
        <v>36</v>
      </c>
      <c r="N968" t="s">
        <v>36</v>
      </c>
      <c r="O968" t="s">
        <v>36</v>
      </c>
      <c r="P968" t="s">
        <v>37</v>
      </c>
      <c r="Q968" t="s">
        <v>36</v>
      </c>
      <c r="R968" t="s">
        <v>36</v>
      </c>
      <c r="S968" t="s">
        <v>36</v>
      </c>
      <c r="T968" t="s">
        <v>36</v>
      </c>
      <c r="U968" t="s">
        <v>36</v>
      </c>
      <c r="V968" t="s">
        <v>36</v>
      </c>
      <c r="W968" t="s">
        <v>36</v>
      </c>
      <c r="X968" t="s">
        <v>36</v>
      </c>
      <c r="Y968" t="s">
        <v>36</v>
      </c>
      <c r="Z968" t="s">
        <v>36</v>
      </c>
      <c r="AA968" t="s">
        <v>36</v>
      </c>
      <c r="AB968" t="s">
        <v>36</v>
      </c>
      <c r="AC968" t="s">
        <v>36</v>
      </c>
      <c r="AD968" t="s">
        <v>36</v>
      </c>
      <c r="AE968" t="s">
        <v>36</v>
      </c>
      <c r="AF968" t="s">
        <v>36</v>
      </c>
      <c r="AG968" t="s">
        <v>36</v>
      </c>
    </row>
    <row r="969" spans="1:33" hidden="1" x14ac:dyDescent="0.2">
      <c r="A969">
        <v>968</v>
      </c>
      <c r="B969" t="s">
        <v>341</v>
      </c>
      <c r="C969" t="s">
        <v>108</v>
      </c>
      <c r="D969">
        <v>34</v>
      </c>
      <c r="E969" t="s">
        <v>114</v>
      </c>
      <c r="F969" t="s">
        <v>38</v>
      </c>
      <c r="G969" t="s">
        <v>40</v>
      </c>
      <c r="H969">
        <v>52303</v>
      </c>
      <c r="I969">
        <v>0</v>
      </c>
      <c r="J969">
        <v>0</v>
      </c>
      <c r="K969">
        <v>1</v>
      </c>
      <c r="L969">
        <v>0</v>
      </c>
      <c r="M969" t="s">
        <v>36</v>
      </c>
      <c r="N969" t="s">
        <v>36</v>
      </c>
      <c r="O969" t="s">
        <v>36</v>
      </c>
      <c r="P969" t="s">
        <v>37</v>
      </c>
      <c r="Q969" t="s">
        <v>36</v>
      </c>
      <c r="R969" t="s">
        <v>36</v>
      </c>
      <c r="S969" t="s">
        <v>36</v>
      </c>
      <c r="T969" t="s">
        <v>36</v>
      </c>
      <c r="U969" t="s">
        <v>36</v>
      </c>
      <c r="V969" t="s">
        <v>36</v>
      </c>
      <c r="W969" t="s">
        <v>36</v>
      </c>
      <c r="X969" t="s">
        <v>36</v>
      </c>
      <c r="Y969" t="s">
        <v>36</v>
      </c>
      <c r="Z969" t="s">
        <v>36</v>
      </c>
      <c r="AA969" t="s">
        <v>36</v>
      </c>
      <c r="AB969" t="s">
        <v>36</v>
      </c>
      <c r="AC969" t="s">
        <v>36</v>
      </c>
      <c r="AD969" t="s">
        <v>36</v>
      </c>
      <c r="AE969" t="s">
        <v>36</v>
      </c>
      <c r="AF969" t="s">
        <v>36</v>
      </c>
      <c r="AG969" t="s">
        <v>36</v>
      </c>
    </row>
    <row r="970" spans="1:33" hidden="1" x14ac:dyDescent="0.2">
      <c r="A970">
        <v>969</v>
      </c>
      <c r="B970" t="s">
        <v>341</v>
      </c>
      <c r="C970" t="s">
        <v>108</v>
      </c>
      <c r="D970">
        <v>34</v>
      </c>
      <c r="E970" t="s">
        <v>114</v>
      </c>
      <c r="F970" t="s">
        <v>38</v>
      </c>
      <c r="G970" t="s">
        <v>39</v>
      </c>
      <c r="H970">
        <v>58412</v>
      </c>
      <c r="I970">
        <v>0</v>
      </c>
      <c r="J970">
        <v>0</v>
      </c>
      <c r="K970">
        <v>0</v>
      </c>
      <c r="L970">
        <v>1</v>
      </c>
      <c r="M970" t="s">
        <v>36</v>
      </c>
      <c r="N970" t="s">
        <v>36</v>
      </c>
      <c r="O970" t="s">
        <v>36</v>
      </c>
      <c r="P970" t="s">
        <v>37</v>
      </c>
      <c r="Q970" t="s">
        <v>36</v>
      </c>
      <c r="R970" t="s">
        <v>36</v>
      </c>
      <c r="S970" t="s">
        <v>36</v>
      </c>
      <c r="T970" t="s">
        <v>36</v>
      </c>
      <c r="U970" t="s">
        <v>36</v>
      </c>
      <c r="V970" t="s">
        <v>36</v>
      </c>
      <c r="W970" t="s">
        <v>36</v>
      </c>
      <c r="X970" t="s">
        <v>36</v>
      </c>
      <c r="Y970" t="s">
        <v>36</v>
      </c>
      <c r="Z970" t="s">
        <v>36</v>
      </c>
      <c r="AA970" t="s">
        <v>36</v>
      </c>
      <c r="AB970" t="s">
        <v>36</v>
      </c>
      <c r="AC970" t="s">
        <v>36</v>
      </c>
      <c r="AD970" t="s">
        <v>36</v>
      </c>
      <c r="AE970" t="s">
        <v>36</v>
      </c>
      <c r="AF970" t="s">
        <v>36</v>
      </c>
      <c r="AG970" t="s">
        <v>36</v>
      </c>
    </row>
    <row r="971" spans="1:33" x14ac:dyDescent="0.2">
      <c r="A971">
        <v>970</v>
      </c>
      <c r="B971" t="s">
        <v>341</v>
      </c>
      <c r="C971" t="s">
        <v>108</v>
      </c>
      <c r="D971">
        <v>34</v>
      </c>
      <c r="E971" t="s">
        <v>114</v>
      </c>
      <c r="F971" t="s">
        <v>41</v>
      </c>
      <c r="G971" t="s">
        <v>72</v>
      </c>
      <c r="H971">
        <v>58102</v>
      </c>
      <c r="I971">
        <v>0</v>
      </c>
      <c r="J971">
        <v>0</v>
      </c>
      <c r="K971">
        <v>0</v>
      </c>
      <c r="L971">
        <v>1</v>
      </c>
      <c r="M971" t="s">
        <v>115</v>
      </c>
      <c r="N971" t="s">
        <v>93</v>
      </c>
      <c r="O971" t="s">
        <v>74</v>
      </c>
      <c r="P971" t="s">
        <v>37</v>
      </c>
      <c r="Q971" t="s">
        <v>65</v>
      </c>
      <c r="R971" t="s">
        <v>59</v>
      </c>
      <c r="S971" t="s">
        <v>47</v>
      </c>
      <c r="T971">
        <v>0</v>
      </c>
      <c r="U971">
        <v>1</v>
      </c>
      <c r="V971">
        <v>0</v>
      </c>
      <c r="W971">
        <v>1</v>
      </c>
      <c r="X971">
        <v>0</v>
      </c>
      <c r="Y971">
        <v>0</v>
      </c>
      <c r="Z971">
        <v>1</v>
      </c>
      <c r="AA971">
        <v>0</v>
      </c>
      <c r="AB971">
        <v>0</v>
      </c>
      <c r="AC971">
        <v>0</v>
      </c>
      <c r="AD971">
        <v>0</v>
      </c>
      <c r="AE971">
        <v>0</v>
      </c>
      <c r="AF971">
        <v>0</v>
      </c>
      <c r="AG971">
        <v>1</v>
      </c>
    </row>
    <row r="972" spans="1:33" x14ac:dyDescent="0.2">
      <c r="A972">
        <v>971</v>
      </c>
      <c r="B972" t="s">
        <v>341</v>
      </c>
      <c r="C972" t="s">
        <v>108</v>
      </c>
      <c r="D972">
        <v>34</v>
      </c>
      <c r="E972" t="s">
        <v>114</v>
      </c>
      <c r="F972" t="s">
        <v>41</v>
      </c>
      <c r="G972" t="s">
        <v>61</v>
      </c>
      <c r="H972">
        <v>156598</v>
      </c>
      <c r="I972">
        <v>0</v>
      </c>
      <c r="J972">
        <v>0</v>
      </c>
      <c r="K972">
        <v>0</v>
      </c>
      <c r="L972">
        <v>1</v>
      </c>
      <c r="M972" t="s">
        <v>62</v>
      </c>
      <c r="N972" t="s">
        <v>63</v>
      </c>
      <c r="O972" t="s">
        <v>125</v>
      </c>
      <c r="P972" t="s">
        <v>37</v>
      </c>
      <c r="Q972" t="s">
        <v>65</v>
      </c>
      <c r="R972" t="s">
        <v>46</v>
      </c>
      <c r="S972" t="s">
        <v>60</v>
      </c>
      <c r="T972">
        <v>1</v>
      </c>
      <c r="U972">
        <v>1</v>
      </c>
      <c r="V972">
        <v>0</v>
      </c>
      <c r="W972">
        <v>0</v>
      </c>
      <c r="X972">
        <v>1</v>
      </c>
      <c r="Y972">
        <v>0</v>
      </c>
      <c r="Z972">
        <v>1</v>
      </c>
      <c r="AA972">
        <v>0</v>
      </c>
      <c r="AB972">
        <v>0</v>
      </c>
      <c r="AC972">
        <v>0</v>
      </c>
      <c r="AD972">
        <v>0</v>
      </c>
      <c r="AE972">
        <v>0</v>
      </c>
      <c r="AF972">
        <v>0</v>
      </c>
      <c r="AG972">
        <v>1</v>
      </c>
    </row>
    <row r="973" spans="1:33" hidden="1" x14ac:dyDescent="0.2">
      <c r="A973">
        <v>972</v>
      </c>
      <c r="B973" t="s">
        <v>341</v>
      </c>
      <c r="C973" t="s">
        <v>108</v>
      </c>
      <c r="D973">
        <v>34</v>
      </c>
      <c r="E973" t="s">
        <v>114</v>
      </c>
      <c r="F973" t="s">
        <v>53</v>
      </c>
      <c r="G973" t="s">
        <v>54</v>
      </c>
      <c r="H973">
        <v>145328</v>
      </c>
      <c r="I973">
        <v>1</v>
      </c>
      <c r="J973">
        <v>1</v>
      </c>
      <c r="K973">
        <v>1</v>
      </c>
      <c r="L973">
        <v>0</v>
      </c>
      <c r="M973" t="s">
        <v>36</v>
      </c>
      <c r="N973" t="s">
        <v>36</v>
      </c>
      <c r="O973" t="s">
        <v>36</v>
      </c>
      <c r="P973" t="s">
        <v>37</v>
      </c>
      <c r="Q973" t="s">
        <v>36</v>
      </c>
      <c r="R973" t="s">
        <v>36</v>
      </c>
      <c r="S973" t="s">
        <v>36</v>
      </c>
      <c r="T973" t="s">
        <v>36</v>
      </c>
      <c r="U973">
        <v>1</v>
      </c>
      <c r="V973">
        <v>0</v>
      </c>
      <c r="W973">
        <v>0</v>
      </c>
      <c r="X973">
        <v>1</v>
      </c>
      <c r="Y973">
        <v>0</v>
      </c>
      <c r="Z973">
        <v>1</v>
      </c>
      <c r="AA973">
        <v>0</v>
      </c>
      <c r="AB973">
        <v>0</v>
      </c>
      <c r="AC973">
        <v>0</v>
      </c>
      <c r="AD973">
        <v>0</v>
      </c>
      <c r="AE973">
        <v>0</v>
      </c>
      <c r="AF973">
        <v>0</v>
      </c>
      <c r="AG973">
        <v>1</v>
      </c>
    </row>
    <row r="974" spans="1:33" x14ac:dyDescent="0.2">
      <c r="A974">
        <v>973</v>
      </c>
      <c r="B974" t="s">
        <v>341</v>
      </c>
      <c r="C974" t="s">
        <v>108</v>
      </c>
      <c r="D974">
        <v>34</v>
      </c>
      <c r="E974" t="s">
        <v>114</v>
      </c>
      <c r="F974" t="s">
        <v>41</v>
      </c>
      <c r="G974" t="s">
        <v>42</v>
      </c>
      <c r="H974">
        <v>81101</v>
      </c>
      <c r="I974">
        <v>0</v>
      </c>
      <c r="J974">
        <v>0</v>
      </c>
      <c r="K974">
        <v>0</v>
      </c>
      <c r="L974">
        <v>1</v>
      </c>
      <c r="M974" t="s">
        <v>45</v>
      </c>
      <c r="N974" t="s">
        <v>116</v>
      </c>
      <c r="O974" t="s">
        <v>102</v>
      </c>
      <c r="P974" t="s">
        <v>37</v>
      </c>
      <c r="Q974" t="s">
        <v>48</v>
      </c>
      <c r="R974" t="s">
        <v>60</v>
      </c>
      <c r="S974" t="s">
        <v>59</v>
      </c>
      <c r="T974">
        <v>1</v>
      </c>
      <c r="U974">
        <v>0</v>
      </c>
      <c r="V974">
        <v>1</v>
      </c>
      <c r="W974">
        <v>0</v>
      </c>
      <c r="X974">
        <v>0</v>
      </c>
      <c r="Y974">
        <v>0</v>
      </c>
      <c r="Z974">
        <v>1</v>
      </c>
      <c r="AA974">
        <v>0</v>
      </c>
      <c r="AB974">
        <v>0</v>
      </c>
      <c r="AC974">
        <v>0</v>
      </c>
      <c r="AD974">
        <v>0</v>
      </c>
      <c r="AE974">
        <v>0</v>
      </c>
      <c r="AF974">
        <v>0</v>
      </c>
      <c r="AG974">
        <v>1</v>
      </c>
    </row>
    <row r="975" spans="1:33" x14ac:dyDescent="0.2">
      <c r="A975">
        <v>974</v>
      </c>
      <c r="B975" t="s">
        <v>341</v>
      </c>
      <c r="C975" t="s">
        <v>108</v>
      </c>
      <c r="D975">
        <v>34</v>
      </c>
      <c r="E975" t="s">
        <v>114</v>
      </c>
      <c r="F975" t="s">
        <v>41</v>
      </c>
      <c r="G975" t="s">
        <v>55</v>
      </c>
      <c r="H975">
        <v>108496</v>
      </c>
      <c r="I975">
        <v>1</v>
      </c>
      <c r="J975">
        <v>1</v>
      </c>
      <c r="K975">
        <v>1</v>
      </c>
      <c r="L975">
        <v>0</v>
      </c>
      <c r="M975" t="s">
        <v>57</v>
      </c>
      <c r="N975" t="s">
        <v>84</v>
      </c>
      <c r="O975" t="s">
        <v>56</v>
      </c>
      <c r="P975" t="s">
        <v>37</v>
      </c>
      <c r="Q975" t="s">
        <v>48</v>
      </c>
      <c r="R975" t="s">
        <v>46</v>
      </c>
      <c r="S975" t="s">
        <v>59</v>
      </c>
      <c r="T975">
        <v>0</v>
      </c>
      <c r="U975">
        <v>0</v>
      </c>
      <c r="V975">
        <v>1</v>
      </c>
      <c r="W975">
        <v>0</v>
      </c>
      <c r="X975">
        <v>1</v>
      </c>
      <c r="Y975">
        <v>0</v>
      </c>
      <c r="Z975">
        <v>1</v>
      </c>
      <c r="AA975">
        <v>0</v>
      </c>
      <c r="AB975">
        <v>0</v>
      </c>
      <c r="AC975">
        <v>1</v>
      </c>
      <c r="AD975">
        <v>0</v>
      </c>
      <c r="AE975">
        <v>1</v>
      </c>
      <c r="AF975">
        <v>0</v>
      </c>
      <c r="AG975">
        <v>0</v>
      </c>
    </row>
    <row r="976" spans="1:33" hidden="1" x14ac:dyDescent="0.2">
      <c r="A976">
        <v>975</v>
      </c>
      <c r="B976" t="s">
        <v>341</v>
      </c>
      <c r="C976" t="s">
        <v>108</v>
      </c>
      <c r="D976">
        <v>34</v>
      </c>
      <c r="E976" t="s">
        <v>114</v>
      </c>
      <c r="F976" t="s">
        <v>53</v>
      </c>
      <c r="G976" t="s">
        <v>71</v>
      </c>
      <c r="H976">
        <v>56057</v>
      </c>
      <c r="I976">
        <v>0</v>
      </c>
      <c r="J976">
        <v>0</v>
      </c>
      <c r="K976">
        <v>0</v>
      </c>
      <c r="L976">
        <v>0</v>
      </c>
      <c r="M976" t="s">
        <v>36</v>
      </c>
      <c r="N976" t="s">
        <v>36</v>
      </c>
      <c r="O976" t="s">
        <v>36</v>
      </c>
      <c r="P976" t="s">
        <v>37</v>
      </c>
      <c r="Q976" t="s">
        <v>36</v>
      </c>
      <c r="R976" t="s">
        <v>36</v>
      </c>
      <c r="S976" t="s">
        <v>36</v>
      </c>
      <c r="T976" t="s">
        <v>36</v>
      </c>
      <c r="U976">
        <v>0</v>
      </c>
      <c r="V976">
        <v>1</v>
      </c>
      <c r="W976">
        <v>0</v>
      </c>
      <c r="X976">
        <v>1</v>
      </c>
      <c r="Y976">
        <v>0</v>
      </c>
      <c r="Z976">
        <v>1</v>
      </c>
      <c r="AA976">
        <v>0</v>
      </c>
      <c r="AB976">
        <v>0</v>
      </c>
      <c r="AC976">
        <v>1</v>
      </c>
      <c r="AD976">
        <v>0</v>
      </c>
      <c r="AE976">
        <v>1</v>
      </c>
      <c r="AF976">
        <v>0</v>
      </c>
      <c r="AG976">
        <v>0</v>
      </c>
    </row>
    <row r="977" spans="1:33" x14ac:dyDescent="0.2">
      <c r="A977">
        <v>976</v>
      </c>
      <c r="B977" t="s">
        <v>341</v>
      </c>
      <c r="C977" t="s">
        <v>108</v>
      </c>
      <c r="D977">
        <v>34</v>
      </c>
      <c r="E977" t="s">
        <v>114</v>
      </c>
      <c r="F977" t="s">
        <v>41</v>
      </c>
      <c r="G977" t="s">
        <v>67</v>
      </c>
      <c r="H977">
        <v>40164</v>
      </c>
      <c r="I977">
        <v>0</v>
      </c>
      <c r="J977">
        <v>0</v>
      </c>
      <c r="K977">
        <v>0</v>
      </c>
      <c r="L977">
        <v>1</v>
      </c>
      <c r="M977" t="s">
        <v>70</v>
      </c>
      <c r="N977" t="s">
        <v>86</v>
      </c>
      <c r="O977" t="s">
        <v>68</v>
      </c>
      <c r="P977" t="s">
        <v>37</v>
      </c>
      <c r="Q977" t="s">
        <v>47</v>
      </c>
      <c r="R977" t="s">
        <v>46</v>
      </c>
      <c r="S977" t="s">
        <v>65</v>
      </c>
      <c r="T977">
        <v>0</v>
      </c>
      <c r="U977">
        <v>1</v>
      </c>
      <c r="V977">
        <v>0</v>
      </c>
      <c r="W977">
        <v>1</v>
      </c>
      <c r="X977">
        <v>1</v>
      </c>
      <c r="Y977">
        <v>0</v>
      </c>
      <c r="Z977">
        <v>1</v>
      </c>
      <c r="AA977">
        <v>0</v>
      </c>
      <c r="AB977">
        <v>0</v>
      </c>
      <c r="AC977">
        <v>0</v>
      </c>
      <c r="AD977">
        <v>0</v>
      </c>
      <c r="AE977">
        <v>0</v>
      </c>
      <c r="AF977">
        <v>0</v>
      </c>
      <c r="AG977">
        <v>1</v>
      </c>
    </row>
    <row r="978" spans="1:33" hidden="1" x14ac:dyDescent="0.2">
      <c r="A978">
        <v>977</v>
      </c>
      <c r="B978" t="s">
        <v>341</v>
      </c>
      <c r="C978" t="s">
        <v>108</v>
      </c>
      <c r="D978">
        <v>34</v>
      </c>
      <c r="E978" t="s">
        <v>114</v>
      </c>
      <c r="F978" t="s">
        <v>53</v>
      </c>
      <c r="G978" t="s">
        <v>66</v>
      </c>
      <c r="H978">
        <v>105092</v>
      </c>
      <c r="I978">
        <v>1</v>
      </c>
      <c r="J978">
        <v>0</v>
      </c>
      <c r="K978">
        <v>0</v>
      </c>
      <c r="L978">
        <v>0</v>
      </c>
      <c r="M978" t="s">
        <v>36</v>
      </c>
      <c r="N978" t="s">
        <v>36</v>
      </c>
      <c r="O978" t="s">
        <v>36</v>
      </c>
      <c r="P978" t="s">
        <v>37</v>
      </c>
      <c r="Q978" t="s">
        <v>36</v>
      </c>
      <c r="R978" t="s">
        <v>36</v>
      </c>
      <c r="S978" t="s">
        <v>36</v>
      </c>
      <c r="T978" t="s">
        <v>36</v>
      </c>
      <c r="U978">
        <v>1</v>
      </c>
      <c r="V978">
        <v>0</v>
      </c>
      <c r="W978">
        <v>1</v>
      </c>
      <c r="X978">
        <v>1</v>
      </c>
      <c r="Y978">
        <v>0</v>
      </c>
      <c r="Z978">
        <v>1</v>
      </c>
      <c r="AA978">
        <v>0</v>
      </c>
      <c r="AB978">
        <v>0</v>
      </c>
      <c r="AC978">
        <v>0</v>
      </c>
      <c r="AD978">
        <v>0</v>
      </c>
      <c r="AE978">
        <v>0</v>
      </c>
      <c r="AF978">
        <v>0</v>
      </c>
      <c r="AG978">
        <v>1</v>
      </c>
    </row>
    <row r="979" spans="1:33" x14ac:dyDescent="0.2">
      <c r="A979">
        <v>978</v>
      </c>
      <c r="B979" t="s">
        <v>341</v>
      </c>
      <c r="C979" t="s">
        <v>108</v>
      </c>
      <c r="D979">
        <v>34</v>
      </c>
      <c r="E979" t="s">
        <v>114</v>
      </c>
      <c r="F979" t="s">
        <v>41</v>
      </c>
      <c r="G979" t="s">
        <v>49</v>
      </c>
      <c r="H979">
        <v>92421</v>
      </c>
      <c r="I979">
        <v>0</v>
      </c>
      <c r="J979">
        <v>0</v>
      </c>
      <c r="K979">
        <v>0</v>
      </c>
      <c r="L979">
        <v>1</v>
      </c>
      <c r="M979" t="s">
        <v>50</v>
      </c>
      <c r="N979" t="s">
        <v>96</v>
      </c>
      <c r="O979" t="s">
        <v>51</v>
      </c>
      <c r="P979" t="s">
        <v>37</v>
      </c>
      <c r="Q979" t="s">
        <v>48</v>
      </c>
      <c r="R979" t="s">
        <v>65</v>
      </c>
      <c r="S979" t="s">
        <v>47</v>
      </c>
      <c r="T979">
        <v>0</v>
      </c>
      <c r="U979">
        <v>1</v>
      </c>
      <c r="V979">
        <v>1</v>
      </c>
      <c r="W979">
        <v>1</v>
      </c>
      <c r="X979">
        <v>0</v>
      </c>
      <c r="Y979">
        <v>0</v>
      </c>
      <c r="Z979">
        <v>1</v>
      </c>
      <c r="AA979">
        <v>0</v>
      </c>
      <c r="AB979">
        <v>0</v>
      </c>
      <c r="AC979">
        <v>0</v>
      </c>
      <c r="AD979">
        <v>0</v>
      </c>
      <c r="AE979">
        <v>0</v>
      </c>
      <c r="AF979">
        <v>0</v>
      </c>
      <c r="AG979">
        <v>1</v>
      </c>
    </row>
    <row r="980" spans="1:33" hidden="1" x14ac:dyDescent="0.2">
      <c r="A980">
        <v>979</v>
      </c>
      <c r="B980" t="s">
        <v>341</v>
      </c>
      <c r="C980" t="s">
        <v>108</v>
      </c>
      <c r="D980">
        <v>34</v>
      </c>
      <c r="E980" t="s">
        <v>114</v>
      </c>
      <c r="F980" t="s">
        <v>53</v>
      </c>
      <c r="G980" t="s">
        <v>76</v>
      </c>
      <c r="H980">
        <v>51560</v>
      </c>
      <c r="I980">
        <v>1</v>
      </c>
      <c r="J980">
        <v>0</v>
      </c>
      <c r="K980">
        <v>0</v>
      </c>
      <c r="L980">
        <v>0</v>
      </c>
      <c r="M980" t="s">
        <v>36</v>
      </c>
      <c r="N980" t="s">
        <v>36</v>
      </c>
      <c r="O980" t="s">
        <v>36</v>
      </c>
      <c r="P980" t="s">
        <v>37</v>
      </c>
      <c r="Q980" t="s">
        <v>36</v>
      </c>
      <c r="R980" t="s">
        <v>36</v>
      </c>
      <c r="S980" t="s">
        <v>36</v>
      </c>
      <c r="T980" t="s">
        <v>36</v>
      </c>
      <c r="U980">
        <v>1</v>
      </c>
      <c r="V980">
        <v>1</v>
      </c>
      <c r="W980">
        <v>1</v>
      </c>
      <c r="X980">
        <v>0</v>
      </c>
      <c r="Y980">
        <v>0</v>
      </c>
      <c r="Z980">
        <v>1</v>
      </c>
      <c r="AA980">
        <v>0</v>
      </c>
      <c r="AB980">
        <v>0</v>
      </c>
      <c r="AC980">
        <v>0</v>
      </c>
      <c r="AD980">
        <v>0</v>
      </c>
      <c r="AE980">
        <v>0</v>
      </c>
      <c r="AF980">
        <v>0</v>
      </c>
      <c r="AG980">
        <v>1</v>
      </c>
    </row>
    <row r="981" spans="1:33" hidden="1" x14ac:dyDescent="0.2">
      <c r="A981">
        <v>980</v>
      </c>
      <c r="B981" t="s">
        <v>341</v>
      </c>
      <c r="C981" t="s">
        <v>108</v>
      </c>
      <c r="D981">
        <v>34</v>
      </c>
      <c r="E981" t="s">
        <v>114</v>
      </c>
      <c r="F981" t="s">
        <v>77</v>
      </c>
      <c r="G981" t="s">
        <v>36</v>
      </c>
      <c r="H981">
        <v>126575</v>
      </c>
      <c r="I981" t="s">
        <v>342</v>
      </c>
      <c r="J981" t="s">
        <v>343</v>
      </c>
      <c r="K981" t="s">
        <v>344</v>
      </c>
      <c r="L981" t="s">
        <v>36</v>
      </c>
      <c r="M981" t="s">
        <v>36</v>
      </c>
      <c r="N981" t="s">
        <v>36</v>
      </c>
      <c r="O981" t="s">
        <v>36</v>
      </c>
      <c r="P981" t="s">
        <v>37</v>
      </c>
      <c r="Q981" t="s">
        <v>36</v>
      </c>
      <c r="R981" t="s">
        <v>36</v>
      </c>
      <c r="S981" t="s">
        <v>36</v>
      </c>
      <c r="T981" t="s">
        <v>36</v>
      </c>
      <c r="U981" t="s">
        <v>36</v>
      </c>
      <c r="V981" t="s">
        <v>36</v>
      </c>
      <c r="W981" t="s">
        <v>36</v>
      </c>
      <c r="X981" t="s">
        <v>36</v>
      </c>
      <c r="Y981" t="s">
        <v>36</v>
      </c>
      <c r="Z981" t="s">
        <v>36</v>
      </c>
      <c r="AA981" t="s">
        <v>36</v>
      </c>
      <c r="AB981" t="s">
        <v>36</v>
      </c>
      <c r="AC981" t="s">
        <v>36</v>
      </c>
      <c r="AD981" t="s">
        <v>36</v>
      </c>
      <c r="AE981" t="s">
        <v>36</v>
      </c>
      <c r="AF981" t="s">
        <v>36</v>
      </c>
      <c r="AG981" t="s">
        <v>36</v>
      </c>
    </row>
    <row r="982" spans="1:33" hidden="1" x14ac:dyDescent="0.2">
      <c r="A982">
        <v>981</v>
      </c>
      <c r="B982" t="s">
        <v>345</v>
      </c>
      <c r="C982" t="s">
        <v>33</v>
      </c>
      <c r="D982">
        <v>28</v>
      </c>
      <c r="E982" t="s">
        <v>34</v>
      </c>
      <c r="F982" t="s">
        <v>35</v>
      </c>
      <c r="G982" t="s">
        <v>36</v>
      </c>
      <c r="H982">
        <v>44420</v>
      </c>
      <c r="I982" t="s">
        <v>36</v>
      </c>
      <c r="J982" t="s">
        <v>36</v>
      </c>
      <c r="K982" t="s">
        <v>36</v>
      </c>
      <c r="L982" t="s">
        <v>36</v>
      </c>
      <c r="M982" t="s">
        <v>36</v>
      </c>
      <c r="N982" t="s">
        <v>36</v>
      </c>
      <c r="O982" t="s">
        <v>36</v>
      </c>
      <c r="P982" t="s">
        <v>37</v>
      </c>
      <c r="Q982" t="s">
        <v>36</v>
      </c>
      <c r="R982" t="s">
        <v>36</v>
      </c>
      <c r="S982" t="s">
        <v>36</v>
      </c>
      <c r="T982" t="s">
        <v>36</v>
      </c>
      <c r="U982" t="s">
        <v>36</v>
      </c>
      <c r="V982" t="s">
        <v>36</v>
      </c>
      <c r="W982" t="s">
        <v>36</v>
      </c>
      <c r="X982" t="s">
        <v>36</v>
      </c>
      <c r="Y982" t="s">
        <v>36</v>
      </c>
      <c r="Z982" t="s">
        <v>36</v>
      </c>
      <c r="AA982" t="s">
        <v>36</v>
      </c>
      <c r="AB982" t="s">
        <v>36</v>
      </c>
      <c r="AC982" t="s">
        <v>36</v>
      </c>
      <c r="AD982" t="s">
        <v>36</v>
      </c>
      <c r="AE982" t="s">
        <v>36</v>
      </c>
      <c r="AF982" t="s">
        <v>36</v>
      </c>
      <c r="AG982" t="s">
        <v>36</v>
      </c>
    </row>
    <row r="983" spans="1:33" hidden="1" x14ac:dyDescent="0.2">
      <c r="A983">
        <v>982</v>
      </c>
      <c r="B983" t="s">
        <v>345</v>
      </c>
      <c r="C983" t="s">
        <v>33</v>
      </c>
      <c r="D983">
        <v>28</v>
      </c>
      <c r="E983" t="s">
        <v>34</v>
      </c>
      <c r="F983" t="s">
        <v>38</v>
      </c>
      <c r="G983" t="s">
        <v>39</v>
      </c>
      <c r="H983">
        <v>45546</v>
      </c>
      <c r="I983">
        <v>0</v>
      </c>
      <c r="J983">
        <v>1</v>
      </c>
      <c r="K983">
        <v>1</v>
      </c>
      <c r="L983">
        <v>0</v>
      </c>
      <c r="M983" t="s">
        <v>36</v>
      </c>
      <c r="N983" t="s">
        <v>36</v>
      </c>
      <c r="O983" t="s">
        <v>36</v>
      </c>
      <c r="P983" t="s">
        <v>37</v>
      </c>
      <c r="Q983" t="s">
        <v>36</v>
      </c>
      <c r="R983" t="s">
        <v>36</v>
      </c>
      <c r="S983" t="s">
        <v>36</v>
      </c>
      <c r="T983" t="s">
        <v>36</v>
      </c>
      <c r="U983" t="s">
        <v>36</v>
      </c>
      <c r="V983" t="s">
        <v>36</v>
      </c>
      <c r="W983" t="s">
        <v>36</v>
      </c>
      <c r="X983" t="s">
        <v>36</v>
      </c>
      <c r="Y983" t="s">
        <v>36</v>
      </c>
      <c r="Z983" t="s">
        <v>36</v>
      </c>
      <c r="AA983" t="s">
        <v>36</v>
      </c>
      <c r="AB983" t="s">
        <v>36</v>
      </c>
      <c r="AC983" t="s">
        <v>36</v>
      </c>
      <c r="AD983" t="s">
        <v>36</v>
      </c>
      <c r="AE983" t="s">
        <v>36</v>
      </c>
      <c r="AF983" t="s">
        <v>36</v>
      </c>
      <c r="AG983" t="s">
        <v>36</v>
      </c>
    </row>
    <row r="984" spans="1:33" hidden="1" x14ac:dyDescent="0.2">
      <c r="A984">
        <v>983</v>
      </c>
      <c r="B984" t="s">
        <v>345</v>
      </c>
      <c r="C984" t="s">
        <v>33</v>
      </c>
      <c r="D984">
        <v>28</v>
      </c>
      <c r="E984" t="s">
        <v>34</v>
      </c>
      <c r="F984" t="s">
        <v>38</v>
      </c>
      <c r="G984" t="s">
        <v>40</v>
      </c>
      <c r="H984">
        <v>190989</v>
      </c>
      <c r="I984">
        <v>0</v>
      </c>
      <c r="J984">
        <v>0</v>
      </c>
      <c r="K984">
        <v>1</v>
      </c>
      <c r="L984">
        <v>0</v>
      </c>
      <c r="M984" t="s">
        <v>36</v>
      </c>
      <c r="N984" t="s">
        <v>36</v>
      </c>
      <c r="O984" t="s">
        <v>36</v>
      </c>
      <c r="P984" t="s">
        <v>37</v>
      </c>
      <c r="Q984" t="s">
        <v>36</v>
      </c>
      <c r="R984" t="s">
        <v>36</v>
      </c>
      <c r="S984" t="s">
        <v>36</v>
      </c>
      <c r="T984" t="s">
        <v>36</v>
      </c>
      <c r="U984" t="s">
        <v>36</v>
      </c>
      <c r="V984" t="s">
        <v>36</v>
      </c>
      <c r="W984" t="s">
        <v>36</v>
      </c>
      <c r="X984" t="s">
        <v>36</v>
      </c>
      <c r="Y984" t="s">
        <v>36</v>
      </c>
      <c r="Z984" t="s">
        <v>36</v>
      </c>
      <c r="AA984" t="s">
        <v>36</v>
      </c>
      <c r="AB984" t="s">
        <v>36</v>
      </c>
      <c r="AC984" t="s">
        <v>36</v>
      </c>
      <c r="AD984" t="s">
        <v>36</v>
      </c>
      <c r="AE984" t="s">
        <v>36</v>
      </c>
      <c r="AF984" t="s">
        <v>36</v>
      </c>
      <c r="AG984" t="s">
        <v>36</v>
      </c>
    </row>
    <row r="985" spans="1:33" x14ac:dyDescent="0.2">
      <c r="A985">
        <v>984</v>
      </c>
      <c r="B985" t="s">
        <v>345</v>
      </c>
      <c r="C985" t="s">
        <v>33</v>
      </c>
      <c r="D985">
        <v>28</v>
      </c>
      <c r="E985" t="s">
        <v>34</v>
      </c>
      <c r="F985" t="s">
        <v>41</v>
      </c>
      <c r="G985" t="s">
        <v>49</v>
      </c>
      <c r="H985">
        <v>62426</v>
      </c>
      <c r="I985">
        <v>1</v>
      </c>
      <c r="J985">
        <v>0</v>
      </c>
      <c r="K985">
        <v>0</v>
      </c>
      <c r="L985">
        <v>0</v>
      </c>
      <c r="M985" t="s">
        <v>83</v>
      </c>
      <c r="N985" t="s">
        <v>96</v>
      </c>
      <c r="O985" t="s">
        <v>52</v>
      </c>
      <c r="P985" t="s">
        <v>37</v>
      </c>
      <c r="Q985" t="s">
        <v>59</v>
      </c>
      <c r="R985" t="s">
        <v>65</v>
      </c>
      <c r="S985" t="s">
        <v>46</v>
      </c>
      <c r="T985">
        <v>0</v>
      </c>
      <c r="U985">
        <v>1</v>
      </c>
      <c r="V985">
        <v>0</v>
      </c>
      <c r="W985">
        <v>0</v>
      </c>
      <c r="X985">
        <v>1</v>
      </c>
      <c r="Y985">
        <v>0</v>
      </c>
      <c r="Z985">
        <v>1</v>
      </c>
      <c r="AA985">
        <v>0</v>
      </c>
      <c r="AB985">
        <v>0</v>
      </c>
      <c r="AC985">
        <v>0</v>
      </c>
      <c r="AD985">
        <v>0</v>
      </c>
      <c r="AE985">
        <v>0</v>
      </c>
      <c r="AF985">
        <v>0</v>
      </c>
      <c r="AG985">
        <v>0</v>
      </c>
    </row>
    <row r="986" spans="1:33" x14ac:dyDescent="0.2">
      <c r="A986">
        <v>985</v>
      </c>
      <c r="B986" t="s">
        <v>345</v>
      </c>
      <c r="C986" t="s">
        <v>33</v>
      </c>
      <c r="D986">
        <v>28</v>
      </c>
      <c r="E986" t="s">
        <v>34</v>
      </c>
      <c r="F986" t="s">
        <v>41</v>
      </c>
      <c r="G986" t="s">
        <v>67</v>
      </c>
      <c r="H986">
        <v>32641</v>
      </c>
      <c r="I986">
        <v>0</v>
      </c>
      <c r="J986">
        <v>1</v>
      </c>
      <c r="K986">
        <v>0</v>
      </c>
      <c r="L986">
        <v>0</v>
      </c>
      <c r="M986" t="s">
        <v>69</v>
      </c>
      <c r="N986" t="s">
        <v>103</v>
      </c>
      <c r="O986" t="s">
        <v>68</v>
      </c>
      <c r="P986" t="s">
        <v>37</v>
      </c>
      <c r="Q986" t="s">
        <v>48</v>
      </c>
      <c r="R986" t="s">
        <v>60</v>
      </c>
      <c r="S986" t="s">
        <v>65</v>
      </c>
      <c r="T986">
        <v>1</v>
      </c>
      <c r="U986">
        <v>1</v>
      </c>
      <c r="V986">
        <v>1</v>
      </c>
      <c r="W986">
        <v>0</v>
      </c>
      <c r="X986">
        <v>0</v>
      </c>
      <c r="Y986">
        <v>0</v>
      </c>
      <c r="Z986">
        <v>1</v>
      </c>
      <c r="AA986">
        <v>1</v>
      </c>
      <c r="AB986">
        <v>0</v>
      </c>
      <c r="AC986">
        <v>0</v>
      </c>
      <c r="AD986">
        <v>0</v>
      </c>
      <c r="AE986">
        <v>0</v>
      </c>
      <c r="AF986">
        <v>0</v>
      </c>
      <c r="AG986">
        <v>0</v>
      </c>
    </row>
    <row r="987" spans="1:33" hidden="1" x14ac:dyDescent="0.2">
      <c r="A987">
        <v>986</v>
      </c>
      <c r="B987" t="s">
        <v>345</v>
      </c>
      <c r="C987" t="s">
        <v>33</v>
      </c>
      <c r="D987">
        <v>28</v>
      </c>
      <c r="E987" t="s">
        <v>34</v>
      </c>
      <c r="F987" t="s">
        <v>53</v>
      </c>
      <c r="G987" t="s">
        <v>66</v>
      </c>
      <c r="H987">
        <v>13424</v>
      </c>
      <c r="I987">
        <v>0</v>
      </c>
      <c r="J987">
        <v>0</v>
      </c>
      <c r="K987">
        <v>1</v>
      </c>
      <c r="L987">
        <v>0</v>
      </c>
      <c r="M987" t="s">
        <v>36</v>
      </c>
      <c r="N987" t="s">
        <v>36</v>
      </c>
      <c r="O987" t="s">
        <v>36</v>
      </c>
      <c r="P987" t="s">
        <v>37</v>
      </c>
      <c r="Q987" t="s">
        <v>36</v>
      </c>
      <c r="R987" t="s">
        <v>36</v>
      </c>
      <c r="S987" t="s">
        <v>36</v>
      </c>
      <c r="T987" t="s">
        <v>36</v>
      </c>
      <c r="U987">
        <v>1</v>
      </c>
      <c r="V987">
        <v>1</v>
      </c>
      <c r="W987">
        <v>0</v>
      </c>
      <c r="X987">
        <v>0</v>
      </c>
      <c r="Y987">
        <v>0</v>
      </c>
      <c r="Z987">
        <v>1</v>
      </c>
      <c r="AA987">
        <v>1</v>
      </c>
      <c r="AB987">
        <v>0</v>
      </c>
      <c r="AC987">
        <v>0</v>
      </c>
      <c r="AD987">
        <v>0</v>
      </c>
      <c r="AE987">
        <v>0</v>
      </c>
      <c r="AF987">
        <v>0</v>
      </c>
      <c r="AG987">
        <v>0</v>
      </c>
    </row>
    <row r="988" spans="1:33" x14ac:dyDescent="0.2">
      <c r="A988">
        <v>987</v>
      </c>
      <c r="B988" t="s">
        <v>345</v>
      </c>
      <c r="C988" t="s">
        <v>33</v>
      </c>
      <c r="D988">
        <v>28</v>
      </c>
      <c r="E988" t="s">
        <v>34</v>
      </c>
      <c r="F988" t="s">
        <v>41</v>
      </c>
      <c r="G988" t="s">
        <v>61</v>
      </c>
      <c r="H988">
        <v>6093</v>
      </c>
      <c r="I988">
        <v>0</v>
      </c>
      <c r="J988">
        <v>0</v>
      </c>
      <c r="K988">
        <v>1</v>
      </c>
      <c r="L988">
        <v>0</v>
      </c>
      <c r="M988" t="s">
        <v>87</v>
      </c>
      <c r="N988" t="s">
        <v>64</v>
      </c>
      <c r="O988" t="s">
        <v>62</v>
      </c>
      <c r="P988" t="s">
        <v>37</v>
      </c>
      <c r="Q988" t="s">
        <v>47</v>
      </c>
      <c r="R988" t="s">
        <v>48</v>
      </c>
      <c r="S988" t="s">
        <v>65</v>
      </c>
      <c r="T988">
        <v>0</v>
      </c>
      <c r="U988">
        <v>1</v>
      </c>
      <c r="V988">
        <v>1</v>
      </c>
      <c r="W988">
        <v>1</v>
      </c>
      <c r="X988">
        <v>0</v>
      </c>
      <c r="Y988">
        <v>0</v>
      </c>
      <c r="Z988">
        <v>1</v>
      </c>
      <c r="AA988">
        <v>0</v>
      </c>
      <c r="AB988">
        <v>1</v>
      </c>
      <c r="AC988">
        <v>0</v>
      </c>
      <c r="AD988">
        <v>0</v>
      </c>
      <c r="AE988">
        <v>0</v>
      </c>
      <c r="AF988">
        <v>0</v>
      </c>
      <c r="AG988">
        <v>0</v>
      </c>
    </row>
    <row r="989" spans="1:33" x14ac:dyDescent="0.2">
      <c r="A989">
        <v>988</v>
      </c>
      <c r="B989" t="s">
        <v>345</v>
      </c>
      <c r="C989" t="s">
        <v>33</v>
      </c>
      <c r="D989">
        <v>28</v>
      </c>
      <c r="E989" t="s">
        <v>34</v>
      </c>
      <c r="F989" t="s">
        <v>41</v>
      </c>
      <c r="G989" t="s">
        <v>55</v>
      </c>
      <c r="H989">
        <v>4562</v>
      </c>
      <c r="I989">
        <v>0</v>
      </c>
      <c r="J989">
        <v>0</v>
      </c>
      <c r="K989">
        <v>1</v>
      </c>
      <c r="L989">
        <v>0</v>
      </c>
      <c r="M989" t="s">
        <v>57</v>
      </c>
      <c r="N989" t="s">
        <v>58</v>
      </c>
      <c r="O989" t="s">
        <v>94</v>
      </c>
      <c r="P989" t="s">
        <v>37</v>
      </c>
      <c r="Q989" t="s">
        <v>48</v>
      </c>
      <c r="R989" t="s">
        <v>60</v>
      </c>
      <c r="S989" t="s">
        <v>47</v>
      </c>
      <c r="T989">
        <v>1</v>
      </c>
      <c r="U989">
        <v>0</v>
      </c>
      <c r="V989">
        <v>1</v>
      </c>
      <c r="W989">
        <v>1</v>
      </c>
      <c r="X989">
        <v>0</v>
      </c>
      <c r="Y989">
        <v>0</v>
      </c>
      <c r="Z989">
        <v>1</v>
      </c>
      <c r="AA989">
        <v>0</v>
      </c>
      <c r="AB989">
        <v>0</v>
      </c>
      <c r="AC989">
        <v>0</v>
      </c>
      <c r="AD989">
        <v>1</v>
      </c>
      <c r="AE989">
        <v>0</v>
      </c>
      <c r="AF989">
        <v>0</v>
      </c>
      <c r="AG989">
        <v>0</v>
      </c>
    </row>
    <row r="990" spans="1:33" hidden="1" x14ac:dyDescent="0.2">
      <c r="A990">
        <v>989</v>
      </c>
      <c r="B990" t="s">
        <v>345</v>
      </c>
      <c r="C990" t="s">
        <v>33</v>
      </c>
      <c r="D990">
        <v>28</v>
      </c>
      <c r="E990" t="s">
        <v>34</v>
      </c>
      <c r="F990" t="s">
        <v>53</v>
      </c>
      <c r="G990" t="s">
        <v>71</v>
      </c>
      <c r="H990">
        <v>4719</v>
      </c>
      <c r="I990">
        <v>1</v>
      </c>
      <c r="J990">
        <v>0</v>
      </c>
      <c r="K990">
        <v>0</v>
      </c>
      <c r="L990">
        <v>0</v>
      </c>
      <c r="M990" t="s">
        <v>36</v>
      </c>
      <c r="N990" t="s">
        <v>36</v>
      </c>
      <c r="O990" t="s">
        <v>36</v>
      </c>
      <c r="P990" t="s">
        <v>37</v>
      </c>
      <c r="Q990" t="s">
        <v>36</v>
      </c>
      <c r="R990" t="s">
        <v>36</v>
      </c>
      <c r="S990" t="s">
        <v>36</v>
      </c>
      <c r="T990" t="s">
        <v>36</v>
      </c>
      <c r="U990">
        <v>0</v>
      </c>
      <c r="V990">
        <v>1</v>
      </c>
      <c r="W990">
        <v>1</v>
      </c>
      <c r="X990">
        <v>0</v>
      </c>
      <c r="Y990">
        <v>0</v>
      </c>
      <c r="Z990">
        <v>1</v>
      </c>
      <c r="AA990">
        <v>0</v>
      </c>
      <c r="AB990">
        <v>0</v>
      </c>
      <c r="AC990">
        <v>0</v>
      </c>
      <c r="AD990">
        <v>1</v>
      </c>
      <c r="AE990">
        <v>0</v>
      </c>
      <c r="AF990">
        <v>0</v>
      </c>
      <c r="AG990">
        <v>0</v>
      </c>
    </row>
    <row r="991" spans="1:33" x14ac:dyDescent="0.2">
      <c r="A991">
        <v>990</v>
      </c>
      <c r="B991" t="s">
        <v>345</v>
      </c>
      <c r="C991" t="s">
        <v>33</v>
      </c>
      <c r="D991">
        <v>28</v>
      </c>
      <c r="E991" t="s">
        <v>34</v>
      </c>
      <c r="F991" t="s">
        <v>41</v>
      </c>
      <c r="G991" t="s">
        <v>72</v>
      </c>
      <c r="H991">
        <v>4609</v>
      </c>
      <c r="I991">
        <v>0</v>
      </c>
      <c r="J991">
        <v>1</v>
      </c>
      <c r="K991">
        <v>0</v>
      </c>
      <c r="L991">
        <v>0</v>
      </c>
      <c r="M991" t="s">
        <v>74</v>
      </c>
      <c r="N991" t="s">
        <v>75</v>
      </c>
      <c r="O991" t="s">
        <v>73</v>
      </c>
      <c r="P991" t="s">
        <v>37</v>
      </c>
      <c r="Q991" t="s">
        <v>47</v>
      </c>
      <c r="R991" t="s">
        <v>46</v>
      </c>
      <c r="S991" t="s">
        <v>48</v>
      </c>
      <c r="T991">
        <v>0</v>
      </c>
      <c r="U991">
        <v>0</v>
      </c>
      <c r="V991">
        <v>1</v>
      </c>
      <c r="W991">
        <v>1</v>
      </c>
      <c r="X991">
        <v>1</v>
      </c>
      <c r="Y991">
        <v>0</v>
      </c>
      <c r="Z991">
        <v>1</v>
      </c>
      <c r="AA991">
        <v>0</v>
      </c>
      <c r="AB991">
        <v>0</v>
      </c>
      <c r="AC991">
        <v>0</v>
      </c>
      <c r="AD991">
        <v>0</v>
      </c>
      <c r="AE991">
        <v>1</v>
      </c>
      <c r="AF991">
        <v>0</v>
      </c>
      <c r="AG991">
        <v>0</v>
      </c>
    </row>
    <row r="992" spans="1:33" hidden="1" x14ac:dyDescent="0.2">
      <c r="A992">
        <v>991</v>
      </c>
      <c r="B992" t="s">
        <v>345</v>
      </c>
      <c r="C992" t="s">
        <v>33</v>
      </c>
      <c r="D992">
        <v>28</v>
      </c>
      <c r="E992" t="s">
        <v>34</v>
      </c>
      <c r="F992" t="s">
        <v>53</v>
      </c>
      <c r="G992" t="s">
        <v>54</v>
      </c>
      <c r="H992">
        <v>3544</v>
      </c>
      <c r="I992">
        <v>1</v>
      </c>
      <c r="J992">
        <v>0</v>
      </c>
      <c r="K992">
        <v>0</v>
      </c>
      <c r="L992">
        <v>0</v>
      </c>
      <c r="M992" t="s">
        <v>36</v>
      </c>
      <c r="N992" t="s">
        <v>36</v>
      </c>
      <c r="O992" t="s">
        <v>36</v>
      </c>
      <c r="P992" t="s">
        <v>37</v>
      </c>
      <c r="Q992" t="s">
        <v>36</v>
      </c>
      <c r="R992" t="s">
        <v>36</v>
      </c>
      <c r="S992" t="s">
        <v>36</v>
      </c>
      <c r="T992" t="s">
        <v>36</v>
      </c>
      <c r="U992">
        <v>0</v>
      </c>
      <c r="V992">
        <v>1</v>
      </c>
      <c r="W992">
        <v>1</v>
      </c>
      <c r="X992">
        <v>1</v>
      </c>
      <c r="Y992">
        <v>0</v>
      </c>
      <c r="Z992">
        <v>1</v>
      </c>
      <c r="AA992">
        <v>0</v>
      </c>
      <c r="AB992">
        <v>0</v>
      </c>
      <c r="AC992">
        <v>0</v>
      </c>
      <c r="AD992">
        <v>0</v>
      </c>
      <c r="AE992">
        <v>1</v>
      </c>
      <c r="AF992">
        <v>0</v>
      </c>
      <c r="AG992">
        <v>0</v>
      </c>
    </row>
    <row r="993" spans="1:33" x14ac:dyDescent="0.2">
      <c r="A993">
        <v>992</v>
      </c>
      <c r="B993" t="s">
        <v>345</v>
      </c>
      <c r="C993" t="s">
        <v>33</v>
      </c>
      <c r="D993">
        <v>28</v>
      </c>
      <c r="E993" t="s">
        <v>34</v>
      </c>
      <c r="F993" t="s">
        <v>41</v>
      </c>
      <c r="G993" t="s">
        <v>42</v>
      </c>
      <c r="H993">
        <v>3829</v>
      </c>
      <c r="I993">
        <v>0</v>
      </c>
      <c r="J993">
        <v>1</v>
      </c>
      <c r="K993">
        <v>0</v>
      </c>
      <c r="L993">
        <v>0</v>
      </c>
      <c r="M993" t="s">
        <v>102</v>
      </c>
      <c r="N993" t="s">
        <v>44</v>
      </c>
      <c r="O993" t="s">
        <v>43</v>
      </c>
      <c r="P993" t="s">
        <v>37</v>
      </c>
      <c r="Q993" t="s">
        <v>59</v>
      </c>
      <c r="R993" t="s">
        <v>47</v>
      </c>
      <c r="S993" t="s">
        <v>46</v>
      </c>
      <c r="T993">
        <v>0</v>
      </c>
      <c r="U993">
        <v>0</v>
      </c>
      <c r="V993">
        <v>0</v>
      </c>
      <c r="W993">
        <v>1</v>
      </c>
      <c r="X993">
        <v>1</v>
      </c>
      <c r="Y993">
        <v>0</v>
      </c>
      <c r="Z993">
        <v>1</v>
      </c>
      <c r="AA993">
        <v>0</v>
      </c>
      <c r="AB993">
        <v>0</v>
      </c>
      <c r="AC993">
        <v>0</v>
      </c>
      <c r="AD993">
        <v>1</v>
      </c>
      <c r="AE993">
        <v>0</v>
      </c>
      <c r="AF993">
        <v>0</v>
      </c>
      <c r="AG993">
        <v>0</v>
      </c>
    </row>
    <row r="994" spans="1:33" hidden="1" x14ac:dyDescent="0.2">
      <c r="A994">
        <v>993</v>
      </c>
      <c r="B994" t="s">
        <v>345</v>
      </c>
      <c r="C994" t="s">
        <v>33</v>
      </c>
      <c r="D994">
        <v>28</v>
      </c>
      <c r="E994" t="s">
        <v>34</v>
      </c>
      <c r="F994" t="s">
        <v>53</v>
      </c>
      <c r="G994" t="s">
        <v>76</v>
      </c>
      <c r="H994">
        <v>30104</v>
      </c>
      <c r="I994">
        <v>1</v>
      </c>
      <c r="J994">
        <v>0</v>
      </c>
      <c r="K994">
        <v>0</v>
      </c>
      <c r="L994">
        <v>0</v>
      </c>
      <c r="M994" t="s">
        <v>36</v>
      </c>
      <c r="N994" t="s">
        <v>36</v>
      </c>
      <c r="O994" t="s">
        <v>36</v>
      </c>
      <c r="P994" t="s">
        <v>37</v>
      </c>
      <c r="Q994" t="s">
        <v>36</v>
      </c>
      <c r="R994" t="s">
        <v>36</v>
      </c>
      <c r="S994" t="s">
        <v>36</v>
      </c>
      <c r="T994" t="s">
        <v>36</v>
      </c>
      <c r="U994">
        <v>0</v>
      </c>
      <c r="V994">
        <v>0</v>
      </c>
      <c r="W994">
        <v>1</v>
      </c>
      <c r="X994">
        <v>1</v>
      </c>
      <c r="Y994">
        <v>0</v>
      </c>
      <c r="Z994">
        <v>1</v>
      </c>
      <c r="AA994">
        <v>0</v>
      </c>
      <c r="AB994">
        <v>0</v>
      </c>
      <c r="AC994">
        <v>0</v>
      </c>
      <c r="AD994">
        <v>1</v>
      </c>
      <c r="AE994">
        <v>0</v>
      </c>
      <c r="AF994">
        <v>0</v>
      </c>
      <c r="AG994">
        <v>0</v>
      </c>
    </row>
    <row r="995" spans="1:33" hidden="1" x14ac:dyDescent="0.2">
      <c r="A995">
        <v>994</v>
      </c>
      <c r="B995" t="s">
        <v>345</v>
      </c>
      <c r="C995" t="s">
        <v>33</v>
      </c>
      <c r="D995">
        <v>28</v>
      </c>
      <c r="E995" t="s">
        <v>34</v>
      </c>
      <c r="F995" t="s">
        <v>77</v>
      </c>
      <c r="G995" t="s">
        <v>36</v>
      </c>
      <c r="H995">
        <v>3029</v>
      </c>
      <c r="L995" t="s">
        <v>36</v>
      </c>
      <c r="M995" t="s">
        <v>36</v>
      </c>
      <c r="N995" t="s">
        <v>36</v>
      </c>
      <c r="O995" t="s">
        <v>36</v>
      </c>
      <c r="P995" t="s">
        <v>37</v>
      </c>
      <c r="Q995" t="s">
        <v>36</v>
      </c>
      <c r="R995" t="s">
        <v>36</v>
      </c>
      <c r="S995" t="s">
        <v>36</v>
      </c>
      <c r="T995" t="s">
        <v>36</v>
      </c>
      <c r="U995" t="s">
        <v>36</v>
      </c>
      <c r="V995" t="s">
        <v>36</v>
      </c>
      <c r="W995" t="s">
        <v>36</v>
      </c>
      <c r="X995" t="s">
        <v>36</v>
      </c>
      <c r="Y995" t="s">
        <v>36</v>
      </c>
      <c r="Z995" t="s">
        <v>36</v>
      </c>
      <c r="AA995" t="s">
        <v>36</v>
      </c>
      <c r="AB995" t="s">
        <v>36</v>
      </c>
      <c r="AC995" t="s">
        <v>36</v>
      </c>
      <c r="AD995" t="s">
        <v>36</v>
      </c>
      <c r="AE995" t="s">
        <v>36</v>
      </c>
      <c r="AF995" t="s">
        <v>36</v>
      </c>
      <c r="AG995" t="s">
        <v>36</v>
      </c>
    </row>
    <row r="996" spans="1:33" hidden="1" x14ac:dyDescent="0.2">
      <c r="A996">
        <v>995</v>
      </c>
      <c r="B996" t="s">
        <v>346</v>
      </c>
      <c r="C996" t="s">
        <v>108</v>
      </c>
      <c r="D996">
        <v>30</v>
      </c>
      <c r="E996" t="s">
        <v>114</v>
      </c>
      <c r="F996" t="s">
        <v>35</v>
      </c>
      <c r="G996" t="s">
        <v>36</v>
      </c>
      <c r="H996">
        <v>26352</v>
      </c>
      <c r="I996" t="s">
        <v>36</v>
      </c>
      <c r="J996" t="s">
        <v>36</v>
      </c>
      <c r="K996" t="s">
        <v>36</v>
      </c>
      <c r="L996" t="s">
        <v>36</v>
      </c>
      <c r="M996" t="s">
        <v>36</v>
      </c>
      <c r="N996" t="s">
        <v>36</v>
      </c>
      <c r="O996" t="s">
        <v>36</v>
      </c>
      <c r="P996" t="s">
        <v>37</v>
      </c>
      <c r="Q996" t="s">
        <v>36</v>
      </c>
      <c r="R996" t="s">
        <v>36</v>
      </c>
      <c r="S996" t="s">
        <v>36</v>
      </c>
      <c r="T996" t="s">
        <v>36</v>
      </c>
      <c r="U996" t="s">
        <v>36</v>
      </c>
      <c r="V996" t="s">
        <v>36</v>
      </c>
      <c r="W996" t="s">
        <v>36</v>
      </c>
      <c r="X996" t="s">
        <v>36</v>
      </c>
      <c r="Y996" t="s">
        <v>36</v>
      </c>
      <c r="Z996" t="s">
        <v>36</v>
      </c>
      <c r="AA996" t="s">
        <v>36</v>
      </c>
      <c r="AB996" t="s">
        <v>36</v>
      </c>
      <c r="AC996" t="s">
        <v>36</v>
      </c>
      <c r="AD996" t="s">
        <v>36</v>
      </c>
      <c r="AE996" t="s">
        <v>36</v>
      </c>
      <c r="AF996" t="s">
        <v>36</v>
      </c>
      <c r="AG996" t="s">
        <v>36</v>
      </c>
    </row>
    <row r="997" spans="1:33" hidden="1" x14ac:dyDescent="0.2">
      <c r="A997">
        <v>996</v>
      </c>
      <c r="B997" t="s">
        <v>346</v>
      </c>
      <c r="C997" t="s">
        <v>108</v>
      </c>
      <c r="D997">
        <v>30</v>
      </c>
      <c r="E997" t="s">
        <v>114</v>
      </c>
      <c r="F997" t="s">
        <v>38</v>
      </c>
      <c r="G997" t="s">
        <v>40</v>
      </c>
      <c r="H997">
        <v>45044</v>
      </c>
      <c r="I997">
        <v>0</v>
      </c>
      <c r="J997">
        <v>1</v>
      </c>
      <c r="K997">
        <v>1</v>
      </c>
      <c r="L997">
        <v>0</v>
      </c>
      <c r="M997" t="s">
        <v>36</v>
      </c>
      <c r="N997" t="s">
        <v>36</v>
      </c>
      <c r="O997" t="s">
        <v>36</v>
      </c>
      <c r="P997" t="s">
        <v>37</v>
      </c>
      <c r="Q997" t="s">
        <v>36</v>
      </c>
      <c r="R997" t="s">
        <v>36</v>
      </c>
      <c r="S997" t="s">
        <v>36</v>
      </c>
      <c r="T997" t="s">
        <v>36</v>
      </c>
      <c r="U997" t="s">
        <v>36</v>
      </c>
      <c r="V997" t="s">
        <v>36</v>
      </c>
      <c r="W997" t="s">
        <v>36</v>
      </c>
      <c r="X997" t="s">
        <v>36</v>
      </c>
      <c r="Y997" t="s">
        <v>36</v>
      </c>
      <c r="Z997" t="s">
        <v>36</v>
      </c>
      <c r="AA997" t="s">
        <v>36</v>
      </c>
      <c r="AB997" t="s">
        <v>36</v>
      </c>
      <c r="AC997" t="s">
        <v>36</v>
      </c>
      <c r="AD997" t="s">
        <v>36</v>
      </c>
      <c r="AE997" t="s">
        <v>36</v>
      </c>
      <c r="AF997" t="s">
        <v>36</v>
      </c>
      <c r="AG997" t="s">
        <v>36</v>
      </c>
    </row>
    <row r="998" spans="1:33" hidden="1" x14ac:dyDescent="0.2">
      <c r="A998">
        <v>997</v>
      </c>
      <c r="B998" t="s">
        <v>346</v>
      </c>
      <c r="C998" t="s">
        <v>108</v>
      </c>
      <c r="D998">
        <v>30</v>
      </c>
      <c r="E998" t="s">
        <v>114</v>
      </c>
      <c r="F998" t="s">
        <v>38</v>
      </c>
      <c r="G998" t="s">
        <v>39</v>
      </c>
      <c r="H998">
        <v>33770</v>
      </c>
      <c r="I998">
        <v>0</v>
      </c>
      <c r="J998">
        <v>0</v>
      </c>
      <c r="K998">
        <v>0</v>
      </c>
      <c r="L998">
        <v>1</v>
      </c>
      <c r="M998" t="s">
        <v>36</v>
      </c>
      <c r="N998" t="s">
        <v>36</v>
      </c>
      <c r="O998" t="s">
        <v>36</v>
      </c>
      <c r="P998" t="s">
        <v>37</v>
      </c>
      <c r="Q998" t="s">
        <v>36</v>
      </c>
      <c r="R998" t="s">
        <v>36</v>
      </c>
      <c r="S998" t="s">
        <v>36</v>
      </c>
      <c r="T998" t="s">
        <v>36</v>
      </c>
      <c r="U998" t="s">
        <v>36</v>
      </c>
      <c r="V998" t="s">
        <v>36</v>
      </c>
      <c r="W998" t="s">
        <v>36</v>
      </c>
      <c r="X998" t="s">
        <v>36</v>
      </c>
      <c r="Y998" t="s">
        <v>36</v>
      </c>
      <c r="Z998" t="s">
        <v>36</v>
      </c>
      <c r="AA998" t="s">
        <v>36</v>
      </c>
      <c r="AB998" t="s">
        <v>36</v>
      </c>
      <c r="AC998" t="s">
        <v>36</v>
      </c>
      <c r="AD998" t="s">
        <v>36</v>
      </c>
      <c r="AE998" t="s">
        <v>36</v>
      </c>
      <c r="AF998" t="s">
        <v>36</v>
      </c>
      <c r="AG998" t="s">
        <v>36</v>
      </c>
    </row>
    <row r="999" spans="1:33" x14ac:dyDescent="0.2">
      <c r="A999">
        <v>998</v>
      </c>
      <c r="B999" t="s">
        <v>346</v>
      </c>
      <c r="C999" t="s">
        <v>108</v>
      </c>
      <c r="D999">
        <v>30</v>
      </c>
      <c r="E999" t="s">
        <v>114</v>
      </c>
      <c r="F999" t="s">
        <v>41</v>
      </c>
      <c r="G999" t="s">
        <v>49</v>
      </c>
      <c r="H999">
        <v>58515</v>
      </c>
      <c r="I999">
        <v>0</v>
      </c>
      <c r="J999">
        <v>1</v>
      </c>
      <c r="K999">
        <v>1</v>
      </c>
      <c r="L999">
        <v>0</v>
      </c>
      <c r="M999" t="s">
        <v>83</v>
      </c>
      <c r="N999" t="s">
        <v>51</v>
      </c>
      <c r="O999" t="s">
        <v>96</v>
      </c>
      <c r="P999" t="s">
        <v>37</v>
      </c>
      <c r="Q999" t="s">
        <v>59</v>
      </c>
      <c r="R999" t="s">
        <v>47</v>
      </c>
      <c r="S999" t="s">
        <v>65</v>
      </c>
      <c r="T999">
        <v>0</v>
      </c>
      <c r="U999">
        <v>1</v>
      </c>
      <c r="V999">
        <v>0</v>
      </c>
      <c r="W999">
        <v>1</v>
      </c>
      <c r="X999">
        <v>0</v>
      </c>
      <c r="Y999">
        <v>0</v>
      </c>
      <c r="Z999">
        <v>1</v>
      </c>
      <c r="AA999">
        <v>0</v>
      </c>
      <c r="AB999">
        <v>1</v>
      </c>
      <c r="AC999">
        <v>0</v>
      </c>
      <c r="AD999">
        <v>1</v>
      </c>
      <c r="AE999">
        <v>0</v>
      </c>
      <c r="AF999">
        <v>0</v>
      </c>
      <c r="AG999">
        <v>0</v>
      </c>
    </row>
    <row r="1000" spans="1:33" hidden="1" x14ac:dyDescent="0.2">
      <c r="A1000">
        <v>999</v>
      </c>
      <c r="B1000" t="s">
        <v>346</v>
      </c>
      <c r="C1000" t="s">
        <v>108</v>
      </c>
      <c r="D1000">
        <v>30</v>
      </c>
      <c r="E1000" t="s">
        <v>114</v>
      </c>
      <c r="F1000" t="s">
        <v>53</v>
      </c>
      <c r="G1000" t="s">
        <v>76</v>
      </c>
      <c r="H1000">
        <v>24302</v>
      </c>
      <c r="I1000">
        <v>1</v>
      </c>
      <c r="J1000">
        <v>0</v>
      </c>
      <c r="K1000">
        <v>0</v>
      </c>
      <c r="L1000">
        <v>0</v>
      </c>
      <c r="M1000" t="s">
        <v>36</v>
      </c>
      <c r="N1000" t="s">
        <v>36</v>
      </c>
      <c r="O1000" t="s">
        <v>36</v>
      </c>
      <c r="P1000" t="s">
        <v>37</v>
      </c>
      <c r="Q1000" t="s">
        <v>36</v>
      </c>
      <c r="R1000" t="s">
        <v>36</v>
      </c>
      <c r="S1000" t="s">
        <v>36</v>
      </c>
      <c r="T1000" t="s">
        <v>36</v>
      </c>
      <c r="U1000">
        <v>1</v>
      </c>
      <c r="V1000">
        <v>0</v>
      </c>
      <c r="W1000">
        <v>1</v>
      </c>
      <c r="X1000">
        <v>0</v>
      </c>
      <c r="Y1000">
        <v>0</v>
      </c>
      <c r="Z1000">
        <v>1</v>
      </c>
      <c r="AA1000">
        <v>0</v>
      </c>
      <c r="AB1000">
        <v>1</v>
      </c>
      <c r="AC1000">
        <v>0</v>
      </c>
      <c r="AD1000">
        <v>1</v>
      </c>
      <c r="AE1000">
        <v>0</v>
      </c>
      <c r="AF1000">
        <v>0</v>
      </c>
      <c r="AG1000">
        <v>0</v>
      </c>
    </row>
    <row r="1001" spans="1:33" x14ac:dyDescent="0.2">
      <c r="A1001">
        <v>1000</v>
      </c>
      <c r="B1001" t="s">
        <v>346</v>
      </c>
      <c r="C1001" t="s">
        <v>108</v>
      </c>
      <c r="D1001">
        <v>30</v>
      </c>
      <c r="E1001" t="s">
        <v>114</v>
      </c>
      <c r="F1001" t="s">
        <v>41</v>
      </c>
      <c r="G1001" t="s">
        <v>42</v>
      </c>
      <c r="H1001">
        <v>36060</v>
      </c>
      <c r="I1001">
        <v>0</v>
      </c>
      <c r="J1001">
        <v>1</v>
      </c>
      <c r="K1001">
        <v>0</v>
      </c>
      <c r="L1001">
        <v>0</v>
      </c>
      <c r="M1001" t="s">
        <v>45</v>
      </c>
      <c r="N1001" t="s">
        <v>44</v>
      </c>
      <c r="O1001" t="s">
        <v>43</v>
      </c>
      <c r="P1001" t="s">
        <v>37</v>
      </c>
      <c r="Q1001" t="s">
        <v>48</v>
      </c>
      <c r="R1001" t="s">
        <v>47</v>
      </c>
      <c r="S1001" t="s">
        <v>46</v>
      </c>
      <c r="T1001">
        <v>0</v>
      </c>
      <c r="U1001">
        <v>0</v>
      </c>
      <c r="V1001">
        <v>1</v>
      </c>
      <c r="W1001">
        <v>1</v>
      </c>
      <c r="X1001">
        <v>1</v>
      </c>
      <c r="Y1001">
        <v>0</v>
      </c>
      <c r="Z1001">
        <v>1</v>
      </c>
      <c r="AA1001">
        <v>0</v>
      </c>
      <c r="AB1001">
        <v>0</v>
      </c>
      <c r="AC1001">
        <v>0</v>
      </c>
      <c r="AD1001">
        <v>1</v>
      </c>
      <c r="AE1001">
        <v>0</v>
      </c>
      <c r="AF1001">
        <v>0</v>
      </c>
      <c r="AG1001">
        <v>0</v>
      </c>
    </row>
    <row r="1002" spans="1:33" x14ac:dyDescent="0.2">
      <c r="A1002">
        <v>1001</v>
      </c>
      <c r="B1002" t="s">
        <v>346</v>
      </c>
      <c r="C1002" t="s">
        <v>108</v>
      </c>
      <c r="D1002">
        <v>30</v>
      </c>
      <c r="E1002" t="s">
        <v>114</v>
      </c>
      <c r="F1002" t="s">
        <v>41</v>
      </c>
      <c r="G1002" t="s">
        <v>72</v>
      </c>
      <c r="H1002">
        <v>252944</v>
      </c>
      <c r="I1002">
        <v>0</v>
      </c>
      <c r="J1002">
        <v>0</v>
      </c>
      <c r="K1002">
        <v>0</v>
      </c>
      <c r="L1002">
        <v>1</v>
      </c>
      <c r="M1002" t="s">
        <v>73</v>
      </c>
      <c r="N1002" t="s">
        <v>115</v>
      </c>
      <c r="O1002" t="s">
        <v>75</v>
      </c>
      <c r="P1002" t="s">
        <v>37</v>
      </c>
      <c r="Q1002" t="s">
        <v>48</v>
      </c>
      <c r="R1002" t="s">
        <v>65</v>
      </c>
      <c r="S1002" t="s">
        <v>46</v>
      </c>
      <c r="T1002">
        <v>0</v>
      </c>
      <c r="U1002">
        <v>1</v>
      </c>
      <c r="V1002">
        <v>1</v>
      </c>
      <c r="W1002">
        <v>0</v>
      </c>
      <c r="X1002">
        <v>1</v>
      </c>
      <c r="Y1002">
        <v>0</v>
      </c>
      <c r="Z1002">
        <v>1</v>
      </c>
      <c r="AA1002">
        <v>0</v>
      </c>
      <c r="AB1002">
        <v>0</v>
      </c>
      <c r="AC1002">
        <v>0</v>
      </c>
      <c r="AD1002">
        <v>0</v>
      </c>
      <c r="AE1002">
        <v>0</v>
      </c>
      <c r="AF1002">
        <v>0</v>
      </c>
      <c r="AG1002">
        <v>1</v>
      </c>
    </row>
    <row r="1003" spans="1:33" hidden="1" x14ac:dyDescent="0.2">
      <c r="A1003">
        <v>1002</v>
      </c>
      <c r="B1003" t="s">
        <v>346</v>
      </c>
      <c r="C1003" t="s">
        <v>108</v>
      </c>
      <c r="D1003">
        <v>30</v>
      </c>
      <c r="E1003" t="s">
        <v>114</v>
      </c>
      <c r="F1003" t="s">
        <v>53</v>
      </c>
      <c r="G1003" t="s">
        <v>54</v>
      </c>
      <c r="H1003">
        <v>53972</v>
      </c>
      <c r="I1003">
        <v>0</v>
      </c>
      <c r="J1003">
        <v>1</v>
      </c>
      <c r="K1003">
        <v>0</v>
      </c>
      <c r="L1003">
        <v>0</v>
      </c>
      <c r="M1003" t="s">
        <v>36</v>
      </c>
      <c r="N1003" t="s">
        <v>36</v>
      </c>
      <c r="O1003" t="s">
        <v>36</v>
      </c>
      <c r="P1003" t="s">
        <v>37</v>
      </c>
      <c r="Q1003" t="s">
        <v>36</v>
      </c>
      <c r="R1003" t="s">
        <v>36</v>
      </c>
      <c r="S1003" t="s">
        <v>36</v>
      </c>
      <c r="T1003" t="s">
        <v>36</v>
      </c>
      <c r="U1003">
        <v>1</v>
      </c>
      <c r="V1003">
        <v>1</v>
      </c>
      <c r="W1003">
        <v>0</v>
      </c>
      <c r="X1003">
        <v>1</v>
      </c>
      <c r="Y1003">
        <v>0</v>
      </c>
      <c r="Z1003">
        <v>1</v>
      </c>
      <c r="AA1003">
        <v>0</v>
      </c>
      <c r="AB1003">
        <v>0</v>
      </c>
      <c r="AC1003">
        <v>0</v>
      </c>
      <c r="AD1003">
        <v>0</v>
      </c>
      <c r="AE1003">
        <v>0</v>
      </c>
      <c r="AF1003">
        <v>0</v>
      </c>
      <c r="AG1003">
        <v>1</v>
      </c>
    </row>
    <row r="1004" spans="1:33" x14ac:dyDescent="0.2">
      <c r="A1004">
        <v>1003</v>
      </c>
      <c r="B1004" t="s">
        <v>346</v>
      </c>
      <c r="C1004" t="s">
        <v>108</v>
      </c>
      <c r="D1004">
        <v>30</v>
      </c>
      <c r="E1004" t="s">
        <v>114</v>
      </c>
      <c r="F1004" t="s">
        <v>41</v>
      </c>
      <c r="G1004" t="s">
        <v>55</v>
      </c>
      <c r="H1004">
        <v>27310</v>
      </c>
      <c r="I1004">
        <v>1</v>
      </c>
      <c r="J1004">
        <v>0</v>
      </c>
      <c r="K1004">
        <v>0</v>
      </c>
      <c r="L1004">
        <v>0</v>
      </c>
      <c r="M1004" t="s">
        <v>85</v>
      </c>
      <c r="N1004" t="s">
        <v>57</v>
      </c>
      <c r="O1004" t="s">
        <v>56</v>
      </c>
      <c r="P1004" t="s">
        <v>37</v>
      </c>
      <c r="Q1004" t="s">
        <v>65</v>
      </c>
      <c r="R1004" t="s">
        <v>48</v>
      </c>
      <c r="S1004" t="s">
        <v>59</v>
      </c>
      <c r="T1004">
        <v>0</v>
      </c>
      <c r="U1004">
        <v>1</v>
      </c>
      <c r="V1004">
        <v>1</v>
      </c>
      <c r="W1004">
        <v>0</v>
      </c>
      <c r="X1004">
        <v>0</v>
      </c>
      <c r="Y1004">
        <v>0</v>
      </c>
      <c r="Z1004">
        <v>1</v>
      </c>
      <c r="AA1004">
        <v>0</v>
      </c>
      <c r="AB1004">
        <v>1</v>
      </c>
      <c r="AC1004">
        <v>0</v>
      </c>
      <c r="AD1004">
        <v>0</v>
      </c>
      <c r="AE1004">
        <v>0</v>
      </c>
      <c r="AF1004">
        <v>0</v>
      </c>
      <c r="AG1004">
        <v>0</v>
      </c>
    </row>
    <row r="1005" spans="1:33" hidden="1" x14ac:dyDescent="0.2">
      <c r="A1005">
        <v>1004</v>
      </c>
      <c r="B1005" t="s">
        <v>346</v>
      </c>
      <c r="C1005" t="s">
        <v>108</v>
      </c>
      <c r="D1005">
        <v>30</v>
      </c>
      <c r="E1005" t="s">
        <v>114</v>
      </c>
      <c r="F1005" t="s">
        <v>53</v>
      </c>
      <c r="G1005" t="s">
        <v>71</v>
      </c>
      <c r="H1005">
        <v>46438</v>
      </c>
      <c r="I1005">
        <v>0</v>
      </c>
      <c r="J1005">
        <v>0</v>
      </c>
      <c r="K1005">
        <v>0</v>
      </c>
      <c r="L1005">
        <v>1</v>
      </c>
      <c r="M1005" t="s">
        <v>36</v>
      </c>
      <c r="N1005" t="s">
        <v>36</v>
      </c>
      <c r="O1005" t="s">
        <v>36</v>
      </c>
      <c r="P1005" t="s">
        <v>37</v>
      </c>
      <c r="Q1005" t="s">
        <v>36</v>
      </c>
      <c r="R1005" t="s">
        <v>36</v>
      </c>
      <c r="S1005" t="s">
        <v>36</v>
      </c>
      <c r="T1005" t="s">
        <v>36</v>
      </c>
      <c r="U1005">
        <v>1</v>
      </c>
      <c r="V1005">
        <v>1</v>
      </c>
      <c r="W1005">
        <v>0</v>
      </c>
      <c r="X1005">
        <v>0</v>
      </c>
      <c r="Y1005">
        <v>0</v>
      </c>
      <c r="Z1005">
        <v>1</v>
      </c>
      <c r="AA1005">
        <v>0</v>
      </c>
      <c r="AB1005">
        <v>1</v>
      </c>
      <c r="AC1005">
        <v>0</v>
      </c>
      <c r="AD1005">
        <v>0</v>
      </c>
      <c r="AE1005">
        <v>0</v>
      </c>
      <c r="AF1005">
        <v>0</v>
      </c>
      <c r="AG1005">
        <v>0</v>
      </c>
    </row>
    <row r="1006" spans="1:33" x14ac:dyDescent="0.2">
      <c r="A1006">
        <v>1005</v>
      </c>
      <c r="B1006" t="s">
        <v>346</v>
      </c>
      <c r="C1006" t="s">
        <v>108</v>
      </c>
      <c r="D1006">
        <v>30</v>
      </c>
      <c r="E1006" t="s">
        <v>114</v>
      </c>
      <c r="F1006" t="s">
        <v>41</v>
      </c>
      <c r="G1006" t="s">
        <v>67</v>
      </c>
      <c r="H1006">
        <v>21421</v>
      </c>
      <c r="I1006">
        <v>0</v>
      </c>
      <c r="J1006">
        <v>1</v>
      </c>
      <c r="K1006">
        <v>0</v>
      </c>
      <c r="L1006">
        <v>0</v>
      </c>
      <c r="M1006" t="s">
        <v>86</v>
      </c>
      <c r="N1006" t="s">
        <v>68</v>
      </c>
      <c r="O1006" t="s">
        <v>109</v>
      </c>
      <c r="P1006" t="s">
        <v>37</v>
      </c>
      <c r="Q1006" t="s">
        <v>46</v>
      </c>
      <c r="R1006" t="s">
        <v>65</v>
      </c>
      <c r="S1006" t="s">
        <v>59</v>
      </c>
      <c r="T1006">
        <v>0</v>
      </c>
      <c r="U1006">
        <v>1</v>
      </c>
      <c r="V1006">
        <v>0</v>
      </c>
      <c r="W1006">
        <v>0</v>
      </c>
      <c r="X1006">
        <v>1</v>
      </c>
      <c r="Y1006">
        <v>0</v>
      </c>
      <c r="Z1006">
        <v>1</v>
      </c>
      <c r="AA1006">
        <v>0</v>
      </c>
      <c r="AB1006">
        <v>1</v>
      </c>
      <c r="AC1006">
        <v>0</v>
      </c>
      <c r="AD1006">
        <v>0</v>
      </c>
      <c r="AE1006">
        <v>0</v>
      </c>
      <c r="AF1006">
        <v>0</v>
      </c>
      <c r="AG1006">
        <v>0</v>
      </c>
    </row>
    <row r="1007" spans="1:33" x14ac:dyDescent="0.2">
      <c r="A1007">
        <v>1006</v>
      </c>
      <c r="B1007" t="s">
        <v>346</v>
      </c>
      <c r="C1007" t="s">
        <v>108</v>
      </c>
      <c r="D1007">
        <v>30</v>
      </c>
      <c r="E1007" t="s">
        <v>114</v>
      </c>
      <c r="F1007" t="s">
        <v>41</v>
      </c>
      <c r="G1007" t="s">
        <v>61</v>
      </c>
      <c r="H1007">
        <v>3389</v>
      </c>
      <c r="I1007">
        <v>0</v>
      </c>
      <c r="J1007">
        <v>0</v>
      </c>
      <c r="K1007">
        <v>0</v>
      </c>
      <c r="L1007">
        <v>0</v>
      </c>
      <c r="M1007" t="s">
        <v>125</v>
      </c>
      <c r="N1007" t="s">
        <v>63</v>
      </c>
      <c r="O1007" t="s">
        <v>87</v>
      </c>
      <c r="P1007" t="s">
        <v>37</v>
      </c>
      <c r="Q1007" t="s">
        <v>60</v>
      </c>
      <c r="R1007" t="s">
        <v>46</v>
      </c>
      <c r="S1007" t="s">
        <v>47</v>
      </c>
      <c r="T1007">
        <v>1</v>
      </c>
      <c r="U1007">
        <v>0</v>
      </c>
      <c r="V1007">
        <v>0</v>
      </c>
      <c r="W1007">
        <v>1</v>
      </c>
      <c r="X1007">
        <v>1</v>
      </c>
      <c r="Y1007">
        <v>0</v>
      </c>
      <c r="Z1007">
        <v>1</v>
      </c>
      <c r="AA1007">
        <v>0</v>
      </c>
      <c r="AB1007">
        <v>0</v>
      </c>
      <c r="AC1007">
        <v>0</v>
      </c>
      <c r="AD1007">
        <v>0</v>
      </c>
      <c r="AE1007">
        <v>0</v>
      </c>
      <c r="AF1007">
        <v>0</v>
      </c>
      <c r="AG1007">
        <v>0</v>
      </c>
    </row>
    <row r="1008" spans="1:33" hidden="1" x14ac:dyDescent="0.2">
      <c r="A1008">
        <v>1007</v>
      </c>
      <c r="B1008" t="s">
        <v>346</v>
      </c>
      <c r="C1008" t="s">
        <v>108</v>
      </c>
      <c r="D1008">
        <v>30</v>
      </c>
      <c r="E1008" t="s">
        <v>114</v>
      </c>
      <c r="F1008" t="s">
        <v>53</v>
      </c>
      <c r="G1008" t="s">
        <v>66</v>
      </c>
      <c r="H1008">
        <v>19036</v>
      </c>
      <c r="I1008">
        <v>0</v>
      </c>
      <c r="J1008">
        <v>0</v>
      </c>
      <c r="K1008">
        <v>0</v>
      </c>
      <c r="L1008">
        <v>1</v>
      </c>
      <c r="M1008" t="s">
        <v>36</v>
      </c>
      <c r="N1008" t="s">
        <v>36</v>
      </c>
      <c r="O1008" t="s">
        <v>36</v>
      </c>
      <c r="P1008" t="s">
        <v>37</v>
      </c>
      <c r="Q1008" t="s">
        <v>36</v>
      </c>
      <c r="R1008" t="s">
        <v>36</v>
      </c>
      <c r="S1008" t="s">
        <v>36</v>
      </c>
      <c r="T1008" t="s">
        <v>36</v>
      </c>
      <c r="U1008">
        <v>0</v>
      </c>
      <c r="V1008">
        <v>0</v>
      </c>
      <c r="W1008">
        <v>1</v>
      </c>
      <c r="X1008">
        <v>1</v>
      </c>
      <c r="Y1008">
        <v>0</v>
      </c>
      <c r="Z1008">
        <v>1</v>
      </c>
      <c r="AA1008">
        <v>0</v>
      </c>
      <c r="AB1008">
        <v>0</v>
      </c>
      <c r="AC1008">
        <v>0</v>
      </c>
      <c r="AD1008">
        <v>0</v>
      </c>
      <c r="AE1008">
        <v>0</v>
      </c>
      <c r="AF1008">
        <v>0</v>
      </c>
      <c r="AG1008">
        <v>0</v>
      </c>
    </row>
    <row r="1009" spans="1:33" hidden="1" x14ac:dyDescent="0.2">
      <c r="A1009">
        <v>1008</v>
      </c>
      <c r="B1009" t="s">
        <v>346</v>
      </c>
      <c r="C1009" t="s">
        <v>108</v>
      </c>
      <c r="D1009">
        <v>30</v>
      </c>
      <c r="E1009" t="s">
        <v>114</v>
      </c>
      <c r="F1009" t="s">
        <v>77</v>
      </c>
      <c r="G1009" t="s">
        <v>36</v>
      </c>
      <c r="H1009">
        <v>65078</v>
      </c>
      <c r="I1009" t="s">
        <v>347</v>
      </c>
      <c r="J1009" t="s">
        <v>348</v>
      </c>
      <c r="K1009" t="s">
        <v>349</v>
      </c>
      <c r="L1009" t="s">
        <v>36</v>
      </c>
      <c r="M1009" t="s">
        <v>36</v>
      </c>
      <c r="N1009" t="s">
        <v>36</v>
      </c>
      <c r="O1009" t="s">
        <v>36</v>
      </c>
      <c r="P1009" t="s">
        <v>37</v>
      </c>
      <c r="Q1009" t="s">
        <v>36</v>
      </c>
      <c r="R1009" t="s">
        <v>36</v>
      </c>
      <c r="S1009" t="s">
        <v>36</v>
      </c>
      <c r="T1009" t="s">
        <v>36</v>
      </c>
      <c r="U1009" t="s">
        <v>36</v>
      </c>
      <c r="V1009" t="s">
        <v>36</v>
      </c>
      <c r="W1009" t="s">
        <v>36</v>
      </c>
      <c r="X1009" t="s">
        <v>36</v>
      </c>
      <c r="Y1009" t="s">
        <v>36</v>
      </c>
      <c r="Z1009" t="s">
        <v>36</v>
      </c>
      <c r="AA1009" t="s">
        <v>36</v>
      </c>
      <c r="AB1009" t="s">
        <v>36</v>
      </c>
      <c r="AC1009" t="s">
        <v>36</v>
      </c>
      <c r="AD1009" t="s">
        <v>36</v>
      </c>
      <c r="AE1009" t="s">
        <v>36</v>
      </c>
      <c r="AF1009" t="s">
        <v>36</v>
      </c>
      <c r="AG1009" t="s">
        <v>36</v>
      </c>
    </row>
    <row r="1010" spans="1:33" hidden="1" x14ac:dyDescent="0.2">
      <c r="A1010">
        <v>1009</v>
      </c>
      <c r="B1010" t="s">
        <v>350</v>
      </c>
      <c r="C1010" t="s">
        <v>33</v>
      </c>
      <c r="D1010">
        <v>29</v>
      </c>
      <c r="E1010" t="s">
        <v>34</v>
      </c>
      <c r="F1010" t="s">
        <v>35</v>
      </c>
      <c r="G1010" t="s">
        <v>36</v>
      </c>
      <c r="H1010">
        <v>1132067</v>
      </c>
      <c r="I1010" t="s">
        <v>36</v>
      </c>
      <c r="J1010" t="s">
        <v>36</v>
      </c>
      <c r="K1010" t="s">
        <v>36</v>
      </c>
      <c r="L1010" t="s">
        <v>36</v>
      </c>
      <c r="M1010" t="s">
        <v>36</v>
      </c>
      <c r="N1010" t="s">
        <v>36</v>
      </c>
      <c r="O1010" t="s">
        <v>36</v>
      </c>
      <c r="P1010" t="s">
        <v>37</v>
      </c>
      <c r="Q1010" t="s">
        <v>36</v>
      </c>
      <c r="R1010" t="s">
        <v>36</v>
      </c>
      <c r="S1010" t="s">
        <v>36</v>
      </c>
      <c r="T1010" t="s">
        <v>36</v>
      </c>
      <c r="U1010" t="s">
        <v>36</v>
      </c>
      <c r="V1010" t="s">
        <v>36</v>
      </c>
      <c r="W1010" t="s">
        <v>36</v>
      </c>
      <c r="X1010" t="s">
        <v>36</v>
      </c>
      <c r="Y1010" t="s">
        <v>36</v>
      </c>
      <c r="Z1010" t="s">
        <v>36</v>
      </c>
      <c r="AA1010" t="s">
        <v>36</v>
      </c>
      <c r="AB1010" t="s">
        <v>36</v>
      </c>
      <c r="AC1010" t="s">
        <v>36</v>
      </c>
      <c r="AD1010" t="s">
        <v>36</v>
      </c>
      <c r="AE1010" t="s">
        <v>36</v>
      </c>
      <c r="AF1010" t="s">
        <v>36</v>
      </c>
      <c r="AG1010" t="s">
        <v>36</v>
      </c>
    </row>
    <row r="1011" spans="1:33" hidden="1" x14ac:dyDescent="0.2">
      <c r="A1011">
        <v>1010</v>
      </c>
      <c r="B1011" t="s">
        <v>350</v>
      </c>
      <c r="C1011" t="s">
        <v>33</v>
      </c>
      <c r="D1011">
        <v>29</v>
      </c>
      <c r="E1011" t="s">
        <v>34</v>
      </c>
      <c r="F1011" t="s">
        <v>38</v>
      </c>
      <c r="G1011" t="s">
        <v>40</v>
      </c>
      <c r="H1011">
        <v>25000</v>
      </c>
      <c r="I1011">
        <v>0</v>
      </c>
      <c r="J1011">
        <v>0</v>
      </c>
      <c r="K1011">
        <v>1</v>
      </c>
      <c r="L1011">
        <v>0</v>
      </c>
      <c r="M1011" t="s">
        <v>36</v>
      </c>
      <c r="N1011" t="s">
        <v>36</v>
      </c>
      <c r="O1011" t="s">
        <v>36</v>
      </c>
      <c r="P1011" t="s">
        <v>37</v>
      </c>
      <c r="Q1011" t="s">
        <v>36</v>
      </c>
      <c r="R1011" t="s">
        <v>36</v>
      </c>
      <c r="S1011" t="s">
        <v>36</v>
      </c>
      <c r="T1011" t="s">
        <v>36</v>
      </c>
      <c r="U1011" t="s">
        <v>36</v>
      </c>
      <c r="V1011" t="s">
        <v>36</v>
      </c>
      <c r="W1011" t="s">
        <v>36</v>
      </c>
      <c r="X1011" t="s">
        <v>36</v>
      </c>
      <c r="Y1011" t="s">
        <v>36</v>
      </c>
      <c r="Z1011" t="s">
        <v>36</v>
      </c>
      <c r="AA1011" t="s">
        <v>36</v>
      </c>
      <c r="AB1011" t="s">
        <v>36</v>
      </c>
      <c r="AC1011" t="s">
        <v>36</v>
      </c>
      <c r="AD1011" t="s">
        <v>36</v>
      </c>
      <c r="AE1011" t="s">
        <v>36</v>
      </c>
      <c r="AF1011" t="s">
        <v>36</v>
      </c>
      <c r="AG1011" t="s">
        <v>36</v>
      </c>
    </row>
    <row r="1012" spans="1:33" hidden="1" x14ac:dyDescent="0.2">
      <c r="A1012">
        <v>1011</v>
      </c>
      <c r="B1012" t="s">
        <v>350</v>
      </c>
      <c r="C1012" t="s">
        <v>33</v>
      </c>
      <c r="D1012">
        <v>29</v>
      </c>
      <c r="E1012" t="s">
        <v>34</v>
      </c>
      <c r="F1012" t="s">
        <v>38</v>
      </c>
      <c r="G1012" t="s">
        <v>39</v>
      </c>
      <c r="H1012">
        <v>36265</v>
      </c>
      <c r="I1012">
        <v>0</v>
      </c>
      <c r="J1012">
        <v>1</v>
      </c>
      <c r="K1012">
        <v>1</v>
      </c>
      <c r="L1012">
        <v>0</v>
      </c>
      <c r="M1012" t="s">
        <v>36</v>
      </c>
      <c r="N1012" t="s">
        <v>36</v>
      </c>
      <c r="O1012" t="s">
        <v>36</v>
      </c>
      <c r="P1012" t="s">
        <v>37</v>
      </c>
      <c r="Q1012" t="s">
        <v>36</v>
      </c>
      <c r="R1012" t="s">
        <v>36</v>
      </c>
      <c r="S1012" t="s">
        <v>36</v>
      </c>
      <c r="T1012" t="s">
        <v>36</v>
      </c>
      <c r="U1012" t="s">
        <v>36</v>
      </c>
      <c r="V1012" t="s">
        <v>36</v>
      </c>
      <c r="W1012" t="s">
        <v>36</v>
      </c>
      <c r="X1012" t="s">
        <v>36</v>
      </c>
      <c r="Y1012" t="s">
        <v>36</v>
      </c>
      <c r="Z1012" t="s">
        <v>36</v>
      </c>
      <c r="AA1012" t="s">
        <v>36</v>
      </c>
      <c r="AB1012" t="s">
        <v>36</v>
      </c>
      <c r="AC1012" t="s">
        <v>36</v>
      </c>
      <c r="AD1012" t="s">
        <v>36</v>
      </c>
      <c r="AE1012" t="s">
        <v>36</v>
      </c>
      <c r="AF1012" t="s">
        <v>36</v>
      </c>
      <c r="AG1012" t="s">
        <v>36</v>
      </c>
    </row>
    <row r="1013" spans="1:33" x14ac:dyDescent="0.2">
      <c r="A1013">
        <v>1012</v>
      </c>
      <c r="B1013" t="s">
        <v>350</v>
      </c>
      <c r="C1013" t="s">
        <v>33</v>
      </c>
      <c r="D1013">
        <v>29</v>
      </c>
      <c r="E1013" t="s">
        <v>34</v>
      </c>
      <c r="F1013" t="s">
        <v>41</v>
      </c>
      <c r="G1013" t="s">
        <v>61</v>
      </c>
      <c r="H1013">
        <v>28688</v>
      </c>
      <c r="I1013">
        <v>0</v>
      </c>
      <c r="J1013">
        <v>0</v>
      </c>
      <c r="K1013">
        <v>1</v>
      </c>
      <c r="L1013">
        <v>0</v>
      </c>
      <c r="M1013" t="s">
        <v>64</v>
      </c>
      <c r="N1013" t="s">
        <v>125</v>
      </c>
      <c r="O1013" t="s">
        <v>63</v>
      </c>
      <c r="P1013" t="s">
        <v>37</v>
      </c>
      <c r="Q1013" t="s">
        <v>48</v>
      </c>
      <c r="R1013" t="s">
        <v>60</v>
      </c>
      <c r="S1013" t="s">
        <v>46</v>
      </c>
      <c r="T1013">
        <v>1</v>
      </c>
      <c r="U1013">
        <v>0</v>
      </c>
      <c r="V1013">
        <v>1</v>
      </c>
      <c r="W1013">
        <v>0</v>
      </c>
      <c r="X1013">
        <v>1</v>
      </c>
      <c r="Y1013">
        <v>0</v>
      </c>
      <c r="Z1013">
        <v>1</v>
      </c>
      <c r="AA1013">
        <v>0</v>
      </c>
      <c r="AB1013">
        <v>0</v>
      </c>
      <c r="AC1013">
        <v>0</v>
      </c>
      <c r="AD1013">
        <v>0</v>
      </c>
      <c r="AE1013">
        <v>1</v>
      </c>
      <c r="AF1013">
        <v>0</v>
      </c>
      <c r="AG1013">
        <v>0</v>
      </c>
    </row>
    <row r="1014" spans="1:33" x14ac:dyDescent="0.2">
      <c r="A1014">
        <v>1013</v>
      </c>
      <c r="B1014" t="s">
        <v>350</v>
      </c>
      <c r="C1014" t="s">
        <v>33</v>
      </c>
      <c r="D1014">
        <v>29</v>
      </c>
      <c r="E1014" t="s">
        <v>34</v>
      </c>
      <c r="F1014" t="s">
        <v>41</v>
      </c>
      <c r="G1014" t="s">
        <v>42</v>
      </c>
      <c r="H1014">
        <v>13250</v>
      </c>
      <c r="I1014">
        <v>1</v>
      </c>
      <c r="J1014">
        <v>0</v>
      </c>
      <c r="K1014">
        <v>0</v>
      </c>
      <c r="L1014">
        <v>0</v>
      </c>
      <c r="M1014" t="s">
        <v>102</v>
      </c>
      <c r="N1014" t="s">
        <v>82</v>
      </c>
      <c r="O1014" t="s">
        <v>43</v>
      </c>
      <c r="P1014" t="s">
        <v>37</v>
      </c>
      <c r="Q1014" t="s">
        <v>59</v>
      </c>
      <c r="R1014" t="s">
        <v>65</v>
      </c>
      <c r="S1014" t="s">
        <v>46</v>
      </c>
      <c r="T1014">
        <v>0</v>
      </c>
      <c r="U1014">
        <v>1</v>
      </c>
      <c r="V1014">
        <v>0</v>
      </c>
      <c r="W1014">
        <v>0</v>
      </c>
      <c r="X1014">
        <v>1</v>
      </c>
      <c r="Y1014">
        <v>0</v>
      </c>
      <c r="Z1014">
        <v>1</v>
      </c>
      <c r="AA1014">
        <v>0</v>
      </c>
      <c r="AB1014">
        <v>0</v>
      </c>
      <c r="AC1014">
        <v>0</v>
      </c>
      <c r="AD1014">
        <v>0</v>
      </c>
      <c r="AE1014">
        <v>0</v>
      </c>
      <c r="AF1014">
        <v>0</v>
      </c>
      <c r="AG1014">
        <v>0</v>
      </c>
    </row>
    <row r="1015" spans="1:33" hidden="1" x14ac:dyDescent="0.2">
      <c r="A1015">
        <v>1014</v>
      </c>
      <c r="B1015" t="s">
        <v>350</v>
      </c>
      <c r="C1015" t="s">
        <v>33</v>
      </c>
      <c r="D1015">
        <v>29</v>
      </c>
      <c r="E1015" t="s">
        <v>34</v>
      </c>
      <c r="F1015" t="s">
        <v>53</v>
      </c>
      <c r="G1015" t="s">
        <v>66</v>
      </c>
      <c r="H1015">
        <v>3882</v>
      </c>
      <c r="I1015">
        <v>0</v>
      </c>
      <c r="J1015">
        <v>1</v>
      </c>
      <c r="K1015">
        <v>0</v>
      </c>
      <c r="L1015">
        <v>0</v>
      </c>
      <c r="M1015" t="s">
        <v>36</v>
      </c>
      <c r="N1015" t="s">
        <v>36</v>
      </c>
      <c r="O1015" t="s">
        <v>36</v>
      </c>
      <c r="P1015" t="s">
        <v>37</v>
      </c>
      <c r="Q1015" t="s">
        <v>36</v>
      </c>
      <c r="R1015" t="s">
        <v>36</v>
      </c>
      <c r="S1015" t="s">
        <v>36</v>
      </c>
      <c r="T1015" t="s">
        <v>36</v>
      </c>
      <c r="U1015">
        <v>1</v>
      </c>
      <c r="V1015">
        <v>0</v>
      </c>
      <c r="W1015">
        <v>0</v>
      </c>
      <c r="X1015">
        <v>1</v>
      </c>
      <c r="Y1015">
        <v>0</v>
      </c>
      <c r="Z1015">
        <v>1</v>
      </c>
      <c r="AA1015">
        <v>0</v>
      </c>
      <c r="AB1015">
        <v>0</v>
      </c>
      <c r="AC1015">
        <v>0</v>
      </c>
      <c r="AD1015">
        <v>0</v>
      </c>
      <c r="AE1015">
        <v>0</v>
      </c>
      <c r="AF1015">
        <v>0</v>
      </c>
      <c r="AG1015">
        <v>0</v>
      </c>
    </row>
    <row r="1016" spans="1:33" x14ac:dyDescent="0.2">
      <c r="A1016">
        <v>1015</v>
      </c>
      <c r="B1016" t="s">
        <v>350</v>
      </c>
      <c r="C1016" t="s">
        <v>33</v>
      </c>
      <c r="D1016">
        <v>29</v>
      </c>
      <c r="E1016" t="s">
        <v>34</v>
      </c>
      <c r="F1016" t="s">
        <v>41</v>
      </c>
      <c r="G1016" t="s">
        <v>72</v>
      </c>
      <c r="H1016">
        <v>4523</v>
      </c>
      <c r="I1016">
        <v>0</v>
      </c>
      <c r="J1016">
        <v>0</v>
      </c>
      <c r="K1016">
        <v>1</v>
      </c>
      <c r="L1016">
        <v>0</v>
      </c>
      <c r="M1016" t="s">
        <v>115</v>
      </c>
      <c r="N1016" t="s">
        <v>74</v>
      </c>
      <c r="O1016" t="s">
        <v>75</v>
      </c>
      <c r="P1016" t="s">
        <v>37</v>
      </c>
      <c r="Q1016" t="s">
        <v>65</v>
      </c>
      <c r="R1016" t="s">
        <v>47</v>
      </c>
      <c r="S1016" t="s">
        <v>46</v>
      </c>
      <c r="T1016">
        <v>0</v>
      </c>
      <c r="U1016">
        <v>1</v>
      </c>
      <c r="V1016">
        <v>0</v>
      </c>
      <c r="W1016">
        <v>1</v>
      </c>
      <c r="X1016">
        <v>1</v>
      </c>
      <c r="Y1016">
        <v>0</v>
      </c>
      <c r="Z1016">
        <v>1</v>
      </c>
      <c r="AA1016">
        <v>0</v>
      </c>
      <c r="AB1016">
        <v>0</v>
      </c>
      <c r="AC1016">
        <v>0</v>
      </c>
      <c r="AD1016">
        <v>0</v>
      </c>
      <c r="AE1016">
        <v>1</v>
      </c>
      <c r="AF1016">
        <v>0</v>
      </c>
      <c r="AG1016">
        <v>0</v>
      </c>
    </row>
    <row r="1017" spans="1:33" x14ac:dyDescent="0.2">
      <c r="A1017">
        <v>1016</v>
      </c>
      <c r="B1017" t="s">
        <v>350</v>
      </c>
      <c r="C1017" t="s">
        <v>33</v>
      </c>
      <c r="D1017">
        <v>29</v>
      </c>
      <c r="E1017" t="s">
        <v>34</v>
      </c>
      <c r="F1017" t="s">
        <v>41</v>
      </c>
      <c r="G1017" t="s">
        <v>55</v>
      </c>
      <c r="H1017">
        <v>4051</v>
      </c>
      <c r="I1017">
        <v>0</v>
      </c>
      <c r="J1017">
        <v>0</v>
      </c>
      <c r="K1017">
        <v>1</v>
      </c>
      <c r="L1017">
        <v>0</v>
      </c>
      <c r="M1017" t="s">
        <v>56</v>
      </c>
      <c r="N1017" t="s">
        <v>94</v>
      </c>
      <c r="O1017" t="s">
        <v>84</v>
      </c>
      <c r="P1017" t="s">
        <v>37</v>
      </c>
      <c r="Q1017" t="s">
        <v>59</v>
      </c>
      <c r="R1017" t="s">
        <v>47</v>
      </c>
      <c r="S1017" t="s">
        <v>46</v>
      </c>
      <c r="T1017">
        <v>0</v>
      </c>
      <c r="U1017">
        <v>0</v>
      </c>
      <c r="V1017">
        <v>0</v>
      </c>
      <c r="W1017">
        <v>1</v>
      </c>
      <c r="X1017">
        <v>1</v>
      </c>
      <c r="Y1017">
        <v>0</v>
      </c>
      <c r="Z1017">
        <v>1</v>
      </c>
      <c r="AA1017">
        <v>0</v>
      </c>
      <c r="AB1017">
        <v>0</v>
      </c>
      <c r="AC1017">
        <v>0</v>
      </c>
      <c r="AD1017">
        <v>0</v>
      </c>
      <c r="AE1017">
        <v>1</v>
      </c>
      <c r="AF1017">
        <v>0</v>
      </c>
      <c r="AG1017">
        <v>0</v>
      </c>
    </row>
    <row r="1018" spans="1:33" hidden="1" x14ac:dyDescent="0.2">
      <c r="A1018">
        <v>1017</v>
      </c>
      <c r="B1018" t="s">
        <v>350</v>
      </c>
      <c r="C1018" t="s">
        <v>33</v>
      </c>
      <c r="D1018">
        <v>29</v>
      </c>
      <c r="E1018" t="s">
        <v>34</v>
      </c>
      <c r="F1018" t="s">
        <v>53</v>
      </c>
      <c r="G1018" t="s">
        <v>71</v>
      </c>
      <c r="H1018">
        <v>5989</v>
      </c>
      <c r="I1018">
        <v>0</v>
      </c>
      <c r="J1018">
        <v>0</v>
      </c>
      <c r="K1018">
        <v>1</v>
      </c>
      <c r="L1018">
        <v>0</v>
      </c>
      <c r="M1018" t="s">
        <v>36</v>
      </c>
      <c r="N1018" t="s">
        <v>36</v>
      </c>
      <c r="O1018" t="s">
        <v>36</v>
      </c>
      <c r="P1018" t="s">
        <v>37</v>
      </c>
      <c r="Q1018" t="s">
        <v>36</v>
      </c>
      <c r="R1018" t="s">
        <v>36</v>
      </c>
      <c r="S1018" t="s">
        <v>36</v>
      </c>
      <c r="T1018" t="s">
        <v>36</v>
      </c>
      <c r="U1018">
        <v>0</v>
      </c>
      <c r="V1018">
        <v>0</v>
      </c>
      <c r="W1018">
        <v>1</v>
      </c>
      <c r="X1018">
        <v>1</v>
      </c>
      <c r="Y1018">
        <v>0</v>
      </c>
      <c r="Z1018">
        <v>1</v>
      </c>
      <c r="AA1018">
        <v>0</v>
      </c>
      <c r="AB1018">
        <v>0</v>
      </c>
      <c r="AC1018">
        <v>0</v>
      </c>
      <c r="AD1018">
        <v>0</v>
      </c>
      <c r="AE1018">
        <v>1</v>
      </c>
      <c r="AF1018">
        <v>0</v>
      </c>
      <c r="AG1018">
        <v>0</v>
      </c>
    </row>
    <row r="1019" spans="1:33" x14ac:dyDescent="0.2">
      <c r="A1019">
        <v>1018</v>
      </c>
      <c r="B1019" t="s">
        <v>350</v>
      </c>
      <c r="C1019" t="s">
        <v>33</v>
      </c>
      <c r="D1019">
        <v>29</v>
      </c>
      <c r="E1019" t="s">
        <v>34</v>
      </c>
      <c r="F1019" t="s">
        <v>41</v>
      </c>
      <c r="G1019" t="s">
        <v>67</v>
      </c>
      <c r="H1019">
        <v>20572</v>
      </c>
      <c r="I1019">
        <v>0</v>
      </c>
      <c r="J1019">
        <v>0</v>
      </c>
      <c r="K1019">
        <v>1</v>
      </c>
      <c r="L1019">
        <v>0</v>
      </c>
      <c r="M1019" t="s">
        <v>70</v>
      </c>
      <c r="N1019" t="s">
        <v>68</v>
      </c>
      <c r="O1019" t="s">
        <v>69</v>
      </c>
      <c r="P1019" t="s">
        <v>37</v>
      </c>
      <c r="Q1019" t="s">
        <v>47</v>
      </c>
      <c r="R1019" t="s">
        <v>65</v>
      </c>
      <c r="S1019" t="s">
        <v>48</v>
      </c>
      <c r="T1019">
        <v>0</v>
      </c>
      <c r="U1019">
        <v>1</v>
      </c>
      <c r="V1019">
        <v>1</v>
      </c>
      <c r="W1019">
        <v>1</v>
      </c>
      <c r="X1019">
        <v>0</v>
      </c>
      <c r="Y1019">
        <v>0</v>
      </c>
      <c r="Z1019">
        <v>1</v>
      </c>
      <c r="AA1019">
        <v>0</v>
      </c>
      <c r="AB1019">
        <v>0</v>
      </c>
      <c r="AC1019">
        <v>1</v>
      </c>
      <c r="AD1019">
        <v>0</v>
      </c>
      <c r="AE1019">
        <v>0</v>
      </c>
      <c r="AF1019">
        <v>0</v>
      </c>
      <c r="AG1019">
        <v>0</v>
      </c>
    </row>
    <row r="1020" spans="1:33" hidden="1" x14ac:dyDescent="0.2">
      <c r="A1020">
        <v>1019</v>
      </c>
      <c r="B1020" t="s">
        <v>350</v>
      </c>
      <c r="C1020" t="s">
        <v>33</v>
      </c>
      <c r="D1020">
        <v>29</v>
      </c>
      <c r="E1020" t="s">
        <v>34</v>
      </c>
      <c r="F1020" t="s">
        <v>53</v>
      </c>
      <c r="G1020" t="s">
        <v>54</v>
      </c>
      <c r="H1020">
        <v>3341</v>
      </c>
      <c r="I1020">
        <v>0</v>
      </c>
      <c r="J1020">
        <v>0</v>
      </c>
      <c r="K1020">
        <v>1</v>
      </c>
      <c r="L1020">
        <v>0</v>
      </c>
      <c r="M1020" t="s">
        <v>36</v>
      </c>
      <c r="N1020" t="s">
        <v>36</v>
      </c>
      <c r="O1020" t="s">
        <v>36</v>
      </c>
      <c r="P1020" t="s">
        <v>37</v>
      </c>
      <c r="Q1020" t="s">
        <v>36</v>
      </c>
      <c r="R1020" t="s">
        <v>36</v>
      </c>
      <c r="S1020" t="s">
        <v>36</v>
      </c>
      <c r="T1020" t="s">
        <v>36</v>
      </c>
      <c r="U1020">
        <v>1</v>
      </c>
      <c r="V1020">
        <v>1</v>
      </c>
      <c r="W1020">
        <v>1</v>
      </c>
      <c r="X1020">
        <v>0</v>
      </c>
      <c r="Y1020">
        <v>0</v>
      </c>
      <c r="Z1020">
        <v>1</v>
      </c>
      <c r="AA1020">
        <v>0</v>
      </c>
      <c r="AB1020">
        <v>0</v>
      </c>
      <c r="AC1020">
        <v>1</v>
      </c>
      <c r="AD1020">
        <v>0</v>
      </c>
      <c r="AE1020">
        <v>0</v>
      </c>
      <c r="AF1020">
        <v>0</v>
      </c>
      <c r="AG1020">
        <v>0</v>
      </c>
    </row>
    <row r="1021" spans="1:33" x14ac:dyDescent="0.2">
      <c r="A1021">
        <v>1020</v>
      </c>
      <c r="B1021" t="s">
        <v>350</v>
      </c>
      <c r="C1021" t="s">
        <v>33</v>
      </c>
      <c r="D1021">
        <v>29</v>
      </c>
      <c r="E1021" t="s">
        <v>34</v>
      </c>
      <c r="F1021" t="s">
        <v>41</v>
      </c>
      <c r="G1021" t="s">
        <v>49</v>
      </c>
      <c r="H1021">
        <v>7744</v>
      </c>
      <c r="I1021">
        <v>1</v>
      </c>
      <c r="J1021">
        <v>0</v>
      </c>
      <c r="K1021">
        <v>0</v>
      </c>
      <c r="L1021">
        <v>0</v>
      </c>
      <c r="M1021" t="s">
        <v>52</v>
      </c>
      <c r="N1021" t="s">
        <v>50</v>
      </c>
      <c r="O1021" t="s">
        <v>83</v>
      </c>
      <c r="P1021" t="s">
        <v>37</v>
      </c>
      <c r="Q1021" t="s">
        <v>46</v>
      </c>
      <c r="R1021" t="s">
        <v>48</v>
      </c>
      <c r="S1021" t="s">
        <v>59</v>
      </c>
      <c r="T1021">
        <v>0</v>
      </c>
      <c r="U1021">
        <v>0</v>
      </c>
      <c r="V1021">
        <v>1</v>
      </c>
      <c r="W1021">
        <v>0</v>
      </c>
      <c r="X1021">
        <v>1</v>
      </c>
      <c r="Y1021">
        <v>0</v>
      </c>
      <c r="Z1021">
        <v>1</v>
      </c>
      <c r="AA1021">
        <v>0</v>
      </c>
      <c r="AB1021">
        <v>0</v>
      </c>
      <c r="AC1021">
        <v>0</v>
      </c>
      <c r="AD1021">
        <v>0</v>
      </c>
      <c r="AE1021">
        <v>1</v>
      </c>
      <c r="AF1021">
        <v>0</v>
      </c>
      <c r="AG1021">
        <v>0</v>
      </c>
    </row>
    <row r="1022" spans="1:33" hidden="1" x14ac:dyDescent="0.2">
      <c r="A1022">
        <v>1021</v>
      </c>
      <c r="B1022" t="s">
        <v>350</v>
      </c>
      <c r="C1022" t="s">
        <v>33</v>
      </c>
      <c r="D1022">
        <v>29</v>
      </c>
      <c r="E1022" t="s">
        <v>34</v>
      </c>
      <c r="F1022" t="s">
        <v>53</v>
      </c>
      <c r="G1022" t="s">
        <v>76</v>
      </c>
      <c r="H1022">
        <v>2901</v>
      </c>
      <c r="I1022">
        <v>0</v>
      </c>
      <c r="J1022">
        <v>1</v>
      </c>
      <c r="K1022">
        <v>0</v>
      </c>
      <c r="L1022">
        <v>0</v>
      </c>
      <c r="M1022" t="s">
        <v>36</v>
      </c>
      <c r="N1022" t="s">
        <v>36</v>
      </c>
      <c r="O1022" t="s">
        <v>36</v>
      </c>
      <c r="P1022" t="s">
        <v>37</v>
      </c>
      <c r="Q1022" t="s">
        <v>36</v>
      </c>
      <c r="R1022" t="s">
        <v>36</v>
      </c>
      <c r="S1022" t="s">
        <v>36</v>
      </c>
      <c r="T1022" t="s">
        <v>36</v>
      </c>
      <c r="U1022">
        <v>0</v>
      </c>
      <c r="V1022">
        <v>1</v>
      </c>
      <c r="W1022">
        <v>0</v>
      </c>
      <c r="X1022">
        <v>1</v>
      </c>
      <c r="Y1022">
        <v>0</v>
      </c>
      <c r="Z1022">
        <v>1</v>
      </c>
      <c r="AA1022">
        <v>0</v>
      </c>
      <c r="AB1022">
        <v>0</v>
      </c>
      <c r="AC1022">
        <v>0</v>
      </c>
      <c r="AD1022">
        <v>0</v>
      </c>
      <c r="AE1022">
        <v>1</v>
      </c>
      <c r="AF1022">
        <v>0</v>
      </c>
      <c r="AG1022">
        <v>0</v>
      </c>
    </row>
    <row r="1023" spans="1:33" hidden="1" x14ac:dyDescent="0.2">
      <c r="A1023">
        <v>1022</v>
      </c>
      <c r="B1023" t="s">
        <v>350</v>
      </c>
      <c r="C1023" t="s">
        <v>33</v>
      </c>
      <c r="D1023">
        <v>29</v>
      </c>
      <c r="E1023" t="s">
        <v>34</v>
      </c>
      <c r="F1023" t="s">
        <v>77</v>
      </c>
      <c r="G1023" t="s">
        <v>36</v>
      </c>
      <c r="H1023">
        <v>12406</v>
      </c>
      <c r="L1023" t="s">
        <v>36</v>
      </c>
      <c r="M1023" t="s">
        <v>36</v>
      </c>
      <c r="N1023" t="s">
        <v>36</v>
      </c>
      <c r="O1023" t="s">
        <v>36</v>
      </c>
      <c r="P1023" t="s">
        <v>37</v>
      </c>
      <c r="Q1023" t="s">
        <v>36</v>
      </c>
      <c r="R1023" t="s">
        <v>36</v>
      </c>
      <c r="S1023" t="s">
        <v>36</v>
      </c>
      <c r="T1023" t="s">
        <v>36</v>
      </c>
      <c r="U1023" t="s">
        <v>36</v>
      </c>
      <c r="V1023" t="s">
        <v>36</v>
      </c>
      <c r="W1023" t="s">
        <v>36</v>
      </c>
      <c r="X1023" t="s">
        <v>36</v>
      </c>
      <c r="Y1023" t="s">
        <v>36</v>
      </c>
      <c r="Z1023" t="s">
        <v>36</v>
      </c>
      <c r="AA1023" t="s">
        <v>36</v>
      </c>
      <c r="AB1023" t="s">
        <v>36</v>
      </c>
      <c r="AC1023" t="s">
        <v>36</v>
      </c>
      <c r="AD1023" t="s">
        <v>36</v>
      </c>
      <c r="AE1023" t="s">
        <v>36</v>
      </c>
      <c r="AF1023" t="s">
        <v>36</v>
      </c>
      <c r="AG1023" t="s">
        <v>36</v>
      </c>
    </row>
    <row r="1024" spans="1:33" hidden="1" x14ac:dyDescent="0.2">
      <c r="A1024">
        <v>1023</v>
      </c>
      <c r="B1024" t="s">
        <v>351</v>
      </c>
      <c r="C1024" t="s">
        <v>108</v>
      </c>
      <c r="D1024">
        <v>36</v>
      </c>
      <c r="E1024" t="s">
        <v>114</v>
      </c>
      <c r="F1024" t="s">
        <v>35</v>
      </c>
      <c r="G1024" t="s">
        <v>36</v>
      </c>
      <c r="H1024">
        <v>31603</v>
      </c>
      <c r="I1024" t="s">
        <v>36</v>
      </c>
      <c r="J1024" t="s">
        <v>36</v>
      </c>
      <c r="K1024" t="s">
        <v>36</v>
      </c>
      <c r="L1024" t="s">
        <v>36</v>
      </c>
      <c r="M1024" t="s">
        <v>36</v>
      </c>
      <c r="N1024" t="s">
        <v>36</v>
      </c>
      <c r="O1024" t="s">
        <v>36</v>
      </c>
      <c r="P1024" t="s">
        <v>37</v>
      </c>
      <c r="Q1024" t="s">
        <v>36</v>
      </c>
      <c r="R1024" t="s">
        <v>36</v>
      </c>
      <c r="S1024" t="s">
        <v>36</v>
      </c>
      <c r="T1024" t="s">
        <v>36</v>
      </c>
      <c r="U1024" t="s">
        <v>36</v>
      </c>
      <c r="V1024" t="s">
        <v>36</v>
      </c>
      <c r="W1024" t="s">
        <v>36</v>
      </c>
      <c r="X1024" t="s">
        <v>36</v>
      </c>
      <c r="Y1024" t="s">
        <v>36</v>
      </c>
      <c r="Z1024" t="s">
        <v>36</v>
      </c>
      <c r="AA1024" t="s">
        <v>36</v>
      </c>
      <c r="AB1024" t="s">
        <v>36</v>
      </c>
      <c r="AC1024" t="s">
        <v>36</v>
      </c>
      <c r="AD1024" t="s">
        <v>36</v>
      </c>
      <c r="AE1024" t="s">
        <v>36</v>
      </c>
      <c r="AF1024" t="s">
        <v>36</v>
      </c>
      <c r="AG1024" t="s">
        <v>36</v>
      </c>
    </row>
    <row r="1025" spans="1:33" hidden="1" x14ac:dyDescent="0.2">
      <c r="A1025">
        <v>1024</v>
      </c>
      <c r="B1025" t="s">
        <v>351</v>
      </c>
      <c r="C1025" t="s">
        <v>108</v>
      </c>
      <c r="D1025">
        <v>36</v>
      </c>
      <c r="E1025" t="s">
        <v>114</v>
      </c>
      <c r="F1025" t="s">
        <v>38</v>
      </c>
      <c r="G1025" t="s">
        <v>39</v>
      </c>
      <c r="H1025">
        <v>33423</v>
      </c>
      <c r="I1025">
        <v>0</v>
      </c>
      <c r="J1025">
        <v>0</v>
      </c>
      <c r="K1025">
        <v>0</v>
      </c>
      <c r="L1025">
        <v>1</v>
      </c>
      <c r="M1025" t="s">
        <v>36</v>
      </c>
      <c r="N1025" t="s">
        <v>36</v>
      </c>
      <c r="O1025" t="s">
        <v>36</v>
      </c>
      <c r="P1025" t="s">
        <v>37</v>
      </c>
      <c r="Q1025" t="s">
        <v>36</v>
      </c>
      <c r="R1025" t="s">
        <v>36</v>
      </c>
      <c r="S1025" t="s">
        <v>36</v>
      </c>
      <c r="T1025" t="s">
        <v>36</v>
      </c>
      <c r="U1025" t="s">
        <v>36</v>
      </c>
      <c r="V1025" t="s">
        <v>36</v>
      </c>
      <c r="W1025" t="s">
        <v>36</v>
      </c>
      <c r="X1025" t="s">
        <v>36</v>
      </c>
      <c r="Y1025" t="s">
        <v>36</v>
      </c>
      <c r="Z1025" t="s">
        <v>36</v>
      </c>
      <c r="AA1025" t="s">
        <v>36</v>
      </c>
      <c r="AB1025" t="s">
        <v>36</v>
      </c>
      <c r="AC1025" t="s">
        <v>36</v>
      </c>
      <c r="AD1025" t="s">
        <v>36</v>
      </c>
      <c r="AE1025" t="s">
        <v>36</v>
      </c>
      <c r="AF1025" t="s">
        <v>36</v>
      </c>
      <c r="AG1025" t="s">
        <v>36</v>
      </c>
    </row>
    <row r="1026" spans="1:33" hidden="1" x14ac:dyDescent="0.2">
      <c r="A1026">
        <v>1025</v>
      </c>
      <c r="B1026" t="s">
        <v>351</v>
      </c>
      <c r="C1026" t="s">
        <v>108</v>
      </c>
      <c r="D1026">
        <v>36</v>
      </c>
      <c r="E1026" t="s">
        <v>114</v>
      </c>
      <c r="F1026" t="s">
        <v>38</v>
      </c>
      <c r="G1026" t="s">
        <v>40</v>
      </c>
      <c r="H1026">
        <v>45056</v>
      </c>
      <c r="I1026">
        <v>0</v>
      </c>
      <c r="J1026">
        <v>0</v>
      </c>
      <c r="K1026">
        <v>1</v>
      </c>
      <c r="L1026">
        <v>0</v>
      </c>
      <c r="M1026" t="s">
        <v>36</v>
      </c>
      <c r="N1026" t="s">
        <v>36</v>
      </c>
      <c r="O1026" t="s">
        <v>36</v>
      </c>
      <c r="P1026" t="s">
        <v>37</v>
      </c>
      <c r="Q1026" t="s">
        <v>36</v>
      </c>
      <c r="R1026" t="s">
        <v>36</v>
      </c>
      <c r="S1026" t="s">
        <v>36</v>
      </c>
      <c r="T1026" t="s">
        <v>36</v>
      </c>
      <c r="U1026" t="s">
        <v>36</v>
      </c>
      <c r="V1026" t="s">
        <v>36</v>
      </c>
      <c r="W1026" t="s">
        <v>36</v>
      </c>
      <c r="X1026" t="s">
        <v>36</v>
      </c>
      <c r="Y1026" t="s">
        <v>36</v>
      </c>
      <c r="Z1026" t="s">
        <v>36</v>
      </c>
      <c r="AA1026" t="s">
        <v>36</v>
      </c>
      <c r="AB1026" t="s">
        <v>36</v>
      </c>
      <c r="AC1026" t="s">
        <v>36</v>
      </c>
      <c r="AD1026" t="s">
        <v>36</v>
      </c>
      <c r="AE1026" t="s">
        <v>36</v>
      </c>
      <c r="AF1026" t="s">
        <v>36</v>
      </c>
      <c r="AG1026" t="s">
        <v>36</v>
      </c>
    </row>
    <row r="1027" spans="1:33" x14ac:dyDescent="0.2">
      <c r="A1027">
        <v>1026</v>
      </c>
      <c r="B1027" t="s">
        <v>351</v>
      </c>
      <c r="C1027" t="s">
        <v>108</v>
      </c>
      <c r="D1027">
        <v>36</v>
      </c>
      <c r="E1027" t="s">
        <v>114</v>
      </c>
      <c r="F1027" t="s">
        <v>41</v>
      </c>
      <c r="G1027" t="s">
        <v>61</v>
      </c>
      <c r="H1027">
        <v>53778</v>
      </c>
      <c r="I1027">
        <v>1</v>
      </c>
      <c r="J1027">
        <v>1</v>
      </c>
      <c r="K1027">
        <v>1</v>
      </c>
      <c r="L1027">
        <v>0</v>
      </c>
      <c r="M1027" t="s">
        <v>62</v>
      </c>
      <c r="N1027" t="s">
        <v>64</v>
      </c>
      <c r="O1027" t="s">
        <v>87</v>
      </c>
      <c r="P1027" t="s">
        <v>37</v>
      </c>
      <c r="Q1027" t="s">
        <v>65</v>
      </c>
      <c r="R1027" t="s">
        <v>48</v>
      </c>
      <c r="S1027" t="s">
        <v>47</v>
      </c>
      <c r="T1027">
        <v>0</v>
      </c>
      <c r="U1027">
        <v>1</v>
      </c>
      <c r="V1027">
        <v>1</v>
      </c>
      <c r="W1027">
        <v>1</v>
      </c>
      <c r="X1027">
        <v>0</v>
      </c>
      <c r="Y1027">
        <v>0</v>
      </c>
      <c r="Z1027">
        <v>1</v>
      </c>
      <c r="AA1027">
        <v>0</v>
      </c>
      <c r="AB1027">
        <v>1</v>
      </c>
      <c r="AC1027">
        <v>1</v>
      </c>
      <c r="AD1027">
        <v>1</v>
      </c>
      <c r="AE1027">
        <v>0</v>
      </c>
      <c r="AF1027">
        <v>0</v>
      </c>
      <c r="AG1027">
        <v>0</v>
      </c>
    </row>
    <row r="1028" spans="1:33" x14ac:dyDescent="0.2">
      <c r="A1028">
        <v>1027</v>
      </c>
      <c r="B1028" t="s">
        <v>351</v>
      </c>
      <c r="C1028" t="s">
        <v>108</v>
      </c>
      <c r="D1028">
        <v>36</v>
      </c>
      <c r="E1028" t="s">
        <v>114</v>
      </c>
      <c r="F1028" t="s">
        <v>41</v>
      </c>
      <c r="G1028" t="s">
        <v>72</v>
      </c>
      <c r="H1028">
        <v>38511</v>
      </c>
      <c r="I1028">
        <v>1</v>
      </c>
      <c r="J1028">
        <v>1</v>
      </c>
      <c r="K1028">
        <v>1</v>
      </c>
      <c r="L1028">
        <v>0</v>
      </c>
      <c r="M1028" t="s">
        <v>74</v>
      </c>
      <c r="N1028" t="s">
        <v>73</v>
      </c>
      <c r="O1028" t="s">
        <v>93</v>
      </c>
      <c r="P1028" t="s">
        <v>37</v>
      </c>
      <c r="Q1028" t="s">
        <v>47</v>
      </c>
      <c r="R1028" t="s">
        <v>48</v>
      </c>
      <c r="S1028" t="s">
        <v>59</v>
      </c>
      <c r="T1028">
        <v>0</v>
      </c>
      <c r="U1028">
        <v>0</v>
      </c>
      <c r="V1028">
        <v>1</v>
      </c>
      <c r="W1028">
        <v>1</v>
      </c>
      <c r="X1028">
        <v>0</v>
      </c>
      <c r="Y1028">
        <v>0</v>
      </c>
      <c r="Z1028">
        <v>1</v>
      </c>
      <c r="AA1028">
        <v>0</v>
      </c>
      <c r="AB1028">
        <v>0</v>
      </c>
      <c r="AC1028">
        <v>1</v>
      </c>
      <c r="AD1028">
        <v>1</v>
      </c>
      <c r="AE1028">
        <v>0</v>
      </c>
      <c r="AF1028">
        <v>0</v>
      </c>
      <c r="AG1028">
        <v>0</v>
      </c>
    </row>
    <row r="1029" spans="1:33" hidden="1" x14ac:dyDescent="0.2">
      <c r="A1029">
        <v>1028</v>
      </c>
      <c r="B1029" t="s">
        <v>351</v>
      </c>
      <c r="C1029" t="s">
        <v>108</v>
      </c>
      <c r="D1029">
        <v>36</v>
      </c>
      <c r="E1029" t="s">
        <v>114</v>
      </c>
      <c r="F1029" t="s">
        <v>53</v>
      </c>
      <c r="G1029" t="s">
        <v>76</v>
      </c>
      <c r="H1029">
        <v>20842</v>
      </c>
      <c r="I1029">
        <v>1</v>
      </c>
      <c r="J1029">
        <v>0</v>
      </c>
      <c r="K1029">
        <v>0</v>
      </c>
      <c r="L1029">
        <v>0</v>
      </c>
      <c r="M1029" t="s">
        <v>36</v>
      </c>
      <c r="N1029" t="s">
        <v>36</v>
      </c>
      <c r="O1029" t="s">
        <v>36</v>
      </c>
      <c r="P1029" t="s">
        <v>37</v>
      </c>
      <c r="Q1029" t="s">
        <v>36</v>
      </c>
      <c r="R1029" t="s">
        <v>36</v>
      </c>
      <c r="S1029" t="s">
        <v>36</v>
      </c>
      <c r="T1029" t="s">
        <v>36</v>
      </c>
      <c r="U1029">
        <v>0</v>
      </c>
      <c r="V1029">
        <v>1</v>
      </c>
      <c r="W1029">
        <v>1</v>
      </c>
      <c r="X1029">
        <v>0</v>
      </c>
      <c r="Y1029">
        <v>0</v>
      </c>
      <c r="Z1029">
        <v>1</v>
      </c>
      <c r="AA1029">
        <v>0</v>
      </c>
      <c r="AB1029">
        <v>0</v>
      </c>
      <c r="AC1029">
        <v>1</v>
      </c>
      <c r="AD1029">
        <v>1</v>
      </c>
      <c r="AE1029">
        <v>0</v>
      </c>
      <c r="AF1029">
        <v>0</v>
      </c>
      <c r="AG1029">
        <v>0</v>
      </c>
    </row>
    <row r="1030" spans="1:33" x14ac:dyDescent="0.2">
      <c r="A1030">
        <v>1029</v>
      </c>
      <c r="B1030" t="s">
        <v>351</v>
      </c>
      <c r="C1030" t="s">
        <v>108</v>
      </c>
      <c r="D1030">
        <v>36</v>
      </c>
      <c r="E1030" t="s">
        <v>114</v>
      </c>
      <c r="F1030" t="s">
        <v>41</v>
      </c>
      <c r="G1030" t="s">
        <v>55</v>
      </c>
      <c r="H1030">
        <v>36594</v>
      </c>
      <c r="I1030">
        <v>1</v>
      </c>
      <c r="J1030">
        <v>1</v>
      </c>
      <c r="K1030">
        <v>1</v>
      </c>
      <c r="L1030">
        <v>0</v>
      </c>
      <c r="M1030" t="s">
        <v>56</v>
      </c>
      <c r="N1030" t="s">
        <v>94</v>
      </c>
      <c r="O1030" t="s">
        <v>58</v>
      </c>
      <c r="P1030" t="s">
        <v>37</v>
      </c>
      <c r="Q1030" t="s">
        <v>59</v>
      </c>
      <c r="R1030" t="s">
        <v>47</v>
      </c>
      <c r="S1030" t="s">
        <v>60</v>
      </c>
      <c r="T1030">
        <v>1</v>
      </c>
      <c r="U1030">
        <v>0</v>
      </c>
      <c r="V1030">
        <v>0</v>
      </c>
      <c r="W1030">
        <v>1</v>
      </c>
      <c r="X1030">
        <v>0</v>
      </c>
      <c r="Y1030">
        <v>0</v>
      </c>
      <c r="Z1030">
        <v>1</v>
      </c>
      <c r="AA1030">
        <v>1</v>
      </c>
      <c r="AB1030">
        <v>0</v>
      </c>
      <c r="AC1030">
        <v>0</v>
      </c>
      <c r="AD1030">
        <v>1</v>
      </c>
      <c r="AE1030">
        <v>0</v>
      </c>
      <c r="AF1030">
        <v>0</v>
      </c>
      <c r="AG1030">
        <v>0</v>
      </c>
    </row>
    <row r="1031" spans="1:33" x14ac:dyDescent="0.2">
      <c r="A1031">
        <v>1030</v>
      </c>
      <c r="B1031" t="s">
        <v>351</v>
      </c>
      <c r="C1031" t="s">
        <v>108</v>
      </c>
      <c r="D1031">
        <v>36</v>
      </c>
      <c r="E1031" t="s">
        <v>114</v>
      </c>
      <c r="F1031" t="s">
        <v>41</v>
      </c>
      <c r="G1031" t="s">
        <v>49</v>
      </c>
      <c r="H1031">
        <v>30839</v>
      </c>
      <c r="I1031">
        <v>1</v>
      </c>
      <c r="J1031">
        <v>1</v>
      </c>
      <c r="K1031">
        <v>1</v>
      </c>
      <c r="L1031">
        <v>0</v>
      </c>
      <c r="M1031" t="s">
        <v>51</v>
      </c>
      <c r="N1031" t="s">
        <v>52</v>
      </c>
      <c r="O1031" t="s">
        <v>96</v>
      </c>
      <c r="P1031" t="s">
        <v>37</v>
      </c>
      <c r="Q1031" t="s">
        <v>47</v>
      </c>
      <c r="R1031" t="s">
        <v>46</v>
      </c>
      <c r="S1031" t="s">
        <v>65</v>
      </c>
      <c r="T1031">
        <v>0</v>
      </c>
      <c r="U1031">
        <v>1</v>
      </c>
      <c r="V1031">
        <v>0</v>
      </c>
      <c r="W1031">
        <v>1</v>
      </c>
      <c r="X1031">
        <v>1</v>
      </c>
      <c r="Y1031">
        <v>0</v>
      </c>
      <c r="Z1031">
        <v>1</v>
      </c>
      <c r="AA1031">
        <v>0</v>
      </c>
      <c r="AB1031">
        <v>1</v>
      </c>
      <c r="AC1031">
        <v>0</v>
      </c>
      <c r="AD1031">
        <v>1</v>
      </c>
      <c r="AE1031">
        <v>1</v>
      </c>
      <c r="AF1031">
        <v>0</v>
      </c>
      <c r="AG1031">
        <v>0</v>
      </c>
    </row>
    <row r="1032" spans="1:33" hidden="1" x14ac:dyDescent="0.2">
      <c r="A1032">
        <v>1031</v>
      </c>
      <c r="B1032" t="s">
        <v>351</v>
      </c>
      <c r="C1032" t="s">
        <v>108</v>
      </c>
      <c r="D1032">
        <v>36</v>
      </c>
      <c r="E1032" t="s">
        <v>114</v>
      </c>
      <c r="F1032" t="s">
        <v>53</v>
      </c>
      <c r="G1032" t="s">
        <v>66</v>
      </c>
      <c r="H1032">
        <v>27830</v>
      </c>
      <c r="I1032">
        <v>1</v>
      </c>
      <c r="J1032">
        <v>0</v>
      </c>
      <c r="K1032">
        <v>0</v>
      </c>
      <c r="L1032">
        <v>0</v>
      </c>
      <c r="M1032" t="s">
        <v>36</v>
      </c>
      <c r="N1032" t="s">
        <v>36</v>
      </c>
      <c r="O1032" t="s">
        <v>36</v>
      </c>
      <c r="P1032" t="s">
        <v>37</v>
      </c>
      <c r="Q1032" t="s">
        <v>36</v>
      </c>
      <c r="R1032" t="s">
        <v>36</v>
      </c>
      <c r="S1032" t="s">
        <v>36</v>
      </c>
      <c r="T1032" t="s">
        <v>36</v>
      </c>
      <c r="U1032">
        <v>1</v>
      </c>
      <c r="V1032">
        <v>0</v>
      </c>
      <c r="W1032">
        <v>1</v>
      </c>
      <c r="X1032">
        <v>1</v>
      </c>
      <c r="Y1032">
        <v>0</v>
      </c>
      <c r="Z1032">
        <v>1</v>
      </c>
      <c r="AA1032">
        <v>0</v>
      </c>
      <c r="AB1032">
        <v>1</v>
      </c>
      <c r="AC1032">
        <v>0</v>
      </c>
      <c r="AD1032">
        <v>1</v>
      </c>
      <c r="AE1032">
        <v>1</v>
      </c>
      <c r="AF1032">
        <v>0</v>
      </c>
      <c r="AG1032">
        <v>0</v>
      </c>
    </row>
    <row r="1033" spans="1:33" x14ac:dyDescent="0.2">
      <c r="A1033">
        <v>1032</v>
      </c>
      <c r="B1033" t="s">
        <v>351</v>
      </c>
      <c r="C1033" t="s">
        <v>108</v>
      </c>
      <c r="D1033">
        <v>36</v>
      </c>
      <c r="E1033" t="s">
        <v>114</v>
      </c>
      <c r="F1033" t="s">
        <v>41</v>
      </c>
      <c r="G1033" t="s">
        <v>42</v>
      </c>
      <c r="H1033">
        <v>15805</v>
      </c>
      <c r="I1033">
        <v>1</v>
      </c>
      <c r="J1033">
        <v>1</v>
      </c>
      <c r="K1033">
        <v>1</v>
      </c>
      <c r="L1033">
        <v>0</v>
      </c>
      <c r="M1033" t="s">
        <v>45</v>
      </c>
      <c r="N1033" t="s">
        <v>82</v>
      </c>
      <c r="O1033" t="s">
        <v>43</v>
      </c>
      <c r="P1033" t="s">
        <v>37</v>
      </c>
      <c r="Q1033" t="s">
        <v>48</v>
      </c>
      <c r="R1033" t="s">
        <v>65</v>
      </c>
      <c r="S1033" t="s">
        <v>46</v>
      </c>
      <c r="T1033">
        <v>0</v>
      </c>
      <c r="U1033">
        <v>1</v>
      </c>
      <c r="V1033">
        <v>1</v>
      </c>
      <c r="W1033">
        <v>0</v>
      </c>
      <c r="X1033">
        <v>1</v>
      </c>
      <c r="Y1033">
        <v>0</v>
      </c>
      <c r="Z1033">
        <v>1</v>
      </c>
      <c r="AA1033">
        <v>0</v>
      </c>
      <c r="AB1033">
        <v>1</v>
      </c>
      <c r="AC1033">
        <v>1</v>
      </c>
      <c r="AD1033">
        <v>0</v>
      </c>
      <c r="AE1033">
        <v>1</v>
      </c>
      <c r="AF1033">
        <v>0</v>
      </c>
      <c r="AG1033">
        <v>0</v>
      </c>
    </row>
    <row r="1034" spans="1:33" hidden="1" x14ac:dyDescent="0.2">
      <c r="A1034">
        <v>1033</v>
      </c>
      <c r="B1034" t="s">
        <v>351</v>
      </c>
      <c r="C1034" t="s">
        <v>108</v>
      </c>
      <c r="D1034">
        <v>36</v>
      </c>
      <c r="E1034" t="s">
        <v>114</v>
      </c>
      <c r="F1034" t="s">
        <v>53</v>
      </c>
      <c r="G1034" t="s">
        <v>71</v>
      </c>
      <c r="H1034">
        <v>31305</v>
      </c>
      <c r="I1034">
        <v>0</v>
      </c>
      <c r="J1034">
        <v>0</v>
      </c>
      <c r="K1034">
        <v>0</v>
      </c>
      <c r="L1034">
        <v>1</v>
      </c>
      <c r="M1034" t="s">
        <v>36</v>
      </c>
      <c r="N1034" t="s">
        <v>36</v>
      </c>
      <c r="O1034" t="s">
        <v>36</v>
      </c>
      <c r="P1034" t="s">
        <v>37</v>
      </c>
      <c r="Q1034" t="s">
        <v>36</v>
      </c>
      <c r="R1034" t="s">
        <v>36</v>
      </c>
      <c r="S1034" t="s">
        <v>36</v>
      </c>
      <c r="T1034" t="s">
        <v>36</v>
      </c>
      <c r="U1034">
        <v>1</v>
      </c>
      <c r="V1034">
        <v>1</v>
      </c>
      <c r="W1034">
        <v>0</v>
      </c>
      <c r="X1034">
        <v>1</v>
      </c>
      <c r="Y1034">
        <v>0</v>
      </c>
      <c r="Z1034">
        <v>1</v>
      </c>
      <c r="AA1034">
        <v>0</v>
      </c>
      <c r="AB1034">
        <v>1</v>
      </c>
      <c r="AC1034">
        <v>1</v>
      </c>
      <c r="AD1034">
        <v>0</v>
      </c>
      <c r="AE1034">
        <v>1</v>
      </c>
      <c r="AF1034">
        <v>0</v>
      </c>
      <c r="AG1034">
        <v>0</v>
      </c>
    </row>
    <row r="1035" spans="1:33" x14ac:dyDescent="0.2">
      <c r="A1035">
        <v>1034</v>
      </c>
      <c r="B1035" t="s">
        <v>351</v>
      </c>
      <c r="C1035" t="s">
        <v>108</v>
      </c>
      <c r="D1035">
        <v>36</v>
      </c>
      <c r="E1035" t="s">
        <v>114</v>
      </c>
      <c r="F1035" t="s">
        <v>41</v>
      </c>
      <c r="G1035" t="s">
        <v>67</v>
      </c>
      <c r="H1035">
        <v>21882</v>
      </c>
      <c r="I1035">
        <v>1</v>
      </c>
      <c r="J1035">
        <v>1</v>
      </c>
      <c r="K1035">
        <v>1</v>
      </c>
      <c r="L1035">
        <v>0</v>
      </c>
      <c r="M1035" t="s">
        <v>109</v>
      </c>
      <c r="N1035" t="s">
        <v>70</v>
      </c>
      <c r="O1035" t="s">
        <v>86</v>
      </c>
      <c r="P1035" t="s">
        <v>37</v>
      </c>
      <c r="Q1035" t="s">
        <v>59</v>
      </c>
      <c r="R1035" t="s">
        <v>47</v>
      </c>
      <c r="S1035" t="s">
        <v>46</v>
      </c>
      <c r="T1035">
        <v>0</v>
      </c>
      <c r="U1035">
        <v>0</v>
      </c>
      <c r="V1035">
        <v>0</v>
      </c>
      <c r="W1035">
        <v>1</v>
      </c>
      <c r="X1035">
        <v>1</v>
      </c>
      <c r="Y1035">
        <v>0</v>
      </c>
      <c r="Z1035">
        <v>1</v>
      </c>
      <c r="AA1035">
        <v>0</v>
      </c>
      <c r="AB1035">
        <v>0</v>
      </c>
      <c r="AC1035">
        <v>0</v>
      </c>
      <c r="AD1035">
        <v>1</v>
      </c>
      <c r="AE1035">
        <v>1</v>
      </c>
      <c r="AF1035">
        <v>0</v>
      </c>
      <c r="AG1035">
        <v>0</v>
      </c>
    </row>
    <row r="1036" spans="1:33" hidden="1" x14ac:dyDescent="0.2">
      <c r="A1036">
        <v>1035</v>
      </c>
      <c r="B1036" t="s">
        <v>351</v>
      </c>
      <c r="C1036" t="s">
        <v>108</v>
      </c>
      <c r="D1036">
        <v>36</v>
      </c>
      <c r="E1036" t="s">
        <v>114</v>
      </c>
      <c r="F1036" t="s">
        <v>53</v>
      </c>
      <c r="G1036" t="s">
        <v>54</v>
      </c>
      <c r="H1036">
        <v>27883</v>
      </c>
      <c r="I1036">
        <v>0</v>
      </c>
      <c r="J1036">
        <v>0</v>
      </c>
      <c r="K1036">
        <v>1</v>
      </c>
      <c r="L1036">
        <v>0</v>
      </c>
      <c r="M1036" t="s">
        <v>36</v>
      </c>
      <c r="N1036" t="s">
        <v>36</v>
      </c>
      <c r="O1036" t="s">
        <v>36</v>
      </c>
      <c r="P1036" t="s">
        <v>37</v>
      </c>
      <c r="Q1036" t="s">
        <v>36</v>
      </c>
      <c r="R1036" t="s">
        <v>36</v>
      </c>
      <c r="S1036" t="s">
        <v>36</v>
      </c>
      <c r="T1036" t="s">
        <v>36</v>
      </c>
      <c r="U1036">
        <v>0</v>
      </c>
      <c r="V1036">
        <v>0</v>
      </c>
      <c r="W1036">
        <v>1</v>
      </c>
      <c r="X1036">
        <v>1</v>
      </c>
      <c r="Y1036">
        <v>0</v>
      </c>
      <c r="Z1036">
        <v>1</v>
      </c>
      <c r="AA1036">
        <v>0</v>
      </c>
      <c r="AB1036">
        <v>0</v>
      </c>
      <c r="AC1036">
        <v>0</v>
      </c>
      <c r="AD1036">
        <v>1</v>
      </c>
      <c r="AE1036">
        <v>1</v>
      </c>
      <c r="AF1036">
        <v>0</v>
      </c>
      <c r="AG1036">
        <v>0</v>
      </c>
    </row>
    <row r="1037" spans="1:33" hidden="1" x14ac:dyDescent="0.2">
      <c r="A1037">
        <v>1036</v>
      </c>
      <c r="B1037" t="s">
        <v>351</v>
      </c>
      <c r="C1037" t="s">
        <v>108</v>
      </c>
      <c r="D1037">
        <v>36</v>
      </c>
      <c r="E1037" t="s">
        <v>114</v>
      </c>
      <c r="F1037" t="s">
        <v>77</v>
      </c>
      <c r="G1037" t="s">
        <v>36</v>
      </c>
      <c r="H1037">
        <v>134709</v>
      </c>
      <c r="I1037" t="s">
        <v>352</v>
      </c>
      <c r="J1037" t="s">
        <v>353</v>
      </c>
      <c r="K1037" t="s">
        <v>112</v>
      </c>
      <c r="L1037" t="s">
        <v>36</v>
      </c>
      <c r="M1037" t="s">
        <v>36</v>
      </c>
      <c r="N1037" t="s">
        <v>36</v>
      </c>
      <c r="O1037" t="s">
        <v>36</v>
      </c>
      <c r="P1037" t="s">
        <v>37</v>
      </c>
      <c r="Q1037" t="s">
        <v>36</v>
      </c>
      <c r="R1037" t="s">
        <v>36</v>
      </c>
      <c r="S1037" t="s">
        <v>36</v>
      </c>
      <c r="T1037" t="s">
        <v>36</v>
      </c>
      <c r="U1037" t="s">
        <v>36</v>
      </c>
      <c r="V1037" t="s">
        <v>36</v>
      </c>
      <c r="W1037" t="s">
        <v>36</v>
      </c>
      <c r="X1037" t="s">
        <v>36</v>
      </c>
      <c r="Y1037" t="s">
        <v>36</v>
      </c>
      <c r="Z1037" t="s">
        <v>36</v>
      </c>
      <c r="AA1037" t="s">
        <v>36</v>
      </c>
      <c r="AB1037" t="s">
        <v>36</v>
      </c>
      <c r="AC1037" t="s">
        <v>36</v>
      </c>
      <c r="AD1037" t="s">
        <v>36</v>
      </c>
      <c r="AE1037" t="s">
        <v>36</v>
      </c>
      <c r="AF1037" t="s">
        <v>36</v>
      </c>
      <c r="AG1037" t="s">
        <v>36</v>
      </c>
    </row>
    <row r="1038" spans="1:33" hidden="1" x14ac:dyDescent="0.2">
      <c r="A1038">
        <v>1037</v>
      </c>
      <c r="B1038" t="s">
        <v>354</v>
      </c>
      <c r="C1038" t="s">
        <v>33</v>
      </c>
      <c r="D1038">
        <v>26</v>
      </c>
      <c r="E1038" t="s">
        <v>114</v>
      </c>
      <c r="F1038" t="s">
        <v>35</v>
      </c>
      <c r="G1038" t="s">
        <v>36</v>
      </c>
      <c r="H1038">
        <v>20095</v>
      </c>
      <c r="I1038" t="s">
        <v>36</v>
      </c>
      <c r="J1038" t="s">
        <v>36</v>
      </c>
      <c r="K1038" t="s">
        <v>36</v>
      </c>
      <c r="L1038" t="s">
        <v>36</v>
      </c>
      <c r="M1038" t="s">
        <v>36</v>
      </c>
      <c r="N1038" t="s">
        <v>36</v>
      </c>
      <c r="O1038" t="s">
        <v>36</v>
      </c>
      <c r="P1038" t="s">
        <v>37</v>
      </c>
      <c r="Q1038" t="s">
        <v>36</v>
      </c>
      <c r="R1038" t="s">
        <v>36</v>
      </c>
      <c r="S1038" t="s">
        <v>36</v>
      </c>
      <c r="T1038" t="s">
        <v>36</v>
      </c>
      <c r="U1038" t="s">
        <v>36</v>
      </c>
      <c r="V1038" t="s">
        <v>36</v>
      </c>
      <c r="W1038" t="s">
        <v>36</v>
      </c>
      <c r="X1038" t="s">
        <v>36</v>
      </c>
      <c r="Y1038" t="s">
        <v>36</v>
      </c>
      <c r="Z1038" t="s">
        <v>36</v>
      </c>
      <c r="AA1038" t="s">
        <v>36</v>
      </c>
      <c r="AB1038" t="s">
        <v>36</v>
      </c>
      <c r="AC1038" t="s">
        <v>36</v>
      </c>
      <c r="AD1038" t="s">
        <v>36</v>
      </c>
      <c r="AE1038" t="s">
        <v>36</v>
      </c>
      <c r="AF1038" t="s">
        <v>36</v>
      </c>
      <c r="AG1038" t="s">
        <v>36</v>
      </c>
    </row>
    <row r="1039" spans="1:33" hidden="1" x14ac:dyDescent="0.2">
      <c r="A1039">
        <v>1038</v>
      </c>
      <c r="B1039" t="s">
        <v>354</v>
      </c>
      <c r="C1039" t="s">
        <v>33</v>
      </c>
      <c r="D1039">
        <v>26</v>
      </c>
      <c r="E1039" t="s">
        <v>114</v>
      </c>
      <c r="F1039" t="s">
        <v>38</v>
      </c>
      <c r="G1039" t="s">
        <v>40</v>
      </c>
      <c r="H1039">
        <v>69483</v>
      </c>
      <c r="I1039">
        <v>0</v>
      </c>
      <c r="J1039">
        <v>0</v>
      </c>
      <c r="K1039">
        <v>1</v>
      </c>
      <c r="L1039">
        <v>0</v>
      </c>
      <c r="M1039" t="s">
        <v>36</v>
      </c>
      <c r="N1039" t="s">
        <v>36</v>
      </c>
      <c r="O1039" t="s">
        <v>36</v>
      </c>
      <c r="P1039" t="s">
        <v>37</v>
      </c>
      <c r="Q1039" t="s">
        <v>36</v>
      </c>
      <c r="R1039" t="s">
        <v>36</v>
      </c>
      <c r="S1039" t="s">
        <v>36</v>
      </c>
      <c r="T1039" t="s">
        <v>36</v>
      </c>
      <c r="U1039" t="s">
        <v>36</v>
      </c>
      <c r="V1039" t="s">
        <v>36</v>
      </c>
      <c r="W1039" t="s">
        <v>36</v>
      </c>
      <c r="X1039" t="s">
        <v>36</v>
      </c>
      <c r="Y1039" t="s">
        <v>36</v>
      </c>
      <c r="Z1039" t="s">
        <v>36</v>
      </c>
      <c r="AA1039" t="s">
        <v>36</v>
      </c>
      <c r="AB1039" t="s">
        <v>36</v>
      </c>
      <c r="AC1039" t="s">
        <v>36</v>
      </c>
      <c r="AD1039" t="s">
        <v>36</v>
      </c>
      <c r="AE1039" t="s">
        <v>36</v>
      </c>
      <c r="AF1039" t="s">
        <v>36</v>
      </c>
      <c r="AG1039" t="s">
        <v>36</v>
      </c>
    </row>
    <row r="1040" spans="1:33" hidden="1" x14ac:dyDescent="0.2">
      <c r="A1040">
        <v>1039</v>
      </c>
      <c r="B1040" t="s">
        <v>354</v>
      </c>
      <c r="C1040" t="s">
        <v>33</v>
      </c>
      <c r="D1040">
        <v>26</v>
      </c>
      <c r="E1040" t="s">
        <v>114</v>
      </c>
      <c r="F1040" t="s">
        <v>38</v>
      </c>
      <c r="G1040" t="s">
        <v>39</v>
      </c>
      <c r="H1040">
        <v>34671</v>
      </c>
      <c r="I1040">
        <v>0</v>
      </c>
      <c r="J1040">
        <v>0</v>
      </c>
      <c r="K1040">
        <v>0</v>
      </c>
      <c r="L1040">
        <v>1</v>
      </c>
      <c r="M1040" t="s">
        <v>36</v>
      </c>
      <c r="N1040" t="s">
        <v>36</v>
      </c>
      <c r="O1040" t="s">
        <v>36</v>
      </c>
      <c r="P1040" t="s">
        <v>37</v>
      </c>
      <c r="Q1040" t="s">
        <v>36</v>
      </c>
      <c r="R1040" t="s">
        <v>36</v>
      </c>
      <c r="S1040" t="s">
        <v>36</v>
      </c>
      <c r="T1040" t="s">
        <v>36</v>
      </c>
      <c r="U1040" t="s">
        <v>36</v>
      </c>
      <c r="V1040" t="s">
        <v>36</v>
      </c>
      <c r="W1040" t="s">
        <v>36</v>
      </c>
      <c r="X1040" t="s">
        <v>36</v>
      </c>
      <c r="Y1040" t="s">
        <v>36</v>
      </c>
      <c r="Z1040" t="s">
        <v>36</v>
      </c>
      <c r="AA1040" t="s">
        <v>36</v>
      </c>
      <c r="AB1040" t="s">
        <v>36</v>
      </c>
      <c r="AC1040" t="s">
        <v>36</v>
      </c>
      <c r="AD1040" t="s">
        <v>36</v>
      </c>
      <c r="AE1040" t="s">
        <v>36</v>
      </c>
      <c r="AF1040" t="s">
        <v>36</v>
      </c>
      <c r="AG1040" t="s">
        <v>36</v>
      </c>
    </row>
    <row r="1041" spans="1:33" x14ac:dyDescent="0.2">
      <c r="A1041">
        <v>1040</v>
      </c>
      <c r="B1041" t="s">
        <v>354</v>
      </c>
      <c r="C1041" t="s">
        <v>33</v>
      </c>
      <c r="D1041">
        <v>26</v>
      </c>
      <c r="E1041" t="s">
        <v>114</v>
      </c>
      <c r="F1041" t="s">
        <v>41</v>
      </c>
      <c r="G1041" t="s">
        <v>61</v>
      </c>
      <c r="H1041">
        <v>56817</v>
      </c>
      <c r="I1041">
        <v>0</v>
      </c>
      <c r="J1041">
        <v>0</v>
      </c>
      <c r="K1041">
        <v>0</v>
      </c>
      <c r="L1041">
        <v>1</v>
      </c>
      <c r="M1041" t="s">
        <v>97</v>
      </c>
      <c r="N1041" t="s">
        <v>64</v>
      </c>
      <c r="O1041" t="s">
        <v>62</v>
      </c>
      <c r="P1041" t="s">
        <v>37</v>
      </c>
      <c r="Q1041" t="s">
        <v>59</v>
      </c>
      <c r="R1041" t="s">
        <v>48</v>
      </c>
      <c r="S1041" t="s">
        <v>65</v>
      </c>
      <c r="T1041">
        <v>0</v>
      </c>
      <c r="U1041">
        <v>1</v>
      </c>
      <c r="V1041">
        <v>1</v>
      </c>
      <c r="W1041">
        <v>0</v>
      </c>
      <c r="X1041">
        <v>0</v>
      </c>
      <c r="Y1041">
        <v>0</v>
      </c>
      <c r="Z1041">
        <v>1</v>
      </c>
      <c r="AA1041">
        <v>0</v>
      </c>
      <c r="AB1041">
        <v>0</v>
      </c>
      <c r="AC1041">
        <v>0</v>
      </c>
      <c r="AD1041">
        <v>0</v>
      </c>
      <c r="AE1041">
        <v>0</v>
      </c>
      <c r="AF1041">
        <v>0</v>
      </c>
      <c r="AG1041">
        <v>1</v>
      </c>
    </row>
    <row r="1042" spans="1:33" x14ac:dyDescent="0.2">
      <c r="A1042">
        <v>1041</v>
      </c>
      <c r="B1042" t="s">
        <v>354</v>
      </c>
      <c r="C1042" t="s">
        <v>33</v>
      </c>
      <c r="D1042">
        <v>26</v>
      </c>
      <c r="E1042" t="s">
        <v>114</v>
      </c>
      <c r="F1042" t="s">
        <v>41</v>
      </c>
      <c r="G1042" t="s">
        <v>42</v>
      </c>
      <c r="H1042">
        <v>35532</v>
      </c>
      <c r="I1042">
        <v>1</v>
      </c>
      <c r="J1042">
        <v>0</v>
      </c>
      <c r="K1042">
        <v>0</v>
      </c>
      <c r="L1042">
        <v>0</v>
      </c>
      <c r="M1042" t="s">
        <v>82</v>
      </c>
      <c r="N1042" t="s">
        <v>45</v>
      </c>
      <c r="O1042" t="s">
        <v>43</v>
      </c>
      <c r="P1042" t="s">
        <v>37</v>
      </c>
      <c r="Q1042" t="s">
        <v>65</v>
      </c>
      <c r="R1042" t="s">
        <v>48</v>
      </c>
      <c r="S1042" t="s">
        <v>46</v>
      </c>
      <c r="T1042">
        <v>0</v>
      </c>
      <c r="U1042">
        <v>1</v>
      </c>
      <c r="V1042">
        <v>1</v>
      </c>
      <c r="W1042">
        <v>0</v>
      </c>
      <c r="X1042">
        <v>1</v>
      </c>
      <c r="Y1042">
        <v>0</v>
      </c>
      <c r="Z1042">
        <v>1</v>
      </c>
      <c r="AA1042">
        <v>0</v>
      </c>
      <c r="AB1042">
        <v>1</v>
      </c>
      <c r="AC1042">
        <v>0</v>
      </c>
      <c r="AD1042">
        <v>0</v>
      </c>
      <c r="AE1042">
        <v>0</v>
      </c>
      <c r="AF1042">
        <v>0</v>
      </c>
      <c r="AG1042">
        <v>0</v>
      </c>
    </row>
    <row r="1043" spans="1:33" hidden="1" x14ac:dyDescent="0.2">
      <c r="A1043">
        <v>1042</v>
      </c>
      <c r="B1043" t="s">
        <v>354</v>
      </c>
      <c r="C1043" t="s">
        <v>33</v>
      </c>
      <c r="D1043">
        <v>26</v>
      </c>
      <c r="E1043" t="s">
        <v>114</v>
      </c>
      <c r="F1043" t="s">
        <v>53</v>
      </c>
      <c r="G1043" t="s">
        <v>54</v>
      </c>
      <c r="H1043">
        <v>45426</v>
      </c>
      <c r="I1043">
        <v>0</v>
      </c>
      <c r="J1043">
        <v>0</v>
      </c>
      <c r="K1043">
        <v>1</v>
      </c>
      <c r="L1043">
        <v>0</v>
      </c>
      <c r="M1043" t="s">
        <v>36</v>
      </c>
      <c r="N1043" t="s">
        <v>36</v>
      </c>
      <c r="O1043" t="s">
        <v>36</v>
      </c>
      <c r="P1043" t="s">
        <v>37</v>
      </c>
      <c r="Q1043" t="s">
        <v>36</v>
      </c>
      <c r="R1043" t="s">
        <v>36</v>
      </c>
      <c r="S1043" t="s">
        <v>36</v>
      </c>
      <c r="T1043" t="s">
        <v>36</v>
      </c>
      <c r="U1043">
        <v>1</v>
      </c>
      <c r="V1043">
        <v>1</v>
      </c>
      <c r="W1043">
        <v>0</v>
      </c>
      <c r="X1043">
        <v>1</v>
      </c>
      <c r="Y1043">
        <v>0</v>
      </c>
      <c r="Z1043">
        <v>1</v>
      </c>
      <c r="AA1043">
        <v>0</v>
      </c>
      <c r="AB1043">
        <v>1</v>
      </c>
      <c r="AC1043">
        <v>0</v>
      </c>
      <c r="AD1043">
        <v>0</v>
      </c>
      <c r="AE1043">
        <v>0</v>
      </c>
      <c r="AF1043">
        <v>0</v>
      </c>
      <c r="AG1043">
        <v>0</v>
      </c>
    </row>
    <row r="1044" spans="1:33" x14ac:dyDescent="0.2">
      <c r="A1044">
        <v>1043</v>
      </c>
      <c r="B1044" t="s">
        <v>354</v>
      </c>
      <c r="C1044" t="s">
        <v>33</v>
      </c>
      <c r="D1044">
        <v>26</v>
      </c>
      <c r="E1044" t="s">
        <v>114</v>
      </c>
      <c r="F1044" t="s">
        <v>41</v>
      </c>
      <c r="G1044" t="s">
        <v>55</v>
      </c>
      <c r="H1044">
        <v>104868</v>
      </c>
      <c r="I1044">
        <v>0</v>
      </c>
      <c r="J1044">
        <v>1</v>
      </c>
      <c r="K1044">
        <v>0</v>
      </c>
      <c r="L1044">
        <v>0</v>
      </c>
      <c r="M1044" t="s">
        <v>57</v>
      </c>
      <c r="N1044" t="s">
        <v>85</v>
      </c>
      <c r="O1044" t="s">
        <v>84</v>
      </c>
      <c r="P1044" t="s">
        <v>37</v>
      </c>
      <c r="Q1044" t="s">
        <v>48</v>
      </c>
      <c r="R1044" t="s">
        <v>65</v>
      </c>
      <c r="S1044" t="s">
        <v>46</v>
      </c>
      <c r="T1044">
        <v>0</v>
      </c>
      <c r="U1044">
        <v>1</v>
      </c>
      <c r="V1044">
        <v>1</v>
      </c>
      <c r="W1044">
        <v>0</v>
      </c>
      <c r="X1044">
        <v>1</v>
      </c>
      <c r="Y1044">
        <v>0</v>
      </c>
      <c r="Z1044">
        <v>1</v>
      </c>
      <c r="AA1044">
        <v>0</v>
      </c>
      <c r="AB1044">
        <v>1</v>
      </c>
      <c r="AC1044">
        <v>0</v>
      </c>
      <c r="AD1044">
        <v>0</v>
      </c>
      <c r="AE1044">
        <v>0</v>
      </c>
      <c r="AF1044">
        <v>0</v>
      </c>
      <c r="AG1044">
        <v>0</v>
      </c>
    </row>
    <row r="1045" spans="1:33" x14ac:dyDescent="0.2">
      <c r="A1045">
        <v>1044</v>
      </c>
      <c r="B1045" t="s">
        <v>354</v>
      </c>
      <c r="C1045" t="s">
        <v>33</v>
      </c>
      <c r="D1045">
        <v>26</v>
      </c>
      <c r="E1045" t="s">
        <v>114</v>
      </c>
      <c r="F1045" t="s">
        <v>41</v>
      </c>
      <c r="G1045" t="s">
        <v>67</v>
      </c>
      <c r="H1045">
        <v>92411</v>
      </c>
      <c r="I1045">
        <v>0</v>
      </c>
      <c r="J1045">
        <v>0</v>
      </c>
      <c r="K1045">
        <v>1</v>
      </c>
      <c r="L1045">
        <v>0</v>
      </c>
      <c r="M1045" t="s">
        <v>69</v>
      </c>
      <c r="N1045" t="s">
        <v>86</v>
      </c>
      <c r="O1045" t="s">
        <v>70</v>
      </c>
      <c r="P1045" t="s">
        <v>37</v>
      </c>
      <c r="Q1045" t="s">
        <v>48</v>
      </c>
      <c r="R1045" t="s">
        <v>46</v>
      </c>
      <c r="S1045" t="s">
        <v>47</v>
      </c>
      <c r="T1045">
        <v>0</v>
      </c>
      <c r="U1045">
        <v>0</v>
      </c>
      <c r="V1045">
        <v>1</v>
      </c>
      <c r="W1045">
        <v>1</v>
      </c>
      <c r="X1045">
        <v>1</v>
      </c>
      <c r="Y1045">
        <v>0</v>
      </c>
      <c r="Z1045">
        <v>1</v>
      </c>
      <c r="AA1045">
        <v>0</v>
      </c>
      <c r="AB1045">
        <v>0</v>
      </c>
      <c r="AC1045">
        <v>0</v>
      </c>
      <c r="AD1045">
        <v>1</v>
      </c>
      <c r="AE1045">
        <v>0</v>
      </c>
      <c r="AF1045">
        <v>0</v>
      </c>
      <c r="AG1045">
        <v>0</v>
      </c>
    </row>
    <row r="1046" spans="1:33" hidden="1" x14ac:dyDescent="0.2">
      <c r="A1046">
        <v>1045</v>
      </c>
      <c r="B1046" t="s">
        <v>354</v>
      </c>
      <c r="C1046" t="s">
        <v>33</v>
      </c>
      <c r="D1046">
        <v>26</v>
      </c>
      <c r="E1046" t="s">
        <v>114</v>
      </c>
      <c r="F1046" t="s">
        <v>53</v>
      </c>
      <c r="G1046" t="s">
        <v>76</v>
      </c>
      <c r="H1046">
        <v>16868</v>
      </c>
      <c r="I1046">
        <v>1</v>
      </c>
      <c r="J1046">
        <v>0</v>
      </c>
      <c r="K1046">
        <v>0</v>
      </c>
      <c r="L1046">
        <v>0</v>
      </c>
      <c r="M1046" t="s">
        <v>36</v>
      </c>
      <c r="N1046" t="s">
        <v>36</v>
      </c>
      <c r="O1046" t="s">
        <v>36</v>
      </c>
      <c r="P1046" t="s">
        <v>37</v>
      </c>
      <c r="Q1046" t="s">
        <v>36</v>
      </c>
      <c r="R1046" t="s">
        <v>36</v>
      </c>
      <c r="S1046" t="s">
        <v>36</v>
      </c>
      <c r="T1046" t="s">
        <v>36</v>
      </c>
      <c r="U1046">
        <v>0</v>
      </c>
      <c r="V1046">
        <v>1</v>
      </c>
      <c r="W1046">
        <v>1</v>
      </c>
      <c r="X1046">
        <v>1</v>
      </c>
      <c r="Y1046">
        <v>0</v>
      </c>
      <c r="Z1046">
        <v>1</v>
      </c>
      <c r="AA1046">
        <v>0</v>
      </c>
      <c r="AB1046">
        <v>0</v>
      </c>
      <c r="AC1046">
        <v>0</v>
      </c>
      <c r="AD1046">
        <v>1</v>
      </c>
      <c r="AE1046">
        <v>0</v>
      </c>
      <c r="AF1046">
        <v>0</v>
      </c>
      <c r="AG1046">
        <v>0</v>
      </c>
    </row>
    <row r="1047" spans="1:33" x14ac:dyDescent="0.2">
      <c r="A1047">
        <v>1046</v>
      </c>
      <c r="B1047" t="s">
        <v>354</v>
      </c>
      <c r="C1047" t="s">
        <v>33</v>
      </c>
      <c r="D1047">
        <v>26</v>
      </c>
      <c r="E1047" t="s">
        <v>114</v>
      </c>
      <c r="F1047" t="s">
        <v>41</v>
      </c>
      <c r="G1047" t="s">
        <v>72</v>
      </c>
      <c r="H1047">
        <v>139213</v>
      </c>
      <c r="I1047">
        <v>0</v>
      </c>
      <c r="J1047">
        <v>0</v>
      </c>
      <c r="K1047">
        <v>1</v>
      </c>
      <c r="L1047">
        <v>0</v>
      </c>
      <c r="M1047" t="s">
        <v>73</v>
      </c>
      <c r="N1047" t="s">
        <v>75</v>
      </c>
      <c r="O1047" t="s">
        <v>104</v>
      </c>
      <c r="P1047" t="s">
        <v>37</v>
      </c>
      <c r="Q1047" t="s">
        <v>48</v>
      </c>
      <c r="R1047" t="s">
        <v>46</v>
      </c>
      <c r="S1047" t="s">
        <v>60</v>
      </c>
      <c r="T1047">
        <v>1</v>
      </c>
      <c r="U1047">
        <v>0</v>
      </c>
      <c r="V1047">
        <v>1</v>
      </c>
      <c r="W1047">
        <v>0</v>
      </c>
      <c r="X1047">
        <v>1</v>
      </c>
      <c r="Y1047">
        <v>0</v>
      </c>
      <c r="Z1047">
        <v>1</v>
      </c>
      <c r="AA1047">
        <v>1</v>
      </c>
      <c r="AB1047">
        <v>0</v>
      </c>
      <c r="AC1047">
        <v>0</v>
      </c>
      <c r="AD1047">
        <v>0</v>
      </c>
      <c r="AE1047">
        <v>0</v>
      </c>
      <c r="AF1047">
        <v>0</v>
      </c>
      <c r="AG1047">
        <v>0</v>
      </c>
    </row>
    <row r="1048" spans="1:33" hidden="1" x14ac:dyDescent="0.2">
      <c r="A1048">
        <v>1047</v>
      </c>
      <c r="B1048" t="s">
        <v>354</v>
      </c>
      <c r="C1048" t="s">
        <v>33</v>
      </c>
      <c r="D1048">
        <v>26</v>
      </c>
      <c r="E1048" t="s">
        <v>114</v>
      </c>
      <c r="F1048" t="s">
        <v>53</v>
      </c>
      <c r="G1048" t="s">
        <v>71</v>
      </c>
      <c r="H1048">
        <v>25936</v>
      </c>
      <c r="I1048">
        <v>0</v>
      </c>
      <c r="J1048">
        <v>1</v>
      </c>
      <c r="K1048">
        <v>0</v>
      </c>
      <c r="L1048">
        <v>0</v>
      </c>
      <c r="M1048" t="s">
        <v>36</v>
      </c>
      <c r="N1048" t="s">
        <v>36</v>
      </c>
      <c r="O1048" t="s">
        <v>36</v>
      </c>
      <c r="P1048" t="s">
        <v>37</v>
      </c>
      <c r="Q1048" t="s">
        <v>36</v>
      </c>
      <c r="R1048" t="s">
        <v>36</v>
      </c>
      <c r="S1048" t="s">
        <v>36</v>
      </c>
      <c r="T1048" t="s">
        <v>36</v>
      </c>
      <c r="U1048">
        <v>0</v>
      </c>
      <c r="V1048">
        <v>1</v>
      </c>
      <c r="W1048">
        <v>0</v>
      </c>
      <c r="X1048">
        <v>1</v>
      </c>
      <c r="Y1048">
        <v>0</v>
      </c>
      <c r="Z1048">
        <v>1</v>
      </c>
      <c r="AA1048">
        <v>1</v>
      </c>
      <c r="AB1048">
        <v>0</v>
      </c>
      <c r="AC1048">
        <v>0</v>
      </c>
      <c r="AD1048">
        <v>0</v>
      </c>
      <c r="AE1048">
        <v>0</v>
      </c>
      <c r="AF1048">
        <v>0</v>
      </c>
      <c r="AG1048">
        <v>0</v>
      </c>
    </row>
    <row r="1049" spans="1:33" x14ac:dyDescent="0.2">
      <c r="A1049">
        <v>1048</v>
      </c>
      <c r="B1049" t="s">
        <v>354</v>
      </c>
      <c r="C1049" t="s">
        <v>33</v>
      </c>
      <c r="D1049">
        <v>26</v>
      </c>
      <c r="E1049" t="s">
        <v>114</v>
      </c>
      <c r="F1049" t="s">
        <v>41</v>
      </c>
      <c r="G1049" t="s">
        <v>49</v>
      </c>
      <c r="H1049">
        <v>1690510</v>
      </c>
      <c r="I1049">
        <v>1</v>
      </c>
      <c r="J1049">
        <v>1</v>
      </c>
      <c r="K1049">
        <v>1</v>
      </c>
      <c r="L1049">
        <v>0</v>
      </c>
      <c r="M1049" t="s">
        <v>50</v>
      </c>
      <c r="N1049" t="s">
        <v>96</v>
      </c>
      <c r="O1049" t="s">
        <v>95</v>
      </c>
      <c r="P1049" t="s">
        <v>37</v>
      </c>
      <c r="Q1049" t="s">
        <v>48</v>
      </c>
      <c r="R1049" t="s">
        <v>65</v>
      </c>
      <c r="S1049" t="s">
        <v>60</v>
      </c>
      <c r="T1049">
        <v>1</v>
      </c>
      <c r="U1049">
        <v>1</v>
      </c>
      <c r="V1049">
        <v>1</v>
      </c>
      <c r="W1049">
        <v>0</v>
      </c>
      <c r="X1049">
        <v>0</v>
      </c>
      <c r="Y1049">
        <v>0</v>
      </c>
      <c r="Z1049">
        <v>1</v>
      </c>
      <c r="AA1049">
        <v>1</v>
      </c>
      <c r="AB1049">
        <v>1</v>
      </c>
      <c r="AC1049">
        <v>1</v>
      </c>
      <c r="AD1049">
        <v>0</v>
      </c>
      <c r="AE1049">
        <v>0</v>
      </c>
      <c r="AF1049">
        <v>0</v>
      </c>
      <c r="AG1049">
        <v>0</v>
      </c>
    </row>
    <row r="1050" spans="1:33" hidden="1" x14ac:dyDescent="0.2">
      <c r="A1050">
        <v>1049</v>
      </c>
      <c r="B1050" t="s">
        <v>354</v>
      </c>
      <c r="C1050" t="s">
        <v>33</v>
      </c>
      <c r="D1050">
        <v>26</v>
      </c>
      <c r="E1050" t="s">
        <v>114</v>
      </c>
      <c r="F1050" t="s">
        <v>53</v>
      </c>
      <c r="G1050" t="s">
        <v>66</v>
      </c>
      <c r="H1050">
        <v>56982</v>
      </c>
      <c r="I1050">
        <v>1</v>
      </c>
      <c r="J1050">
        <v>1</v>
      </c>
      <c r="K1050">
        <v>0</v>
      </c>
      <c r="L1050">
        <v>0</v>
      </c>
      <c r="M1050" t="s">
        <v>36</v>
      </c>
      <c r="N1050" t="s">
        <v>36</v>
      </c>
      <c r="O1050" t="s">
        <v>36</v>
      </c>
      <c r="P1050" t="s">
        <v>37</v>
      </c>
      <c r="Q1050" t="s">
        <v>36</v>
      </c>
      <c r="R1050" t="s">
        <v>36</v>
      </c>
      <c r="S1050" t="s">
        <v>36</v>
      </c>
      <c r="T1050" t="s">
        <v>36</v>
      </c>
      <c r="U1050">
        <v>1</v>
      </c>
      <c r="V1050">
        <v>1</v>
      </c>
      <c r="W1050">
        <v>0</v>
      </c>
      <c r="X1050">
        <v>0</v>
      </c>
      <c r="Y1050">
        <v>0</v>
      </c>
      <c r="Z1050">
        <v>1</v>
      </c>
      <c r="AA1050">
        <v>1</v>
      </c>
      <c r="AB1050">
        <v>1</v>
      </c>
      <c r="AC1050">
        <v>1</v>
      </c>
      <c r="AD1050">
        <v>0</v>
      </c>
      <c r="AE1050">
        <v>0</v>
      </c>
      <c r="AF1050">
        <v>0</v>
      </c>
      <c r="AG1050">
        <v>0</v>
      </c>
    </row>
    <row r="1051" spans="1:33" hidden="1" x14ac:dyDescent="0.2">
      <c r="A1051">
        <v>1050</v>
      </c>
      <c r="B1051" t="s">
        <v>354</v>
      </c>
      <c r="C1051" t="s">
        <v>33</v>
      </c>
      <c r="D1051">
        <v>26</v>
      </c>
      <c r="E1051" t="s">
        <v>114</v>
      </c>
      <c r="F1051" t="s">
        <v>77</v>
      </c>
      <c r="G1051" t="s">
        <v>36</v>
      </c>
      <c r="H1051">
        <v>66282</v>
      </c>
      <c r="I1051" t="s">
        <v>355</v>
      </c>
      <c r="J1051" t="s">
        <v>356</v>
      </c>
      <c r="K1051" t="s">
        <v>357</v>
      </c>
      <c r="L1051" t="s">
        <v>36</v>
      </c>
      <c r="M1051" t="s">
        <v>36</v>
      </c>
      <c r="N1051" t="s">
        <v>36</v>
      </c>
      <c r="O1051" t="s">
        <v>36</v>
      </c>
      <c r="P1051" t="s">
        <v>37</v>
      </c>
      <c r="Q1051" t="s">
        <v>36</v>
      </c>
      <c r="R1051" t="s">
        <v>36</v>
      </c>
      <c r="S1051" t="s">
        <v>36</v>
      </c>
      <c r="T1051" t="s">
        <v>36</v>
      </c>
      <c r="U1051" t="s">
        <v>36</v>
      </c>
      <c r="V1051" t="s">
        <v>36</v>
      </c>
      <c r="W1051" t="s">
        <v>36</v>
      </c>
      <c r="X1051" t="s">
        <v>36</v>
      </c>
      <c r="Y1051" t="s">
        <v>36</v>
      </c>
      <c r="Z1051" t="s">
        <v>36</v>
      </c>
      <c r="AA1051" t="s">
        <v>36</v>
      </c>
      <c r="AB1051" t="s">
        <v>36</v>
      </c>
      <c r="AC1051" t="s">
        <v>36</v>
      </c>
      <c r="AD1051" t="s">
        <v>36</v>
      </c>
      <c r="AE1051" t="s">
        <v>36</v>
      </c>
      <c r="AF1051" t="s">
        <v>36</v>
      </c>
      <c r="AG1051" t="s">
        <v>36</v>
      </c>
    </row>
    <row r="1052" spans="1:33" hidden="1" x14ac:dyDescent="0.2">
      <c r="A1052">
        <v>1051</v>
      </c>
      <c r="B1052" t="s">
        <v>358</v>
      </c>
      <c r="C1052" t="s">
        <v>108</v>
      </c>
      <c r="D1052">
        <v>32</v>
      </c>
      <c r="E1052" t="s">
        <v>34</v>
      </c>
      <c r="F1052" t="s">
        <v>35</v>
      </c>
      <c r="G1052" t="s">
        <v>36</v>
      </c>
      <c r="H1052">
        <v>46562</v>
      </c>
      <c r="I1052" t="s">
        <v>36</v>
      </c>
      <c r="J1052" t="s">
        <v>36</v>
      </c>
      <c r="K1052" t="s">
        <v>36</v>
      </c>
      <c r="L1052" t="s">
        <v>36</v>
      </c>
      <c r="M1052" t="s">
        <v>36</v>
      </c>
      <c r="N1052" t="s">
        <v>36</v>
      </c>
      <c r="O1052" t="s">
        <v>36</v>
      </c>
      <c r="P1052" t="s">
        <v>37</v>
      </c>
      <c r="Q1052" t="s">
        <v>36</v>
      </c>
      <c r="R1052" t="s">
        <v>36</v>
      </c>
      <c r="S1052" t="s">
        <v>36</v>
      </c>
      <c r="T1052" t="s">
        <v>36</v>
      </c>
      <c r="U1052" t="s">
        <v>36</v>
      </c>
      <c r="V1052" t="s">
        <v>36</v>
      </c>
      <c r="W1052" t="s">
        <v>36</v>
      </c>
      <c r="X1052" t="s">
        <v>36</v>
      </c>
      <c r="Y1052" t="s">
        <v>36</v>
      </c>
      <c r="Z1052" t="s">
        <v>36</v>
      </c>
      <c r="AA1052" t="s">
        <v>36</v>
      </c>
      <c r="AB1052" t="s">
        <v>36</v>
      </c>
      <c r="AC1052" t="s">
        <v>36</v>
      </c>
      <c r="AD1052" t="s">
        <v>36</v>
      </c>
      <c r="AE1052" t="s">
        <v>36</v>
      </c>
      <c r="AF1052" t="s">
        <v>36</v>
      </c>
      <c r="AG1052" t="s">
        <v>36</v>
      </c>
    </row>
    <row r="1053" spans="1:33" hidden="1" x14ac:dyDescent="0.2">
      <c r="A1053">
        <v>1052</v>
      </c>
      <c r="B1053" t="s">
        <v>358</v>
      </c>
      <c r="C1053" t="s">
        <v>108</v>
      </c>
      <c r="D1053">
        <v>32</v>
      </c>
      <c r="E1053" t="s">
        <v>34</v>
      </c>
      <c r="F1053" t="s">
        <v>38</v>
      </c>
      <c r="G1053" t="s">
        <v>39</v>
      </c>
      <c r="H1053">
        <v>35700</v>
      </c>
      <c r="I1053">
        <v>0</v>
      </c>
      <c r="J1053">
        <v>0</v>
      </c>
      <c r="K1053">
        <v>0</v>
      </c>
      <c r="L1053">
        <v>1</v>
      </c>
      <c r="M1053" t="s">
        <v>36</v>
      </c>
      <c r="N1053" t="s">
        <v>36</v>
      </c>
      <c r="O1053" t="s">
        <v>36</v>
      </c>
      <c r="P1053" t="s">
        <v>37</v>
      </c>
      <c r="Q1053" t="s">
        <v>36</v>
      </c>
      <c r="R1053" t="s">
        <v>36</v>
      </c>
      <c r="S1053" t="s">
        <v>36</v>
      </c>
      <c r="T1053" t="s">
        <v>36</v>
      </c>
      <c r="U1053" t="s">
        <v>36</v>
      </c>
      <c r="V1053" t="s">
        <v>36</v>
      </c>
      <c r="W1053" t="s">
        <v>36</v>
      </c>
      <c r="X1053" t="s">
        <v>36</v>
      </c>
      <c r="Y1053" t="s">
        <v>36</v>
      </c>
      <c r="Z1053" t="s">
        <v>36</v>
      </c>
      <c r="AA1053" t="s">
        <v>36</v>
      </c>
      <c r="AB1053" t="s">
        <v>36</v>
      </c>
      <c r="AC1053" t="s">
        <v>36</v>
      </c>
      <c r="AD1053" t="s">
        <v>36</v>
      </c>
      <c r="AE1053" t="s">
        <v>36</v>
      </c>
      <c r="AF1053" t="s">
        <v>36</v>
      </c>
      <c r="AG1053" t="s">
        <v>36</v>
      </c>
    </row>
    <row r="1054" spans="1:33" hidden="1" x14ac:dyDescent="0.2">
      <c r="A1054">
        <v>1053</v>
      </c>
      <c r="B1054" t="s">
        <v>358</v>
      </c>
      <c r="C1054" t="s">
        <v>108</v>
      </c>
      <c r="D1054">
        <v>32</v>
      </c>
      <c r="E1054" t="s">
        <v>34</v>
      </c>
      <c r="F1054" t="s">
        <v>38</v>
      </c>
      <c r="G1054" t="s">
        <v>40</v>
      </c>
      <c r="H1054">
        <v>31240</v>
      </c>
      <c r="I1054">
        <v>0</v>
      </c>
      <c r="J1054">
        <v>0</v>
      </c>
      <c r="K1054">
        <v>1</v>
      </c>
      <c r="L1054">
        <v>0</v>
      </c>
      <c r="M1054" t="s">
        <v>36</v>
      </c>
      <c r="N1054" t="s">
        <v>36</v>
      </c>
      <c r="O1054" t="s">
        <v>36</v>
      </c>
      <c r="P1054" t="s">
        <v>37</v>
      </c>
      <c r="Q1054" t="s">
        <v>36</v>
      </c>
      <c r="R1054" t="s">
        <v>36</v>
      </c>
      <c r="S1054" t="s">
        <v>36</v>
      </c>
      <c r="T1054" t="s">
        <v>36</v>
      </c>
      <c r="U1054" t="s">
        <v>36</v>
      </c>
      <c r="V1054" t="s">
        <v>36</v>
      </c>
      <c r="W1054" t="s">
        <v>36</v>
      </c>
      <c r="X1054" t="s">
        <v>36</v>
      </c>
      <c r="Y1054" t="s">
        <v>36</v>
      </c>
      <c r="Z1054" t="s">
        <v>36</v>
      </c>
      <c r="AA1054" t="s">
        <v>36</v>
      </c>
      <c r="AB1054" t="s">
        <v>36</v>
      </c>
      <c r="AC1054" t="s">
        <v>36</v>
      </c>
      <c r="AD1054" t="s">
        <v>36</v>
      </c>
      <c r="AE1054" t="s">
        <v>36</v>
      </c>
      <c r="AF1054" t="s">
        <v>36</v>
      </c>
      <c r="AG1054" t="s">
        <v>36</v>
      </c>
    </row>
    <row r="1055" spans="1:33" x14ac:dyDescent="0.2">
      <c r="A1055">
        <v>1054</v>
      </c>
      <c r="B1055" t="s">
        <v>358</v>
      </c>
      <c r="C1055" t="s">
        <v>108</v>
      </c>
      <c r="D1055">
        <v>32</v>
      </c>
      <c r="E1055" t="s">
        <v>34</v>
      </c>
      <c r="F1055" t="s">
        <v>41</v>
      </c>
      <c r="G1055" t="s">
        <v>55</v>
      </c>
      <c r="H1055">
        <v>52151</v>
      </c>
      <c r="I1055">
        <v>0</v>
      </c>
      <c r="J1055">
        <v>0</v>
      </c>
      <c r="K1055">
        <v>1</v>
      </c>
      <c r="L1055">
        <v>0</v>
      </c>
      <c r="M1055" t="s">
        <v>84</v>
      </c>
      <c r="N1055" t="s">
        <v>94</v>
      </c>
      <c r="O1055" t="s">
        <v>85</v>
      </c>
      <c r="P1055" t="s">
        <v>37</v>
      </c>
      <c r="Q1055" t="s">
        <v>46</v>
      </c>
      <c r="R1055" t="s">
        <v>47</v>
      </c>
      <c r="S1055" t="s">
        <v>65</v>
      </c>
      <c r="T1055">
        <v>0</v>
      </c>
      <c r="U1055">
        <v>1</v>
      </c>
      <c r="V1055">
        <v>0</v>
      </c>
      <c r="W1055">
        <v>1</v>
      </c>
      <c r="X1055">
        <v>1</v>
      </c>
      <c r="Y1055">
        <v>0</v>
      </c>
      <c r="Z1055">
        <v>1</v>
      </c>
      <c r="AA1055">
        <v>0</v>
      </c>
      <c r="AB1055">
        <v>1</v>
      </c>
      <c r="AC1055">
        <v>0</v>
      </c>
      <c r="AD1055">
        <v>0</v>
      </c>
      <c r="AE1055">
        <v>0</v>
      </c>
      <c r="AF1055">
        <v>0</v>
      </c>
      <c r="AG1055">
        <v>0</v>
      </c>
    </row>
    <row r="1056" spans="1:33" x14ac:dyDescent="0.2">
      <c r="A1056">
        <v>1055</v>
      </c>
      <c r="B1056" t="s">
        <v>358</v>
      </c>
      <c r="C1056" t="s">
        <v>108</v>
      </c>
      <c r="D1056">
        <v>32</v>
      </c>
      <c r="E1056" t="s">
        <v>34</v>
      </c>
      <c r="F1056" t="s">
        <v>41</v>
      </c>
      <c r="G1056" t="s">
        <v>72</v>
      </c>
      <c r="H1056">
        <v>17439</v>
      </c>
      <c r="I1056">
        <v>0</v>
      </c>
      <c r="J1056">
        <v>0</v>
      </c>
      <c r="K1056">
        <v>0</v>
      </c>
      <c r="L1056">
        <v>1</v>
      </c>
      <c r="M1056" t="s">
        <v>75</v>
      </c>
      <c r="N1056" t="s">
        <v>73</v>
      </c>
      <c r="O1056" t="s">
        <v>93</v>
      </c>
      <c r="P1056" t="s">
        <v>37</v>
      </c>
      <c r="Q1056" t="s">
        <v>46</v>
      </c>
      <c r="R1056" t="s">
        <v>48</v>
      </c>
      <c r="S1056" t="s">
        <v>59</v>
      </c>
      <c r="T1056">
        <v>0</v>
      </c>
      <c r="U1056">
        <v>0</v>
      </c>
      <c r="V1056">
        <v>1</v>
      </c>
      <c r="W1056">
        <v>0</v>
      </c>
      <c r="X1056">
        <v>1</v>
      </c>
      <c r="Y1056">
        <v>0</v>
      </c>
      <c r="Z1056">
        <v>1</v>
      </c>
      <c r="AA1056">
        <v>0</v>
      </c>
      <c r="AB1056">
        <v>0</v>
      </c>
      <c r="AC1056">
        <v>0</v>
      </c>
      <c r="AD1056">
        <v>0</v>
      </c>
      <c r="AE1056">
        <v>0</v>
      </c>
      <c r="AF1056">
        <v>0</v>
      </c>
      <c r="AG1056">
        <v>1</v>
      </c>
    </row>
    <row r="1057" spans="1:33" hidden="1" x14ac:dyDescent="0.2">
      <c r="A1057">
        <v>1056</v>
      </c>
      <c r="B1057" t="s">
        <v>358</v>
      </c>
      <c r="C1057" t="s">
        <v>108</v>
      </c>
      <c r="D1057">
        <v>32</v>
      </c>
      <c r="E1057" t="s">
        <v>34</v>
      </c>
      <c r="F1057" t="s">
        <v>53</v>
      </c>
      <c r="G1057" t="s">
        <v>76</v>
      </c>
      <c r="H1057">
        <v>16499</v>
      </c>
      <c r="I1057">
        <v>1</v>
      </c>
      <c r="J1057">
        <v>0</v>
      </c>
      <c r="K1057">
        <v>0</v>
      </c>
      <c r="L1057">
        <v>0</v>
      </c>
      <c r="M1057" t="s">
        <v>36</v>
      </c>
      <c r="N1057" t="s">
        <v>36</v>
      </c>
      <c r="O1057" t="s">
        <v>36</v>
      </c>
      <c r="P1057" t="s">
        <v>37</v>
      </c>
      <c r="Q1057" t="s">
        <v>36</v>
      </c>
      <c r="R1057" t="s">
        <v>36</v>
      </c>
      <c r="S1057" t="s">
        <v>36</v>
      </c>
      <c r="T1057" t="s">
        <v>36</v>
      </c>
      <c r="U1057">
        <v>0</v>
      </c>
      <c r="V1057">
        <v>1</v>
      </c>
      <c r="W1057">
        <v>0</v>
      </c>
      <c r="X1057">
        <v>1</v>
      </c>
      <c r="Y1057">
        <v>0</v>
      </c>
      <c r="Z1057">
        <v>1</v>
      </c>
      <c r="AA1057">
        <v>0</v>
      </c>
      <c r="AB1057">
        <v>0</v>
      </c>
      <c r="AC1057">
        <v>0</v>
      </c>
      <c r="AD1057">
        <v>0</v>
      </c>
      <c r="AE1057">
        <v>0</v>
      </c>
      <c r="AF1057">
        <v>0</v>
      </c>
      <c r="AG1057">
        <v>1</v>
      </c>
    </row>
    <row r="1058" spans="1:33" x14ac:dyDescent="0.2">
      <c r="A1058">
        <v>1057</v>
      </c>
      <c r="B1058" t="s">
        <v>358</v>
      </c>
      <c r="C1058" t="s">
        <v>108</v>
      </c>
      <c r="D1058">
        <v>32</v>
      </c>
      <c r="E1058" t="s">
        <v>34</v>
      </c>
      <c r="F1058" t="s">
        <v>41</v>
      </c>
      <c r="G1058" t="s">
        <v>42</v>
      </c>
      <c r="H1058">
        <v>5879</v>
      </c>
      <c r="I1058">
        <v>0</v>
      </c>
      <c r="J1058">
        <v>0</v>
      </c>
      <c r="K1058">
        <v>1</v>
      </c>
      <c r="L1058">
        <v>0</v>
      </c>
      <c r="M1058" t="s">
        <v>43</v>
      </c>
      <c r="N1058" t="s">
        <v>44</v>
      </c>
      <c r="O1058" t="s">
        <v>82</v>
      </c>
      <c r="P1058" t="s">
        <v>37</v>
      </c>
      <c r="Q1058" t="s">
        <v>46</v>
      </c>
      <c r="R1058" t="s">
        <v>47</v>
      </c>
      <c r="S1058" t="s">
        <v>65</v>
      </c>
      <c r="T1058">
        <v>0</v>
      </c>
      <c r="U1058">
        <v>1</v>
      </c>
      <c r="V1058">
        <v>0</v>
      </c>
      <c r="W1058">
        <v>1</v>
      </c>
      <c r="X1058">
        <v>1</v>
      </c>
      <c r="Y1058">
        <v>0</v>
      </c>
      <c r="Z1058">
        <v>1</v>
      </c>
      <c r="AA1058">
        <v>0</v>
      </c>
      <c r="AB1058">
        <v>1</v>
      </c>
      <c r="AC1058">
        <v>0</v>
      </c>
      <c r="AD1058">
        <v>0</v>
      </c>
      <c r="AE1058">
        <v>0</v>
      </c>
      <c r="AF1058">
        <v>0</v>
      </c>
      <c r="AG1058">
        <v>0</v>
      </c>
    </row>
    <row r="1059" spans="1:33" hidden="1" x14ac:dyDescent="0.2">
      <c r="A1059">
        <v>1058</v>
      </c>
      <c r="B1059" t="s">
        <v>358</v>
      </c>
      <c r="C1059" t="s">
        <v>108</v>
      </c>
      <c r="D1059">
        <v>32</v>
      </c>
      <c r="E1059" t="s">
        <v>34</v>
      </c>
      <c r="F1059" t="s">
        <v>53</v>
      </c>
      <c r="G1059" t="s">
        <v>71</v>
      </c>
      <c r="H1059">
        <v>45758</v>
      </c>
      <c r="I1059">
        <v>0</v>
      </c>
      <c r="J1059">
        <v>0</v>
      </c>
      <c r="K1059">
        <v>0</v>
      </c>
      <c r="L1059">
        <v>1</v>
      </c>
      <c r="M1059" t="s">
        <v>36</v>
      </c>
      <c r="N1059" t="s">
        <v>36</v>
      </c>
      <c r="O1059" t="s">
        <v>36</v>
      </c>
      <c r="P1059" t="s">
        <v>37</v>
      </c>
      <c r="Q1059" t="s">
        <v>36</v>
      </c>
      <c r="R1059" t="s">
        <v>36</v>
      </c>
      <c r="S1059" t="s">
        <v>36</v>
      </c>
      <c r="T1059" t="s">
        <v>36</v>
      </c>
      <c r="U1059">
        <v>1</v>
      </c>
      <c r="V1059">
        <v>0</v>
      </c>
      <c r="W1059">
        <v>1</v>
      </c>
      <c r="X1059">
        <v>1</v>
      </c>
      <c r="Y1059">
        <v>0</v>
      </c>
      <c r="Z1059">
        <v>1</v>
      </c>
      <c r="AA1059">
        <v>0</v>
      </c>
      <c r="AB1059">
        <v>1</v>
      </c>
      <c r="AC1059">
        <v>0</v>
      </c>
      <c r="AD1059">
        <v>0</v>
      </c>
      <c r="AE1059">
        <v>0</v>
      </c>
      <c r="AF1059">
        <v>0</v>
      </c>
      <c r="AG1059">
        <v>0</v>
      </c>
    </row>
    <row r="1060" spans="1:33" x14ac:dyDescent="0.2">
      <c r="A1060">
        <v>1059</v>
      </c>
      <c r="B1060" t="s">
        <v>358</v>
      </c>
      <c r="C1060" t="s">
        <v>108</v>
      </c>
      <c r="D1060">
        <v>32</v>
      </c>
      <c r="E1060" t="s">
        <v>34</v>
      </c>
      <c r="F1060" t="s">
        <v>41</v>
      </c>
      <c r="G1060" t="s">
        <v>61</v>
      </c>
      <c r="H1060">
        <v>5956</v>
      </c>
      <c r="I1060">
        <v>1</v>
      </c>
      <c r="J1060">
        <v>0</v>
      </c>
      <c r="K1060">
        <v>0</v>
      </c>
      <c r="L1060">
        <v>0</v>
      </c>
      <c r="M1060" t="s">
        <v>62</v>
      </c>
      <c r="N1060" t="s">
        <v>87</v>
      </c>
      <c r="O1060" t="s">
        <v>64</v>
      </c>
      <c r="P1060" t="s">
        <v>37</v>
      </c>
      <c r="Q1060" t="s">
        <v>65</v>
      </c>
      <c r="R1060" t="s">
        <v>47</v>
      </c>
      <c r="S1060" t="s">
        <v>48</v>
      </c>
      <c r="T1060">
        <v>0</v>
      </c>
      <c r="U1060">
        <v>1</v>
      </c>
      <c r="V1060">
        <v>1</v>
      </c>
      <c r="W1060">
        <v>1</v>
      </c>
      <c r="X1060">
        <v>0</v>
      </c>
      <c r="Y1060">
        <v>0</v>
      </c>
      <c r="Z1060">
        <v>1</v>
      </c>
      <c r="AA1060">
        <v>0</v>
      </c>
      <c r="AB1060">
        <v>1</v>
      </c>
      <c r="AC1060">
        <v>0</v>
      </c>
      <c r="AD1060">
        <v>0</v>
      </c>
      <c r="AE1060">
        <v>0</v>
      </c>
      <c r="AF1060">
        <v>0</v>
      </c>
      <c r="AG1060">
        <v>0</v>
      </c>
    </row>
    <row r="1061" spans="1:33" x14ac:dyDescent="0.2">
      <c r="A1061">
        <v>1060</v>
      </c>
      <c r="B1061" t="s">
        <v>358</v>
      </c>
      <c r="C1061" t="s">
        <v>108</v>
      </c>
      <c r="D1061">
        <v>32</v>
      </c>
      <c r="E1061" t="s">
        <v>34</v>
      </c>
      <c r="F1061" t="s">
        <v>41</v>
      </c>
      <c r="G1061" t="s">
        <v>67</v>
      </c>
      <c r="H1061">
        <v>5088</v>
      </c>
      <c r="I1061">
        <v>0</v>
      </c>
      <c r="J1061">
        <v>0</v>
      </c>
      <c r="K1061">
        <v>1</v>
      </c>
      <c r="L1061">
        <v>0</v>
      </c>
      <c r="M1061" t="s">
        <v>69</v>
      </c>
      <c r="N1061" t="s">
        <v>86</v>
      </c>
      <c r="O1061" t="s">
        <v>68</v>
      </c>
      <c r="P1061" t="s">
        <v>37</v>
      </c>
      <c r="Q1061" t="s">
        <v>48</v>
      </c>
      <c r="R1061" t="s">
        <v>46</v>
      </c>
      <c r="S1061" t="s">
        <v>65</v>
      </c>
      <c r="T1061">
        <v>0</v>
      </c>
      <c r="U1061">
        <v>1</v>
      </c>
      <c r="V1061">
        <v>1</v>
      </c>
      <c r="W1061">
        <v>0</v>
      </c>
      <c r="X1061">
        <v>1</v>
      </c>
      <c r="Y1061">
        <v>0</v>
      </c>
      <c r="Z1061">
        <v>1</v>
      </c>
      <c r="AA1061">
        <v>0</v>
      </c>
      <c r="AB1061">
        <v>1</v>
      </c>
      <c r="AC1061">
        <v>0</v>
      </c>
      <c r="AD1061">
        <v>0</v>
      </c>
      <c r="AE1061">
        <v>0</v>
      </c>
      <c r="AF1061">
        <v>0</v>
      </c>
      <c r="AG1061">
        <v>0</v>
      </c>
    </row>
    <row r="1062" spans="1:33" hidden="1" x14ac:dyDescent="0.2">
      <c r="A1062">
        <v>1061</v>
      </c>
      <c r="B1062" t="s">
        <v>358</v>
      </c>
      <c r="C1062" t="s">
        <v>108</v>
      </c>
      <c r="D1062">
        <v>32</v>
      </c>
      <c r="E1062" t="s">
        <v>34</v>
      </c>
      <c r="F1062" t="s">
        <v>53</v>
      </c>
      <c r="G1062" t="s">
        <v>54</v>
      </c>
      <c r="H1062">
        <v>60187</v>
      </c>
      <c r="I1062">
        <v>1</v>
      </c>
      <c r="J1062">
        <v>0</v>
      </c>
      <c r="K1062">
        <v>0</v>
      </c>
      <c r="L1062">
        <v>0</v>
      </c>
      <c r="M1062" t="s">
        <v>36</v>
      </c>
      <c r="N1062" t="s">
        <v>36</v>
      </c>
      <c r="O1062" t="s">
        <v>36</v>
      </c>
      <c r="P1062" t="s">
        <v>37</v>
      </c>
      <c r="Q1062" t="s">
        <v>36</v>
      </c>
      <c r="R1062" t="s">
        <v>36</v>
      </c>
      <c r="S1062" t="s">
        <v>36</v>
      </c>
      <c r="T1062" t="s">
        <v>36</v>
      </c>
      <c r="U1062">
        <v>1</v>
      </c>
      <c r="V1062">
        <v>1</v>
      </c>
      <c r="W1062">
        <v>0</v>
      </c>
      <c r="X1062">
        <v>1</v>
      </c>
      <c r="Y1062">
        <v>0</v>
      </c>
      <c r="Z1062">
        <v>1</v>
      </c>
      <c r="AA1062">
        <v>0</v>
      </c>
      <c r="AB1062">
        <v>1</v>
      </c>
      <c r="AC1062">
        <v>0</v>
      </c>
      <c r="AD1062">
        <v>0</v>
      </c>
      <c r="AE1062">
        <v>0</v>
      </c>
      <c r="AF1062">
        <v>0</v>
      </c>
      <c r="AG1062">
        <v>0</v>
      </c>
    </row>
    <row r="1063" spans="1:33" x14ac:dyDescent="0.2">
      <c r="A1063">
        <v>1062</v>
      </c>
      <c r="B1063" t="s">
        <v>358</v>
      </c>
      <c r="C1063" t="s">
        <v>108</v>
      </c>
      <c r="D1063">
        <v>32</v>
      </c>
      <c r="E1063" t="s">
        <v>34</v>
      </c>
      <c r="F1063" t="s">
        <v>41</v>
      </c>
      <c r="G1063" t="s">
        <v>49</v>
      </c>
      <c r="H1063">
        <v>3074</v>
      </c>
      <c r="I1063">
        <v>1</v>
      </c>
      <c r="J1063">
        <v>0</v>
      </c>
      <c r="K1063">
        <v>0</v>
      </c>
      <c r="L1063">
        <v>0</v>
      </c>
      <c r="M1063" t="s">
        <v>96</v>
      </c>
      <c r="N1063" t="s">
        <v>52</v>
      </c>
      <c r="O1063" t="s">
        <v>51</v>
      </c>
      <c r="P1063" t="s">
        <v>37</v>
      </c>
      <c r="Q1063" t="s">
        <v>65</v>
      </c>
      <c r="R1063" t="s">
        <v>46</v>
      </c>
      <c r="S1063" t="s">
        <v>47</v>
      </c>
      <c r="T1063">
        <v>0</v>
      </c>
      <c r="U1063">
        <v>1</v>
      </c>
      <c r="V1063">
        <v>0</v>
      </c>
      <c r="W1063">
        <v>1</v>
      </c>
      <c r="X1063">
        <v>1</v>
      </c>
      <c r="Y1063">
        <v>0</v>
      </c>
      <c r="Z1063">
        <v>1</v>
      </c>
      <c r="AA1063">
        <v>0</v>
      </c>
      <c r="AB1063">
        <v>1</v>
      </c>
      <c r="AC1063">
        <v>0</v>
      </c>
      <c r="AD1063">
        <v>0</v>
      </c>
      <c r="AE1063">
        <v>0</v>
      </c>
      <c r="AF1063">
        <v>0</v>
      </c>
      <c r="AG1063">
        <v>0</v>
      </c>
    </row>
    <row r="1064" spans="1:33" hidden="1" x14ac:dyDescent="0.2">
      <c r="A1064">
        <v>1063</v>
      </c>
      <c r="B1064" t="s">
        <v>358</v>
      </c>
      <c r="C1064" t="s">
        <v>108</v>
      </c>
      <c r="D1064">
        <v>32</v>
      </c>
      <c r="E1064" t="s">
        <v>34</v>
      </c>
      <c r="F1064" t="s">
        <v>53</v>
      </c>
      <c r="G1064" t="s">
        <v>66</v>
      </c>
      <c r="H1064">
        <v>22364</v>
      </c>
      <c r="I1064">
        <v>1</v>
      </c>
      <c r="J1064">
        <v>1</v>
      </c>
      <c r="K1064">
        <v>0</v>
      </c>
      <c r="L1064">
        <v>0</v>
      </c>
      <c r="M1064" t="s">
        <v>36</v>
      </c>
      <c r="N1064" t="s">
        <v>36</v>
      </c>
      <c r="O1064" t="s">
        <v>36</v>
      </c>
      <c r="P1064" t="s">
        <v>37</v>
      </c>
      <c r="Q1064" t="s">
        <v>36</v>
      </c>
      <c r="R1064" t="s">
        <v>36</v>
      </c>
      <c r="S1064" t="s">
        <v>36</v>
      </c>
      <c r="T1064" t="s">
        <v>36</v>
      </c>
      <c r="U1064">
        <v>1</v>
      </c>
      <c r="V1064">
        <v>0</v>
      </c>
      <c r="W1064">
        <v>1</v>
      </c>
      <c r="X1064">
        <v>1</v>
      </c>
      <c r="Y1064">
        <v>0</v>
      </c>
      <c r="Z1064">
        <v>1</v>
      </c>
      <c r="AA1064">
        <v>0</v>
      </c>
      <c r="AB1064">
        <v>1</v>
      </c>
      <c r="AC1064">
        <v>0</v>
      </c>
      <c r="AD1064">
        <v>0</v>
      </c>
      <c r="AE1064">
        <v>0</v>
      </c>
      <c r="AF1064">
        <v>0</v>
      </c>
      <c r="AG1064">
        <v>0</v>
      </c>
    </row>
    <row r="1065" spans="1:33" hidden="1" x14ac:dyDescent="0.2">
      <c r="A1065">
        <v>1064</v>
      </c>
      <c r="B1065" t="s">
        <v>358</v>
      </c>
      <c r="C1065" t="s">
        <v>108</v>
      </c>
      <c r="D1065">
        <v>32</v>
      </c>
      <c r="E1065" t="s">
        <v>34</v>
      </c>
      <c r="F1065" t="s">
        <v>77</v>
      </c>
      <c r="G1065" t="s">
        <v>36</v>
      </c>
      <c r="H1065">
        <v>50576</v>
      </c>
      <c r="I1065" t="s">
        <v>359</v>
      </c>
      <c r="J1065" t="s">
        <v>360</v>
      </c>
      <c r="K1065" t="s">
        <v>361</v>
      </c>
      <c r="L1065" t="s">
        <v>36</v>
      </c>
      <c r="M1065" t="s">
        <v>36</v>
      </c>
      <c r="N1065" t="s">
        <v>36</v>
      </c>
      <c r="O1065" t="s">
        <v>36</v>
      </c>
      <c r="P1065" t="s">
        <v>37</v>
      </c>
      <c r="Q1065" t="s">
        <v>36</v>
      </c>
      <c r="R1065" t="s">
        <v>36</v>
      </c>
      <c r="S1065" t="s">
        <v>36</v>
      </c>
      <c r="T1065" t="s">
        <v>36</v>
      </c>
      <c r="U1065" t="s">
        <v>36</v>
      </c>
      <c r="V1065" t="s">
        <v>36</v>
      </c>
      <c r="W1065" t="s">
        <v>36</v>
      </c>
      <c r="X1065" t="s">
        <v>36</v>
      </c>
      <c r="Y1065" t="s">
        <v>36</v>
      </c>
      <c r="Z1065" t="s">
        <v>36</v>
      </c>
      <c r="AA1065" t="s">
        <v>36</v>
      </c>
      <c r="AB1065" t="s">
        <v>36</v>
      </c>
      <c r="AC1065" t="s">
        <v>36</v>
      </c>
      <c r="AD1065" t="s">
        <v>36</v>
      </c>
      <c r="AE1065" t="s">
        <v>36</v>
      </c>
      <c r="AF1065" t="s">
        <v>36</v>
      </c>
      <c r="AG1065" t="s">
        <v>36</v>
      </c>
    </row>
    <row r="1066" spans="1:33" hidden="1" x14ac:dyDescent="0.2">
      <c r="A1066">
        <v>1065</v>
      </c>
      <c r="B1066" t="s">
        <v>362</v>
      </c>
      <c r="C1066" t="s">
        <v>108</v>
      </c>
      <c r="D1066">
        <v>63</v>
      </c>
      <c r="E1066" t="s">
        <v>114</v>
      </c>
      <c r="F1066" t="s">
        <v>35</v>
      </c>
      <c r="G1066" t="s">
        <v>36</v>
      </c>
      <c r="H1066">
        <v>27100</v>
      </c>
      <c r="I1066" t="s">
        <v>36</v>
      </c>
      <c r="J1066" t="s">
        <v>36</v>
      </c>
      <c r="K1066" t="s">
        <v>36</v>
      </c>
      <c r="L1066" t="s">
        <v>36</v>
      </c>
      <c r="M1066" t="s">
        <v>36</v>
      </c>
      <c r="N1066" t="s">
        <v>36</v>
      </c>
      <c r="O1066" t="s">
        <v>36</v>
      </c>
      <c r="P1066" t="s">
        <v>37</v>
      </c>
      <c r="Q1066" t="s">
        <v>36</v>
      </c>
      <c r="R1066" t="s">
        <v>36</v>
      </c>
      <c r="S1066" t="s">
        <v>36</v>
      </c>
      <c r="T1066" t="s">
        <v>36</v>
      </c>
      <c r="U1066" t="s">
        <v>36</v>
      </c>
      <c r="V1066" t="s">
        <v>36</v>
      </c>
      <c r="W1066" t="s">
        <v>36</v>
      </c>
      <c r="X1066" t="s">
        <v>36</v>
      </c>
      <c r="Y1066" t="s">
        <v>36</v>
      </c>
      <c r="Z1066" t="s">
        <v>36</v>
      </c>
      <c r="AA1066" t="s">
        <v>36</v>
      </c>
      <c r="AB1066" t="s">
        <v>36</v>
      </c>
      <c r="AC1066" t="s">
        <v>36</v>
      </c>
      <c r="AD1066" t="s">
        <v>36</v>
      </c>
      <c r="AE1066" t="s">
        <v>36</v>
      </c>
      <c r="AF1066" t="s">
        <v>36</v>
      </c>
      <c r="AG1066" t="s">
        <v>36</v>
      </c>
    </row>
    <row r="1067" spans="1:33" hidden="1" x14ac:dyDescent="0.2">
      <c r="A1067">
        <v>1066</v>
      </c>
      <c r="B1067" t="s">
        <v>362</v>
      </c>
      <c r="C1067" t="s">
        <v>108</v>
      </c>
      <c r="D1067">
        <v>63</v>
      </c>
      <c r="E1067" t="s">
        <v>114</v>
      </c>
      <c r="F1067" t="s">
        <v>38</v>
      </c>
      <c r="G1067" t="s">
        <v>40</v>
      </c>
      <c r="H1067">
        <v>63461</v>
      </c>
      <c r="I1067">
        <v>1</v>
      </c>
      <c r="J1067">
        <v>0</v>
      </c>
      <c r="K1067">
        <v>1</v>
      </c>
      <c r="L1067">
        <v>0</v>
      </c>
      <c r="M1067" t="s">
        <v>36</v>
      </c>
      <c r="N1067" t="s">
        <v>36</v>
      </c>
      <c r="O1067" t="s">
        <v>36</v>
      </c>
      <c r="P1067" t="s">
        <v>37</v>
      </c>
      <c r="Q1067" t="s">
        <v>36</v>
      </c>
      <c r="R1067" t="s">
        <v>36</v>
      </c>
      <c r="S1067" t="s">
        <v>36</v>
      </c>
      <c r="T1067" t="s">
        <v>36</v>
      </c>
      <c r="U1067" t="s">
        <v>36</v>
      </c>
      <c r="V1067" t="s">
        <v>36</v>
      </c>
      <c r="W1067" t="s">
        <v>36</v>
      </c>
      <c r="X1067" t="s">
        <v>36</v>
      </c>
      <c r="Y1067" t="s">
        <v>36</v>
      </c>
      <c r="Z1067" t="s">
        <v>36</v>
      </c>
      <c r="AA1067" t="s">
        <v>36</v>
      </c>
      <c r="AB1067" t="s">
        <v>36</v>
      </c>
      <c r="AC1067" t="s">
        <v>36</v>
      </c>
      <c r="AD1067" t="s">
        <v>36</v>
      </c>
      <c r="AE1067" t="s">
        <v>36</v>
      </c>
      <c r="AF1067" t="s">
        <v>36</v>
      </c>
      <c r="AG1067" t="s">
        <v>36</v>
      </c>
    </row>
    <row r="1068" spans="1:33" hidden="1" x14ac:dyDescent="0.2">
      <c r="A1068">
        <v>1067</v>
      </c>
      <c r="B1068" t="s">
        <v>362</v>
      </c>
      <c r="C1068" t="s">
        <v>108</v>
      </c>
      <c r="D1068">
        <v>63</v>
      </c>
      <c r="E1068" t="s">
        <v>114</v>
      </c>
      <c r="F1068" t="s">
        <v>38</v>
      </c>
      <c r="G1068" t="s">
        <v>39</v>
      </c>
      <c r="H1068">
        <v>58698</v>
      </c>
      <c r="I1068">
        <v>0</v>
      </c>
      <c r="J1068">
        <v>0</v>
      </c>
      <c r="K1068">
        <v>0</v>
      </c>
      <c r="L1068">
        <v>1</v>
      </c>
      <c r="M1068" t="s">
        <v>36</v>
      </c>
      <c r="N1068" t="s">
        <v>36</v>
      </c>
      <c r="O1068" t="s">
        <v>36</v>
      </c>
      <c r="P1068" t="s">
        <v>37</v>
      </c>
      <c r="Q1068" t="s">
        <v>36</v>
      </c>
      <c r="R1068" t="s">
        <v>36</v>
      </c>
      <c r="S1068" t="s">
        <v>36</v>
      </c>
      <c r="T1068" t="s">
        <v>36</v>
      </c>
      <c r="U1068" t="s">
        <v>36</v>
      </c>
      <c r="V1068" t="s">
        <v>36</v>
      </c>
      <c r="W1068" t="s">
        <v>36</v>
      </c>
      <c r="X1068" t="s">
        <v>36</v>
      </c>
      <c r="Y1068" t="s">
        <v>36</v>
      </c>
      <c r="Z1068" t="s">
        <v>36</v>
      </c>
      <c r="AA1068" t="s">
        <v>36</v>
      </c>
      <c r="AB1068" t="s">
        <v>36</v>
      </c>
      <c r="AC1068" t="s">
        <v>36</v>
      </c>
      <c r="AD1068" t="s">
        <v>36</v>
      </c>
      <c r="AE1068" t="s">
        <v>36</v>
      </c>
      <c r="AF1068" t="s">
        <v>36</v>
      </c>
      <c r="AG1068" t="s">
        <v>36</v>
      </c>
    </row>
    <row r="1069" spans="1:33" x14ac:dyDescent="0.2">
      <c r="A1069">
        <v>1068</v>
      </c>
      <c r="B1069" t="s">
        <v>362</v>
      </c>
      <c r="C1069" t="s">
        <v>108</v>
      </c>
      <c r="D1069">
        <v>63</v>
      </c>
      <c r="E1069" t="s">
        <v>114</v>
      </c>
      <c r="F1069" t="s">
        <v>41</v>
      </c>
      <c r="G1069" t="s">
        <v>42</v>
      </c>
      <c r="H1069">
        <v>56971</v>
      </c>
      <c r="I1069">
        <v>1</v>
      </c>
      <c r="J1069">
        <v>1</v>
      </c>
      <c r="K1069">
        <v>0</v>
      </c>
      <c r="L1069">
        <v>0</v>
      </c>
      <c r="M1069" t="s">
        <v>44</v>
      </c>
      <c r="N1069" t="s">
        <v>82</v>
      </c>
      <c r="O1069" t="s">
        <v>43</v>
      </c>
      <c r="P1069" t="s">
        <v>37</v>
      </c>
      <c r="Q1069" t="s">
        <v>47</v>
      </c>
      <c r="R1069" t="s">
        <v>65</v>
      </c>
      <c r="S1069" t="s">
        <v>46</v>
      </c>
      <c r="T1069">
        <v>0</v>
      </c>
      <c r="U1069">
        <v>1</v>
      </c>
      <c r="V1069">
        <v>0</v>
      </c>
      <c r="W1069">
        <v>1</v>
      </c>
      <c r="X1069">
        <v>1</v>
      </c>
      <c r="Y1069">
        <v>0</v>
      </c>
      <c r="Z1069">
        <v>1</v>
      </c>
      <c r="AA1069">
        <v>0</v>
      </c>
      <c r="AB1069">
        <v>1</v>
      </c>
      <c r="AC1069">
        <v>0</v>
      </c>
      <c r="AD1069">
        <v>1</v>
      </c>
      <c r="AE1069">
        <v>0</v>
      </c>
      <c r="AF1069">
        <v>0</v>
      </c>
      <c r="AG1069">
        <v>0</v>
      </c>
    </row>
    <row r="1070" spans="1:33" x14ac:dyDescent="0.2">
      <c r="A1070">
        <v>1069</v>
      </c>
      <c r="B1070" t="s">
        <v>362</v>
      </c>
      <c r="C1070" t="s">
        <v>108</v>
      </c>
      <c r="D1070">
        <v>63</v>
      </c>
      <c r="E1070" t="s">
        <v>114</v>
      </c>
      <c r="F1070" t="s">
        <v>41</v>
      </c>
      <c r="G1070" t="s">
        <v>49</v>
      </c>
      <c r="H1070">
        <v>22782</v>
      </c>
      <c r="I1070">
        <v>0</v>
      </c>
      <c r="J1070">
        <v>1</v>
      </c>
      <c r="K1070">
        <v>0</v>
      </c>
      <c r="L1070">
        <v>0</v>
      </c>
      <c r="M1070" t="s">
        <v>52</v>
      </c>
      <c r="N1070" t="s">
        <v>51</v>
      </c>
      <c r="O1070" t="s">
        <v>50</v>
      </c>
      <c r="P1070" t="s">
        <v>37</v>
      </c>
      <c r="Q1070" t="s">
        <v>46</v>
      </c>
      <c r="R1070" t="s">
        <v>47</v>
      </c>
      <c r="S1070" t="s">
        <v>48</v>
      </c>
      <c r="T1070">
        <v>0</v>
      </c>
      <c r="U1070">
        <v>0</v>
      </c>
      <c r="V1070">
        <v>1</v>
      </c>
      <c r="W1070">
        <v>1</v>
      </c>
      <c r="X1070">
        <v>1</v>
      </c>
      <c r="Y1070">
        <v>0</v>
      </c>
      <c r="Z1070">
        <v>1</v>
      </c>
      <c r="AA1070">
        <v>0</v>
      </c>
      <c r="AB1070">
        <v>0</v>
      </c>
      <c r="AC1070">
        <v>0</v>
      </c>
      <c r="AD1070">
        <v>1</v>
      </c>
      <c r="AE1070">
        <v>0</v>
      </c>
      <c r="AF1070">
        <v>0</v>
      </c>
      <c r="AG1070">
        <v>0</v>
      </c>
    </row>
    <row r="1071" spans="1:33" hidden="1" x14ac:dyDescent="0.2">
      <c r="A1071">
        <v>1070</v>
      </c>
      <c r="B1071" t="s">
        <v>362</v>
      </c>
      <c r="C1071" t="s">
        <v>108</v>
      </c>
      <c r="D1071">
        <v>63</v>
      </c>
      <c r="E1071" t="s">
        <v>114</v>
      </c>
      <c r="F1071" t="s">
        <v>53</v>
      </c>
      <c r="G1071" t="s">
        <v>54</v>
      </c>
      <c r="H1071">
        <v>34447</v>
      </c>
      <c r="I1071">
        <v>0</v>
      </c>
      <c r="J1071">
        <v>1</v>
      </c>
      <c r="K1071">
        <v>0</v>
      </c>
      <c r="L1071">
        <v>0</v>
      </c>
      <c r="M1071" t="s">
        <v>36</v>
      </c>
      <c r="N1071" t="s">
        <v>36</v>
      </c>
      <c r="O1071" t="s">
        <v>36</v>
      </c>
      <c r="P1071" t="s">
        <v>37</v>
      </c>
      <c r="Q1071" t="s">
        <v>36</v>
      </c>
      <c r="R1071" t="s">
        <v>36</v>
      </c>
      <c r="S1071" t="s">
        <v>36</v>
      </c>
      <c r="T1071" t="s">
        <v>36</v>
      </c>
      <c r="U1071">
        <v>0</v>
      </c>
      <c r="V1071">
        <v>1</v>
      </c>
      <c r="W1071">
        <v>1</v>
      </c>
      <c r="X1071">
        <v>1</v>
      </c>
      <c r="Y1071">
        <v>0</v>
      </c>
      <c r="Z1071">
        <v>1</v>
      </c>
      <c r="AA1071">
        <v>0</v>
      </c>
      <c r="AB1071">
        <v>0</v>
      </c>
      <c r="AC1071">
        <v>0</v>
      </c>
      <c r="AD1071">
        <v>1</v>
      </c>
      <c r="AE1071">
        <v>0</v>
      </c>
      <c r="AF1071">
        <v>0</v>
      </c>
      <c r="AG1071">
        <v>0</v>
      </c>
    </row>
    <row r="1072" spans="1:33" x14ac:dyDescent="0.2">
      <c r="A1072">
        <v>1071</v>
      </c>
      <c r="B1072" t="s">
        <v>362</v>
      </c>
      <c r="C1072" t="s">
        <v>108</v>
      </c>
      <c r="D1072">
        <v>63</v>
      </c>
      <c r="E1072" t="s">
        <v>114</v>
      </c>
      <c r="F1072" t="s">
        <v>41</v>
      </c>
      <c r="G1072" t="s">
        <v>55</v>
      </c>
      <c r="H1072">
        <v>30806</v>
      </c>
      <c r="I1072">
        <v>0</v>
      </c>
      <c r="J1072">
        <v>0</v>
      </c>
      <c r="K1072">
        <v>0</v>
      </c>
      <c r="L1072">
        <v>1</v>
      </c>
      <c r="M1072" t="s">
        <v>56</v>
      </c>
      <c r="N1072" t="s">
        <v>84</v>
      </c>
      <c r="O1072" t="s">
        <v>57</v>
      </c>
      <c r="P1072" t="s">
        <v>37</v>
      </c>
      <c r="Q1072" t="s">
        <v>59</v>
      </c>
      <c r="R1072" t="s">
        <v>46</v>
      </c>
      <c r="S1072" t="s">
        <v>48</v>
      </c>
      <c r="T1072">
        <v>0</v>
      </c>
      <c r="U1072">
        <v>0</v>
      </c>
      <c r="V1072">
        <v>1</v>
      </c>
      <c r="W1072">
        <v>0</v>
      </c>
      <c r="X1072">
        <v>1</v>
      </c>
      <c r="Y1072">
        <v>0</v>
      </c>
      <c r="Z1072">
        <v>1</v>
      </c>
      <c r="AA1072">
        <v>0</v>
      </c>
      <c r="AB1072">
        <v>0</v>
      </c>
      <c r="AC1072">
        <v>0</v>
      </c>
      <c r="AD1072">
        <v>0</v>
      </c>
      <c r="AE1072">
        <v>0</v>
      </c>
      <c r="AF1072">
        <v>0</v>
      </c>
      <c r="AG1072">
        <v>1</v>
      </c>
    </row>
    <row r="1073" spans="1:33" x14ac:dyDescent="0.2">
      <c r="A1073">
        <v>1072</v>
      </c>
      <c r="B1073" t="s">
        <v>362</v>
      </c>
      <c r="C1073" t="s">
        <v>108</v>
      </c>
      <c r="D1073">
        <v>63</v>
      </c>
      <c r="E1073" t="s">
        <v>114</v>
      </c>
      <c r="F1073" t="s">
        <v>41</v>
      </c>
      <c r="G1073" t="s">
        <v>72</v>
      </c>
      <c r="H1073">
        <v>18025</v>
      </c>
      <c r="I1073">
        <v>0</v>
      </c>
      <c r="J1073">
        <v>1</v>
      </c>
      <c r="K1073">
        <v>0</v>
      </c>
      <c r="L1073">
        <v>1</v>
      </c>
      <c r="M1073" t="s">
        <v>75</v>
      </c>
      <c r="N1073" t="s">
        <v>74</v>
      </c>
      <c r="O1073" t="s">
        <v>93</v>
      </c>
      <c r="P1073" t="s">
        <v>37</v>
      </c>
      <c r="Q1073" t="s">
        <v>46</v>
      </c>
      <c r="R1073" t="s">
        <v>47</v>
      </c>
      <c r="S1073" t="s">
        <v>59</v>
      </c>
      <c r="T1073">
        <v>0</v>
      </c>
      <c r="U1073">
        <v>0</v>
      </c>
      <c r="V1073">
        <v>0</v>
      </c>
      <c r="W1073">
        <v>1</v>
      </c>
      <c r="X1073">
        <v>1</v>
      </c>
      <c r="Y1073">
        <v>0</v>
      </c>
      <c r="Z1073">
        <v>1</v>
      </c>
      <c r="AA1073">
        <v>0</v>
      </c>
      <c r="AB1073">
        <v>0</v>
      </c>
      <c r="AC1073">
        <v>0</v>
      </c>
      <c r="AD1073">
        <v>1</v>
      </c>
      <c r="AE1073">
        <v>0</v>
      </c>
      <c r="AF1073">
        <v>0</v>
      </c>
      <c r="AG1073">
        <v>1</v>
      </c>
    </row>
    <row r="1074" spans="1:33" hidden="1" x14ac:dyDescent="0.2">
      <c r="A1074">
        <v>1073</v>
      </c>
      <c r="B1074" t="s">
        <v>362</v>
      </c>
      <c r="C1074" t="s">
        <v>108</v>
      </c>
      <c r="D1074">
        <v>63</v>
      </c>
      <c r="E1074" t="s">
        <v>114</v>
      </c>
      <c r="F1074" t="s">
        <v>53</v>
      </c>
      <c r="G1074" t="s">
        <v>66</v>
      </c>
      <c r="H1074">
        <v>32168</v>
      </c>
      <c r="I1074">
        <v>0</v>
      </c>
      <c r="J1074">
        <v>0</v>
      </c>
      <c r="K1074">
        <v>0</v>
      </c>
      <c r="L1074">
        <v>1</v>
      </c>
      <c r="M1074" t="s">
        <v>36</v>
      </c>
      <c r="N1074" t="s">
        <v>36</v>
      </c>
      <c r="O1074" t="s">
        <v>36</v>
      </c>
      <c r="P1074" t="s">
        <v>37</v>
      </c>
      <c r="Q1074" t="s">
        <v>36</v>
      </c>
      <c r="R1074" t="s">
        <v>36</v>
      </c>
      <c r="S1074" t="s">
        <v>36</v>
      </c>
      <c r="T1074" t="s">
        <v>36</v>
      </c>
      <c r="U1074">
        <v>0</v>
      </c>
      <c r="V1074">
        <v>0</v>
      </c>
      <c r="W1074">
        <v>1</v>
      </c>
      <c r="X1074">
        <v>1</v>
      </c>
      <c r="Y1074">
        <v>0</v>
      </c>
      <c r="Z1074">
        <v>1</v>
      </c>
      <c r="AA1074">
        <v>0</v>
      </c>
      <c r="AB1074">
        <v>0</v>
      </c>
      <c r="AC1074">
        <v>0</v>
      </c>
      <c r="AD1074">
        <v>1</v>
      </c>
      <c r="AE1074">
        <v>0</v>
      </c>
      <c r="AF1074">
        <v>0</v>
      </c>
      <c r="AG1074">
        <v>1</v>
      </c>
    </row>
    <row r="1075" spans="1:33" x14ac:dyDescent="0.2">
      <c r="A1075">
        <v>1074</v>
      </c>
      <c r="B1075" t="s">
        <v>362</v>
      </c>
      <c r="C1075" t="s">
        <v>108</v>
      </c>
      <c r="D1075">
        <v>63</v>
      </c>
      <c r="E1075" t="s">
        <v>114</v>
      </c>
      <c r="F1075" t="s">
        <v>41</v>
      </c>
      <c r="G1075" t="s">
        <v>61</v>
      </c>
      <c r="H1075">
        <v>21170</v>
      </c>
      <c r="I1075">
        <v>0</v>
      </c>
      <c r="J1075">
        <v>0</v>
      </c>
      <c r="K1075">
        <v>0</v>
      </c>
      <c r="L1075">
        <v>1</v>
      </c>
      <c r="M1075" t="s">
        <v>97</v>
      </c>
      <c r="N1075" t="s">
        <v>64</v>
      </c>
      <c r="O1075" t="s">
        <v>63</v>
      </c>
      <c r="P1075" t="s">
        <v>37</v>
      </c>
      <c r="Q1075" t="s">
        <v>59</v>
      </c>
      <c r="R1075" t="s">
        <v>48</v>
      </c>
      <c r="S1075" t="s">
        <v>46</v>
      </c>
      <c r="T1075">
        <v>0</v>
      </c>
      <c r="U1075">
        <v>0</v>
      </c>
      <c r="V1075">
        <v>1</v>
      </c>
      <c r="W1075">
        <v>0</v>
      </c>
      <c r="X1075">
        <v>1</v>
      </c>
      <c r="Y1075">
        <v>0</v>
      </c>
      <c r="Z1075">
        <v>1</v>
      </c>
      <c r="AA1075">
        <v>0</v>
      </c>
      <c r="AB1075">
        <v>0</v>
      </c>
      <c r="AC1075">
        <v>0</v>
      </c>
      <c r="AD1075">
        <v>0</v>
      </c>
      <c r="AE1075">
        <v>0</v>
      </c>
      <c r="AF1075">
        <v>0</v>
      </c>
      <c r="AG1075">
        <v>1</v>
      </c>
    </row>
    <row r="1076" spans="1:33" hidden="1" x14ac:dyDescent="0.2">
      <c r="A1076">
        <v>1075</v>
      </c>
      <c r="B1076" t="s">
        <v>362</v>
      </c>
      <c r="C1076" t="s">
        <v>108</v>
      </c>
      <c r="D1076">
        <v>63</v>
      </c>
      <c r="E1076" t="s">
        <v>114</v>
      </c>
      <c r="F1076" t="s">
        <v>53</v>
      </c>
      <c r="G1076" t="s">
        <v>76</v>
      </c>
      <c r="H1076">
        <v>23394</v>
      </c>
      <c r="I1076">
        <v>1</v>
      </c>
      <c r="J1076">
        <v>1</v>
      </c>
      <c r="K1076">
        <v>0</v>
      </c>
      <c r="L1076">
        <v>0</v>
      </c>
      <c r="M1076" t="s">
        <v>36</v>
      </c>
      <c r="N1076" t="s">
        <v>36</v>
      </c>
      <c r="O1076" t="s">
        <v>36</v>
      </c>
      <c r="P1076" t="s">
        <v>37</v>
      </c>
      <c r="Q1076" t="s">
        <v>36</v>
      </c>
      <c r="R1076" t="s">
        <v>36</v>
      </c>
      <c r="S1076" t="s">
        <v>36</v>
      </c>
      <c r="T1076" t="s">
        <v>36</v>
      </c>
      <c r="U1076">
        <v>0</v>
      </c>
      <c r="V1076">
        <v>1</v>
      </c>
      <c r="W1076">
        <v>0</v>
      </c>
      <c r="X1076">
        <v>1</v>
      </c>
      <c r="Y1076">
        <v>0</v>
      </c>
      <c r="Z1076">
        <v>1</v>
      </c>
      <c r="AA1076">
        <v>0</v>
      </c>
      <c r="AB1076">
        <v>0</v>
      </c>
      <c r="AC1076">
        <v>0</v>
      </c>
      <c r="AD1076">
        <v>0</v>
      </c>
      <c r="AE1076">
        <v>0</v>
      </c>
      <c r="AF1076">
        <v>0</v>
      </c>
      <c r="AG1076">
        <v>1</v>
      </c>
    </row>
    <row r="1077" spans="1:33" x14ac:dyDescent="0.2">
      <c r="A1077">
        <v>1076</v>
      </c>
      <c r="B1077" t="s">
        <v>362</v>
      </c>
      <c r="C1077" t="s">
        <v>108</v>
      </c>
      <c r="D1077">
        <v>63</v>
      </c>
      <c r="E1077" t="s">
        <v>114</v>
      </c>
      <c r="F1077" t="s">
        <v>41</v>
      </c>
      <c r="G1077" t="s">
        <v>67</v>
      </c>
      <c r="H1077">
        <v>18525</v>
      </c>
      <c r="I1077">
        <v>0</v>
      </c>
      <c r="J1077">
        <v>0</v>
      </c>
      <c r="K1077">
        <v>1</v>
      </c>
      <c r="L1077">
        <v>0</v>
      </c>
      <c r="M1077" t="s">
        <v>69</v>
      </c>
      <c r="N1077" t="s">
        <v>86</v>
      </c>
      <c r="O1077" t="s">
        <v>68</v>
      </c>
      <c r="P1077" t="s">
        <v>37</v>
      </c>
      <c r="Q1077" t="s">
        <v>48</v>
      </c>
      <c r="R1077" t="s">
        <v>46</v>
      </c>
      <c r="S1077" t="s">
        <v>65</v>
      </c>
      <c r="T1077">
        <v>0</v>
      </c>
      <c r="U1077">
        <v>1</v>
      </c>
      <c r="V1077">
        <v>1</v>
      </c>
      <c r="W1077">
        <v>0</v>
      </c>
      <c r="X1077">
        <v>1</v>
      </c>
      <c r="Y1077">
        <v>0</v>
      </c>
      <c r="Z1077">
        <v>1</v>
      </c>
      <c r="AA1077">
        <v>0</v>
      </c>
      <c r="AB1077">
        <v>1</v>
      </c>
      <c r="AC1077">
        <v>0</v>
      </c>
      <c r="AD1077">
        <v>0</v>
      </c>
      <c r="AE1077">
        <v>0</v>
      </c>
      <c r="AF1077">
        <v>0</v>
      </c>
      <c r="AG1077">
        <v>0</v>
      </c>
    </row>
    <row r="1078" spans="1:33" hidden="1" x14ac:dyDescent="0.2">
      <c r="A1078">
        <v>1077</v>
      </c>
      <c r="B1078" t="s">
        <v>362</v>
      </c>
      <c r="C1078" t="s">
        <v>108</v>
      </c>
      <c r="D1078">
        <v>63</v>
      </c>
      <c r="E1078" t="s">
        <v>114</v>
      </c>
      <c r="F1078" t="s">
        <v>53</v>
      </c>
      <c r="G1078" t="s">
        <v>71</v>
      </c>
      <c r="H1078">
        <v>28352</v>
      </c>
      <c r="I1078">
        <v>0</v>
      </c>
      <c r="J1078">
        <v>0</v>
      </c>
      <c r="K1078">
        <v>0</v>
      </c>
      <c r="L1078">
        <v>1</v>
      </c>
      <c r="M1078" t="s">
        <v>36</v>
      </c>
      <c r="N1078" t="s">
        <v>36</v>
      </c>
      <c r="O1078" t="s">
        <v>36</v>
      </c>
      <c r="P1078" t="s">
        <v>37</v>
      </c>
      <c r="Q1078" t="s">
        <v>36</v>
      </c>
      <c r="R1078" t="s">
        <v>36</v>
      </c>
      <c r="S1078" t="s">
        <v>36</v>
      </c>
      <c r="T1078" t="s">
        <v>36</v>
      </c>
      <c r="U1078">
        <v>1</v>
      </c>
      <c r="V1078">
        <v>1</v>
      </c>
      <c r="W1078">
        <v>0</v>
      </c>
      <c r="X1078">
        <v>1</v>
      </c>
      <c r="Y1078">
        <v>0</v>
      </c>
      <c r="Z1078">
        <v>1</v>
      </c>
      <c r="AA1078">
        <v>0</v>
      </c>
      <c r="AB1078">
        <v>1</v>
      </c>
      <c r="AC1078">
        <v>0</v>
      </c>
      <c r="AD1078">
        <v>0</v>
      </c>
      <c r="AE1078">
        <v>0</v>
      </c>
      <c r="AF1078">
        <v>0</v>
      </c>
      <c r="AG1078">
        <v>0</v>
      </c>
    </row>
    <row r="1079" spans="1:33" hidden="1" x14ac:dyDescent="0.2">
      <c r="A1079">
        <v>1078</v>
      </c>
      <c r="B1079" t="s">
        <v>362</v>
      </c>
      <c r="C1079" t="s">
        <v>108</v>
      </c>
      <c r="D1079">
        <v>63</v>
      </c>
      <c r="E1079" t="s">
        <v>114</v>
      </c>
      <c r="F1079" t="s">
        <v>77</v>
      </c>
      <c r="G1079" t="s">
        <v>36</v>
      </c>
      <c r="H1079">
        <v>53409</v>
      </c>
      <c r="I1079" t="s">
        <v>363</v>
      </c>
      <c r="J1079" t="s">
        <v>364</v>
      </c>
      <c r="K1079" t="s">
        <v>365</v>
      </c>
      <c r="L1079" t="s">
        <v>36</v>
      </c>
      <c r="M1079" t="s">
        <v>36</v>
      </c>
      <c r="N1079" t="s">
        <v>36</v>
      </c>
      <c r="O1079" t="s">
        <v>36</v>
      </c>
      <c r="P1079" t="s">
        <v>37</v>
      </c>
      <c r="Q1079" t="s">
        <v>36</v>
      </c>
      <c r="R1079" t="s">
        <v>36</v>
      </c>
      <c r="S1079" t="s">
        <v>36</v>
      </c>
      <c r="T1079" t="s">
        <v>36</v>
      </c>
      <c r="U1079" t="s">
        <v>36</v>
      </c>
      <c r="V1079" t="s">
        <v>36</v>
      </c>
      <c r="W1079" t="s">
        <v>36</v>
      </c>
      <c r="X1079" t="s">
        <v>36</v>
      </c>
      <c r="Y1079" t="s">
        <v>36</v>
      </c>
      <c r="Z1079" t="s">
        <v>36</v>
      </c>
      <c r="AA1079" t="s">
        <v>36</v>
      </c>
      <c r="AB1079" t="s">
        <v>36</v>
      </c>
      <c r="AC1079" t="s">
        <v>36</v>
      </c>
      <c r="AD1079" t="s">
        <v>36</v>
      </c>
      <c r="AE1079" t="s">
        <v>36</v>
      </c>
      <c r="AF1079" t="s">
        <v>36</v>
      </c>
      <c r="AG1079" t="s">
        <v>36</v>
      </c>
    </row>
    <row r="1080" spans="1:33" hidden="1" x14ac:dyDescent="0.2">
      <c r="A1080">
        <v>1079</v>
      </c>
      <c r="B1080" t="s">
        <v>366</v>
      </c>
      <c r="C1080" t="s">
        <v>108</v>
      </c>
      <c r="D1080">
        <v>47</v>
      </c>
      <c r="E1080" t="s">
        <v>34</v>
      </c>
      <c r="F1080" t="s">
        <v>35</v>
      </c>
      <c r="G1080" t="s">
        <v>36</v>
      </c>
      <c r="H1080">
        <v>364536</v>
      </c>
      <c r="I1080" t="s">
        <v>36</v>
      </c>
      <c r="J1080" t="s">
        <v>36</v>
      </c>
      <c r="K1080" t="s">
        <v>36</v>
      </c>
      <c r="L1080" t="s">
        <v>36</v>
      </c>
      <c r="M1080" t="s">
        <v>36</v>
      </c>
      <c r="N1080" t="s">
        <v>36</v>
      </c>
      <c r="O1080" t="s">
        <v>36</v>
      </c>
      <c r="P1080" t="s">
        <v>37</v>
      </c>
      <c r="Q1080" t="s">
        <v>36</v>
      </c>
      <c r="R1080" t="s">
        <v>36</v>
      </c>
      <c r="S1080" t="s">
        <v>36</v>
      </c>
      <c r="T1080" t="s">
        <v>36</v>
      </c>
      <c r="U1080" t="s">
        <v>36</v>
      </c>
      <c r="V1080" t="s">
        <v>36</v>
      </c>
      <c r="W1080" t="s">
        <v>36</v>
      </c>
      <c r="X1080" t="s">
        <v>36</v>
      </c>
      <c r="Y1080" t="s">
        <v>36</v>
      </c>
      <c r="Z1080" t="s">
        <v>36</v>
      </c>
      <c r="AA1080" t="s">
        <v>36</v>
      </c>
      <c r="AB1080" t="s">
        <v>36</v>
      </c>
      <c r="AC1080" t="s">
        <v>36</v>
      </c>
      <c r="AD1080" t="s">
        <v>36</v>
      </c>
      <c r="AE1080" t="s">
        <v>36</v>
      </c>
      <c r="AF1080" t="s">
        <v>36</v>
      </c>
      <c r="AG1080" t="s">
        <v>36</v>
      </c>
    </row>
    <row r="1081" spans="1:33" hidden="1" x14ac:dyDescent="0.2">
      <c r="A1081">
        <v>1080</v>
      </c>
      <c r="B1081" t="s">
        <v>366</v>
      </c>
      <c r="C1081" t="s">
        <v>108</v>
      </c>
      <c r="D1081">
        <v>47</v>
      </c>
      <c r="E1081" t="s">
        <v>34</v>
      </c>
      <c r="F1081" t="s">
        <v>38</v>
      </c>
      <c r="G1081" t="s">
        <v>40</v>
      </c>
      <c r="H1081">
        <v>54297</v>
      </c>
      <c r="I1081">
        <v>0</v>
      </c>
      <c r="J1081">
        <v>1</v>
      </c>
      <c r="K1081">
        <v>1</v>
      </c>
      <c r="L1081">
        <v>0</v>
      </c>
      <c r="M1081" t="s">
        <v>36</v>
      </c>
      <c r="N1081" t="s">
        <v>36</v>
      </c>
      <c r="O1081" t="s">
        <v>36</v>
      </c>
      <c r="P1081" t="s">
        <v>37</v>
      </c>
      <c r="Q1081" t="s">
        <v>36</v>
      </c>
      <c r="R1081" t="s">
        <v>36</v>
      </c>
      <c r="S1081" t="s">
        <v>36</v>
      </c>
      <c r="T1081" t="s">
        <v>36</v>
      </c>
      <c r="U1081" t="s">
        <v>36</v>
      </c>
      <c r="V1081" t="s">
        <v>36</v>
      </c>
      <c r="W1081" t="s">
        <v>36</v>
      </c>
      <c r="X1081" t="s">
        <v>36</v>
      </c>
      <c r="Y1081" t="s">
        <v>36</v>
      </c>
      <c r="Z1081" t="s">
        <v>36</v>
      </c>
      <c r="AA1081" t="s">
        <v>36</v>
      </c>
      <c r="AB1081" t="s">
        <v>36</v>
      </c>
      <c r="AC1081" t="s">
        <v>36</v>
      </c>
      <c r="AD1081" t="s">
        <v>36</v>
      </c>
      <c r="AE1081" t="s">
        <v>36</v>
      </c>
      <c r="AF1081" t="s">
        <v>36</v>
      </c>
      <c r="AG1081" t="s">
        <v>36</v>
      </c>
    </row>
    <row r="1082" spans="1:33" hidden="1" x14ac:dyDescent="0.2">
      <c r="A1082">
        <v>1081</v>
      </c>
      <c r="B1082" t="s">
        <v>366</v>
      </c>
      <c r="C1082" t="s">
        <v>108</v>
      </c>
      <c r="D1082">
        <v>47</v>
      </c>
      <c r="E1082" t="s">
        <v>34</v>
      </c>
      <c r="F1082" t="s">
        <v>38</v>
      </c>
      <c r="G1082" t="s">
        <v>39</v>
      </c>
      <c r="H1082">
        <v>33266</v>
      </c>
      <c r="I1082">
        <v>0</v>
      </c>
      <c r="J1082">
        <v>0</v>
      </c>
      <c r="K1082">
        <v>0</v>
      </c>
      <c r="L1082">
        <v>1</v>
      </c>
      <c r="M1082" t="s">
        <v>36</v>
      </c>
      <c r="N1082" t="s">
        <v>36</v>
      </c>
      <c r="O1082" t="s">
        <v>36</v>
      </c>
      <c r="P1082" t="s">
        <v>37</v>
      </c>
      <c r="Q1082" t="s">
        <v>36</v>
      </c>
      <c r="R1082" t="s">
        <v>36</v>
      </c>
      <c r="S1082" t="s">
        <v>36</v>
      </c>
      <c r="T1082" t="s">
        <v>36</v>
      </c>
      <c r="U1082" t="s">
        <v>36</v>
      </c>
      <c r="V1082" t="s">
        <v>36</v>
      </c>
      <c r="W1082" t="s">
        <v>36</v>
      </c>
      <c r="X1082" t="s">
        <v>36</v>
      </c>
      <c r="Y1082" t="s">
        <v>36</v>
      </c>
      <c r="Z1082" t="s">
        <v>36</v>
      </c>
      <c r="AA1082" t="s">
        <v>36</v>
      </c>
      <c r="AB1082" t="s">
        <v>36</v>
      </c>
      <c r="AC1082" t="s">
        <v>36</v>
      </c>
      <c r="AD1082" t="s">
        <v>36</v>
      </c>
      <c r="AE1082" t="s">
        <v>36</v>
      </c>
      <c r="AF1082" t="s">
        <v>36</v>
      </c>
      <c r="AG1082" t="s">
        <v>36</v>
      </c>
    </row>
    <row r="1083" spans="1:33" x14ac:dyDescent="0.2">
      <c r="A1083">
        <v>1082</v>
      </c>
      <c r="B1083" t="s">
        <v>366</v>
      </c>
      <c r="C1083" t="s">
        <v>108</v>
      </c>
      <c r="D1083">
        <v>47</v>
      </c>
      <c r="E1083" t="s">
        <v>34</v>
      </c>
      <c r="F1083" t="s">
        <v>41</v>
      </c>
      <c r="G1083" t="s">
        <v>55</v>
      </c>
      <c r="H1083">
        <v>45085</v>
      </c>
      <c r="I1083">
        <v>0</v>
      </c>
      <c r="J1083">
        <v>1</v>
      </c>
      <c r="K1083">
        <v>0</v>
      </c>
      <c r="L1083">
        <v>0</v>
      </c>
      <c r="M1083" t="s">
        <v>84</v>
      </c>
      <c r="N1083" t="s">
        <v>85</v>
      </c>
      <c r="O1083" t="s">
        <v>56</v>
      </c>
      <c r="P1083" t="s">
        <v>37</v>
      </c>
      <c r="Q1083" t="s">
        <v>46</v>
      </c>
      <c r="R1083" t="s">
        <v>65</v>
      </c>
      <c r="S1083" t="s">
        <v>59</v>
      </c>
      <c r="T1083">
        <v>0</v>
      </c>
      <c r="U1083">
        <v>1</v>
      </c>
      <c r="V1083">
        <v>0</v>
      </c>
      <c r="W1083">
        <v>0</v>
      </c>
      <c r="X1083">
        <v>1</v>
      </c>
      <c r="Y1083">
        <v>0</v>
      </c>
      <c r="Z1083">
        <v>1</v>
      </c>
      <c r="AA1083">
        <v>0</v>
      </c>
      <c r="AB1083">
        <v>1</v>
      </c>
      <c r="AC1083">
        <v>0</v>
      </c>
      <c r="AD1083">
        <v>0</v>
      </c>
      <c r="AE1083">
        <v>0</v>
      </c>
      <c r="AF1083">
        <v>0</v>
      </c>
      <c r="AG1083">
        <v>0</v>
      </c>
    </row>
    <row r="1084" spans="1:33" x14ac:dyDescent="0.2">
      <c r="A1084">
        <v>1083</v>
      </c>
      <c r="B1084" t="s">
        <v>366</v>
      </c>
      <c r="C1084" t="s">
        <v>108</v>
      </c>
      <c r="D1084">
        <v>47</v>
      </c>
      <c r="E1084" t="s">
        <v>34</v>
      </c>
      <c r="F1084" t="s">
        <v>41</v>
      </c>
      <c r="G1084" t="s">
        <v>72</v>
      </c>
      <c r="H1084">
        <v>61944</v>
      </c>
      <c r="I1084">
        <v>0</v>
      </c>
      <c r="J1084">
        <v>0</v>
      </c>
      <c r="K1084">
        <v>0</v>
      </c>
      <c r="L1084">
        <v>1</v>
      </c>
      <c r="M1084" t="s">
        <v>73</v>
      </c>
      <c r="N1084" t="s">
        <v>115</v>
      </c>
      <c r="O1084" t="s">
        <v>104</v>
      </c>
      <c r="P1084" t="s">
        <v>37</v>
      </c>
      <c r="Q1084" t="s">
        <v>48</v>
      </c>
      <c r="R1084" t="s">
        <v>65</v>
      </c>
      <c r="S1084" t="s">
        <v>60</v>
      </c>
      <c r="T1084">
        <v>1</v>
      </c>
      <c r="U1084">
        <v>1</v>
      </c>
      <c r="V1084">
        <v>1</v>
      </c>
      <c r="W1084">
        <v>0</v>
      </c>
      <c r="X1084">
        <v>0</v>
      </c>
      <c r="Y1084">
        <v>0</v>
      </c>
      <c r="Z1084">
        <v>1</v>
      </c>
      <c r="AA1084">
        <v>0</v>
      </c>
      <c r="AB1084">
        <v>0</v>
      </c>
      <c r="AC1084">
        <v>0</v>
      </c>
      <c r="AD1084">
        <v>0</v>
      </c>
      <c r="AE1084">
        <v>0</v>
      </c>
      <c r="AF1084">
        <v>0</v>
      </c>
      <c r="AG1084">
        <v>1</v>
      </c>
    </row>
    <row r="1085" spans="1:33" hidden="1" x14ac:dyDescent="0.2">
      <c r="A1085">
        <v>1084</v>
      </c>
      <c r="B1085" t="s">
        <v>366</v>
      </c>
      <c r="C1085" t="s">
        <v>108</v>
      </c>
      <c r="D1085">
        <v>47</v>
      </c>
      <c r="E1085" t="s">
        <v>34</v>
      </c>
      <c r="F1085" t="s">
        <v>53</v>
      </c>
      <c r="G1085" t="s">
        <v>71</v>
      </c>
      <c r="H1085">
        <v>46581</v>
      </c>
      <c r="I1085">
        <v>1</v>
      </c>
      <c r="J1085">
        <v>1</v>
      </c>
      <c r="K1085">
        <v>0</v>
      </c>
      <c r="L1085">
        <v>0</v>
      </c>
      <c r="M1085" t="s">
        <v>36</v>
      </c>
      <c r="N1085" t="s">
        <v>36</v>
      </c>
      <c r="O1085" t="s">
        <v>36</v>
      </c>
      <c r="P1085" t="s">
        <v>37</v>
      </c>
      <c r="Q1085" t="s">
        <v>36</v>
      </c>
      <c r="R1085" t="s">
        <v>36</v>
      </c>
      <c r="S1085" t="s">
        <v>36</v>
      </c>
      <c r="T1085" t="s">
        <v>36</v>
      </c>
      <c r="U1085">
        <v>1</v>
      </c>
      <c r="V1085">
        <v>1</v>
      </c>
      <c r="W1085">
        <v>0</v>
      </c>
      <c r="X1085">
        <v>0</v>
      </c>
      <c r="Y1085">
        <v>0</v>
      </c>
      <c r="Z1085">
        <v>1</v>
      </c>
      <c r="AA1085">
        <v>0</v>
      </c>
      <c r="AB1085">
        <v>0</v>
      </c>
      <c r="AC1085">
        <v>0</v>
      </c>
      <c r="AD1085">
        <v>0</v>
      </c>
      <c r="AE1085">
        <v>0</v>
      </c>
      <c r="AF1085">
        <v>0</v>
      </c>
      <c r="AG1085">
        <v>1</v>
      </c>
    </row>
    <row r="1086" spans="1:33" x14ac:dyDescent="0.2">
      <c r="A1086">
        <v>1085</v>
      </c>
      <c r="B1086" t="s">
        <v>366</v>
      </c>
      <c r="C1086" t="s">
        <v>108</v>
      </c>
      <c r="D1086">
        <v>47</v>
      </c>
      <c r="E1086" t="s">
        <v>34</v>
      </c>
      <c r="F1086" t="s">
        <v>41</v>
      </c>
      <c r="G1086" t="s">
        <v>49</v>
      </c>
      <c r="H1086">
        <v>30260</v>
      </c>
      <c r="I1086">
        <v>1</v>
      </c>
      <c r="J1086">
        <v>0</v>
      </c>
      <c r="K1086">
        <v>1</v>
      </c>
      <c r="L1086">
        <v>0</v>
      </c>
      <c r="M1086" t="s">
        <v>96</v>
      </c>
      <c r="N1086" t="s">
        <v>83</v>
      </c>
      <c r="O1086" t="s">
        <v>95</v>
      </c>
      <c r="P1086" t="s">
        <v>37</v>
      </c>
      <c r="Q1086" t="s">
        <v>65</v>
      </c>
      <c r="R1086" t="s">
        <v>59</v>
      </c>
      <c r="S1086" t="s">
        <v>60</v>
      </c>
      <c r="T1086">
        <v>1</v>
      </c>
      <c r="U1086">
        <v>1</v>
      </c>
      <c r="V1086">
        <v>0</v>
      </c>
      <c r="W1086">
        <v>0</v>
      </c>
      <c r="X1086">
        <v>0</v>
      </c>
      <c r="Y1086">
        <v>0</v>
      </c>
      <c r="Z1086">
        <v>1</v>
      </c>
      <c r="AA1086">
        <v>1</v>
      </c>
      <c r="AB1086">
        <v>1</v>
      </c>
      <c r="AC1086">
        <v>0</v>
      </c>
      <c r="AD1086">
        <v>0</v>
      </c>
      <c r="AE1086">
        <v>0</v>
      </c>
      <c r="AF1086">
        <v>0</v>
      </c>
      <c r="AG1086">
        <v>0</v>
      </c>
    </row>
    <row r="1087" spans="1:33" x14ac:dyDescent="0.2">
      <c r="A1087">
        <v>1086</v>
      </c>
      <c r="B1087" t="s">
        <v>366</v>
      </c>
      <c r="C1087" t="s">
        <v>108</v>
      </c>
      <c r="D1087">
        <v>47</v>
      </c>
      <c r="E1087" t="s">
        <v>34</v>
      </c>
      <c r="F1087" t="s">
        <v>41</v>
      </c>
      <c r="G1087" t="s">
        <v>42</v>
      </c>
      <c r="H1087">
        <v>16599</v>
      </c>
      <c r="I1087">
        <v>1</v>
      </c>
      <c r="J1087">
        <v>1</v>
      </c>
      <c r="K1087">
        <v>1</v>
      </c>
      <c r="L1087">
        <v>0</v>
      </c>
      <c r="M1087" t="s">
        <v>44</v>
      </c>
      <c r="N1087" t="s">
        <v>116</v>
      </c>
      <c r="O1087" t="s">
        <v>45</v>
      </c>
      <c r="P1087" t="s">
        <v>37</v>
      </c>
      <c r="Q1087" t="s">
        <v>47</v>
      </c>
      <c r="R1087" t="s">
        <v>60</v>
      </c>
      <c r="S1087" t="s">
        <v>48</v>
      </c>
      <c r="T1087">
        <v>1</v>
      </c>
      <c r="U1087">
        <v>0</v>
      </c>
      <c r="V1087">
        <v>1</v>
      </c>
      <c r="W1087">
        <v>1</v>
      </c>
      <c r="X1087">
        <v>0</v>
      </c>
      <c r="Y1087">
        <v>0</v>
      </c>
      <c r="Z1087">
        <v>1</v>
      </c>
      <c r="AA1087">
        <v>1</v>
      </c>
      <c r="AB1087">
        <v>0</v>
      </c>
      <c r="AC1087">
        <v>1</v>
      </c>
      <c r="AD1087">
        <v>1</v>
      </c>
      <c r="AE1087">
        <v>0</v>
      </c>
      <c r="AF1087">
        <v>0</v>
      </c>
      <c r="AG1087">
        <v>0</v>
      </c>
    </row>
    <row r="1088" spans="1:33" hidden="1" x14ac:dyDescent="0.2">
      <c r="A1088">
        <v>1087</v>
      </c>
      <c r="B1088" t="s">
        <v>366</v>
      </c>
      <c r="C1088" t="s">
        <v>108</v>
      </c>
      <c r="D1088">
        <v>47</v>
      </c>
      <c r="E1088" t="s">
        <v>34</v>
      </c>
      <c r="F1088" t="s">
        <v>53</v>
      </c>
      <c r="G1088" t="s">
        <v>76</v>
      </c>
      <c r="H1088">
        <v>23491</v>
      </c>
      <c r="I1088">
        <v>1</v>
      </c>
      <c r="J1088">
        <v>1</v>
      </c>
      <c r="K1088">
        <v>0</v>
      </c>
      <c r="L1088">
        <v>0</v>
      </c>
      <c r="M1088" t="s">
        <v>36</v>
      </c>
      <c r="N1088" t="s">
        <v>36</v>
      </c>
      <c r="O1088" t="s">
        <v>36</v>
      </c>
      <c r="P1088" t="s">
        <v>37</v>
      </c>
      <c r="Q1088" t="s">
        <v>36</v>
      </c>
      <c r="R1088" t="s">
        <v>36</v>
      </c>
      <c r="S1088" t="s">
        <v>36</v>
      </c>
      <c r="T1088" t="s">
        <v>36</v>
      </c>
      <c r="U1088">
        <v>0</v>
      </c>
      <c r="V1088">
        <v>1</v>
      </c>
      <c r="W1088">
        <v>1</v>
      </c>
      <c r="X1088">
        <v>0</v>
      </c>
      <c r="Y1088">
        <v>0</v>
      </c>
      <c r="Z1088">
        <v>1</v>
      </c>
      <c r="AA1088">
        <v>1</v>
      </c>
      <c r="AB1088">
        <v>0</v>
      </c>
      <c r="AC1088">
        <v>1</v>
      </c>
      <c r="AD1088">
        <v>1</v>
      </c>
      <c r="AE1088">
        <v>0</v>
      </c>
      <c r="AF1088">
        <v>0</v>
      </c>
      <c r="AG1088">
        <v>0</v>
      </c>
    </row>
    <row r="1089" spans="1:33" x14ac:dyDescent="0.2">
      <c r="A1089">
        <v>1088</v>
      </c>
      <c r="B1089" t="s">
        <v>366</v>
      </c>
      <c r="C1089" t="s">
        <v>108</v>
      </c>
      <c r="D1089">
        <v>47</v>
      </c>
      <c r="E1089" t="s">
        <v>34</v>
      </c>
      <c r="F1089" t="s">
        <v>41</v>
      </c>
      <c r="G1089" t="s">
        <v>67</v>
      </c>
      <c r="H1089">
        <v>18195</v>
      </c>
      <c r="I1089">
        <v>1</v>
      </c>
      <c r="J1089">
        <v>1</v>
      </c>
      <c r="K1089">
        <v>1</v>
      </c>
      <c r="L1089">
        <v>0</v>
      </c>
      <c r="M1089" t="s">
        <v>86</v>
      </c>
      <c r="N1089" t="s">
        <v>109</v>
      </c>
      <c r="O1089" t="s">
        <v>68</v>
      </c>
      <c r="P1089" t="s">
        <v>37</v>
      </c>
      <c r="Q1089" t="s">
        <v>46</v>
      </c>
      <c r="R1089" t="s">
        <v>59</v>
      </c>
      <c r="S1089" t="s">
        <v>65</v>
      </c>
      <c r="T1089">
        <v>0</v>
      </c>
      <c r="U1089">
        <v>1</v>
      </c>
      <c r="V1089">
        <v>0</v>
      </c>
      <c r="W1089">
        <v>0</v>
      </c>
      <c r="X1089">
        <v>1</v>
      </c>
      <c r="Y1089">
        <v>0</v>
      </c>
      <c r="Z1089">
        <v>1</v>
      </c>
      <c r="AA1089">
        <v>0</v>
      </c>
      <c r="AB1089">
        <v>1</v>
      </c>
      <c r="AC1089">
        <v>0</v>
      </c>
      <c r="AD1089">
        <v>0</v>
      </c>
      <c r="AE1089">
        <v>1</v>
      </c>
      <c r="AF1089">
        <v>0</v>
      </c>
      <c r="AG1089">
        <v>0</v>
      </c>
    </row>
    <row r="1090" spans="1:33" hidden="1" x14ac:dyDescent="0.2">
      <c r="A1090">
        <v>1089</v>
      </c>
      <c r="B1090" t="s">
        <v>366</v>
      </c>
      <c r="C1090" t="s">
        <v>108</v>
      </c>
      <c r="D1090">
        <v>47</v>
      </c>
      <c r="E1090" t="s">
        <v>34</v>
      </c>
      <c r="F1090" t="s">
        <v>53</v>
      </c>
      <c r="G1090" t="s">
        <v>66</v>
      </c>
      <c r="H1090">
        <v>36090</v>
      </c>
      <c r="I1090">
        <v>1</v>
      </c>
      <c r="J1090">
        <v>1</v>
      </c>
      <c r="K1090">
        <v>0</v>
      </c>
      <c r="L1090">
        <v>0</v>
      </c>
      <c r="M1090" t="s">
        <v>36</v>
      </c>
      <c r="N1090" t="s">
        <v>36</v>
      </c>
      <c r="O1090" t="s">
        <v>36</v>
      </c>
      <c r="P1090" t="s">
        <v>37</v>
      </c>
      <c r="Q1090" t="s">
        <v>36</v>
      </c>
      <c r="R1090" t="s">
        <v>36</v>
      </c>
      <c r="S1090" t="s">
        <v>36</v>
      </c>
      <c r="T1090" t="s">
        <v>36</v>
      </c>
      <c r="U1090">
        <v>1</v>
      </c>
      <c r="V1090">
        <v>0</v>
      </c>
      <c r="W1090">
        <v>0</v>
      </c>
      <c r="X1090">
        <v>1</v>
      </c>
      <c r="Y1090">
        <v>0</v>
      </c>
      <c r="Z1090">
        <v>1</v>
      </c>
      <c r="AA1090">
        <v>0</v>
      </c>
      <c r="AB1090">
        <v>1</v>
      </c>
      <c r="AC1090">
        <v>0</v>
      </c>
      <c r="AD1090">
        <v>0</v>
      </c>
      <c r="AE1090">
        <v>1</v>
      </c>
      <c r="AF1090">
        <v>0</v>
      </c>
      <c r="AG1090">
        <v>0</v>
      </c>
    </row>
    <row r="1091" spans="1:33" x14ac:dyDescent="0.2">
      <c r="A1091">
        <v>1090</v>
      </c>
      <c r="B1091" t="s">
        <v>366</v>
      </c>
      <c r="C1091" t="s">
        <v>108</v>
      </c>
      <c r="D1091">
        <v>47</v>
      </c>
      <c r="E1091" t="s">
        <v>34</v>
      </c>
      <c r="F1091" t="s">
        <v>41</v>
      </c>
      <c r="G1091" t="s">
        <v>61</v>
      </c>
      <c r="H1091">
        <v>23669</v>
      </c>
      <c r="I1091">
        <v>1</v>
      </c>
      <c r="J1091">
        <v>1</v>
      </c>
      <c r="K1091">
        <v>1</v>
      </c>
      <c r="L1091">
        <v>0</v>
      </c>
      <c r="M1091" t="s">
        <v>87</v>
      </c>
      <c r="N1091" t="s">
        <v>64</v>
      </c>
      <c r="O1091" t="s">
        <v>63</v>
      </c>
      <c r="P1091" t="s">
        <v>37</v>
      </c>
      <c r="Q1091" t="s">
        <v>47</v>
      </c>
      <c r="R1091" t="s">
        <v>48</v>
      </c>
      <c r="S1091" t="s">
        <v>46</v>
      </c>
      <c r="T1091">
        <v>0</v>
      </c>
      <c r="U1091">
        <v>0</v>
      </c>
      <c r="V1091">
        <v>1</v>
      </c>
      <c r="W1091">
        <v>1</v>
      </c>
      <c r="X1091">
        <v>1</v>
      </c>
      <c r="Y1091">
        <v>0</v>
      </c>
      <c r="Z1091">
        <v>1</v>
      </c>
      <c r="AA1091">
        <v>0</v>
      </c>
      <c r="AB1091">
        <v>0</v>
      </c>
      <c r="AC1091">
        <v>1</v>
      </c>
      <c r="AD1091">
        <v>1</v>
      </c>
      <c r="AE1091">
        <v>1</v>
      </c>
      <c r="AF1091">
        <v>0</v>
      </c>
      <c r="AG1091">
        <v>0</v>
      </c>
    </row>
    <row r="1092" spans="1:33" hidden="1" x14ac:dyDescent="0.2">
      <c r="A1092">
        <v>1091</v>
      </c>
      <c r="B1092" t="s">
        <v>366</v>
      </c>
      <c r="C1092" t="s">
        <v>108</v>
      </c>
      <c r="D1092">
        <v>47</v>
      </c>
      <c r="E1092" t="s">
        <v>34</v>
      </c>
      <c r="F1092" t="s">
        <v>53</v>
      </c>
      <c r="G1092" t="s">
        <v>54</v>
      </c>
      <c r="H1092">
        <v>26037</v>
      </c>
      <c r="I1092">
        <v>0</v>
      </c>
      <c r="J1092">
        <v>1</v>
      </c>
      <c r="K1092">
        <v>1</v>
      </c>
      <c r="L1092">
        <v>0</v>
      </c>
      <c r="M1092" t="s">
        <v>36</v>
      </c>
      <c r="N1092" t="s">
        <v>36</v>
      </c>
      <c r="O1092" t="s">
        <v>36</v>
      </c>
      <c r="P1092" t="s">
        <v>37</v>
      </c>
      <c r="Q1092" t="s">
        <v>36</v>
      </c>
      <c r="R1092" t="s">
        <v>36</v>
      </c>
      <c r="S1092" t="s">
        <v>36</v>
      </c>
      <c r="T1092" t="s">
        <v>36</v>
      </c>
      <c r="U1092">
        <v>0</v>
      </c>
      <c r="V1092">
        <v>1</v>
      </c>
      <c r="W1092">
        <v>1</v>
      </c>
      <c r="X1092">
        <v>1</v>
      </c>
      <c r="Y1092">
        <v>0</v>
      </c>
      <c r="Z1092">
        <v>1</v>
      </c>
      <c r="AA1092">
        <v>0</v>
      </c>
      <c r="AB1092">
        <v>0</v>
      </c>
      <c r="AC1092">
        <v>1</v>
      </c>
      <c r="AD1092">
        <v>1</v>
      </c>
      <c r="AE1092">
        <v>1</v>
      </c>
      <c r="AF1092">
        <v>0</v>
      </c>
      <c r="AG1092">
        <v>0</v>
      </c>
    </row>
    <row r="1093" spans="1:33" hidden="1" x14ac:dyDescent="0.2">
      <c r="A1093">
        <v>1092</v>
      </c>
      <c r="B1093" t="s">
        <v>366</v>
      </c>
      <c r="C1093" t="s">
        <v>108</v>
      </c>
      <c r="D1093">
        <v>47</v>
      </c>
      <c r="E1093" t="s">
        <v>34</v>
      </c>
      <c r="F1093" t="s">
        <v>77</v>
      </c>
      <c r="G1093" t="s">
        <v>36</v>
      </c>
      <c r="H1093">
        <v>71047</v>
      </c>
      <c r="I1093" t="s">
        <v>367</v>
      </c>
      <c r="J1093" t="s">
        <v>368</v>
      </c>
      <c r="K1093" t="s">
        <v>369</v>
      </c>
      <c r="L1093" t="s">
        <v>36</v>
      </c>
      <c r="M1093" t="s">
        <v>36</v>
      </c>
      <c r="N1093" t="s">
        <v>36</v>
      </c>
      <c r="O1093" t="s">
        <v>36</v>
      </c>
      <c r="P1093" t="s">
        <v>37</v>
      </c>
      <c r="Q1093" t="s">
        <v>36</v>
      </c>
      <c r="R1093" t="s">
        <v>36</v>
      </c>
      <c r="S1093" t="s">
        <v>36</v>
      </c>
      <c r="T1093" t="s">
        <v>36</v>
      </c>
      <c r="U1093" t="s">
        <v>36</v>
      </c>
      <c r="V1093" t="s">
        <v>36</v>
      </c>
      <c r="W1093" t="s">
        <v>36</v>
      </c>
      <c r="X1093" t="s">
        <v>36</v>
      </c>
      <c r="Y1093" t="s">
        <v>36</v>
      </c>
      <c r="Z1093" t="s">
        <v>36</v>
      </c>
      <c r="AA1093" t="s">
        <v>36</v>
      </c>
      <c r="AB1093" t="s">
        <v>36</v>
      </c>
      <c r="AC1093" t="s">
        <v>36</v>
      </c>
      <c r="AD1093" t="s">
        <v>36</v>
      </c>
      <c r="AE1093" t="s">
        <v>36</v>
      </c>
      <c r="AF1093" t="s">
        <v>36</v>
      </c>
      <c r="AG1093" t="s">
        <v>36</v>
      </c>
    </row>
    <row r="1094" spans="1:33" hidden="1" x14ac:dyDescent="0.2">
      <c r="A1094">
        <v>1093</v>
      </c>
      <c r="B1094" t="s">
        <v>370</v>
      </c>
      <c r="C1094" t="s">
        <v>33</v>
      </c>
      <c r="D1094">
        <v>43</v>
      </c>
      <c r="E1094" t="s">
        <v>34</v>
      </c>
      <c r="F1094" t="s">
        <v>35</v>
      </c>
      <c r="G1094" t="s">
        <v>36</v>
      </c>
      <c r="H1094">
        <v>40829</v>
      </c>
      <c r="I1094" t="s">
        <v>36</v>
      </c>
      <c r="J1094" t="s">
        <v>36</v>
      </c>
      <c r="K1094" t="s">
        <v>36</v>
      </c>
      <c r="L1094" t="s">
        <v>36</v>
      </c>
      <c r="M1094" t="s">
        <v>36</v>
      </c>
      <c r="N1094" t="s">
        <v>36</v>
      </c>
      <c r="O1094" t="s">
        <v>36</v>
      </c>
      <c r="P1094" t="s">
        <v>37</v>
      </c>
      <c r="Q1094" t="s">
        <v>36</v>
      </c>
      <c r="R1094" t="s">
        <v>36</v>
      </c>
      <c r="S1094" t="s">
        <v>36</v>
      </c>
      <c r="T1094" t="s">
        <v>36</v>
      </c>
      <c r="U1094" t="s">
        <v>36</v>
      </c>
      <c r="V1094" t="s">
        <v>36</v>
      </c>
      <c r="W1094" t="s">
        <v>36</v>
      </c>
      <c r="X1094" t="s">
        <v>36</v>
      </c>
      <c r="Y1094" t="s">
        <v>36</v>
      </c>
      <c r="Z1094" t="s">
        <v>36</v>
      </c>
      <c r="AA1094" t="s">
        <v>36</v>
      </c>
      <c r="AB1094" t="s">
        <v>36</v>
      </c>
      <c r="AC1094" t="s">
        <v>36</v>
      </c>
      <c r="AD1094" t="s">
        <v>36</v>
      </c>
      <c r="AE1094" t="s">
        <v>36</v>
      </c>
      <c r="AF1094" t="s">
        <v>36</v>
      </c>
      <c r="AG1094" t="s">
        <v>36</v>
      </c>
    </row>
    <row r="1095" spans="1:33" hidden="1" x14ac:dyDescent="0.2">
      <c r="A1095">
        <v>1094</v>
      </c>
      <c r="B1095" t="s">
        <v>370</v>
      </c>
      <c r="C1095" t="s">
        <v>33</v>
      </c>
      <c r="D1095">
        <v>43</v>
      </c>
      <c r="E1095" t="s">
        <v>34</v>
      </c>
      <c r="F1095" t="s">
        <v>38</v>
      </c>
      <c r="G1095" t="s">
        <v>40</v>
      </c>
      <c r="H1095">
        <v>48308</v>
      </c>
      <c r="I1095">
        <v>0</v>
      </c>
      <c r="J1095">
        <v>0</v>
      </c>
      <c r="K1095">
        <v>1</v>
      </c>
      <c r="L1095">
        <v>0</v>
      </c>
      <c r="M1095" t="s">
        <v>36</v>
      </c>
      <c r="N1095" t="s">
        <v>36</v>
      </c>
      <c r="O1095" t="s">
        <v>36</v>
      </c>
      <c r="P1095" t="s">
        <v>37</v>
      </c>
      <c r="Q1095" t="s">
        <v>36</v>
      </c>
      <c r="R1095" t="s">
        <v>36</v>
      </c>
      <c r="S1095" t="s">
        <v>36</v>
      </c>
      <c r="T1095" t="s">
        <v>36</v>
      </c>
      <c r="U1095" t="s">
        <v>36</v>
      </c>
      <c r="V1095" t="s">
        <v>36</v>
      </c>
      <c r="W1095" t="s">
        <v>36</v>
      </c>
      <c r="X1095" t="s">
        <v>36</v>
      </c>
      <c r="Y1095" t="s">
        <v>36</v>
      </c>
      <c r="Z1095" t="s">
        <v>36</v>
      </c>
      <c r="AA1095" t="s">
        <v>36</v>
      </c>
      <c r="AB1095" t="s">
        <v>36</v>
      </c>
      <c r="AC1095" t="s">
        <v>36</v>
      </c>
      <c r="AD1095" t="s">
        <v>36</v>
      </c>
      <c r="AE1095" t="s">
        <v>36</v>
      </c>
      <c r="AF1095" t="s">
        <v>36</v>
      </c>
      <c r="AG1095" t="s">
        <v>36</v>
      </c>
    </row>
    <row r="1096" spans="1:33" hidden="1" x14ac:dyDescent="0.2">
      <c r="A1096">
        <v>1095</v>
      </c>
      <c r="B1096" t="s">
        <v>370</v>
      </c>
      <c r="C1096" t="s">
        <v>33</v>
      </c>
      <c r="D1096">
        <v>43</v>
      </c>
      <c r="E1096" t="s">
        <v>34</v>
      </c>
      <c r="F1096" t="s">
        <v>38</v>
      </c>
      <c r="G1096" t="s">
        <v>39</v>
      </c>
      <c r="H1096">
        <v>96787</v>
      </c>
      <c r="I1096">
        <v>0</v>
      </c>
      <c r="J1096">
        <v>0</v>
      </c>
      <c r="K1096">
        <v>0</v>
      </c>
      <c r="L1096">
        <v>1</v>
      </c>
      <c r="M1096" t="s">
        <v>36</v>
      </c>
      <c r="N1096" t="s">
        <v>36</v>
      </c>
      <c r="O1096" t="s">
        <v>36</v>
      </c>
      <c r="P1096" t="s">
        <v>37</v>
      </c>
      <c r="Q1096" t="s">
        <v>36</v>
      </c>
      <c r="R1096" t="s">
        <v>36</v>
      </c>
      <c r="S1096" t="s">
        <v>36</v>
      </c>
      <c r="T1096" t="s">
        <v>36</v>
      </c>
      <c r="U1096" t="s">
        <v>36</v>
      </c>
      <c r="V1096" t="s">
        <v>36</v>
      </c>
      <c r="W1096" t="s">
        <v>36</v>
      </c>
      <c r="X1096" t="s">
        <v>36</v>
      </c>
      <c r="Y1096" t="s">
        <v>36</v>
      </c>
      <c r="Z1096" t="s">
        <v>36</v>
      </c>
      <c r="AA1096" t="s">
        <v>36</v>
      </c>
      <c r="AB1096" t="s">
        <v>36</v>
      </c>
      <c r="AC1096" t="s">
        <v>36</v>
      </c>
      <c r="AD1096" t="s">
        <v>36</v>
      </c>
      <c r="AE1096" t="s">
        <v>36</v>
      </c>
      <c r="AF1096" t="s">
        <v>36</v>
      </c>
      <c r="AG1096" t="s">
        <v>36</v>
      </c>
    </row>
    <row r="1097" spans="1:33" x14ac:dyDescent="0.2">
      <c r="A1097">
        <v>1096</v>
      </c>
      <c r="B1097" t="s">
        <v>370</v>
      </c>
      <c r="C1097" t="s">
        <v>33</v>
      </c>
      <c r="D1097">
        <v>43</v>
      </c>
      <c r="E1097" t="s">
        <v>34</v>
      </c>
      <c r="F1097" t="s">
        <v>41</v>
      </c>
      <c r="G1097" t="s">
        <v>72</v>
      </c>
      <c r="H1097">
        <v>66321</v>
      </c>
      <c r="I1097">
        <v>0</v>
      </c>
      <c r="J1097">
        <v>0</v>
      </c>
      <c r="K1097">
        <v>0</v>
      </c>
      <c r="L1097">
        <v>1</v>
      </c>
      <c r="M1097" t="s">
        <v>74</v>
      </c>
      <c r="N1097" t="s">
        <v>75</v>
      </c>
      <c r="O1097" t="s">
        <v>73</v>
      </c>
      <c r="P1097" t="s">
        <v>37</v>
      </c>
      <c r="Q1097" t="s">
        <v>47</v>
      </c>
      <c r="R1097" t="s">
        <v>46</v>
      </c>
      <c r="S1097" t="s">
        <v>48</v>
      </c>
      <c r="T1097">
        <v>0</v>
      </c>
      <c r="U1097">
        <v>0</v>
      </c>
      <c r="V1097">
        <v>1</v>
      </c>
      <c r="W1097">
        <v>1</v>
      </c>
      <c r="X1097">
        <v>1</v>
      </c>
      <c r="Y1097">
        <v>0</v>
      </c>
      <c r="Z1097">
        <v>1</v>
      </c>
      <c r="AA1097">
        <v>0</v>
      </c>
      <c r="AB1097">
        <v>0</v>
      </c>
      <c r="AC1097">
        <v>0</v>
      </c>
      <c r="AD1097">
        <v>0</v>
      </c>
      <c r="AE1097">
        <v>0</v>
      </c>
      <c r="AF1097">
        <v>0</v>
      </c>
      <c r="AG1097">
        <v>1</v>
      </c>
    </row>
    <row r="1098" spans="1:33" x14ac:dyDescent="0.2">
      <c r="A1098">
        <v>1097</v>
      </c>
      <c r="B1098" t="s">
        <v>370</v>
      </c>
      <c r="C1098" t="s">
        <v>33</v>
      </c>
      <c r="D1098">
        <v>43</v>
      </c>
      <c r="E1098" t="s">
        <v>34</v>
      </c>
      <c r="F1098" t="s">
        <v>41</v>
      </c>
      <c r="G1098" t="s">
        <v>42</v>
      </c>
      <c r="H1098">
        <v>20017</v>
      </c>
      <c r="I1098">
        <v>0</v>
      </c>
      <c r="J1098">
        <v>0</v>
      </c>
      <c r="K1098">
        <v>0</v>
      </c>
      <c r="L1098">
        <v>1</v>
      </c>
      <c r="M1098" t="s">
        <v>82</v>
      </c>
      <c r="N1098" t="s">
        <v>45</v>
      </c>
      <c r="O1098" t="s">
        <v>102</v>
      </c>
      <c r="P1098" t="s">
        <v>37</v>
      </c>
      <c r="Q1098" t="s">
        <v>65</v>
      </c>
      <c r="R1098" t="s">
        <v>48</v>
      </c>
      <c r="S1098" t="s">
        <v>59</v>
      </c>
      <c r="T1098">
        <v>0</v>
      </c>
      <c r="U1098">
        <v>1</v>
      </c>
      <c r="V1098">
        <v>1</v>
      </c>
      <c r="W1098">
        <v>0</v>
      </c>
      <c r="X1098">
        <v>0</v>
      </c>
      <c r="Y1098">
        <v>0</v>
      </c>
      <c r="Z1098">
        <v>1</v>
      </c>
      <c r="AA1098">
        <v>0</v>
      </c>
      <c r="AB1098">
        <v>0</v>
      </c>
      <c r="AC1098">
        <v>0</v>
      </c>
      <c r="AD1098">
        <v>0</v>
      </c>
      <c r="AE1098">
        <v>0</v>
      </c>
      <c r="AF1098">
        <v>0</v>
      </c>
      <c r="AG1098">
        <v>1</v>
      </c>
    </row>
    <row r="1099" spans="1:33" hidden="1" x14ac:dyDescent="0.2">
      <c r="A1099">
        <v>1098</v>
      </c>
      <c r="B1099" t="s">
        <v>370</v>
      </c>
      <c r="C1099" t="s">
        <v>33</v>
      </c>
      <c r="D1099">
        <v>43</v>
      </c>
      <c r="E1099" t="s">
        <v>34</v>
      </c>
      <c r="F1099" t="s">
        <v>53</v>
      </c>
      <c r="G1099" t="s">
        <v>71</v>
      </c>
      <c r="H1099">
        <v>46427</v>
      </c>
      <c r="I1099">
        <v>1</v>
      </c>
      <c r="J1099">
        <v>1</v>
      </c>
      <c r="K1099">
        <v>1</v>
      </c>
      <c r="L1099">
        <v>0</v>
      </c>
      <c r="M1099" t="s">
        <v>36</v>
      </c>
      <c r="N1099" t="s">
        <v>36</v>
      </c>
      <c r="O1099" t="s">
        <v>36</v>
      </c>
      <c r="P1099" t="s">
        <v>37</v>
      </c>
      <c r="Q1099" t="s">
        <v>36</v>
      </c>
      <c r="R1099" t="s">
        <v>36</v>
      </c>
      <c r="S1099" t="s">
        <v>36</v>
      </c>
      <c r="T1099" t="s">
        <v>36</v>
      </c>
      <c r="U1099">
        <v>1</v>
      </c>
      <c r="V1099">
        <v>1</v>
      </c>
      <c r="W1099">
        <v>0</v>
      </c>
      <c r="X1099">
        <v>0</v>
      </c>
      <c r="Y1099">
        <v>0</v>
      </c>
      <c r="Z1099">
        <v>1</v>
      </c>
      <c r="AA1099">
        <v>0</v>
      </c>
      <c r="AB1099">
        <v>0</v>
      </c>
      <c r="AC1099">
        <v>0</v>
      </c>
      <c r="AD1099">
        <v>0</v>
      </c>
      <c r="AE1099">
        <v>0</v>
      </c>
      <c r="AF1099">
        <v>0</v>
      </c>
      <c r="AG1099">
        <v>1</v>
      </c>
    </row>
    <row r="1100" spans="1:33" x14ac:dyDescent="0.2">
      <c r="A1100">
        <v>1099</v>
      </c>
      <c r="B1100" t="s">
        <v>370</v>
      </c>
      <c r="C1100" t="s">
        <v>33</v>
      </c>
      <c r="D1100">
        <v>43</v>
      </c>
      <c r="E1100" t="s">
        <v>34</v>
      </c>
      <c r="F1100" t="s">
        <v>41</v>
      </c>
      <c r="G1100" t="s">
        <v>49</v>
      </c>
      <c r="H1100">
        <v>14860</v>
      </c>
      <c r="I1100">
        <v>0</v>
      </c>
      <c r="J1100">
        <v>0</v>
      </c>
      <c r="K1100">
        <v>0</v>
      </c>
      <c r="L1100">
        <v>1</v>
      </c>
      <c r="M1100" t="s">
        <v>96</v>
      </c>
      <c r="N1100" t="s">
        <v>52</v>
      </c>
      <c r="O1100" t="s">
        <v>83</v>
      </c>
      <c r="P1100" t="s">
        <v>37</v>
      </c>
      <c r="Q1100" t="s">
        <v>65</v>
      </c>
      <c r="R1100" t="s">
        <v>46</v>
      </c>
      <c r="S1100" t="s">
        <v>59</v>
      </c>
      <c r="T1100">
        <v>0</v>
      </c>
      <c r="U1100">
        <v>1</v>
      </c>
      <c r="V1100">
        <v>0</v>
      </c>
      <c r="W1100">
        <v>0</v>
      </c>
      <c r="X1100">
        <v>1</v>
      </c>
      <c r="Y1100">
        <v>0</v>
      </c>
      <c r="Z1100">
        <v>1</v>
      </c>
      <c r="AA1100">
        <v>0</v>
      </c>
      <c r="AB1100">
        <v>0</v>
      </c>
      <c r="AC1100">
        <v>0</v>
      </c>
      <c r="AD1100">
        <v>0</v>
      </c>
      <c r="AE1100">
        <v>0</v>
      </c>
      <c r="AF1100">
        <v>0</v>
      </c>
      <c r="AG1100">
        <v>1</v>
      </c>
    </row>
    <row r="1101" spans="1:33" x14ac:dyDescent="0.2">
      <c r="A1101">
        <v>1100</v>
      </c>
      <c r="B1101" t="s">
        <v>370</v>
      </c>
      <c r="C1101" t="s">
        <v>33</v>
      </c>
      <c r="D1101">
        <v>43</v>
      </c>
      <c r="E1101" t="s">
        <v>34</v>
      </c>
      <c r="F1101" t="s">
        <v>41</v>
      </c>
      <c r="G1101" t="s">
        <v>55</v>
      </c>
      <c r="H1101">
        <v>17335</v>
      </c>
      <c r="I1101">
        <v>0</v>
      </c>
      <c r="J1101">
        <v>0</v>
      </c>
      <c r="K1101">
        <v>0</v>
      </c>
      <c r="L1101">
        <v>1</v>
      </c>
      <c r="M1101" t="s">
        <v>94</v>
      </c>
      <c r="N1101" t="s">
        <v>85</v>
      </c>
      <c r="O1101" t="s">
        <v>56</v>
      </c>
      <c r="P1101" t="s">
        <v>37</v>
      </c>
      <c r="Q1101" t="s">
        <v>47</v>
      </c>
      <c r="R1101" t="s">
        <v>65</v>
      </c>
      <c r="S1101" t="s">
        <v>59</v>
      </c>
      <c r="T1101">
        <v>0</v>
      </c>
      <c r="U1101">
        <v>1</v>
      </c>
      <c r="V1101">
        <v>0</v>
      </c>
      <c r="W1101">
        <v>1</v>
      </c>
      <c r="X1101">
        <v>0</v>
      </c>
      <c r="Y1101">
        <v>0</v>
      </c>
      <c r="Z1101">
        <v>1</v>
      </c>
      <c r="AA1101">
        <v>0</v>
      </c>
      <c r="AB1101">
        <v>0</v>
      </c>
      <c r="AC1101">
        <v>0</v>
      </c>
      <c r="AD1101">
        <v>0</v>
      </c>
      <c r="AE1101">
        <v>0</v>
      </c>
      <c r="AF1101">
        <v>0</v>
      </c>
      <c r="AG1101">
        <v>1</v>
      </c>
    </row>
    <row r="1102" spans="1:33" hidden="1" x14ac:dyDescent="0.2">
      <c r="A1102">
        <v>1101</v>
      </c>
      <c r="B1102" t="s">
        <v>370</v>
      </c>
      <c r="C1102" t="s">
        <v>33</v>
      </c>
      <c r="D1102">
        <v>43</v>
      </c>
      <c r="E1102" t="s">
        <v>34</v>
      </c>
      <c r="F1102" t="s">
        <v>53</v>
      </c>
      <c r="G1102" t="s">
        <v>66</v>
      </c>
      <c r="H1102">
        <v>106665</v>
      </c>
      <c r="I1102">
        <v>1</v>
      </c>
      <c r="J1102">
        <v>0</v>
      </c>
      <c r="K1102">
        <v>0</v>
      </c>
      <c r="L1102">
        <v>0</v>
      </c>
      <c r="M1102" t="s">
        <v>36</v>
      </c>
      <c r="N1102" t="s">
        <v>36</v>
      </c>
      <c r="O1102" t="s">
        <v>36</v>
      </c>
      <c r="P1102" t="s">
        <v>37</v>
      </c>
      <c r="Q1102" t="s">
        <v>36</v>
      </c>
      <c r="R1102" t="s">
        <v>36</v>
      </c>
      <c r="S1102" t="s">
        <v>36</v>
      </c>
      <c r="T1102" t="s">
        <v>36</v>
      </c>
      <c r="U1102">
        <v>1</v>
      </c>
      <c r="V1102">
        <v>0</v>
      </c>
      <c r="W1102">
        <v>1</v>
      </c>
      <c r="X1102">
        <v>0</v>
      </c>
      <c r="Y1102">
        <v>0</v>
      </c>
      <c r="Z1102">
        <v>1</v>
      </c>
      <c r="AA1102">
        <v>0</v>
      </c>
      <c r="AB1102">
        <v>0</v>
      </c>
      <c r="AC1102">
        <v>0</v>
      </c>
      <c r="AD1102">
        <v>0</v>
      </c>
      <c r="AE1102">
        <v>0</v>
      </c>
      <c r="AF1102">
        <v>0</v>
      </c>
      <c r="AG1102">
        <v>1</v>
      </c>
    </row>
    <row r="1103" spans="1:33" x14ac:dyDescent="0.2">
      <c r="A1103">
        <v>1102</v>
      </c>
      <c r="B1103" t="s">
        <v>370</v>
      </c>
      <c r="C1103" t="s">
        <v>33</v>
      </c>
      <c r="D1103">
        <v>43</v>
      </c>
      <c r="E1103" t="s">
        <v>34</v>
      </c>
      <c r="F1103" t="s">
        <v>41</v>
      </c>
      <c r="G1103" t="s">
        <v>67</v>
      </c>
      <c r="H1103">
        <v>17595</v>
      </c>
      <c r="I1103">
        <v>1</v>
      </c>
      <c r="J1103">
        <v>0</v>
      </c>
      <c r="K1103">
        <v>0</v>
      </c>
      <c r="L1103">
        <v>0</v>
      </c>
      <c r="M1103" t="s">
        <v>103</v>
      </c>
      <c r="N1103" t="s">
        <v>68</v>
      </c>
      <c r="O1103" t="s">
        <v>70</v>
      </c>
      <c r="P1103" t="s">
        <v>37</v>
      </c>
      <c r="Q1103" t="s">
        <v>60</v>
      </c>
      <c r="R1103" t="s">
        <v>65</v>
      </c>
      <c r="S1103" t="s">
        <v>47</v>
      </c>
      <c r="T1103">
        <v>1</v>
      </c>
      <c r="U1103">
        <v>1</v>
      </c>
      <c r="V1103">
        <v>0</v>
      </c>
      <c r="W1103">
        <v>1</v>
      </c>
      <c r="X1103">
        <v>0</v>
      </c>
      <c r="Y1103">
        <v>0</v>
      </c>
      <c r="Z1103">
        <v>1</v>
      </c>
      <c r="AA1103">
        <v>1</v>
      </c>
      <c r="AB1103">
        <v>0</v>
      </c>
      <c r="AC1103">
        <v>0</v>
      </c>
      <c r="AD1103">
        <v>0</v>
      </c>
      <c r="AE1103">
        <v>0</v>
      </c>
      <c r="AF1103">
        <v>0</v>
      </c>
      <c r="AG1103">
        <v>0</v>
      </c>
    </row>
    <row r="1104" spans="1:33" hidden="1" x14ac:dyDescent="0.2">
      <c r="A1104">
        <v>1103</v>
      </c>
      <c r="B1104" t="s">
        <v>370</v>
      </c>
      <c r="C1104" t="s">
        <v>33</v>
      </c>
      <c r="D1104">
        <v>43</v>
      </c>
      <c r="E1104" t="s">
        <v>34</v>
      </c>
      <c r="F1104" t="s">
        <v>53</v>
      </c>
      <c r="G1104" t="s">
        <v>54</v>
      </c>
      <c r="H1104">
        <v>58604</v>
      </c>
      <c r="I1104">
        <v>0</v>
      </c>
      <c r="J1104">
        <v>1</v>
      </c>
      <c r="K1104">
        <v>0</v>
      </c>
      <c r="L1104">
        <v>0</v>
      </c>
      <c r="M1104" t="s">
        <v>36</v>
      </c>
      <c r="N1104" t="s">
        <v>36</v>
      </c>
      <c r="O1104" t="s">
        <v>36</v>
      </c>
      <c r="P1104" t="s">
        <v>37</v>
      </c>
      <c r="Q1104" t="s">
        <v>36</v>
      </c>
      <c r="R1104" t="s">
        <v>36</v>
      </c>
      <c r="S1104" t="s">
        <v>36</v>
      </c>
      <c r="T1104" t="s">
        <v>36</v>
      </c>
      <c r="U1104">
        <v>1</v>
      </c>
      <c r="V1104">
        <v>0</v>
      </c>
      <c r="W1104">
        <v>1</v>
      </c>
      <c r="X1104">
        <v>0</v>
      </c>
      <c r="Y1104">
        <v>0</v>
      </c>
      <c r="Z1104">
        <v>1</v>
      </c>
      <c r="AA1104">
        <v>1</v>
      </c>
      <c r="AB1104">
        <v>0</v>
      </c>
      <c r="AC1104">
        <v>0</v>
      </c>
      <c r="AD1104">
        <v>0</v>
      </c>
      <c r="AE1104">
        <v>0</v>
      </c>
      <c r="AF1104">
        <v>0</v>
      </c>
      <c r="AG1104">
        <v>0</v>
      </c>
    </row>
    <row r="1105" spans="1:33" x14ac:dyDescent="0.2">
      <c r="A1105">
        <v>1104</v>
      </c>
      <c r="B1105" t="s">
        <v>370</v>
      </c>
      <c r="C1105" t="s">
        <v>33</v>
      </c>
      <c r="D1105">
        <v>43</v>
      </c>
      <c r="E1105" t="s">
        <v>34</v>
      </c>
      <c r="F1105" t="s">
        <v>41</v>
      </c>
      <c r="G1105" t="s">
        <v>61</v>
      </c>
      <c r="H1105">
        <v>25962</v>
      </c>
      <c r="I1105">
        <v>0</v>
      </c>
      <c r="J1105">
        <v>0</v>
      </c>
      <c r="K1105">
        <v>0</v>
      </c>
      <c r="L1105">
        <v>1</v>
      </c>
      <c r="M1105" t="s">
        <v>64</v>
      </c>
      <c r="N1105" t="s">
        <v>62</v>
      </c>
      <c r="O1105" t="s">
        <v>63</v>
      </c>
      <c r="P1105" t="s">
        <v>37</v>
      </c>
      <c r="Q1105" t="s">
        <v>48</v>
      </c>
      <c r="R1105" t="s">
        <v>65</v>
      </c>
      <c r="S1105" t="s">
        <v>46</v>
      </c>
      <c r="T1105">
        <v>0</v>
      </c>
      <c r="U1105">
        <v>1</v>
      </c>
      <c r="V1105">
        <v>1</v>
      </c>
      <c r="W1105">
        <v>0</v>
      </c>
      <c r="X1105">
        <v>1</v>
      </c>
      <c r="Y1105">
        <v>0</v>
      </c>
      <c r="Z1105">
        <v>1</v>
      </c>
      <c r="AA1105">
        <v>0</v>
      </c>
      <c r="AB1105">
        <v>0</v>
      </c>
      <c r="AC1105">
        <v>0</v>
      </c>
      <c r="AD1105">
        <v>0</v>
      </c>
      <c r="AE1105">
        <v>0</v>
      </c>
      <c r="AF1105">
        <v>0</v>
      </c>
      <c r="AG1105">
        <v>1</v>
      </c>
    </row>
    <row r="1106" spans="1:33" hidden="1" x14ac:dyDescent="0.2">
      <c r="A1106">
        <v>1105</v>
      </c>
      <c r="B1106" t="s">
        <v>370</v>
      </c>
      <c r="C1106" t="s">
        <v>33</v>
      </c>
      <c r="D1106">
        <v>43</v>
      </c>
      <c r="E1106" t="s">
        <v>34</v>
      </c>
      <c r="F1106" t="s">
        <v>53</v>
      </c>
      <c r="G1106" t="s">
        <v>76</v>
      </c>
      <c r="H1106">
        <v>39077</v>
      </c>
      <c r="I1106">
        <v>1</v>
      </c>
      <c r="J1106">
        <v>0</v>
      </c>
      <c r="K1106">
        <v>0</v>
      </c>
      <c r="L1106">
        <v>0</v>
      </c>
      <c r="M1106" t="s">
        <v>36</v>
      </c>
      <c r="N1106" t="s">
        <v>36</v>
      </c>
      <c r="O1106" t="s">
        <v>36</v>
      </c>
      <c r="P1106" t="s">
        <v>37</v>
      </c>
      <c r="Q1106" t="s">
        <v>36</v>
      </c>
      <c r="R1106" t="s">
        <v>36</v>
      </c>
      <c r="S1106" t="s">
        <v>36</v>
      </c>
      <c r="T1106" t="s">
        <v>36</v>
      </c>
      <c r="U1106">
        <v>1</v>
      </c>
      <c r="V1106">
        <v>1</v>
      </c>
      <c r="W1106">
        <v>0</v>
      </c>
      <c r="X1106">
        <v>1</v>
      </c>
      <c r="Y1106">
        <v>0</v>
      </c>
      <c r="Z1106">
        <v>1</v>
      </c>
      <c r="AA1106">
        <v>0</v>
      </c>
      <c r="AB1106">
        <v>0</v>
      </c>
      <c r="AC1106">
        <v>0</v>
      </c>
      <c r="AD1106">
        <v>0</v>
      </c>
      <c r="AE1106">
        <v>0</v>
      </c>
      <c r="AF1106">
        <v>0</v>
      </c>
      <c r="AG1106">
        <v>1</v>
      </c>
    </row>
    <row r="1107" spans="1:33" hidden="1" x14ac:dyDescent="0.2">
      <c r="A1107">
        <v>1106</v>
      </c>
      <c r="B1107" t="s">
        <v>370</v>
      </c>
      <c r="C1107" t="s">
        <v>33</v>
      </c>
      <c r="D1107">
        <v>43</v>
      </c>
      <c r="E1107" t="s">
        <v>34</v>
      </c>
      <c r="F1107" t="s">
        <v>77</v>
      </c>
      <c r="G1107" t="s">
        <v>36</v>
      </c>
      <c r="H1107">
        <v>162322</v>
      </c>
      <c r="I1107" t="s">
        <v>371</v>
      </c>
      <c r="J1107" t="s">
        <v>372</v>
      </c>
      <c r="K1107" t="s">
        <v>373</v>
      </c>
      <c r="L1107" t="s">
        <v>36</v>
      </c>
      <c r="M1107" t="s">
        <v>36</v>
      </c>
      <c r="N1107" t="s">
        <v>36</v>
      </c>
      <c r="O1107" t="s">
        <v>36</v>
      </c>
      <c r="P1107" t="s">
        <v>37</v>
      </c>
      <c r="Q1107" t="s">
        <v>36</v>
      </c>
      <c r="R1107" t="s">
        <v>36</v>
      </c>
      <c r="S1107" t="s">
        <v>36</v>
      </c>
      <c r="T1107" t="s">
        <v>36</v>
      </c>
      <c r="U1107" t="s">
        <v>36</v>
      </c>
      <c r="V1107" t="s">
        <v>36</v>
      </c>
      <c r="W1107" t="s">
        <v>36</v>
      </c>
      <c r="X1107" t="s">
        <v>36</v>
      </c>
      <c r="Y1107" t="s">
        <v>36</v>
      </c>
      <c r="Z1107" t="s">
        <v>36</v>
      </c>
      <c r="AA1107" t="s">
        <v>36</v>
      </c>
      <c r="AB1107" t="s">
        <v>36</v>
      </c>
      <c r="AC1107" t="s">
        <v>36</v>
      </c>
      <c r="AD1107" t="s">
        <v>36</v>
      </c>
      <c r="AE1107" t="s">
        <v>36</v>
      </c>
      <c r="AF1107" t="s">
        <v>36</v>
      </c>
      <c r="AG1107" t="s">
        <v>36</v>
      </c>
    </row>
    <row r="1108" spans="1:33" hidden="1" x14ac:dyDescent="0.2">
      <c r="A1108">
        <v>1107</v>
      </c>
      <c r="B1108" t="s">
        <v>374</v>
      </c>
      <c r="C1108" t="s">
        <v>108</v>
      </c>
      <c r="D1108">
        <v>34</v>
      </c>
      <c r="E1108" t="s">
        <v>114</v>
      </c>
      <c r="F1108" t="s">
        <v>35</v>
      </c>
      <c r="G1108" t="s">
        <v>36</v>
      </c>
      <c r="H1108">
        <v>38558</v>
      </c>
      <c r="I1108" t="s">
        <v>36</v>
      </c>
      <c r="J1108" t="s">
        <v>36</v>
      </c>
      <c r="K1108" t="s">
        <v>36</v>
      </c>
      <c r="L1108" t="s">
        <v>36</v>
      </c>
      <c r="M1108" t="s">
        <v>36</v>
      </c>
      <c r="N1108" t="s">
        <v>36</v>
      </c>
      <c r="O1108" t="s">
        <v>36</v>
      </c>
      <c r="P1108" t="s">
        <v>37</v>
      </c>
      <c r="Q1108" t="s">
        <v>36</v>
      </c>
      <c r="R1108" t="s">
        <v>36</v>
      </c>
      <c r="S1108" t="s">
        <v>36</v>
      </c>
      <c r="T1108" t="s">
        <v>36</v>
      </c>
      <c r="U1108" t="s">
        <v>36</v>
      </c>
      <c r="V1108" t="s">
        <v>36</v>
      </c>
      <c r="W1108" t="s">
        <v>36</v>
      </c>
      <c r="X1108" t="s">
        <v>36</v>
      </c>
      <c r="Y1108" t="s">
        <v>36</v>
      </c>
      <c r="Z1108" t="s">
        <v>36</v>
      </c>
      <c r="AA1108" t="s">
        <v>36</v>
      </c>
      <c r="AB1108" t="s">
        <v>36</v>
      </c>
      <c r="AC1108" t="s">
        <v>36</v>
      </c>
      <c r="AD1108" t="s">
        <v>36</v>
      </c>
      <c r="AE1108" t="s">
        <v>36</v>
      </c>
      <c r="AF1108" t="s">
        <v>36</v>
      </c>
      <c r="AG1108" t="s">
        <v>36</v>
      </c>
    </row>
    <row r="1109" spans="1:33" hidden="1" x14ac:dyDescent="0.2">
      <c r="A1109">
        <v>1108</v>
      </c>
      <c r="B1109" t="s">
        <v>374</v>
      </c>
      <c r="C1109" t="s">
        <v>108</v>
      </c>
      <c r="D1109">
        <v>34</v>
      </c>
      <c r="E1109" t="s">
        <v>114</v>
      </c>
      <c r="F1109" t="s">
        <v>38</v>
      </c>
      <c r="G1109" t="s">
        <v>39</v>
      </c>
      <c r="H1109">
        <v>75959</v>
      </c>
      <c r="I1109">
        <v>0</v>
      </c>
      <c r="J1109">
        <v>0</v>
      </c>
      <c r="K1109">
        <v>0</v>
      </c>
      <c r="L1109">
        <v>1</v>
      </c>
      <c r="M1109" t="s">
        <v>36</v>
      </c>
      <c r="N1109" t="s">
        <v>36</v>
      </c>
      <c r="O1109" t="s">
        <v>36</v>
      </c>
      <c r="P1109" t="s">
        <v>37</v>
      </c>
      <c r="Q1109" t="s">
        <v>36</v>
      </c>
      <c r="R1109" t="s">
        <v>36</v>
      </c>
      <c r="S1109" t="s">
        <v>36</v>
      </c>
      <c r="T1109" t="s">
        <v>36</v>
      </c>
      <c r="U1109" t="s">
        <v>36</v>
      </c>
      <c r="V1109" t="s">
        <v>36</v>
      </c>
      <c r="W1109" t="s">
        <v>36</v>
      </c>
      <c r="X1109" t="s">
        <v>36</v>
      </c>
      <c r="Y1109" t="s">
        <v>36</v>
      </c>
      <c r="Z1109" t="s">
        <v>36</v>
      </c>
      <c r="AA1109" t="s">
        <v>36</v>
      </c>
      <c r="AB1109" t="s">
        <v>36</v>
      </c>
      <c r="AC1109" t="s">
        <v>36</v>
      </c>
      <c r="AD1109" t="s">
        <v>36</v>
      </c>
      <c r="AE1109" t="s">
        <v>36</v>
      </c>
      <c r="AF1109" t="s">
        <v>36</v>
      </c>
      <c r="AG1109" t="s">
        <v>36</v>
      </c>
    </row>
    <row r="1110" spans="1:33" hidden="1" x14ac:dyDescent="0.2">
      <c r="A1110">
        <v>1109</v>
      </c>
      <c r="B1110" t="s">
        <v>374</v>
      </c>
      <c r="C1110" t="s">
        <v>108</v>
      </c>
      <c r="D1110">
        <v>34</v>
      </c>
      <c r="E1110" t="s">
        <v>114</v>
      </c>
      <c r="F1110" t="s">
        <v>38</v>
      </c>
      <c r="G1110" t="s">
        <v>40</v>
      </c>
      <c r="H1110">
        <v>79821</v>
      </c>
      <c r="I1110">
        <v>0</v>
      </c>
      <c r="J1110">
        <v>1</v>
      </c>
      <c r="K1110">
        <v>1</v>
      </c>
      <c r="L1110">
        <v>0</v>
      </c>
      <c r="M1110" t="s">
        <v>36</v>
      </c>
      <c r="N1110" t="s">
        <v>36</v>
      </c>
      <c r="O1110" t="s">
        <v>36</v>
      </c>
      <c r="P1110" t="s">
        <v>37</v>
      </c>
      <c r="Q1110" t="s">
        <v>36</v>
      </c>
      <c r="R1110" t="s">
        <v>36</v>
      </c>
      <c r="S1110" t="s">
        <v>36</v>
      </c>
      <c r="T1110" t="s">
        <v>36</v>
      </c>
      <c r="U1110" t="s">
        <v>36</v>
      </c>
      <c r="V1110" t="s">
        <v>36</v>
      </c>
      <c r="W1110" t="s">
        <v>36</v>
      </c>
      <c r="X1110" t="s">
        <v>36</v>
      </c>
      <c r="Y1110" t="s">
        <v>36</v>
      </c>
      <c r="Z1110" t="s">
        <v>36</v>
      </c>
      <c r="AA1110" t="s">
        <v>36</v>
      </c>
      <c r="AB1110" t="s">
        <v>36</v>
      </c>
      <c r="AC1110" t="s">
        <v>36</v>
      </c>
      <c r="AD1110" t="s">
        <v>36</v>
      </c>
      <c r="AE1110" t="s">
        <v>36</v>
      </c>
      <c r="AF1110" t="s">
        <v>36</v>
      </c>
      <c r="AG1110" t="s">
        <v>36</v>
      </c>
    </row>
    <row r="1111" spans="1:33" x14ac:dyDescent="0.2">
      <c r="A1111">
        <v>1110</v>
      </c>
      <c r="B1111" t="s">
        <v>374</v>
      </c>
      <c r="C1111" t="s">
        <v>108</v>
      </c>
      <c r="D1111">
        <v>34</v>
      </c>
      <c r="E1111" t="s">
        <v>114</v>
      </c>
      <c r="F1111" t="s">
        <v>41</v>
      </c>
      <c r="G1111" t="s">
        <v>55</v>
      </c>
      <c r="H1111">
        <v>142043</v>
      </c>
      <c r="I1111">
        <v>0</v>
      </c>
      <c r="J1111">
        <v>0</v>
      </c>
      <c r="K1111">
        <v>0</v>
      </c>
      <c r="L1111">
        <v>1</v>
      </c>
      <c r="M1111" t="s">
        <v>85</v>
      </c>
      <c r="N1111" t="s">
        <v>56</v>
      </c>
      <c r="O1111" t="s">
        <v>57</v>
      </c>
      <c r="P1111" t="s">
        <v>37</v>
      </c>
      <c r="Q1111" t="s">
        <v>65</v>
      </c>
      <c r="R1111" t="s">
        <v>59</v>
      </c>
      <c r="S1111" t="s">
        <v>48</v>
      </c>
      <c r="T1111">
        <v>0</v>
      </c>
      <c r="U1111">
        <v>1</v>
      </c>
      <c r="V1111">
        <v>1</v>
      </c>
      <c r="W1111">
        <v>0</v>
      </c>
      <c r="X1111">
        <v>0</v>
      </c>
      <c r="Y1111">
        <v>0</v>
      </c>
      <c r="Z1111">
        <v>1</v>
      </c>
      <c r="AA1111">
        <v>0</v>
      </c>
      <c r="AB1111">
        <v>0</v>
      </c>
      <c r="AC1111">
        <v>0</v>
      </c>
      <c r="AD1111">
        <v>0</v>
      </c>
      <c r="AE1111">
        <v>0</v>
      </c>
      <c r="AF1111">
        <v>0</v>
      </c>
      <c r="AG1111">
        <v>1</v>
      </c>
    </row>
    <row r="1112" spans="1:33" x14ac:dyDescent="0.2">
      <c r="A1112">
        <v>1111</v>
      </c>
      <c r="B1112" t="s">
        <v>374</v>
      </c>
      <c r="C1112" t="s">
        <v>108</v>
      </c>
      <c r="D1112">
        <v>34</v>
      </c>
      <c r="E1112" t="s">
        <v>114</v>
      </c>
      <c r="F1112" t="s">
        <v>41</v>
      </c>
      <c r="G1112" t="s">
        <v>72</v>
      </c>
      <c r="H1112">
        <v>37381</v>
      </c>
      <c r="I1112">
        <v>0</v>
      </c>
      <c r="J1112">
        <v>0</v>
      </c>
      <c r="K1112">
        <v>0</v>
      </c>
      <c r="L1112">
        <v>1</v>
      </c>
      <c r="M1112" t="s">
        <v>115</v>
      </c>
      <c r="N1112" t="s">
        <v>75</v>
      </c>
      <c r="O1112" t="s">
        <v>73</v>
      </c>
      <c r="P1112" t="s">
        <v>37</v>
      </c>
      <c r="Q1112" t="s">
        <v>65</v>
      </c>
      <c r="R1112" t="s">
        <v>46</v>
      </c>
      <c r="S1112" t="s">
        <v>48</v>
      </c>
      <c r="T1112">
        <v>0</v>
      </c>
      <c r="U1112">
        <v>1</v>
      </c>
      <c r="V1112">
        <v>1</v>
      </c>
      <c r="W1112">
        <v>0</v>
      </c>
      <c r="X1112">
        <v>1</v>
      </c>
      <c r="Y1112">
        <v>0</v>
      </c>
      <c r="Z1112">
        <v>1</v>
      </c>
      <c r="AA1112">
        <v>0</v>
      </c>
      <c r="AB1112">
        <v>0</v>
      </c>
      <c r="AC1112">
        <v>0</v>
      </c>
      <c r="AD1112">
        <v>0</v>
      </c>
      <c r="AE1112">
        <v>0</v>
      </c>
      <c r="AF1112">
        <v>0</v>
      </c>
      <c r="AG1112">
        <v>1</v>
      </c>
    </row>
    <row r="1113" spans="1:33" hidden="1" x14ac:dyDescent="0.2">
      <c r="A1113">
        <v>1112</v>
      </c>
      <c r="B1113" t="s">
        <v>374</v>
      </c>
      <c r="C1113" t="s">
        <v>108</v>
      </c>
      <c r="D1113">
        <v>34</v>
      </c>
      <c r="E1113" t="s">
        <v>114</v>
      </c>
      <c r="F1113" t="s">
        <v>53</v>
      </c>
      <c r="G1113" t="s">
        <v>76</v>
      </c>
      <c r="H1113">
        <v>34993</v>
      </c>
      <c r="I1113">
        <v>1</v>
      </c>
      <c r="J1113">
        <v>1</v>
      </c>
      <c r="K1113">
        <v>0</v>
      </c>
      <c r="L1113">
        <v>0</v>
      </c>
      <c r="M1113" t="s">
        <v>36</v>
      </c>
      <c r="N1113" t="s">
        <v>36</v>
      </c>
      <c r="O1113" t="s">
        <v>36</v>
      </c>
      <c r="P1113" t="s">
        <v>37</v>
      </c>
      <c r="Q1113" t="s">
        <v>36</v>
      </c>
      <c r="R1113" t="s">
        <v>36</v>
      </c>
      <c r="S1113" t="s">
        <v>36</v>
      </c>
      <c r="T1113" t="s">
        <v>36</v>
      </c>
      <c r="U1113">
        <v>1</v>
      </c>
      <c r="V1113">
        <v>1</v>
      </c>
      <c r="W1113">
        <v>0</v>
      </c>
      <c r="X1113">
        <v>1</v>
      </c>
      <c r="Y1113">
        <v>0</v>
      </c>
      <c r="Z1113">
        <v>1</v>
      </c>
      <c r="AA1113">
        <v>0</v>
      </c>
      <c r="AB1113">
        <v>0</v>
      </c>
      <c r="AC1113">
        <v>0</v>
      </c>
      <c r="AD1113">
        <v>0</v>
      </c>
      <c r="AE1113">
        <v>0</v>
      </c>
      <c r="AF1113">
        <v>0</v>
      </c>
      <c r="AG1113">
        <v>1</v>
      </c>
    </row>
    <row r="1114" spans="1:33" x14ac:dyDescent="0.2">
      <c r="A1114">
        <v>1113</v>
      </c>
      <c r="B1114" t="s">
        <v>374</v>
      </c>
      <c r="C1114" t="s">
        <v>108</v>
      </c>
      <c r="D1114">
        <v>34</v>
      </c>
      <c r="E1114" t="s">
        <v>114</v>
      </c>
      <c r="F1114" t="s">
        <v>41</v>
      </c>
      <c r="G1114" t="s">
        <v>61</v>
      </c>
      <c r="H1114">
        <v>58005</v>
      </c>
      <c r="I1114">
        <v>0</v>
      </c>
      <c r="J1114">
        <v>0</v>
      </c>
      <c r="K1114">
        <v>1</v>
      </c>
      <c r="L1114">
        <v>0</v>
      </c>
      <c r="M1114" t="s">
        <v>64</v>
      </c>
      <c r="N1114" t="s">
        <v>63</v>
      </c>
      <c r="O1114" t="s">
        <v>87</v>
      </c>
      <c r="P1114" t="s">
        <v>37</v>
      </c>
      <c r="Q1114" t="s">
        <v>48</v>
      </c>
      <c r="R1114" t="s">
        <v>46</v>
      </c>
      <c r="S1114" t="s">
        <v>47</v>
      </c>
      <c r="T1114">
        <v>0</v>
      </c>
      <c r="U1114">
        <v>0</v>
      </c>
      <c r="V1114">
        <v>1</v>
      </c>
      <c r="W1114">
        <v>1</v>
      </c>
      <c r="X1114">
        <v>1</v>
      </c>
      <c r="Y1114">
        <v>0</v>
      </c>
      <c r="Z1114">
        <v>1</v>
      </c>
      <c r="AA1114">
        <v>0</v>
      </c>
      <c r="AB1114">
        <v>0</v>
      </c>
      <c r="AC1114">
        <v>0</v>
      </c>
      <c r="AD1114">
        <v>1</v>
      </c>
      <c r="AE1114">
        <v>0</v>
      </c>
      <c r="AF1114">
        <v>0</v>
      </c>
      <c r="AG1114">
        <v>0</v>
      </c>
    </row>
    <row r="1115" spans="1:33" x14ac:dyDescent="0.2">
      <c r="A1115">
        <v>1114</v>
      </c>
      <c r="B1115" t="s">
        <v>374</v>
      </c>
      <c r="C1115" t="s">
        <v>108</v>
      </c>
      <c r="D1115">
        <v>34</v>
      </c>
      <c r="E1115" t="s">
        <v>114</v>
      </c>
      <c r="F1115" t="s">
        <v>41</v>
      </c>
      <c r="G1115" t="s">
        <v>42</v>
      </c>
      <c r="H1115">
        <v>37442</v>
      </c>
      <c r="I1115">
        <v>0</v>
      </c>
      <c r="J1115">
        <v>0</v>
      </c>
      <c r="K1115">
        <v>1</v>
      </c>
      <c r="L1115">
        <v>0</v>
      </c>
      <c r="M1115" t="s">
        <v>45</v>
      </c>
      <c r="N1115" t="s">
        <v>43</v>
      </c>
      <c r="O1115" t="s">
        <v>82</v>
      </c>
      <c r="P1115" t="s">
        <v>37</v>
      </c>
      <c r="Q1115" t="s">
        <v>48</v>
      </c>
      <c r="R1115" t="s">
        <v>46</v>
      </c>
      <c r="S1115" t="s">
        <v>65</v>
      </c>
      <c r="T1115">
        <v>0</v>
      </c>
      <c r="U1115">
        <v>1</v>
      </c>
      <c r="V1115">
        <v>1</v>
      </c>
      <c r="W1115">
        <v>0</v>
      </c>
      <c r="X1115">
        <v>1</v>
      </c>
      <c r="Y1115">
        <v>0</v>
      </c>
      <c r="Z1115">
        <v>1</v>
      </c>
      <c r="AA1115">
        <v>0</v>
      </c>
      <c r="AB1115">
        <v>1</v>
      </c>
      <c r="AC1115">
        <v>0</v>
      </c>
      <c r="AD1115">
        <v>0</v>
      </c>
      <c r="AE1115">
        <v>0</v>
      </c>
      <c r="AF1115">
        <v>0</v>
      </c>
      <c r="AG1115">
        <v>0</v>
      </c>
    </row>
    <row r="1116" spans="1:33" hidden="1" x14ac:dyDescent="0.2">
      <c r="A1116">
        <v>1115</v>
      </c>
      <c r="B1116" t="s">
        <v>374</v>
      </c>
      <c r="C1116" t="s">
        <v>108</v>
      </c>
      <c r="D1116">
        <v>34</v>
      </c>
      <c r="E1116" t="s">
        <v>114</v>
      </c>
      <c r="F1116" t="s">
        <v>53</v>
      </c>
      <c r="G1116" t="s">
        <v>66</v>
      </c>
      <c r="H1116">
        <v>55854</v>
      </c>
      <c r="I1116">
        <v>1</v>
      </c>
      <c r="J1116">
        <v>1</v>
      </c>
      <c r="K1116">
        <v>0</v>
      </c>
      <c r="L1116">
        <v>0</v>
      </c>
      <c r="M1116" t="s">
        <v>36</v>
      </c>
      <c r="N1116" t="s">
        <v>36</v>
      </c>
      <c r="O1116" t="s">
        <v>36</v>
      </c>
      <c r="P1116" t="s">
        <v>37</v>
      </c>
      <c r="Q1116" t="s">
        <v>36</v>
      </c>
      <c r="R1116" t="s">
        <v>36</v>
      </c>
      <c r="S1116" t="s">
        <v>36</v>
      </c>
      <c r="T1116" t="s">
        <v>36</v>
      </c>
      <c r="U1116">
        <v>1</v>
      </c>
      <c r="V1116">
        <v>1</v>
      </c>
      <c r="W1116">
        <v>0</v>
      </c>
      <c r="X1116">
        <v>1</v>
      </c>
      <c r="Y1116">
        <v>0</v>
      </c>
      <c r="Z1116">
        <v>1</v>
      </c>
      <c r="AA1116">
        <v>0</v>
      </c>
      <c r="AB1116">
        <v>1</v>
      </c>
      <c r="AC1116">
        <v>0</v>
      </c>
      <c r="AD1116">
        <v>0</v>
      </c>
      <c r="AE1116">
        <v>0</v>
      </c>
      <c r="AF1116">
        <v>0</v>
      </c>
      <c r="AG1116">
        <v>0</v>
      </c>
    </row>
    <row r="1117" spans="1:33" x14ac:dyDescent="0.2">
      <c r="A1117">
        <v>1116</v>
      </c>
      <c r="B1117" t="s">
        <v>374</v>
      </c>
      <c r="C1117" t="s">
        <v>108</v>
      </c>
      <c r="D1117">
        <v>34</v>
      </c>
      <c r="E1117" t="s">
        <v>114</v>
      </c>
      <c r="F1117" t="s">
        <v>41</v>
      </c>
      <c r="G1117" t="s">
        <v>49</v>
      </c>
      <c r="H1117">
        <v>19773</v>
      </c>
      <c r="I1117">
        <v>1</v>
      </c>
      <c r="J1117">
        <v>0</v>
      </c>
      <c r="K1117">
        <v>0</v>
      </c>
      <c r="L1117">
        <v>0</v>
      </c>
      <c r="M1117" t="s">
        <v>96</v>
      </c>
      <c r="N1117" t="s">
        <v>83</v>
      </c>
      <c r="O1117" t="s">
        <v>50</v>
      </c>
      <c r="P1117" t="s">
        <v>37</v>
      </c>
      <c r="Q1117" t="s">
        <v>65</v>
      </c>
      <c r="R1117" t="s">
        <v>59</v>
      </c>
      <c r="S1117" t="s">
        <v>48</v>
      </c>
      <c r="T1117">
        <v>0</v>
      </c>
      <c r="U1117">
        <v>1</v>
      </c>
      <c r="V1117">
        <v>1</v>
      </c>
      <c r="W1117">
        <v>0</v>
      </c>
      <c r="X1117">
        <v>0</v>
      </c>
      <c r="Y1117">
        <v>0</v>
      </c>
      <c r="Z1117">
        <v>1</v>
      </c>
      <c r="AA1117">
        <v>0</v>
      </c>
      <c r="AB1117">
        <v>1</v>
      </c>
      <c r="AC1117">
        <v>0</v>
      </c>
      <c r="AD1117">
        <v>0</v>
      </c>
      <c r="AE1117">
        <v>0</v>
      </c>
      <c r="AF1117">
        <v>0</v>
      </c>
      <c r="AG1117">
        <v>0</v>
      </c>
    </row>
    <row r="1118" spans="1:33" hidden="1" x14ac:dyDescent="0.2">
      <c r="A1118">
        <v>1117</v>
      </c>
      <c r="B1118" t="s">
        <v>374</v>
      </c>
      <c r="C1118" t="s">
        <v>108</v>
      </c>
      <c r="D1118">
        <v>34</v>
      </c>
      <c r="E1118" t="s">
        <v>114</v>
      </c>
      <c r="F1118" t="s">
        <v>53</v>
      </c>
      <c r="G1118" t="s">
        <v>54</v>
      </c>
      <c r="H1118">
        <v>49280</v>
      </c>
      <c r="I1118">
        <v>1</v>
      </c>
      <c r="J1118">
        <v>1</v>
      </c>
      <c r="K1118">
        <v>1</v>
      </c>
      <c r="L1118">
        <v>0</v>
      </c>
      <c r="M1118" t="s">
        <v>36</v>
      </c>
      <c r="N1118" t="s">
        <v>36</v>
      </c>
      <c r="O1118" t="s">
        <v>36</v>
      </c>
      <c r="P1118" t="s">
        <v>37</v>
      </c>
      <c r="Q1118" t="s">
        <v>36</v>
      </c>
      <c r="R1118" t="s">
        <v>36</v>
      </c>
      <c r="S1118" t="s">
        <v>36</v>
      </c>
      <c r="T1118" t="s">
        <v>36</v>
      </c>
      <c r="U1118">
        <v>1</v>
      </c>
      <c r="V1118">
        <v>1</v>
      </c>
      <c r="W1118">
        <v>0</v>
      </c>
      <c r="X1118">
        <v>0</v>
      </c>
      <c r="Y1118">
        <v>0</v>
      </c>
      <c r="Z1118">
        <v>1</v>
      </c>
      <c r="AA1118">
        <v>0</v>
      </c>
      <c r="AB1118">
        <v>1</v>
      </c>
      <c r="AC1118">
        <v>0</v>
      </c>
      <c r="AD1118">
        <v>0</v>
      </c>
      <c r="AE1118">
        <v>0</v>
      </c>
      <c r="AF1118">
        <v>0</v>
      </c>
      <c r="AG1118">
        <v>0</v>
      </c>
    </row>
    <row r="1119" spans="1:33" x14ac:dyDescent="0.2">
      <c r="A1119">
        <v>1118</v>
      </c>
      <c r="B1119" t="s">
        <v>374</v>
      </c>
      <c r="C1119" t="s">
        <v>108</v>
      </c>
      <c r="D1119">
        <v>34</v>
      </c>
      <c r="E1119" t="s">
        <v>114</v>
      </c>
      <c r="F1119" t="s">
        <v>41</v>
      </c>
      <c r="G1119" t="s">
        <v>67</v>
      </c>
      <c r="H1119">
        <v>25028</v>
      </c>
      <c r="I1119">
        <v>1</v>
      </c>
      <c r="J1119">
        <v>0</v>
      </c>
      <c r="K1119">
        <v>0</v>
      </c>
      <c r="L1119">
        <v>0</v>
      </c>
      <c r="M1119" t="s">
        <v>70</v>
      </c>
      <c r="N1119" t="s">
        <v>86</v>
      </c>
      <c r="O1119" t="s">
        <v>69</v>
      </c>
      <c r="P1119" t="s">
        <v>37</v>
      </c>
      <c r="Q1119" t="s">
        <v>47</v>
      </c>
      <c r="R1119" t="s">
        <v>46</v>
      </c>
      <c r="S1119" t="s">
        <v>48</v>
      </c>
      <c r="T1119">
        <v>0</v>
      </c>
      <c r="U1119">
        <v>0</v>
      </c>
      <c r="V1119">
        <v>1</v>
      </c>
      <c r="W1119">
        <v>1</v>
      </c>
      <c r="X1119">
        <v>1</v>
      </c>
      <c r="Y1119">
        <v>0</v>
      </c>
      <c r="Z1119">
        <v>1</v>
      </c>
      <c r="AA1119">
        <v>0</v>
      </c>
      <c r="AB1119">
        <v>0</v>
      </c>
      <c r="AC1119">
        <v>0</v>
      </c>
      <c r="AD1119">
        <v>1</v>
      </c>
      <c r="AE1119">
        <v>0</v>
      </c>
      <c r="AF1119">
        <v>0</v>
      </c>
      <c r="AG1119">
        <v>0</v>
      </c>
    </row>
    <row r="1120" spans="1:33" hidden="1" x14ac:dyDescent="0.2">
      <c r="A1120">
        <v>1119</v>
      </c>
      <c r="B1120" t="s">
        <v>374</v>
      </c>
      <c r="C1120" t="s">
        <v>108</v>
      </c>
      <c r="D1120">
        <v>34</v>
      </c>
      <c r="E1120" t="s">
        <v>114</v>
      </c>
      <c r="F1120" t="s">
        <v>53</v>
      </c>
      <c r="G1120" t="s">
        <v>71</v>
      </c>
      <c r="H1120">
        <v>21911</v>
      </c>
      <c r="I1120">
        <v>1</v>
      </c>
      <c r="J1120">
        <v>1</v>
      </c>
      <c r="K1120">
        <v>0</v>
      </c>
      <c r="L1120">
        <v>0</v>
      </c>
      <c r="M1120" t="s">
        <v>36</v>
      </c>
      <c r="N1120" t="s">
        <v>36</v>
      </c>
      <c r="O1120" t="s">
        <v>36</v>
      </c>
      <c r="P1120" t="s">
        <v>37</v>
      </c>
      <c r="Q1120" t="s">
        <v>36</v>
      </c>
      <c r="R1120" t="s">
        <v>36</v>
      </c>
      <c r="S1120" t="s">
        <v>36</v>
      </c>
      <c r="T1120" t="s">
        <v>36</v>
      </c>
      <c r="U1120">
        <v>0</v>
      </c>
      <c r="V1120">
        <v>1</v>
      </c>
      <c r="W1120">
        <v>1</v>
      </c>
      <c r="X1120">
        <v>1</v>
      </c>
      <c r="Y1120">
        <v>0</v>
      </c>
      <c r="Z1120">
        <v>1</v>
      </c>
      <c r="AA1120">
        <v>0</v>
      </c>
      <c r="AB1120">
        <v>0</v>
      </c>
      <c r="AC1120">
        <v>0</v>
      </c>
      <c r="AD1120">
        <v>1</v>
      </c>
      <c r="AE1120">
        <v>0</v>
      </c>
      <c r="AF1120">
        <v>0</v>
      </c>
      <c r="AG1120">
        <v>0</v>
      </c>
    </row>
    <row r="1121" spans="1:33" hidden="1" x14ac:dyDescent="0.2">
      <c r="A1121">
        <v>1120</v>
      </c>
      <c r="B1121" t="s">
        <v>374</v>
      </c>
      <c r="C1121" t="s">
        <v>108</v>
      </c>
      <c r="D1121">
        <v>34</v>
      </c>
      <c r="E1121" t="s">
        <v>114</v>
      </c>
      <c r="F1121" t="s">
        <v>77</v>
      </c>
      <c r="G1121" t="s">
        <v>36</v>
      </c>
      <c r="H1121">
        <v>78876</v>
      </c>
      <c r="I1121" t="s">
        <v>375</v>
      </c>
      <c r="J1121" t="s">
        <v>376</v>
      </c>
      <c r="L1121" t="s">
        <v>36</v>
      </c>
      <c r="M1121" t="s">
        <v>36</v>
      </c>
      <c r="N1121" t="s">
        <v>36</v>
      </c>
      <c r="O1121" t="s">
        <v>36</v>
      </c>
      <c r="P1121" t="s">
        <v>37</v>
      </c>
      <c r="Q1121" t="s">
        <v>36</v>
      </c>
      <c r="R1121" t="s">
        <v>36</v>
      </c>
      <c r="S1121" t="s">
        <v>36</v>
      </c>
      <c r="T1121" t="s">
        <v>36</v>
      </c>
      <c r="U1121" t="s">
        <v>36</v>
      </c>
      <c r="V1121" t="s">
        <v>36</v>
      </c>
      <c r="W1121" t="s">
        <v>36</v>
      </c>
      <c r="X1121" t="s">
        <v>36</v>
      </c>
      <c r="Y1121" t="s">
        <v>36</v>
      </c>
      <c r="Z1121" t="s">
        <v>36</v>
      </c>
      <c r="AA1121" t="s">
        <v>36</v>
      </c>
      <c r="AB1121" t="s">
        <v>36</v>
      </c>
      <c r="AC1121" t="s">
        <v>36</v>
      </c>
      <c r="AD1121" t="s">
        <v>36</v>
      </c>
      <c r="AE1121" t="s">
        <v>36</v>
      </c>
      <c r="AF1121" t="s">
        <v>36</v>
      </c>
      <c r="AG1121" t="s">
        <v>36</v>
      </c>
    </row>
    <row r="1122" spans="1:33" hidden="1" x14ac:dyDescent="0.2">
      <c r="A1122">
        <v>1121</v>
      </c>
      <c r="B1122" t="s">
        <v>377</v>
      </c>
      <c r="C1122" t="s">
        <v>108</v>
      </c>
      <c r="D1122">
        <v>39</v>
      </c>
      <c r="E1122" t="s">
        <v>34</v>
      </c>
      <c r="F1122" t="s">
        <v>35</v>
      </c>
      <c r="G1122" t="s">
        <v>36</v>
      </c>
      <c r="H1122">
        <v>84444</v>
      </c>
      <c r="I1122" t="s">
        <v>36</v>
      </c>
      <c r="J1122" t="s">
        <v>36</v>
      </c>
      <c r="K1122" t="s">
        <v>36</v>
      </c>
      <c r="L1122" t="s">
        <v>36</v>
      </c>
      <c r="M1122" t="s">
        <v>36</v>
      </c>
      <c r="N1122" t="s">
        <v>36</v>
      </c>
      <c r="O1122" t="s">
        <v>36</v>
      </c>
      <c r="P1122" t="s">
        <v>37</v>
      </c>
      <c r="Q1122" t="s">
        <v>36</v>
      </c>
      <c r="R1122" t="s">
        <v>36</v>
      </c>
      <c r="S1122" t="s">
        <v>36</v>
      </c>
      <c r="T1122" t="s">
        <v>36</v>
      </c>
      <c r="U1122" t="s">
        <v>36</v>
      </c>
      <c r="V1122" t="s">
        <v>36</v>
      </c>
      <c r="W1122" t="s">
        <v>36</v>
      </c>
      <c r="X1122" t="s">
        <v>36</v>
      </c>
      <c r="Y1122" t="s">
        <v>36</v>
      </c>
      <c r="Z1122" t="s">
        <v>36</v>
      </c>
      <c r="AA1122" t="s">
        <v>36</v>
      </c>
      <c r="AB1122" t="s">
        <v>36</v>
      </c>
      <c r="AC1122" t="s">
        <v>36</v>
      </c>
      <c r="AD1122" t="s">
        <v>36</v>
      </c>
      <c r="AE1122" t="s">
        <v>36</v>
      </c>
      <c r="AF1122" t="s">
        <v>36</v>
      </c>
      <c r="AG1122" t="s">
        <v>36</v>
      </c>
    </row>
    <row r="1123" spans="1:33" hidden="1" x14ac:dyDescent="0.2">
      <c r="A1123">
        <v>1122</v>
      </c>
      <c r="B1123" t="s">
        <v>377</v>
      </c>
      <c r="C1123" t="s">
        <v>108</v>
      </c>
      <c r="D1123">
        <v>39</v>
      </c>
      <c r="E1123" t="s">
        <v>34</v>
      </c>
      <c r="F1123" t="s">
        <v>38</v>
      </c>
      <c r="G1123" t="s">
        <v>40</v>
      </c>
      <c r="H1123">
        <v>85193</v>
      </c>
      <c r="I1123">
        <v>0</v>
      </c>
      <c r="J1123">
        <v>1</v>
      </c>
      <c r="K1123">
        <v>1</v>
      </c>
      <c r="L1123">
        <v>0</v>
      </c>
      <c r="M1123" t="s">
        <v>36</v>
      </c>
      <c r="N1123" t="s">
        <v>36</v>
      </c>
      <c r="O1123" t="s">
        <v>36</v>
      </c>
      <c r="P1123" t="s">
        <v>37</v>
      </c>
      <c r="Q1123" t="s">
        <v>36</v>
      </c>
      <c r="R1123" t="s">
        <v>36</v>
      </c>
      <c r="S1123" t="s">
        <v>36</v>
      </c>
      <c r="T1123" t="s">
        <v>36</v>
      </c>
      <c r="U1123" t="s">
        <v>36</v>
      </c>
      <c r="V1123" t="s">
        <v>36</v>
      </c>
      <c r="W1123" t="s">
        <v>36</v>
      </c>
      <c r="X1123" t="s">
        <v>36</v>
      </c>
      <c r="Y1123" t="s">
        <v>36</v>
      </c>
      <c r="Z1123" t="s">
        <v>36</v>
      </c>
      <c r="AA1123" t="s">
        <v>36</v>
      </c>
      <c r="AB1123" t="s">
        <v>36</v>
      </c>
      <c r="AC1123" t="s">
        <v>36</v>
      </c>
      <c r="AD1123" t="s">
        <v>36</v>
      </c>
      <c r="AE1123" t="s">
        <v>36</v>
      </c>
      <c r="AF1123" t="s">
        <v>36</v>
      </c>
      <c r="AG1123" t="s">
        <v>36</v>
      </c>
    </row>
    <row r="1124" spans="1:33" hidden="1" x14ac:dyDescent="0.2">
      <c r="A1124">
        <v>1123</v>
      </c>
      <c r="B1124" t="s">
        <v>377</v>
      </c>
      <c r="C1124" t="s">
        <v>108</v>
      </c>
      <c r="D1124">
        <v>39</v>
      </c>
      <c r="E1124" t="s">
        <v>34</v>
      </c>
      <c r="F1124" t="s">
        <v>38</v>
      </c>
      <c r="G1124" t="s">
        <v>39</v>
      </c>
      <c r="H1124">
        <v>58012</v>
      </c>
      <c r="I1124">
        <v>0</v>
      </c>
      <c r="J1124">
        <v>0</v>
      </c>
      <c r="K1124">
        <v>0</v>
      </c>
      <c r="L1124">
        <v>1</v>
      </c>
      <c r="M1124" t="s">
        <v>36</v>
      </c>
      <c r="N1124" t="s">
        <v>36</v>
      </c>
      <c r="O1124" t="s">
        <v>36</v>
      </c>
      <c r="P1124" t="s">
        <v>37</v>
      </c>
      <c r="Q1124" t="s">
        <v>36</v>
      </c>
      <c r="R1124" t="s">
        <v>36</v>
      </c>
      <c r="S1124" t="s">
        <v>36</v>
      </c>
      <c r="T1124" t="s">
        <v>36</v>
      </c>
      <c r="U1124" t="s">
        <v>36</v>
      </c>
      <c r="V1124" t="s">
        <v>36</v>
      </c>
      <c r="W1124" t="s">
        <v>36</v>
      </c>
      <c r="X1124" t="s">
        <v>36</v>
      </c>
      <c r="Y1124" t="s">
        <v>36</v>
      </c>
      <c r="Z1124" t="s">
        <v>36</v>
      </c>
      <c r="AA1124" t="s">
        <v>36</v>
      </c>
      <c r="AB1124" t="s">
        <v>36</v>
      </c>
      <c r="AC1124" t="s">
        <v>36</v>
      </c>
      <c r="AD1124" t="s">
        <v>36</v>
      </c>
      <c r="AE1124" t="s">
        <v>36</v>
      </c>
      <c r="AF1124" t="s">
        <v>36</v>
      </c>
      <c r="AG1124" t="s">
        <v>36</v>
      </c>
    </row>
    <row r="1125" spans="1:33" x14ac:dyDescent="0.2">
      <c r="A1125">
        <v>1124</v>
      </c>
      <c r="B1125" t="s">
        <v>377</v>
      </c>
      <c r="C1125" t="s">
        <v>108</v>
      </c>
      <c r="D1125">
        <v>39</v>
      </c>
      <c r="E1125" t="s">
        <v>34</v>
      </c>
      <c r="F1125" t="s">
        <v>41</v>
      </c>
      <c r="G1125" t="s">
        <v>55</v>
      </c>
      <c r="H1125">
        <v>88019</v>
      </c>
      <c r="I1125">
        <v>1</v>
      </c>
      <c r="J1125">
        <v>1</v>
      </c>
      <c r="K1125">
        <v>1</v>
      </c>
      <c r="L1125">
        <v>0</v>
      </c>
      <c r="M1125" t="s">
        <v>57</v>
      </c>
      <c r="N1125" t="s">
        <v>85</v>
      </c>
      <c r="O1125" t="s">
        <v>56</v>
      </c>
      <c r="P1125" t="s">
        <v>37</v>
      </c>
      <c r="Q1125" t="s">
        <v>48</v>
      </c>
      <c r="R1125" t="s">
        <v>65</v>
      </c>
      <c r="S1125" t="s">
        <v>59</v>
      </c>
      <c r="T1125">
        <v>0</v>
      </c>
      <c r="U1125">
        <v>1</v>
      </c>
      <c r="V1125">
        <v>1</v>
      </c>
      <c r="W1125">
        <v>0</v>
      </c>
      <c r="X1125">
        <v>0</v>
      </c>
      <c r="Y1125">
        <v>0</v>
      </c>
      <c r="Z1125">
        <v>1</v>
      </c>
      <c r="AA1125">
        <v>0</v>
      </c>
      <c r="AB1125">
        <v>1</v>
      </c>
      <c r="AC1125">
        <v>1</v>
      </c>
      <c r="AD1125">
        <v>0</v>
      </c>
      <c r="AE1125">
        <v>0</v>
      </c>
      <c r="AF1125">
        <v>0</v>
      </c>
      <c r="AG1125">
        <v>0</v>
      </c>
    </row>
    <row r="1126" spans="1:33" x14ac:dyDescent="0.2">
      <c r="A1126">
        <v>1125</v>
      </c>
      <c r="B1126" t="s">
        <v>377</v>
      </c>
      <c r="C1126" t="s">
        <v>108</v>
      </c>
      <c r="D1126">
        <v>39</v>
      </c>
      <c r="E1126" t="s">
        <v>34</v>
      </c>
      <c r="F1126" t="s">
        <v>41</v>
      </c>
      <c r="G1126" t="s">
        <v>61</v>
      </c>
      <c r="H1126">
        <v>66975</v>
      </c>
      <c r="I1126">
        <v>1</v>
      </c>
      <c r="J1126">
        <v>1</v>
      </c>
      <c r="K1126">
        <v>1</v>
      </c>
      <c r="L1126">
        <v>0</v>
      </c>
      <c r="M1126" t="s">
        <v>62</v>
      </c>
      <c r="N1126" t="s">
        <v>87</v>
      </c>
      <c r="O1126" t="s">
        <v>64</v>
      </c>
      <c r="P1126" t="s">
        <v>37</v>
      </c>
      <c r="Q1126" t="s">
        <v>65</v>
      </c>
      <c r="R1126" t="s">
        <v>47</v>
      </c>
      <c r="S1126" t="s">
        <v>48</v>
      </c>
      <c r="T1126">
        <v>0</v>
      </c>
      <c r="U1126">
        <v>1</v>
      </c>
      <c r="V1126">
        <v>1</v>
      </c>
      <c r="W1126">
        <v>1</v>
      </c>
      <c r="X1126">
        <v>0</v>
      </c>
      <c r="Y1126">
        <v>0</v>
      </c>
      <c r="Z1126">
        <v>1</v>
      </c>
      <c r="AA1126">
        <v>0</v>
      </c>
      <c r="AB1126">
        <v>1</v>
      </c>
      <c r="AC1126">
        <v>1</v>
      </c>
      <c r="AD1126">
        <v>1</v>
      </c>
      <c r="AE1126">
        <v>0</v>
      </c>
      <c r="AF1126">
        <v>0</v>
      </c>
      <c r="AG1126">
        <v>0</v>
      </c>
    </row>
    <row r="1127" spans="1:33" hidden="1" x14ac:dyDescent="0.2">
      <c r="A1127">
        <v>1126</v>
      </c>
      <c r="B1127" t="s">
        <v>377</v>
      </c>
      <c r="C1127" t="s">
        <v>108</v>
      </c>
      <c r="D1127">
        <v>39</v>
      </c>
      <c r="E1127" t="s">
        <v>34</v>
      </c>
      <c r="F1127" t="s">
        <v>53</v>
      </c>
      <c r="G1127" t="s">
        <v>71</v>
      </c>
      <c r="H1127">
        <v>64932</v>
      </c>
      <c r="I1127">
        <v>0</v>
      </c>
      <c r="J1127">
        <v>1</v>
      </c>
      <c r="K1127">
        <v>0</v>
      </c>
      <c r="L1127">
        <v>0</v>
      </c>
      <c r="M1127" t="s">
        <v>36</v>
      </c>
      <c r="N1127" t="s">
        <v>36</v>
      </c>
      <c r="O1127" t="s">
        <v>36</v>
      </c>
      <c r="P1127" t="s">
        <v>37</v>
      </c>
      <c r="Q1127" t="s">
        <v>36</v>
      </c>
      <c r="R1127" t="s">
        <v>36</v>
      </c>
      <c r="S1127" t="s">
        <v>36</v>
      </c>
      <c r="T1127" t="s">
        <v>36</v>
      </c>
      <c r="U1127">
        <v>1</v>
      </c>
      <c r="V1127">
        <v>1</v>
      </c>
      <c r="W1127">
        <v>1</v>
      </c>
      <c r="X1127">
        <v>0</v>
      </c>
      <c r="Y1127">
        <v>0</v>
      </c>
      <c r="Z1127">
        <v>1</v>
      </c>
      <c r="AA1127">
        <v>0</v>
      </c>
      <c r="AB1127">
        <v>1</v>
      </c>
      <c r="AC1127">
        <v>1</v>
      </c>
      <c r="AD1127">
        <v>1</v>
      </c>
      <c r="AE1127">
        <v>0</v>
      </c>
      <c r="AF1127">
        <v>0</v>
      </c>
      <c r="AG1127">
        <v>0</v>
      </c>
    </row>
    <row r="1128" spans="1:33" x14ac:dyDescent="0.2">
      <c r="A1128">
        <v>1127</v>
      </c>
      <c r="B1128" t="s">
        <v>377</v>
      </c>
      <c r="C1128" t="s">
        <v>108</v>
      </c>
      <c r="D1128">
        <v>39</v>
      </c>
      <c r="E1128" t="s">
        <v>34</v>
      </c>
      <c r="F1128" t="s">
        <v>41</v>
      </c>
      <c r="G1128" t="s">
        <v>49</v>
      </c>
      <c r="H1128">
        <v>61139</v>
      </c>
      <c r="I1128">
        <v>0</v>
      </c>
      <c r="J1128">
        <v>0</v>
      </c>
      <c r="K1128">
        <v>1</v>
      </c>
      <c r="L1128">
        <v>0</v>
      </c>
      <c r="M1128" t="s">
        <v>96</v>
      </c>
      <c r="N1128" t="s">
        <v>51</v>
      </c>
      <c r="O1128" t="s">
        <v>83</v>
      </c>
      <c r="P1128" t="s">
        <v>37</v>
      </c>
      <c r="Q1128" t="s">
        <v>65</v>
      </c>
      <c r="R1128" t="s">
        <v>47</v>
      </c>
      <c r="S1128" t="s">
        <v>59</v>
      </c>
      <c r="T1128">
        <v>0</v>
      </c>
      <c r="U1128">
        <v>1</v>
      </c>
      <c r="V1128">
        <v>0</v>
      </c>
      <c r="W1128">
        <v>1</v>
      </c>
      <c r="X1128">
        <v>0</v>
      </c>
      <c r="Y1128">
        <v>0</v>
      </c>
      <c r="Z1128">
        <v>1</v>
      </c>
      <c r="AA1128">
        <v>0</v>
      </c>
      <c r="AB1128">
        <v>0</v>
      </c>
      <c r="AC1128">
        <v>0</v>
      </c>
      <c r="AD1128">
        <v>0</v>
      </c>
      <c r="AE1128">
        <v>0</v>
      </c>
      <c r="AF1128">
        <v>0</v>
      </c>
      <c r="AG1128">
        <v>0</v>
      </c>
    </row>
    <row r="1129" spans="1:33" hidden="1" x14ac:dyDescent="0.2">
      <c r="A1129">
        <v>1128</v>
      </c>
      <c r="B1129" t="s">
        <v>377</v>
      </c>
      <c r="C1129" t="s">
        <v>108</v>
      </c>
      <c r="D1129">
        <v>39</v>
      </c>
      <c r="E1129" t="s">
        <v>34</v>
      </c>
      <c r="F1129" t="s">
        <v>53</v>
      </c>
      <c r="G1129" t="s">
        <v>76</v>
      </c>
      <c r="H1129">
        <v>35018</v>
      </c>
      <c r="I1129">
        <v>1</v>
      </c>
      <c r="J1129">
        <v>0</v>
      </c>
      <c r="K1129">
        <v>0</v>
      </c>
      <c r="L1129">
        <v>0</v>
      </c>
      <c r="M1129" t="s">
        <v>36</v>
      </c>
      <c r="N1129" t="s">
        <v>36</v>
      </c>
      <c r="O1129" t="s">
        <v>36</v>
      </c>
      <c r="P1129" t="s">
        <v>37</v>
      </c>
      <c r="Q1129" t="s">
        <v>36</v>
      </c>
      <c r="R1129" t="s">
        <v>36</v>
      </c>
      <c r="S1129" t="s">
        <v>36</v>
      </c>
      <c r="T1129" t="s">
        <v>36</v>
      </c>
      <c r="U1129">
        <v>1</v>
      </c>
      <c r="V1129">
        <v>0</v>
      </c>
      <c r="W1129">
        <v>1</v>
      </c>
      <c r="X1129">
        <v>0</v>
      </c>
      <c r="Y1129">
        <v>0</v>
      </c>
      <c r="Z1129">
        <v>1</v>
      </c>
      <c r="AA1129">
        <v>0</v>
      </c>
      <c r="AB1129">
        <v>0</v>
      </c>
      <c r="AC1129">
        <v>0</v>
      </c>
      <c r="AD1129">
        <v>0</v>
      </c>
      <c r="AE1129">
        <v>0</v>
      </c>
      <c r="AF1129">
        <v>0</v>
      </c>
      <c r="AG1129">
        <v>0</v>
      </c>
    </row>
    <row r="1130" spans="1:33" x14ac:dyDescent="0.2">
      <c r="A1130">
        <v>1129</v>
      </c>
      <c r="B1130" t="s">
        <v>377</v>
      </c>
      <c r="C1130" t="s">
        <v>108</v>
      </c>
      <c r="D1130">
        <v>39</v>
      </c>
      <c r="E1130" t="s">
        <v>34</v>
      </c>
      <c r="F1130" t="s">
        <v>41</v>
      </c>
      <c r="G1130" t="s">
        <v>67</v>
      </c>
      <c r="H1130">
        <v>47395</v>
      </c>
      <c r="I1130">
        <v>1</v>
      </c>
      <c r="J1130">
        <v>1</v>
      </c>
      <c r="K1130">
        <v>1</v>
      </c>
      <c r="L1130">
        <v>1</v>
      </c>
      <c r="M1130" t="s">
        <v>70</v>
      </c>
      <c r="N1130" t="s">
        <v>109</v>
      </c>
      <c r="O1130" t="s">
        <v>103</v>
      </c>
      <c r="P1130" t="s">
        <v>37</v>
      </c>
      <c r="Q1130" t="s">
        <v>47</v>
      </c>
      <c r="R1130" t="s">
        <v>59</v>
      </c>
      <c r="S1130" t="s">
        <v>60</v>
      </c>
      <c r="T1130">
        <v>1</v>
      </c>
      <c r="U1130">
        <v>0</v>
      </c>
      <c r="V1130">
        <v>0</v>
      </c>
      <c r="W1130">
        <v>1</v>
      </c>
      <c r="X1130">
        <v>0</v>
      </c>
      <c r="Y1130">
        <v>0</v>
      </c>
      <c r="Z1130">
        <v>1</v>
      </c>
      <c r="AA1130">
        <v>1</v>
      </c>
      <c r="AB1130">
        <v>0</v>
      </c>
      <c r="AC1130">
        <v>0</v>
      </c>
      <c r="AD1130">
        <v>1</v>
      </c>
      <c r="AE1130">
        <v>0</v>
      </c>
      <c r="AF1130">
        <v>0</v>
      </c>
      <c r="AG1130">
        <v>1</v>
      </c>
    </row>
    <row r="1131" spans="1:33" x14ac:dyDescent="0.2">
      <c r="A1131">
        <v>1130</v>
      </c>
      <c r="B1131" t="s">
        <v>377</v>
      </c>
      <c r="C1131" t="s">
        <v>108</v>
      </c>
      <c r="D1131">
        <v>39</v>
      </c>
      <c r="E1131" t="s">
        <v>34</v>
      </c>
      <c r="F1131" t="s">
        <v>41</v>
      </c>
      <c r="G1131" t="s">
        <v>42</v>
      </c>
      <c r="H1131">
        <v>44221</v>
      </c>
      <c r="I1131">
        <v>1</v>
      </c>
      <c r="J1131">
        <v>1</v>
      </c>
      <c r="K1131">
        <v>1</v>
      </c>
      <c r="L1131">
        <v>0</v>
      </c>
      <c r="M1131" t="s">
        <v>43</v>
      </c>
      <c r="N1131" t="s">
        <v>82</v>
      </c>
      <c r="O1131" t="s">
        <v>44</v>
      </c>
      <c r="P1131" t="s">
        <v>37</v>
      </c>
      <c r="Q1131" t="s">
        <v>46</v>
      </c>
      <c r="R1131" t="s">
        <v>65</v>
      </c>
      <c r="S1131" t="s">
        <v>47</v>
      </c>
      <c r="T1131">
        <v>0</v>
      </c>
      <c r="U1131">
        <v>1</v>
      </c>
      <c r="V1131">
        <v>0</v>
      </c>
      <c r="W1131">
        <v>1</v>
      </c>
      <c r="X1131">
        <v>1</v>
      </c>
      <c r="Y1131">
        <v>0</v>
      </c>
      <c r="Z1131">
        <v>1</v>
      </c>
      <c r="AA1131">
        <v>0</v>
      </c>
      <c r="AB1131">
        <v>1</v>
      </c>
      <c r="AC1131">
        <v>0</v>
      </c>
      <c r="AD1131">
        <v>1</v>
      </c>
      <c r="AE1131">
        <v>1</v>
      </c>
      <c r="AF1131">
        <v>0</v>
      </c>
      <c r="AG1131">
        <v>0</v>
      </c>
    </row>
    <row r="1132" spans="1:33" hidden="1" x14ac:dyDescent="0.2">
      <c r="A1132">
        <v>1131</v>
      </c>
      <c r="B1132" t="s">
        <v>377</v>
      </c>
      <c r="C1132" t="s">
        <v>108</v>
      </c>
      <c r="D1132">
        <v>39</v>
      </c>
      <c r="E1132" t="s">
        <v>34</v>
      </c>
      <c r="F1132" t="s">
        <v>53</v>
      </c>
      <c r="G1132" t="s">
        <v>54</v>
      </c>
      <c r="H1132">
        <v>60907</v>
      </c>
      <c r="I1132">
        <v>0</v>
      </c>
      <c r="J1132">
        <v>1</v>
      </c>
      <c r="K1132">
        <v>1</v>
      </c>
      <c r="L1132">
        <v>0</v>
      </c>
      <c r="M1132" t="s">
        <v>36</v>
      </c>
      <c r="N1132" t="s">
        <v>36</v>
      </c>
      <c r="O1132" t="s">
        <v>36</v>
      </c>
      <c r="P1132" t="s">
        <v>37</v>
      </c>
      <c r="Q1132" t="s">
        <v>36</v>
      </c>
      <c r="R1132" t="s">
        <v>36</v>
      </c>
      <c r="S1132" t="s">
        <v>36</v>
      </c>
      <c r="T1132" t="s">
        <v>36</v>
      </c>
      <c r="U1132">
        <v>1</v>
      </c>
      <c r="V1132">
        <v>0</v>
      </c>
      <c r="W1132">
        <v>1</v>
      </c>
      <c r="X1132">
        <v>1</v>
      </c>
      <c r="Y1132">
        <v>0</v>
      </c>
      <c r="Z1132">
        <v>1</v>
      </c>
      <c r="AA1132">
        <v>0</v>
      </c>
      <c r="AB1132">
        <v>1</v>
      </c>
      <c r="AC1132">
        <v>0</v>
      </c>
      <c r="AD1132">
        <v>1</v>
      </c>
      <c r="AE1132">
        <v>1</v>
      </c>
      <c r="AF1132">
        <v>0</v>
      </c>
      <c r="AG1132">
        <v>0</v>
      </c>
    </row>
    <row r="1133" spans="1:33" x14ac:dyDescent="0.2">
      <c r="A1133">
        <v>1132</v>
      </c>
      <c r="B1133" t="s">
        <v>377</v>
      </c>
      <c r="C1133" t="s">
        <v>108</v>
      </c>
      <c r="D1133">
        <v>39</v>
      </c>
      <c r="E1133" t="s">
        <v>34</v>
      </c>
      <c r="F1133" t="s">
        <v>41</v>
      </c>
      <c r="G1133" t="s">
        <v>72</v>
      </c>
      <c r="H1133">
        <v>17558</v>
      </c>
      <c r="I1133">
        <v>1</v>
      </c>
      <c r="J1133">
        <v>1</v>
      </c>
      <c r="K1133">
        <v>0</v>
      </c>
      <c r="L1133">
        <v>0</v>
      </c>
      <c r="M1133" t="s">
        <v>74</v>
      </c>
      <c r="N1133" t="s">
        <v>104</v>
      </c>
      <c r="O1133" t="s">
        <v>93</v>
      </c>
      <c r="P1133" t="s">
        <v>37</v>
      </c>
      <c r="Q1133" t="s">
        <v>47</v>
      </c>
      <c r="R1133" t="s">
        <v>60</v>
      </c>
      <c r="S1133" t="s">
        <v>59</v>
      </c>
      <c r="T1133">
        <v>1</v>
      </c>
      <c r="U1133">
        <v>0</v>
      </c>
      <c r="V1133">
        <v>0</v>
      </c>
      <c r="W1133">
        <v>1</v>
      </c>
      <c r="X1133">
        <v>0</v>
      </c>
      <c r="Y1133">
        <v>0</v>
      </c>
      <c r="Z1133">
        <v>1</v>
      </c>
      <c r="AA1133">
        <v>1</v>
      </c>
      <c r="AB1133">
        <v>0</v>
      </c>
      <c r="AC1133">
        <v>0</v>
      </c>
      <c r="AD1133">
        <v>1</v>
      </c>
      <c r="AE1133">
        <v>0</v>
      </c>
      <c r="AF1133">
        <v>0</v>
      </c>
      <c r="AG1133">
        <v>0</v>
      </c>
    </row>
    <row r="1134" spans="1:33" hidden="1" x14ac:dyDescent="0.2">
      <c r="A1134">
        <v>1133</v>
      </c>
      <c r="B1134" t="s">
        <v>377</v>
      </c>
      <c r="C1134" t="s">
        <v>108</v>
      </c>
      <c r="D1134">
        <v>39</v>
      </c>
      <c r="E1134" t="s">
        <v>34</v>
      </c>
      <c r="F1134" t="s">
        <v>53</v>
      </c>
      <c r="G1134" t="s">
        <v>66</v>
      </c>
      <c r="H1134">
        <v>39363</v>
      </c>
      <c r="I1134">
        <v>1</v>
      </c>
      <c r="J1134">
        <v>1</v>
      </c>
      <c r="K1134">
        <v>0</v>
      </c>
      <c r="L1134">
        <v>0</v>
      </c>
      <c r="M1134" t="s">
        <v>36</v>
      </c>
      <c r="N1134" t="s">
        <v>36</v>
      </c>
      <c r="O1134" t="s">
        <v>36</v>
      </c>
      <c r="P1134" t="s">
        <v>37</v>
      </c>
      <c r="Q1134" t="s">
        <v>36</v>
      </c>
      <c r="R1134" t="s">
        <v>36</v>
      </c>
      <c r="S1134" t="s">
        <v>36</v>
      </c>
      <c r="T1134" t="s">
        <v>36</v>
      </c>
      <c r="U1134">
        <v>0</v>
      </c>
      <c r="V1134">
        <v>0</v>
      </c>
      <c r="W1134">
        <v>1</v>
      </c>
      <c r="X1134">
        <v>0</v>
      </c>
      <c r="Y1134">
        <v>0</v>
      </c>
      <c r="Z1134">
        <v>1</v>
      </c>
      <c r="AA1134">
        <v>1</v>
      </c>
      <c r="AB1134">
        <v>0</v>
      </c>
      <c r="AC1134">
        <v>0</v>
      </c>
      <c r="AD1134">
        <v>1</v>
      </c>
      <c r="AE1134">
        <v>0</v>
      </c>
      <c r="AF1134">
        <v>0</v>
      </c>
      <c r="AG1134">
        <v>0</v>
      </c>
    </row>
    <row r="1135" spans="1:33" hidden="1" x14ac:dyDescent="0.2">
      <c r="A1135">
        <v>1134</v>
      </c>
      <c r="B1135" t="s">
        <v>377</v>
      </c>
      <c r="C1135" t="s">
        <v>108</v>
      </c>
      <c r="D1135">
        <v>39</v>
      </c>
      <c r="E1135" t="s">
        <v>34</v>
      </c>
      <c r="F1135" t="s">
        <v>77</v>
      </c>
      <c r="G1135" t="s">
        <v>36</v>
      </c>
      <c r="H1135">
        <v>96714</v>
      </c>
      <c r="I1135" t="s">
        <v>378</v>
      </c>
      <c r="J1135" t="s">
        <v>379</v>
      </c>
      <c r="K1135" t="s">
        <v>223</v>
      </c>
      <c r="L1135" t="s">
        <v>36</v>
      </c>
      <c r="M1135" t="s">
        <v>36</v>
      </c>
      <c r="N1135" t="s">
        <v>36</v>
      </c>
      <c r="O1135" t="s">
        <v>36</v>
      </c>
      <c r="P1135" t="s">
        <v>37</v>
      </c>
      <c r="Q1135" t="s">
        <v>36</v>
      </c>
      <c r="R1135" t="s">
        <v>36</v>
      </c>
      <c r="S1135" t="s">
        <v>36</v>
      </c>
      <c r="T1135" t="s">
        <v>36</v>
      </c>
      <c r="U1135" t="s">
        <v>36</v>
      </c>
      <c r="V1135" t="s">
        <v>36</v>
      </c>
      <c r="W1135" t="s">
        <v>36</v>
      </c>
      <c r="X1135" t="s">
        <v>36</v>
      </c>
      <c r="Y1135" t="s">
        <v>36</v>
      </c>
      <c r="Z1135" t="s">
        <v>36</v>
      </c>
      <c r="AA1135" t="s">
        <v>36</v>
      </c>
      <c r="AB1135" t="s">
        <v>36</v>
      </c>
      <c r="AC1135" t="s">
        <v>36</v>
      </c>
      <c r="AD1135" t="s">
        <v>36</v>
      </c>
      <c r="AE1135" t="s">
        <v>36</v>
      </c>
      <c r="AF1135" t="s">
        <v>36</v>
      </c>
      <c r="AG1135" t="s">
        <v>36</v>
      </c>
    </row>
    <row r="1136" spans="1:33" hidden="1" x14ac:dyDescent="0.2">
      <c r="A1136">
        <v>1135</v>
      </c>
      <c r="B1136" t="s">
        <v>380</v>
      </c>
      <c r="C1136" t="s">
        <v>33</v>
      </c>
      <c r="D1136">
        <v>32</v>
      </c>
      <c r="E1136" t="s">
        <v>114</v>
      </c>
      <c r="F1136" t="s">
        <v>35</v>
      </c>
      <c r="G1136" t="s">
        <v>36</v>
      </c>
      <c r="H1136">
        <v>72469</v>
      </c>
      <c r="I1136" t="s">
        <v>36</v>
      </c>
      <c r="J1136" t="s">
        <v>36</v>
      </c>
      <c r="K1136" t="s">
        <v>36</v>
      </c>
      <c r="L1136" t="s">
        <v>36</v>
      </c>
      <c r="M1136" t="s">
        <v>36</v>
      </c>
      <c r="N1136" t="s">
        <v>36</v>
      </c>
      <c r="O1136" t="s">
        <v>36</v>
      </c>
      <c r="P1136" t="s">
        <v>37</v>
      </c>
      <c r="Q1136" t="s">
        <v>36</v>
      </c>
      <c r="R1136" t="s">
        <v>36</v>
      </c>
      <c r="S1136" t="s">
        <v>36</v>
      </c>
      <c r="T1136" t="s">
        <v>36</v>
      </c>
      <c r="U1136" t="s">
        <v>36</v>
      </c>
      <c r="V1136" t="s">
        <v>36</v>
      </c>
      <c r="W1136" t="s">
        <v>36</v>
      </c>
      <c r="X1136" t="s">
        <v>36</v>
      </c>
      <c r="Y1136" t="s">
        <v>36</v>
      </c>
      <c r="Z1136" t="s">
        <v>36</v>
      </c>
      <c r="AA1136" t="s">
        <v>36</v>
      </c>
      <c r="AB1136" t="s">
        <v>36</v>
      </c>
      <c r="AC1136" t="s">
        <v>36</v>
      </c>
      <c r="AD1136" t="s">
        <v>36</v>
      </c>
      <c r="AE1136" t="s">
        <v>36</v>
      </c>
      <c r="AF1136" t="s">
        <v>36</v>
      </c>
      <c r="AG1136" t="s">
        <v>36</v>
      </c>
    </row>
    <row r="1137" spans="1:33" hidden="1" x14ac:dyDescent="0.2">
      <c r="A1137">
        <v>1136</v>
      </c>
      <c r="B1137" t="s">
        <v>380</v>
      </c>
      <c r="C1137" t="s">
        <v>33</v>
      </c>
      <c r="D1137">
        <v>32</v>
      </c>
      <c r="E1137" t="s">
        <v>114</v>
      </c>
      <c r="F1137" t="s">
        <v>38</v>
      </c>
      <c r="G1137" t="s">
        <v>39</v>
      </c>
      <c r="H1137">
        <v>23651</v>
      </c>
      <c r="I1137">
        <v>0</v>
      </c>
      <c r="J1137">
        <v>0</v>
      </c>
      <c r="K1137">
        <v>0</v>
      </c>
      <c r="L1137">
        <v>1</v>
      </c>
      <c r="M1137" t="s">
        <v>36</v>
      </c>
      <c r="N1137" t="s">
        <v>36</v>
      </c>
      <c r="O1137" t="s">
        <v>36</v>
      </c>
      <c r="P1137" t="s">
        <v>37</v>
      </c>
      <c r="Q1137" t="s">
        <v>36</v>
      </c>
      <c r="R1137" t="s">
        <v>36</v>
      </c>
      <c r="S1137" t="s">
        <v>36</v>
      </c>
      <c r="T1137" t="s">
        <v>36</v>
      </c>
      <c r="U1137" t="s">
        <v>36</v>
      </c>
      <c r="V1137" t="s">
        <v>36</v>
      </c>
      <c r="W1137" t="s">
        <v>36</v>
      </c>
      <c r="X1137" t="s">
        <v>36</v>
      </c>
      <c r="Y1137" t="s">
        <v>36</v>
      </c>
      <c r="Z1137" t="s">
        <v>36</v>
      </c>
      <c r="AA1137" t="s">
        <v>36</v>
      </c>
      <c r="AB1137" t="s">
        <v>36</v>
      </c>
      <c r="AC1137" t="s">
        <v>36</v>
      </c>
      <c r="AD1137" t="s">
        <v>36</v>
      </c>
      <c r="AE1137" t="s">
        <v>36</v>
      </c>
      <c r="AF1137" t="s">
        <v>36</v>
      </c>
      <c r="AG1137" t="s">
        <v>36</v>
      </c>
    </row>
    <row r="1138" spans="1:33" hidden="1" x14ac:dyDescent="0.2">
      <c r="A1138">
        <v>1137</v>
      </c>
      <c r="B1138" t="s">
        <v>380</v>
      </c>
      <c r="C1138" t="s">
        <v>33</v>
      </c>
      <c r="D1138">
        <v>32</v>
      </c>
      <c r="E1138" t="s">
        <v>114</v>
      </c>
      <c r="F1138" t="s">
        <v>38</v>
      </c>
      <c r="G1138" t="s">
        <v>40</v>
      </c>
      <c r="H1138">
        <v>26937</v>
      </c>
      <c r="I1138">
        <v>0</v>
      </c>
      <c r="J1138">
        <v>0</v>
      </c>
      <c r="K1138">
        <v>1</v>
      </c>
      <c r="L1138">
        <v>0</v>
      </c>
      <c r="M1138" t="s">
        <v>36</v>
      </c>
      <c r="N1138" t="s">
        <v>36</v>
      </c>
      <c r="O1138" t="s">
        <v>36</v>
      </c>
      <c r="P1138" t="s">
        <v>37</v>
      </c>
      <c r="Q1138" t="s">
        <v>36</v>
      </c>
      <c r="R1138" t="s">
        <v>36</v>
      </c>
      <c r="S1138" t="s">
        <v>36</v>
      </c>
      <c r="T1138" t="s">
        <v>36</v>
      </c>
      <c r="U1138" t="s">
        <v>36</v>
      </c>
      <c r="V1138" t="s">
        <v>36</v>
      </c>
      <c r="W1138" t="s">
        <v>36</v>
      </c>
      <c r="X1138" t="s">
        <v>36</v>
      </c>
      <c r="Y1138" t="s">
        <v>36</v>
      </c>
      <c r="Z1138" t="s">
        <v>36</v>
      </c>
      <c r="AA1138" t="s">
        <v>36</v>
      </c>
      <c r="AB1138" t="s">
        <v>36</v>
      </c>
      <c r="AC1138" t="s">
        <v>36</v>
      </c>
      <c r="AD1138" t="s">
        <v>36</v>
      </c>
      <c r="AE1138" t="s">
        <v>36</v>
      </c>
      <c r="AF1138" t="s">
        <v>36</v>
      </c>
      <c r="AG1138" t="s">
        <v>36</v>
      </c>
    </row>
    <row r="1139" spans="1:33" x14ac:dyDescent="0.2">
      <c r="A1139">
        <v>1138</v>
      </c>
      <c r="B1139" t="s">
        <v>380</v>
      </c>
      <c r="C1139" t="s">
        <v>33</v>
      </c>
      <c r="D1139">
        <v>32</v>
      </c>
      <c r="E1139" t="s">
        <v>114</v>
      </c>
      <c r="F1139" t="s">
        <v>41</v>
      </c>
      <c r="G1139" t="s">
        <v>72</v>
      </c>
      <c r="H1139">
        <v>48418</v>
      </c>
      <c r="I1139">
        <v>0</v>
      </c>
      <c r="J1139">
        <v>0</v>
      </c>
      <c r="K1139">
        <v>0</v>
      </c>
      <c r="L1139">
        <v>1</v>
      </c>
      <c r="M1139" t="s">
        <v>93</v>
      </c>
      <c r="N1139" t="s">
        <v>75</v>
      </c>
      <c r="O1139" t="s">
        <v>73</v>
      </c>
      <c r="P1139" t="s">
        <v>37</v>
      </c>
      <c r="Q1139" t="s">
        <v>59</v>
      </c>
      <c r="R1139" t="s">
        <v>46</v>
      </c>
      <c r="S1139" t="s">
        <v>48</v>
      </c>
      <c r="T1139">
        <v>0</v>
      </c>
      <c r="U1139">
        <v>0</v>
      </c>
      <c r="V1139">
        <v>1</v>
      </c>
      <c r="W1139">
        <v>0</v>
      </c>
      <c r="X1139">
        <v>1</v>
      </c>
      <c r="Y1139">
        <v>0</v>
      </c>
      <c r="Z1139">
        <v>1</v>
      </c>
      <c r="AA1139">
        <v>0</v>
      </c>
      <c r="AB1139">
        <v>0</v>
      </c>
      <c r="AC1139">
        <v>0</v>
      </c>
      <c r="AD1139">
        <v>0</v>
      </c>
      <c r="AE1139">
        <v>0</v>
      </c>
      <c r="AF1139">
        <v>0</v>
      </c>
      <c r="AG1139">
        <v>1</v>
      </c>
    </row>
    <row r="1140" spans="1:33" x14ac:dyDescent="0.2">
      <c r="A1140">
        <v>1139</v>
      </c>
      <c r="B1140" t="s">
        <v>380</v>
      </c>
      <c r="C1140" t="s">
        <v>33</v>
      </c>
      <c r="D1140">
        <v>32</v>
      </c>
      <c r="E1140" t="s">
        <v>114</v>
      </c>
      <c r="F1140" t="s">
        <v>41</v>
      </c>
      <c r="G1140" t="s">
        <v>55</v>
      </c>
      <c r="H1140">
        <v>39951</v>
      </c>
      <c r="I1140">
        <v>1</v>
      </c>
      <c r="J1140">
        <v>1</v>
      </c>
      <c r="K1140">
        <v>1</v>
      </c>
      <c r="L1140">
        <v>0</v>
      </c>
      <c r="M1140" t="s">
        <v>57</v>
      </c>
      <c r="N1140" t="s">
        <v>56</v>
      </c>
      <c r="O1140" t="s">
        <v>85</v>
      </c>
      <c r="P1140" t="s">
        <v>37</v>
      </c>
      <c r="Q1140" t="s">
        <v>48</v>
      </c>
      <c r="R1140" t="s">
        <v>59</v>
      </c>
      <c r="S1140" t="s">
        <v>65</v>
      </c>
      <c r="T1140">
        <v>0</v>
      </c>
      <c r="U1140">
        <v>1</v>
      </c>
      <c r="V1140">
        <v>1</v>
      </c>
      <c r="W1140">
        <v>0</v>
      </c>
      <c r="X1140">
        <v>0</v>
      </c>
      <c r="Y1140">
        <v>0</v>
      </c>
      <c r="Z1140">
        <v>1</v>
      </c>
      <c r="AA1140">
        <v>0</v>
      </c>
      <c r="AB1140">
        <v>1</v>
      </c>
      <c r="AC1140">
        <v>1</v>
      </c>
      <c r="AD1140">
        <v>0</v>
      </c>
      <c r="AE1140">
        <v>0</v>
      </c>
      <c r="AF1140">
        <v>0</v>
      </c>
      <c r="AG1140">
        <v>0</v>
      </c>
    </row>
    <row r="1141" spans="1:33" hidden="1" x14ac:dyDescent="0.2">
      <c r="A1141">
        <v>1140</v>
      </c>
      <c r="B1141" t="s">
        <v>380</v>
      </c>
      <c r="C1141" t="s">
        <v>33</v>
      </c>
      <c r="D1141">
        <v>32</v>
      </c>
      <c r="E1141" t="s">
        <v>114</v>
      </c>
      <c r="F1141" t="s">
        <v>53</v>
      </c>
      <c r="G1141" t="s">
        <v>66</v>
      </c>
      <c r="H1141">
        <v>20435</v>
      </c>
      <c r="I1141">
        <v>1</v>
      </c>
      <c r="J1141">
        <v>1</v>
      </c>
      <c r="K1141">
        <v>0</v>
      </c>
      <c r="L1141">
        <v>0</v>
      </c>
      <c r="M1141" t="s">
        <v>36</v>
      </c>
      <c r="N1141" t="s">
        <v>36</v>
      </c>
      <c r="O1141" t="s">
        <v>36</v>
      </c>
      <c r="P1141" t="s">
        <v>37</v>
      </c>
      <c r="Q1141" t="s">
        <v>36</v>
      </c>
      <c r="R1141" t="s">
        <v>36</v>
      </c>
      <c r="S1141" t="s">
        <v>36</v>
      </c>
      <c r="T1141" t="s">
        <v>36</v>
      </c>
      <c r="U1141">
        <v>1</v>
      </c>
      <c r="V1141">
        <v>1</v>
      </c>
      <c r="W1141">
        <v>0</v>
      </c>
      <c r="X1141">
        <v>0</v>
      </c>
      <c r="Y1141">
        <v>0</v>
      </c>
      <c r="Z1141">
        <v>1</v>
      </c>
      <c r="AA1141">
        <v>0</v>
      </c>
      <c r="AB1141">
        <v>1</v>
      </c>
      <c r="AC1141">
        <v>1</v>
      </c>
      <c r="AD1141">
        <v>0</v>
      </c>
      <c r="AE1141">
        <v>0</v>
      </c>
      <c r="AF1141">
        <v>0</v>
      </c>
      <c r="AG1141">
        <v>0</v>
      </c>
    </row>
    <row r="1142" spans="1:33" x14ac:dyDescent="0.2">
      <c r="A1142">
        <v>1141</v>
      </c>
      <c r="B1142" t="s">
        <v>380</v>
      </c>
      <c r="C1142" t="s">
        <v>33</v>
      </c>
      <c r="D1142">
        <v>32</v>
      </c>
      <c r="E1142" t="s">
        <v>114</v>
      </c>
      <c r="F1142" t="s">
        <v>41</v>
      </c>
      <c r="G1142" t="s">
        <v>42</v>
      </c>
      <c r="H1142">
        <v>23142</v>
      </c>
      <c r="I1142">
        <v>1</v>
      </c>
      <c r="J1142">
        <v>1</v>
      </c>
      <c r="K1142">
        <v>1</v>
      </c>
      <c r="L1142">
        <v>0</v>
      </c>
      <c r="M1142" t="s">
        <v>82</v>
      </c>
      <c r="N1142" t="s">
        <v>44</v>
      </c>
      <c r="O1142" t="s">
        <v>45</v>
      </c>
      <c r="P1142" t="s">
        <v>37</v>
      </c>
      <c r="Q1142" t="s">
        <v>65</v>
      </c>
      <c r="R1142" t="s">
        <v>47</v>
      </c>
      <c r="S1142" t="s">
        <v>48</v>
      </c>
      <c r="T1142">
        <v>0</v>
      </c>
      <c r="U1142">
        <v>1</v>
      </c>
      <c r="V1142">
        <v>1</v>
      </c>
      <c r="W1142">
        <v>1</v>
      </c>
      <c r="X1142">
        <v>0</v>
      </c>
      <c r="Y1142">
        <v>0</v>
      </c>
      <c r="Z1142">
        <v>1</v>
      </c>
      <c r="AA1142">
        <v>0</v>
      </c>
      <c r="AB1142">
        <v>1</v>
      </c>
      <c r="AC1142">
        <v>1</v>
      </c>
      <c r="AD1142">
        <v>1</v>
      </c>
      <c r="AE1142">
        <v>0</v>
      </c>
      <c r="AF1142">
        <v>0</v>
      </c>
      <c r="AG1142">
        <v>0</v>
      </c>
    </row>
    <row r="1143" spans="1:33" hidden="1" x14ac:dyDescent="0.2">
      <c r="A1143">
        <v>1142</v>
      </c>
      <c r="B1143" t="s">
        <v>380</v>
      </c>
      <c r="C1143" t="s">
        <v>33</v>
      </c>
      <c r="D1143">
        <v>32</v>
      </c>
      <c r="E1143" t="s">
        <v>114</v>
      </c>
      <c r="F1143" t="s">
        <v>53</v>
      </c>
      <c r="G1143" t="s">
        <v>54</v>
      </c>
      <c r="H1143">
        <v>28452</v>
      </c>
      <c r="I1143">
        <v>0</v>
      </c>
      <c r="J1143">
        <v>0</v>
      </c>
      <c r="K1143">
        <v>1</v>
      </c>
      <c r="L1143">
        <v>0</v>
      </c>
      <c r="M1143" t="s">
        <v>36</v>
      </c>
      <c r="N1143" t="s">
        <v>36</v>
      </c>
      <c r="O1143" t="s">
        <v>36</v>
      </c>
      <c r="P1143" t="s">
        <v>37</v>
      </c>
      <c r="Q1143" t="s">
        <v>36</v>
      </c>
      <c r="R1143" t="s">
        <v>36</v>
      </c>
      <c r="S1143" t="s">
        <v>36</v>
      </c>
      <c r="T1143" t="s">
        <v>36</v>
      </c>
      <c r="U1143">
        <v>1</v>
      </c>
      <c r="V1143">
        <v>1</v>
      </c>
      <c r="W1143">
        <v>1</v>
      </c>
      <c r="X1143">
        <v>0</v>
      </c>
      <c r="Y1143">
        <v>0</v>
      </c>
      <c r="Z1143">
        <v>1</v>
      </c>
      <c r="AA1143">
        <v>0</v>
      </c>
      <c r="AB1143">
        <v>1</v>
      </c>
      <c r="AC1143">
        <v>1</v>
      </c>
      <c r="AD1143">
        <v>1</v>
      </c>
      <c r="AE1143">
        <v>0</v>
      </c>
      <c r="AF1143">
        <v>0</v>
      </c>
      <c r="AG1143">
        <v>0</v>
      </c>
    </row>
    <row r="1144" spans="1:33" x14ac:dyDescent="0.2">
      <c r="A1144">
        <v>1143</v>
      </c>
      <c r="B1144" t="s">
        <v>380</v>
      </c>
      <c r="C1144" t="s">
        <v>33</v>
      </c>
      <c r="D1144">
        <v>32</v>
      </c>
      <c r="E1144" t="s">
        <v>114</v>
      </c>
      <c r="F1144" t="s">
        <v>41</v>
      </c>
      <c r="G1144" t="s">
        <v>49</v>
      </c>
      <c r="H1144">
        <v>49658</v>
      </c>
      <c r="I1144">
        <v>0</v>
      </c>
      <c r="J1144">
        <v>0</v>
      </c>
      <c r="K1144">
        <v>0</v>
      </c>
      <c r="L1144">
        <v>1</v>
      </c>
      <c r="M1144" t="s">
        <v>83</v>
      </c>
      <c r="N1144" t="s">
        <v>50</v>
      </c>
      <c r="O1144" t="s">
        <v>51</v>
      </c>
      <c r="P1144" t="s">
        <v>37</v>
      </c>
      <c r="Q1144" t="s">
        <v>59</v>
      </c>
      <c r="R1144" t="s">
        <v>48</v>
      </c>
      <c r="S1144" t="s">
        <v>47</v>
      </c>
      <c r="T1144">
        <v>0</v>
      </c>
      <c r="U1144">
        <v>0</v>
      </c>
      <c r="V1144">
        <v>1</v>
      </c>
      <c r="W1144">
        <v>1</v>
      </c>
      <c r="X1144">
        <v>0</v>
      </c>
      <c r="Y1144">
        <v>0</v>
      </c>
      <c r="Z1144">
        <v>1</v>
      </c>
      <c r="AA1144">
        <v>0</v>
      </c>
      <c r="AB1144">
        <v>0</v>
      </c>
      <c r="AC1144">
        <v>0</v>
      </c>
      <c r="AD1144">
        <v>0</v>
      </c>
      <c r="AE1144">
        <v>0</v>
      </c>
      <c r="AF1144">
        <v>0</v>
      </c>
      <c r="AG1144">
        <v>1</v>
      </c>
    </row>
    <row r="1145" spans="1:33" x14ac:dyDescent="0.2">
      <c r="A1145">
        <v>1144</v>
      </c>
      <c r="B1145" t="s">
        <v>380</v>
      </c>
      <c r="C1145" t="s">
        <v>33</v>
      </c>
      <c r="D1145">
        <v>32</v>
      </c>
      <c r="E1145" t="s">
        <v>114</v>
      </c>
      <c r="F1145" t="s">
        <v>41</v>
      </c>
      <c r="G1145" t="s">
        <v>67</v>
      </c>
      <c r="H1145">
        <v>25847</v>
      </c>
      <c r="I1145">
        <v>0</v>
      </c>
      <c r="J1145">
        <v>0</v>
      </c>
      <c r="K1145">
        <v>0</v>
      </c>
      <c r="L1145">
        <v>1</v>
      </c>
      <c r="M1145" t="s">
        <v>86</v>
      </c>
      <c r="N1145" t="s">
        <v>70</v>
      </c>
      <c r="O1145" t="s">
        <v>103</v>
      </c>
      <c r="P1145" t="s">
        <v>37</v>
      </c>
      <c r="Q1145" t="s">
        <v>46</v>
      </c>
      <c r="R1145" t="s">
        <v>47</v>
      </c>
      <c r="S1145" t="s">
        <v>60</v>
      </c>
      <c r="T1145">
        <v>1</v>
      </c>
      <c r="U1145">
        <v>0</v>
      </c>
      <c r="V1145">
        <v>0</v>
      </c>
      <c r="W1145">
        <v>1</v>
      </c>
      <c r="X1145">
        <v>1</v>
      </c>
      <c r="Y1145">
        <v>0</v>
      </c>
      <c r="Z1145">
        <v>1</v>
      </c>
      <c r="AA1145">
        <v>0</v>
      </c>
      <c r="AB1145">
        <v>0</v>
      </c>
      <c r="AC1145">
        <v>0</v>
      </c>
      <c r="AD1145">
        <v>0</v>
      </c>
      <c r="AE1145">
        <v>0</v>
      </c>
      <c r="AF1145">
        <v>0</v>
      </c>
      <c r="AG1145">
        <v>1</v>
      </c>
    </row>
    <row r="1146" spans="1:33" hidden="1" x14ac:dyDescent="0.2">
      <c r="A1146">
        <v>1145</v>
      </c>
      <c r="B1146" t="s">
        <v>380</v>
      </c>
      <c r="C1146" t="s">
        <v>33</v>
      </c>
      <c r="D1146">
        <v>32</v>
      </c>
      <c r="E1146" t="s">
        <v>114</v>
      </c>
      <c r="F1146" t="s">
        <v>53</v>
      </c>
      <c r="G1146" t="s">
        <v>76</v>
      </c>
      <c r="H1146">
        <v>21479</v>
      </c>
      <c r="I1146">
        <v>1</v>
      </c>
      <c r="J1146">
        <v>0</v>
      </c>
      <c r="K1146">
        <v>0</v>
      </c>
      <c r="L1146">
        <v>0</v>
      </c>
      <c r="M1146" t="s">
        <v>36</v>
      </c>
      <c r="N1146" t="s">
        <v>36</v>
      </c>
      <c r="O1146" t="s">
        <v>36</v>
      </c>
      <c r="P1146" t="s">
        <v>37</v>
      </c>
      <c r="Q1146" t="s">
        <v>36</v>
      </c>
      <c r="R1146" t="s">
        <v>36</v>
      </c>
      <c r="S1146" t="s">
        <v>36</v>
      </c>
      <c r="T1146" t="s">
        <v>36</v>
      </c>
      <c r="U1146">
        <v>0</v>
      </c>
      <c r="V1146">
        <v>0</v>
      </c>
      <c r="W1146">
        <v>1</v>
      </c>
      <c r="X1146">
        <v>1</v>
      </c>
      <c r="Y1146">
        <v>0</v>
      </c>
      <c r="Z1146">
        <v>1</v>
      </c>
      <c r="AA1146">
        <v>0</v>
      </c>
      <c r="AB1146">
        <v>0</v>
      </c>
      <c r="AC1146">
        <v>0</v>
      </c>
      <c r="AD1146">
        <v>0</v>
      </c>
      <c r="AE1146">
        <v>0</v>
      </c>
      <c r="AF1146">
        <v>0</v>
      </c>
      <c r="AG1146">
        <v>1</v>
      </c>
    </row>
    <row r="1147" spans="1:33" x14ac:dyDescent="0.2">
      <c r="A1147">
        <v>1146</v>
      </c>
      <c r="B1147" t="s">
        <v>380</v>
      </c>
      <c r="C1147" t="s">
        <v>33</v>
      </c>
      <c r="D1147">
        <v>32</v>
      </c>
      <c r="E1147" t="s">
        <v>114</v>
      </c>
      <c r="F1147" t="s">
        <v>41</v>
      </c>
      <c r="G1147" t="s">
        <v>61</v>
      </c>
      <c r="H1147">
        <v>25202</v>
      </c>
      <c r="I1147">
        <v>1</v>
      </c>
      <c r="J1147">
        <v>1</v>
      </c>
      <c r="K1147">
        <v>1</v>
      </c>
      <c r="L1147">
        <v>0</v>
      </c>
      <c r="M1147" t="s">
        <v>97</v>
      </c>
      <c r="N1147" t="s">
        <v>63</v>
      </c>
      <c r="O1147" t="s">
        <v>62</v>
      </c>
      <c r="P1147" t="s">
        <v>37</v>
      </c>
      <c r="Q1147" t="s">
        <v>59</v>
      </c>
      <c r="R1147" t="s">
        <v>46</v>
      </c>
      <c r="S1147" t="s">
        <v>65</v>
      </c>
      <c r="T1147">
        <v>0</v>
      </c>
      <c r="U1147">
        <v>1</v>
      </c>
      <c r="V1147">
        <v>0</v>
      </c>
      <c r="W1147">
        <v>0</v>
      </c>
      <c r="X1147">
        <v>1</v>
      </c>
      <c r="Y1147">
        <v>0</v>
      </c>
      <c r="Z1147">
        <v>1</v>
      </c>
      <c r="AA1147">
        <v>0</v>
      </c>
      <c r="AB1147">
        <v>1</v>
      </c>
      <c r="AC1147">
        <v>0</v>
      </c>
      <c r="AD1147">
        <v>0</v>
      </c>
      <c r="AE1147">
        <v>1</v>
      </c>
      <c r="AF1147">
        <v>0</v>
      </c>
      <c r="AG1147">
        <v>0</v>
      </c>
    </row>
    <row r="1148" spans="1:33" hidden="1" x14ac:dyDescent="0.2">
      <c r="A1148">
        <v>1147</v>
      </c>
      <c r="B1148" t="s">
        <v>380</v>
      </c>
      <c r="C1148" t="s">
        <v>33</v>
      </c>
      <c r="D1148">
        <v>32</v>
      </c>
      <c r="E1148" t="s">
        <v>114</v>
      </c>
      <c r="F1148" t="s">
        <v>53</v>
      </c>
      <c r="G1148" t="s">
        <v>71</v>
      </c>
      <c r="H1148">
        <v>36611</v>
      </c>
      <c r="I1148">
        <v>1</v>
      </c>
      <c r="J1148">
        <v>1</v>
      </c>
      <c r="K1148">
        <v>1</v>
      </c>
      <c r="L1148">
        <v>0</v>
      </c>
      <c r="M1148" t="s">
        <v>36</v>
      </c>
      <c r="N1148" t="s">
        <v>36</v>
      </c>
      <c r="O1148" t="s">
        <v>36</v>
      </c>
      <c r="P1148" t="s">
        <v>37</v>
      </c>
      <c r="Q1148" t="s">
        <v>36</v>
      </c>
      <c r="R1148" t="s">
        <v>36</v>
      </c>
      <c r="S1148" t="s">
        <v>36</v>
      </c>
      <c r="T1148" t="s">
        <v>36</v>
      </c>
      <c r="U1148">
        <v>1</v>
      </c>
      <c r="V1148">
        <v>0</v>
      </c>
      <c r="W1148">
        <v>0</v>
      </c>
      <c r="X1148">
        <v>1</v>
      </c>
      <c r="Y1148">
        <v>0</v>
      </c>
      <c r="Z1148">
        <v>1</v>
      </c>
      <c r="AA1148">
        <v>0</v>
      </c>
      <c r="AB1148">
        <v>1</v>
      </c>
      <c r="AC1148">
        <v>0</v>
      </c>
      <c r="AD1148">
        <v>0</v>
      </c>
      <c r="AE1148">
        <v>1</v>
      </c>
      <c r="AF1148">
        <v>0</v>
      </c>
      <c r="AG1148">
        <v>0</v>
      </c>
    </row>
    <row r="1149" spans="1:33" hidden="1" x14ac:dyDescent="0.2">
      <c r="A1149">
        <v>1148</v>
      </c>
      <c r="B1149" t="s">
        <v>380</v>
      </c>
      <c r="C1149" t="s">
        <v>33</v>
      </c>
      <c r="D1149">
        <v>32</v>
      </c>
      <c r="E1149" t="s">
        <v>114</v>
      </c>
      <c r="F1149" t="s">
        <v>77</v>
      </c>
      <c r="G1149" t="s">
        <v>36</v>
      </c>
      <c r="H1149">
        <v>64019</v>
      </c>
      <c r="I1149" t="s">
        <v>381</v>
      </c>
      <c r="J1149" t="s">
        <v>382</v>
      </c>
      <c r="K1149" t="s">
        <v>162</v>
      </c>
      <c r="L1149" t="s">
        <v>36</v>
      </c>
      <c r="M1149" t="s">
        <v>36</v>
      </c>
      <c r="N1149" t="s">
        <v>36</v>
      </c>
      <c r="O1149" t="s">
        <v>36</v>
      </c>
      <c r="P1149" t="s">
        <v>37</v>
      </c>
      <c r="Q1149" t="s">
        <v>36</v>
      </c>
      <c r="R1149" t="s">
        <v>36</v>
      </c>
      <c r="S1149" t="s">
        <v>36</v>
      </c>
      <c r="T1149" t="s">
        <v>36</v>
      </c>
      <c r="U1149" t="s">
        <v>36</v>
      </c>
      <c r="V1149" t="s">
        <v>36</v>
      </c>
      <c r="W1149" t="s">
        <v>36</v>
      </c>
      <c r="X1149" t="s">
        <v>36</v>
      </c>
      <c r="Y1149" t="s">
        <v>36</v>
      </c>
      <c r="Z1149" t="s">
        <v>36</v>
      </c>
      <c r="AA1149" t="s">
        <v>36</v>
      </c>
      <c r="AB1149" t="s">
        <v>36</v>
      </c>
      <c r="AC1149" t="s">
        <v>36</v>
      </c>
      <c r="AD1149" t="s">
        <v>36</v>
      </c>
      <c r="AE1149" t="s">
        <v>36</v>
      </c>
      <c r="AF1149" t="s">
        <v>36</v>
      </c>
      <c r="AG1149" t="s">
        <v>36</v>
      </c>
    </row>
    <row r="1150" spans="1:33" hidden="1" x14ac:dyDescent="0.2">
      <c r="A1150">
        <v>1149</v>
      </c>
      <c r="B1150" t="s">
        <v>383</v>
      </c>
      <c r="C1150" t="s">
        <v>108</v>
      </c>
      <c r="D1150">
        <v>27</v>
      </c>
      <c r="E1150" t="s">
        <v>114</v>
      </c>
      <c r="F1150" t="s">
        <v>35</v>
      </c>
      <c r="G1150" t="s">
        <v>36</v>
      </c>
      <c r="H1150">
        <v>23177</v>
      </c>
      <c r="I1150" t="s">
        <v>36</v>
      </c>
      <c r="J1150" t="s">
        <v>36</v>
      </c>
      <c r="K1150" t="s">
        <v>36</v>
      </c>
      <c r="L1150" t="s">
        <v>36</v>
      </c>
      <c r="M1150" t="s">
        <v>36</v>
      </c>
      <c r="N1150" t="s">
        <v>36</v>
      </c>
      <c r="O1150" t="s">
        <v>36</v>
      </c>
      <c r="P1150" t="s">
        <v>37</v>
      </c>
      <c r="Q1150" t="s">
        <v>36</v>
      </c>
      <c r="R1150" t="s">
        <v>36</v>
      </c>
      <c r="S1150" t="s">
        <v>36</v>
      </c>
      <c r="T1150" t="s">
        <v>36</v>
      </c>
      <c r="U1150" t="s">
        <v>36</v>
      </c>
      <c r="V1150" t="s">
        <v>36</v>
      </c>
      <c r="W1150" t="s">
        <v>36</v>
      </c>
      <c r="X1150" t="s">
        <v>36</v>
      </c>
      <c r="Y1150" t="s">
        <v>36</v>
      </c>
      <c r="Z1150" t="s">
        <v>36</v>
      </c>
      <c r="AA1150" t="s">
        <v>36</v>
      </c>
      <c r="AB1150" t="s">
        <v>36</v>
      </c>
      <c r="AC1150" t="s">
        <v>36</v>
      </c>
      <c r="AD1150" t="s">
        <v>36</v>
      </c>
      <c r="AE1150" t="s">
        <v>36</v>
      </c>
      <c r="AF1150" t="s">
        <v>36</v>
      </c>
      <c r="AG1150" t="s">
        <v>36</v>
      </c>
    </row>
    <row r="1151" spans="1:33" hidden="1" x14ac:dyDescent="0.2">
      <c r="A1151">
        <v>1150</v>
      </c>
      <c r="B1151" t="s">
        <v>383</v>
      </c>
      <c r="C1151" t="s">
        <v>108</v>
      </c>
      <c r="D1151">
        <v>27</v>
      </c>
      <c r="E1151" t="s">
        <v>114</v>
      </c>
      <c r="F1151" t="s">
        <v>38</v>
      </c>
      <c r="G1151" t="s">
        <v>40</v>
      </c>
      <c r="H1151">
        <v>76970</v>
      </c>
      <c r="I1151">
        <v>0</v>
      </c>
      <c r="J1151">
        <v>0</v>
      </c>
      <c r="K1151">
        <v>1</v>
      </c>
      <c r="L1151">
        <v>1</v>
      </c>
      <c r="M1151" t="s">
        <v>36</v>
      </c>
      <c r="N1151" t="s">
        <v>36</v>
      </c>
      <c r="O1151" t="s">
        <v>36</v>
      </c>
      <c r="P1151" t="s">
        <v>37</v>
      </c>
      <c r="Q1151" t="s">
        <v>36</v>
      </c>
      <c r="R1151" t="s">
        <v>36</v>
      </c>
      <c r="S1151" t="s">
        <v>36</v>
      </c>
      <c r="T1151" t="s">
        <v>36</v>
      </c>
      <c r="U1151" t="s">
        <v>36</v>
      </c>
      <c r="V1151" t="s">
        <v>36</v>
      </c>
      <c r="W1151" t="s">
        <v>36</v>
      </c>
      <c r="X1151" t="s">
        <v>36</v>
      </c>
      <c r="Y1151" t="s">
        <v>36</v>
      </c>
      <c r="Z1151" t="s">
        <v>36</v>
      </c>
      <c r="AA1151" t="s">
        <v>36</v>
      </c>
      <c r="AB1151" t="s">
        <v>36</v>
      </c>
      <c r="AC1151" t="s">
        <v>36</v>
      </c>
      <c r="AD1151" t="s">
        <v>36</v>
      </c>
      <c r="AE1151" t="s">
        <v>36</v>
      </c>
      <c r="AF1151" t="s">
        <v>36</v>
      </c>
      <c r="AG1151" t="s">
        <v>36</v>
      </c>
    </row>
    <row r="1152" spans="1:33" hidden="1" x14ac:dyDescent="0.2">
      <c r="A1152">
        <v>1151</v>
      </c>
      <c r="B1152" t="s">
        <v>383</v>
      </c>
      <c r="C1152" t="s">
        <v>108</v>
      </c>
      <c r="D1152">
        <v>27</v>
      </c>
      <c r="E1152" t="s">
        <v>114</v>
      </c>
      <c r="F1152" t="s">
        <v>38</v>
      </c>
      <c r="G1152" t="s">
        <v>39</v>
      </c>
      <c r="H1152">
        <v>37238</v>
      </c>
      <c r="I1152">
        <v>0</v>
      </c>
      <c r="J1152">
        <v>0</v>
      </c>
      <c r="K1152">
        <v>0</v>
      </c>
      <c r="L1152">
        <v>1</v>
      </c>
      <c r="M1152" t="s">
        <v>36</v>
      </c>
      <c r="N1152" t="s">
        <v>36</v>
      </c>
      <c r="O1152" t="s">
        <v>36</v>
      </c>
      <c r="P1152" t="s">
        <v>37</v>
      </c>
      <c r="Q1152" t="s">
        <v>36</v>
      </c>
      <c r="R1152" t="s">
        <v>36</v>
      </c>
      <c r="S1152" t="s">
        <v>36</v>
      </c>
      <c r="T1152" t="s">
        <v>36</v>
      </c>
      <c r="U1152" t="s">
        <v>36</v>
      </c>
      <c r="V1152" t="s">
        <v>36</v>
      </c>
      <c r="W1152" t="s">
        <v>36</v>
      </c>
      <c r="X1152" t="s">
        <v>36</v>
      </c>
      <c r="Y1152" t="s">
        <v>36</v>
      </c>
      <c r="Z1152" t="s">
        <v>36</v>
      </c>
      <c r="AA1152" t="s">
        <v>36</v>
      </c>
      <c r="AB1152" t="s">
        <v>36</v>
      </c>
      <c r="AC1152" t="s">
        <v>36</v>
      </c>
      <c r="AD1152" t="s">
        <v>36</v>
      </c>
      <c r="AE1152" t="s">
        <v>36</v>
      </c>
      <c r="AF1152" t="s">
        <v>36</v>
      </c>
      <c r="AG1152" t="s">
        <v>36</v>
      </c>
    </row>
    <row r="1153" spans="1:33" x14ac:dyDescent="0.2">
      <c r="A1153">
        <v>1152</v>
      </c>
      <c r="B1153" t="s">
        <v>383</v>
      </c>
      <c r="C1153" t="s">
        <v>108</v>
      </c>
      <c r="D1153">
        <v>27</v>
      </c>
      <c r="E1153" t="s">
        <v>114</v>
      </c>
      <c r="F1153" t="s">
        <v>41</v>
      </c>
      <c r="G1153" t="s">
        <v>67</v>
      </c>
      <c r="H1153">
        <v>47120</v>
      </c>
      <c r="I1153">
        <v>0</v>
      </c>
      <c r="J1153">
        <v>0</v>
      </c>
      <c r="K1153">
        <v>0</v>
      </c>
      <c r="L1153">
        <v>1</v>
      </c>
      <c r="M1153" t="s">
        <v>68</v>
      </c>
      <c r="N1153" t="s">
        <v>109</v>
      </c>
      <c r="O1153" t="s">
        <v>69</v>
      </c>
      <c r="P1153" t="s">
        <v>37</v>
      </c>
      <c r="Q1153" t="s">
        <v>65</v>
      </c>
      <c r="R1153" t="s">
        <v>59</v>
      </c>
      <c r="S1153" t="s">
        <v>48</v>
      </c>
      <c r="T1153">
        <v>0</v>
      </c>
      <c r="U1153">
        <v>1</v>
      </c>
      <c r="V1153">
        <v>1</v>
      </c>
      <c r="W1153">
        <v>0</v>
      </c>
      <c r="X1153">
        <v>0</v>
      </c>
      <c r="Y1153">
        <v>0</v>
      </c>
      <c r="Z1153">
        <v>1</v>
      </c>
      <c r="AA1153">
        <v>0</v>
      </c>
      <c r="AB1153">
        <v>0</v>
      </c>
      <c r="AC1153">
        <v>0</v>
      </c>
      <c r="AD1153">
        <v>0</v>
      </c>
      <c r="AE1153">
        <v>0</v>
      </c>
      <c r="AF1153">
        <v>0</v>
      </c>
      <c r="AG1153">
        <v>1</v>
      </c>
    </row>
    <row r="1154" spans="1:33" hidden="1" x14ac:dyDescent="0.2">
      <c r="A1154">
        <v>1153</v>
      </c>
      <c r="B1154" t="s">
        <v>383</v>
      </c>
      <c r="C1154" t="s">
        <v>108</v>
      </c>
      <c r="D1154">
        <v>27</v>
      </c>
      <c r="E1154" t="s">
        <v>114</v>
      </c>
      <c r="F1154" t="s">
        <v>53</v>
      </c>
      <c r="G1154" t="s">
        <v>66</v>
      </c>
      <c r="H1154">
        <v>29617</v>
      </c>
      <c r="I1154">
        <v>1</v>
      </c>
      <c r="J1154">
        <v>1</v>
      </c>
      <c r="K1154">
        <v>0</v>
      </c>
      <c r="L1154">
        <v>0</v>
      </c>
      <c r="M1154" t="s">
        <v>36</v>
      </c>
      <c r="N1154" t="s">
        <v>36</v>
      </c>
      <c r="O1154" t="s">
        <v>36</v>
      </c>
      <c r="P1154" t="s">
        <v>37</v>
      </c>
      <c r="Q1154" t="s">
        <v>36</v>
      </c>
      <c r="R1154" t="s">
        <v>36</v>
      </c>
      <c r="S1154" t="s">
        <v>36</v>
      </c>
      <c r="T1154" t="s">
        <v>36</v>
      </c>
      <c r="U1154">
        <v>1</v>
      </c>
      <c r="V1154">
        <v>1</v>
      </c>
      <c r="W1154">
        <v>0</v>
      </c>
      <c r="X1154">
        <v>0</v>
      </c>
      <c r="Y1154">
        <v>0</v>
      </c>
      <c r="Z1154">
        <v>1</v>
      </c>
      <c r="AA1154">
        <v>0</v>
      </c>
      <c r="AB1154">
        <v>0</v>
      </c>
      <c r="AC1154">
        <v>0</v>
      </c>
      <c r="AD1154">
        <v>0</v>
      </c>
      <c r="AE1154">
        <v>0</v>
      </c>
      <c r="AF1154">
        <v>0</v>
      </c>
      <c r="AG1154">
        <v>1</v>
      </c>
    </row>
    <row r="1155" spans="1:33" x14ac:dyDescent="0.2">
      <c r="A1155">
        <v>1154</v>
      </c>
      <c r="B1155" t="s">
        <v>383</v>
      </c>
      <c r="C1155" t="s">
        <v>108</v>
      </c>
      <c r="D1155">
        <v>27</v>
      </c>
      <c r="E1155" t="s">
        <v>114</v>
      </c>
      <c r="F1155" t="s">
        <v>41</v>
      </c>
      <c r="G1155" t="s">
        <v>61</v>
      </c>
      <c r="H1155">
        <v>49908</v>
      </c>
      <c r="I1155">
        <v>1</v>
      </c>
      <c r="J1155">
        <v>1</v>
      </c>
      <c r="K1155">
        <v>1</v>
      </c>
      <c r="L1155">
        <v>0</v>
      </c>
      <c r="M1155" t="s">
        <v>63</v>
      </c>
      <c r="N1155" t="s">
        <v>125</v>
      </c>
      <c r="O1155" t="s">
        <v>62</v>
      </c>
      <c r="P1155" t="s">
        <v>37</v>
      </c>
      <c r="Q1155" t="s">
        <v>46</v>
      </c>
      <c r="R1155" t="s">
        <v>60</v>
      </c>
      <c r="S1155" t="s">
        <v>65</v>
      </c>
      <c r="T1155">
        <v>1</v>
      </c>
      <c r="U1155">
        <v>1</v>
      </c>
      <c r="V1155">
        <v>0</v>
      </c>
      <c r="W1155">
        <v>0</v>
      </c>
      <c r="X1155">
        <v>1</v>
      </c>
      <c r="Y1155">
        <v>0</v>
      </c>
      <c r="Z1155">
        <v>1</v>
      </c>
      <c r="AA1155">
        <v>1</v>
      </c>
      <c r="AB1155">
        <v>1</v>
      </c>
      <c r="AC1155">
        <v>0</v>
      </c>
      <c r="AD1155">
        <v>0</v>
      </c>
      <c r="AE1155">
        <v>1</v>
      </c>
      <c r="AF1155">
        <v>0</v>
      </c>
      <c r="AG1155">
        <v>0</v>
      </c>
    </row>
    <row r="1156" spans="1:33" x14ac:dyDescent="0.2">
      <c r="A1156">
        <v>1155</v>
      </c>
      <c r="B1156" t="s">
        <v>383</v>
      </c>
      <c r="C1156" t="s">
        <v>108</v>
      </c>
      <c r="D1156">
        <v>27</v>
      </c>
      <c r="E1156" t="s">
        <v>114</v>
      </c>
      <c r="F1156" t="s">
        <v>41</v>
      </c>
      <c r="G1156" t="s">
        <v>42</v>
      </c>
      <c r="H1156">
        <v>34060</v>
      </c>
      <c r="I1156">
        <v>1</v>
      </c>
      <c r="J1156">
        <v>1</v>
      </c>
      <c r="K1156">
        <v>1</v>
      </c>
      <c r="L1156">
        <v>0</v>
      </c>
      <c r="M1156" t="s">
        <v>44</v>
      </c>
      <c r="N1156" t="s">
        <v>45</v>
      </c>
      <c r="O1156" t="s">
        <v>116</v>
      </c>
      <c r="P1156" t="s">
        <v>37</v>
      </c>
      <c r="Q1156" t="s">
        <v>47</v>
      </c>
      <c r="R1156" t="s">
        <v>48</v>
      </c>
      <c r="S1156" t="s">
        <v>60</v>
      </c>
      <c r="T1156">
        <v>1</v>
      </c>
      <c r="U1156">
        <v>0</v>
      </c>
      <c r="V1156">
        <v>1</v>
      </c>
      <c r="W1156">
        <v>1</v>
      </c>
      <c r="X1156">
        <v>0</v>
      </c>
      <c r="Y1156">
        <v>0</v>
      </c>
      <c r="Z1156">
        <v>1</v>
      </c>
      <c r="AA1156">
        <v>1</v>
      </c>
      <c r="AB1156">
        <v>0</v>
      </c>
      <c r="AC1156">
        <v>1</v>
      </c>
      <c r="AD1156">
        <v>1</v>
      </c>
      <c r="AE1156">
        <v>0</v>
      </c>
      <c r="AF1156">
        <v>0</v>
      </c>
      <c r="AG1156">
        <v>0</v>
      </c>
    </row>
    <row r="1157" spans="1:33" hidden="1" x14ac:dyDescent="0.2">
      <c r="A1157">
        <v>1156</v>
      </c>
      <c r="B1157" t="s">
        <v>383</v>
      </c>
      <c r="C1157" t="s">
        <v>108</v>
      </c>
      <c r="D1157">
        <v>27</v>
      </c>
      <c r="E1157" t="s">
        <v>114</v>
      </c>
      <c r="F1157" t="s">
        <v>53</v>
      </c>
      <c r="G1157" t="s">
        <v>54</v>
      </c>
      <c r="H1157">
        <v>42723</v>
      </c>
      <c r="I1157">
        <v>0</v>
      </c>
      <c r="J1157">
        <v>1</v>
      </c>
      <c r="K1157">
        <v>0</v>
      </c>
      <c r="L1157">
        <v>0</v>
      </c>
      <c r="M1157" t="s">
        <v>36</v>
      </c>
      <c r="N1157" t="s">
        <v>36</v>
      </c>
      <c r="O1157" t="s">
        <v>36</v>
      </c>
      <c r="P1157" t="s">
        <v>37</v>
      </c>
      <c r="Q1157" t="s">
        <v>36</v>
      </c>
      <c r="R1157" t="s">
        <v>36</v>
      </c>
      <c r="S1157" t="s">
        <v>36</v>
      </c>
      <c r="T1157" t="s">
        <v>36</v>
      </c>
      <c r="U1157">
        <v>0</v>
      </c>
      <c r="V1157">
        <v>1</v>
      </c>
      <c r="W1157">
        <v>1</v>
      </c>
      <c r="X1157">
        <v>0</v>
      </c>
      <c r="Y1157">
        <v>0</v>
      </c>
      <c r="Z1157">
        <v>1</v>
      </c>
      <c r="AA1157">
        <v>1</v>
      </c>
      <c r="AB1157">
        <v>0</v>
      </c>
      <c r="AC1157">
        <v>1</v>
      </c>
      <c r="AD1157">
        <v>1</v>
      </c>
      <c r="AE1157">
        <v>0</v>
      </c>
      <c r="AF1157">
        <v>0</v>
      </c>
      <c r="AG1157">
        <v>0</v>
      </c>
    </row>
    <row r="1158" spans="1:33" x14ac:dyDescent="0.2">
      <c r="A1158">
        <v>1157</v>
      </c>
      <c r="B1158" t="s">
        <v>383</v>
      </c>
      <c r="C1158" t="s">
        <v>108</v>
      </c>
      <c r="D1158">
        <v>27</v>
      </c>
      <c r="E1158" t="s">
        <v>114</v>
      </c>
      <c r="F1158" t="s">
        <v>41</v>
      </c>
      <c r="G1158" t="s">
        <v>49</v>
      </c>
      <c r="H1158">
        <v>26722</v>
      </c>
      <c r="I1158">
        <v>1</v>
      </c>
      <c r="J1158">
        <v>1</v>
      </c>
      <c r="K1158">
        <v>1</v>
      </c>
      <c r="L1158">
        <v>0</v>
      </c>
      <c r="M1158" t="s">
        <v>51</v>
      </c>
      <c r="N1158" t="s">
        <v>96</v>
      </c>
      <c r="O1158" t="s">
        <v>83</v>
      </c>
      <c r="P1158" t="s">
        <v>37</v>
      </c>
      <c r="Q1158" t="s">
        <v>47</v>
      </c>
      <c r="R1158" t="s">
        <v>65</v>
      </c>
      <c r="S1158" t="s">
        <v>59</v>
      </c>
      <c r="T1158">
        <v>0</v>
      </c>
      <c r="U1158">
        <v>1</v>
      </c>
      <c r="V1158">
        <v>0</v>
      </c>
      <c r="W1158">
        <v>1</v>
      </c>
      <c r="X1158">
        <v>0</v>
      </c>
      <c r="Y1158">
        <v>0</v>
      </c>
      <c r="Z1158">
        <v>1</v>
      </c>
      <c r="AA1158">
        <v>0</v>
      </c>
      <c r="AB1158">
        <v>1</v>
      </c>
      <c r="AC1158">
        <v>0</v>
      </c>
      <c r="AD1158">
        <v>1</v>
      </c>
      <c r="AE1158">
        <v>0</v>
      </c>
      <c r="AF1158">
        <v>0</v>
      </c>
      <c r="AG1158">
        <v>0</v>
      </c>
    </row>
    <row r="1159" spans="1:33" hidden="1" x14ac:dyDescent="0.2">
      <c r="A1159">
        <v>1158</v>
      </c>
      <c r="B1159" t="s">
        <v>383</v>
      </c>
      <c r="C1159" t="s">
        <v>108</v>
      </c>
      <c r="D1159">
        <v>27</v>
      </c>
      <c r="E1159" t="s">
        <v>114</v>
      </c>
      <c r="F1159" t="s">
        <v>53</v>
      </c>
      <c r="G1159" t="s">
        <v>71</v>
      </c>
      <c r="H1159">
        <v>59048</v>
      </c>
      <c r="I1159">
        <v>0</v>
      </c>
      <c r="J1159">
        <v>0</v>
      </c>
      <c r="K1159">
        <v>0</v>
      </c>
      <c r="L1159">
        <v>1</v>
      </c>
      <c r="M1159" t="s">
        <v>36</v>
      </c>
      <c r="N1159" t="s">
        <v>36</v>
      </c>
      <c r="O1159" t="s">
        <v>36</v>
      </c>
      <c r="P1159" t="s">
        <v>37</v>
      </c>
      <c r="Q1159" t="s">
        <v>36</v>
      </c>
      <c r="R1159" t="s">
        <v>36</v>
      </c>
      <c r="S1159" t="s">
        <v>36</v>
      </c>
      <c r="T1159" t="s">
        <v>36</v>
      </c>
      <c r="U1159">
        <v>1</v>
      </c>
      <c r="V1159">
        <v>0</v>
      </c>
      <c r="W1159">
        <v>1</v>
      </c>
      <c r="X1159">
        <v>0</v>
      </c>
      <c r="Y1159">
        <v>0</v>
      </c>
      <c r="Z1159">
        <v>1</v>
      </c>
      <c r="AA1159">
        <v>0</v>
      </c>
      <c r="AB1159">
        <v>1</v>
      </c>
      <c r="AC1159">
        <v>0</v>
      </c>
      <c r="AD1159">
        <v>1</v>
      </c>
      <c r="AE1159">
        <v>0</v>
      </c>
      <c r="AF1159">
        <v>0</v>
      </c>
      <c r="AG1159">
        <v>0</v>
      </c>
    </row>
    <row r="1160" spans="1:33" x14ac:dyDescent="0.2">
      <c r="A1160">
        <v>1159</v>
      </c>
      <c r="B1160" t="s">
        <v>383</v>
      </c>
      <c r="C1160" t="s">
        <v>108</v>
      </c>
      <c r="D1160">
        <v>27</v>
      </c>
      <c r="E1160" t="s">
        <v>114</v>
      </c>
      <c r="F1160" t="s">
        <v>41</v>
      </c>
      <c r="G1160" t="s">
        <v>72</v>
      </c>
      <c r="H1160">
        <v>11866</v>
      </c>
      <c r="I1160">
        <v>1</v>
      </c>
      <c r="J1160">
        <v>1</v>
      </c>
      <c r="K1160">
        <v>1</v>
      </c>
      <c r="L1160">
        <v>0</v>
      </c>
      <c r="M1160" t="s">
        <v>74</v>
      </c>
      <c r="N1160" t="s">
        <v>93</v>
      </c>
      <c r="O1160" t="s">
        <v>75</v>
      </c>
      <c r="P1160" t="s">
        <v>37</v>
      </c>
      <c r="Q1160" t="s">
        <v>47</v>
      </c>
      <c r="R1160" t="s">
        <v>59</v>
      </c>
      <c r="S1160" t="s">
        <v>46</v>
      </c>
      <c r="T1160">
        <v>0</v>
      </c>
      <c r="U1160">
        <v>0</v>
      </c>
      <c r="V1160">
        <v>0</v>
      </c>
      <c r="W1160">
        <v>1</v>
      </c>
      <c r="X1160">
        <v>1</v>
      </c>
      <c r="Y1160">
        <v>0</v>
      </c>
      <c r="Z1160">
        <v>1</v>
      </c>
      <c r="AA1160">
        <v>0</v>
      </c>
      <c r="AB1160">
        <v>0</v>
      </c>
      <c r="AC1160">
        <v>0</v>
      </c>
      <c r="AD1160">
        <v>1</v>
      </c>
      <c r="AE1160">
        <v>1</v>
      </c>
      <c r="AF1160">
        <v>0</v>
      </c>
      <c r="AG1160">
        <v>0</v>
      </c>
    </row>
    <row r="1161" spans="1:33" x14ac:dyDescent="0.2">
      <c r="A1161">
        <v>1160</v>
      </c>
      <c r="B1161" t="s">
        <v>383</v>
      </c>
      <c r="C1161" t="s">
        <v>108</v>
      </c>
      <c r="D1161">
        <v>27</v>
      </c>
      <c r="E1161" t="s">
        <v>114</v>
      </c>
      <c r="F1161" t="s">
        <v>41</v>
      </c>
      <c r="G1161" t="s">
        <v>55</v>
      </c>
      <c r="H1161">
        <v>21919</v>
      </c>
      <c r="I1161">
        <v>1</v>
      </c>
      <c r="J1161">
        <v>1</v>
      </c>
      <c r="K1161">
        <v>1</v>
      </c>
      <c r="L1161">
        <v>0</v>
      </c>
      <c r="M1161" t="s">
        <v>57</v>
      </c>
      <c r="N1161" t="s">
        <v>85</v>
      </c>
      <c r="O1161" t="s">
        <v>84</v>
      </c>
      <c r="P1161" t="s">
        <v>37</v>
      </c>
      <c r="Q1161" t="s">
        <v>48</v>
      </c>
      <c r="R1161" t="s">
        <v>65</v>
      </c>
      <c r="S1161" t="s">
        <v>46</v>
      </c>
      <c r="T1161">
        <v>0</v>
      </c>
      <c r="U1161">
        <v>1</v>
      </c>
      <c r="V1161">
        <v>1</v>
      </c>
      <c r="W1161">
        <v>0</v>
      </c>
      <c r="X1161">
        <v>1</v>
      </c>
      <c r="Y1161">
        <v>0</v>
      </c>
      <c r="Z1161">
        <v>1</v>
      </c>
      <c r="AA1161">
        <v>0</v>
      </c>
      <c r="AB1161">
        <v>1</v>
      </c>
      <c r="AC1161">
        <v>1</v>
      </c>
      <c r="AD1161">
        <v>0</v>
      </c>
      <c r="AE1161">
        <v>1</v>
      </c>
      <c r="AF1161">
        <v>0</v>
      </c>
      <c r="AG1161">
        <v>0</v>
      </c>
    </row>
    <row r="1162" spans="1:33" hidden="1" x14ac:dyDescent="0.2">
      <c r="A1162">
        <v>1161</v>
      </c>
      <c r="B1162" t="s">
        <v>383</v>
      </c>
      <c r="C1162" t="s">
        <v>108</v>
      </c>
      <c r="D1162">
        <v>27</v>
      </c>
      <c r="E1162" t="s">
        <v>114</v>
      </c>
      <c r="F1162" t="s">
        <v>53</v>
      </c>
      <c r="G1162" t="s">
        <v>76</v>
      </c>
      <c r="H1162">
        <v>34799</v>
      </c>
      <c r="I1162">
        <v>1</v>
      </c>
      <c r="J1162">
        <v>1</v>
      </c>
      <c r="K1162">
        <v>0</v>
      </c>
      <c r="L1162">
        <v>0</v>
      </c>
      <c r="M1162" t="s">
        <v>36</v>
      </c>
      <c r="N1162" t="s">
        <v>36</v>
      </c>
      <c r="O1162" t="s">
        <v>36</v>
      </c>
      <c r="P1162" t="s">
        <v>37</v>
      </c>
      <c r="Q1162" t="s">
        <v>36</v>
      </c>
      <c r="R1162" t="s">
        <v>36</v>
      </c>
      <c r="S1162" t="s">
        <v>36</v>
      </c>
      <c r="T1162" t="s">
        <v>36</v>
      </c>
      <c r="U1162">
        <v>1</v>
      </c>
      <c r="V1162">
        <v>1</v>
      </c>
      <c r="W1162">
        <v>0</v>
      </c>
      <c r="X1162">
        <v>1</v>
      </c>
      <c r="Y1162">
        <v>0</v>
      </c>
      <c r="Z1162">
        <v>1</v>
      </c>
      <c r="AA1162">
        <v>0</v>
      </c>
      <c r="AB1162">
        <v>1</v>
      </c>
      <c r="AC1162">
        <v>1</v>
      </c>
      <c r="AD1162">
        <v>0</v>
      </c>
      <c r="AE1162">
        <v>1</v>
      </c>
      <c r="AF1162">
        <v>0</v>
      </c>
      <c r="AG1162">
        <v>0</v>
      </c>
    </row>
    <row r="1163" spans="1:33" hidden="1" x14ac:dyDescent="0.2">
      <c r="A1163">
        <v>1162</v>
      </c>
      <c r="B1163" t="s">
        <v>383</v>
      </c>
      <c r="C1163" t="s">
        <v>108</v>
      </c>
      <c r="D1163">
        <v>27</v>
      </c>
      <c r="E1163" t="s">
        <v>114</v>
      </c>
      <c r="F1163" t="s">
        <v>77</v>
      </c>
      <c r="G1163" t="s">
        <v>36</v>
      </c>
      <c r="H1163">
        <v>105735</v>
      </c>
      <c r="I1163" t="s">
        <v>384</v>
      </c>
      <c r="J1163" t="s">
        <v>385</v>
      </c>
      <c r="K1163" t="s">
        <v>386</v>
      </c>
      <c r="L1163" t="s">
        <v>36</v>
      </c>
      <c r="M1163" t="s">
        <v>36</v>
      </c>
      <c r="N1163" t="s">
        <v>36</v>
      </c>
      <c r="O1163" t="s">
        <v>36</v>
      </c>
      <c r="P1163" t="s">
        <v>37</v>
      </c>
      <c r="Q1163" t="s">
        <v>36</v>
      </c>
      <c r="R1163" t="s">
        <v>36</v>
      </c>
      <c r="S1163" t="s">
        <v>36</v>
      </c>
      <c r="T1163" t="s">
        <v>36</v>
      </c>
      <c r="U1163" t="s">
        <v>36</v>
      </c>
      <c r="V1163" t="s">
        <v>36</v>
      </c>
      <c r="W1163" t="s">
        <v>36</v>
      </c>
      <c r="X1163" t="s">
        <v>36</v>
      </c>
      <c r="Y1163" t="s">
        <v>36</v>
      </c>
      <c r="Z1163" t="s">
        <v>36</v>
      </c>
      <c r="AA1163" t="s">
        <v>36</v>
      </c>
      <c r="AB1163" t="s">
        <v>36</v>
      </c>
      <c r="AC1163" t="s">
        <v>36</v>
      </c>
      <c r="AD1163" t="s">
        <v>36</v>
      </c>
      <c r="AE1163" t="s">
        <v>36</v>
      </c>
      <c r="AF1163" t="s">
        <v>36</v>
      </c>
      <c r="AG1163" t="s">
        <v>36</v>
      </c>
    </row>
    <row r="1164" spans="1:33" hidden="1" x14ac:dyDescent="0.2">
      <c r="A1164">
        <v>1163</v>
      </c>
      <c r="B1164" t="s">
        <v>387</v>
      </c>
      <c r="C1164" t="s">
        <v>108</v>
      </c>
      <c r="D1164">
        <v>19</v>
      </c>
      <c r="E1164" t="s">
        <v>34</v>
      </c>
      <c r="F1164" t="s">
        <v>35</v>
      </c>
      <c r="G1164" t="s">
        <v>36</v>
      </c>
      <c r="H1164">
        <v>16281</v>
      </c>
      <c r="I1164" t="s">
        <v>36</v>
      </c>
      <c r="J1164" t="s">
        <v>36</v>
      </c>
      <c r="K1164" t="s">
        <v>36</v>
      </c>
      <c r="L1164" t="s">
        <v>36</v>
      </c>
      <c r="M1164" t="s">
        <v>36</v>
      </c>
      <c r="N1164" t="s">
        <v>36</v>
      </c>
      <c r="O1164" t="s">
        <v>36</v>
      </c>
      <c r="P1164" t="s">
        <v>37</v>
      </c>
      <c r="Q1164" t="s">
        <v>36</v>
      </c>
      <c r="R1164" t="s">
        <v>36</v>
      </c>
      <c r="S1164" t="s">
        <v>36</v>
      </c>
      <c r="T1164" t="s">
        <v>36</v>
      </c>
      <c r="U1164" t="s">
        <v>36</v>
      </c>
      <c r="V1164" t="s">
        <v>36</v>
      </c>
      <c r="W1164" t="s">
        <v>36</v>
      </c>
      <c r="X1164" t="s">
        <v>36</v>
      </c>
      <c r="Y1164" t="s">
        <v>36</v>
      </c>
      <c r="Z1164" t="s">
        <v>36</v>
      </c>
      <c r="AA1164" t="s">
        <v>36</v>
      </c>
      <c r="AB1164" t="s">
        <v>36</v>
      </c>
      <c r="AC1164" t="s">
        <v>36</v>
      </c>
      <c r="AD1164" t="s">
        <v>36</v>
      </c>
      <c r="AE1164" t="s">
        <v>36</v>
      </c>
      <c r="AF1164" t="s">
        <v>36</v>
      </c>
      <c r="AG1164" t="s">
        <v>36</v>
      </c>
    </row>
    <row r="1165" spans="1:33" hidden="1" x14ac:dyDescent="0.2">
      <c r="A1165">
        <v>1164</v>
      </c>
      <c r="B1165" t="s">
        <v>387</v>
      </c>
      <c r="C1165" t="s">
        <v>108</v>
      </c>
      <c r="D1165">
        <v>19</v>
      </c>
      <c r="E1165" t="s">
        <v>34</v>
      </c>
      <c r="F1165" t="s">
        <v>38</v>
      </c>
      <c r="G1165" t="s">
        <v>40</v>
      </c>
      <c r="H1165">
        <v>25249</v>
      </c>
      <c r="I1165">
        <v>0</v>
      </c>
      <c r="J1165">
        <v>0</v>
      </c>
      <c r="K1165">
        <v>1</v>
      </c>
      <c r="L1165">
        <v>0</v>
      </c>
      <c r="M1165" t="s">
        <v>36</v>
      </c>
      <c r="N1165" t="s">
        <v>36</v>
      </c>
      <c r="O1165" t="s">
        <v>36</v>
      </c>
      <c r="P1165" t="s">
        <v>37</v>
      </c>
      <c r="Q1165" t="s">
        <v>36</v>
      </c>
      <c r="R1165" t="s">
        <v>36</v>
      </c>
      <c r="S1165" t="s">
        <v>36</v>
      </c>
      <c r="T1165" t="s">
        <v>36</v>
      </c>
      <c r="U1165" t="s">
        <v>36</v>
      </c>
      <c r="V1165" t="s">
        <v>36</v>
      </c>
      <c r="W1165" t="s">
        <v>36</v>
      </c>
      <c r="X1165" t="s">
        <v>36</v>
      </c>
      <c r="Y1165" t="s">
        <v>36</v>
      </c>
      <c r="Z1165" t="s">
        <v>36</v>
      </c>
      <c r="AA1165" t="s">
        <v>36</v>
      </c>
      <c r="AB1165" t="s">
        <v>36</v>
      </c>
      <c r="AC1165" t="s">
        <v>36</v>
      </c>
      <c r="AD1165" t="s">
        <v>36</v>
      </c>
      <c r="AE1165" t="s">
        <v>36</v>
      </c>
      <c r="AF1165" t="s">
        <v>36</v>
      </c>
      <c r="AG1165" t="s">
        <v>36</v>
      </c>
    </row>
    <row r="1166" spans="1:33" hidden="1" x14ac:dyDescent="0.2">
      <c r="A1166">
        <v>1165</v>
      </c>
      <c r="B1166" t="s">
        <v>387</v>
      </c>
      <c r="C1166" t="s">
        <v>108</v>
      </c>
      <c r="D1166">
        <v>19</v>
      </c>
      <c r="E1166" t="s">
        <v>34</v>
      </c>
      <c r="F1166" t="s">
        <v>38</v>
      </c>
      <c r="G1166" t="s">
        <v>39</v>
      </c>
      <c r="H1166">
        <v>35665</v>
      </c>
      <c r="I1166">
        <v>0</v>
      </c>
      <c r="J1166">
        <v>1</v>
      </c>
      <c r="K1166">
        <v>0</v>
      </c>
      <c r="L1166">
        <v>0</v>
      </c>
      <c r="M1166" t="s">
        <v>36</v>
      </c>
      <c r="N1166" t="s">
        <v>36</v>
      </c>
      <c r="O1166" t="s">
        <v>36</v>
      </c>
      <c r="P1166" t="s">
        <v>37</v>
      </c>
      <c r="Q1166" t="s">
        <v>36</v>
      </c>
      <c r="R1166" t="s">
        <v>36</v>
      </c>
      <c r="S1166" t="s">
        <v>36</v>
      </c>
      <c r="T1166" t="s">
        <v>36</v>
      </c>
      <c r="U1166" t="s">
        <v>36</v>
      </c>
      <c r="V1166" t="s">
        <v>36</v>
      </c>
      <c r="W1166" t="s">
        <v>36</v>
      </c>
      <c r="X1166" t="s">
        <v>36</v>
      </c>
      <c r="Y1166" t="s">
        <v>36</v>
      </c>
      <c r="Z1166" t="s">
        <v>36</v>
      </c>
      <c r="AA1166" t="s">
        <v>36</v>
      </c>
      <c r="AB1166" t="s">
        <v>36</v>
      </c>
      <c r="AC1166" t="s">
        <v>36</v>
      </c>
      <c r="AD1166" t="s">
        <v>36</v>
      </c>
      <c r="AE1166" t="s">
        <v>36</v>
      </c>
      <c r="AF1166" t="s">
        <v>36</v>
      </c>
      <c r="AG1166" t="s">
        <v>36</v>
      </c>
    </row>
    <row r="1167" spans="1:33" x14ac:dyDescent="0.2">
      <c r="A1167">
        <v>1166</v>
      </c>
      <c r="B1167" t="s">
        <v>387</v>
      </c>
      <c r="C1167" t="s">
        <v>108</v>
      </c>
      <c r="D1167">
        <v>19</v>
      </c>
      <c r="E1167" t="s">
        <v>34</v>
      </c>
      <c r="F1167" t="s">
        <v>41</v>
      </c>
      <c r="G1167" t="s">
        <v>55</v>
      </c>
      <c r="H1167">
        <v>22389</v>
      </c>
      <c r="I1167">
        <v>1</v>
      </c>
      <c r="J1167">
        <v>1</v>
      </c>
      <c r="K1167">
        <v>0</v>
      </c>
      <c r="L1167">
        <v>0</v>
      </c>
      <c r="M1167" t="s">
        <v>94</v>
      </c>
      <c r="N1167" t="s">
        <v>85</v>
      </c>
      <c r="O1167" t="s">
        <v>56</v>
      </c>
      <c r="P1167" t="s">
        <v>37</v>
      </c>
      <c r="Q1167" t="s">
        <v>47</v>
      </c>
      <c r="R1167" t="s">
        <v>65</v>
      </c>
      <c r="S1167" t="s">
        <v>59</v>
      </c>
      <c r="T1167">
        <v>0</v>
      </c>
      <c r="U1167">
        <v>1</v>
      </c>
      <c r="V1167">
        <v>0</v>
      </c>
      <c r="W1167">
        <v>1</v>
      </c>
      <c r="X1167">
        <v>0</v>
      </c>
      <c r="Y1167">
        <v>0</v>
      </c>
      <c r="Z1167">
        <v>1</v>
      </c>
      <c r="AA1167">
        <v>0</v>
      </c>
      <c r="AB1167">
        <v>1</v>
      </c>
      <c r="AC1167">
        <v>0</v>
      </c>
      <c r="AD1167">
        <v>1</v>
      </c>
      <c r="AE1167">
        <v>0</v>
      </c>
      <c r="AF1167">
        <v>0</v>
      </c>
      <c r="AG1167">
        <v>0</v>
      </c>
    </row>
    <row r="1168" spans="1:33" hidden="1" x14ac:dyDescent="0.2">
      <c r="A1168">
        <v>1167</v>
      </c>
      <c r="B1168" t="s">
        <v>387</v>
      </c>
      <c r="C1168" t="s">
        <v>108</v>
      </c>
      <c r="D1168">
        <v>19</v>
      </c>
      <c r="E1168" t="s">
        <v>34</v>
      </c>
      <c r="F1168" t="s">
        <v>53</v>
      </c>
      <c r="G1168" t="s">
        <v>76</v>
      </c>
      <c r="H1168">
        <v>54925</v>
      </c>
      <c r="I1168">
        <v>1</v>
      </c>
      <c r="J1168">
        <v>0</v>
      </c>
      <c r="K1168">
        <v>0</v>
      </c>
      <c r="L1168">
        <v>0</v>
      </c>
      <c r="M1168" t="s">
        <v>36</v>
      </c>
      <c r="N1168" t="s">
        <v>36</v>
      </c>
      <c r="O1168" t="s">
        <v>36</v>
      </c>
      <c r="P1168" t="s">
        <v>37</v>
      </c>
      <c r="Q1168" t="s">
        <v>36</v>
      </c>
      <c r="R1168" t="s">
        <v>36</v>
      </c>
      <c r="S1168" t="s">
        <v>36</v>
      </c>
      <c r="T1168" t="s">
        <v>36</v>
      </c>
      <c r="U1168">
        <v>1</v>
      </c>
      <c r="V1168">
        <v>0</v>
      </c>
      <c r="W1168">
        <v>1</v>
      </c>
      <c r="X1168">
        <v>0</v>
      </c>
      <c r="Y1168">
        <v>0</v>
      </c>
      <c r="Z1168">
        <v>1</v>
      </c>
      <c r="AA1168">
        <v>0</v>
      </c>
      <c r="AB1168">
        <v>1</v>
      </c>
      <c r="AC1168">
        <v>0</v>
      </c>
      <c r="AD1168">
        <v>1</v>
      </c>
      <c r="AE1168">
        <v>0</v>
      </c>
      <c r="AF1168">
        <v>0</v>
      </c>
      <c r="AG1168">
        <v>0</v>
      </c>
    </row>
    <row r="1169" spans="1:33" x14ac:dyDescent="0.2">
      <c r="A1169">
        <v>1168</v>
      </c>
      <c r="B1169" t="s">
        <v>387</v>
      </c>
      <c r="C1169" t="s">
        <v>108</v>
      </c>
      <c r="D1169">
        <v>19</v>
      </c>
      <c r="E1169" t="s">
        <v>34</v>
      </c>
      <c r="F1169" t="s">
        <v>41</v>
      </c>
      <c r="G1169" t="s">
        <v>42</v>
      </c>
      <c r="H1169">
        <v>10769</v>
      </c>
      <c r="I1169">
        <v>1</v>
      </c>
      <c r="J1169">
        <v>0</v>
      </c>
      <c r="K1169">
        <v>1</v>
      </c>
      <c r="L1169">
        <v>0</v>
      </c>
      <c r="M1169" t="s">
        <v>44</v>
      </c>
      <c r="N1169" t="s">
        <v>43</v>
      </c>
      <c r="O1169" t="s">
        <v>82</v>
      </c>
      <c r="P1169" t="s">
        <v>37</v>
      </c>
      <c r="Q1169" t="s">
        <v>47</v>
      </c>
      <c r="R1169" t="s">
        <v>46</v>
      </c>
      <c r="S1169" t="s">
        <v>65</v>
      </c>
      <c r="T1169">
        <v>0</v>
      </c>
      <c r="U1169">
        <v>1</v>
      </c>
      <c r="V1169">
        <v>0</v>
      </c>
      <c r="W1169">
        <v>1</v>
      </c>
      <c r="X1169">
        <v>1</v>
      </c>
      <c r="Y1169">
        <v>0</v>
      </c>
      <c r="Z1169">
        <v>1</v>
      </c>
      <c r="AA1169">
        <v>0</v>
      </c>
      <c r="AB1169">
        <v>1</v>
      </c>
      <c r="AC1169">
        <v>0</v>
      </c>
      <c r="AD1169">
        <v>1</v>
      </c>
      <c r="AE1169">
        <v>0</v>
      </c>
      <c r="AF1169">
        <v>0</v>
      </c>
      <c r="AG1169">
        <v>0</v>
      </c>
    </row>
    <row r="1170" spans="1:33" x14ac:dyDescent="0.2">
      <c r="A1170">
        <v>1169</v>
      </c>
      <c r="B1170" t="s">
        <v>387</v>
      </c>
      <c r="C1170" t="s">
        <v>108</v>
      </c>
      <c r="D1170">
        <v>19</v>
      </c>
      <c r="E1170" t="s">
        <v>34</v>
      </c>
      <c r="F1170" t="s">
        <v>41</v>
      </c>
      <c r="G1170" t="s">
        <v>49</v>
      </c>
      <c r="H1170">
        <v>22836</v>
      </c>
      <c r="I1170">
        <v>0</v>
      </c>
      <c r="J1170">
        <v>1</v>
      </c>
      <c r="K1170">
        <v>1</v>
      </c>
      <c r="L1170">
        <v>0</v>
      </c>
      <c r="M1170" t="s">
        <v>51</v>
      </c>
      <c r="N1170" t="s">
        <v>52</v>
      </c>
      <c r="O1170" t="s">
        <v>50</v>
      </c>
      <c r="P1170" t="s">
        <v>37</v>
      </c>
      <c r="Q1170" t="s">
        <v>47</v>
      </c>
      <c r="R1170" t="s">
        <v>46</v>
      </c>
      <c r="S1170" t="s">
        <v>48</v>
      </c>
      <c r="T1170">
        <v>0</v>
      </c>
      <c r="U1170">
        <v>0</v>
      </c>
      <c r="V1170">
        <v>1</v>
      </c>
      <c r="W1170">
        <v>1</v>
      </c>
      <c r="X1170">
        <v>1</v>
      </c>
      <c r="Y1170">
        <v>0</v>
      </c>
      <c r="Z1170">
        <v>1</v>
      </c>
      <c r="AA1170">
        <v>0</v>
      </c>
      <c r="AB1170">
        <v>0</v>
      </c>
      <c r="AC1170">
        <v>1</v>
      </c>
      <c r="AD1170">
        <v>0</v>
      </c>
      <c r="AE1170">
        <v>1</v>
      </c>
      <c r="AF1170">
        <v>0</v>
      </c>
      <c r="AG1170">
        <v>0</v>
      </c>
    </row>
    <row r="1171" spans="1:33" hidden="1" x14ac:dyDescent="0.2">
      <c r="A1171">
        <v>1170</v>
      </c>
      <c r="B1171" t="s">
        <v>387</v>
      </c>
      <c r="C1171" t="s">
        <v>108</v>
      </c>
      <c r="D1171">
        <v>19</v>
      </c>
      <c r="E1171" t="s">
        <v>34</v>
      </c>
      <c r="F1171" t="s">
        <v>53</v>
      </c>
      <c r="G1171" t="s">
        <v>54</v>
      </c>
      <c r="H1171">
        <v>23673</v>
      </c>
      <c r="I1171">
        <v>0</v>
      </c>
      <c r="J1171">
        <v>1</v>
      </c>
      <c r="K1171">
        <v>1</v>
      </c>
      <c r="L1171">
        <v>0</v>
      </c>
      <c r="M1171" t="s">
        <v>36</v>
      </c>
      <c r="N1171" t="s">
        <v>36</v>
      </c>
      <c r="O1171" t="s">
        <v>36</v>
      </c>
      <c r="P1171" t="s">
        <v>37</v>
      </c>
      <c r="Q1171" t="s">
        <v>36</v>
      </c>
      <c r="R1171" t="s">
        <v>36</v>
      </c>
      <c r="S1171" t="s">
        <v>36</v>
      </c>
      <c r="T1171" t="s">
        <v>36</v>
      </c>
      <c r="U1171">
        <v>0</v>
      </c>
      <c r="V1171">
        <v>1</v>
      </c>
      <c r="W1171">
        <v>1</v>
      </c>
      <c r="X1171">
        <v>1</v>
      </c>
      <c r="Y1171">
        <v>0</v>
      </c>
      <c r="Z1171">
        <v>1</v>
      </c>
      <c r="AA1171">
        <v>0</v>
      </c>
      <c r="AB1171">
        <v>0</v>
      </c>
      <c r="AC1171">
        <v>1</v>
      </c>
      <c r="AD1171">
        <v>0</v>
      </c>
      <c r="AE1171">
        <v>1</v>
      </c>
      <c r="AF1171">
        <v>0</v>
      </c>
      <c r="AG1171">
        <v>0</v>
      </c>
    </row>
    <row r="1172" spans="1:33" x14ac:dyDescent="0.2">
      <c r="A1172">
        <v>1171</v>
      </c>
      <c r="B1172" t="s">
        <v>387</v>
      </c>
      <c r="C1172" t="s">
        <v>108</v>
      </c>
      <c r="D1172">
        <v>19</v>
      </c>
      <c r="E1172" t="s">
        <v>34</v>
      </c>
      <c r="F1172" t="s">
        <v>41</v>
      </c>
      <c r="G1172" t="s">
        <v>61</v>
      </c>
      <c r="H1172">
        <v>9806</v>
      </c>
      <c r="I1172">
        <v>0</v>
      </c>
      <c r="J1172">
        <v>1</v>
      </c>
      <c r="K1172">
        <v>1</v>
      </c>
      <c r="L1172">
        <v>0</v>
      </c>
      <c r="M1172" t="s">
        <v>63</v>
      </c>
      <c r="N1172" t="s">
        <v>64</v>
      </c>
      <c r="O1172" t="s">
        <v>97</v>
      </c>
      <c r="P1172" t="s">
        <v>37</v>
      </c>
      <c r="Q1172" t="s">
        <v>46</v>
      </c>
      <c r="R1172" t="s">
        <v>48</v>
      </c>
      <c r="S1172" t="s">
        <v>59</v>
      </c>
      <c r="T1172">
        <v>0</v>
      </c>
      <c r="U1172">
        <v>0</v>
      </c>
      <c r="V1172">
        <v>1</v>
      </c>
      <c r="W1172">
        <v>0</v>
      </c>
      <c r="X1172">
        <v>1</v>
      </c>
      <c r="Y1172">
        <v>0</v>
      </c>
      <c r="Z1172">
        <v>1</v>
      </c>
      <c r="AA1172">
        <v>0</v>
      </c>
      <c r="AB1172">
        <v>0</v>
      </c>
      <c r="AC1172">
        <v>1</v>
      </c>
      <c r="AD1172">
        <v>0</v>
      </c>
      <c r="AE1172">
        <v>0</v>
      </c>
      <c r="AF1172">
        <v>0</v>
      </c>
      <c r="AG1172">
        <v>0</v>
      </c>
    </row>
    <row r="1173" spans="1:33" hidden="1" x14ac:dyDescent="0.2">
      <c r="A1173">
        <v>1172</v>
      </c>
      <c r="B1173" t="s">
        <v>387</v>
      </c>
      <c r="C1173" t="s">
        <v>108</v>
      </c>
      <c r="D1173">
        <v>19</v>
      </c>
      <c r="E1173" t="s">
        <v>34</v>
      </c>
      <c r="F1173" t="s">
        <v>53</v>
      </c>
      <c r="G1173" t="s">
        <v>71</v>
      </c>
      <c r="H1173">
        <v>10737</v>
      </c>
      <c r="I1173">
        <v>0</v>
      </c>
      <c r="J1173">
        <v>0</v>
      </c>
      <c r="K1173">
        <v>0</v>
      </c>
      <c r="L1173">
        <v>1</v>
      </c>
      <c r="M1173" t="s">
        <v>36</v>
      </c>
      <c r="N1173" t="s">
        <v>36</v>
      </c>
      <c r="O1173" t="s">
        <v>36</v>
      </c>
      <c r="P1173" t="s">
        <v>37</v>
      </c>
      <c r="Q1173" t="s">
        <v>36</v>
      </c>
      <c r="R1173" t="s">
        <v>36</v>
      </c>
      <c r="S1173" t="s">
        <v>36</v>
      </c>
      <c r="T1173" t="s">
        <v>36</v>
      </c>
      <c r="U1173">
        <v>0</v>
      </c>
      <c r="V1173">
        <v>1</v>
      </c>
      <c r="W1173">
        <v>0</v>
      </c>
      <c r="X1173">
        <v>1</v>
      </c>
      <c r="Y1173">
        <v>0</v>
      </c>
      <c r="Z1173">
        <v>1</v>
      </c>
      <c r="AA1173">
        <v>0</v>
      </c>
      <c r="AB1173">
        <v>0</v>
      </c>
      <c r="AC1173">
        <v>1</v>
      </c>
      <c r="AD1173">
        <v>0</v>
      </c>
      <c r="AE1173">
        <v>0</v>
      </c>
      <c r="AF1173">
        <v>0</v>
      </c>
      <c r="AG1173">
        <v>0</v>
      </c>
    </row>
    <row r="1174" spans="1:33" x14ac:dyDescent="0.2">
      <c r="A1174">
        <v>1173</v>
      </c>
      <c r="B1174" t="s">
        <v>387</v>
      </c>
      <c r="C1174" t="s">
        <v>108</v>
      </c>
      <c r="D1174">
        <v>19</v>
      </c>
      <c r="E1174" t="s">
        <v>34</v>
      </c>
      <c r="F1174" t="s">
        <v>41</v>
      </c>
      <c r="G1174" t="s">
        <v>67</v>
      </c>
      <c r="H1174">
        <v>9740</v>
      </c>
      <c r="I1174">
        <v>1</v>
      </c>
      <c r="J1174">
        <v>0</v>
      </c>
      <c r="K1174">
        <v>1</v>
      </c>
      <c r="L1174">
        <v>0</v>
      </c>
      <c r="M1174" t="s">
        <v>86</v>
      </c>
      <c r="N1174" t="s">
        <v>103</v>
      </c>
      <c r="O1174" t="s">
        <v>69</v>
      </c>
      <c r="P1174" t="s">
        <v>37</v>
      </c>
      <c r="Q1174" t="s">
        <v>46</v>
      </c>
      <c r="R1174" t="s">
        <v>60</v>
      </c>
      <c r="S1174" t="s">
        <v>48</v>
      </c>
      <c r="T1174">
        <v>1</v>
      </c>
      <c r="U1174">
        <v>0</v>
      </c>
      <c r="V1174">
        <v>1</v>
      </c>
      <c r="W1174">
        <v>0</v>
      </c>
      <c r="X1174">
        <v>1</v>
      </c>
      <c r="Y1174">
        <v>0</v>
      </c>
      <c r="Z1174">
        <v>1</v>
      </c>
      <c r="AA1174">
        <v>0</v>
      </c>
      <c r="AB1174">
        <v>0</v>
      </c>
      <c r="AC1174">
        <v>1</v>
      </c>
      <c r="AD1174">
        <v>0</v>
      </c>
      <c r="AE1174">
        <v>1</v>
      </c>
      <c r="AF1174">
        <v>0</v>
      </c>
      <c r="AG1174">
        <v>0</v>
      </c>
    </row>
    <row r="1175" spans="1:33" x14ac:dyDescent="0.2">
      <c r="A1175">
        <v>1174</v>
      </c>
      <c r="B1175" t="s">
        <v>387</v>
      </c>
      <c r="C1175" t="s">
        <v>108</v>
      </c>
      <c r="D1175">
        <v>19</v>
      </c>
      <c r="E1175" t="s">
        <v>34</v>
      </c>
      <c r="F1175" t="s">
        <v>41</v>
      </c>
      <c r="G1175" t="s">
        <v>72</v>
      </c>
      <c r="H1175">
        <v>14954</v>
      </c>
      <c r="I1175">
        <v>1</v>
      </c>
      <c r="J1175">
        <v>0</v>
      </c>
      <c r="K1175">
        <v>1</v>
      </c>
      <c r="L1175">
        <v>0</v>
      </c>
      <c r="M1175" t="s">
        <v>75</v>
      </c>
      <c r="N1175" t="s">
        <v>74</v>
      </c>
      <c r="O1175" t="s">
        <v>104</v>
      </c>
      <c r="P1175" t="s">
        <v>37</v>
      </c>
      <c r="Q1175" t="s">
        <v>46</v>
      </c>
      <c r="R1175" t="s">
        <v>47</v>
      </c>
      <c r="S1175" t="s">
        <v>60</v>
      </c>
      <c r="T1175">
        <v>1</v>
      </c>
      <c r="U1175">
        <v>0</v>
      </c>
      <c r="V1175">
        <v>0</v>
      </c>
      <c r="W1175">
        <v>1</v>
      </c>
      <c r="X1175">
        <v>1</v>
      </c>
      <c r="Y1175">
        <v>0</v>
      </c>
      <c r="Z1175">
        <v>1</v>
      </c>
      <c r="AA1175">
        <v>1</v>
      </c>
      <c r="AB1175">
        <v>0</v>
      </c>
      <c r="AC1175">
        <v>0</v>
      </c>
      <c r="AD1175">
        <v>0</v>
      </c>
      <c r="AE1175">
        <v>1</v>
      </c>
      <c r="AF1175">
        <v>0</v>
      </c>
      <c r="AG1175">
        <v>0</v>
      </c>
    </row>
    <row r="1176" spans="1:33" hidden="1" x14ac:dyDescent="0.2">
      <c r="A1176">
        <v>1175</v>
      </c>
      <c r="B1176" t="s">
        <v>387</v>
      </c>
      <c r="C1176" t="s">
        <v>108</v>
      </c>
      <c r="D1176">
        <v>19</v>
      </c>
      <c r="E1176" t="s">
        <v>34</v>
      </c>
      <c r="F1176" t="s">
        <v>53</v>
      </c>
      <c r="G1176" t="s">
        <v>66</v>
      </c>
      <c r="H1176">
        <v>55672</v>
      </c>
      <c r="I1176">
        <v>1</v>
      </c>
      <c r="J1176">
        <v>1</v>
      </c>
      <c r="K1176">
        <v>0</v>
      </c>
      <c r="L1176">
        <v>0</v>
      </c>
      <c r="M1176" t="s">
        <v>36</v>
      </c>
      <c r="N1176" t="s">
        <v>36</v>
      </c>
      <c r="O1176" t="s">
        <v>36</v>
      </c>
      <c r="P1176" t="s">
        <v>37</v>
      </c>
      <c r="Q1176" t="s">
        <v>36</v>
      </c>
      <c r="R1176" t="s">
        <v>36</v>
      </c>
      <c r="S1176" t="s">
        <v>36</v>
      </c>
      <c r="T1176" t="s">
        <v>36</v>
      </c>
      <c r="U1176">
        <v>0</v>
      </c>
      <c r="V1176">
        <v>0</v>
      </c>
      <c r="W1176">
        <v>1</v>
      </c>
      <c r="X1176">
        <v>1</v>
      </c>
      <c r="Y1176">
        <v>0</v>
      </c>
      <c r="Z1176">
        <v>1</v>
      </c>
      <c r="AA1176">
        <v>1</v>
      </c>
      <c r="AB1176">
        <v>0</v>
      </c>
      <c r="AC1176">
        <v>0</v>
      </c>
      <c r="AD1176">
        <v>0</v>
      </c>
      <c r="AE1176">
        <v>1</v>
      </c>
      <c r="AF1176">
        <v>0</v>
      </c>
      <c r="AG1176">
        <v>0</v>
      </c>
    </row>
    <row r="1177" spans="1:33" hidden="1" x14ac:dyDescent="0.2">
      <c r="A1177">
        <v>1176</v>
      </c>
      <c r="B1177" t="s">
        <v>387</v>
      </c>
      <c r="C1177" t="s">
        <v>108</v>
      </c>
      <c r="D1177">
        <v>19</v>
      </c>
      <c r="E1177" t="s">
        <v>34</v>
      </c>
      <c r="F1177" t="s">
        <v>77</v>
      </c>
      <c r="G1177" t="s">
        <v>36</v>
      </c>
      <c r="H1177">
        <v>43423</v>
      </c>
      <c r="I1177" t="s">
        <v>388</v>
      </c>
      <c r="J1177" t="s">
        <v>389</v>
      </c>
      <c r="K1177" t="s">
        <v>162</v>
      </c>
      <c r="L1177" t="s">
        <v>36</v>
      </c>
      <c r="M1177" t="s">
        <v>36</v>
      </c>
      <c r="N1177" t="s">
        <v>36</v>
      </c>
      <c r="O1177" t="s">
        <v>36</v>
      </c>
      <c r="P1177" t="s">
        <v>37</v>
      </c>
      <c r="Q1177" t="s">
        <v>36</v>
      </c>
      <c r="R1177" t="s">
        <v>36</v>
      </c>
      <c r="S1177" t="s">
        <v>36</v>
      </c>
      <c r="T1177" t="s">
        <v>36</v>
      </c>
      <c r="U1177" t="s">
        <v>36</v>
      </c>
      <c r="V1177" t="s">
        <v>36</v>
      </c>
      <c r="W1177" t="s">
        <v>36</v>
      </c>
      <c r="X1177" t="s">
        <v>36</v>
      </c>
      <c r="Y1177" t="s">
        <v>36</v>
      </c>
      <c r="Z1177" t="s">
        <v>36</v>
      </c>
      <c r="AA1177" t="s">
        <v>36</v>
      </c>
      <c r="AB1177" t="s">
        <v>36</v>
      </c>
      <c r="AC1177" t="s">
        <v>36</v>
      </c>
      <c r="AD1177" t="s">
        <v>36</v>
      </c>
      <c r="AE1177" t="s">
        <v>36</v>
      </c>
      <c r="AF1177" t="s">
        <v>36</v>
      </c>
      <c r="AG1177" t="s">
        <v>36</v>
      </c>
    </row>
    <row r="1178" spans="1:33" hidden="1" x14ac:dyDescent="0.2">
      <c r="A1178">
        <v>1177</v>
      </c>
      <c r="B1178" t="s">
        <v>390</v>
      </c>
      <c r="C1178" t="s">
        <v>188</v>
      </c>
      <c r="D1178">
        <v>27</v>
      </c>
      <c r="E1178" t="s">
        <v>114</v>
      </c>
      <c r="F1178" t="s">
        <v>35</v>
      </c>
      <c r="G1178" t="s">
        <v>36</v>
      </c>
      <c r="H1178">
        <v>53508</v>
      </c>
      <c r="I1178" t="s">
        <v>36</v>
      </c>
      <c r="J1178" t="s">
        <v>36</v>
      </c>
      <c r="K1178" t="s">
        <v>36</v>
      </c>
      <c r="L1178" t="s">
        <v>36</v>
      </c>
      <c r="M1178" t="s">
        <v>36</v>
      </c>
      <c r="N1178" t="s">
        <v>36</v>
      </c>
      <c r="O1178" t="s">
        <v>36</v>
      </c>
      <c r="P1178" t="s">
        <v>37</v>
      </c>
      <c r="Q1178" t="s">
        <v>36</v>
      </c>
      <c r="R1178" t="s">
        <v>36</v>
      </c>
      <c r="S1178" t="s">
        <v>36</v>
      </c>
      <c r="T1178" t="s">
        <v>36</v>
      </c>
      <c r="U1178" t="s">
        <v>36</v>
      </c>
      <c r="V1178" t="s">
        <v>36</v>
      </c>
      <c r="W1178" t="s">
        <v>36</v>
      </c>
      <c r="X1178" t="s">
        <v>36</v>
      </c>
      <c r="Y1178" t="s">
        <v>36</v>
      </c>
      <c r="Z1178" t="s">
        <v>36</v>
      </c>
      <c r="AA1178" t="s">
        <v>36</v>
      </c>
      <c r="AB1178" t="s">
        <v>36</v>
      </c>
      <c r="AC1178" t="s">
        <v>36</v>
      </c>
      <c r="AD1178" t="s">
        <v>36</v>
      </c>
      <c r="AE1178" t="s">
        <v>36</v>
      </c>
      <c r="AF1178" t="s">
        <v>36</v>
      </c>
      <c r="AG1178" t="s">
        <v>36</v>
      </c>
    </row>
    <row r="1179" spans="1:33" hidden="1" x14ac:dyDescent="0.2">
      <c r="A1179">
        <v>1178</v>
      </c>
      <c r="B1179" t="s">
        <v>390</v>
      </c>
      <c r="C1179" t="s">
        <v>188</v>
      </c>
      <c r="D1179">
        <v>27</v>
      </c>
      <c r="E1179" t="s">
        <v>114</v>
      </c>
      <c r="F1179" t="s">
        <v>38</v>
      </c>
      <c r="G1179" t="s">
        <v>40</v>
      </c>
      <c r="H1179">
        <v>10526</v>
      </c>
      <c r="I1179">
        <v>1</v>
      </c>
      <c r="J1179">
        <v>1</v>
      </c>
      <c r="K1179">
        <v>1</v>
      </c>
      <c r="L1179">
        <v>0</v>
      </c>
      <c r="M1179" t="s">
        <v>36</v>
      </c>
      <c r="N1179" t="s">
        <v>36</v>
      </c>
      <c r="O1179" t="s">
        <v>36</v>
      </c>
      <c r="P1179" t="s">
        <v>37</v>
      </c>
      <c r="Q1179" t="s">
        <v>36</v>
      </c>
      <c r="R1179" t="s">
        <v>36</v>
      </c>
      <c r="S1179" t="s">
        <v>36</v>
      </c>
      <c r="T1179" t="s">
        <v>36</v>
      </c>
      <c r="U1179" t="s">
        <v>36</v>
      </c>
      <c r="V1179" t="s">
        <v>36</v>
      </c>
      <c r="W1179" t="s">
        <v>36</v>
      </c>
      <c r="X1179" t="s">
        <v>36</v>
      </c>
      <c r="Y1179" t="s">
        <v>36</v>
      </c>
      <c r="Z1179" t="s">
        <v>36</v>
      </c>
      <c r="AA1179" t="s">
        <v>36</v>
      </c>
      <c r="AB1179" t="s">
        <v>36</v>
      </c>
      <c r="AC1179" t="s">
        <v>36</v>
      </c>
      <c r="AD1179" t="s">
        <v>36</v>
      </c>
      <c r="AE1179" t="s">
        <v>36</v>
      </c>
      <c r="AF1179" t="s">
        <v>36</v>
      </c>
      <c r="AG1179" t="s">
        <v>36</v>
      </c>
    </row>
    <row r="1180" spans="1:33" hidden="1" x14ac:dyDescent="0.2">
      <c r="A1180">
        <v>1179</v>
      </c>
      <c r="B1180" t="s">
        <v>390</v>
      </c>
      <c r="C1180" t="s">
        <v>188</v>
      </c>
      <c r="D1180">
        <v>27</v>
      </c>
      <c r="E1180" t="s">
        <v>114</v>
      </c>
      <c r="F1180" t="s">
        <v>38</v>
      </c>
      <c r="G1180" t="s">
        <v>39</v>
      </c>
      <c r="H1180">
        <v>20915</v>
      </c>
      <c r="I1180">
        <v>0</v>
      </c>
      <c r="J1180">
        <v>1</v>
      </c>
      <c r="K1180">
        <v>1</v>
      </c>
      <c r="L1180">
        <v>0</v>
      </c>
      <c r="M1180" t="s">
        <v>36</v>
      </c>
      <c r="N1180" t="s">
        <v>36</v>
      </c>
      <c r="O1180" t="s">
        <v>36</v>
      </c>
      <c r="P1180" t="s">
        <v>37</v>
      </c>
      <c r="Q1180" t="s">
        <v>36</v>
      </c>
      <c r="R1180" t="s">
        <v>36</v>
      </c>
      <c r="S1180" t="s">
        <v>36</v>
      </c>
      <c r="T1180" t="s">
        <v>36</v>
      </c>
      <c r="U1180" t="s">
        <v>36</v>
      </c>
      <c r="V1180" t="s">
        <v>36</v>
      </c>
      <c r="W1180" t="s">
        <v>36</v>
      </c>
      <c r="X1180" t="s">
        <v>36</v>
      </c>
      <c r="Y1180" t="s">
        <v>36</v>
      </c>
      <c r="Z1180" t="s">
        <v>36</v>
      </c>
      <c r="AA1180" t="s">
        <v>36</v>
      </c>
      <c r="AB1180" t="s">
        <v>36</v>
      </c>
      <c r="AC1180" t="s">
        <v>36</v>
      </c>
      <c r="AD1180" t="s">
        <v>36</v>
      </c>
      <c r="AE1180" t="s">
        <v>36</v>
      </c>
      <c r="AF1180" t="s">
        <v>36</v>
      </c>
      <c r="AG1180" t="s">
        <v>36</v>
      </c>
    </row>
    <row r="1181" spans="1:33" x14ac:dyDescent="0.2">
      <c r="A1181">
        <v>1180</v>
      </c>
      <c r="B1181" t="s">
        <v>390</v>
      </c>
      <c r="C1181" t="s">
        <v>188</v>
      </c>
      <c r="D1181">
        <v>27</v>
      </c>
      <c r="E1181" t="s">
        <v>114</v>
      </c>
      <c r="F1181" t="s">
        <v>41</v>
      </c>
      <c r="G1181" t="s">
        <v>49</v>
      </c>
      <c r="H1181">
        <v>14660</v>
      </c>
      <c r="I1181">
        <v>1</v>
      </c>
      <c r="J1181">
        <v>1</v>
      </c>
      <c r="K1181">
        <v>1</v>
      </c>
      <c r="L1181">
        <v>0</v>
      </c>
      <c r="M1181" t="s">
        <v>51</v>
      </c>
      <c r="N1181" t="s">
        <v>50</v>
      </c>
      <c r="O1181" t="s">
        <v>96</v>
      </c>
      <c r="P1181" t="s">
        <v>37</v>
      </c>
      <c r="Q1181" t="s">
        <v>47</v>
      </c>
      <c r="R1181" t="s">
        <v>48</v>
      </c>
      <c r="S1181" t="s">
        <v>65</v>
      </c>
      <c r="T1181">
        <v>0</v>
      </c>
      <c r="U1181">
        <v>1</v>
      </c>
      <c r="V1181">
        <v>1</v>
      </c>
      <c r="W1181">
        <v>1</v>
      </c>
      <c r="X1181">
        <v>0</v>
      </c>
      <c r="Y1181">
        <v>0</v>
      </c>
      <c r="Z1181">
        <v>1</v>
      </c>
      <c r="AA1181">
        <v>0</v>
      </c>
      <c r="AB1181">
        <v>1</v>
      </c>
      <c r="AC1181">
        <v>1</v>
      </c>
      <c r="AD1181">
        <v>1</v>
      </c>
      <c r="AE1181">
        <v>0</v>
      </c>
      <c r="AF1181">
        <v>0</v>
      </c>
      <c r="AG1181">
        <v>0</v>
      </c>
    </row>
    <row r="1182" spans="1:33" hidden="1" x14ac:dyDescent="0.2">
      <c r="A1182">
        <v>1181</v>
      </c>
      <c r="B1182" t="s">
        <v>390</v>
      </c>
      <c r="C1182" t="s">
        <v>188</v>
      </c>
      <c r="D1182">
        <v>27</v>
      </c>
      <c r="E1182" t="s">
        <v>114</v>
      </c>
      <c r="F1182" t="s">
        <v>53</v>
      </c>
      <c r="G1182" t="s">
        <v>76</v>
      </c>
      <c r="H1182">
        <v>18469</v>
      </c>
      <c r="I1182">
        <v>0</v>
      </c>
      <c r="J1182">
        <v>0</v>
      </c>
      <c r="K1182">
        <v>1</v>
      </c>
      <c r="L1182">
        <v>0</v>
      </c>
      <c r="M1182" t="s">
        <v>36</v>
      </c>
      <c r="N1182" t="s">
        <v>36</v>
      </c>
      <c r="O1182" t="s">
        <v>36</v>
      </c>
      <c r="P1182" t="s">
        <v>37</v>
      </c>
      <c r="Q1182" t="s">
        <v>36</v>
      </c>
      <c r="R1182" t="s">
        <v>36</v>
      </c>
      <c r="S1182" t="s">
        <v>36</v>
      </c>
      <c r="T1182" t="s">
        <v>36</v>
      </c>
      <c r="U1182">
        <v>1</v>
      </c>
      <c r="V1182">
        <v>1</v>
      </c>
      <c r="W1182">
        <v>1</v>
      </c>
      <c r="X1182">
        <v>0</v>
      </c>
      <c r="Y1182">
        <v>0</v>
      </c>
      <c r="Z1182">
        <v>1</v>
      </c>
      <c r="AA1182">
        <v>0</v>
      </c>
      <c r="AB1182">
        <v>1</v>
      </c>
      <c r="AC1182">
        <v>1</v>
      </c>
      <c r="AD1182">
        <v>1</v>
      </c>
      <c r="AE1182">
        <v>0</v>
      </c>
      <c r="AF1182">
        <v>0</v>
      </c>
      <c r="AG1182">
        <v>0</v>
      </c>
    </row>
    <row r="1183" spans="1:33" x14ac:dyDescent="0.2">
      <c r="A1183">
        <v>1182</v>
      </c>
      <c r="B1183" t="s">
        <v>390</v>
      </c>
      <c r="C1183" t="s">
        <v>188</v>
      </c>
      <c r="D1183">
        <v>27</v>
      </c>
      <c r="E1183" t="s">
        <v>114</v>
      </c>
      <c r="F1183" t="s">
        <v>41</v>
      </c>
      <c r="G1183" t="s">
        <v>72</v>
      </c>
      <c r="H1183">
        <v>18940</v>
      </c>
      <c r="I1183">
        <v>0</v>
      </c>
      <c r="J1183">
        <v>0</v>
      </c>
      <c r="K1183">
        <v>0</v>
      </c>
      <c r="L1183">
        <v>1</v>
      </c>
      <c r="M1183" t="s">
        <v>75</v>
      </c>
      <c r="N1183" t="s">
        <v>73</v>
      </c>
      <c r="O1183" t="s">
        <v>115</v>
      </c>
      <c r="P1183" t="s">
        <v>37</v>
      </c>
      <c r="Q1183" t="s">
        <v>46</v>
      </c>
      <c r="R1183" t="s">
        <v>48</v>
      </c>
      <c r="S1183" t="s">
        <v>65</v>
      </c>
      <c r="T1183">
        <v>0</v>
      </c>
      <c r="U1183">
        <v>1</v>
      </c>
      <c r="V1183">
        <v>1</v>
      </c>
      <c r="W1183">
        <v>0</v>
      </c>
      <c r="X1183">
        <v>1</v>
      </c>
      <c r="Y1183">
        <v>0</v>
      </c>
      <c r="Z1183">
        <v>1</v>
      </c>
      <c r="AA1183">
        <v>0</v>
      </c>
      <c r="AB1183">
        <v>0</v>
      </c>
      <c r="AC1183">
        <v>0</v>
      </c>
      <c r="AD1183">
        <v>0</v>
      </c>
      <c r="AE1183">
        <v>0</v>
      </c>
      <c r="AF1183">
        <v>0</v>
      </c>
      <c r="AG1183">
        <v>1</v>
      </c>
    </row>
    <row r="1184" spans="1:33" x14ac:dyDescent="0.2">
      <c r="A1184">
        <v>1183</v>
      </c>
      <c r="B1184" t="s">
        <v>390</v>
      </c>
      <c r="C1184" t="s">
        <v>188</v>
      </c>
      <c r="D1184">
        <v>27</v>
      </c>
      <c r="E1184" t="s">
        <v>114</v>
      </c>
      <c r="F1184" t="s">
        <v>41</v>
      </c>
      <c r="G1184" t="s">
        <v>67</v>
      </c>
      <c r="H1184">
        <v>9116</v>
      </c>
      <c r="I1184">
        <v>0</v>
      </c>
      <c r="J1184">
        <v>0</v>
      </c>
      <c r="K1184">
        <v>1</v>
      </c>
      <c r="L1184">
        <v>0</v>
      </c>
      <c r="M1184" t="s">
        <v>109</v>
      </c>
      <c r="N1184" t="s">
        <v>69</v>
      </c>
      <c r="O1184" t="s">
        <v>70</v>
      </c>
      <c r="P1184" t="s">
        <v>37</v>
      </c>
      <c r="Q1184" t="s">
        <v>59</v>
      </c>
      <c r="R1184" t="s">
        <v>48</v>
      </c>
      <c r="S1184" t="s">
        <v>47</v>
      </c>
      <c r="T1184">
        <v>0</v>
      </c>
      <c r="U1184">
        <v>0</v>
      </c>
      <c r="V1184">
        <v>1</v>
      </c>
      <c r="W1184">
        <v>1</v>
      </c>
      <c r="X1184">
        <v>0</v>
      </c>
      <c r="Y1184">
        <v>0</v>
      </c>
      <c r="Z1184">
        <v>1</v>
      </c>
      <c r="AA1184">
        <v>0</v>
      </c>
      <c r="AB1184">
        <v>0</v>
      </c>
      <c r="AC1184">
        <v>0</v>
      </c>
      <c r="AD1184">
        <v>1</v>
      </c>
      <c r="AE1184">
        <v>0</v>
      </c>
      <c r="AF1184">
        <v>0</v>
      </c>
      <c r="AG1184">
        <v>0</v>
      </c>
    </row>
    <row r="1185" spans="1:33" hidden="1" x14ac:dyDescent="0.2">
      <c r="A1185">
        <v>1184</v>
      </c>
      <c r="B1185" t="s">
        <v>390</v>
      </c>
      <c r="C1185" t="s">
        <v>188</v>
      </c>
      <c r="D1185">
        <v>27</v>
      </c>
      <c r="E1185" t="s">
        <v>114</v>
      </c>
      <c r="F1185" t="s">
        <v>53</v>
      </c>
      <c r="G1185" t="s">
        <v>66</v>
      </c>
      <c r="H1185">
        <v>8102</v>
      </c>
      <c r="I1185">
        <v>0</v>
      </c>
      <c r="J1185">
        <v>0</v>
      </c>
      <c r="K1185">
        <v>1</v>
      </c>
      <c r="L1185">
        <v>0</v>
      </c>
      <c r="M1185" t="s">
        <v>36</v>
      </c>
      <c r="N1185" t="s">
        <v>36</v>
      </c>
      <c r="O1185" t="s">
        <v>36</v>
      </c>
      <c r="P1185" t="s">
        <v>37</v>
      </c>
      <c r="Q1185" t="s">
        <v>36</v>
      </c>
      <c r="R1185" t="s">
        <v>36</v>
      </c>
      <c r="S1185" t="s">
        <v>36</v>
      </c>
      <c r="T1185" t="s">
        <v>36</v>
      </c>
      <c r="U1185">
        <v>0</v>
      </c>
      <c r="V1185">
        <v>1</v>
      </c>
      <c r="W1185">
        <v>1</v>
      </c>
      <c r="X1185">
        <v>0</v>
      </c>
      <c r="Y1185">
        <v>0</v>
      </c>
      <c r="Z1185">
        <v>1</v>
      </c>
      <c r="AA1185">
        <v>0</v>
      </c>
      <c r="AB1185">
        <v>0</v>
      </c>
      <c r="AC1185">
        <v>0</v>
      </c>
      <c r="AD1185">
        <v>1</v>
      </c>
      <c r="AE1185">
        <v>0</v>
      </c>
      <c r="AF1185">
        <v>0</v>
      </c>
      <c r="AG1185">
        <v>0</v>
      </c>
    </row>
    <row r="1186" spans="1:33" x14ac:dyDescent="0.2">
      <c r="A1186">
        <v>1185</v>
      </c>
      <c r="B1186" t="s">
        <v>390</v>
      </c>
      <c r="C1186" t="s">
        <v>188</v>
      </c>
      <c r="D1186">
        <v>27</v>
      </c>
      <c r="E1186" t="s">
        <v>114</v>
      </c>
      <c r="F1186" t="s">
        <v>41</v>
      </c>
      <c r="G1186" t="s">
        <v>55</v>
      </c>
      <c r="H1186">
        <v>9882</v>
      </c>
      <c r="I1186">
        <v>1</v>
      </c>
      <c r="J1186">
        <v>1</v>
      </c>
      <c r="K1186">
        <v>1</v>
      </c>
      <c r="L1186">
        <v>0</v>
      </c>
      <c r="M1186" t="s">
        <v>85</v>
      </c>
      <c r="N1186" t="s">
        <v>57</v>
      </c>
      <c r="O1186" t="s">
        <v>94</v>
      </c>
      <c r="P1186" t="s">
        <v>37</v>
      </c>
      <c r="Q1186" t="s">
        <v>65</v>
      </c>
      <c r="R1186" t="s">
        <v>48</v>
      </c>
      <c r="S1186" t="s">
        <v>47</v>
      </c>
      <c r="T1186">
        <v>0</v>
      </c>
      <c r="U1186">
        <v>1</v>
      </c>
      <c r="V1186">
        <v>1</v>
      </c>
      <c r="W1186">
        <v>1</v>
      </c>
      <c r="X1186">
        <v>0</v>
      </c>
      <c r="Y1186">
        <v>0</v>
      </c>
      <c r="Z1186">
        <v>1</v>
      </c>
      <c r="AA1186">
        <v>0</v>
      </c>
      <c r="AB1186">
        <v>1</v>
      </c>
      <c r="AC1186">
        <v>1</v>
      </c>
      <c r="AD1186">
        <v>1</v>
      </c>
      <c r="AE1186">
        <v>0</v>
      </c>
      <c r="AF1186">
        <v>0</v>
      </c>
      <c r="AG1186">
        <v>0</v>
      </c>
    </row>
    <row r="1187" spans="1:33" hidden="1" x14ac:dyDescent="0.2">
      <c r="A1187">
        <v>1186</v>
      </c>
      <c r="B1187" t="s">
        <v>390</v>
      </c>
      <c r="C1187" t="s">
        <v>188</v>
      </c>
      <c r="D1187">
        <v>27</v>
      </c>
      <c r="E1187" t="s">
        <v>114</v>
      </c>
      <c r="F1187" t="s">
        <v>53</v>
      </c>
      <c r="G1187" t="s">
        <v>71</v>
      </c>
      <c r="H1187">
        <v>23334</v>
      </c>
      <c r="I1187">
        <v>1</v>
      </c>
      <c r="J1187">
        <v>1</v>
      </c>
      <c r="K1187">
        <v>1</v>
      </c>
      <c r="L1187">
        <v>0</v>
      </c>
      <c r="M1187" t="s">
        <v>36</v>
      </c>
      <c r="N1187" t="s">
        <v>36</v>
      </c>
      <c r="O1187" t="s">
        <v>36</v>
      </c>
      <c r="P1187" t="s">
        <v>37</v>
      </c>
      <c r="Q1187" t="s">
        <v>36</v>
      </c>
      <c r="R1187" t="s">
        <v>36</v>
      </c>
      <c r="S1187" t="s">
        <v>36</v>
      </c>
      <c r="T1187" t="s">
        <v>36</v>
      </c>
      <c r="U1187">
        <v>1</v>
      </c>
      <c r="V1187">
        <v>1</v>
      </c>
      <c r="W1187">
        <v>1</v>
      </c>
      <c r="X1187">
        <v>0</v>
      </c>
      <c r="Y1187">
        <v>0</v>
      </c>
      <c r="Z1187">
        <v>1</v>
      </c>
      <c r="AA1187">
        <v>0</v>
      </c>
      <c r="AB1187">
        <v>1</v>
      </c>
      <c r="AC1187">
        <v>1</v>
      </c>
      <c r="AD1187">
        <v>1</v>
      </c>
      <c r="AE1187">
        <v>0</v>
      </c>
      <c r="AF1187">
        <v>0</v>
      </c>
      <c r="AG1187">
        <v>0</v>
      </c>
    </row>
    <row r="1188" spans="1:33" x14ac:dyDescent="0.2">
      <c r="A1188">
        <v>1187</v>
      </c>
      <c r="B1188" t="s">
        <v>390</v>
      </c>
      <c r="C1188" t="s">
        <v>188</v>
      </c>
      <c r="D1188">
        <v>27</v>
      </c>
      <c r="E1188" t="s">
        <v>114</v>
      </c>
      <c r="F1188" t="s">
        <v>41</v>
      </c>
      <c r="G1188" t="s">
        <v>42</v>
      </c>
      <c r="H1188">
        <v>10772</v>
      </c>
      <c r="I1188">
        <v>0</v>
      </c>
      <c r="J1188">
        <v>0</v>
      </c>
      <c r="K1188">
        <v>1</v>
      </c>
      <c r="L1188">
        <v>0</v>
      </c>
      <c r="M1188" t="s">
        <v>45</v>
      </c>
      <c r="N1188" t="s">
        <v>44</v>
      </c>
      <c r="O1188" t="s">
        <v>43</v>
      </c>
      <c r="P1188" t="s">
        <v>37</v>
      </c>
      <c r="Q1188" t="s">
        <v>48</v>
      </c>
      <c r="R1188" t="s">
        <v>47</v>
      </c>
      <c r="S1188" t="s">
        <v>46</v>
      </c>
      <c r="T1188">
        <v>0</v>
      </c>
      <c r="U1188">
        <v>0</v>
      </c>
      <c r="V1188">
        <v>1</v>
      </c>
      <c r="W1188">
        <v>1</v>
      </c>
      <c r="X1188">
        <v>1</v>
      </c>
      <c r="Y1188">
        <v>0</v>
      </c>
      <c r="Z1188">
        <v>1</v>
      </c>
      <c r="AA1188">
        <v>0</v>
      </c>
      <c r="AB1188">
        <v>0</v>
      </c>
      <c r="AC1188">
        <v>0</v>
      </c>
      <c r="AD1188">
        <v>0</v>
      </c>
      <c r="AE1188">
        <v>1</v>
      </c>
      <c r="AF1188">
        <v>0</v>
      </c>
      <c r="AG1188">
        <v>0</v>
      </c>
    </row>
    <row r="1189" spans="1:33" x14ac:dyDescent="0.2">
      <c r="A1189">
        <v>1188</v>
      </c>
      <c r="B1189" t="s">
        <v>390</v>
      </c>
      <c r="C1189" t="s">
        <v>188</v>
      </c>
      <c r="D1189">
        <v>27</v>
      </c>
      <c r="E1189" t="s">
        <v>114</v>
      </c>
      <c r="F1189" t="s">
        <v>41</v>
      </c>
      <c r="G1189" t="s">
        <v>61</v>
      </c>
      <c r="H1189">
        <v>7142</v>
      </c>
      <c r="I1189">
        <v>1</v>
      </c>
      <c r="J1189">
        <v>1</v>
      </c>
      <c r="K1189">
        <v>1</v>
      </c>
      <c r="L1189">
        <v>0</v>
      </c>
      <c r="M1189" t="s">
        <v>62</v>
      </c>
      <c r="N1189" t="s">
        <v>87</v>
      </c>
      <c r="O1189" t="s">
        <v>97</v>
      </c>
      <c r="P1189" t="s">
        <v>37</v>
      </c>
      <c r="Q1189" t="s">
        <v>65</v>
      </c>
      <c r="R1189" t="s">
        <v>47</v>
      </c>
      <c r="S1189" t="s">
        <v>59</v>
      </c>
      <c r="T1189">
        <v>0</v>
      </c>
      <c r="U1189">
        <v>1</v>
      </c>
      <c r="V1189">
        <v>0</v>
      </c>
      <c r="W1189">
        <v>1</v>
      </c>
      <c r="X1189">
        <v>0</v>
      </c>
      <c r="Y1189">
        <v>0</v>
      </c>
      <c r="Z1189">
        <v>1</v>
      </c>
      <c r="AA1189">
        <v>0</v>
      </c>
      <c r="AB1189">
        <v>1</v>
      </c>
      <c r="AC1189">
        <v>0</v>
      </c>
      <c r="AD1189">
        <v>1</v>
      </c>
      <c r="AE1189">
        <v>0</v>
      </c>
      <c r="AF1189">
        <v>0</v>
      </c>
      <c r="AG1189">
        <v>0</v>
      </c>
    </row>
    <row r="1190" spans="1:33" hidden="1" x14ac:dyDescent="0.2">
      <c r="A1190">
        <v>1189</v>
      </c>
      <c r="B1190" t="s">
        <v>390</v>
      </c>
      <c r="C1190" t="s">
        <v>188</v>
      </c>
      <c r="D1190">
        <v>27</v>
      </c>
      <c r="E1190" t="s">
        <v>114</v>
      </c>
      <c r="F1190" t="s">
        <v>53</v>
      </c>
      <c r="G1190" t="s">
        <v>54</v>
      </c>
      <c r="H1190">
        <v>4789</v>
      </c>
      <c r="I1190">
        <v>1</v>
      </c>
      <c r="J1190">
        <v>1</v>
      </c>
      <c r="K1190">
        <v>0</v>
      </c>
      <c r="L1190">
        <v>0</v>
      </c>
      <c r="M1190" t="s">
        <v>36</v>
      </c>
      <c r="N1190" t="s">
        <v>36</v>
      </c>
      <c r="O1190" t="s">
        <v>36</v>
      </c>
      <c r="P1190" t="s">
        <v>37</v>
      </c>
      <c r="Q1190" t="s">
        <v>36</v>
      </c>
      <c r="R1190" t="s">
        <v>36</v>
      </c>
      <c r="S1190" t="s">
        <v>36</v>
      </c>
      <c r="T1190" t="s">
        <v>36</v>
      </c>
      <c r="U1190">
        <v>1</v>
      </c>
      <c r="V1190">
        <v>0</v>
      </c>
      <c r="W1190">
        <v>1</v>
      </c>
      <c r="X1190">
        <v>0</v>
      </c>
      <c r="Y1190">
        <v>0</v>
      </c>
      <c r="Z1190">
        <v>1</v>
      </c>
      <c r="AA1190">
        <v>0</v>
      </c>
      <c r="AB1190">
        <v>1</v>
      </c>
      <c r="AC1190">
        <v>0</v>
      </c>
      <c r="AD1190">
        <v>1</v>
      </c>
      <c r="AE1190">
        <v>0</v>
      </c>
      <c r="AF1190">
        <v>0</v>
      </c>
      <c r="AG1190">
        <v>0</v>
      </c>
    </row>
    <row r="1191" spans="1:33" hidden="1" x14ac:dyDescent="0.2">
      <c r="A1191">
        <v>1190</v>
      </c>
      <c r="B1191" t="s">
        <v>390</v>
      </c>
      <c r="C1191" t="s">
        <v>188</v>
      </c>
      <c r="D1191">
        <v>27</v>
      </c>
      <c r="E1191" t="s">
        <v>114</v>
      </c>
      <c r="F1191" t="s">
        <v>77</v>
      </c>
      <c r="G1191" t="s">
        <v>36</v>
      </c>
      <c r="H1191">
        <v>80158</v>
      </c>
      <c r="I1191" t="s">
        <v>391</v>
      </c>
      <c r="J1191" t="s">
        <v>392</v>
      </c>
      <c r="K1191" t="s">
        <v>393</v>
      </c>
      <c r="L1191" t="s">
        <v>36</v>
      </c>
      <c r="M1191" t="s">
        <v>36</v>
      </c>
      <c r="N1191" t="s">
        <v>36</v>
      </c>
      <c r="O1191" t="s">
        <v>36</v>
      </c>
      <c r="P1191" t="s">
        <v>37</v>
      </c>
      <c r="Q1191" t="s">
        <v>36</v>
      </c>
      <c r="R1191" t="s">
        <v>36</v>
      </c>
      <c r="S1191" t="s">
        <v>36</v>
      </c>
      <c r="T1191" t="s">
        <v>36</v>
      </c>
      <c r="U1191" t="s">
        <v>36</v>
      </c>
      <c r="V1191" t="s">
        <v>36</v>
      </c>
      <c r="W1191" t="s">
        <v>36</v>
      </c>
      <c r="X1191" t="s">
        <v>36</v>
      </c>
      <c r="Y1191" t="s">
        <v>36</v>
      </c>
      <c r="Z1191" t="s">
        <v>36</v>
      </c>
      <c r="AA1191" t="s">
        <v>36</v>
      </c>
      <c r="AB1191" t="s">
        <v>36</v>
      </c>
      <c r="AC1191" t="s">
        <v>36</v>
      </c>
      <c r="AD1191" t="s">
        <v>36</v>
      </c>
      <c r="AE1191" t="s">
        <v>36</v>
      </c>
      <c r="AF1191" t="s">
        <v>36</v>
      </c>
      <c r="AG1191" t="s">
        <v>36</v>
      </c>
    </row>
    <row r="1192" spans="1:33" hidden="1" x14ac:dyDescent="0.2">
      <c r="A1192">
        <v>1191</v>
      </c>
      <c r="B1192" t="s">
        <v>394</v>
      </c>
      <c r="C1192" t="s">
        <v>108</v>
      </c>
      <c r="D1192">
        <v>41</v>
      </c>
      <c r="E1192" t="s">
        <v>34</v>
      </c>
      <c r="F1192" t="s">
        <v>35</v>
      </c>
      <c r="G1192" t="s">
        <v>36</v>
      </c>
      <c r="H1192">
        <v>117291</v>
      </c>
      <c r="I1192" t="s">
        <v>36</v>
      </c>
      <c r="J1192" t="s">
        <v>36</v>
      </c>
      <c r="K1192" t="s">
        <v>36</v>
      </c>
      <c r="L1192" t="s">
        <v>36</v>
      </c>
      <c r="M1192" t="s">
        <v>36</v>
      </c>
      <c r="N1192" t="s">
        <v>36</v>
      </c>
      <c r="O1192" t="s">
        <v>36</v>
      </c>
      <c r="P1192" t="s">
        <v>37</v>
      </c>
      <c r="Q1192" t="s">
        <v>36</v>
      </c>
      <c r="R1192" t="s">
        <v>36</v>
      </c>
      <c r="S1192" t="s">
        <v>36</v>
      </c>
      <c r="T1192" t="s">
        <v>36</v>
      </c>
      <c r="U1192" t="s">
        <v>36</v>
      </c>
      <c r="V1192" t="s">
        <v>36</v>
      </c>
      <c r="W1192" t="s">
        <v>36</v>
      </c>
      <c r="X1192" t="s">
        <v>36</v>
      </c>
      <c r="Y1192" t="s">
        <v>36</v>
      </c>
      <c r="Z1192" t="s">
        <v>36</v>
      </c>
      <c r="AA1192" t="s">
        <v>36</v>
      </c>
      <c r="AB1192" t="s">
        <v>36</v>
      </c>
      <c r="AC1192" t="s">
        <v>36</v>
      </c>
      <c r="AD1192" t="s">
        <v>36</v>
      </c>
      <c r="AE1192" t="s">
        <v>36</v>
      </c>
      <c r="AF1192" t="s">
        <v>36</v>
      </c>
      <c r="AG1192" t="s">
        <v>36</v>
      </c>
    </row>
    <row r="1193" spans="1:33" hidden="1" x14ac:dyDescent="0.2">
      <c r="A1193">
        <v>1192</v>
      </c>
      <c r="B1193" t="s">
        <v>394</v>
      </c>
      <c r="C1193" t="s">
        <v>108</v>
      </c>
      <c r="D1193">
        <v>41</v>
      </c>
      <c r="E1193" t="s">
        <v>34</v>
      </c>
      <c r="F1193" t="s">
        <v>38</v>
      </c>
      <c r="G1193" t="s">
        <v>39</v>
      </c>
      <c r="H1193">
        <v>35916</v>
      </c>
      <c r="I1193">
        <v>0</v>
      </c>
      <c r="J1193">
        <v>0</v>
      </c>
      <c r="K1193">
        <v>0</v>
      </c>
      <c r="L1193">
        <v>1</v>
      </c>
      <c r="M1193" t="s">
        <v>36</v>
      </c>
      <c r="N1193" t="s">
        <v>36</v>
      </c>
      <c r="O1193" t="s">
        <v>36</v>
      </c>
      <c r="P1193" t="s">
        <v>37</v>
      </c>
      <c r="Q1193" t="s">
        <v>36</v>
      </c>
      <c r="R1193" t="s">
        <v>36</v>
      </c>
      <c r="S1193" t="s">
        <v>36</v>
      </c>
      <c r="T1193" t="s">
        <v>36</v>
      </c>
      <c r="U1193" t="s">
        <v>36</v>
      </c>
      <c r="V1193" t="s">
        <v>36</v>
      </c>
      <c r="W1193" t="s">
        <v>36</v>
      </c>
      <c r="X1193" t="s">
        <v>36</v>
      </c>
      <c r="Y1193" t="s">
        <v>36</v>
      </c>
      <c r="Z1193" t="s">
        <v>36</v>
      </c>
      <c r="AA1193" t="s">
        <v>36</v>
      </c>
      <c r="AB1193" t="s">
        <v>36</v>
      </c>
      <c r="AC1193" t="s">
        <v>36</v>
      </c>
      <c r="AD1193" t="s">
        <v>36</v>
      </c>
      <c r="AE1193" t="s">
        <v>36</v>
      </c>
      <c r="AF1193" t="s">
        <v>36</v>
      </c>
      <c r="AG1193" t="s">
        <v>36</v>
      </c>
    </row>
    <row r="1194" spans="1:33" hidden="1" x14ac:dyDescent="0.2">
      <c r="A1194">
        <v>1193</v>
      </c>
      <c r="B1194" t="s">
        <v>394</v>
      </c>
      <c r="C1194" t="s">
        <v>108</v>
      </c>
      <c r="D1194">
        <v>41</v>
      </c>
      <c r="E1194" t="s">
        <v>34</v>
      </c>
      <c r="F1194" t="s">
        <v>38</v>
      </c>
      <c r="G1194" t="s">
        <v>40</v>
      </c>
      <c r="H1194">
        <v>40761</v>
      </c>
      <c r="I1194">
        <v>0</v>
      </c>
      <c r="J1194">
        <v>1</v>
      </c>
      <c r="K1194">
        <v>1</v>
      </c>
      <c r="L1194">
        <v>0</v>
      </c>
      <c r="M1194" t="s">
        <v>36</v>
      </c>
      <c r="N1194" t="s">
        <v>36</v>
      </c>
      <c r="O1194" t="s">
        <v>36</v>
      </c>
      <c r="P1194" t="s">
        <v>37</v>
      </c>
      <c r="Q1194" t="s">
        <v>36</v>
      </c>
      <c r="R1194" t="s">
        <v>36</v>
      </c>
      <c r="S1194" t="s">
        <v>36</v>
      </c>
      <c r="T1194" t="s">
        <v>36</v>
      </c>
      <c r="U1194" t="s">
        <v>36</v>
      </c>
      <c r="V1194" t="s">
        <v>36</v>
      </c>
      <c r="W1194" t="s">
        <v>36</v>
      </c>
      <c r="X1194" t="s">
        <v>36</v>
      </c>
      <c r="Y1194" t="s">
        <v>36</v>
      </c>
      <c r="Z1194" t="s">
        <v>36</v>
      </c>
      <c r="AA1194" t="s">
        <v>36</v>
      </c>
      <c r="AB1194" t="s">
        <v>36</v>
      </c>
      <c r="AC1194" t="s">
        <v>36</v>
      </c>
      <c r="AD1194" t="s">
        <v>36</v>
      </c>
      <c r="AE1194" t="s">
        <v>36</v>
      </c>
      <c r="AF1194" t="s">
        <v>36</v>
      </c>
      <c r="AG1194" t="s">
        <v>36</v>
      </c>
    </row>
    <row r="1195" spans="1:33" x14ac:dyDescent="0.2">
      <c r="A1195">
        <v>1194</v>
      </c>
      <c r="B1195" t="s">
        <v>394</v>
      </c>
      <c r="C1195" t="s">
        <v>108</v>
      </c>
      <c r="D1195">
        <v>41</v>
      </c>
      <c r="E1195" t="s">
        <v>34</v>
      </c>
      <c r="F1195" t="s">
        <v>41</v>
      </c>
      <c r="G1195" t="s">
        <v>55</v>
      </c>
      <c r="H1195">
        <v>48712</v>
      </c>
      <c r="I1195">
        <v>0</v>
      </c>
      <c r="J1195">
        <v>1</v>
      </c>
      <c r="K1195">
        <v>1</v>
      </c>
      <c r="L1195">
        <v>0</v>
      </c>
      <c r="M1195" t="s">
        <v>84</v>
      </c>
      <c r="N1195" t="s">
        <v>85</v>
      </c>
      <c r="O1195" t="s">
        <v>94</v>
      </c>
      <c r="P1195" t="s">
        <v>37</v>
      </c>
      <c r="Q1195" t="s">
        <v>46</v>
      </c>
      <c r="R1195" t="s">
        <v>65</v>
      </c>
      <c r="S1195" t="s">
        <v>47</v>
      </c>
      <c r="T1195">
        <v>0</v>
      </c>
      <c r="U1195">
        <v>1</v>
      </c>
      <c r="V1195">
        <v>0</v>
      </c>
      <c r="W1195">
        <v>1</v>
      </c>
      <c r="X1195">
        <v>1</v>
      </c>
      <c r="Y1195">
        <v>0</v>
      </c>
      <c r="Z1195">
        <v>1</v>
      </c>
      <c r="AA1195">
        <v>0</v>
      </c>
      <c r="AB1195">
        <v>1</v>
      </c>
      <c r="AC1195">
        <v>0</v>
      </c>
      <c r="AD1195">
        <v>1</v>
      </c>
      <c r="AE1195">
        <v>0</v>
      </c>
      <c r="AF1195">
        <v>0</v>
      </c>
      <c r="AG1195">
        <v>0</v>
      </c>
    </row>
    <row r="1196" spans="1:33" x14ac:dyDescent="0.2">
      <c r="A1196">
        <v>1195</v>
      </c>
      <c r="B1196" t="s">
        <v>394</v>
      </c>
      <c r="C1196" t="s">
        <v>108</v>
      </c>
      <c r="D1196">
        <v>41</v>
      </c>
      <c r="E1196" t="s">
        <v>34</v>
      </c>
      <c r="F1196" t="s">
        <v>41</v>
      </c>
      <c r="G1196" t="s">
        <v>49</v>
      </c>
      <c r="H1196">
        <v>31100</v>
      </c>
      <c r="I1196">
        <v>0</v>
      </c>
      <c r="J1196">
        <v>0</v>
      </c>
      <c r="K1196">
        <v>1</v>
      </c>
      <c r="L1196">
        <v>0</v>
      </c>
      <c r="M1196" t="s">
        <v>50</v>
      </c>
      <c r="N1196" t="s">
        <v>52</v>
      </c>
      <c r="O1196" t="s">
        <v>51</v>
      </c>
      <c r="P1196" t="s">
        <v>37</v>
      </c>
      <c r="Q1196" t="s">
        <v>48</v>
      </c>
      <c r="R1196" t="s">
        <v>46</v>
      </c>
      <c r="S1196" t="s">
        <v>47</v>
      </c>
      <c r="T1196">
        <v>0</v>
      </c>
      <c r="U1196">
        <v>0</v>
      </c>
      <c r="V1196">
        <v>1</v>
      </c>
      <c r="W1196">
        <v>1</v>
      </c>
      <c r="X1196">
        <v>1</v>
      </c>
      <c r="Y1196">
        <v>0</v>
      </c>
      <c r="Z1196">
        <v>1</v>
      </c>
      <c r="AA1196">
        <v>0</v>
      </c>
      <c r="AB1196">
        <v>0</v>
      </c>
      <c r="AC1196">
        <v>0</v>
      </c>
      <c r="AD1196">
        <v>1</v>
      </c>
      <c r="AE1196">
        <v>0</v>
      </c>
      <c r="AF1196">
        <v>0</v>
      </c>
      <c r="AG1196">
        <v>0</v>
      </c>
    </row>
    <row r="1197" spans="1:33" hidden="1" x14ac:dyDescent="0.2">
      <c r="A1197">
        <v>1196</v>
      </c>
      <c r="B1197" t="s">
        <v>394</v>
      </c>
      <c r="C1197" t="s">
        <v>108</v>
      </c>
      <c r="D1197">
        <v>41</v>
      </c>
      <c r="E1197" t="s">
        <v>34</v>
      </c>
      <c r="F1197" t="s">
        <v>53</v>
      </c>
      <c r="G1197" t="s">
        <v>71</v>
      </c>
      <c r="H1197">
        <v>32644</v>
      </c>
      <c r="I1197">
        <v>0</v>
      </c>
      <c r="J1197">
        <v>0</v>
      </c>
      <c r="K1197">
        <v>0</v>
      </c>
      <c r="L1197">
        <v>1</v>
      </c>
      <c r="M1197" t="s">
        <v>36</v>
      </c>
      <c r="N1197" t="s">
        <v>36</v>
      </c>
      <c r="O1197" t="s">
        <v>36</v>
      </c>
      <c r="P1197" t="s">
        <v>37</v>
      </c>
      <c r="Q1197" t="s">
        <v>36</v>
      </c>
      <c r="R1197" t="s">
        <v>36</v>
      </c>
      <c r="S1197" t="s">
        <v>36</v>
      </c>
      <c r="T1197" t="s">
        <v>36</v>
      </c>
      <c r="U1197">
        <v>0</v>
      </c>
      <c r="V1197">
        <v>1</v>
      </c>
      <c r="W1197">
        <v>1</v>
      </c>
      <c r="X1197">
        <v>1</v>
      </c>
      <c r="Y1197">
        <v>0</v>
      </c>
      <c r="Z1197">
        <v>1</v>
      </c>
      <c r="AA1197">
        <v>0</v>
      </c>
      <c r="AB1197">
        <v>0</v>
      </c>
      <c r="AC1197">
        <v>0</v>
      </c>
      <c r="AD1197">
        <v>1</v>
      </c>
      <c r="AE1197">
        <v>0</v>
      </c>
      <c r="AF1197">
        <v>0</v>
      </c>
      <c r="AG1197">
        <v>0</v>
      </c>
    </row>
    <row r="1198" spans="1:33" x14ac:dyDescent="0.2">
      <c r="A1198">
        <v>1197</v>
      </c>
      <c r="B1198" t="s">
        <v>394</v>
      </c>
      <c r="C1198" t="s">
        <v>108</v>
      </c>
      <c r="D1198">
        <v>41</v>
      </c>
      <c r="E1198" t="s">
        <v>34</v>
      </c>
      <c r="F1198" t="s">
        <v>41</v>
      </c>
      <c r="G1198" t="s">
        <v>67</v>
      </c>
      <c r="H1198">
        <v>24139</v>
      </c>
      <c r="I1198">
        <v>0</v>
      </c>
      <c r="J1198">
        <v>0</v>
      </c>
      <c r="K1198">
        <v>1</v>
      </c>
      <c r="L1198">
        <v>0</v>
      </c>
      <c r="M1198" t="s">
        <v>103</v>
      </c>
      <c r="N1198" t="s">
        <v>69</v>
      </c>
      <c r="O1198" t="s">
        <v>68</v>
      </c>
      <c r="P1198" t="s">
        <v>37</v>
      </c>
      <c r="Q1198" t="s">
        <v>60</v>
      </c>
      <c r="R1198" t="s">
        <v>48</v>
      </c>
      <c r="S1198" t="s">
        <v>65</v>
      </c>
      <c r="T1198">
        <v>1</v>
      </c>
      <c r="U1198">
        <v>1</v>
      </c>
      <c r="V1198">
        <v>1</v>
      </c>
      <c r="W1198">
        <v>0</v>
      </c>
      <c r="X1198">
        <v>0</v>
      </c>
      <c r="Y1198">
        <v>0</v>
      </c>
      <c r="Z1198">
        <v>1</v>
      </c>
      <c r="AA1198">
        <v>0</v>
      </c>
      <c r="AB1198">
        <v>1</v>
      </c>
      <c r="AC1198">
        <v>0</v>
      </c>
      <c r="AD1198">
        <v>0</v>
      </c>
      <c r="AE1198">
        <v>0</v>
      </c>
      <c r="AF1198">
        <v>0</v>
      </c>
      <c r="AG1198">
        <v>0</v>
      </c>
    </row>
    <row r="1199" spans="1:33" x14ac:dyDescent="0.2">
      <c r="A1199">
        <v>1198</v>
      </c>
      <c r="B1199" t="s">
        <v>394</v>
      </c>
      <c r="C1199" t="s">
        <v>108</v>
      </c>
      <c r="D1199">
        <v>41</v>
      </c>
      <c r="E1199" t="s">
        <v>34</v>
      </c>
      <c r="F1199" t="s">
        <v>41</v>
      </c>
      <c r="G1199" t="s">
        <v>61</v>
      </c>
      <c r="H1199">
        <v>25930</v>
      </c>
      <c r="I1199">
        <v>0</v>
      </c>
      <c r="J1199">
        <v>1</v>
      </c>
      <c r="K1199">
        <v>1</v>
      </c>
      <c r="L1199">
        <v>0</v>
      </c>
      <c r="M1199" t="s">
        <v>64</v>
      </c>
      <c r="N1199" t="s">
        <v>87</v>
      </c>
      <c r="O1199" t="s">
        <v>62</v>
      </c>
      <c r="P1199" t="s">
        <v>37</v>
      </c>
      <c r="Q1199" t="s">
        <v>48</v>
      </c>
      <c r="R1199" t="s">
        <v>47</v>
      </c>
      <c r="S1199" t="s">
        <v>65</v>
      </c>
      <c r="T1199">
        <v>0</v>
      </c>
      <c r="U1199">
        <v>1</v>
      </c>
      <c r="V1199">
        <v>1</v>
      </c>
      <c r="W1199">
        <v>1</v>
      </c>
      <c r="X1199">
        <v>0</v>
      </c>
      <c r="Y1199">
        <v>0</v>
      </c>
      <c r="Z1199">
        <v>1</v>
      </c>
      <c r="AA1199">
        <v>0</v>
      </c>
      <c r="AB1199">
        <v>1</v>
      </c>
      <c r="AC1199">
        <v>0</v>
      </c>
      <c r="AD1199">
        <v>1</v>
      </c>
      <c r="AE1199">
        <v>0</v>
      </c>
      <c r="AF1199">
        <v>0</v>
      </c>
      <c r="AG1199">
        <v>0</v>
      </c>
    </row>
    <row r="1200" spans="1:33" hidden="1" x14ac:dyDescent="0.2">
      <c r="A1200">
        <v>1199</v>
      </c>
      <c r="B1200" t="s">
        <v>394</v>
      </c>
      <c r="C1200" t="s">
        <v>108</v>
      </c>
      <c r="D1200">
        <v>41</v>
      </c>
      <c r="E1200" t="s">
        <v>34</v>
      </c>
      <c r="F1200" t="s">
        <v>53</v>
      </c>
      <c r="G1200" t="s">
        <v>66</v>
      </c>
      <c r="H1200">
        <v>26845</v>
      </c>
      <c r="I1200">
        <v>1</v>
      </c>
      <c r="J1200">
        <v>1</v>
      </c>
      <c r="K1200">
        <v>0</v>
      </c>
      <c r="L1200">
        <v>0</v>
      </c>
      <c r="M1200" t="s">
        <v>36</v>
      </c>
      <c r="N1200" t="s">
        <v>36</v>
      </c>
      <c r="O1200" t="s">
        <v>36</v>
      </c>
      <c r="P1200" t="s">
        <v>37</v>
      </c>
      <c r="Q1200" t="s">
        <v>36</v>
      </c>
      <c r="R1200" t="s">
        <v>36</v>
      </c>
      <c r="S1200" t="s">
        <v>36</v>
      </c>
      <c r="T1200" t="s">
        <v>36</v>
      </c>
      <c r="U1200">
        <v>1</v>
      </c>
      <c r="V1200">
        <v>1</v>
      </c>
      <c r="W1200">
        <v>1</v>
      </c>
      <c r="X1200">
        <v>0</v>
      </c>
      <c r="Y1200">
        <v>0</v>
      </c>
      <c r="Z1200">
        <v>1</v>
      </c>
      <c r="AA1200">
        <v>0</v>
      </c>
      <c r="AB1200">
        <v>1</v>
      </c>
      <c r="AC1200">
        <v>0</v>
      </c>
      <c r="AD1200">
        <v>1</v>
      </c>
      <c r="AE1200">
        <v>0</v>
      </c>
      <c r="AF1200">
        <v>0</v>
      </c>
      <c r="AG1200">
        <v>0</v>
      </c>
    </row>
    <row r="1201" spans="1:33" x14ac:dyDescent="0.2">
      <c r="A1201">
        <v>1200</v>
      </c>
      <c r="B1201" t="s">
        <v>394</v>
      </c>
      <c r="C1201" t="s">
        <v>108</v>
      </c>
      <c r="D1201">
        <v>41</v>
      </c>
      <c r="E1201" t="s">
        <v>34</v>
      </c>
      <c r="F1201" t="s">
        <v>41</v>
      </c>
      <c r="G1201" t="s">
        <v>72</v>
      </c>
      <c r="H1201">
        <v>19643</v>
      </c>
      <c r="I1201">
        <v>1</v>
      </c>
      <c r="J1201">
        <v>0</v>
      </c>
      <c r="K1201">
        <v>0</v>
      </c>
      <c r="L1201">
        <v>0</v>
      </c>
      <c r="M1201" t="s">
        <v>115</v>
      </c>
      <c r="N1201" t="s">
        <v>75</v>
      </c>
      <c r="O1201" t="s">
        <v>73</v>
      </c>
      <c r="P1201" t="s">
        <v>37</v>
      </c>
      <c r="Q1201" t="s">
        <v>65</v>
      </c>
      <c r="R1201" t="s">
        <v>46</v>
      </c>
      <c r="S1201" t="s">
        <v>48</v>
      </c>
      <c r="T1201">
        <v>0</v>
      </c>
      <c r="U1201">
        <v>1</v>
      </c>
      <c r="V1201">
        <v>1</v>
      </c>
      <c r="W1201">
        <v>0</v>
      </c>
      <c r="X1201">
        <v>1</v>
      </c>
      <c r="Y1201">
        <v>0</v>
      </c>
      <c r="Z1201">
        <v>1</v>
      </c>
      <c r="AA1201">
        <v>0</v>
      </c>
      <c r="AB1201">
        <v>1</v>
      </c>
      <c r="AC1201">
        <v>0</v>
      </c>
      <c r="AD1201">
        <v>0</v>
      </c>
      <c r="AE1201">
        <v>0</v>
      </c>
      <c r="AF1201">
        <v>0</v>
      </c>
      <c r="AG1201">
        <v>0</v>
      </c>
    </row>
    <row r="1202" spans="1:33" hidden="1" x14ac:dyDescent="0.2">
      <c r="A1202">
        <v>1201</v>
      </c>
      <c r="B1202" t="s">
        <v>394</v>
      </c>
      <c r="C1202" t="s">
        <v>108</v>
      </c>
      <c r="D1202">
        <v>41</v>
      </c>
      <c r="E1202" t="s">
        <v>34</v>
      </c>
      <c r="F1202" t="s">
        <v>53</v>
      </c>
      <c r="G1202" t="s">
        <v>54</v>
      </c>
      <c r="H1202">
        <v>34509</v>
      </c>
      <c r="I1202">
        <v>0</v>
      </c>
      <c r="J1202">
        <v>0</v>
      </c>
      <c r="K1202">
        <v>1</v>
      </c>
      <c r="L1202">
        <v>0</v>
      </c>
      <c r="M1202" t="s">
        <v>36</v>
      </c>
      <c r="N1202" t="s">
        <v>36</v>
      </c>
      <c r="O1202" t="s">
        <v>36</v>
      </c>
      <c r="P1202" t="s">
        <v>37</v>
      </c>
      <c r="Q1202" t="s">
        <v>36</v>
      </c>
      <c r="R1202" t="s">
        <v>36</v>
      </c>
      <c r="S1202" t="s">
        <v>36</v>
      </c>
      <c r="T1202" t="s">
        <v>36</v>
      </c>
      <c r="U1202">
        <v>1</v>
      </c>
      <c r="V1202">
        <v>1</v>
      </c>
      <c r="W1202">
        <v>0</v>
      </c>
      <c r="X1202">
        <v>1</v>
      </c>
      <c r="Y1202">
        <v>0</v>
      </c>
      <c r="Z1202">
        <v>1</v>
      </c>
      <c r="AA1202">
        <v>0</v>
      </c>
      <c r="AB1202">
        <v>1</v>
      </c>
      <c r="AC1202">
        <v>0</v>
      </c>
      <c r="AD1202">
        <v>0</v>
      </c>
      <c r="AE1202">
        <v>0</v>
      </c>
      <c r="AF1202">
        <v>0</v>
      </c>
      <c r="AG1202">
        <v>0</v>
      </c>
    </row>
    <row r="1203" spans="1:33" x14ac:dyDescent="0.2">
      <c r="A1203">
        <v>1202</v>
      </c>
      <c r="B1203" t="s">
        <v>394</v>
      </c>
      <c r="C1203" t="s">
        <v>108</v>
      </c>
      <c r="D1203">
        <v>41</v>
      </c>
      <c r="E1203" t="s">
        <v>34</v>
      </c>
      <c r="F1203" t="s">
        <v>41</v>
      </c>
      <c r="G1203" t="s">
        <v>42</v>
      </c>
      <c r="H1203">
        <v>19738</v>
      </c>
      <c r="I1203">
        <v>0</v>
      </c>
      <c r="J1203">
        <v>0</v>
      </c>
      <c r="K1203">
        <v>1</v>
      </c>
      <c r="L1203">
        <v>0</v>
      </c>
      <c r="M1203" t="s">
        <v>43</v>
      </c>
      <c r="N1203" t="s">
        <v>45</v>
      </c>
      <c r="O1203" t="s">
        <v>82</v>
      </c>
      <c r="P1203" t="s">
        <v>37</v>
      </c>
      <c r="Q1203" t="s">
        <v>46</v>
      </c>
      <c r="R1203" t="s">
        <v>48</v>
      </c>
      <c r="S1203" t="s">
        <v>65</v>
      </c>
      <c r="T1203">
        <v>0</v>
      </c>
      <c r="U1203">
        <v>1</v>
      </c>
      <c r="V1203">
        <v>1</v>
      </c>
      <c r="W1203">
        <v>0</v>
      </c>
      <c r="X1203">
        <v>1</v>
      </c>
      <c r="Y1203">
        <v>0</v>
      </c>
      <c r="Z1203">
        <v>1</v>
      </c>
      <c r="AA1203">
        <v>0</v>
      </c>
      <c r="AB1203">
        <v>1</v>
      </c>
      <c r="AC1203">
        <v>0</v>
      </c>
      <c r="AD1203">
        <v>0</v>
      </c>
      <c r="AE1203">
        <v>0</v>
      </c>
      <c r="AF1203">
        <v>0</v>
      </c>
      <c r="AG1203">
        <v>0</v>
      </c>
    </row>
    <row r="1204" spans="1:33" hidden="1" x14ac:dyDescent="0.2">
      <c r="A1204">
        <v>1203</v>
      </c>
      <c r="B1204" t="s">
        <v>394</v>
      </c>
      <c r="C1204" t="s">
        <v>108</v>
      </c>
      <c r="D1204">
        <v>41</v>
      </c>
      <c r="E1204" t="s">
        <v>34</v>
      </c>
      <c r="F1204" t="s">
        <v>53</v>
      </c>
      <c r="G1204" t="s">
        <v>76</v>
      </c>
      <c r="H1204">
        <v>23595</v>
      </c>
      <c r="I1204">
        <v>1</v>
      </c>
      <c r="J1204">
        <v>0</v>
      </c>
      <c r="K1204">
        <v>0</v>
      </c>
      <c r="L1204">
        <v>0</v>
      </c>
      <c r="M1204" t="s">
        <v>36</v>
      </c>
      <c r="N1204" t="s">
        <v>36</v>
      </c>
      <c r="O1204" t="s">
        <v>36</v>
      </c>
      <c r="P1204" t="s">
        <v>37</v>
      </c>
      <c r="Q1204" t="s">
        <v>36</v>
      </c>
      <c r="R1204" t="s">
        <v>36</v>
      </c>
      <c r="S1204" t="s">
        <v>36</v>
      </c>
      <c r="T1204" t="s">
        <v>36</v>
      </c>
      <c r="U1204">
        <v>1</v>
      </c>
      <c r="V1204">
        <v>1</v>
      </c>
      <c r="W1204">
        <v>0</v>
      </c>
      <c r="X1204">
        <v>1</v>
      </c>
      <c r="Y1204">
        <v>0</v>
      </c>
      <c r="Z1204">
        <v>1</v>
      </c>
      <c r="AA1204">
        <v>0</v>
      </c>
      <c r="AB1204">
        <v>1</v>
      </c>
      <c r="AC1204">
        <v>0</v>
      </c>
      <c r="AD1204">
        <v>0</v>
      </c>
      <c r="AE1204">
        <v>0</v>
      </c>
      <c r="AF1204">
        <v>0</v>
      </c>
      <c r="AG1204">
        <v>0</v>
      </c>
    </row>
    <row r="1205" spans="1:33" hidden="1" x14ac:dyDescent="0.2">
      <c r="A1205">
        <v>1204</v>
      </c>
      <c r="B1205" t="s">
        <v>394</v>
      </c>
      <c r="C1205" t="s">
        <v>108</v>
      </c>
      <c r="D1205">
        <v>41</v>
      </c>
      <c r="E1205" t="s">
        <v>34</v>
      </c>
      <c r="F1205" t="s">
        <v>77</v>
      </c>
      <c r="G1205" t="s">
        <v>36</v>
      </c>
      <c r="H1205">
        <v>92371</v>
      </c>
      <c r="I1205" t="s">
        <v>395</v>
      </c>
      <c r="J1205" t="s">
        <v>166</v>
      </c>
      <c r="K1205" t="s">
        <v>166</v>
      </c>
      <c r="L1205" t="s">
        <v>36</v>
      </c>
      <c r="M1205" t="s">
        <v>36</v>
      </c>
      <c r="N1205" t="s">
        <v>36</v>
      </c>
      <c r="O1205" t="s">
        <v>36</v>
      </c>
      <c r="P1205" t="s">
        <v>37</v>
      </c>
      <c r="Q1205" t="s">
        <v>36</v>
      </c>
      <c r="R1205" t="s">
        <v>36</v>
      </c>
      <c r="S1205" t="s">
        <v>36</v>
      </c>
      <c r="T1205" t="s">
        <v>36</v>
      </c>
      <c r="U1205" t="s">
        <v>36</v>
      </c>
      <c r="V1205" t="s">
        <v>36</v>
      </c>
      <c r="W1205" t="s">
        <v>36</v>
      </c>
      <c r="X1205" t="s">
        <v>36</v>
      </c>
      <c r="Y1205" t="s">
        <v>36</v>
      </c>
      <c r="Z1205" t="s">
        <v>36</v>
      </c>
      <c r="AA1205" t="s">
        <v>36</v>
      </c>
      <c r="AB1205" t="s">
        <v>36</v>
      </c>
      <c r="AC1205" t="s">
        <v>36</v>
      </c>
      <c r="AD1205" t="s">
        <v>36</v>
      </c>
      <c r="AE1205" t="s">
        <v>36</v>
      </c>
      <c r="AF1205" t="s">
        <v>36</v>
      </c>
      <c r="AG1205" t="s">
        <v>36</v>
      </c>
    </row>
    <row r="1206" spans="1:33" hidden="1" x14ac:dyDescent="0.2">
      <c r="A1206">
        <v>1205</v>
      </c>
      <c r="B1206" t="s">
        <v>396</v>
      </c>
      <c r="C1206" t="s">
        <v>397</v>
      </c>
      <c r="D1206">
        <v>34</v>
      </c>
      <c r="E1206" t="s">
        <v>114</v>
      </c>
      <c r="F1206" t="s">
        <v>35</v>
      </c>
      <c r="G1206" t="s">
        <v>36</v>
      </c>
      <c r="H1206">
        <v>31092</v>
      </c>
      <c r="I1206" t="s">
        <v>36</v>
      </c>
      <c r="J1206" t="s">
        <v>36</v>
      </c>
      <c r="K1206" t="s">
        <v>36</v>
      </c>
      <c r="L1206" t="s">
        <v>36</v>
      </c>
      <c r="M1206" t="s">
        <v>36</v>
      </c>
      <c r="N1206" t="s">
        <v>36</v>
      </c>
      <c r="O1206" t="s">
        <v>36</v>
      </c>
      <c r="P1206" t="s">
        <v>37</v>
      </c>
      <c r="Q1206" t="s">
        <v>36</v>
      </c>
      <c r="R1206" t="s">
        <v>36</v>
      </c>
      <c r="S1206" t="s">
        <v>36</v>
      </c>
      <c r="T1206" t="s">
        <v>36</v>
      </c>
      <c r="U1206" t="s">
        <v>36</v>
      </c>
      <c r="V1206" t="s">
        <v>36</v>
      </c>
      <c r="W1206" t="s">
        <v>36</v>
      </c>
      <c r="X1206" t="s">
        <v>36</v>
      </c>
      <c r="Y1206" t="s">
        <v>36</v>
      </c>
      <c r="Z1206" t="s">
        <v>36</v>
      </c>
      <c r="AA1206" t="s">
        <v>36</v>
      </c>
      <c r="AB1206" t="s">
        <v>36</v>
      </c>
      <c r="AC1206" t="s">
        <v>36</v>
      </c>
      <c r="AD1206" t="s">
        <v>36</v>
      </c>
      <c r="AE1206" t="s">
        <v>36</v>
      </c>
      <c r="AF1206" t="s">
        <v>36</v>
      </c>
      <c r="AG1206" t="s">
        <v>36</v>
      </c>
    </row>
    <row r="1207" spans="1:33" hidden="1" x14ac:dyDescent="0.2">
      <c r="A1207">
        <v>1206</v>
      </c>
      <c r="B1207" t="s">
        <v>396</v>
      </c>
      <c r="C1207" t="s">
        <v>397</v>
      </c>
      <c r="D1207">
        <v>34</v>
      </c>
      <c r="E1207" t="s">
        <v>114</v>
      </c>
      <c r="F1207" t="s">
        <v>38</v>
      </c>
      <c r="G1207" t="s">
        <v>40</v>
      </c>
      <c r="H1207">
        <v>76386</v>
      </c>
      <c r="I1207">
        <v>0</v>
      </c>
      <c r="J1207">
        <v>0</v>
      </c>
      <c r="K1207">
        <v>1</v>
      </c>
      <c r="L1207">
        <v>0</v>
      </c>
      <c r="M1207" t="s">
        <v>36</v>
      </c>
      <c r="N1207" t="s">
        <v>36</v>
      </c>
      <c r="O1207" t="s">
        <v>36</v>
      </c>
      <c r="P1207" t="s">
        <v>37</v>
      </c>
      <c r="Q1207" t="s">
        <v>36</v>
      </c>
      <c r="R1207" t="s">
        <v>36</v>
      </c>
      <c r="S1207" t="s">
        <v>36</v>
      </c>
      <c r="T1207" t="s">
        <v>36</v>
      </c>
      <c r="U1207" t="s">
        <v>36</v>
      </c>
      <c r="V1207" t="s">
        <v>36</v>
      </c>
      <c r="W1207" t="s">
        <v>36</v>
      </c>
      <c r="X1207" t="s">
        <v>36</v>
      </c>
      <c r="Y1207" t="s">
        <v>36</v>
      </c>
      <c r="Z1207" t="s">
        <v>36</v>
      </c>
      <c r="AA1207" t="s">
        <v>36</v>
      </c>
      <c r="AB1207" t="s">
        <v>36</v>
      </c>
      <c r="AC1207" t="s">
        <v>36</v>
      </c>
      <c r="AD1207" t="s">
        <v>36</v>
      </c>
      <c r="AE1207" t="s">
        <v>36</v>
      </c>
      <c r="AF1207" t="s">
        <v>36</v>
      </c>
      <c r="AG1207" t="s">
        <v>36</v>
      </c>
    </row>
    <row r="1208" spans="1:33" hidden="1" x14ac:dyDescent="0.2">
      <c r="A1208">
        <v>1207</v>
      </c>
      <c r="B1208" t="s">
        <v>396</v>
      </c>
      <c r="C1208" t="s">
        <v>397</v>
      </c>
      <c r="D1208">
        <v>34</v>
      </c>
      <c r="E1208" t="s">
        <v>114</v>
      </c>
      <c r="F1208" t="s">
        <v>38</v>
      </c>
      <c r="G1208" t="s">
        <v>39</v>
      </c>
      <c r="H1208">
        <v>59123</v>
      </c>
      <c r="I1208">
        <v>0</v>
      </c>
      <c r="J1208">
        <v>0</v>
      </c>
      <c r="K1208">
        <v>0</v>
      </c>
      <c r="L1208">
        <v>1</v>
      </c>
      <c r="M1208" t="s">
        <v>36</v>
      </c>
      <c r="N1208" t="s">
        <v>36</v>
      </c>
      <c r="O1208" t="s">
        <v>36</v>
      </c>
      <c r="P1208" t="s">
        <v>37</v>
      </c>
      <c r="Q1208" t="s">
        <v>36</v>
      </c>
      <c r="R1208" t="s">
        <v>36</v>
      </c>
      <c r="S1208" t="s">
        <v>36</v>
      </c>
      <c r="T1208" t="s">
        <v>36</v>
      </c>
      <c r="U1208" t="s">
        <v>36</v>
      </c>
      <c r="V1208" t="s">
        <v>36</v>
      </c>
      <c r="W1208" t="s">
        <v>36</v>
      </c>
      <c r="X1208" t="s">
        <v>36</v>
      </c>
      <c r="Y1208" t="s">
        <v>36</v>
      </c>
      <c r="Z1208" t="s">
        <v>36</v>
      </c>
      <c r="AA1208" t="s">
        <v>36</v>
      </c>
      <c r="AB1208" t="s">
        <v>36</v>
      </c>
      <c r="AC1208" t="s">
        <v>36</v>
      </c>
      <c r="AD1208" t="s">
        <v>36</v>
      </c>
      <c r="AE1208" t="s">
        <v>36</v>
      </c>
      <c r="AF1208" t="s">
        <v>36</v>
      </c>
      <c r="AG1208" t="s">
        <v>36</v>
      </c>
    </row>
    <row r="1209" spans="1:33" hidden="1" x14ac:dyDescent="0.2">
      <c r="A1209">
        <v>1208</v>
      </c>
      <c r="B1209" t="s">
        <v>396</v>
      </c>
      <c r="C1209" t="s">
        <v>397</v>
      </c>
      <c r="D1209">
        <v>34</v>
      </c>
      <c r="E1209" t="s">
        <v>114</v>
      </c>
      <c r="F1209" t="s">
        <v>41</v>
      </c>
      <c r="G1209" t="s">
        <v>49</v>
      </c>
      <c r="H1209">
        <v>70804</v>
      </c>
      <c r="I1209">
        <v>0</v>
      </c>
      <c r="J1209">
        <v>0</v>
      </c>
      <c r="K1209">
        <v>0</v>
      </c>
      <c r="L1209">
        <v>1</v>
      </c>
      <c r="M1209" t="s">
        <v>96</v>
      </c>
      <c r="N1209" t="s">
        <v>51</v>
      </c>
      <c r="O1209" t="s">
        <v>50</v>
      </c>
      <c r="P1209" t="s">
        <v>37</v>
      </c>
      <c r="Q1209" t="s">
        <v>65</v>
      </c>
      <c r="R1209" t="s">
        <v>47</v>
      </c>
      <c r="S1209" t="s">
        <v>48</v>
      </c>
      <c r="T1209">
        <v>0</v>
      </c>
      <c r="U1209">
        <v>1</v>
      </c>
      <c r="V1209">
        <v>1</v>
      </c>
      <c r="W1209">
        <v>1</v>
      </c>
      <c r="X1209">
        <v>0</v>
      </c>
      <c r="Y1209">
        <v>0</v>
      </c>
      <c r="Z1209">
        <v>1</v>
      </c>
      <c r="AA1209">
        <v>0</v>
      </c>
      <c r="AB1209">
        <v>0</v>
      </c>
      <c r="AC1209">
        <v>0</v>
      </c>
      <c r="AD1209">
        <v>0</v>
      </c>
      <c r="AE1209">
        <v>0</v>
      </c>
      <c r="AF1209">
        <v>0</v>
      </c>
      <c r="AG1209">
        <v>1</v>
      </c>
    </row>
    <row r="1210" spans="1:33" hidden="1" x14ac:dyDescent="0.2">
      <c r="A1210">
        <v>1209</v>
      </c>
      <c r="B1210" t="s">
        <v>396</v>
      </c>
      <c r="C1210" t="s">
        <v>397</v>
      </c>
      <c r="D1210">
        <v>34</v>
      </c>
      <c r="E1210" t="s">
        <v>114</v>
      </c>
      <c r="F1210" t="s">
        <v>41</v>
      </c>
      <c r="G1210" t="s">
        <v>67</v>
      </c>
      <c r="H1210">
        <v>50455</v>
      </c>
      <c r="I1210">
        <v>0</v>
      </c>
      <c r="J1210">
        <v>1</v>
      </c>
      <c r="K1210">
        <v>0</v>
      </c>
      <c r="L1210">
        <v>0</v>
      </c>
      <c r="M1210" t="s">
        <v>86</v>
      </c>
      <c r="N1210" t="s">
        <v>68</v>
      </c>
      <c r="O1210" t="s">
        <v>70</v>
      </c>
      <c r="P1210" t="s">
        <v>37</v>
      </c>
      <c r="Q1210" t="s">
        <v>46</v>
      </c>
      <c r="R1210" t="s">
        <v>65</v>
      </c>
      <c r="S1210" t="s">
        <v>47</v>
      </c>
      <c r="T1210">
        <v>0</v>
      </c>
      <c r="U1210">
        <v>1</v>
      </c>
      <c r="V1210">
        <v>0</v>
      </c>
      <c r="W1210">
        <v>1</v>
      </c>
      <c r="X1210">
        <v>1</v>
      </c>
      <c r="Y1210">
        <v>0</v>
      </c>
      <c r="Z1210">
        <v>1</v>
      </c>
      <c r="AA1210">
        <v>0</v>
      </c>
      <c r="AB1210">
        <v>1</v>
      </c>
      <c r="AC1210">
        <v>0</v>
      </c>
      <c r="AD1210">
        <v>0</v>
      </c>
      <c r="AE1210">
        <v>0</v>
      </c>
      <c r="AF1210">
        <v>0</v>
      </c>
      <c r="AG1210">
        <v>0</v>
      </c>
    </row>
    <row r="1211" spans="1:33" hidden="1" x14ac:dyDescent="0.2">
      <c r="A1211">
        <v>1210</v>
      </c>
      <c r="B1211" t="s">
        <v>396</v>
      </c>
      <c r="C1211" t="s">
        <v>397</v>
      </c>
      <c r="D1211">
        <v>34</v>
      </c>
      <c r="E1211" t="s">
        <v>114</v>
      </c>
      <c r="F1211" t="s">
        <v>53</v>
      </c>
      <c r="G1211" t="s">
        <v>66</v>
      </c>
      <c r="H1211">
        <v>37654</v>
      </c>
      <c r="I1211">
        <v>1</v>
      </c>
      <c r="J1211">
        <v>0</v>
      </c>
      <c r="K1211">
        <v>0</v>
      </c>
      <c r="L1211">
        <v>0</v>
      </c>
      <c r="M1211" t="s">
        <v>36</v>
      </c>
      <c r="N1211" t="s">
        <v>36</v>
      </c>
      <c r="O1211" t="s">
        <v>36</v>
      </c>
      <c r="P1211" t="s">
        <v>37</v>
      </c>
      <c r="Q1211" t="s">
        <v>36</v>
      </c>
      <c r="R1211" t="s">
        <v>36</v>
      </c>
      <c r="S1211" t="s">
        <v>36</v>
      </c>
      <c r="T1211" t="s">
        <v>36</v>
      </c>
      <c r="U1211">
        <v>1</v>
      </c>
      <c r="V1211">
        <v>0</v>
      </c>
      <c r="W1211">
        <v>1</v>
      </c>
      <c r="X1211">
        <v>1</v>
      </c>
      <c r="Y1211">
        <v>0</v>
      </c>
      <c r="Z1211">
        <v>1</v>
      </c>
      <c r="AA1211">
        <v>0</v>
      </c>
      <c r="AB1211">
        <v>1</v>
      </c>
      <c r="AC1211">
        <v>0</v>
      </c>
      <c r="AD1211">
        <v>0</v>
      </c>
      <c r="AE1211">
        <v>0</v>
      </c>
      <c r="AF1211">
        <v>0</v>
      </c>
      <c r="AG1211">
        <v>0</v>
      </c>
    </row>
    <row r="1212" spans="1:33" hidden="1" x14ac:dyDescent="0.2">
      <c r="A1212">
        <v>1211</v>
      </c>
      <c r="B1212" t="s">
        <v>396</v>
      </c>
      <c r="C1212" t="s">
        <v>397</v>
      </c>
      <c r="D1212">
        <v>34</v>
      </c>
      <c r="E1212" t="s">
        <v>114</v>
      </c>
      <c r="F1212" t="s">
        <v>41</v>
      </c>
      <c r="G1212" t="s">
        <v>55</v>
      </c>
      <c r="H1212">
        <v>51754</v>
      </c>
      <c r="I1212">
        <v>0</v>
      </c>
      <c r="J1212">
        <v>1</v>
      </c>
      <c r="K1212">
        <v>0</v>
      </c>
      <c r="L1212">
        <v>0</v>
      </c>
      <c r="M1212" t="s">
        <v>85</v>
      </c>
      <c r="N1212" t="s">
        <v>94</v>
      </c>
      <c r="O1212" t="s">
        <v>84</v>
      </c>
      <c r="P1212" t="s">
        <v>37</v>
      </c>
      <c r="Q1212" t="s">
        <v>65</v>
      </c>
      <c r="R1212" t="s">
        <v>47</v>
      </c>
      <c r="S1212" t="s">
        <v>46</v>
      </c>
      <c r="T1212">
        <v>0</v>
      </c>
      <c r="U1212">
        <v>1</v>
      </c>
      <c r="V1212">
        <v>0</v>
      </c>
      <c r="W1212">
        <v>1</v>
      </c>
      <c r="X1212">
        <v>1</v>
      </c>
      <c r="Y1212">
        <v>0</v>
      </c>
      <c r="Z1212">
        <v>1</v>
      </c>
      <c r="AA1212">
        <v>0</v>
      </c>
      <c r="AB1212">
        <v>0</v>
      </c>
      <c r="AC1212">
        <v>0</v>
      </c>
      <c r="AD1212">
        <v>1</v>
      </c>
      <c r="AE1212">
        <v>0</v>
      </c>
      <c r="AF1212">
        <v>0</v>
      </c>
      <c r="AG1212">
        <v>0</v>
      </c>
    </row>
    <row r="1213" spans="1:33" hidden="1" x14ac:dyDescent="0.2">
      <c r="A1213">
        <v>1212</v>
      </c>
      <c r="B1213" t="s">
        <v>396</v>
      </c>
      <c r="C1213" t="s">
        <v>397</v>
      </c>
      <c r="D1213">
        <v>34</v>
      </c>
      <c r="E1213" t="s">
        <v>114</v>
      </c>
      <c r="F1213" t="s">
        <v>53</v>
      </c>
      <c r="G1213" t="s">
        <v>76</v>
      </c>
      <c r="H1213">
        <v>49326</v>
      </c>
      <c r="I1213">
        <v>1</v>
      </c>
      <c r="J1213">
        <v>0</v>
      </c>
      <c r="K1213">
        <v>0</v>
      </c>
      <c r="L1213">
        <v>0</v>
      </c>
      <c r="M1213" t="s">
        <v>36</v>
      </c>
      <c r="N1213" t="s">
        <v>36</v>
      </c>
      <c r="O1213" t="s">
        <v>36</v>
      </c>
      <c r="P1213" t="s">
        <v>37</v>
      </c>
      <c r="Q1213" t="s">
        <v>36</v>
      </c>
      <c r="R1213" t="s">
        <v>36</v>
      </c>
      <c r="S1213" t="s">
        <v>36</v>
      </c>
      <c r="T1213" t="s">
        <v>36</v>
      </c>
      <c r="U1213">
        <v>1</v>
      </c>
      <c r="V1213">
        <v>0</v>
      </c>
      <c r="W1213">
        <v>1</v>
      </c>
      <c r="X1213">
        <v>1</v>
      </c>
      <c r="Y1213">
        <v>0</v>
      </c>
      <c r="Z1213">
        <v>1</v>
      </c>
      <c r="AA1213">
        <v>0</v>
      </c>
      <c r="AB1213">
        <v>0</v>
      </c>
      <c r="AC1213">
        <v>0</v>
      </c>
      <c r="AD1213">
        <v>1</v>
      </c>
      <c r="AE1213">
        <v>0</v>
      </c>
      <c r="AF1213">
        <v>0</v>
      </c>
      <c r="AG1213">
        <v>0</v>
      </c>
    </row>
    <row r="1214" spans="1:33" hidden="1" x14ac:dyDescent="0.2">
      <c r="A1214">
        <v>1213</v>
      </c>
      <c r="B1214" t="s">
        <v>396</v>
      </c>
      <c r="C1214" t="s">
        <v>397</v>
      </c>
      <c r="D1214">
        <v>34</v>
      </c>
      <c r="E1214" t="s">
        <v>114</v>
      </c>
      <c r="F1214" t="s">
        <v>41</v>
      </c>
      <c r="G1214" t="s">
        <v>42</v>
      </c>
      <c r="H1214">
        <v>34495</v>
      </c>
      <c r="I1214">
        <v>0</v>
      </c>
      <c r="J1214">
        <v>1</v>
      </c>
      <c r="K1214">
        <v>0</v>
      </c>
      <c r="L1214">
        <v>0</v>
      </c>
      <c r="M1214" t="s">
        <v>45</v>
      </c>
      <c r="N1214" t="s">
        <v>116</v>
      </c>
      <c r="O1214" t="s">
        <v>82</v>
      </c>
      <c r="P1214" t="s">
        <v>37</v>
      </c>
      <c r="Q1214" t="s">
        <v>48</v>
      </c>
      <c r="R1214" t="s">
        <v>60</v>
      </c>
      <c r="S1214" t="s">
        <v>65</v>
      </c>
      <c r="T1214">
        <v>1</v>
      </c>
      <c r="U1214">
        <v>1</v>
      </c>
      <c r="V1214">
        <v>1</v>
      </c>
      <c r="W1214">
        <v>0</v>
      </c>
      <c r="X1214">
        <v>0</v>
      </c>
      <c r="Y1214">
        <v>0</v>
      </c>
      <c r="Z1214">
        <v>1</v>
      </c>
      <c r="AA1214">
        <v>1</v>
      </c>
      <c r="AB1214">
        <v>0</v>
      </c>
      <c r="AC1214">
        <v>0</v>
      </c>
      <c r="AD1214">
        <v>0</v>
      </c>
      <c r="AE1214">
        <v>0</v>
      </c>
      <c r="AF1214">
        <v>0</v>
      </c>
      <c r="AG1214">
        <v>0</v>
      </c>
    </row>
    <row r="1215" spans="1:33" hidden="1" x14ac:dyDescent="0.2">
      <c r="A1215">
        <v>1214</v>
      </c>
      <c r="B1215" t="s">
        <v>396</v>
      </c>
      <c r="C1215" t="s">
        <v>397</v>
      </c>
      <c r="D1215">
        <v>34</v>
      </c>
      <c r="E1215" t="s">
        <v>114</v>
      </c>
      <c r="F1215" t="s">
        <v>41</v>
      </c>
      <c r="G1215" t="s">
        <v>72</v>
      </c>
      <c r="H1215">
        <v>40838</v>
      </c>
      <c r="I1215">
        <v>0</v>
      </c>
      <c r="J1215">
        <v>1</v>
      </c>
      <c r="K1215">
        <v>0</v>
      </c>
      <c r="L1215">
        <v>0</v>
      </c>
      <c r="M1215" t="s">
        <v>75</v>
      </c>
      <c r="N1215" t="s">
        <v>104</v>
      </c>
      <c r="O1215" t="s">
        <v>74</v>
      </c>
      <c r="P1215" t="s">
        <v>37</v>
      </c>
      <c r="Q1215" t="s">
        <v>46</v>
      </c>
      <c r="R1215" t="s">
        <v>60</v>
      </c>
      <c r="S1215" t="s">
        <v>47</v>
      </c>
      <c r="T1215">
        <v>1</v>
      </c>
      <c r="U1215">
        <v>0</v>
      </c>
      <c r="V1215">
        <v>0</v>
      </c>
      <c r="W1215">
        <v>1</v>
      </c>
      <c r="X1215">
        <v>1</v>
      </c>
      <c r="Y1215">
        <v>0</v>
      </c>
      <c r="Z1215">
        <v>1</v>
      </c>
      <c r="AA1215">
        <v>1</v>
      </c>
      <c r="AB1215">
        <v>0</v>
      </c>
      <c r="AC1215">
        <v>0</v>
      </c>
      <c r="AD1215">
        <v>0</v>
      </c>
      <c r="AE1215">
        <v>0</v>
      </c>
      <c r="AF1215">
        <v>0</v>
      </c>
      <c r="AG1215">
        <v>0</v>
      </c>
    </row>
    <row r="1216" spans="1:33" hidden="1" x14ac:dyDescent="0.2">
      <c r="A1216">
        <v>1215</v>
      </c>
      <c r="B1216" t="s">
        <v>396</v>
      </c>
      <c r="C1216" t="s">
        <v>397</v>
      </c>
      <c r="D1216">
        <v>34</v>
      </c>
      <c r="E1216" t="s">
        <v>114</v>
      </c>
      <c r="F1216" t="s">
        <v>53</v>
      </c>
      <c r="G1216" t="s">
        <v>71</v>
      </c>
      <c r="H1216">
        <v>57021</v>
      </c>
      <c r="I1216">
        <v>0</v>
      </c>
      <c r="J1216">
        <v>0</v>
      </c>
      <c r="K1216">
        <v>0</v>
      </c>
      <c r="L1216">
        <v>1</v>
      </c>
      <c r="M1216" t="s">
        <v>36</v>
      </c>
      <c r="N1216" t="s">
        <v>36</v>
      </c>
      <c r="O1216" t="s">
        <v>36</v>
      </c>
      <c r="P1216" t="s">
        <v>37</v>
      </c>
      <c r="Q1216" t="s">
        <v>36</v>
      </c>
      <c r="R1216" t="s">
        <v>36</v>
      </c>
      <c r="S1216" t="s">
        <v>36</v>
      </c>
      <c r="T1216" t="s">
        <v>36</v>
      </c>
      <c r="U1216">
        <v>0</v>
      </c>
      <c r="V1216">
        <v>0</v>
      </c>
      <c r="W1216">
        <v>1</v>
      </c>
      <c r="X1216">
        <v>1</v>
      </c>
      <c r="Y1216">
        <v>0</v>
      </c>
      <c r="Z1216">
        <v>1</v>
      </c>
      <c r="AA1216">
        <v>1</v>
      </c>
      <c r="AB1216">
        <v>0</v>
      </c>
      <c r="AC1216">
        <v>0</v>
      </c>
      <c r="AD1216">
        <v>0</v>
      </c>
      <c r="AE1216">
        <v>0</v>
      </c>
      <c r="AF1216">
        <v>0</v>
      </c>
      <c r="AG1216">
        <v>0</v>
      </c>
    </row>
    <row r="1217" spans="1:33" hidden="1" x14ac:dyDescent="0.2">
      <c r="A1217">
        <v>1216</v>
      </c>
      <c r="B1217" t="s">
        <v>396</v>
      </c>
      <c r="C1217" t="s">
        <v>397</v>
      </c>
      <c r="D1217">
        <v>34</v>
      </c>
      <c r="E1217" t="s">
        <v>114</v>
      </c>
      <c r="F1217" t="s">
        <v>41</v>
      </c>
      <c r="G1217" t="s">
        <v>61</v>
      </c>
      <c r="H1217">
        <v>30921</v>
      </c>
      <c r="I1217">
        <v>1</v>
      </c>
      <c r="J1217">
        <v>0</v>
      </c>
      <c r="K1217">
        <v>0</v>
      </c>
      <c r="L1217">
        <v>0</v>
      </c>
      <c r="M1217" t="s">
        <v>125</v>
      </c>
      <c r="N1217" t="s">
        <v>64</v>
      </c>
      <c r="O1217" t="s">
        <v>62</v>
      </c>
      <c r="P1217" t="s">
        <v>37</v>
      </c>
      <c r="Q1217" t="s">
        <v>60</v>
      </c>
      <c r="R1217" t="s">
        <v>48</v>
      </c>
      <c r="S1217" t="s">
        <v>65</v>
      </c>
      <c r="T1217">
        <v>1</v>
      </c>
      <c r="U1217">
        <v>1</v>
      </c>
      <c r="V1217">
        <v>1</v>
      </c>
      <c r="W1217">
        <v>0</v>
      </c>
      <c r="X1217">
        <v>0</v>
      </c>
      <c r="Y1217">
        <v>0</v>
      </c>
      <c r="Z1217">
        <v>1</v>
      </c>
      <c r="AA1217">
        <v>1</v>
      </c>
      <c r="AB1217">
        <v>0</v>
      </c>
      <c r="AC1217">
        <v>0</v>
      </c>
      <c r="AD1217">
        <v>0</v>
      </c>
      <c r="AE1217">
        <v>0</v>
      </c>
      <c r="AF1217">
        <v>0</v>
      </c>
      <c r="AG1217">
        <v>0</v>
      </c>
    </row>
    <row r="1218" spans="1:33" hidden="1" x14ac:dyDescent="0.2">
      <c r="A1218">
        <v>1217</v>
      </c>
      <c r="B1218" t="s">
        <v>396</v>
      </c>
      <c r="C1218" t="s">
        <v>397</v>
      </c>
      <c r="D1218">
        <v>34</v>
      </c>
      <c r="E1218" t="s">
        <v>114</v>
      </c>
      <c r="F1218" t="s">
        <v>53</v>
      </c>
      <c r="G1218" t="s">
        <v>54</v>
      </c>
      <c r="H1218">
        <v>101157</v>
      </c>
      <c r="I1218">
        <v>0</v>
      </c>
      <c r="J1218">
        <v>0</v>
      </c>
      <c r="K1218">
        <v>1</v>
      </c>
      <c r="L1218">
        <v>0</v>
      </c>
      <c r="M1218" t="s">
        <v>36</v>
      </c>
      <c r="N1218" t="s">
        <v>36</v>
      </c>
      <c r="O1218" t="s">
        <v>36</v>
      </c>
      <c r="P1218" t="s">
        <v>37</v>
      </c>
      <c r="Q1218" t="s">
        <v>36</v>
      </c>
      <c r="R1218" t="s">
        <v>36</v>
      </c>
      <c r="S1218" t="s">
        <v>36</v>
      </c>
      <c r="T1218" t="s">
        <v>36</v>
      </c>
      <c r="U1218">
        <v>1</v>
      </c>
      <c r="V1218">
        <v>1</v>
      </c>
      <c r="W1218">
        <v>0</v>
      </c>
      <c r="X1218">
        <v>0</v>
      </c>
      <c r="Y1218">
        <v>0</v>
      </c>
      <c r="Z1218">
        <v>1</v>
      </c>
      <c r="AA1218">
        <v>1</v>
      </c>
      <c r="AB1218">
        <v>0</v>
      </c>
      <c r="AC1218">
        <v>0</v>
      </c>
      <c r="AD1218">
        <v>0</v>
      </c>
      <c r="AE1218">
        <v>0</v>
      </c>
      <c r="AF1218">
        <v>0</v>
      </c>
      <c r="AG1218">
        <v>0</v>
      </c>
    </row>
    <row r="1219" spans="1:33" hidden="1" x14ac:dyDescent="0.2">
      <c r="A1219">
        <v>1218</v>
      </c>
      <c r="B1219" t="s">
        <v>396</v>
      </c>
      <c r="C1219" t="s">
        <v>397</v>
      </c>
      <c r="D1219">
        <v>34</v>
      </c>
      <c r="E1219" t="s">
        <v>114</v>
      </c>
      <c r="F1219" t="s">
        <v>77</v>
      </c>
      <c r="G1219" t="s">
        <v>36</v>
      </c>
      <c r="H1219">
        <v>93743</v>
      </c>
      <c r="I1219" t="s">
        <v>398</v>
      </c>
      <c r="J1219" t="s">
        <v>166</v>
      </c>
      <c r="K1219" t="s">
        <v>166</v>
      </c>
      <c r="L1219" t="s">
        <v>36</v>
      </c>
      <c r="M1219" t="s">
        <v>36</v>
      </c>
      <c r="N1219" t="s">
        <v>36</v>
      </c>
      <c r="O1219" t="s">
        <v>36</v>
      </c>
      <c r="P1219" t="s">
        <v>37</v>
      </c>
      <c r="Q1219" t="s">
        <v>36</v>
      </c>
      <c r="R1219" t="s">
        <v>36</v>
      </c>
      <c r="S1219" t="s">
        <v>36</v>
      </c>
      <c r="T1219" t="s">
        <v>36</v>
      </c>
      <c r="U1219" t="s">
        <v>36</v>
      </c>
      <c r="V1219" t="s">
        <v>36</v>
      </c>
      <c r="W1219" t="s">
        <v>36</v>
      </c>
      <c r="X1219" t="s">
        <v>36</v>
      </c>
      <c r="Y1219" t="s">
        <v>36</v>
      </c>
      <c r="Z1219" t="s">
        <v>36</v>
      </c>
      <c r="AA1219" t="s">
        <v>36</v>
      </c>
      <c r="AB1219" t="s">
        <v>36</v>
      </c>
      <c r="AC1219" t="s">
        <v>36</v>
      </c>
      <c r="AD1219" t="s">
        <v>36</v>
      </c>
      <c r="AE1219" t="s">
        <v>36</v>
      </c>
      <c r="AF1219" t="s">
        <v>36</v>
      </c>
      <c r="AG1219" t="s">
        <v>36</v>
      </c>
    </row>
    <row r="1220" spans="1:33" hidden="1" x14ac:dyDescent="0.2">
      <c r="A1220">
        <v>1219</v>
      </c>
      <c r="B1220" t="s">
        <v>399</v>
      </c>
      <c r="C1220" t="s">
        <v>108</v>
      </c>
      <c r="D1220">
        <v>20</v>
      </c>
      <c r="E1220" t="s">
        <v>34</v>
      </c>
      <c r="F1220" t="s">
        <v>35</v>
      </c>
      <c r="G1220" t="s">
        <v>36</v>
      </c>
      <c r="H1220">
        <v>26785</v>
      </c>
      <c r="I1220" t="s">
        <v>36</v>
      </c>
      <c r="J1220" t="s">
        <v>36</v>
      </c>
      <c r="K1220" t="s">
        <v>36</v>
      </c>
      <c r="L1220" t="s">
        <v>36</v>
      </c>
      <c r="M1220" t="s">
        <v>36</v>
      </c>
      <c r="N1220" t="s">
        <v>36</v>
      </c>
      <c r="O1220" t="s">
        <v>36</v>
      </c>
      <c r="P1220" t="s">
        <v>37</v>
      </c>
      <c r="Q1220" t="s">
        <v>36</v>
      </c>
      <c r="R1220" t="s">
        <v>36</v>
      </c>
      <c r="S1220" t="s">
        <v>36</v>
      </c>
      <c r="T1220" t="s">
        <v>36</v>
      </c>
      <c r="U1220" t="s">
        <v>36</v>
      </c>
      <c r="V1220" t="s">
        <v>36</v>
      </c>
      <c r="W1220" t="s">
        <v>36</v>
      </c>
      <c r="X1220" t="s">
        <v>36</v>
      </c>
      <c r="Y1220" t="s">
        <v>36</v>
      </c>
      <c r="Z1220" t="s">
        <v>36</v>
      </c>
      <c r="AA1220" t="s">
        <v>36</v>
      </c>
      <c r="AB1220" t="s">
        <v>36</v>
      </c>
      <c r="AC1220" t="s">
        <v>36</v>
      </c>
      <c r="AD1220" t="s">
        <v>36</v>
      </c>
      <c r="AE1220" t="s">
        <v>36</v>
      </c>
      <c r="AF1220" t="s">
        <v>36</v>
      </c>
      <c r="AG1220" t="s">
        <v>36</v>
      </c>
    </row>
    <row r="1221" spans="1:33" hidden="1" x14ac:dyDescent="0.2">
      <c r="A1221">
        <v>1220</v>
      </c>
      <c r="B1221" t="s">
        <v>399</v>
      </c>
      <c r="C1221" t="s">
        <v>108</v>
      </c>
      <c r="D1221">
        <v>20</v>
      </c>
      <c r="E1221" t="s">
        <v>34</v>
      </c>
      <c r="F1221" t="s">
        <v>38</v>
      </c>
      <c r="G1221" t="s">
        <v>40</v>
      </c>
      <c r="H1221">
        <v>37877</v>
      </c>
      <c r="I1221">
        <v>0</v>
      </c>
      <c r="J1221">
        <v>1</v>
      </c>
      <c r="K1221">
        <v>1</v>
      </c>
      <c r="L1221">
        <v>0</v>
      </c>
      <c r="M1221" t="s">
        <v>36</v>
      </c>
      <c r="N1221" t="s">
        <v>36</v>
      </c>
      <c r="O1221" t="s">
        <v>36</v>
      </c>
      <c r="P1221" t="s">
        <v>37</v>
      </c>
      <c r="Q1221" t="s">
        <v>36</v>
      </c>
      <c r="R1221" t="s">
        <v>36</v>
      </c>
      <c r="S1221" t="s">
        <v>36</v>
      </c>
      <c r="T1221" t="s">
        <v>36</v>
      </c>
      <c r="U1221" t="s">
        <v>36</v>
      </c>
      <c r="V1221" t="s">
        <v>36</v>
      </c>
      <c r="W1221" t="s">
        <v>36</v>
      </c>
      <c r="X1221" t="s">
        <v>36</v>
      </c>
      <c r="Y1221" t="s">
        <v>36</v>
      </c>
      <c r="Z1221" t="s">
        <v>36</v>
      </c>
      <c r="AA1221" t="s">
        <v>36</v>
      </c>
      <c r="AB1221" t="s">
        <v>36</v>
      </c>
      <c r="AC1221" t="s">
        <v>36</v>
      </c>
      <c r="AD1221" t="s">
        <v>36</v>
      </c>
      <c r="AE1221" t="s">
        <v>36</v>
      </c>
      <c r="AF1221" t="s">
        <v>36</v>
      </c>
      <c r="AG1221" t="s">
        <v>36</v>
      </c>
    </row>
    <row r="1222" spans="1:33" hidden="1" x14ac:dyDescent="0.2">
      <c r="A1222">
        <v>1221</v>
      </c>
      <c r="B1222" t="s">
        <v>399</v>
      </c>
      <c r="C1222" t="s">
        <v>108</v>
      </c>
      <c r="D1222">
        <v>20</v>
      </c>
      <c r="E1222" t="s">
        <v>34</v>
      </c>
      <c r="F1222" t="s">
        <v>38</v>
      </c>
      <c r="G1222" t="s">
        <v>39</v>
      </c>
      <c r="H1222">
        <v>33291</v>
      </c>
      <c r="I1222">
        <v>0</v>
      </c>
      <c r="J1222">
        <v>0</v>
      </c>
      <c r="K1222">
        <v>0</v>
      </c>
      <c r="L1222">
        <v>1</v>
      </c>
      <c r="M1222" t="s">
        <v>36</v>
      </c>
      <c r="N1222" t="s">
        <v>36</v>
      </c>
      <c r="O1222" t="s">
        <v>36</v>
      </c>
      <c r="P1222" t="s">
        <v>37</v>
      </c>
      <c r="Q1222" t="s">
        <v>36</v>
      </c>
      <c r="R1222" t="s">
        <v>36</v>
      </c>
      <c r="S1222" t="s">
        <v>36</v>
      </c>
      <c r="T1222" t="s">
        <v>36</v>
      </c>
      <c r="U1222" t="s">
        <v>36</v>
      </c>
      <c r="V1222" t="s">
        <v>36</v>
      </c>
      <c r="W1222" t="s">
        <v>36</v>
      </c>
      <c r="X1222" t="s">
        <v>36</v>
      </c>
      <c r="Y1222" t="s">
        <v>36</v>
      </c>
      <c r="Z1222" t="s">
        <v>36</v>
      </c>
      <c r="AA1222" t="s">
        <v>36</v>
      </c>
      <c r="AB1222" t="s">
        <v>36</v>
      </c>
      <c r="AC1222" t="s">
        <v>36</v>
      </c>
      <c r="AD1222" t="s">
        <v>36</v>
      </c>
      <c r="AE1222" t="s">
        <v>36</v>
      </c>
      <c r="AF1222" t="s">
        <v>36</v>
      </c>
      <c r="AG1222" t="s">
        <v>36</v>
      </c>
    </row>
    <row r="1223" spans="1:33" x14ac:dyDescent="0.2">
      <c r="A1223">
        <v>1222</v>
      </c>
      <c r="B1223" t="s">
        <v>399</v>
      </c>
      <c r="C1223" t="s">
        <v>108</v>
      </c>
      <c r="D1223">
        <v>20</v>
      </c>
      <c r="E1223" t="s">
        <v>34</v>
      </c>
      <c r="F1223" t="s">
        <v>41</v>
      </c>
      <c r="G1223" t="s">
        <v>61</v>
      </c>
      <c r="H1223">
        <v>70635</v>
      </c>
      <c r="I1223">
        <v>1</v>
      </c>
      <c r="J1223">
        <v>1</v>
      </c>
      <c r="K1223">
        <v>1</v>
      </c>
      <c r="L1223">
        <v>0</v>
      </c>
      <c r="M1223" t="s">
        <v>125</v>
      </c>
      <c r="N1223" t="s">
        <v>87</v>
      </c>
      <c r="O1223" t="s">
        <v>63</v>
      </c>
      <c r="P1223" t="s">
        <v>37</v>
      </c>
      <c r="Q1223" t="s">
        <v>60</v>
      </c>
      <c r="R1223" t="s">
        <v>47</v>
      </c>
      <c r="S1223" t="s">
        <v>46</v>
      </c>
      <c r="T1223">
        <v>1</v>
      </c>
      <c r="U1223">
        <v>0</v>
      </c>
      <c r="V1223">
        <v>0</v>
      </c>
      <c r="W1223">
        <v>1</v>
      </c>
      <c r="X1223">
        <v>1</v>
      </c>
      <c r="Y1223">
        <v>0</v>
      </c>
      <c r="Z1223">
        <v>1</v>
      </c>
      <c r="AA1223">
        <v>1</v>
      </c>
      <c r="AB1223">
        <v>0</v>
      </c>
      <c r="AC1223">
        <v>0</v>
      </c>
      <c r="AD1223">
        <v>1</v>
      </c>
      <c r="AE1223">
        <v>1</v>
      </c>
      <c r="AF1223">
        <v>0</v>
      </c>
      <c r="AG1223">
        <v>0</v>
      </c>
    </row>
    <row r="1224" spans="1:33" hidden="1" x14ac:dyDescent="0.2">
      <c r="A1224">
        <v>1223</v>
      </c>
      <c r="B1224" t="s">
        <v>399</v>
      </c>
      <c r="C1224" t="s">
        <v>108</v>
      </c>
      <c r="D1224">
        <v>20</v>
      </c>
      <c r="E1224" t="s">
        <v>34</v>
      </c>
      <c r="F1224" t="s">
        <v>53</v>
      </c>
      <c r="G1224" t="s">
        <v>66</v>
      </c>
      <c r="H1224">
        <v>40699</v>
      </c>
      <c r="I1224">
        <v>1</v>
      </c>
      <c r="J1224">
        <v>1</v>
      </c>
      <c r="K1224">
        <v>0</v>
      </c>
      <c r="L1224">
        <v>0</v>
      </c>
      <c r="M1224" t="s">
        <v>36</v>
      </c>
      <c r="N1224" t="s">
        <v>36</v>
      </c>
      <c r="O1224" t="s">
        <v>36</v>
      </c>
      <c r="P1224" t="s">
        <v>37</v>
      </c>
      <c r="Q1224" t="s">
        <v>36</v>
      </c>
      <c r="R1224" t="s">
        <v>36</v>
      </c>
      <c r="S1224" t="s">
        <v>36</v>
      </c>
      <c r="T1224" t="s">
        <v>36</v>
      </c>
      <c r="U1224">
        <v>0</v>
      </c>
      <c r="V1224">
        <v>0</v>
      </c>
      <c r="W1224">
        <v>1</v>
      </c>
      <c r="X1224">
        <v>1</v>
      </c>
      <c r="Y1224">
        <v>0</v>
      </c>
      <c r="Z1224">
        <v>1</v>
      </c>
      <c r="AA1224">
        <v>1</v>
      </c>
      <c r="AB1224">
        <v>0</v>
      </c>
      <c r="AC1224">
        <v>0</v>
      </c>
      <c r="AD1224">
        <v>1</v>
      </c>
      <c r="AE1224">
        <v>1</v>
      </c>
      <c r="AF1224">
        <v>0</v>
      </c>
      <c r="AG1224">
        <v>0</v>
      </c>
    </row>
    <row r="1225" spans="1:33" x14ac:dyDescent="0.2">
      <c r="A1225">
        <v>1224</v>
      </c>
      <c r="B1225" t="s">
        <v>399</v>
      </c>
      <c r="C1225" t="s">
        <v>108</v>
      </c>
      <c r="D1225">
        <v>20</v>
      </c>
      <c r="E1225" t="s">
        <v>34</v>
      </c>
      <c r="F1225" t="s">
        <v>41</v>
      </c>
      <c r="G1225" t="s">
        <v>72</v>
      </c>
      <c r="H1225">
        <v>82772</v>
      </c>
      <c r="I1225">
        <v>0</v>
      </c>
      <c r="J1225">
        <v>0</v>
      </c>
      <c r="K1225">
        <v>0</v>
      </c>
      <c r="L1225">
        <v>1</v>
      </c>
      <c r="M1225" t="s">
        <v>74</v>
      </c>
      <c r="N1225" t="s">
        <v>115</v>
      </c>
      <c r="O1225" t="s">
        <v>93</v>
      </c>
      <c r="P1225" t="s">
        <v>37</v>
      </c>
      <c r="Q1225" t="s">
        <v>47</v>
      </c>
      <c r="R1225" t="s">
        <v>65</v>
      </c>
      <c r="S1225" t="s">
        <v>59</v>
      </c>
      <c r="T1225">
        <v>0</v>
      </c>
      <c r="U1225">
        <v>1</v>
      </c>
      <c r="V1225">
        <v>0</v>
      </c>
      <c r="W1225">
        <v>1</v>
      </c>
      <c r="X1225">
        <v>0</v>
      </c>
      <c r="Y1225">
        <v>0</v>
      </c>
      <c r="Z1225">
        <v>1</v>
      </c>
      <c r="AA1225">
        <v>0</v>
      </c>
      <c r="AB1225">
        <v>0</v>
      </c>
      <c r="AC1225">
        <v>0</v>
      </c>
      <c r="AD1225">
        <v>0</v>
      </c>
      <c r="AE1225">
        <v>0</v>
      </c>
      <c r="AF1225">
        <v>0</v>
      </c>
      <c r="AG1225">
        <v>1</v>
      </c>
    </row>
    <row r="1226" spans="1:33" x14ac:dyDescent="0.2">
      <c r="A1226">
        <v>1225</v>
      </c>
      <c r="B1226" t="s">
        <v>399</v>
      </c>
      <c r="C1226" t="s">
        <v>108</v>
      </c>
      <c r="D1226">
        <v>20</v>
      </c>
      <c r="E1226" t="s">
        <v>34</v>
      </c>
      <c r="F1226" t="s">
        <v>41</v>
      </c>
      <c r="G1226" t="s">
        <v>42</v>
      </c>
      <c r="H1226">
        <v>20083</v>
      </c>
      <c r="I1226">
        <v>1</v>
      </c>
      <c r="J1226">
        <v>1</v>
      </c>
      <c r="K1226">
        <v>1</v>
      </c>
      <c r="L1226">
        <v>0</v>
      </c>
      <c r="M1226" t="s">
        <v>45</v>
      </c>
      <c r="N1226" t="s">
        <v>102</v>
      </c>
      <c r="O1226" t="s">
        <v>82</v>
      </c>
      <c r="P1226" t="s">
        <v>37</v>
      </c>
      <c r="Q1226" t="s">
        <v>48</v>
      </c>
      <c r="R1226" t="s">
        <v>59</v>
      </c>
      <c r="S1226" t="s">
        <v>65</v>
      </c>
      <c r="T1226">
        <v>0</v>
      </c>
      <c r="U1226">
        <v>1</v>
      </c>
      <c r="V1226">
        <v>1</v>
      </c>
      <c r="W1226">
        <v>0</v>
      </c>
      <c r="X1226">
        <v>0</v>
      </c>
      <c r="Y1226">
        <v>0</v>
      </c>
      <c r="Z1226">
        <v>1</v>
      </c>
      <c r="AA1226">
        <v>0</v>
      </c>
      <c r="AB1226">
        <v>1</v>
      </c>
      <c r="AC1226">
        <v>1</v>
      </c>
      <c r="AD1226">
        <v>0</v>
      </c>
      <c r="AE1226">
        <v>0</v>
      </c>
      <c r="AF1226">
        <v>0</v>
      </c>
      <c r="AG1226">
        <v>0</v>
      </c>
    </row>
    <row r="1227" spans="1:33" hidden="1" x14ac:dyDescent="0.2">
      <c r="A1227">
        <v>1226</v>
      </c>
      <c r="B1227" t="s">
        <v>399</v>
      </c>
      <c r="C1227" t="s">
        <v>108</v>
      </c>
      <c r="D1227">
        <v>20</v>
      </c>
      <c r="E1227" t="s">
        <v>34</v>
      </c>
      <c r="F1227" t="s">
        <v>53</v>
      </c>
      <c r="G1227" t="s">
        <v>54</v>
      </c>
      <c r="H1227">
        <v>29973</v>
      </c>
      <c r="I1227">
        <v>0</v>
      </c>
      <c r="J1227">
        <v>1</v>
      </c>
      <c r="K1227">
        <v>1</v>
      </c>
      <c r="L1227">
        <v>0</v>
      </c>
      <c r="M1227" t="s">
        <v>36</v>
      </c>
      <c r="N1227" t="s">
        <v>36</v>
      </c>
      <c r="O1227" t="s">
        <v>36</v>
      </c>
      <c r="P1227" t="s">
        <v>37</v>
      </c>
      <c r="Q1227" t="s">
        <v>36</v>
      </c>
      <c r="R1227" t="s">
        <v>36</v>
      </c>
      <c r="S1227" t="s">
        <v>36</v>
      </c>
      <c r="T1227" t="s">
        <v>36</v>
      </c>
      <c r="U1227">
        <v>1</v>
      </c>
      <c r="V1227">
        <v>1</v>
      </c>
      <c r="W1227">
        <v>0</v>
      </c>
      <c r="X1227">
        <v>0</v>
      </c>
      <c r="Y1227">
        <v>0</v>
      </c>
      <c r="Z1227">
        <v>1</v>
      </c>
      <c r="AA1227">
        <v>0</v>
      </c>
      <c r="AB1227">
        <v>1</v>
      </c>
      <c r="AC1227">
        <v>1</v>
      </c>
      <c r="AD1227">
        <v>0</v>
      </c>
      <c r="AE1227">
        <v>0</v>
      </c>
      <c r="AF1227">
        <v>0</v>
      </c>
      <c r="AG1227">
        <v>0</v>
      </c>
    </row>
    <row r="1228" spans="1:33" x14ac:dyDescent="0.2">
      <c r="A1228">
        <v>1227</v>
      </c>
      <c r="B1228" t="s">
        <v>399</v>
      </c>
      <c r="C1228" t="s">
        <v>108</v>
      </c>
      <c r="D1228">
        <v>20</v>
      </c>
      <c r="E1228" t="s">
        <v>34</v>
      </c>
      <c r="F1228" t="s">
        <v>41</v>
      </c>
      <c r="G1228" t="s">
        <v>67</v>
      </c>
      <c r="H1228">
        <v>22629</v>
      </c>
      <c r="I1228">
        <v>1</v>
      </c>
      <c r="J1228">
        <v>1</v>
      </c>
      <c r="K1228">
        <v>1</v>
      </c>
      <c r="L1228">
        <v>0</v>
      </c>
      <c r="M1228" t="s">
        <v>70</v>
      </c>
      <c r="N1228" t="s">
        <v>86</v>
      </c>
      <c r="O1228" t="s">
        <v>103</v>
      </c>
      <c r="P1228" t="s">
        <v>37</v>
      </c>
      <c r="Q1228" t="s">
        <v>47</v>
      </c>
      <c r="R1228" t="s">
        <v>46</v>
      </c>
      <c r="S1228" t="s">
        <v>60</v>
      </c>
      <c r="T1228">
        <v>1</v>
      </c>
      <c r="U1228">
        <v>0</v>
      </c>
      <c r="V1228">
        <v>0</v>
      </c>
      <c r="W1228">
        <v>1</v>
      </c>
      <c r="X1228">
        <v>1</v>
      </c>
      <c r="Y1228">
        <v>0</v>
      </c>
      <c r="Z1228">
        <v>1</v>
      </c>
      <c r="AA1228">
        <v>1</v>
      </c>
      <c r="AB1228">
        <v>0</v>
      </c>
      <c r="AC1228">
        <v>0</v>
      </c>
      <c r="AD1228">
        <v>1</v>
      </c>
      <c r="AE1228">
        <v>1</v>
      </c>
      <c r="AF1228">
        <v>0</v>
      </c>
      <c r="AG1228">
        <v>0</v>
      </c>
    </row>
    <row r="1229" spans="1:33" hidden="1" x14ac:dyDescent="0.2">
      <c r="A1229">
        <v>1228</v>
      </c>
      <c r="B1229" t="s">
        <v>399</v>
      </c>
      <c r="C1229" t="s">
        <v>108</v>
      </c>
      <c r="D1229">
        <v>20</v>
      </c>
      <c r="E1229" t="s">
        <v>34</v>
      </c>
      <c r="F1229" t="s">
        <v>53</v>
      </c>
      <c r="G1229" t="s">
        <v>76</v>
      </c>
      <c r="H1229">
        <v>21902</v>
      </c>
      <c r="I1229">
        <v>1</v>
      </c>
      <c r="J1229">
        <v>1</v>
      </c>
      <c r="K1229">
        <v>0</v>
      </c>
      <c r="L1229">
        <v>0</v>
      </c>
      <c r="M1229" t="s">
        <v>36</v>
      </c>
      <c r="N1229" t="s">
        <v>36</v>
      </c>
      <c r="O1229" t="s">
        <v>36</v>
      </c>
      <c r="P1229" t="s">
        <v>37</v>
      </c>
      <c r="Q1229" t="s">
        <v>36</v>
      </c>
      <c r="R1229" t="s">
        <v>36</v>
      </c>
      <c r="S1229" t="s">
        <v>36</v>
      </c>
      <c r="T1229" t="s">
        <v>36</v>
      </c>
      <c r="U1229">
        <v>0</v>
      </c>
      <c r="V1229">
        <v>0</v>
      </c>
      <c r="W1229">
        <v>1</v>
      </c>
      <c r="X1229">
        <v>1</v>
      </c>
      <c r="Y1229">
        <v>0</v>
      </c>
      <c r="Z1229">
        <v>1</v>
      </c>
      <c r="AA1229">
        <v>1</v>
      </c>
      <c r="AB1229">
        <v>0</v>
      </c>
      <c r="AC1229">
        <v>0</v>
      </c>
      <c r="AD1229">
        <v>1</v>
      </c>
      <c r="AE1229">
        <v>1</v>
      </c>
      <c r="AF1229">
        <v>0</v>
      </c>
      <c r="AG1229">
        <v>0</v>
      </c>
    </row>
    <row r="1230" spans="1:33" x14ac:dyDescent="0.2">
      <c r="A1230">
        <v>1229</v>
      </c>
      <c r="B1230" t="s">
        <v>399</v>
      </c>
      <c r="C1230" t="s">
        <v>108</v>
      </c>
      <c r="D1230">
        <v>20</v>
      </c>
      <c r="E1230" t="s">
        <v>34</v>
      </c>
      <c r="F1230" t="s">
        <v>41</v>
      </c>
      <c r="G1230" t="s">
        <v>55</v>
      </c>
      <c r="H1230">
        <v>29293</v>
      </c>
      <c r="I1230">
        <v>1</v>
      </c>
      <c r="J1230">
        <v>1</v>
      </c>
      <c r="K1230">
        <v>1</v>
      </c>
      <c r="L1230">
        <v>0</v>
      </c>
      <c r="M1230" t="s">
        <v>85</v>
      </c>
      <c r="N1230" t="s">
        <v>57</v>
      </c>
      <c r="O1230" t="s">
        <v>84</v>
      </c>
      <c r="P1230" t="s">
        <v>37</v>
      </c>
      <c r="Q1230" t="s">
        <v>65</v>
      </c>
      <c r="R1230" t="s">
        <v>48</v>
      </c>
      <c r="S1230" t="s">
        <v>46</v>
      </c>
      <c r="T1230">
        <v>0</v>
      </c>
      <c r="U1230">
        <v>1</v>
      </c>
      <c r="V1230">
        <v>1</v>
      </c>
      <c r="W1230">
        <v>0</v>
      </c>
      <c r="X1230">
        <v>1</v>
      </c>
      <c r="Y1230">
        <v>0</v>
      </c>
      <c r="Z1230">
        <v>1</v>
      </c>
      <c r="AA1230">
        <v>0</v>
      </c>
      <c r="AB1230">
        <v>1</v>
      </c>
      <c r="AC1230">
        <v>1</v>
      </c>
      <c r="AD1230">
        <v>0</v>
      </c>
      <c r="AE1230">
        <v>1</v>
      </c>
      <c r="AF1230">
        <v>0</v>
      </c>
      <c r="AG1230">
        <v>0</v>
      </c>
    </row>
    <row r="1231" spans="1:33" x14ac:dyDescent="0.2">
      <c r="A1231">
        <v>1230</v>
      </c>
      <c r="B1231" t="s">
        <v>399</v>
      </c>
      <c r="C1231" t="s">
        <v>108</v>
      </c>
      <c r="D1231">
        <v>20</v>
      </c>
      <c r="E1231" t="s">
        <v>34</v>
      </c>
      <c r="F1231" t="s">
        <v>41</v>
      </c>
      <c r="G1231" t="s">
        <v>49</v>
      </c>
      <c r="H1231">
        <v>31787</v>
      </c>
      <c r="I1231">
        <v>1</v>
      </c>
      <c r="J1231">
        <v>1</v>
      </c>
      <c r="K1231">
        <v>1</v>
      </c>
      <c r="L1231">
        <v>0</v>
      </c>
      <c r="M1231" t="s">
        <v>50</v>
      </c>
      <c r="N1231" t="s">
        <v>52</v>
      </c>
      <c r="O1231" t="s">
        <v>51</v>
      </c>
      <c r="P1231" t="s">
        <v>37</v>
      </c>
      <c r="Q1231" t="s">
        <v>48</v>
      </c>
      <c r="R1231" t="s">
        <v>46</v>
      </c>
      <c r="S1231" t="s">
        <v>47</v>
      </c>
      <c r="T1231">
        <v>0</v>
      </c>
      <c r="U1231">
        <v>0</v>
      </c>
      <c r="V1231">
        <v>1</v>
      </c>
      <c r="W1231">
        <v>1</v>
      </c>
      <c r="X1231">
        <v>1</v>
      </c>
      <c r="Y1231">
        <v>0</v>
      </c>
      <c r="Z1231">
        <v>1</v>
      </c>
      <c r="AA1231">
        <v>0</v>
      </c>
      <c r="AB1231">
        <v>0</v>
      </c>
      <c r="AC1231">
        <v>1</v>
      </c>
      <c r="AD1231">
        <v>1</v>
      </c>
      <c r="AE1231">
        <v>1</v>
      </c>
      <c r="AF1231">
        <v>0</v>
      </c>
      <c r="AG1231">
        <v>0</v>
      </c>
    </row>
    <row r="1232" spans="1:33" hidden="1" x14ac:dyDescent="0.2">
      <c r="A1232">
        <v>1231</v>
      </c>
      <c r="B1232" t="s">
        <v>399</v>
      </c>
      <c r="C1232" t="s">
        <v>108</v>
      </c>
      <c r="D1232">
        <v>20</v>
      </c>
      <c r="E1232" t="s">
        <v>34</v>
      </c>
      <c r="F1232" t="s">
        <v>53</v>
      </c>
      <c r="G1232" t="s">
        <v>71</v>
      </c>
      <c r="H1232">
        <v>41050</v>
      </c>
      <c r="I1232">
        <v>1</v>
      </c>
      <c r="J1232">
        <v>1</v>
      </c>
      <c r="K1232">
        <v>0</v>
      </c>
      <c r="L1232">
        <v>0</v>
      </c>
      <c r="M1232" t="s">
        <v>36</v>
      </c>
      <c r="N1232" t="s">
        <v>36</v>
      </c>
      <c r="O1232" t="s">
        <v>36</v>
      </c>
      <c r="P1232" t="s">
        <v>37</v>
      </c>
      <c r="Q1232" t="s">
        <v>36</v>
      </c>
      <c r="R1232" t="s">
        <v>36</v>
      </c>
      <c r="S1232" t="s">
        <v>36</v>
      </c>
      <c r="T1232" t="s">
        <v>36</v>
      </c>
      <c r="U1232">
        <v>0</v>
      </c>
      <c r="V1232">
        <v>1</v>
      </c>
      <c r="W1232">
        <v>1</v>
      </c>
      <c r="X1232">
        <v>1</v>
      </c>
      <c r="Y1232">
        <v>0</v>
      </c>
      <c r="Z1232">
        <v>1</v>
      </c>
      <c r="AA1232">
        <v>0</v>
      </c>
      <c r="AB1232">
        <v>0</v>
      </c>
      <c r="AC1232">
        <v>1</v>
      </c>
      <c r="AD1232">
        <v>1</v>
      </c>
      <c r="AE1232">
        <v>1</v>
      </c>
      <c r="AF1232">
        <v>0</v>
      </c>
      <c r="AG1232">
        <v>0</v>
      </c>
    </row>
    <row r="1233" spans="1:33" hidden="1" x14ac:dyDescent="0.2">
      <c r="A1233">
        <v>1232</v>
      </c>
      <c r="B1233" t="s">
        <v>399</v>
      </c>
      <c r="C1233" t="s">
        <v>108</v>
      </c>
      <c r="D1233">
        <v>20</v>
      </c>
      <c r="E1233" t="s">
        <v>34</v>
      </c>
      <c r="F1233" t="s">
        <v>77</v>
      </c>
      <c r="G1233" t="s">
        <v>36</v>
      </c>
      <c r="H1233">
        <v>200602</v>
      </c>
      <c r="I1233" t="s">
        <v>400</v>
      </c>
      <c r="J1233" t="s">
        <v>401</v>
      </c>
      <c r="L1233" t="s">
        <v>36</v>
      </c>
      <c r="M1233" t="s">
        <v>36</v>
      </c>
      <c r="N1233" t="s">
        <v>36</v>
      </c>
      <c r="O1233" t="s">
        <v>36</v>
      </c>
      <c r="P1233" t="s">
        <v>37</v>
      </c>
      <c r="Q1233" t="s">
        <v>36</v>
      </c>
      <c r="R1233" t="s">
        <v>36</v>
      </c>
      <c r="S1233" t="s">
        <v>36</v>
      </c>
      <c r="T1233" t="s">
        <v>36</v>
      </c>
      <c r="U1233" t="s">
        <v>36</v>
      </c>
      <c r="V1233" t="s">
        <v>36</v>
      </c>
      <c r="W1233" t="s">
        <v>36</v>
      </c>
      <c r="X1233" t="s">
        <v>36</v>
      </c>
      <c r="Y1233" t="s">
        <v>36</v>
      </c>
      <c r="Z1233" t="s">
        <v>36</v>
      </c>
      <c r="AA1233" t="s">
        <v>36</v>
      </c>
      <c r="AB1233" t="s">
        <v>36</v>
      </c>
      <c r="AC1233" t="s">
        <v>36</v>
      </c>
      <c r="AD1233" t="s">
        <v>36</v>
      </c>
      <c r="AE1233" t="s">
        <v>36</v>
      </c>
      <c r="AF1233" t="s">
        <v>36</v>
      </c>
      <c r="AG1233" t="s">
        <v>36</v>
      </c>
    </row>
    <row r="1234" spans="1:33" hidden="1" x14ac:dyDescent="0.2">
      <c r="A1234">
        <v>1233</v>
      </c>
      <c r="B1234" t="s">
        <v>402</v>
      </c>
      <c r="C1234" t="s">
        <v>108</v>
      </c>
      <c r="D1234">
        <v>43</v>
      </c>
      <c r="E1234" t="s">
        <v>34</v>
      </c>
      <c r="F1234" t="s">
        <v>35</v>
      </c>
      <c r="G1234" t="s">
        <v>36</v>
      </c>
      <c r="H1234">
        <v>93590</v>
      </c>
      <c r="I1234" t="s">
        <v>36</v>
      </c>
      <c r="J1234" t="s">
        <v>36</v>
      </c>
      <c r="K1234" t="s">
        <v>36</v>
      </c>
      <c r="L1234" t="s">
        <v>36</v>
      </c>
      <c r="M1234" t="s">
        <v>36</v>
      </c>
      <c r="N1234" t="s">
        <v>36</v>
      </c>
      <c r="O1234" t="s">
        <v>36</v>
      </c>
      <c r="P1234" t="s">
        <v>37</v>
      </c>
      <c r="Q1234" t="s">
        <v>36</v>
      </c>
      <c r="R1234" t="s">
        <v>36</v>
      </c>
      <c r="S1234" t="s">
        <v>36</v>
      </c>
      <c r="T1234" t="s">
        <v>36</v>
      </c>
      <c r="U1234" t="s">
        <v>36</v>
      </c>
      <c r="V1234" t="s">
        <v>36</v>
      </c>
      <c r="W1234" t="s">
        <v>36</v>
      </c>
      <c r="X1234" t="s">
        <v>36</v>
      </c>
      <c r="Y1234" t="s">
        <v>36</v>
      </c>
      <c r="Z1234" t="s">
        <v>36</v>
      </c>
      <c r="AA1234" t="s">
        <v>36</v>
      </c>
      <c r="AB1234" t="s">
        <v>36</v>
      </c>
      <c r="AC1234" t="s">
        <v>36</v>
      </c>
      <c r="AD1234" t="s">
        <v>36</v>
      </c>
      <c r="AE1234" t="s">
        <v>36</v>
      </c>
      <c r="AF1234" t="s">
        <v>36</v>
      </c>
      <c r="AG1234" t="s">
        <v>36</v>
      </c>
    </row>
    <row r="1235" spans="1:33" hidden="1" x14ac:dyDescent="0.2">
      <c r="A1235">
        <v>1234</v>
      </c>
      <c r="B1235" t="s">
        <v>402</v>
      </c>
      <c r="C1235" t="s">
        <v>108</v>
      </c>
      <c r="D1235">
        <v>43</v>
      </c>
      <c r="E1235" t="s">
        <v>34</v>
      </c>
      <c r="F1235" t="s">
        <v>38</v>
      </c>
      <c r="G1235" t="s">
        <v>40</v>
      </c>
      <c r="H1235">
        <v>17867</v>
      </c>
      <c r="I1235">
        <v>0</v>
      </c>
      <c r="J1235">
        <v>0</v>
      </c>
      <c r="K1235">
        <v>1</v>
      </c>
      <c r="L1235">
        <v>0</v>
      </c>
      <c r="M1235" t="s">
        <v>36</v>
      </c>
      <c r="N1235" t="s">
        <v>36</v>
      </c>
      <c r="O1235" t="s">
        <v>36</v>
      </c>
      <c r="P1235" t="s">
        <v>37</v>
      </c>
      <c r="Q1235" t="s">
        <v>36</v>
      </c>
      <c r="R1235" t="s">
        <v>36</v>
      </c>
      <c r="S1235" t="s">
        <v>36</v>
      </c>
      <c r="T1235" t="s">
        <v>36</v>
      </c>
      <c r="U1235" t="s">
        <v>36</v>
      </c>
      <c r="V1235" t="s">
        <v>36</v>
      </c>
      <c r="W1235" t="s">
        <v>36</v>
      </c>
      <c r="X1235" t="s">
        <v>36</v>
      </c>
      <c r="Y1235" t="s">
        <v>36</v>
      </c>
      <c r="Z1235" t="s">
        <v>36</v>
      </c>
      <c r="AA1235" t="s">
        <v>36</v>
      </c>
      <c r="AB1235" t="s">
        <v>36</v>
      </c>
      <c r="AC1235" t="s">
        <v>36</v>
      </c>
      <c r="AD1235" t="s">
        <v>36</v>
      </c>
      <c r="AE1235" t="s">
        <v>36</v>
      </c>
      <c r="AF1235" t="s">
        <v>36</v>
      </c>
      <c r="AG1235" t="s">
        <v>36</v>
      </c>
    </row>
    <row r="1236" spans="1:33" hidden="1" x14ac:dyDescent="0.2">
      <c r="A1236">
        <v>1235</v>
      </c>
      <c r="B1236" t="s">
        <v>402</v>
      </c>
      <c r="C1236" t="s">
        <v>108</v>
      </c>
      <c r="D1236">
        <v>43</v>
      </c>
      <c r="E1236" t="s">
        <v>34</v>
      </c>
      <c r="F1236" t="s">
        <v>38</v>
      </c>
      <c r="G1236" t="s">
        <v>39</v>
      </c>
      <c r="H1236">
        <v>14013</v>
      </c>
      <c r="I1236">
        <v>0</v>
      </c>
      <c r="J1236">
        <v>0</v>
      </c>
      <c r="K1236">
        <v>0</v>
      </c>
      <c r="L1236">
        <v>1</v>
      </c>
      <c r="M1236" t="s">
        <v>36</v>
      </c>
      <c r="N1236" t="s">
        <v>36</v>
      </c>
      <c r="O1236" t="s">
        <v>36</v>
      </c>
      <c r="P1236" t="s">
        <v>37</v>
      </c>
      <c r="Q1236" t="s">
        <v>36</v>
      </c>
      <c r="R1236" t="s">
        <v>36</v>
      </c>
      <c r="S1236" t="s">
        <v>36</v>
      </c>
      <c r="T1236" t="s">
        <v>36</v>
      </c>
      <c r="U1236" t="s">
        <v>36</v>
      </c>
      <c r="V1236" t="s">
        <v>36</v>
      </c>
      <c r="W1236" t="s">
        <v>36</v>
      </c>
      <c r="X1236" t="s">
        <v>36</v>
      </c>
      <c r="Y1236" t="s">
        <v>36</v>
      </c>
      <c r="Z1236" t="s">
        <v>36</v>
      </c>
      <c r="AA1236" t="s">
        <v>36</v>
      </c>
      <c r="AB1236" t="s">
        <v>36</v>
      </c>
      <c r="AC1236" t="s">
        <v>36</v>
      </c>
      <c r="AD1236" t="s">
        <v>36</v>
      </c>
      <c r="AE1236" t="s">
        <v>36</v>
      </c>
      <c r="AF1236" t="s">
        <v>36</v>
      </c>
      <c r="AG1236" t="s">
        <v>36</v>
      </c>
    </row>
    <row r="1237" spans="1:33" x14ac:dyDescent="0.2">
      <c r="A1237">
        <v>1236</v>
      </c>
      <c r="B1237" t="s">
        <v>402</v>
      </c>
      <c r="C1237" t="s">
        <v>108</v>
      </c>
      <c r="D1237">
        <v>43</v>
      </c>
      <c r="E1237" t="s">
        <v>34</v>
      </c>
      <c r="F1237" t="s">
        <v>41</v>
      </c>
      <c r="G1237" t="s">
        <v>55</v>
      </c>
      <c r="H1237">
        <v>17648</v>
      </c>
      <c r="I1237">
        <v>1</v>
      </c>
      <c r="J1237">
        <v>1</v>
      </c>
      <c r="K1237">
        <v>1</v>
      </c>
      <c r="L1237">
        <v>0</v>
      </c>
      <c r="M1237" t="s">
        <v>85</v>
      </c>
      <c r="N1237" t="s">
        <v>57</v>
      </c>
      <c r="O1237" t="s">
        <v>84</v>
      </c>
      <c r="P1237" t="s">
        <v>37</v>
      </c>
      <c r="Q1237" t="s">
        <v>65</v>
      </c>
      <c r="R1237" t="s">
        <v>48</v>
      </c>
      <c r="S1237" t="s">
        <v>46</v>
      </c>
      <c r="T1237">
        <v>0</v>
      </c>
      <c r="U1237">
        <v>1</v>
      </c>
      <c r="V1237">
        <v>1</v>
      </c>
      <c r="W1237">
        <v>0</v>
      </c>
      <c r="X1237">
        <v>1</v>
      </c>
      <c r="Y1237">
        <v>0</v>
      </c>
      <c r="Z1237">
        <v>1</v>
      </c>
      <c r="AA1237">
        <v>0</v>
      </c>
      <c r="AB1237">
        <v>1</v>
      </c>
      <c r="AC1237">
        <v>1</v>
      </c>
      <c r="AD1237">
        <v>0</v>
      </c>
      <c r="AE1237">
        <v>1</v>
      </c>
      <c r="AF1237">
        <v>0</v>
      </c>
      <c r="AG1237">
        <v>0</v>
      </c>
    </row>
    <row r="1238" spans="1:33" hidden="1" x14ac:dyDescent="0.2">
      <c r="A1238">
        <v>1237</v>
      </c>
      <c r="B1238" t="s">
        <v>402</v>
      </c>
      <c r="C1238" t="s">
        <v>108</v>
      </c>
      <c r="D1238">
        <v>43</v>
      </c>
      <c r="E1238" t="s">
        <v>34</v>
      </c>
      <c r="F1238" t="s">
        <v>53</v>
      </c>
      <c r="G1238" t="s">
        <v>66</v>
      </c>
      <c r="H1238">
        <v>17876</v>
      </c>
      <c r="I1238">
        <v>1</v>
      </c>
      <c r="J1238">
        <v>0</v>
      </c>
      <c r="K1238">
        <v>0</v>
      </c>
      <c r="L1238">
        <v>0</v>
      </c>
      <c r="M1238" t="s">
        <v>36</v>
      </c>
      <c r="N1238" t="s">
        <v>36</v>
      </c>
      <c r="O1238" t="s">
        <v>36</v>
      </c>
      <c r="P1238" t="s">
        <v>37</v>
      </c>
      <c r="Q1238" t="s">
        <v>36</v>
      </c>
      <c r="R1238" t="s">
        <v>36</v>
      </c>
      <c r="S1238" t="s">
        <v>36</v>
      </c>
      <c r="T1238" t="s">
        <v>36</v>
      </c>
      <c r="U1238">
        <v>1</v>
      </c>
      <c r="V1238">
        <v>1</v>
      </c>
      <c r="W1238">
        <v>0</v>
      </c>
      <c r="X1238">
        <v>1</v>
      </c>
      <c r="Y1238">
        <v>0</v>
      </c>
      <c r="Z1238">
        <v>1</v>
      </c>
      <c r="AA1238">
        <v>0</v>
      </c>
      <c r="AB1238">
        <v>1</v>
      </c>
      <c r="AC1238">
        <v>1</v>
      </c>
      <c r="AD1238">
        <v>0</v>
      </c>
      <c r="AE1238">
        <v>1</v>
      </c>
      <c r="AF1238">
        <v>0</v>
      </c>
      <c r="AG1238">
        <v>0</v>
      </c>
    </row>
    <row r="1239" spans="1:33" x14ac:dyDescent="0.2">
      <c r="A1239">
        <v>1238</v>
      </c>
      <c r="B1239" t="s">
        <v>402</v>
      </c>
      <c r="C1239" t="s">
        <v>108</v>
      </c>
      <c r="D1239">
        <v>43</v>
      </c>
      <c r="E1239" t="s">
        <v>34</v>
      </c>
      <c r="F1239" t="s">
        <v>41</v>
      </c>
      <c r="G1239" t="s">
        <v>72</v>
      </c>
      <c r="H1239">
        <v>22692</v>
      </c>
      <c r="I1239">
        <v>1</v>
      </c>
      <c r="J1239">
        <v>1</v>
      </c>
      <c r="K1239">
        <v>1</v>
      </c>
      <c r="L1239">
        <v>0</v>
      </c>
      <c r="M1239" t="s">
        <v>75</v>
      </c>
      <c r="N1239" t="s">
        <v>115</v>
      </c>
      <c r="O1239" t="s">
        <v>93</v>
      </c>
      <c r="P1239" t="s">
        <v>37</v>
      </c>
      <c r="Q1239" t="s">
        <v>46</v>
      </c>
      <c r="R1239" t="s">
        <v>65</v>
      </c>
      <c r="S1239" t="s">
        <v>59</v>
      </c>
      <c r="T1239">
        <v>0</v>
      </c>
      <c r="U1239">
        <v>1</v>
      </c>
      <c r="V1239">
        <v>0</v>
      </c>
      <c r="W1239">
        <v>0</v>
      </c>
      <c r="X1239">
        <v>1</v>
      </c>
      <c r="Y1239">
        <v>0</v>
      </c>
      <c r="Z1239">
        <v>1</v>
      </c>
      <c r="AA1239">
        <v>0</v>
      </c>
      <c r="AB1239">
        <v>1</v>
      </c>
      <c r="AC1239">
        <v>0</v>
      </c>
      <c r="AD1239">
        <v>0</v>
      </c>
      <c r="AE1239">
        <v>1</v>
      </c>
      <c r="AF1239">
        <v>0</v>
      </c>
      <c r="AG1239">
        <v>0</v>
      </c>
    </row>
    <row r="1240" spans="1:33" x14ac:dyDescent="0.2">
      <c r="A1240">
        <v>1239</v>
      </c>
      <c r="B1240" t="s">
        <v>402</v>
      </c>
      <c r="C1240" t="s">
        <v>108</v>
      </c>
      <c r="D1240">
        <v>43</v>
      </c>
      <c r="E1240" t="s">
        <v>34</v>
      </c>
      <c r="F1240" t="s">
        <v>41</v>
      </c>
      <c r="G1240" t="s">
        <v>49</v>
      </c>
      <c r="H1240">
        <v>9861</v>
      </c>
      <c r="I1240">
        <v>1</v>
      </c>
      <c r="J1240">
        <v>1</v>
      </c>
      <c r="K1240">
        <v>1</v>
      </c>
      <c r="L1240">
        <v>0</v>
      </c>
      <c r="M1240" t="s">
        <v>52</v>
      </c>
      <c r="N1240" t="s">
        <v>51</v>
      </c>
      <c r="O1240" t="s">
        <v>50</v>
      </c>
      <c r="P1240" t="s">
        <v>37</v>
      </c>
      <c r="Q1240" t="s">
        <v>46</v>
      </c>
      <c r="R1240" t="s">
        <v>47</v>
      </c>
      <c r="S1240" t="s">
        <v>48</v>
      </c>
      <c r="T1240">
        <v>0</v>
      </c>
      <c r="U1240">
        <v>0</v>
      </c>
      <c r="V1240">
        <v>1</v>
      </c>
      <c r="W1240">
        <v>1</v>
      </c>
      <c r="X1240">
        <v>1</v>
      </c>
      <c r="Y1240">
        <v>0</v>
      </c>
      <c r="Z1240">
        <v>1</v>
      </c>
      <c r="AA1240">
        <v>0</v>
      </c>
      <c r="AB1240">
        <v>0</v>
      </c>
      <c r="AC1240">
        <v>1</v>
      </c>
      <c r="AD1240">
        <v>1</v>
      </c>
      <c r="AE1240">
        <v>1</v>
      </c>
      <c r="AF1240">
        <v>0</v>
      </c>
      <c r="AG1240">
        <v>0</v>
      </c>
    </row>
    <row r="1241" spans="1:33" hidden="1" x14ac:dyDescent="0.2">
      <c r="A1241">
        <v>1240</v>
      </c>
      <c r="B1241" t="s">
        <v>402</v>
      </c>
      <c r="C1241" t="s">
        <v>108</v>
      </c>
      <c r="D1241">
        <v>43</v>
      </c>
      <c r="E1241" t="s">
        <v>34</v>
      </c>
      <c r="F1241" t="s">
        <v>53</v>
      </c>
      <c r="G1241" t="s">
        <v>76</v>
      </c>
      <c r="H1241">
        <v>54448</v>
      </c>
      <c r="I1241">
        <v>1</v>
      </c>
      <c r="J1241">
        <v>0</v>
      </c>
      <c r="K1241">
        <v>0</v>
      </c>
      <c r="L1241">
        <v>0</v>
      </c>
      <c r="M1241" t="s">
        <v>36</v>
      </c>
      <c r="N1241" t="s">
        <v>36</v>
      </c>
      <c r="O1241" t="s">
        <v>36</v>
      </c>
      <c r="P1241" t="s">
        <v>37</v>
      </c>
      <c r="Q1241" t="s">
        <v>36</v>
      </c>
      <c r="R1241" t="s">
        <v>36</v>
      </c>
      <c r="S1241" t="s">
        <v>36</v>
      </c>
      <c r="T1241" t="s">
        <v>36</v>
      </c>
      <c r="U1241">
        <v>0</v>
      </c>
      <c r="V1241">
        <v>1</v>
      </c>
      <c r="W1241">
        <v>1</v>
      </c>
      <c r="X1241">
        <v>1</v>
      </c>
      <c r="Y1241">
        <v>0</v>
      </c>
      <c r="Z1241">
        <v>1</v>
      </c>
      <c r="AA1241">
        <v>0</v>
      </c>
      <c r="AB1241">
        <v>0</v>
      </c>
      <c r="AC1241">
        <v>1</v>
      </c>
      <c r="AD1241">
        <v>1</v>
      </c>
      <c r="AE1241">
        <v>1</v>
      </c>
      <c r="AF1241">
        <v>0</v>
      </c>
      <c r="AG1241">
        <v>0</v>
      </c>
    </row>
    <row r="1242" spans="1:33" x14ac:dyDescent="0.2">
      <c r="A1242">
        <v>1241</v>
      </c>
      <c r="B1242" t="s">
        <v>402</v>
      </c>
      <c r="C1242" t="s">
        <v>108</v>
      </c>
      <c r="D1242">
        <v>43</v>
      </c>
      <c r="E1242" t="s">
        <v>34</v>
      </c>
      <c r="F1242" t="s">
        <v>41</v>
      </c>
      <c r="G1242" t="s">
        <v>61</v>
      </c>
      <c r="H1242">
        <v>131434</v>
      </c>
      <c r="I1242">
        <v>1</v>
      </c>
      <c r="J1242">
        <v>1</v>
      </c>
      <c r="K1242">
        <v>1</v>
      </c>
      <c r="L1242">
        <v>0</v>
      </c>
      <c r="M1242" t="s">
        <v>63</v>
      </c>
      <c r="N1242" t="s">
        <v>125</v>
      </c>
      <c r="O1242" t="s">
        <v>64</v>
      </c>
      <c r="P1242" t="s">
        <v>37</v>
      </c>
      <c r="Q1242" t="s">
        <v>46</v>
      </c>
      <c r="R1242" t="s">
        <v>60</v>
      </c>
      <c r="S1242" t="s">
        <v>48</v>
      </c>
      <c r="T1242">
        <v>1</v>
      </c>
      <c r="U1242">
        <v>0</v>
      </c>
      <c r="V1242">
        <v>1</v>
      </c>
      <c r="W1242">
        <v>0</v>
      </c>
      <c r="X1242">
        <v>1</v>
      </c>
      <c r="Y1242">
        <v>0</v>
      </c>
      <c r="Z1242">
        <v>1</v>
      </c>
      <c r="AA1242">
        <v>1</v>
      </c>
      <c r="AB1242">
        <v>0</v>
      </c>
      <c r="AC1242">
        <v>1</v>
      </c>
      <c r="AD1242">
        <v>0</v>
      </c>
      <c r="AE1242">
        <v>1</v>
      </c>
      <c r="AF1242">
        <v>0</v>
      </c>
      <c r="AG1242">
        <v>0</v>
      </c>
    </row>
    <row r="1243" spans="1:33" hidden="1" x14ac:dyDescent="0.2">
      <c r="A1243">
        <v>1242</v>
      </c>
      <c r="B1243" t="s">
        <v>402</v>
      </c>
      <c r="C1243" t="s">
        <v>108</v>
      </c>
      <c r="D1243">
        <v>43</v>
      </c>
      <c r="E1243" t="s">
        <v>34</v>
      </c>
      <c r="F1243" t="s">
        <v>53</v>
      </c>
      <c r="G1243" t="s">
        <v>71</v>
      </c>
      <c r="H1243">
        <v>35441</v>
      </c>
      <c r="I1243">
        <v>0</v>
      </c>
      <c r="J1243">
        <v>0</v>
      </c>
      <c r="K1243">
        <v>1</v>
      </c>
      <c r="L1243">
        <v>0</v>
      </c>
      <c r="M1243" t="s">
        <v>36</v>
      </c>
      <c r="N1243" t="s">
        <v>36</v>
      </c>
      <c r="O1243" t="s">
        <v>36</v>
      </c>
      <c r="P1243" t="s">
        <v>37</v>
      </c>
      <c r="Q1243" t="s">
        <v>36</v>
      </c>
      <c r="R1243" t="s">
        <v>36</v>
      </c>
      <c r="S1243" t="s">
        <v>36</v>
      </c>
      <c r="T1243" t="s">
        <v>36</v>
      </c>
      <c r="U1243">
        <v>0</v>
      </c>
      <c r="V1243">
        <v>1</v>
      </c>
      <c r="W1243">
        <v>0</v>
      </c>
      <c r="X1243">
        <v>1</v>
      </c>
      <c r="Y1243">
        <v>0</v>
      </c>
      <c r="Z1243">
        <v>1</v>
      </c>
      <c r="AA1243">
        <v>1</v>
      </c>
      <c r="AB1243">
        <v>0</v>
      </c>
      <c r="AC1243">
        <v>1</v>
      </c>
      <c r="AD1243">
        <v>0</v>
      </c>
      <c r="AE1243">
        <v>1</v>
      </c>
      <c r="AF1243">
        <v>0</v>
      </c>
      <c r="AG1243">
        <v>0</v>
      </c>
    </row>
    <row r="1244" spans="1:33" x14ac:dyDescent="0.2">
      <c r="A1244">
        <v>1243</v>
      </c>
      <c r="B1244" t="s">
        <v>402</v>
      </c>
      <c r="C1244" t="s">
        <v>108</v>
      </c>
      <c r="D1244">
        <v>43</v>
      </c>
      <c r="E1244" t="s">
        <v>34</v>
      </c>
      <c r="F1244" t="s">
        <v>41</v>
      </c>
      <c r="G1244" t="s">
        <v>67</v>
      </c>
      <c r="H1244">
        <v>101386</v>
      </c>
      <c r="I1244">
        <v>1</v>
      </c>
      <c r="J1244">
        <v>1</v>
      </c>
      <c r="K1244">
        <v>1</v>
      </c>
      <c r="L1244">
        <v>0</v>
      </c>
      <c r="M1244" t="s">
        <v>69</v>
      </c>
      <c r="N1244" t="s">
        <v>86</v>
      </c>
      <c r="O1244" t="s">
        <v>68</v>
      </c>
      <c r="P1244" t="s">
        <v>37</v>
      </c>
      <c r="Q1244" t="s">
        <v>48</v>
      </c>
      <c r="R1244" t="s">
        <v>46</v>
      </c>
      <c r="S1244" t="s">
        <v>65</v>
      </c>
      <c r="T1244">
        <v>0</v>
      </c>
      <c r="U1244">
        <v>1</v>
      </c>
      <c r="V1244">
        <v>1</v>
      </c>
      <c r="W1244">
        <v>0</v>
      </c>
      <c r="X1244">
        <v>1</v>
      </c>
      <c r="Y1244">
        <v>0</v>
      </c>
      <c r="Z1244">
        <v>1</v>
      </c>
      <c r="AA1244">
        <v>0</v>
      </c>
      <c r="AB1244">
        <v>1</v>
      </c>
      <c r="AC1244">
        <v>1</v>
      </c>
      <c r="AD1244">
        <v>0</v>
      </c>
      <c r="AE1244">
        <v>1</v>
      </c>
      <c r="AF1244">
        <v>0</v>
      </c>
      <c r="AG1244">
        <v>0</v>
      </c>
    </row>
    <row r="1245" spans="1:33" x14ac:dyDescent="0.2">
      <c r="A1245">
        <v>1244</v>
      </c>
      <c r="B1245" t="s">
        <v>402</v>
      </c>
      <c r="C1245" t="s">
        <v>108</v>
      </c>
      <c r="D1245">
        <v>43</v>
      </c>
      <c r="E1245" t="s">
        <v>34</v>
      </c>
      <c r="F1245" t="s">
        <v>41</v>
      </c>
      <c r="G1245" t="s">
        <v>42</v>
      </c>
      <c r="H1245">
        <v>9973</v>
      </c>
      <c r="I1245">
        <v>1</v>
      </c>
      <c r="J1245">
        <v>1</v>
      </c>
      <c r="K1245">
        <v>1</v>
      </c>
      <c r="L1245">
        <v>0</v>
      </c>
      <c r="M1245" t="s">
        <v>43</v>
      </c>
      <c r="N1245" t="s">
        <v>102</v>
      </c>
      <c r="O1245" t="s">
        <v>44</v>
      </c>
      <c r="P1245" t="s">
        <v>37</v>
      </c>
      <c r="Q1245" t="s">
        <v>46</v>
      </c>
      <c r="R1245" t="s">
        <v>59</v>
      </c>
      <c r="S1245" t="s">
        <v>47</v>
      </c>
      <c r="T1245">
        <v>0</v>
      </c>
      <c r="U1245">
        <v>0</v>
      </c>
      <c r="V1245">
        <v>0</v>
      </c>
      <c r="W1245">
        <v>1</v>
      </c>
      <c r="X1245">
        <v>1</v>
      </c>
      <c r="Y1245">
        <v>0</v>
      </c>
      <c r="Z1245">
        <v>1</v>
      </c>
      <c r="AA1245">
        <v>0</v>
      </c>
      <c r="AB1245">
        <v>0</v>
      </c>
      <c r="AC1245">
        <v>0</v>
      </c>
      <c r="AD1245">
        <v>1</v>
      </c>
      <c r="AE1245">
        <v>1</v>
      </c>
      <c r="AF1245">
        <v>0</v>
      </c>
      <c r="AG1245">
        <v>0</v>
      </c>
    </row>
    <row r="1246" spans="1:33" hidden="1" x14ac:dyDescent="0.2">
      <c r="A1246">
        <v>1245</v>
      </c>
      <c r="B1246" t="s">
        <v>402</v>
      </c>
      <c r="C1246" t="s">
        <v>108</v>
      </c>
      <c r="D1246">
        <v>43</v>
      </c>
      <c r="E1246" t="s">
        <v>34</v>
      </c>
      <c r="F1246" t="s">
        <v>53</v>
      </c>
      <c r="G1246" t="s">
        <v>54</v>
      </c>
      <c r="H1246">
        <v>88973</v>
      </c>
      <c r="I1246">
        <v>0</v>
      </c>
      <c r="J1246">
        <v>1</v>
      </c>
      <c r="K1246">
        <v>0</v>
      </c>
      <c r="L1246">
        <v>0</v>
      </c>
      <c r="M1246" t="s">
        <v>36</v>
      </c>
      <c r="N1246" t="s">
        <v>36</v>
      </c>
      <c r="O1246" t="s">
        <v>36</v>
      </c>
      <c r="P1246" t="s">
        <v>37</v>
      </c>
      <c r="Q1246" t="s">
        <v>36</v>
      </c>
      <c r="R1246" t="s">
        <v>36</v>
      </c>
      <c r="S1246" t="s">
        <v>36</v>
      </c>
      <c r="T1246" t="s">
        <v>36</v>
      </c>
      <c r="U1246">
        <v>0</v>
      </c>
      <c r="V1246">
        <v>0</v>
      </c>
      <c r="W1246">
        <v>1</v>
      </c>
      <c r="X1246">
        <v>1</v>
      </c>
      <c r="Y1246">
        <v>0</v>
      </c>
      <c r="Z1246">
        <v>1</v>
      </c>
      <c r="AA1246">
        <v>0</v>
      </c>
      <c r="AB1246">
        <v>0</v>
      </c>
      <c r="AC1246">
        <v>0</v>
      </c>
      <c r="AD1246">
        <v>1</v>
      </c>
      <c r="AE1246">
        <v>1</v>
      </c>
      <c r="AF1246">
        <v>0</v>
      </c>
      <c r="AG1246">
        <v>0</v>
      </c>
    </row>
    <row r="1247" spans="1:33" hidden="1" x14ac:dyDescent="0.2">
      <c r="A1247">
        <v>1246</v>
      </c>
      <c r="B1247" t="s">
        <v>402</v>
      </c>
      <c r="C1247" t="s">
        <v>108</v>
      </c>
      <c r="D1247">
        <v>43</v>
      </c>
      <c r="E1247" t="s">
        <v>34</v>
      </c>
      <c r="F1247" t="s">
        <v>77</v>
      </c>
      <c r="G1247" t="s">
        <v>36</v>
      </c>
      <c r="H1247">
        <v>59311</v>
      </c>
      <c r="I1247" t="s">
        <v>403</v>
      </c>
      <c r="J1247" t="s">
        <v>404</v>
      </c>
      <c r="K1247" t="s">
        <v>166</v>
      </c>
      <c r="L1247" t="s">
        <v>36</v>
      </c>
      <c r="M1247" t="s">
        <v>36</v>
      </c>
      <c r="N1247" t="s">
        <v>36</v>
      </c>
      <c r="O1247" t="s">
        <v>36</v>
      </c>
      <c r="P1247" t="s">
        <v>37</v>
      </c>
      <c r="Q1247" t="s">
        <v>36</v>
      </c>
      <c r="R1247" t="s">
        <v>36</v>
      </c>
      <c r="S1247" t="s">
        <v>36</v>
      </c>
      <c r="T1247" t="s">
        <v>36</v>
      </c>
      <c r="U1247" t="s">
        <v>36</v>
      </c>
      <c r="V1247" t="s">
        <v>36</v>
      </c>
      <c r="W1247" t="s">
        <v>36</v>
      </c>
      <c r="X1247" t="s">
        <v>36</v>
      </c>
      <c r="Y1247" t="s">
        <v>36</v>
      </c>
      <c r="Z1247" t="s">
        <v>36</v>
      </c>
      <c r="AA1247" t="s">
        <v>36</v>
      </c>
      <c r="AB1247" t="s">
        <v>36</v>
      </c>
      <c r="AC1247" t="s">
        <v>36</v>
      </c>
      <c r="AD1247" t="s">
        <v>36</v>
      </c>
      <c r="AE1247" t="s">
        <v>36</v>
      </c>
      <c r="AF1247" t="s">
        <v>36</v>
      </c>
      <c r="AG1247" t="s">
        <v>36</v>
      </c>
    </row>
    <row r="1248" spans="1:33" hidden="1" x14ac:dyDescent="0.2">
      <c r="A1248">
        <v>1247</v>
      </c>
      <c r="B1248" t="s">
        <v>405</v>
      </c>
      <c r="C1248" t="s">
        <v>108</v>
      </c>
      <c r="D1248">
        <v>41</v>
      </c>
      <c r="E1248" t="s">
        <v>114</v>
      </c>
      <c r="F1248" t="s">
        <v>35</v>
      </c>
      <c r="G1248" t="s">
        <v>36</v>
      </c>
      <c r="H1248">
        <v>83546</v>
      </c>
      <c r="I1248" t="s">
        <v>36</v>
      </c>
      <c r="J1248" t="s">
        <v>36</v>
      </c>
      <c r="K1248" t="s">
        <v>36</v>
      </c>
      <c r="L1248" t="s">
        <v>36</v>
      </c>
      <c r="M1248" t="s">
        <v>36</v>
      </c>
      <c r="N1248" t="s">
        <v>36</v>
      </c>
      <c r="O1248" t="s">
        <v>36</v>
      </c>
      <c r="P1248" t="s">
        <v>37</v>
      </c>
      <c r="Q1248" t="s">
        <v>36</v>
      </c>
      <c r="R1248" t="s">
        <v>36</v>
      </c>
      <c r="S1248" t="s">
        <v>36</v>
      </c>
      <c r="T1248" t="s">
        <v>36</v>
      </c>
      <c r="U1248" t="s">
        <v>36</v>
      </c>
      <c r="V1248" t="s">
        <v>36</v>
      </c>
      <c r="W1248" t="s">
        <v>36</v>
      </c>
      <c r="X1248" t="s">
        <v>36</v>
      </c>
      <c r="Y1248" t="s">
        <v>36</v>
      </c>
      <c r="Z1248" t="s">
        <v>36</v>
      </c>
      <c r="AA1248" t="s">
        <v>36</v>
      </c>
      <c r="AB1248" t="s">
        <v>36</v>
      </c>
      <c r="AC1248" t="s">
        <v>36</v>
      </c>
      <c r="AD1248" t="s">
        <v>36</v>
      </c>
      <c r="AE1248" t="s">
        <v>36</v>
      </c>
      <c r="AF1248" t="s">
        <v>36</v>
      </c>
      <c r="AG1248" t="s">
        <v>36</v>
      </c>
    </row>
    <row r="1249" spans="1:33" hidden="1" x14ac:dyDescent="0.2">
      <c r="A1249">
        <v>1248</v>
      </c>
      <c r="B1249" t="s">
        <v>405</v>
      </c>
      <c r="C1249" t="s">
        <v>108</v>
      </c>
      <c r="D1249">
        <v>41</v>
      </c>
      <c r="E1249" t="s">
        <v>114</v>
      </c>
      <c r="F1249" t="s">
        <v>38</v>
      </c>
      <c r="G1249" t="s">
        <v>40</v>
      </c>
      <c r="H1249">
        <v>37796</v>
      </c>
      <c r="I1249">
        <v>0</v>
      </c>
      <c r="J1249">
        <v>0</v>
      </c>
      <c r="K1249">
        <v>1</v>
      </c>
      <c r="L1249">
        <v>0</v>
      </c>
      <c r="M1249" t="s">
        <v>36</v>
      </c>
      <c r="N1249" t="s">
        <v>36</v>
      </c>
      <c r="O1249" t="s">
        <v>36</v>
      </c>
      <c r="P1249" t="s">
        <v>37</v>
      </c>
      <c r="Q1249" t="s">
        <v>36</v>
      </c>
      <c r="R1249" t="s">
        <v>36</v>
      </c>
      <c r="S1249" t="s">
        <v>36</v>
      </c>
      <c r="T1249" t="s">
        <v>36</v>
      </c>
      <c r="U1249" t="s">
        <v>36</v>
      </c>
      <c r="V1249" t="s">
        <v>36</v>
      </c>
      <c r="W1249" t="s">
        <v>36</v>
      </c>
      <c r="X1249" t="s">
        <v>36</v>
      </c>
      <c r="Y1249" t="s">
        <v>36</v>
      </c>
      <c r="Z1249" t="s">
        <v>36</v>
      </c>
      <c r="AA1249" t="s">
        <v>36</v>
      </c>
      <c r="AB1249" t="s">
        <v>36</v>
      </c>
      <c r="AC1249" t="s">
        <v>36</v>
      </c>
      <c r="AD1249" t="s">
        <v>36</v>
      </c>
      <c r="AE1249" t="s">
        <v>36</v>
      </c>
      <c r="AF1249" t="s">
        <v>36</v>
      </c>
      <c r="AG1249" t="s">
        <v>36</v>
      </c>
    </row>
    <row r="1250" spans="1:33" hidden="1" x14ac:dyDescent="0.2">
      <c r="A1250">
        <v>1249</v>
      </c>
      <c r="B1250" t="s">
        <v>405</v>
      </c>
      <c r="C1250" t="s">
        <v>108</v>
      </c>
      <c r="D1250">
        <v>41</v>
      </c>
      <c r="E1250" t="s">
        <v>114</v>
      </c>
      <c r="F1250" t="s">
        <v>38</v>
      </c>
      <c r="G1250" t="s">
        <v>39</v>
      </c>
      <c r="H1250">
        <v>43047</v>
      </c>
      <c r="I1250">
        <v>0</v>
      </c>
      <c r="J1250">
        <v>0</v>
      </c>
      <c r="K1250">
        <v>0</v>
      </c>
      <c r="L1250">
        <v>1</v>
      </c>
      <c r="M1250" t="s">
        <v>36</v>
      </c>
      <c r="N1250" t="s">
        <v>36</v>
      </c>
      <c r="O1250" t="s">
        <v>36</v>
      </c>
      <c r="P1250" t="s">
        <v>37</v>
      </c>
      <c r="Q1250" t="s">
        <v>36</v>
      </c>
      <c r="R1250" t="s">
        <v>36</v>
      </c>
      <c r="S1250" t="s">
        <v>36</v>
      </c>
      <c r="T1250" t="s">
        <v>36</v>
      </c>
      <c r="U1250" t="s">
        <v>36</v>
      </c>
      <c r="V1250" t="s">
        <v>36</v>
      </c>
      <c r="W1250" t="s">
        <v>36</v>
      </c>
      <c r="X1250" t="s">
        <v>36</v>
      </c>
      <c r="Y1250" t="s">
        <v>36</v>
      </c>
      <c r="Z1250" t="s">
        <v>36</v>
      </c>
      <c r="AA1250" t="s">
        <v>36</v>
      </c>
      <c r="AB1250" t="s">
        <v>36</v>
      </c>
      <c r="AC1250" t="s">
        <v>36</v>
      </c>
      <c r="AD1250" t="s">
        <v>36</v>
      </c>
      <c r="AE1250" t="s">
        <v>36</v>
      </c>
      <c r="AF1250" t="s">
        <v>36</v>
      </c>
      <c r="AG1250" t="s">
        <v>36</v>
      </c>
    </row>
    <row r="1251" spans="1:33" x14ac:dyDescent="0.2">
      <c r="A1251">
        <v>1250</v>
      </c>
      <c r="B1251" t="s">
        <v>405</v>
      </c>
      <c r="C1251" t="s">
        <v>108</v>
      </c>
      <c r="D1251">
        <v>41</v>
      </c>
      <c r="E1251" t="s">
        <v>114</v>
      </c>
      <c r="F1251" t="s">
        <v>41</v>
      </c>
      <c r="G1251" t="s">
        <v>72</v>
      </c>
      <c r="H1251">
        <v>66526</v>
      </c>
      <c r="I1251">
        <v>0</v>
      </c>
      <c r="J1251">
        <v>0</v>
      </c>
      <c r="K1251">
        <v>0</v>
      </c>
      <c r="L1251">
        <v>1</v>
      </c>
      <c r="M1251" t="s">
        <v>73</v>
      </c>
      <c r="N1251" t="s">
        <v>115</v>
      </c>
      <c r="O1251" t="s">
        <v>74</v>
      </c>
      <c r="P1251" t="s">
        <v>37</v>
      </c>
      <c r="Q1251" t="s">
        <v>48</v>
      </c>
      <c r="R1251" t="s">
        <v>65</v>
      </c>
      <c r="S1251" t="s">
        <v>47</v>
      </c>
      <c r="T1251">
        <v>0</v>
      </c>
      <c r="U1251">
        <v>1</v>
      </c>
      <c r="V1251">
        <v>1</v>
      </c>
      <c r="W1251">
        <v>1</v>
      </c>
      <c r="X1251">
        <v>0</v>
      </c>
      <c r="Y1251">
        <v>0</v>
      </c>
      <c r="Z1251">
        <v>1</v>
      </c>
      <c r="AA1251">
        <v>0</v>
      </c>
      <c r="AB1251">
        <v>0</v>
      </c>
      <c r="AC1251">
        <v>0</v>
      </c>
      <c r="AD1251">
        <v>0</v>
      </c>
      <c r="AE1251">
        <v>0</v>
      </c>
      <c r="AF1251">
        <v>0</v>
      </c>
      <c r="AG1251">
        <v>1</v>
      </c>
    </row>
    <row r="1252" spans="1:33" x14ac:dyDescent="0.2">
      <c r="A1252">
        <v>1251</v>
      </c>
      <c r="B1252" t="s">
        <v>405</v>
      </c>
      <c r="C1252" t="s">
        <v>108</v>
      </c>
      <c r="D1252">
        <v>41</v>
      </c>
      <c r="E1252" t="s">
        <v>114</v>
      </c>
      <c r="F1252" t="s">
        <v>41</v>
      </c>
      <c r="G1252" t="s">
        <v>42</v>
      </c>
      <c r="H1252">
        <v>120435</v>
      </c>
      <c r="I1252">
        <v>0</v>
      </c>
      <c r="J1252">
        <v>0</v>
      </c>
      <c r="K1252">
        <v>0</v>
      </c>
      <c r="L1252">
        <v>1</v>
      </c>
      <c r="M1252" t="s">
        <v>102</v>
      </c>
      <c r="N1252" t="s">
        <v>43</v>
      </c>
      <c r="O1252" t="s">
        <v>45</v>
      </c>
      <c r="P1252" t="s">
        <v>37</v>
      </c>
      <c r="Q1252" t="s">
        <v>59</v>
      </c>
      <c r="R1252" t="s">
        <v>46</v>
      </c>
      <c r="S1252" t="s">
        <v>48</v>
      </c>
      <c r="T1252">
        <v>0</v>
      </c>
      <c r="U1252">
        <v>0</v>
      </c>
      <c r="V1252">
        <v>1</v>
      </c>
      <c r="W1252">
        <v>0</v>
      </c>
      <c r="X1252">
        <v>1</v>
      </c>
      <c r="Y1252">
        <v>0</v>
      </c>
      <c r="Z1252">
        <v>1</v>
      </c>
      <c r="AA1252">
        <v>0</v>
      </c>
      <c r="AB1252">
        <v>0</v>
      </c>
      <c r="AC1252">
        <v>0</v>
      </c>
      <c r="AD1252">
        <v>0</v>
      </c>
      <c r="AE1252">
        <v>0</v>
      </c>
      <c r="AF1252">
        <v>0</v>
      </c>
      <c r="AG1252">
        <v>1</v>
      </c>
    </row>
    <row r="1253" spans="1:33" hidden="1" x14ac:dyDescent="0.2">
      <c r="A1253">
        <v>1252</v>
      </c>
      <c r="B1253" t="s">
        <v>405</v>
      </c>
      <c r="C1253" t="s">
        <v>108</v>
      </c>
      <c r="D1253">
        <v>41</v>
      </c>
      <c r="E1253" t="s">
        <v>114</v>
      </c>
      <c r="F1253" t="s">
        <v>53</v>
      </c>
      <c r="G1253" t="s">
        <v>66</v>
      </c>
      <c r="H1253">
        <v>84802</v>
      </c>
      <c r="I1253">
        <v>1</v>
      </c>
      <c r="J1253">
        <v>1</v>
      </c>
      <c r="K1253">
        <v>0</v>
      </c>
      <c r="L1253">
        <v>0</v>
      </c>
      <c r="M1253" t="s">
        <v>36</v>
      </c>
      <c r="N1253" t="s">
        <v>36</v>
      </c>
      <c r="O1253" t="s">
        <v>36</v>
      </c>
      <c r="P1253" t="s">
        <v>37</v>
      </c>
      <c r="Q1253" t="s">
        <v>36</v>
      </c>
      <c r="R1253" t="s">
        <v>36</v>
      </c>
      <c r="S1253" t="s">
        <v>36</v>
      </c>
      <c r="T1253" t="s">
        <v>36</v>
      </c>
      <c r="U1253">
        <v>0</v>
      </c>
      <c r="V1253">
        <v>1</v>
      </c>
      <c r="W1253">
        <v>0</v>
      </c>
      <c r="X1253">
        <v>1</v>
      </c>
      <c r="Y1253">
        <v>0</v>
      </c>
      <c r="Z1253">
        <v>1</v>
      </c>
      <c r="AA1253">
        <v>0</v>
      </c>
      <c r="AB1253">
        <v>0</v>
      </c>
      <c r="AC1253">
        <v>0</v>
      </c>
      <c r="AD1253">
        <v>0</v>
      </c>
      <c r="AE1253">
        <v>0</v>
      </c>
      <c r="AF1253">
        <v>0</v>
      </c>
      <c r="AG1253">
        <v>1</v>
      </c>
    </row>
    <row r="1254" spans="1:33" x14ac:dyDescent="0.2">
      <c r="A1254">
        <v>1253</v>
      </c>
      <c r="B1254" t="s">
        <v>405</v>
      </c>
      <c r="C1254" t="s">
        <v>108</v>
      </c>
      <c r="D1254">
        <v>41</v>
      </c>
      <c r="E1254" t="s">
        <v>114</v>
      </c>
      <c r="F1254" t="s">
        <v>41</v>
      </c>
      <c r="G1254" t="s">
        <v>61</v>
      </c>
      <c r="H1254">
        <v>84506</v>
      </c>
      <c r="I1254">
        <v>1</v>
      </c>
      <c r="J1254">
        <v>0</v>
      </c>
      <c r="K1254">
        <v>0</v>
      </c>
      <c r="L1254">
        <v>0</v>
      </c>
      <c r="M1254" t="s">
        <v>87</v>
      </c>
      <c r="N1254" t="s">
        <v>64</v>
      </c>
      <c r="O1254" t="s">
        <v>63</v>
      </c>
      <c r="P1254" t="s">
        <v>37</v>
      </c>
      <c r="Q1254" t="s">
        <v>47</v>
      </c>
      <c r="R1254" t="s">
        <v>48</v>
      </c>
      <c r="S1254" t="s">
        <v>46</v>
      </c>
      <c r="T1254">
        <v>0</v>
      </c>
      <c r="U1254">
        <v>0</v>
      </c>
      <c r="V1254">
        <v>1</v>
      </c>
      <c r="W1254">
        <v>1</v>
      </c>
      <c r="X1254">
        <v>1</v>
      </c>
      <c r="Y1254">
        <v>0</v>
      </c>
      <c r="Z1254">
        <v>1</v>
      </c>
      <c r="AA1254">
        <v>0</v>
      </c>
      <c r="AB1254">
        <v>0</v>
      </c>
      <c r="AC1254">
        <v>0</v>
      </c>
      <c r="AD1254">
        <v>1</v>
      </c>
      <c r="AE1254">
        <v>0</v>
      </c>
      <c r="AF1254">
        <v>0</v>
      </c>
      <c r="AG1254">
        <v>0</v>
      </c>
    </row>
    <row r="1255" spans="1:33" hidden="1" x14ac:dyDescent="0.2">
      <c r="A1255">
        <v>1254</v>
      </c>
      <c r="B1255" t="s">
        <v>405</v>
      </c>
      <c r="C1255" t="s">
        <v>108</v>
      </c>
      <c r="D1255">
        <v>41</v>
      </c>
      <c r="E1255" t="s">
        <v>114</v>
      </c>
      <c r="F1255" t="s">
        <v>53</v>
      </c>
      <c r="G1255" t="s">
        <v>71</v>
      </c>
      <c r="H1255">
        <v>47144</v>
      </c>
      <c r="I1255">
        <v>0</v>
      </c>
      <c r="J1255">
        <v>1</v>
      </c>
      <c r="K1255">
        <v>0</v>
      </c>
      <c r="L1255">
        <v>0</v>
      </c>
      <c r="M1255" t="s">
        <v>36</v>
      </c>
      <c r="N1255" t="s">
        <v>36</v>
      </c>
      <c r="O1255" t="s">
        <v>36</v>
      </c>
      <c r="P1255" t="s">
        <v>37</v>
      </c>
      <c r="Q1255" t="s">
        <v>36</v>
      </c>
      <c r="R1255" t="s">
        <v>36</v>
      </c>
      <c r="S1255" t="s">
        <v>36</v>
      </c>
      <c r="T1255" t="s">
        <v>36</v>
      </c>
      <c r="U1255">
        <v>0</v>
      </c>
      <c r="V1255">
        <v>1</v>
      </c>
      <c r="W1255">
        <v>1</v>
      </c>
      <c r="X1255">
        <v>1</v>
      </c>
      <c r="Y1255">
        <v>0</v>
      </c>
      <c r="Z1255">
        <v>1</v>
      </c>
      <c r="AA1255">
        <v>0</v>
      </c>
      <c r="AB1255">
        <v>0</v>
      </c>
      <c r="AC1255">
        <v>0</v>
      </c>
      <c r="AD1255">
        <v>1</v>
      </c>
      <c r="AE1255">
        <v>0</v>
      </c>
      <c r="AF1255">
        <v>0</v>
      </c>
      <c r="AG1255">
        <v>0</v>
      </c>
    </row>
    <row r="1256" spans="1:33" x14ac:dyDescent="0.2">
      <c r="A1256">
        <v>1255</v>
      </c>
      <c r="B1256" t="s">
        <v>405</v>
      </c>
      <c r="C1256" t="s">
        <v>108</v>
      </c>
      <c r="D1256">
        <v>41</v>
      </c>
      <c r="E1256" t="s">
        <v>114</v>
      </c>
      <c r="F1256" t="s">
        <v>41</v>
      </c>
      <c r="G1256" t="s">
        <v>67</v>
      </c>
      <c r="H1256">
        <v>58810</v>
      </c>
      <c r="I1256">
        <v>1</v>
      </c>
      <c r="J1256">
        <v>0</v>
      </c>
      <c r="K1256">
        <v>0</v>
      </c>
      <c r="L1256">
        <v>0</v>
      </c>
      <c r="M1256" t="s">
        <v>68</v>
      </c>
      <c r="N1256" t="s">
        <v>70</v>
      </c>
      <c r="O1256" t="s">
        <v>109</v>
      </c>
      <c r="P1256" t="s">
        <v>37</v>
      </c>
      <c r="Q1256" t="s">
        <v>65</v>
      </c>
      <c r="R1256" t="s">
        <v>47</v>
      </c>
      <c r="S1256" t="s">
        <v>59</v>
      </c>
      <c r="T1256">
        <v>0</v>
      </c>
      <c r="U1256">
        <v>1</v>
      </c>
      <c r="V1256">
        <v>0</v>
      </c>
      <c r="W1256">
        <v>1</v>
      </c>
      <c r="X1256">
        <v>0</v>
      </c>
      <c r="Y1256">
        <v>0</v>
      </c>
      <c r="Z1256">
        <v>1</v>
      </c>
      <c r="AA1256">
        <v>0</v>
      </c>
      <c r="AB1256">
        <v>1</v>
      </c>
      <c r="AC1256">
        <v>0</v>
      </c>
      <c r="AD1256">
        <v>0</v>
      </c>
      <c r="AE1256">
        <v>0</v>
      </c>
      <c r="AF1256">
        <v>0</v>
      </c>
      <c r="AG1256">
        <v>0</v>
      </c>
    </row>
    <row r="1257" spans="1:33" x14ac:dyDescent="0.2">
      <c r="A1257">
        <v>1256</v>
      </c>
      <c r="B1257" t="s">
        <v>405</v>
      </c>
      <c r="C1257" t="s">
        <v>108</v>
      </c>
      <c r="D1257">
        <v>41</v>
      </c>
      <c r="E1257" t="s">
        <v>114</v>
      </c>
      <c r="F1257" t="s">
        <v>41</v>
      </c>
      <c r="G1257" t="s">
        <v>55</v>
      </c>
      <c r="H1257">
        <v>44961</v>
      </c>
      <c r="I1257">
        <v>0</v>
      </c>
      <c r="J1257">
        <v>1</v>
      </c>
      <c r="K1257">
        <v>0</v>
      </c>
      <c r="L1257">
        <v>0</v>
      </c>
      <c r="M1257" t="s">
        <v>84</v>
      </c>
      <c r="N1257" t="s">
        <v>94</v>
      </c>
      <c r="O1257" t="s">
        <v>57</v>
      </c>
      <c r="P1257" t="s">
        <v>37</v>
      </c>
      <c r="Q1257" t="s">
        <v>46</v>
      </c>
      <c r="R1257" t="s">
        <v>47</v>
      </c>
      <c r="S1257" t="s">
        <v>48</v>
      </c>
      <c r="T1257">
        <v>0</v>
      </c>
      <c r="U1257">
        <v>0</v>
      </c>
      <c r="V1257">
        <v>1</v>
      </c>
      <c r="W1257">
        <v>1</v>
      </c>
      <c r="X1257">
        <v>1</v>
      </c>
      <c r="Y1257">
        <v>0</v>
      </c>
      <c r="Z1257">
        <v>1</v>
      </c>
      <c r="AA1257">
        <v>0</v>
      </c>
      <c r="AB1257">
        <v>0</v>
      </c>
      <c r="AC1257">
        <v>0</v>
      </c>
      <c r="AD1257">
        <v>1</v>
      </c>
      <c r="AE1257">
        <v>0</v>
      </c>
      <c r="AF1257">
        <v>0</v>
      </c>
      <c r="AG1257">
        <v>0</v>
      </c>
    </row>
    <row r="1258" spans="1:33" hidden="1" x14ac:dyDescent="0.2">
      <c r="A1258">
        <v>1257</v>
      </c>
      <c r="B1258" t="s">
        <v>405</v>
      </c>
      <c r="C1258" t="s">
        <v>108</v>
      </c>
      <c r="D1258">
        <v>41</v>
      </c>
      <c r="E1258" t="s">
        <v>114</v>
      </c>
      <c r="F1258" t="s">
        <v>53</v>
      </c>
      <c r="G1258" t="s">
        <v>54</v>
      </c>
      <c r="H1258">
        <v>66899</v>
      </c>
      <c r="I1258">
        <v>1</v>
      </c>
      <c r="J1258">
        <v>1</v>
      </c>
      <c r="K1258">
        <v>0</v>
      </c>
      <c r="L1258">
        <v>0</v>
      </c>
      <c r="M1258" t="s">
        <v>36</v>
      </c>
      <c r="N1258" t="s">
        <v>36</v>
      </c>
      <c r="O1258" t="s">
        <v>36</v>
      </c>
      <c r="P1258" t="s">
        <v>37</v>
      </c>
      <c r="Q1258" t="s">
        <v>36</v>
      </c>
      <c r="R1258" t="s">
        <v>36</v>
      </c>
      <c r="S1258" t="s">
        <v>36</v>
      </c>
      <c r="T1258" t="s">
        <v>36</v>
      </c>
      <c r="U1258">
        <v>0</v>
      </c>
      <c r="V1258">
        <v>1</v>
      </c>
      <c r="W1258">
        <v>1</v>
      </c>
      <c r="X1258">
        <v>1</v>
      </c>
      <c r="Y1258">
        <v>0</v>
      </c>
      <c r="Z1258">
        <v>1</v>
      </c>
      <c r="AA1258">
        <v>0</v>
      </c>
      <c r="AB1258">
        <v>0</v>
      </c>
      <c r="AC1258">
        <v>0</v>
      </c>
      <c r="AD1258">
        <v>1</v>
      </c>
      <c r="AE1258">
        <v>0</v>
      </c>
      <c r="AF1258">
        <v>0</v>
      </c>
      <c r="AG1258">
        <v>0</v>
      </c>
    </row>
    <row r="1259" spans="1:33" x14ac:dyDescent="0.2">
      <c r="A1259">
        <v>1258</v>
      </c>
      <c r="B1259" t="s">
        <v>405</v>
      </c>
      <c r="C1259" t="s">
        <v>108</v>
      </c>
      <c r="D1259">
        <v>41</v>
      </c>
      <c r="E1259" t="s">
        <v>114</v>
      </c>
      <c r="F1259" t="s">
        <v>41</v>
      </c>
      <c r="G1259" t="s">
        <v>49</v>
      </c>
      <c r="H1259">
        <v>40246</v>
      </c>
      <c r="I1259">
        <v>0</v>
      </c>
      <c r="J1259">
        <v>0</v>
      </c>
      <c r="K1259">
        <v>0</v>
      </c>
      <c r="L1259">
        <v>1</v>
      </c>
      <c r="M1259" t="s">
        <v>51</v>
      </c>
      <c r="N1259" t="s">
        <v>50</v>
      </c>
      <c r="O1259" t="s">
        <v>52</v>
      </c>
      <c r="P1259" t="s">
        <v>37</v>
      </c>
      <c r="Q1259" t="s">
        <v>47</v>
      </c>
      <c r="R1259" t="s">
        <v>48</v>
      </c>
      <c r="S1259" t="s">
        <v>46</v>
      </c>
      <c r="T1259">
        <v>0</v>
      </c>
      <c r="U1259">
        <v>0</v>
      </c>
      <c r="V1259">
        <v>1</v>
      </c>
      <c r="W1259">
        <v>1</v>
      </c>
      <c r="X1259">
        <v>1</v>
      </c>
      <c r="Y1259">
        <v>0</v>
      </c>
      <c r="Z1259">
        <v>1</v>
      </c>
      <c r="AA1259">
        <v>0</v>
      </c>
      <c r="AB1259">
        <v>0</v>
      </c>
      <c r="AC1259">
        <v>0</v>
      </c>
      <c r="AD1259">
        <v>0</v>
      </c>
      <c r="AE1259">
        <v>0</v>
      </c>
      <c r="AF1259">
        <v>0</v>
      </c>
      <c r="AG1259">
        <v>1</v>
      </c>
    </row>
    <row r="1260" spans="1:33" hidden="1" x14ac:dyDescent="0.2">
      <c r="A1260">
        <v>1259</v>
      </c>
      <c r="B1260" t="s">
        <v>405</v>
      </c>
      <c r="C1260" t="s">
        <v>108</v>
      </c>
      <c r="D1260">
        <v>41</v>
      </c>
      <c r="E1260" t="s">
        <v>114</v>
      </c>
      <c r="F1260" t="s">
        <v>53</v>
      </c>
      <c r="G1260" t="s">
        <v>76</v>
      </c>
      <c r="H1260">
        <v>64827</v>
      </c>
      <c r="I1260">
        <v>0</v>
      </c>
      <c r="J1260">
        <v>0</v>
      </c>
      <c r="K1260">
        <v>0</v>
      </c>
      <c r="L1260">
        <v>1</v>
      </c>
      <c r="M1260" t="s">
        <v>36</v>
      </c>
      <c r="N1260" t="s">
        <v>36</v>
      </c>
      <c r="O1260" t="s">
        <v>36</v>
      </c>
      <c r="P1260" t="s">
        <v>37</v>
      </c>
      <c r="Q1260" t="s">
        <v>36</v>
      </c>
      <c r="R1260" t="s">
        <v>36</v>
      </c>
      <c r="S1260" t="s">
        <v>36</v>
      </c>
      <c r="T1260" t="s">
        <v>36</v>
      </c>
      <c r="U1260">
        <v>0</v>
      </c>
      <c r="V1260">
        <v>1</v>
      </c>
      <c r="W1260">
        <v>1</v>
      </c>
      <c r="X1260">
        <v>1</v>
      </c>
      <c r="Y1260">
        <v>0</v>
      </c>
      <c r="Z1260">
        <v>1</v>
      </c>
      <c r="AA1260">
        <v>0</v>
      </c>
      <c r="AB1260">
        <v>0</v>
      </c>
      <c r="AC1260">
        <v>0</v>
      </c>
      <c r="AD1260">
        <v>0</v>
      </c>
      <c r="AE1260">
        <v>0</v>
      </c>
      <c r="AF1260">
        <v>0</v>
      </c>
      <c r="AG1260">
        <v>1</v>
      </c>
    </row>
    <row r="1261" spans="1:33" hidden="1" x14ac:dyDescent="0.2">
      <c r="A1261">
        <v>1260</v>
      </c>
      <c r="B1261" t="s">
        <v>405</v>
      </c>
      <c r="C1261" t="s">
        <v>108</v>
      </c>
      <c r="D1261">
        <v>41</v>
      </c>
      <c r="E1261" t="s">
        <v>114</v>
      </c>
      <c r="F1261" t="s">
        <v>77</v>
      </c>
      <c r="G1261" t="s">
        <v>36</v>
      </c>
      <c r="H1261">
        <v>105567</v>
      </c>
      <c r="I1261" t="s">
        <v>406</v>
      </c>
      <c r="J1261" t="s">
        <v>407</v>
      </c>
      <c r="K1261" t="s">
        <v>162</v>
      </c>
      <c r="L1261" t="s">
        <v>36</v>
      </c>
      <c r="M1261" t="s">
        <v>36</v>
      </c>
      <c r="N1261" t="s">
        <v>36</v>
      </c>
      <c r="O1261" t="s">
        <v>36</v>
      </c>
      <c r="P1261" t="s">
        <v>37</v>
      </c>
      <c r="Q1261" t="s">
        <v>36</v>
      </c>
      <c r="R1261" t="s">
        <v>36</v>
      </c>
      <c r="S1261" t="s">
        <v>36</v>
      </c>
      <c r="T1261" t="s">
        <v>36</v>
      </c>
      <c r="U1261" t="s">
        <v>36</v>
      </c>
      <c r="V1261" t="s">
        <v>36</v>
      </c>
      <c r="W1261" t="s">
        <v>36</v>
      </c>
      <c r="X1261" t="s">
        <v>36</v>
      </c>
      <c r="Y1261" t="s">
        <v>36</v>
      </c>
      <c r="Z1261" t="s">
        <v>36</v>
      </c>
      <c r="AA1261" t="s">
        <v>36</v>
      </c>
      <c r="AB1261" t="s">
        <v>36</v>
      </c>
      <c r="AC1261" t="s">
        <v>36</v>
      </c>
      <c r="AD1261" t="s">
        <v>36</v>
      </c>
      <c r="AE1261" t="s">
        <v>36</v>
      </c>
      <c r="AF1261" t="s">
        <v>36</v>
      </c>
      <c r="AG1261" t="s">
        <v>36</v>
      </c>
    </row>
    <row r="1262" spans="1:33" hidden="1" x14ac:dyDescent="0.2">
      <c r="A1262">
        <v>1261</v>
      </c>
      <c r="B1262" t="s">
        <v>408</v>
      </c>
      <c r="C1262" t="s">
        <v>108</v>
      </c>
      <c r="D1262">
        <v>38</v>
      </c>
      <c r="E1262" t="s">
        <v>34</v>
      </c>
      <c r="F1262" t="s">
        <v>35</v>
      </c>
      <c r="G1262" t="s">
        <v>36</v>
      </c>
      <c r="H1262">
        <v>52365</v>
      </c>
      <c r="I1262" t="s">
        <v>36</v>
      </c>
      <c r="J1262" t="s">
        <v>36</v>
      </c>
      <c r="K1262" t="s">
        <v>36</v>
      </c>
      <c r="L1262" t="s">
        <v>36</v>
      </c>
      <c r="M1262" t="s">
        <v>36</v>
      </c>
      <c r="N1262" t="s">
        <v>36</v>
      </c>
      <c r="O1262" t="s">
        <v>36</v>
      </c>
      <c r="P1262" t="s">
        <v>37</v>
      </c>
      <c r="Q1262" t="s">
        <v>36</v>
      </c>
      <c r="R1262" t="s">
        <v>36</v>
      </c>
      <c r="S1262" t="s">
        <v>36</v>
      </c>
      <c r="T1262" t="s">
        <v>36</v>
      </c>
      <c r="U1262" t="s">
        <v>36</v>
      </c>
      <c r="V1262" t="s">
        <v>36</v>
      </c>
      <c r="W1262" t="s">
        <v>36</v>
      </c>
      <c r="X1262" t="s">
        <v>36</v>
      </c>
      <c r="Y1262" t="s">
        <v>36</v>
      </c>
      <c r="Z1262" t="s">
        <v>36</v>
      </c>
      <c r="AA1262" t="s">
        <v>36</v>
      </c>
      <c r="AB1262" t="s">
        <v>36</v>
      </c>
      <c r="AC1262" t="s">
        <v>36</v>
      </c>
      <c r="AD1262" t="s">
        <v>36</v>
      </c>
      <c r="AE1262" t="s">
        <v>36</v>
      </c>
      <c r="AF1262" t="s">
        <v>36</v>
      </c>
      <c r="AG1262" t="s">
        <v>36</v>
      </c>
    </row>
    <row r="1263" spans="1:33" hidden="1" x14ac:dyDescent="0.2">
      <c r="A1263">
        <v>1262</v>
      </c>
      <c r="B1263" t="s">
        <v>408</v>
      </c>
      <c r="C1263" t="s">
        <v>108</v>
      </c>
      <c r="D1263">
        <v>38</v>
      </c>
      <c r="E1263" t="s">
        <v>34</v>
      </c>
      <c r="F1263" t="s">
        <v>38</v>
      </c>
      <c r="G1263" t="s">
        <v>40</v>
      </c>
      <c r="H1263">
        <v>50773</v>
      </c>
      <c r="I1263">
        <v>0</v>
      </c>
      <c r="J1263">
        <v>1</v>
      </c>
      <c r="K1263">
        <v>1</v>
      </c>
      <c r="L1263">
        <v>0</v>
      </c>
      <c r="M1263" t="s">
        <v>36</v>
      </c>
      <c r="N1263" t="s">
        <v>36</v>
      </c>
      <c r="O1263" t="s">
        <v>36</v>
      </c>
      <c r="P1263" t="s">
        <v>37</v>
      </c>
      <c r="Q1263" t="s">
        <v>36</v>
      </c>
      <c r="R1263" t="s">
        <v>36</v>
      </c>
      <c r="S1263" t="s">
        <v>36</v>
      </c>
      <c r="T1263" t="s">
        <v>36</v>
      </c>
      <c r="U1263" t="s">
        <v>36</v>
      </c>
      <c r="V1263" t="s">
        <v>36</v>
      </c>
      <c r="W1263" t="s">
        <v>36</v>
      </c>
      <c r="X1263" t="s">
        <v>36</v>
      </c>
      <c r="Y1263" t="s">
        <v>36</v>
      </c>
      <c r="Z1263" t="s">
        <v>36</v>
      </c>
      <c r="AA1263" t="s">
        <v>36</v>
      </c>
      <c r="AB1263" t="s">
        <v>36</v>
      </c>
      <c r="AC1263" t="s">
        <v>36</v>
      </c>
      <c r="AD1263" t="s">
        <v>36</v>
      </c>
      <c r="AE1263" t="s">
        <v>36</v>
      </c>
      <c r="AF1263" t="s">
        <v>36</v>
      </c>
      <c r="AG1263" t="s">
        <v>36</v>
      </c>
    </row>
    <row r="1264" spans="1:33" hidden="1" x14ac:dyDescent="0.2">
      <c r="A1264">
        <v>1263</v>
      </c>
      <c r="B1264" t="s">
        <v>408</v>
      </c>
      <c r="C1264" t="s">
        <v>108</v>
      </c>
      <c r="D1264">
        <v>38</v>
      </c>
      <c r="E1264" t="s">
        <v>34</v>
      </c>
      <c r="F1264" t="s">
        <v>38</v>
      </c>
      <c r="G1264" t="s">
        <v>39</v>
      </c>
      <c r="H1264">
        <v>46692</v>
      </c>
      <c r="I1264">
        <v>0</v>
      </c>
      <c r="J1264">
        <v>0</v>
      </c>
      <c r="K1264">
        <v>0</v>
      </c>
      <c r="L1264">
        <v>1</v>
      </c>
      <c r="M1264" t="s">
        <v>36</v>
      </c>
      <c r="N1264" t="s">
        <v>36</v>
      </c>
      <c r="O1264" t="s">
        <v>36</v>
      </c>
      <c r="P1264" t="s">
        <v>37</v>
      </c>
      <c r="Q1264" t="s">
        <v>36</v>
      </c>
      <c r="R1264" t="s">
        <v>36</v>
      </c>
      <c r="S1264" t="s">
        <v>36</v>
      </c>
      <c r="T1264" t="s">
        <v>36</v>
      </c>
      <c r="U1264" t="s">
        <v>36</v>
      </c>
      <c r="V1264" t="s">
        <v>36</v>
      </c>
      <c r="W1264" t="s">
        <v>36</v>
      </c>
      <c r="X1264" t="s">
        <v>36</v>
      </c>
      <c r="Y1264" t="s">
        <v>36</v>
      </c>
      <c r="Z1264" t="s">
        <v>36</v>
      </c>
      <c r="AA1264" t="s">
        <v>36</v>
      </c>
      <c r="AB1264" t="s">
        <v>36</v>
      </c>
      <c r="AC1264" t="s">
        <v>36</v>
      </c>
      <c r="AD1264" t="s">
        <v>36</v>
      </c>
      <c r="AE1264" t="s">
        <v>36</v>
      </c>
      <c r="AF1264" t="s">
        <v>36</v>
      </c>
      <c r="AG1264" t="s">
        <v>36</v>
      </c>
    </row>
    <row r="1265" spans="1:33" x14ac:dyDescent="0.2">
      <c r="A1265">
        <v>1264</v>
      </c>
      <c r="B1265" t="s">
        <v>408</v>
      </c>
      <c r="C1265" t="s">
        <v>108</v>
      </c>
      <c r="D1265">
        <v>38</v>
      </c>
      <c r="E1265" t="s">
        <v>34</v>
      </c>
      <c r="F1265" t="s">
        <v>41</v>
      </c>
      <c r="G1265" t="s">
        <v>61</v>
      </c>
      <c r="H1265">
        <v>73286</v>
      </c>
      <c r="I1265">
        <v>1</v>
      </c>
      <c r="J1265">
        <v>1</v>
      </c>
      <c r="K1265">
        <v>1</v>
      </c>
      <c r="L1265">
        <v>0</v>
      </c>
      <c r="M1265" t="s">
        <v>97</v>
      </c>
      <c r="N1265" t="s">
        <v>63</v>
      </c>
      <c r="O1265" t="s">
        <v>62</v>
      </c>
      <c r="P1265" t="s">
        <v>37</v>
      </c>
      <c r="Q1265" t="s">
        <v>59</v>
      </c>
      <c r="R1265" t="s">
        <v>46</v>
      </c>
      <c r="S1265" t="s">
        <v>65</v>
      </c>
      <c r="T1265">
        <v>0</v>
      </c>
      <c r="U1265">
        <v>1</v>
      </c>
      <c r="V1265">
        <v>0</v>
      </c>
      <c r="W1265">
        <v>0</v>
      </c>
      <c r="X1265">
        <v>1</v>
      </c>
      <c r="Y1265">
        <v>0</v>
      </c>
      <c r="Z1265">
        <v>1</v>
      </c>
      <c r="AA1265">
        <v>0</v>
      </c>
      <c r="AB1265">
        <v>1</v>
      </c>
      <c r="AC1265">
        <v>0</v>
      </c>
      <c r="AD1265">
        <v>0</v>
      </c>
      <c r="AE1265">
        <v>1</v>
      </c>
      <c r="AF1265">
        <v>0</v>
      </c>
      <c r="AG1265">
        <v>0</v>
      </c>
    </row>
    <row r="1266" spans="1:33" hidden="1" x14ac:dyDescent="0.2">
      <c r="A1266">
        <v>1265</v>
      </c>
      <c r="B1266" t="s">
        <v>408</v>
      </c>
      <c r="C1266" t="s">
        <v>108</v>
      </c>
      <c r="D1266">
        <v>38</v>
      </c>
      <c r="E1266" t="s">
        <v>34</v>
      </c>
      <c r="F1266" t="s">
        <v>53</v>
      </c>
      <c r="G1266" t="s">
        <v>54</v>
      </c>
      <c r="H1266">
        <v>38698</v>
      </c>
      <c r="I1266">
        <v>1</v>
      </c>
      <c r="J1266">
        <v>1</v>
      </c>
      <c r="K1266">
        <v>1</v>
      </c>
      <c r="L1266">
        <v>0</v>
      </c>
      <c r="M1266" t="s">
        <v>36</v>
      </c>
      <c r="N1266" t="s">
        <v>36</v>
      </c>
      <c r="O1266" t="s">
        <v>36</v>
      </c>
      <c r="P1266" t="s">
        <v>37</v>
      </c>
      <c r="Q1266" t="s">
        <v>36</v>
      </c>
      <c r="R1266" t="s">
        <v>36</v>
      </c>
      <c r="S1266" t="s">
        <v>36</v>
      </c>
      <c r="T1266" t="s">
        <v>36</v>
      </c>
      <c r="U1266">
        <v>1</v>
      </c>
      <c r="V1266">
        <v>0</v>
      </c>
      <c r="W1266">
        <v>0</v>
      </c>
      <c r="X1266">
        <v>1</v>
      </c>
      <c r="Y1266">
        <v>0</v>
      </c>
      <c r="Z1266">
        <v>1</v>
      </c>
      <c r="AA1266">
        <v>0</v>
      </c>
      <c r="AB1266">
        <v>1</v>
      </c>
      <c r="AC1266">
        <v>0</v>
      </c>
      <c r="AD1266">
        <v>0</v>
      </c>
      <c r="AE1266">
        <v>1</v>
      </c>
      <c r="AF1266">
        <v>0</v>
      </c>
      <c r="AG1266">
        <v>0</v>
      </c>
    </row>
    <row r="1267" spans="1:33" x14ac:dyDescent="0.2">
      <c r="A1267">
        <v>1266</v>
      </c>
      <c r="B1267" t="s">
        <v>408</v>
      </c>
      <c r="C1267" t="s">
        <v>108</v>
      </c>
      <c r="D1267">
        <v>38</v>
      </c>
      <c r="E1267" t="s">
        <v>34</v>
      </c>
      <c r="F1267" t="s">
        <v>41</v>
      </c>
      <c r="G1267" t="s">
        <v>42</v>
      </c>
      <c r="H1267">
        <v>25074</v>
      </c>
      <c r="I1267">
        <v>1</v>
      </c>
      <c r="J1267">
        <v>1</v>
      </c>
      <c r="K1267">
        <v>1</v>
      </c>
      <c r="L1267">
        <v>0</v>
      </c>
      <c r="M1267" t="s">
        <v>82</v>
      </c>
      <c r="N1267" t="s">
        <v>45</v>
      </c>
      <c r="O1267" t="s">
        <v>44</v>
      </c>
      <c r="P1267" t="s">
        <v>37</v>
      </c>
      <c r="Q1267" t="s">
        <v>65</v>
      </c>
      <c r="R1267" t="s">
        <v>48</v>
      </c>
      <c r="S1267" t="s">
        <v>47</v>
      </c>
      <c r="T1267">
        <v>0</v>
      </c>
      <c r="U1267">
        <v>1</v>
      </c>
      <c r="V1267">
        <v>1</v>
      </c>
      <c r="W1267">
        <v>1</v>
      </c>
      <c r="X1267">
        <v>0</v>
      </c>
      <c r="Y1267">
        <v>0</v>
      </c>
      <c r="Z1267">
        <v>1</v>
      </c>
      <c r="AA1267">
        <v>0</v>
      </c>
      <c r="AB1267">
        <v>1</v>
      </c>
      <c r="AC1267">
        <v>1</v>
      </c>
      <c r="AD1267">
        <v>1</v>
      </c>
      <c r="AE1267">
        <v>0</v>
      </c>
      <c r="AF1267">
        <v>0</v>
      </c>
      <c r="AG1267">
        <v>0</v>
      </c>
    </row>
    <row r="1268" spans="1:33" x14ac:dyDescent="0.2">
      <c r="A1268">
        <v>1267</v>
      </c>
      <c r="B1268" t="s">
        <v>408</v>
      </c>
      <c r="C1268" t="s">
        <v>108</v>
      </c>
      <c r="D1268">
        <v>38</v>
      </c>
      <c r="E1268" t="s">
        <v>34</v>
      </c>
      <c r="F1268" t="s">
        <v>41</v>
      </c>
      <c r="G1268" t="s">
        <v>67</v>
      </c>
      <c r="H1268">
        <v>18800</v>
      </c>
      <c r="I1268">
        <v>1</v>
      </c>
      <c r="J1268">
        <v>1</v>
      </c>
      <c r="K1268">
        <v>1</v>
      </c>
      <c r="L1268">
        <v>0</v>
      </c>
      <c r="M1268" t="s">
        <v>69</v>
      </c>
      <c r="N1268" t="s">
        <v>103</v>
      </c>
      <c r="O1268" t="s">
        <v>68</v>
      </c>
      <c r="P1268" t="s">
        <v>37</v>
      </c>
      <c r="Q1268" t="s">
        <v>48</v>
      </c>
      <c r="R1268" t="s">
        <v>60</v>
      </c>
      <c r="S1268" t="s">
        <v>65</v>
      </c>
      <c r="T1268">
        <v>1</v>
      </c>
      <c r="U1268">
        <v>1</v>
      </c>
      <c r="V1268">
        <v>1</v>
      </c>
      <c r="W1268">
        <v>0</v>
      </c>
      <c r="X1268">
        <v>0</v>
      </c>
      <c r="Y1268">
        <v>0</v>
      </c>
      <c r="Z1268">
        <v>1</v>
      </c>
      <c r="AA1268">
        <v>1</v>
      </c>
      <c r="AB1268">
        <v>1</v>
      </c>
      <c r="AC1268">
        <v>1</v>
      </c>
      <c r="AD1268">
        <v>0</v>
      </c>
      <c r="AE1268">
        <v>0</v>
      </c>
      <c r="AF1268">
        <v>0</v>
      </c>
      <c r="AG1268">
        <v>0</v>
      </c>
    </row>
    <row r="1269" spans="1:33" hidden="1" x14ac:dyDescent="0.2">
      <c r="A1269">
        <v>1268</v>
      </c>
      <c r="B1269" t="s">
        <v>408</v>
      </c>
      <c r="C1269" t="s">
        <v>108</v>
      </c>
      <c r="D1269">
        <v>38</v>
      </c>
      <c r="E1269" t="s">
        <v>34</v>
      </c>
      <c r="F1269" t="s">
        <v>53</v>
      </c>
      <c r="G1269" t="s">
        <v>76</v>
      </c>
      <c r="H1269">
        <v>26089</v>
      </c>
      <c r="I1269">
        <v>1</v>
      </c>
      <c r="J1269">
        <v>0</v>
      </c>
      <c r="K1269">
        <v>0</v>
      </c>
      <c r="L1269">
        <v>0</v>
      </c>
      <c r="M1269" t="s">
        <v>36</v>
      </c>
      <c r="N1269" t="s">
        <v>36</v>
      </c>
      <c r="O1269" t="s">
        <v>36</v>
      </c>
      <c r="P1269" t="s">
        <v>37</v>
      </c>
      <c r="Q1269" t="s">
        <v>36</v>
      </c>
      <c r="R1269" t="s">
        <v>36</v>
      </c>
      <c r="S1269" t="s">
        <v>36</v>
      </c>
      <c r="T1269" t="s">
        <v>36</v>
      </c>
      <c r="U1269">
        <v>1</v>
      </c>
      <c r="V1269">
        <v>1</v>
      </c>
      <c r="W1269">
        <v>0</v>
      </c>
      <c r="X1269">
        <v>0</v>
      </c>
      <c r="Y1269">
        <v>0</v>
      </c>
      <c r="Z1269">
        <v>1</v>
      </c>
      <c r="AA1269">
        <v>1</v>
      </c>
      <c r="AB1269">
        <v>1</v>
      </c>
      <c r="AC1269">
        <v>1</v>
      </c>
      <c r="AD1269">
        <v>0</v>
      </c>
      <c r="AE1269">
        <v>0</v>
      </c>
      <c r="AF1269">
        <v>0</v>
      </c>
      <c r="AG1269">
        <v>0</v>
      </c>
    </row>
    <row r="1270" spans="1:33" x14ac:dyDescent="0.2">
      <c r="A1270">
        <v>1269</v>
      </c>
      <c r="B1270" t="s">
        <v>408</v>
      </c>
      <c r="C1270" t="s">
        <v>108</v>
      </c>
      <c r="D1270">
        <v>38</v>
      </c>
      <c r="E1270" t="s">
        <v>34</v>
      </c>
      <c r="F1270" t="s">
        <v>41</v>
      </c>
      <c r="G1270" t="s">
        <v>49</v>
      </c>
      <c r="H1270">
        <v>48693</v>
      </c>
      <c r="I1270">
        <v>0</v>
      </c>
      <c r="J1270">
        <v>0</v>
      </c>
      <c r="K1270">
        <v>1</v>
      </c>
      <c r="L1270">
        <v>0</v>
      </c>
      <c r="M1270" t="s">
        <v>50</v>
      </c>
      <c r="N1270" t="s">
        <v>52</v>
      </c>
      <c r="O1270" t="s">
        <v>96</v>
      </c>
      <c r="P1270" t="s">
        <v>37</v>
      </c>
      <c r="Q1270" t="s">
        <v>48</v>
      </c>
      <c r="R1270" t="s">
        <v>46</v>
      </c>
      <c r="S1270" t="s">
        <v>65</v>
      </c>
      <c r="T1270">
        <v>0</v>
      </c>
      <c r="U1270">
        <v>1</v>
      </c>
      <c r="V1270">
        <v>1</v>
      </c>
      <c r="W1270">
        <v>0</v>
      </c>
      <c r="X1270">
        <v>1</v>
      </c>
      <c r="Y1270">
        <v>0</v>
      </c>
      <c r="Z1270">
        <v>1</v>
      </c>
      <c r="AA1270">
        <v>0</v>
      </c>
      <c r="AB1270">
        <v>1</v>
      </c>
      <c r="AC1270">
        <v>0</v>
      </c>
      <c r="AD1270">
        <v>0</v>
      </c>
      <c r="AE1270">
        <v>0</v>
      </c>
      <c r="AF1270">
        <v>0</v>
      </c>
      <c r="AG1270">
        <v>0</v>
      </c>
    </row>
    <row r="1271" spans="1:33" hidden="1" x14ac:dyDescent="0.2">
      <c r="A1271">
        <v>1270</v>
      </c>
      <c r="B1271" t="s">
        <v>408</v>
      </c>
      <c r="C1271" t="s">
        <v>108</v>
      </c>
      <c r="D1271">
        <v>38</v>
      </c>
      <c r="E1271" t="s">
        <v>34</v>
      </c>
      <c r="F1271" t="s">
        <v>53</v>
      </c>
      <c r="G1271" t="s">
        <v>66</v>
      </c>
      <c r="H1271">
        <v>28372</v>
      </c>
      <c r="I1271">
        <v>1</v>
      </c>
      <c r="J1271">
        <v>1</v>
      </c>
      <c r="K1271">
        <v>0</v>
      </c>
      <c r="L1271">
        <v>0</v>
      </c>
      <c r="M1271" t="s">
        <v>36</v>
      </c>
      <c r="N1271" t="s">
        <v>36</v>
      </c>
      <c r="O1271" t="s">
        <v>36</v>
      </c>
      <c r="P1271" t="s">
        <v>37</v>
      </c>
      <c r="Q1271" t="s">
        <v>36</v>
      </c>
      <c r="R1271" t="s">
        <v>36</v>
      </c>
      <c r="S1271" t="s">
        <v>36</v>
      </c>
      <c r="T1271" t="s">
        <v>36</v>
      </c>
      <c r="U1271">
        <v>1</v>
      </c>
      <c r="V1271">
        <v>1</v>
      </c>
      <c r="W1271">
        <v>0</v>
      </c>
      <c r="X1271">
        <v>1</v>
      </c>
      <c r="Y1271">
        <v>0</v>
      </c>
      <c r="Z1271">
        <v>1</v>
      </c>
      <c r="AA1271">
        <v>0</v>
      </c>
      <c r="AB1271">
        <v>1</v>
      </c>
      <c r="AC1271">
        <v>0</v>
      </c>
      <c r="AD1271">
        <v>0</v>
      </c>
      <c r="AE1271">
        <v>0</v>
      </c>
      <c r="AF1271">
        <v>0</v>
      </c>
      <c r="AG1271">
        <v>0</v>
      </c>
    </row>
    <row r="1272" spans="1:33" x14ac:dyDescent="0.2">
      <c r="A1272">
        <v>1271</v>
      </c>
      <c r="B1272" t="s">
        <v>408</v>
      </c>
      <c r="C1272" t="s">
        <v>108</v>
      </c>
      <c r="D1272">
        <v>38</v>
      </c>
      <c r="E1272" t="s">
        <v>34</v>
      </c>
      <c r="F1272" t="s">
        <v>41</v>
      </c>
      <c r="G1272" t="s">
        <v>72</v>
      </c>
      <c r="H1272">
        <v>24112</v>
      </c>
      <c r="I1272">
        <v>0</v>
      </c>
      <c r="J1272">
        <v>0</v>
      </c>
      <c r="K1272">
        <v>0</v>
      </c>
      <c r="L1272">
        <v>1</v>
      </c>
      <c r="M1272" t="s">
        <v>75</v>
      </c>
      <c r="N1272" t="s">
        <v>115</v>
      </c>
      <c r="O1272" t="s">
        <v>104</v>
      </c>
      <c r="P1272" t="s">
        <v>37</v>
      </c>
      <c r="Q1272" t="s">
        <v>46</v>
      </c>
      <c r="R1272" t="s">
        <v>65</v>
      </c>
      <c r="S1272" t="s">
        <v>60</v>
      </c>
      <c r="T1272">
        <v>1</v>
      </c>
      <c r="U1272">
        <v>1</v>
      </c>
      <c r="V1272">
        <v>0</v>
      </c>
      <c r="W1272">
        <v>0</v>
      </c>
      <c r="X1272">
        <v>1</v>
      </c>
      <c r="Y1272">
        <v>0</v>
      </c>
      <c r="Z1272">
        <v>1</v>
      </c>
      <c r="AA1272">
        <v>0</v>
      </c>
      <c r="AB1272">
        <v>0</v>
      </c>
      <c r="AC1272">
        <v>0</v>
      </c>
      <c r="AD1272">
        <v>0</v>
      </c>
      <c r="AE1272">
        <v>0</v>
      </c>
      <c r="AF1272">
        <v>0</v>
      </c>
      <c r="AG1272">
        <v>1</v>
      </c>
    </row>
    <row r="1273" spans="1:33" x14ac:dyDescent="0.2">
      <c r="A1273">
        <v>1272</v>
      </c>
      <c r="B1273" t="s">
        <v>408</v>
      </c>
      <c r="C1273" t="s">
        <v>108</v>
      </c>
      <c r="D1273">
        <v>38</v>
      </c>
      <c r="E1273" t="s">
        <v>34</v>
      </c>
      <c r="F1273" t="s">
        <v>41</v>
      </c>
      <c r="G1273" t="s">
        <v>55</v>
      </c>
      <c r="H1273">
        <v>22268</v>
      </c>
      <c r="I1273">
        <v>0</v>
      </c>
      <c r="J1273">
        <v>0</v>
      </c>
      <c r="K1273">
        <v>1</v>
      </c>
      <c r="L1273">
        <v>0</v>
      </c>
      <c r="M1273" t="s">
        <v>84</v>
      </c>
      <c r="N1273" t="s">
        <v>57</v>
      </c>
      <c r="O1273" t="s">
        <v>58</v>
      </c>
      <c r="P1273" t="s">
        <v>37</v>
      </c>
      <c r="Q1273" t="s">
        <v>46</v>
      </c>
      <c r="R1273" t="s">
        <v>48</v>
      </c>
      <c r="S1273" t="s">
        <v>60</v>
      </c>
      <c r="T1273">
        <v>1</v>
      </c>
      <c r="U1273">
        <v>0</v>
      </c>
      <c r="V1273">
        <v>1</v>
      </c>
      <c r="W1273">
        <v>0</v>
      </c>
      <c r="X1273">
        <v>1</v>
      </c>
      <c r="Y1273">
        <v>0</v>
      </c>
      <c r="Z1273">
        <v>1</v>
      </c>
      <c r="AA1273">
        <v>1</v>
      </c>
      <c r="AB1273">
        <v>0</v>
      </c>
      <c r="AC1273">
        <v>0</v>
      </c>
      <c r="AD1273">
        <v>0</v>
      </c>
      <c r="AE1273">
        <v>0</v>
      </c>
      <c r="AF1273">
        <v>0</v>
      </c>
      <c r="AG1273">
        <v>0</v>
      </c>
    </row>
    <row r="1274" spans="1:33" hidden="1" x14ac:dyDescent="0.2">
      <c r="A1274">
        <v>1273</v>
      </c>
      <c r="B1274" t="s">
        <v>408</v>
      </c>
      <c r="C1274" t="s">
        <v>108</v>
      </c>
      <c r="D1274">
        <v>38</v>
      </c>
      <c r="E1274" t="s">
        <v>34</v>
      </c>
      <c r="F1274" t="s">
        <v>53</v>
      </c>
      <c r="G1274" t="s">
        <v>71</v>
      </c>
      <c r="H1274">
        <v>32828</v>
      </c>
      <c r="I1274">
        <v>0</v>
      </c>
      <c r="J1274">
        <v>0</v>
      </c>
      <c r="K1274">
        <v>1</v>
      </c>
      <c r="L1274">
        <v>0</v>
      </c>
      <c r="M1274" t="s">
        <v>36</v>
      </c>
      <c r="N1274" t="s">
        <v>36</v>
      </c>
      <c r="O1274" t="s">
        <v>36</v>
      </c>
      <c r="P1274" t="s">
        <v>37</v>
      </c>
      <c r="Q1274" t="s">
        <v>36</v>
      </c>
      <c r="R1274" t="s">
        <v>36</v>
      </c>
      <c r="S1274" t="s">
        <v>36</v>
      </c>
      <c r="T1274" t="s">
        <v>36</v>
      </c>
      <c r="U1274">
        <v>0</v>
      </c>
      <c r="V1274">
        <v>1</v>
      </c>
      <c r="W1274">
        <v>0</v>
      </c>
      <c r="X1274">
        <v>1</v>
      </c>
      <c r="Y1274">
        <v>0</v>
      </c>
      <c r="Z1274">
        <v>1</v>
      </c>
      <c r="AA1274">
        <v>1</v>
      </c>
      <c r="AB1274">
        <v>0</v>
      </c>
      <c r="AC1274">
        <v>0</v>
      </c>
      <c r="AD1274">
        <v>0</v>
      </c>
      <c r="AE1274">
        <v>0</v>
      </c>
      <c r="AF1274">
        <v>0</v>
      </c>
      <c r="AG1274">
        <v>0</v>
      </c>
    </row>
    <row r="1275" spans="1:33" hidden="1" x14ac:dyDescent="0.2">
      <c r="A1275">
        <v>1274</v>
      </c>
      <c r="B1275" t="s">
        <v>408</v>
      </c>
      <c r="C1275" t="s">
        <v>108</v>
      </c>
      <c r="D1275">
        <v>38</v>
      </c>
      <c r="E1275" t="s">
        <v>34</v>
      </c>
      <c r="F1275" t="s">
        <v>77</v>
      </c>
      <c r="G1275" t="s">
        <v>36</v>
      </c>
      <c r="H1275">
        <v>140514</v>
      </c>
      <c r="I1275" t="s">
        <v>409</v>
      </c>
      <c r="J1275" t="s">
        <v>410</v>
      </c>
      <c r="K1275" t="s">
        <v>213</v>
      </c>
      <c r="L1275" t="s">
        <v>36</v>
      </c>
      <c r="M1275" t="s">
        <v>36</v>
      </c>
      <c r="N1275" t="s">
        <v>36</v>
      </c>
      <c r="O1275" t="s">
        <v>36</v>
      </c>
      <c r="P1275" t="s">
        <v>37</v>
      </c>
      <c r="Q1275" t="s">
        <v>36</v>
      </c>
      <c r="R1275" t="s">
        <v>36</v>
      </c>
      <c r="S1275" t="s">
        <v>36</v>
      </c>
      <c r="T1275" t="s">
        <v>36</v>
      </c>
      <c r="U1275" t="s">
        <v>36</v>
      </c>
      <c r="V1275" t="s">
        <v>36</v>
      </c>
      <c r="W1275" t="s">
        <v>36</v>
      </c>
      <c r="X1275" t="s">
        <v>36</v>
      </c>
      <c r="Y1275" t="s">
        <v>36</v>
      </c>
      <c r="Z1275" t="s">
        <v>36</v>
      </c>
      <c r="AA1275" t="s">
        <v>36</v>
      </c>
      <c r="AB1275" t="s">
        <v>36</v>
      </c>
      <c r="AC1275" t="s">
        <v>36</v>
      </c>
      <c r="AD1275" t="s">
        <v>36</v>
      </c>
      <c r="AE1275" t="s">
        <v>36</v>
      </c>
      <c r="AF1275" t="s">
        <v>36</v>
      </c>
      <c r="AG1275" t="s">
        <v>36</v>
      </c>
    </row>
    <row r="1276" spans="1:33" hidden="1" x14ac:dyDescent="0.2">
      <c r="A1276">
        <v>1275</v>
      </c>
      <c r="B1276" t="s">
        <v>411</v>
      </c>
      <c r="C1276" t="s">
        <v>33</v>
      </c>
      <c r="D1276">
        <v>35</v>
      </c>
      <c r="E1276" t="s">
        <v>114</v>
      </c>
      <c r="F1276" t="s">
        <v>35</v>
      </c>
      <c r="G1276" t="s">
        <v>36</v>
      </c>
      <c r="H1276">
        <v>45455</v>
      </c>
      <c r="I1276" t="s">
        <v>36</v>
      </c>
      <c r="J1276" t="s">
        <v>36</v>
      </c>
      <c r="K1276" t="s">
        <v>36</v>
      </c>
      <c r="L1276" t="s">
        <v>36</v>
      </c>
      <c r="M1276" t="s">
        <v>36</v>
      </c>
      <c r="N1276" t="s">
        <v>36</v>
      </c>
      <c r="O1276" t="s">
        <v>36</v>
      </c>
      <c r="P1276" t="s">
        <v>37</v>
      </c>
      <c r="Q1276" t="s">
        <v>36</v>
      </c>
      <c r="R1276" t="s">
        <v>36</v>
      </c>
      <c r="S1276" t="s">
        <v>36</v>
      </c>
      <c r="T1276" t="s">
        <v>36</v>
      </c>
      <c r="U1276" t="s">
        <v>36</v>
      </c>
      <c r="V1276" t="s">
        <v>36</v>
      </c>
      <c r="W1276" t="s">
        <v>36</v>
      </c>
      <c r="X1276" t="s">
        <v>36</v>
      </c>
      <c r="Y1276" t="s">
        <v>36</v>
      </c>
      <c r="Z1276" t="s">
        <v>36</v>
      </c>
      <c r="AA1276" t="s">
        <v>36</v>
      </c>
      <c r="AB1276" t="s">
        <v>36</v>
      </c>
      <c r="AC1276" t="s">
        <v>36</v>
      </c>
      <c r="AD1276" t="s">
        <v>36</v>
      </c>
      <c r="AE1276" t="s">
        <v>36</v>
      </c>
      <c r="AF1276" t="s">
        <v>36</v>
      </c>
      <c r="AG1276" t="s">
        <v>36</v>
      </c>
    </row>
    <row r="1277" spans="1:33" hidden="1" x14ac:dyDescent="0.2">
      <c r="A1277">
        <v>1276</v>
      </c>
      <c r="B1277" t="s">
        <v>411</v>
      </c>
      <c r="C1277" t="s">
        <v>33</v>
      </c>
      <c r="D1277">
        <v>35</v>
      </c>
      <c r="E1277" t="s">
        <v>114</v>
      </c>
      <c r="F1277" t="s">
        <v>38</v>
      </c>
      <c r="G1277" t="s">
        <v>40</v>
      </c>
      <c r="H1277">
        <v>32819</v>
      </c>
      <c r="I1277">
        <v>0</v>
      </c>
      <c r="J1277">
        <v>0</v>
      </c>
      <c r="K1277">
        <v>1</v>
      </c>
      <c r="L1277">
        <v>0</v>
      </c>
      <c r="M1277" t="s">
        <v>36</v>
      </c>
      <c r="N1277" t="s">
        <v>36</v>
      </c>
      <c r="O1277" t="s">
        <v>36</v>
      </c>
      <c r="P1277" t="s">
        <v>37</v>
      </c>
      <c r="Q1277" t="s">
        <v>36</v>
      </c>
      <c r="R1277" t="s">
        <v>36</v>
      </c>
      <c r="S1277" t="s">
        <v>36</v>
      </c>
      <c r="T1277" t="s">
        <v>36</v>
      </c>
      <c r="U1277" t="s">
        <v>36</v>
      </c>
      <c r="V1277" t="s">
        <v>36</v>
      </c>
      <c r="W1277" t="s">
        <v>36</v>
      </c>
      <c r="X1277" t="s">
        <v>36</v>
      </c>
      <c r="Y1277" t="s">
        <v>36</v>
      </c>
      <c r="Z1277" t="s">
        <v>36</v>
      </c>
      <c r="AA1277" t="s">
        <v>36</v>
      </c>
      <c r="AB1277" t="s">
        <v>36</v>
      </c>
      <c r="AC1277" t="s">
        <v>36</v>
      </c>
      <c r="AD1277" t="s">
        <v>36</v>
      </c>
      <c r="AE1277" t="s">
        <v>36</v>
      </c>
      <c r="AF1277" t="s">
        <v>36</v>
      </c>
      <c r="AG1277" t="s">
        <v>36</v>
      </c>
    </row>
    <row r="1278" spans="1:33" hidden="1" x14ac:dyDescent="0.2">
      <c r="A1278">
        <v>1277</v>
      </c>
      <c r="B1278" t="s">
        <v>411</v>
      </c>
      <c r="C1278" t="s">
        <v>33</v>
      </c>
      <c r="D1278">
        <v>35</v>
      </c>
      <c r="E1278" t="s">
        <v>114</v>
      </c>
      <c r="F1278" t="s">
        <v>38</v>
      </c>
      <c r="G1278" t="s">
        <v>39</v>
      </c>
      <c r="H1278">
        <v>22825</v>
      </c>
      <c r="I1278">
        <v>0</v>
      </c>
      <c r="J1278">
        <v>0</v>
      </c>
      <c r="K1278">
        <v>0</v>
      </c>
      <c r="L1278">
        <v>1</v>
      </c>
      <c r="M1278" t="s">
        <v>36</v>
      </c>
      <c r="N1278" t="s">
        <v>36</v>
      </c>
      <c r="O1278" t="s">
        <v>36</v>
      </c>
      <c r="P1278" t="s">
        <v>37</v>
      </c>
      <c r="Q1278" t="s">
        <v>36</v>
      </c>
      <c r="R1278" t="s">
        <v>36</v>
      </c>
      <c r="S1278" t="s">
        <v>36</v>
      </c>
      <c r="T1278" t="s">
        <v>36</v>
      </c>
      <c r="U1278" t="s">
        <v>36</v>
      </c>
      <c r="V1278" t="s">
        <v>36</v>
      </c>
      <c r="W1278" t="s">
        <v>36</v>
      </c>
      <c r="X1278" t="s">
        <v>36</v>
      </c>
      <c r="Y1278" t="s">
        <v>36</v>
      </c>
      <c r="Z1278" t="s">
        <v>36</v>
      </c>
      <c r="AA1278" t="s">
        <v>36</v>
      </c>
      <c r="AB1278" t="s">
        <v>36</v>
      </c>
      <c r="AC1278" t="s">
        <v>36</v>
      </c>
      <c r="AD1278" t="s">
        <v>36</v>
      </c>
      <c r="AE1278" t="s">
        <v>36</v>
      </c>
      <c r="AF1278" t="s">
        <v>36</v>
      </c>
      <c r="AG1278" t="s">
        <v>36</v>
      </c>
    </row>
    <row r="1279" spans="1:33" x14ac:dyDescent="0.2">
      <c r="A1279">
        <v>1278</v>
      </c>
      <c r="B1279" t="s">
        <v>411</v>
      </c>
      <c r="C1279" t="s">
        <v>33</v>
      </c>
      <c r="D1279">
        <v>35</v>
      </c>
      <c r="E1279" t="s">
        <v>114</v>
      </c>
      <c r="F1279" t="s">
        <v>41</v>
      </c>
      <c r="G1279" t="s">
        <v>72</v>
      </c>
      <c r="H1279">
        <v>42145</v>
      </c>
      <c r="I1279">
        <v>0</v>
      </c>
      <c r="J1279">
        <v>0</v>
      </c>
      <c r="K1279">
        <v>0</v>
      </c>
      <c r="L1279">
        <v>1</v>
      </c>
      <c r="M1279" t="s">
        <v>73</v>
      </c>
      <c r="N1279" t="s">
        <v>75</v>
      </c>
      <c r="O1279" t="s">
        <v>93</v>
      </c>
      <c r="P1279" t="s">
        <v>37</v>
      </c>
      <c r="Q1279" t="s">
        <v>48</v>
      </c>
      <c r="R1279" t="s">
        <v>46</v>
      </c>
      <c r="S1279" t="s">
        <v>59</v>
      </c>
      <c r="T1279">
        <v>0</v>
      </c>
      <c r="U1279">
        <v>0</v>
      </c>
      <c r="V1279">
        <v>1</v>
      </c>
      <c r="W1279">
        <v>0</v>
      </c>
      <c r="X1279">
        <v>1</v>
      </c>
      <c r="Y1279">
        <v>0</v>
      </c>
      <c r="Z1279">
        <v>1</v>
      </c>
      <c r="AA1279">
        <v>0</v>
      </c>
      <c r="AB1279">
        <v>0</v>
      </c>
      <c r="AC1279">
        <v>0</v>
      </c>
      <c r="AD1279">
        <v>0</v>
      </c>
      <c r="AE1279">
        <v>0</v>
      </c>
      <c r="AF1279">
        <v>0</v>
      </c>
      <c r="AG1279">
        <v>1</v>
      </c>
    </row>
    <row r="1280" spans="1:33" x14ac:dyDescent="0.2">
      <c r="A1280">
        <v>1279</v>
      </c>
      <c r="B1280" t="s">
        <v>411</v>
      </c>
      <c r="C1280" t="s">
        <v>33</v>
      </c>
      <c r="D1280">
        <v>35</v>
      </c>
      <c r="E1280" t="s">
        <v>114</v>
      </c>
      <c r="F1280" t="s">
        <v>41</v>
      </c>
      <c r="G1280" t="s">
        <v>49</v>
      </c>
      <c r="H1280">
        <v>44318</v>
      </c>
      <c r="I1280">
        <v>0</v>
      </c>
      <c r="J1280">
        <v>0</v>
      </c>
      <c r="K1280">
        <v>0</v>
      </c>
      <c r="L1280">
        <v>1</v>
      </c>
      <c r="M1280" t="s">
        <v>96</v>
      </c>
      <c r="N1280" t="s">
        <v>50</v>
      </c>
      <c r="O1280" t="s">
        <v>83</v>
      </c>
      <c r="P1280" t="s">
        <v>37</v>
      </c>
      <c r="Q1280" t="s">
        <v>65</v>
      </c>
      <c r="R1280" t="s">
        <v>48</v>
      </c>
      <c r="S1280" t="s">
        <v>59</v>
      </c>
      <c r="T1280">
        <v>0</v>
      </c>
      <c r="U1280">
        <v>1</v>
      </c>
      <c r="V1280">
        <v>1</v>
      </c>
      <c r="W1280">
        <v>0</v>
      </c>
      <c r="X1280">
        <v>0</v>
      </c>
      <c r="Y1280">
        <v>0</v>
      </c>
      <c r="Z1280">
        <v>1</v>
      </c>
      <c r="AA1280">
        <v>0</v>
      </c>
      <c r="AB1280">
        <v>0</v>
      </c>
      <c r="AC1280">
        <v>0</v>
      </c>
      <c r="AD1280">
        <v>0</v>
      </c>
      <c r="AE1280">
        <v>0</v>
      </c>
      <c r="AF1280">
        <v>0</v>
      </c>
      <c r="AG1280">
        <v>1</v>
      </c>
    </row>
    <row r="1281" spans="1:33" hidden="1" x14ac:dyDescent="0.2">
      <c r="A1281">
        <v>1280</v>
      </c>
      <c r="B1281" t="s">
        <v>411</v>
      </c>
      <c r="C1281" t="s">
        <v>33</v>
      </c>
      <c r="D1281">
        <v>35</v>
      </c>
      <c r="E1281" t="s">
        <v>114</v>
      </c>
      <c r="F1281" t="s">
        <v>53</v>
      </c>
      <c r="G1281" t="s">
        <v>66</v>
      </c>
      <c r="H1281">
        <v>41873</v>
      </c>
      <c r="I1281">
        <v>1</v>
      </c>
      <c r="J1281">
        <v>1</v>
      </c>
      <c r="K1281">
        <v>0</v>
      </c>
      <c r="L1281">
        <v>0</v>
      </c>
      <c r="M1281" t="s">
        <v>36</v>
      </c>
      <c r="N1281" t="s">
        <v>36</v>
      </c>
      <c r="O1281" t="s">
        <v>36</v>
      </c>
      <c r="P1281" t="s">
        <v>37</v>
      </c>
      <c r="Q1281" t="s">
        <v>36</v>
      </c>
      <c r="R1281" t="s">
        <v>36</v>
      </c>
      <c r="S1281" t="s">
        <v>36</v>
      </c>
      <c r="T1281" t="s">
        <v>36</v>
      </c>
      <c r="U1281">
        <v>1</v>
      </c>
      <c r="V1281">
        <v>1</v>
      </c>
      <c r="W1281">
        <v>0</v>
      </c>
      <c r="X1281">
        <v>0</v>
      </c>
      <c r="Y1281">
        <v>0</v>
      </c>
      <c r="Z1281">
        <v>1</v>
      </c>
      <c r="AA1281">
        <v>0</v>
      </c>
      <c r="AB1281">
        <v>0</v>
      </c>
      <c r="AC1281">
        <v>0</v>
      </c>
      <c r="AD1281">
        <v>0</v>
      </c>
      <c r="AE1281">
        <v>0</v>
      </c>
      <c r="AF1281">
        <v>0</v>
      </c>
      <c r="AG1281">
        <v>1</v>
      </c>
    </row>
    <row r="1282" spans="1:33" x14ac:dyDescent="0.2">
      <c r="A1282">
        <v>1281</v>
      </c>
      <c r="B1282" t="s">
        <v>411</v>
      </c>
      <c r="C1282" t="s">
        <v>33</v>
      </c>
      <c r="D1282">
        <v>35</v>
      </c>
      <c r="E1282" t="s">
        <v>114</v>
      </c>
      <c r="F1282" t="s">
        <v>41</v>
      </c>
      <c r="G1282" t="s">
        <v>61</v>
      </c>
      <c r="H1282">
        <v>90956</v>
      </c>
      <c r="I1282">
        <v>0</v>
      </c>
      <c r="J1282">
        <v>0</v>
      </c>
      <c r="K1282">
        <v>0</v>
      </c>
      <c r="L1282">
        <v>1</v>
      </c>
      <c r="M1282" t="s">
        <v>97</v>
      </c>
      <c r="N1282" t="s">
        <v>87</v>
      </c>
      <c r="O1282" t="s">
        <v>63</v>
      </c>
      <c r="P1282" t="s">
        <v>37</v>
      </c>
      <c r="Q1282" t="s">
        <v>59</v>
      </c>
      <c r="R1282" t="s">
        <v>47</v>
      </c>
      <c r="S1282" t="s">
        <v>46</v>
      </c>
      <c r="T1282">
        <v>0</v>
      </c>
      <c r="U1282">
        <v>0</v>
      </c>
      <c r="V1282">
        <v>0</v>
      </c>
      <c r="W1282">
        <v>1</v>
      </c>
      <c r="X1282">
        <v>1</v>
      </c>
      <c r="Y1282">
        <v>0</v>
      </c>
      <c r="Z1282">
        <v>1</v>
      </c>
      <c r="AA1282">
        <v>0</v>
      </c>
      <c r="AB1282">
        <v>0</v>
      </c>
      <c r="AC1282">
        <v>0</v>
      </c>
      <c r="AD1282">
        <v>0</v>
      </c>
      <c r="AE1282">
        <v>0</v>
      </c>
      <c r="AF1282">
        <v>0</v>
      </c>
      <c r="AG1282">
        <v>1</v>
      </c>
    </row>
    <row r="1283" spans="1:33" hidden="1" x14ac:dyDescent="0.2">
      <c r="A1283">
        <v>1282</v>
      </c>
      <c r="B1283" t="s">
        <v>411</v>
      </c>
      <c r="C1283" t="s">
        <v>33</v>
      </c>
      <c r="D1283">
        <v>35</v>
      </c>
      <c r="E1283" t="s">
        <v>114</v>
      </c>
      <c r="F1283" t="s">
        <v>53</v>
      </c>
      <c r="G1283" t="s">
        <v>54</v>
      </c>
      <c r="H1283">
        <v>25902</v>
      </c>
      <c r="I1283">
        <v>1</v>
      </c>
      <c r="J1283">
        <v>1</v>
      </c>
      <c r="K1283">
        <v>1</v>
      </c>
      <c r="L1283">
        <v>0</v>
      </c>
      <c r="M1283" t="s">
        <v>36</v>
      </c>
      <c r="N1283" t="s">
        <v>36</v>
      </c>
      <c r="O1283" t="s">
        <v>36</v>
      </c>
      <c r="P1283" t="s">
        <v>37</v>
      </c>
      <c r="Q1283" t="s">
        <v>36</v>
      </c>
      <c r="R1283" t="s">
        <v>36</v>
      </c>
      <c r="S1283" t="s">
        <v>36</v>
      </c>
      <c r="T1283" t="s">
        <v>36</v>
      </c>
      <c r="U1283">
        <v>0</v>
      </c>
      <c r="V1283">
        <v>0</v>
      </c>
      <c r="W1283">
        <v>1</v>
      </c>
      <c r="X1283">
        <v>1</v>
      </c>
      <c r="Y1283">
        <v>0</v>
      </c>
      <c r="Z1283">
        <v>1</v>
      </c>
      <c r="AA1283">
        <v>0</v>
      </c>
      <c r="AB1283">
        <v>0</v>
      </c>
      <c r="AC1283">
        <v>0</v>
      </c>
      <c r="AD1283">
        <v>0</v>
      </c>
      <c r="AE1283">
        <v>0</v>
      </c>
      <c r="AF1283">
        <v>0</v>
      </c>
      <c r="AG1283">
        <v>1</v>
      </c>
    </row>
    <row r="1284" spans="1:33" x14ac:dyDescent="0.2">
      <c r="A1284">
        <v>1283</v>
      </c>
      <c r="B1284" t="s">
        <v>411</v>
      </c>
      <c r="C1284" t="s">
        <v>33</v>
      </c>
      <c r="D1284">
        <v>35</v>
      </c>
      <c r="E1284" t="s">
        <v>114</v>
      </c>
      <c r="F1284" t="s">
        <v>41</v>
      </c>
      <c r="G1284" t="s">
        <v>67</v>
      </c>
      <c r="H1284">
        <v>19037</v>
      </c>
      <c r="I1284">
        <v>1</v>
      </c>
      <c r="J1284">
        <v>1</v>
      </c>
      <c r="K1284">
        <v>1</v>
      </c>
      <c r="L1284">
        <v>0</v>
      </c>
      <c r="M1284" t="s">
        <v>68</v>
      </c>
      <c r="N1284" t="s">
        <v>70</v>
      </c>
      <c r="O1284" t="s">
        <v>109</v>
      </c>
      <c r="P1284" t="s">
        <v>37</v>
      </c>
      <c r="Q1284" t="s">
        <v>65</v>
      </c>
      <c r="R1284" t="s">
        <v>47</v>
      </c>
      <c r="S1284" t="s">
        <v>59</v>
      </c>
      <c r="T1284">
        <v>0</v>
      </c>
      <c r="U1284">
        <v>1</v>
      </c>
      <c r="V1284">
        <v>0</v>
      </c>
      <c r="W1284">
        <v>1</v>
      </c>
      <c r="X1284">
        <v>0</v>
      </c>
      <c r="Y1284">
        <v>0</v>
      </c>
      <c r="Z1284">
        <v>1</v>
      </c>
      <c r="AA1284">
        <v>0</v>
      </c>
      <c r="AB1284">
        <v>1</v>
      </c>
      <c r="AC1284">
        <v>0</v>
      </c>
      <c r="AD1284">
        <v>1</v>
      </c>
      <c r="AE1284">
        <v>0</v>
      </c>
      <c r="AF1284">
        <v>0</v>
      </c>
      <c r="AG1284">
        <v>0</v>
      </c>
    </row>
    <row r="1285" spans="1:33" x14ac:dyDescent="0.2">
      <c r="A1285">
        <v>1284</v>
      </c>
      <c r="B1285" t="s">
        <v>411</v>
      </c>
      <c r="C1285" t="s">
        <v>33</v>
      </c>
      <c r="D1285">
        <v>35</v>
      </c>
      <c r="E1285" t="s">
        <v>114</v>
      </c>
      <c r="F1285" t="s">
        <v>41</v>
      </c>
      <c r="G1285" t="s">
        <v>55</v>
      </c>
      <c r="H1285">
        <v>27856</v>
      </c>
      <c r="I1285">
        <v>1</v>
      </c>
      <c r="J1285">
        <v>1</v>
      </c>
      <c r="K1285">
        <v>1</v>
      </c>
      <c r="L1285">
        <v>0</v>
      </c>
      <c r="M1285" t="s">
        <v>57</v>
      </c>
      <c r="N1285" t="s">
        <v>94</v>
      </c>
      <c r="O1285" t="s">
        <v>85</v>
      </c>
      <c r="P1285" t="s">
        <v>37</v>
      </c>
      <c r="Q1285" t="s">
        <v>48</v>
      </c>
      <c r="R1285" t="s">
        <v>47</v>
      </c>
      <c r="S1285" t="s">
        <v>65</v>
      </c>
      <c r="T1285">
        <v>0</v>
      </c>
      <c r="U1285">
        <v>1</v>
      </c>
      <c r="V1285">
        <v>1</v>
      </c>
      <c r="W1285">
        <v>1</v>
      </c>
      <c r="X1285">
        <v>0</v>
      </c>
      <c r="Y1285">
        <v>0</v>
      </c>
      <c r="Z1285">
        <v>1</v>
      </c>
      <c r="AA1285">
        <v>0</v>
      </c>
      <c r="AB1285">
        <v>1</v>
      </c>
      <c r="AC1285">
        <v>1</v>
      </c>
      <c r="AD1285">
        <v>1</v>
      </c>
      <c r="AE1285">
        <v>0</v>
      </c>
      <c r="AF1285">
        <v>0</v>
      </c>
      <c r="AG1285">
        <v>0</v>
      </c>
    </row>
    <row r="1286" spans="1:33" hidden="1" x14ac:dyDescent="0.2">
      <c r="A1286">
        <v>1285</v>
      </c>
      <c r="B1286" t="s">
        <v>411</v>
      </c>
      <c r="C1286" t="s">
        <v>33</v>
      </c>
      <c r="D1286">
        <v>35</v>
      </c>
      <c r="E1286" t="s">
        <v>114</v>
      </c>
      <c r="F1286" t="s">
        <v>53</v>
      </c>
      <c r="G1286" t="s">
        <v>71</v>
      </c>
      <c r="H1286">
        <v>31384</v>
      </c>
      <c r="I1286">
        <v>0</v>
      </c>
      <c r="J1286">
        <v>1</v>
      </c>
      <c r="K1286">
        <v>1</v>
      </c>
      <c r="L1286">
        <v>0</v>
      </c>
      <c r="M1286" t="s">
        <v>36</v>
      </c>
      <c r="N1286" t="s">
        <v>36</v>
      </c>
      <c r="O1286" t="s">
        <v>36</v>
      </c>
      <c r="P1286" t="s">
        <v>37</v>
      </c>
      <c r="Q1286" t="s">
        <v>36</v>
      </c>
      <c r="R1286" t="s">
        <v>36</v>
      </c>
      <c r="S1286" t="s">
        <v>36</v>
      </c>
      <c r="T1286" t="s">
        <v>36</v>
      </c>
      <c r="U1286">
        <v>1</v>
      </c>
      <c r="V1286">
        <v>1</v>
      </c>
      <c r="W1286">
        <v>1</v>
      </c>
      <c r="X1286">
        <v>0</v>
      </c>
      <c r="Y1286">
        <v>0</v>
      </c>
      <c r="Z1286">
        <v>1</v>
      </c>
      <c r="AA1286">
        <v>0</v>
      </c>
      <c r="AB1286">
        <v>1</v>
      </c>
      <c r="AC1286">
        <v>1</v>
      </c>
      <c r="AD1286">
        <v>1</v>
      </c>
      <c r="AE1286">
        <v>0</v>
      </c>
      <c r="AF1286">
        <v>0</v>
      </c>
      <c r="AG1286">
        <v>0</v>
      </c>
    </row>
    <row r="1287" spans="1:33" x14ac:dyDescent="0.2">
      <c r="A1287">
        <v>1286</v>
      </c>
      <c r="B1287" t="s">
        <v>411</v>
      </c>
      <c r="C1287" t="s">
        <v>33</v>
      </c>
      <c r="D1287">
        <v>35</v>
      </c>
      <c r="E1287" t="s">
        <v>114</v>
      </c>
      <c r="F1287" t="s">
        <v>41</v>
      </c>
      <c r="G1287" t="s">
        <v>42</v>
      </c>
      <c r="H1287">
        <v>16383</v>
      </c>
      <c r="I1287">
        <v>1</v>
      </c>
      <c r="J1287">
        <v>1</v>
      </c>
      <c r="K1287">
        <v>1</v>
      </c>
      <c r="L1287">
        <v>0</v>
      </c>
      <c r="M1287" t="s">
        <v>82</v>
      </c>
      <c r="N1287" t="s">
        <v>43</v>
      </c>
      <c r="O1287" t="s">
        <v>116</v>
      </c>
      <c r="P1287" t="s">
        <v>37</v>
      </c>
      <c r="Q1287" t="s">
        <v>65</v>
      </c>
      <c r="R1287" t="s">
        <v>46</v>
      </c>
      <c r="S1287" t="s">
        <v>60</v>
      </c>
      <c r="T1287">
        <v>1</v>
      </c>
      <c r="U1287">
        <v>1</v>
      </c>
      <c r="V1287">
        <v>0</v>
      </c>
      <c r="W1287">
        <v>0</v>
      </c>
      <c r="X1287">
        <v>1</v>
      </c>
      <c r="Y1287">
        <v>0</v>
      </c>
      <c r="Z1287">
        <v>1</v>
      </c>
      <c r="AA1287">
        <v>1</v>
      </c>
      <c r="AB1287">
        <v>1</v>
      </c>
      <c r="AC1287">
        <v>0</v>
      </c>
      <c r="AD1287">
        <v>0</v>
      </c>
      <c r="AE1287">
        <v>1</v>
      </c>
      <c r="AF1287">
        <v>0</v>
      </c>
      <c r="AG1287">
        <v>0</v>
      </c>
    </row>
    <row r="1288" spans="1:33" hidden="1" x14ac:dyDescent="0.2">
      <c r="A1288">
        <v>1287</v>
      </c>
      <c r="B1288" t="s">
        <v>411</v>
      </c>
      <c r="C1288" t="s">
        <v>33</v>
      </c>
      <c r="D1288">
        <v>35</v>
      </c>
      <c r="E1288" t="s">
        <v>114</v>
      </c>
      <c r="F1288" t="s">
        <v>53</v>
      </c>
      <c r="G1288" t="s">
        <v>76</v>
      </c>
      <c r="H1288">
        <v>20034</v>
      </c>
      <c r="I1288">
        <v>1</v>
      </c>
      <c r="J1288">
        <v>1</v>
      </c>
      <c r="K1288">
        <v>0</v>
      </c>
      <c r="L1288">
        <v>0</v>
      </c>
      <c r="M1288" t="s">
        <v>36</v>
      </c>
      <c r="N1288" t="s">
        <v>36</v>
      </c>
      <c r="O1288" t="s">
        <v>36</v>
      </c>
      <c r="P1288" t="s">
        <v>37</v>
      </c>
      <c r="Q1288" t="s">
        <v>36</v>
      </c>
      <c r="R1288" t="s">
        <v>36</v>
      </c>
      <c r="S1288" t="s">
        <v>36</v>
      </c>
      <c r="T1288" t="s">
        <v>36</v>
      </c>
      <c r="U1288">
        <v>1</v>
      </c>
      <c r="V1288">
        <v>0</v>
      </c>
      <c r="W1288">
        <v>0</v>
      </c>
      <c r="X1288">
        <v>1</v>
      </c>
      <c r="Y1288">
        <v>0</v>
      </c>
      <c r="Z1288">
        <v>1</v>
      </c>
      <c r="AA1288">
        <v>1</v>
      </c>
      <c r="AB1288">
        <v>1</v>
      </c>
      <c r="AC1288">
        <v>0</v>
      </c>
      <c r="AD1288">
        <v>0</v>
      </c>
      <c r="AE1288">
        <v>1</v>
      </c>
      <c r="AF1288">
        <v>0</v>
      </c>
      <c r="AG1288">
        <v>0</v>
      </c>
    </row>
    <row r="1289" spans="1:33" hidden="1" x14ac:dyDescent="0.2">
      <c r="A1289">
        <v>1288</v>
      </c>
      <c r="B1289" t="s">
        <v>411</v>
      </c>
      <c r="C1289" t="s">
        <v>33</v>
      </c>
      <c r="D1289">
        <v>35</v>
      </c>
      <c r="E1289" t="s">
        <v>114</v>
      </c>
      <c r="F1289" t="s">
        <v>77</v>
      </c>
      <c r="G1289" t="s">
        <v>36</v>
      </c>
      <c r="H1289">
        <v>69506</v>
      </c>
      <c r="I1289" t="s">
        <v>412</v>
      </c>
      <c r="J1289" t="s">
        <v>413</v>
      </c>
      <c r="K1289" t="s">
        <v>414</v>
      </c>
      <c r="L1289" t="s">
        <v>36</v>
      </c>
      <c r="M1289" t="s">
        <v>36</v>
      </c>
      <c r="N1289" t="s">
        <v>36</v>
      </c>
      <c r="O1289" t="s">
        <v>36</v>
      </c>
      <c r="P1289" t="s">
        <v>37</v>
      </c>
      <c r="Q1289" t="s">
        <v>36</v>
      </c>
      <c r="R1289" t="s">
        <v>36</v>
      </c>
      <c r="S1289" t="s">
        <v>36</v>
      </c>
      <c r="T1289" t="s">
        <v>36</v>
      </c>
      <c r="U1289" t="s">
        <v>36</v>
      </c>
      <c r="V1289" t="s">
        <v>36</v>
      </c>
      <c r="W1289" t="s">
        <v>36</v>
      </c>
      <c r="X1289" t="s">
        <v>36</v>
      </c>
      <c r="Y1289" t="s">
        <v>36</v>
      </c>
      <c r="Z1289" t="s">
        <v>36</v>
      </c>
      <c r="AA1289" t="s">
        <v>36</v>
      </c>
      <c r="AB1289" t="s">
        <v>36</v>
      </c>
      <c r="AC1289" t="s">
        <v>36</v>
      </c>
      <c r="AD1289" t="s">
        <v>36</v>
      </c>
      <c r="AE1289" t="s">
        <v>36</v>
      </c>
      <c r="AF1289" t="s">
        <v>36</v>
      </c>
      <c r="AG1289" t="s">
        <v>36</v>
      </c>
    </row>
    <row r="1290" spans="1:33" hidden="1" x14ac:dyDescent="0.2">
      <c r="A1290">
        <v>1289</v>
      </c>
      <c r="B1290" t="s">
        <v>415</v>
      </c>
      <c r="C1290" t="s">
        <v>108</v>
      </c>
      <c r="D1290">
        <v>36</v>
      </c>
      <c r="E1290" t="s">
        <v>34</v>
      </c>
      <c r="F1290" t="s">
        <v>35</v>
      </c>
      <c r="G1290" t="s">
        <v>36</v>
      </c>
      <c r="H1290">
        <v>53923</v>
      </c>
      <c r="I1290" t="s">
        <v>36</v>
      </c>
      <c r="J1290" t="s">
        <v>36</v>
      </c>
      <c r="K1290" t="s">
        <v>36</v>
      </c>
      <c r="L1290" t="s">
        <v>36</v>
      </c>
      <c r="M1290" t="s">
        <v>36</v>
      </c>
      <c r="N1290" t="s">
        <v>36</v>
      </c>
      <c r="O1290" t="s">
        <v>36</v>
      </c>
      <c r="P1290" t="s">
        <v>37</v>
      </c>
      <c r="Q1290" t="s">
        <v>36</v>
      </c>
      <c r="R1290" t="s">
        <v>36</v>
      </c>
      <c r="S1290" t="s">
        <v>36</v>
      </c>
      <c r="T1290" t="s">
        <v>36</v>
      </c>
      <c r="U1290" t="s">
        <v>36</v>
      </c>
      <c r="V1290" t="s">
        <v>36</v>
      </c>
      <c r="W1290" t="s">
        <v>36</v>
      </c>
      <c r="X1290" t="s">
        <v>36</v>
      </c>
      <c r="Y1290" t="s">
        <v>36</v>
      </c>
      <c r="Z1290" t="s">
        <v>36</v>
      </c>
      <c r="AA1290" t="s">
        <v>36</v>
      </c>
      <c r="AB1290" t="s">
        <v>36</v>
      </c>
      <c r="AC1290" t="s">
        <v>36</v>
      </c>
      <c r="AD1290" t="s">
        <v>36</v>
      </c>
      <c r="AE1290" t="s">
        <v>36</v>
      </c>
      <c r="AF1290" t="s">
        <v>36</v>
      </c>
      <c r="AG1290" t="s">
        <v>36</v>
      </c>
    </row>
    <row r="1291" spans="1:33" hidden="1" x14ac:dyDescent="0.2">
      <c r="A1291">
        <v>1290</v>
      </c>
      <c r="B1291" t="s">
        <v>415</v>
      </c>
      <c r="C1291" t="s">
        <v>108</v>
      </c>
      <c r="D1291">
        <v>36</v>
      </c>
      <c r="E1291" t="s">
        <v>34</v>
      </c>
      <c r="F1291" t="s">
        <v>38</v>
      </c>
      <c r="G1291" t="s">
        <v>40</v>
      </c>
      <c r="H1291">
        <v>39353</v>
      </c>
      <c r="I1291">
        <v>0</v>
      </c>
      <c r="J1291">
        <v>0</v>
      </c>
      <c r="K1291">
        <v>1</v>
      </c>
      <c r="L1291">
        <v>0</v>
      </c>
      <c r="M1291" t="s">
        <v>36</v>
      </c>
      <c r="N1291" t="s">
        <v>36</v>
      </c>
      <c r="O1291" t="s">
        <v>36</v>
      </c>
      <c r="P1291" t="s">
        <v>37</v>
      </c>
      <c r="Q1291" t="s">
        <v>36</v>
      </c>
      <c r="R1291" t="s">
        <v>36</v>
      </c>
      <c r="S1291" t="s">
        <v>36</v>
      </c>
      <c r="T1291" t="s">
        <v>36</v>
      </c>
      <c r="U1291" t="s">
        <v>36</v>
      </c>
      <c r="V1291" t="s">
        <v>36</v>
      </c>
      <c r="W1291" t="s">
        <v>36</v>
      </c>
      <c r="X1291" t="s">
        <v>36</v>
      </c>
      <c r="Y1291" t="s">
        <v>36</v>
      </c>
      <c r="Z1291" t="s">
        <v>36</v>
      </c>
      <c r="AA1291" t="s">
        <v>36</v>
      </c>
      <c r="AB1291" t="s">
        <v>36</v>
      </c>
      <c r="AC1291" t="s">
        <v>36</v>
      </c>
      <c r="AD1291" t="s">
        <v>36</v>
      </c>
      <c r="AE1291" t="s">
        <v>36</v>
      </c>
      <c r="AF1291" t="s">
        <v>36</v>
      </c>
      <c r="AG1291" t="s">
        <v>36</v>
      </c>
    </row>
    <row r="1292" spans="1:33" hidden="1" x14ac:dyDescent="0.2">
      <c r="A1292">
        <v>1291</v>
      </c>
      <c r="B1292" t="s">
        <v>415</v>
      </c>
      <c r="C1292" t="s">
        <v>108</v>
      </c>
      <c r="D1292">
        <v>36</v>
      </c>
      <c r="E1292" t="s">
        <v>34</v>
      </c>
      <c r="F1292" t="s">
        <v>38</v>
      </c>
      <c r="G1292" t="s">
        <v>39</v>
      </c>
      <c r="H1292">
        <v>51089</v>
      </c>
      <c r="I1292">
        <v>0</v>
      </c>
      <c r="J1292">
        <v>0</v>
      </c>
      <c r="K1292">
        <v>0</v>
      </c>
      <c r="L1292">
        <v>1</v>
      </c>
      <c r="M1292" t="s">
        <v>36</v>
      </c>
      <c r="N1292" t="s">
        <v>36</v>
      </c>
      <c r="O1292" t="s">
        <v>36</v>
      </c>
      <c r="P1292" t="s">
        <v>37</v>
      </c>
      <c r="Q1292" t="s">
        <v>36</v>
      </c>
      <c r="R1292" t="s">
        <v>36</v>
      </c>
      <c r="S1292" t="s">
        <v>36</v>
      </c>
      <c r="T1292" t="s">
        <v>36</v>
      </c>
      <c r="U1292" t="s">
        <v>36</v>
      </c>
      <c r="V1292" t="s">
        <v>36</v>
      </c>
      <c r="W1292" t="s">
        <v>36</v>
      </c>
      <c r="X1292" t="s">
        <v>36</v>
      </c>
      <c r="Y1292" t="s">
        <v>36</v>
      </c>
      <c r="Z1292" t="s">
        <v>36</v>
      </c>
      <c r="AA1292" t="s">
        <v>36</v>
      </c>
      <c r="AB1292" t="s">
        <v>36</v>
      </c>
      <c r="AC1292" t="s">
        <v>36</v>
      </c>
      <c r="AD1292" t="s">
        <v>36</v>
      </c>
      <c r="AE1292" t="s">
        <v>36</v>
      </c>
      <c r="AF1292" t="s">
        <v>36</v>
      </c>
      <c r="AG1292" t="s">
        <v>36</v>
      </c>
    </row>
    <row r="1293" spans="1:33" x14ac:dyDescent="0.2">
      <c r="A1293">
        <v>1292</v>
      </c>
      <c r="B1293" t="s">
        <v>415</v>
      </c>
      <c r="C1293" t="s">
        <v>108</v>
      </c>
      <c r="D1293">
        <v>36</v>
      </c>
      <c r="E1293" t="s">
        <v>34</v>
      </c>
      <c r="F1293" t="s">
        <v>41</v>
      </c>
      <c r="G1293" t="s">
        <v>49</v>
      </c>
      <c r="H1293">
        <v>105867</v>
      </c>
      <c r="I1293">
        <v>0</v>
      </c>
      <c r="J1293">
        <v>0</v>
      </c>
      <c r="K1293">
        <v>1</v>
      </c>
      <c r="L1293">
        <v>0</v>
      </c>
      <c r="M1293" t="s">
        <v>50</v>
      </c>
      <c r="N1293" t="s">
        <v>52</v>
      </c>
      <c r="O1293" t="s">
        <v>96</v>
      </c>
      <c r="P1293" t="s">
        <v>37</v>
      </c>
      <c r="Q1293" t="s">
        <v>48</v>
      </c>
      <c r="R1293" t="s">
        <v>46</v>
      </c>
      <c r="S1293" t="s">
        <v>65</v>
      </c>
      <c r="T1293">
        <v>0</v>
      </c>
      <c r="U1293">
        <v>1</v>
      </c>
      <c r="V1293">
        <v>1</v>
      </c>
      <c r="W1293">
        <v>0</v>
      </c>
      <c r="X1293">
        <v>1</v>
      </c>
      <c r="Y1293">
        <v>0</v>
      </c>
      <c r="Z1293">
        <v>1</v>
      </c>
      <c r="AA1293">
        <v>0</v>
      </c>
      <c r="AB1293">
        <v>1</v>
      </c>
      <c r="AC1293">
        <v>0</v>
      </c>
      <c r="AD1293">
        <v>0</v>
      </c>
      <c r="AE1293">
        <v>0</v>
      </c>
      <c r="AF1293">
        <v>0</v>
      </c>
      <c r="AG1293">
        <v>0</v>
      </c>
    </row>
    <row r="1294" spans="1:33" hidden="1" x14ac:dyDescent="0.2">
      <c r="A1294">
        <v>1293</v>
      </c>
      <c r="B1294" t="s">
        <v>415</v>
      </c>
      <c r="C1294" t="s">
        <v>108</v>
      </c>
      <c r="D1294">
        <v>36</v>
      </c>
      <c r="E1294" t="s">
        <v>34</v>
      </c>
      <c r="F1294" t="s">
        <v>53</v>
      </c>
      <c r="G1294" t="s">
        <v>71</v>
      </c>
      <c r="H1294">
        <v>46093</v>
      </c>
      <c r="I1294">
        <v>0</v>
      </c>
      <c r="J1294">
        <v>0</v>
      </c>
      <c r="K1294">
        <v>0</v>
      </c>
      <c r="L1294">
        <v>1</v>
      </c>
      <c r="M1294" t="s">
        <v>36</v>
      </c>
      <c r="N1294" t="s">
        <v>36</v>
      </c>
      <c r="O1294" t="s">
        <v>36</v>
      </c>
      <c r="P1294" t="s">
        <v>37</v>
      </c>
      <c r="Q1294" t="s">
        <v>36</v>
      </c>
      <c r="R1294" t="s">
        <v>36</v>
      </c>
      <c r="S1294" t="s">
        <v>36</v>
      </c>
      <c r="T1294" t="s">
        <v>36</v>
      </c>
      <c r="U1294">
        <v>1</v>
      </c>
      <c r="V1294">
        <v>1</v>
      </c>
      <c r="W1294">
        <v>0</v>
      </c>
      <c r="X1294">
        <v>1</v>
      </c>
      <c r="Y1294">
        <v>0</v>
      </c>
      <c r="Z1294">
        <v>1</v>
      </c>
      <c r="AA1294">
        <v>0</v>
      </c>
      <c r="AB1294">
        <v>1</v>
      </c>
      <c r="AC1294">
        <v>0</v>
      </c>
      <c r="AD1294">
        <v>0</v>
      </c>
      <c r="AE1294">
        <v>0</v>
      </c>
      <c r="AF1294">
        <v>0</v>
      </c>
      <c r="AG1294">
        <v>0</v>
      </c>
    </row>
    <row r="1295" spans="1:33" x14ac:dyDescent="0.2">
      <c r="A1295">
        <v>1294</v>
      </c>
      <c r="B1295" t="s">
        <v>415</v>
      </c>
      <c r="C1295" t="s">
        <v>108</v>
      </c>
      <c r="D1295">
        <v>36</v>
      </c>
      <c r="E1295" t="s">
        <v>34</v>
      </c>
      <c r="F1295" t="s">
        <v>41</v>
      </c>
      <c r="G1295" t="s">
        <v>42</v>
      </c>
      <c r="H1295">
        <v>39965</v>
      </c>
      <c r="I1295">
        <v>1</v>
      </c>
      <c r="J1295">
        <v>1</v>
      </c>
      <c r="K1295">
        <v>1</v>
      </c>
      <c r="L1295">
        <v>0</v>
      </c>
      <c r="M1295" t="s">
        <v>82</v>
      </c>
      <c r="N1295" t="s">
        <v>45</v>
      </c>
      <c r="O1295" t="s">
        <v>102</v>
      </c>
      <c r="P1295" t="s">
        <v>37</v>
      </c>
      <c r="Q1295" t="s">
        <v>65</v>
      </c>
      <c r="R1295" t="s">
        <v>48</v>
      </c>
      <c r="S1295" t="s">
        <v>59</v>
      </c>
      <c r="T1295">
        <v>0</v>
      </c>
      <c r="U1295">
        <v>1</v>
      </c>
      <c r="V1295">
        <v>1</v>
      </c>
      <c r="W1295">
        <v>0</v>
      </c>
      <c r="X1295">
        <v>0</v>
      </c>
      <c r="Y1295">
        <v>0</v>
      </c>
      <c r="Z1295">
        <v>1</v>
      </c>
      <c r="AA1295">
        <v>0</v>
      </c>
      <c r="AB1295">
        <v>1</v>
      </c>
      <c r="AC1295">
        <v>1</v>
      </c>
      <c r="AD1295">
        <v>0</v>
      </c>
      <c r="AE1295">
        <v>0</v>
      </c>
      <c r="AF1295">
        <v>0</v>
      </c>
      <c r="AG1295">
        <v>0</v>
      </c>
    </row>
    <row r="1296" spans="1:33" x14ac:dyDescent="0.2">
      <c r="A1296">
        <v>1295</v>
      </c>
      <c r="B1296" t="s">
        <v>415</v>
      </c>
      <c r="C1296" t="s">
        <v>108</v>
      </c>
      <c r="D1296">
        <v>36</v>
      </c>
      <c r="E1296" t="s">
        <v>34</v>
      </c>
      <c r="F1296" t="s">
        <v>41</v>
      </c>
      <c r="G1296" t="s">
        <v>61</v>
      </c>
      <c r="H1296">
        <v>29057</v>
      </c>
      <c r="I1296">
        <v>1</v>
      </c>
      <c r="J1296">
        <v>1</v>
      </c>
      <c r="K1296">
        <v>1</v>
      </c>
      <c r="L1296">
        <v>0</v>
      </c>
      <c r="M1296" t="s">
        <v>64</v>
      </c>
      <c r="N1296" t="s">
        <v>62</v>
      </c>
      <c r="O1296" t="s">
        <v>87</v>
      </c>
      <c r="P1296" t="s">
        <v>37</v>
      </c>
      <c r="Q1296" t="s">
        <v>48</v>
      </c>
      <c r="R1296" t="s">
        <v>65</v>
      </c>
      <c r="S1296" t="s">
        <v>47</v>
      </c>
      <c r="T1296">
        <v>0</v>
      </c>
      <c r="U1296">
        <v>1</v>
      </c>
      <c r="V1296">
        <v>1</v>
      </c>
      <c r="W1296">
        <v>1</v>
      </c>
      <c r="X1296">
        <v>0</v>
      </c>
      <c r="Y1296">
        <v>0</v>
      </c>
      <c r="Z1296">
        <v>1</v>
      </c>
      <c r="AA1296">
        <v>0</v>
      </c>
      <c r="AB1296">
        <v>1</v>
      </c>
      <c r="AC1296">
        <v>1</v>
      </c>
      <c r="AD1296">
        <v>1</v>
      </c>
      <c r="AE1296">
        <v>0</v>
      </c>
      <c r="AF1296">
        <v>0</v>
      </c>
      <c r="AG1296">
        <v>0</v>
      </c>
    </row>
    <row r="1297" spans="1:33" hidden="1" x14ac:dyDescent="0.2">
      <c r="A1297">
        <v>1296</v>
      </c>
      <c r="B1297" t="s">
        <v>415</v>
      </c>
      <c r="C1297" t="s">
        <v>108</v>
      </c>
      <c r="D1297">
        <v>36</v>
      </c>
      <c r="E1297" t="s">
        <v>34</v>
      </c>
      <c r="F1297" t="s">
        <v>53</v>
      </c>
      <c r="G1297" t="s">
        <v>54</v>
      </c>
      <c r="H1297">
        <v>41072</v>
      </c>
      <c r="I1297">
        <v>0</v>
      </c>
      <c r="J1297">
        <v>0</v>
      </c>
      <c r="K1297">
        <v>0</v>
      </c>
      <c r="L1297">
        <v>1</v>
      </c>
      <c r="M1297" t="s">
        <v>36</v>
      </c>
      <c r="N1297" t="s">
        <v>36</v>
      </c>
      <c r="O1297" t="s">
        <v>36</v>
      </c>
      <c r="P1297" t="s">
        <v>37</v>
      </c>
      <c r="Q1297" t="s">
        <v>36</v>
      </c>
      <c r="R1297" t="s">
        <v>36</v>
      </c>
      <c r="S1297" t="s">
        <v>36</v>
      </c>
      <c r="T1297" t="s">
        <v>36</v>
      </c>
      <c r="U1297">
        <v>1</v>
      </c>
      <c r="V1297">
        <v>1</v>
      </c>
      <c r="W1297">
        <v>1</v>
      </c>
      <c r="X1297">
        <v>0</v>
      </c>
      <c r="Y1297">
        <v>0</v>
      </c>
      <c r="Z1297">
        <v>1</v>
      </c>
      <c r="AA1297">
        <v>0</v>
      </c>
      <c r="AB1297">
        <v>1</v>
      </c>
      <c r="AC1297">
        <v>1</v>
      </c>
      <c r="AD1297">
        <v>1</v>
      </c>
      <c r="AE1297">
        <v>0</v>
      </c>
      <c r="AF1297">
        <v>0</v>
      </c>
      <c r="AG1297">
        <v>0</v>
      </c>
    </row>
    <row r="1298" spans="1:33" x14ac:dyDescent="0.2">
      <c r="A1298">
        <v>1297</v>
      </c>
      <c r="B1298" t="s">
        <v>415</v>
      </c>
      <c r="C1298" t="s">
        <v>108</v>
      </c>
      <c r="D1298">
        <v>36</v>
      </c>
      <c r="E1298" t="s">
        <v>34</v>
      </c>
      <c r="F1298" t="s">
        <v>41</v>
      </c>
      <c r="G1298" t="s">
        <v>67</v>
      </c>
      <c r="H1298">
        <v>33027</v>
      </c>
      <c r="I1298">
        <v>1</v>
      </c>
      <c r="J1298">
        <v>1</v>
      </c>
      <c r="K1298">
        <v>1</v>
      </c>
      <c r="L1298">
        <v>0</v>
      </c>
      <c r="M1298" t="s">
        <v>69</v>
      </c>
      <c r="N1298" t="s">
        <v>70</v>
      </c>
      <c r="O1298" t="s">
        <v>68</v>
      </c>
      <c r="P1298" t="s">
        <v>37</v>
      </c>
      <c r="Q1298" t="s">
        <v>48</v>
      </c>
      <c r="R1298" t="s">
        <v>47</v>
      </c>
      <c r="S1298" t="s">
        <v>65</v>
      </c>
      <c r="T1298">
        <v>0</v>
      </c>
      <c r="U1298">
        <v>1</v>
      </c>
      <c r="V1298">
        <v>1</v>
      </c>
      <c r="W1298">
        <v>1</v>
      </c>
      <c r="X1298">
        <v>0</v>
      </c>
      <c r="Y1298">
        <v>0</v>
      </c>
      <c r="Z1298">
        <v>1</v>
      </c>
      <c r="AA1298">
        <v>0</v>
      </c>
      <c r="AB1298">
        <v>1</v>
      </c>
      <c r="AC1298">
        <v>1</v>
      </c>
      <c r="AD1298">
        <v>1</v>
      </c>
      <c r="AE1298">
        <v>0</v>
      </c>
      <c r="AF1298">
        <v>0</v>
      </c>
      <c r="AG1298">
        <v>0</v>
      </c>
    </row>
    <row r="1299" spans="1:33" hidden="1" x14ac:dyDescent="0.2">
      <c r="A1299">
        <v>1298</v>
      </c>
      <c r="B1299" t="s">
        <v>415</v>
      </c>
      <c r="C1299" t="s">
        <v>108</v>
      </c>
      <c r="D1299">
        <v>36</v>
      </c>
      <c r="E1299" t="s">
        <v>34</v>
      </c>
      <c r="F1299" t="s">
        <v>53</v>
      </c>
      <c r="G1299" t="s">
        <v>76</v>
      </c>
      <c r="H1299">
        <v>26951</v>
      </c>
      <c r="I1299">
        <v>1</v>
      </c>
      <c r="J1299">
        <v>0</v>
      </c>
      <c r="K1299">
        <v>0</v>
      </c>
      <c r="L1299">
        <v>0</v>
      </c>
      <c r="M1299" t="s">
        <v>36</v>
      </c>
      <c r="N1299" t="s">
        <v>36</v>
      </c>
      <c r="O1299" t="s">
        <v>36</v>
      </c>
      <c r="P1299" t="s">
        <v>37</v>
      </c>
      <c r="Q1299" t="s">
        <v>36</v>
      </c>
      <c r="R1299" t="s">
        <v>36</v>
      </c>
      <c r="S1299" t="s">
        <v>36</v>
      </c>
      <c r="T1299" t="s">
        <v>36</v>
      </c>
      <c r="U1299">
        <v>1</v>
      </c>
      <c r="V1299">
        <v>1</v>
      </c>
      <c r="W1299">
        <v>1</v>
      </c>
      <c r="X1299">
        <v>0</v>
      </c>
      <c r="Y1299">
        <v>0</v>
      </c>
      <c r="Z1299">
        <v>1</v>
      </c>
      <c r="AA1299">
        <v>0</v>
      </c>
      <c r="AB1299">
        <v>1</v>
      </c>
      <c r="AC1299">
        <v>1</v>
      </c>
      <c r="AD1299">
        <v>1</v>
      </c>
      <c r="AE1299">
        <v>0</v>
      </c>
      <c r="AF1299">
        <v>0</v>
      </c>
      <c r="AG1299">
        <v>0</v>
      </c>
    </row>
    <row r="1300" spans="1:33" x14ac:dyDescent="0.2">
      <c r="A1300">
        <v>1299</v>
      </c>
      <c r="B1300" t="s">
        <v>415</v>
      </c>
      <c r="C1300" t="s">
        <v>108</v>
      </c>
      <c r="D1300">
        <v>36</v>
      </c>
      <c r="E1300" t="s">
        <v>34</v>
      </c>
      <c r="F1300" t="s">
        <v>41</v>
      </c>
      <c r="G1300" t="s">
        <v>72</v>
      </c>
      <c r="H1300">
        <v>36806</v>
      </c>
      <c r="I1300">
        <v>1</v>
      </c>
      <c r="J1300">
        <v>1</v>
      </c>
      <c r="K1300">
        <v>1</v>
      </c>
      <c r="L1300">
        <v>0</v>
      </c>
      <c r="M1300" t="s">
        <v>74</v>
      </c>
      <c r="N1300" t="s">
        <v>115</v>
      </c>
      <c r="O1300" t="s">
        <v>73</v>
      </c>
      <c r="P1300" t="s">
        <v>37</v>
      </c>
      <c r="Q1300" t="s">
        <v>47</v>
      </c>
      <c r="R1300" t="s">
        <v>65</v>
      </c>
      <c r="S1300" t="s">
        <v>48</v>
      </c>
      <c r="T1300">
        <v>0</v>
      </c>
      <c r="U1300">
        <v>1</v>
      </c>
      <c r="V1300">
        <v>1</v>
      </c>
      <c r="W1300">
        <v>1</v>
      </c>
      <c r="X1300">
        <v>0</v>
      </c>
      <c r="Y1300">
        <v>0</v>
      </c>
      <c r="Z1300">
        <v>1</v>
      </c>
      <c r="AA1300">
        <v>0</v>
      </c>
      <c r="AB1300">
        <v>1</v>
      </c>
      <c r="AC1300">
        <v>1</v>
      </c>
      <c r="AD1300">
        <v>1</v>
      </c>
      <c r="AE1300">
        <v>0</v>
      </c>
      <c r="AF1300">
        <v>0</v>
      </c>
      <c r="AG1300">
        <v>0</v>
      </c>
    </row>
    <row r="1301" spans="1:33" x14ac:dyDescent="0.2">
      <c r="A1301">
        <v>1300</v>
      </c>
      <c r="B1301" t="s">
        <v>415</v>
      </c>
      <c r="C1301" t="s">
        <v>108</v>
      </c>
      <c r="D1301">
        <v>36</v>
      </c>
      <c r="E1301" t="s">
        <v>34</v>
      </c>
      <c r="F1301" t="s">
        <v>41</v>
      </c>
      <c r="G1301" t="s">
        <v>55</v>
      </c>
      <c r="H1301">
        <v>17298</v>
      </c>
      <c r="I1301">
        <v>1</v>
      </c>
      <c r="J1301">
        <v>1</v>
      </c>
      <c r="K1301">
        <v>1</v>
      </c>
      <c r="L1301">
        <v>0</v>
      </c>
      <c r="M1301" t="s">
        <v>56</v>
      </c>
      <c r="N1301" t="s">
        <v>57</v>
      </c>
      <c r="O1301" t="s">
        <v>85</v>
      </c>
      <c r="P1301" t="s">
        <v>37</v>
      </c>
      <c r="Q1301" t="s">
        <v>59</v>
      </c>
      <c r="R1301" t="s">
        <v>48</v>
      </c>
      <c r="S1301" t="s">
        <v>65</v>
      </c>
      <c r="T1301">
        <v>0</v>
      </c>
      <c r="U1301">
        <v>1</v>
      </c>
      <c r="V1301">
        <v>1</v>
      </c>
      <c r="W1301">
        <v>0</v>
      </c>
      <c r="X1301">
        <v>0</v>
      </c>
      <c r="Y1301">
        <v>0</v>
      </c>
      <c r="Z1301">
        <v>1</v>
      </c>
      <c r="AA1301">
        <v>0</v>
      </c>
      <c r="AB1301">
        <v>1</v>
      </c>
      <c r="AC1301">
        <v>1</v>
      </c>
      <c r="AD1301">
        <v>0</v>
      </c>
      <c r="AE1301">
        <v>0</v>
      </c>
      <c r="AF1301">
        <v>0</v>
      </c>
      <c r="AG1301">
        <v>0</v>
      </c>
    </row>
    <row r="1302" spans="1:33" hidden="1" x14ac:dyDescent="0.2">
      <c r="A1302">
        <v>1301</v>
      </c>
      <c r="B1302" t="s">
        <v>415</v>
      </c>
      <c r="C1302" t="s">
        <v>108</v>
      </c>
      <c r="D1302">
        <v>36</v>
      </c>
      <c r="E1302" t="s">
        <v>34</v>
      </c>
      <c r="F1302" t="s">
        <v>53</v>
      </c>
      <c r="G1302" t="s">
        <v>66</v>
      </c>
      <c r="H1302">
        <v>46735</v>
      </c>
      <c r="I1302">
        <v>1</v>
      </c>
      <c r="J1302">
        <v>1</v>
      </c>
      <c r="K1302">
        <v>0</v>
      </c>
      <c r="L1302">
        <v>0</v>
      </c>
      <c r="M1302" t="s">
        <v>36</v>
      </c>
      <c r="N1302" t="s">
        <v>36</v>
      </c>
      <c r="O1302" t="s">
        <v>36</v>
      </c>
      <c r="P1302" t="s">
        <v>37</v>
      </c>
      <c r="Q1302" t="s">
        <v>36</v>
      </c>
      <c r="R1302" t="s">
        <v>36</v>
      </c>
      <c r="S1302" t="s">
        <v>36</v>
      </c>
      <c r="T1302" t="s">
        <v>36</v>
      </c>
      <c r="U1302">
        <v>1</v>
      </c>
      <c r="V1302">
        <v>1</v>
      </c>
      <c r="W1302">
        <v>0</v>
      </c>
      <c r="X1302">
        <v>0</v>
      </c>
      <c r="Y1302">
        <v>0</v>
      </c>
      <c r="Z1302">
        <v>1</v>
      </c>
      <c r="AA1302">
        <v>0</v>
      </c>
      <c r="AB1302">
        <v>1</v>
      </c>
      <c r="AC1302">
        <v>1</v>
      </c>
      <c r="AD1302">
        <v>0</v>
      </c>
      <c r="AE1302">
        <v>0</v>
      </c>
      <c r="AF1302">
        <v>0</v>
      </c>
      <c r="AG1302">
        <v>0</v>
      </c>
    </row>
    <row r="1303" spans="1:33" hidden="1" x14ac:dyDescent="0.2">
      <c r="A1303">
        <v>1302</v>
      </c>
      <c r="B1303" t="s">
        <v>415</v>
      </c>
      <c r="C1303" t="s">
        <v>108</v>
      </c>
      <c r="D1303">
        <v>36</v>
      </c>
      <c r="E1303" t="s">
        <v>34</v>
      </c>
      <c r="F1303" t="s">
        <v>77</v>
      </c>
      <c r="G1303" t="s">
        <v>36</v>
      </c>
      <c r="H1303">
        <v>87211</v>
      </c>
      <c r="I1303" t="s">
        <v>416</v>
      </c>
      <c r="J1303" t="s">
        <v>417</v>
      </c>
      <c r="L1303" t="s">
        <v>36</v>
      </c>
      <c r="M1303" t="s">
        <v>36</v>
      </c>
      <c r="N1303" t="s">
        <v>36</v>
      </c>
      <c r="O1303" t="s">
        <v>36</v>
      </c>
      <c r="P1303" t="s">
        <v>37</v>
      </c>
      <c r="Q1303" t="s">
        <v>36</v>
      </c>
      <c r="R1303" t="s">
        <v>36</v>
      </c>
      <c r="S1303" t="s">
        <v>36</v>
      </c>
      <c r="T1303" t="s">
        <v>36</v>
      </c>
      <c r="U1303" t="s">
        <v>36</v>
      </c>
      <c r="V1303" t="s">
        <v>36</v>
      </c>
      <c r="W1303" t="s">
        <v>36</v>
      </c>
      <c r="X1303" t="s">
        <v>36</v>
      </c>
      <c r="Y1303" t="s">
        <v>36</v>
      </c>
      <c r="Z1303" t="s">
        <v>36</v>
      </c>
      <c r="AA1303" t="s">
        <v>36</v>
      </c>
      <c r="AB1303" t="s">
        <v>36</v>
      </c>
      <c r="AC1303" t="s">
        <v>36</v>
      </c>
      <c r="AD1303" t="s">
        <v>36</v>
      </c>
      <c r="AE1303" t="s">
        <v>36</v>
      </c>
      <c r="AF1303" t="s">
        <v>36</v>
      </c>
      <c r="AG1303" t="s">
        <v>36</v>
      </c>
    </row>
    <row r="1304" spans="1:33" hidden="1" x14ac:dyDescent="0.2">
      <c r="A1304">
        <v>1303</v>
      </c>
      <c r="B1304" t="s">
        <v>418</v>
      </c>
      <c r="C1304" t="s">
        <v>33</v>
      </c>
      <c r="D1304">
        <v>61</v>
      </c>
      <c r="E1304" t="s">
        <v>114</v>
      </c>
      <c r="F1304" t="s">
        <v>35</v>
      </c>
      <c r="G1304" t="s">
        <v>36</v>
      </c>
      <c r="H1304">
        <v>99435</v>
      </c>
      <c r="I1304" t="s">
        <v>36</v>
      </c>
      <c r="J1304" t="s">
        <v>36</v>
      </c>
      <c r="K1304" t="s">
        <v>36</v>
      </c>
      <c r="L1304" t="s">
        <v>36</v>
      </c>
      <c r="M1304" t="s">
        <v>36</v>
      </c>
      <c r="N1304" t="s">
        <v>36</v>
      </c>
      <c r="O1304" t="s">
        <v>36</v>
      </c>
      <c r="P1304" t="s">
        <v>37</v>
      </c>
      <c r="Q1304" t="s">
        <v>36</v>
      </c>
      <c r="R1304" t="s">
        <v>36</v>
      </c>
      <c r="S1304" t="s">
        <v>36</v>
      </c>
      <c r="T1304" t="s">
        <v>36</v>
      </c>
      <c r="U1304" t="s">
        <v>36</v>
      </c>
      <c r="V1304" t="s">
        <v>36</v>
      </c>
      <c r="W1304" t="s">
        <v>36</v>
      </c>
      <c r="X1304" t="s">
        <v>36</v>
      </c>
      <c r="Y1304" t="s">
        <v>36</v>
      </c>
      <c r="Z1304" t="s">
        <v>36</v>
      </c>
      <c r="AA1304" t="s">
        <v>36</v>
      </c>
      <c r="AB1304" t="s">
        <v>36</v>
      </c>
      <c r="AC1304" t="s">
        <v>36</v>
      </c>
      <c r="AD1304" t="s">
        <v>36</v>
      </c>
      <c r="AE1304" t="s">
        <v>36</v>
      </c>
      <c r="AF1304" t="s">
        <v>36</v>
      </c>
      <c r="AG1304" t="s">
        <v>36</v>
      </c>
    </row>
    <row r="1305" spans="1:33" hidden="1" x14ac:dyDescent="0.2">
      <c r="A1305">
        <v>1304</v>
      </c>
      <c r="B1305" t="s">
        <v>418</v>
      </c>
      <c r="C1305" t="s">
        <v>33</v>
      </c>
      <c r="D1305">
        <v>61</v>
      </c>
      <c r="E1305" t="s">
        <v>114</v>
      </c>
      <c r="F1305" t="s">
        <v>38</v>
      </c>
      <c r="G1305" t="s">
        <v>39</v>
      </c>
      <c r="H1305">
        <v>65239</v>
      </c>
      <c r="I1305">
        <v>0</v>
      </c>
      <c r="J1305">
        <v>0</v>
      </c>
      <c r="K1305">
        <v>0</v>
      </c>
      <c r="L1305">
        <v>1</v>
      </c>
      <c r="M1305" t="s">
        <v>36</v>
      </c>
      <c r="N1305" t="s">
        <v>36</v>
      </c>
      <c r="O1305" t="s">
        <v>36</v>
      </c>
      <c r="P1305" t="s">
        <v>37</v>
      </c>
      <c r="Q1305" t="s">
        <v>36</v>
      </c>
      <c r="R1305" t="s">
        <v>36</v>
      </c>
      <c r="S1305" t="s">
        <v>36</v>
      </c>
      <c r="T1305" t="s">
        <v>36</v>
      </c>
      <c r="U1305" t="s">
        <v>36</v>
      </c>
      <c r="V1305" t="s">
        <v>36</v>
      </c>
      <c r="W1305" t="s">
        <v>36</v>
      </c>
      <c r="X1305" t="s">
        <v>36</v>
      </c>
      <c r="Y1305" t="s">
        <v>36</v>
      </c>
      <c r="Z1305" t="s">
        <v>36</v>
      </c>
      <c r="AA1305" t="s">
        <v>36</v>
      </c>
      <c r="AB1305" t="s">
        <v>36</v>
      </c>
      <c r="AC1305" t="s">
        <v>36</v>
      </c>
      <c r="AD1305" t="s">
        <v>36</v>
      </c>
      <c r="AE1305" t="s">
        <v>36</v>
      </c>
      <c r="AF1305" t="s">
        <v>36</v>
      </c>
      <c r="AG1305" t="s">
        <v>36</v>
      </c>
    </row>
    <row r="1306" spans="1:33" hidden="1" x14ac:dyDescent="0.2">
      <c r="A1306">
        <v>1305</v>
      </c>
      <c r="B1306" t="s">
        <v>418</v>
      </c>
      <c r="C1306" t="s">
        <v>33</v>
      </c>
      <c r="D1306">
        <v>61</v>
      </c>
      <c r="E1306" t="s">
        <v>114</v>
      </c>
      <c r="F1306" t="s">
        <v>38</v>
      </c>
      <c r="G1306" t="s">
        <v>40</v>
      </c>
      <c r="H1306">
        <v>69627</v>
      </c>
      <c r="I1306">
        <v>0</v>
      </c>
      <c r="J1306">
        <v>0</v>
      </c>
      <c r="K1306">
        <v>1</v>
      </c>
      <c r="L1306">
        <v>0</v>
      </c>
      <c r="M1306" t="s">
        <v>36</v>
      </c>
      <c r="N1306" t="s">
        <v>36</v>
      </c>
      <c r="O1306" t="s">
        <v>36</v>
      </c>
      <c r="P1306" t="s">
        <v>37</v>
      </c>
      <c r="Q1306" t="s">
        <v>36</v>
      </c>
      <c r="R1306" t="s">
        <v>36</v>
      </c>
      <c r="S1306" t="s">
        <v>36</v>
      </c>
      <c r="T1306" t="s">
        <v>36</v>
      </c>
      <c r="U1306" t="s">
        <v>36</v>
      </c>
      <c r="V1306" t="s">
        <v>36</v>
      </c>
      <c r="W1306" t="s">
        <v>36</v>
      </c>
      <c r="X1306" t="s">
        <v>36</v>
      </c>
      <c r="Y1306" t="s">
        <v>36</v>
      </c>
      <c r="Z1306" t="s">
        <v>36</v>
      </c>
      <c r="AA1306" t="s">
        <v>36</v>
      </c>
      <c r="AB1306" t="s">
        <v>36</v>
      </c>
      <c r="AC1306" t="s">
        <v>36</v>
      </c>
      <c r="AD1306" t="s">
        <v>36</v>
      </c>
      <c r="AE1306" t="s">
        <v>36</v>
      </c>
      <c r="AF1306" t="s">
        <v>36</v>
      </c>
      <c r="AG1306" t="s">
        <v>36</v>
      </c>
    </row>
    <row r="1307" spans="1:33" x14ac:dyDescent="0.2">
      <c r="A1307">
        <v>1306</v>
      </c>
      <c r="B1307" t="s">
        <v>418</v>
      </c>
      <c r="C1307" t="s">
        <v>33</v>
      </c>
      <c r="D1307">
        <v>61</v>
      </c>
      <c r="E1307" t="s">
        <v>114</v>
      </c>
      <c r="F1307" t="s">
        <v>41</v>
      </c>
      <c r="G1307" t="s">
        <v>49</v>
      </c>
      <c r="H1307">
        <v>66977</v>
      </c>
      <c r="I1307">
        <v>0</v>
      </c>
      <c r="J1307">
        <v>0</v>
      </c>
      <c r="K1307">
        <v>0</v>
      </c>
      <c r="L1307">
        <v>1</v>
      </c>
      <c r="M1307" t="s">
        <v>51</v>
      </c>
      <c r="N1307" t="s">
        <v>95</v>
      </c>
      <c r="O1307" t="s">
        <v>83</v>
      </c>
      <c r="P1307" t="s">
        <v>37</v>
      </c>
      <c r="Q1307" t="s">
        <v>47</v>
      </c>
      <c r="R1307" t="s">
        <v>60</v>
      </c>
      <c r="S1307" t="s">
        <v>59</v>
      </c>
      <c r="T1307">
        <v>1</v>
      </c>
      <c r="U1307">
        <v>0</v>
      </c>
      <c r="V1307">
        <v>0</v>
      </c>
      <c r="W1307">
        <v>1</v>
      </c>
      <c r="X1307">
        <v>0</v>
      </c>
      <c r="Y1307">
        <v>0</v>
      </c>
      <c r="Z1307">
        <v>1</v>
      </c>
      <c r="AA1307">
        <v>0</v>
      </c>
      <c r="AB1307">
        <v>0</v>
      </c>
      <c r="AC1307">
        <v>0</v>
      </c>
      <c r="AD1307">
        <v>0</v>
      </c>
      <c r="AE1307">
        <v>0</v>
      </c>
      <c r="AF1307">
        <v>0</v>
      </c>
      <c r="AG1307">
        <v>1</v>
      </c>
    </row>
    <row r="1308" spans="1:33" x14ac:dyDescent="0.2">
      <c r="A1308">
        <v>1307</v>
      </c>
      <c r="B1308" t="s">
        <v>418</v>
      </c>
      <c r="C1308" t="s">
        <v>33</v>
      </c>
      <c r="D1308">
        <v>61</v>
      </c>
      <c r="E1308" t="s">
        <v>114</v>
      </c>
      <c r="F1308" t="s">
        <v>41</v>
      </c>
      <c r="G1308" t="s">
        <v>61</v>
      </c>
      <c r="H1308">
        <v>183409</v>
      </c>
      <c r="I1308">
        <v>0</v>
      </c>
      <c r="J1308">
        <v>0</v>
      </c>
      <c r="K1308">
        <v>0</v>
      </c>
      <c r="L1308">
        <v>1</v>
      </c>
      <c r="M1308" t="s">
        <v>87</v>
      </c>
      <c r="N1308" t="s">
        <v>125</v>
      </c>
      <c r="O1308" t="s">
        <v>64</v>
      </c>
      <c r="P1308" t="s">
        <v>37</v>
      </c>
      <c r="Q1308" t="s">
        <v>47</v>
      </c>
      <c r="R1308" t="s">
        <v>60</v>
      </c>
      <c r="S1308" t="s">
        <v>48</v>
      </c>
      <c r="T1308">
        <v>1</v>
      </c>
      <c r="U1308">
        <v>0</v>
      </c>
      <c r="V1308">
        <v>1</v>
      </c>
      <c r="W1308">
        <v>1</v>
      </c>
      <c r="X1308">
        <v>0</v>
      </c>
      <c r="Y1308">
        <v>0</v>
      </c>
      <c r="Z1308">
        <v>1</v>
      </c>
      <c r="AA1308">
        <v>0</v>
      </c>
      <c r="AB1308">
        <v>0</v>
      </c>
      <c r="AC1308">
        <v>0</v>
      </c>
      <c r="AD1308">
        <v>0</v>
      </c>
      <c r="AE1308">
        <v>0</v>
      </c>
      <c r="AF1308">
        <v>0</v>
      </c>
      <c r="AG1308">
        <v>1</v>
      </c>
    </row>
    <row r="1309" spans="1:33" hidden="1" x14ac:dyDescent="0.2">
      <c r="A1309">
        <v>1308</v>
      </c>
      <c r="B1309" t="s">
        <v>418</v>
      </c>
      <c r="C1309" t="s">
        <v>33</v>
      </c>
      <c r="D1309">
        <v>61</v>
      </c>
      <c r="E1309" t="s">
        <v>114</v>
      </c>
      <c r="F1309" t="s">
        <v>53</v>
      </c>
      <c r="G1309" t="s">
        <v>76</v>
      </c>
      <c r="H1309">
        <v>54530</v>
      </c>
      <c r="I1309">
        <v>1</v>
      </c>
      <c r="J1309">
        <v>0</v>
      </c>
      <c r="K1309">
        <v>0</v>
      </c>
      <c r="L1309">
        <v>0</v>
      </c>
      <c r="M1309" t="s">
        <v>36</v>
      </c>
      <c r="N1309" t="s">
        <v>36</v>
      </c>
      <c r="O1309" t="s">
        <v>36</v>
      </c>
      <c r="P1309" t="s">
        <v>37</v>
      </c>
      <c r="Q1309" t="s">
        <v>36</v>
      </c>
      <c r="R1309" t="s">
        <v>36</v>
      </c>
      <c r="S1309" t="s">
        <v>36</v>
      </c>
      <c r="T1309" t="s">
        <v>36</v>
      </c>
      <c r="U1309">
        <v>0</v>
      </c>
      <c r="V1309">
        <v>1</v>
      </c>
      <c r="W1309">
        <v>1</v>
      </c>
      <c r="X1309">
        <v>0</v>
      </c>
      <c r="Y1309">
        <v>0</v>
      </c>
      <c r="Z1309">
        <v>1</v>
      </c>
      <c r="AA1309">
        <v>0</v>
      </c>
      <c r="AB1309">
        <v>0</v>
      </c>
      <c r="AC1309">
        <v>0</v>
      </c>
      <c r="AD1309">
        <v>0</v>
      </c>
      <c r="AE1309">
        <v>0</v>
      </c>
      <c r="AF1309">
        <v>0</v>
      </c>
      <c r="AG1309">
        <v>1</v>
      </c>
    </row>
    <row r="1310" spans="1:33" x14ac:dyDescent="0.2">
      <c r="A1310">
        <v>1309</v>
      </c>
      <c r="B1310" t="s">
        <v>418</v>
      </c>
      <c r="C1310" t="s">
        <v>33</v>
      </c>
      <c r="D1310">
        <v>61</v>
      </c>
      <c r="E1310" t="s">
        <v>114</v>
      </c>
      <c r="F1310" t="s">
        <v>41</v>
      </c>
      <c r="G1310" t="s">
        <v>67</v>
      </c>
      <c r="H1310">
        <v>70970</v>
      </c>
      <c r="I1310">
        <v>0</v>
      </c>
      <c r="J1310">
        <v>0</v>
      </c>
      <c r="K1310">
        <v>0</v>
      </c>
      <c r="L1310">
        <v>1</v>
      </c>
      <c r="M1310" t="s">
        <v>109</v>
      </c>
      <c r="N1310" t="s">
        <v>70</v>
      </c>
      <c r="O1310" t="s">
        <v>86</v>
      </c>
      <c r="P1310" t="s">
        <v>37</v>
      </c>
      <c r="Q1310" t="s">
        <v>59</v>
      </c>
      <c r="R1310" t="s">
        <v>47</v>
      </c>
      <c r="S1310" t="s">
        <v>46</v>
      </c>
      <c r="T1310">
        <v>0</v>
      </c>
      <c r="U1310">
        <v>0</v>
      </c>
      <c r="V1310">
        <v>0</v>
      </c>
      <c r="W1310">
        <v>1</v>
      </c>
      <c r="X1310">
        <v>1</v>
      </c>
      <c r="Y1310">
        <v>0</v>
      </c>
      <c r="Z1310">
        <v>1</v>
      </c>
      <c r="AA1310">
        <v>0</v>
      </c>
      <c r="AB1310">
        <v>0</v>
      </c>
      <c r="AC1310">
        <v>0</v>
      </c>
      <c r="AD1310">
        <v>0</v>
      </c>
      <c r="AE1310">
        <v>0</v>
      </c>
      <c r="AF1310">
        <v>0</v>
      </c>
      <c r="AG1310">
        <v>1</v>
      </c>
    </row>
    <row r="1311" spans="1:33" x14ac:dyDescent="0.2">
      <c r="A1311">
        <v>1310</v>
      </c>
      <c r="B1311" t="s">
        <v>418</v>
      </c>
      <c r="C1311" t="s">
        <v>33</v>
      </c>
      <c r="D1311">
        <v>61</v>
      </c>
      <c r="E1311" t="s">
        <v>114</v>
      </c>
      <c r="F1311" t="s">
        <v>41</v>
      </c>
      <c r="G1311" t="s">
        <v>72</v>
      </c>
      <c r="H1311">
        <v>37557</v>
      </c>
      <c r="I1311">
        <v>1</v>
      </c>
      <c r="J1311">
        <v>1</v>
      </c>
      <c r="K1311">
        <v>1</v>
      </c>
      <c r="L1311">
        <v>0</v>
      </c>
      <c r="M1311" t="s">
        <v>115</v>
      </c>
      <c r="N1311" t="s">
        <v>73</v>
      </c>
      <c r="O1311" t="s">
        <v>104</v>
      </c>
      <c r="P1311" t="s">
        <v>37</v>
      </c>
      <c r="Q1311" t="s">
        <v>65</v>
      </c>
      <c r="R1311" t="s">
        <v>48</v>
      </c>
      <c r="S1311" t="s">
        <v>60</v>
      </c>
      <c r="T1311">
        <v>1</v>
      </c>
      <c r="U1311">
        <v>1</v>
      </c>
      <c r="V1311">
        <v>1</v>
      </c>
      <c r="W1311">
        <v>0</v>
      </c>
      <c r="X1311">
        <v>0</v>
      </c>
      <c r="Y1311">
        <v>0</v>
      </c>
      <c r="Z1311">
        <v>1</v>
      </c>
      <c r="AA1311">
        <v>1</v>
      </c>
      <c r="AB1311">
        <v>1</v>
      </c>
      <c r="AC1311">
        <v>1</v>
      </c>
      <c r="AD1311">
        <v>0</v>
      </c>
      <c r="AE1311">
        <v>0</v>
      </c>
      <c r="AF1311">
        <v>0</v>
      </c>
      <c r="AG1311">
        <v>0</v>
      </c>
    </row>
    <row r="1312" spans="1:33" hidden="1" x14ac:dyDescent="0.2">
      <c r="A1312">
        <v>1311</v>
      </c>
      <c r="B1312" t="s">
        <v>418</v>
      </c>
      <c r="C1312" t="s">
        <v>33</v>
      </c>
      <c r="D1312">
        <v>61</v>
      </c>
      <c r="E1312" t="s">
        <v>114</v>
      </c>
      <c r="F1312" t="s">
        <v>53</v>
      </c>
      <c r="G1312" t="s">
        <v>54</v>
      </c>
      <c r="H1312">
        <v>124319</v>
      </c>
      <c r="I1312">
        <v>0</v>
      </c>
      <c r="J1312">
        <v>0</v>
      </c>
      <c r="K1312">
        <v>1</v>
      </c>
      <c r="L1312">
        <v>0</v>
      </c>
      <c r="M1312" t="s">
        <v>36</v>
      </c>
      <c r="N1312" t="s">
        <v>36</v>
      </c>
      <c r="O1312" t="s">
        <v>36</v>
      </c>
      <c r="P1312" t="s">
        <v>37</v>
      </c>
      <c r="Q1312" t="s">
        <v>36</v>
      </c>
      <c r="R1312" t="s">
        <v>36</v>
      </c>
      <c r="S1312" t="s">
        <v>36</v>
      </c>
      <c r="T1312" t="s">
        <v>36</v>
      </c>
      <c r="U1312">
        <v>1</v>
      </c>
      <c r="V1312">
        <v>1</v>
      </c>
      <c r="W1312">
        <v>0</v>
      </c>
      <c r="X1312">
        <v>0</v>
      </c>
      <c r="Y1312">
        <v>0</v>
      </c>
      <c r="Z1312">
        <v>1</v>
      </c>
      <c r="AA1312">
        <v>1</v>
      </c>
      <c r="AB1312">
        <v>1</v>
      </c>
      <c r="AC1312">
        <v>1</v>
      </c>
      <c r="AD1312">
        <v>0</v>
      </c>
      <c r="AE1312">
        <v>0</v>
      </c>
      <c r="AF1312">
        <v>0</v>
      </c>
      <c r="AG1312">
        <v>0</v>
      </c>
    </row>
    <row r="1313" spans="1:33" x14ac:dyDescent="0.2">
      <c r="A1313">
        <v>1312</v>
      </c>
      <c r="B1313" t="s">
        <v>418</v>
      </c>
      <c r="C1313" t="s">
        <v>33</v>
      </c>
      <c r="D1313">
        <v>61</v>
      </c>
      <c r="E1313" t="s">
        <v>114</v>
      </c>
      <c r="F1313" t="s">
        <v>41</v>
      </c>
      <c r="G1313" t="s">
        <v>55</v>
      </c>
      <c r="H1313">
        <v>62601</v>
      </c>
      <c r="I1313">
        <v>0</v>
      </c>
      <c r="J1313">
        <v>1</v>
      </c>
      <c r="K1313">
        <v>0</v>
      </c>
      <c r="L1313">
        <v>0</v>
      </c>
      <c r="M1313" t="s">
        <v>84</v>
      </c>
      <c r="N1313" t="s">
        <v>85</v>
      </c>
      <c r="O1313" t="s">
        <v>57</v>
      </c>
      <c r="P1313" t="s">
        <v>37</v>
      </c>
      <c r="Q1313" t="s">
        <v>46</v>
      </c>
      <c r="R1313" t="s">
        <v>65</v>
      </c>
      <c r="S1313" t="s">
        <v>48</v>
      </c>
      <c r="T1313">
        <v>0</v>
      </c>
      <c r="U1313">
        <v>1</v>
      </c>
      <c r="V1313">
        <v>1</v>
      </c>
      <c r="W1313">
        <v>0</v>
      </c>
      <c r="X1313">
        <v>1</v>
      </c>
      <c r="Y1313">
        <v>0</v>
      </c>
      <c r="Z1313">
        <v>1</v>
      </c>
      <c r="AA1313">
        <v>0</v>
      </c>
      <c r="AB1313">
        <v>1</v>
      </c>
      <c r="AC1313">
        <v>0</v>
      </c>
      <c r="AD1313">
        <v>0</v>
      </c>
      <c r="AE1313">
        <v>0</v>
      </c>
      <c r="AF1313">
        <v>0</v>
      </c>
      <c r="AG1313">
        <v>0</v>
      </c>
    </row>
    <row r="1314" spans="1:33" hidden="1" x14ac:dyDescent="0.2">
      <c r="A1314">
        <v>1313</v>
      </c>
      <c r="B1314" t="s">
        <v>418</v>
      </c>
      <c r="C1314" t="s">
        <v>33</v>
      </c>
      <c r="D1314">
        <v>61</v>
      </c>
      <c r="E1314" t="s">
        <v>114</v>
      </c>
      <c r="F1314" t="s">
        <v>53</v>
      </c>
      <c r="G1314" t="s">
        <v>66</v>
      </c>
      <c r="H1314">
        <v>39689</v>
      </c>
      <c r="I1314">
        <v>1</v>
      </c>
      <c r="J1314">
        <v>0</v>
      </c>
      <c r="K1314">
        <v>0</v>
      </c>
      <c r="L1314">
        <v>0</v>
      </c>
      <c r="M1314" t="s">
        <v>36</v>
      </c>
      <c r="N1314" t="s">
        <v>36</v>
      </c>
      <c r="O1314" t="s">
        <v>36</v>
      </c>
      <c r="P1314" t="s">
        <v>37</v>
      </c>
      <c r="Q1314" t="s">
        <v>36</v>
      </c>
      <c r="R1314" t="s">
        <v>36</v>
      </c>
      <c r="S1314" t="s">
        <v>36</v>
      </c>
      <c r="T1314" t="s">
        <v>36</v>
      </c>
      <c r="U1314">
        <v>1</v>
      </c>
      <c r="V1314">
        <v>1</v>
      </c>
      <c r="W1314">
        <v>0</v>
      </c>
      <c r="X1314">
        <v>1</v>
      </c>
      <c r="Y1314">
        <v>0</v>
      </c>
      <c r="Z1314">
        <v>1</v>
      </c>
      <c r="AA1314">
        <v>0</v>
      </c>
      <c r="AB1314">
        <v>1</v>
      </c>
      <c r="AC1314">
        <v>0</v>
      </c>
      <c r="AD1314">
        <v>0</v>
      </c>
      <c r="AE1314">
        <v>0</v>
      </c>
      <c r="AF1314">
        <v>0</v>
      </c>
      <c r="AG1314">
        <v>0</v>
      </c>
    </row>
    <row r="1315" spans="1:33" x14ac:dyDescent="0.2">
      <c r="A1315">
        <v>1314</v>
      </c>
      <c r="B1315" t="s">
        <v>418</v>
      </c>
      <c r="C1315" t="s">
        <v>33</v>
      </c>
      <c r="D1315">
        <v>61</v>
      </c>
      <c r="E1315" t="s">
        <v>114</v>
      </c>
      <c r="F1315" t="s">
        <v>41</v>
      </c>
      <c r="G1315" t="s">
        <v>42</v>
      </c>
      <c r="H1315">
        <v>64599</v>
      </c>
      <c r="I1315">
        <v>0</v>
      </c>
      <c r="J1315">
        <v>0</v>
      </c>
      <c r="K1315">
        <v>0</v>
      </c>
      <c r="L1315">
        <v>1</v>
      </c>
      <c r="M1315" t="s">
        <v>45</v>
      </c>
      <c r="N1315" t="s">
        <v>82</v>
      </c>
      <c r="O1315" t="s">
        <v>43</v>
      </c>
      <c r="P1315" t="s">
        <v>37</v>
      </c>
      <c r="Q1315" t="s">
        <v>48</v>
      </c>
      <c r="R1315" t="s">
        <v>65</v>
      </c>
      <c r="S1315" t="s">
        <v>46</v>
      </c>
      <c r="T1315">
        <v>0</v>
      </c>
      <c r="U1315">
        <v>1</v>
      </c>
      <c r="V1315">
        <v>1</v>
      </c>
      <c r="W1315">
        <v>0</v>
      </c>
      <c r="X1315">
        <v>1</v>
      </c>
      <c r="Y1315">
        <v>0</v>
      </c>
      <c r="Z1315">
        <v>1</v>
      </c>
      <c r="AA1315">
        <v>0</v>
      </c>
      <c r="AB1315">
        <v>0</v>
      </c>
      <c r="AC1315">
        <v>0</v>
      </c>
      <c r="AD1315">
        <v>0</v>
      </c>
      <c r="AE1315">
        <v>0</v>
      </c>
      <c r="AF1315">
        <v>0</v>
      </c>
      <c r="AG1315">
        <v>1</v>
      </c>
    </row>
    <row r="1316" spans="1:33" hidden="1" x14ac:dyDescent="0.2">
      <c r="A1316">
        <v>1315</v>
      </c>
      <c r="B1316" t="s">
        <v>418</v>
      </c>
      <c r="C1316" t="s">
        <v>33</v>
      </c>
      <c r="D1316">
        <v>61</v>
      </c>
      <c r="E1316" t="s">
        <v>114</v>
      </c>
      <c r="F1316" t="s">
        <v>53</v>
      </c>
      <c r="G1316" t="s">
        <v>71</v>
      </c>
      <c r="H1316">
        <v>64081</v>
      </c>
      <c r="I1316">
        <v>0</v>
      </c>
      <c r="J1316">
        <v>0</v>
      </c>
      <c r="K1316">
        <v>0</v>
      </c>
      <c r="L1316">
        <v>1</v>
      </c>
      <c r="M1316" t="s">
        <v>36</v>
      </c>
      <c r="N1316" t="s">
        <v>36</v>
      </c>
      <c r="O1316" t="s">
        <v>36</v>
      </c>
      <c r="P1316" t="s">
        <v>37</v>
      </c>
      <c r="Q1316" t="s">
        <v>36</v>
      </c>
      <c r="R1316" t="s">
        <v>36</v>
      </c>
      <c r="S1316" t="s">
        <v>36</v>
      </c>
      <c r="T1316" t="s">
        <v>36</v>
      </c>
      <c r="U1316">
        <v>1</v>
      </c>
      <c r="V1316">
        <v>1</v>
      </c>
      <c r="W1316">
        <v>0</v>
      </c>
      <c r="X1316">
        <v>1</v>
      </c>
      <c r="Y1316">
        <v>0</v>
      </c>
      <c r="Z1316">
        <v>1</v>
      </c>
      <c r="AA1316">
        <v>0</v>
      </c>
      <c r="AB1316">
        <v>0</v>
      </c>
      <c r="AC1316">
        <v>0</v>
      </c>
      <c r="AD1316">
        <v>0</v>
      </c>
      <c r="AE1316">
        <v>0</v>
      </c>
      <c r="AF1316">
        <v>0</v>
      </c>
      <c r="AG1316">
        <v>1</v>
      </c>
    </row>
    <row r="1317" spans="1:33" hidden="1" x14ac:dyDescent="0.2">
      <c r="A1317">
        <v>1316</v>
      </c>
      <c r="B1317" t="s">
        <v>418</v>
      </c>
      <c r="C1317" t="s">
        <v>33</v>
      </c>
      <c r="D1317">
        <v>61</v>
      </c>
      <c r="E1317" t="s">
        <v>114</v>
      </c>
      <c r="F1317" t="s">
        <v>77</v>
      </c>
      <c r="G1317" t="s">
        <v>36</v>
      </c>
      <c r="H1317">
        <v>217327</v>
      </c>
      <c r="I1317" t="s">
        <v>419</v>
      </c>
      <c r="J1317" t="s">
        <v>420</v>
      </c>
      <c r="K1317" t="s">
        <v>421</v>
      </c>
      <c r="L1317" t="s">
        <v>36</v>
      </c>
      <c r="M1317" t="s">
        <v>36</v>
      </c>
      <c r="N1317" t="s">
        <v>36</v>
      </c>
      <c r="O1317" t="s">
        <v>36</v>
      </c>
      <c r="P1317" t="s">
        <v>37</v>
      </c>
      <c r="Q1317" t="s">
        <v>36</v>
      </c>
      <c r="R1317" t="s">
        <v>36</v>
      </c>
      <c r="S1317" t="s">
        <v>36</v>
      </c>
      <c r="T1317" t="s">
        <v>36</v>
      </c>
      <c r="U1317" t="s">
        <v>36</v>
      </c>
      <c r="V1317" t="s">
        <v>36</v>
      </c>
      <c r="W1317" t="s">
        <v>36</v>
      </c>
      <c r="X1317" t="s">
        <v>36</v>
      </c>
      <c r="Y1317" t="s">
        <v>36</v>
      </c>
      <c r="Z1317" t="s">
        <v>36</v>
      </c>
      <c r="AA1317" t="s">
        <v>36</v>
      </c>
      <c r="AB1317" t="s">
        <v>36</v>
      </c>
      <c r="AC1317" t="s">
        <v>36</v>
      </c>
      <c r="AD1317" t="s">
        <v>36</v>
      </c>
      <c r="AE1317" t="s">
        <v>36</v>
      </c>
      <c r="AF1317" t="s">
        <v>36</v>
      </c>
      <c r="AG1317" t="s">
        <v>36</v>
      </c>
    </row>
    <row r="1318" spans="1:33" hidden="1" x14ac:dyDescent="0.2">
      <c r="A1318">
        <v>1317</v>
      </c>
      <c r="B1318" t="s">
        <v>422</v>
      </c>
      <c r="C1318" t="s">
        <v>108</v>
      </c>
      <c r="D1318">
        <v>34</v>
      </c>
      <c r="E1318" t="s">
        <v>34</v>
      </c>
      <c r="F1318" t="s">
        <v>35</v>
      </c>
      <c r="G1318" t="s">
        <v>36</v>
      </c>
      <c r="H1318">
        <v>839343</v>
      </c>
      <c r="I1318" t="s">
        <v>36</v>
      </c>
      <c r="J1318" t="s">
        <v>36</v>
      </c>
      <c r="K1318" t="s">
        <v>36</v>
      </c>
      <c r="L1318" t="s">
        <v>36</v>
      </c>
      <c r="M1318" t="s">
        <v>36</v>
      </c>
      <c r="N1318" t="s">
        <v>36</v>
      </c>
      <c r="O1318" t="s">
        <v>36</v>
      </c>
      <c r="P1318" t="s">
        <v>37</v>
      </c>
      <c r="Q1318" t="s">
        <v>36</v>
      </c>
      <c r="R1318" t="s">
        <v>36</v>
      </c>
      <c r="S1318" t="s">
        <v>36</v>
      </c>
      <c r="T1318" t="s">
        <v>36</v>
      </c>
      <c r="U1318" t="s">
        <v>36</v>
      </c>
      <c r="V1318" t="s">
        <v>36</v>
      </c>
      <c r="W1318" t="s">
        <v>36</v>
      </c>
      <c r="X1318" t="s">
        <v>36</v>
      </c>
      <c r="Y1318" t="s">
        <v>36</v>
      </c>
      <c r="Z1318" t="s">
        <v>36</v>
      </c>
      <c r="AA1318" t="s">
        <v>36</v>
      </c>
      <c r="AB1318" t="s">
        <v>36</v>
      </c>
      <c r="AC1318" t="s">
        <v>36</v>
      </c>
      <c r="AD1318" t="s">
        <v>36</v>
      </c>
      <c r="AE1318" t="s">
        <v>36</v>
      </c>
      <c r="AF1318" t="s">
        <v>36</v>
      </c>
      <c r="AG1318" t="s">
        <v>36</v>
      </c>
    </row>
    <row r="1319" spans="1:33" hidden="1" x14ac:dyDescent="0.2">
      <c r="A1319">
        <v>1318</v>
      </c>
      <c r="B1319" t="s">
        <v>422</v>
      </c>
      <c r="C1319" t="s">
        <v>108</v>
      </c>
      <c r="D1319">
        <v>34</v>
      </c>
      <c r="E1319" t="s">
        <v>34</v>
      </c>
      <c r="F1319" t="s">
        <v>38</v>
      </c>
      <c r="G1319" t="s">
        <v>39</v>
      </c>
      <c r="H1319">
        <v>30788</v>
      </c>
      <c r="I1319">
        <v>0</v>
      </c>
      <c r="J1319">
        <v>0</v>
      </c>
      <c r="K1319">
        <v>0</v>
      </c>
      <c r="L1319">
        <v>1</v>
      </c>
      <c r="M1319" t="s">
        <v>36</v>
      </c>
      <c r="N1319" t="s">
        <v>36</v>
      </c>
      <c r="O1319" t="s">
        <v>36</v>
      </c>
      <c r="P1319" t="s">
        <v>37</v>
      </c>
      <c r="Q1319" t="s">
        <v>36</v>
      </c>
      <c r="R1319" t="s">
        <v>36</v>
      </c>
      <c r="S1319" t="s">
        <v>36</v>
      </c>
      <c r="T1319" t="s">
        <v>36</v>
      </c>
      <c r="U1319" t="s">
        <v>36</v>
      </c>
      <c r="V1319" t="s">
        <v>36</v>
      </c>
      <c r="W1319" t="s">
        <v>36</v>
      </c>
      <c r="X1319" t="s">
        <v>36</v>
      </c>
      <c r="Y1319" t="s">
        <v>36</v>
      </c>
      <c r="Z1319" t="s">
        <v>36</v>
      </c>
      <c r="AA1319" t="s">
        <v>36</v>
      </c>
      <c r="AB1319" t="s">
        <v>36</v>
      </c>
      <c r="AC1319" t="s">
        <v>36</v>
      </c>
      <c r="AD1319" t="s">
        <v>36</v>
      </c>
      <c r="AE1319" t="s">
        <v>36</v>
      </c>
      <c r="AF1319" t="s">
        <v>36</v>
      </c>
      <c r="AG1319" t="s">
        <v>36</v>
      </c>
    </row>
    <row r="1320" spans="1:33" hidden="1" x14ac:dyDescent="0.2">
      <c r="A1320">
        <v>1319</v>
      </c>
      <c r="B1320" t="s">
        <v>422</v>
      </c>
      <c r="C1320" t="s">
        <v>108</v>
      </c>
      <c r="D1320">
        <v>34</v>
      </c>
      <c r="E1320" t="s">
        <v>34</v>
      </c>
      <c r="F1320" t="s">
        <v>38</v>
      </c>
      <c r="G1320" t="s">
        <v>40</v>
      </c>
      <c r="H1320">
        <v>38044</v>
      </c>
      <c r="I1320">
        <v>0</v>
      </c>
      <c r="J1320">
        <v>0</v>
      </c>
      <c r="K1320">
        <v>1</v>
      </c>
      <c r="L1320">
        <v>0</v>
      </c>
      <c r="M1320" t="s">
        <v>36</v>
      </c>
      <c r="N1320" t="s">
        <v>36</v>
      </c>
      <c r="O1320" t="s">
        <v>36</v>
      </c>
      <c r="P1320" t="s">
        <v>37</v>
      </c>
      <c r="Q1320" t="s">
        <v>36</v>
      </c>
      <c r="R1320" t="s">
        <v>36</v>
      </c>
      <c r="S1320" t="s">
        <v>36</v>
      </c>
      <c r="T1320" t="s">
        <v>36</v>
      </c>
      <c r="U1320" t="s">
        <v>36</v>
      </c>
      <c r="V1320" t="s">
        <v>36</v>
      </c>
      <c r="W1320" t="s">
        <v>36</v>
      </c>
      <c r="X1320" t="s">
        <v>36</v>
      </c>
      <c r="Y1320" t="s">
        <v>36</v>
      </c>
      <c r="Z1320" t="s">
        <v>36</v>
      </c>
      <c r="AA1320" t="s">
        <v>36</v>
      </c>
      <c r="AB1320" t="s">
        <v>36</v>
      </c>
      <c r="AC1320" t="s">
        <v>36</v>
      </c>
      <c r="AD1320" t="s">
        <v>36</v>
      </c>
      <c r="AE1320" t="s">
        <v>36</v>
      </c>
      <c r="AF1320" t="s">
        <v>36</v>
      </c>
      <c r="AG1320" t="s">
        <v>36</v>
      </c>
    </row>
    <row r="1321" spans="1:33" x14ac:dyDescent="0.2">
      <c r="A1321">
        <v>1320</v>
      </c>
      <c r="B1321" t="s">
        <v>422</v>
      </c>
      <c r="C1321" t="s">
        <v>108</v>
      </c>
      <c r="D1321">
        <v>34</v>
      </c>
      <c r="E1321" t="s">
        <v>34</v>
      </c>
      <c r="F1321" t="s">
        <v>41</v>
      </c>
      <c r="G1321" t="s">
        <v>61</v>
      </c>
      <c r="H1321">
        <v>43128</v>
      </c>
      <c r="I1321">
        <v>1</v>
      </c>
      <c r="J1321">
        <v>0</v>
      </c>
      <c r="K1321">
        <v>0</v>
      </c>
      <c r="L1321">
        <v>0</v>
      </c>
      <c r="M1321" t="s">
        <v>64</v>
      </c>
      <c r="N1321" t="s">
        <v>125</v>
      </c>
      <c r="O1321" t="s">
        <v>62</v>
      </c>
      <c r="P1321" t="s">
        <v>37</v>
      </c>
      <c r="Q1321" t="s">
        <v>48</v>
      </c>
      <c r="R1321" t="s">
        <v>60</v>
      </c>
      <c r="S1321" t="s">
        <v>65</v>
      </c>
      <c r="T1321">
        <v>1</v>
      </c>
      <c r="U1321">
        <v>1</v>
      </c>
      <c r="V1321">
        <v>1</v>
      </c>
      <c r="W1321">
        <v>0</v>
      </c>
      <c r="X1321">
        <v>0</v>
      </c>
      <c r="Y1321">
        <v>0</v>
      </c>
      <c r="Z1321">
        <v>1</v>
      </c>
      <c r="AA1321">
        <v>0</v>
      </c>
      <c r="AB1321">
        <v>0</v>
      </c>
      <c r="AC1321">
        <v>1</v>
      </c>
      <c r="AD1321">
        <v>0</v>
      </c>
      <c r="AE1321">
        <v>0</v>
      </c>
      <c r="AF1321">
        <v>0</v>
      </c>
      <c r="AG1321">
        <v>0</v>
      </c>
    </row>
    <row r="1322" spans="1:33" x14ac:dyDescent="0.2">
      <c r="A1322">
        <v>1321</v>
      </c>
      <c r="B1322" t="s">
        <v>422</v>
      </c>
      <c r="C1322" t="s">
        <v>108</v>
      </c>
      <c r="D1322">
        <v>34</v>
      </c>
      <c r="E1322" t="s">
        <v>34</v>
      </c>
      <c r="F1322" t="s">
        <v>41</v>
      </c>
      <c r="G1322" t="s">
        <v>67</v>
      </c>
      <c r="H1322">
        <v>16811</v>
      </c>
      <c r="I1322">
        <v>0</v>
      </c>
      <c r="J1322">
        <v>1</v>
      </c>
      <c r="K1322">
        <v>0</v>
      </c>
      <c r="L1322">
        <v>0</v>
      </c>
      <c r="M1322" t="s">
        <v>69</v>
      </c>
      <c r="N1322" t="s">
        <v>68</v>
      </c>
      <c r="O1322" t="s">
        <v>86</v>
      </c>
      <c r="P1322" t="s">
        <v>37</v>
      </c>
      <c r="Q1322" t="s">
        <v>48</v>
      </c>
      <c r="R1322" t="s">
        <v>65</v>
      </c>
      <c r="S1322" t="s">
        <v>46</v>
      </c>
      <c r="T1322">
        <v>0</v>
      </c>
      <c r="U1322">
        <v>1</v>
      </c>
      <c r="V1322">
        <v>1</v>
      </c>
      <c r="W1322">
        <v>0</v>
      </c>
      <c r="X1322">
        <v>1</v>
      </c>
      <c r="Y1322">
        <v>0</v>
      </c>
      <c r="Z1322">
        <v>1</v>
      </c>
      <c r="AA1322">
        <v>0</v>
      </c>
      <c r="AB1322">
        <v>1</v>
      </c>
      <c r="AC1322">
        <v>0</v>
      </c>
      <c r="AD1322">
        <v>0</v>
      </c>
      <c r="AE1322">
        <v>0</v>
      </c>
      <c r="AF1322">
        <v>0</v>
      </c>
      <c r="AG1322">
        <v>0</v>
      </c>
    </row>
    <row r="1323" spans="1:33" hidden="1" x14ac:dyDescent="0.2">
      <c r="A1323">
        <v>1322</v>
      </c>
      <c r="B1323" t="s">
        <v>422</v>
      </c>
      <c r="C1323" t="s">
        <v>108</v>
      </c>
      <c r="D1323">
        <v>34</v>
      </c>
      <c r="E1323" t="s">
        <v>34</v>
      </c>
      <c r="F1323" t="s">
        <v>53</v>
      </c>
      <c r="G1323" t="s">
        <v>54</v>
      </c>
      <c r="H1323">
        <v>24585</v>
      </c>
      <c r="I1323">
        <v>0</v>
      </c>
      <c r="J1323">
        <v>0</v>
      </c>
      <c r="K1323">
        <v>1</v>
      </c>
      <c r="L1323">
        <v>0</v>
      </c>
      <c r="M1323" t="s">
        <v>36</v>
      </c>
      <c r="N1323" t="s">
        <v>36</v>
      </c>
      <c r="O1323" t="s">
        <v>36</v>
      </c>
      <c r="P1323" t="s">
        <v>37</v>
      </c>
      <c r="Q1323" t="s">
        <v>36</v>
      </c>
      <c r="R1323" t="s">
        <v>36</v>
      </c>
      <c r="S1323" t="s">
        <v>36</v>
      </c>
      <c r="T1323" t="s">
        <v>36</v>
      </c>
      <c r="U1323">
        <v>1</v>
      </c>
      <c r="V1323">
        <v>1</v>
      </c>
      <c r="W1323">
        <v>0</v>
      </c>
      <c r="X1323">
        <v>1</v>
      </c>
      <c r="Y1323">
        <v>0</v>
      </c>
      <c r="Z1323">
        <v>1</v>
      </c>
      <c r="AA1323">
        <v>0</v>
      </c>
      <c r="AB1323">
        <v>1</v>
      </c>
      <c r="AC1323">
        <v>0</v>
      </c>
      <c r="AD1323">
        <v>0</v>
      </c>
      <c r="AE1323">
        <v>0</v>
      </c>
      <c r="AF1323">
        <v>0</v>
      </c>
      <c r="AG1323">
        <v>0</v>
      </c>
    </row>
    <row r="1324" spans="1:33" x14ac:dyDescent="0.2">
      <c r="A1324">
        <v>1323</v>
      </c>
      <c r="B1324" t="s">
        <v>422</v>
      </c>
      <c r="C1324" t="s">
        <v>108</v>
      </c>
      <c r="D1324">
        <v>34</v>
      </c>
      <c r="E1324" t="s">
        <v>34</v>
      </c>
      <c r="F1324" t="s">
        <v>41</v>
      </c>
      <c r="G1324" t="s">
        <v>49</v>
      </c>
      <c r="H1324">
        <v>10952</v>
      </c>
      <c r="I1324">
        <v>0</v>
      </c>
      <c r="J1324">
        <v>0</v>
      </c>
      <c r="K1324">
        <v>1</v>
      </c>
      <c r="L1324">
        <v>0</v>
      </c>
      <c r="M1324" t="s">
        <v>50</v>
      </c>
      <c r="N1324" t="s">
        <v>51</v>
      </c>
      <c r="O1324" t="s">
        <v>96</v>
      </c>
      <c r="P1324" t="s">
        <v>37</v>
      </c>
      <c r="Q1324" t="s">
        <v>48</v>
      </c>
      <c r="R1324" t="s">
        <v>47</v>
      </c>
      <c r="S1324" t="s">
        <v>65</v>
      </c>
      <c r="T1324">
        <v>0</v>
      </c>
      <c r="U1324">
        <v>1</v>
      </c>
      <c r="V1324">
        <v>1</v>
      </c>
      <c r="W1324">
        <v>1</v>
      </c>
      <c r="X1324">
        <v>0</v>
      </c>
      <c r="Y1324">
        <v>0</v>
      </c>
      <c r="Z1324">
        <v>1</v>
      </c>
      <c r="AA1324">
        <v>0</v>
      </c>
      <c r="AB1324">
        <v>1</v>
      </c>
      <c r="AC1324">
        <v>0</v>
      </c>
      <c r="AD1324">
        <v>0</v>
      </c>
      <c r="AE1324">
        <v>0</v>
      </c>
      <c r="AF1324">
        <v>0</v>
      </c>
      <c r="AG1324">
        <v>0</v>
      </c>
    </row>
    <row r="1325" spans="1:33" x14ac:dyDescent="0.2">
      <c r="A1325">
        <v>1324</v>
      </c>
      <c r="B1325" t="s">
        <v>422</v>
      </c>
      <c r="C1325" t="s">
        <v>108</v>
      </c>
      <c r="D1325">
        <v>34</v>
      </c>
      <c r="E1325" t="s">
        <v>34</v>
      </c>
      <c r="F1325" t="s">
        <v>41</v>
      </c>
      <c r="G1325" t="s">
        <v>42</v>
      </c>
      <c r="H1325">
        <v>13927</v>
      </c>
      <c r="I1325">
        <v>1</v>
      </c>
      <c r="J1325">
        <v>0</v>
      </c>
      <c r="K1325">
        <v>0</v>
      </c>
      <c r="L1325">
        <v>0</v>
      </c>
      <c r="M1325" t="s">
        <v>45</v>
      </c>
      <c r="N1325" t="s">
        <v>102</v>
      </c>
      <c r="O1325" t="s">
        <v>116</v>
      </c>
      <c r="P1325" t="s">
        <v>37</v>
      </c>
      <c r="Q1325" t="s">
        <v>48</v>
      </c>
      <c r="R1325" t="s">
        <v>59</v>
      </c>
      <c r="S1325" t="s">
        <v>60</v>
      </c>
      <c r="T1325">
        <v>1</v>
      </c>
      <c r="U1325">
        <v>0</v>
      </c>
      <c r="V1325">
        <v>1</v>
      </c>
      <c r="W1325">
        <v>0</v>
      </c>
      <c r="X1325">
        <v>0</v>
      </c>
      <c r="Y1325">
        <v>0</v>
      </c>
      <c r="Z1325">
        <v>1</v>
      </c>
      <c r="AA1325">
        <v>0</v>
      </c>
      <c r="AB1325">
        <v>0</v>
      </c>
      <c r="AC1325">
        <v>1</v>
      </c>
      <c r="AD1325">
        <v>0</v>
      </c>
      <c r="AE1325">
        <v>0</v>
      </c>
      <c r="AF1325">
        <v>0</v>
      </c>
      <c r="AG1325">
        <v>0</v>
      </c>
    </row>
    <row r="1326" spans="1:33" hidden="1" x14ac:dyDescent="0.2">
      <c r="A1326">
        <v>1325</v>
      </c>
      <c r="B1326" t="s">
        <v>422</v>
      </c>
      <c r="C1326" t="s">
        <v>108</v>
      </c>
      <c r="D1326">
        <v>34</v>
      </c>
      <c r="E1326" t="s">
        <v>34</v>
      </c>
      <c r="F1326" t="s">
        <v>53</v>
      </c>
      <c r="G1326" t="s">
        <v>71</v>
      </c>
      <c r="H1326">
        <v>21169</v>
      </c>
      <c r="I1326">
        <v>0</v>
      </c>
      <c r="J1326">
        <v>1</v>
      </c>
      <c r="K1326">
        <v>0</v>
      </c>
      <c r="L1326">
        <v>0</v>
      </c>
      <c r="M1326" t="s">
        <v>36</v>
      </c>
      <c r="N1326" t="s">
        <v>36</v>
      </c>
      <c r="O1326" t="s">
        <v>36</v>
      </c>
      <c r="P1326" t="s">
        <v>37</v>
      </c>
      <c r="Q1326" t="s">
        <v>36</v>
      </c>
      <c r="R1326" t="s">
        <v>36</v>
      </c>
      <c r="S1326" t="s">
        <v>36</v>
      </c>
      <c r="T1326" t="s">
        <v>36</v>
      </c>
      <c r="U1326">
        <v>0</v>
      </c>
      <c r="V1326">
        <v>1</v>
      </c>
      <c r="W1326">
        <v>0</v>
      </c>
      <c r="X1326">
        <v>0</v>
      </c>
      <c r="Y1326">
        <v>0</v>
      </c>
      <c r="Z1326">
        <v>1</v>
      </c>
      <c r="AA1326">
        <v>0</v>
      </c>
      <c r="AB1326">
        <v>0</v>
      </c>
      <c r="AC1326">
        <v>1</v>
      </c>
      <c r="AD1326">
        <v>0</v>
      </c>
      <c r="AE1326">
        <v>0</v>
      </c>
      <c r="AF1326">
        <v>0</v>
      </c>
      <c r="AG1326">
        <v>0</v>
      </c>
    </row>
    <row r="1327" spans="1:33" x14ac:dyDescent="0.2">
      <c r="A1327">
        <v>1326</v>
      </c>
      <c r="B1327" t="s">
        <v>422</v>
      </c>
      <c r="C1327" t="s">
        <v>108</v>
      </c>
      <c r="D1327">
        <v>34</v>
      </c>
      <c r="E1327" t="s">
        <v>34</v>
      </c>
      <c r="F1327" t="s">
        <v>41</v>
      </c>
      <c r="G1327" t="s">
        <v>55</v>
      </c>
      <c r="H1327">
        <v>6630</v>
      </c>
      <c r="I1327">
        <v>1</v>
      </c>
      <c r="J1327">
        <v>0</v>
      </c>
      <c r="K1327">
        <v>0</v>
      </c>
      <c r="L1327">
        <v>0</v>
      </c>
      <c r="M1327" t="s">
        <v>85</v>
      </c>
      <c r="N1327" t="s">
        <v>58</v>
      </c>
      <c r="O1327" t="s">
        <v>94</v>
      </c>
      <c r="P1327" t="s">
        <v>37</v>
      </c>
      <c r="Q1327" t="s">
        <v>65</v>
      </c>
      <c r="R1327" t="s">
        <v>60</v>
      </c>
      <c r="S1327" t="s">
        <v>47</v>
      </c>
      <c r="T1327">
        <v>1</v>
      </c>
      <c r="U1327">
        <v>1</v>
      </c>
      <c r="V1327">
        <v>0</v>
      </c>
      <c r="W1327">
        <v>1</v>
      </c>
      <c r="X1327">
        <v>0</v>
      </c>
      <c r="Y1327">
        <v>0</v>
      </c>
      <c r="Z1327">
        <v>1</v>
      </c>
      <c r="AA1327">
        <v>0</v>
      </c>
      <c r="AB1327">
        <v>1</v>
      </c>
      <c r="AC1327">
        <v>0</v>
      </c>
      <c r="AD1327">
        <v>0</v>
      </c>
      <c r="AE1327">
        <v>0</v>
      </c>
      <c r="AF1327">
        <v>0</v>
      </c>
      <c r="AG1327">
        <v>0</v>
      </c>
    </row>
    <row r="1328" spans="1:33" hidden="1" x14ac:dyDescent="0.2">
      <c r="A1328">
        <v>1327</v>
      </c>
      <c r="B1328" t="s">
        <v>422</v>
      </c>
      <c r="C1328" t="s">
        <v>108</v>
      </c>
      <c r="D1328">
        <v>34</v>
      </c>
      <c r="E1328" t="s">
        <v>34</v>
      </c>
      <c r="F1328" t="s">
        <v>53</v>
      </c>
      <c r="G1328" t="s">
        <v>66</v>
      </c>
      <c r="H1328">
        <v>14248</v>
      </c>
      <c r="I1328">
        <v>1</v>
      </c>
      <c r="J1328">
        <v>0</v>
      </c>
      <c r="K1328">
        <v>0</v>
      </c>
      <c r="L1328">
        <v>0</v>
      </c>
      <c r="M1328" t="s">
        <v>36</v>
      </c>
      <c r="N1328" t="s">
        <v>36</v>
      </c>
      <c r="O1328" t="s">
        <v>36</v>
      </c>
      <c r="P1328" t="s">
        <v>37</v>
      </c>
      <c r="Q1328" t="s">
        <v>36</v>
      </c>
      <c r="R1328" t="s">
        <v>36</v>
      </c>
      <c r="S1328" t="s">
        <v>36</v>
      </c>
      <c r="T1328" t="s">
        <v>36</v>
      </c>
      <c r="U1328">
        <v>1</v>
      </c>
      <c r="V1328">
        <v>0</v>
      </c>
      <c r="W1328">
        <v>1</v>
      </c>
      <c r="X1328">
        <v>0</v>
      </c>
      <c r="Y1328">
        <v>0</v>
      </c>
      <c r="Z1328">
        <v>1</v>
      </c>
      <c r="AA1328">
        <v>0</v>
      </c>
      <c r="AB1328">
        <v>1</v>
      </c>
      <c r="AC1328">
        <v>0</v>
      </c>
      <c r="AD1328">
        <v>0</v>
      </c>
      <c r="AE1328">
        <v>0</v>
      </c>
      <c r="AF1328">
        <v>0</v>
      </c>
      <c r="AG1328">
        <v>0</v>
      </c>
    </row>
    <row r="1329" spans="1:33" x14ac:dyDescent="0.2">
      <c r="A1329">
        <v>1328</v>
      </c>
      <c r="B1329" t="s">
        <v>422</v>
      </c>
      <c r="C1329" t="s">
        <v>108</v>
      </c>
      <c r="D1329">
        <v>34</v>
      </c>
      <c r="E1329" t="s">
        <v>34</v>
      </c>
      <c r="F1329" t="s">
        <v>41</v>
      </c>
      <c r="G1329" t="s">
        <v>72</v>
      </c>
      <c r="H1329">
        <v>5008</v>
      </c>
      <c r="I1329">
        <v>1</v>
      </c>
      <c r="J1329">
        <v>0</v>
      </c>
      <c r="K1329">
        <v>0</v>
      </c>
      <c r="L1329">
        <v>0</v>
      </c>
      <c r="M1329" t="s">
        <v>115</v>
      </c>
      <c r="N1329" t="s">
        <v>75</v>
      </c>
      <c r="O1329" t="s">
        <v>74</v>
      </c>
      <c r="P1329" t="s">
        <v>37</v>
      </c>
      <c r="Q1329" t="s">
        <v>65</v>
      </c>
      <c r="R1329" t="s">
        <v>46</v>
      </c>
      <c r="S1329" t="s">
        <v>47</v>
      </c>
      <c r="T1329">
        <v>0</v>
      </c>
      <c r="U1329">
        <v>1</v>
      </c>
      <c r="V1329">
        <v>0</v>
      </c>
      <c r="W1329">
        <v>1</v>
      </c>
      <c r="X1329">
        <v>1</v>
      </c>
      <c r="Y1329">
        <v>0</v>
      </c>
      <c r="Z1329">
        <v>1</v>
      </c>
      <c r="AA1329">
        <v>0</v>
      </c>
      <c r="AB1329">
        <v>1</v>
      </c>
      <c r="AC1329">
        <v>0</v>
      </c>
      <c r="AD1329">
        <v>0</v>
      </c>
      <c r="AE1329">
        <v>0</v>
      </c>
      <c r="AF1329">
        <v>0</v>
      </c>
      <c r="AG1329">
        <v>0</v>
      </c>
    </row>
    <row r="1330" spans="1:33" hidden="1" x14ac:dyDescent="0.2">
      <c r="A1330">
        <v>1329</v>
      </c>
      <c r="B1330" t="s">
        <v>422</v>
      </c>
      <c r="C1330" t="s">
        <v>108</v>
      </c>
      <c r="D1330">
        <v>34</v>
      </c>
      <c r="E1330" t="s">
        <v>34</v>
      </c>
      <c r="F1330" t="s">
        <v>53</v>
      </c>
      <c r="G1330" t="s">
        <v>76</v>
      </c>
      <c r="H1330">
        <v>39096</v>
      </c>
      <c r="I1330">
        <v>0</v>
      </c>
      <c r="J1330">
        <v>1</v>
      </c>
      <c r="K1330">
        <v>0</v>
      </c>
      <c r="L1330">
        <v>0</v>
      </c>
      <c r="M1330" t="s">
        <v>36</v>
      </c>
      <c r="N1330" t="s">
        <v>36</v>
      </c>
      <c r="O1330" t="s">
        <v>36</v>
      </c>
      <c r="P1330" t="s">
        <v>37</v>
      </c>
      <c r="Q1330" t="s">
        <v>36</v>
      </c>
      <c r="R1330" t="s">
        <v>36</v>
      </c>
      <c r="S1330" t="s">
        <v>36</v>
      </c>
      <c r="T1330" t="s">
        <v>36</v>
      </c>
      <c r="U1330">
        <v>1</v>
      </c>
      <c r="V1330">
        <v>0</v>
      </c>
      <c r="W1330">
        <v>1</v>
      </c>
      <c r="X1330">
        <v>1</v>
      </c>
      <c r="Y1330">
        <v>0</v>
      </c>
      <c r="Z1330">
        <v>1</v>
      </c>
      <c r="AA1330">
        <v>0</v>
      </c>
      <c r="AB1330">
        <v>1</v>
      </c>
      <c r="AC1330">
        <v>0</v>
      </c>
      <c r="AD1330">
        <v>0</v>
      </c>
      <c r="AE1330">
        <v>0</v>
      </c>
      <c r="AF1330">
        <v>0</v>
      </c>
      <c r="AG1330">
        <v>0</v>
      </c>
    </row>
    <row r="1331" spans="1:33" hidden="1" x14ac:dyDescent="0.2">
      <c r="A1331">
        <v>1330</v>
      </c>
      <c r="B1331" t="s">
        <v>422</v>
      </c>
      <c r="C1331" t="s">
        <v>108</v>
      </c>
      <c r="D1331">
        <v>34</v>
      </c>
      <c r="E1331" t="s">
        <v>34</v>
      </c>
      <c r="F1331" t="s">
        <v>77</v>
      </c>
      <c r="G1331" t="s">
        <v>36</v>
      </c>
      <c r="H1331">
        <v>67033</v>
      </c>
      <c r="I1331" t="s">
        <v>423</v>
      </c>
      <c r="J1331" t="s">
        <v>424</v>
      </c>
      <c r="K1331" t="s">
        <v>425</v>
      </c>
      <c r="L1331" t="s">
        <v>36</v>
      </c>
      <c r="M1331" t="s">
        <v>36</v>
      </c>
      <c r="N1331" t="s">
        <v>36</v>
      </c>
      <c r="O1331" t="s">
        <v>36</v>
      </c>
      <c r="P1331" t="s">
        <v>37</v>
      </c>
      <c r="Q1331" t="s">
        <v>36</v>
      </c>
      <c r="R1331" t="s">
        <v>36</v>
      </c>
      <c r="S1331" t="s">
        <v>36</v>
      </c>
      <c r="T1331" t="s">
        <v>36</v>
      </c>
      <c r="U1331" t="s">
        <v>36</v>
      </c>
      <c r="V1331" t="s">
        <v>36</v>
      </c>
      <c r="W1331" t="s">
        <v>36</v>
      </c>
      <c r="X1331" t="s">
        <v>36</v>
      </c>
      <c r="Y1331" t="s">
        <v>36</v>
      </c>
      <c r="Z1331" t="s">
        <v>36</v>
      </c>
      <c r="AA1331" t="s">
        <v>36</v>
      </c>
      <c r="AB1331" t="s">
        <v>36</v>
      </c>
      <c r="AC1331" t="s">
        <v>36</v>
      </c>
      <c r="AD1331" t="s">
        <v>36</v>
      </c>
      <c r="AE1331" t="s">
        <v>36</v>
      </c>
      <c r="AF1331" t="s">
        <v>36</v>
      </c>
      <c r="AG1331" t="s">
        <v>36</v>
      </c>
    </row>
    <row r="1332" spans="1:33" hidden="1" x14ac:dyDescent="0.2">
      <c r="A1332">
        <v>1331</v>
      </c>
      <c r="B1332" t="s">
        <v>426</v>
      </c>
      <c r="C1332" t="s">
        <v>108</v>
      </c>
      <c r="D1332">
        <v>23</v>
      </c>
      <c r="E1332" t="s">
        <v>114</v>
      </c>
      <c r="F1332" t="s">
        <v>35</v>
      </c>
      <c r="G1332" t="s">
        <v>36</v>
      </c>
      <c r="H1332">
        <v>36691</v>
      </c>
      <c r="I1332" t="s">
        <v>36</v>
      </c>
      <c r="J1332" t="s">
        <v>36</v>
      </c>
      <c r="K1332" t="s">
        <v>36</v>
      </c>
      <c r="L1332" t="s">
        <v>36</v>
      </c>
      <c r="M1332" t="s">
        <v>36</v>
      </c>
      <c r="N1332" t="s">
        <v>36</v>
      </c>
      <c r="O1332" t="s">
        <v>36</v>
      </c>
      <c r="P1332" t="s">
        <v>37</v>
      </c>
      <c r="Q1332" t="s">
        <v>36</v>
      </c>
      <c r="R1332" t="s">
        <v>36</v>
      </c>
      <c r="S1332" t="s">
        <v>36</v>
      </c>
      <c r="T1332" t="s">
        <v>36</v>
      </c>
      <c r="U1332" t="s">
        <v>36</v>
      </c>
      <c r="V1332" t="s">
        <v>36</v>
      </c>
      <c r="W1332" t="s">
        <v>36</v>
      </c>
      <c r="X1332" t="s">
        <v>36</v>
      </c>
      <c r="Y1332" t="s">
        <v>36</v>
      </c>
      <c r="Z1332" t="s">
        <v>36</v>
      </c>
      <c r="AA1332" t="s">
        <v>36</v>
      </c>
      <c r="AB1332" t="s">
        <v>36</v>
      </c>
      <c r="AC1332" t="s">
        <v>36</v>
      </c>
      <c r="AD1332" t="s">
        <v>36</v>
      </c>
      <c r="AE1332" t="s">
        <v>36</v>
      </c>
      <c r="AF1332" t="s">
        <v>36</v>
      </c>
      <c r="AG1332" t="s">
        <v>36</v>
      </c>
    </row>
    <row r="1333" spans="1:33" hidden="1" x14ac:dyDescent="0.2">
      <c r="A1333">
        <v>1332</v>
      </c>
      <c r="B1333" t="s">
        <v>426</v>
      </c>
      <c r="C1333" t="s">
        <v>108</v>
      </c>
      <c r="D1333">
        <v>23</v>
      </c>
      <c r="E1333" t="s">
        <v>114</v>
      </c>
      <c r="F1333" t="s">
        <v>38</v>
      </c>
      <c r="G1333" t="s">
        <v>40</v>
      </c>
      <c r="H1333">
        <v>97692</v>
      </c>
      <c r="I1333">
        <v>0</v>
      </c>
      <c r="J1333">
        <v>0</v>
      </c>
      <c r="K1333">
        <v>0</v>
      </c>
      <c r="L1333">
        <v>1</v>
      </c>
      <c r="M1333" t="s">
        <v>36</v>
      </c>
      <c r="N1333" t="s">
        <v>36</v>
      </c>
      <c r="O1333" t="s">
        <v>36</v>
      </c>
      <c r="P1333" t="s">
        <v>37</v>
      </c>
      <c r="Q1333" t="s">
        <v>36</v>
      </c>
      <c r="R1333" t="s">
        <v>36</v>
      </c>
      <c r="S1333" t="s">
        <v>36</v>
      </c>
      <c r="T1333" t="s">
        <v>36</v>
      </c>
      <c r="U1333" t="s">
        <v>36</v>
      </c>
      <c r="V1333" t="s">
        <v>36</v>
      </c>
      <c r="W1333" t="s">
        <v>36</v>
      </c>
      <c r="X1333" t="s">
        <v>36</v>
      </c>
      <c r="Y1333" t="s">
        <v>36</v>
      </c>
      <c r="Z1333" t="s">
        <v>36</v>
      </c>
      <c r="AA1333" t="s">
        <v>36</v>
      </c>
      <c r="AB1333" t="s">
        <v>36</v>
      </c>
      <c r="AC1333" t="s">
        <v>36</v>
      </c>
      <c r="AD1333" t="s">
        <v>36</v>
      </c>
      <c r="AE1333" t="s">
        <v>36</v>
      </c>
      <c r="AF1333" t="s">
        <v>36</v>
      </c>
      <c r="AG1333" t="s">
        <v>36</v>
      </c>
    </row>
    <row r="1334" spans="1:33" hidden="1" x14ac:dyDescent="0.2">
      <c r="A1334">
        <v>1333</v>
      </c>
      <c r="B1334" t="s">
        <v>426</v>
      </c>
      <c r="C1334" t="s">
        <v>108</v>
      </c>
      <c r="D1334">
        <v>23</v>
      </c>
      <c r="E1334" t="s">
        <v>114</v>
      </c>
      <c r="F1334" t="s">
        <v>38</v>
      </c>
      <c r="G1334" t="s">
        <v>39</v>
      </c>
      <c r="H1334">
        <v>43947</v>
      </c>
      <c r="I1334">
        <v>0</v>
      </c>
      <c r="J1334">
        <v>0</v>
      </c>
      <c r="K1334">
        <v>0</v>
      </c>
      <c r="L1334">
        <v>1</v>
      </c>
      <c r="M1334" t="s">
        <v>36</v>
      </c>
      <c r="N1334" t="s">
        <v>36</v>
      </c>
      <c r="O1334" t="s">
        <v>36</v>
      </c>
      <c r="P1334" t="s">
        <v>37</v>
      </c>
      <c r="Q1334" t="s">
        <v>36</v>
      </c>
      <c r="R1334" t="s">
        <v>36</v>
      </c>
      <c r="S1334" t="s">
        <v>36</v>
      </c>
      <c r="T1334" t="s">
        <v>36</v>
      </c>
      <c r="U1334" t="s">
        <v>36</v>
      </c>
      <c r="V1334" t="s">
        <v>36</v>
      </c>
      <c r="W1334" t="s">
        <v>36</v>
      </c>
      <c r="X1334" t="s">
        <v>36</v>
      </c>
      <c r="Y1334" t="s">
        <v>36</v>
      </c>
      <c r="Z1334" t="s">
        <v>36</v>
      </c>
      <c r="AA1334" t="s">
        <v>36</v>
      </c>
      <c r="AB1334" t="s">
        <v>36</v>
      </c>
      <c r="AC1334" t="s">
        <v>36</v>
      </c>
      <c r="AD1334" t="s">
        <v>36</v>
      </c>
      <c r="AE1334" t="s">
        <v>36</v>
      </c>
      <c r="AF1334" t="s">
        <v>36</v>
      </c>
      <c r="AG1334" t="s">
        <v>36</v>
      </c>
    </row>
    <row r="1335" spans="1:33" x14ac:dyDescent="0.2">
      <c r="A1335">
        <v>1334</v>
      </c>
      <c r="B1335" t="s">
        <v>426</v>
      </c>
      <c r="C1335" t="s">
        <v>108</v>
      </c>
      <c r="D1335">
        <v>23</v>
      </c>
      <c r="E1335" t="s">
        <v>114</v>
      </c>
      <c r="F1335" t="s">
        <v>41</v>
      </c>
      <c r="G1335" t="s">
        <v>49</v>
      </c>
      <c r="H1335">
        <v>95461</v>
      </c>
      <c r="I1335">
        <v>0</v>
      </c>
      <c r="J1335">
        <v>1</v>
      </c>
      <c r="K1335">
        <v>0</v>
      </c>
      <c r="L1335">
        <v>0</v>
      </c>
      <c r="M1335" t="s">
        <v>50</v>
      </c>
      <c r="N1335" t="s">
        <v>96</v>
      </c>
      <c r="O1335" t="s">
        <v>51</v>
      </c>
      <c r="P1335" t="s">
        <v>37</v>
      </c>
      <c r="Q1335" t="s">
        <v>48</v>
      </c>
      <c r="R1335" t="s">
        <v>65</v>
      </c>
      <c r="S1335" t="s">
        <v>47</v>
      </c>
      <c r="T1335">
        <v>0</v>
      </c>
      <c r="U1335">
        <v>1</v>
      </c>
      <c r="V1335">
        <v>1</v>
      </c>
      <c r="W1335">
        <v>1</v>
      </c>
      <c r="X1335">
        <v>0</v>
      </c>
      <c r="Y1335">
        <v>0</v>
      </c>
      <c r="Z1335">
        <v>1</v>
      </c>
      <c r="AA1335">
        <v>0</v>
      </c>
      <c r="AB1335">
        <v>1</v>
      </c>
      <c r="AC1335">
        <v>0</v>
      </c>
      <c r="AD1335">
        <v>0</v>
      </c>
      <c r="AE1335">
        <v>0</v>
      </c>
      <c r="AF1335">
        <v>0</v>
      </c>
      <c r="AG1335">
        <v>0</v>
      </c>
    </row>
    <row r="1336" spans="1:33" x14ac:dyDescent="0.2">
      <c r="A1336">
        <v>1335</v>
      </c>
      <c r="B1336" t="s">
        <v>426</v>
      </c>
      <c r="C1336" t="s">
        <v>108</v>
      </c>
      <c r="D1336">
        <v>23</v>
      </c>
      <c r="E1336" t="s">
        <v>114</v>
      </c>
      <c r="F1336" t="s">
        <v>41</v>
      </c>
      <c r="G1336" t="s">
        <v>55</v>
      </c>
      <c r="H1336">
        <v>43288</v>
      </c>
      <c r="I1336">
        <v>0</v>
      </c>
      <c r="J1336">
        <v>1</v>
      </c>
      <c r="K1336">
        <v>0</v>
      </c>
      <c r="L1336">
        <v>0</v>
      </c>
      <c r="M1336" t="s">
        <v>57</v>
      </c>
      <c r="N1336" t="s">
        <v>85</v>
      </c>
      <c r="O1336" t="s">
        <v>94</v>
      </c>
      <c r="P1336" t="s">
        <v>37</v>
      </c>
      <c r="Q1336" t="s">
        <v>48</v>
      </c>
      <c r="R1336" t="s">
        <v>65</v>
      </c>
      <c r="S1336" t="s">
        <v>47</v>
      </c>
      <c r="T1336">
        <v>0</v>
      </c>
      <c r="U1336">
        <v>1</v>
      </c>
      <c r="V1336">
        <v>1</v>
      </c>
      <c r="W1336">
        <v>1</v>
      </c>
      <c r="X1336">
        <v>0</v>
      </c>
      <c r="Y1336">
        <v>0</v>
      </c>
      <c r="Z1336">
        <v>1</v>
      </c>
      <c r="AA1336">
        <v>0</v>
      </c>
      <c r="AB1336">
        <v>1</v>
      </c>
      <c r="AC1336">
        <v>0</v>
      </c>
      <c r="AD1336">
        <v>0</v>
      </c>
      <c r="AE1336">
        <v>0</v>
      </c>
      <c r="AF1336">
        <v>0</v>
      </c>
      <c r="AG1336">
        <v>0</v>
      </c>
    </row>
    <row r="1337" spans="1:33" hidden="1" x14ac:dyDescent="0.2">
      <c r="A1337">
        <v>1336</v>
      </c>
      <c r="B1337" t="s">
        <v>426</v>
      </c>
      <c r="C1337" t="s">
        <v>108</v>
      </c>
      <c r="D1337">
        <v>23</v>
      </c>
      <c r="E1337" t="s">
        <v>114</v>
      </c>
      <c r="F1337" t="s">
        <v>53</v>
      </c>
      <c r="G1337" t="s">
        <v>54</v>
      </c>
      <c r="H1337">
        <v>28182</v>
      </c>
      <c r="I1337">
        <v>0</v>
      </c>
      <c r="J1337">
        <v>0</v>
      </c>
      <c r="K1337">
        <v>1</v>
      </c>
      <c r="L1337">
        <v>0</v>
      </c>
      <c r="M1337" t="s">
        <v>36</v>
      </c>
      <c r="N1337" t="s">
        <v>36</v>
      </c>
      <c r="O1337" t="s">
        <v>36</v>
      </c>
      <c r="P1337" t="s">
        <v>37</v>
      </c>
      <c r="Q1337" t="s">
        <v>36</v>
      </c>
      <c r="R1337" t="s">
        <v>36</v>
      </c>
      <c r="S1337" t="s">
        <v>36</v>
      </c>
      <c r="T1337" t="s">
        <v>36</v>
      </c>
      <c r="U1337">
        <v>1</v>
      </c>
      <c r="V1337">
        <v>1</v>
      </c>
      <c r="W1337">
        <v>1</v>
      </c>
      <c r="X1337">
        <v>0</v>
      </c>
      <c r="Y1337">
        <v>0</v>
      </c>
      <c r="Z1337">
        <v>1</v>
      </c>
      <c r="AA1337">
        <v>0</v>
      </c>
      <c r="AB1337">
        <v>1</v>
      </c>
      <c r="AC1337">
        <v>0</v>
      </c>
      <c r="AD1337">
        <v>0</v>
      </c>
      <c r="AE1337">
        <v>0</v>
      </c>
      <c r="AF1337">
        <v>0</v>
      </c>
      <c r="AG1337">
        <v>0</v>
      </c>
    </row>
    <row r="1338" spans="1:33" x14ac:dyDescent="0.2">
      <c r="A1338">
        <v>1337</v>
      </c>
      <c r="B1338" t="s">
        <v>426</v>
      </c>
      <c r="C1338" t="s">
        <v>108</v>
      </c>
      <c r="D1338">
        <v>23</v>
      </c>
      <c r="E1338" t="s">
        <v>114</v>
      </c>
      <c r="F1338" t="s">
        <v>41</v>
      </c>
      <c r="G1338" t="s">
        <v>72</v>
      </c>
      <c r="H1338">
        <v>34116</v>
      </c>
      <c r="I1338">
        <v>0</v>
      </c>
      <c r="J1338">
        <v>1</v>
      </c>
      <c r="K1338">
        <v>0</v>
      </c>
      <c r="L1338">
        <v>0</v>
      </c>
      <c r="M1338" t="s">
        <v>74</v>
      </c>
      <c r="N1338" t="s">
        <v>115</v>
      </c>
      <c r="O1338" t="s">
        <v>73</v>
      </c>
      <c r="P1338" t="s">
        <v>37</v>
      </c>
      <c r="Q1338" t="s">
        <v>47</v>
      </c>
      <c r="R1338" t="s">
        <v>65</v>
      </c>
      <c r="S1338" t="s">
        <v>48</v>
      </c>
      <c r="T1338">
        <v>0</v>
      </c>
      <c r="U1338">
        <v>1</v>
      </c>
      <c r="V1338">
        <v>1</v>
      </c>
      <c r="W1338">
        <v>1</v>
      </c>
      <c r="X1338">
        <v>0</v>
      </c>
      <c r="Y1338">
        <v>0</v>
      </c>
      <c r="Z1338">
        <v>1</v>
      </c>
      <c r="AA1338">
        <v>0</v>
      </c>
      <c r="AB1338">
        <v>1</v>
      </c>
      <c r="AC1338">
        <v>0</v>
      </c>
      <c r="AD1338">
        <v>0</v>
      </c>
      <c r="AE1338">
        <v>0</v>
      </c>
      <c r="AF1338">
        <v>0</v>
      </c>
      <c r="AG1338">
        <v>0</v>
      </c>
    </row>
    <row r="1339" spans="1:33" x14ac:dyDescent="0.2">
      <c r="A1339">
        <v>1338</v>
      </c>
      <c r="B1339" t="s">
        <v>426</v>
      </c>
      <c r="C1339" t="s">
        <v>108</v>
      </c>
      <c r="D1339">
        <v>23</v>
      </c>
      <c r="E1339" t="s">
        <v>114</v>
      </c>
      <c r="F1339" t="s">
        <v>41</v>
      </c>
      <c r="G1339" t="s">
        <v>67</v>
      </c>
      <c r="H1339">
        <v>10287</v>
      </c>
      <c r="I1339">
        <v>0</v>
      </c>
      <c r="J1339">
        <v>0</v>
      </c>
      <c r="K1339">
        <v>1</v>
      </c>
      <c r="L1339">
        <v>0</v>
      </c>
      <c r="M1339" t="s">
        <v>103</v>
      </c>
      <c r="N1339" t="s">
        <v>70</v>
      </c>
      <c r="O1339" t="s">
        <v>68</v>
      </c>
      <c r="P1339" t="s">
        <v>37</v>
      </c>
      <c r="Q1339" t="s">
        <v>60</v>
      </c>
      <c r="R1339" t="s">
        <v>47</v>
      </c>
      <c r="S1339" t="s">
        <v>65</v>
      </c>
      <c r="T1339">
        <v>1</v>
      </c>
      <c r="U1339">
        <v>1</v>
      </c>
      <c r="V1339">
        <v>0</v>
      </c>
      <c r="W1339">
        <v>1</v>
      </c>
      <c r="X1339">
        <v>0</v>
      </c>
      <c r="Y1339">
        <v>0</v>
      </c>
      <c r="Z1339">
        <v>1</v>
      </c>
      <c r="AA1339">
        <v>0</v>
      </c>
      <c r="AB1339">
        <v>1</v>
      </c>
      <c r="AC1339">
        <v>0</v>
      </c>
      <c r="AD1339">
        <v>0</v>
      </c>
      <c r="AE1339">
        <v>0</v>
      </c>
      <c r="AF1339">
        <v>0</v>
      </c>
      <c r="AG1339">
        <v>0</v>
      </c>
    </row>
    <row r="1340" spans="1:33" hidden="1" x14ac:dyDescent="0.2">
      <c r="A1340">
        <v>1339</v>
      </c>
      <c r="B1340" t="s">
        <v>426</v>
      </c>
      <c r="C1340" t="s">
        <v>108</v>
      </c>
      <c r="D1340">
        <v>23</v>
      </c>
      <c r="E1340" t="s">
        <v>114</v>
      </c>
      <c r="F1340" t="s">
        <v>53</v>
      </c>
      <c r="G1340" t="s">
        <v>71</v>
      </c>
      <c r="H1340">
        <v>24989</v>
      </c>
      <c r="I1340">
        <v>0</v>
      </c>
      <c r="J1340">
        <v>0</v>
      </c>
      <c r="K1340">
        <v>0</v>
      </c>
      <c r="L1340">
        <v>1</v>
      </c>
      <c r="M1340" t="s">
        <v>36</v>
      </c>
      <c r="N1340" t="s">
        <v>36</v>
      </c>
      <c r="O1340" t="s">
        <v>36</v>
      </c>
      <c r="P1340" t="s">
        <v>37</v>
      </c>
      <c r="Q1340" t="s">
        <v>36</v>
      </c>
      <c r="R1340" t="s">
        <v>36</v>
      </c>
      <c r="S1340" t="s">
        <v>36</v>
      </c>
      <c r="T1340" t="s">
        <v>36</v>
      </c>
      <c r="U1340">
        <v>1</v>
      </c>
      <c r="V1340">
        <v>0</v>
      </c>
      <c r="W1340">
        <v>1</v>
      </c>
      <c r="X1340">
        <v>0</v>
      </c>
      <c r="Y1340">
        <v>0</v>
      </c>
      <c r="Z1340">
        <v>1</v>
      </c>
      <c r="AA1340">
        <v>0</v>
      </c>
      <c r="AB1340">
        <v>1</v>
      </c>
      <c r="AC1340">
        <v>0</v>
      </c>
      <c r="AD1340">
        <v>0</v>
      </c>
      <c r="AE1340">
        <v>0</v>
      </c>
      <c r="AF1340">
        <v>0</v>
      </c>
      <c r="AG1340">
        <v>0</v>
      </c>
    </row>
    <row r="1341" spans="1:33" x14ac:dyDescent="0.2">
      <c r="A1341">
        <v>1340</v>
      </c>
      <c r="B1341" t="s">
        <v>426</v>
      </c>
      <c r="C1341" t="s">
        <v>108</v>
      </c>
      <c r="D1341">
        <v>23</v>
      </c>
      <c r="E1341" t="s">
        <v>114</v>
      </c>
      <c r="F1341" t="s">
        <v>41</v>
      </c>
      <c r="G1341" t="s">
        <v>42</v>
      </c>
      <c r="H1341">
        <v>15173</v>
      </c>
      <c r="I1341">
        <v>0</v>
      </c>
      <c r="J1341">
        <v>0</v>
      </c>
      <c r="K1341">
        <v>0</v>
      </c>
      <c r="L1341">
        <v>1</v>
      </c>
      <c r="M1341" t="s">
        <v>44</v>
      </c>
      <c r="N1341" t="s">
        <v>45</v>
      </c>
      <c r="O1341" t="s">
        <v>43</v>
      </c>
      <c r="P1341" t="s">
        <v>37</v>
      </c>
      <c r="Q1341" t="s">
        <v>47</v>
      </c>
      <c r="R1341" t="s">
        <v>48</v>
      </c>
      <c r="S1341" t="s">
        <v>46</v>
      </c>
      <c r="T1341">
        <v>0</v>
      </c>
      <c r="U1341">
        <v>0</v>
      </c>
      <c r="V1341">
        <v>1</v>
      </c>
      <c r="W1341">
        <v>1</v>
      </c>
      <c r="X1341">
        <v>1</v>
      </c>
      <c r="Y1341">
        <v>0</v>
      </c>
      <c r="Z1341">
        <v>1</v>
      </c>
      <c r="AA1341">
        <v>0</v>
      </c>
      <c r="AB1341">
        <v>0</v>
      </c>
      <c r="AC1341">
        <v>0</v>
      </c>
      <c r="AD1341">
        <v>0</v>
      </c>
      <c r="AE1341">
        <v>0</v>
      </c>
      <c r="AF1341">
        <v>0</v>
      </c>
      <c r="AG1341">
        <v>1</v>
      </c>
    </row>
    <row r="1342" spans="1:33" hidden="1" x14ac:dyDescent="0.2">
      <c r="A1342">
        <v>1341</v>
      </c>
      <c r="B1342" t="s">
        <v>426</v>
      </c>
      <c r="C1342" t="s">
        <v>108</v>
      </c>
      <c r="D1342">
        <v>23</v>
      </c>
      <c r="E1342" t="s">
        <v>114</v>
      </c>
      <c r="F1342" t="s">
        <v>53</v>
      </c>
      <c r="G1342" t="s">
        <v>76</v>
      </c>
      <c r="H1342">
        <v>19411</v>
      </c>
      <c r="I1342">
        <v>0</v>
      </c>
      <c r="J1342">
        <v>0</v>
      </c>
      <c r="K1342">
        <v>0</v>
      </c>
      <c r="L1342">
        <v>1</v>
      </c>
      <c r="M1342" t="s">
        <v>36</v>
      </c>
      <c r="N1342" t="s">
        <v>36</v>
      </c>
      <c r="O1342" t="s">
        <v>36</v>
      </c>
      <c r="P1342" t="s">
        <v>37</v>
      </c>
      <c r="Q1342" t="s">
        <v>36</v>
      </c>
      <c r="R1342" t="s">
        <v>36</v>
      </c>
      <c r="S1342" t="s">
        <v>36</v>
      </c>
      <c r="T1342" t="s">
        <v>36</v>
      </c>
      <c r="U1342">
        <v>0</v>
      </c>
      <c r="V1342">
        <v>1</v>
      </c>
      <c r="W1342">
        <v>1</v>
      </c>
      <c r="X1342">
        <v>1</v>
      </c>
      <c r="Y1342">
        <v>0</v>
      </c>
      <c r="Z1342">
        <v>1</v>
      </c>
      <c r="AA1342">
        <v>0</v>
      </c>
      <c r="AB1342">
        <v>0</v>
      </c>
      <c r="AC1342">
        <v>0</v>
      </c>
      <c r="AD1342">
        <v>0</v>
      </c>
      <c r="AE1342">
        <v>0</v>
      </c>
      <c r="AF1342">
        <v>0</v>
      </c>
      <c r="AG1342">
        <v>1</v>
      </c>
    </row>
    <row r="1343" spans="1:33" x14ac:dyDescent="0.2">
      <c r="A1343">
        <v>1342</v>
      </c>
      <c r="B1343" t="s">
        <v>426</v>
      </c>
      <c r="C1343" t="s">
        <v>108</v>
      </c>
      <c r="D1343">
        <v>23</v>
      </c>
      <c r="E1343" t="s">
        <v>114</v>
      </c>
      <c r="F1343" t="s">
        <v>41</v>
      </c>
      <c r="G1343" t="s">
        <v>61</v>
      </c>
      <c r="H1343">
        <v>17585</v>
      </c>
      <c r="I1343">
        <v>0</v>
      </c>
      <c r="J1343">
        <v>1</v>
      </c>
      <c r="K1343">
        <v>0</v>
      </c>
      <c r="L1343">
        <v>0</v>
      </c>
      <c r="M1343" t="s">
        <v>87</v>
      </c>
      <c r="N1343" t="s">
        <v>62</v>
      </c>
      <c r="O1343" t="s">
        <v>63</v>
      </c>
      <c r="P1343" t="s">
        <v>37</v>
      </c>
      <c r="Q1343" t="s">
        <v>47</v>
      </c>
      <c r="R1343" t="s">
        <v>65</v>
      </c>
      <c r="S1343" t="s">
        <v>46</v>
      </c>
      <c r="T1343">
        <v>0</v>
      </c>
      <c r="U1343">
        <v>1</v>
      </c>
      <c r="V1343">
        <v>0</v>
      </c>
      <c r="W1343">
        <v>1</v>
      </c>
      <c r="X1343">
        <v>1</v>
      </c>
      <c r="Y1343">
        <v>0</v>
      </c>
      <c r="Z1343">
        <v>1</v>
      </c>
      <c r="AA1343">
        <v>0</v>
      </c>
      <c r="AB1343">
        <v>1</v>
      </c>
      <c r="AC1343">
        <v>0</v>
      </c>
      <c r="AD1343">
        <v>0</v>
      </c>
      <c r="AE1343">
        <v>0</v>
      </c>
      <c r="AF1343">
        <v>0</v>
      </c>
      <c r="AG1343">
        <v>0</v>
      </c>
    </row>
    <row r="1344" spans="1:33" hidden="1" x14ac:dyDescent="0.2">
      <c r="A1344">
        <v>1343</v>
      </c>
      <c r="B1344" t="s">
        <v>426</v>
      </c>
      <c r="C1344" t="s">
        <v>108</v>
      </c>
      <c r="D1344">
        <v>23</v>
      </c>
      <c r="E1344" t="s">
        <v>114</v>
      </c>
      <c r="F1344" t="s">
        <v>53</v>
      </c>
      <c r="G1344" t="s">
        <v>66</v>
      </c>
      <c r="H1344">
        <v>21791</v>
      </c>
      <c r="I1344">
        <v>1</v>
      </c>
      <c r="J1344">
        <v>0</v>
      </c>
      <c r="K1344">
        <v>0</v>
      </c>
      <c r="L1344">
        <v>0</v>
      </c>
      <c r="M1344" t="s">
        <v>36</v>
      </c>
      <c r="N1344" t="s">
        <v>36</v>
      </c>
      <c r="O1344" t="s">
        <v>36</v>
      </c>
      <c r="P1344" t="s">
        <v>37</v>
      </c>
      <c r="Q1344" t="s">
        <v>36</v>
      </c>
      <c r="R1344" t="s">
        <v>36</v>
      </c>
      <c r="S1344" t="s">
        <v>36</v>
      </c>
      <c r="T1344" t="s">
        <v>36</v>
      </c>
      <c r="U1344">
        <v>1</v>
      </c>
      <c r="V1344">
        <v>0</v>
      </c>
      <c r="W1344">
        <v>1</v>
      </c>
      <c r="X1344">
        <v>1</v>
      </c>
      <c r="Y1344">
        <v>0</v>
      </c>
      <c r="Z1344">
        <v>1</v>
      </c>
      <c r="AA1344">
        <v>0</v>
      </c>
      <c r="AB1344">
        <v>1</v>
      </c>
      <c r="AC1344">
        <v>0</v>
      </c>
      <c r="AD1344">
        <v>0</v>
      </c>
      <c r="AE1344">
        <v>0</v>
      </c>
      <c r="AF1344">
        <v>0</v>
      </c>
      <c r="AG1344">
        <v>0</v>
      </c>
    </row>
    <row r="1345" spans="1:33" hidden="1" x14ac:dyDescent="0.2">
      <c r="A1345">
        <v>1344</v>
      </c>
      <c r="B1345" t="s">
        <v>426</v>
      </c>
      <c r="C1345" t="s">
        <v>108</v>
      </c>
      <c r="D1345">
        <v>23</v>
      </c>
      <c r="E1345" t="s">
        <v>114</v>
      </c>
      <c r="F1345" t="s">
        <v>77</v>
      </c>
      <c r="G1345" t="s">
        <v>36</v>
      </c>
      <c r="H1345">
        <v>100499</v>
      </c>
      <c r="I1345" t="s">
        <v>427</v>
      </c>
      <c r="J1345" t="s">
        <v>428</v>
      </c>
      <c r="L1345" t="s">
        <v>36</v>
      </c>
      <c r="M1345" t="s">
        <v>36</v>
      </c>
      <c r="N1345" t="s">
        <v>36</v>
      </c>
      <c r="O1345" t="s">
        <v>36</v>
      </c>
      <c r="P1345" t="s">
        <v>37</v>
      </c>
      <c r="Q1345" t="s">
        <v>36</v>
      </c>
      <c r="R1345" t="s">
        <v>36</v>
      </c>
      <c r="S1345" t="s">
        <v>36</v>
      </c>
      <c r="T1345" t="s">
        <v>36</v>
      </c>
      <c r="U1345" t="s">
        <v>36</v>
      </c>
      <c r="V1345" t="s">
        <v>36</v>
      </c>
      <c r="W1345" t="s">
        <v>36</v>
      </c>
      <c r="X1345" t="s">
        <v>36</v>
      </c>
      <c r="Y1345" t="s">
        <v>36</v>
      </c>
      <c r="Z1345" t="s">
        <v>36</v>
      </c>
      <c r="AA1345" t="s">
        <v>36</v>
      </c>
      <c r="AB1345" t="s">
        <v>36</v>
      </c>
      <c r="AC1345" t="s">
        <v>36</v>
      </c>
      <c r="AD1345" t="s">
        <v>36</v>
      </c>
      <c r="AE1345" t="s">
        <v>36</v>
      </c>
      <c r="AF1345" t="s">
        <v>36</v>
      </c>
      <c r="AG1345" t="s">
        <v>36</v>
      </c>
    </row>
    <row r="1346" spans="1:33" hidden="1" x14ac:dyDescent="0.2">
      <c r="A1346">
        <v>1345</v>
      </c>
      <c r="B1346" t="s">
        <v>429</v>
      </c>
      <c r="C1346" t="s">
        <v>430</v>
      </c>
      <c r="D1346">
        <v>36</v>
      </c>
      <c r="E1346" t="s">
        <v>34</v>
      </c>
      <c r="F1346" t="s">
        <v>35</v>
      </c>
      <c r="G1346" t="s">
        <v>36</v>
      </c>
      <c r="H1346">
        <v>16997</v>
      </c>
      <c r="I1346" t="s">
        <v>36</v>
      </c>
      <c r="J1346" t="s">
        <v>36</v>
      </c>
      <c r="K1346" t="s">
        <v>36</v>
      </c>
      <c r="L1346" t="s">
        <v>36</v>
      </c>
      <c r="M1346" t="s">
        <v>36</v>
      </c>
      <c r="N1346" t="s">
        <v>36</v>
      </c>
      <c r="O1346" t="s">
        <v>36</v>
      </c>
      <c r="P1346" t="s">
        <v>37</v>
      </c>
      <c r="Q1346" t="s">
        <v>36</v>
      </c>
      <c r="R1346" t="s">
        <v>36</v>
      </c>
      <c r="S1346" t="s">
        <v>36</v>
      </c>
      <c r="T1346" t="s">
        <v>36</v>
      </c>
      <c r="U1346" t="s">
        <v>36</v>
      </c>
      <c r="V1346" t="s">
        <v>36</v>
      </c>
      <c r="W1346" t="s">
        <v>36</v>
      </c>
      <c r="X1346" t="s">
        <v>36</v>
      </c>
      <c r="Y1346" t="s">
        <v>36</v>
      </c>
      <c r="Z1346" t="s">
        <v>36</v>
      </c>
      <c r="AA1346" t="s">
        <v>36</v>
      </c>
      <c r="AB1346" t="s">
        <v>36</v>
      </c>
      <c r="AC1346" t="s">
        <v>36</v>
      </c>
      <c r="AD1346" t="s">
        <v>36</v>
      </c>
      <c r="AE1346" t="s">
        <v>36</v>
      </c>
      <c r="AF1346" t="s">
        <v>36</v>
      </c>
      <c r="AG1346" t="s">
        <v>36</v>
      </c>
    </row>
    <row r="1347" spans="1:33" hidden="1" x14ac:dyDescent="0.2">
      <c r="A1347">
        <v>1346</v>
      </c>
      <c r="B1347" t="s">
        <v>429</v>
      </c>
      <c r="C1347" t="s">
        <v>430</v>
      </c>
      <c r="D1347">
        <v>36</v>
      </c>
      <c r="E1347" t="s">
        <v>34</v>
      </c>
      <c r="F1347" t="s">
        <v>38</v>
      </c>
      <c r="G1347" t="s">
        <v>40</v>
      </c>
      <c r="H1347">
        <v>38549</v>
      </c>
      <c r="I1347">
        <v>0</v>
      </c>
      <c r="J1347">
        <v>1</v>
      </c>
      <c r="K1347">
        <v>1</v>
      </c>
      <c r="L1347">
        <v>0</v>
      </c>
      <c r="M1347" t="s">
        <v>36</v>
      </c>
      <c r="N1347" t="s">
        <v>36</v>
      </c>
      <c r="O1347" t="s">
        <v>36</v>
      </c>
      <c r="P1347" t="s">
        <v>37</v>
      </c>
      <c r="Q1347" t="s">
        <v>36</v>
      </c>
      <c r="R1347" t="s">
        <v>36</v>
      </c>
      <c r="S1347" t="s">
        <v>36</v>
      </c>
      <c r="T1347" t="s">
        <v>36</v>
      </c>
      <c r="U1347" t="s">
        <v>36</v>
      </c>
      <c r="V1347" t="s">
        <v>36</v>
      </c>
      <c r="W1347" t="s">
        <v>36</v>
      </c>
      <c r="X1347" t="s">
        <v>36</v>
      </c>
      <c r="Y1347" t="s">
        <v>36</v>
      </c>
      <c r="Z1347" t="s">
        <v>36</v>
      </c>
      <c r="AA1347" t="s">
        <v>36</v>
      </c>
      <c r="AB1347" t="s">
        <v>36</v>
      </c>
      <c r="AC1347" t="s">
        <v>36</v>
      </c>
      <c r="AD1347" t="s">
        <v>36</v>
      </c>
      <c r="AE1347" t="s">
        <v>36</v>
      </c>
      <c r="AF1347" t="s">
        <v>36</v>
      </c>
      <c r="AG1347" t="s">
        <v>36</v>
      </c>
    </row>
    <row r="1348" spans="1:33" hidden="1" x14ac:dyDescent="0.2">
      <c r="A1348">
        <v>1347</v>
      </c>
      <c r="B1348" t="s">
        <v>429</v>
      </c>
      <c r="C1348" t="s">
        <v>430</v>
      </c>
      <c r="D1348">
        <v>36</v>
      </c>
      <c r="E1348" t="s">
        <v>34</v>
      </c>
      <c r="F1348" t="s">
        <v>38</v>
      </c>
      <c r="G1348" t="s">
        <v>39</v>
      </c>
      <c r="H1348">
        <v>25546</v>
      </c>
      <c r="I1348">
        <v>0</v>
      </c>
      <c r="J1348">
        <v>0</v>
      </c>
      <c r="K1348">
        <v>0</v>
      </c>
      <c r="L1348">
        <v>1</v>
      </c>
      <c r="M1348" t="s">
        <v>36</v>
      </c>
      <c r="N1348" t="s">
        <v>36</v>
      </c>
      <c r="O1348" t="s">
        <v>36</v>
      </c>
      <c r="P1348" t="s">
        <v>37</v>
      </c>
      <c r="Q1348" t="s">
        <v>36</v>
      </c>
      <c r="R1348" t="s">
        <v>36</v>
      </c>
      <c r="S1348" t="s">
        <v>36</v>
      </c>
      <c r="T1348" t="s">
        <v>36</v>
      </c>
      <c r="U1348" t="s">
        <v>36</v>
      </c>
      <c r="V1348" t="s">
        <v>36</v>
      </c>
      <c r="W1348" t="s">
        <v>36</v>
      </c>
      <c r="X1348" t="s">
        <v>36</v>
      </c>
      <c r="Y1348" t="s">
        <v>36</v>
      </c>
      <c r="Z1348" t="s">
        <v>36</v>
      </c>
      <c r="AA1348" t="s">
        <v>36</v>
      </c>
      <c r="AB1348" t="s">
        <v>36</v>
      </c>
      <c r="AC1348" t="s">
        <v>36</v>
      </c>
      <c r="AD1348" t="s">
        <v>36</v>
      </c>
      <c r="AE1348" t="s">
        <v>36</v>
      </c>
      <c r="AF1348" t="s">
        <v>36</v>
      </c>
      <c r="AG1348" t="s">
        <v>36</v>
      </c>
    </row>
    <row r="1349" spans="1:33" x14ac:dyDescent="0.2">
      <c r="A1349">
        <v>1348</v>
      </c>
      <c r="B1349" t="s">
        <v>429</v>
      </c>
      <c r="C1349" t="s">
        <v>430</v>
      </c>
      <c r="D1349">
        <v>36</v>
      </c>
      <c r="E1349" t="s">
        <v>34</v>
      </c>
      <c r="F1349" t="s">
        <v>41</v>
      </c>
      <c r="G1349" t="s">
        <v>55</v>
      </c>
      <c r="H1349">
        <v>45466</v>
      </c>
      <c r="I1349">
        <v>1</v>
      </c>
      <c r="J1349">
        <v>0</v>
      </c>
      <c r="K1349">
        <v>0</v>
      </c>
      <c r="L1349">
        <v>0</v>
      </c>
      <c r="M1349" t="s">
        <v>94</v>
      </c>
      <c r="N1349" t="s">
        <v>56</v>
      </c>
      <c r="O1349" t="s">
        <v>57</v>
      </c>
      <c r="P1349" t="s">
        <v>37</v>
      </c>
      <c r="Q1349" t="s">
        <v>47</v>
      </c>
      <c r="R1349" t="s">
        <v>59</v>
      </c>
      <c r="S1349" t="s">
        <v>48</v>
      </c>
      <c r="T1349">
        <v>0</v>
      </c>
      <c r="U1349">
        <v>0</v>
      </c>
      <c r="V1349">
        <v>1</v>
      </c>
      <c r="W1349">
        <v>1</v>
      </c>
      <c r="X1349">
        <v>0</v>
      </c>
      <c r="Y1349">
        <v>0</v>
      </c>
      <c r="Z1349">
        <v>1</v>
      </c>
      <c r="AA1349">
        <v>0</v>
      </c>
      <c r="AB1349">
        <v>0</v>
      </c>
      <c r="AC1349">
        <v>0</v>
      </c>
      <c r="AD1349">
        <v>1</v>
      </c>
      <c r="AE1349">
        <v>0</v>
      </c>
      <c r="AF1349">
        <v>0</v>
      </c>
      <c r="AG1349">
        <v>0</v>
      </c>
    </row>
    <row r="1350" spans="1:33" x14ac:dyDescent="0.2">
      <c r="A1350">
        <v>1349</v>
      </c>
      <c r="B1350" t="s">
        <v>429</v>
      </c>
      <c r="C1350" t="s">
        <v>430</v>
      </c>
      <c r="D1350">
        <v>36</v>
      </c>
      <c r="E1350" t="s">
        <v>34</v>
      </c>
      <c r="F1350" t="s">
        <v>41</v>
      </c>
      <c r="G1350" t="s">
        <v>67</v>
      </c>
      <c r="H1350">
        <v>39297</v>
      </c>
      <c r="I1350">
        <v>1</v>
      </c>
      <c r="J1350">
        <v>0</v>
      </c>
      <c r="K1350">
        <v>1</v>
      </c>
      <c r="L1350">
        <v>0</v>
      </c>
      <c r="M1350" t="s">
        <v>86</v>
      </c>
      <c r="N1350" t="s">
        <v>103</v>
      </c>
      <c r="O1350" t="s">
        <v>69</v>
      </c>
      <c r="P1350" t="s">
        <v>37</v>
      </c>
      <c r="Q1350" t="s">
        <v>46</v>
      </c>
      <c r="R1350" t="s">
        <v>60</v>
      </c>
      <c r="S1350" t="s">
        <v>48</v>
      </c>
      <c r="T1350">
        <v>1</v>
      </c>
      <c r="U1350">
        <v>0</v>
      </c>
      <c r="V1350">
        <v>1</v>
      </c>
      <c r="W1350">
        <v>0</v>
      </c>
      <c r="X1350">
        <v>1</v>
      </c>
      <c r="Y1350">
        <v>0</v>
      </c>
      <c r="Z1350">
        <v>1</v>
      </c>
      <c r="AA1350">
        <v>0</v>
      </c>
      <c r="AB1350">
        <v>0</v>
      </c>
      <c r="AC1350">
        <v>1</v>
      </c>
      <c r="AD1350">
        <v>0</v>
      </c>
      <c r="AE1350">
        <v>1</v>
      </c>
      <c r="AF1350">
        <v>0</v>
      </c>
      <c r="AG1350">
        <v>0</v>
      </c>
    </row>
    <row r="1351" spans="1:33" hidden="1" x14ac:dyDescent="0.2">
      <c r="A1351">
        <v>1350</v>
      </c>
      <c r="B1351" t="s">
        <v>429</v>
      </c>
      <c r="C1351" t="s">
        <v>430</v>
      </c>
      <c r="D1351">
        <v>36</v>
      </c>
      <c r="E1351" t="s">
        <v>34</v>
      </c>
      <c r="F1351" t="s">
        <v>53</v>
      </c>
      <c r="G1351" t="s">
        <v>54</v>
      </c>
      <c r="H1351">
        <v>28806</v>
      </c>
      <c r="I1351">
        <v>0</v>
      </c>
      <c r="J1351">
        <v>1</v>
      </c>
      <c r="K1351">
        <v>1</v>
      </c>
      <c r="L1351">
        <v>0</v>
      </c>
      <c r="M1351" t="s">
        <v>36</v>
      </c>
      <c r="N1351" t="s">
        <v>36</v>
      </c>
      <c r="O1351" t="s">
        <v>36</v>
      </c>
      <c r="P1351" t="s">
        <v>37</v>
      </c>
      <c r="Q1351" t="s">
        <v>36</v>
      </c>
      <c r="R1351" t="s">
        <v>36</v>
      </c>
      <c r="S1351" t="s">
        <v>36</v>
      </c>
      <c r="T1351" t="s">
        <v>36</v>
      </c>
      <c r="U1351">
        <v>0</v>
      </c>
      <c r="V1351">
        <v>1</v>
      </c>
      <c r="W1351">
        <v>0</v>
      </c>
      <c r="X1351">
        <v>1</v>
      </c>
      <c r="Y1351">
        <v>0</v>
      </c>
      <c r="Z1351">
        <v>1</v>
      </c>
      <c r="AA1351">
        <v>0</v>
      </c>
      <c r="AB1351">
        <v>0</v>
      </c>
      <c r="AC1351">
        <v>1</v>
      </c>
      <c r="AD1351">
        <v>0</v>
      </c>
      <c r="AE1351">
        <v>1</v>
      </c>
      <c r="AF1351">
        <v>0</v>
      </c>
      <c r="AG1351">
        <v>0</v>
      </c>
    </row>
    <row r="1352" spans="1:33" x14ac:dyDescent="0.2">
      <c r="A1352">
        <v>1351</v>
      </c>
      <c r="B1352" t="s">
        <v>429</v>
      </c>
      <c r="C1352" t="s">
        <v>430</v>
      </c>
      <c r="D1352">
        <v>36</v>
      </c>
      <c r="E1352" t="s">
        <v>34</v>
      </c>
      <c r="F1352" t="s">
        <v>41</v>
      </c>
      <c r="G1352" t="s">
        <v>49</v>
      </c>
      <c r="H1352">
        <v>27886</v>
      </c>
      <c r="I1352">
        <v>1</v>
      </c>
      <c r="J1352">
        <v>1</v>
      </c>
      <c r="K1352">
        <v>0</v>
      </c>
      <c r="L1352">
        <v>0</v>
      </c>
      <c r="M1352" t="s">
        <v>96</v>
      </c>
      <c r="N1352" t="s">
        <v>51</v>
      </c>
      <c r="O1352" t="s">
        <v>50</v>
      </c>
      <c r="P1352" t="s">
        <v>37</v>
      </c>
      <c r="Q1352" t="s">
        <v>65</v>
      </c>
      <c r="R1352" t="s">
        <v>47</v>
      </c>
      <c r="S1352" t="s">
        <v>48</v>
      </c>
      <c r="T1352">
        <v>0</v>
      </c>
      <c r="U1352">
        <v>1</v>
      </c>
      <c r="V1352">
        <v>1</v>
      </c>
      <c r="W1352">
        <v>1</v>
      </c>
      <c r="X1352">
        <v>0</v>
      </c>
      <c r="Y1352">
        <v>0</v>
      </c>
      <c r="Z1352">
        <v>1</v>
      </c>
      <c r="AA1352">
        <v>0</v>
      </c>
      <c r="AB1352">
        <v>1</v>
      </c>
      <c r="AC1352">
        <v>0</v>
      </c>
      <c r="AD1352">
        <v>1</v>
      </c>
      <c r="AE1352">
        <v>0</v>
      </c>
      <c r="AF1352">
        <v>0</v>
      </c>
      <c r="AG1352">
        <v>0</v>
      </c>
    </row>
    <row r="1353" spans="1:33" hidden="1" x14ac:dyDescent="0.2">
      <c r="A1353">
        <v>1352</v>
      </c>
      <c r="B1353" t="s">
        <v>429</v>
      </c>
      <c r="C1353" t="s">
        <v>430</v>
      </c>
      <c r="D1353">
        <v>36</v>
      </c>
      <c r="E1353" t="s">
        <v>34</v>
      </c>
      <c r="F1353" t="s">
        <v>53</v>
      </c>
      <c r="G1353" t="s">
        <v>71</v>
      </c>
      <c r="H1353">
        <v>36632</v>
      </c>
      <c r="I1353">
        <v>0</v>
      </c>
      <c r="J1353">
        <v>1</v>
      </c>
      <c r="K1353">
        <v>0</v>
      </c>
      <c r="L1353">
        <v>0</v>
      </c>
      <c r="M1353" t="s">
        <v>36</v>
      </c>
      <c r="N1353" t="s">
        <v>36</v>
      </c>
      <c r="O1353" t="s">
        <v>36</v>
      </c>
      <c r="P1353" t="s">
        <v>37</v>
      </c>
      <c r="Q1353" t="s">
        <v>36</v>
      </c>
      <c r="R1353" t="s">
        <v>36</v>
      </c>
      <c r="S1353" t="s">
        <v>36</v>
      </c>
      <c r="T1353" t="s">
        <v>36</v>
      </c>
      <c r="U1353">
        <v>1</v>
      </c>
      <c r="V1353">
        <v>1</v>
      </c>
      <c r="W1353">
        <v>1</v>
      </c>
      <c r="X1353">
        <v>0</v>
      </c>
      <c r="Y1353">
        <v>0</v>
      </c>
      <c r="Z1353">
        <v>1</v>
      </c>
      <c r="AA1353">
        <v>0</v>
      </c>
      <c r="AB1353">
        <v>1</v>
      </c>
      <c r="AC1353">
        <v>0</v>
      </c>
      <c r="AD1353">
        <v>1</v>
      </c>
      <c r="AE1353">
        <v>0</v>
      </c>
      <c r="AF1353">
        <v>0</v>
      </c>
      <c r="AG1353">
        <v>0</v>
      </c>
    </row>
    <row r="1354" spans="1:33" x14ac:dyDescent="0.2">
      <c r="A1354">
        <v>1353</v>
      </c>
      <c r="B1354" t="s">
        <v>429</v>
      </c>
      <c r="C1354" t="s">
        <v>430</v>
      </c>
      <c r="D1354">
        <v>36</v>
      </c>
      <c r="E1354" t="s">
        <v>34</v>
      </c>
      <c r="F1354" t="s">
        <v>41</v>
      </c>
      <c r="G1354" t="s">
        <v>42</v>
      </c>
      <c r="H1354">
        <v>13164</v>
      </c>
      <c r="I1354">
        <v>1</v>
      </c>
      <c r="J1354">
        <v>0</v>
      </c>
      <c r="K1354">
        <v>0</v>
      </c>
      <c r="L1354">
        <v>0</v>
      </c>
      <c r="M1354" t="s">
        <v>44</v>
      </c>
      <c r="N1354" t="s">
        <v>43</v>
      </c>
      <c r="O1354" t="s">
        <v>82</v>
      </c>
      <c r="P1354" t="s">
        <v>37</v>
      </c>
      <c r="Q1354" t="s">
        <v>47</v>
      </c>
      <c r="R1354" t="s">
        <v>46</v>
      </c>
      <c r="S1354" t="s">
        <v>65</v>
      </c>
      <c r="T1354">
        <v>0</v>
      </c>
      <c r="U1354">
        <v>1</v>
      </c>
      <c r="V1354">
        <v>0</v>
      </c>
      <c r="W1354">
        <v>1</v>
      </c>
      <c r="X1354">
        <v>1</v>
      </c>
      <c r="Y1354">
        <v>0</v>
      </c>
      <c r="Z1354">
        <v>1</v>
      </c>
      <c r="AA1354">
        <v>0</v>
      </c>
      <c r="AB1354">
        <v>0</v>
      </c>
      <c r="AC1354">
        <v>0</v>
      </c>
      <c r="AD1354">
        <v>1</v>
      </c>
      <c r="AE1354">
        <v>0</v>
      </c>
      <c r="AF1354">
        <v>0</v>
      </c>
      <c r="AG1354">
        <v>0</v>
      </c>
    </row>
    <row r="1355" spans="1:33" x14ac:dyDescent="0.2">
      <c r="A1355">
        <v>1354</v>
      </c>
      <c r="B1355" t="s">
        <v>429</v>
      </c>
      <c r="C1355" t="s">
        <v>430</v>
      </c>
      <c r="D1355">
        <v>36</v>
      </c>
      <c r="E1355" t="s">
        <v>34</v>
      </c>
      <c r="F1355" t="s">
        <v>41</v>
      </c>
      <c r="G1355" t="s">
        <v>61</v>
      </c>
      <c r="H1355">
        <v>13910</v>
      </c>
      <c r="I1355">
        <v>1</v>
      </c>
      <c r="J1355">
        <v>0</v>
      </c>
      <c r="K1355">
        <v>0</v>
      </c>
      <c r="L1355">
        <v>0</v>
      </c>
      <c r="M1355" t="s">
        <v>62</v>
      </c>
      <c r="N1355" t="s">
        <v>63</v>
      </c>
      <c r="O1355" t="s">
        <v>64</v>
      </c>
      <c r="P1355" t="s">
        <v>37</v>
      </c>
      <c r="Q1355" t="s">
        <v>65</v>
      </c>
      <c r="R1355" t="s">
        <v>46</v>
      </c>
      <c r="S1355" t="s">
        <v>48</v>
      </c>
      <c r="T1355">
        <v>0</v>
      </c>
      <c r="U1355">
        <v>1</v>
      </c>
      <c r="V1355">
        <v>1</v>
      </c>
      <c r="W1355">
        <v>0</v>
      </c>
      <c r="X1355">
        <v>1</v>
      </c>
      <c r="Y1355">
        <v>0</v>
      </c>
      <c r="Z1355">
        <v>1</v>
      </c>
      <c r="AA1355">
        <v>0</v>
      </c>
      <c r="AB1355">
        <v>1</v>
      </c>
      <c r="AC1355">
        <v>0</v>
      </c>
      <c r="AD1355">
        <v>0</v>
      </c>
      <c r="AE1355">
        <v>0</v>
      </c>
      <c r="AF1355">
        <v>0</v>
      </c>
      <c r="AG1355">
        <v>0</v>
      </c>
    </row>
    <row r="1356" spans="1:33" hidden="1" x14ac:dyDescent="0.2">
      <c r="A1356">
        <v>1355</v>
      </c>
      <c r="B1356" t="s">
        <v>429</v>
      </c>
      <c r="C1356" t="s">
        <v>430</v>
      </c>
      <c r="D1356">
        <v>36</v>
      </c>
      <c r="E1356" t="s">
        <v>34</v>
      </c>
      <c r="F1356" t="s">
        <v>53</v>
      </c>
      <c r="G1356" t="s">
        <v>66</v>
      </c>
      <c r="H1356">
        <v>15212</v>
      </c>
      <c r="I1356">
        <v>1</v>
      </c>
      <c r="J1356">
        <v>1</v>
      </c>
      <c r="K1356">
        <v>0</v>
      </c>
      <c r="L1356">
        <v>0</v>
      </c>
      <c r="M1356" t="s">
        <v>36</v>
      </c>
      <c r="N1356" t="s">
        <v>36</v>
      </c>
      <c r="O1356" t="s">
        <v>36</v>
      </c>
      <c r="P1356" t="s">
        <v>37</v>
      </c>
      <c r="Q1356" t="s">
        <v>36</v>
      </c>
      <c r="R1356" t="s">
        <v>36</v>
      </c>
      <c r="S1356" t="s">
        <v>36</v>
      </c>
      <c r="T1356" t="s">
        <v>36</v>
      </c>
      <c r="U1356">
        <v>1</v>
      </c>
      <c r="V1356">
        <v>1</v>
      </c>
      <c r="W1356">
        <v>0</v>
      </c>
      <c r="X1356">
        <v>1</v>
      </c>
      <c r="Y1356">
        <v>0</v>
      </c>
      <c r="Z1356">
        <v>1</v>
      </c>
      <c r="AA1356">
        <v>0</v>
      </c>
      <c r="AB1356">
        <v>1</v>
      </c>
      <c r="AC1356">
        <v>0</v>
      </c>
      <c r="AD1356">
        <v>0</v>
      </c>
      <c r="AE1356">
        <v>0</v>
      </c>
      <c r="AF1356">
        <v>0</v>
      </c>
      <c r="AG1356">
        <v>0</v>
      </c>
    </row>
    <row r="1357" spans="1:33" x14ac:dyDescent="0.2">
      <c r="A1357">
        <v>1356</v>
      </c>
      <c r="B1357" t="s">
        <v>429</v>
      </c>
      <c r="C1357" t="s">
        <v>430</v>
      </c>
      <c r="D1357">
        <v>36</v>
      </c>
      <c r="E1357" t="s">
        <v>34</v>
      </c>
      <c r="F1357" t="s">
        <v>41</v>
      </c>
      <c r="G1357" t="s">
        <v>72</v>
      </c>
      <c r="H1357">
        <v>15234</v>
      </c>
      <c r="I1357">
        <v>0</v>
      </c>
      <c r="J1357">
        <v>0</v>
      </c>
      <c r="K1357">
        <v>1</v>
      </c>
      <c r="L1357">
        <v>0</v>
      </c>
      <c r="M1357" t="s">
        <v>104</v>
      </c>
      <c r="N1357" t="s">
        <v>73</v>
      </c>
      <c r="O1357" t="s">
        <v>74</v>
      </c>
      <c r="P1357" t="s">
        <v>37</v>
      </c>
      <c r="Q1357" t="s">
        <v>60</v>
      </c>
      <c r="R1357" t="s">
        <v>48</v>
      </c>
      <c r="S1357" t="s">
        <v>47</v>
      </c>
      <c r="T1357">
        <v>1</v>
      </c>
      <c r="U1357">
        <v>0</v>
      </c>
      <c r="V1357">
        <v>1</v>
      </c>
      <c r="W1357">
        <v>1</v>
      </c>
      <c r="X1357">
        <v>0</v>
      </c>
      <c r="Y1357">
        <v>0</v>
      </c>
      <c r="Z1357">
        <v>1</v>
      </c>
      <c r="AA1357">
        <v>0</v>
      </c>
      <c r="AB1357">
        <v>0</v>
      </c>
      <c r="AC1357">
        <v>0</v>
      </c>
      <c r="AD1357">
        <v>1</v>
      </c>
      <c r="AE1357">
        <v>0</v>
      </c>
      <c r="AF1357">
        <v>0</v>
      </c>
      <c r="AG1357">
        <v>0</v>
      </c>
    </row>
    <row r="1358" spans="1:33" hidden="1" x14ac:dyDescent="0.2">
      <c r="A1358">
        <v>1357</v>
      </c>
      <c r="B1358" t="s">
        <v>429</v>
      </c>
      <c r="C1358" t="s">
        <v>430</v>
      </c>
      <c r="D1358">
        <v>36</v>
      </c>
      <c r="E1358" t="s">
        <v>34</v>
      </c>
      <c r="F1358" t="s">
        <v>53</v>
      </c>
      <c r="G1358" t="s">
        <v>76</v>
      </c>
      <c r="H1358">
        <v>12414</v>
      </c>
      <c r="I1358">
        <v>1</v>
      </c>
      <c r="J1358">
        <v>1</v>
      </c>
      <c r="K1358">
        <v>0</v>
      </c>
      <c r="L1358">
        <v>0</v>
      </c>
      <c r="M1358" t="s">
        <v>36</v>
      </c>
      <c r="N1358" t="s">
        <v>36</v>
      </c>
      <c r="O1358" t="s">
        <v>36</v>
      </c>
      <c r="P1358" t="s">
        <v>37</v>
      </c>
      <c r="Q1358" t="s">
        <v>36</v>
      </c>
      <c r="R1358" t="s">
        <v>36</v>
      </c>
      <c r="S1358" t="s">
        <v>36</v>
      </c>
      <c r="T1358" t="s">
        <v>36</v>
      </c>
      <c r="U1358">
        <v>0</v>
      </c>
      <c r="V1358">
        <v>1</v>
      </c>
      <c r="W1358">
        <v>1</v>
      </c>
      <c r="X1358">
        <v>0</v>
      </c>
      <c r="Y1358">
        <v>0</v>
      </c>
      <c r="Z1358">
        <v>1</v>
      </c>
      <c r="AA1358">
        <v>0</v>
      </c>
      <c r="AB1358">
        <v>0</v>
      </c>
      <c r="AC1358">
        <v>0</v>
      </c>
      <c r="AD1358">
        <v>1</v>
      </c>
      <c r="AE1358">
        <v>0</v>
      </c>
      <c r="AF1358">
        <v>0</v>
      </c>
      <c r="AG1358">
        <v>0</v>
      </c>
    </row>
    <row r="1359" spans="1:33" hidden="1" x14ac:dyDescent="0.2">
      <c r="A1359">
        <v>1358</v>
      </c>
      <c r="B1359" t="s">
        <v>429</v>
      </c>
      <c r="C1359" t="s">
        <v>430</v>
      </c>
      <c r="D1359">
        <v>36</v>
      </c>
      <c r="E1359" t="s">
        <v>34</v>
      </c>
      <c r="F1359" t="s">
        <v>77</v>
      </c>
      <c r="G1359" t="s">
        <v>36</v>
      </c>
      <c r="H1359">
        <v>67412</v>
      </c>
      <c r="I1359" t="s">
        <v>431</v>
      </c>
      <c r="J1359" t="s">
        <v>432</v>
      </c>
      <c r="K1359" t="s">
        <v>433</v>
      </c>
      <c r="L1359" t="s">
        <v>36</v>
      </c>
      <c r="M1359" t="s">
        <v>36</v>
      </c>
      <c r="N1359" t="s">
        <v>36</v>
      </c>
      <c r="O1359" t="s">
        <v>36</v>
      </c>
      <c r="P1359" t="s">
        <v>37</v>
      </c>
      <c r="Q1359" t="s">
        <v>36</v>
      </c>
      <c r="R1359" t="s">
        <v>36</v>
      </c>
      <c r="S1359" t="s">
        <v>36</v>
      </c>
      <c r="T1359" t="s">
        <v>36</v>
      </c>
      <c r="U1359" t="s">
        <v>36</v>
      </c>
      <c r="V1359" t="s">
        <v>36</v>
      </c>
      <c r="W1359" t="s">
        <v>36</v>
      </c>
      <c r="X1359" t="s">
        <v>36</v>
      </c>
      <c r="Y1359" t="s">
        <v>36</v>
      </c>
      <c r="Z1359" t="s">
        <v>36</v>
      </c>
      <c r="AA1359" t="s">
        <v>36</v>
      </c>
      <c r="AB1359" t="s">
        <v>36</v>
      </c>
      <c r="AC1359" t="s">
        <v>36</v>
      </c>
      <c r="AD1359" t="s">
        <v>36</v>
      </c>
      <c r="AE1359" t="s">
        <v>36</v>
      </c>
      <c r="AF1359" t="s">
        <v>36</v>
      </c>
      <c r="AG1359" t="s">
        <v>36</v>
      </c>
    </row>
    <row r="1360" spans="1:33" hidden="1" x14ac:dyDescent="0.2">
      <c r="A1360">
        <v>1359</v>
      </c>
      <c r="B1360" t="s">
        <v>434</v>
      </c>
      <c r="C1360" t="s">
        <v>108</v>
      </c>
      <c r="D1360">
        <v>29</v>
      </c>
      <c r="E1360" t="s">
        <v>34</v>
      </c>
      <c r="F1360" t="s">
        <v>35</v>
      </c>
      <c r="G1360" t="s">
        <v>36</v>
      </c>
      <c r="H1360">
        <v>54065</v>
      </c>
      <c r="I1360" t="s">
        <v>36</v>
      </c>
      <c r="J1360" t="s">
        <v>36</v>
      </c>
      <c r="K1360" t="s">
        <v>36</v>
      </c>
      <c r="L1360" t="s">
        <v>36</v>
      </c>
      <c r="M1360" t="s">
        <v>36</v>
      </c>
      <c r="N1360" t="s">
        <v>36</v>
      </c>
      <c r="O1360" t="s">
        <v>36</v>
      </c>
      <c r="P1360" t="s">
        <v>37</v>
      </c>
      <c r="Q1360" t="s">
        <v>36</v>
      </c>
      <c r="R1360" t="s">
        <v>36</v>
      </c>
      <c r="S1360" t="s">
        <v>36</v>
      </c>
      <c r="T1360" t="s">
        <v>36</v>
      </c>
      <c r="U1360" t="s">
        <v>36</v>
      </c>
      <c r="V1360" t="s">
        <v>36</v>
      </c>
      <c r="W1360" t="s">
        <v>36</v>
      </c>
      <c r="X1360" t="s">
        <v>36</v>
      </c>
      <c r="Y1360" t="s">
        <v>36</v>
      </c>
      <c r="Z1360" t="s">
        <v>36</v>
      </c>
      <c r="AA1360" t="s">
        <v>36</v>
      </c>
      <c r="AB1360" t="s">
        <v>36</v>
      </c>
      <c r="AC1360" t="s">
        <v>36</v>
      </c>
      <c r="AD1360" t="s">
        <v>36</v>
      </c>
      <c r="AE1360" t="s">
        <v>36</v>
      </c>
      <c r="AF1360" t="s">
        <v>36</v>
      </c>
      <c r="AG1360" t="s">
        <v>36</v>
      </c>
    </row>
    <row r="1361" spans="1:33" hidden="1" x14ac:dyDescent="0.2">
      <c r="A1361">
        <v>1360</v>
      </c>
      <c r="B1361" t="s">
        <v>434</v>
      </c>
      <c r="C1361" t="s">
        <v>108</v>
      </c>
      <c r="D1361">
        <v>29</v>
      </c>
      <c r="E1361" t="s">
        <v>34</v>
      </c>
      <c r="F1361" t="s">
        <v>38</v>
      </c>
      <c r="G1361" t="s">
        <v>40</v>
      </c>
      <c r="H1361">
        <v>49575</v>
      </c>
      <c r="I1361">
        <v>0</v>
      </c>
      <c r="J1361">
        <v>0</v>
      </c>
      <c r="K1361">
        <v>1</v>
      </c>
      <c r="L1361">
        <v>0</v>
      </c>
      <c r="M1361" t="s">
        <v>36</v>
      </c>
      <c r="N1361" t="s">
        <v>36</v>
      </c>
      <c r="O1361" t="s">
        <v>36</v>
      </c>
      <c r="P1361" t="s">
        <v>37</v>
      </c>
      <c r="Q1361" t="s">
        <v>36</v>
      </c>
      <c r="R1361" t="s">
        <v>36</v>
      </c>
      <c r="S1361" t="s">
        <v>36</v>
      </c>
      <c r="T1361" t="s">
        <v>36</v>
      </c>
      <c r="U1361" t="s">
        <v>36</v>
      </c>
      <c r="V1361" t="s">
        <v>36</v>
      </c>
      <c r="W1361" t="s">
        <v>36</v>
      </c>
      <c r="X1361" t="s">
        <v>36</v>
      </c>
      <c r="Y1361" t="s">
        <v>36</v>
      </c>
      <c r="Z1361" t="s">
        <v>36</v>
      </c>
      <c r="AA1361" t="s">
        <v>36</v>
      </c>
      <c r="AB1361" t="s">
        <v>36</v>
      </c>
      <c r="AC1361" t="s">
        <v>36</v>
      </c>
      <c r="AD1361" t="s">
        <v>36</v>
      </c>
      <c r="AE1361" t="s">
        <v>36</v>
      </c>
      <c r="AF1361" t="s">
        <v>36</v>
      </c>
      <c r="AG1361" t="s">
        <v>36</v>
      </c>
    </row>
    <row r="1362" spans="1:33" hidden="1" x14ac:dyDescent="0.2">
      <c r="A1362">
        <v>1361</v>
      </c>
      <c r="B1362" t="s">
        <v>434</v>
      </c>
      <c r="C1362" t="s">
        <v>108</v>
      </c>
      <c r="D1362">
        <v>29</v>
      </c>
      <c r="E1362" t="s">
        <v>34</v>
      </c>
      <c r="F1362" t="s">
        <v>38</v>
      </c>
      <c r="G1362" t="s">
        <v>39</v>
      </c>
      <c r="H1362">
        <v>104298</v>
      </c>
      <c r="I1362">
        <v>0</v>
      </c>
      <c r="J1362">
        <v>0</v>
      </c>
      <c r="K1362">
        <v>0</v>
      </c>
      <c r="L1362">
        <v>1</v>
      </c>
      <c r="M1362" t="s">
        <v>36</v>
      </c>
      <c r="N1362" t="s">
        <v>36</v>
      </c>
      <c r="O1362" t="s">
        <v>36</v>
      </c>
      <c r="P1362" t="s">
        <v>37</v>
      </c>
      <c r="Q1362" t="s">
        <v>36</v>
      </c>
      <c r="R1362" t="s">
        <v>36</v>
      </c>
      <c r="S1362" t="s">
        <v>36</v>
      </c>
      <c r="T1362" t="s">
        <v>36</v>
      </c>
      <c r="U1362" t="s">
        <v>36</v>
      </c>
      <c r="V1362" t="s">
        <v>36</v>
      </c>
      <c r="W1362" t="s">
        <v>36</v>
      </c>
      <c r="X1362" t="s">
        <v>36</v>
      </c>
      <c r="Y1362" t="s">
        <v>36</v>
      </c>
      <c r="Z1362" t="s">
        <v>36</v>
      </c>
      <c r="AA1362" t="s">
        <v>36</v>
      </c>
      <c r="AB1362" t="s">
        <v>36</v>
      </c>
      <c r="AC1362" t="s">
        <v>36</v>
      </c>
      <c r="AD1362" t="s">
        <v>36</v>
      </c>
      <c r="AE1362" t="s">
        <v>36</v>
      </c>
      <c r="AF1362" t="s">
        <v>36</v>
      </c>
      <c r="AG1362" t="s">
        <v>36</v>
      </c>
    </row>
    <row r="1363" spans="1:33" x14ac:dyDescent="0.2">
      <c r="A1363">
        <v>1362</v>
      </c>
      <c r="B1363" t="s">
        <v>434</v>
      </c>
      <c r="C1363" t="s">
        <v>108</v>
      </c>
      <c r="D1363">
        <v>29</v>
      </c>
      <c r="E1363" t="s">
        <v>34</v>
      </c>
      <c r="F1363" t="s">
        <v>41</v>
      </c>
      <c r="G1363" t="s">
        <v>55</v>
      </c>
      <c r="H1363">
        <v>93982</v>
      </c>
      <c r="I1363">
        <v>1</v>
      </c>
      <c r="J1363">
        <v>1</v>
      </c>
      <c r="K1363">
        <v>1</v>
      </c>
      <c r="L1363">
        <v>0</v>
      </c>
      <c r="M1363" t="s">
        <v>84</v>
      </c>
      <c r="N1363" t="s">
        <v>85</v>
      </c>
      <c r="O1363" t="s">
        <v>57</v>
      </c>
      <c r="P1363" t="s">
        <v>37</v>
      </c>
      <c r="Q1363" t="s">
        <v>46</v>
      </c>
      <c r="R1363" t="s">
        <v>65</v>
      </c>
      <c r="S1363" t="s">
        <v>48</v>
      </c>
      <c r="T1363">
        <v>0</v>
      </c>
      <c r="U1363">
        <v>1</v>
      </c>
      <c r="V1363">
        <v>1</v>
      </c>
      <c r="W1363">
        <v>0</v>
      </c>
      <c r="X1363">
        <v>1</v>
      </c>
      <c r="Y1363">
        <v>0</v>
      </c>
      <c r="Z1363">
        <v>1</v>
      </c>
      <c r="AA1363">
        <v>0</v>
      </c>
      <c r="AB1363">
        <v>1</v>
      </c>
      <c r="AC1363">
        <v>1</v>
      </c>
      <c r="AD1363">
        <v>0</v>
      </c>
      <c r="AE1363">
        <v>1</v>
      </c>
      <c r="AF1363">
        <v>0</v>
      </c>
      <c r="AG1363">
        <v>0</v>
      </c>
    </row>
    <row r="1364" spans="1:33" x14ac:dyDescent="0.2">
      <c r="A1364">
        <v>1363</v>
      </c>
      <c r="B1364" t="s">
        <v>434</v>
      </c>
      <c r="C1364" t="s">
        <v>108</v>
      </c>
      <c r="D1364">
        <v>29</v>
      </c>
      <c r="E1364" t="s">
        <v>34</v>
      </c>
      <c r="F1364" t="s">
        <v>41</v>
      </c>
      <c r="G1364" t="s">
        <v>72</v>
      </c>
      <c r="H1364">
        <v>563242</v>
      </c>
      <c r="I1364">
        <v>1</v>
      </c>
      <c r="J1364">
        <v>1</v>
      </c>
      <c r="K1364">
        <v>1</v>
      </c>
      <c r="L1364">
        <v>0</v>
      </c>
      <c r="M1364" t="s">
        <v>104</v>
      </c>
      <c r="N1364" t="s">
        <v>93</v>
      </c>
      <c r="O1364" t="s">
        <v>74</v>
      </c>
      <c r="P1364" t="s">
        <v>37</v>
      </c>
      <c r="Q1364" t="s">
        <v>60</v>
      </c>
      <c r="R1364" t="s">
        <v>59</v>
      </c>
      <c r="S1364" t="s">
        <v>47</v>
      </c>
      <c r="T1364">
        <v>1</v>
      </c>
      <c r="U1364">
        <v>0</v>
      </c>
      <c r="V1364">
        <v>0</v>
      </c>
      <c r="W1364">
        <v>1</v>
      </c>
      <c r="X1364">
        <v>0</v>
      </c>
      <c r="Y1364">
        <v>0</v>
      </c>
      <c r="Z1364">
        <v>1</v>
      </c>
      <c r="AA1364">
        <v>1</v>
      </c>
      <c r="AB1364">
        <v>0</v>
      </c>
      <c r="AC1364">
        <v>0</v>
      </c>
      <c r="AD1364">
        <v>1</v>
      </c>
      <c r="AE1364">
        <v>0</v>
      </c>
      <c r="AF1364">
        <v>0</v>
      </c>
      <c r="AG1364">
        <v>0</v>
      </c>
    </row>
    <row r="1365" spans="1:33" hidden="1" x14ac:dyDescent="0.2">
      <c r="A1365">
        <v>1364</v>
      </c>
      <c r="B1365" t="s">
        <v>434</v>
      </c>
      <c r="C1365" t="s">
        <v>108</v>
      </c>
      <c r="D1365">
        <v>29</v>
      </c>
      <c r="E1365" t="s">
        <v>34</v>
      </c>
      <c r="F1365" t="s">
        <v>53</v>
      </c>
      <c r="G1365" t="s">
        <v>71</v>
      </c>
      <c r="H1365">
        <v>70538</v>
      </c>
      <c r="I1365">
        <v>0</v>
      </c>
      <c r="J1365">
        <v>0</v>
      </c>
      <c r="K1365">
        <v>0</v>
      </c>
      <c r="L1365">
        <v>1</v>
      </c>
      <c r="M1365" t="s">
        <v>36</v>
      </c>
      <c r="N1365" t="s">
        <v>36</v>
      </c>
      <c r="O1365" t="s">
        <v>36</v>
      </c>
      <c r="P1365" t="s">
        <v>37</v>
      </c>
      <c r="Q1365" t="s">
        <v>36</v>
      </c>
      <c r="R1365" t="s">
        <v>36</v>
      </c>
      <c r="S1365" t="s">
        <v>36</v>
      </c>
      <c r="T1365" t="s">
        <v>36</v>
      </c>
      <c r="U1365">
        <v>0</v>
      </c>
      <c r="V1365">
        <v>0</v>
      </c>
      <c r="W1365">
        <v>1</v>
      </c>
      <c r="X1365">
        <v>0</v>
      </c>
      <c r="Y1365">
        <v>0</v>
      </c>
      <c r="Z1365">
        <v>1</v>
      </c>
      <c r="AA1365">
        <v>1</v>
      </c>
      <c r="AB1365">
        <v>0</v>
      </c>
      <c r="AC1365">
        <v>0</v>
      </c>
      <c r="AD1365">
        <v>1</v>
      </c>
      <c r="AE1365">
        <v>0</v>
      </c>
      <c r="AF1365">
        <v>0</v>
      </c>
      <c r="AG1365">
        <v>0</v>
      </c>
    </row>
    <row r="1366" spans="1:33" x14ac:dyDescent="0.2">
      <c r="A1366">
        <v>1365</v>
      </c>
      <c r="B1366" t="s">
        <v>434</v>
      </c>
      <c r="C1366" t="s">
        <v>108</v>
      </c>
      <c r="D1366">
        <v>29</v>
      </c>
      <c r="E1366" t="s">
        <v>34</v>
      </c>
      <c r="F1366" t="s">
        <v>41</v>
      </c>
      <c r="G1366" t="s">
        <v>42</v>
      </c>
      <c r="H1366">
        <v>45210</v>
      </c>
      <c r="I1366">
        <v>1</v>
      </c>
      <c r="J1366">
        <v>1</v>
      </c>
      <c r="K1366">
        <v>1</v>
      </c>
      <c r="L1366">
        <v>0</v>
      </c>
      <c r="M1366" t="s">
        <v>43</v>
      </c>
      <c r="N1366" t="s">
        <v>45</v>
      </c>
      <c r="O1366" t="s">
        <v>116</v>
      </c>
      <c r="P1366" t="s">
        <v>37</v>
      </c>
      <c r="Q1366" t="s">
        <v>46</v>
      </c>
      <c r="R1366" t="s">
        <v>48</v>
      </c>
      <c r="S1366" t="s">
        <v>60</v>
      </c>
      <c r="T1366">
        <v>1</v>
      </c>
      <c r="U1366">
        <v>0</v>
      </c>
      <c r="V1366">
        <v>1</v>
      </c>
      <c r="W1366">
        <v>0</v>
      </c>
      <c r="X1366">
        <v>1</v>
      </c>
      <c r="Y1366">
        <v>0</v>
      </c>
      <c r="Z1366">
        <v>1</v>
      </c>
      <c r="AA1366">
        <v>1</v>
      </c>
      <c r="AB1366">
        <v>0</v>
      </c>
      <c r="AC1366">
        <v>1</v>
      </c>
      <c r="AD1366">
        <v>0</v>
      </c>
      <c r="AE1366">
        <v>1</v>
      </c>
      <c r="AF1366">
        <v>0</v>
      </c>
      <c r="AG1366">
        <v>0</v>
      </c>
    </row>
    <row r="1367" spans="1:33" x14ac:dyDescent="0.2">
      <c r="A1367">
        <v>1366</v>
      </c>
      <c r="B1367" t="s">
        <v>434</v>
      </c>
      <c r="C1367" t="s">
        <v>108</v>
      </c>
      <c r="D1367">
        <v>29</v>
      </c>
      <c r="E1367" t="s">
        <v>34</v>
      </c>
      <c r="F1367" t="s">
        <v>41</v>
      </c>
      <c r="G1367" t="s">
        <v>67</v>
      </c>
      <c r="H1367">
        <v>35996</v>
      </c>
      <c r="I1367">
        <v>0</v>
      </c>
      <c r="J1367">
        <v>0</v>
      </c>
      <c r="K1367">
        <v>0</v>
      </c>
      <c r="L1367">
        <v>1</v>
      </c>
      <c r="M1367" t="s">
        <v>68</v>
      </c>
      <c r="N1367" t="s">
        <v>70</v>
      </c>
      <c r="O1367" t="s">
        <v>109</v>
      </c>
      <c r="P1367" t="s">
        <v>37</v>
      </c>
      <c r="Q1367" t="s">
        <v>65</v>
      </c>
      <c r="R1367" t="s">
        <v>47</v>
      </c>
      <c r="S1367" t="s">
        <v>59</v>
      </c>
      <c r="T1367">
        <v>0</v>
      </c>
      <c r="U1367">
        <v>1</v>
      </c>
      <c r="V1367">
        <v>0</v>
      </c>
      <c r="W1367">
        <v>1</v>
      </c>
      <c r="X1367">
        <v>0</v>
      </c>
      <c r="Y1367">
        <v>0</v>
      </c>
      <c r="Z1367">
        <v>1</v>
      </c>
      <c r="AA1367">
        <v>0</v>
      </c>
      <c r="AB1367">
        <v>0</v>
      </c>
      <c r="AC1367">
        <v>0</v>
      </c>
      <c r="AD1367">
        <v>0</v>
      </c>
      <c r="AE1367">
        <v>0</v>
      </c>
      <c r="AF1367">
        <v>0</v>
      </c>
      <c r="AG1367">
        <v>1</v>
      </c>
    </row>
    <row r="1368" spans="1:33" hidden="1" x14ac:dyDescent="0.2">
      <c r="A1368">
        <v>1367</v>
      </c>
      <c r="B1368" t="s">
        <v>434</v>
      </c>
      <c r="C1368" t="s">
        <v>108</v>
      </c>
      <c r="D1368">
        <v>29</v>
      </c>
      <c r="E1368" t="s">
        <v>34</v>
      </c>
      <c r="F1368" t="s">
        <v>53</v>
      </c>
      <c r="G1368" t="s">
        <v>66</v>
      </c>
      <c r="H1368">
        <v>58506</v>
      </c>
      <c r="I1368">
        <v>1</v>
      </c>
      <c r="J1368">
        <v>1</v>
      </c>
      <c r="K1368">
        <v>0</v>
      </c>
      <c r="L1368">
        <v>0</v>
      </c>
      <c r="M1368" t="s">
        <v>36</v>
      </c>
      <c r="N1368" t="s">
        <v>36</v>
      </c>
      <c r="O1368" t="s">
        <v>36</v>
      </c>
      <c r="P1368" t="s">
        <v>37</v>
      </c>
      <c r="Q1368" t="s">
        <v>36</v>
      </c>
      <c r="R1368" t="s">
        <v>36</v>
      </c>
      <c r="S1368" t="s">
        <v>36</v>
      </c>
      <c r="T1368" t="s">
        <v>36</v>
      </c>
      <c r="U1368">
        <v>1</v>
      </c>
      <c r="V1368">
        <v>0</v>
      </c>
      <c r="W1368">
        <v>1</v>
      </c>
      <c r="X1368">
        <v>0</v>
      </c>
      <c r="Y1368">
        <v>0</v>
      </c>
      <c r="Z1368">
        <v>1</v>
      </c>
      <c r="AA1368">
        <v>0</v>
      </c>
      <c r="AB1368">
        <v>0</v>
      </c>
      <c r="AC1368">
        <v>0</v>
      </c>
      <c r="AD1368">
        <v>0</v>
      </c>
      <c r="AE1368">
        <v>0</v>
      </c>
      <c r="AF1368">
        <v>0</v>
      </c>
      <c r="AG1368">
        <v>1</v>
      </c>
    </row>
    <row r="1369" spans="1:33" x14ac:dyDescent="0.2">
      <c r="A1369">
        <v>1368</v>
      </c>
      <c r="B1369" t="s">
        <v>434</v>
      </c>
      <c r="C1369" t="s">
        <v>108</v>
      </c>
      <c r="D1369">
        <v>29</v>
      </c>
      <c r="E1369" t="s">
        <v>34</v>
      </c>
      <c r="F1369" t="s">
        <v>41</v>
      </c>
      <c r="G1369" t="s">
        <v>61</v>
      </c>
      <c r="H1369">
        <v>39150</v>
      </c>
      <c r="I1369">
        <v>1</v>
      </c>
      <c r="J1369">
        <v>1</v>
      </c>
      <c r="K1369">
        <v>1</v>
      </c>
      <c r="L1369">
        <v>0</v>
      </c>
      <c r="M1369" t="s">
        <v>63</v>
      </c>
      <c r="N1369" t="s">
        <v>97</v>
      </c>
      <c r="O1369" t="s">
        <v>87</v>
      </c>
      <c r="P1369" t="s">
        <v>37</v>
      </c>
      <c r="Q1369" t="s">
        <v>46</v>
      </c>
      <c r="R1369" t="s">
        <v>59</v>
      </c>
      <c r="S1369" t="s">
        <v>47</v>
      </c>
      <c r="T1369">
        <v>0</v>
      </c>
      <c r="U1369">
        <v>0</v>
      </c>
      <c r="V1369">
        <v>0</v>
      </c>
      <c r="W1369">
        <v>1</v>
      </c>
      <c r="X1369">
        <v>1</v>
      </c>
      <c r="Y1369">
        <v>0</v>
      </c>
      <c r="Z1369">
        <v>1</v>
      </c>
      <c r="AA1369">
        <v>0</v>
      </c>
      <c r="AB1369">
        <v>0</v>
      </c>
      <c r="AC1369">
        <v>0</v>
      </c>
      <c r="AD1369">
        <v>1</v>
      </c>
      <c r="AE1369">
        <v>1</v>
      </c>
      <c r="AF1369">
        <v>0</v>
      </c>
      <c r="AG1369">
        <v>0</v>
      </c>
    </row>
    <row r="1370" spans="1:33" hidden="1" x14ac:dyDescent="0.2">
      <c r="A1370">
        <v>1369</v>
      </c>
      <c r="B1370" t="s">
        <v>434</v>
      </c>
      <c r="C1370" t="s">
        <v>108</v>
      </c>
      <c r="D1370">
        <v>29</v>
      </c>
      <c r="E1370" t="s">
        <v>34</v>
      </c>
      <c r="F1370" t="s">
        <v>53</v>
      </c>
      <c r="G1370" t="s">
        <v>76</v>
      </c>
      <c r="H1370">
        <v>23674</v>
      </c>
      <c r="I1370">
        <v>1</v>
      </c>
      <c r="J1370">
        <v>0</v>
      </c>
      <c r="K1370">
        <v>0</v>
      </c>
      <c r="L1370">
        <v>0</v>
      </c>
      <c r="M1370" t="s">
        <v>36</v>
      </c>
      <c r="N1370" t="s">
        <v>36</v>
      </c>
      <c r="O1370" t="s">
        <v>36</v>
      </c>
      <c r="P1370" t="s">
        <v>37</v>
      </c>
      <c r="Q1370" t="s">
        <v>36</v>
      </c>
      <c r="R1370" t="s">
        <v>36</v>
      </c>
      <c r="S1370" t="s">
        <v>36</v>
      </c>
      <c r="T1370" t="s">
        <v>36</v>
      </c>
      <c r="U1370">
        <v>0</v>
      </c>
      <c r="V1370">
        <v>0</v>
      </c>
      <c r="W1370">
        <v>1</v>
      </c>
      <c r="X1370">
        <v>1</v>
      </c>
      <c r="Y1370">
        <v>0</v>
      </c>
      <c r="Z1370">
        <v>1</v>
      </c>
      <c r="AA1370">
        <v>0</v>
      </c>
      <c r="AB1370">
        <v>0</v>
      </c>
      <c r="AC1370">
        <v>0</v>
      </c>
      <c r="AD1370">
        <v>1</v>
      </c>
      <c r="AE1370">
        <v>1</v>
      </c>
      <c r="AF1370">
        <v>0</v>
      </c>
      <c r="AG1370">
        <v>0</v>
      </c>
    </row>
    <row r="1371" spans="1:33" x14ac:dyDescent="0.2">
      <c r="A1371">
        <v>1370</v>
      </c>
      <c r="B1371" t="s">
        <v>434</v>
      </c>
      <c r="C1371" t="s">
        <v>108</v>
      </c>
      <c r="D1371">
        <v>29</v>
      </c>
      <c r="E1371" t="s">
        <v>34</v>
      </c>
      <c r="F1371" t="s">
        <v>41</v>
      </c>
      <c r="G1371" t="s">
        <v>49</v>
      </c>
      <c r="H1371">
        <v>31731</v>
      </c>
      <c r="I1371">
        <v>0</v>
      </c>
      <c r="J1371">
        <v>0</v>
      </c>
      <c r="K1371">
        <v>0</v>
      </c>
      <c r="L1371">
        <v>1</v>
      </c>
      <c r="M1371" t="s">
        <v>50</v>
      </c>
      <c r="N1371" t="s">
        <v>83</v>
      </c>
      <c r="O1371" t="s">
        <v>51</v>
      </c>
      <c r="P1371" t="s">
        <v>37</v>
      </c>
      <c r="Q1371" t="s">
        <v>48</v>
      </c>
      <c r="R1371" t="s">
        <v>59</v>
      </c>
      <c r="S1371" t="s">
        <v>47</v>
      </c>
      <c r="T1371">
        <v>0</v>
      </c>
      <c r="U1371">
        <v>0</v>
      </c>
      <c r="V1371">
        <v>1</v>
      </c>
      <c r="W1371">
        <v>1</v>
      </c>
      <c r="X1371">
        <v>0</v>
      </c>
      <c r="Y1371">
        <v>0</v>
      </c>
      <c r="Z1371">
        <v>1</v>
      </c>
      <c r="AA1371">
        <v>0</v>
      </c>
      <c r="AB1371">
        <v>0</v>
      </c>
      <c r="AC1371">
        <v>0</v>
      </c>
      <c r="AD1371">
        <v>0</v>
      </c>
      <c r="AE1371">
        <v>0</v>
      </c>
      <c r="AF1371">
        <v>0</v>
      </c>
      <c r="AG1371">
        <v>1</v>
      </c>
    </row>
    <row r="1372" spans="1:33" hidden="1" x14ac:dyDescent="0.2">
      <c r="A1372">
        <v>1371</v>
      </c>
      <c r="B1372" t="s">
        <v>434</v>
      </c>
      <c r="C1372" t="s">
        <v>108</v>
      </c>
      <c r="D1372">
        <v>29</v>
      </c>
      <c r="E1372" t="s">
        <v>34</v>
      </c>
      <c r="F1372" t="s">
        <v>53</v>
      </c>
      <c r="G1372" t="s">
        <v>54</v>
      </c>
      <c r="H1372">
        <v>56800</v>
      </c>
      <c r="I1372">
        <v>0</v>
      </c>
      <c r="J1372">
        <v>1</v>
      </c>
      <c r="K1372">
        <v>1</v>
      </c>
      <c r="L1372">
        <v>0</v>
      </c>
      <c r="M1372" t="s">
        <v>36</v>
      </c>
      <c r="N1372" t="s">
        <v>36</v>
      </c>
      <c r="O1372" t="s">
        <v>36</v>
      </c>
      <c r="P1372" t="s">
        <v>37</v>
      </c>
      <c r="Q1372" t="s">
        <v>36</v>
      </c>
      <c r="R1372" t="s">
        <v>36</v>
      </c>
      <c r="S1372" t="s">
        <v>36</v>
      </c>
      <c r="T1372" t="s">
        <v>36</v>
      </c>
      <c r="U1372">
        <v>0</v>
      </c>
      <c r="V1372">
        <v>1</v>
      </c>
      <c r="W1372">
        <v>1</v>
      </c>
      <c r="X1372">
        <v>0</v>
      </c>
      <c r="Y1372">
        <v>0</v>
      </c>
      <c r="Z1372">
        <v>1</v>
      </c>
      <c r="AA1372">
        <v>0</v>
      </c>
      <c r="AB1372">
        <v>0</v>
      </c>
      <c r="AC1372">
        <v>0</v>
      </c>
      <c r="AD1372">
        <v>0</v>
      </c>
      <c r="AE1372">
        <v>0</v>
      </c>
      <c r="AF1372">
        <v>0</v>
      </c>
      <c r="AG1372">
        <v>1</v>
      </c>
    </row>
    <row r="1373" spans="1:33" hidden="1" x14ac:dyDescent="0.2">
      <c r="A1373">
        <v>1372</v>
      </c>
      <c r="B1373" t="s">
        <v>434</v>
      </c>
      <c r="C1373" t="s">
        <v>108</v>
      </c>
      <c r="D1373">
        <v>29</v>
      </c>
      <c r="E1373" t="s">
        <v>34</v>
      </c>
      <c r="F1373" t="s">
        <v>77</v>
      </c>
      <c r="G1373" t="s">
        <v>36</v>
      </c>
      <c r="H1373">
        <v>166393</v>
      </c>
      <c r="I1373" t="s">
        <v>435</v>
      </c>
      <c r="J1373" t="s">
        <v>436</v>
      </c>
      <c r="L1373" t="s">
        <v>36</v>
      </c>
      <c r="M1373" t="s">
        <v>36</v>
      </c>
      <c r="N1373" t="s">
        <v>36</v>
      </c>
      <c r="O1373" t="s">
        <v>36</v>
      </c>
      <c r="P1373" t="s">
        <v>37</v>
      </c>
      <c r="Q1373" t="s">
        <v>36</v>
      </c>
      <c r="R1373" t="s">
        <v>36</v>
      </c>
      <c r="S1373" t="s">
        <v>36</v>
      </c>
      <c r="T1373" t="s">
        <v>36</v>
      </c>
      <c r="U1373" t="s">
        <v>36</v>
      </c>
      <c r="V1373" t="s">
        <v>36</v>
      </c>
      <c r="W1373" t="s">
        <v>36</v>
      </c>
      <c r="X1373" t="s">
        <v>36</v>
      </c>
      <c r="Y1373" t="s">
        <v>36</v>
      </c>
      <c r="Z1373" t="s">
        <v>36</v>
      </c>
      <c r="AA1373" t="s">
        <v>36</v>
      </c>
      <c r="AB1373" t="s">
        <v>36</v>
      </c>
      <c r="AC1373" t="s">
        <v>36</v>
      </c>
      <c r="AD1373" t="s">
        <v>36</v>
      </c>
      <c r="AE1373" t="s">
        <v>36</v>
      </c>
      <c r="AF1373" t="s">
        <v>36</v>
      </c>
      <c r="AG1373" t="s">
        <v>36</v>
      </c>
    </row>
    <row r="1374" spans="1:33" hidden="1" x14ac:dyDescent="0.2">
      <c r="A1374">
        <v>1373</v>
      </c>
      <c r="B1374" t="s">
        <v>437</v>
      </c>
      <c r="C1374" t="s">
        <v>108</v>
      </c>
      <c r="D1374">
        <v>30</v>
      </c>
      <c r="E1374" t="s">
        <v>34</v>
      </c>
      <c r="F1374" t="s">
        <v>35</v>
      </c>
      <c r="G1374" t="s">
        <v>36</v>
      </c>
      <c r="H1374">
        <v>27766</v>
      </c>
      <c r="I1374" t="s">
        <v>36</v>
      </c>
      <c r="J1374" t="s">
        <v>36</v>
      </c>
      <c r="K1374" t="s">
        <v>36</v>
      </c>
      <c r="L1374" t="s">
        <v>36</v>
      </c>
      <c r="M1374" t="s">
        <v>36</v>
      </c>
      <c r="N1374" t="s">
        <v>36</v>
      </c>
      <c r="O1374" t="s">
        <v>36</v>
      </c>
      <c r="P1374" t="s">
        <v>37</v>
      </c>
      <c r="Q1374" t="s">
        <v>36</v>
      </c>
      <c r="R1374" t="s">
        <v>36</v>
      </c>
      <c r="S1374" t="s">
        <v>36</v>
      </c>
      <c r="T1374" t="s">
        <v>36</v>
      </c>
      <c r="U1374" t="s">
        <v>36</v>
      </c>
      <c r="V1374" t="s">
        <v>36</v>
      </c>
      <c r="W1374" t="s">
        <v>36</v>
      </c>
      <c r="X1374" t="s">
        <v>36</v>
      </c>
      <c r="Y1374" t="s">
        <v>36</v>
      </c>
      <c r="Z1374" t="s">
        <v>36</v>
      </c>
      <c r="AA1374" t="s">
        <v>36</v>
      </c>
      <c r="AB1374" t="s">
        <v>36</v>
      </c>
      <c r="AC1374" t="s">
        <v>36</v>
      </c>
      <c r="AD1374" t="s">
        <v>36</v>
      </c>
      <c r="AE1374" t="s">
        <v>36</v>
      </c>
      <c r="AF1374" t="s">
        <v>36</v>
      </c>
      <c r="AG1374" t="s">
        <v>36</v>
      </c>
    </row>
    <row r="1375" spans="1:33" hidden="1" x14ac:dyDescent="0.2">
      <c r="A1375">
        <v>1374</v>
      </c>
      <c r="B1375" t="s">
        <v>437</v>
      </c>
      <c r="C1375" t="s">
        <v>108</v>
      </c>
      <c r="D1375">
        <v>30</v>
      </c>
      <c r="E1375" t="s">
        <v>34</v>
      </c>
      <c r="F1375" t="s">
        <v>38</v>
      </c>
      <c r="G1375" t="s">
        <v>40</v>
      </c>
      <c r="H1375">
        <v>71826</v>
      </c>
      <c r="I1375">
        <v>0</v>
      </c>
      <c r="J1375">
        <v>1</v>
      </c>
      <c r="K1375">
        <v>1</v>
      </c>
      <c r="L1375">
        <v>0</v>
      </c>
      <c r="M1375" t="s">
        <v>36</v>
      </c>
      <c r="N1375" t="s">
        <v>36</v>
      </c>
      <c r="O1375" t="s">
        <v>36</v>
      </c>
      <c r="P1375" t="s">
        <v>37</v>
      </c>
      <c r="Q1375" t="s">
        <v>36</v>
      </c>
      <c r="R1375" t="s">
        <v>36</v>
      </c>
      <c r="S1375" t="s">
        <v>36</v>
      </c>
      <c r="T1375" t="s">
        <v>36</v>
      </c>
      <c r="U1375" t="s">
        <v>36</v>
      </c>
      <c r="V1375" t="s">
        <v>36</v>
      </c>
      <c r="W1375" t="s">
        <v>36</v>
      </c>
      <c r="X1375" t="s">
        <v>36</v>
      </c>
      <c r="Y1375" t="s">
        <v>36</v>
      </c>
      <c r="Z1375" t="s">
        <v>36</v>
      </c>
      <c r="AA1375" t="s">
        <v>36</v>
      </c>
      <c r="AB1375" t="s">
        <v>36</v>
      </c>
      <c r="AC1375" t="s">
        <v>36</v>
      </c>
      <c r="AD1375" t="s">
        <v>36</v>
      </c>
      <c r="AE1375" t="s">
        <v>36</v>
      </c>
      <c r="AF1375" t="s">
        <v>36</v>
      </c>
      <c r="AG1375" t="s">
        <v>36</v>
      </c>
    </row>
    <row r="1376" spans="1:33" hidden="1" x14ac:dyDescent="0.2">
      <c r="A1376">
        <v>1375</v>
      </c>
      <c r="B1376" t="s">
        <v>437</v>
      </c>
      <c r="C1376" t="s">
        <v>108</v>
      </c>
      <c r="D1376">
        <v>30</v>
      </c>
      <c r="E1376" t="s">
        <v>34</v>
      </c>
      <c r="F1376" t="s">
        <v>38</v>
      </c>
      <c r="G1376" t="s">
        <v>39</v>
      </c>
      <c r="H1376">
        <v>47117</v>
      </c>
      <c r="I1376">
        <v>0</v>
      </c>
      <c r="J1376">
        <v>0</v>
      </c>
      <c r="K1376">
        <v>0</v>
      </c>
      <c r="L1376">
        <v>1</v>
      </c>
      <c r="M1376" t="s">
        <v>36</v>
      </c>
      <c r="N1376" t="s">
        <v>36</v>
      </c>
      <c r="O1376" t="s">
        <v>36</v>
      </c>
      <c r="P1376" t="s">
        <v>37</v>
      </c>
      <c r="Q1376" t="s">
        <v>36</v>
      </c>
      <c r="R1376" t="s">
        <v>36</v>
      </c>
      <c r="S1376" t="s">
        <v>36</v>
      </c>
      <c r="T1376" t="s">
        <v>36</v>
      </c>
      <c r="U1376" t="s">
        <v>36</v>
      </c>
      <c r="V1376" t="s">
        <v>36</v>
      </c>
      <c r="W1376" t="s">
        <v>36</v>
      </c>
      <c r="X1376" t="s">
        <v>36</v>
      </c>
      <c r="Y1376" t="s">
        <v>36</v>
      </c>
      <c r="Z1376" t="s">
        <v>36</v>
      </c>
      <c r="AA1376" t="s">
        <v>36</v>
      </c>
      <c r="AB1376" t="s">
        <v>36</v>
      </c>
      <c r="AC1376" t="s">
        <v>36</v>
      </c>
      <c r="AD1376" t="s">
        <v>36</v>
      </c>
      <c r="AE1376" t="s">
        <v>36</v>
      </c>
      <c r="AF1376" t="s">
        <v>36</v>
      </c>
      <c r="AG1376" t="s">
        <v>36</v>
      </c>
    </row>
    <row r="1377" spans="1:33" x14ac:dyDescent="0.2">
      <c r="A1377">
        <v>1376</v>
      </c>
      <c r="B1377" t="s">
        <v>437</v>
      </c>
      <c r="C1377" t="s">
        <v>108</v>
      </c>
      <c r="D1377">
        <v>30</v>
      </c>
      <c r="E1377" t="s">
        <v>34</v>
      </c>
      <c r="F1377" t="s">
        <v>41</v>
      </c>
      <c r="G1377" t="s">
        <v>55</v>
      </c>
      <c r="H1377">
        <v>59428</v>
      </c>
      <c r="I1377">
        <v>0</v>
      </c>
      <c r="J1377">
        <v>0</v>
      </c>
      <c r="K1377">
        <v>0</v>
      </c>
      <c r="L1377">
        <v>1</v>
      </c>
      <c r="M1377" t="s">
        <v>85</v>
      </c>
      <c r="N1377" t="s">
        <v>94</v>
      </c>
      <c r="O1377" t="s">
        <v>84</v>
      </c>
      <c r="P1377" t="s">
        <v>37</v>
      </c>
      <c r="Q1377" t="s">
        <v>65</v>
      </c>
      <c r="R1377" t="s">
        <v>47</v>
      </c>
      <c r="S1377" t="s">
        <v>46</v>
      </c>
      <c r="T1377">
        <v>0</v>
      </c>
      <c r="U1377">
        <v>1</v>
      </c>
      <c r="V1377">
        <v>0</v>
      </c>
      <c r="W1377">
        <v>1</v>
      </c>
      <c r="X1377">
        <v>1</v>
      </c>
      <c r="Y1377">
        <v>0</v>
      </c>
      <c r="Z1377">
        <v>1</v>
      </c>
      <c r="AA1377">
        <v>0</v>
      </c>
      <c r="AB1377">
        <v>0</v>
      </c>
      <c r="AC1377">
        <v>0</v>
      </c>
      <c r="AD1377">
        <v>0</v>
      </c>
      <c r="AE1377">
        <v>0</v>
      </c>
      <c r="AF1377">
        <v>0</v>
      </c>
      <c r="AG1377">
        <v>1</v>
      </c>
    </row>
    <row r="1378" spans="1:33" x14ac:dyDescent="0.2">
      <c r="A1378">
        <v>1377</v>
      </c>
      <c r="B1378" t="s">
        <v>437</v>
      </c>
      <c r="C1378" t="s">
        <v>108</v>
      </c>
      <c r="D1378">
        <v>30</v>
      </c>
      <c r="E1378" t="s">
        <v>34</v>
      </c>
      <c r="F1378" t="s">
        <v>41</v>
      </c>
      <c r="G1378" t="s">
        <v>49</v>
      </c>
      <c r="H1378">
        <v>44663</v>
      </c>
      <c r="I1378">
        <v>0</v>
      </c>
      <c r="J1378">
        <v>0</v>
      </c>
      <c r="K1378">
        <v>0</v>
      </c>
      <c r="L1378">
        <v>1</v>
      </c>
      <c r="M1378" t="s">
        <v>96</v>
      </c>
      <c r="N1378" t="s">
        <v>95</v>
      </c>
      <c r="O1378" t="s">
        <v>51</v>
      </c>
      <c r="P1378" t="s">
        <v>37</v>
      </c>
      <c r="Q1378" t="s">
        <v>65</v>
      </c>
      <c r="R1378" t="s">
        <v>60</v>
      </c>
      <c r="S1378" t="s">
        <v>47</v>
      </c>
      <c r="T1378">
        <v>1</v>
      </c>
      <c r="U1378">
        <v>1</v>
      </c>
      <c r="V1378">
        <v>0</v>
      </c>
      <c r="W1378">
        <v>1</v>
      </c>
      <c r="X1378">
        <v>0</v>
      </c>
      <c r="Y1378">
        <v>0</v>
      </c>
      <c r="Z1378">
        <v>1</v>
      </c>
      <c r="AA1378">
        <v>0</v>
      </c>
      <c r="AB1378">
        <v>0</v>
      </c>
      <c r="AC1378">
        <v>0</v>
      </c>
      <c r="AD1378">
        <v>0</v>
      </c>
      <c r="AE1378">
        <v>0</v>
      </c>
      <c r="AF1378">
        <v>0</v>
      </c>
      <c r="AG1378">
        <v>1</v>
      </c>
    </row>
    <row r="1379" spans="1:33" hidden="1" x14ac:dyDescent="0.2">
      <c r="A1379">
        <v>1378</v>
      </c>
      <c r="B1379" t="s">
        <v>437</v>
      </c>
      <c r="C1379" t="s">
        <v>108</v>
      </c>
      <c r="D1379">
        <v>30</v>
      </c>
      <c r="E1379" t="s">
        <v>34</v>
      </c>
      <c r="F1379" t="s">
        <v>53</v>
      </c>
      <c r="G1379" t="s">
        <v>71</v>
      </c>
      <c r="H1379">
        <v>54825</v>
      </c>
      <c r="I1379">
        <v>0</v>
      </c>
      <c r="J1379">
        <v>0</v>
      </c>
      <c r="K1379">
        <v>1</v>
      </c>
      <c r="L1379">
        <v>0</v>
      </c>
      <c r="M1379" t="s">
        <v>36</v>
      </c>
      <c r="N1379" t="s">
        <v>36</v>
      </c>
      <c r="O1379" t="s">
        <v>36</v>
      </c>
      <c r="P1379" t="s">
        <v>37</v>
      </c>
      <c r="Q1379" t="s">
        <v>36</v>
      </c>
      <c r="R1379" t="s">
        <v>36</v>
      </c>
      <c r="S1379" t="s">
        <v>36</v>
      </c>
      <c r="T1379" t="s">
        <v>36</v>
      </c>
      <c r="U1379">
        <v>1</v>
      </c>
      <c r="V1379">
        <v>0</v>
      </c>
      <c r="W1379">
        <v>1</v>
      </c>
      <c r="X1379">
        <v>0</v>
      </c>
      <c r="Y1379">
        <v>0</v>
      </c>
      <c r="Z1379">
        <v>1</v>
      </c>
      <c r="AA1379">
        <v>0</v>
      </c>
      <c r="AB1379">
        <v>0</v>
      </c>
      <c r="AC1379">
        <v>0</v>
      </c>
      <c r="AD1379">
        <v>0</v>
      </c>
      <c r="AE1379">
        <v>0</v>
      </c>
      <c r="AF1379">
        <v>0</v>
      </c>
      <c r="AG1379">
        <v>1</v>
      </c>
    </row>
    <row r="1380" spans="1:33" x14ac:dyDescent="0.2">
      <c r="A1380">
        <v>1379</v>
      </c>
      <c r="B1380" t="s">
        <v>437</v>
      </c>
      <c r="C1380" t="s">
        <v>108</v>
      </c>
      <c r="D1380">
        <v>30</v>
      </c>
      <c r="E1380" t="s">
        <v>34</v>
      </c>
      <c r="F1380" t="s">
        <v>41</v>
      </c>
      <c r="G1380" t="s">
        <v>67</v>
      </c>
      <c r="H1380">
        <v>32557</v>
      </c>
      <c r="I1380">
        <v>0</v>
      </c>
      <c r="J1380">
        <v>0</v>
      </c>
      <c r="K1380">
        <v>0</v>
      </c>
      <c r="L1380">
        <v>1</v>
      </c>
      <c r="M1380" t="s">
        <v>70</v>
      </c>
      <c r="N1380" t="s">
        <v>68</v>
      </c>
      <c r="O1380" t="s">
        <v>86</v>
      </c>
      <c r="P1380" t="s">
        <v>37</v>
      </c>
      <c r="Q1380" t="s">
        <v>47</v>
      </c>
      <c r="R1380" t="s">
        <v>65</v>
      </c>
      <c r="S1380" t="s">
        <v>46</v>
      </c>
      <c r="T1380">
        <v>0</v>
      </c>
      <c r="U1380">
        <v>1</v>
      </c>
      <c r="V1380">
        <v>0</v>
      </c>
      <c r="W1380">
        <v>1</v>
      </c>
      <c r="X1380">
        <v>1</v>
      </c>
      <c r="Y1380">
        <v>0</v>
      </c>
      <c r="Z1380">
        <v>1</v>
      </c>
      <c r="AA1380">
        <v>0</v>
      </c>
      <c r="AB1380">
        <v>0</v>
      </c>
      <c r="AC1380">
        <v>0</v>
      </c>
      <c r="AD1380">
        <v>0</v>
      </c>
      <c r="AE1380">
        <v>0</v>
      </c>
      <c r="AF1380">
        <v>0</v>
      </c>
      <c r="AG1380">
        <v>1</v>
      </c>
    </row>
    <row r="1381" spans="1:33" hidden="1" x14ac:dyDescent="0.2">
      <c r="A1381">
        <v>1380</v>
      </c>
      <c r="B1381" t="s">
        <v>437</v>
      </c>
      <c r="C1381" t="s">
        <v>108</v>
      </c>
      <c r="D1381">
        <v>30</v>
      </c>
      <c r="E1381" t="s">
        <v>34</v>
      </c>
      <c r="F1381" t="s">
        <v>53</v>
      </c>
      <c r="G1381" t="s">
        <v>76</v>
      </c>
      <c r="H1381">
        <v>31534</v>
      </c>
      <c r="I1381">
        <v>1</v>
      </c>
      <c r="J1381">
        <v>0</v>
      </c>
      <c r="K1381">
        <v>0</v>
      </c>
      <c r="L1381">
        <v>0</v>
      </c>
      <c r="M1381" t="s">
        <v>36</v>
      </c>
      <c r="N1381" t="s">
        <v>36</v>
      </c>
      <c r="O1381" t="s">
        <v>36</v>
      </c>
      <c r="P1381" t="s">
        <v>37</v>
      </c>
      <c r="Q1381" t="s">
        <v>36</v>
      </c>
      <c r="R1381" t="s">
        <v>36</v>
      </c>
      <c r="S1381" t="s">
        <v>36</v>
      </c>
      <c r="T1381" t="s">
        <v>36</v>
      </c>
      <c r="U1381">
        <v>1</v>
      </c>
      <c r="V1381">
        <v>0</v>
      </c>
      <c r="W1381">
        <v>1</v>
      </c>
      <c r="X1381">
        <v>1</v>
      </c>
      <c r="Y1381">
        <v>0</v>
      </c>
      <c r="Z1381">
        <v>1</v>
      </c>
      <c r="AA1381">
        <v>0</v>
      </c>
      <c r="AB1381">
        <v>0</v>
      </c>
      <c r="AC1381">
        <v>0</v>
      </c>
      <c r="AD1381">
        <v>0</v>
      </c>
      <c r="AE1381">
        <v>0</v>
      </c>
      <c r="AF1381">
        <v>0</v>
      </c>
      <c r="AG1381">
        <v>1</v>
      </c>
    </row>
    <row r="1382" spans="1:33" x14ac:dyDescent="0.2">
      <c r="A1382">
        <v>1381</v>
      </c>
      <c r="B1382" t="s">
        <v>437</v>
      </c>
      <c r="C1382" t="s">
        <v>108</v>
      </c>
      <c r="D1382">
        <v>30</v>
      </c>
      <c r="E1382" t="s">
        <v>34</v>
      </c>
      <c r="F1382" t="s">
        <v>41</v>
      </c>
      <c r="G1382" t="s">
        <v>72</v>
      </c>
      <c r="H1382">
        <v>32463</v>
      </c>
      <c r="I1382">
        <v>0</v>
      </c>
      <c r="J1382">
        <v>0</v>
      </c>
      <c r="K1382">
        <v>0</v>
      </c>
      <c r="L1382">
        <v>1</v>
      </c>
      <c r="M1382" t="s">
        <v>73</v>
      </c>
      <c r="N1382" t="s">
        <v>115</v>
      </c>
      <c r="O1382" t="s">
        <v>74</v>
      </c>
      <c r="P1382" t="s">
        <v>37</v>
      </c>
      <c r="Q1382" t="s">
        <v>48</v>
      </c>
      <c r="R1382" t="s">
        <v>65</v>
      </c>
      <c r="S1382" t="s">
        <v>47</v>
      </c>
      <c r="T1382">
        <v>0</v>
      </c>
      <c r="U1382">
        <v>1</v>
      </c>
      <c r="V1382">
        <v>1</v>
      </c>
      <c r="W1382">
        <v>1</v>
      </c>
      <c r="X1382">
        <v>0</v>
      </c>
      <c r="Y1382">
        <v>0</v>
      </c>
      <c r="Z1382">
        <v>1</v>
      </c>
      <c r="AA1382">
        <v>0</v>
      </c>
      <c r="AB1382">
        <v>0</v>
      </c>
      <c r="AC1382">
        <v>0</v>
      </c>
      <c r="AD1382">
        <v>0</v>
      </c>
      <c r="AE1382">
        <v>0</v>
      </c>
      <c r="AF1382">
        <v>0</v>
      </c>
      <c r="AG1382">
        <v>1</v>
      </c>
    </row>
    <row r="1383" spans="1:33" x14ac:dyDescent="0.2">
      <c r="A1383">
        <v>1382</v>
      </c>
      <c r="B1383" t="s">
        <v>437</v>
      </c>
      <c r="C1383" t="s">
        <v>108</v>
      </c>
      <c r="D1383">
        <v>30</v>
      </c>
      <c r="E1383" t="s">
        <v>34</v>
      </c>
      <c r="F1383" t="s">
        <v>41</v>
      </c>
      <c r="G1383" t="s">
        <v>61</v>
      </c>
      <c r="H1383">
        <v>36681</v>
      </c>
      <c r="I1383">
        <v>0</v>
      </c>
      <c r="J1383">
        <v>0</v>
      </c>
      <c r="K1383">
        <v>0</v>
      </c>
      <c r="L1383">
        <v>1</v>
      </c>
      <c r="M1383" t="s">
        <v>64</v>
      </c>
      <c r="N1383" t="s">
        <v>97</v>
      </c>
      <c r="O1383" t="s">
        <v>62</v>
      </c>
      <c r="P1383" t="s">
        <v>37</v>
      </c>
      <c r="Q1383" t="s">
        <v>48</v>
      </c>
      <c r="R1383" t="s">
        <v>59</v>
      </c>
      <c r="S1383" t="s">
        <v>65</v>
      </c>
      <c r="T1383">
        <v>0</v>
      </c>
      <c r="U1383">
        <v>1</v>
      </c>
      <c r="V1383">
        <v>1</v>
      </c>
      <c r="W1383">
        <v>0</v>
      </c>
      <c r="X1383">
        <v>0</v>
      </c>
      <c r="Y1383">
        <v>0</v>
      </c>
      <c r="Z1383">
        <v>1</v>
      </c>
      <c r="AA1383">
        <v>0</v>
      </c>
      <c r="AB1383">
        <v>0</v>
      </c>
      <c r="AC1383">
        <v>0</v>
      </c>
      <c r="AD1383">
        <v>0</v>
      </c>
      <c r="AE1383">
        <v>0</v>
      </c>
      <c r="AF1383">
        <v>0</v>
      </c>
      <c r="AG1383">
        <v>1</v>
      </c>
    </row>
    <row r="1384" spans="1:33" hidden="1" x14ac:dyDescent="0.2">
      <c r="A1384">
        <v>1383</v>
      </c>
      <c r="B1384" t="s">
        <v>437</v>
      </c>
      <c r="C1384" t="s">
        <v>108</v>
      </c>
      <c r="D1384">
        <v>30</v>
      </c>
      <c r="E1384" t="s">
        <v>34</v>
      </c>
      <c r="F1384" t="s">
        <v>53</v>
      </c>
      <c r="G1384" t="s">
        <v>66</v>
      </c>
      <c r="H1384">
        <v>27901</v>
      </c>
      <c r="I1384">
        <v>1</v>
      </c>
      <c r="J1384">
        <v>0</v>
      </c>
      <c r="K1384">
        <v>0</v>
      </c>
      <c r="L1384">
        <v>0</v>
      </c>
      <c r="M1384" t="s">
        <v>36</v>
      </c>
      <c r="N1384" t="s">
        <v>36</v>
      </c>
      <c r="O1384" t="s">
        <v>36</v>
      </c>
      <c r="P1384" t="s">
        <v>37</v>
      </c>
      <c r="Q1384" t="s">
        <v>36</v>
      </c>
      <c r="R1384" t="s">
        <v>36</v>
      </c>
      <c r="S1384" t="s">
        <v>36</v>
      </c>
      <c r="T1384" t="s">
        <v>36</v>
      </c>
      <c r="U1384">
        <v>1</v>
      </c>
      <c r="V1384">
        <v>1</v>
      </c>
      <c r="W1384">
        <v>0</v>
      </c>
      <c r="X1384">
        <v>0</v>
      </c>
      <c r="Y1384">
        <v>0</v>
      </c>
      <c r="Z1384">
        <v>1</v>
      </c>
      <c r="AA1384">
        <v>0</v>
      </c>
      <c r="AB1384">
        <v>0</v>
      </c>
      <c r="AC1384">
        <v>0</v>
      </c>
      <c r="AD1384">
        <v>0</v>
      </c>
      <c r="AE1384">
        <v>0</v>
      </c>
      <c r="AF1384">
        <v>0</v>
      </c>
      <c r="AG1384">
        <v>1</v>
      </c>
    </row>
    <row r="1385" spans="1:33" x14ac:dyDescent="0.2">
      <c r="A1385">
        <v>1384</v>
      </c>
      <c r="B1385" t="s">
        <v>437</v>
      </c>
      <c r="C1385" t="s">
        <v>108</v>
      </c>
      <c r="D1385">
        <v>30</v>
      </c>
      <c r="E1385" t="s">
        <v>34</v>
      </c>
      <c r="F1385" t="s">
        <v>41</v>
      </c>
      <c r="G1385" t="s">
        <v>42</v>
      </c>
      <c r="H1385">
        <v>36462</v>
      </c>
      <c r="I1385">
        <v>0</v>
      </c>
      <c r="J1385">
        <v>0</v>
      </c>
      <c r="K1385">
        <v>0</v>
      </c>
      <c r="L1385">
        <v>1</v>
      </c>
      <c r="M1385" t="s">
        <v>44</v>
      </c>
      <c r="N1385" t="s">
        <v>82</v>
      </c>
      <c r="O1385" t="s">
        <v>45</v>
      </c>
      <c r="P1385" t="s">
        <v>37</v>
      </c>
      <c r="Q1385" t="s">
        <v>47</v>
      </c>
      <c r="R1385" t="s">
        <v>65</v>
      </c>
      <c r="S1385" t="s">
        <v>48</v>
      </c>
      <c r="T1385">
        <v>0</v>
      </c>
      <c r="U1385">
        <v>1</v>
      </c>
      <c r="V1385">
        <v>1</v>
      </c>
      <c r="W1385">
        <v>1</v>
      </c>
      <c r="X1385">
        <v>0</v>
      </c>
      <c r="Y1385">
        <v>0</v>
      </c>
      <c r="Z1385">
        <v>1</v>
      </c>
      <c r="AA1385">
        <v>0</v>
      </c>
      <c r="AB1385">
        <v>0</v>
      </c>
      <c r="AC1385">
        <v>0</v>
      </c>
      <c r="AD1385">
        <v>0</v>
      </c>
      <c r="AE1385">
        <v>0</v>
      </c>
      <c r="AF1385">
        <v>0</v>
      </c>
      <c r="AG1385">
        <v>1</v>
      </c>
    </row>
    <row r="1386" spans="1:33" hidden="1" x14ac:dyDescent="0.2">
      <c r="A1386">
        <v>1385</v>
      </c>
      <c r="B1386" t="s">
        <v>437</v>
      </c>
      <c r="C1386" t="s">
        <v>108</v>
      </c>
      <c r="D1386">
        <v>30</v>
      </c>
      <c r="E1386" t="s">
        <v>34</v>
      </c>
      <c r="F1386" t="s">
        <v>53</v>
      </c>
      <c r="G1386" t="s">
        <v>54</v>
      </c>
      <c r="H1386">
        <v>41250</v>
      </c>
      <c r="I1386">
        <v>0</v>
      </c>
      <c r="J1386">
        <v>1</v>
      </c>
      <c r="K1386">
        <v>0</v>
      </c>
      <c r="L1386">
        <v>0</v>
      </c>
      <c r="M1386" t="s">
        <v>36</v>
      </c>
      <c r="N1386" t="s">
        <v>36</v>
      </c>
      <c r="O1386" t="s">
        <v>36</v>
      </c>
      <c r="P1386" t="s">
        <v>37</v>
      </c>
      <c r="Q1386" t="s">
        <v>36</v>
      </c>
      <c r="R1386" t="s">
        <v>36</v>
      </c>
      <c r="S1386" t="s">
        <v>36</v>
      </c>
      <c r="T1386" t="s">
        <v>36</v>
      </c>
      <c r="U1386">
        <v>1</v>
      </c>
      <c r="V1386">
        <v>1</v>
      </c>
      <c r="W1386">
        <v>1</v>
      </c>
      <c r="X1386">
        <v>0</v>
      </c>
      <c r="Y1386">
        <v>0</v>
      </c>
      <c r="Z1386">
        <v>1</v>
      </c>
      <c r="AA1386">
        <v>0</v>
      </c>
      <c r="AB1386">
        <v>0</v>
      </c>
      <c r="AC1386">
        <v>0</v>
      </c>
      <c r="AD1386">
        <v>0</v>
      </c>
      <c r="AE1386">
        <v>0</v>
      </c>
      <c r="AF1386">
        <v>0</v>
      </c>
      <c r="AG1386">
        <v>1</v>
      </c>
    </row>
    <row r="1387" spans="1:33" hidden="1" x14ac:dyDescent="0.2">
      <c r="A1387">
        <v>1386</v>
      </c>
      <c r="B1387" t="s">
        <v>437</v>
      </c>
      <c r="C1387" t="s">
        <v>108</v>
      </c>
      <c r="D1387">
        <v>30</v>
      </c>
      <c r="E1387" t="s">
        <v>34</v>
      </c>
      <c r="F1387" t="s">
        <v>77</v>
      </c>
      <c r="G1387" t="s">
        <v>36</v>
      </c>
      <c r="H1387">
        <v>128172</v>
      </c>
      <c r="I1387" t="s">
        <v>438</v>
      </c>
      <c r="J1387" t="s">
        <v>439</v>
      </c>
      <c r="K1387" t="s">
        <v>440</v>
      </c>
      <c r="L1387" t="s">
        <v>36</v>
      </c>
      <c r="M1387" t="s">
        <v>36</v>
      </c>
      <c r="N1387" t="s">
        <v>36</v>
      </c>
      <c r="O1387" t="s">
        <v>36</v>
      </c>
      <c r="P1387" t="s">
        <v>37</v>
      </c>
      <c r="Q1387" t="s">
        <v>36</v>
      </c>
      <c r="R1387" t="s">
        <v>36</v>
      </c>
      <c r="S1387" t="s">
        <v>36</v>
      </c>
      <c r="T1387" t="s">
        <v>36</v>
      </c>
      <c r="U1387" t="s">
        <v>36</v>
      </c>
      <c r="V1387" t="s">
        <v>36</v>
      </c>
      <c r="W1387" t="s">
        <v>36</v>
      </c>
      <c r="X1387" t="s">
        <v>36</v>
      </c>
      <c r="Y1387" t="s">
        <v>36</v>
      </c>
      <c r="Z1387" t="s">
        <v>36</v>
      </c>
      <c r="AA1387" t="s">
        <v>36</v>
      </c>
      <c r="AB1387" t="s">
        <v>36</v>
      </c>
      <c r="AC1387" t="s">
        <v>36</v>
      </c>
      <c r="AD1387" t="s">
        <v>36</v>
      </c>
      <c r="AE1387" t="s">
        <v>36</v>
      </c>
      <c r="AF1387" t="s">
        <v>36</v>
      </c>
      <c r="AG1387" t="s">
        <v>36</v>
      </c>
    </row>
    <row r="1388" spans="1:33" hidden="1" x14ac:dyDescent="0.2">
      <c r="A1388">
        <v>1387</v>
      </c>
      <c r="B1388" t="s">
        <v>441</v>
      </c>
      <c r="C1388" t="s">
        <v>33</v>
      </c>
      <c r="D1388">
        <v>21</v>
      </c>
      <c r="E1388" t="s">
        <v>34</v>
      </c>
      <c r="F1388" t="s">
        <v>35</v>
      </c>
      <c r="G1388" t="s">
        <v>36</v>
      </c>
      <c r="H1388">
        <v>82756</v>
      </c>
      <c r="I1388" t="s">
        <v>36</v>
      </c>
      <c r="J1388" t="s">
        <v>36</v>
      </c>
      <c r="K1388" t="s">
        <v>36</v>
      </c>
      <c r="L1388" t="s">
        <v>36</v>
      </c>
      <c r="M1388" t="s">
        <v>36</v>
      </c>
      <c r="N1388" t="s">
        <v>36</v>
      </c>
      <c r="O1388" t="s">
        <v>36</v>
      </c>
      <c r="P1388" t="s">
        <v>442</v>
      </c>
      <c r="Q1388" t="s">
        <v>36</v>
      </c>
      <c r="R1388" t="s">
        <v>36</v>
      </c>
      <c r="S1388" t="s">
        <v>36</v>
      </c>
      <c r="T1388" t="s">
        <v>36</v>
      </c>
      <c r="U1388" t="s">
        <v>36</v>
      </c>
      <c r="V1388" t="s">
        <v>36</v>
      </c>
      <c r="W1388" t="s">
        <v>36</v>
      </c>
      <c r="X1388" t="s">
        <v>36</v>
      </c>
      <c r="Y1388" t="s">
        <v>36</v>
      </c>
      <c r="Z1388" t="s">
        <v>36</v>
      </c>
      <c r="AA1388" t="s">
        <v>36</v>
      </c>
      <c r="AB1388" t="s">
        <v>36</v>
      </c>
      <c r="AC1388" t="s">
        <v>36</v>
      </c>
      <c r="AD1388" t="s">
        <v>36</v>
      </c>
      <c r="AE1388" t="s">
        <v>36</v>
      </c>
      <c r="AF1388" t="s">
        <v>36</v>
      </c>
      <c r="AG1388" t="s">
        <v>36</v>
      </c>
    </row>
    <row r="1389" spans="1:33" hidden="1" x14ac:dyDescent="0.2">
      <c r="A1389">
        <v>1388</v>
      </c>
      <c r="B1389" t="s">
        <v>441</v>
      </c>
      <c r="C1389" t="s">
        <v>33</v>
      </c>
      <c r="D1389">
        <v>21</v>
      </c>
      <c r="E1389" t="s">
        <v>34</v>
      </c>
      <c r="F1389" t="s">
        <v>38</v>
      </c>
      <c r="G1389" t="s">
        <v>40</v>
      </c>
      <c r="H1389">
        <v>5812</v>
      </c>
      <c r="I1389">
        <v>0</v>
      </c>
      <c r="J1389">
        <v>1</v>
      </c>
      <c r="K1389">
        <v>0</v>
      </c>
      <c r="L1389">
        <v>0</v>
      </c>
      <c r="M1389" t="s">
        <v>36</v>
      </c>
      <c r="N1389" t="s">
        <v>36</v>
      </c>
      <c r="O1389" t="s">
        <v>36</v>
      </c>
      <c r="P1389" t="s">
        <v>442</v>
      </c>
      <c r="Q1389" t="s">
        <v>36</v>
      </c>
      <c r="R1389" t="s">
        <v>36</v>
      </c>
      <c r="S1389" t="s">
        <v>36</v>
      </c>
      <c r="T1389" t="s">
        <v>36</v>
      </c>
      <c r="U1389" t="s">
        <v>36</v>
      </c>
      <c r="V1389" t="s">
        <v>36</v>
      </c>
      <c r="W1389" t="s">
        <v>36</v>
      </c>
      <c r="X1389" t="s">
        <v>36</v>
      </c>
      <c r="Y1389" t="s">
        <v>36</v>
      </c>
      <c r="Z1389" t="s">
        <v>36</v>
      </c>
      <c r="AA1389" t="s">
        <v>36</v>
      </c>
      <c r="AB1389" t="s">
        <v>36</v>
      </c>
      <c r="AC1389" t="s">
        <v>36</v>
      </c>
      <c r="AD1389" t="s">
        <v>36</v>
      </c>
      <c r="AE1389" t="s">
        <v>36</v>
      </c>
      <c r="AF1389" t="s">
        <v>36</v>
      </c>
      <c r="AG1389" t="s">
        <v>36</v>
      </c>
    </row>
    <row r="1390" spans="1:33" hidden="1" x14ac:dyDescent="0.2">
      <c r="A1390">
        <v>1389</v>
      </c>
      <c r="B1390" t="s">
        <v>441</v>
      </c>
      <c r="C1390" t="s">
        <v>33</v>
      </c>
      <c r="D1390">
        <v>21</v>
      </c>
      <c r="E1390" t="s">
        <v>34</v>
      </c>
      <c r="F1390" t="s">
        <v>38</v>
      </c>
      <c r="G1390" t="s">
        <v>39</v>
      </c>
      <c r="H1390">
        <v>2900</v>
      </c>
      <c r="I1390">
        <v>0</v>
      </c>
      <c r="J1390">
        <v>1</v>
      </c>
      <c r="K1390">
        <v>0</v>
      </c>
      <c r="L1390">
        <v>0</v>
      </c>
      <c r="M1390" t="s">
        <v>36</v>
      </c>
      <c r="N1390" t="s">
        <v>36</v>
      </c>
      <c r="O1390" t="s">
        <v>36</v>
      </c>
      <c r="P1390" t="s">
        <v>442</v>
      </c>
      <c r="Q1390" t="s">
        <v>36</v>
      </c>
      <c r="R1390" t="s">
        <v>36</v>
      </c>
      <c r="S1390" t="s">
        <v>36</v>
      </c>
      <c r="T1390" t="s">
        <v>36</v>
      </c>
      <c r="U1390" t="s">
        <v>36</v>
      </c>
      <c r="V1390" t="s">
        <v>36</v>
      </c>
      <c r="W1390" t="s">
        <v>36</v>
      </c>
      <c r="X1390" t="s">
        <v>36</v>
      </c>
      <c r="Y1390" t="s">
        <v>36</v>
      </c>
      <c r="Z1390" t="s">
        <v>36</v>
      </c>
      <c r="AA1390" t="s">
        <v>36</v>
      </c>
      <c r="AB1390" t="s">
        <v>36</v>
      </c>
      <c r="AC1390" t="s">
        <v>36</v>
      </c>
      <c r="AD1390" t="s">
        <v>36</v>
      </c>
      <c r="AE1390" t="s">
        <v>36</v>
      </c>
      <c r="AF1390" t="s">
        <v>36</v>
      </c>
      <c r="AG1390" t="s">
        <v>36</v>
      </c>
    </row>
    <row r="1391" spans="1:33" x14ac:dyDescent="0.2">
      <c r="A1391">
        <v>1390</v>
      </c>
      <c r="B1391" t="s">
        <v>441</v>
      </c>
      <c r="C1391" t="s">
        <v>33</v>
      </c>
      <c r="D1391">
        <v>21</v>
      </c>
      <c r="E1391" t="s">
        <v>34</v>
      </c>
      <c r="F1391" t="s">
        <v>41</v>
      </c>
      <c r="G1391" t="s">
        <v>55</v>
      </c>
      <c r="H1391">
        <v>4852</v>
      </c>
      <c r="I1391">
        <v>1</v>
      </c>
      <c r="J1391">
        <v>0</v>
      </c>
      <c r="K1391">
        <v>0</v>
      </c>
      <c r="L1391">
        <v>0</v>
      </c>
      <c r="M1391" t="s">
        <v>85</v>
      </c>
      <c r="N1391" t="s">
        <v>84</v>
      </c>
      <c r="O1391" t="s">
        <v>57</v>
      </c>
      <c r="P1391" t="s">
        <v>442</v>
      </c>
      <c r="Q1391" t="s">
        <v>65</v>
      </c>
      <c r="R1391" t="s">
        <v>46</v>
      </c>
      <c r="S1391" t="s">
        <v>48</v>
      </c>
      <c r="T1391">
        <v>0</v>
      </c>
      <c r="U1391">
        <v>1</v>
      </c>
      <c r="V1391">
        <v>1</v>
      </c>
      <c r="W1391">
        <v>0</v>
      </c>
      <c r="X1391">
        <v>1</v>
      </c>
      <c r="Y1391">
        <v>0</v>
      </c>
      <c r="Z1391">
        <v>1</v>
      </c>
      <c r="AA1391">
        <v>0</v>
      </c>
      <c r="AB1391">
        <v>1</v>
      </c>
      <c r="AC1391">
        <v>0</v>
      </c>
      <c r="AD1391">
        <v>0</v>
      </c>
      <c r="AE1391">
        <v>0</v>
      </c>
      <c r="AF1391">
        <v>0</v>
      </c>
      <c r="AG1391">
        <v>0</v>
      </c>
    </row>
    <row r="1392" spans="1:33" x14ac:dyDescent="0.2">
      <c r="A1392">
        <v>1391</v>
      </c>
      <c r="B1392" t="s">
        <v>441</v>
      </c>
      <c r="C1392" t="s">
        <v>33</v>
      </c>
      <c r="D1392">
        <v>21</v>
      </c>
      <c r="E1392" t="s">
        <v>34</v>
      </c>
      <c r="F1392" t="s">
        <v>41</v>
      </c>
      <c r="G1392" t="s">
        <v>72</v>
      </c>
      <c r="H1392">
        <v>2733</v>
      </c>
      <c r="I1392">
        <v>1</v>
      </c>
      <c r="J1392">
        <v>0</v>
      </c>
      <c r="K1392">
        <v>0</v>
      </c>
      <c r="L1392">
        <v>0</v>
      </c>
      <c r="M1392" t="s">
        <v>73</v>
      </c>
      <c r="N1392" t="s">
        <v>115</v>
      </c>
      <c r="O1392" t="s">
        <v>93</v>
      </c>
      <c r="P1392" t="s">
        <v>442</v>
      </c>
      <c r="Q1392" t="s">
        <v>48</v>
      </c>
      <c r="R1392" t="s">
        <v>65</v>
      </c>
      <c r="S1392" t="s">
        <v>59</v>
      </c>
      <c r="T1392">
        <v>0</v>
      </c>
      <c r="U1392">
        <v>1</v>
      </c>
      <c r="V1392">
        <v>1</v>
      </c>
      <c r="W1392">
        <v>0</v>
      </c>
      <c r="X1392">
        <v>0</v>
      </c>
      <c r="Y1392">
        <v>0</v>
      </c>
      <c r="Z1392">
        <v>1</v>
      </c>
      <c r="AA1392">
        <v>0</v>
      </c>
      <c r="AB1392">
        <v>0</v>
      </c>
      <c r="AC1392">
        <v>1</v>
      </c>
      <c r="AD1392">
        <v>0</v>
      </c>
      <c r="AE1392">
        <v>0</v>
      </c>
      <c r="AF1392">
        <v>0</v>
      </c>
      <c r="AG1392">
        <v>0</v>
      </c>
    </row>
    <row r="1393" spans="1:33" hidden="1" x14ac:dyDescent="0.2">
      <c r="A1393">
        <v>1392</v>
      </c>
      <c r="B1393" t="s">
        <v>441</v>
      </c>
      <c r="C1393" t="s">
        <v>33</v>
      </c>
      <c r="D1393">
        <v>21</v>
      </c>
      <c r="E1393" t="s">
        <v>34</v>
      </c>
      <c r="F1393" t="s">
        <v>53</v>
      </c>
      <c r="G1393" t="s">
        <v>71</v>
      </c>
      <c r="H1393">
        <v>2668</v>
      </c>
      <c r="I1393">
        <v>1</v>
      </c>
      <c r="J1393">
        <v>0</v>
      </c>
      <c r="K1393">
        <v>0</v>
      </c>
      <c r="L1393">
        <v>0</v>
      </c>
      <c r="M1393" t="s">
        <v>36</v>
      </c>
      <c r="N1393" t="s">
        <v>36</v>
      </c>
      <c r="O1393" t="s">
        <v>36</v>
      </c>
      <c r="P1393" t="s">
        <v>442</v>
      </c>
      <c r="Q1393" t="s">
        <v>36</v>
      </c>
      <c r="R1393" t="s">
        <v>36</v>
      </c>
      <c r="S1393" t="s">
        <v>36</v>
      </c>
      <c r="T1393" t="s">
        <v>36</v>
      </c>
      <c r="U1393">
        <v>1</v>
      </c>
      <c r="V1393">
        <v>1</v>
      </c>
      <c r="W1393">
        <v>0</v>
      </c>
      <c r="X1393">
        <v>0</v>
      </c>
      <c r="Y1393">
        <v>0</v>
      </c>
      <c r="Z1393">
        <v>1</v>
      </c>
      <c r="AA1393">
        <v>0</v>
      </c>
      <c r="AB1393">
        <v>0</v>
      </c>
      <c r="AC1393">
        <v>1</v>
      </c>
      <c r="AD1393">
        <v>0</v>
      </c>
      <c r="AE1393">
        <v>0</v>
      </c>
      <c r="AF1393">
        <v>0</v>
      </c>
      <c r="AG1393">
        <v>0</v>
      </c>
    </row>
    <row r="1394" spans="1:33" x14ac:dyDescent="0.2">
      <c r="A1394">
        <v>1393</v>
      </c>
      <c r="B1394" t="s">
        <v>441</v>
      </c>
      <c r="C1394" t="s">
        <v>33</v>
      </c>
      <c r="D1394">
        <v>21</v>
      </c>
      <c r="E1394" t="s">
        <v>34</v>
      </c>
      <c r="F1394" t="s">
        <v>41</v>
      </c>
      <c r="G1394" t="s">
        <v>42</v>
      </c>
      <c r="H1394">
        <v>2685</v>
      </c>
      <c r="I1394">
        <v>1</v>
      </c>
      <c r="J1394">
        <v>0</v>
      </c>
      <c r="K1394">
        <v>0</v>
      </c>
      <c r="L1394">
        <v>0</v>
      </c>
      <c r="M1394" t="s">
        <v>82</v>
      </c>
      <c r="N1394" t="s">
        <v>43</v>
      </c>
      <c r="O1394" t="s">
        <v>45</v>
      </c>
      <c r="P1394" t="s">
        <v>442</v>
      </c>
      <c r="Q1394" t="s">
        <v>65</v>
      </c>
      <c r="R1394" t="s">
        <v>46</v>
      </c>
      <c r="S1394" t="s">
        <v>48</v>
      </c>
      <c r="T1394">
        <v>0</v>
      </c>
      <c r="U1394">
        <v>1</v>
      </c>
      <c r="V1394">
        <v>1</v>
      </c>
      <c r="W1394">
        <v>0</v>
      </c>
      <c r="X1394">
        <v>1</v>
      </c>
      <c r="Y1394">
        <v>0</v>
      </c>
      <c r="Z1394">
        <v>1</v>
      </c>
      <c r="AA1394">
        <v>0</v>
      </c>
      <c r="AB1394">
        <v>1</v>
      </c>
      <c r="AC1394">
        <v>0</v>
      </c>
      <c r="AD1394">
        <v>0</v>
      </c>
      <c r="AE1394">
        <v>0</v>
      </c>
      <c r="AF1394">
        <v>0</v>
      </c>
      <c r="AG1394">
        <v>0</v>
      </c>
    </row>
    <row r="1395" spans="1:33" hidden="1" x14ac:dyDescent="0.2">
      <c r="A1395">
        <v>1394</v>
      </c>
      <c r="B1395" t="s">
        <v>441</v>
      </c>
      <c r="C1395" t="s">
        <v>33</v>
      </c>
      <c r="D1395">
        <v>21</v>
      </c>
      <c r="E1395" t="s">
        <v>34</v>
      </c>
      <c r="F1395" t="s">
        <v>53</v>
      </c>
      <c r="G1395" t="s">
        <v>66</v>
      </c>
      <c r="H1395">
        <v>1949</v>
      </c>
      <c r="I1395">
        <v>0</v>
      </c>
      <c r="J1395">
        <v>0</v>
      </c>
      <c r="K1395">
        <v>0</v>
      </c>
      <c r="L1395">
        <v>0</v>
      </c>
      <c r="M1395" t="s">
        <v>36</v>
      </c>
      <c r="N1395" t="s">
        <v>36</v>
      </c>
      <c r="O1395" t="s">
        <v>36</v>
      </c>
      <c r="P1395" t="s">
        <v>442</v>
      </c>
      <c r="Q1395" t="s">
        <v>36</v>
      </c>
      <c r="R1395" t="s">
        <v>36</v>
      </c>
      <c r="S1395" t="s">
        <v>36</v>
      </c>
      <c r="T1395" t="s">
        <v>36</v>
      </c>
      <c r="U1395">
        <v>1</v>
      </c>
      <c r="V1395">
        <v>1</v>
      </c>
      <c r="W1395">
        <v>0</v>
      </c>
      <c r="X1395">
        <v>1</v>
      </c>
      <c r="Y1395">
        <v>0</v>
      </c>
      <c r="Z1395">
        <v>1</v>
      </c>
      <c r="AA1395">
        <v>0</v>
      </c>
      <c r="AB1395">
        <v>1</v>
      </c>
      <c r="AC1395">
        <v>0</v>
      </c>
      <c r="AD1395">
        <v>0</v>
      </c>
      <c r="AE1395">
        <v>0</v>
      </c>
      <c r="AF1395">
        <v>0</v>
      </c>
      <c r="AG1395">
        <v>0</v>
      </c>
    </row>
    <row r="1396" spans="1:33" x14ac:dyDescent="0.2">
      <c r="A1396">
        <v>1395</v>
      </c>
      <c r="B1396" t="s">
        <v>441</v>
      </c>
      <c r="C1396" t="s">
        <v>33</v>
      </c>
      <c r="D1396">
        <v>21</v>
      </c>
      <c r="E1396" t="s">
        <v>34</v>
      </c>
      <c r="F1396" t="s">
        <v>41</v>
      </c>
      <c r="G1396" t="s">
        <v>61</v>
      </c>
      <c r="H1396">
        <v>2957</v>
      </c>
      <c r="I1396">
        <v>0</v>
      </c>
      <c r="J1396">
        <v>1</v>
      </c>
      <c r="K1396">
        <v>0</v>
      </c>
      <c r="L1396">
        <v>0</v>
      </c>
      <c r="M1396" t="s">
        <v>62</v>
      </c>
      <c r="N1396" t="s">
        <v>64</v>
      </c>
      <c r="O1396" t="s">
        <v>63</v>
      </c>
      <c r="P1396" t="s">
        <v>442</v>
      </c>
      <c r="Q1396" t="s">
        <v>65</v>
      </c>
      <c r="R1396" t="s">
        <v>48</v>
      </c>
      <c r="S1396" t="s">
        <v>46</v>
      </c>
      <c r="T1396">
        <v>0</v>
      </c>
      <c r="U1396">
        <v>1</v>
      </c>
      <c r="V1396">
        <v>1</v>
      </c>
      <c r="W1396">
        <v>0</v>
      </c>
      <c r="X1396">
        <v>1</v>
      </c>
      <c r="Y1396">
        <v>0</v>
      </c>
      <c r="Z1396">
        <v>1</v>
      </c>
      <c r="AA1396">
        <v>0</v>
      </c>
      <c r="AB1396">
        <v>0</v>
      </c>
      <c r="AC1396">
        <v>1</v>
      </c>
      <c r="AD1396">
        <v>0</v>
      </c>
      <c r="AE1396">
        <v>0</v>
      </c>
      <c r="AF1396">
        <v>0</v>
      </c>
      <c r="AG1396">
        <v>0</v>
      </c>
    </row>
    <row r="1397" spans="1:33" x14ac:dyDescent="0.2">
      <c r="A1397">
        <v>1396</v>
      </c>
      <c r="B1397" t="s">
        <v>441</v>
      </c>
      <c r="C1397" t="s">
        <v>33</v>
      </c>
      <c r="D1397">
        <v>21</v>
      </c>
      <c r="E1397" t="s">
        <v>34</v>
      </c>
      <c r="F1397" t="s">
        <v>41</v>
      </c>
      <c r="G1397" t="s">
        <v>49</v>
      </c>
      <c r="H1397">
        <v>6229</v>
      </c>
      <c r="I1397">
        <v>0</v>
      </c>
      <c r="J1397">
        <v>1</v>
      </c>
      <c r="K1397">
        <v>0</v>
      </c>
      <c r="L1397">
        <v>0</v>
      </c>
      <c r="M1397" t="s">
        <v>51</v>
      </c>
      <c r="N1397" t="s">
        <v>95</v>
      </c>
      <c r="O1397" t="s">
        <v>52</v>
      </c>
      <c r="P1397" t="s">
        <v>442</v>
      </c>
      <c r="Q1397" t="s">
        <v>47</v>
      </c>
      <c r="R1397" t="s">
        <v>60</v>
      </c>
      <c r="S1397" t="s">
        <v>46</v>
      </c>
      <c r="T1397">
        <v>1</v>
      </c>
      <c r="U1397">
        <v>0</v>
      </c>
      <c r="V1397">
        <v>0</v>
      </c>
      <c r="W1397">
        <v>1</v>
      </c>
      <c r="X1397">
        <v>1</v>
      </c>
      <c r="Y1397">
        <v>0</v>
      </c>
      <c r="Z1397">
        <v>1</v>
      </c>
      <c r="AA1397">
        <v>1</v>
      </c>
      <c r="AB1397">
        <v>0</v>
      </c>
      <c r="AC1397">
        <v>0</v>
      </c>
      <c r="AD1397">
        <v>0</v>
      </c>
      <c r="AE1397">
        <v>0</v>
      </c>
      <c r="AF1397">
        <v>0</v>
      </c>
      <c r="AG1397">
        <v>0</v>
      </c>
    </row>
    <row r="1398" spans="1:33" hidden="1" x14ac:dyDescent="0.2">
      <c r="A1398">
        <v>1397</v>
      </c>
      <c r="B1398" t="s">
        <v>441</v>
      </c>
      <c r="C1398" t="s">
        <v>33</v>
      </c>
      <c r="D1398">
        <v>21</v>
      </c>
      <c r="E1398" t="s">
        <v>34</v>
      </c>
      <c r="F1398" t="s">
        <v>53</v>
      </c>
      <c r="G1398" t="s">
        <v>54</v>
      </c>
      <c r="H1398">
        <v>8269</v>
      </c>
      <c r="I1398">
        <v>0</v>
      </c>
      <c r="J1398">
        <v>1</v>
      </c>
      <c r="K1398">
        <v>0</v>
      </c>
      <c r="L1398">
        <v>0</v>
      </c>
      <c r="M1398" t="s">
        <v>36</v>
      </c>
      <c r="N1398" t="s">
        <v>36</v>
      </c>
      <c r="O1398" t="s">
        <v>36</v>
      </c>
      <c r="P1398" t="s">
        <v>442</v>
      </c>
      <c r="Q1398" t="s">
        <v>36</v>
      </c>
      <c r="R1398" t="s">
        <v>36</v>
      </c>
      <c r="S1398" t="s">
        <v>36</v>
      </c>
      <c r="T1398" t="s">
        <v>36</v>
      </c>
      <c r="U1398">
        <v>0</v>
      </c>
      <c r="V1398">
        <v>0</v>
      </c>
      <c r="W1398">
        <v>1</v>
      </c>
      <c r="X1398">
        <v>1</v>
      </c>
      <c r="Y1398">
        <v>0</v>
      </c>
      <c r="Z1398">
        <v>1</v>
      </c>
      <c r="AA1398">
        <v>1</v>
      </c>
      <c r="AB1398">
        <v>0</v>
      </c>
      <c r="AC1398">
        <v>0</v>
      </c>
      <c r="AD1398">
        <v>0</v>
      </c>
      <c r="AE1398">
        <v>0</v>
      </c>
      <c r="AF1398">
        <v>0</v>
      </c>
      <c r="AG1398">
        <v>0</v>
      </c>
    </row>
    <row r="1399" spans="1:33" x14ac:dyDescent="0.2">
      <c r="A1399">
        <v>1398</v>
      </c>
      <c r="B1399" t="s">
        <v>441</v>
      </c>
      <c r="C1399" t="s">
        <v>33</v>
      </c>
      <c r="D1399">
        <v>21</v>
      </c>
      <c r="E1399" t="s">
        <v>34</v>
      </c>
      <c r="F1399" t="s">
        <v>41</v>
      </c>
      <c r="G1399" t="s">
        <v>67</v>
      </c>
      <c r="H1399">
        <v>5316</v>
      </c>
      <c r="I1399">
        <v>1</v>
      </c>
      <c r="J1399">
        <v>0</v>
      </c>
      <c r="K1399">
        <v>0</v>
      </c>
      <c r="L1399">
        <v>0</v>
      </c>
      <c r="M1399" t="s">
        <v>86</v>
      </c>
      <c r="N1399" t="s">
        <v>70</v>
      </c>
      <c r="O1399" t="s">
        <v>68</v>
      </c>
      <c r="P1399" t="s">
        <v>442</v>
      </c>
      <c r="Q1399" t="s">
        <v>46</v>
      </c>
      <c r="R1399" t="s">
        <v>47</v>
      </c>
      <c r="S1399" t="s">
        <v>65</v>
      </c>
      <c r="T1399">
        <v>0</v>
      </c>
      <c r="U1399">
        <v>1</v>
      </c>
      <c r="V1399">
        <v>0</v>
      </c>
      <c r="W1399">
        <v>1</v>
      </c>
      <c r="X1399">
        <v>1</v>
      </c>
      <c r="Y1399">
        <v>0</v>
      </c>
      <c r="Z1399">
        <v>1</v>
      </c>
      <c r="AA1399">
        <v>0</v>
      </c>
      <c r="AB1399">
        <v>0</v>
      </c>
      <c r="AC1399">
        <v>0</v>
      </c>
      <c r="AD1399">
        <v>0</v>
      </c>
      <c r="AE1399">
        <v>1</v>
      </c>
      <c r="AF1399">
        <v>0</v>
      </c>
      <c r="AG1399">
        <v>0</v>
      </c>
    </row>
    <row r="1400" spans="1:33" hidden="1" x14ac:dyDescent="0.2">
      <c r="A1400">
        <v>1399</v>
      </c>
      <c r="B1400" t="s">
        <v>441</v>
      </c>
      <c r="C1400" t="s">
        <v>33</v>
      </c>
      <c r="D1400">
        <v>21</v>
      </c>
      <c r="E1400" t="s">
        <v>34</v>
      </c>
      <c r="F1400" t="s">
        <v>53</v>
      </c>
      <c r="G1400" t="s">
        <v>76</v>
      </c>
      <c r="H1400">
        <v>2110</v>
      </c>
      <c r="I1400">
        <v>1</v>
      </c>
      <c r="J1400">
        <v>0</v>
      </c>
      <c r="K1400">
        <v>0</v>
      </c>
      <c r="L1400">
        <v>0</v>
      </c>
      <c r="M1400" t="s">
        <v>36</v>
      </c>
      <c r="N1400" t="s">
        <v>36</v>
      </c>
      <c r="O1400" t="s">
        <v>36</v>
      </c>
      <c r="P1400" t="s">
        <v>442</v>
      </c>
      <c r="Q1400" t="s">
        <v>36</v>
      </c>
      <c r="R1400" t="s">
        <v>36</v>
      </c>
      <c r="S1400" t="s">
        <v>36</v>
      </c>
      <c r="T1400" t="s">
        <v>36</v>
      </c>
      <c r="U1400">
        <v>1</v>
      </c>
      <c r="V1400">
        <v>0</v>
      </c>
      <c r="W1400">
        <v>1</v>
      </c>
      <c r="X1400">
        <v>1</v>
      </c>
      <c r="Y1400">
        <v>0</v>
      </c>
      <c r="Z1400">
        <v>1</v>
      </c>
      <c r="AA1400">
        <v>0</v>
      </c>
      <c r="AB1400">
        <v>0</v>
      </c>
      <c r="AC1400">
        <v>0</v>
      </c>
      <c r="AD1400">
        <v>0</v>
      </c>
      <c r="AE1400">
        <v>1</v>
      </c>
      <c r="AF1400">
        <v>0</v>
      </c>
      <c r="AG1400">
        <v>0</v>
      </c>
    </row>
    <row r="1401" spans="1:33" hidden="1" x14ac:dyDescent="0.2">
      <c r="A1401">
        <v>1400</v>
      </c>
      <c r="B1401" t="s">
        <v>441</v>
      </c>
      <c r="C1401" t="s">
        <v>33</v>
      </c>
      <c r="D1401">
        <v>21</v>
      </c>
      <c r="E1401" t="s">
        <v>34</v>
      </c>
      <c r="F1401" t="s">
        <v>77</v>
      </c>
      <c r="G1401" t="s">
        <v>36</v>
      </c>
      <c r="H1401">
        <v>20125</v>
      </c>
      <c r="I1401" t="s">
        <v>443</v>
      </c>
      <c r="J1401" t="s">
        <v>443</v>
      </c>
      <c r="K1401" t="s">
        <v>443</v>
      </c>
      <c r="L1401" t="s">
        <v>36</v>
      </c>
      <c r="M1401" t="s">
        <v>36</v>
      </c>
      <c r="N1401" t="s">
        <v>36</v>
      </c>
      <c r="O1401" t="s">
        <v>36</v>
      </c>
      <c r="P1401" t="s">
        <v>442</v>
      </c>
      <c r="Q1401" t="s">
        <v>36</v>
      </c>
      <c r="R1401" t="s">
        <v>36</v>
      </c>
      <c r="S1401" t="s">
        <v>36</v>
      </c>
      <c r="T1401" t="s">
        <v>36</v>
      </c>
      <c r="U1401" t="s">
        <v>36</v>
      </c>
      <c r="V1401" t="s">
        <v>36</v>
      </c>
      <c r="W1401" t="s">
        <v>36</v>
      </c>
      <c r="X1401" t="s">
        <v>36</v>
      </c>
      <c r="Y1401" t="s">
        <v>36</v>
      </c>
      <c r="Z1401" t="s">
        <v>36</v>
      </c>
      <c r="AA1401" t="s">
        <v>36</v>
      </c>
      <c r="AB1401" t="s">
        <v>36</v>
      </c>
      <c r="AC1401" t="s">
        <v>36</v>
      </c>
      <c r="AD1401" t="s">
        <v>36</v>
      </c>
      <c r="AE1401" t="s">
        <v>36</v>
      </c>
      <c r="AF1401" t="s">
        <v>36</v>
      </c>
      <c r="AG1401" t="s">
        <v>36</v>
      </c>
    </row>
    <row r="1402" spans="1:33" hidden="1" x14ac:dyDescent="0.2">
      <c r="A1402">
        <v>1401</v>
      </c>
      <c r="B1402" t="s">
        <v>444</v>
      </c>
      <c r="C1402" t="s">
        <v>33</v>
      </c>
      <c r="D1402">
        <v>32</v>
      </c>
      <c r="E1402" t="s">
        <v>114</v>
      </c>
      <c r="F1402" t="s">
        <v>35</v>
      </c>
      <c r="G1402" t="s">
        <v>36</v>
      </c>
      <c r="H1402">
        <v>27655</v>
      </c>
      <c r="I1402" t="s">
        <v>36</v>
      </c>
      <c r="J1402" t="s">
        <v>36</v>
      </c>
      <c r="K1402" t="s">
        <v>36</v>
      </c>
      <c r="L1402" t="s">
        <v>36</v>
      </c>
      <c r="M1402" t="s">
        <v>36</v>
      </c>
      <c r="N1402" t="s">
        <v>36</v>
      </c>
      <c r="O1402" t="s">
        <v>36</v>
      </c>
      <c r="P1402" t="s">
        <v>442</v>
      </c>
      <c r="Q1402" t="s">
        <v>36</v>
      </c>
      <c r="R1402" t="s">
        <v>36</v>
      </c>
      <c r="S1402" t="s">
        <v>36</v>
      </c>
      <c r="T1402" t="s">
        <v>36</v>
      </c>
      <c r="U1402" t="s">
        <v>36</v>
      </c>
      <c r="V1402" t="s">
        <v>36</v>
      </c>
      <c r="W1402" t="s">
        <v>36</v>
      </c>
      <c r="X1402" t="s">
        <v>36</v>
      </c>
      <c r="Y1402" t="s">
        <v>36</v>
      </c>
      <c r="Z1402" t="s">
        <v>36</v>
      </c>
      <c r="AA1402" t="s">
        <v>36</v>
      </c>
      <c r="AB1402" t="s">
        <v>36</v>
      </c>
      <c r="AC1402" t="s">
        <v>36</v>
      </c>
      <c r="AD1402" t="s">
        <v>36</v>
      </c>
      <c r="AE1402" t="s">
        <v>36</v>
      </c>
      <c r="AF1402" t="s">
        <v>36</v>
      </c>
      <c r="AG1402" t="s">
        <v>36</v>
      </c>
    </row>
    <row r="1403" spans="1:33" hidden="1" x14ac:dyDescent="0.2">
      <c r="A1403">
        <v>1402</v>
      </c>
      <c r="B1403" t="s">
        <v>444</v>
      </c>
      <c r="C1403" t="s">
        <v>33</v>
      </c>
      <c r="D1403">
        <v>32</v>
      </c>
      <c r="E1403" t="s">
        <v>114</v>
      </c>
      <c r="F1403" t="s">
        <v>38</v>
      </c>
      <c r="G1403" t="s">
        <v>39</v>
      </c>
      <c r="H1403">
        <v>23445</v>
      </c>
      <c r="I1403">
        <v>0</v>
      </c>
      <c r="J1403">
        <v>0</v>
      </c>
      <c r="K1403">
        <v>0</v>
      </c>
      <c r="L1403">
        <v>1</v>
      </c>
      <c r="M1403" t="s">
        <v>36</v>
      </c>
      <c r="N1403" t="s">
        <v>36</v>
      </c>
      <c r="O1403" t="s">
        <v>36</v>
      </c>
      <c r="P1403" t="s">
        <v>442</v>
      </c>
      <c r="Q1403" t="s">
        <v>36</v>
      </c>
      <c r="R1403" t="s">
        <v>36</v>
      </c>
      <c r="S1403" t="s">
        <v>36</v>
      </c>
      <c r="T1403" t="s">
        <v>36</v>
      </c>
      <c r="U1403" t="s">
        <v>36</v>
      </c>
      <c r="V1403" t="s">
        <v>36</v>
      </c>
      <c r="W1403" t="s">
        <v>36</v>
      </c>
      <c r="X1403" t="s">
        <v>36</v>
      </c>
      <c r="Y1403" t="s">
        <v>36</v>
      </c>
      <c r="Z1403" t="s">
        <v>36</v>
      </c>
      <c r="AA1403" t="s">
        <v>36</v>
      </c>
      <c r="AB1403" t="s">
        <v>36</v>
      </c>
      <c r="AC1403" t="s">
        <v>36</v>
      </c>
      <c r="AD1403" t="s">
        <v>36</v>
      </c>
      <c r="AE1403" t="s">
        <v>36</v>
      </c>
      <c r="AF1403" t="s">
        <v>36</v>
      </c>
      <c r="AG1403" t="s">
        <v>36</v>
      </c>
    </row>
    <row r="1404" spans="1:33" hidden="1" x14ac:dyDescent="0.2">
      <c r="A1404">
        <v>1403</v>
      </c>
      <c r="B1404" t="s">
        <v>444</v>
      </c>
      <c r="C1404" t="s">
        <v>33</v>
      </c>
      <c r="D1404">
        <v>32</v>
      </c>
      <c r="E1404" t="s">
        <v>114</v>
      </c>
      <c r="F1404" t="s">
        <v>38</v>
      </c>
      <c r="G1404" t="s">
        <v>40</v>
      </c>
      <c r="H1404">
        <v>17950</v>
      </c>
      <c r="I1404">
        <v>0</v>
      </c>
      <c r="J1404">
        <v>1</v>
      </c>
      <c r="K1404">
        <v>0</v>
      </c>
      <c r="L1404">
        <v>0</v>
      </c>
      <c r="M1404" t="s">
        <v>36</v>
      </c>
      <c r="N1404" t="s">
        <v>36</v>
      </c>
      <c r="O1404" t="s">
        <v>36</v>
      </c>
      <c r="P1404" t="s">
        <v>442</v>
      </c>
      <c r="Q1404" t="s">
        <v>36</v>
      </c>
      <c r="R1404" t="s">
        <v>36</v>
      </c>
      <c r="S1404" t="s">
        <v>36</v>
      </c>
      <c r="T1404" t="s">
        <v>36</v>
      </c>
      <c r="U1404" t="s">
        <v>36</v>
      </c>
      <c r="V1404" t="s">
        <v>36</v>
      </c>
      <c r="W1404" t="s">
        <v>36</v>
      </c>
      <c r="X1404" t="s">
        <v>36</v>
      </c>
      <c r="Y1404" t="s">
        <v>36</v>
      </c>
      <c r="Z1404" t="s">
        <v>36</v>
      </c>
      <c r="AA1404" t="s">
        <v>36</v>
      </c>
      <c r="AB1404" t="s">
        <v>36</v>
      </c>
      <c r="AC1404" t="s">
        <v>36</v>
      </c>
      <c r="AD1404" t="s">
        <v>36</v>
      </c>
      <c r="AE1404" t="s">
        <v>36</v>
      </c>
      <c r="AF1404" t="s">
        <v>36</v>
      </c>
      <c r="AG1404" t="s">
        <v>36</v>
      </c>
    </row>
    <row r="1405" spans="1:33" x14ac:dyDescent="0.2">
      <c r="A1405">
        <v>1404</v>
      </c>
      <c r="B1405" t="s">
        <v>444</v>
      </c>
      <c r="C1405" t="s">
        <v>33</v>
      </c>
      <c r="D1405">
        <v>32</v>
      </c>
      <c r="E1405" t="s">
        <v>114</v>
      </c>
      <c r="F1405" t="s">
        <v>41</v>
      </c>
      <c r="G1405" t="s">
        <v>72</v>
      </c>
      <c r="H1405">
        <v>32496</v>
      </c>
      <c r="I1405">
        <v>0</v>
      </c>
      <c r="J1405">
        <v>0</v>
      </c>
      <c r="K1405">
        <v>1</v>
      </c>
      <c r="L1405">
        <v>0</v>
      </c>
      <c r="M1405" t="s">
        <v>75</v>
      </c>
      <c r="N1405" t="s">
        <v>74</v>
      </c>
      <c r="O1405" t="s">
        <v>73</v>
      </c>
      <c r="P1405" t="s">
        <v>442</v>
      </c>
      <c r="Q1405" t="s">
        <v>46</v>
      </c>
      <c r="R1405" t="s">
        <v>47</v>
      </c>
      <c r="S1405" t="s">
        <v>48</v>
      </c>
      <c r="T1405">
        <v>0</v>
      </c>
      <c r="U1405">
        <v>0</v>
      </c>
      <c r="V1405">
        <v>1</v>
      </c>
      <c r="W1405">
        <v>1</v>
      </c>
      <c r="X1405">
        <v>1</v>
      </c>
      <c r="Y1405">
        <v>0</v>
      </c>
      <c r="Z1405">
        <v>1</v>
      </c>
      <c r="AA1405">
        <v>0</v>
      </c>
      <c r="AB1405">
        <v>0</v>
      </c>
      <c r="AC1405">
        <v>1</v>
      </c>
      <c r="AD1405">
        <v>0</v>
      </c>
      <c r="AE1405">
        <v>0</v>
      </c>
      <c r="AF1405">
        <v>0</v>
      </c>
      <c r="AG1405">
        <v>0</v>
      </c>
    </row>
    <row r="1406" spans="1:33" x14ac:dyDescent="0.2">
      <c r="A1406">
        <v>1405</v>
      </c>
      <c r="B1406" t="s">
        <v>444</v>
      </c>
      <c r="C1406" t="s">
        <v>33</v>
      </c>
      <c r="D1406">
        <v>32</v>
      </c>
      <c r="E1406" t="s">
        <v>114</v>
      </c>
      <c r="F1406" t="s">
        <v>41</v>
      </c>
      <c r="G1406" t="s">
        <v>55</v>
      </c>
      <c r="H1406">
        <v>8003</v>
      </c>
      <c r="I1406">
        <v>0</v>
      </c>
      <c r="J1406">
        <v>0</v>
      </c>
      <c r="K1406">
        <v>1</v>
      </c>
      <c r="L1406">
        <v>0</v>
      </c>
      <c r="M1406" t="s">
        <v>94</v>
      </c>
      <c r="N1406" t="s">
        <v>58</v>
      </c>
      <c r="O1406" t="s">
        <v>85</v>
      </c>
      <c r="P1406" t="s">
        <v>442</v>
      </c>
      <c r="Q1406" t="s">
        <v>47</v>
      </c>
      <c r="R1406" t="s">
        <v>60</v>
      </c>
      <c r="S1406" t="s">
        <v>65</v>
      </c>
      <c r="T1406">
        <v>1</v>
      </c>
      <c r="U1406">
        <v>1</v>
      </c>
      <c r="V1406">
        <v>0</v>
      </c>
      <c r="W1406">
        <v>1</v>
      </c>
      <c r="X1406">
        <v>0</v>
      </c>
      <c r="Y1406">
        <v>0</v>
      </c>
      <c r="Z1406">
        <v>1</v>
      </c>
      <c r="AA1406">
        <v>0</v>
      </c>
      <c r="AB1406">
        <v>1</v>
      </c>
      <c r="AC1406">
        <v>0</v>
      </c>
      <c r="AD1406">
        <v>0</v>
      </c>
      <c r="AE1406">
        <v>0</v>
      </c>
      <c r="AF1406">
        <v>0</v>
      </c>
      <c r="AG1406">
        <v>0</v>
      </c>
    </row>
    <row r="1407" spans="1:33" hidden="1" x14ac:dyDescent="0.2">
      <c r="A1407">
        <v>1406</v>
      </c>
      <c r="B1407" t="s">
        <v>444</v>
      </c>
      <c r="C1407" t="s">
        <v>33</v>
      </c>
      <c r="D1407">
        <v>32</v>
      </c>
      <c r="E1407" t="s">
        <v>114</v>
      </c>
      <c r="F1407" t="s">
        <v>53</v>
      </c>
      <c r="G1407" t="s">
        <v>71</v>
      </c>
      <c r="H1407">
        <v>3347</v>
      </c>
      <c r="I1407">
        <v>0</v>
      </c>
      <c r="J1407">
        <v>0</v>
      </c>
      <c r="K1407">
        <v>1</v>
      </c>
      <c r="L1407">
        <v>0</v>
      </c>
      <c r="M1407" t="s">
        <v>36</v>
      </c>
      <c r="N1407" t="s">
        <v>36</v>
      </c>
      <c r="O1407" t="s">
        <v>36</v>
      </c>
      <c r="P1407" t="s">
        <v>442</v>
      </c>
      <c r="Q1407" t="s">
        <v>36</v>
      </c>
      <c r="R1407" t="s">
        <v>36</v>
      </c>
      <c r="S1407" t="s">
        <v>36</v>
      </c>
      <c r="T1407" t="s">
        <v>36</v>
      </c>
      <c r="U1407">
        <v>1</v>
      </c>
      <c r="V1407">
        <v>0</v>
      </c>
      <c r="W1407">
        <v>1</v>
      </c>
      <c r="X1407">
        <v>0</v>
      </c>
      <c r="Y1407">
        <v>0</v>
      </c>
      <c r="Z1407">
        <v>1</v>
      </c>
      <c r="AA1407">
        <v>0</v>
      </c>
      <c r="AB1407">
        <v>1</v>
      </c>
      <c r="AC1407">
        <v>0</v>
      </c>
      <c r="AD1407">
        <v>0</v>
      </c>
      <c r="AE1407">
        <v>0</v>
      </c>
      <c r="AF1407">
        <v>0</v>
      </c>
      <c r="AG1407">
        <v>0</v>
      </c>
    </row>
    <row r="1408" spans="1:33" x14ac:dyDescent="0.2">
      <c r="A1408">
        <v>1407</v>
      </c>
      <c r="B1408" t="s">
        <v>444</v>
      </c>
      <c r="C1408" t="s">
        <v>33</v>
      </c>
      <c r="D1408">
        <v>32</v>
      </c>
      <c r="E1408" t="s">
        <v>114</v>
      </c>
      <c r="F1408" t="s">
        <v>41</v>
      </c>
      <c r="G1408" t="s">
        <v>61</v>
      </c>
      <c r="H1408">
        <v>4341</v>
      </c>
      <c r="I1408">
        <v>0</v>
      </c>
      <c r="J1408">
        <v>0</v>
      </c>
      <c r="K1408">
        <v>1</v>
      </c>
      <c r="L1408">
        <v>0</v>
      </c>
      <c r="M1408" t="s">
        <v>97</v>
      </c>
      <c r="N1408" t="s">
        <v>64</v>
      </c>
      <c r="O1408" t="s">
        <v>62</v>
      </c>
      <c r="P1408" t="s">
        <v>442</v>
      </c>
      <c r="Q1408" t="s">
        <v>59</v>
      </c>
      <c r="R1408" t="s">
        <v>48</v>
      </c>
      <c r="S1408" t="s">
        <v>65</v>
      </c>
      <c r="T1408">
        <v>0</v>
      </c>
      <c r="U1408">
        <v>1</v>
      </c>
      <c r="V1408">
        <v>1</v>
      </c>
      <c r="W1408">
        <v>0</v>
      </c>
      <c r="X1408">
        <v>0</v>
      </c>
      <c r="Y1408">
        <v>0</v>
      </c>
      <c r="Z1408">
        <v>1</v>
      </c>
      <c r="AA1408">
        <v>0</v>
      </c>
      <c r="AB1408">
        <v>1</v>
      </c>
      <c r="AC1408">
        <v>0</v>
      </c>
      <c r="AD1408">
        <v>0</v>
      </c>
      <c r="AE1408">
        <v>0</v>
      </c>
      <c r="AF1408">
        <v>0</v>
      </c>
      <c r="AG1408">
        <v>0</v>
      </c>
    </row>
    <row r="1409" spans="1:33" hidden="1" x14ac:dyDescent="0.2">
      <c r="A1409">
        <v>1408</v>
      </c>
      <c r="B1409" t="s">
        <v>444</v>
      </c>
      <c r="C1409" t="s">
        <v>33</v>
      </c>
      <c r="D1409">
        <v>32</v>
      </c>
      <c r="E1409" t="s">
        <v>114</v>
      </c>
      <c r="F1409" t="s">
        <v>53</v>
      </c>
      <c r="G1409" t="s">
        <v>76</v>
      </c>
      <c r="H1409">
        <v>7565</v>
      </c>
      <c r="I1409">
        <v>0</v>
      </c>
      <c r="J1409">
        <v>0</v>
      </c>
      <c r="K1409">
        <v>1</v>
      </c>
      <c r="L1409">
        <v>0</v>
      </c>
      <c r="M1409" t="s">
        <v>36</v>
      </c>
      <c r="N1409" t="s">
        <v>36</v>
      </c>
      <c r="O1409" t="s">
        <v>36</v>
      </c>
      <c r="P1409" t="s">
        <v>442</v>
      </c>
      <c r="Q1409" t="s">
        <v>36</v>
      </c>
      <c r="R1409" t="s">
        <v>36</v>
      </c>
      <c r="S1409" t="s">
        <v>36</v>
      </c>
      <c r="T1409" t="s">
        <v>36</v>
      </c>
      <c r="U1409">
        <v>1</v>
      </c>
      <c r="V1409">
        <v>1</v>
      </c>
      <c r="W1409">
        <v>0</v>
      </c>
      <c r="X1409">
        <v>0</v>
      </c>
      <c r="Y1409">
        <v>0</v>
      </c>
      <c r="Z1409">
        <v>1</v>
      </c>
      <c r="AA1409">
        <v>0</v>
      </c>
      <c r="AB1409">
        <v>1</v>
      </c>
      <c r="AC1409">
        <v>0</v>
      </c>
      <c r="AD1409">
        <v>0</v>
      </c>
      <c r="AE1409">
        <v>0</v>
      </c>
      <c r="AF1409">
        <v>0</v>
      </c>
      <c r="AG1409">
        <v>0</v>
      </c>
    </row>
    <row r="1410" spans="1:33" x14ac:dyDescent="0.2">
      <c r="A1410">
        <v>1409</v>
      </c>
      <c r="B1410" t="s">
        <v>444</v>
      </c>
      <c r="C1410" t="s">
        <v>33</v>
      </c>
      <c r="D1410">
        <v>32</v>
      </c>
      <c r="E1410" t="s">
        <v>114</v>
      </c>
      <c r="F1410" t="s">
        <v>41</v>
      </c>
      <c r="G1410" t="s">
        <v>49</v>
      </c>
      <c r="H1410">
        <v>5535</v>
      </c>
      <c r="I1410">
        <v>0</v>
      </c>
      <c r="J1410">
        <v>0</v>
      </c>
      <c r="K1410">
        <v>1</v>
      </c>
      <c r="L1410">
        <v>0</v>
      </c>
      <c r="M1410" t="s">
        <v>51</v>
      </c>
      <c r="N1410" t="s">
        <v>50</v>
      </c>
      <c r="O1410" t="s">
        <v>83</v>
      </c>
      <c r="P1410" t="s">
        <v>442</v>
      </c>
      <c r="Q1410" t="s">
        <v>47</v>
      </c>
      <c r="R1410" t="s">
        <v>48</v>
      </c>
      <c r="S1410" t="s">
        <v>59</v>
      </c>
      <c r="T1410">
        <v>0</v>
      </c>
      <c r="U1410">
        <v>0</v>
      </c>
      <c r="V1410">
        <v>1</v>
      </c>
      <c r="W1410">
        <v>1</v>
      </c>
      <c r="X1410">
        <v>0</v>
      </c>
      <c r="Y1410">
        <v>0</v>
      </c>
      <c r="Z1410">
        <v>1</v>
      </c>
      <c r="AA1410">
        <v>0</v>
      </c>
      <c r="AB1410">
        <v>0</v>
      </c>
      <c r="AC1410">
        <v>0</v>
      </c>
      <c r="AD1410">
        <v>0</v>
      </c>
      <c r="AE1410">
        <v>0</v>
      </c>
      <c r="AF1410">
        <v>0</v>
      </c>
      <c r="AG1410">
        <v>0</v>
      </c>
    </row>
    <row r="1411" spans="1:33" x14ac:dyDescent="0.2">
      <c r="A1411">
        <v>1410</v>
      </c>
      <c r="B1411" t="s">
        <v>444</v>
      </c>
      <c r="C1411" t="s">
        <v>33</v>
      </c>
      <c r="D1411">
        <v>32</v>
      </c>
      <c r="E1411" t="s">
        <v>114</v>
      </c>
      <c r="F1411" t="s">
        <v>41</v>
      </c>
      <c r="G1411" t="s">
        <v>67</v>
      </c>
      <c r="H1411">
        <v>3813</v>
      </c>
      <c r="I1411">
        <v>0</v>
      </c>
      <c r="J1411">
        <v>0</v>
      </c>
      <c r="K1411">
        <v>1</v>
      </c>
      <c r="L1411">
        <v>0</v>
      </c>
      <c r="M1411" t="s">
        <v>86</v>
      </c>
      <c r="N1411" t="s">
        <v>68</v>
      </c>
      <c r="O1411" t="s">
        <v>69</v>
      </c>
      <c r="P1411" t="s">
        <v>442</v>
      </c>
      <c r="Q1411" t="s">
        <v>46</v>
      </c>
      <c r="R1411" t="s">
        <v>65</v>
      </c>
      <c r="S1411" t="s">
        <v>48</v>
      </c>
      <c r="T1411">
        <v>0</v>
      </c>
      <c r="U1411">
        <v>1</v>
      </c>
      <c r="V1411">
        <v>1</v>
      </c>
      <c r="W1411">
        <v>0</v>
      </c>
      <c r="X1411">
        <v>1</v>
      </c>
      <c r="Y1411">
        <v>0</v>
      </c>
      <c r="Z1411">
        <v>1</v>
      </c>
      <c r="AA1411">
        <v>0</v>
      </c>
      <c r="AB1411">
        <v>0</v>
      </c>
      <c r="AC1411">
        <v>1</v>
      </c>
      <c r="AD1411">
        <v>0</v>
      </c>
      <c r="AE1411">
        <v>0</v>
      </c>
      <c r="AF1411">
        <v>0</v>
      </c>
      <c r="AG1411">
        <v>0</v>
      </c>
    </row>
    <row r="1412" spans="1:33" hidden="1" x14ac:dyDescent="0.2">
      <c r="A1412">
        <v>1411</v>
      </c>
      <c r="B1412" t="s">
        <v>444</v>
      </c>
      <c r="C1412" t="s">
        <v>33</v>
      </c>
      <c r="D1412">
        <v>32</v>
      </c>
      <c r="E1412" t="s">
        <v>114</v>
      </c>
      <c r="F1412" t="s">
        <v>53</v>
      </c>
      <c r="G1412" t="s">
        <v>66</v>
      </c>
      <c r="H1412">
        <v>13521</v>
      </c>
      <c r="I1412">
        <v>0</v>
      </c>
      <c r="J1412">
        <v>0</v>
      </c>
      <c r="K1412">
        <v>1</v>
      </c>
      <c r="L1412">
        <v>0</v>
      </c>
      <c r="M1412" t="s">
        <v>36</v>
      </c>
      <c r="N1412" t="s">
        <v>36</v>
      </c>
      <c r="O1412" t="s">
        <v>36</v>
      </c>
      <c r="P1412" t="s">
        <v>442</v>
      </c>
      <c r="Q1412" t="s">
        <v>36</v>
      </c>
      <c r="R1412" t="s">
        <v>36</v>
      </c>
      <c r="S1412" t="s">
        <v>36</v>
      </c>
      <c r="T1412" t="s">
        <v>36</v>
      </c>
      <c r="U1412">
        <v>1</v>
      </c>
      <c r="V1412">
        <v>1</v>
      </c>
      <c r="W1412">
        <v>0</v>
      </c>
      <c r="X1412">
        <v>1</v>
      </c>
      <c r="Y1412">
        <v>0</v>
      </c>
      <c r="Z1412">
        <v>1</v>
      </c>
      <c r="AA1412">
        <v>0</v>
      </c>
      <c r="AB1412">
        <v>0</v>
      </c>
      <c r="AC1412">
        <v>1</v>
      </c>
      <c r="AD1412">
        <v>0</v>
      </c>
      <c r="AE1412">
        <v>0</v>
      </c>
      <c r="AF1412">
        <v>0</v>
      </c>
      <c r="AG1412">
        <v>0</v>
      </c>
    </row>
    <row r="1413" spans="1:33" x14ac:dyDescent="0.2">
      <c r="A1413">
        <v>1412</v>
      </c>
      <c r="B1413" t="s">
        <v>444</v>
      </c>
      <c r="C1413" t="s">
        <v>33</v>
      </c>
      <c r="D1413">
        <v>32</v>
      </c>
      <c r="E1413" t="s">
        <v>114</v>
      </c>
      <c r="F1413" t="s">
        <v>41</v>
      </c>
      <c r="G1413" t="s">
        <v>42</v>
      </c>
      <c r="H1413">
        <v>5374</v>
      </c>
      <c r="I1413">
        <v>1</v>
      </c>
      <c r="J1413">
        <v>0</v>
      </c>
      <c r="K1413">
        <v>0</v>
      </c>
      <c r="L1413">
        <v>0</v>
      </c>
      <c r="M1413" t="s">
        <v>43</v>
      </c>
      <c r="N1413" t="s">
        <v>82</v>
      </c>
      <c r="O1413" t="s">
        <v>45</v>
      </c>
      <c r="P1413" t="s">
        <v>442</v>
      </c>
      <c r="Q1413" t="s">
        <v>46</v>
      </c>
      <c r="R1413" t="s">
        <v>65</v>
      </c>
      <c r="S1413" t="s">
        <v>48</v>
      </c>
      <c r="T1413">
        <v>0</v>
      </c>
      <c r="U1413">
        <v>1</v>
      </c>
      <c r="V1413">
        <v>1</v>
      </c>
      <c r="W1413">
        <v>0</v>
      </c>
      <c r="X1413">
        <v>1</v>
      </c>
      <c r="Y1413">
        <v>0</v>
      </c>
      <c r="Z1413">
        <v>1</v>
      </c>
      <c r="AA1413">
        <v>0</v>
      </c>
      <c r="AB1413">
        <v>0</v>
      </c>
      <c r="AC1413">
        <v>0</v>
      </c>
      <c r="AD1413">
        <v>0</v>
      </c>
      <c r="AE1413">
        <v>1</v>
      </c>
      <c r="AF1413">
        <v>0</v>
      </c>
      <c r="AG1413">
        <v>0</v>
      </c>
    </row>
    <row r="1414" spans="1:33" hidden="1" x14ac:dyDescent="0.2">
      <c r="A1414">
        <v>1413</v>
      </c>
      <c r="B1414" t="s">
        <v>444</v>
      </c>
      <c r="C1414" t="s">
        <v>33</v>
      </c>
      <c r="D1414">
        <v>32</v>
      </c>
      <c r="E1414" t="s">
        <v>114</v>
      </c>
      <c r="F1414" t="s">
        <v>53</v>
      </c>
      <c r="G1414" t="s">
        <v>54</v>
      </c>
      <c r="H1414">
        <v>3742</v>
      </c>
      <c r="I1414">
        <v>0</v>
      </c>
      <c r="J1414">
        <v>0</v>
      </c>
      <c r="K1414">
        <v>1</v>
      </c>
      <c r="L1414">
        <v>0</v>
      </c>
      <c r="M1414" t="s">
        <v>36</v>
      </c>
      <c r="N1414" t="s">
        <v>36</v>
      </c>
      <c r="O1414" t="s">
        <v>36</v>
      </c>
      <c r="P1414" t="s">
        <v>442</v>
      </c>
      <c r="Q1414" t="s">
        <v>36</v>
      </c>
      <c r="R1414" t="s">
        <v>36</v>
      </c>
      <c r="S1414" t="s">
        <v>36</v>
      </c>
      <c r="T1414" t="s">
        <v>36</v>
      </c>
      <c r="U1414">
        <v>1</v>
      </c>
      <c r="V1414">
        <v>1</v>
      </c>
      <c r="W1414">
        <v>0</v>
      </c>
      <c r="X1414">
        <v>1</v>
      </c>
      <c r="Y1414">
        <v>0</v>
      </c>
      <c r="Z1414">
        <v>1</v>
      </c>
      <c r="AA1414">
        <v>0</v>
      </c>
      <c r="AB1414">
        <v>0</v>
      </c>
      <c r="AC1414">
        <v>0</v>
      </c>
      <c r="AD1414">
        <v>0</v>
      </c>
      <c r="AE1414">
        <v>1</v>
      </c>
      <c r="AF1414">
        <v>0</v>
      </c>
      <c r="AG1414">
        <v>0</v>
      </c>
    </row>
    <row r="1415" spans="1:33" hidden="1" x14ac:dyDescent="0.2">
      <c r="A1415">
        <v>1414</v>
      </c>
      <c r="B1415" t="s">
        <v>444</v>
      </c>
      <c r="C1415" t="s">
        <v>33</v>
      </c>
      <c r="D1415">
        <v>32</v>
      </c>
      <c r="E1415" t="s">
        <v>114</v>
      </c>
      <c r="F1415" t="s">
        <v>77</v>
      </c>
      <c r="G1415" t="s">
        <v>36</v>
      </c>
      <c r="H1415">
        <v>3967</v>
      </c>
      <c r="L1415" t="s">
        <v>36</v>
      </c>
      <c r="M1415" t="s">
        <v>36</v>
      </c>
      <c r="N1415" t="s">
        <v>36</v>
      </c>
      <c r="O1415" t="s">
        <v>36</v>
      </c>
      <c r="P1415" t="s">
        <v>442</v>
      </c>
      <c r="Q1415" t="s">
        <v>36</v>
      </c>
      <c r="R1415" t="s">
        <v>36</v>
      </c>
      <c r="S1415" t="s">
        <v>36</v>
      </c>
      <c r="T1415" t="s">
        <v>36</v>
      </c>
      <c r="U1415" t="s">
        <v>36</v>
      </c>
      <c r="V1415" t="s">
        <v>36</v>
      </c>
      <c r="W1415" t="s">
        <v>36</v>
      </c>
      <c r="X1415" t="s">
        <v>36</v>
      </c>
      <c r="Y1415" t="s">
        <v>36</v>
      </c>
      <c r="Z1415" t="s">
        <v>36</v>
      </c>
      <c r="AA1415" t="s">
        <v>36</v>
      </c>
      <c r="AB1415" t="s">
        <v>36</v>
      </c>
      <c r="AC1415" t="s">
        <v>36</v>
      </c>
      <c r="AD1415" t="s">
        <v>36</v>
      </c>
      <c r="AE1415" t="s">
        <v>36</v>
      </c>
      <c r="AF1415" t="s">
        <v>36</v>
      </c>
      <c r="AG1415" t="s">
        <v>36</v>
      </c>
    </row>
    <row r="1416" spans="1:33" hidden="1" x14ac:dyDescent="0.2">
      <c r="A1416">
        <v>1415</v>
      </c>
      <c r="B1416" t="s">
        <v>445</v>
      </c>
      <c r="C1416" t="s">
        <v>33</v>
      </c>
      <c r="D1416">
        <v>21</v>
      </c>
      <c r="E1416" t="s">
        <v>34</v>
      </c>
      <c r="F1416" t="s">
        <v>35</v>
      </c>
      <c r="G1416" t="s">
        <v>36</v>
      </c>
      <c r="H1416">
        <v>35676</v>
      </c>
      <c r="I1416" t="s">
        <v>36</v>
      </c>
      <c r="J1416" t="s">
        <v>36</v>
      </c>
      <c r="K1416" t="s">
        <v>36</v>
      </c>
      <c r="L1416" t="s">
        <v>36</v>
      </c>
      <c r="M1416" t="s">
        <v>36</v>
      </c>
      <c r="N1416" t="s">
        <v>36</v>
      </c>
      <c r="O1416" t="s">
        <v>36</v>
      </c>
      <c r="P1416" t="s">
        <v>442</v>
      </c>
      <c r="Q1416" t="s">
        <v>36</v>
      </c>
      <c r="R1416" t="s">
        <v>36</v>
      </c>
      <c r="S1416" t="s">
        <v>36</v>
      </c>
      <c r="T1416" t="s">
        <v>36</v>
      </c>
      <c r="U1416" t="s">
        <v>36</v>
      </c>
      <c r="V1416" t="s">
        <v>36</v>
      </c>
      <c r="W1416" t="s">
        <v>36</v>
      </c>
      <c r="X1416" t="s">
        <v>36</v>
      </c>
      <c r="Y1416" t="s">
        <v>36</v>
      </c>
      <c r="Z1416" t="s">
        <v>36</v>
      </c>
      <c r="AA1416" t="s">
        <v>36</v>
      </c>
      <c r="AB1416" t="s">
        <v>36</v>
      </c>
      <c r="AC1416" t="s">
        <v>36</v>
      </c>
      <c r="AD1416" t="s">
        <v>36</v>
      </c>
      <c r="AE1416" t="s">
        <v>36</v>
      </c>
      <c r="AF1416" t="s">
        <v>36</v>
      </c>
      <c r="AG1416" t="s">
        <v>36</v>
      </c>
    </row>
    <row r="1417" spans="1:33" hidden="1" x14ac:dyDescent="0.2">
      <c r="A1417">
        <v>1416</v>
      </c>
      <c r="B1417" t="s">
        <v>445</v>
      </c>
      <c r="C1417" t="s">
        <v>33</v>
      </c>
      <c r="D1417">
        <v>21</v>
      </c>
      <c r="E1417" t="s">
        <v>34</v>
      </c>
      <c r="F1417" t="s">
        <v>38</v>
      </c>
      <c r="G1417" t="s">
        <v>39</v>
      </c>
      <c r="H1417">
        <v>28897</v>
      </c>
      <c r="I1417">
        <v>1</v>
      </c>
      <c r="J1417">
        <v>0</v>
      </c>
      <c r="K1417">
        <v>0</v>
      </c>
      <c r="L1417">
        <v>0</v>
      </c>
      <c r="M1417" t="s">
        <v>36</v>
      </c>
      <c r="N1417" t="s">
        <v>36</v>
      </c>
      <c r="O1417" t="s">
        <v>36</v>
      </c>
      <c r="P1417" t="s">
        <v>442</v>
      </c>
      <c r="Q1417" t="s">
        <v>36</v>
      </c>
      <c r="R1417" t="s">
        <v>36</v>
      </c>
      <c r="S1417" t="s">
        <v>36</v>
      </c>
      <c r="T1417" t="s">
        <v>36</v>
      </c>
      <c r="U1417" t="s">
        <v>36</v>
      </c>
      <c r="V1417" t="s">
        <v>36</v>
      </c>
      <c r="W1417" t="s">
        <v>36</v>
      </c>
      <c r="X1417" t="s">
        <v>36</v>
      </c>
      <c r="Y1417" t="s">
        <v>36</v>
      </c>
      <c r="Z1417" t="s">
        <v>36</v>
      </c>
      <c r="AA1417" t="s">
        <v>36</v>
      </c>
      <c r="AB1417" t="s">
        <v>36</v>
      </c>
      <c r="AC1417" t="s">
        <v>36</v>
      </c>
      <c r="AD1417" t="s">
        <v>36</v>
      </c>
      <c r="AE1417" t="s">
        <v>36</v>
      </c>
      <c r="AF1417" t="s">
        <v>36</v>
      </c>
      <c r="AG1417" t="s">
        <v>36</v>
      </c>
    </row>
    <row r="1418" spans="1:33" hidden="1" x14ac:dyDescent="0.2">
      <c r="A1418">
        <v>1417</v>
      </c>
      <c r="B1418" t="s">
        <v>445</v>
      </c>
      <c r="C1418" t="s">
        <v>33</v>
      </c>
      <c r="D1418">
        <v>21</v>
      </c>
      <c r="E1418" t="s">
        <v>34</v>
      </c>
      <c r="F1418" t="s">
        <v>38</v>
      </c>
      <c r="G1418" t="s">
        <v>40</v>
      </c>
      <c r="H1418">
        <v>5361</v>
      </c>
      <c r="I1418">
        <v>0</v>
      </c>
      <c r="J1418">
        <v>0</v>
      </c>
      <c r="K1418">
        <v>1</v>
      </c>
      <c r="L1418">
        <v>0</v>
      </c>
      <c r="M1418" t="s">
        <v>36</v>
      </c>
      <c r="N1418" t="s">
        <v>36</v>
      </c>
      <c r="O1418" t="s">
        <v>36</v>
      </c>
      <c r="P1418" t="s">
        <v>442</v>
      </c>
      <c r="Q1418" t="s">
        <v>36</v>
      </c>
      <c r="R1418" t="s">
        <v>36</v>
      </c>
      <c r="S1418" t="s">
        <v>36</v>
      </c>
      <c r="T1418" t="s">
        <v>36</v>
      </c>
      <c r="U1418" t="s">
        <v>36</v>
      </c>
      <c r="V1418" t="s">
        <v>36</v>
      </c>
      <c r="W1418" t="s">
        <v>36</v>
      </c>
      <c r="X1418" t="s">
        <v>36</v>
      </c>
      <c r="Y1418" t="s">
        <v>36</v>
      </c>
      <c r="Z1418" t="s">
        <v>36</v>
      </c>
      <c r="AA1418" t="s">
        <v>36</v>
      </c>
      <c r="AB1418" t="s">
        <v>36</v>
      </c>
      <c r="AC1418" t="s">
        <v>36</v>
      </c>
      <c r="AD1418" t="s">
        <v>36</v>
      </c>
      <c r="AE1418" t="s">
        <v>36</v>
      </c>
      <c r="AF1418" t="s">
        <v>36</v>
      </c>
      <c r="AG1418" t="s">
        <v>36</v>
      </c>
    </row>
    <row r="1419" spans="1:33" x14ac:dyDescent="0.2">
      <c r="A1419">
        <v>1418</v>
      </c>
      <c r="B1419" t="s">
        <v>445</v>
      </c>
      <c r="C1419" t="s">
        <v>33</v>
      </c>
      <c r="D1419">
        <v>21</v>
      </c>
      <c r="E1419" t="s">
        <v>34</v>
      </c>
      <c r="F1419" t="s">
        <v>41</v>
      </c>
      <c r="G1419" t="s">
        <v>42</v>
      </c>
      <c r="H1419">
        <v>6496</v>
      </c>
      <c r="I1419">
        <v>0</v>
      </c>
      <c r="J1419">
        <v>1</v>
      </c>
      <c r="K1419">
        <v>0</v>
      </c>
      <c r="L1419">
        <v>0</v>
      </c>
      <c r="M1419" t="s">
        <v>102</v>
      </c>
      <c r="N1419" t="s">
        <v>45</v>
      </c>
      <c r="O1419" t="s">
        <v>44</v>
      </c>
      <c r="P1419" t="s">
        <v>442</v>
      </c>
      <c r="Q1419" t="s">
        <v>59</v>
      </c>
      <c r="R1419" t="s">
        <v>48</v>
      </c>
      <c r="S1419" t="s">
        <v>47</v>
      </c>
      <c r="T1419">
        <v>0</v>
      </c>
      <c r="U1419">
        <v>0</v>
      </c>
      <c r="V1419">
        <v>1</v>
      </c>
      <c r="W1419">
        <v>1</v>
      </c>
      <c r="X1419">
        <v>0</v>
      </c>
      <c r="Y1419">
        <v>0</v>
      </c>
      <c r="Z1419">
        <v>1</v>
      </c>
      <c r="AA1419">
        <v>0</v>
      </c>
      <c r="AB1419">
        <v>0</v>
      </c>
      <c r="AC1419">
        <v>1</v>
      </c>
      <c r="AD1419">
        <v>0</v>
      </c>
      <c r="AE1419">
        <v>0</v>
      </c>
      <c r="AF1419">
        <v>0</v>
      </c>
      <c r="AG1419">
        <v>0</v>
      </c>
    </row>
    <row r="1420" spans="1:33" hidden="1" x14ac:dyDescent="0.2">
      <c r="A1420">
        <v>1419</v>
      </c>
      <c r="B1420" t="s">
        <v>445</v>
      </c>
      <c r="C1420" t="s">
        <v>33</v>
      </c>
      <c r="D1420">
        <v>21</v>
      </c>
      <c r="E1420" t="s">
        <v>34</v>
      </c>
      <c r="F1420" t="s">
        <v>53</v>
      </c>
      <c r="G1420" t="s">
        <v>71</v>
      </c>
      <c r="H1420">
        <v>4533</v>
      </c>
      <c r="I1420">
        <v>1</v>
      </c>
      <c r="J1420">
        <v>0</v>
      </c>
      <c r="K1420">
        <v>0</v>
      </c>
      <c r="L1420">
        <v>0</v>
      </c>
      <c r="M1420" t="s">
        <v>36</v>
      </c>
      <c r="N1420" t="s">
        <v>36</v>
      </c>
      <c r="O1420" t="s">
        <v>36</v>
      </c>
      <c r="P1420" t="s">
        <v>442</v>
      </c>
      <c r="Q1420" t="s">
        <v>36</v>
      </c>
      <c r="R1420" t="s">
        <v>36</v>
      </c>
      <c r="S1420" t="s">
        <v>36</v>
      </c>
      <c r="T1420" t="s">
        <v>36</v>
      </c>
      <c r="U1420">
        <v>0</v>
      </c>
      <c r="V1420">
        <v>1</v>
      </c>
      <c r="W1420">
        <v>1</v>
      </c>
      <c r="X1420">
        <v>0</v>
      </c>
      <c r="Y1420">
        <v>0</v>
      </c>
      <c r="Z1420">
        <v>1</v>
      </c>
      <c r="AA1420">
        <v>0</v>
      </c>
      <c r="AB1420">
        <v>0</v>
      </c>
      <c r="AC1420">
        <v>1</v>
      </c>
      <c r="AD1420">
        <v>0</v>
      </c>
      <c r="AE1420">
        <v>0</v>
      </c>
      <c r="AF1420">
        <v>0</v>
      </c>
      <c r="AG1420">
        <v>0</v>
      </c>
    </row>
    <row r="1421" spans="1:33" x14ac:dyDescent="0.2">
      <c r="A1421">
        <v>1420</v>
      </c>
      <c r="B1421" t="s">
        <v>445</v>
      </c>
      <c r="C1421" t="s">
        <v>33</v>
      </c>
      <c r="D1421">
        <v>21</v>
      </c>
      <c r="E1421" t="s">
        <v>34</v>
      </c>
      <c r="F1421" t="s">
        <v>41</v>
      </c>
      <c r="G1421" t="s">
        <v>49</v>
      </c>
      <c r="H1421">
        <v>3773</v>
      </c>
      <c r="I1421">
        <v>0</v>
      </c>
      <c r="J1421">
        <v>0</v>
      </c>
      <c r="K1421">
        <v>1</v>
      </c>
      <c r="L1421">
        <v>0</v>
      </c>
      <c r="M1421" t="s">
        <v>50</v>
      </c>
      <c r="N1421" t="s">
        <v>96</v>
      </c>
      <c r="O1421" t="s">
        <v>83</v>
      </c>
      <c r="P1421" t="s">
        <v>442</v>
      </c>
      <c r="Q1421" t="s">
        <v>48</v>
      </c>
      <c r="R1421" t="s">
        <v>65</v>
      </c>
      <c r="S1421" t="s">
        <v>59</v>
      </c>
      <c r="T1421">
        <v>0</v>
      </c>
      <c r="U1421">
        <v>1</v>
      </c>
      <c r="V1421">
        <v>1</v>
      </c>
      <c r="W1421">
        <v>0</v>
      </c>
      <c r="X1421">
        <v>0</v>
      </c>
      <c r="Y1421">
        <v>0</v>
      </c>
      <c r="Z1421">
        <v>1</v>
      </c>
      <c r="AA1421">
        <v>0</v>
      </c>
      <c r="AB1421">
        <v>0</v>
      </c>
      <c r="AC1421">
        <v>0</v>
      </c>
      <c r="AD1421">
        <v>0</v>
      </c>
      <c r="AE1421">
        <v>0</v>
      </c>
      <c r="AF1421">
        <v>0</v>
      </c>
      <c r="AG1421">
        <v>0</v>
      </c>
    </row>
    <row r="1422" spans="1:33" x14ac:dyDescent="0.2">
      <c r="A1422">
        <v>1421</v>
      </c>
      <c r="B1422" t="s">
        <v>445</v>
      </c>
      <c r="C1422" t="s">
        <v>33</v>
      </c>
      <c r="D1422">
        <v>21</v>
      </c>
      <c r="E1422" t="s">
        <v>34</v>
      </c>
      <c r="F1422" t="s">
        <v>41</v>
      </c>
      <c r="G1422" t="s">
        <v>55</v>
      </c>
      <c r="H1422">
        <v>3994</v>
      </c>
      <c r="I1422">
        <v>0</v>
      </c>
      <c r="J1422">
        <v>0</v>
      </c>
      <c r="K1422">
        <v>1</v>
      </c>
      <c r="L1422">
        <v>0</v>
      </c>
      <c r="M1422" t="s">
        <v>84</v>
      </c>
      <c r="N1422" t="s">
        <v>57</v>
      </c>
      <c r="O1422" t="s">
        <v>56</v>
      </c>
      <c r="P1422" t="s">
        <v>442</v>
      </c>
      <c r="Q1422" t="s">
        <v>46</v>
      </c>
      <c r="R1422" t="s">
        <v>48</v>
      </c>
      <c r="S1422" t="s">
        <v>59</v>
      </c>
      <c r="T1422">
        <v>0</v>
      </c>
      <c r="U1422">
        <v>0</v>
      </c>
      <c r="V1422">
        <v>1</v>
      </c>
      <c r="W1422">
        <v>0</v>
      </c>
      <c r="X1422">
        <v>1</v>
      </c>
      <c r="Y1422">
        <v>0</v>
      </c>
      <c r="Z1422">
        <v>1</v>
      </c>
      <c r="AA1422">
        <v>0</v>
      </c>
      <c r="AB1422">
        <v>0</v>
      </c>
      <c r="AC1422">
        <v>0</v>
      </c>
      <c r="AD1422">
        <v>0</v>
      </c>
      <c r="AE1422">
        <v>0</v>
      </c>
      <c r="AF1422">
        <v>0</v>
      </c>
      <c r="AG1422">
        <v>0</v>
      </c>
    </row>
    <row r="1423" spans="1:33" hidden="1" x14ac:dyDescent="0.2">
      <c r="A1423">
        <v>1422</v>
      </c>
      <c r="B1423" t="s">
        <v>445</v>
      </c>
      <c r="C1423" t="s">
        <v>33</v>
      </c>
      <c r="D1423">
        <v>21</v>
      </c>
      <c r="E1423" t="s">
        <v>34</v>
      </c>
      <c r="F1423" t="s">
        <v>53</v>
      </c>
      <c r="G1423" t="s">
        <v>54</v>
      </c>
      <c r="H1423">
        <v>2433</v>
      </c>
      <c r="I1423">
        <v>0</v>
      </c>
      <c r="J1423">
        <v>0</v>
      </c>
      <c r="K1423">
        <v>1</v>
      </c>
      <c r="L1423">
        <v>0</v>
      </c>
      <c r="M1423" t="s">
        <v>36</v>
      </c>
      <c r="N1423" t="s">
        <v>36</v>
      </c>
      <c r="O1423" t="s">
        <v>36</v>
      </c>
      <c r="P1423" t="s">
        <v>442</v>
      </c>
      <c r="Q1423" t="s">
        <v>36</v>
      </c>
      <c r="R1423" t="s">
        <v>36</v>
      </c>
      <c r="S1423" t="s">
        <v>36</v>
      </c>
      <c r="T1423" t="s">
        <v>36</v>
      </c>
      <c r="U1423">
        <v>0</v>
      </c>
      <c r="V1423">
        <v>1</v>
      </c>
      <c r="W1423">
        <v>0</v>
      </c>
      <c r="X1423">
        <v>1</v>
      </c>
      <c r="Y1423">
        <v>0</v>
      </c>
      <c r="Z1423">
        <v>1</v>
      </c>
      <c r="AA1423">
        <v>0</v>
      </c>
      <c r="AB1423">
        <v>0</v>
      </c>
      <c r="AC1423">
        <v>0</v>
      </c>
      <c r="AD1423">
        <v>0</v>
      </c>
      <c r="AE1423">
        <v>0</v>
      </c>
      <c r="AF1423">
        <v>0</v>
      </c>
      <c r="AG1423">
        <v>0</v>
      </c>
    </row>
    <row r="1424" spans="1:33" x14ac:dyDescent="0.2">
      <c r="A1424">
        <v>1423</v>
      </c>
      <c r="B1424" t="s">
        <v>445</v>
      </c>
      <c r="C1424" t="s">
        <v>33</v>
      </c>
      <c r="D1424">
        <v>21</v>
      </c>
      <c r="E1424" t="s">
        <v>34</v>
      </c>
      <c r="F1424" t="s">
        <v>41</v>
      </c>
      <c r="G1424" t="s">
        <v>67</v>
      </c>
      <c r="H1424">
        <v>2977</v>
      </c>
      <c r="I1424">
        <v>0</v>
      </c>
      <c r="J1424">
        <v>1</v>
      </c>
      <c r="K1424">
        <v>0</v>
      </c>
      <c r="L1424">
        <v>0</v>
      </c>
      <c r="M1424" t="s">
        <v>109</v>
      </c>
      <c r="N1424" t="s">
        <v>86</v>
      </c>
      <c r="O1424" t="s">
        <v>103</v>
      </c>
      <c r="P1424" t="s">
        <v>442</v>
      </c>
      <c r="Q1424" t="s">
        <v>59</v>
      </c>
      <c r="R1424" t="s">
        <v>46</v>
      </c>
      <c r="S1424" t="s">
        <v>60</v>
      </c>
      <c r="T1424">
        <v>1</v>
      </c>
      <c r="U1424">
        <v>0</v>
      </c>
      <c r="V1424">
        <v>0</v>
      </c>
      <c r="W1424">
        <v>0</v>
      </c>
      <c r="X1424">
        <v>1</v>
      </c>
      <c r="Y1424">
        <v>0</v>
      </c>
      <c r="Z1424">
        <v>1</v>
      </c>
      <c r="AA1424">
        <v>0</v>
      </c>
      <c r="AB1424">
        <v>0</v>
      </c>
      <c r="AC1424">
        <v>0</v>
      </c>
      <c r="AD1424">
        <v>0</v>
      </c>
      <c r="AE1424">
        <v>1</v>
      </c>
      <c r="AF1424">
        <v>0</v>
      </c>
      <c r="AG1424">
        <v>0</v>
      </c>
    </row>
    <row r="1425" spans="1:33" hidden="1" x14ac:dyDescent="0.2">
      <c r="A1425">
        <v>1424</v>
      </c>
      <c r="B1425" t="s">
        <v>445</v>
      </c>
      <c r="C1425" t="s">
        <v>33</v>
      </c>
      <c r="D1425">
        <v>21</v>
      </c>
      <c r="E1425" t="s">
        <v>34</v>
      </c>
      <c r="F1425" t="s">
        <v>53</v>
      </c>
      <c r="G1425" t="s">
        <v>66</v>
      </c>
      <c r="H1425">
        <v>3155</v>
      </c>
      <c r="I1425">
        <v>0</v>
      </c>
      <c r="J1425">
        <v>0</v>
      </c>
      <c r="K1425">
        <v>1</v>
      </c>
      <c r="L1425">
        <v>0</v>
      </c>
      <c r="M1425" t="s">
        <v>36</v>
      </c>
      <c r="N1425" t="s">
        <v>36</v>
      </c>
      <c r="O1425" t="s">
        <v>36</v>
      </c>
      <c r="P1425" t="s">
        <v>442</v>
      </c>
      <c r="Q1425" t="s">
        <v>36</v>
      </c>
      <c r="R1425" t="s">
        <v>36</v>
      </c>
      <c r="S1425" t="s">
        <v>36</v>
      </c>
      <c r="T1425" t="s">
        <v>36</v>
      </c>
      <c r="U1425">
        <v>0</v>
      </c>
      <c r="V1425">
        <v>0</v>
      </c>
      <c r="W1425">
        <v>0</v>
      </c>
      <c r="X1425">
        <v>1</v>
      </c>
      <c r="Y1425">
        <v>0</v>
      </c>
      <c r="Z1425">
        <v>1</v>
      </c>
      <c r="AA1425">
        <v>0</v>
      </c>
      <c r="AB1425">
        <v>0</v>
      </c>
      <c r="AC1425">
        <v>0</v>
      </c>
      <c r="AD1425">
        <v>0</v>
      </c>
      <c r="AE1425">
        <v>1</v>
      </c>
      <c r="AF1425">
        <v>0</v>
      </c>
      <c r="AG1425">
        <v>0</v>
      </c>
    </row>
    <row r="1426" spans="1:33" x14ac:dyDescent="0.2">
      <c r="A1426">
        <v>1425</v>
      </c>
      <c r="B1426" t="s">
        <v>445</v>
      </c>
      <c r="C1426" t="s">
        <v>33</v>
      </c>
      <c r="D1426">
        <v>21</v>
      </c>
      <c r="E1426" t="s">
        <v>34</v>
      </c>
      <c r="F1426" t="s">
        <v>41</v>
      </c>
      <c r="G1426" t="s">
        <v>61</v>
      </c>
      <c r="H1426">
        <v>4169</v>
      </c>
      <c r="I1426">
        <v>0</v>
      </c>
      <c r="J1426">
        <v>1</v>
      </c>
      <c r="K1426">
        <v>0</v>
      </c>
      <c r="L1426">
        <v>0</v>
      </c>
      <c r="M1426" t="s">
        <v>64</v>
      </c>
      <c r="N1426" t="s">
        <v>62</v>
      </c>
      <c r="O1426" t="s">
        <v>125</v>
      </c>
      <c r="P1426" t="s">
        <v>442</v>
      </c>
      <c r="Q1426" t="s">
        <v>48</v>
      </c>
      <c r="R1426" t="s">
        <v>65</v>
      </c>
      <c r="S1426" t="s">
        <v>60</v>
      </c>
      <c r="T1426">
        <v>1</v>
      </c>
      <c r="U1426">
        <v>1</v>
      </c>
      <c r="V1426">
        <v>1</v>
      </c>
      <c r="W1426">
        <v>0</v>
      </c>
      <c r="X1426">
        <v>0</v>
      </c>
      <c r="Y1426">
        <v>0</v>
      </c>
      <c r="Z1426">
        <v>1</v>
      </c>
      <c r="AA1426">
        <v>0</v>
      </c>
      <c r="AB1426">
        <v>1</v>
      </c>
      <c r="AC1426">
        <v>0</v>
      </c>
      <c r="AD1426">
        <v>0</v>
      </c>
      <c r="AE1426">
        <v>0</v>
      </c>
      <c r="AF1426">
        <v>0</v>
      </c>
      <c r="AG1426">
        <v>0</v>
      </c>
    </row>
    <row r="1427" spans="1:33" x14ac:dyDescent="0.2">
      <c r="A1427">
        <v>1426</v>
      </c>
      <c r="B1427" t="s">
        <v>445</v>
      </c>
      <c r="C1427" t="s">
        <v>33</v>
      </c>
      <c r="D1427">
        <v>21</v>
      </c>
      <c r="E1427" t="s">
        <v>34</v>
      </c>
      <c r="F1427" t="s">
        <v>41</v>
      </c>
      <c r="G1427" t="s">
        <v>72</v>
      </c>
      <c r="H1427">
        <v>2273</v>
      </c>
      <c r="I1427">
        <v>1</v>
      </c>
      <c r="J1427">
        <v>0</v>
      </c>
      <c r="K1427">
        <v>0</v>
      </c>
      <c r="L1427">
        <v>0</v>
      </c>
      <c r="M1427" t="s">
        <v>74</v>
      </c>
      <c r="N1427" t="s">
        <v>73</v>
      </c>
      <c r="O1427" t="s">
        <v>104</v>
      </c>
      <c r="P1427" t="s">
        <v>442</v>
      </c>
      <c r="Q1427" t="s">
        <v>47</v>
      </c>
      <c r="R1427" t="s">
        <v>48</v>
      </c>
      <c r="S1427" t="s">
        <v>60</v>
      </c>
      <c r="T1427">
        <v>1</v>
      </c>
      <c r="U1427">
        <v>0</v>
      </c>
      <c r="V1427">
        <v>1</v>
      </c>
      <c r="W1427">
        <v>1</v>
      </c>
      <c r="X1427">
        <v>0</v>
      </c>
      <c r="Y1427">
        <v>0</v>
      </c>
      <c r="Z1427">
        <v>1</v>
      </c>
      <c r="AA1427">
        <v>0</v>
      </c>
      <c r="AB1427">
        <v>0</v>
      </c>
      <c r="AC1427">
        <v>0</v>
      </c>
      <c r="AD1427">
        <v>1</v>
      </c>
      <c r="AE1427">
        <v>0</v>
      </c>
      <c r="AF1427">
        <v>0</v>
      </c>
      <c r="AG1427">
        <v>0</v>
      </c>
    </row>
    <row r="1428" spans="1:33" hidden="1" x14ac:dyDescent="0.2">
      <c r="A1428">
        <v>1427</v>
      </c>
      <c r="B1428" t="s">
        <v>445</v>
      </c>
      <c r="C1428" t="s">
        <v>33</v>
      </c>
      <c r="D1428">
        <v>21</v>
      </c>
      <c r="E1428" t="s">
        <v>34</v>
      </c>
      <c r="F1428" t="s">
        <v>53</v>
      </c>
      <c r="G1428" t="s">
        <v>76</v>
      </c>
      <c r="H1428">
        <v>1882</v>
      </c>
      <c r="I1428">
        <v>0</v>
      </c>
      <c r="J1428">
        <v>1</v>
      </c>
      <c r="K1428">
        <v>0</v>
      </c>
      <c r="L1428">
        <v>0</v>
      </c>
      <c r="M1428" t="s">
        <v>36</v>
      </c>
      <c r="N1428" t="s">
        <v>36</v>
      </c>
      <c r="O1428" t="s">
        <v>36</v>
      </c>
      <c r="P1428" t="s">
        <v>442</v>
      </c>
      <c r="Q1428" t="s">
        <v>36</v>
      </c>
      <c r="R1428" t="s">
        <v>36</v>
      </c>
      <c r="S1428" t="s">
        <v>36</v>
      </c>
      <c r="T1428" t="s">
        <v>36</v>
      </c>
      <c r="U1428">
        <v>0</v>
      </c>
      <c r="V1428">
        <v>1</v>
      </c>
      <c r="W1428">
        <v>1</v>
      </c>
      <c r="X1428">
        <v>0</v>
      </c>
      <c r="Y1428">
        <v>0</v>
      </c>
      <c r="Z1428">
        <v>1</v>
      </c>
      <c r="AA1428">
        <v>0</v>
      </c>
      <c r="AB1428">
        <v>0</v>
      </c>
      <c r="AC1428">
        <v>0</v>
      </c>
      <c r="AD1428">
        <v>1</v>
      </c>
      <c r="AE1428">
        <v>0</v>
      </c>
      <c r="AF1428">
        <v>0</v>
      </c>
      <c r="AG1428">
        <v>0</v>
      </c>
    </row>
    <row r="1429" spans="1:33" hidden="1" x14ac:dyDescent="0.2">
      <c r="A1429">
        <v>1428</v>
      </c>
      <c r="B1429" t="s">
        <v>445</v>
      </c>
      <c r="C1429" t="s">
        <v>33</v>
      </c>
      <c r="D1429">
        <v>21</v>
      </c>
      <c r="E1429" t="s">
        <v>34</v>
      </c>
      <c r="F1429" t="s">
        <v>77</v>
      </c>
      <c r="G1429" t="s">
        <v>36</v>
      </c>
      <c r="H1429">
        <v>114571</v>
      </c>
      <c r="I1429" t="s">
        <v>443</v>
      </c>
      <c r="J1429" t="s">
        <v>446</v>
      </c>
      <c r="K1429" t="s">
        <v>447</v>
      </c>
      <c r="L1429" t="s">
        <v>36</v>
      </c>
      <c r="M1429" t="s">
        <v>36</v>
      </c>
      <c r="N1429" t="s">
        <v>36</v>
      </c>
      <c r="O1429" t="s">
        <v>36</v>
      </c>
      <c r="P1429" t="s">
        <v>442</v>
      </c>
      <c r="Q1429" t="s">
        <v>36</v>
      </c>
      <c r="R1429" t="s">
        <v>36</v>
      </c>
      <c r="S1429" t="s">
        <v>36</v>
      </c>
      <c r="T1429" t="s">
        <v>36</v>
      </c>
      <c r="U1429" t="s">
        <v>36</v>
      </c>
      <c r="V1429" t="s">
        <v>36</v>
      </c>
      <c r="W1429" t="s">
        <v>36</v>
      </c>
      <c r="X1429" t="s">
        <v>36</v>
      </c>
      <c r="Y1429" t="s">
        <v>36</v>
      </c>
      <c r="Z1429" t="s">
        <v>36</v>
      </c>
      <c r="AA1429" t="s">
        <v>36</v>
      </c>
      <c r="AB1429" t="s">
        <v>36</v>
      </c>
      <c r="AC1429" t="s">
        <v>36</v>
      </c>
      <c r="AD1429" t="s">
        <v>36</v>
      </c>
      <c r="AE1429" t="s">
        <v>36</v>
      </c>
      <c r="AF1429" t="s">
        <v>36</v>
      </c>
      <c r="AG1429" t="s">
        <v>36</v>
      </c>
    </row>
    <row r="1430" spans="1:33" hidden="1" x14ac:dyDescent="0.2">
      <c r="A1430">
        <v>1429</v>
      </c>
      <c r="B1430" t="s">
        <v>448</v>
      </c>
      <c r="C1430" t="s">
        <v>33</v>
      </c>
      <c r="D1430">
        <v>22</v>
      </c>
      <c r="E1430" t="s">
        <v>34</v>
      </c>
      <c r="F1430" t="s">
        <v>35</v>
      </c>
      <c r="G1430" t="s">
        <v>36</v>
      </c>
      <c r="H1430">
        <v>28126</v>
      </c>
      <c r="I1430" t="s">
        <v>36</v>
      </c>
      <c r="J1430" t="s">
        <v>36</v>
      </c>
      <c r="K1430" t="s">
        <v>36</v>
      </c>
      <c r="L1430" t="s">
        <v>36</v>
      </c>
      <c r="M1430" t="s">
        <v>36</v>
      </c>
      <c r="N1430" t="s">
        <v>36</v>
      </c>
      <c r="O1430" t="s">
        <v>36</v>
      </c>
      <c r="P1430" t="s">
        <v>442</v>
      </c>
      <c r="Q1430" t="s">
        <v>36</v>
      </c>
      <c r="R1430" t="s">
        <v>36</v>
      </c>
      <c r="S1430" t="s">
        <v>36</v>
      </c>
      <c r="T1430" t="s">
        <v>36</v>
      </c>
      <c r="U1430" t="s">
        <v>36</v>
      </c>
      <c r="V1430" t="s">
        <v>36</v>
      </c>
      <c r="W1430" t="s">
        <v>36</v>
      </c>
      <c r="X1430" t="s">
        <v>36</v>
      </c>
      <c r="Y1430" t="s">
        <v>36</v>
      </c>
      <c r="Z1430" t="s">
        <v>36</v>
      </c>
      <c r="AA1430" t="s">
        <v>36</v>
      </c>
      <c r="AB1430" t="s">
        <v>36</v>
      </c>
      <c r="AC1430" t="s">
        <v>36</v>
      </c>
      <c r="AD1430" t="s">
        <v>36</v>
      </c>
      <c r="AE1430" t="s">
        <v>36</v>
      </c>
      <c r="AF1430" t="s">
        <v>36</v>
      </c>
      <c r="AG1430" t="s">
        <v>36</v>
      </c>
    </row>
    <row r="1431" spans="1:33" hidden="1" x14ac:dyDescent="0.2">
      <c r="A1431">
        <v>1430</v>
      </c>
      <c r="B1431" t="s">
        <v>448</v>
      </c>
      <c r="C1431" t="s">
        <v>33</v>
      </c>
      <c r="D1431">
        <v>22</v>
      </c>
      <c r="E1431" t="s">
        <v>34</v>
      </c>
      <c r="F1431" t="s">
        <v>38</v>
      </c>
      <c r="G1431" t="s">
        <v>39</v>
      </c>
      <c r="H1431">
        <v>10890</v>
      </c>
      <c r="I1431">
        <v>0</v>
      </c>
      <c r="J1431">
        <v>0</v>
      </c>
      <c r="K1431">
        <v>1</v>
      </c>
      <c r="L1431">
        <v>0</v>
      </c>
      <c r="M1431" t="s">
        <v>36</v>
      </c>
      <c r="N1431" t="s">
        <v>36</v>
      </c>
      <c r="O1431" t="s">
        <v>36</v>
      </c>
      <c r="P1431" t="s">
        <v>442</v>
      </c>
      <c r="Q1431" t="s">
        <v>36</v>
      </c>
      <c r="R1431" t="s">
        <v>36</v>
      </c>
      <c r="S1431" t="s">
        <v>36</v>
      </c>
      <c r="T1431" t="s">
        <v>36</v>
      </c>
      <c r="U1431" t="s">
        <v>36</v>
      </c>
      <c r="V1431" t="s">
        <v>36</v>
      </c>
      <c r="W1431" t="s">
        <v>36</v>
      </c>
      <c r="X1431" t="s">
        <v>36</v>
      </c>
      <c r="Y1431" t="s">
        <v>36</v>
      </c>
      <c r="Z1431" t="s">
        <v>36</v>
      </c>
      <c r="AA1431" t="s">
        <v>36</v>
      </c>
      <c r="AB1431" t="s">
        <v>36</v>
      </c>
      <c r="AC1431" t="s">
        <v>36</v>
      </c>
      <c r="AD1431" t="s">
        <v>36</v>
      </c>
      <c r="AE1431" t="s">
        <v>36</v>
      </c>
      <c r="AF1431" t="s">
        <v>36</v>
      </c>
      <c r="AG1431" t="s">
        <v>36</v>
      </c>
    </row>
    <row r="1432" spans="1:33" hidden="1" x14ac:dyDescent="0.2">
      <c r="A1432">
        <v>1431</v>
      </c>
      <c r="B1432" t="s">
        <v>448</v>
      </c>
      <c r="C1432" t="s">
        <v>33</v>
      </c>
      <c r="D1432">
        <v>22</v>
      </c>
      <c r="E1432" t="s">
        <v>34</v>
      </c>
      <c r="F1432" t="s">
        <v>38</v>
      </c>
      <c r="G1432" t="s">
        <v>40</v>
      </c>
      <c r="H1432">
        <v>10071</v>
      </c>
      <c r="I1432">
        <v>1</v>
      </c>
      <c r="J1432">
        <v>0</v>
      </c>
      <c r="K1432">
        <v>0</v>
      </c>
      <c r="L1432">
        <v>0</v>
      </c>
      <c r="M1432" t="s">
        <v>36</v>
      </c>
      <c r="N1432" t="s">
        <v>36</v>
      </c>
      <c r="O1432" t="s">
        <v>36</v>
      </c>
      <c r="P1432" t="s">
        <v>442</v>
      </c>
      <c r="Q1432" t="s">
        <v>36</v>
      </c>
      <c r="R1432" t="s">
        <v>36</v>
      </c>
      <c r="S1432" t="s">
        <v>36</v>
      </c>
      <c r="T1432" t="s">
        <v>36</v>
      </c>
      <c r="U1432" t="s">
        <v>36</v>
      </c>
      <c r="V1432" t="s">
        <v>36</v>
      </c>
      <c r="W1432" t="s">
        <v>36</v>
      </c>
      <c r="X1432" t="s">
        <v>36</v>
      </c>
      <c r="Y1432" t="s">
        <v>36</v>
      </c>
      <c r="Z1432" t="s">
        <v>36</v>
      </c>
      <c r="AA1432" t="s">
        <v>36</v>
      </c>
      <c r="AB1432" t="s">
        <v>36</v>
      </c>
      <c r="AC1432" t="s">
        <v>36</v>
      </c>
      <c r="AD1432" t="s">
        <v>36</v>
      </c>
      <c r="AE1432" t="s">
        <v>36</v>
      </c>
      <c r="AF1432" t="s">
        <v>36</v>
      </c>
      <c r="AG1432" t="s">
        <v>36</v>
      </c>
    </row>
    <row r="1433" spans="1:33" x14ac:dyDescent="0.2">
      <c r="A1433">
        <v>1432</v>
      </c>
      <c r="B1433" t="s">
        <v>448</v>
      </c>
      <c r="C1433" t="s">
        <v>33</v>
      </c>
      <c r="D1433">
        <v>22</v>
      </c>
      <c r="E1433" t="s">
        <v>34</v>
      </c>
      <c r="F1433" t="s">
        <v>41</v>
      </c>
      <c r="G1433" t="s">
        <v>72</v>
      </c>
      <c r="H1433">
        <v>5944</v>
      </c>
      <c r="I1433">
        <v>0</v>
      </c>
      <c r="J1433">
        <v>1</v>
      </c>
      <c r="K1433">
        <v>0</v>
      </c>
      <c r="L1433">
        <v>0</v>
      </c>
      <c r="M1433" t="s">
        <v>74</v>
      </c>
      <c r="N1433" t="s">
        <v>73</v>
      </c>
      <c r="O1433" t="s">
        <v>115</v>
      </c>
      <c r="P1433" t="s">
        <v>442</v>
      </c>
      <c r="Q1433" t="s">
        <v>47</v>
      </c>
      <c r="R1433" t="s">
        <v>48</v>
      </c>
      <c r="S1433" t="s">
        <v>65</v>
      </c>
      <c r="T1433">
        <v>0</v>
      </c>
      <c r="U1433">
        <v>1</v>
      </c>
      <c r="V1433">
        <v>1</v>
      </c>
      <c r="W1433">
        <v>1</v>
      </c>
      <c r="X1433">
        <v>0</v>
      </c>
      <c r="Y1433">
        <v>0</v>
      </c>
      <c r="Z1433">
        <v>1</v>
      </c>
      <c r="AA1433">
        <v>0</v>
      </c>
      <c r="AB1433">
        <v>0</v>
      </c>
      <c r="AC1433">
        <v>1</v>
      </c>
      <c r="AD1433">
        <v>0</v>
      </c>
      <c r="AE1433">
        <v>0</v>
      </c>
      <c r="AF1433">
        <v>0</v>
      </c>
      <c r="AG1433">
        <v>0</v>
      </c>
    </row>
    <row r="1434" spans="1:33" x14ac:dyDescent="0.2">
      <c r="A1434">
        <v>1433</v>
      </c>
      <c r="B1434" t="s">
        <v>448</v>
      </c>
      <c r="C1434" t="s">
        <v>33</v>
      </c>
      <c r="D1434">
        <v>22</v>
      </c>
      <c r="E1434" t="s">
        <v>34</v>
      </c>
      <c r="F1434" t="s">
        <v>41</v>
      </c>
      <c r="G1434" t="s">
        <v>55</v>
      </c>
      <c r="H1434">
        <v>7010</v>
      </c>
      <c r="I1434">
        <v>0</v>
      </c>
      <c r="J1434">
        <v>0</v>
      </c>
      <c r="K1434">
        <v>1</v>
      </c>
      <c r="L1434">
        <v>0</v>
      </c>
      <c r="M1434" t="s">
        <v>57</v>
      </c>
      <c r="N1434" t="s">
        <v>94</v>
      </c>
      <c r="O1434" t="s">
        <v>84</v>
      </c>
      <c r="P1434" t="s">
        <v>442</v>
      </c>
      <c r="Q1434" t="s">
        <v>48</v>
      </c>
      <c r="R1434" t="s">
        <v>47</v>
      </c>
      <c r="S1434" t="s">
        <v>46</v>
      </c>
      <c r="T1434">
        <v>0</v>
      </c>
      <c r="U1434">
        <v>0</v>
      </c>
      <c r="V1434">
        <v>1</v>
      </c>
      <c r="W1434">
        <v>1</v>
      </c>
      <c r="X1434">
        <v>1</v>
      </c>
      <c r="Y1434">
        <v>0</v>
      </c>
      <c r="Z1434">
        <v>1</v>
      </c>
      <c r="AA1434">
        <v>0</v>
      </c>
      <c r="AB1434">
        <v>0</v>
      </c>
      <c r="AC1434">
        <v>0</v>
      </c>
      <c r="AD1434">
        <v>0</v>
      </c>
      <c r="AE1434">
        <v>1</v>
      </c>
      <c r="AF1434">
        <v>0</v>
      </c>
      <c r="AG1434">
        <v>0</v>
      </c>
    </row>
    <row r="1435" spans="1:33" hidden="1" x14ac:dyDescent="0.2">
      <c r="A1435">
        <v>1434</v>
      </c>
      <c r="B1435" t="s">
        <v>448</v>
      </c>
      <c r="C1435" t="s">
        <v>33</v>
      </c>
      <c r="D1435">
        <v>22</v>
      </c>
      <c r="E1435" t="s">
        <v>34</v>
      </c>
      <c r="F1435" t="s">
        <v>53</v>
      </c>
      <c r="G1435" t="s">
        <v>76</v>
      </c>
      <c r="H1435">
        <v>5275</v>
      </c>
      <c r="I1435">
        <v>0</v>
      </c>
      <c r="J1435">
        <v>1</v>
      </c>
      <c r="K1435">
        <v>0</v>
      </c>
      <c r="L1435">
        <v>0</v>
      </c>
      <c r="M1435" t="s">
        <v>36</v>
      </c>
      <c r="N1435" t="s">
        <v>36</v>
      </c>
      <c r="O1435" t="s">
        <v>36</v>
      </c>
      <c r="P1435" t="s">
        <v>442</v>
      </c>
      <c r="Q1435" t="s">
        <v>36</v>
      </c>
      <c r="R1435" t="s">
        <v>36</v>
      </c>
      <c r="S1435" t="s">
        <v>36</v>
      </c>
      <c r="T1435" t="s">
        <v>36</v>
      </c>
      <c r="U1435">
        <v>0</v>
      </c>
      <c r="V1435">
        <v>1</v>
      </c>
      <c r="W1435">
        <v>1</v>
      </c>
      <c r="X1435">
        <v>1</v>
      </c>
      <c r="Y1435">
        <v>0</v>
      </c>
      <c r="Z1435">
        <v>1</v>
      </c>
      <c r="AA1435">
        <v>0</v>
      </c>
      <c r="AB1435">
        <v>0</v>
      </c>
      <c r="AC1435">
        <v>0</v>
      </c>
      <c r="AD1435">
        <v>0</v>
      </c>
      <c r="AE1435">
        <v>1</v>
      </c>
      <c r="AF1435">
        <v>0</v>
      </c>
      <c r="AG1435">
        <v>0</v>
      </c>
    </row>
    <row r="1436" spans="1:33" x14ac:dyDescent="0.2">
      <c r="A1436">
        <v>1435</v>
      </c>
      <c r="B1436" t="s">
        <v>448</v>
      </c>
      <c r="C1436" t="s">
        <v>33</v>
      </c>
      <c r="D1436">
        <v>22</v>
      </c>
      <c r="E1436" t="s">
        <v>34</v>
      </c>
      <c r="F1436" t="s">
        <v>41</v>
      </c>
      <c r="G1436" t="s">
        <v>67</v>
      </c>
      <c r="H1436">
        <v>6752</v>
      </c>
      <c r="I1436">
        <v>0</v>
      </c>
      <c r="J1436">
        <v>0</v>
      </c>
      <c r="K1436">
        <v>1</v>
      </c>
      <c r="L1436">
        <v>0</v>
      </c>
      <c r="M1436" t="s">
        <v>86</v>
      </c>
      <c r="N1436" t="s">
        <v>103</v>
      </c>
      <c r="O1436" t="s">
        <v>69</v>
      </c>
      <c r="P1436" t="s">
        <v>442</v>
      </c>
      <c r="Q1436" t="s">
        <v>46</v>
      </c>
      <c r="R1436" t="s">
        <v>60</v>
      </c>
      <c r="S1436" t="s">
        <v>48</v>
      </c>
      <c r="T1436">
        <v>1</v>
      </c>
      <c r="U1436">
        <v>0</v>
      </c>
      <c r="V1436">
        <v>1</v>
      </c>
      <c r="W1436">
        <v>0</v>
      </c>
      <c r="X1436">
        <v>1</v>
      </c>
      <c r="Y1436">
        <v>0</v>
      </c>
      <c r="Z1436">
        <v>1</v>
      </c>
      <c r="AA1436">
        <v>0</v>
      </c>
      <c r="AB1436">
        <v>0</v>
      </c>
      <c r="AC1436">
        <v>1</v>
      </c>
      <c r="AD1436">
        <v>0</v>
      </c>
      <c r="AE1436">
        <v>0</v>
      </c>
      <c r="AF1436">
        <v>0</v>
      </c>
      <c r="AG1436">
        <v>0</v>
      </c>
    </row>
    <row r="1437" spans="1:33" hidden="1" x14ac:dyDescent="0.2">
      <c r="A1437">
        <v>1436</v>
      </c>
      <c r="B1437" t="s">
        <v>448</v>
      </c>
      <c r="C1437" t="s">
        <v>33</v>
      </c>
      <c r="D1437">
        <v>22</v>
      </c>
      <c r="E1437" t="s">
        <v>34</v>
      </c>
      <c r="F1437" t="s">
        <v>53</v>
      </c>
      <c r="G1437" t="s">
        <v>54</v>
      </c>
      <c r="H1437">
        <v>3195</v>
      </c>
      <c r="I1437">
        <v>0</v>
      </c>
      <c r="J1437">
        <v>1</v>
      </c>
      <c r="K1437">
        <v>0</v>
      </c>
      <c r="L1437">
        <v>0</v>
      </c>
      <c r="M1437" t="s">
        <v>36</v>
      </c>
      <c r="N1437" t="s">
        <v>36</v>
      </c>
      <c r="O1437" t="s">
        <v>36</v>
      </c>
      <c r="P1437" t="s">
        <v>442</v>
      </c>
      <c r="Q1437" t="s">
        <v>36</v>
      </c>
      <c r="R1437" t="s">
        <v>36</v>
      </c>
      <c r="S1437" t="s">
        <v>36</v>
      </c>
      <c r="T1437" t="s">
        <v>36</v>
      </c>
      <c r="U1437">
        <v>0</v>
      </c>
      <c r="V1437">
        <v>1</v>
      </c>
      <c r="W1437">
        <v>0</v>
      </c>
      <c r="X1437">
        <v>1</v>
      </c>
      <c r="Y1437">
        <v>0</v>
      </c>
      <c r="Z1437">
        <v>1</v>
      </c>
      <c r="AA1437">
        <v>0</v>
      </c>
      <c r="AB1437">
        <v>0</v>
      </c>
      <c r="AC1437">
        <v>1</v>
      </c>
      <c r="AD1437">
        <v>0</v>
      </c>
      <c r="AE1437">
        <v>0</v>
      </c>
      <c r="AF1437">
        <v>0</v>
      </c>
      <c r="AG1437">
        <v>0</v>
      </c>
    </row>
    <row r="1438" spans="1:33" x14ac:dyDescent="0.2">
      <c r="A1438">
        <v>1437</v>
      </c>
      <c r="B1438" t="s">
        <v>448</v>
      </c>
      <c r="C1438" t="s">
        <v>33</v>
      </c>
      <c r="D1438">
        <v>22</v>
      </c>
      <c r="E1438" t="s">
        <v>34</v>
      </c>
      <c r="F1438" t="s">
        <v>41</v>
      </c>
      <c r="G1438" t="s">
        <v>61</v>
      </c>
      <c r="H1438">
        <v>4028</v>
      </c>
      <c r="I1438">
        <v>0</v>
      </c>
      <c r="J1438">
        <v>1</v>
      </c>
      <c r="K1438">
        <v>0</v>
      </c>
      <c r="L1438">
        <v>0</v>
      </c>
      <c r="M1438" t="s">
        <v>87</v>
      </c>
      <c r="N1438" t="s">
        <v>64</v>
      </c>
      <c r="O1438" t="s">
        <v>63</v>
      </c>
      <c r="P1438" t="s">
        <v>442</v>
      </c>
      <c r="Q1438" t="s">
        <v>47</v>
      </c>
      <c r="R1438" t="s">
        <v>48</v>
      </c>
      <c r="S1438" t="s">
        <v>46</v>
      </c>
      <c r="T1438">
        <v>0</v>
      </c>
      <c r="U1438">
        <v>0</v>
      </c>
      <c r="V1438">
        <v>1</v>
      </c>
      <c r="W1438">
        <v>1</v>
      </c>
      <c r="X1438">
        <v>1</v>
      </c>
      <c r="Y1438">
        <v>0</v>
      </c>
      <c r="Z1438">
        <v>1</v>
      </c>
      <c r="AA1438">
        <v>0</v>
      </c>
      <c r="AB1438">
        <v>0</v>
      </c>
      <c r="AC1438">
        <v>1</v>
      </c>
      <c r="AD1438">
        <v>0</v>
      </c>
      <c r="AE1438">
        <v>0</v>
      </c>
      <c r="AF1438">
        <v>0</v>
      </c>
      <c r="AG1438">
        <v>0</v>
      </c>
    </row>
    <row r="1439" spans="1:33" x14ac:dyDescent="0.2">
      <c r="A1439">
        <v>1438</v>
      </c>
      <c r="B1439" t="s">
        <v>448</v>
      </c>
      <c r="C1439" t="s">
        <v>33</v>
      </c>
      <c r="D1439">
        <v>22</v>
      </c>
      <c r="E1439" t="s">
        <v>34</v>
      </c>
      <c r="F1439" t="s">
        <v>41</v>
      </c>
      <c r="G1439" t="s">
        <v>49</v>
      </c>
      <c r="H1439">
        <v>2209</v>
      </c>
      <c r="I1439">
        <v>0</v>
      </c>
      <c r="J1439">
        <v>1</v>
      </c>
      <c r="K1439">
        <v>0</v>
      </c>
      <c r="L1439">
        <v>0</v>
      </c>
      <c r="M1439" t="s">
        <v>96</v>
      </c>
      <c r="N1439" t="s">
        <v>52</v>
      </c>
      <c r="O1439" t="s">
        <v>83</v>
      </c>
      <c r="P1439" t="s">
        <v>442</v>
      </c>
      <c r="Q1439" t="s">
        <v>65</v>
      </c>
      <c r="R1439" t="s">
        <v>46</v>
      </c>
      <c r="S1439" t="s">
        <v>59</v>
      </c>
      <c r="T1439">
        <v>0</v>
      </c>
      <c r="U1439">
        <v>1</v>
      </c>
      <c r="V1439">
        <v>0</v>
      </c>
      <c r="W1439">
        <v>0</v>
      </c>
      <c r="X1439">
        <v>1</v>
      </c>
      <c r="Y1439">
        <v>0</v>
      </c>
      <c r="Z1439">
        <v>1</v>
      </c>
      <c r="AA1439">
        <v>0</v>
      </c>
      <c r="AB1439">
        <v>0</v>
      </c>
      <c r="AC1439">
        <v>0</v>
      </c>
      <c r="AD1439">
        <v>0</v>
      </c>
      <c r="AE1439">
        <v>1</v>
      </c>
      <c r="AF1439">
        <v>0</v>
      </c>
      <c r="AG1439">
        <v>0</v>
      </c>
    </row>
    <row r="1440" spans="1:33" hidden="1" x14ac:dyDescent="0.2">
      <c r="A1440">
        <v>1439</v>
      </c>
      <c r="B1440" t="s">
        <v>448</v>
      </c>
      <c r="C1440" t="s">
        <v>33</v>
      </c>
      <c r="D1440">
        <v>22</v>
      </c>
      <c r="E1440" t="s">
        <v>34</v>
      </c>
      <c r="F1440" t="s">
        <v>53</v>
      </c>
      <c r="G1440" t="s">
        <v>71</v>
      </c>
      <c r="H1440">
        <v>4421</v>
      </c>
      <c r="I1440">
        <v>1</v>
      </c>
      <c r="J1440">
        <v>0</v>
      </c>
      <c r="K1440">
        <v>0</v>
      </c>
      <c r="L1440">
        <v>0</v>
      </c>
      <c r="M1440" t="s">
        <v>36</v>
      </c>
      <c r="N1440" t="s">
        <v>36</v>
      </c>
      <c r="O1440" t="s">
        <v>36</v>
      </c>
      <c r="P1440" t="s">
        <v>442</v>
      </c>
      <c r="Q1440" t="s">
        <v>36</v>
      </c>
      <c r="R1440" t="s">
        <v>36</v>
      </c>
      <c r="S1440" t="s">
        <v>36</v>
      </c>
      <c r="T1440" t="s">
        <v>36</v>
      </c>
      <c r="U1440">
        <v>1</v>
      </c>
      <c r="V1440">
        <v>0</v>
      </c>
      <c r="W1440">
        <v>0</v>
      </c>
      <c r="X1440">
        <v>1</v>
      </c>
      <c r="Y1440">
        <v>0</v>
      </c>
      <c r="Z1440">
        <v>1</v>
      </c>
      <c r="AA1440">
        <v>0</v>
      </c>
      <c r="AB1440">
        <v>0</v>
      </c>
      <c r="AC1440">
        <v>0</v>
      </c>
      <c r="AD1440">
        <v>0</v>
      </c>
      <c r="AE1440">
        <v>1</v>
      </c>
      <c r="AF1440">
        <v>0</v>
      </c>
      <c r="AG1440">
        <v>0</v>
      </c>
    </row>
    <row r="1441" spans="1:33" x14ac:dyDescent="0.2">
      <c r="A1441">
        <v>1440</v>
      </c>
      <c r="B1441" t="s">
        <v>448</v>
      </c>
      <c r="C1441" t="s">
        <v>33</v>
      </c>
      <c r="D1441">
        <v>22</v>
      </c>
      <c r="E1441" t="s">
        <v>34</v>
      </c>
      <c r="F1441" t="s">
        <v>41</v>
      </c>
      <c r="G1441" t="s">
        <v>42</v>
      </c>
      <c r="H1441">
        <v>4430</v>
      </c>
      <c r="I1441">
        <v>1</v>
      </c>
      <c r="J1441">
        <v>0</v>
      </c>
      <c r="K1441">
        <v>0</v>
      </c>
      <c r="L1441">
        <v>0</v>
      </c>
      <c r="M1441" t="s">
        <v>45</v>
      </c>
      <c r="N1441" t="s">
        <v>43</v>
      </c>
      <c r="O1441" t="s">
        <v>44</v>
      </c>
      <c r="P1441" t="s">
        <v>442</v>
      </c>
      <c r="Q1441" t="s">
        <v>48</v>
      </c>
      <c r="R1441" t="s">
        <v>46</v>
      </c>
      <c r="S1441" t="s">
        <v>47</v>
      </c>
      <c r="T1441">
        <v>0</v>
      </c>
      <c r="U1441">
        <v>0</v>
      </c>
      <c r="V1441">
        <v>1</v>
      </c>
      <c r="W1441">
        <v>1</v>
      </c>
      <c r="X1441">
        <v>1</v>
      </c>
      <c r="Y1441">
        <v>0</v>
      </c>
      <c r="Z1441">
        <v>1</v>
      </c>
      <c r="AA1441">
        <v>0</v>
      </c>
      <c r="AB1441">
        <v>0</v>
      </c>
      <c r="AC1441">
        <v>1</v>
      </c>
      <c r="AD1441">
        <v>0</v>
      </c>
      <c r="AE1441">
        <v>0</v>
      </c>
      <c r="AF1441">
        <v>0</v>
      </c>
      <c r="AG1441">
        <v>0</v>
      </c>
    </row>
    <row r="1442" spans="1:33" hidden="1" x14ac:dyDescent="0.2">
      <c r="A1442">
        <v>1441</v>
      </c>
      <c r="B1442" t="s">
        <v>448</v>
      </c>
      <c r="C1442" t="s">
        <v>33</v>
      </c>
      <c r="D1442">
        <v>22</v>
      </c>
      <c r="E1442" t="s">
        <v>34</v>
      </c>
      <c r="F1442" t="s">
        <v>53</v>
      </c>
      <c r="G1442" t="s">
        <v>66</v>
      </c>
      <c r="H1442">
        <v>2267</v>
      </c>
      <c r="I1442">
        <v>0</v>
      </c>
      <c r="J1442">
        <v>1</v>
      </c>
      <c r="K1442">
        <v>0</v>
      </c>
      <c r="L1442">
        <v>0</v>
      </c>
      <c r="M1442" t="s">
        <v>36</v>
      </c>
      <c r="N1442" t="s">
        <v>36</v>
      </c>
      <c r="O1442" t="s">
        <v>36</v>
      </c>
      <c r="P1442" t="s">
        <v>442</v>
      </c>
      <c r="Q1442" t="s">
        <v>36</v>
      </c>
      <c r="R1442" t="s">
        <v>36</v>
      </c>
      <c r="S1442" t="s">
        <v>36</v>
      </c>
      <c r="T1442" t="s">
        <v>36</v>
      </c>
      <c r="U1442">
        <v>0</v>
      </c>
      <c r="V1442">
        <v>1</v>
      </c>
      <c r="W1442">
        <v>1</v>
      </c>
      <c r="X1442">
        <v>1</v>
      </c>
      <c r="Y1442">
        <v>0</v>
      </c>
      <c r="Z1442">
        <v>1</v>
      </c>
      <c r="AA1442">
        <v>0</v>
      </c>
      <c r="AB1442">
        <v>0</v>
      </c>
      <c r="AC1442">
        <v>1</v>
      </c>
      <c r="AD1442">
        <v>0</v>
      </c>
      <c r="AE1442">
        <v>0</v>
      </c>
      <c r="AF1442">
        <v>0</v>
      </c>
      <c r="AG1442">
        <v>0</v>
      </c>
    </row>
    <row r="1443" spans="1:33" hidden="1" x14ac:dyDescent="0.2">
      <c r="A1443">
        <v>1442</v>
      </c>
      <c r="B1443" t="s">
        <v>448</v>
      </c>
      <c r="C1443" t="s">
        <v>33</v>
      </c>
      <c r="D1443">
        <v>22</v>
      </c>
      <c r="E1443" t="s">
        <v>34</v>
      </c>
      <c r="F1443" t="s">
        <v>77</v>
      </c>
      <c r="G1443" t="s">
        <v>36</v>
      </c>
      <c r="H1443">
        <v>87152</v>
      </c>
      <c r="I1443" t="s">
        <v>443</v>
      </c>
      <c r="J1443" t="s">
        <v>166</v>
      </c>
      <c r="K1443" t="s">
        <v>446</v>
      </c>
      <c r="L1443" t="s">
        <v>36</v>
      </c>
      <c r="M1443" t="s">
        <v>36</v>
      </c>
      <c r="N1443" t="s">
        <v>36</v>
      </c>
      <c r="O1443" t="s">
        <v>36</v>
      </c>
      <c r="P1443" t="s">
        <v>442</v>
      </c>
      <c r="Q1443" t="s">
        <v>36</v>
      </c>
      <c r="R1443" t="s">
        <v>36</v>
      </c>
      <c r="S1443" t="s">
        <v>36</v>
      </c>
      <c r="T1443" t="s">
        <v>36</v>
      </c>
      <c r="U1443" t="s">
        <v>36</v>
      </c>
      <c r="V1443" t="s">
        <v>36</v>
      </c>
      <c r="W1443" t="s">
        <v>36</v>
      </c>
      <c r="X1443" t="s">
        <v>36</v>
      </c>
      <c r="Y1443" t="s">
        <v>36</v>
      </c>
      <c r="Z1443" t="s">
        <v>36</v>
      </c>
      <c r="AA1443" t="s">
        <v>36</v>
      </c>
      <c r="AB1443" t="s">
        <v>36</v>
      </c>
      <c r="AC1443" t="s">
        <v>36</v>
      </c>
      <c r="AD1443" t="s">
        <v>36</v>
      </c>
      <c r="AE1443" t="s">
        <v>36</v>
      </c>
      <c r="AF1443" t="s">
        <v>36</v>
      </c>
      <c r="AG1443" t="s">
        <v>36</v>
      </c>
    </row>
    <row r="1444" spans="1:33" hidden="1" x14ac:dyDescent="0.2">
      <c r="A1444">
        <v>1443</v>
      </c>
      <c r="B1444" t="s">
        <v>449</v>
      </c>
      <c r="C1444" t="s">
        <v>108</v>
      </c>
      <c r="D1444">
        <v>22</v>
      </c>
      <c r="E1444" t="s">
        <v>114</v>
      </c>
      <c r="F1444" t="s">
        <v>35</v>
      </c>
      <c r="G1444" t="s">
        <v>36</v>
      </c>
      <c r="H1444">
        <v>12128</v>
      </c>
      <c r="I1444" t="s">
        <v>36</v>
      </c>
      <c r="J1444" t="s">
        <v>36</v>
      </c>
      <c r="K1444" t="s">
        <v>36</v>
      </c>
      <c r="L1444" t="s">
        <v>36</v>
      </c>
      <c r="M1444" t="s">
        <v>36</v>
      </c>
      <c r="N1444" t="s">
        <v>36</v>
      </c>
      <c r="O1444" t="s">
        <v>36</v>
      </c>
      <c r="P1444" t="s">
        <v>442</v>
      </c>
      <c r="Q1444" t="s">
        <v>36</v>
      </c>
      <c r="R1444" t="s">
        <v>36</v>
      </c>
      <c r="S1444" t="s">
        <v>36</v>
      </c>
      <c r="T1444" t="s">
        <v>36</v>
      </c>
      <c r="U1444" t="s">
        <v>36</v>
      </c>
      <c r="V1444" t="s">
        <v>36</v>
      </c>
      <c r="W1444" t="s">
        <v>36</v>
      </c>
      <c r="X1444" t="s">
        <v>36</v>
      </c>
      <c r="Y1444" t="s">
        <v>36</v>
      </c>
      <c r="Z1444" t="s">
        <v>36</v>
      </c>
      <c r="AA1444" t="s">
        <v>36</v>
      </c>
      <c r="AB1444" t="s">
        <v>36</v>
      </c>
      <c r="AC1444" t="s">
        <v>36</v>
      </c>
      <c r="AD1444" t="s">
        <v>36</v>
      </c>
      <c r="AE1444" t="s">
        <v>36</v>
      </c>
      <c r="AF1444" t="s">
        <v>36</v>
      </c>
      <c r="AG1444" t="s">
        <v>36</v>
      </c>
    </row>
    <row r="1445" spans="1:33" hidden="1" x14ac:dyDescent="0.2">
      <c r="A1445">
        <v>1444</v>
      </c>
      <c r="B1445" t="s">
        <v>449</v>
      </c>
      <c r="C1445" t="s">
        <v>108</v>
      </c>
      <c r="D1445">
        <v>22</v>
      </c>
      <c r="E1445" t="s">
        <v>114</v>
      </c>
      <c r="F1445" t="s">
        <v>38</v>
      </c>
      <c r="G1445" t="s">
        <v>40</v>
      </c>
      <c r="H1445">
        <v>12421</v>
      </c>
      <c r="I1445">
        <v>0</v>
      </c>
      <c r="J1445">
        <v>0</v>
      </c>
      <c r="K1445">
        <v>1</v>
      </c>
      <c r="L1445">
        <v>0</v>
      </c>
      <c r="M1445" t="s">
        <v>36</v>
      </c>
      <c r="N1445" t="s">
        <v>36</v>
      </c>
      <c r="O1445" t="s">
        <v>36</v>
      </c>
      <c r="P1445" t="s">
        <v>442</v>
      </c>
      <c r="Q1445" t="s">
        <v>36</v>
      </c>
      <c r="R1445" t="s">
        <v>36</v>
      </c>
      <c r="S1445" t="s">
        <v>36</v>
      </c>
      <c r="T1445" t="s">
        <v>36</v>
      </c>
      <c r="U1445" t="s">
        <v>36</v>
      </c>
      <c r="V1445" t="s">
        <v>36</v>
      </c>
      <c r="W1445" t="s">
        <v>36</v>
      </c>
      <c r="X1445" t="s">
        <v>36</v>
      </c>
      <c r="Y1445" t="s">
        <v>36</v>
      </c>
      <c r="Z1445" t="s">
        <v>36</v>
      </c>
      <c r="AA1445" t="s">
        <v>36</v>
      </c>
      <c r="AB1445" t="s">
        <v>36</v>
      </c>
      <c r="AC1445" t="s">
        <v>36</v>
      </c>
      <c r="AD1445" t="s">
        <v>36</v>
      </c>
      <c r="AE1445" t="s">
        <v>36</v>
      </c>
      <c r="AF1445" t="s">
        <v>36</v>
      </c>
      <c r="AG1445" t="s">
        <v>36</v>
      </c>
    </row>
    <row r="1446" spans="1:33" hidden="1" x14ac:dyDescent="0.2">
      <c r="A1446">
        <v>1445</v>
      </c>
      <c r="B1446" t="s">
        <v>449</v>
      </c>
      <c r="C1446" t="s">
        <v>108</v>
      </c>
      <c r="D1446">
        <v>22</v>
      </c>
      <c r="E1446" t="s">
        <v>114</v>
      </c>
      <c r="F1446" t="s">
        <v>38</v>
      </c>
      <c r="G1446" t="s">
        <v>39</v>
      </c>
      <c r="H1446">
        <v>14637</v>
      </c>
      <c r="I1446">
        <v>0</v>
      </c>
      <c r="J1446">
        <v>0</v>
      </c>
      <c r="K1446">
        <v>0</v>
      </c>
      <c r="L1446">
        <v>1</v>
      </c>
      <c r="M1446" t="s">
        <v>36</v>
      </c>
      <c r="N1446" t="s">
        <v>36</v>
      </c>
      <c r="O1446" t="s">
        <v>36</v>
      </c>
      <c r="P1446" t="s">
        <v>442</v>
      </c>
      <c r="Q1446" t="s">
        <v>36</v>
      </c>
      <c r="R1446" t="s">
        <v>36</v>
      </c>
      <c r="S1446" t="s">
        <v>36</v>
      </c>
      <c r="T1446" t="s">
        <v>36</v>
      </c>
      <c r="U1446" t="s">
        <v>36</v>
      </c>
      <c r="V1446" t="s">
        <v>36</v>
      </c>
      <c r="W1446" t="s">
        <v>36</v>
      </c>
      <c r="X1446" t="s">
        <v>36</v>
      </c>
      <c r="Y1446" t="s">
        <v>36</v>
      </c>
      <c r="Z1446" t="s">
        <v>36</v>
      </c>
      <c r="AA1446" t="s">
        <v>36</v>
      </c>
      <c r="AB1446" t="s">
        <v>36</v>
      </c>
      <c r="AC1446" t="s">
        <v>36</v>
      </c>
      <c r="AD1446" t="s">
        <v>36</v>
      </c>
      <c r="AE1446" t="s">
        <v>36</v>
      </c>
      <c r="AF1446" t="s">
        <v>36</v>
      </c>
      <c r="AG1446" t="s">
        <v>36</v>
      </c>
    </row>
    <row r="1447" spans="1:33" x14ac:dyDescent="0.2">
      <c r="A1447">
        <v>1446</v>
      </c>
      <c r="B1447" t="s">
        <v>449</v>
      </c>
      <c r="C1447" t="s">
        <v>108</v>
      </c>
      <c r="D1447">
        <v>22</v>
      </c>
      <c r="E1447" t="s">
        <v>114</v>
      </c>
      <c r="F1447" t="s">
        <v>41</v>
      </c>
      <c r="G1447" t="s">
        <v>72</v>
      </c>
      <c r="H1447">
        <v>13399</v>
      </c>
      <c r="I1447">
        <v>1</v>
      </c>
      <c r="J1447">
        <v>1</v>
      </c>
      <c r="K1447">
        <v>1</v>
      </c>
      <c r="L1447">
        <v>0</v>
      </c>
      <c r="M1447" t="s">
        <v>75</v>
      </c>
      <c r="N1447" t="s">
        <v>115</v>
      </c>
      <c r="O1447" t="s">
        <v>104</v>
      </c>
      <c r="P1447" t="s">
        <v>442</v>
      </c>
      <c r="Q1447" t="s">
        <v>46</v>
      </c>
      <c r="R1447" t="s">
        <v>65</v>
      </c>
      <c r="S1447" t="s">
        <v>60</v>
      </c>
      <c r="T1447">
        <v>1</v>
      </c>
      <c r="U1447">
        <v>1</v>
      </c>
      <c r="V1447">
        <v>0</v>
      </c>
      <c r="W1447">
        <v>0</v>
      </c>
      <c r="X1447">
        <v>1</v>
      </c>
      <c r="Y1447">
        <v>0</v>
      </c>
      <c r="Z1447">
        <v>1</v>
      </c>
      <c r="AA1447">
        <v>1</v>
      </c>
      <c r="AB1447">
        <v>1</v>
      </c>
      <c r="AC1447">
        <v>0</v>
      </c>
      <c r="AD1447">
        <v>0</v>
      </c>
      <c r="AE1447">
        <v>1</v>
      </c>
      <c r="AF1447">
        <v>0</v>
      </c>
      <c r="AG1447">
        <v>0</v>
      </c>
    </row>
    <row r="1448" spans="1:33" x14ac:dyDescent="0.2">
      <c r="A1448">
        <v>1447</v>
      </c>
      <c r="B1448" t="s">
        <v>449</v>
      </c>
      <c r="C1448" t="s">
        <v>108</v>
      </c>
      <c r="D1448">
        <v>22</v>
      </c>
      <c r="E1448" t="s">
        <v>114</v>
      </c>
      <c r="F1448" t="s">
        <v>41</v>
      </c>
      <c r="G1448" t="s">
        <v>67</v>
      </c>
      <c r="H1448">
        <v>7786</v>
      </c>
      <c r="I1448">
        <v>1</v>
      </c>
      <c r="J1448">
        <v>1</v>
      </c>
      <c r="K1448">
        <v>1</v>
      </c>
      <c r="L1448">
        <v>0</v>
      </c>
      <c r="M1448" t="s">
        <v>68</v>
      </c>
      <c r="N1448" t="s">
        <v>69</v>
      </c>
      <c r="O1448" t="s">
        <v>109</v>
      </c>
      <c r="P1448" t="s">
        <v>442</v>
      </c>
      <c r="Q1448" t="s">
        <v>65</v>
      </c>
      <c r="R1448" t="s">
        <v>48</v>
      </c>
      <c r="S1448" t="s">
        <v>59</v>
      </c>
      <c r="T1448">
        <v>0</v>
      </c>
      <c r="U1448">
        <v>1</v>
      </c>
      <c r="V1448">
        <v>1</v>
      </c>
      <c r="W1448">
        <v>0</v>
      </c>
      <c r="X1448">
        <v>0</v>
      </c>
      <c r="Y1448">
        <v>0</v>
      </c>
      <c r="Z1448">
        <v>1</v>
      </c>
      <c r="AA1448">
        <v>0</v>
      </c>
      <c r="AB1448">
        <v>1</v>
      </c>
      <c r="AC1448">
        <v>1</v>
      </c>
      <c r="AD1448">
        <v>0</v>
      </c>
      <c r="AE1448">
        <v>0</v>
      </c>
      <c r="AF1448">
        <v>0</v>
      </c>
      <c r="AG1448">
        <v>0</v>
      </c>
    </row>
    <row r="1449" spans="1:33" hidden="1" x14ac:dyDescent="0.2">
      <c r="A1449">
        <v>1448</v>
      </c>
      <c r="B1449" t="s">
        <v>449</v>
      </c>
      <c r="C1449" t="s">
        <v>108</v>
      </c>
      <c r="D1449">
        <v>22</v>
      </c>
      <c r="E1449" t="s">
        <v>114</v>
      </c>
      <c r="F1449" t="s">
        <v>53</v>
      </c>
      <c r="G1449" t="s">
        <v>54</v>
      </c>
      <c r="H1449">
        <v>16051</v>
      </c>
      <c r="I1449">
        <v>1</v>
      </c>
      <c r="J1449">
        <v>1</v>
      </c>
      <c r="K1449">
        <v>1</v>
      </c>
      <c r="L1449">
        <v>0</v>
      </c>
      <c r="M1449" t="s">
        <v>36</v>
      </c>
      <c r="N1449" t="s">
        <v>36</v>
      </c>
      <c r="O1449" t="s">
        <v>36</v>
      </c>
      <c r="P1449" t="s">
        <v>442</v>
      </c>
      <c r="Q1449" t="s">
        <v>36</v>
      </c>
      <c r="R1449" t="s">
        <v>36</v>
      </c>
      <c r="S1449" t="s">
        <v>36</v>
      </c>
      <c r="T1449" t="s">
        <v>36</v>
      </c>
      <c r="U1449">
        <v>1</v>
      </c>
      <c r="V1449">
        <v>1</v>
      </c>
      <c r="W1449">
        <v>0</v>
      </c>
      <c r="X1449">
        <v>0</v>
      </c>
      <c r="Y1449">
        <v>0</v>
      </c>
      <c r="Z1449">
        <v>1</v>
      </c>
      <c r="AA1449">
        <v>0</v>
      </c>
      <c r="AB1449">
        <v>1</v>
      </c>
      <c r="AC1449">
        <v>1</v>
      </c>
      <c r="AD1449">
        <v>0</v>
      </c>
      <c r="AE1449">
        <v>0</v>
      </c>
      <c r="AF1449">
        <v>0</v>
      </c>
      <c r="AG1449">
        <v>0</v>
      </c>
    </row>
    <row r="1450" spans="1:33" x14ac:dyDescent="0.2">
      <c r="A1450">
        <v>1449</v>
      </c>
      <c r="B1450" t="s">
        <v>449</v>
      </c>
      <c r="C1450" t="s">
        <v>108</v>
      </c>
      <c r="D1450">
        <v>22</v>
      </c>
      <c r="E1450" t="s">
        <v>114</v>
      </c>
      <c r="F1450" t="s">
        <v>41</v>
      </c>
      <c r="G1450" t="s">
        <v>49</v>
      </c>
      <c r="H1450">
        <v>16402</v>
      </c>
      <c r="I1450">
        <v>0</v>
      </c>
      <c r="J1450">
        <v>1</v>
      </c>
      <c r="K1450">
        <v>1</v>
      </c>
      <c r="L1450">
        <v>0</v>
      </c>
      <c r="M1450" t="s">
        <v>52</v>
      </c>
      <c r="N1450" t="s">
        <v>96</v>
      </c>
      <c r="O1450" t="s">
        <v>51</v>
      </c>
      <c r="P1450" t="s">
        <v>442</v>
      </c>
      <c r="Q1450" t="s">
        <v>46</v>
      </c>
      <c r="R1450" t="s">
        <v>65</v>
      </c>
      <c r="S1450" t="s">
        <v>47</v>
      </c>
      <c r="T1450">
        <v>0</v>
      </c>
      <c r="U1450">
        <v>1</v>
      </c>
      <c r="V1450">
        <v>0</v>
      </c>
      <c r="W1450">
        <v>1</v>
      </c>
      <c r="X1450">
        <v>1</v>
      </c>
      <c r="Y1450">
        <v>0</v>
      </c>
      <c r="Z1450">
        <v>1</v>
      </c>
      <c r="AA1450">
        <v>0</v>
      </c>
      <c r="AB1450">
        <v>1</v>
      </c>
      <c r="AC1450">
        <v>0</v>
      </c>
      <c r="AD1450">
        <v>1</v>
      </c>
      <c r="AE1450">
        <v>0</v>
      </c>
      <c r="AF1450">
        <v>0</v>
      </c>
      <c r="AG1450">
        <v>0</v>
      </c>
    </row>
    <row r="1451" spans="1:33" x14ac:dyDescent="0.2">
      <c r="A1451">
        <v>1450</v>
      </c>
      <c r="B1451" t="s">
        <v>449</v>
      </c>
      <c r="C1451" t="s">
        <v>108</v>
      </c>
      <c r="D1451">
        <v>22</v>
      </c>
      <c r="E1451" t="s">
        <v>114</v>
      </c>
      <c r="F1451" t="s">
        <v>41</v>
      </c>
      <c r="G1451" t="s">
        <v>42</v>
      </c>
      <c r="H1451">
        <v>29700</v>
      </c>
      <c r="I1451">
        <v>0</v>
      </c>
      <c r="J1451">
        <v>1</v>
      </c>
      <c r="K1451">
        <v>0</v>
      </c>
      <c r="L1451">
        <v>0</v>
      </c>
      <c r="M1451" t="s">
        <v>102</v>
      </c>
      <c r="N1451" t="s">
        <v>44</v>
      </c>
      <c r="O1451" t="s">
        <v>45</v>
      </c>
      <c r="P1451" t="s">
        <v>442</v>
      </c>
      <c r="Q1451" t="s">
        <v>59</v>
      </c>
      <c r="R1451" t="s">
        <v>47</v>
      </c>
      <c r="S1451" t="s">
        <v>48</v>
      </c>
      <c r="T1451">
        <v>0</v>
      </c>
      <c r="U1451">
        <v>0</v>
      </c>
      <c r="V1451">
        <v>1</v>
      </c>
      <c r="W1451">
        <v>1</v>
      </c>
      <c r="X1451">
        <v>0</v>
      </c>
      <c r="Y1451">
        <v>0</v>
      </c>
      <c r="Z1451">
        <v>1</v>
      </c>
      <c r="AA1451">
        <v>0</v>
      </c>
      <c r="AB1451">
        <v>0</v>
      </c>
      <c r="AC1451">
        <v>0</v>
      </c>
      <c r="AD1451">
        <v>1</v>
      </c>
      <c r="AE1451">
        <v>0</v>
      </c>
      <c r="AF1451">
        <v>0</v>
      </c>
      <c r="AG1451">
        <v>0</v>
      </c>
    </row>
    <row r="1452" spans="1:33" hidden="1" x14ac:dyDescent="0.2">
      <c r="A1452">
        <v>1451</v>
      </c>
      <c r="B1452" t="s">
        <v>449</v>
      </c>
      <c r="C1452" t="s">
        <v>108</v>
      </c>
      <c r="D1452">
        <v>22</v>
      </c>
      <c r="E1452" t="s">
        <v>114</v>
      </c>
      <c r="F1452" t="s">
        <v>53</v>
      </c>
      <c r="G1452" t="s">
        <v>66</v>
      </c>
      <c r="H1452">
        <v>5321</v>
      </c>
      <c r="I1452">
        <v>1</v>
      </c>
      <c r="J1452">
        <v>1</v>
      </c>
      <c r="K1452">
        <v>0</v>
      </c>
      <c r="L1452">
        <v>0</v>
      </c>
      <c r="M1452" t="s">
        <v>36</v>
      </c>
      <c r="N1452" t="s">
        <v>36</v>
      </c>
      <c r="O1452" t="s">
        <v>36</v>
      </c>
      <c r="P1452" t="s">
        <v>442</v>
      </c>
      <c r="Q1452" t="s">
        <v>36</v>
      </c>
      <c r="R1452" t="s">
        <v>36</v>
      </c>
      <c r="S1452" t="s">
        <v>36</v>
      </c>
      <c r="T1452" t="s">
        <v>36</v>
      </c>
      <c r="U1452">
        <v>0</v>
      </c>
      <c r="V1452">
        <v>1</v>
      </c>
      <c r="W1452">
        <v>1</v>
      </c>
      <c r="X1452">
        <v>0</v>
      </c>
      <c r="Y1452">
        <v>0</v>
      </c>
      <c r="Z1452">
        <v>1</v>
      </c>
      <c r="AA1452">
        <v>0</v>
      </c>
      <c r="AB1452">
        <v>0</v>
      </c>
      <c r="AC1452">
        <v>0</v>
      </c>
      <c r="AD1452">
        <v>1</v>
      </c>
      <c r="AE1452">
        <v>0</v>
      </c>
      <c r="AF1452">
        <v>0</v>
      </c>
      <c r="AG1452">
        <v>0</v>
      </c>
    </row>
    <row r="1453" spans="1:33" x14ac:dyDescent="0.2">
      <c r="A1453">
        <v>1452</v>
      </c>
      <c r="B1453" t="s">
        <v>449</v>
      </c>
      <c r="C1453" t="s">
        <v>108</v>
      </c>
      <c r="D1453">
        <v>22</v>
      </c>
      <c r="E1453" t="s">
        <v>114</v>
      </c>
      <c r="F1453" t="s">
        <v>41</v>
      </c>
      <c r="G1453" t="s">
        <v>61</v>
      </c>
      <c r="H1453">
        <v>9980</v>
      </c>
      <c r="I1453">
        <v>0</v>
      </c>
      <c r="J1453">
        <v>1</v>
      </c>
      <c r="K1453">
        <v>1</v>
      </c>
      <c r="L1453">
        <v>0</v>
      </c>
      <c r="M1453" t="s">
        <v>63</v>
      </c>
      <c r="N1453" t="s">
        <v>87</v>
      </c>
      <c r="O1453" t="s">
        <v>62</v>
      </c>
      <c r="P1453" t="s">
        <v>442</v>
      </c>
      <c r="Q1453" t="s">
        <v>46</v>
      </c>
      <c r="R1453" t="s">
        <v>47</v>
      </c>
      <c r="S1453" t="s">
        <v>65</v>
      </c>
      <c r="T1453">
        <v>0</v>
      </c>
      <c r="U1453">
        <v>1</v>
      </c>
      <c r="V1453">
        <v>0</v>
      </c>
      <c r="W1453">
        <v>1</v>
      </c>
      <c r="X1453">
        <v>1</v>
      </c>
      <c r="Y1453">
        <v>0</v>
      </c>
      <c r="Z1453">
        <v>1</v>
      </c>
      <c r="AA1453">
        <v>0</v>
      </c>
      <c r="AB1453">
        <v>1</v>
      </c>
      <c r="AC1453">
        <v>0</v>
      </c>
      <c r="AD1453">
        <v>1</v>
      </c>
      <c r="AE1453">
        <v>0</v>
      </c>
      <c r="AF1453">
        <v>0</v>
      </c>
      <c r="AG1453">
        <v>0</v>
      </c>
    </row>
    <row r="1454" spans="1:33" hidden="1" x14ac:dyDescent="0.2">
      <c r="A1454">
        <v>1453</v>
      </c>
      <c r="B1454" t="s">
        <v>449</v>
      </c>
      <c r="C1454" t="s">
        <v>108</v>
      </c>
      <c r="D1454">
        <v>22</v>
      </c>
      <c r="E1454" t="s">
        <v>114</v>
      </c>
      <c r="F1454" t="s">
        <v>53</v>
      </c>
      <c r="G1454" t="s">
        <v>76</v>
      </c>
      <c r="H1454">
        <v>10001</v>
      </c>
      <c r="I1454">
        <v>1</v>
      </c>
      <c r="J1454">
        <v>0</v>
      </c>
      <c r="K1454">
        <v>0</v>
      </c>
      <c r="L1454">
        <v>0</v>
      </c>
      <c r="M1454" t="s">
        <v>36</v>
      </c>
      <c r="N1454" t="s">
        <v>36</v>
      </c>
      <c r="O1454" t="s">
        <v>36</v>
      </c>
      <c r="P1454" t="s">
        <v>442</v>
      </c>
      <c r="Q1454" t="s">
        <v>36</v>
      </c>
      <c r="R1454" t="s">
        <v>36</v>
      </c>
      <c r="S1454" t="s">
        <v>36</v>
      </c>
      <c r="T1454" t="s">
        <v>36</v>
      </c>
      <c r="U1454">
        <v>1</v>
      </c>
      <c r="V1454">
        <v>0</v>
      </c>
      <c r="W1454">
        <v>1</v>
      </c>
      <c r="X1454">
        <v>1</v>
      </c>
      <c r="Y1454">
        <v>0</v>
      </c>
      <c r="Z1454">
        <v>1</v>
      </c>
      <c r="AA1454">
        <v>0</v>
      </c>
      <c r="AB1454">
        <v>1</v>
      </c>
      <c r="AC1454">
        <v>0</v>
      </c>
      <c r="AD1454">
        <v>1</v>
      </c>
      <c r="AE1454">
        <v>0</v>
      </c>
      <c r="AF1454">
        <v>0</v>
      </c>
      <c r="AG1454">
        <v>0</v>
      </c>
    </row>
    <row r="1455" spans="1:33" x14ac:dyDescent="0.2">
      <c r="A1455">
        <v>1454</v>
      </c>
      <c r="B1455" t="s">
        <v>449</v>
      </c>
      <c r="C1455" t="s">
        <v>108</v>
      </c>
      <c r="D1455">
        <v>22</v>
      </c>
      <c r="E1455" t="s">
        <v>114</v>
      </c>
      <c r="F1455" t="s">
        <v>41</v>
      </c>
      <c r="G1455" t="s">
        <v>55</v>
      </c>
      <c r="H1455">
        <v>2810</v>
      </c>
      <c r="I1455">
        <v>0</v>
      </c>
      <c r="J1455">
        <v>0</v>
      </c>
      <c r="K1455">
        <v>1</v>
      </c>
      <c r="L1455">
        <v>0</v>
      </c>
      <c r="M1455" t="s">
        <v>84</v>
      </c>
      <c r="N1455" t="s">
        <v>57</v>
      </c>
      <c r="O1455" t="s">
        <v>85</v>
      </c>
      <c r="P1455" t="s">
        <v>442</v>
      </c>
      <c r="Q1455" t="s">
        <v>46</v>
      </c>
      <c r="R1455" t="s">
        <v>48</v>
      </c>
      <c r="S1455" t="s">
        <v>65</v>
      </c>
      <c r="T1455">
        <v>0</v>
      </c>
      <c r="U1455">
        <v>1</v>
      </c>
      <c r="V1455">
        <v>1</v>
      </c>
      <c r="W1455">
        <v>0</v>
      </c>
      <c r="X1455">
        <v>1</v>
      </c>
      <c r="Y1455">
        <v>0</v>
      </c>
      <c r="Z1455">
        <v>1</v>
      </c>
      <c r="AA1455">
        <v>0</v>
      </c>
      <c r="AB1455">
        <v>1</v>
      </c>
      <c r="AC1455">
        <v>0</v>
      </c>
      <c r="AD1455">
        <v>0</v>
      </c>
      <c r="AE1455">
        <v>0</v>
      </c>
      <c r="AF1455">
        <v>0</v>
      </c>
      <c r="AG1455">
        <v>0</v>
      </c>
    </row>
    <row r="1456" spans="1:33" hidden="1" x14ac:dyDescent="0.2">
      <c r="A1456">
        <v>1455</v>
      </c>
      <c r="B1456" t="s">
        <v>449</v>
      </c>
      <c r="C1456" t="s">
        <v>108</v>
      </c>
      <c r="D1456">
        <v>22</v>
      </c>
      <c r="E1456" t="s">
        <v>114</v>
      </c>
      <c r="F1456" t="s">
        <v>53</v>
      </c>
      <c r="G1456" t="s">
        <v>71</v>
      </c>
      <c r="H1456">
        <v>8993</v>
      </c>
      <c r="I1456">
        <v>0</v>
      </c>
      <c r="J1456">
        <v>0</v>
      </c>
      <c r="K1456">
        <v>0</v>
      </c>
      <c r="L1456">
        <v>1</v>
      </c>
      <c r="M1456" t="s">
        <v>36</v>
      </c>
      <c r="N1456" t="s">
        <v>36</v>
      </c>
      <c r="O1456" t="s">
        <v>36</v>
      </c>
      <c r="P1456" t="s">
        <v>442</v>
      </c>
      <c r="Q1456" t="s">
        <v>36</v>
      </c>
      <c r="R1456" t="s">
        <v>36</v>
      </c>
      <c r="S1456" t="s">
        <v>36</v>
      </c>
      <c r="T1456" t="s">
        <v>36</v>
      </c>
      <c r="U1456">
        <v>1</v>
      </c>
      <c r="V1456">
        <v>1</v>
      </c>
      <c r="W1456">
        <v>0</v>
      </c>
      <c r="X1456">
        <v>1</v>
      </c>
      <c r="Y1456">
        <v>0</v>
      </c>
      <c r="Z1456">
        <v>1</v>
      </c>
      <c r="AA1456">
        <v>0</v>
      </c>
      <c r="AB1456">
        <v>1</v>
      </c>
      <c r="AC1456">
        <v>0</v>
      </c>
      <c r="AD1456">
        <v>0</v>
      </c>
      <c r="AE1456">
        <v>0</v>
      </c>
      <c r="AF1456">
        <v>0</v>
      </c>
      <c r="AG1456">
        <v>0</v>
      </c>
    </row>
    <row r="1457" spans="1:33" hidden="1" x14ac:dyDescent="0.2">
      <c r="A1457">
        <v>1456</v>
      </c>
      <c r="B1457" t="s">
        <v>449</v>
      </c>
      <c r="C1457" t="s">
        <v>108</v>
      </c>
      <c r="D1457">
        <v>22</v>
      </c>
      <c r="E1457" t="s">
        <v>114</v>
      </c>
      <c r="F1457" t="s">
        <v>77</v>
      </c>
      <c r="G1457" t="s">
        <v>36</v>
      </c>
      <c r="H1457">
        <v>20332</v>
      </c>
      <c r="I1457" t="s">
        <v>450</v>
      </c>
      <c r="J1457" t="s">
        <v>451</v>
      </c>
      <c r="K1457" t="s">
        <v>112</v>
      </c>
      <c r="L1457" t="s">
        <v>36</v>
      </c>
      <c r="M1457" t="s">
        <v>36</v>
      </c>
      <c r="N1457" t="s">
        <v>36</v>
      </c>
      <c r="O1457" t="s">
        <v>36</v>
      </c>
      <c r="P1457" t="s">
        <v>442</v>
      </c>
      <c r="Q1457" t="s">
        <v>36</v>
      </c>
      <c r="R1457" t="s">
        <v>36</v>
      </c>
      <c r="S1457" t="s">
        <v>36</v>
      </c>
      <c r="T1457" t="s">
        <v>36</v>
      </c>
      <c r="U1457" t="s">
        <v>36</v>
      </c>
      <c r="V1457" t="s">
        <v>36</v>
      </c>
      <c r="W1457" t="s">
        <v>36</v>
      </c>
      <c r="X1457" t="s">
        <v>36</v>
      </c>
      <c r="Y1457" t="s">
        <v>36</v>
      </c>
      <c r="Z1457" t="s">
        <v>36</v>
      </c>
      <c r="AA1457" t="s">
        <v>36</v>
      </c>
      <c r="AB1457" t="s">
        <v>36</v>
      </c>
      <c r="AC1457" t="s">
        <v>36</v>
      </c>
      <c r="AD1457" t="s">
        <v>36</v>
      </c>
      <c r="AE1457" t="s">
        <v>36</v>
      </c>
      <c r="AF1457" t="s">
        <v>36</v>
      </c>
      <c r="AG1457" t="s">
        <v>36</v>
      </c>
    </row>
    <row r="1458" spans="1:33" hidden="1" x14ac:dyDescent="0.2">
      <c r="A1458">
        <v>1457</v>
      </c>
      <c r="B1458" t="s">
        <v>452</v>
      </c>
      <c r="C1458" t="s">
        <v>188</v>
      </c>
      <c r="D1458">
        <v>28</v>
      </c>
      <c r="E1458" t="s">
        <v>34</v>
      </c>
      <c r="F1458" t="s">
        <v>35</v>
      </c>
      <c r="G1458" t="s">
        <v>36</v>
      </c>
      <c r="H1458">
        <v>38642</v>
      </c>
      <c r="I1458" t="s">
        <v>36</v>
      </c>
      <c r="J1458" t="s">
        <v>36</v>
      </c>
      <c r="K1458" t="s">
        <v>36</v>
      </c>
      <c r="L1458" t="s">
        <v>36</v>
      </c>
      <c r="M1458" t="s">
        <v>36</v>
      </c>
      <c r="N1458" t="s">
        <v>36</v>
      </c>
      <c r="O1458" t="s">
        <v>36</v>
      </c>
      <c r="P1458" t="s">
        <v>442</v>
      </c>
      <c r="Q1458" t="s">
        <v>36</v>
      </c>
      <c r="R1458" t="s">
        <v>36</v>
      </c>
      <c r="S1458" t="s">
        <v>36</v>
      </c>
      <c r="T1458" t="s">
        <v>36</v>
      </c>
      <c r="U1458" t="s">
        <v>36</v>
      </c>
      <c r="V1458" t="s">
        <v>36</v>
      </c>
      <c r="W1458" t="s">
        <v>36</v>
      </c>
      <c r="X1458" t="s">
        <v>36</v>
      </c>
      <c r="Y1458" t="s">
        <v>36</v>
      </c>
      <c r="Z1458" t="s">
        <v>36</v>
      </c>
      <c r="AA1458" t="s">
        <v>36</v>
      </c>
      <c r="AB1458" t="s">
        <v>36</v>
      </c>
      <c r="AC1458" t="s">
        <v>36</v>
      </c>
      <c r="AD1458" t="s">
        <v>36</v>
      </c>
      <c r="AE1458" t="s">
        <v>36</v>
      </c>
      <c r="AF1458" t="s">
        <v>36</v>
      </c>
      <c r="AG1458" t="s">
        <v>36</v>
      </c>
    </row>
    <row r="1459" spans="1:33" hidden="1" x14ac:dyDescent="0.2">
      <c r="A1459">
        <v>1458</v>
      </c>
      <c r="B1459" t="s">
        <v>452</v>
      </c>
      <c r="C1459" t="s">
        <v>188</v>
      </c>
      <c r="D1459">
        <v>28</v>
      </c>
      <c r="E1459" t="s">
        <v>34</v>
      </c>
      <c r="F1459" t="s">
        <v>38</v>
      </c>
      <c r="G1459" t="s">
        <v>40</v>
      </c>
      <c r="H1459">
        <v>7892</v>
      </c>
      <c r="I1459">
        <v>1</v>
      </c>
      <c r="J1459">
        <v>0</v>
      </c>
      <c r="K1459">
        <v>0</v>
      </c>
      <c r="L1459">
        <v>0</v>
      </c>
      <c r="M1459" t="s">
        <v>36</v>
      </c>
      <c r="N1459" t="s">
        <v>36</v>
      </c>
      <c r="O1459" t="s">
        <v>36</v>
      </c>
      <c r="P1459" t="s">
        <v>442</v>
      </c>
      <c r="Q1459" t="s">
        <v>36</v>
      </c>
      <c r="R1459" t="s">
        <v>36</v>
      </c>
      <c r="S1459" t="s">
        <v>36</v>
      </c>
      <c r="T1459" t="s">
        <v>36</v>
      </c>
      <c r="U1459" t="s">
        <v>36</v>
      </c>
      <c r="V1459" t="s">
        <v>36</v>
      </c>
      <c r="W1459" t="s">
        <v>36</v>
      </c>
      <c r="X1459" t="s">
        <v>36</v>
      </c>
      <c r="Y1459" t="s">
        <v>36</v>
      </c>
      <c r="Z1459" t="s">
        <v>36</v>
      </c>
      <c r="AA1459" t="s">
        <v>36</v>
      </c>
      <c r="AB1459" t="s">
        <v>36</v>
      </c>
      <c r="AC1459" t="s">
        <v>36</v>
      </c>
      <c r="AD1459" t="s">
        <v>36</v>
      </c>
      <c r="AE1459" t="s">
        <v>36</v>
      </c>
      <c r="AF1459" t="s">
        <v>36</v>
      </c>
      <c r="AG1459" t="s">
        <v>36</v>
      </c>
    </row>
    <row r="1460" spans="1:33" hidden="1" x14ac:dyDescent="0.2">
      <c r="A1460">
        <v>1459</v>
      </c>
      <c r="B1460" t="s">
        <v>452</v>
      </c>
      <c r="C1460" t="s">
        <v>188</v>
      </c>
      <c r="D1460">
        <v>28</v>
      </c>
      <c r="E1460" t="s">
        <v>34</v>
      </c>
      <c r="F1460" t="s">
        <v>38</v>
      </c>
      <c r="G1460" t="s">
        <v>39</v>
      </c>
      <c r="H1460">
        <v>4194</v>
      </c>
      <c r="I1460">
        <v>1</v>
      </c>
      <c r="J1460">
        <v>0</v>
      </c>
      <c r="K1460">
        <v>0</v>
      </c>
      <c r="L1460">
        <v>0</v>
      </c>
      <c r="M1460" t="s">
        <v>36</v>
      </c>
      <c r="N1460" t="s">
        <v>36</v>
      </c>
      <c r="O1460" t="s">
        <v>36</v>
      </c>
      <c r="P1460" t="s">
        <v>442</v>
      </c>
      <c r="Q1460" t="s">
        <v>36</v>
      </c>
      <c r="R1460" t="s">
        <v>36</v>
      </c>
      <c r="S1460" t="s">
        <v>36</v>
      </c>
      <c r="T1460" t="s">
        <v>36</v>
      </c>
      <c r="U1460" t="s">
        <v>36</v>
      </c>
      <c r="V1460" t="s">
        <v>36</v>
      </c>
      <c r="W1460" t="s">
        <v>36</v>
      </c>
      <c r="X1460" t="s">
        <v>36</v>
      </c>
      <c r="Y1460" t="s">
        <v>36</v>
      </c>
      <c r="Z1460" t="s">
        <v>36</v>
      </c>
      <c r="AA1460" t="s">
        <v>36</v>
      </c>
      <c r="AB1460" t="s">
        <v>36</v>
      </c>
      <c r="AC1460" t="s">
        <v>36</v>
      </c>
      <c r="AD1460" t="s">
        <v>36</v>
      </c>
      <c r="AE1460" t="s">
        <v>36</v>
      </c>
      <c r="AF1460" t="s">
        <v>36</v>
      </c>
      <c r="AG1460" t="s">
        <v>36</v>
      </c>
    </row>
    <row r="1461" spans="1:33" x14ac:dyDescent="0.2">
      <c r="A1461">
        <v>1460</v>
      </c>
      <c r="B1461" t="s">
        <v>452</v>
      </c>
      <c r="C1461" t="s">
        <v>188</v>
      </c>
      <c r="D1461">
        <v>28</v>
      </c>
      <c r="E1461" t="s">
        <v>34</v>
      </c>
      <c r="F1461" t="s">
        <v>41</v>
      </c>
      <c r="G1461" t="s">
        <v>72</v>
      </c>
      <c r="H1461">
        <v>5956</v>
      </c>
      <c r="I1461">
        <v>0</v>
      </c>
      <c r="J1461">
        <v>0</v>
      </c>
      <c r="K1461">
        <v>1</v>
      </c>
      <c r="L1461">
        <v>0</v>
      </c>
      <c r="M1461" t="s">
        <v>104</v>
      </c>
      <c r="N1461" t="s">
        <v>75</v>
      </c>
      <c r="O1461" t="s">
        <v>115</v>
      </c>
      <c r="P1461" t="s">
        <v>442</v>
      </c>
      <c r="Q1461" t="s">
        <v>60</v>
      </c>
      <c r="R1461" t="s">
        <v>46</v>
      </c>
      <c r="S1461" t="s">
        <v>65</v>
      </c>
      <c r="T1461">
        <v>1</v>
      </c>
      <c r="U1461">
        <v>1</v>
      </c>
      <c r="V1461">
        <v>0</v>
      </c>
      <c r="W1461">
        <v>0</v>
      </c>
      <c r="X1461">
        <v>1</v>
      </c>
      <c r="Y1461">
        <v>0</v>
      </c>
      <c r="Z1461">
        <v>1</v>
      </c>
      <c r="AA1461">
        <v>0</v>
      </c>
      <c r="AB1461">
        <v>1</v>
      </c>
      <c r="AC1461">
        <v>0</v>
      </c>
      <c r="AD1461">
        <v>0</v>
      </c>
      <c r="AE1461">
        <v>0</v>
      </c>
      <c r="AF1461">
        <v>0</v>
      </c>
      <c r="AG1461">
        <v>0</v>
      </c>
    </row>
    <row r="1462" spans="1:33" x14ac:dyDescent="0.2">
      <c r="A1462">
        <v>1461</v>
      </c>
      <c r="B1462" t="s">
        <v>452</v>
      </c>
      <c r="C1462" t="s">
        <v>188</v>
      </c>
      <c r="D1462">
        <v>28</v>
      </c>
      <c r="E1462" t="s">
        <v>34</v>
      </c>
      <c r="F1462" t="s">
        <v>41</v>
      </c>
      <c r="G1462" t="s">
        <v>42</v>
      </c>
      <c r="H1462">
        <v>3661</v>
      </c>
      <c r="I1462">
        <v>1</v>
      </c>
      <c r="J1462">
        <v>0</v>
      </c>
      <c r="K1462">
        <v>0</v>
      </c>
      <c r="L1462">
        <v>0</v>
      </c>
      <c r="M1462" t="s">
        <v>43</v>
      </c>
      <c r="N1462" t="s">
        <v>45</v>
      </c>
      <c r="O1462" t="s">
        <v>44</v>
      </c>
      <c r="P1462" t="s">
        <v>442</v>
      </c>
      <c r="Q1462" t="s">
        <v>46</v>
      </c>
      <c r="R1462" t="s">
        <v>48</v>
      </c>
      <c r="S1462" t="s">
        <v>47</v>
      </c>
      <c r="T1462">
        <v>0</v>
      </c>
      <c r="U1462">
        <v>0</v>
      </c>
      <c r="V1462">
        <v>1</v>
      </c>
      <c r="W1462">
        <v>1</v>
      </c>
      <c r="X1462">
        <v>1</v>
      </c>
      <c r="Y1462">
        <v>0</v>
      </c>
      <c r="Z1462">
        <v>1</v>
      </c>
      <c r="AA1462">
        <v>0</v>
      </c>
      <c r="AB1462">
        <v>0</v>
      </c>
      <c r="AC1462">
        <v>0</v>
      </c>
      <c r="AD1462">
        <v>0</v>
      </c>
      <c r="AE1462">
        <v>1</v>
      </c>
      <c r="AF1462">
        <v>0</v>
      </c>
      <c r="AG1462">
        <v>0</v>
      </c>
    </row>
    <row r="1463" spans="1:33" hidden="1" x14ac:dyDescent="0.2">
      <c r="A1463">
        <v>1462</v>
      </c>
      <c r="B1463" t="s">
        <v>452</v>
      </c>
      <c r="C1463" t="s">
        <v>188</v>
      </c>
      <c r="D1463">
        <v>28</v>
      </c>
      <c r="E1463" t="s">
        <v>34</v>
      </c>
      <c r="F1463" t="s">
        <v>53</v>
      </c>
      <c r="G1463" t="s">
        <v>66</v>
      </c>
      <c r="H1463">
        <v>2951</v>
      </c>
      <c r="I1463">
        <v>0</v>
      </c>
      <c r="J1463">
        <v>0</v>
      </c>
      <c r="K1463">
        <v>0</v>
      </c>
      <c r="L1463">
        <v>0</v>
      </c>
      <c r="M1463" t="s">
        <v>36</v>
      </c>
      <c r="N1463" t="s">
        <v>36</v>
      </c>
      <c r="O1463" t="s">
        <v>36</v>
      </c>
      <c r="P1463" t="s">
        <v>442</v>
      </c>
      <c r="Q1463" t="s">
        <v>36</v>
      </c>
      <c r="R1463" t="s">
        <v>36</v>
      </c>
      <c r="S1463" t="s">
        <v>36</v>
      </c>
      <c r="T1463" t="s">
        <v>36</v>
      </c>
      <c r="U1463">
        <v>0</v>
      </c>
      <c r="V1463">
        <v>1</v>
      </c>
      <c r="W1463">
        <v>1</v>
      </c>
      <c r="X1463">
        <v>1</v>
      </c>
      <c r="Y1463">
        <v>0</v>
      </c>
      <c r="Z1463">
        <v>1</v>
      </c>
      <c r="AA1463">
        <v>0</v>
      </c>
      <c r="AB1463">
        <v>0</v>
      </c>
      <c r="AC1463">
        <v>0</v>
      </c>
      <c r="AD1463">
        <v>0</v>
      </c>
      <c r="AE1463">
        <v>1</v>
      </c>
      <c r="AF1463">
        <v>0</v>
      </c>
      <c r="AG1463">
        <v>0</v>
      </c>
    </row>
    <row r="1464" spans="1:33" x14ac:dyDescent="0.2">
      <c r="A1464">
        <v>1463</v>
      </c>
      <c r="B1464" t="s">
        <v>452</v>
      </c>
      <c r="C1464" t="s">
        <v>188</v>
      </c>
      <c r="D1464">
        <v>28</v>
      </c>
      <c r="E1464" t="s">
        <v>34</v>
      </c>
      <c r="F1464" t="s">
        <v>41</v>
      </c>
      <c r="G1464" t="s">
        <v>67</v>
      </c>
      <c r="H1464">
        <v>8286</v>
      </c>
      <c r="I1464">
        <v>1</v>
      </c>
      <c r="J1464">
        <v>0</v>
      </c>
      <c r="K1464">
        <v>0</v>
      </c>
      <c r="L1464">
        <v>0</v>
      </c>
      <c r="M1464" t="s">
        <v>68</v>
      </c>
      <c r="N1464" t="s">
        <v>109</v>
      </c>
      <c r="O1464" t="s">
        <v>69</v>
      </c>
      <c r="P1464" t="s">
        <v>442</v>
      </c>
      <c r="Q1464" t="s">
        <v>65</v>
      </c>
      <c r="R1464" t="s">
        <v>59</v>
      </c>
      <c r="S1464" t="s">
        <v>48</v>
      </c>
      <c r="T1464">
        <v>0</v>
      </c>
      <c r="U1464">
        <v>1</v>
      </c>
      <c r="V1464">
        <v>1</v>
      </c>
      <c r="W1464">
        <v>0</v>
      </c>
      <c r="X1464">
        <v>0</v>
      </c>
      <c r="Y1464">
        <v>0</v>
      </c>
      <c r="Z1464">
        <v>1</v>
      </c>
      <c r="AA1464">
        <v>0</v>
      </c>
      <c r="AB1464">
        <v>1</v>
      </c>
      <c r="AC1464">
        <v>0</v>
      </c>
      <c r="AD1464">
        <v>0</v>
      </c>
      <c r="AE1464">
        <v>0</v>
      </c>
      <c r="AF1464">
        <v>0</v>
      </c>
      <c r="AG1464">
        <v>0</v>
      </c>
    </row>
    <row r="1465" spans="1:33" hidden="1" x14ac:dyDescent="0.2">
      <c r="A1465">
        <v>1464</v>
      </c>
      <c r="B1465" t="s">
        <v>452</v>
      </c>
      <c r="C1465" t="s">
        <v>188</v>
      </c>
      <c r="D1465">
        <v>28</v>
      </c>
      <c r="E1465" t="s">
        <v>34</v>
      </c>
      <c r="F1465" t="s">
        <v>53</v>
      </c>
      <c r="G1465" t="s">
        <v>54</v>
      </c>
      <c r="H1465">
        <v>2520</v>
      </c>
      <c r="I1465">
        <v>1</v>
      </c>
      <c r="J1465">
        <v>0</v>
      </c>
      <c r="K1465">
        <v>0</v>
      </c>
      <c r="L1465">
        <v>0</v>
      </c>
      <c r="M1465" t="s">
        <v>36</v>
      </c>
      <c r="N1465" t="s">
        <v>36</v>
      </c>
      <c r="O1465" t="s">
        <v>36</v>
      </c>
      <c r="P1465" t="s">
        <v>442</v>
      </c>
      <c r="Q1465" t="s">
        <v>36</v>
      </c>
      <c r="R1465" t="s">
        <v>36</v>
      </c>
      <c r="S1465" t="s">
        <v>36</v>
      </c>
      <c r="T1465" t="s">
        <v>36</v>
      </c>
      <c r="U1465">
        <v>1</v>
      </c>
      <c r="V1465">
        <v>1</v>
      </c>
      <c r="W1465">
        <v>0</v>
      </c>
      <c r="X1465">
        <v>0</v>
      </c>
      <c r="Y1465">
        <v>0</v>
      </c>
      <c r="Z1465">
        <v>1</v>
      </c>
      <c r="AA1465">
        <v>0</v>
      </c>
      <c r="AB1465">
        <v>1</v>
      </c>
      <c r="AC1465">
        <v>0</v>
      </c>
      <c r="AD1465">
        <v>0</v>
      </c>
      <c r="AE1465">
        <v>0</v>
      </c>
      <c r="AF1465">
        <v>0</v>
      </c>
      <c r="AG1465">
        <v>0</v>
      </c>
    </row>
    <row r="1466" spans="1:33" x14ac:dyDescent="0.2">
      <c r="A1466">
        <v>1465</v>
      </c>
      <c r="B1466" t="s">
        <v>452</v>
      </c>
      <c r="C1466" t="s">
        <v>188</v>
      </c>
      <c r="D1466">
        <v>28</v>
      </c>
      <c r="E1466" t="s">
        <v>34</v>
      </c>
      <c r="F1466" t="s">
        <v>41</v>
      </c>
      <c r="G1466" t="s">
        <v>55</v>
      </c>
      <c r="H1466">
        <v>4266</v>
      </c>
      <c r="I1466">
        <v>1</v>
      </c>
      <c r="J1466">
        <v>0</v>
      </c>
      <c r="K1466">
        <v>0</v>
      </c>
      <c r="L1466">
        <v>0</v>
      </c>
      <c r="M1466" t="s">
        <v>58</v>
      </c>
      <c r="N1466" t="s">
        <v>85</v>
      </c>
      <c r="O1466" t="s">
        <v>94</v>
      </c>
      <c r="P1466" t="s">
        <v>442</v>
      </c>
      <c r="Q1466" t="s">
        <v>60</v>
      </c>
      <c r="R1466" t="s">
        <v>65</v>
      </c>
      <c r="S1466" t="s">
        <v>47</v>
      </c>
      <c r="T1466">
        <v>1</v>
      </c>
      <c r="U1466">
        <v>1</v>
      </c>
      <c r="V1466">
        <v>0</v>
      </c>
      <c r="W1466">
        <v>1</v>
      </c>
      <c r="X1466">
        <v>0</v>
      </c>
      <c r="Y1466">
        <v>0</v>
      </c>
      <c r="Z1466">
        <v>1</v>
      </c>
      <c r="AA1466">
        <v>1</v>
      </c>
      <c r="AB1466">
        <v>0</v>
      </c>
      <c r="AC1466">
        <v>0</v>
      </c>
      <c r="AD1466">
        <v>0</v>
      </c>
      <c r="AE1466">
        <v>0</v>
      </c>
      <c r="AF1466">
        <v>0</v>
      </c>
      <c r="AG1466">
        <v>0</v>
      </c>
    </row>
    <row r="1467" spans="1:33" x14ac:dyDescent="0.2">
      <c r="A1467">
        <v>1466</v>
      </c>
      <c r="B1467" t="s">
        <v>452</v>
      </c>
      <c r="C1467" t="s">
        <v>188</v>
      </c>
      <c r="D1467">
        <v>28</v>
      </c>
      <c r="E1467" t="s">
        <v>34</v>
      </c>
      <c r="F1467" t="s">
        <v>41</v>
      </c>
      <c r="G1467" t="s">
        <v>61</v>
      </c>
      <c r="H1467">
        <v>3726</v>
      </c>
      <c r="I1467">
        <v>1</v>
      </c>
      <c r="J1467">
        <v>0</v>
      </c>
      <c r="K1467">
        <v>0</v>
      </c>
      <c r="L1467">
        <v>0</v>
      </c>
      <c r="M1467" t="s">
        <v>63</v>
      </c>
      <c r="N1467" t="s">
        <v>125</v>
      </c>
      <c r="O1467" t="s">
        <v>62</v>
      </c>
      <c r="P1467" t="s">
        <v>442</v>
      </c>
      <c r="Q1467" t="s">
        <v>46</v>
      </c>
      <c r="R1467" t="s">
        <v>60</v>
      </c>
      <c r="S1467" t="s">
        <v>65</v>
      </c>
      <c r="T1467">
        <v>1</v>
      </c>
      <c r="U1467">
        <v>1</v>
      </c>
      <c r="V1467">
        <v>0</v>
      </c>
      <c r="W1467">
        <v>0</v>
      </c>
      <c r="X1467">
        <v>1</v>
      </c>
      <c r="Y1467">
        <v>0</v>
      </c>
      <c r="Z1467">
        <v>1</v>
      </c>
      <c r="AA1467">
        <v>0</v>
      </c>
      <c r="AB1467">
        <v>0</v>
      </c>
      <c r="AC1467">
        <v>0</v>
      </c>
      <c r="AD1467">
        <v>0</v>
      </c>
      <c r="AE1467">
        <v>1</v>
      </c>
      <c r="AF1467">
        <v>0</v>
      </c>
      <c r="AG1467">
        <v>0</v>
      </c>
    </row>
    <row r="1468" spans="1:33" hidden="1" x14ac:dyDescent="0.2">
      <c r="A1468">
        <v>1467</v>
      </c>
      <c r="B1468" t="s">
        <v>452</v>
      </c>
      <c r="C1468" t="s">
        <v>188</v>
      </c>
      <c r="D1468">
        <v>28</v>
      </c>
      <c r="E1468" t="s">
        <v>34</v>
      </c>
      <c r="F1468" t="s">
        <v>53</v>
      </c>
      <c r="G1468" t="s">
        <v>76</v>
      </c>
      <c r="H1468">
        <v>2968</v>
      </c>
      <c r="I1468">
        <v>1</v>
      </c>
      <c r="J1468">
        <v>0</v>
      </c>
      <c r="K1468">
        <v>0</v>
      </c>
      <c r="L1468">
        <v>0</v>
      </c>
      <c r="M1468" t="s">
        <v>36</v>
      </c>
      <c r="N1468" t="s">
        <v>36</v>
      </c>
      <c r="O1468" t="s">
        <v>36</v>
      </c>
      <c r="P1468" t="s">
        <v>442</v>
      </c>
      <c r="Q1468" t="s">
        <v>36</v>
      </c>
      <c r="R1468" t="s">
        <v>36</v>
      </c>
      <c r="S1468" t="s">
        <v>36</v>
      </c>
      <c r="T1468" t="s">
        <v>36</v>
      </c>
      <c r="U1468">
        <v>1</v>
      </c>
      <c r="V1468">
        <v>0</v>
      </c>
      <c r="W1468">
        <v>0</v>
      </c>
      <c r="X1468">
        <v>1</v>
      </c>
      <c r="Y1468">
        <v>0</v>
      </c>
      <c r="Z1468">
        <v>1</v>
      </c>
      <c r="AA1468">
        <v>0</v>
      </c>
      <c r="AB1468">
        <v>0</v>
      </c>
      <c r="AC1468">
        <v>0</v>
      </c>
      <c r="AD1468">
        <v>0</v>
      </c>
      <c r="AE1468">
        <v>1</v>
      </c>
      <c r="AF1468">
        <v>0</v>
      </c>
      <c r="AG1468">
        <v>0</v>
      </c>
    </row>
    <row r="1469" spans="1:33" x14ac:dyDescent="0.2">
      <c r="A1469">
        <v>1468</v>
      </c>
      <c r="B1469" t="s">
        <v>452</v>
      </c>
      <c r="C1469" t="s">
        <v>188</v>
      </c>
      <c r="D1469">
        <v>28</v>
      </c>
      <c r="E1469" t="s">
        <v>34</v>
      </c>
      <c r="F1469" t="s">
        <v>41</v>
      </c>
      <c r="G1469" t="s">
        <v>49</v>
      </c>
      <c r="H1469">
        <v>3738</v>
      </c>
      <c r="I1469">
        <v>1</v>
      </c>
      <c r="J1469">
        <v>0</v>
      </c>
      <c r="K1469">
        <v>0</v>
      </c>
      <c r="L1469">
        <v>0</v>
      </c>
      <c r="M1469" t="s">
        <v>52</v>
      </c>
      <c r="N1469" t="s">
        <v>50</v>
      </c>
      <c r="O1469" t="s">
        <v>95</v>
      </c>
      <c r="P1469" t="s">
        <v>442</v>
      </c>
      <c r="Q1469" t="s">
        <v>46</v>
      </c>
      <c r="R1469" t="s">
        <v>48</v>
      </c>
      <c r="S1469" t="s">
        <v>60</v>
      </c>
      <c r="T1469">
        <v>1</v>
      </c>
      <c r="U1469">
        <v>0</v>
      </c>
      <c r="V1469">
        <v>1</v>
      </c>
      <c r="W1469">
        <v>0</v>
      </c>
      <c r="X1469">
        <v>1</v>
      </c>
      <c r="Y1469">
        <v>0</v>
      </c>
      <c r="Z1469">
        <v>1</v>
      </c>
      <c r="AA1469">
        <v>0</v>
      </c>
      <c r="AB1469">
        <v>0</v>
      </c>
      <c r="AC1469">
        <v>0</v>
      </c>
      <c r="AD1469">
        <v>0</v>
      </c>
      <c r="AE1469">
        <v>1</v>
      </c>
      <c r="AF1469">
        <v>0</v>
      </c>
      <c r="AG1469">
        <v>0</v>
      </c>
    </row>
    <row r="1470" spans="1:33" hidden="1" x14ac:dyDescent="0.2">
      <c r="A1470">
        <v>1469</v>
      </c>
      <c r="B1470" t="s">
        <v>452</v>
      </c>
      <c r="C1470" t="s">
        <v>188</v>
      </c>
      <c r="D1470">
        <v>28</v>
      </c>
      <c r="E1470" t="s">
        <v>34</v>
      </c>
      <c r="F1470" t="s">
        <v>53</v>
      </c>
      <c r="G1470" t="s">
        <v>71</v>
      </c>
      <c r="H1470">
        <v>2177</v>
      </c>
      <c r="I1470">
        <v>1</v>
      </c>
      <c r="J1470">
        <v>0</v>
      </c>
      <c r="K1470">
        <v>0</v>
      </c>
      <c r="L1470">
        <v>0</v>
      </c>
      <c r="M1470" t="s">
        <v>36</v>
      </c>
      <c r="N1470" t="s">
        <v>36</v>
      </c>
      <c r="O1470" t="s">
        <v>36</v>
      </c>
      <c r="P1470" t="s">
        <v>442</v>
      </c>
      <c r="Q1470" t="s">
        <v>36</v>
      </c>
      <c r="R1470" t="s">
        <v>36</v>
      </c>
      <c r="S1470" t="s">
        <v>36</v>
      </c>
      <c r="T1470" t="s">
        <v>36</v>
      </c>
      <c r="U1470">
        <v>0</v>
      </c>
      <c r="V1470">
        <v>1</v>
      </c>
      <c r="W1470">
        <v>0</v>
      </c>
      <c r="X1470">
        <v>1</v>
      </c>
      <c r="Y1470">
        <v>0</v>
      </c>
      <c r="Z1470">
        <v>1</v>
      </c>
      <c r="AA1470">
        <v>0</v>
      </c>
      <c r="AB1470">
        <v>0</v>
      </c>
      <c r="AC1470">
        <v>0</v>
      </c>
      <c r="AD1470">
        <v>0</v>
      </c>
      <c r="AE1470">
        <v>1</v>
      </c>
      <c r="AF1470">
        <v>0</v>
      </c>
      <c r="AG1470">
        <v>0</v>
      </c>
    </row>
    <row r="1471" spans="1:33" hidden="1" x14ac:dyDescent="0.2">
      <c r="A1471">
        <v>1470</v>
      </c>
      <c r="B1471" t="s">
        <v>452</v>
      </c>
      <c r="C1471" t="s">
        <v>188</v>
      </c>
      <c r="D1471">
        <v>28</v>
      </c>
      <c r="E1471" t="s">
        <v>34</v>
      </c>
      <c r="F1471" t="s">
        <v>77</v>
      </c>
      <c r="G1471" t="s">
        <v>36</v>
      </c>
      <c r="H1471">
        <v>116004</v>
      </c>
      <c r="I1471" t="s">
        <v>453</v>
      </c>
      <c r="J1471" t="s">
        <v>454</v>
      </c>
      <c r="K1471" t="s">
        <v>455</v>
      </c>
      <c r="L1471" t="s">
        <v>36</v>
      </c>
      <c r="M1471" t="s">
        <v>36</v>
      </c>
      <c r="N1471" t="s">
        <v>36</v>
      </c>
      <c r="O1471" t="s">
        <v>36</v>
      </c>
      <c r="P1471" t="s">
        <v>442</v>
      </c>
      <c r="Q1471" t="s">
        <v>36</v>
      </c>
      <c r="R1471" t="s">
        <v>36</v>
      </c>
      <c r="S1471" t="s">
        <v>36</v>
      </c>
      <c r="T1471" t="s">
        <v>36</v>
      </c>
      <c r="U1471" t="s">
        <v>36</v>
      </c>
      <c r="V1471" t="s">
        <v>36</v>
      </c>
      <c r="W1471" t="s">
        <v>36</v>
      </c>
      <c r="X1471" t="s">
        <v>36</v>
      </c>
      <c r="Y1471" t="s">
        <v>36</v>
      </c>
      <c r="Z1471" t="s">
        <v>36</v>
      </c>
      <c r="AA1471" t="s">
        <v>36</v>
      </c>
      <c r="AB1471" t="s">
        <v>36</v>
      </c>
      <c r="AC1471" t="s">
        <v>36</v>
      </c>
      <c r="AD1471" t="s">
        <v>36</v>
      </c>
      <c r="AE1471" t="s">
        <v>36</v>
      </c>
      <c r="AF1471" t="s">
        <v>36</v>
      </c>
      <c r="AG1471" t="s">
        <v>36</v>
      </c>
    </row>
    <row r="1472" spans="1:33" hidden="1" x14ac:dyDescent="0.2">
      <c r="A1472">
        <v>1471</v>
      </c>
      <c r="B1472" t="s">
        <v>456</v>
      </c>
      <c r="C1472" t="s">
        <v>33</v>
      </c>
      <c r="D1472">
        <v>58</v>
      </c>
      <c r="E1472" t="s">
        <v>34</v>
      </c>
      <c r="F1472" t="s">
        <v>35</v>
      </c>
      <c r="G1472" t="s">
        <v>36</v>
      </c>
      <c r="H1472">
        <v>41002</v>
      </c>
      <c r="I1472" t="s">
        <v>36</v>
      </c>
      <c r="J1472" t="s">
        <v>36</v>
      </c>
      <c r="K1472" t="s">
        <v>36</v>
      </c>
      <c r="L1472" t="s">
        <v>36</v>
      </c>
      <c r="M1472" t="s">
        <v>36</v>
      </c>
      <c r="N1472" t="s">
        <v>36</v>
      </c>
      <c r="O1472" t="s">
        <v>36</v>
      </c>
      <c r="P1472" t="s">
        <v>442</v>
      </c>
      <c r="Q1472" t="s">
        <v>36</v>
      </c>
      <c r="R1472" t="s">
        <v>36</v>
      </c>
      <c r="S1472" t="s">
        <v>36</v>
      </c>
      <c r="T1472" t="s">
        <v>36</v>
      </c>
      <c r="U1472" t="s">
        <v>36</v>
      </c>
      <c r="V1472" t="s">
        <v>36</v>
      </c>
      <c r="W1472" t="s">
        <v>36</v>
      </c>
      <c r="X1472" t="s">
        <v>36</v>
      </c>
      <c r="Y1472" t="s">
        <v>36</v>
      </c>
      <c r="Z1472" t="s">
        <v>36</v>
      </c>
      <c r="AA1472" t="s">
        <v>36</v>
      </c>
      <c r="AB1472" t="s">
        <v>36</v>
      </c>
      <c r="AC1472" t="s">
        <v>36</v>
      </c>
      <c r="AD1472" t="s">
        <v>36</v>
      </c>
      <c r="AE1472" t="s">
        <v>36</v>
      </c>
      <c r="AF1472" t="s">
        <v>36</v>
      </c>
      <c r="AG1472" t="s">
        <v>36</v>
      </c>
    </row>
    <row r="1473" spans="1:33" hidden="1" x14ac:dyDescent="0.2">
      <c r="A1473">
        <v>1472</v>
      </c>
      <c r="B1473" t="s">
        <v>456</v>
      </c>
      <c r="C1473" t="s">
        <v>33</v>
      </c>
      <c r="D1473">
        <v>58</v>
      </c>
      <c r="E1473" t="s">
        <v>34</v>
      </c>
      <c r="F1473" t="s">
        <v>38</v>
      </c>
      <c r="G1473" t="s">
        <v>39</v>
      </c>
      <c r="H1473">
        <v>14755</v>
      </c>
      <c r="I1473">
        <v>1</v>
      </c>
      <c r="J1473">
        <v>0</v>
      </c>
      <c r="K1473">
        <v>0</v>
      </c>
      <c r="L1473">
        <v>0</v>
      </c>
      <c r="M1473" t="s">
        <v>36</v>
      </c>
      <c r="N1473" t="s">
        <v>36</v>
      </c>
      <c r="O1473" t="s">
        <v>36</v>
      </c>
      <c r="P1473" t="s">
        <v>442</v>
      </c>
      <c r="Q1473" t="s">
        <v>36</v>
      </c>
      <c r="R1473" t="s">
        <v>36</v>
      </c>
      <c r="S1473" t="s">
        <v>36</v>
      </c>
      <c r="T1473" t="s">
        <v>36</v>
      </c>
      <c r="U1473" t="s">
        <v>36</v>
      </c>
      <c r="V1473" t="s">
        <v>36</v>
      </c>
      <c r="W1473" t="s">
        <v>36</v>
      </c>
      <c r="X1473" t="s">
        <v>36</v>
      </c>
      <c r="Y1473" t="s">
        <v>36</v>
      </c>
      <c r="Z1473" t="s">
        <v>36</v>
      </c>
      <c r="AA1473" t="s">
        <v>36</v>
      </c>
      <c r="AB1473" t="s">
        <v>36</v>
      </c>
      <c r="AC1473" t="s">
        <v>36</v>
      </c>
      <c r="AD1473" t="s">
        <v>36</v>
      </c>
      <c r="AE1473" t="s">
        <v>36</v>
      </c>
      <c r="AF1473" t="s">
        <v>36</v>
      </c>
      <c r="AG1473" t="s">
        <v>36</v>
      </c>
    </row>
    <row r="1474" spans="1:33" hidden="1" x14ac:dyDescent="0.2">
      <c r="A1474">
        <v>1473</v>
      </c>
      <c r="B1474" t="s">
        <v>456</v>
      </c>
      <c r="C1474" t="s">
        <v>33</v>
      </c>
      <c r="D1474">
        <v>58</v>
      </c>
      <c r="E1474" t="s">
        <v>34</v>
      </c>
      <c r="F1474" t="s">
        <v>38</v>
      </c>
      <c r="G1474" t="s">
        <v>40</v>
      </c>
      <c r="H1474">
        <v>15940</v>
      </c>
      <c r="I1474">
        <v>1</v>
      </c>
      <c r="J1474">
        <v>0</v>
      </c>
      <c r="K1474">
        <v>0</v>
      </c>
      <c r="L1474">
        <v>0</v>
      </c>
      <c r="M1474" t="s">
        <v>36</v>
      </c>
      <c r="N1474" t="s">
        <v>36</v>
      </c>
      <c r="O1474" t="s">
        <v>36</v>
      </c>
      <c r="P1474" t="s">
        <v>442</v>
      </c>
      <c r="Q1474" t="s">
        <v>36</v>
      </c>
      <c r="R1474" t="s">
        <v>36</v>
      </c>
      <c r="S1474" t="s">
        <v>36</v>
      </c>
      <c r="T1474" t="s">
        <v>36</v>
      </c>
      <c r="U1474" t="s">
        <v>36</v>
      </c>
      <c r="V1474" t="s">
        <v>36</v>
      </c>
      <c r="W1474" t="s">
        <v>36</v>
      </c>
      <c r="X1474" t="s">
        <v>36</v>
      </c>
      <c r="Y1474" t="s">
        <v>36</v>
      </c>
      <c r="Z1474" t="s">
        <v>36</v>
      </c>
      <c r="AA1474" t="s">
        <v>36</v>
      </c>
      <c r="AB1474" t="s">
        <v>36</v>
      </c>
      <c r="AC1474" t="s">
        <v>36</v>
      </c>
      <c r="AD1474" t="s">
        <v>36</v>
      </c>
      <c r="AE1474" t="s">
        <v>36</v>
      </c>
      <c r="AF1474" t="s">
        <v>36</v>
      </c>
      <c r="AG1474" t="s">
        <v>36</v>
      </c>
    </row>
    <row r="1475" spans="1:33" x14ac:dyDescent="0.2">
      <c r="A1475">
        <v>1474</v>
      </c>
      <c r="B1475" t="s">
        <v>456</v>
      </c>
      <c r="C1475" t="s">
        <v>33</v>
      </c>
      <c r="D1475">
        <v>58</v>
      </c>
      <c r="E1475" t="s">
        <v>34</v>
      </c>
      <c r="F1475" t="s">
        <v>41</v>
      </c>
      <c r="G1475" t="s">
        <v>67</v>
      </c>
      <c r="H1475">
        <v>14414</v>
      </c>
      <c r="I1475">
        <v>0</v>
      </c>
      <c r="J1475">
        <v>1</v>
      </c>
      <c r="K1475">
        <v>0</v>
      </c>
      <c r="L1475">
        <v>0</v>
      </c>
      <c r="M1475" t="s">
        <v>103</v>
      </c>
      <c r="N1475" t="s">
        <v>68</v>
      </c>
      <c r="O1475" t="s">
        <v>69</v>
      </c>
      <c r="P1475" t="s">
        <v>442</v>
      </c>
      <c r="Q1475" t="s">
        <v>60</v>
      </c>
      <c r="R1475" t="s">
        <v>65</v>
      </c>
      <c r="S1475" t="s">
        <v>48</v>
      </c>
      <c r="T1475">
        <v>1</v>
      </c>
      <c r="U1475">
        <v>1</v>
      </c>
      <c r="V1475">
        <v>1</v>
      </c>
      <c r="W1475">
        <v>0</v>
      </c>
      <c r="X1475">
        <v>0</v>
      </c>
      <c r="Y1475">
        <v>0</v>
      </c>
      <c r="Z1475">
        <v>1</v>
      </c>
      <c r="AA1475">
        <v>0</v>
      </c>
      <c r="AB1475">
        <v>1</v>
      </c>
      <c r="AC1475">
        <v>0</v>
      </c>
      <c r="AD1475">
        <v>0</v>
      </c>
      <c r="AE1475">
        <v>0</v>
      </c>
      <c r="AF1475">
        <v>0</v>
      </c>
      <c r="AG1475">
        <v>0</v>
      </c>
    </row>
    <row r="1476" spans="1:33" hidden="1" x14ac:dyDescent="0.2">
      <c r="A1476">
        <v>1475</v>
      </c>
      <c r="B1476" t="s">
        <v>456</v>
      </c>
      <c r="C1476" t="s">
        <v>33</v>
      </c>
      <c r="D1476">
        <v>58</v>
      </c>
      <c r="E1476" t="s">
        <v>34</v>
      </c>
      <c r="F1476" t="s">
        <v>53</v>
      </c>
      <c r="G1476" t="s">
        <v>66</v>
      </c>
      <c r="H1476">
        <v>29365</v>
      </c>
      <c r="I1476">
        <v>1</v>
      </c>
      <c r="J1476">
        <v>1</v>
      </c>
      <c r="K1476">
        <v>1</v>
      </c>
      <c r="L1476">
        <v>1</v>
      </c>
      <c r="M1476" t="s">
        <v>36</v>
      </c>
      <c r="N1476" t="s">
        <v>36</v>
      </c>
      <c r="O1476" t="s">
        <v>36</v>
      </c>
      <c r="P1476" t="s">
        <v>442</v>
      </c>
      <c r="Q1476" t="s">
        <v>36</v>
      </c>
      <c r="R1476" t="s">
        <v>36</v>
      </c>
      <c r="S1476" t="s">
        <v>36</v>
      </c>
      <c r="T1476" t="s">
        <v>36</v>
      </c>
      <c r="U1476">
        <v>1</v>
      </c>
      <c r="V1476">
        <v>1</v>
      </c>
      <c r="W1476">
        <v>0</v>
      </c>
      <c r="X1476">
        <v>0</v>
      </c>
      <c r="Y1476">
        <v>0</v>
      </c>
      <c r="Z1476">
        <v>1</v>
      </c>
      <c r="AA1476">
        <v>0</v>
      </c>
      <c r="AB1476">
        <v>1</v>
      </c>
      <c r="AC1476">
        <v>0</v>
      </c>
      <c r="AD1476">
        <v>0</v>
      </c>
      <c r="AE1476">
        <v>0</v>
      </c>
      <c r="AF1476">
        <v>0</v>
      </c>
      <c r="AG1476">
        <v>0</v>
      </c>
    </row>
    <row r="1477" spans="1:33" x14ac:dyDescent="0.2">
      <c r="A1477">
        <v>1476</v>
      </c>
      <c r="B1477" t="s">
        <v>456</v>
      </c>
      <c r="C1477" t="s">
        <v>33</v>
      </c>
      <c r="D1477">
        <v>58</v>
      </c>
      <c r="E1477" t="s">
        <v>34</v>
      </c>
      <c r="F1477" t="s">
        <v>41</v>
      </c>
      <c r="G1477" t="s">
        <v>42</v>
      </c>
      <c r="H1477">
        <v>9687</v>
      </c>
      <c r="I1477">
        <v>0</v>
      </c>
      <c r="J1477">
        <v>0</v>
      </c>
      <c r="K1477">
        <v>0</v>
      </c>
      <c r="L1477">
        <v>0</v>
      </c>
      <c r="M1477" t="s">
        <v>43</v>
      </c>
      <c r="N1477" t="s">
        <v>82</v>
      </c>
      <c r="O1477" t="s">
        <v>45</v>
      </c>
      <c r="P1477" t="s">
        <v>442</v>
      </c>
      <c r="Q1477" t="s">
        <v>46</v>
      </c>
      <c r="R1477" t="s">
        <v>65</v>
      </c>
      <c r="S1477" t="s">
        <v>48</v>
      </c>
      <c r="T1477">
        <v>0</v>
      </c>
      <c r="U1477">
        <v>1</v>
      </c>
      <c r="V1477">
        <v>1</v>
      </c>
      <c r="W1477">
        <v>0</v>
      </c>
      <c r="X1477">
        <v>1</v>
      </c>
      <c r="Y1477">
        <v>0</v>
      </c>
      <c r="Z1477">
        <v>1</v>
      </c>
      <c r="AA1477">
        <v>0</v>
      </c>
      <c r="AB1477">
        <v>0</v>
      </c>
      <c r="AC1477">
        <v>0</v>
      </c>
      <c r="AD1477">
        <v>0</v>
      </c>
      <c r="AE1477">
        <v>0</v>
      </c>
      <c r="AF1477">
        <v>0</v>
      </c>
      <c r="AG1477">
        <v>0</v>
      </c>
    </row>
    <row r="1478" spans="1:33" x14ac:dyDescent="0.2">
      <c r="A1478">
        <v>1477</v>
      </c>
      <c r="B1478" t="s">
        <v>456</v>
      </c>
      <c r="C1478" t="s">
        <v>33</v>
      </c>
      <c r="D1478">
        <v>58</v>
      </c>
      <c r="E1478" t="s">
        <v>34</v>
      </c>
      <c r="F1478" t="s">
        <v>41</v>
      </c>
      <c r="G1478" t="s">
        <v>72</v>
      </c>
      <c r="H1478">
        <v>9434</v>
      </c>
      <c r="I1478">
        <v>0</v>
      </c>
      <c r="J1478">
        <v>0</v>
      </c>
      <c r="K1478">
        <v>1</v>
      </c>
      <c r="L1478">
        <v>0</v>
      </c>
      <c r="M1478" t="s">
        <v>74</v>
      </c>
      <c r="N1478" t="s">
        <v>73</v>
      </c>
      <c r="O1478" t="s">
        <v>75</v>
      </c>
      <c r="P1478" t="s">
        <v>442</v>
      </c>
      <c r="Q1478" t="s">
        <v>47</v>
      </c>
      <c r="R1478" t="s">
        <v>48</v>
      </c>
      <c r="S1478" t="s">
        <v>46</v>
      </c>
      <c r="T1478">
        <v>0</v>
      </c>
      <c r="U1478">
        <v>0</v>
      </c>
      <c r="V1478">
        <v>1</v>
      </c>
      <c r="W1478">
        <v>1</v>
      </c>
      <c r="X1478">
        <v>1</v>
      </c>
      <c r="Y1478">
        <v>0</v>
      </c>
      <c r="Z1478">
        <v>1</v>
      </c>
      <c r="AA1478">
        <v>0</v>
      </c>
      <c r="AB1478">
        <v>0</v>
      </c>
      <c r="AC1478">
        <v>0</v>
      </c>
      <c r="AD1478">
        <v>0</v>
      </c>
      <c r="AE1478">
        <v>1</v>
      </c>
      <c r="AF1478">
        <v>0</v>
      </c>
      <c r="AG1478">
        <v>0</v>
      </c>
    </row>
    <row r="1479" spans="1:33" hidden="1" x14ac:dyDescent="0.2">
      <c r="A1479">
        <v>1478</v>
      </c>
      <c r="B1479" t="s">
        <v>456</v>
      </c>
      <c r="C1479" t="s">
        <v>33</v>
      </c>
      <c r="D1479">
        <v>58</v>
      </c>
      <c r="E1479" t="s">
        <v>34</v>
      </c>
      <c r="F1479" t="s">
        <v>53</v>
      </c>
      <c r="G1479" t="s">
        <v>76</v>
      </c>
      <c r="H1479">
        <v>5580</v>
      </c>
      <c r="I1479">
        <v>1</v>
      </c>
      <c r="J1479">
        <v>0</v>
      </c>
      <c r="K1479">
        <v>0</v>
      </c>
      <c r="L1479">
        <v>0</v>
      </c>
      <c r="M1479" t="s">
        <v>36</v>
      </c>
      <c r="N1479" t="s">
        <v>36</v>
      </c>
      <c r="O1479" t="s">
        <v>36</v>
      </c>
      <c r="P1479" t="s">
        <v>442</v>
      </c>
      <c r="Q1479" t="s">
        <v>36</v>
      </c>
      <c r="R1479" t="s">
        <v>36</v>
      </c>
      <c r="S1479" t="s">
        <v>36</v>
      </c>
      <c r="T1479" t="s">
        <v>36</v>
      </c>
      <c r="U1479">
        <v>0</v>
      </c>
      <c r="V1479">
        <v>1</v>
      </c>
      <c r="W1479">
        <v>1</v>
      </c>
      <c r="X1479">
        <v>1</v>
      </c>
      <c r="Y1479">
        <v>0</v>
      </c>
      <c r="Z1479">
        <v>1</v>
      </c>
      <c r="AA1479">
        <v>0</v>
      </c>
      <c r="AB1479">
        <v>0</v>
      </c>
      <c r="AC1479">
        <v>0</v>
      </c>
      <c r="AD1479">
        <v>0</v>
      </c>
      <c r="AE1479">
        <v>1</v>
      </c>
      <c r="AF1479">
        <v>0</v>
      </c>
      <c r="AG1479">
        <v>0</v>
      </c>
    </row>
    <row r="1480" spans="1:33" x14ac:dyDescent="0.2">
      <c r="A1480">
        <v>1479</v>
      </c>
      <c r="B1480" t="s">
        <v>456</v>
      </c>
      <c r="C1480" t="s">
        <v>33</v>
      </c>
      <c r="D1480">
        <v>58</v>
      </c>
      <c r="E1480" t="s">
        <v>34</v>
      </c>
      <c r="F1480" t="s">
        <v>41</v>
      </c>
      <c r="G1480" t="s">
        <v>55</v>
      </c>
      <c r="H1480">
        <v>8792</v>
      </c>
      <c r="I1480">
        <v>0</v>
      </c>
      <c r="J1480">
        <v>1</v>
      </c>
      <c r="K1480">
        <v>0</v>
      </c>
      <c r="L1480">
        <v>0</v>
      </c>
      <c r="M1480" t="s">
        <v>94</v>
      </c>
      <c r="N1480" t="s">
        <v>57</v>
      </c>
      <c r="O1480" t="s">
        <v>85</v>
      </c>
      <c r="P1480" t="s">
        <v>442</v>
      </c>
      <c r="Q1480" t="s">
        <v>47</v>
      </c>
      <c r="R1480" t="s">
        <v>48</v>
      </c>
      <c r="S1480" t="s">
        <v>65</v>
      </c>
      <c r="T1480">
        <v>0</v>
      </c>
      <c r="U1480">
        <v>1</v>
      </c>
      <c r="V1480">
        <v>1</v>
      </c>
      <c r="W1480">
        <v>1</v>
      </c>
      <c r="X1480">
        <v>0</v>
      </c>
      <c r="Y1480">
        <v>0</v>
      </c>
      <c r="Z1480">
        <v>1</v>
      </c>
      <c r="AA1480">
        <v>0</v>
      </c>
      <c r="AB1480">
        <v>0</v>
      </c>
      <c r="AC1480">
        <v>1</v>
      </c>
      <c r="AD1480">
        <v>0</v>
      </c>
      <c r="AE1480">
        <v>0</v>
      </c>
      <c r="AF1480">
        <v>0</v>
      </c>
      <c r="AG1480">
        <v>0</v>
      </c>
    </row>
    <row r="1481" spans="1:33" hidden="1" x14ac:dyDescent="0.2">
      <c r="A1481">
        <v>1480</v>
      </c>
      <c r="B1481" t="s">
        <v>456</v>
      </c>
      <c r="C1481" t="s">
        <v>33</v>
      </c>
      <c r="D1481">
        <v>58</v>
      </c>
      <c r="E1481" t="s">
        <v>34</v>
      </c>
      <c r="F1481" t="s">
        <v>53</v>
      </c>
      <c r="G1481" t="s">
        <v>54</v>
      </c>
      <c r="H1481">
        <v>12728</v>
      </c>
      <c r="I1481">
        <v>1</v>
      </c>
      <c r="J1481">
        <v>1</v>
      </c>
      <c r="K1481">
        <v>1</v>
      </c>
      <c r="L1481">
        <v>1</v>
      </c>
      <c r="M1481" t="s">
        <v>36</v>
      </c>
      <c r="N1481" t="s">
        <v>36</v>
      </c>
      <c r="O1481" t="s">
        <v>36</v>
      </c>
      <c r="P1481" t="s">
        <v>442</v>
      </c>
      <c r="Q1481" t="s">
        <v>36</v>
      </c>
      <c r="R1481" t="s">
        <v>36</v>
      </c>
      <c r="S1481" t="s">
        <v>36</v>
      </c>
      <c r="T1481" t="s">
        <v>36</v>
      </c>
      <c r="U1481">
        <v>1</v>
      </c>
      <c r="V1481">
        <v>1</v>
      </c>
      <c r="W1481">
        <v>1</v>
      </c>
      <c r="X1481">
        <v>0</v>
      </c>
      <c r="Y1481">
        <v>0</v>
      </c>
      <c r="Z1481">
        <v>1</v>
      </c>
      <c r="AA1481">
        <v>0</v>
      </c>
      <c r="AB1481">
        <v>0</v>
      </c>
      <c r="AC1481">
        <v>1</v>
      </c>
      <c r="AD1481">
        <v>0</v>
      </c>
      <c r="AE1481">
        <v>0</v>
      </c>
      <c r="AF1481">
        <v>0</v>
      </c>
      <c r="AG1481">
        <v>0</v>
      </c>
    </row>
    <row r="1482" spans="1:33" x14ac:dyDescent="0.2">
      <c r="A1482">
        <v>1481</v>
      </c>
      <c r="B1482" t="s">
        <v>456</v>
      </c>
      <c r="C1482" t="s">
        <v>33</v>
      </c>
      <c r="D1482">
        <v>58</v>
      </c>
      <c r="E1482" t="s">
        <v>34</v>
      </c>
      <c r="F1482" t="s">
        <v>41</v>
      </c>
      <c r="G1482" t="s">
        <v>61</v>
      </c>
      <c r="H1482">
        <v>11206</v>
      </c>
      <c r="I1482">
        <v>1</v>
      </c>
      <c r="J1482">
        <v>1</v>
      </c>
      <c r="K1482">
        <v>1</v>
      </c>
      <c r="L1482">
        <v>0</v>
      </c>
      <c r="M1482" t="s">
        <v>64</v>
      </c>
      <c r="N1482" t="s">
        <v>87</v>
      </c>
      <c r="O1482" t="s">
        <v>125</v>
      </c>
      <c r="P1482" t="s">
        <v>442</v>
      </c>
      <c r="Q1482" t="s">
        <v>48</v>
      </c>
      <c r="R1482" t="s">
        <v>47</v>
      </c>
      <c r="S1482" t="s">
        <v>60</v>
      </c>
      <c r="T1482">
        <v>1</v>
      </c>
      <c r="U1482">
        <v>0</v>
      </c>
      <c r="V1482">
        <v>1</v>
      </c>
      <c r="W1482">
        <v>1</v>
      </c>
      <c r="X1482">
        <v>0</v>
      </c>
      <c r="Y1482">
        <v>0</v>
      </c>
      <c r="Z1482">
        <v>1</v>
      </c>
      <c r="AA1482">
        <v>1</v>
      </c>
      <c r="AB1482">
        <v>0</v>
      </c>
      <c r="AC1482">
        <v>1</v>
      </c>
      <c r="AD1482">
        <v>1</v>
      </c>
      <c r="AE1482">
        <v>0</v>
      </c>
      <c r="AF1482">
        <v>0</v>
      </c>
      <c r="AG1482">
        <v>0</v>
      </c>
    </row>
    <row r="1483" spans="1:33" x14ac:dyDescent="0.2">
      <c r="A1483">
        <v>1482</v>
      </c>
      <c r="B1483" t="s">
        <v>456</v>
      </c>
      <c r="C1483" t="s">
        <v>33</v>
      </c>
      <c r="D1483">
        <v>58</v>
      </c>
      <c r="E1483" t="s">
        <v>34</v>
      </c>
      <c r="F1483" t="s">
        <v>41</v>
      </c>
      <c r="G1483" t="s">
        <v>49</v>
      </c>
      <c r="H1483">
        <v>9360</v>
      </c>
      <c r="I1483">
        <v>1</v>
      </c>
      <c r="J1483">
        <v>1</v>
      </c>
      <c r="K1483">
        <v>1</v>
      </c>
      <c r="L1483">
        <v>0</v>
      </c>
      <c r="M1483" t="s">
        <v>83</v>
      </c>
      <c r="N1483" t="s">
        <v>95</v>
      </c>
      <c r="O1483" t="s">
        <v>52</v>
      </c>
      <c r="P1483" t="s">
        <v>442</v>
      </c>
      <c r="Q1483" t="s">
        <v>59</v>
      </c>
      <c r="R1483" t="s">
        <v>60</v>
      </c>
      <c r="S1483" t="s">
        <v>46</v>
      </c>
      <c r="T1483">
        <v>1</v>
      </c>
      <c r="U1483">
        <v>0</v>
      </c>
      <c r="V1483">
        <v>0</v>
      </c>
      <c r="W1483">
        <v>0</v>
      </c>
      <c r="X1483">
        <v>1</v>
      </c>
      <c r="Y1483">
        <v>0</v>
      </c>
      <c r="Z1483">
        <v>1</v>
      </c>
      <c r="AA1483">
        <v>1</v>
      </c>
      <c r="AB1483">
        <v>0</v>
      </c>
      <c r="AC1483">
        <v>0</v>
      </c>
      <c r="AD1483">
        <v>0</v>
      </c>
      <c r="AE1483">
        <v>1</v>
      </c>
      <c r="AF1483">
        <v>0</v>
      </c>
      <c r="AG1483">
        <v>0</v>
      </c>
    </row>
    <row r="1484" spans="1:33" hidden="1" x14ac:dyDescent="0.2">
      <c r="A1484">
        <v>1483</v>
      </c>
      <c r="B1484" t="s">
        <v>456</v>
      </c>
      <c r="C1484" t="s">
        <v>33</v>
      </c>
      <c r="D1484">
        <v>58</v>
      </c>
      <c r="E1484" t="s">
        <v>34</v>
      </c>
      <c r="F1484" t="s">
        <v>53</v>
      </c>
      <c r="G1484" t="s">
        <v>71</v>
      </c>
      <c r="H1484">
        <v>5436</v>
      </c>
      <c r="I1484">
        <v>0</v>
      </c>
      <c r="J1484">
        <v>1</v>
      </c>
      <c r="K1484">
        <v>0</v>
      </c>
      <c r="L1484">
        <v>0</v>
      </c>
      <c r="M1484" t="s">
        <v>36</v>
      </c>
      <c r="N1484" t="s">
        <v>36</v>
      </c>
      <c r="O1484" t="s">
        <v>36</v>
      </c>
      <c r="P1484" t="s">
        <v>442</v>
      </c>
      <c r="Q1484" t="s">
        <v>36</v>
      </c>
      <c r="R1484" t="s">
        <v>36</v>
      </c>
      <c r="S1484" t="s">
        <v>36</v>
      </c>
      <c r="T1484" t="s">
        <v>36</v>
      </c>
      <c r="U1484">
        <v>0</v>
      </c>
      <c r="V1484">
        <v>0</v>
      </c>
      <c r="W1484">
        <v>0</v>
      </c>
      <c r="X1484">
        <v>1</v>
      </c>
      <c r="Y1484">
        <v>0</v>
      </c>
      <c r="Z1484">
        <v>1</v>
      </c>
      <c r="AA1484">
        <v>1</v>
      </c>
      <c r="AB1484">
        <v>0</v>
      </c>
      <c r="AC1484">
        <v>0</v>
      </c>
      <c r="AD1484">
        <v>0</v>
      </c>
      <c r="AE1484">
        <v>1</v>
      </c>
      <c r="AF1484">
        <v>0</v>
      </c>
      <c r="AG1484">
        <v>0</v>
      </c>
    </row>
    <row r="1485" spans="1:33" hidden="1" x14ac:dyDescent="0.2">
      <c r="A1485">
        <v>1484</v>
      </c>
      <c r="B1485" t="s">
        <v>456</v>
      </c>
      <c r="C1485" t="s">
        <v>33</v>
      </c>
      <c r="D1485">
        <v>58</v>
      </c>
      <c r="E1485" t="s">
        <v>34</v>
      </c>
      <c r="F1485" t="s">
        <v>77</v>
      </c>
      <c r="G1485" t="s">
        <v>36</v>
      </c>
      <c r="H1485">
        <v>87111</v>
      </c>
      <c r="I1485" t="s">
        <v>457</v>
      </c>
      <c r="J1485" t="s">
        <v>458</v>
      </c>
      <c r="K1485" t="s">
        <v>443</v>
      </c>
      <c r="L1485" t="s">
        <v>36</v>
      </c>
      <c r="M1485" t="s">
        <v>36</v>
      </c>
      <c r="N1485" t="s">
        <v>36</v>
      </c>
      <c r="O1485" t="s">
        <v>36</v>
      </c>
      <c r="P1485" t="s">
        <v>442</v>
      </c>
      <c r="Q1485" t="s">
        <v>36</v>
      </c>
      <c r="R1485" t="s">
        <v>36</v>
      </c>
      <c r="S1485" t="s">
        <v>36</v>
      </c>
      <c r="T1485" t="s">
        <v>36</v>
      </c>
      <c r="U1485" t="s">
        <v>36</v>
      </c>
      <c r="V1485" t="s">
        <v>36</v>
      </c>
      <c r="W1485" t="s">
        <v>36</v>
      </c>
      <c r="X1485" t="s">
        <v>36</v>
      </c>
      <c r="Y1485" t="s">
        <v>36</v>
      </c>
      <c r="Z1485" t="s">
        <v>36</v>
      </c>
      <c r="AA1485" t="s">
        <v>36</v>
      </c>
      <c r="AB1485" t="s">
        <v>36</v>
      </c>
      <c r="AC1485" t="s">
        <v>36</v>
      </c>
      <c r="AD1485" t="s">
        <v>36</v>
      </c>
      <c r="AE1485" t="s">
        <v>36</v>
      </c>
      <c r="AF1485" t="s">
        <v>36</v>
      </c>
      <c r="AG1485" t="s">
        <v>36</v>
      </c>
    </row>
    <row r="1486" spans="1:33" hidden="1" x14ac:dyDescent="0.2">
      <c r="A1486">
        <v>1485</v>
      </c>
      <c r="B1486" t="s">
        <v>459</v>
      </c>
      <c r="C1486" t="s">
        <v>188</v>
      </c>
      <c r="D1486">
        <v>72</v>
      </c>
      <c r="E1486" t="s">
        <v>34</v>
      </c>
      <c r="F1486" t="s">
        <v>35</v>
      </c>
      <c r="G1486" t="s">
        <v>36</v>
      </c>
      <c r="H1486">
        <v>24087</v>
      </c>
      <c r="I1486" t="s">
        <v>36</v>
      </c>
      <c r="J1486" t="s">
        <v>36</v>
      </c>
      <c r="K1486" t="s">
        <v>36</v>
      </c>
      <c r="L1486" t="s">
        <v>36</v>
      </c>
      <c r="M1486" t="s">
        <v>36</v>
      </c>
      <c r="N1486" t="s">
        <v>36</v>
      </c>
      <c r="O1486" t="s">
        <v>36</v>
      </c>
      <c r="P1486" t="s">
        <v>442</v>
      </c>
      <c r="Q1486" t="s">
        <v>36</v>
      </c>
      <c r="R1486" t="s">
        <v>36</v>
      </c>
      <c r="S1486" t="s">
        <v>36</v>
      </c>
      <c r="T1486" t="s">
        <v>36</v>
      </c>
      <c r="U1486" t="s">
        <v>36</v>
      </c>
      <c r="V1486" t="s">
        <v>36</v>
      </c>
      <c r="W1486" t="s">
        <v>36</v>
      </c>
      <c r="X1486" t="s">
        <v>36</v>
      </c>
      <c r="Y1486" t="s">
        <v>36</v>
      </c>
      <c r="Z1486" t="s">
        <v>36</v>
      </c>
      <c r="AA1486" t="s">
        <v>36</v>
      </c>
      <c r="AB1486" t="s">
        <v>36</v>
      </c>
      <c r="AC1486" t="s">
        <v>36</v>
      </c>
      <c r="AD1486" t="s">
        <v>36</v>
      </c>
      <c r="AE1486" t="s">
        <v>36</v>
      </c>
      <c r="AF1486" t="s">
        <v>36</v>
      </c>
      <c r="AG1486" t="s">
        <v>36</v>
      </c>
    </row>
    <row r="1487" spans="1:33" hidden="1" x14ac:dyDescent="0.2">
      <c r="A1487">
        <v>1486</v>
      </c>
      <c r="B1487" t="s">
        <v>459</v>
      </c>
      <c r="C1487" t="s">
        <v>188</v>
      </c>
      <c r="D1487">
        <v>72</v>
      </c>
      <c r="E1487" t="s">
        <v>34</v>
      </c>
      <c r="F1487" t="s">
        <v>38</v>
      </c>
      <c r="G1487" t="s">
        <v>40</v>
      </c>
      <c r="H1487">
        <v>48521</v>
      </c>
      <c r="I1487">
        <v>1</v>
      </c>
      <c r="J1487">
        <v>1</v>
      </c>
      <c r="K1487">
        <v>1</v>
      </c>
      <c r="L1487">
        <v>1</v>
      </c>
      <c r="M1487" t="s">
        <v>36</v>
      </c>
      <c r="N1487" t="s">
        <v>36</v>
      </c>
      <c r="O1487" t="s">
        <v>36</v>
      </c>
      <c r="P1487" t="s">
        <v>442</v>
      </c>
      <c r="Q1487" t="s">
        <v>36</v>
      </c>
      <c r="R1487" t="s">
        <v>36</v>
      </c>
      <c r="S1487" t="s">
        <v>36</v>
      </c>
      <c r="T1487" t="s">
        <v>36</v>
      </c>
      <c r="U1487" t="s">
        <v>36</v>
      </c>
      <c r="V1487" t="s">
        <v>36</v>
      </c>
      <c r="W1487" t="s">
        <v>36</v>
      </c>
      <c r="X1487" t="s">
        <v>36</v>
      </c>
      <c r="Y1487" t="s">
        <v>36</v>
      </c>
      <c r="Z1487" t="s">
        <v>36</v>
      </c>
      <c r="AA1487" t="s">
        <v>36</v>
      </c>
      <c r="AB1487" t="s">
        <v>36</v>
      </c>
      <c r="AC1487" t="s">
        <v>36</v>
      </c>
      <c r="AD1487" t="s">
        <v>36</v>
      </c>
      <c r="AE1487" t="s">
        <v>36</v>
      </c>
      <c r="AF1487" t="s">
        <v>36</v>
      </c>
      <c r="AG1487" t="s">
        <v>36</v>
      </c>
    </row>
    <row r="1488" spans="1:33" hidden="1" x14ac:dyDescent="0.2">
      <c r="A1488">
        <v>1487</v>
      </c>
      <c r="B1488" t="s">
        <v>459</v>
      </c>
      <c r="C1488" t="s">
        <v>188</v>
      </c>
      <c r="D1488">
        <v>72</v>
      </c>
      <c r="E1488" t="s">
        <v>34</v>
      </c>
      <c r="F1488" t="s">
        <v>38</v>
      </c>
      <c r="G1488" t="s">
        <v>39</v>
      </c>
      <c r="H1488">
        <v>10292</v>
      </c>
      <c r="I1488">
        <v>1</v>
      </c>
      <c r="J1488">
        <v>1</v>
      </c>
      <c r="K1488">
        <v>1</v>
      </c>
      <c r="L1488">
        <v>1</v>
      </c>
      <c r="M1488" t="s">
        <v>36</v>
      </c>
      <c r="N1488" t="s">
        <v>36</v>
      </c>
      <c r="O1488" t="s">
        <v>36</v>
      </c>
      <c r="P1488" t="s">
        <v>442</v>
      </c>
      <c r="Q1488" t="s">
        <v>36</v>
      </c>
      <c r="R1488" t="s">
        <v>36</v>
      </c>
      <c r="S1488" t="s">
        <v>36</v>
      </c>
      <c r="T1488" t="s">
        <v>36</v>
      </c>
      <c r="U1488" t="s">
        <v>36</v>
      </c>
      <c r="V1488" t="s">
        <v>36</v>
      </c>
      <c r="W1488" t="s">
        <v>36</v>
      </c>
      <c r="X1488" t="s">
        <v>36</v>
      </c>
      <c r="Y1488" t="s">
        <v>36</v>
      </c>
      <c r="Z1488" t="s">
        <v>36</v>
      </c>
      <c r="AA1488" t="s">
        <v>36</v>
      </c>
      <c r="AB1488" t="s">
        <v>36</v>
      </c>
      <c r="AC1488" t="s">
        <v>36</v>
      </c>
      <c r="AD1488" t="s">
        <v>36</v>
      </c>
      <c r="AE1488" t="s">
        <v>36</v>
      </c>
      <c r="AF1488" t="s">
        <v>36</v>
      </c>
      <c r="AG1488" t="s">
        <v>36</v>
      </c>
    </row>
    <row r="1489" spans="1:33" x14ac:dyDescent="0.2">
      <c r="A1489">
        <v>1488</v>
      </c>
      <c r="B1489" t="s">
        <v>459</v>
      </c>
      <c r="C1489" t="s">
        <v>188</v>
      </c>
      <c r="D1489">
        <v>72</v>
      </c>
      <c r="E1489" t="s">
        <v>34</v>
      </c>
      <c r="F1489" t="s">
        <v>41</v>
      </c>
      <c r="G1489" t="s">
        <v>67</v>
      </c>
      <c r="H1489">
        <v>10261</v>
      </c>
      <c r="I1489">
        <v>1</v>
      </c>
      <c r="J1489">
        <v>1</v>
      </c>
      <c r="K1489">
        <v>1</v>
      </c>
      <c r="L1489">
        <v>0</v>
      </c>
      <c r="M1489" t="s">
        <v>69</v>
      </c>
      <c r="N1489" t="s">
        <v>86</v>
      </c>
      <c r="O1489" t="s">
        <v>103</v>
      </c>
      <c r="P1489" t="s">
        <v>442</v>
      </c>
      <c r="Q1489" t="s">
        <v>48</v>
      </c>
      <c r="R1489" t="s">
        <v>46</v>
      </c>
      <c r="S1489" t="s">
        <v>60</v>
      </c>
      <c r="T1489">
        <v>1</v>
      </c>
      <c r="U1489">
        <v>0</v>
      </c>
      <c r="V1489">
        <v>1</v>
      </c>
      <c r="W1489">
        <v>0</v>
      </c>
      <c r="X1489">
        <v>1</v>
      </c>
      <c r="Y1489">
        <v>0</v>
      </c>
      <c r="Z1489">
        <v>1</v>
      </c>
      <c r="AA1489">
        <v>1</v>
      </c>
      <c r="AB1489">
        <v>0</v>
      </c>
      <c r="AC1489">
        <v>1</v>
      </c>
      <c r="AD1489">
        <v>0</v>
      </c>
      <c r="AE1489">
        <v>1</v>
      </c>
      <c r="AF1489">
        <v>0</v>
      </c>
      <c r="AG1489">
        <v>0</v>
      </c>
    </row>
    <row r="1490" spans="1:33" x14ac:dyDescent="0.2">
      <c r="A1490">
        <v>1489</v>
      </c>
      <c r="B1490" t="s">
        <v>459</v>
      </c>
      <c r="C1490" t="s">
        <v>188</v>
      </c>
      <c r="D1490">
        <v>72</v>
      </c>
      <c r="E1490" t="s">
        <v>34</v>
      </c>
      <c r="F1490" t="s">
        <v>41</v>
      </c>
      <c r="G1490" t="s">
        <v>61</v>
      </c>
      <c r="H1490">
        <v>7855</v>
      </c>
      <c r="I1490">
        <v>1</v>
      </c>
      <c r="J1490">
        <v>1</v>
      </c>
      <c r="K1490">
        <v>1</v>
      </c>
      <c r="L1490">
        <v>0</v>
      </c>
      <c r="M1490" t="s">
        <v>64</v>
      </c>
      <c r="N1490" t="s">
        <v>97</v>
      </c>
      <c r="O1490" t="s">
        <v>63</v>
      </c>
      <c r="P1490" t="s">
        <v>442</v>
      </c>
      <c r="Q1490" t="s">
        <v>48</v>
      </c>
      <c r="R1490" t="s">
        <v>59</v>
      </c>
      <c r="S1490" t="s">
        <v>46</v>
      </c>
      <c r="T1490">
        <v>0</v>
      </c>
      <c r="U1490">
        <v>0</v>
      </c>
      <c r="V1490">
        <v>1</v>
      </c>
      <c r="W1490">
        <v>0</v>
      </c>
      <c r="X1490">
        <v>1</v>
      </c>
      <c r="Y1490">
        <v>0</v>
      </c>
      <c r="Z1490">
        <v>1</v>
      </c>
      <c r="AA1490">
        <v>0</v>
      </c>
      <c r="AB1490">
        <v>0</v>
      </c>
      <c r="AC1490">
        <v>1</v>
      </c>
      <c r="AD1490">
        <v>0</v>
      </c>
      <c r="AE1490">
        <v>1</v>
      </c>
      <c r="AF1490">
        <v>0</v>
      </c>
      <c r="AG1490">
        <v>0</v>
      </c>
    </row>
    <row r="1491" spans="1:33" hidden="1" x14ac:dyDescent="0.2">
      <c r="A1491">
        <v>1490</v>
      </c>
      <c r="B1491" t="s">
        <v>459</v>
      </c>
      <c r="C1491" t="s">
        <v>188</v>
      </c>
      <c r="D1491">
        <v>72</v>
      </c>
      <c r="E1491" t="s">
        <v>34</v>
      </c>
      <c r="F1491" t="s">
        <v>53</v>
      </c>
      <c r="G1491" t="s">
        <v>66</v>
      </c>
      <c r="H1491">
        <v>6078</v>
      </c>
      <c r="I1491">
        <v>1</v>
      </c>
      <c r="J1491">
        <v>1</v>
      </c>
      <c r="K1491">
        <v>1</v>
      </c>
      <c r="L1491">
        <v>0</v>
      </c>
      <c r="M1491" t="s">
        <v>36</v>
      </c>
      <c r="N1491" t="s">
        <v>36</v>
      </c>
      <c r="O1491" t="s">
        <v>36</v>
      </c>
      <c r="P1491" t="s">
        <v>442</v>
      </c>
      <c r="Q1491" t="s">
        <v>36</v>
      </c>
      <c r="R1491" t="s">
        <v>36</v>
      </c>
      <c r="S1491" t="s">
        <v>36</v>
      </c>
      <c r="T1491" t="s">
        <v>36</v>
      </c>
      <c r="U1491">
        <v>0</v>
      </c>
      <c r="V1491">
        <v>1</v>
      </c>
      <c r="W1491">
        <v>0</v>
      </c>
      <c r="X1491">
        <v>1</v>
      </c>
      <c r="Y1491">
        <v>0</v>
      </c>
      <c r="Z1491">
        <v>1</v>
      </c>
      <c r="AA1491">
        <v>0</v>
      </c>
      <c r="AB1491">
        <v>0</v>
      </c>
      <c r="AC1491">
        <v>1</v>
      </c>
      <c r="AD1491">
        <v>0</v>
      </c>
      <c r="AE1491">
        <v>1</v>
      </c>
      <c r="AF1491">
        <v>0</v>
      </c>
      <c r="AG1491">
        <v>0</v>
      </c>
    </row>
    <row r="1492" spans="1:33" x14ac:dyDescent="0.2">
      <c r="A1492">
        <v>1491</v>
      </c>
      <c r="B1492" t="s">
        <v>459</v>
      </c>
      <c r="C1492" t="s">
        <v>188</v>
      </c>
      <c r="D1492">
        <v>72</v>
      </c>
      <c r="E1492" t="s">
        <v>34</v>
      </c>
      <c r="F1492" t="s">
        <v>41</v>
      </c>
      <c r="G1492" t="s">
        <v>49</v>
      </c>
      <c r="H1492">
        <v>5102</v>
      </c>
      <c r="I1492">
        <v>1</v>
      </c>
      <c r="J1492">
        <v>1</v>
      </c>
      <c r="K1492">
        <v>1</v>
      </c>
      <c r="L1492">
        <v>0</v>
      </c>
      <c r="M1492" t="s">
        <v>95</v>
      </c>
      <c r="N1492" t="s">
        <v>50</v>
      </c>
      <c r="O1492" t="s">
        <v>52</v>
      </c>
      <c r="P1492" t="s">
        <v>442</v>
      </c>
      <c r="Q1492" t="s">
        <v>60</v>
      </c>
      <c r="R1492" t="s">
        <v>48</v>
      </c>
      <c r="S1492" t="s">
        <v>46</v>
      </c>
      <c r="T1492">
        <v>1</v>
      </c>
      <c r="U1492">
        <v>0</v>
      </c>
      <c r="V1492">
        <v>1</v>
      </c>
      <c r="W1492">
        <v>0</v>
      </c>
      <c r="X1492">
        <v>1</v>
      </c>
      <c r="Y1492">
        <v>0</v>
      </c>
      <c r="Z1492">
        <v>1</v>
      </c>
      <c r="AA1492">
        <v>1</v>
      </c>
      <c r="AB1492">
        <v>0</v>
      </c>
      <c r="AC1492">
        <v>1</v>
      </c>
      <c r="AD1492">
        <v>0</v>
      </c>
      <c r="AE1492">
        <v>1</v>
      </c>
      <c r="AF1492">
        <v>0</v>
      </c>
      <c r="AG1492">
        <v>0</v>
      </c>
    </row>
    <row r="1493" spans="1:33" x14ac:dyDescent="0.2">
      <c r="A1493">
        <v>1492</v>
      </c>
      <c r="B1493" t="s">
        <v>459</v>
      </c>
      <c r="C1493" t="s">
        <v>188</v>
      </c>
      <c r="D1493">
        <v>72</v>
      </c>
      <c r="E1493" t="s">
        <v>34</v>
      </c>
      <c r="F1493" t="s">
        <v>41</v>
      </c>
      <c r="G1493" t="s">
        <v>55</v>
      </c>
      <c r="H1493">
        <v>5806</v>
      </c>
      <c r="I1493">
        <v>1</v>
      </c>
      <c r="J1493">
        <v>1</v>
      </c>
      <c r="K1493">
        <v>1</v>
      </c>
      <c r="L1493">
        <v>0</v>
      </c>
      <c r="M1493" t="s">
        <v>94</v>
      </c>
      <c r="N1493" t="s">
        <v>84</v>
      </c>
      <c r="O1493" t="s">
        <v>57</v>
      </c>
      <c r="P1493" t="s">
        <v>442</v>
      </c>
      <c r="Q1493" t="s">
        <v>47</v>
      </c>
      <c r="R1493" t="s">
        <v>46</v>
      </c>
      <c r="S1493" t="s">
        <v>48</v>
      </c>
      <c r="T1493">
        <v>0</v>
      </c>
      <c r="U1493">
        <v>0</v>
      </c>
      <c r="V1493">
        <v>1</v>
      </c>
      <c r="W1493">
        <v>1</v>
      </c>
      <c r="X1493">
        <v>1</v>
      </c>
      <c r="Y1493">
        <v>0</v>
      </c>
      <c r="Z1493">
        <v>1</v>
      </c>
      <c r="AA1493">
        <v>0</v>
      </c>
      <c r="AB1493">
        <v>0</v>
      </c>
      <c r="AC1493">
        <v>1</v>
      </c>
      <c r="AD1493">
        <v>1</v>
      </c>
      <c r="AE1493">
        <v>1</v>
      </c>
      <c r="AF1493">
        <v>0</v>
      </c>
      <c r="AG1493">
        <v>0</v>
      </c>
    </row>
    <row r="1494" spans="1:33" hidden="1" x14ac:dyDescent="0.2">
      <c r="A1494">
        <v>1493</v>
      </c>
      <c r="B1494" t="s">
        <v>459</v>
      </c>
      <c r="C1494" t="s">
        <v>188</v>
      </c>
      <c r="D1494">
        <v>72</v>
      </c>
      <c r="E1494" t="s">
        <v>34</v>
      </c>
      <c r="F1494" t="s">
        <v>53</v>
      </c>
      <c r="G1494" t="s">
        <v>71</v>
      </c>
      <c r="H1494">
        <v>32986</v>
      </c>
      <c r="I1494">
        <v>0</v>
      </c>
      <c r="J1494">
        <v>1</v>
      </c>
      <c r="K1494">
        <v>0</v>
      </c>
      <c r="L1494">
        <v>0</v>
      </c>
      <c r="M1494" t="s">
        <v>36</v>
      </c>
      <c r="N1494" t="s">
        <v>36</v>
      </c>
      <c r="O1494" t="s">
        <v>36</v>
      </c>
      <c r="P1494" t="s">
        <v>442</v>
      </c>
      <c r="Q1494" t="s">
        <v>36</v>
      </c>
      <c r="R1494" t="s">
        <v>36</v>
      </c>
      <c r="S1494" t="s">
        <v>36</v>
      </c>
      <c r="T1494" t="s">
        <v>36</v>
      </c>
      <c r="U1494">
        <v>0</v>
      </c>
      <c r="V1494">
        <v>1</v>
      </c>
      <c r="W1494">
        <v>1</v>
      </c>
      <c r="X1494">
        <v>1</v>
      </c>
      <c r="Y1494">
        <v>0</v>
      </c>
      <c r="Z1494">
        <v>1</v>
      </c>
      <c r="AA1494">
        <v>0</v>
      </c>
      <c r="AB1494">
        <v>0</v>
      </c>
      <c r="AC1494">
        <v>1</v>
      </c>
      <c r="AD1494">
        <v>1</v>
      </c>
      <c r="AE1494">
        <v>1</v>
      </c>
      <c r="AF1494">
        <v>0</v>
      </c>
      <c r="AG1494">
        <v>0</v>
      </c>
    </row>
    <row r="1495" spans="1:33" x14ac:dyDescent="0.2">
      <c r="A1495">
        <v>1494</v>
      </c>
      <c r="B1495" t="s">
        <v>459</v>
      </c>
      <c r="C1495" t="s">
        <v>188</v>
      </c>
      <c r="D1495">
        <v>72</v>
      </c>
      <c r="E1495" t="s">
        <v>34</v>
      </c>
      <c r="F1495" t="s">
        <v>41</v>
      </c>
      <c r="G1495" t="s">
        <v>42</v>
      </c>
      <c r="H1495">
        <v>6180</v>
      </c>
      <c r="I1495">
        <v>1</v>
      </c>
      <c r="J1495">
        <v>1</v>
      </c>
      <c r="K1495">
        <v>1</v>
      </c>
      <c r="L1495">
        <v>0</v>
      </c>
      <c r="M1495" t="s">
        <v>82</v>
      </c>
      <c r="N1495" t="s">
        <v>45</v>
      </c>
      <c r="O1495" t="s">
        <v>43</v>
      </c>
      <c r="P1495" t="s">
        <v>442</v>
      </c>
      <c r="Q1495" t="s">
        <v>65</v>
      </c>
      <c r="R1495" t="s">
        <v>48</v>
      </c>
      <c r="S1495" t="s">
        <v>46</v>
      </c>
      <c r="T1495">
        <v>0</v>
      </c>
      <c r="U1495">
        <v>1</v>
      </c>
      <c r="V1495">
        <v>1</v>
      </c>
      <c r="W1495">
        <v>0</v>
      </c>
      <c r="X1495">
        <v>1</v>
      </c>
      <c r="Y1495">
        <v>0</v>
      </c>
      <c r="Z1495">
        <v>1</v>
      </c>
      <c r="AA1495">
        <v>0</v>
      </c>
      <c r="AB1495">
        <v>1</v>
      </c>
      <c r="AC1495">
        <v>1</v>
      </c>
      <c r="AD1495">
        <v>0</v>
      </c>
      <c r="AE1495">
        <v>1</v>
      </c>
      <c r="AF1495">
        <v>0</v>
      </c>
      <c r="AG1495">
        <v>0</v>
      </c>
    </row>
    <row r="1496" spans="1:33" hidden="1" x14ac:dyDescent="0.2">
      <c r="A1496">
        <v>1495</v>
      </c>
      <c r="B1496" t="s">
        <v>459</v>
      </c>
      <c r="C1496" t="s">
        <v>188</v>
      </c>
      <c r="D1496">
        <v>72</v>
      </c>
      <c r="E1496" t="s">
        <v>34</v>
      </c>
      <c r="F1496" t="s">
        <v>53</v>
      </c>
      <c r="G1496" t="s">
        <v>54</v>
      </c>
      <c r="H1496">
        <v>5060</v>
      </c>
      <c r="I1496">
        <v>1</v>
      </c>
      <c r="J1496">
        <v>1</v>
      </c>
      <c r="K1496">
        <v>1</v>
      </c>
      <c r="L1496">
        <v>0</v>
      </c>
      <c r="M1496" t="s">
        <v>36</v>
      </c>
      <c r="N1496" t="s">
        <v>36</v>
      </c>
      <c r="O1496" t="s">
        <v>36</v>
      </c>
      <c r="P1496" t="s">
        <v>442</v>
      </c>
      <c r="Q1496" t="s">
        <v>36</v>
      </c>
      <c r="R1496" t="s">
        <v>36</v>
      </c>
      <c r="S1496" t="s">
        <v>36</v>
      </c>
      <c r="T1496" t="s">
        <v>36</v>
      </c>
      <c r="U1496">
        <v>1</v>
      </c>
      <c r="V1496">
        <v>1</v>
      </c>
      <c r="W1496">
        <v>0</v>
      </c>
      <c r="X1496">
        <v>1</v>
      </c>
      <c r="Y1496">
        <v>0</v>
      </c>
      <c r="Z1496">
        <v>1</v>
      </c>
      <c r="AA1496">
        <v>0</v>
      </c>
      <c r="AB1496">
        <v>1</v>
      </c>
      <c r="AC1496">
        <v>1</v>
      </c>
      <c r="AD1496">
        <v>0</v>
      </c>
      <c r="AE1496">
        <v>1</v>
      </c>
      <c r="AF1496">
        <v>0</v>
      </c>
      <c r="AG1496">
        <v>0</v>
      </c>
    </row>
    <row r="1497" spans="1:33" x14ac:dyDescent="0.2">
      <c r="A1497">
        <v>1496</v>
      </c>
      <c r="B1497" t="s">
        <v>459</v>
      </c>
      <c r="C1497" t="s">
        <v>188</v>
      </c>
      <c r="D1497">
        <v>72</v>
      </c>
      <c r="E1497" t="s">
        <v>34</v>
      </c>
      <c r="F1497" t="s">
        <v>41</v>
      </c>
      <c r="G1497" t="s">
        <v>72</v>
      </c>
      <c r="H1497">
        <v>7998</v>
      </c>
      <c r="I1497">
        <v>1</v>
      </c>
      <c r="J1497">
        <v>1</v>
      </c>
      <c r="K1497">
        <v>1</v>
      </c>
      <c r="L1497">
        <v>0</v>
      </c>
      <c r="M1497" t="s">
        <v>115</v>
      </c>
      <c r="N1497" t="s">
        <v>104</v>
      </c>
      <c r="O1497" t="s">
        <v>74</v>
      </c>
      <c r="P1497" t="s">
        <v>442</v>
      </c>
      <c r="Q1497" t="s">
        <v>65</v>
      </c>
      <c r="R1497" t="s">
        <v>60</v>
      </c>
      <c r="S1497" t="s">
        <v>47</v>
      </c>
      <c r="T1497">
        <v>1</v>
      </c>
      <c r="U1497">
        <v>1</v>
      </c>
      <c r="V1497">
        <v>0</v>
      </c>
      <c r="W1497">
        <v>1</v>
      </c>
      <c r="X1497">
        <v>0</v>
      </c>
      <c r="Y1497">
        <v>0</v>
      </c>
      <c r="Z1497">
        <v>1</v>
      </c>
      <c r="AA1497">
        <v>1</v>
      </c>
      <c r="AB1497">
        <v>1</v>
      </c>
      <c r="AC1497">
        <v>0</v>
      </c>
      <c r="AD1497">
        <v>1</v>
      </c>
      <c r="AE1497">
        <v>0</v>
      </c>
      <c r="AF1497">
        <v>0</v>
      </c>
      <c r="AG1497">
        <v>0</v>
      </c>
    </row>
    <row r="1498" spans="1:33" hidden="1" x14ac:dyDescent="0.2">
      <c r="A1498">
        <v>1497</v>
      </c>
      <c r="B1498" t="s">
        <v>459</v>
      </c>
      <c r="C1498" t="s">
        <v>188</v>
      </c>
      <c r="D1498">
        <v>72</v>
      </c>
      <c r="E1498" t="s">
        <v>34</v>
      </c>
      <c r="F1498" t="s">
        <v>53</v>
      </c>
      <c r="G1498" t="s">
        <v>76</v>
      </c>
      <c r="H1498">
        <v>5336</v>
      </c>
      <c r="I1498">
        <v>1</v>
      </c>
      <c r="J1498">
        <v>1</v>
      </c>
      <c r="K1498">
        <v>1</v>
      </c>
      <c r="L1498">
        <v>0</v>
      </c>
      <c r="M1498" t="s">
        <v>36</v>
      </c>
      <c r="N1498" t="s">
        <v>36</v>
      </c>
      <c r="O1498" t="s">
        <v>36</v>
      </c>
      <c r="P1498" t="s">
        <v>442</v>
      </c>
      <c r="Q1498" t="s">
        <v>36</v>
      </c>
      <c r="R1498" t="s">
        <v>36</v>
      </c>
      <c r="S1498" t="s">
        <v>36</v>
      </c>
      <c r="T1498" t="s">
        <v>36</v>
      </c>
      <c r="U1498">
        <v>1</v>
      </c>
      <c r="V1498">
        <v>0</v>
      </c>
      <c r="W1498">
        <v>1</v>
      </c>
      <c r="X1498">
        <v>0</v>
      </c>
      <c r="Y1498">
        <v>0</v>
      </c>
      <c r="Z1498">
        <v>1</v>
      </c>
      <c r="AA1498">
        <v>1</v>
      </c>
      <c r="AB1498">
        <v>1</v>
      </c>
      <c r="AC1498">
        <v>0</v>
      </c>
      <c r="AD1498">
        <v>1</v>
      </c>
      <c r="AE1498">
        <v>0</v>
      </c>
      <c r="AF1498">
        <v>0</v>
      </c>
      <c r="AG1498">
        <v>0</v>
      </c>
    </row>
    <row r="1499" spans="1:33" hidden="1" x14ac:dyDescent="0.2">
      <c r="A1499">
        <v>1498</v>
      </c>
      <c r="B1499" t="s">
        <v>459</v>
      </c>
      <c r="C1499" t="s">
        <v>188</v>
      </c>
      <c r="D1499">
        <v>72</v>
      </c>
      <c r="E1499" t="s">
        <v>34</v>
      </c>
      <c r="F1499" t="s">
        <v>77</v>
      </c>
      <c r="G1499" t="s">
        <v>36</v>
      </c>
      <c r="H1499">
        <v>49188</v>
      </c>
      <c r="I1499" t="s">
        <v>460</v>
      </c>
      <c r="J1499" t="s">
        <v>190</v>
      </c>
      <c r="K1499" t="s">
        <v>461</v>
      </c>
      <c r="L1499" t="s">
        <v>36</v>
      </c>
      <c r="M1499" t="s">
        <v>36</v>
      </c>
      <c r="N1499" t="s">
        <v>36</v>
      </c>
      <c r="O1499" t="s">
        <v>36</v>
      </c>
      <c r="P1499" t="s">
        <v>442</v>
      </c>
      <c r="Q1499" t="s">
        <v>36</v>
      </c>
      <c r="R1499" t="s">
        <v>36</v>
      </c>
      <c r="S1499" t="s">
        <v>36</v>
      </c>
      <c r="T1499" t="s">
        <v>36</v>
      </c>
      <c r="U1499" t="s">
        <v>36</v>
      </c>
      <c r="V1499" t="s">
        <v>36</v>
      </c>
      <c r="W1499" t="s">
        <v>36</v>
      </c>
      <c r="X1499" t="s">
        <v>36</v>
      </c>
      <c r="Y1499" t="s">
        <v>36</v>
      </c>
      <c r="Z1499" t="s">
        <v>36</v>
      </c>
      <c r="AA1499" t="s">
        <v>36</v>
      </c>
      <c r="AB1499" t="s">
        <v>36</v>
      </c>
      <c r="AC1499" t="s">
        <v>36</v>
      </c>
      <c r="AD1499" t="s">
        <v>36</v>
      </c>
      <c r="AE1499" t="s">
        <v>36</v>
      </c>
      <c r="AF1499" t="s">
        <v>36</v>
      </c>
      <c r="AG1499" t="s">
        <v>36</v>
      </c>
    </row>
    <row r="1500" spans="1:33" hidden="1" x14ac:dyDescent="0.2">
      <c r="A1500">
        <v>1499</v>
      </c>
      <c r="B1500" t="s">
        <v>462</v>
      </c>
      <c r="C1500" t="s">
        <v>108</v>
      </c>
      <c r="D1500">
        <v>51</v>
      </c>
      <c r="E1500" t="s">
        <v>34</v>
      </c>
      <c r="F1500" t="s">
        <v>35</v>
      </c>
      <c r="G1500" t="s">
        <v>36</v>
      </c>
      <c r="H1500">
        <v>41911</v>
      </c>
      <c r="I1500" t="s">
        <v>36</v>
      </c>
      <c r="J1500" t="s">
        <v>36</v>
      </c>
      <c r="K1500" t="s">
        <v>36</v>
      </c>
      <c r="L1500" t="s">
        <v>36</v>
      </c>
      <c r="M1500" t="s">
        <v>36</v>
      </c>
      <c r="N1500" t="s">
        <v>36</v>
      </c>
      <c r="O1500" t="s">
        <v>36</v>
      </c>
      <c r="P1500" t="s">
        <v>442</v>
      </c>
      <c r="Q1500" t="s">
        <v>36</v>
      </c>
      <c r="R1500" t="s">
        <v>36</v>
      </c>
      <c r="S1500" t="s">
        <v>36</v>
      </c>
      <c r="T1500" t="s">
        <v>36</v>
      </c>
      <c r="U1500" t="s">
        <v>36</v>
      </c>
      <c r="V1500" t="s">
        <v>36</v>
      </c>
      <c r="W1500" t="s">
        <v>36</v>
      </c>
      <c r="X1500" t="s">
        <v>36</v>
      </c>
      <c r="Y1500" t="s">
        <v>36</v>
      </c>
      <c r="Z1500" t="s">
        <v>36</v>
      </c>
      <c r="AA1500" t="s">
        <v>36</v>
      </c>
      <c r="AB1500" t="s">
        <v>36</v>
      </c>
      <c r="AC1500" t="s">
        <v>36</v>
      </c>
      <c r="AD1500" t="s">
        <v>36</v>
      </c>
      <c r="AE1500" t="s">
        <v>36</v>
      </c>
      <c r="AF1500" t="s">
        <v>36</v>
      </c>
      <c r="AG1500" t="s">
        <v>36</v>
      </c>
    </row>
    <row r="1501" spans="1:33" hidden="1" x14ac:dyDescent="0.2">
      <c r="A1501">
        <v>1500</v>
      </c>
      <c r="B1501" t="s">
        <v>462</v>
      </c>
      <c r="C1501" t="s">
        <v>108</v>
      </c>
      <c r="D1501">
        <v>51</v>
      </c>
      <c r="E1501" t="s">
        <v>34</v>
      </c>
      <c r="F1501" t="s">
        <v>38</v>
      </c>
      <c r="G1501" t="s">
        <v>40</v>
      </c>
      <c r="H1501">
        <v>38289</v>
      </c>
      <c r="I1501">
        <v>1</v>
      </c>
      <c r="J1501">
        <v>1</v>
      </c>
      <c r="K1501">
        <v>1</v>
      </c>
      <c r="L1501">
        <v>0</v>
      </c>
      <c r="M1501" t="s">
        <v>36</v>
      </c>
      <c r="N1501" t="s">
        <v>36</v>
      </c>
      <c r="O1501" t="s">
        <v>36</v>
      </c>
      <c r="P1501" t="s">
        <v>442</v>
      </c>
      <c r="Q1501" t="s">
        <v>36</v>
      </c>
      <c r="R1501" t="s">
        <v>36</v>
      </c>
      <c r="S1501" t="s">
        <v>36</v>
      </c>
      <c r="T1501" t="s">
        <v>36</v>
      </c>
      <c r="U1501" t="s">
        <v>36</v>
      </c>
      <c r="V1501" t="s">
        <v>36</v>
      </c>
      <c r="W1501" t="s">
        <v>36</v>
      </c>
      <c r="X1501" t="s">
        <v>36</v>
      </c>
      <c r="Y1501" t="s">
        <v>36</v>
      </c>
      <c r="Z1501" t="s">
        <v>36</v>
      </c>
      <c r="AA1501" t="s">
        <v>36</v>
      </c>
      <c r="AB1501" t="s">
        <v>36</v>
      </c>
      <c r="AC1501" t="s">
        <v>36</v>
      </c>
      <c r="AD1501" t="s">
        <v>36</v>
      </c>
      <c r="AE1501" t="s">
        <v>36</v>
      </c>
      <c r="AF1501" t="s">
        <v>36</v>
      </c>
      <c r="AG1501" t="s">
        <v>36</v>
      </c>
    </row>
    <row r="1502" spans="1:33" hidden="1" x14ac:dyDescent="0.2">
      <c r="A1502">
        <v>1501</v>
      </c>
      <c r="B1502" t="s">
        <v>462</v>
      </c>
      <c r="C1502" t="s">
        <v>108</v>
      </c>
      <c r="D1502">
        <v>51</v>
      </c>
      <c r="E1502" t="s">
        <v>34</v>
      </c>
      <c r="F1502" t="s">
        <v>38</v>
      </c>
      <c r="G1502" t="s">
        <v>39</v>
      </c>
      <c r="H1502">
        <v>28666</v>
      </c>
      <c r="I1502">
        <v>1</v>
      </c>
      <c r="J1502">
        <v>1</v>
      </c>
      <c r="K1502">
        <v>1</v>
      </c>
      <c r="L1502">
        <v>0</v>
      </c>
      <c r="M1502" t="s">
        <v>36</v>
      </c>
      <c r="N1502" t="s">
        <v>36</v>
      </c>
      <c r="O1502" t="s">
        <v>36</v>
      </c>
      <c r="P1502" t="s">
        <v>442</v>
      </c>
      <c r="Q1502" t="s">
        <v>36</v>
      </c>
      <c r="R1502" t="s">
        <v>36</v>
      </c>
      <c r="S1502" t="s">
        <v>36</v>
      </c>
      <c r="T1502" t="s">
        <v>36</v>
      </c>
      <c r="U1502" t="s">
        <v>36</v>
      </c>
      <c r="V1502" t="s">
        <v>36</v>
      </c>
      <c r="W1502" t="s">
        <v>36</v>
      </c>
      <c r="X1502" t="s">
        <v>36</v>
      </c>
      <c r="Y1502" t="s">
        <v>36</v>
      </c>
      <c r="Z1502" t="s">
        <v>36</v>
      </c>
      <c r="AA1502" t="s">
        <v>36</v>
      </c>
      <c r="AB1502" t="s">
        <v>36</v>
      </c>
      <c r="AC1502" t="s">
        <v>36</v>
      </c>
      <c r="AD1502" t="s">
        <v>36</v>
      </c>
      <c r="AE1502" t="s">
        <v>36</v>
      </c>
      <c r="AF1502" t="s">
        <v>36</v>
      </c>
      <c r="AG1502" t="s">
        <v>36</v>
      </c>
    </row>
    <row r="1503" spans="1:33" x14ac:dyDescent="0.2">
      <c r="A1503">
        <v>1502</v>
      </c>
      <c r="B1503" t="s">
        <v>462</v>
      </c>
      <c r="C1503" t="s">
        <v>108</v>
      </c>
      <c r="D1503">
        <v>51</v>
      </c>
      <c r="E1503" t="s">
        <v>34</v>
      </c>
      <c r="F1503" t="s">
        <v>41</v>
      </c>
      <c r="G1503" t="s">
        <v>49</v>
      </c>
      <c r="H1503">
        <v>45014</v>
      </c>
      <c r="I1503">
        <v>1</v>
      </c>
      <c r="J1503">
        <v>1</v>
      </c>
      <c r="K1503">
        <v>0</v>
      </c>
      <c r="L1503">
        <v>0</v>
      </c>
      <c r="M1503" t="s">
        <v>52</v>
      </c>
      <c r="N1503" t="s">
        <v>83</v>
      </c>
      <c r="O1503" t="s">
        <v>51</v>
      </c>
      <c r="P1503" t="s">
        <v>442</v>
      </c>
      <c r="Q1503" t="s">
        <v>46</v>
      </c>
      <c r="R1503" t="s">
        <v>59</v>
      </c>
      <c r="S1503" t="s">
        <v>47</v>
      </c>
      <c r="T1503">
        <v>0</v>
      </c>
      <c r="U1503">
        <v>0</v>
      </c>
      <c r="V1503">
        <v>0</v>
      </c>
      <c r="W1503">
        <v>1</v>
      </c>
      <c r="X1503">
        <v>1</v>
      </c>
      <c r="Y1503">
        <v>0</v>
      </c>
      <c r="Z1503">
        <v>1</v>
      </c>
      <c r="AA1503">
        <v>0</v>
      </c>
      <c r="AB1503">
        <v>0</v>
      </c>
      <c r="AC1503">
        <v>0</v>
      </c>
      <c r="AD1503">
        <v>0</v>
      </c>
      <c r="AE1503">
        <v>1</v>
      </c>
      <c r="AF1503">
        <v>0</v>
      </c>
      <c r="AG1503">
        <v>0</v>
      </c>
    </row>
    <row r="1504" spans="1:33" x14ac:dyDescent="0.2">
      <c r="A1504">
        <v>1503</v>
      </c>
      <c r="B1504" t="s">
        <v>462</v>
      </c>
      <c r="C1504" t="s">
        <v>108</v>
      </c>
      <c r="D1504">
        <v>51</v>
      </c>
      <c r="E1504" t="s">
        <v>34</v>
      </c>
      <c r="F1504" t="s">
        <v>41</v>
      </c>
      <c r="G1504" t="s">
        <v>67</v>
      </c>
      <c r="H1504">
        <v>6157</v>
      </c>
      <c r="I1504">
        <v>1</v>
      </c>
      <c r="J1504">
        <v>1</v>
      </c>
      <c r="K1504">
        <v>0</v>
      </c>
      <c r="L1504">
        <v>0</v>
      </c>
      <c r="M1504" t="s">
        <v>70</v>
      </c>
      <c r="N1504" t="s">
        <v>86</v>
      </c>
      <c r="O1504" t="s">
        <v>68</v>
      </c>
      <c r="P1504" t="s">
        <v>442</v>
      </c>
      <c r="Q1504" t="s">
        <v>47</v>
      </c>
      <c r="R1504" t="s">
        <v>46</v>
      </c>
      <c r="S1504" t="s">
        <v>65</v>
      </c>
      <c r="T1504">
        <v>0</v>
      </c>
      <c r="U1504">
        <v>1</v>
      </c>
      <c r="V1504">
        <v>0</v>
      </c>
      <c r="W1504">
        <v>1</v>
      </c>
      <c r="X1504">
        <v>1</v>
      </c>
      <c r="Y1504">
        <v>0</v>
      </c>
      <c r="Z1504">
        <v>1</v>
      </c>
      <c r="AA1504">
        <v>0</v>
      </c>
      <c r="AB1504">
        <v>0</v>
      </c>
      <c r="AC1504">
        <v>0</v>
      </c>
      <c r="AD1504">
        <v>1</v>
      </c>
      <c r="AE1504">
        <v>1</v>
      </c>
      <c r="AF1504">
        <v>0</v>
      </c>
      <c r="AG1504">
        <v>0</v>
      </c>
    </row>
    <row r="1505" spans="1:33" hidden="1" x14ac:dyDescent="0.2">
      <c r="A1505">
        <v>1504</v>
      </c>
      <c r="B1505" t="s">
        <v>462</v>
      </c>
      <c r="C1505" t="s">
        <v>108</v>
      </c>
      <c r="D1505">
        <v>51</v>
      </c>
      <c r="E1505" t="s">
        <v>34</v>
      </c>
      <c r="F1505" t="s">
        <v>53</v>
      </c>
      <c r="G1505" t="s">
        <v>71</v>
      </c>
      <c r="H1505">
        <v>22222</v>
      </c>
      <c r="I1505">
        <v>1</v>
      </c>
      <c r="J1505">
        <v>1</v>
      </c>
      <c r="K1505">
        <v>0</v>
      </c>
      <c r="L1505">
        <v>0</v>
      </c>
      <c r="M1505" t="s">
        <v>36</v>
      </c>
      <c r="N1505" t="s">
        <v>36</v>
      </c>
      <c r="O1505" t="s">
        <v>36</v>
      </c>
      <c r="P1505" t="s">
        <v>442</v>
      </c>
      <c r="Q1505" t="s">
        <v>36</v>
      </c>
      <c r="R1505" t="s">
        <v>36</v>
      </c>
      <c r="S1505" t="s">
        <v>36</v>
      </c>
      <c r="T1505" t="s">
        <v>36</v>
      </c>
      <c r="U1505">
        <v>1</v>
      </c>
      <c r="V1505">
        <v>0</v>
      </c>
      <c r="W1505">
        <v>1</v>
      </c>
      <c r="X1505">
        <v>1</v>
      </c>
      <c r="Y1505">
        <v>0</v>
      </c>
      <c r="Z1505">
        <v>1</v>
      </c>
      <c r="AA1505">
        <v>0</v>
      </c>
      <c r="AB1505">
        <v>0</v>
      </c>
      <c r="AC1505">
        <v>0</v>
      </c>
      <c r="AD1505">
        <v>1</v>
      </c>
      <c r="AE1505">
        <v>1</v>
      </c>
      <c r="AF1505">
        <v>0</v>
      </c>
      <c r="AG1505">
        <v>0</v>
      </c>
    </row>
    <row r="1506" spans="1:33" x14ac:dyDescent="0.2">
      <c r="A1506">
        <v>1505</v>
      </c>
      <c r="B1506" t="s">
        <v>462</v>
      </c>
      <c r="C1506" t="s">
        <v>108</v>
      </c>
      <c r="D1506">
        <v>51</v>
      </c>
      <c r="E1506" t="s">
        <v>34</v>
      </c>
      <c r="F1506" t="s">
        <v>41</v>
      </c>
      <c r="G1506" t="s">
        <v>72</v>
      </c>
      <c r="H1506">
        <v>9090</v>
      </c>
      <c r="I1506">
        <v>1</v>
      </c>
      <c r="J1506">
        <v>1</v>
      </c>
      <c r="K1506">
        <v>0</v>
      </c>
      <c r="L1506">
        <v>0</v>
      </c>
      <c r="M1506" t="s">
        <v>75</v>
      </c>
      <c r="N1506" t="s">
        <v>73</v>
      </c>
      <c r="O1506" t="s">
        <v>74</v>
      </c>
      <c r="P1506" t="s">
        <v>442</v>
      </c>
      <c r="Q1506" t="s">
        <v>46</v>
      </c>
      <c r="R1506" t="s">
        <v>48</v>
      </c>
      <c r="S1506" t="s">
        <v>47</v>
      </c>
      <c r="T1506">
        <v>0</v>
      </c>
      <c r="U1506">
        <v>0</v>
      </c>
      <c r="V1506">
        <v>1</v>
      </c>
      <c r="W1506">
        <v>1</v>
      </c>
      <c r="X1506">
        <v>1</v>
      </c>
      <c r="Y1506">
        <v>0</v>
      </c>
      <c r="Z1506">
        <v>1</v>
      </c>
      <c r="AA1506">
        <v>0</v>
      </c>
      <c r="AB1506">
        <v>0</v>
      </c>
      <c r="AC1506">
        <v>1</v>
      </c>
      <c r="AD1506">
        <v>0</v>
      </c>
      <c r="AE1506">
        <v>1</v>
      </c>
      <c r="AF1506">
        <v>0</v>
      </c>
      <c r="AG1506">
        <v>0</v>
      </c>
    </row>
    <row r="1507" spans="1:33" x14ac:dyDescent="0.2">
      <c r="A1507">
        <v>1506</v>
      </c>
      <c r="B1507" t="s">
        <v>462</v>
      </c>
      <c r="C1507" t="s">
        <v>108</v>
      </c>
      <c r="D1507">
        <v>51</v>
      </c>
      <c r="E1507" t="s">
        <v>34</v>
      </c>
      <c r="F1507" t="s">
        <v>41</v>
      </c>
      <c r="G1507" t="s">
        <v>61</v>
      </c>
      <c r="H1507">
        <v>5078</v>
      </c>
      <c r="I1507">
        <v>0</v>
      </c>
      <c r="J1507">
        <v>1</v>
      </c>
      <c r="K1507">
        <v>1</v>
      </c>
      <c r="L1507">
        <v>0</v>
      </c>
      <c r="M1507" t="s">
        <v>62</v>
      </c>
      <c r="N1507" t="s">
        <v>63</v>
      </c>
      <c r="O1507" t="s">
        <v>64</v>
      </c>
      <c r="P1507" t="s">
        <v>442</v>
      </c>
      <c r="Q1507" t="s">
        <v>65</v>
      </c>
      <c r="R1507" t="s">
        <v>46</v>
      </c>
      <c r="S1507" t="s">
        <v>48</v>
      </c>
      <c r="T1507">
        <v>0</v>
      </c>
      <c r="U1507">
        <v>1</v>
      </c>
      <c r="V1507">
        <v>1</v>
      </c>
      <c r="W1507">
        <v>0</v>
      </c>
      <c r="X1507">
        <v>1</v>
      </c>
      <c r="Y1507">
        <v>0</v>
      </c>
      <c r="Z1507">
        <v>1</v>
      </c>
      <c r="AA1507">
        <v>0</v>
      </c>
      <c r="AB1507">
        <v>0</v>
      </c>
      <c r="AC1507">
        <v>1</v>
      </c>
      <c r="AD1507">
        <v>0</v>
      </c>
      <c r="AE1507">
        <v>1</v>
      </c>
      <c r="AF1507">
        <v>0</v>
      </c>
      <c r="AG1507">
        <v>0</v>
      </c>
    </row>
    <row r="1508" spans="1:33" hidden="1" x14ac:dyDescent="0.2">
      <c r="A1508">
        <v>1507</v>
      </c>
      <c r="B1508" t="s">
        <v>462</v>
      </c>
      <c r="C1508" t="s">
        <v>108</v>
      </c>
      <c r="D1508">
        <v>51</v>
      </c>
      <c r="E1508" t="s">
        <v>34</v>
      </c>
      <c r="F1508" t="s">
        <v>53</v>
      </c>
      <c r="G1508" t="s">
        <v>76</v>
      </c>
      <c r="H1508">
        <v>4777</v>
      </c>
      <c r="I1508">
        <v>0</v>
      </c>
      <c r="J1508">
        <v>1</v>
      </c>
      <c r="K1508">
        <v>1</v>
      </c>
      <c r="L1508">
        <v>0</v>
      </c>
      <c r="M1508" t="s">
        <v>36</v>
      </c>
      <c r="N1508" t="s">
        <v>36</v>
      </c>
      <c r="O1508" t="s">
        <v>36</v>
      </c>
      <c r="P1508" t="s">
        <v>442</v>
      </c>
      <c r="Q1508" t="s">
        <v>36</v>
      </c>
      <c r="R1508" t="s">
        <v>36</v>
      </c>
      <c r="S1508" t="s">
        <v>36</v>
      </c>
      <c r="T1508" t="s">
        <v>36</v>
      </c>
      <c r="U1508">
        <v>1</v>
      </c>
      <c r="V1508">
        <v>1</v>
      </c>
      <c r="W1508">
        <v>0</v>
      </c>
      <c r="X1508">
        <v>1</v>
      </c>
      <c r="Y1508">
        <v>0</v>
      </c>
      <c r="Z1508">
        <v>1</v>
      </c>
      <c r="AA1508">
        <v>0</v>
      </c>
      <c r="AB1508">
        <v>0</v>
      </c>
      <c r="AC1508">
        <v>1</v>
      </c>
      <c r="AD1508">
        <v>0</v>
      </c>
      <c r="AE1508">
        <v>1</v>
      </c>
      <c r="AF1508">
        <v>0</v>
      </c>
      <c r="AG1508">
        <v>0</v>
      </c>
    </row>
    <row r="1509" spans="1:33" x14ac:dyDescent="0.2">
      <c r="A1509">
        <v>1508</v>
      </c>
      <c r="B1509" t="s">
        <v>462</v>
      </c>
      <c r="C1509" t="s">
        <v>108</v>
      </c>
      <c r="D1509">
        <v>51</v>
      </c>
      <c r="E1509" t="s">
        <v>34</v>
      </c>
      <c r="F1509" t="s">
        <v>41</v>
      </c>
      <c r="G1509" t="s">
        <v>42</v>
      </c>
      <c r="H1509">
        <v>9766</v>
      </c>
      <c r="I1509">
        <v>1</v>
      </c>
      <c r="J1509">
        <v>1</v>
      </c>
      <c r="K1509">
        <v>0</v>
      </c>
      <c r="L1509">
        <v>0</v>
      </c>
      <c r="M1509" t="s">
        <v>45</v>
      </c>
      <c r="N1509" t="s">
        <v>102</v>
      </c>
      <c r="O1509" t="s">
        <v>82</v>
      </c>
      <c r="P1509" t="s">
        <v>442</v>
      </c>
      <c r="Q1509" t="s">
        <v>48</v>
      </c>
      <c r="R1509" t="s">
        <v>59</v>
      </c>
      <c r="S1509" t="s">
        <v>65</v>
      </c>
      <c r="T1509">
        <v>0</v>
      </c>
      <c r="U1509">
        <v>1</v>
      </c>
      <c r="V1509">
        <v>1</v>
      </c>
      <c r="W1509">
        <v>0</v>
      </c>
      <c r="X1509">
        <v>0</v>
      </c>
      <c r="Y1509">
        <v>0</v>
      </c>
      <c r="Z1509">
        <v>1</v>
      </c>
      <c r="AA1509">
        <v>0</v>
      </c>
      <c r="AB1509">
        <v>0</v>
      </c>
      <c r="AC1509">
        <v>1</v>
      </c>
      <c r="AD1509">
        <v>0</v>
      </c>
      <c r="AE1509">
        <v>0</v>
      </c>
      <c r="AF1509">
        <v>0</v>
      </c>
      <c r="AG1509">
        <v>0</v>
      </c>
    </row>
    <row r="1510" spans="1:33" hidden="1" x14ac:dyDescent="0.2">
      <c r="A1510">
        <v>1509</v>
      </c>
      <c r="B1510" t="s">
        <v>462</v>
      </c>
      <c r="C1510" t="s">
        <v>108</v>
      </c>
      <c r="D1510">
        <v>51</v>
      </c>
      <c r="E1510" t="s">
        <v>34</v>
      </c>
      <c r="F1510" t="s">
        <v>53</v>
      </c>
      <c r="G1510" t="s">
        <v>54</v>
      </c>
      <c r="H1510">
        <v>5645</v>
      </c>
      <c r="I1510">
        <v>1</v>
      </c>
      <c r="J1510">
        <v>1</v>
      </c>
      <c r="K1510">
        <v>0</v>
      </c>
      <c r="L1510">
        <v>0</v>
      </c>
      <c r="M1510" t="s">
        <v>36</v>
      </c>
      <c r="N1510" t="s">
        <v>36</v>
      </c>
      <c r="O1510" t="s">
        <v>36</v>
      </c>
      <c r="P1510" t="s">
        <v>442</v>
      </c>
      <c r="Q1510" t="s">
        <v>36</v>
      </c>
      <c r="R1510" t="s">
        <v>36</v>
      </c>
      <c r="S1510" t="s">
        <v>36</v>
      </c>
      <c r="T1510" t="s">
        <v>36</v>
      </c>
      <c r="U1510">
        <v>1</v>
      </c>
      <c r="V1510">
        <v>1</v>
      </c>
      <c r="W1510">
        <v>0</v>
      </c>
      <c r="X1510">
        <v>0</v>
      </c>
      <c r="Y1510">
        <v>0</v>
      </c>
      <c r="Z1510">
        <v>1</v>
      </c>
      <c r="AA1510">
        <v>0</v>
      </c>
      <c r="AB1510">
        <v>0</v>
      </c>
      <c r="AC1510">
        <v>1</v>
      </c>
      <c r="AD1510">
        <v>0</v>
      </c>
      <c r="AE1510">
        <v>0</v>
      </c>
      <c r="AF1510">
        <v>0</v>
      </c>
      <c r="AG1510">
        <v>0</v>
      </c>
    </row>
    <row r="1511" spans="1:33" x14ac:dyDescent="0.2">
      <c r="A1511">
        <v>1510</v>
      </c>
      <c r="B1511" t="s">
        <v>462</v>
      </c>
      <c r="C1511" t="s">
        <v>108</v>
      </c>
      <c r="D1511">
        <v>51</v>
      </c>
      <c r="E1511" t="s">
        <v>34</v>
      </c>
      <c r="F1511" t="s">
        <v>41</v>
      </c>
      <c r="G1511" t="s">
        <v>55</v>
      </c>
      <c r="H1511">
        <v>4521</v>
      </c>
      <c r="I1511">
        <v>0</v>
      </c>
      <c r="J1511">
        <v>1</v>
      </c>
      <c r="K1511">
        <v>1</v>
      </c>
      <c r="L1511">
        <v>0</v>
      </c>
      <c r="M1511" t="s">
        <v>85</v>
      </c>
      <c r="N1511" t="s">
        <v>84</v>
      </c>
      <c r="O1511" t="s">
        <v>57</v>
      </c>
      <c r="P1511" t="s">
        <v>442</v>
      </c>
      <c r="Q1511" t="s">
        <v>65</v>
      </c>
      <c r="R1511" t="s">
        <v>46</v>
      </c>
      <c r="S1511" t="s">
        <v>48</v>
      </c>
      <c r="T1511">
        <v>0</v>
      </c>
      <c r="U1511">
        <v>1</v>
      </c>
      <c r="V1511">
        <v>1</v>
      </c>
      <c r="W1511">
        <v>0</v>
      </c>
      <c r="X1511">
        <v>1</v>
      </c>
      <c r="Y1511">
        <v>0</v>
      </c>
      <c r="Z1511">
        <v>1</v>
      </c>
      <c r="AA1511">
        <v>0</v>
      </c>
      <c r="AB1511">
        <v>0</v>
      </c>
      <c r="AC1511">
        <v>1</v>
      </c>
      <c r="AD1511">
        <v>0</v>
      </c>
      <c r="AE1511">
        <v>1</v>
      </c>
      <c r="AF1511">
        <v>0</v>
      </c>
      <c r="AG1511">
        <v>0</v>
      </c>
    </row>
    <row r="1512" spans="1:33" hidden="1" x14ac:dyDescent="0.2">
      <c r="A1512">
        <v>1511</v>
      </c>
      <c r="B1512" t="s">
        <v>462</v>
      </c>
      <c r="C1512" t="s">
        <v>108</v>
      </c>
      <c r="D1512">
        <v>51</v>
      </c>
      <c r="E1512" t="s">
        <v>34</v>
      </c>
      <c r="F1512" t="s">
        <v>53</v>
      </c>
      <c r="G1512" t="s">
        <v>66</v>
      </c>
      <c r="H1512">
        <v>4498</v>
      </c>
      <c r="I1512">
        <v>1</v>
      </c>
      <c r="J1512">
        <v>1</v>
      </c>
      <c r="K1512">
        <v>0</v>
      </c>
      <c r="L1512">
        <v>0</v>
      </c>
      <c r="M1512" t="s">
        <v>36</v>
      </c>
      <c r="N1512" t="s">
        <v>36</v>
      </c>
      <c r="O1512" t="s">
        <v>36</v>
      </c>
      <c r="P1512" t="s">
        <v>442</v>
      </c>
      <c r="Q1512" t="s">
        <v>36</v>
      </c>
      <c r="R1512" t="s">
        <v>36</v>
      </c>
      <c r="S1512" t="s">
        <v>36</v>
      </c>
      <c r="T1512" t="s">
        <v>36</v>
      </c>
      <c r="U1512">
        <v>1</v>
      </c>
      <c r="V1512">
        <v>1</v>
      </c>
      <c r="W1512">
        <v>0</v>
      </c>
      <c r="X1512">
        <v>1</v>
      </c>
      <c r="Y1512">
        <v>0</v>
      </c>
      <c r="Z1512">
        <v>1</v>
      </c>
      <c r="AA1512">
        <v>0</v>
      </c>
      <c r="AB1512">
        <v>0</v>
      </c>
      <c r="AC1512">
        <v>1</v>
      </c>
      <c r="AD1512">
        <v>0</v>
      </c>
      <c r="AE1512">
        <v>1</v>
      </c>
      <c r="AF1512">
        <v>0</v>
      </c>
      <c r="AG1512">
        <v>0</v>
      </c>
    </row>
    <row r="1513" spans="1:33" hidden="1" x14ac:dyDescent="0.2">
      <c r="A1513">
        <v>1512</v>
      </c>
      <c r="B1513" t="s">
        <v>462</v>
      </c>
      <c r="C1513" t="s">
        <v>108</v>
      </c>
      <c r="D1513">
        <v>51</v>
      </c>
      <c r="E1513" t="s">
        <v>34</v>
      </c>
      <c r="F1513" t="s">
        <v>77</v>
      </c>
      <c r="G1513" t="s">
        <v>36</v>
      </c>
      <c r="H1513">
        <v>58911</v>
      </c>
      <c r="I1513" t="s">
        <v>463</v>
      </c>
      <c r="J1513" t="s">
        <v>464</v>
      </c>
      <c r="K1513" t="s">
        <v>443</v>
      </c>
      <c r="L1513" t="s">
        <v>36</v>
      </c>
      <c r="M1513" t="s">
        <v>36</v>
      </c>
      <c r="N1513" t="s">
        <v>36</v>
      </c>
      <c r="O1513" t="s">
        <v>36</v>
      </c>
      <c r="P1513" t="s">
        <v>442</v>
      </c>
      <c r="Q1513" t="s">
        <v>36</v>
      </c>
      <c r="R1513" t="s">
        <v>36</v>
      </c>
      <c r="S1513" t="s">
        <v>36</v>
      </c>
      <c r="T1513" t="s">
        <v>36</v>
      </c>
      <c r="U1513" t="s">
        <v>36</v>
      </c>
      <c r="V1513" t="s">
        <v>36</v>
      </c>
      <c r="W1513" t="s">
        <v>36</v>
      </c>
      <c r="X1513" t="s">
        <v>36</v>
      </c>
      <c r="Y1513" t="s">
        <v>36</v>
      </c>
      <c r="Z1513" t="s">
        <v>36</v>
      </c>
      <c r="AA1513" t="s">
        <v>36</v>
      </c>
      <c r="AB1513" t="s">
        <v>36</v>
      </c>
      <c r="AC1513" t="s">
        <v>36</v>
      </c>
      <c r="AD1513" t="s">
        <v>36</v>
      </c>
      <c r="AE1513" t="s">
        <v>36</v>
      </c>
      <c r="AF1513" t="s">
        <v>36</v>
      </c>
      <c r="AG1513" t="s">
        <v>36</v>
      </c>
    </row>
    <row r="1514" spans="1:33" hidden="1" x14ac:dyDescent="0.2">
      <c r="A1514">
        <v>1513</v>
      </c>
      <c r="B1514" t="s">
        <v>465</v>
      </c>
      <c r="C1514" t="s">
        <v>33</v>
      </c>
      <c r="D1514">
        <v>35</v>
      </c>
      <c r="E1514" t="s">
        <v>114</v>
      </c>
      <c r="F1514" t="s">
        <v>35</v>
      </c>
      <c r="G1514" t="s">
        <v>36</v>
      </c>
      <c r="H1514">
        <v>29931</v>
      </c>
      <c r="I1514" t="s">
        <v>36</v>
      </c>
      <c r="J1514" t="s">
        <v>36</v>
      </c>
      <c r="K1514" t="s">
        <v>36</v>
      </c>
      <c r="L1514" t="s">
        <v>36</v>
      </c>
      <c r="M1514" t="s">
        <v>36</v>
      </c>
      <c r="N1514" t="s">
        <v>36</v>
      </c>
      <c r="O1514" t="s">
        <v>36</v>
      </c>
      <c r="P1514" t="s">
        <v>442</v>
      </c>
      <c r="Q1514" t="s">
        <v>36</v>
      </c>
      <c r="R1514" t="s">
        <v>36</v>
      </c>
      <c r="S1514" t="s">
        <v>36</v>
      </c>
      <c r="T1514" t="s">
        <v>36</v>
      </c>
      <c r="U1514" t="s">
        <v>36</v>
      </c>
      <c r="V1514" t="s">
        <v>36</v>
      </c>
      <c r="W1514" t="s">
        <v>36</v>
      </c>
      <c r="X1514" t="s">
        <v>36</v>
      </c>
      <c r="Y1514" t="s">
        <v>36</v>
      </c>
      <c r="Z1514" t="s">
        <v>36</v>
      </c>
      <c r="AA1514" t="s">
        <v>36</v>
      </c>
      <c r="AB1514" t="s">
        <v>36</v>
      </c>
      <c r="AC1514" t="s">
        <v>36</v>
      </c>
      <c r="AD1514" t="s">
        <v>36</v>
      </c>
      <c r="AE1514" t="s">
        <v>36</v>
      </c>
      <c r="AF1514" t="s">
        <v>36</v>
      </c>
      <c r="AG1514" t="s">
        <v>36</v>
      </c>
    </row>
    <row r="1515" spans="1:33" hidden="1" x14ac:dyDescent="0.2">
      <c r="A1515">
        <v>1514</v>
      </c>
      <c r="B1515" t="s">
        <v>465</v>
      </c>
      <c r="C1515" t="s">
        <v>33</v>
      </c>
      <c r="D1515">
        <v>35</v>
      </c>
      <c r="E1515" t="s">
        <v>114</v>
      </c>
      <c r="F1515" t="s">
        <v>38</v>
      </c>
      <c r="G1515" t="s">
        <v>39</v>
      </c>
      <c r="H1515">
        <v>39429</v>
      </c>
      <c r="I1515">
        <v>0</v>
      </c>
      <c r="J1515">
        <v>0</v>
      </c>
      <c r="K1515">
        <v>0</v>
      </c>
      <c r="L1515">
        <v>1</v>
      </c>
      <c r="M1515" t="s">
        <v>36</v>
      </c>
      <c r="N1515" t="s">
        <v>36</v>
      </c>
      <c r="O1515" t="s">
        <v>36</v>
      </c>
      <c r="P1515" t="s">
        <v>442</v>
      </c>
      <c r="Q1515" t="s">
        <v>36</v>
      </c>
      <c r="R1515" t="s">
        <v>36</v>
      </c>
      <c r="S1515" t="s">
        <v>36</v>
      </c>
      <c r="T1515" t="s">
        <v>36</v>
      </c>
      <c r="U1515" t="s">
        <v>36</v>
      </c>
      <c r="V1515" t="s">
        <v>36</v>
      </c>
      <c r="W1515" t="s">
        <v>36</v>
      </c>
      <c r="X1515" t="s">
        <v>36</v>
      </c>
      <c r="Y1515" t="s">
        <v>36</v>
      </c>
      <c r="Z1515" t="s">
        <v>36</v>
      </c>
      <c r="AA1515" t="s">
        <v>36</v>
      </c>
      <c r="AB1515" t="s">
        <v>36</v>
      </c>
      <c r="AC1515" t="s">
        <v>36</v>
      </c>
      <c r="AD1515" t="s">
        <v>36</v>
      </c>
      <c r="AE1515" t="s">
        <v>36</v>
      </c>
      <c r="AF1515" t="s">
        <v>36</v>
      </c>
      <c r="AG1515" t="s">
        <v>36</v>
      </c>
    </row>
    <row r="1516" spans="1:33" hidden="1" x14ac:dyDescent="0.2">
      <c r="A1516">
        <v>1515</v>
      </c>
      <c r="B1516" t="s">
        <v>465</v>
      </c>
      <c r="C1516" t="s">
        <v>33</v>
      </c>
      <c r="D1516">
        <v>35</v>
      </c>
      <c r="E1516" t="s">
        <v>114</v>
      </c>
      <c r="F1516" t="s">
        <v>38</v>
      </c>
      <c r="G1516" t="s">
        <v>40</v>
      </c>
      <c r="H1516">
        <v>39903</v>
      </c>
      <c r="I1516">
        <v>0</v>
      </c>
      <c r="J1516">
        <v>0</v>
      </c>
      <c r="K1516">
        <v>1</v>
      </c>
      <c r="L1516">
        <v>0</v>
      </c>
      <c r="M1516" t="s">
        <v>36</v>
      </c>
      <c r="N1516" t="s">
        <v>36</v>
      </c>
      <c r="O1516" t="s">
        <v>36</v>
      </c>
      <c r="P1516" t="s">
        <v>442</v>
      </c>
      <c r="Q1516" t="s">
        <v>36</v>
      </c>
      <c r="R1516" t="s">
        <v>36</v>
      </c>
      <c r="S1516" t="s">
        <v>36</v>
      </c>
      <c r="T1516" t="s">
        <v>36</v>
      </c>
      <c r="U1516" t="s">
        <v>36</v>
      </c>
      <c r="V1516" t="s">
        <v>36</v>
      </c>
      <c r="W1516" t="s">
        <v>36</v>
      </c>
      <c r="X1516" t="s">
        <v>36</v>
      </c>
      <c r="Y1516" t="s">
        <v>36</v>
      </c>
      <c r="Z1516" t="s">
        <v>36</v>
      </c>
      <c r="AA1516" t="s">
        <v>36</v>
      </c>
      <c r="AB1516" t="s">
        <v>36</v>
      </c>
      <c r="AC1516" t="s">
        <v>36</v>
      </c>
      <c r="AD1516" t="s">
        <v>36</v>
      </c>
      <c r="AE1516" t="s">
        <v>36</v>
      </c>
      <c r="AF1516" t="s">
        <v>36</v>
      </c>
      <c r="AG1516" t="s">
        <v>36</v>
      </c>
    </row>
    <row r="1517" spans="1:33" x14ac:dyDescent="0.2">
      <c r="A1517">
        <v>1516</v>
      </c>
      <c r="B1517" t="s">
        <v>465</v>
      </c>
      <c r="C1517" t="s">
        <v>33</v>
      </c>
      <c r="D1517">
        <v>35</v>
      </c>
      <c r="E1517" t="s">
        <v>114</v>
      </c>
      <c r="F1517" t="s">
        <v>41</v>
      </c>
      <c r="G1517" t="s">
        <v>67</v>
      </c>
      <c r="H1517">
        <v>38899</v>
      </c>
      <c r="I1517">
        <v>1</v>
      </c>
      <c r="J1517">
        <v>1</v>
      </c>
      <c r="K1517">
        <v>1</v>
      </c>
      <c r="L1517">
        <v>0</v>
      </c>
      <c r="M1517" t="s">
        <v>103</v>
      </c>
      <c r="N1517" t="s">
        <v>70</v>
      </c>
      <c r="O1517" t="s">
        <v>69</v>
      </c>
      <c r="P1517" t="s">
        <v>442</v>
      </c>
      <c r="Q1517" t="s">
        <v>60</v>
      </c>
      <c r="R1517" t="s">
        <v>47</v>
      </c>
      <c r="S1517" t="s">
        <v>48</v>
      </c>
      <c r="T1517">
        <v>1</v>
      </c>
      <c r="U1517">
        <v>0</v>
      </c>
      <c r="V1517">
        <v>1</v>
      </c>
      <c r="W1517">
        <v>1</v>
      </c>
      <c r="X1517">
        <v>0</v>
      </c>
      <c r="Y1517">
        <v>0</v>
      </c>
      <c r="Z1517">
        <v>1</v>
      </c>
      <c r="AA1517">
        <v>1</v>
      </c>
      <c r="AB1517">
        <v>0</v>
      </c>
      <c r="AC1517">
        <v>1</v>
      </c>
      <c r="AD1517">
        <v>1</v>
      </c>
      <c r="AE1517">
        <v>0</v>
      </c>
      <c r="AF1517">
        <v>0</v>
      </c>
      <c r="AG1517">
        <v>0</v>
      </c>
    </row>
    <row r="1518" spans="1:33" x14ac:dyDescent="0.2">
      <c r="A1518">
        <v>1517</v>
      </c>
      <c r="B1518" t="s">
        <v>465</v>
      </c>
      <c r="C1518" t="s">
        <v>33</v>
      </c>
      <c r="D1518">
        <v>35</v>
      </c>
      <c r="E1518" t="s">
        <v>114</v>
      </c>
      <c r="F1518" t="s">
        <v>41</v>
      </c>
      <c r="G1518" t="s">
        <v>42</v>
      </c>
      <c r="H1518">
        <v>21350</v>
      </c>
      <c r="I1518">
        <v>1</v>
      </c>
      <c r="J1518">
        <v>1</v>
      </c>
      <c r="K1518">
        <v>1</v>
      </c>
      <c r="L1518">
        <v>0</v>
      </c>
      <c r="M1518" t="s">
        <v>45</v>
      </c>
      <c r="N1518" t="s">
        <v>116</v>
      </c>
      <c r="O1518" t="s">
        <v>82</v>
      </c>
      <c r="P1518" t="s">
        <v>442</v>
      </c>
      <c r="Q1518" t="s">
        <v>48</v>
      </c>
      <c r="R1518" t="s">
        <v>60</v>
      </c>
      <c r="S1518" t="s">
        <v>65</v>
      </c>
      <c r="T1518">
        <v>1</v>
      </c>
      <c r="U1518">
        <v>1</v>
      </c>
      <c r="V1518">
        <v>1</v>
      </c>
      <c r="W1518">
        <v>0</v>
      </c>
      <c r="X1518">
        <v>0</v>
      </c>
      <c r="Y1518">
        <v>0</v>
      </c>
      <c r="Z1518">
        <v>1</v>
      </c>
      <c r="AA1518">
        <v>1</v>
      </c>
      <c r="AB1518">
        <v>1</v>
      </c>
      <c r="AC1518">
        <v>1</v>
      </c>
      <c r="AD1518">
        <v>0</v>
      </c>
      <c r="AE1518">
        <v>0</v>
      </c>
      <c r="AF1518">
        <v>0</v>
      </c>
      <c r="AG1518">
        <v>0</v>
      </c>
    </row>
    <row r="1519" spans="1:33" hidden="1" x14ac:dyDescent="0.2">
      <c r="A1519">
        <v>1518</v>
      </c>
      <c r="B1519" t="s">
        <v>465</v>
      </c>
      <c r="C1519" t="s">
        <v>33</v>
      </c>
      <c r="D1519">
        <v>35</v>
      </c>
      <c r="E1519" t="s">
        <v>114</v>
      </c>
      <c r="F1519" t="s">
        <v>53</v>
      </c>
      <c r="G1519" t="s">
        <v>76</v>
      </c>
      <c r="H1519">
        <v>19325</v>
      </c>
      <c r="I1519">
        <v>1</v>
      </c>
      <c r="J1519">
        <v>1</v>
      </c>
      <c r="K1519">
        <v>0</v>
      </c>
      <c r="L1519">
        <v>0</v>
      </c>
      <c r="M1519" t="s">
        <v>36</v>
      </c>
      <c r="N1519" t="s">
        <v>36</v>
      </c>
      <c r="O1519" t="s">
        <v>36</v>
      </c>
      <c r="P1519" t="s">
        <v>442</v>
      </c>
      <c r="Q1519" t="s">
        <v>36</v>
      </c>
      <c r="R1519" t="s">
        <v>36</v>
      </c>
      <c r="S1519" t="s">
        <v>36</v>
      </c>
      <c r="T1519" t="s">
        <v>36</v>
      </c>
      <c r="U1519">
        <v>1</v>
      </c>
      <c r="V1519">
        <v>1</v>
      </c>
      <c r="W1519">
        <v>0</v>
      </c>
      <c r="X1519">
        <v>0</v>
      </c>
      <c r="Y1519">
        <v>0</v>
      </c>
      <c r="Z1519">
        <v>1</v>
      </c>
      <c r="AA1519">
        <v>1</v>
      </c>
      <c r="AB1519">
        <v>1</v>
      </c>
      <c r="AC1519">
        <v>1</v>
      </c>
      <c r="AD1519">
        <v>0</v>
      </c>
      <c r="AE1519">
        <v>0</v>
      </c>
      <c r="AF1519">
        <v>0</v>
      </c>
      <c r="AG1519">
        <v>0</v>
      </c>
    </row>
    <row r="1520" spans="1:33" x14ac:dyDescent="0.2">
      <c r="A1520">
        <v>1519</v>
      </c>
      <c r="B1520" t="s">
        <v>465</v>
      </c>
      <c r="C1520" t="s">
        <v>33</v>
      </c>
      <c r="D1520">
        <v>35</v>
      </c>
      <c r="E1520" t="s">
        <v>114</v>
      </c>
      <c r="F1520" t="s">
        <v>41</v>
      </c>
      <c r="G1520" t="s">
        <v>55</v>
      </c>
      <c r="H1520">
        <v>20586</v>
      </c>
      <c r="I1520">
        <v>1</v>
      </c>
      <c r="J1520">
        <v>1</v>
      </c>
      <c r="K1520">
        <v>1</v>
      </c>
      <c r="L1520">
        <v>0</v>
      </c>
      <c r="M1520" t="s">
        <v>94</v>
      </c>
      <c r="N1520" t="s">
        <v>58</v>
      </c>
      <c r="O1520" t="s">
        <v>84</v>
      </c>
      <c r="P1520" t="s">
        <v>442</v>
      </c>
      <c r="Q1520" t="s">
        <v>47</v>
      </c>
      <c r="R1520" t="s">
        <v>60</v>
      </c>
      <c r="S1520" t="s">
        <v>46</v>
      </c>
      <c r="T1520">
        <v>1</v>
      </c>
      <c r="U1520">
        <v>0</v>
      </c>
      <c r="V1520">
        <v>0</v>
      </c>
      <c r="W1520">
        <v>1</v>
      </c>
      <c r="X1520">
        <v>1</v>
      </c>
      <c r="Y1520">
        <v>0</v>
      </c>
      <c r="Z1520">
        <v>1</v>
      </c>
      <c r="AA1520">
        <v>1</v>
      </c>
      <c r="AB1520">
        <v>0</v>
      </c>
      <c r="AC1520">
        <v>0</v>
      </c>
      <c r="AD1520">
        <v>1</v>
      </c>
      <c r="AE1520">
        <v>1</v>
      </c>
      <c r="AF1520">
        <v>0</v>
      </c>
      <c r="AG1520">
        <v>0</v>
      </c>
    </row>
    <row r="1521" spans="1:33" x14ac:dyDescent="0.2">
      <c r="A1521">
        <v>1520</v>
      </c>
      <c r="B1521" t="s">
        <v>465</v>
      </c>
      <c r="C1521" t="s">
        <v>33</v>
      </c>
      <c r="D1521">
        <v>35</v>
      </c>
      <c r="E1521" t="s">
        <v>114</v>
      </c>
      <c r="F1521" t="s">
        <v>41</v>
      </c>
      <c r="G1521" t="s">
        <v>61</v>
      </c>
      <c r="H1521">
        <v>17740</v>
      </c>
      <c r="I1521">
        <v>1</v>
      </c>
      <c r="J1521">
        <v>1</v>
      </c>
      <c r="K1521">
        <v>1</v>
      </c>
      <c r="L1521">
        <v>0</v>
      </c>
      <c r="M1521" t="s">
        <v>63</v>
      </c>
      <c r="N1521" t="s">
        <v>87</v>
      </c>
      <c r="O1521" t="s">
        <v>125</v>
      </c>
      <c r="P1521" t="s">
        <v>442</v>
      </c>
      <c r="Q1521" t="s">
        <v>46</v>
      </c>
      <c r="R1521" t="s">
        <v>47</v>
      </c>
      <c r="S1521" t="s">
        <v>60</v>
      </c>
      <c r="T1521">
        <v>1</v>
      </c>
      <c r="U1521">
        <v>0</v>
      </c>
      <c r="V1521">
        <v>0</v>
      </c>
      <c r="W1521">
        <v>1</v>
      </c>
      <c r="X1521">
        <v>1</v>
      </c>
      <c r="Y1521">
        <v>0</v>
      </c>
      <c r="Z1521">
        <v>1</v>
      </c>
      <c r="AA1521">
        <v>1</v>
      </c>
      <c r="AB1521">
        <v>0</v>
      </c>
      <c r="AC1521">
        <v>0</v>
      </c>
      <c r="AD1521">
        <v>1</v>
      </c>
      <c r="AE1521">
        <v>1</v>
      </c>
      <c r="AF1521">
        <v>0</v>
      </c>
      <c r="AG1521">
        <v>0</v>
      </c>
    </row>
    <row r="1522" spans="1:33" hidden="1" x14ac:dyDescent="0.2">
      <c r="A1522">
        <v>1521</v>
      </c>
      <c r="B1522" t="s">
        <v>465</v>
      </c>
      <c r="C1522" t="s">
        <v>33</v>
      </c>
      <c r="D1522">
        <v>35</v>
      </c>
      <c r="E1522" t="s">
        <v>114</v>
      </c>
      <c r="F1522" t="s">
        <v>53</v>
      </c>
      <c r="G1522" t="s">
        <v>66</v>
      </c>
      <c r="H1522">
        <v>33433</v>
      </c>
      <c r="I1522">
        <v>1</v>
      </c>
      <c r="J1522">
        <v>0</v>
      </c>
      <c r="K1522">
        <v>0</v>
      </c>
      <c r="L1522">
        <v>0</v>
      </c>
      <c r="M1522" t="s">
        <v>36</v>
      </c>
      <c r="N1522" t="s">
        <v>36</v>
      </c>
      <c r="O1522" t="s">
        <v>36</v>
      </c>
      <c r="P1522" t="s">
        <v>442</v>
      </c>
      <c r="Q1522" t="s">
        <v>36</v>
      </c>
      <c r="R1522" t="s">
        <v>36</v>
      </c>
      <c r="S1522" t="s">
        <v>36</v>
      </c>
      <c r="T1522" t="s">
        <v>36</v>
      </c>
      <c r="U1522">
        <v>0</v>
      </c>
      <c r="V1522">
        <v>0</v>
      </c>
      <c r="W1522">
        <v>1</v>
      </c>
      <c r="X1522">
        <v>1</v>
      </c>
      <c r="Y1522">
        <v>0</v>
      </c>
      <c r="Z1522">
        <v>1</v>
      </c>
      <c r="AA1522">
        <v>1</v>
      </c>
      <c r="AB1522">
        <v>0</v>
      </c>
      <c r="AC1522">
        <v>0</v>
      </c>
      <c r="AD1522">
        <v>1</v>
      </c>
      <c r="AE1522">
        <v>1</v>
      </c>
      <c r="AF1522">
        <v>0</v>
      </c>
      <c r="AG1522">
        <v>0</v>
      </c>
    </row>
    <row r="1523" spans="1:33" x14ac:dyDescent="0.2">
      <c r="A1523">
        <v>1522</v>
      </c>
      <c r="B1523" t="s">
        <v>465</v>
      </c>
      <c r="C1523" t="s">
        <v>33</v>
      </c>
      <c r="D1523">
        <v>35</v>
      </c>
      <c r="E1523" t="s">
        <v>114</v>
      </c>
      <c r="F1523" t="s">
        <v>41</v>
      </c>
      <c r="G1523" t="s">
        <v>49</v>
      </c>
      <c r="H1523">
        <v>19551</v>
      </c>
      <c r="I1523">
        <v>1</v>
      </c>
      <c r="J1523">
        <v>1</v>
      </c>
      <c r="K1523">
        <v>1</v>
      </c>
      <c r="L1523">
        <v>0</v>
      </c>
      <c r="M1523" t="s">
        <v>96</v>
      </c>
      <c r="N1523" t="s">
        <v>51</v>
      </c>
      <c r="O1523" t="s">
        <v>50</v>
      </c>
      <c r="P1523" t="s">
        <v>442</v>
      </c>
      <c r="Q1523" t="s">
        <v>65</v>
      </c>
      <c r="R1523" t="s">
        <v>47</v>
      </c>
      <c r="S1523" t="s">
        <v>48</v>
      </c>
      <c r="T1523">
        <v>0</v>
      </c>
      <c r="U1523">
        <v>1</v>
      </c>
      <c r="V1523">
        <v>1</v>
      </c>
      <c r="W1523">
        <v>1</v>
      </c>
      <c r="X1523">
        <v>0</v>
      </c>
      <c r="Y1523">
        <v>0</v>
      </c>
      <c r="Z1523">
        <v>1</v>
      </c>
      <c r="AA1523">
        <v>0</v>
      </c>
      <c r="AB1523">
        <v>1</v>
      </c>
      <c r="AC1523">
        <v>1</v>
      </c>
      <c r="AD1523">
        <v>1</v>
      </c>
      <c r="AE1523">
        <v>0</v>
      </c>
      <c r="AF1523">
        <v>0</v>
      </c>
      <c r="AG1523">
        <v>0</v>
      </c>
    </row>
    <row r="1524" spans="1:33" hidden="1" x14ac:dyDescent="0.2">
      <c r="A1524">
        <v>1523</v>
      </c>
      <c r="B1524" t="s">
        <v>465</v>
      </c>
      <c r="C1524" t="s">
        <v>33</v>
      </c>
      <c r="D1524">
        <v>35</v>
      </c>
      <c r="E1524" t="s">
        <v>114</v>
      </c>
      <c r="F1524" t="s">
        <v>53</v>
      </c>
      <c r="G1524" t="s">
        <v>54</v>
      </c>
      <c r="H1524">
        <v>23026</v>
      </c>
      <c r="I1524">
        <v>0</v>
      </c>
      <c r="J1524">
        <v>0</v>
      </c>
      <c r="K1524">
        <v>1</v>
      </c>
      <c r="L1524">
        <v>0</v>
      </c>
      <c r="M1524" t="s">
        <v>36</v>
      </c>
      <c r="N1524" t="s">
        <v>36</v>
      </c>
      <c r="O1524" t="s">
        <v>36</v>
      </c>
      <c r="P1524" t="s">
        <v>442</v>
      </c>
      <c r="Q1524" t="s">
        <v>36</v>
      </c>
      <c r="R1524" t="s">
        <v>36</v>
      </c>
      <c r="S1524" t="s">
        <v>36</v>
      </c>
      <c r="T1524" t="s">
        <v>36</v>
      </c>
      <c r="U1524">
        <v>1</v>
      </c>
      <c r="V1524">
        <v>1</v>
      </c>
      <c r="W1524">
        <v>1</v>
      </c>
      <c r="X1524">
        <v>0</v>
      </c>
      <c r="Y1524">
        <v>0</v>
      </c>
      <c r="Z1524">
        <v>1</v>
      </c>
      <c r="AA1524">
        <v>0</v>
      </c>
      <c r="AB1524">
        <v>1</v>
      </c>
      <c r="AC1524">
        <v>1</v>
      </c>
      <c r="AD1524">
        <v>1</v>
      </c>
      <c r="AE1524">
        <v>0</v>
      </c>
      <c r="AF1524">
        <v>0</v>
      </c>
      <c r="AG1524">
        <v>0</v>
      </c>
    </row>
    <row r="1525" spans="1:33" x14ac:dyDescent="0.2">
      <c r="A1525">
        <v>1524</v>
      </c>
      <c r="B1525" t="s">
        <v>465</v>
      </c>
      <c r="C1525" t="s">
        <v>33</v>
      </c>
      <c r="D1525">
        <v>35</v>
      </c>
      <c r="E1525" t="s">
        <v>114</v>
      </c>
      <c r="F1525" t="s">
        <v>41</v>
      </c>
      <c r="G1525" t="s">
        <v>72</v>
      </c>
      <c r="H1525">
        <v>12873</v>
      </c>
      <c r="I1525">
        <v>0</v>
      </c>
      <c r="J1525">
        <v>1</v>
      </c>
      <c r="K1525">
        <v>0</v>
      </c>
      <c r="L1525">
        <v>0</v>
      </c>
      <c r="M1525" t="s">
        <v>93</v>
      </c>
      <c r="N1525" t="s">
        <v>75</v>
      </c>
      <c r="O1525" t="s">
        <v>73</v>
      </c>
      <c r="P1525" t="s">
        <v>442</v>
      </c>
      <c r="Q1525" t="s">
        <v>59</v>
      </c>
      <c r="R1525" t="s">
        <v>46</v>
      </c>
      <c r="S1525" t="s">
        <v>48</v>
      </c>
      <c r="T1525">
        <v>0</v>
      </c>
      <c r="U1525">
        <v>0</v>
      </c>
      <c r="V1525">
        <v>1</v>
      </c>
      <c r="W1525">
        <v>0</v>
      </c>
      <c r="X1525">
        <v>1</v>
      </c>
      <c r="Y1525">
        <v>0</v>
      </c>
      <c r="Z1525">
        <v>1</v>
      </c>
      <c r="AA1525">
        <v>0</v>
      </c>
      <c r="AB1525">
        <v>0</v>
      </c>
      <c r="AC1525">
        <v>0</v>
      </c>
      <c r="AD1525">
        <v>0</v>
      </c>
      <c r="AE1525">
        <v>1</v>
      </c>
      <c r="AF1525">
        <v>0</v>
      </c>
      <c r="AG1525">
        <v>0</v>
      </c>
    </row>
    <row r="1526" spans="1:33" hidden="1" x14ac:dyDescent="0.2">
      <c r="A1526">
        <v>1525</v>
      </c>
      <c r="B1526" t="s">
        <v>465</v>
      </c>
      <c r="C1526" t="s">
        <v>33</v>
      </c>
      <c r="D1526">
        <v>35</v>
      </c>
      <c r="E1526" t="s">
        <v>114</v>
      </c>
      <c r="F1526" t="s">
        <v>53</v>
      </c>
      <c r="G1526" t="s">
        <v>71</v>
      </c>
      <c r="H1526">
        <v>21163</v>
      </c>
      <c r="I1526">
        <v>1</v>
      </c>
      <c r="J1526">
        <v>1</v>
      </c>
      <c r="K1526">
        <v>0</v>
      </c>
      <c r="L1526">
        <v>0</v>
      </c>
      <c r="M1526" t="s">
        <v>36</v>
      </c>
      <c r="N1526" t="s">
        <v>36</v>
      </c>
      <c r="O1526" t="s">
        <v>36</v>
      </c>
      <c r="P1526" t="s">
        <v>442</v>
      </c>
      <c r="Q1526" t="s">
        <v>36</v>
      </c>
      <c r="R1526" t="s">
        <v>36</v>
      </c>
      <c r="S1526" t="s">
        <v>36</v>
      </c>
      <c r="T1526" t="s">
        <v>36</v>
      </c>
      <c r="U1526">
        <v>0</v>
      </c>
      <c r="V1526">
        <v>1</v>
      </c>
      <c r="W1526">
        <v>0</v>
      </c>
      <c r="X1526">
        <v>1</v>
      </c>
      <c r="Y1526">
        <v>0</v>
      </c>
      <c r="Z1526">
        <v>1</v>
      </c>
      <c r="AA1526">
        <v>0</v>
      </c>
      <c r="AB1526">
        <v>0</v>
      </c>
      <c r="AC1526">
        <v>0</v>
      </c>
      <c r="AD1526">
        <v>0</v>
      </c>
      <c r="AE1526">
        <v>1</v>
      </c>
      <c r="AF1526">
        <v>0</v>
      </c>
      <c r="AG1526">
        <v>0</v>
      </c>
    </row>
    <row r="1527" spans="1:33" hidden="1" x14ac:dyDescent="0.2">
      <c r="A1527">
        <v>1526</v>
      </c>
      <c r="B1527" t="s">
        <v>465</v>
      </c>
      <c r="C1527" t="s">
        <v>33</v>
      </c>
      <c r="D1527">
        <v>35</v>
      </c>
      <c r="E1527" t="s">
        <v>114</v>
      </c>
      <c r="F1527" t="s">
        <v>77</v>
      </c>
      <c r="G1527" t="s">
        <v>36</v>
      </c>
      <c r="H1527">
        <v>27099</v>
      </c>
      <c r="I1527" t="s">
        <v>466</v>
      </c>
      <c r="L1527" t="s">
        <v>36</v>
      </c>
      <c r="M1527" t="s">
        <v>36</v>
      </c>
      <c r="N1527" t="s">
        <v>36</v>
      </c>
      <c r="O1527" t="s">
        <v>36</v>
      </c>
      <c r="P1527" t="s">
        <v>442</v>
      </c>
      <c r="Q1527" t="s">
        <v>36</v>
      </c>
      <c r="R1527" t="s">
        <v>36</v>
      </c>
      <c r="S1527" t="s">
        <v>36</v>
      </c>
      <c r="T1527" t="s">
        <v>36</v>
      </c>
      <c r="U1527" t="s">
        <v>36</v>
      </c>
      <c r="V1527" t="s">
        <v>36</v>
      </c>
      <c r="W1527" t="s">
        <v>36</v>
      </c>
      <c r="X1527" t="s">
        <v>36</v>
      </c>
      <c r="Y1527" t="s">
        <v>36</v>
      </c>
      <c r="Z1527" t="s">
        <v>36</v>
      </c>
      <c r="AA1527" t="s">
        <v>36</v>
      </c>
      <c r="AB1527" t="s">
        <v>36</v>
      </c>
      <c r="AC1527" t="s">
        <v>36</v>
      </c>
      <c r="AD1527" t="s">
        <v>36</v>
      </c>
      <c r="AE1527" t="s">
        <v>36</v>
      </c>
      <c r="AF1527" t="s">
        <v>36</v>
      </c>
      <c r="AG1527" t="s">
        <v>36</v>
      </c>
    </row>
    <row r="1528" spans="1:33" hidden="1" x14ac:dyDescent="0.2">
      <c r="A1528">
        <v>1527</v>
      </c>
      <c r="B1528" t="s">
        <v>467</v>
      </c>
      <c r="C1528" t="s">
        <v>108</v>
      </c>
      <c r="D1528">
        <v>38</v>
      </c>
      <c r="E1528" t="s">
        <v>34</v>
      </c>
      <c r="F1528" t="s">
        <v>35</v>
      </c>
      <c r="G1528" t="s">
        <v>36</v>
      </c>
      <c r="H1528">
        <v>39463</v>
      </c>
      <c r="I1528" t="s">
        <v>36</v>
      </c>
      <c r="J1528" t="s">
        <v>36</v>
      </c>
      <c r="K1528" t="s">
        <v>36</v>
      </c>
      <c r="L1528" t="s">
        <v>36</v>
      </c>
      <c r="M1528" t="s">
        <v>36</v>
      </c>
      <c r="N1528" t="s">
        <v>36</v>
      </c>
      <c r="O1528" t="s">
        <v>36</v>
      </c>
      <c r="P1528" t="s">
        <v>442</v>
      </c>
      <c r="Q1528" t="s">
        <v>36</v>
      </c>
      <c r="R1528" t="s">
        <v>36</v>
      </c>
      <c r="S1528" t="s">
        <v>36</v>
      </c>
      <c r="T1528" t="s">
        <v>36</v>
      </c>
      <c r="U1528" t="s">
        <v>36</v>
      </c>
      <c r="V1528" t="s">
        <v>36</v>
      </c>
      <c r="W1528" t="s">
        <v>36</v>
      </c>
      <c r="X1528" t="s">
        <v>36</v>
      </c>
      <c r="Y1528" t="s">
        <v>36</v>
      </c>
      <c r="Z1528" t="s">
        <v>36</v>
      </c>
      <c r="AA1528" t="s">
        <v>36</v>
      </c>
      <c r="AB1528" t="s">
        <v>36</v>
      </c>
      <c r="AC1528" t="s">
        <v>36</v>
      </c>
      <c r="AD1528" t="s">
        <v>36</v>
      </c>
      <c r="AE1528" t="s">
        <v>36</v>
      </c>
      <c r="AF1528" t="s">
        <v>36</v>
      </c>
      <c r="AG1528" t="s">
        <v>36</v>
      </c>
    </row>
    <row r="1529" spans="1:33" hidden="1" x14ac:dyDescent="0.2">
      <c r="A1529">
        <v>1528</v>
      </c>
      <c r="B1529" t="s">
        <v>467</v>
      </c>
      <c r="C1529" t="s">
        <v>108</v>
      </c>
      <c r="D1529">
        <v>38</v>
      </c>
      <c r="E1529" t="s">
        <v>34</v>
      </c>
      <c r="F1529" t="s">
        <v>38</v>
      </c>
      <c r="G1529" t="s">
        <v>39</v>
      </c>
      <c r="H1529">
        <v>25302</v>
      </c>
      <c r="I1529">
        <v>0</v>
      </c>
      <c r="J1529">
        <v>0</v>
      </c>
      <c r="K1529">
        <v>0</v>
      </c>
      <c r="L1529">
        <v>1</v>
      </c>
      <c r="M1529" t="s">
        <v>36</v>
      </c>
      <c r="N1529" t="s">
        <v>36</v>
      </c>
      <c r="O1529" t="s">
        <v>36</v>
      </c>
      <c r="P1529" t="s">
        <v>442</v>
      </c>
      <c r="Q1529" t="s">
        <v>36</v>
      </c>
      <c r="R1529" t="s">
        <v>36</v>
      </c>
      <c r="S1529" t="s">
        <v>36</v>
      </c>
      <c r="T1529" t="s">
        <v>36</v>
      </c>
      <c r="U1529" t="s">
        <v>36</v>
      </c>
      <c r="V1529" t="s">
        <v>36</v>
      </c>
      <c r="W1529" t="s">
        <v>36</v>
      </c>
      <c r="X1529" t="s">
        <v>36</v>
      </c>
      <c r="Y1529" t="s">
        <v>36</v>
      </c>
      <c r="Z1529" t="s">
        <v>36</v>
      </c>
      <c r="AA1529" t="s">
        <v>36</v>
      </c>
      <c r="AB1529" t="s">
        <v>36</v>
      </c>
      <c r="AC1529" t="s">
        <v>36</v>
      </c>
      <c r="AD1529" t="s">
        <v>36</v>
      </c>
      <c r="AE1529" t="s">
        <v>36</v>
      </c>
      <c r="AF1529" t="s">
        <v>36</v>
      </c>
      <c r="AG1529" t="s">
        <v>36</v>
      </c>
    </row>
    <row r="1530" spans="1:33" hidden="1" x14ac:dyDescent="0.2">
      <c r="A1530">
        <v>1529</v>
      </c>
      <c r="B1530" t="s">
        <v>467</v>
      </c>
      <c r="C1530" t="s">
        <v>108</v>
      </c>
      <c r="D1530">
        <v>38</v>
      </c>
      <c r="E1530" t="s">
        <v>34</v>
      </c>
      <c r="F1530" t="s">
        <v>38</v>
      </c>
      <c r="G1530" t="s">
        <v>40</v>
      </c>
      <c r="H1530">
        <v>22346</v>
      </c>
      <c r="I1530">
        <v>0</v>
      </c>
      <c r="J1530">
        <v>0</v>
      </c>
      <c r="K1530">
        <v>1</v>
      </c>
      <c r="L1530">
        <v>0</v>
      </c>
      <c r="M1530" t="s">
        <v>36</v>
      </c>
      <c r="N1530" t="s">
        <v>36</v>
      </c>
      <c r="O1530" t="s">
        <v>36</v>
      </c>
      <c r="P1530" t="s">
        <v>442</v>
      </c>
      <c r="Q1530" t="s">
        <v>36</v>
      </c>
      <c r="R1530" t="s">
        <v>36</v>
      </c>
      <c r="S1530" t="s">
        <v>36</v>
      </c>
      <c r="T1530" t="s">
        <v>36</v>
      </c>
      <c r="U1530" t="s">
        <v>36</v>
      </c>
      <c r="V1530" t="s">
        <v>36</v>
      </c>
      <c r="W1530" t="s">
        <v>36</v>
      </c>
      <c r="X1530" t="s">
        <v>36</v>
      </c>
      <c r="Y1530" t="s">
        <v>36</v>
      </c>
      <c r="Z1530" t="s">
        <v>36</v>
      </c>
      <c r="AA1530" t="s">
        <v>36</v>
      </c>
      <c r="AB1530" t="s">
        <v>36</v>
      </c>
      <c r="AC1530" t="s">
        <v>36</v>
      </c>
      <c r="AD1530" t="s">
        <v>36</v>
      </c>
      <c r="AE1530" t="s">
        <v>36</v>
      </c>
      <c r="AF1530" t="s">
        <v>36</v>
      </c>
      <c r="AG1530" t="s">
        <v>36</v>
      </c>
    </row>
    <row r="1531" spans="1:33" x14ac:dyDescent="0.2">
      <c r="A1531">
        <v>1530</v>
      </c>
      <c r="B1531" t="s">
        <v>467</v>
      </c>
      <c r="C1531" t="s">
        <v>108</v>
      </c>
      <c r="D1531">
        <v>38</v>
      </c>
      <c r="E1531" t="s">
        <v>34</v>
      </c>
      <c r="F1531" t="s">
        <v>41</v>
      </c>
      <c r="G1531" t="s">
        <v>61</v>
      </c>
      <c r="H1531">
        <v>42898</v>
      </c>
      <c r="I1531">
        <v>0</v>
      </c>
      <c r="J1531">
        <v>1</v>
      </c>
      <c r="K1531">
        <v>0</v>
      </c>
      <c r="L1531">
        <v>0</v>
      </c>
      <c r="M1531" t="s">
        <v>97</v>
      </c>
      <c r="N1531" t="s">
        <v>62</v>
      </c>
      <c r="O1531" t="s">
        <v>63</v>
      </c>
      <c r="P1531" t="s">
        <v>442</v>
      </c>
      <c r="Q1531" t="s">
        <v>59</v>
      </c>
      <c r="R1531" t="s">
        <v>65</v>
      </c>
      <c r="S1531" t="s">
        <v>46</v>
      </c>
      <c r="T1531">
        <v>0</v>
      </c>
      <c r="U1531">
        <v>1</v>
      </c>
      <c r="V1531">
        <v>0</v>
      </c>
      <c r="W1531">
        <v>0</v>
      </c>
      <c r="X1531">
        <v>1</v>
      </c>
      <c r="Y1531">
        <v>0</v>
      </c>
      <c r="Z1531">
        <v>1</v>
      </c>
      <c r="AA1531">
        <v>0</v>
      </c>
      <c r="AB1531">
        <v>1</v>
      </c>
      <c r="AC1531">
        <v>0</v>
      </c>
      <c r="AD1531">
        <v>0</v>
      </c>
      <c r="AE1531">
        <v>0</v>
      </c>
      <c r="AF1531">
        <v>0</v>
      </c>
      <c r="AG1531">
        <v>0</v>
      </c>
    </row>
    <row r="1532" spans="1:33" x14ac:dyDescent="0.2">
      <c r="A1532">
        <v>1531</v>
      </c>
      <c r="B1532" t="s">
        <v>467</v>
      </c>
      <c r="C1532" t="s">
        <v>108</v>
      </c>
      <c r="D1532">
        <v>38</v>
      </c>
      <c r="E1532" t="s">
        <v>34</v>
      </c>
      <c r="F1532" t="s">
        <v>41</v>
      </c>
      <c r="G1532" t="s">
        <v>67</v>
      </c>
      <c r="H1532">
        <v>16610</v>
      </c>
      <c r="I1532">
        <v>1</v>
      </c>
      <c r="J1532">
        <v>0</v>
      </c>
      <c r="K1532">
        <v>0</v>
      </c>
      <c r="L1532">
        <v>0</v>
      </c>
      <c r="M1532" t="s">
        <v>68</v>
      </c>
      <c r="N1532" t="s">
        <v>103</v>
      </c>
      <c r="O1532" t="s">
        <v>86</v>
      </c>
      <c r="P1532" t="s">
        <v>442</v>
      </c>
      <c r="Q1532" t="s">
        <v>65</v>
      </c>
      <c r="R1532" t="s">
        <v>60</v>
      </c>
      <c r="S1532" t="s">
        <v>46</v>
      </c>
      <c r="T1532">
        <v>1</v>
      </c>
      <c r="U1532">
        <v>1</v>
      </c>
      <c r="V1532">
        <v>0</v>
      </c>
      <c r="W1532">
        <v>0</v>
      </c>
      <c r="X1532">
        <v>1</v>
      </c>
      <c r="Y1532">
        <v>0</v>
      </c>
      <c r="Z1532">
        <v>1</v>
      </c>
      <c r="AA1532">
        <v>0</v>
      </c>
      <c r="AB1532">
        <v>1</v>
      </c>
      <c r="AC1532">
        <v>0</v>
      </c>
      <c r="AD1532">
        <v>0</v>
      </c>
      <c r="AE1532">
        <v>0</v>
      </c>
      <c r="AF1532">
        <v>0</v>
      </c>
      <c r="AG1532">
        <v>0</v>
      </c>
    </row>
    <row r="1533" spans="1:33" hidden="1" x14ac:dyDescent="0.2">
      <c r="A1533">
        <v>1532</v>
      </c>
      <c r="B1533" t="s">
        <v>467</v>
      </c>
      <c r="C1533" t="s">
        <v>108</v>
      </c>
      <c r="D1533">
        <v>38</v>
      </c>
      <c r="E1533" t="s">
        <v>34</v>
      </c>
      <c r="F1533" t="s">
        <v>53</v>
      </c>
      <c r="G1533" t="s">
        <v>54</v>
      </c>
      <c r="H1533">
        <v>24107</v>
      </c>
      <c r="I1533">
        <v>1</v>
      </c>
      <c r="J1533">
        <v>1</v>
      </c>
      <c r="K1533">
        <v>1</v>
      </c>
      <c r="L1533">
        <v>0</v>
      </c>
      <c r="M1533" t="s">
        <v>36</v>
      </c>
      <c r="N1533" t="s">
        <v>36</v>
      </c>
      <c r="O1533" t="s">
        <v>36</v>
      </c>
      <c r="P1533" t="s">
        <v>442</v>
      </c>
      <c r="Q1533" t="s">
        <v>36</v>
      </c>
      <c r="R1533" t="s">
        <v>36</v>
      </c>
      <c r="S1533" t="s">
        <v>36</v>
      </c>
      <c r="T1533" t="s">
        <v>36</v>
      </c>
      <c r="U1533">
        <v>1</v>
      </c>
      <c r="V1533">
        <v>0</v>
      </c>
      <c r="W1533">
        <v>0</v>
      </c>
      <c r="X1533">
        <v>1</v>
      </c>
      <c r="Y1533">
        <v>0</v>
      </c>
      <c r="Z1533">
        <v>1</v>
      </c>
      <c r="AA1533">
        <v>0</v>
      </c>
      <c r="AB1533">
        <v>1</v>
      </c>
      <c r="AC1533">
        <v>0</v>
      </c>
      <c r="AD1533">
        <v>0</v>
      </c>
      <c r="AE1533">
        <v>0</v>
      </c>
      <c r="AF1533">
        <v>0</v>
      </c>
      <c r="AG1533">
        <v>0</v>
      </c>
    </row>
    <row r="1534" spans="1:33" x14ac:dyDescent="0.2">
      <c r="A1534">
        <v>1533</v>
      </c>
      <c r="B1534" t="s">
        <v>467</v>
      </c>
      <c r="C1534" t="s">
        <v>108</v>
      </c>
      <c r="D1534">
        <v>38</v>
      </c>
      <c r="E1534" t="s">
        <v>34</v>
      </c>
      <c r="F1534" t="s">
        <v>41</v>
      </c>
      <c r="G1534" t="s">
        <v>42</v>
      </c>
      <c r="H1534">
        <v>13939</v>
      </c>
      <c r="I1534">
        <v>1</v>
      </c>
      <c r="J1534">
        <v>0</v>
      </c>
      <c r="K1534">
        <v>0</v>
      </c>
      <c r="L1534">
        <v>0</v>
      </c>
      <c r="M1534" t="s">
        <v>116</v>
      </c>
      <c r="N1534" t="s">
        <v>45</v>
      </c>
      <c r="O1534" t="s">
        <v>102</v>
      </c>
      <c r="P1534" t="s">
        <v>442</v>
      </c>
      <c r="Q1534" t="s">
        <v>60</v>
      </c>
      <c r="R1534" t="s">
        <v>48</v>
      </c>
      <c r="S1534" t="s">
        <v>59</v>
      </c>
      <c r="T1534">
        <v>1</v>
      </c>
      <c r="U1534">
        <v>0</v>
      </c>
      <c r="V1534">
        <v>1</v>
      </c>
      <c r="W1534">
        <v>0</v>
      </c>
      <c r="X1534">
        <v>0</v>
      </c>
      <c r="Y1534">
        <v>0</v>
      </c>
      <c r="Z1534">
        <v>1</v>
      </c>
      <c r="AA1534">
        <v>1</v>
      </c>
      <c r="AB1534">
        <v>0</v>
      </c>
      <c r="AC1534">
        <v>0</v>
      </c>
      <c r="AD1534">
        <v>0</v>
      </c>
      <c r="AE1534">
        <v>0</v>
      </c>
      <c r="AF1534">
        <v>0</v>
      </c>
      <c r="AG1534">
        <v>0</v>
      </c>
    </row>
    <row r="1535" spans="1:33" x14ac:dyDescent="0.2">
      <c r="A1535">
        <v>1534</v>
      </c>
      <c r="B1535" t="s">
        <v>467</v>
      </c>
      <c r="C1535" t="s">
        <v>108</v>
      </c>
      <c r="D1535">
        <v>38</v>
      </c>
      <c r="E1535" t="s">
        <v>34</v>
      </c>
      <c r="F1535" t="s">
        <v>41</v>
      </c>
      <c r="G1535" t="s">
        <v>49</v>
      </c>
      <c r="H1535">
        <v>15443</v>
      </c>
      <c r="I1535">
        <v>1</v>
      </c>
      <c r="J1535">
        <v>0</v>
      </c>
      <c r="K1535">
        <v>0</v>
      </c>
      <c r="L1535">
        <v>0</v>
      </c>
      <c r="M1535" t="s">
        <v>96</v>
      </c>
      <c r="N1535" t="s">
        <v>51</v>
      </c>
      <c r="O1535" t="s">
        <v>83</v>
      </c>
      <c r="P1535" t="s">
        <v>442</v>
      </c>
      <c r="Q1535" t="s">
        <v>65</v>
      </c>
      <c r="R1535" t="s">
        <v>47</v>
      </c>
      <c r="S1535" t="s">
        <v>59</v>
      </c>
      <c r="T1535">
        <v>0</v>
      </c>
      <c r="U1535">
        <v>1</v>
      </c>
      <c r="V1535">
        <v>0</v>
      </c>
      <c r="W1535">
        <v>1</v>
      </c>
      <c r="X1535">
        <v>0</v>
      </c>
      <c r="Y1535">
        <v>0</v>
      </c>
      <c r="Z1535">
        <v>1</v>
      </c>
      <c r="AA1535">
        <v>0</v>
      </c>
      <c r="AB1535">
        <v>1</v>
      </c>
      <c r="AC1535">
        <v>0</v>
      </c>
      <c r="AD1535">
        <v>0</v>
      </c>
      <c r="AE1535">
        <v>0</v>
      </c>
      <c r="AF1535">
        <v>0</v>
      </c>
      <c r="AG1535">
        <v>0</v>
      </c>
    </row>
    <row r="1536" spans="1:33" hidden="1" x14ac:dyDescent="0.2">
      <c r="A1536">
        <v>1535</v>
      </c>
      <c r="B1536" t="s">
        <v>467</v>
      </c>
      <c r="C1536" t="s">
        <v>108</v>
      </c>
      <c r="D1536">
        <v>38</v>
      </c>
      <c r="E1536" t="s">
        <v>34</v>
      </c>
      <c r="F1536" t="s">
        <v>53</v>
      </c>
      <c r="G1536" t="s">
        <v>66</v>
      </c>
      <c r="H1536">
        <v>20191</v>
      </c>
      <c r="I1536">
        <v>1</v>
      </c>
      <c r="J1536">
        <v>0</v>
      </c>
      <c r="K1536">
        <v>0</v>
      </c>
      <c r="L1536">
        <v>0</v>
      </c>
      <c r="M1536" t="s">
        <v>36</v>
      </c>
      <c r="N1536" t="s">
        <v>36</v>
      </c>
      <c r="O1536" t="s">
        <v>36</v>
      </c>
      <c r="P1536" t="s">
        <v>442</v>
      </c>
      <c r="Q1536" t="s">
        <v>36</v>
      </c>
      <c r="R1536" t="s">
        <v>36</v>
      </c>
      <c r="S1536" t="s">
        <v>36</v>
      </c>
      <c r="T1536" t="s">
        <v>36</v>
      </c>
      <c r="U1536">
        <v>1</v>
      </c>
      <c r="V1536">
        <v>0</v>
      </c>
      <c r="W1536">
        <v>1</v>
      </c>
      <c r="X1536">
        <v>0</v>
      </c>
      <c r="Y1536">
        <v>0</v>
      </c>
      <c r="Z1536">
        <v>1</v>
      </c>
      <c r="AA1536">
        <v>0</v>
      </c>
      <c r="AB1536">
        <v>1</v>
      </c>
      <c r="AC1536">
        <v>0</v>
      </c>
      <c r="AD1536">
        <v>0</v>
      </c>
      <c r="AE1536">
        <v>0</v>
      </c>
      <c r="AF1536">
        <v>0</v>
      </c>
      <c r="AG1536">
        <v>0</v>
      </c>
    </row>
    <row r="1537" spans="1:33" x14ac:dyDescent="0.2">
      <c r="A1537">
        <v>1536</v>
      </c>
      <c r="B1537" t="s">
        <v>467</v>
      </c>
      <c r="C1537" t="s">
        <v>108</v>
      </c>
      <c r="D1537">
        <v>38</v>
      </c>
      <c r="E1537" t="s">
        <v>34</v>
      </c>
      <c r="F1537" t="s">
        <v>41</v>
      </c>
      <c r="G1537" t="s">
        <v>72</v>
      </c>
      <c r="H1537">
        <v>7121</v>
      </c>
      <c r="I1537">
        <v>1</v>
      </c>
      <c r="J1537">
        <v>0</v>
      </c>
      <c r="K1537">
        <v>0</v>
      </c>
      <c r="L1537">
        <v>0</v>
      </c>
      <c r="M1537" t="s">
        <v>115</v>
      </c>
      <c r="N1537" t="s">
        <v>75</v>
      </c>
      <c r="O1537" t="s">
        <v>93</v>
      </c>
      <c r="P1537" t="s">
        <v>442</v>
      </c>
      <c r="Q1537" t="s">
        <v>65</v>
      </c>
      <c r="R1537" t="s">
        <v>46</v>
      </c>
      <c r="S1537" t="s">
        <v>59</v>
      </c>
      <c r="T1537">
        <v>0</v>
      </c>
      <c r="U1537">
        <v>1</v>
      </c>
      <c r="V1537">
        <v>0</v>
      </c>
      <c r="W1537">
        <v>0</v>
      </c>
      <c r="X1537">
        <v>1</v>
      </c>
      <c r="Y1537">
        <v>0</v>
      </c>
      <c r="Z1537">
        <v>1</v>
      </c>
      <c r="AA1537">
        <v>0</v>
      </c>
      <c r="AB1537">
        <v>1</v>
      </c>
      <c r="AC1537">
        <v>0</v>
      </c>
      <c r="AD1537">
        <v>0</v>
      </c>
      <c r="AE1537">
        <v>0</v>
      </c>
      <c r="AF1537">
        <v>0</v>
      </c>
      <c r="AG1537">
        <v>0</v>
      </c>
    </row>
    <row r="1538" spans="1:33" hidden="1" x14ac:dyDescent="0.2">
      <c r="A1538">
        <v>1537</v>
      </c>
      <c r="B1538" t="s">
        <v>467</v>
      </c>
      <c r="C1538" t="s">
        <v>108</v>
      </c>
      <c r="D1538">
        <v>38</v>
      </c>
      <c r="E1538" t="s">
        <v>34</v>
      </c>
      <c r="F1538" t="s">
        <v>53</v>
      </c>
      <c r="G1538" t="s">
        <v>76</v>
      </c>
      <c r="H1538">
        <v>7587</v>
      </c>
      <c r="I1538">
        <v>1</v>
      </c>
      <c r="J1538">
        <v>0</v>
      </c>
      <c r="K1538">
        <v>0</v>
      </c>
      <c r="L1538">
        <v>0</v>
      </c>
      <c r="M1538" t="s">
        <v>36</v>
      </c>
      <c r="N1538" t="s">
        <v>36</v>
      </c>
      <c r="O1538" t="s">
        <v>36</v>
      </c>
      <c r="P1538" t="s">
        <v>442</v>
      </c>
      <c r="Q1538" t="s">
        <v>36</v>
      </c>
      <c r="R1538" t="s">
        <v>36</v>
      </c>
      <c r="S1538" t="s">
        <v>36</v>
      </c>
      <c r="T1538" t="s">
        <v>36</v>
      </c>
      <c r="U1538">
        <v>1</v>
      </c>
      <c r="V1538">
        <v>0</v>
      </c>
      <c r="W1538">
        <v>0</v>
      </c>
      <c r="X1538">
        <v>1</v>
      </c>
      <c r="Y1538">
        <v>0</v>
      </c>
      <c r="Z1538">
        <v>1</v>
      </c>
      <c r="AA1538">
        <v>0</v>
      </c>
      <c r="AB1538">
        <v>1</v>
      </c>
      <c r="AC1538">
        <v>0</v>
      </c>
      <c r="AD1538">
        <v>0</v>
      </c>
      <c r="AE1538">
        <v>0</v>
      </c>
      <c r="AF1538">
        <v>0</v>
      </c>
      <c r="AG1538">
        <v>0</v>
      </c>
    </row>
    <row r="1539" spans="1:33" x14ac:dyDescent="0.2">
      <c r="A1539">
        <v>1538</v>
      </c>
      <c r="B1539" t="s">
        <v>467</v>
      </c>
      <c r="C1539" t="s">
        <v>108</v>
      </c>
      <c r="D1539">
        <v>38</v>
      </c>
      <c r="E1539" t="s">
        <v>34</v>
      </c>
      <c r="F1539" t="s">
        <v>41</v>
      </c>
      <c r="G1539" t="s">
        <v>55</v>
      </c>
      <c r="H1539">
        <v>9974</v>
      </c>
      <c r="I1539">
        <v>0</v>
      </c>
      <c r="J1539">
        <v>1</v>
      </c>
      <c r="K1539">
        <v>0</v>
      </c>
      <c r="L1539">
        <v>0</v>
      </c>
      <c r="M1539" t="s">
        <v>57</v>
      </c>
      <c r="N1539" t="s">
        <v>94</v>
      </c>
      <c r="O1539" t="s">
        <v>58</v>
      </c>
      <c r="P1539" t="s">
        <v>442</v>
      </c>
      <c r="Q1539" t="s">
        <v>48</v>
      </c>
      <c r="R1539" t="s">
        <v>47</v>
      </c>
      <c r="S1539" t="s">
        <v>60</v>
      </c>
      <c r="T1539">
        <v>1</v>
      </c>
      <c r="U1539">
        <v>0</v>
      </c>
      <c r="V1539">
        <v>1</v>
      </c>
      <c r="W1539">
        <v>1</v>
      </c>
      <c r="X1539">
        <v>0</v>
      </c>
      <c r="Y1539">
        <v>0</v>
      </c>
      <c r="Z1539">
        <v>1</v>
      </c>
      <c r="AA1539">
        <v>0</v>
      </c>
      <c r="AB1539">
        <v>0</v>
      </c>
      <c r="AC1539">
        <v>0</v>
      </c>
      <c r="AD1539">
        <v>1</v>
      </c>
      <c r="AE1539">
        <v>0</v>
      </c>
      <c r="AF1539">
        <v>0</v>
      </c>
      <c r="AG1539">
        <v>0</v>
      </c>
    </row>
    <row r="1540" spans="1:33" hidden="1" x14ac:dyDescent="0.2">
      <c r="A1540">
        <v>1539</v>
      </c>
      <c r="B1540" t="s">
        <v>467</v>
      </c>
      <c r="C1540" t="s">
        <v>108</v>
      </c>
      <c r="D1540">
        <v>38</v>
      </c>
      <c r="E1540" t="s">
        <v>34</v>
      </c>
      <c r="F1540" t="s">
        <v>53</v>
      </c>
      <c r="G1540" t="s">
        <v>71</v>
      </c>
      <c r="H1540">
        <v>31465</v>
      </c>
      <c r="I1540">
        <v>0</v>
      </c>
      <c r="J1540">
        <v>0</v>
      </c>
      <c r="K1540">
        <v>1</v>
      </c>
      <c r="L1540">
        <v>0</v>
      </c>
      <c r="M1540" t="s">
        <v>36</v>
      </c>
      <c r="N1540" t="s">
        <v>36</v>
      </c>
      <c r="O1540" t="s">
        <v>36</v>
      </c>
      <c r="P1540" t="s">
        <v>442</v>
      </c>
      <c r="Q1540" t="s">
        <v>36</v>
      </c>
      <c r="R1540" t="s">
        <v>36</v>
      </c>
      <c r="S1540" t="s">
        <v>36</v>
      </c>
      <c r="T1540" t="s">
        <v>36</v>
      </c>
      <c r="U1540">
        <v>0</v>
      </c>
      <c r="V1540">
        <v>1</v>
      </c>
      <c r="W1540">
        <v>1</v>
      </c>
      <c r="X1540">
        <v>0</v>
      </c>
      <c r="Y1540">
        <v>0</v>
      </c>
      <c r="Z1540">
        <v>1</v>
      </c>
      <c r="AA1540">
        <v>0</v>
      </c>
      <c r="AB1540">
        <v>0</v>
      </c>
      <c r="AC1540">
        <v>0</v>
      </c>
      <c r="AD1540">
        <v>1</v>
      </c>
      <c r="AE1540">
        <v>0</v>
      </c>
      <c r="AF1540">
        <v>0</v>
      </c>
      <c r="AG1540">
        <v>0</v>
      </c>
    </row>
    <row r="1541" spans="1:33" hidden="1" x14ac:dyDescent="0.2">
      <c r="A1541">
        <v>1540</v>
      </c>
      <c r="B1541" t="s">
        <v>467</v>
      </c>
      <c r="C1541" t="s">
        <v>108</v>
      </c>
      <c r="D1541">
        <v>38</v>
      </c>
      <c r="E1541" t="s">
        <v>34</v>
      </c>
      <c r="F1541" t="s">
        <v>77</v>
      </c>
      <c r="G1541" t="s">
        <v>36</v>
      </c>
      <c r="H1541">
        <v>53222</v>
      </c>
      <c r="I1541" t="s">
        <v>468</v>
      </c>
      <c r="J1541" t="s">
        <v>469</v>
      </c>
      <c r="K1541" t="s">
        <v>470</v>
      </c>
      <c r="L1541" t="s">
        <v>36</v>
      </c>
      <c r="M1541" t="s">
        <v>36</v>
      </c>
      <c r="N1541" t="s">
        <v>36</v>
      </c>
      <c r="O1541" t="s">
        <v>36</v>
      </c>
      <c r="P1541" t="s">
        <v>442</v>
      </c>
      <c r="Q1541" t="s">
        <v>36</v>
      </c>
      <c r="R1541" t="s">
        <v>36</v>
      </c>
      <c r="S1541" t="s">
        <v>36</v>
      </c>
      <c r="T1541" t="s">
        <v>36</v>
      </c>
      <c r="U1541" t="s">
        <v>36</v>
      </c>
      <c r="V1541" t="s">
        <v>36</v>
      </c>
      <c r="W1541" t="s">
        <v>36</v>
      </c>
      <c r="X1541" t="s">
        <v>36</v>
      </c>
      <c r="Y1541" t="s">
        <v>36</v>
      </c>
      <c r="Z1541" t="s">
        <v>36</v>
      </c>
      <c r="AA1541" t="s">
        <v>36</v>
      </c>
      <c r="AB1541" t="s">
        <v>36</v>
      </c>
      <c r="AC1541" t="s">
        <v>36</v>
      </c>
      <c r="AD1541" t="s">
        <v>36</v>
      </c>
      <c r="AE1541" t="s">
        <v>36</v>
      </c>
      <c r="AF1541" t="s">
        <v>36</v>
      </c>
      <c r="AG1541" t="s">
        <v>36</v>
      </c>
    </row>
    <row r="1542" spans="1:33" hidden="1" x14ac:dyDescent="0.2">
      <c r="A1542">
        <v>1541</v>
      </c>
      <c r="B1542" t="s">
        <v>471</v>
      </c>
      <c r="C1542" t="s">
        <v>108</v>
      </c>
      <c r="D1542">
        <v>34</v>
      </c>
      <c r="E1542" t="s">
        <v>114</v>
      </c>
      <c r="F1542" t="s">
        <v>35</v>
      </c>
      <c r="G1542" t="s">
        <v>36</v>
      </c>
      <c r="H1542">
        <v>41492</v>
      </c>
      <c r="I1542" t="s">
        <v>36</v>
      </c>
      <c r="J1542" t="s">
        <v>36</v>
      </c>
      <c r="K1542" t="s">
        <v>36</v>
      </c>
      <c r="L1542" t="s">
        <v>36</v>
      </c>
      <c r="M1542" t="s">
        <v>36</v>
      </c>
      <c r="N1542" t="s">
        <v>36</v>
      </c>
      <c r="O1542" t="s">
        <v>36</v>
      </c>
      <c r="P1542" t="s">
        <v>442</v>
      </c>
      <c r="Q1542" t="s">
        <v>36</v>
      </c>
      <c r="R1542" t="s">
        <v>36</v>
      </c>
      <c r="S1542" t="s">
        <v>36</v>
      </c>
      <c r="T1542" t="s">
        <v>36</v>
      </c>
      <c r="U1542" t="s">
        <v>36</v>
      </c>
      <c r="V1542" t="s">
        <v>36</v>
      </c>
      <c r="W1542" t="s">
        <v>36</v>
      </c>
      <c r="X1542" t="s">
        <v>36</v>
      </c>
      <c r="Y1542" t="s">
        <v>36</v>
      </c>
      <c r="Z1542" t="s">
        <v>36</v>
      </c>
      <c r="AA1542" t="s">
        <v>36</v>
      </c>
      <c r="AB1542" t="s">
        <v>36</v>
      </c>
      <c r="AC1542" t="s">
        <v>36</v>
      </c>
      <c r="AD1542" t="s">
        <v>36</v>
      </c>
      <c r="AE1542" t="s">
        <v>36</v>
      </c>
      <c r="AF1542" t="s">
        <v>36</v>
      </c>
      <c r="AG1542" t="s">
        <v>36</v>
      </c>
    </row>
    <row r="1543" spans="1:33" hidden="1" x14ac:dyDescent="0.2">
      <c r="A1543">
        <v>1542</v>
      </c>
      <c r="B1543" t="s">
        <v>471</v>
      </c>
      <c r="C1543" t="s">
        <v>108</v>
      </c>
      <c r="D1543">
        <v>34</v>
      </c>
      <c r="E1543" t="s">
        <v>114</v>
      </c>
      <c r="F1543" t="s">
        <v>38</v>
      </c>
      <c r="G1543" t="s">
        <v>40</v>
      </c>
      <c r="H1543">
        <v>30787</v>
      </c>
      <c r="I1543">
        <v>0</v>
      </c>
      <c r="J1543">
        <v>1</v>
      </c>
      <c r="K1543">
        <v>0</v>
      </c>
      <c r="L1543">
        <v>0</v>
      </c>
      <c r="M1543" t="s">
        <v>36</v>
      </c>
      <c r="N1543" t="s">
        <v>36</v>
      </c>
      <c r="O1543" t="s">
        <v>36</v>
      </c>
      <c r="P1543" t="s">
        <v>442</v>
      </c>
      <c r="Q1543" t="s">
        <v>36</v>
      </c>
      <c r="R1543" t="s">
        <v>36</v>
      </c>
      <c r="S1543" t="s">
        <v>36</v>
      </c>
      <c r="T1543" t="s">
        <v>36</v>
      </c>
      <c r="U1543" t="s">
        <v>36</v>
      </c>
      <c r="V1543" t="s">
        <v>36</v>
      </c>
      <c r="W1543" t="s">
        <v>36</v>
      </c>
      <c r="X1543" t="s">
        <v>36</v>
      </c>
      <c r="Y1543" t="s">
        <v>36</v>
      </c>
      <c r="Z1543" t="s">
        <v>36</v>
      </c>
      <c r="AA1543" t="s">
        <v>36</v>
      </c>
      <c r="AB1543" t="s">
        <v>36</v>
      </c>
      <c r="AC1543" t="s">
        <v>36</v>
      </c>
      <c r="AD1543" t="s">
        <v>36</v>
      </c>
      <c r="AE1543" t="s">
        <v>36</v>
      </c>
      <c r="AF1543" t="s">
        <v>36</v>
      </c>
      <c r="AG1543" t="s">
        <v>36</v>
      </c>
    </row>
    <row r="1544" spans="1:33" hidden="1" x14ac:dyDescent="0.2">
      <c r="A1544">
        <v>1543</v>
      </c>
      <c r="B1544" t="s">
        <v>471</v>
      </c>
      <c r="C1544" t="s">
        <v>108</v>
      </c>
      <c r="D1544">
        <v>34</v>
      </c>
      <c r="E1544" t="s">
        <v>114</v>
      </c>
      <c r="F1544" t="s">
        <v>38</v>
      </c>
      <c r="G1544" t="s">
        <v>39</v>
      </c>
      <c r="H1544">
        <v>40157</v>
      </c>
      <c r="I1544">
        <v>0</v>
      </c>
      <c r="J1544">
        <v>0</v>
      </c>
      <c r="K1544">
        <v>0</v>
      </c>
      <c r="L1544">
        <v>1</v>
      </c>
      <c r="M1544" t="s">
        <v>36</v>
      </c>
      <c r="N1544" t="s">
        <v>36</v>
      </c>
      <c r="O1544" t="s">
        <v>36</v>
      </c>
      <c r="P1544" t="s">
        <v>442</v>
      </c>
      <c r="Q1544" t="s">
        <v>36</v>
      </c>
      <c r="R1544" t="s">
        <v>36</v>
      </c>
      <c r="S1544" t="s">
        <v>36</v>
      </c>
      <c r="T1544" t="s">
        <v>36</v>
      </c>
      <c r="U1544" t="s">
        <v>36</v>
      </c>
      <c r="V1544" t="s">
        <v>36</v>
      </c>
      <c r="W1544" t="s">
        <v>36</v>
      </c>
      <c r="X1544" t="s">
        <v>36</v>
      </c>
      <c r="Y1544" t="s">
        <v>36</v>
      </c>
      <c r="Z1544" t="s">
        <v>36</v>
      </c>
      <c r="AA1544" t="s">
        <v>36</v>
      </c>
      <c r="AB1544" t="s">
        <v>36</v>
      </c>
      <c r="AC1544" t="s">
        <v>36</v>
      </c>
      <c r="AD1544" t="s">
        <v>36</v>
      </c>
      <c r="AE1544" t="s">
        <v>36</v>
      </c>
      <c r="AF1544" t="s">
        <v>36</v>
      </c>
      <c r="AG1544" t="s">
        <v>36</v>
      </c>
    </row>
    <row r="1545" spans="1:33" x14ac:dyDescent="0.2">
      <c r="A1545">
        <v>1544</v>
      </c>
      <c r="B1545" t="s">
        <v>471</v>
      </c>
      <c r="C1545" t="s">
        <v>108</v>
      </c>
      <c r="D1545">
        <v>34</v>
      </c>
      <c r="E1545" t="s">
        <v>114</v>
      </c>
      <c r="F1545" t="s">
        <v>41</v>
      </c>
      <c r="G1545" t="s">
        <v>67</v>
      </c>
      <c r="H1545">
        <v>64706</v>
      </c>
      <c r="I1545">
        <v>1</v>
      </c>
      <c r="J1545">
        <v>0</v>
      </c>
      <c r="K1545">
        <v>0</v>
      </c>
      <c r="L1545">
        <v>0</v>
      </c>
      <c r="M1545" t="s">
        <v>70</v>
      </c>
      <c r="N1545" t="s">
        <v>69</v>
      </c>
      <c r="O1545" t="s">
        <v>86</v>
      </c>
      <c r="P1545" t="s">
        <v>442</v>
      </c>
      <c r="Q1545" t="s">
        <v>47</v>
      </c>
      <c r="R1545" t="s">
        <v>48</v>
      </c>
      <c r="S1545" t="s">
        <v>46</v>
      </c>
      <c r="T1545">
        <v>0</v>
      </c>
      <c r="U1545">
        <v>0</v>
      </c>
      <c r="V1545">
        <v>1</v>
      </c>
      <c r="W1545">
        <v>1</v>
      </c>
      <c r="X1545">
        <v>1</v>
      </c>
      <c r="Y1545">
        <v>0</v>
      </c>
      <c r="Z1545">
        <v>1</v>
      </c>
      <c r="AA1545">
        <v>0</v>
      </c>
      <c r="AB1545">
        <v>0</v>
      </c>
      <c r="AC1545">
        <v>0</v>
      </c>
      <c r="AD1545">
        <v>1</v>
      </c>
      <c r="AE1545">
        <v>0</v>
      </c>
      <c r="AF1545">
        <v>0</v>
      </c>
      <c r="AG1545">
        <v>0</v>
      </c>
    </row>
    <row r="1546" spans="1:33" x14ac:dyDescent="0.2">
      <c r="A1546">
        <v>1545</v>
      </c>
      <c r="B1546" t="s">
        <v>471</v>
      </c>
      <c r="C1546" t="s">
        <v>108</v>
      </c>
      <c r="D1546">
        <v>34</v>
      </c>
      <c r="E1546" t="s">
        <v>114</v>
      </c>
      <c r="F1546" t="s">
        <v>41</v>
      </c>
      <c r="G1546" t="s">
        <v>55</v>
      </c>
      <c r="H1546">
        <v>33536</v>
      </c>
      <c r="I1546">
        <v>1</v>
      </c>
      <c r="J1546">
        <v>0</v>
      </c>
      <c r="K1546">
        <v>0</v>
      </c>
      <c r="L1546">
        <v>0</v>
      </c>
      <c r="M1546" t="s">
        <v>94</v>
      </c>
      <c r="N1546" t="s">
        <v>56</v>
      </c>
      <c r="O1546" t="s">
        <v>58</v>
      </c>
      <c r="P1546" t="s">
        <v>442</v>
      </c>
      <c r="Q1546" t="s">
        <v>47</v>
      </c>
      <c r="R1546" t="s">
        <v>59</v>
      </c>
      <c r="S1546" t="s">
        <v>60</v>
      </c>
      <c r="T1546">
        <v>1</v>
      </c>
      <c r="U1546">
        <v>0</v>
      </c>
      <c r="V1546">
        <v>0</v>
      </c>
      <c r="W1546">
        <v>1</v>
      </c>
      <c r="X1546">
        <v>0</v>
      </c>
      <c r="Y1546">
        <v>0</v>
      </c>
      <c r="Z1546">
        <v>1</v>
      </c>
      <c r="AA1546">
        <v>0</v>
      </c>
      <c r="AB1546">
        <v>0</v>
      </c>
      <c r="AC1546">
        <v>0</v>
      </c>
      <c r="AD1546">
        <v>1</v>
      </c>
      <c r="AE1546">
        <v>0</v>
      </c>
      <c r="AF1546">
        <v>0</v>
      </c>
      <c r="AG1546">
        <v>0</v>
      </c>
    </row>
    <row r="1547" spans="1:33" hidden="1" x14ac:dyDescent="0.2">
      <c r="A1547">
        <v>1546</v>
      </c>
      <c r="B1547" t="s">
        <v>471</v>
      </c>
      <c r="C1547" t="s">
        <v>108</v>
      </c>
      <c r="D1547">
        <v>34</v>
      </c>
      <c r="E1547" t="s">
        <v>114</v>
      </c>
      <c r="F1547" t="s">
        <v>53</v>
      </c>
      <c r="G1547" t="s">
        <v>66</v>
      </c>
      <c r="H1547">
        <v>24101</v>
      </c>
      <c r="I1547">
        <v>1</v>
      </c>
      <c r="J1547">
        <v>0</v>
      </c>
      <c r="K1547">
        <v>0</v>
      </c>
      <c r="L1547">
        <v>0</v>
      </c>
      <c r="M1547" t="s">
        <v>36</v>
      </c>
      <c r="N1547" t="s">
        <v>36</v>
      </c>
      <c r="O1547" t="s">
        <v>36</v>
      </c>
      <c r="P1547" t="s">
        <v>442</v>
      </c>
      <c r="Q1547" t="s">
        <v>36</v>
      </c>
      <c r="R1547" t="s">
        <v>36</v>
      </c>
      <c r="S1547" t="s">
        <v>36</v>
      </c>
      <c r="T1547" t="s">
        <v>36</v>
      </c>
      <c r="U1547">
        <v>0</v>
      </c>
      <c r="V1547">
        <v>0</v>
      </c>
      <c r="W1547">
        <v>1</v>
      </c>
      <c r="X1547">
        <v>0</v>
      </c>
      <c r="Y1547">
        <v>0</v>
      </c>
      <c r="Z1547">
        <v>1</v>
      </c>
      <c r="AA1547">
        <v>0</v>
      </c>
      <c r="AB1547">
        <v>0</v>
      </c>
      <c r="AC1547">
        <v>0</v>
      </c>
      <c r="AD1547">
        <v>1</v>
      </c>
      <c r="AE1547">
        <v>0</v>
      </c>
      <c r="AF1547">
        <v>0</v>
      </c>
      <c r="AG1547">
        <v>0</v>
      </c>
    </row>
    <row r="1548" spans="1:33" x14ac:dyDescent="0.2">
      <c r="A1548">
        <v>1547</v>
      </c>
      <c r="B1548" t="s">
        <v>471</v>
      </c>
      <c r="C1548" t="s">
        <v>108</v>
      </c>
      <c r="D1548">
        <v>34</v>
      </c>
      <c r="E1548" t="s">
        <v>114</v>
      </c>
      <c r="F1548" t="s">
        <v>41</v>
      </c>
      <c r="G1548" t="s">
        <v>49</v>
      </c>
      <c r="H1548">
        <v>25074</v>
      </c>
      <c r="I1548">
        <v>1</v>
      </c>
      <c r="J1548">
        <v>0</v>
      </c>
      <c r="K1548">
        <v>0</v>
      </c>
      <c r="L1548">
        <v>0</v>
      </c>
      <c r="M1548" t="s">
        <v>96</v>
      </c>
      <c r="N1548" t="s">
        <v>50</v>
      </c>
      <c r="O1548" t="s">
        <v>52</v>
      </c>
      <c r="P1548" t="s">
        <v>442</v>
      </c>
      <c r="Q1548" t="s">
        <v>65</v>
      </c>
      <c r="R1548" t="s">
        <v>48</v>
      </c>
      <c r="S1548" t="s">
        <v>46</v>
      </c>
      <c r="T1548">
        <v>0</v>
      </c>
      <c r="U1548">
        <v>1</v>
      </c>
      <c r="V1548">
        <v>1</v>
      </c>
      <c r="W1548">
        <v>0</v>
      </c>
      <c r="X1548">
        <v>1</v>
      </c>
      <c r="Y1548">
        <v>0</v>
      </c>
      <c r="Z1548">
        <v>1</v>
      </c>
      <c r="AA1548">
        <v>0</v>
      </c>
      <c r="AB1548">
        <v>1</v>
      </c>
      <c r="AC1548">
        <v>0</v>
      </c>
      <c r="AD1548">
        <v>0</v>
      </c>
      <c r="AE1548">
        <v>0</v>
      </c>
      <c r="AF1548">
        <v>0</v>
      </c>
      <c r="AG1548">
        <v>0</v>
      </c>
    </row>
    <row r="1549" spans="1:33" hidden="1" x14ac:dyDescent="0.2">
      <c r="A1549">
        <v>1548</v>
      </c>
      <c r="B1549" t="s">
        <v>471</v>
      </c>
      <c r="C1549" t="s">
        <v>108</v>
      </c>
      <c r="D1549">
        <v>34</v>
      </c>
      <c r="E1549" t="s">
        <v>114</v>
      </c>
      <c r="F1549" t="s">
        <v>53</v>
      </c>
      <c r="G1549" t="s">
        <v>71</v>
      </c>
      <c r="H1549">
        <v>53100</v>
      </c>
      <c r="I1549">
        <v>0</v>
      </c>
      <c r="J1549">
        <v>1</v>
      </c>
      <c r="K1549">
        <v>1</v>
      </c>
      <c r="L1549">
        <v>0</v>
      </c>
      <c r="M1549" t="s">
        <v>36</v>
      </c>
      <c r="N1549" t="s">
        <v>36</v>
      </c>
      <c r="O1549" t="s">
        <v>36</v>
      </c>
      <c r="P1549" t="s">
        <v>442</v>
      </c>
      <c r="Q1549" t="s">
        <v>36</v>
      </c>
      <c r="R1549" t="s">
        <v>36</v>
      </c>
      <c r="S1549" t="s">
        <v>36</v>
      </c>
      <c r="T1549" t="s">
        <v>36</v>
      </c>
      <c r="U1549">
        <v>1</v>
      </c>
      <c r="V1549">
        <v>1</v>
      </c>
      <c r="W1549">
        <v>0</v>
      </c>
      <c r="X1549">
        <v>1</v>
      </c>
      <c r="Y1549">
        <v>0</v>
      </c>
      <c r="Z1549">
        <v>1</v>
      </c>
      <c r="AA1549">
        <v>0</v>
      </c>
      <c r="AB1549">
        <v>1</v>
      </c>
      <c r="AC1549">
        <v>0</v>
      </c>
      <c r="AD1549">
        <v>0</v>
      </c>
      <c r="AE1549">
        <v>0</v>
      </c>
      <c r="AF1549">
        <v>0</v>
      </c>
      <c r="AG1549">
        <v>0</v>
      </c>
    </row>
    <row r="1550" spans="1:33" x14ac:dyDescent="0.2">
      <c r="A1550">
        <v>1549</v>
      </c>
      <c r="B1550" t="s">
        <v>471</v>
      </c>
      <c r="C1550" t="s">
        <v>108</v>
      </c>
      <c r="D1550">
        <v>34</v>
      </c>
      <c r="E1550" t="s">
        <v>114</v>
      </c>
      <c r="F1550" t="s">
        <v>41</v>
      </c>
      <c r="G1550" t="s">
        <v>42</v>
      </c>
      <c r="H1550">
        <v>22202</v>
      </c>
      <c r="I1550">
        <v>0</v>
      </c>
      <c r="J1550">
        <v>0</v>
      </c>
      <c r="K1550">
        <v>1</v>
      </c>
      <c r="L1550">
        <v>0</v>
      </c>
      <c r="M1550" t="s">
        <v>45</v>
      </c>
      <c r="N1550" t="s">
        <v>43</v>
      </c>
      <c r="O1550" t="s">
        <v>82</v>
      </c>
      <c r="P1550" t="s">
        <v>442</v>
      </c>
      <c r="Q1550" t="s">
        <v>48</v>
      </c>
      <c r="R1550" t="s">
        <v>46</v>
      </c>
      <c r="S1550" t="s">
        <v>65</v>
      </c>
      <c r="T1550">
        <v>0</v>
      </c>
      <c r="U1550">
        <v>1</v>
      </c>
      <c r="V1550">
        <v>1</v>
      </c>
      <c r="W1550">
        <v>0</v>
      </c>
      <c r="X1550">
        <v>1</v>
      </c>
      <c r="Y1550">
        <v>0</v>
      </c>
      <c r="Z1550">
        <v>1</v>
      </c>
      <c r="AA1550">
        <v>0</v>
      </c>
      <c r="AB1550">
        <v>1</v>
      </c>
      <c r="AC1550">
        <v>0</v>
      </c>
      <c r="AD1550">
        <v>0</v>
      </c>
      <c r="AE1550">
        <v>0</v>
      </c>
      <c r="AF1550">
        <v>0</v>
      </c>
      <c r="AG1550">
        <v>0</v>
      </c>
    </row>
    <row r="1551" spans="1:33" x14ac:dyDescent="0.2">
      <c r="A1551">
        <v>1550</v>
      </c>
      <c r="B1551" t="s">
        <v>471</v>
      </c>
      <c r="C1551" t="s">
        <v>108</v>
      </c>
      <c r="D1551">
        <v>34</v>
      </c>
      <c r="E1551" t="s">
        <v>114</v>
      </c>
      <c r="F1551" t="s">
        <v>41</v>
      </c>
      <c r="G1551" t="s">
        <v>61</v>
      </c>
      <c r="H1551">
        <v>14873</v>
      </c>
      <c r="I1551">
        <v>0</v>
      </c>
      <c r="J1551">
        <v>1</v>
      </c>
      <c r="K1551">
        <v>0</v>
      </c>
      <c r="L1551">
        <v>0</v>
      </c>
      <c r="M1551" t="s">
        <v>64</v>
      </c>
      <c r="N1551" t="s">
        <v>125</v>
      </c>
      <c r="O1551" t="s">
        <v>97</v>
      </c>
      <c r="P1551" t="s">
        <v>442</v>
      </c>
      <c r="Q1551" t="s">
        <v>48</v>
      </c>
      <c r="R1551" t="s">
        <v>60</v>
      </c>
      <c r="S1551" t="s">
        <v>59</v>
      </c>
      <c r="T1551">
        <v>1</v>
      </c>
      <c r="U1551">
        <v>0</v>
      </c>
      <c r="V1551">
        <v>1</v>
      </c>
      <c r="W1551">
        <v>0</v>
      </c>
      <c r="X1551">
        <v>0</v>
      </c>
      <c r="Y1551">
        <v>0</v>
      </c>
      <c r="Z1551">
        <v>1</v>
      </c>
      <c r="AA1551">
        <v>1</v>
      </c>
      <c r="AB1551">
        <v>0</v>
      </c>
      <c r="AC1551">
        <v>0</v>
      </c>
      <c r="AD1551">
        <v>0</v>
      </c>
      <c r="AE1551">
        <v>0</v>
      </c>
      <c r="AF1551">
        <v>0</v>
      </c>
      <c r="AG1551">
        <v>0</v>
      </c>
    </row>
    <row r="1552" spans="1:33" hidden="1" x14ac:dyDescent="0.2">
      <c r="A1552">
        <v>1551</v>
      </c>
      <c r="B1552" t="s">
        <v>471</v>
      </c>
      <c r="C1552" t="s">
        <v>108</v>
      </c>
      <c r="D1552">
        <v>34</v>
      </c>
      <c r="E1552" t="s">
        <v>114</v>
      </c>
      <c r="F1552" t="s">
        <v>53</v>
      </c>
      <c r="G1552" t="s">
        <v>76</v>
      </c>
      <c r="H1552">
        <v>15509</v>
      </c>
      <c r="I1552">
        <v>1</v>
      </c>
      <c r="J1552">
        <v>0</v>
      </c>
      <c r="K1552">
        <v>0</v>
      </c>
      <c r="L1552">
        <v>0</v>
      </c>
      <c r="M1552" t="s">
        <v>36</v>
      </c>
      <c r="N1552" t="s">
        <v>36</v>
      </c>
      <c r="O1552" t="s">
        <v>36</v>
      </c>
      <c r="P1552" t="s">
        <v>442</v>
      </c>
      <c r="Q1552" t="s">
        <v>36</v>
      </c>
      <c r="R1552" t="s">
        <v>36</v>
      </c>
      <c r="S1552" t="s">
        <v>36</v>
      </c>
      <c r="T1552" t="s">
        <v>36</v>
      </c>
      <c r="U1552">
        <v>0</v>
      </c>
      <c r="V1552">
        <v>1</v>
      </c>
      <c r="W1552">
        <v>0</v>
      </c>
      <c r="X1552">
        <v>0</v>
      </c>
      <c r="Y1552">
        <v>0</v>
      </c>
      <c r="Z1552">
        <v>1</v>
      </c>
      <c r="AA1552">
        <v>1</v>
      </c>
      <c r="AB1552">
        <v>0</v>
      </c>
      <c r="AC1552">
        <v>0</v>
      </c>
      <c r="AD1552">
        <v>0</v>
      </c>
      <c r="AE1552">
        <v>0</v>
      </c>
      <c r="AF1552">
        <v>0</v>
      </c>
      <c r="AG1552">
        <v>0</v>
      </c>
    </row>
    <row r="1553" spans="1:33" x14ac:dyDescent="0.2">
      <c r="A1553">
        <v>1552</v>
      </c>
      <c r="B1553" t="s">
        <v>471</v>
      </c>
      <c r="C1553" t="s">
        <v>108</v>
      </c>
      <c r="D1553">
        <v>34</v>
      </c>
      <c r="E1553" t="s">
        <v>114</v>
      </c>
      <c r="F1553" t="s">
        <v>41</v>
      </c>
      <c r="G1553" t="s">
        <v>72</v>
      </c>
      <c r="H1553">
        <v>13567</v>
      </c>
      <c r="I1553">
        <v>1</v>
      </c>
      <c r="J1553">
        <v>0</v>
      </c>
      <c r="K1553">
        <v>0</v>
      </c>
      <c r="L1553">
        <v>0</v>
      </c>
      <c r="M1553" t="s">
        <v>115</v>
      </c>
      <c r="N1553" t="s">
        <v>74</v>
      </c>
      <c r="O1553" t="s">
        <v>75</v>
      </c>
      <c r="P1553" t="s">
        <v>442</v>
      </c>
      <c r="Q1553" t="s">
        <v>65</v>
      </c>
      <c r="R1553" t="s">
        <v>47</v>
      </c>
      <c r="S1553" t="s">
        <v>46</v>
      </c>
      <c r="T1553">
        <v>0</v>
      </c>
      <c r="U1553">
        <v>1</v>
      </c>
      <c r="V1553">
        <v>0</v>
      </c>
      <c r="W1553">
        <v>1</v>
      </c>
      <c r="X1553">
        <v>1</v>
      </c>
      <c r="Y1553">
        <v>0</v>
      </c>
      <c r="Z1553">
        <v>1</v>
      </c>
      <c r="AA1553">
        <v>0</v>
      </c>
      <c r="AB1553">
        <v>1</v>
      </c>
      <c r="AC1553">
        <v>0</v>
      </c>
      <c r="AD1553">
        <v>0</v>
      </c>
      <c r="AE1553">
        <v>0</v>
      </c>
      <c r="AF1553">
        <v>0</v>
      </c>
      <c r="AG1553">
        <v>0</v>
      </c>
    </row>
    <row r="1554" spans="1:33" hidden="1" x14ac:dyDescent="0.2">
      <c r="A1554">
        <v>1553</v>
      </c>
      <c r="B1554" t="s">
        <v>471</v>
      </c>
      <c r="C1554" t="s">
        <v>108</v>
      </c>
      <c r="D1554">
        <v>34</v>
      </c>
      <c r="E1554" t="s">
        <v>114</v>
      </c>
      <c r="F1554" t="s">
        <v>53</v>
      </c>
      <c r="G1554" t="s">
        <v>54</v>
      </c>
      <c r="H1554">
        <v>21468</v>
      </c>
      <c r="I1554">
        <v>1</v>
      </c>
      <c r="J1554">
        <v>0</v>
      </c>
      <c r="K1554">
        <v>1</v>
      </c>
      <c r="L1554">
        <v>0</v>
      </c>
      <c r="M1554" t="s">
        <v>36</v>
      </c>
      <c r="N1554" t="s">
        <v>36</v>
      </c>
      <c r="O1554" t="s">
        <v>36</v>
      </c>
      <c r="P1554" t="s">
        <v>442</v>
      </c>
      <c r="Q1554" t="s">
        <v>36</v>
      </c>
      <c r="R1554" t="s">
        <v>36</v>
      </c>
      <c r="S1554" t="s">
        <v>36</v>
      </c>
      <c r="T1554" t="s">
        <v>36</v>
      </c>
      <c r="U1554">
        <v>1</v>
      </c>
      <c r="V1554">
        <v>0</v>
      </c>
      <c r="W1554">
        <v>1</v>
      </c>
      <c r="X1554">
        <v>1</v>
      </c>
      <c r="Y1554">
        <v>0</v>
      </c>
      <c r="Z1554">
        <v>1</v>
      </c>
      <c r="AA1554">
        <v>0</v>
      </c>
      <c r="AB1554">
        <v>1</v>
      </c>
      <c r="AC1554">
        <v>0</v>
      </c>
      <c r="AD1554">
        <v>0</v>
      </c>
      <c r="AE1554">
        <v>0</v>
      </c>
      <c r="AF1554">
        <v>0</v>
      </c>
      <c r="AG1554">
        <v>0</v>
      </c>
    </row>
    <row r="1555" spans="1:33" hidden="1" x14ac:dyDescent="0.2">
      <c r="A1555">
        <v>1554</v>
      </c>
      <c r="B1555" t="s">
        <v>471</v>
      </c>
      <c r="C1555" t="s">
        <v>108</v>
      </c>
      <c r="D1555">
        <v>34</v>
      </c>
      <c r="E1555" t="s">
        <v>114</v>
      </c>
      <c r="F1555" t="s">
        <v>77</v>
      </c>
      <c r="G1555" t="s">
        <v>36</v>
      </c>
      <c r="H1555">
        <v>50414</v>
      </c>
      <c r="I1555" t="s">
        <v>472</v>
      </c>
      <c r="J1555" t="s">
        <v>473</v>
      </c>
      <c r="K1555" t="s">
        <v>474</v>
      </c>
      <c r="L1555" t="s">
        <v>36</v>
      </c>
      <c r="M1555" t="s">
        <v>36</v>
      </c>
      <c r="N1555" t="s">
        <v>36</v>
      </c>
      <c r="O1555" t="s">
        <v>36</v>
      </c>
      <c r="P1555" t="s">
        <v>442</v>
      </c>
      <c r="Q1555" t="s">
        <v>36</v>
      </c>
      <c r="R1555" t="s">
        <v>36</v>
      </c>
      <c r="S1555" t="s">
        <v>36</v>
      </c>
      <c r="T1555" t="s">
        <v>36</v>
      </c>
      <c r="U1555" t="s">
        <v>36</v>
      </c>
      <c r="V1555" t="s">
        <v>36</v>
      </c>
      <c r="W1555" t="s">
        <v>36</v>
      </c>
      <c r="X1555" t="s">
        <v>36</v>
      </c>
      <c r="Y1555" t="s">
        <v>36</v>
      </c>
      <c r="Z1555" t="s">
        <v>36</v>
      </c>
      <c r="AA1555" t="s">
        <v>36</v>
      </c>
      <c r="AB1555" t="s">
        <v>36</v>
      </c>
      <c r="AC1555" t="s">
        <v>36</v>
      </c>
      <c r="AD1555" t="s">
        <v>36</v>
      </c>
      <c r="AE1555" t="s">
        <v>36</v>
      </c>
      <c r="AF1555" t="s">
        <v>36</v>
      </c>
      <c r="AG1555" t="s">
        <v>36</v>
      </c>
    </row>
    <row r="1556" spans="1:33" hidden="1" x14ac:dyDescent="0.2">
      <c r="A1556">
        <v>1555</v>
      </c>
      <c r="B1556" t="s">
        <v>475</v>
      </c>
      <c r="C1556" t="s">
        <v>188</v>
      </c>
      <c r="D1556">
        <v>33</v>
      </c>
      <c r="E1556" t="s">
        <v>114</v>
      </c>
      <c r="F1556" t="s">
        <v>35</v>
      </c>
      <c r="G1556" t="s">
        <v>36</v>
      </c>
      <c r="H1556">
        <v>10542</v>
      </c>
      <c r="I1556" t="s">
        <v>36</v>
      </c>
      <c r="J1556" t="s">
        <v>36</v>
      </c>
      <c r="K1556" t="s">
        <v>36</v>
      </c>
      <c r="L1556" t="s">
        <v>36</v>
      </c>
      <c r="M1556" t="s">
        <v>36</v>
      </c>
      <c r="N1556" t="s">
        <v>36</v>
      </c>
      <c r="O1556" t="s">
        <v>36</v>
      </c>
      <c r="P1556" t="s">
        <v>442</v>
      </c>
      <c r="Q1556" t="s">
        <v>36</v>
      </c>
      <c r="R1556" t="s">
        <v>36</v>
      </c>
      <c r="S1556" t="s">
        <v>36</v>
      </c>
      <c r="T1556" t="s">
        <v>36</v>
      </c>
      <c r="U1556" t="s">
        <v>36</v>
      </c>
      <c r="V1556" t="s">
        <v>36</v>
      </c>
      <c r="W1556" t="s">
        <v>36</v>
      </c>
      <c r="X1556" t="s">
        <v>36</v>
      </c>
      <c r="Y1556" t="s">
        <v>36</v>
      </c>
      <c r="Z1556" t="s">
        <v>36</v>
      </c>
      <c r="AA1556" t="s">
        <v>36</v>
      </c>
      <c r="AB1556" t="s">
        <v>36</v>
      </c>
      <c r="AC1556" t="s">
        <v>36</v>
      </c>
      <c r="AD1556" t="s">
        <v>36</v>
      </c>
      <c r="AE1556" t="s">
        <v>36</v>
      </c>
      <c r="AF1556" t="s">
        <v>36</v>
      </c>
      <c r="AG1556" t="s">
        <v>36</v>
      </c>
    </row>
    <row r="1557" spans="1:33" hidden="1" x14ac:dyDescent="0.2">
      <c r="A1557">
        <v>1556</v>
      </c>
      <c r="B1557" t="s">
        <v>475</v>
      </c>
      <c r="C1557" t="s">
        <v>188</v>
      </c>
      <c r="D1557">
        <v>33</v>
      </c>
      <c r="E1557" t="s">
        <v>114</v>
      </c>
      <c r="F1557" t="s">
        <v>38</v>
      </c>
      <c r="G1557" t="s">
        <v>39</v>
      </c>
      <c r="H1557">
        <v>23362</v>
      </c>
      <c r="I1557">
        <v>0</v>
      </c>
      <c r="J1557">
        <v>0</v>
      </c>
      <c r="K1557">
        <v>0</v>
      </c>
      <c r="L1557">
        <v>1</v>
      </c>
      <c r="M1557" t="s">
        <v>36</v>
      </c>
      <c r="N1557" t="s">
        <v>36</v>
      </c>
      <c r="O1557" t="s">
        <v>36</v>
      </c>
      <c r="P1557" t="s">
        <v>442</v>
      </c>
      <c r="Q1557" t="s">
        <v>36</v>
      </c>
      <c r="R1557" t="s">
        <v>36</v>
      </c>
      <c r="S1557" t="s">
        <v>36</v>
      </c>
      <c r="T1557" t="s">
        <v>36</v>
      </c>
      <c r="U1557" t="s">
        <v>36</v>
      </c>
      <c r="V1557" t="s">
        <v>36</v>
      </c>
      <c r="W1557" t="s">
        <v>36</v>
      </c>
      <c r="X1557" t="s">
        <v>36</v>
      </c>
      <c r="Y1557" t="s">
        <v>36</v>
      </c>
      <c r="Z1557" t="s">
        <v>36</v>
      </c>
      <c r="AA1557" t="s">
        <v>36</v>
      </c>
      <c r="AB1557" t="s">
        <v>36</v>
      </c>
      <c r="AC1557" t="s">
        <v>36</v>
      </c>
      <c r="AD1557" t="s">
        <v>36</v>
      </c>
      <c r="AE1557" t="s">
        <v>36</v>
      </c>
      <c r="AF1557" t="s">
        <v>36</v>
      </c>
      <c r="AG1557" t="s">
        <v>36</v>
      </c>
    </row>
    <row r="1558" spans="1:33" hidden="1" x14ac:dyDescent="0.2">
      <c r="A1558">
        <v>1557</v>
      </c>
      <c r="B1558" t="s">
        <v>475</v>
      </c>
      <c r="C1558" t="s">
        <v>188</v>
      </c>
      <c r="D1558">
        <v>33</v>
      </c>
      <c r="E1558" t="s">
        <v>114</v>
      </c>
      <c r="F1558" t="s">
        <v>38</v>
      </c>
      <c r="G1558" t="s">
        <v>40</v>
      </c>
      <c r="H1558">
        <v>24515</v>
      </c>
      <c r="I1558">
        <v>0</v>
      </c>
      <c r="J1558">
        <v>0</v>
      </c>
      <c r="K1558">
        <v>1</v>
      </c>
      <c r="L1558">
        <v>0</v>
      </c>
      <c r="M1558" t="s">
        <v>36</v>
      </c>
      <c r="N1558" t="s">
        <v>36</v>
      </c>
      <c r="O1558" t="s">
        <v>36</v>
      </c>
      <c r="P1558" t="s">
        <v>442</v>
      </c>
      <c r="Q1558" t="s">
        <v>36</v>
      </c>
      <c r="R1558" t="s">
        <v>36</v>
      </c>
      <c r="S1558" t="s">
        <v>36</v>
      </c>
      <c r="T1558" t="s">
        <v>36</v>
      </c>
      <c r="U1558" t="s">
        <v>36</v>
      </c>
      <c r="V1558" t="s">
        <v>36</v>
      </c>
      <c r="W1558" t="s">
        <v>36</v>
      </c>
      <c r="X1558" t="s">
        <v>36</v>
      </c>
      <c r="Y1558" t="s">
        <v>36</v>
      </c>
      <c r="Z1558" t="s">
        <v>36</v>
      </c>
      <c r="AA1558" t="s">
        <v>36</v>
      </c>
      <c r="AB1558" t="s">
        <v>36</v>
      </c>
      <c r="AC1558" t="s">
        <v>36</v>
      </c>
      <c r="AD1558" t="s">
        <v>36</v>
      </c>
      <c r="AE1558" t="s">
        <v>36</v>
      </c>
      <c r="AF1558" t="s">
        <v>36</v>
      </c>
      <c r="AG1558" t="s">
        <v>36</v>
      </c>
    </row>
    <row r="1559" spans="1:33" x14ac:dyDescent="0.2">
      <c r="A1559">
        <v>1558</v>
      </c>
      <c r="B1559" t="s">
        <v>475</v>
      </c>
      <c r="C1559" t="s">
        <v>188</v>
      </c>
      <c r="D1559">
        <v>33</v>
      </c>
      <c r="E1559" t="s">
        <v>114</v>
      </c>
      <c r="F1559" t="s">
        <v>41</v>
      </c>
      <c r="G1559" t="s">
        <v>72</v>
      </c>
      <c r="H1559">
        <v>28134</v>
      </c>
      <c r="I1559">
        <v>0</v>
      </c>
      <c r="J1559">
        <v>0</v>
      </c>
      <c r="K1559">
        <v>0</v>
      </c>
      <c r="L1559">
        <v>1</v>
      </c>
      <c r="M1559" t="s">
        <v>115</v>
      </c>
      <c r="N1559" t="s">
        <v>75</v>
      </c>
      <c r="O1559" t="s">
        <v>73</v>
      </c>
      <c r="P1559" t="s">
        <v>442</v>
      </c>
      <c r="Q1559" t="s">
        <v>65</v>
      </c>
      <c r="R1559" t="s">
        <v>46</v>
      </c>
      <c r="S1559" t="s">
        <v>48</v>
      </c>
      <c r="T1559">
        <v>0</v>
      </c>
      <c r="U1559">
        <v>1</v>
      </c>
      <c r="V1559">
        <v>1</v>
      </c>
      <c r="W1559">
        <v>0</v>
      </c>
      <c r="X1559">
        <v>1</v>
      </c>
      <c r="Y1559">
        <v>0</v>
      </c>
      <c r="Z1559">
        <v>1</v>
      </c>
      <c r="AA1559">
        <v>0</v>
      </c>
      <c r="AB1559">
        <v>0</v>
      </c>
      <c r="AC1559">
        <v>0</v>
      </c>
      <c r="AD1559">
        <v>0</v>
      </c>
      <c r="AE1559">
        <v>0</v>
      </c>
      <c r="AF1559">
        <v>0</v>
      </c>
      <c r="AG1559">
        <v>1</v>
      </c>
    </row>
    <row r="1560" spans="1:33" x14ac:dyDescent="0.2">
      <c r="A1560">
        <v>1559</v>
      </c>
      <c r="B1560" t="s">
        <v>475</v>
      </c>
      <c r="C1560" t="s">
        <v>188</v>
      </c>
      <c r="D1560">
        <v>33</v>
      </c>
      <c r="E1560" t="s">
        <v>114</v>
      </c>
      <c r="F1560" t="s">
        <v>41</v>
      </c>
      <c r="G1560" t="s">
        <v>49</v>
      </c>
      <c r="H1560">
        <v>32398</v>
      </c>
      <c r="I1560">
        <v>0</v>
      </c>
      <c r="J1560">
        <v>0</v>
      </c>
      <c r="K1560">
        <v>0</v>
      </c>
      <c r="L1560">
        <v>1</v>
      </c>
      <c r="M1560" t="s">
        <v>96</v>
      </c>
      <c r="N1560" t="s">
        <v>95</v>
      </c>
      <c r="O1560" t="s">
        <v>51</v>
      </c>
      <c r="P1560" t="s">
        <v>442</v>
      </c>
      <c r="Q1560" t="s">
        <v>65</v>
      </c>
      <c r="R1560" t="s">
        <v>60</v>
      </c>
      <c r="S1560" t="s">
        <v>47</v>
      </c>
      <c r="T1560">
        <v>1</v>
      </c>
      <c r="U1560">
        <v>1</v>
      </c>
      <c r="V1560">
        <v>0</v>
      </c>
      <c r="W1560">
        <v>1</v>
      </c>
      <c r="X1560">
        <v>0</v>
      </c>
      <c r="Y1560">
        <v>0</v>
      </c>
      <c r="Z1560">
        <v>1</v>
      </c>
      <c r="AA1560">
        <v>0</v>
      </c>
      <c r="AB1560">
        <v>0</v>
      </c>
      <c r="AC1560">
        <v>0</v>
      </c>
      <c r="AD1560">
        <v>0</v>
      </c>
      <c r="AE1560">
        <v>0</v>
      </c>
      <c r="AF1560">
        <v>0</v>
      </c>
      <c r="AG1560">
        <v>1</v>
      </c>
    </row>
    <row r="1561" spans="1:33" hidden="1" x14ac:dyDescent="0.2">
      <c r="A1561">
        <v>1560</v>
      </c>
      <c r="B1561" t="s">
        <v>475</v>
      </c>
      <c r="C1561" t="s">
        <v>188</v>
      </c>
      <c r="D1561">
        <v>33</v>
      </c>
      <c r="E1561" t="s">
        <v>114</v>
      </c>
      <c r="F1561" t="s">
        <v>53</v>
      </c>
      <c r="G1561" t="s">
        <v>54</v>
      </c>
      <c r="H1561">
        <v>21143</v>
      </c>
      <c r="I1561">
        <v>0</v>
      </c>
      <c r="J1561">
        <v>1</v>
      </c>
      <c r="K1561">
        <v>0</v>
      </c>
      <c r="L1561">
        <v>0</v>
      </c>
      <c r="M1561" t="s">
        <v>36</v>
      </c>
      <c r="N1561" t="s">
        <v>36</v>
      </c>
      <c r="O1561" t="s">
        <v>36</v>
      </c>
      <c r="P1561" t="s">
        <v>442</v>
      </c>
      <c r="Q1561" t="s">
        <v>36</v>
      </c>
      <c r="R1561" t="s">
        <v>36</v>
      </c>
      <c r="S1561" t="s">
        <v>36</v>
      </c>
      <c r="T1561" t="s">
        <v>36</v>
      </c>
      <c r="U1561">
        <v>1</v>
      </c>
      <c r="V1561">
        <v>0</v>
      </c>
      <c r="W1561">
        <v>1</v>
      </c>
      <c r="X1561">
        <v>0</v>
      </c>
      <c r="Y1561">
        <v>0</v>
      </c>
      <c r="Z1561">
        <v>1</v>
      </c>
      <c r="AA1561">
        <v>0</v>
      </c>
      <c r="AB1561">
        <v>0</v>
      </c>
      <c r="AC1561">
        <v>0</v>
      </c>
      <c r="AD1561">
        <v>0</v>
      </c>
      <c r="AE1561">
        <v>0</v>
      </c>
      <c r="AF1561">
        <v>0</v>
      </c>
      <c r="AG1561">
        <v>1</v>
      </c>
    </row>
    <row r="1562" spans="1:33" x14ac:dyDescent="0.2">
      <c r="A1562">
        <v>1561</v>
      </c>
      <c r="B1562" t="s">
        <v>475</v>
      </c>
      <c r="C1562" t="s">
        <v>188</v>
      </c>
      <c r="D1562">
        <v>33</v>
      </c>
      <c r="E1562" t="s">
        <v>114</v>
      </c>
      <c r="F1562" t="s">
        <v>41</v>
      </c>
      <c r="G1562" t="s">
        <v>67</v>
      </c>
      <c r="H1562">
        <v>17541</v>
      </c>
      <c r="I1562">
        <v>0</v>
      </c>
      <c r="J1562">
        <v>0</v>
      </c>
      <c r="K1562">
        <v>0</v>
      </c>
      <c r="L1562">
        <v>1</v>
      </c>
      <c r="M1562" t="s">
        <v>68</v>
      </c>
      <c r="N1562" t="s">
        <v>69</v>
      </c>
      <c r="O1562" t="s">
        <v>70</v>
      </c>
      <c r="P1562" t="s">
        <v>442</v>
      </c>
      <c r="Q1562" t="s">
        <v>65</v>
      </c>
      <c r="R1562" t="s">
        <v>48</v>
      </c>
      <c r="S1562" t="s">
        <v>47</v>
      </c>
      <c r="T1562">
        <v>0</v>
      </c>
      <c r="U1562">
        <v>1</v>
      </c>
      <c r="V1562">
        <v>1</v>
      </c>
      <c r="W1562">
        <v>1</v>
      </c>
      <c r="X1562">
        <v>0</v>
      </c>
      <c r="Y1562">
        <v>0</v>
      </c>
      <c r="Z1562">
        <v>1</v>
      </c>
      <c r="AA1562">
        <v>0</v>
      </c>
      <c r="AB1562">
        <v>0</v>
      </c>
      <c r="AC1562">
        <v>0</v>
      </c>
      <c r="AD1562">
        <v>0</v>
      </c>
      <c r="AE1562">
        <v>0</v>
      </c>
      <c r="AF1562">
        <v>0</v>
      </c>
      <c r="AG1562">
        <v>1</v>
      </c>
    </row>
    <row r="1563" spans="1:33" hidden="1" x14ac:dyDescent="0.2">
      <c r="A1563">
        <v>1562</v>
      </c>
      <c r="B1563" t="s">
        <v>475</v>
      </c>
      <c r="C1563" t="s">
        <v>188</v>
      </c>
      <c r="D1563">
        <v>33</v>
      </c>
      <c r="E1563" t="s">
        <v>114</v>
      </c>
      <c r="F1563" t="s">
        <v>53</v>
      </c>
      <c r="G1563" t="s">
        <v>76</v>
      </c>
      <c r="H1563">
        <v>11509</v>
      </c>
      <c r="I1563">
        <v>1</v>
      </c>
      <c r="J1563">
        <v>0</v>
      </c>
      <c r="K1563">
        <v>0</v>
      </c>
      <c r="L1563">
        <v>0</v>
      </c>
      <c r="M1563" t="s">
        <v>36</v>
      </c>
      <c r="N1563" t="s">
        <v>36</v>
      </c>
      <c r="O1563" t="s">
        <v>36</v>
      </c>
      <c r="P1563" t="s">
        <v>442</v>
      </c>
      <c r="Q1563" t="s">
        <v>36</v>
      </c>
      <c r="R1563" t="s">
        <v>36</v>
      </c>
      <c r="S1563" t="s">
        <v>36</v>
      </c>
      <c r="T1563" t="s">
        <v>36</v>
      </c>
      <c r="U1563">
        <v>1</v>
      </c>
      <c r="V1563">
        <v>1</v>
      </c>
      <c r="W1563">
        <v>1</v>
      </c>
      <c r="X1563">
        <v>0</v>
      </c>
      <c r="Y1563">
        <v>0</v>
      </c>
      <c r="Z1563">
        <v>1</v>
      </c>
      <c r="AA1563">
        <v>0</v>
      </c>
      <c r="AB1563">
        <v>0</v>
      </c>
      <c r="AC1563">
        <v>0</v>
      </c>
      <c r="AD1563">
        <v>0</v>
      </c>
      <c r="AE1563">
        <v>0</v>
      </c>
      <c r="AF1563">
        <v>0</v>
      </c>
      <c r="AG1563">
        <v>1</v>
      </c>
    </row>
    <row r="1564" spans="1:33" x14ac:dyDescent="0.2">
      <c r="A1564">
        <v>1563</v>
      </c>
      <c r="B1564" t="s">
        <v>475</v>
      </c>
      <c r="C1564" t="s">
        <v>188</v>
      </c>
      <c r="D1564">
        <v>33</v>
      </c>
      <c r="E1564" t="s">
        <v>114</v>
      </c>
      <c r="F1564" t="s">
        <v>41</v>
      </c>
      <c r="G1564" t="s">
        <v>42</v>
      </c>
      <c r="H1564">
        <v>13317</v>
      </c>
      <c r="I1564">
        <v>0</v>
      </c>
      <c r="J1564">
        <v>0</v>
      </c>
      <c r="K1564">
        <v>0</v>
      </c>
      <c r="L1564">
        <v>1</v>
      </c>
      <c r="M1564" t="s">
        <v>102</v>
      </c>
      <c r="N1564" t="s">
        <v>43</v>
      </c>
      <c r="O1564" t="s">
        <v>82</v>
      </c>
      <c r="P1564" t="s">
        <v>442</v>
      </c>
      <c r="Q1564" t="s">
        <v>59</v>
      </c>
      <c r="R1564" t="s">
        <v>46</v>
      </c>
      <c r="S1564" t="s">
        <v>65</v>
      </c>
      <c r="T1564">
        <v>0</v>
      </c>
      <c r="U1564">
        <v>1</v>
      </c>
      <c r="V1564">
        <v>0</v>
      </c>
      <c r="W1564">
        <v>0</v>
      </c>
      <c r="X1564">
        <v>1</v>
      </c>
      <c r="Y1564">
        <v>0</v>
      </c>
      <c r="Z1564">
        <v>1</v>
      </c>
      <c r="AA1564">
        <v>0</v>
      </c>
      <c r="AB1564">
        <v>0</v>
      </c>
      <c r="AC1564">
        <v>0</v>
      </c>
      <c r="AD1564">
        <v>0</v>
      </c>
      <c r="AE1564">
        <v>0</v>
      </c>
      <c r="AF1564">
        <v>0</v>
      </c>
      <c r="AG1564">
        <v>1</v>
      </c>
    </row>
    <row r="1565" spans="1:33" x14ac:dyDescent="0.2">
      <c r="A1565">
        <v>1564</v>
      </c>
      <c r="B1565" t="s">
        <v>475</v>
      </c>
      <c r="C1565" t="s">
        <v>188</v>
      </c>
      <c r="D1565">
        <v>33</v>
      </c>
      <c r="E1565" t="s">
        <v>114</v>
      </c>
      <c r="F1565" t="s">
        <v>41</v>
      </c>
      <c r="G1565" t="s">
        <v>61</v>
      </c>
      <c r="H1565">
        <v>13750</v>
      </c>
      <c r="I1565">
        <v>0</v>
      </c>
      <c r="J1565">
        <v>0</v>
      </c>
      <c r="K1565">
        <v>0</v>
      </c>
      <c r="L1565">
        <v>1</v>
      </c>
      <c r="M1565" t="s">
        <v>87</v>
      </c>
      <c r="N1565" t="s">
        <v>63</v>
      </c>
      <c r="O1565" t="s">
        <v>97</v>
      </c>
      <c r="P1565" t="s">
        <v>442</v>
      </c>
      <c r="Q1565" t="s">
        <v>47</v>
      </c>
      <c r="R1565" t="s">
        <v>46</v>
      </c>
      <c r="S1565" t="s">
        <v>59</v>
      </c>
      <c r="T1565">
        <v>0</v>
      </c>
      <c r="U1565">
        <v>0</v>
      </c>
      <c r="V1565">
        <v>0</v>
      </c>
      <c r="W1565">
        <v>1</v>
      </c>
      <c r="X1565">
        <v>1</v>
      </c>
      <c r="Y1565">
        <v>0</v>
      </c>
      <c r="Z1565">
        <v>1</v>
      </c>
      <c r="AA1565">
        <v>0</v>
      </c>
      <c r="AB1565">
        <v>0</v>
      </c>
      <c r="AC1565">
        <v>0</v>
      </c>
      <c r="AD1565">
        <v>0</v>
      </c>
      <c r="AE1565">
        <v>0</v>
      </c>
      <c r="AF1565">
        <v>0</v>
      </c>
      <c r="AG1565">
        <v>1</v>
      </c>
    </row>
    <row r="1566" spans="1:33" hidden="1" x14ac:dyDescent="0.2">
      <c r="A1566">
        <v>1565</v>
      </c>
      <c r="B1566" t="s">
        <v>475</v>
      </c>
      <c r="C1566" t="s">
        <v>188</v>
      </c>
      <c r="D1566">
        <v>33</v>
      </c>
      <c r="E1566" t="s">
        <v>114</v>
      </c>
      <c r="F1566" t="s">
        <v>53</v>
      </c>
      <c r="G1566" t="s">
        <v>71</v>
      </c>
      <c r="H1566">
        <v>23877</v>
      </c>
      <c r="I1566">
        <v>0</v>
      </c>
      <c r="J1566">
        <v>0</v>
      </c>
      <c r="K1566">
        <v>0</v>
      </c>
      <c r="L1566">
        <v>1</v>
      </c>
      <c r="M1566" t="s">
        <v>36</v>
      </c>
      <c r="N1566" t="s">
        <v>36</v>
      </c>
      <c r="O1566" t="s">
        <v>36</v>
      </c>
      <c r="P1566" t="s">
        <v>442</v>
      </c>
      <c r="Q1566" t="s">
        <v>36</v>
      </c>
      <c r="R1566" t="s">
        <v>36</v>
      </c>
      <c r="S1566" t="s">
        <v>36</v>
      </c>
      <c r="T1566" t="s">
        <v>36</v>
      </c>
      <c r="U1566">
        <v>0</v>
      </c>
      <c r="V1566">
        <v>0</v>
      </c>
      <c r="W1566">
        <v>1</v>
      </c>
      <c r="X1566">
        <v>1</v>
      </c>
      <c r="Y1566">
        <v>0</v>
      </c>
      <c r="Z1566">
        <v>1</v>
      </c>
      <c r="AA1566">
        <v>0</v>
      </c>
      <c r="AB1566">
        <v>0</v>
      </c>
      <c r="AC1566">
        <v>0</v>
      </c>
      <c r="AD1566">
        <v>0</v>
      </c>
      <c r="AE1566">
        <v>0</v>
      </c>
      <c r="AF1566">
        <v>0</v>
      </c>
      <c r="AG1566">
        <v>1</v>
      </c>
    </row>
    <row r="1567" spans="1:33" x14ac:dyDescent="0.2">
      <c r="A1567">
        <v>1566</v>
      </c>
      <c r="B1567" t="s">
        <v>475</v>
      </c>
      <c r="C1567" t="s">
        <v>188</v>
      </c>
      <c r="D1567">
        <v>33</v>
      </c>
      <c r="E1567" t="s">
        <v>114</v>
      </c>
      <c r="F1567" t="s">
        <v>41</v>
      </c>
      <c r="G1567" t="s">
        <v>55</v>
      </c>
      <c r="H1567">
        <v>17478</v>
      </c>
      <c r="I1567">
        <v>0</v>
      </c>
      <c r="J1567">
        <v>0</v>
      </c>
      <c r="K1567">
        <v>0</v>
      </c>
      <c r="L1567">
        <v>1</v>
      </c>
      <c r="M1567" t="s">
        <v>84</v>
      </c>
      <c r="N1567" t="s">
        <v>57</v>
      </c>
      <c r="O1567" t="s">
        <v>94</v>
      </c>
      <c r="P1567" t="s">
        <v>442</v>
      </c>
      <c r="Q1567" t="s">
        <v>46</v>
      </c>
      <c r="R1567" t="s">
        <v>48</v>
      </c>
      <c r="S1567" t="s">
        <v>47</v>
      </c>
      <c r="T1567">
        <v>0</v>
      </c>
      <c r="U1567">
        <v>0</v>
      </c>
      <c r="V1567">
        <v>1</v>
      </c>
      <c r="W1567">
        <v>1</v>
      </c>
      <c r="X1567">
        <v>1</v>
      </c>
      <c r="Y1567">
        <v>0</v>
      </c>
      <c r="Z1567">
        <v>1</v>
      </c>
      <c r="AA1567">
        <v>0</v>
      </c>
      <c r="AB1567">
        <v>0</v>
      </c>
      <c r="AC1567">
        <v>0</v>
      </c>
      <c r="AD1567">
        <v>0</v>
      </c>
      <c r="AE1567">
        <v>0</v>
      </c>
      <c r="AF1567">
        <v>0</v>
      </c>
      <c r="AG1567">
        <v>1</v>
      </c>
    </row>
    <row r="1568" spans="1:33" hidden="1" x14ac:dyDescent="0.2">
      <c r="A1568">
        <v>1567</v>
      </c>
      <c r="B1568" t="s">
        <v>475</v>
      </c>
      <c r="C1568" t="s">
        <v>188</v>
      </c>
      <c r="D1568">
        <v>33</v>
      </c>
      <c r="E1568" t="s">
        <v>114</v>
      </c>
      <c r="F1568" t="s">
        <v>53</v>
      </c>
      <c r="G1568" t="s">
        <v>66</v>
      </c>
      <c r="H1568">
        <v>20352</v>
      </c>
      <c r="I1568">
        <v>1</v>
      </c>
      <c r="J1568">
        <v>1</v>
      </c>
      <c r="K1568">
        <v>0</v>
      </c>
      <c r="L1568">
        <v>0</v>
      </c>
      <c r="M1568" t="s">
        <v>36</v>
      </c>
      <c r="N1568" t="s">
        <v>36</v>
      </c>
      <c r="O1568" t="s">
        <v>36</v>
      </c>
      <c r="P1568" t="s">
        <v>442</v>
      </c>
      <c r="Q1568" t="s">
        <v>36</v>
      </c>
      <c r="R1568" t="s">
        <v>36</v>
      </c>
      <c r="S1568" t="s">
        <v>36</v>
      </c>
      <c r="T1568" t="s">
        <v>36</v>
      </c>
      <c r="U1568">
        <v>0</v>
      </c>
      <c r="V1568">
        <v>1</v>
      </c>
      <c r="W1568">
        <v>1</v>
      </c>
      <c r="X1568">
        <v>1</v>
      </c>
      <c r="Y1568">
        <v>0</v>
      </c>
      <c r="Z1568">
        <v>1</v>
      </c>
      <c r="AA1568">
        <v>0</v>
      </c>
      <c r="AB1568">
        <v>0</v>
      </c>
      <c r="AC1568">
        <v>0</v>
      </c>
      <c r="AD1568">
        <v>0</v>
      </c>
      <c r="AE1568">
        <v>0</v>
      </c>
      <c r="AF1568">
        <v>0</v>
      </c>
      <c r="AG1568">
        <v>1</v>
      </c>
    </row>
    <row r="1569" spans="1:33" hidden="1" x14ac:dyDescent="0.2">
      <c r="A1569">
        <v>1568</v>
      </c>
      <c r="B1569" t="s">
        <v>475</v>
      </c>
      <c r="C1569" t="s">
        <v>188</v>
      </c>
      <c r="D1569">
        <v>33</v>
      </c>
      <c r="E1569" t="s">
        <v>114</v>
      </c>
      <c r="F1569" t="s">
        <v>77</v>
      </c>
      <c r="G1569" t="s">
        <v>36</v>
      </c>
      <c r="H1569">
        <v>78934</v>
      </c>
      <c r="I1569" t="s">
        <v>476</v>
      </c>
      <c r="J1569" t="s">
        <v>477</v>
      </c>
      <c r="K1569" t="s">
        <v>166</v>
      </c>
      <c r="L1569" t="s">
        <v>36</v>
      </c>
      <c r="M1569" t="s">
        <v>36</v>
      </c>
      <c r="N1569" t="s">
        <v>36</v>
      </c>
      <c r="O1569" t="s">
        <v>36</v>
      </c>
      <c r="P1569" t="s">
        <v>442</v>
      </c>
      <c r="Q1569" t="s">
        <v>36</v>
      </c>
      <c r="R1569" t="s">
        <v>36</v>
      </c>
      <c r="S1569" t="s">
        <v>36</v>
      </c>
      <c r="T1569" t="s">
        <v>36</v>
      </c>
      <c r="U1569" t="s">
        <v>36</v>
      </c>
      <c r="V1569" t="s">
        <v>36</v>
      </c>
      <c r="W1569" t="s">
        <v>36</v>
      </c>
      <c r="X1569" t="s">
        <v>36</v>
      </c>
      <c r="Y1569" t="s">
        <v>36</v>
      </c>
      <c r="Z1569" t="s">
        <v>36</v>
      </c>
      <c r="AA1569" t="s">
        <v>36</v>
      </c>
      <c r="AB1569" t="s">
        <v>36</v>
      </c>
      <c r="AC1569" t="s">
        <v>36</v>
      </c>
      <c r="AD1569" t="s">
        <v>36</v>
      </c>
      <c r="AE1569" t="s">
        <v>36</v>
      </c>
      <c r="AF1569" t="s">
        <v>36</v>
      </c>
      <c r="AG1569" t="s">
        <v>36</v>
      </c>
    </row>
    <row r="1570" spans="1:33" hidden="1" x14ac:dyDescent="0.2">
      <c r="A1570">
        <v>1569</v>
      </c>
      <c r="B1570" t="s">
        <v>478</v>
      </c>
      <c r="C1570" t="s">
        <v>108</v>
      </c>
      <c r="D1570">
        <v>38</v>
      </c>
      <c r="E1570" t="s">
        <v>114</v>
      </c>
      <c r="F1570" t="s">
        <v>35</v>
      </c>
      <c r="G1570" t="s">
        <v>36</v>
      </c>
      <c r="H1570">
        <v>32343</v>
      </c>
      <c r="I1570" t="s">
        <v>36</v>
      </c>
      <c r="J1570" t="s">
        <v>36</v>
      </c>
      <c r="K1570" t="s">
        <v>36</v>
      </c>
      <c r="L1570" t="s">
        <v>36</v>
      </c>
      <c r="M1570" t="s">
        <v>36</v>
      </c>
      <c r="N1570" t="s">
        <v>36</v>
      </c>
      <c r="O1570" t="s">
        <v>36</v>
      </c>
      <c r="P1570" t="s">
        <v>442</v>
      </c>
      <c r="Q1570" t="s">
        <v>36</v>
      </c>
      <c r="R1570" t="s">
        <v>36</v>
      </c>
      <c r="S1570" t="s">
        <v>36</v>
      </c>
      <c r="T1570" t="s">
        <v>36</v>
      </c>
      <c r="U1570" t="s">
        <v>36</v>
      </c>
      <c r="V1570" t="s">
        <v>36</v>
      </c>
      <c r="W1570" t="s">
        <v>36</v>
      </c>
      <c r="X1570" t="s">
        <v>36</v>
      </c>
      <c r="Y1570" t="s">
        <v>36</v>
      </c>
      <c r="Z1570" t="s">
        <v>36</v>
      </c>
      <c r="AA1570" t="s">
        <v>36</v>
      </c>
      <c r="AB1570" t="s">
        <v>36</v>
      </c>
      <c r="AC1570" t="s">
        <v>36</v>
      </c>
      <c r="AD1570" t="s">
        <v>36</v>
      </c>
      <c r="AE1570" t="s">
        <v>36</v>
      </c>
      <c r="AF1570" t="s">
        <v>36</v>
      </c>
      <c r="AG1570" t="s">
        <v>36</v>
      </c>
    </row>
    <row r="1571" spans="1:33" hidden="1" x14ac:dyDescent="0.2">
      <c r="A1571">
        <v>1570</v>
      </c>
      <c r="B1571" t="s">
        <v>478</v>
      </c>
      <c r="C1571" t="s">
        <v>108</v>
      </c>
      <c r="D1571">
        <v>38</v>
      </c>
      <c r="E1571" t="s">
        <v>114</v>
      </c>
      <c r="F1571" t="s">
        <v>38</v>
      </c>
      <c r="G1571" t="s">
        <v>39</v>
      </c>
      <c r="H1571">
        <v>25977</v>
      </c>
      <c r="I1571">
        <v>0</v>
      </c>
      <c r="J1571">
        <v>0</v>
      </c>
      <c r="K1571">
        <v>0</v>
      </c>
      <c r="L1571">
        <v>1</v>
      </c>
      <c r="M1571" t="s">
        <v>36</v>
      </c>
      <c r="N1571" t="s">
        <v>36</v>
      </c>
      <c r="O1571" t="s">
        <v>36</v>
      </c>
      <c r="P1571" t="s">
        <v>442</v>
      </c>
      <c r="Q1571" t="s">
        <v>36</v>
      </c>
      <c r="R1571" t="s">
        <v>36</v>
      </c>
      <c r="S1571" t="s">
        <v>36</v>
      </c>
      <c r="T1571" t="s">
        <v>36</v>
      </c>
      <c r="U1571" t="s">
        <v>36</v>
      </c>
      <c r="V1571" t="s">
        <v>36</v>
      </c>
      <c r="W1571" t="s">
        <v>36</v>
      </c>
      <c r="X1571" t="s">
        <v>36</v>
      </c>
      <c r="Y1571" t="s">
        <v>36</v>
      </c>
      <c r="Z1571" t="s">
        <v>36</v>
      </c>
      <c r="AA1571" t="s">
        <v>36</v>
      </c>
      <c r="AB1571" t="s">
        <v>36</v>
      </c>
      <c r="AC1571" t="s">
        <v>36</v>
      </c>
      <c r="AD1571" t="s">
        <v>36</v>
      </c>
      <c r="AE1571" t="s">
        <v>36</v>
      </c>
      <c r="AF1571" t="s">
        <v>36</v>
      </c>
      <c r="AG1571" t="s">
        <v>36</v>
      </c>
    </row>
    <row r="1572" spans="1:33" hidden="1" x14ac:dyDescent="0.2">
      <c r="A1572">
        <v>1571</v>
      </c>
      <c r="B1572" t="s">
        <v>478</v>
      </c>
      <c r="C1572" t="s">
        <v>108</v>
      </c>
      <c r="D1572">
        <v>38</v>
      </c>
      <c r="E1572" t="s">
        <v>114</v>
      </c>
      <c r="F1572" t="s">
        <v>38</v>
      </c>
      <c r="G1572" t="s">
        <v>40</v>
      </c>
      <c r="H1572">
        <v>24656</v>
      </c>
      <c r="I1572">
        <v>0</v>
      </c>
      <c r="J1572">
        <v>0</v>
      </c>
      <c r="K1572">
        <v>1</v>
      </c>
      <c r="L1572">
        <v>0</v>
      </c>
      <c r="M1572" t="s">
        <v>36</v>
      </c>
      <c r="N1572" t="s">
        <v>36</v>
      </c>
      <c r="O1572" t="s">
        <v>36</v>
      </c>
      <c r="P1572" t="s">
        <v>442</v>
      </c>
      <c r="Q1572" t="s">
        <v>36</v>
      </c>
      <c r="R1572" t="s">
        <v>36</v>
      </c>
      <c r="S1572" t="s">
        <v>36</v>
      </c>
      <c r="T1572" t="s">
        <v>36</v>
      </c>
      <c r="U1572" t="s">
        <v>36</v>
      </c>
      <c r="V1572" t="s">
        <v>36</v>
      </c>
      <c r="W1572" t="s">
        <v>36</v>
      </c>
      <c r="X1572" t="s">
        <v>36</v>
      </c>
      <c r="Y1572" t="s">
        <v>36</v>
      </c>
      <c r="Z1572" t="s">
        <v>36</v>
      </c>
      <c r="AA1572" t="s">
        <v>36</v>
      </c>
      <c r="AB1572" t="s">
        <v>36</v>
      </c>
      <c r="AC1572" t="s">
        <v>36</v>
      </c>
      <c r="AD1572" t="s">
        <v>36</v>
      </c>
      <c r="AE1572" t="s">
        <v>36</v>
      </c>
      <c r="AF1572" t="s">
        <v>36</v>
      </c>
      <c r="AG1572" t="s">
        <v>36</v>
      </c>
    </row>
    <row r="1573" spans="1:33" x14ac:dyDescent="0.2">
      <c r="A1573">
        <v>1572</v>
      </c>
      <c r="B1573" t="s">
        <v>478</v>
      </c>
      <c r="C1573" t="s">
        <v>108</v>
      </c>
      <c r="D1573">
        <v>38</v>
      </c>
      <c r="E1573" t="s">
        <v>114</v>
      </c>
      <c r="F1573" t="s">
        <v>41</v>
      </c>
      <c r="G1573" t="s">
        <v>72</v>
      </c>
      <c r="H1573">
        <v>38172</v>
      </c>
      <c r="I1573">
        <v>0</v>
      </c>
      <c r="J1573">
        <v>0</v>
      </c>
      <c r="K1573">
        <v>0</v>
      </c>
      <c r="L1573">
        <v>1</v>
      </c>
      <c r="M1573" t="s">
        <v>115</v>
      </c>
      <c r="N1573" t="s">
        <v>104</v>
      </c>
      <c r="O1573" t="s">
        <v>75</v>
      </c>
      <c r="P1573" t="s">
        <v>442</v>
      </c>
      <c r="Q1573" t="s">
        <v>65</v>
      </c>
      <c r="R1573" t="s">
        <v>60</v>
      </c>
      <c r="S1573" t="s">
        <v>46</v>
      </c>
      <c r="T1573">
        <v>1</v>
      </c>
      <c r="U1573">
        <v>1</v>
      </c>
      <c r="V1573">
        <v>0</v>
      </c>
      <c r="W1573">
        <v>0</v>
      </c>
      <c r="X1573">
        <v>1</v>
      </c>
      <c r="Y1573">
        <v>0</v>
      </c>
      <c r="Z1573">
        <v>1</v>
      </c>
      <c r="AA1573">
        <v>0</v>
      </c>
      <c r="AB1573">
        <v>0</v>
      </c>
      <c r="AC1573">
        <v>0</v>
      </c>
      <c r="AD1573">
        <v>0</v>
      </c>
      <c r="AE1573">
        <v>0</v>
      </c>
      <c r="AF1573">
        <v>0</v>
      </c>
      <c r="AG1573">
        <v>1</v>
      </c>
    </row>
    <row r="1574" spans="1:33" x14ac:dyDescent="0.2">
      <c r="A1574">
        <v>1573</v>
      </c>
      <c r="B1574" t="s">
        <v>478</v>
      </c>
      <c r="C1574" t="s">
        <v>108</v>
      </c>
      <c r="D1574">
        <v>38</v>
      </c>
      <c r="E1574" t="s">
        <v>114</v>
      </c>
      <c r="F1574" t="s">
        <v>41</v>
      </c>
      <c r="G1574" t="s">
        <v>42</v>
      </c>
      <c r="H1574">
        <v>37618</v>
      </c>
      <c r="I1574">
        <v>0</v>
      </c>
      <c r="J1574">
        <v>1</v>
      </c>
      <c r="K1574">
        <v>0</v>
      </c>
      <c r="L1574">
        <v>0</v>
      </c>
      <c r="M1574" t="s">
        <v>102</v>
      </c>
      <c r="N1574" t="s">
        <v>44</v>
      </c>
      <c r="O1574" t="s">
        <v>45</v>
      </c>
      <c r="P1574" t="s">
        <v>442</v>
      </c>
      <c r="Q1574" t="s">
        <v>59</v>
      </c>
      <c r="R1574" t="s">
        <v>47</v>
      </c>
      <c r="S1574" t="s">
        <v>48</v>
      </c>
      <c r="T1574">
        <v>0</v>
      </c>
      <c r="U1574">
        <v>0</v>
      </c>
      <c r="V1574">
        <v>1</v>
      </c>
      <c r="W1574">
        <v>1</v>
      </c>
      <c r="X1574">
        <v>0</v>
      </c>
      <c r="Y1574">
        <v>0</v>
      </c>
      <c r="Z1574">
        <v>1</v>
      </c>
      <c r="AA1574">
        <v>0</v>
      </c>
      <c r="AB1574">
        <v>0</v>
      </c>
      <c r="AC1574">
        <v>0</v>
      </c>
      <c r="AD1574">
        <v>1</v>
      </c>
      <c r="AE1574">
        <v>0</v>
      </c>
      <c r="AF1574">
        <v>0</v>
      </c>
      <c r="AG1574">
        <v>0</v>
      </c>
    </row>
    <row r="1575" spans="1:33" hidden="1" x14ac:dyDescent="0.2">
      <c r="A1575">
        <v>1574</v>
      </c>
      <c r="B1575" t="s">
        <v>478</v>
      </c>
      <c r="C1575" t="s">
        <v>108</v>
      </c>
      <c r="D1575">
        <v>38</v>
      </c>
      <c r="E1575" t="s">
        <v>114</v>
      </c>
      <c r="F1575" t="s">
        <v>53</v>
      </c>
      <c r="G1575" t="s">
        <v>66</v>
      </c>
      <c r="H1575">
        <v>16654</v>
      </c>
      <c r="I1575">
        <v>1</v>
      </c>
      <c r="J1575">
        <v>1</v>
      </c>
      <c r="K1575">
        <v>0</v>
      </c>
      <c r="L1575">
        <v>0</v>
      </c>
      <c r="M1575" t="s">
        <v>36</v>
      </c>
      <c r="N1575" t="s">
        <v>36</v>
      </c>
      <c r="O1575" t="s">
        <v>36</v>
      </c>
      <c r="P1575" t="s">
        <v>442</v>
      </c>
      <c r="Q1575" t="s">
        <v>36</v>
      </c>
      <c r="R1575" t="s">
        <v>36</v>
      </c>
      <c r="S1575" t="s">
        <v>36</v>
      </c>
      <c r="T1575" t="s">
        <v>36</v>
      </c>
      <c r="U1575">
        <v>0</v>
      </c>
      <c r="V1575">
        <v>1</v>
      </c>
      <c r="W1575">
        <v>1</v>
      </c>
      <c r="X1575">
        <v>0</v>
      </c>
      <c r="Y1575">
        <v>0</v>
      </c>
      <c r="Z1575">
        <v>1</v>
      </c>
      <c r="AA1575">
        <v>0</v>
      </c>
      <c r="AB1575">
        <v>0</v>
      </c>
      <c r="AC1575">
        <v>0</v>
      </c>
      <c r="AD1575">
        <v>1</v>
      </c>
      <c r="AE1575">
        <v>0</v>
      </c>
      <c r="AF1575">
        <v>0</v>
      </c>
      <c r="AG1575">
        <v>0</v>
      </c>
    </row>
    <row r="1576" spans="1:33" x14ac:dyDescent="0.2">
      <c r="A1576">
        <v>1575</v>
      </c>
      <c r="B1576" t="s">
        <v>478</v>
      </c>
      <c r="C1576" t="s">
        <v>108</v>
      </c>
      <c r="D1576">
        <v>38</v>
      </c>
      <c r="E1576" t="s">
        <v>114</v>
      </c>
      <c r="F1576" t="s">
        <v>41</v>
      </c>
      <c r="G1576" t="s">
        <v>55</v>
      </c>
      <c r="H1576">
        <v>19340</v>
      </c>
      <c r="I1576">
        <v>1</v>
      </c>
      <c r="J1576">
        <v>0</v>
      </c>
      <c r="K1576">
        <v>0</v>
      </c>
      <c r="L1576">
        <v>0</v>
      </c>
      <c r="M1576" t="s">
        <v>85</v>
      </c>
      <c r="N1576" t="s">
        <v>56</v>
      </c>
      <c r="O1576" t="s">
        <v>57</v>
      </c>
      <c r="P1576" t="s">
        <v>442</v>
      </c>
      <c r="Q1576" t="s">
        <v>65</v>
      </c>
      <c r="R1576" t="s">
        <v>59</v>
      </c>
      <c r="S1576" t="s">
        <v>48</v>
      </c>
      <c r="T1576">
        <v>0</v>
      </c>
      <c r="U1576">
        <v>1</v>
      </c>
      <c r="V1576">
        <v>1</v>
      </c>
      <c r="W1576">
        <v>0</v>
      </c>
      <c r="X1576">
        <v>0</v>
      </c>
      <c r="Y1576">
        <v>0</v>
      </c>
      <c r="Z1576">
        <v>1</v>
      </c>
      <c r="AA1576">
        <v>0</v>
      </c>
      <c r="AB1576">
        <v>1</v>
      </c>
      <c r="AC1576">
        <v>0</v>
      </c>
      <c r="AD1576">
        <v>0</v>
      </c>
      <c r="AE1576">
        <v>0</v>
      </c>
      <c r="AF1576">
        <v>0</v>
      </c>
      <c r="AG1576">
        <v>0</v>
      </c>
    </row>
    <row r="1577" spans="1:33" x14ac:dyDescent="0.2">
      <c r="A1577">
        <v>1576</v>
      </c>
      <c r="B1577" t="s">
        <v>478</v>
      </c>
      <c r="C1577" t="s">
        <v>108</v>
      </c>
      <c r="D1577">
        <v>38</v>
      </c>
      <c r="E1577" t="s">
        <v>114</v>
      </c>
      <c r="F1577" t="s">
        <v>41</v>
      </c>
      <c r="G1577" t="s">
        <v>67</v>
      </c>
      <c r="H1577">
        <v>20945</v>
      </c>
      <c r="I1577">
        <v>0</v>
      </c>
      <c r="J1577">
        <v>1</v>
      </c>
      <c r="K1577">
        <v>0</v>
      </c>
      <c r="L1577">
        <v>0</v>
      </c>
      <c r="M1577" t="s">
        <v>109</v>
      </c>
      <c r="N1577" t="s">
        <v>70</v>
      </c>
      <c r="O1577" t="s">
        <v>69</v>
      </c>
      <c r="P1577" t="s">
        <v>442</v>
      </c>
      <c r="Q1577" t="s">
        <v>59</v>
      </c>
      <c r="R1577" t="s">
        <v>47</v>
      </c>
      <c r="S1577" t="s">
        <v>48</v>
      </c>
      <c r="T1577">
        <v>0</v>
      </c>
      <c r="U1577">
        <v>0</v>
      </c>
      <c r="V1577">
        <v>1</v>
      </c>
      <c r="W1577">
        <v>1</v>
      </c>
      <c r="X1577">
        <v>0</v>
      </c>
      <c r="Y1577">
        <v>0</v>
      </c>
      <c r="Z1577">
        <v>1</v>
      </c>
      <c r="AA1577">
        <v>0</v>
      </c>
      <c r="AB1577">
        <v>0</v>
      </c>
      <c r="AC1577">
        <v>0</v>
      </c>
      <c r="AD1577">
        <v>1</v>
      </c>
      <c r="AE1577">
        <v>0</v>
      </c>
      <c r="AF1577">
        <v>0</v>
      </c>
      <c r="AG1577">
        <v>0</v>
      </c>
    </row>
    <row r="1578" spans="1:33" hidden="1" x14ac:dyDescent="0.2">
      <c r="A1578">
        <v>1577</v>
      </c>
      <c r="B1578" t="s">
        <v>478</v>
      </c>
      <c r="C1578" t="s">
        <v>108</v>
      </c>
      <c r="D1578">
        <v>38</v>
      </c>
      <c r="E1578" t="s">
        <v>114</v>
      </c>
      <c r="F1578" t="s">
        <v>53</v>
      </c>
      <c r="G1578" t="s">
        <v>76</v>
      </c>
      <c r="H1578">
        <v>11738</v>
      </c>
      <c r="I1578">
        <v>1</v>
      </c>
      <c r="J1578">
        <v>0</v>
      </c>
      <c r="K1578">
        <v>0</v>
      </c>
      <c r="L1578">
        <v>0</v>
      </c>
      <c r="M1578" t="s">
        <v>36</v>
      </c>
      <c r="N1578" t="s">
        <v>36</v>
      </c>
      <c r="O1578" t="s">
        <v>36</v>
      </c>
      <c r="P1578" t="s">
        <v>442</v>
      </c>
      <c r="Q1578" t="s">
        <v>36</v>
      </c>
      <c r="R1578" t="s">
        <v>36</v>
      </c>
      <c r="S1578" t="s">
        <v>36</v>
      </c>
      <c r="T1578" t="s">
        <v>36</v>
      </c>
      <c r="U1578">
        <v>0</v>
      </c>
      <c r="V1578">
        <v>1</v>
      </c>
      <c r="W1578">
        <v>1</v>
      </c>
      <c r="X1578">
        <v>0</v>
      </c>
      <c r="Y1578">
        <v>0</v>
      </c>
      <c r="Z1578">
        <v>1</v>
      </c>
      <c r="AA1578">
        <v>0</v>
      </c>
      <c r="AB1578">
        <v>0</v>
      </c>
      <c r="AC1578">
        <v>0</v>
      </c>
      <c r="AD1578">
        <v>1</v>
      </c>
      <c r="AE1578">
        <v>0</v>
      </c>
      <c r="AF1578">
        <v>0</v>
      </c>
      <c r="AG1578">
        <v>0</v>
      </c>
    </row>
    <row r="1579" spans="1:33" x14ac:dyDescent="0.2">
      <c r="A1579">
        <v>1578</v>
      </c>
      <c r="B1579" t="s">
        <v>478</v>
      </c>
      <c r="C1579" t="s">
        <v>108</v>
      </c>
      <c r="D1579">
        <v>38</v>
      </c>
      <c r="E1579" t="s">
        <v>114</v>
      </c>
      <c r="F1579" t="s">
        <v>41</v>
      </c>
      <c r="G1579" t="s">
        <v>61</v>
      </c>
      <c r="H1579">
        <v>17692</v>
      </c>
      <c r="I1579">
        <v>0</v>
      </c>
      <c r="J1579">
        <v>1</v>
      </c>
      <c r="K1579">
        <v>0</v>
      </c>
      <c r="L1579">
        <v>0</v>
      </c>
      <c r="M1579" t="s">
        <v>63</v>
      </c>
      <c r="N1579" t="s">
        <v>62</v>
      </c>
      <c r="O1579" t="s">
        <v>87</v>
      </c>
      <c r="P1579" t="s">
        <v>442</v>
      </c>
      <c r="Q1579" t="s">
        <v>46</v>
      </c>
      <c r="R1579" t="s">
        <v>65</v>
      </c>
      <c r="S1579" t="s">
        <v>47</v>
      </c>
      <c r="T1579">
        <v>0</v>
      </c>
      <c r="U1579">
        <v>1</v>
      </c>
      <c r="V1579">
        <v>0</v>
      </c>
      <c r="W1579">
        <v>1</v>
      </c>
      <c r="X1579">
        <v>1</v>
      </c>
      <c r="Y1579">
        <v>0</v>
      </c>
      <c r="Z1579">
        <v>1</v>
      </c>
      <c r="AA1579">
        <v>0</v>
      </c>
      <c r="AB1579">
        <v>1</v>
      </c>
      <c r="AC1579">
        <v>0</v>
      </c>
      <c r="AD1579">
        <v>0</v>
      </c>
      <c r="AE1579">
        <v>0</v>
      </c>
      <c r="AF1579">
        <v>0</v>
      </c>
      <c r="AG1579">
        <v>0</v>
      </c>
    </row>
    <row r="1580" spans="1:33" hidden="1" x14ac:dyDescent="0.2">
      <c r="A1580">
        <v>1579</v>
      </c>
      <c r="B1580" t="s">
        <v>478</v>
      </c>
      <c r="C1580" t="s">
        <v>108</v>
      </c>
      <c r="D1580">
        <v>38</v>
      </c>
      <c r="E1580" t="s">
        <v>114</v>
      </c>
      <c r="F1580" t="s">
        <v>53</v>
      </c>
      <c r="G1580" t="s">
        <v>54</v>
      </c>
      <c r="H1580">
        <v>21411</v>
      </c>
      <c r="I1580">
        <v>0</v>
      </c>
      <c r="J1580">
        <v>0</v>
      </c>
      <c r="K1580">
        <v>1</v>
      </c>
      <c r="L1580">
        <v>0</v>
      </c>
      <c r="M1580" t="s">
        <v>36</v>
      </c>
      <c r="N1580" t="s">
        <v>36</v>
      </c>
      <c r="O1580" t="s">
        <v>36</v>
      </c>
      <c r="P1580" t="s">
        <v>442</v>
      </c>
      <c r="Q1580" t="s">
        <v>36</v>
      </c>
      <c r="R1580" t="s">
        <v>36</v>
      </c>
      <c r="S1580" t="s">
        <v>36</v>
      </c>
      <c r="T1580" t="s">
        <v>36</v>
      </c>
      <c r="U1580">
        <v>1</v>
      </c>
      <c r="V1580">
        <v>0</v>
      </c>
      <c r="W1580">
        <v>1</v>
      </c>
      <c r="X1580">
        <v>1</v>
      </c>
      <c r="Y1580">
        <v>0</v>
      </c>
      <c r="Z1580">
        <v>1</v>
      </c>
      <c r="AA1580">
        <v>0</v>
      </c>
      <c r="AB1580">
        <v>1</v>
      </c>
      <c r="AC1580">
        <v>0</v>
      </c>
      <c r="AD1580">
        <v>0</v>
      </c>
      <c r="AE1580">
        <v>0</v>
      </c>
      <c r="AF1580">
        <v>0</v>
      </c>
      <c r="AG1580">
        <v>0</v>
      </c>
    </row>
    <row r="1581" spans="1:33" x14ac:dyDescent="0.2">
      <c r="A1581">
        <v>1580</v>
      </c>
      <c r="B1581" t="s">
        <v>478</v>
      </c>
      <c r="C1581" t="s">
        <v>108</v>
      </c>
      <c r="D1581">
        <v>38</v>
      </c>
      <c r="E1581" t="s">
        <v>114</v>
      </c>
      <c r="F1581" t="s">
        <v>41</v>
      </c>
      <c r="G1581" t="s">
        <v>49</v>
      </c>
      <c r="H1581">
        <v>27010</v>
      </c>
      <c r="I1581">
        <v>0</v>
      </c>
      <c r="J1581">
        <v>0</v>
      </c>
      <c r="K1581">
        <v>1</v>
      </c>
      <c r="L1581">
        <v>0</v>
      </c>
      <c r="M1581" t="s">
        <v>50</v>
      </c>
      <c r="N1581" t="s">
        <v>95</v>
      </c>
      <c r="O1581" t="s">
        <v>96</v>
      </c>
      <c r="P1581" t="s">
        <v>442</v>
      </c>
      <c r="Q1581" t="s">
        <v>48</v>
      </c>
      <c r="R1581" t="s">
        <v>60</v>
      </c>
      <c r="S1581" t="s">
        <v>65</v>
      </c>
      <c r="T1581">
        <v>1</v>
      </c>
      <c r="U1581">
        <v>1</v>
      </c>
      <c r="V1581">
        <v>1</v>
      </c>
      <c r="W1581">
        <v>0</v>
      </c>
      <c r="X1581">
        <v>0</v>
      </c>
      <c r="Y1581">
        <v>0</v>
      </c>
      <c r="Z1581">
        <v>1</v>
      </c>
      <c r="AA1581">
        <v>0</v>
      </c>
      <c r="AB1581">
        <v>1</v>
      </c>
      <c r="AC1581">
        <v>0</v>
      </c>
      <c r="AD1581">
        <v>0</v>
      </c>
      <c r="AE1581">
        <v>0</v>
      </c>
      <c r="AF1581">
        <v>0</v>
      </c>
      <c r="AG1581">
        <v>0</v>
      </c>
    </row>
    <row r="1582" spans="1:33" hidden="1" x14ac:dyDescent="0.2">
      <c r="A1582">
        <v>1581</v>
      </c>
      <c r="B1582" t="s">
        <v>478</v>
      </c>
      <c r="C1582" t="s">
        <v>108</v>
      </c>
      <c r="D1582">
        <v>38</v>
      </c>
      <c r="E1582" t="s">
        <v>114</v>
      </c>
      <c r="F1582" t="s">
        <v>53</v>
      </c>
      <c r="G1582" t="s">
        <v>71</v>
      </c>
      <c r="H1582">
        <v>27572</v>
      </c>
      <c r="I1582">
        <v>0</v>
      </c>
      <c r="J1582">
        <v>0</v>
      </c>
      <c r="K1582">
        <v>1</v>
      </c>
      <c r="L1582">
        <v>0</v>
      </c>
      <c r="M1582" t="s">
        <v>36</v>
      </c>
      <c r="N1582" t="s">
        <v>36</v>
      </c>
      <c r="O1582" t="s">
        <v>36</v>
      </c>
      <c r="P1582" t="s">
        <v>442</v>
      </c>
      <c r="Q1582" t="s">
        <v>36</v>
      </c>
      <c r="R1582" t="s">
        <v>36</v>
      </c>
      <c r="S1582" t="s">
        <v>36</v>
      </c>
      <c r="T1582" t="s">
        <v>36</v>
      </c>
      <c r="U1582">
        <v>1</v>
      </c>
      <c r="V1582">
        <v>1</v>
      </c>
      <c r="W1582">
        <v>0</v>
      </c>
      <c r="X1582">
        <v>0</v>
      </c>
      <c r="Y1582">
        <v>0</v>
      </c>
      <c r="Z1582">
        <v>1</v>
      </c>
      <c r="AA1582">
        <v>0</v>
      </c>
      <c r="AB1582">
        <v>1</v>
      </c>
      <c r="AC1582">
        <v>0</v>
      </c>
      <c r="AD1582">
        <v>0</v>
      </c>
      <c r="AE1582">
        <v>0</v>
      </c>
      <c r="AF1582">
        <v>0</v>
      </c>
      <c r="AG1582">
        <v>0</v>
      </c>
    </row>
    <row r="1583" spans="1:33" hidden="1" x14ac:dyDescent="0.2">
      <c r="A1583">
        <v>1582</v>
      </c>
      <c r="B1583" t="s">
        <v>478</v>
      </c>
      <c r="C1583" t="s">
        <v>108</v>
      </c>
      <c r="D1583">
        <v>38</v>
      </c>
      <c r="E1583" t="s">
        <v>114</v>
      </c>
      <c r="F1583" t="s">
        <v>77</v>
      </c>
      <c r="G1583" t="s">
        <v>36</v>
      </c>
      <c r="H1583">
        <v>36054</v>
      </c>
      <c r="I1583" t="s">
        <v>479</v>
      </c>
      <c r="J1583" t="s">
        <v>480</v>
      </c>
      <c r="L1583" t="s">
        <v>36</v>
      </c>
      <c r="M1583" t="s">
        <v>36</v>
      </c>
      <c r="N1583" t="s">
        <v>36</v>
      </c>
      <c r="O1583" t="s">
        <v>36</v>
      </c>
      <c r="P1583" t="s">
        <v>442</v>
      </c>
      <c r="Q1583" t="s">
        <v>36</v>
      </c>
      <c r="R1583" t="s">
        <v>36</v>
      </c>
      <c r="S1583" t="s">
        <v>36</v>
      </c>
      <c r="T1583" t="s">
        <v>36</v>
      </c>
      <c r="U1583" t="s">
        <v>36</v>
      </c>
      <c r="V1583" t="s">
        <v>36</v>
      </c>
      <c r="W1583" t="s">
        <v>36</v>
      </c>
      <c r="X1583" t="s">
        <v>36</v>
      </c>
      <c r="Y1583" t="s">
        <v>36</v>
      </c>
      <c r="Z1583" t="s">
        <v>36</v>
      </c>
      <c r="AA1583" t="s">
        <v>36</v>
      </c>
      <c r="AB1583" t="s">
        <v>36</v>
      </c>
      <c r="AC1583" t="s">
        <v>36</v>
      </c>
      <c r="AD1583" t="s">
        <v>36</v>
      </c>
      <c r="AE1583" t="s">
        <v>36</v>
      </c>
      <c r="AF1583" t="s">
        <v>36</v>
      </c>
      <c r="AG1583" t="s">
        <v>36</v>
      </c>
    </row>
    <row r="1584" spans="1:33" hidden="1" x14ac:dyDescent="0.2">
      <c r="A1584">
        <v>1583</v>
      </c>
      <c r="B1584" t="s">
        <v>481</v>
      </c>
      <c r="C1584" t="s">
        <v>108</v>
      </c>
      <c r="D1584">
        <v>29</v>
      </c>
      <c r="E1584" t="s">
        <v>34</v>
      </c>
      <c r="F1584" t="s">
        <v>35</v>
      </c>
      <c r="G1584" t="s">
        <v>36</v>
      </c>
      <c r="H1584">
        <v>27200</v>
      </c>
      <c r="I1584" t="s">
        <v>36</v>
      </c>
      <c r="J1584" t="s">
        <v>36</v>
      </c>
      <c r="K1584" t="s">
        <v>36</v>
      </c>
      <c r="L1584" t="s">
        <v>36</v>
      </c>
      <c r="M1584" t="s">
        <v>36</v>
      </c>
      <c r="N1584" t="s">
        <v>36</v>
      </c>
      <c r="O1584" t="s">
        <v>36</v>
      </c>
      <c r="P1584" t="s">
        <v>442</v>
      </c>
      <c r="Q1584" t="s">
        <v>36</v>
      </c>
      <c r="R1584" t="s">
        <v>36</v>
      </c>
      <c r="S1584" t="s">
        <v>36</v>
      </c>
      <c r="T1584" t="s">
        <v>36</v>
      </c>
      <c r="U1584" t="s">
        <v>36</v>
      </c>
      <c r="V1584" t="s">
        <v>36</v>
      </c>
      <c r="W1584" t="s">
        <v>36</v>
      </c>
      <c r="X1584" t="s">
        <v>36</v>
      </c>
      <c r="Y1584" t="s">
        <v>36</v>
      </c>
      <c r="Z1584" t="s">
        <v>36</v>
      </c>
      <c r="AA1584" t="s">
        <v>36</v>
      </c>
      <c r="AB1584" t="s">
        <v>36</v>
      </c>
      <c r="AC1584" t="s">
        <v>36</v>
      </c>
      <c r="AD1584" t="s">
        <v>36</v>
      </c>
      <c r="AE1584" t="s">
        <v>36</v>
      </c>
      <c r="AF1584" t="s">
        <v>36</v>
      </c>
      <c r="AG1584" t="s">
        <v>36</v>
      </c>
    </row>
    <row r="1585" spans="1:33" hidden="1" x14ac:dyDescent="0.2">
      <c r="A1585">
        <v>1584</v>
      </c>
      <c r="B1585" t="s">
        <v>481</v>
      </c>
      <c r="C1585" t="s">
        <v>108</v>
      </c>
      <c r="D1585">
        <v>29</v>
      </c>
      <c r="E1585" t="s">
        <v>34</v>
      </c>
      <c r="F1585" t="s">
        <v>38</v>
      </c>
      <c r="G1585" t="s">
        <v>39</v>
      </c>
      <c r="H1585">
        <v>17200</v>
      </c>
      <c r="I1585">
        <v>0</v>
      </c>
      <c r="J1585">
        <v>0</v>
      </c>
      <c r="K1585">
        <v>0</v>
      </c>
      <c r="L1585">
        <v>1</v>
      </c>
      <c r="M1585" t="s">
        <v>36</v>
      </c>
      <c r="N1585" t="s">
        <v>36</v>
      </c>
      <c r="O1585" t="s">
        <v>36</v>
      </c>
      <c r="P1585" t="s">
        <v>442</v>
      </c>
      <c r="Q1585" t="s">
        <v>36</v>
      </c>
      <c r="R1585" t="s">
        <v>36</v>
      </c>
      <c r="S1585" t="s">
        <v>36</v>
      </c>
      <c r="T1585" t="s">
        <v>36</v>
      </c>
      <c r="U1585" t="s">
        <v>36</v>
      </c>
      <c r="V1585" t="s">
        <v>36</v>
      </c>
      <c r="W1585" t="s">
        <v>36</v>
      </c>
      <c r="X1585" t="s">
        <v>36</v>
      </c>
      <c r="Y1585" t="s">
        <v>36</v>
      </c>
      <c r="Z1585" t="s">
        <v>36</v>
      </c>
      <c r="AA1585" t="s">
        <v>36</v>
      </c>
      <c r="AB1585" t="s">
        <v>36</v>
      </c>
      <c r="AC1585" t="s">
        <v>36</v>
      </c>
      <c r="AD1585" t="s">
        <v>36</v>
      </c>
      <c r="AE1585" t="s">
        <v>36</v>
      </c>
      <c r="AF1585" t="s">
        <v>36</v>
      </c>
      <c r="AG1585" t="s">
        <v>36</v>
      </c>
    </row>
    <row r="1586" spans="1:33" hidden="1" x14ac:dyDescent="0.2">
      <c r="A1586">
        <v>1585</v>
      </c>
      <c r="B1586" t="s">
        <v>481</v>
      </c>
      <c r="C1586" t="s">
        <v>108</v>
      </c>
      <c r="D1586">
        <v>29</v>
      </c>
      <c r="E1586" t="s">
        <v>34</v>
      </c>
      <c r="F1586" t="s">
        <v>38</v>
      </c>
      <c r="G1586" t="s">
        <v>40</v>
      </c>
      <c r="H1586">
        <v>29100</v>
      </c>
      <c r="I1586">
        <v>0</v>
      </c>
      <c r="J1586">
        <v>1</v>
      </c>
      <c r="K1586">
        <v>1</v>
      </c>
      <c r="L1586">
        <v>0</v>
      </c>
      <c r="M1586" t="s">
        <v>36</v>
      </c>
      <c r="N1586" t="s">
        <v>36</v>
      </c>
      <c r="O1586" t="s">
        <v>36</v>
      </c>
      <c r="P1586" t="s">
        <v>442</v>
      </c>
      <c r="Q1586" t="s">
        <v>36</v>
      </c>
      <c r="R1586" t="s">
        <v>36</v>
      </c>
      <c r="S1586" t="s">
        <v>36</v>
      </c>
      <c r="T1586" t="s">
        <v>36</v>
      </c>
      <c r="U1586" t="s">
        <v>36</v>
      </c>
      <c r="V1586" t="s">
        <v>36</v>
      </c>
      <c r="W1586" t="s">
        <v>36</v>
      </c>
      <c r="X1586" t="s">
        <v>36</v>
      </c>
      <c r="Y1586" t="s">
        <v>36</v>
      </c>
      <c r="Z1586" t="s">
        <v>36</v>
      </c>
      <c r="AA1586" t="s">
        <v>36</v>
      </c>
      <c r="AB1586" t="s">
        <v>36</v>
      </c>
      <c r="AC1586" t="s">
        <v>36</v>
      </c>
      <c r="AD1586" t="s">
        <v>36</v>
      </c>
      <c r="AE1586" t="s">
        <v>36</v>
      </c>
      <c r="AF1586" t="s">
        <v>36</v>
      </c>
      <c r="AG1586" t="s">
        <v>36</v>
      </c>
    </row>
    <row r="1587" spans="1:33" x14ac:dyDescent="0.2">
      <c r="A1587">
        <v>1586</v>
      </c>
      <c r="B1587" t="s">
        <v>481</v>
      </c>
      <c r="C1587" t="s">
        <v>108</v>
      </c>
      <c r="D1587">
        <v>29</v>
      </c>
      <c r="E1587" t="s">
        <v>34</v>
      </c>
      <c r="F1587" t="s">
        <v>41</v>
      </c>
      <c r="G1587" t="s">
        <v>49</v>
      </c>
      <c r="H1587">
        <v>26800</v>
      </c>
      <c r="I1587">
        <v>1</v>
      </c>
      <c r="J1587">
        <v>1</v>
      </c>
      <c r="K1587">
        <v>1</v>
      </c>
      <c r="L1587">
        <v>0</v>
      </c>
      <c r="M1587" t="s">
        <v>95</v>
      </c>
      <c r="N1587" t="s">
        <v>96</v>
      </c>
      <c r="O1587" t="s">
        <v>83</v>
      </c>
      <c r="P1587" t="s">
        <v>442</v>
      </c>
      <c r="Q1587" t="s">
        <v>60</v>
      </c>
      <c r="R1587" t="s">
        <v>65</v>
      </c>
      <c r="S1587" t="s">
        <v>59</v>
      </c>
      <c r="T1587">
        <v>1</v>
      </c>
      <c r="U1587">
        <v>1</v>
      </c>
      <c r="V1587">
        <v>0</v>
      </c>
      <c r="W1587">
        <v>0</v>
      </c>
      <c r="X1587">
        <v>0</v>
      </c>
      <c r="Y1587">
        <v>0</v>
      </c>
      <c r="Z1587">
        <v>1</v>
      </c>
      <c r="AA1587">
        <v>1</v>
      </c>
      <c r="AB1587">
        <v>1</v>
      </c>
      <c r="AC1587">
        <v>0</v>
      </c>
      <c r="AD1587">
        <v>0</v>
      </c>
      <c r="AE1587">
        <v>0</v>
      </c>
      <c r="AF1587">
        <v>0</v>
      </c>
      <c r="AG1587">
        <v>0</v>
      </c>
    </row>
    <row r="1588" spans="1:33" x14ac:dyDescent="0.2">
      <c r="A1588">
        <v>1587</v>
      </c>
      <c r="B1588" t="s">
        <v>481</v>
      </c>
      <c r="C1588" t="s">
        <v>108</v>
      </c>
      <c r="D1588">
        <v>29</v>
      </c>
      <c r="E1588" t="s">
        <v>34</v>
      </c>
      <c r="F1588" t="s">
        <v>41</v>
      </c>
      <c r="G1588" t="s">
        <v>67</v>
      </c>
      <c r="H1588">
        <v>25100</v>
      </c>
      <c r="I1588">
        <v>0</v>
      </c>
      <c r="J1588">
        <v>0</v>
      </c>
      <c r="K1588">
        <v>0</v>
      </c>
      <c r="L1588">
        <v>1</v>
      </c>
      <c r="M1588" t="s">
        <v>86</v>
      </c>
      <c r="N1588" t="s">
        <v>68</v>
      </c>
      <c r="O1588" t="s">
        <v>69</v>
      </c>
      <c r="P1588" t="s">
        <v>442</v>
      </c>
      <c r="Q1588" t="s">
        <v>46</v>
      </c>
      <c r="R1588" t="s">
        <v>65</v>
      </c>
      <c r="S1588" t="s">
        <v>48</v>
      </c>
      <c r="T1588">
        <v>0</v>
      </c>
      <c r="U1588">
        <v>1</v>
      </c>
      <c r="V1588">
        <v>1</v>
      </c>
      <c r="W1588">
        <v>0</v>
      </c>
      <c r="X1588">
        <v>1</v>
      </c>
      <c r="Y1588">
        <v>0</v>
      </c>
      <c r="Z1588">
        <v>1</v>
      </c>
      <c r="AA1588">
        <v>0</v>
      </c>
      <c r="AB1588">
        <v>0</v>
      </c>
      <c r="AC1588">
        <v>0</v>
      </c>
      <c r="AD1588">
        <v>0</v>
      </c>
      <c r="AE1588">
        <v>0</v>
      </c>
      <c r="AF1588">
        <v>0</v>
      </c>
      <c r="AG1588">
        <v>1</v>
      </c>
    </row>
    <row r="1589" spans="1:33" hidden="1" x14ac:dyDescent="0.2">
      <c r="A1589">
        <v>1588</v>
      </c>
      <c r="B1589" t="s">
        <v>481</v>
      </c>
      <c r="C1589" t="s">
        <v>108</v>
      </c>
      <c r="D1589">
        <v>29</v>
      </c>
      <c r="E1589" t="s">
        <v>34</v>
      </c>
      <c r="F1589" t="s">
        <v>53</v>
      </c>
      <c r="G1589" t="s">
        <v>66</v>
      </c>
      <c r="H1589">
        <v>15600</v>
      </c>
      <c r="I1589">
        <v>1</v>
      </c>
      <c r="J1589">
        <v>1</v>
      </c>
      <c r="K1589">
        <v>0</v>
      </c>
      <c r="L1589">
        <v>0</v>
      </c>
      <c r="M1589" t="s">
        <v>36</v>
      </c>
      <c r="N1589" t="s">
        <v>36</v>
      </c>
      <c r="O1589" t="s">
        <v>36</v>
      </c>
      <c r="P1589" t="s">
        <v>442</v>
      </c>
      <c r="Q1589" t="s">
        <v>36</v>
      </c>
      <c r="R1589" t="s">
        <v>36</v>
      </c>
      <c r="S1589" t="s">
        <v>36</v>
      </c>
      <c r="T1589" t="s">
        <v>36</v>
      </c>
      <c r="U1589">
        <v>1</v>
      </c>
      <c r="V1589">
        <v>1</v>
      </c>
      <c r="W1589">
        <v>0</v>
      </c>
      <c r="X1589">
        <v>1</v>
      </c>
      <c r="Y1589">
        <v>0</v>
      </c>
      <c r="Z1589">
        <v>1</v>
      </c>
      <c r="AA1589">
        <v>0</v>
      </c>
      <c r="AB1589">
        <v>0</v>
      </c>
      <c r="AC1589">
        <v>0</v>
      </c>
      <c r="AD1589">
        <v>0</v>
      </c>
      <c r="AE1589">
        <v>0</v>
      </c>
      <c r="AF1589">
        <v>0</v>
      </c>
      <c r="AG1589">
        <v>1</v>
      </c>
    </row>
    <row r="1590" spans="1:33" x14ac:dyDescent="0.2">
      <c r="A1590">
        <v>1589</v>
      </c>
      <c r="B1590" t="s">
        <v>481</v>
      </c>
      <c r="C1590" t="s">
        <v>108</v>
      </c>
      <c r="D1590">
        <v>29</v>
      </c>
      <c r="E1590" t="s">
        <v>34</v>
      </c>
      <c r="F1590" t="s">
        <v>41</v>
      </c>
      <c r="G1590" t="s">
        <v>42</v>
      </c>
      <c r="H1590">
        <v>11500</v>
      </c>
      <c r="I1590">
        <v>0</v>
      </c>
      <c r="J1590">
        <v>0</v>
      </c>
      <c r="K1590">
        <v>0</v>
      </c>
      <c r="L1590">
        <v>1</v>
      </c>
      <c r="M1590" t="s">
        <v>116</v>
      </c>
      <c r="N1590" t="s">
        <v>82</v>
      </c>
      <c r="O1590" t="s">
        <v>43</v>
      </c>
      <c r="P1590" t="s">
        <v>442</v>
      </c>
      <c r="Q1590" t="s">
        <v>60</v>
      </c>
      <c r="R1590" t="s">
        <v>65</v>
      </c>
      <c r="S1590" t="s">
        <v>46</v>
      </c>
      <c r="T1590">
        <v>1</v>
      </c>
      <c r="U1590">
        <v>1</v>
      </c>
      <c r="V1590">
        <v>0</v>
      </c>
      <c r="W1590">
        <v>0</v>
      </c>
      <c r="X1590">
        <v>1</v>
      </c>
      <c r="Y1590">
        <v>0</v>
      </c>
      <c r="Z1590">
        <v>1</v>
      </c>
      <c r="AA1590">
        <v>0</v>
      </c>
      <c r="AB1590">
        <v>0</v>
      </c>
      <c r="AC1590">
        <v>0</v>
      </c>
      <c r="AD1590">
        <v>0</v>
      </c>
      <c r="AE1590">
        <v>0</v>
      </c>
      <c r="AF1590">
        <v>0</v>
      </c>
      <c r="AG1590">
        <v>1</v>
      </c>
    </row>
    <row r="1591" spans="1:33" hidden="1" x14ac:dyDescent="0.2">
      <c r="A1591">
        <v>1590</v>
      </c>
      <c r="B1591" t="s">
        <v>481</v>
      </c>
      <c r="C1591" t="s">
        <v>108</v>
      </c>
      <c r="D1591">
        <v>29</v>
      </c>
      <c r="E1591" t="s">
        <v>34</v>
      </c>
      <c r="F1591" t="s">
        <v>53</v>
      </c>
      <c r="G1591" t="s">
        <v>54</v>
      </c>
      <c r="H1591">
        <v>31200</v>
      </c>
      <c r="I1591">
        <v>0</v>
      </c>
      <c r="J1591">
        <v>0</v>
      </c>
      <c r="K1591">
        <v>1</v>
      </c>
      <c r="L1591">
        <v>0</v>
      </c>
      <c r="M1591" t="s">
        <v>36</v>
      </c>
      <c r="N1591" t="s">
        <v>36</v>
      </c>
      <c r="O1591" t="s">
        <v>36</v>
      </c>
      <c r="P1591" t="s">
        <v>442</v>
      </c>
      <c r="Q1591" t="s">
        <v>36</v>
      </c>
      <c r="R1591" t="s">
        <v>36</v>
      </c>
      <c r="S1591" t="s">
        <v>36</v>
      </c>
      <c r="T1591" t="s">
        <v>36</v>
      </c>
      <c r="U1591">
        <v>1</v>
      </c>
      <c r="V1591">
        <v>0</v>
      </c>
      <c r="W1591">
        <v>0</v>
      </c>
      <c r="X1591">
        <v>1</v>
      </c>
      <c r="Y1591">
        <v>0</v>
      </c>
      <c r="Z1591">
        <v>1</v>
      </c>
      <c r="AA1591">
        <v>0</v>
      </c>
      <c r="AB1591">
        <v>0</v>
      </c>
      <c r="AC1591">
        <v>0</v>
      </c>
      <c r="AD1591">
        <v>0</v>
      </c>
      <c r="AE1591">
        <v>0</v>
      </c>
      <c r="AF1591">
        <v>0</v>
      </c>
      <c r="AG1591">
        <v>1</v>
      </c>
    </row>
    <row r="1592" spans="1:33" x14ac:dyDescent="0.2">
      <c r="A1592">
        <v>1591</v>
      </c>
      <c r="B1592" t="s">
        <v>481</v>
      </c>
      <c r="C1592" t="s">
        <v>108</v>
      </c>
      <c r="D1592">
        <v>29</v>
      </c>
      <c r="E1592" t="s">
        <v>34</v>
      </c>
      <c r="F1592" t="s">
        <v>41</v>
      </c>
      <c r="G1592" t="s">
        <v>72</v>
      </c>
      <c r="H1592">
        <v>8500</v>
      </c>
      <c r="I1592">
        <v>0</v>
      </c>
      <c r="J1592">
        <v>0</v>
      </c>
      <c r="K1592">
        <v>0</v>
      </c>
      <c r="L1592">
        <v>1</v>
      </c>
      <c r="M1592" t="s">
        <v>75</v>
      </c>
      <c r="N1592" t="s">
        <v>115</v>
      </c>
      <c r="O1592" t="s">
        <v>74</v>
      </c>
      <c r="P1592" t="s">
        <v>442</v>
      </c>
      <c r="Q1592" t="s">
        <v>46</v>
      </c>
      <c r="R1592" t="s">
        <v>65</v>
      </c>
      <c r="S1592" t="s">
        <v>47</v>
      </c>
      <c r="T1592">
        <v>0</v>
      </c>
      <c r="U1592">
        <v>1</v>
      </c>
      <c r="V1592">
        <v>0</v>
      </c>
      <c r="W1592">
        <v>1</v>
      </c>
      <c r="X1592">
        <v>1</v>
      </c>
      <c r="Y1592">
        <v>0</v>
      </c>
      <c r="Z1592">
        <v>1</v>
      </c>
      <c r="AA1592">
        <v>0</v>
      </c>
      <c r="AB1592">
        <v>0</v>
      </c>
      <c r="AC1592">
        <v>0</v>
      </c>
      <c r="AD1592">
        <v>0</v>
      </c>
      <c r="AE1592">
        <v>0</v>
      </c>
      <c r="AF1592">
        <v>0</v>
      </c>
      <c r="AG1592">
        <v>1</v>
      </c>
    </row>
    <row r="1593" spans="1:33" x14ac:dyDescent="0.2">
      <c r="A1593">
        <v>1592</v>
      </c>
      <c r="B1593" t="s">
        <v>481</v>
      </c>
      <c r="C1593" t="s">
        <v>108</v>
      </c>
      <c r="D1593">
        <v>29</v>
      </c>
      <c r="E1593" t="s">
        <v>34</v>
      </c>
      <c r="F1593" t="s">
        <v>41</v>
      </c>
      <c r="G1593" t="s">
        <v>61</v>
      </c>
      <c r="H1593">
        <v>6700</v>
      </c>
      <c r="I1593">
        <v>0</v>
      </c>
      <c r="J1593">
        <v>0</v>
      </c>
      <c r="K1593">
        <v>0</v>
      </c>
      <c r="L1593">
        <v>1</v>
      </c>
      <c r="M1593" t="s">
        <v>125</v>
      </c>
      <c r="N1593" t="s">
        <v>63</v>
      </c>
      <c r="O1593" t="s">
        <v>87</v>
      </c>
      <c r="P1593" t="s">
        <v>442</v>
      </c>
      <c r="Q1593" t="s">
        <v>60</v>
      </c>
      <c r="R1593" t="s">
        <v>46</v>
      </c>
      <c r="S1593" t="s">
        <v>47</v>
      </c>
      <c r="T1593">
        <v>1</v>
      </c>
      <c r="U1593">
        <v>0</v>
      </c>
      <c r="V1593">
        <v>0</v>
      </c>
      <c r="W1593">
        <v>1</v>
      </c>
      <c r="X1593">
        <v>1</v>
      </c>
      <c r="Y1593">
        <v>0</v>
      </c>
      <c r="Z1593">
        <v>1</v>
      </c>
      <c r="AA1593">
        <v>0</v>
      </c>
      <c r="AB1593">
        <v>0</v>
      </c>
      <c r="AC1593">
        <v>0</v>
      </c>
      <c r="AD1593">
        <v>0</v>
      </c>
      <c r="AE1593">
        <v>0</v>
      </c>
      <c r="AF1593">
        <v>0</v>
      </c>
      <c r="AG1593">
        <v>1</v>
      </c>
    </row>
    <row r="1594" spans="1:33" hidden="1" x14ac:dyDescent="0.2">
      <c r="A1594">
        <v>1593</v>
      </c>
      <c r="B1594" t="s">
        <v>481</v>
      </c>
      <c r="C1594" t="s">
        <v>108</v>
      </c>
      <c r="D1594">
        <v>29</v>
      </c>
      <c r="E1594" t="s">
        <v>34</v>
      </c>
      <c r="F1594" t="s">
        <v>53</v>
      </c>
      <c r="G1594" t="s">
        <v>76</v>
      </c>
      <c r="H1594">
        <v>15200</v>
      </c>
      <c r="I1594">
        <v>1</v>
      </c>
      <c r="J1594">
        <v>0</v>
      </c>
      <c r="K1594">
        <v>0</v>
      </c>
      <c r="L1594">
        <v>0</v>
      </c>
      <c r="M1594" t="s">
        <v>36</v>
      </c>
      <c r="N1594" t="s">
        <v>36</v>
      </c>
      <c r="O1594" t="s">
        <v>36</v>
      </c>
      <c r="P1594" t="s">
        <v>442</v>
      </c>
      <c r="Q1594" t="s">
        <v>36</v>
      </c>
      <c r="R1594" t="s">
        <v>36</v>
      </c>
      <c r="S1594" t="s">
        <v>36</v>
      </c>
      <c r="T1594" t="s">
        <v>36</v>
      </c>
      <c r="U1594">
        <v>0</v>
      </c>
      <c r="V1594">
        <v>0</v>
      </c>
      <c r="W1594">
        <v>1</v>
      </c>
      <c r="X1594">
        <v>1</v>
      </c>
      <c r="Y1594">
        <v>0</v>
      </c>
      <c r="Z1594">
        <v>1</v>
      </c>
      <c r="AA1594">
        <v>0</v>
      </c>
      <c r="AB1594">
        <v>0</v>
      </c>
      <c r="AC1594">
        <v>0</v>
      </c>
      <c r="AD1594">
        <v>0</v>
      </c>
      <c r="AE1594">
        <v>0</v>
      </c>
      <c r="AF1594">
        <v>0</v>
      </c>
      <c r="AG1594">
        <v>1</v>
      </c>
    </row>
    <row r="1595" spans="1:33" x14ac:dyDescent="0.2">
      <c r="A1595">
        <v>1594</v>
      </c>
      <c r="B1595" t="s">
        <v>481</v>
      </c>
      <c r="C1595" t="s">
        <v>108</v>
      </c>
      <c r="D1595">
        <v>29</v>
      </c>
      <c r="E1595" t="s">
        <v>34</v>
      </c>
      <c r="F1595" t="s">
        <v>41</v>
      </c>
      <c r="G1595" t="s">
        <v>55</v>
      </c>
      <c r="H1595">
        <v>56000</v>
      </c>
      <c r="I1595">
        <v>0</v>
      </c>
      <c r="J1595">
        <v>0</v>
      </c>
      <c r="K1595">
        <v>0</v>
      </c>
      <c r="L1595">
        <v>1</v>
      </c>
      <c r="M1595" t="s">
        <v>85</v>
      </c>
      <c r="N1595" t="s">
        <v>94</v>
      </c>
      <c r="O1595" t="s">
        <v>84</v>
      </c>
      <c r="P1595" t="s">
        <v>442</v>
      </c>
      <c r="Q1595" t="s">
        <v>65</v>
      </c>
      <c r="R1595" t="s">
        <v>47</v>
      </c>
      <c r="S1595" t="s">
        <v>46</v>
      </c>
      <c r="T1595">
        <v>0</v>
      </c>
      <c r="U1595">
        <v>1</v>
      </c>
      <c r="V1595">
        <v>0</v>
      </c>
      <c r="W1595">
        <v>1</v>
      </c>
      <c r="X1595">
        <v>1</v>
      </c>
      <c r="Y1595">
        <v>0</v>
      </c>
      <c r="Z1595">
        <v>1</v>
      </c>
      <c r="AA1595">
        <v>0</v>
      </c>
      <c r="AB1595">
        <v>0</v>
      </c>
      <c r="AC1595">
        <v>0</v>
      </c>
      <c r="AD1595">
        <v>0</v>
      </c>
      <c r="AE1595">
        <v>0</v>
      </c>
      <c r="AF1595">
        <v>0</v>
      </c>
      <c r="AG1595">
        <v>1</v>
      </c>
    </row>
    <row r="1596" spans="1:33" hidden="1" x14ac:dyDescent="0.2">
      <c r="A1596">
        <v>1595</v>
      </c>
      <c r="B1596" t="s">
        <v>481</v>
      </c>
      <c r="C1596" t="s">
        <v>108</v>
      </c>
      <c r="D1596">
        <v>29</v>
      </c>
      <c r="E1596" t="s">
        <v>34</v>
      </c>
      <c r="F1596" t="s">
        <v>53</v>
      </c>
      <c r="G1596" t="s">
        <v>71</v>
      </c>
      <c r="H1596">
        <v>45300</v>
      </c>
      <c r="I1596">
        <v>0</v>
      </c>
      <c r="J1596">
        <v>0</v>
      </c>
      <c r="K1596">
        <v>0</v>
      </c>
      <c r="L1596">
        <v>1</v>
      </c>
      <c r="M1596" t="s">
        <v>36</v>
      </c>
      <c r="N1596" t="s">
        <v>36</v>
      </c>
      <c r="O1596" t="s">
        <v>36</v>
      </c>
      <c r="P1596" t="s">
        <v>442</v>
      </c>
      <c r="Q1596" t="s">
        <v>36</v>
      </c>
      <c r="R1596" t="s">
        <v>36</v>
      </c>
      <c r="S1596" t="s">
        <v>36</v>
      </c>
      <c r="T1596" t="s">
        <v>36</v>
      </c>
      <c r="U1596">
        <v>1</v>
      </c>
      <c r="V1596">
        <v>0</v>
      </c>
      <c r="W1596">
        <v>1</v>
      </c>
      <c r="X1596">
        <v>1</v>
      </c>
      <c r="Y1596">
        <v>0</v>
      </c>
      <c r="Z1596">
        <v>1</v>
      </c>
      <c r="AA1596">
        <v>0</v>
      </c>
      <c r="AB1596">
        <v>0</v>
      </c>
      <c r="AC1596">
        <v>0</v>
      </c>
      <c r="AD1596">
        <v>0</v>
      </c>
      <c r="AE1596">
        <v>0</v>
      </c>
      <c r="AF1596">
        <v>0</v>
      </c>
      <c r="AG1596">
        <v>1</v>
      </c>
    </row>
    <row r="1597" spans="1:33" hidden="1" x14ac:dyDescent="0.2">
      <c r="A1597">
        <v>1596</v>
      </c>
      <c r="B1597" t="s">
        <v>481</v>
      </c>
      <c r="C1597" t="s">
        <v>108</v>
      </c>
      <c r="D1597">
        <v>29</v>
      </c>
      <c r="E1597" t="s">
        <v>34</v>
      </c>
      <c r="F1597" t="s">
        <v>77</v>
      </c>
      <c r="G1597" t="s">
        <v>36</v>
      </c>
      <c r="H1597">
        <v>102600</v>
      </c>
      <c r="I1597" t="s">
        <v>482</v>
      </c>
      <c r="J1597" t="s">
        <v>483</v>
      </c>
      <c r="K1597" t="s">
        <v>433</v>
      </c>
      <c r="L1597" t="s">
        <v>36</v>
      </c>
      <c r="M1597" t="s">
        <v>36</v>
      </c>
      <c r="N1597" t="s">
        <v>36</v>
      </c>
      <c r="O1597" t="s">
        <v>36</v>
      </c>
      <c r="P1597" t="s">
        <v>442</v>
      </c>
      <c r="Q1597" t="s">
        <v>36</v>
      </c>
      <c r="R1597" t="s">
        <v>36</v>
      </c>
      <c r="S1597" t="s">
        <v>36</v>
      </c>
      <c r="T1597" t="s">
        <v>36</v>
      </c>
      <c r="U1597" t="s">
        <v>36</v>
      </c>
      <c r="V1597" t="s">
        <v>36</v>
      </c>
      <c r="W1597" t="s">
        <v>36</v>
      </c>
      <c r="X1597" t="s">
        <v>36</v>
      </c>
      <c r="Y1597" t="s">
        <v>36</v>
      </c>
      <c r="Z1597" t="s">
        <v>36</v>
      </c>
      <c r="AA1597" t="s">
        <v>36</v>
      </c>
      <c r="AB1597" t="s">
        <v>36</v>
      </c>
      <c r="AC1597" t="s">
        <v>36</v>
      </c>
      <c r="AD1597" t="s">
        <v>36</v>
      </c>
      <c r="AE1597" t="s">
        <v>36</v>
      </c>
      <c r="AF1597" t="s">
        <v>36</v>
      </c>
      <c r="AG1597" t="s">
        <v>36</v>
      </c>
    </row>
    <row r="1598" spans="1:33" hidden="1" x14ac:dyDescent="0.2">
      <c r="A1598">
        <v>1597</v>
      </c>
      <c r="B1598" t="s">
        <v>484</v>
      </c>
      <c r="C1598" t="s">
        <v>108</v>
      </c>
      <c r="D1598">
        <v>40</v>
      </c>
      <c r="E1598" t="s">
        <v>34</v>
      </c>
      <c r="F1598" t="s">
        <v>35</v>
      </c>
      <c r="G1598" t="s">
        <v>36</v>
      </c>
      <c r="H1598">
        <v>63155</v>
      </c>
      <c r="I1598" t="s">
        <v>36</v>
      </c>
      <c r="J1598" t="s">
        <v>36</v>
      </c>
      <c r="K1598" t="s">
        <v>36</v>
      </c>
      <c r="L1598" t="s">
        <v>36</v>
      </c>
      <c r="M1598" t="s">
        <v>36</v>
      </c>
      <c r="N1598" t="s">
        <v>36</v>
      </c>
      <c r="O1598" t="s">
        <v>36</v>
      </c>
      <c r="P1598" t="s">
        <v>442</v>
      </c>
      <c r="Q1598" t="s">
        <v>36</v>
      </c>
      <c r="R1598" t="s">
        <v>36</v>
      </c>
      <c r="S1598" t="s">
        <v>36</v>
      </c>
      <c r="T1598" t="s">
        <v>36</v>
      </c>
      <c r="U1598" t="s">
        <v>36</v>
      </c>
      <c r="V1598" t="s">
        <v>36</v>
      </c>
      <c r="W1598" t="s">
        <v>36</v>
      </c>
      <c r="X1598" t="s">
        <v>36</v>
      </c>
      <c r="Y1598" t="s">
        <v>36</v>
      </c>
      <c r="Z1598" t="s">
        <v>36</v>
      </c>
      <c r="AA1598" t="s">
        <v>36</v>
      </c>
      <c r="AB1598" t="s">
        <v>36</v>
      </c>
      <c r="AC1598" t="s">
        <v>36</v>
      </c>
      <c r="AD1598" t="s">
        <v>36</v>
      </c>
      <c r="AE1598" t="s">
        <v>36</v>
      </c>
      <c r="AF1598" t="s">
        <v>36</v>
      </c>
      <c r="AG1598" t="s">
        <v>36</v>
      </c>
    </row>
    <row r="1599" spans="1:33" hidden="1" x14ac:dyDescent="0.2">
      <c r="A1599">
        <v>1598</v>
      </c>
      <c r="B1599" t="s">
        <v>484</v>
      </c>
      <c r="C1599" t="s">
        <v>108</v>
      </c>
      <c r="D1599">
        <v>40</v>
      </c>
      <c r="E1599" t="s">
        <v>34</v>
      </c>
      <c r="F1599" t="s">
        <v>38</v>
      </c>
      <c r="G1599" t="s">
        <v>39</v>
      </c>
      <c r="H1599">
        <v>52091</v>
      </c>
      <c r="I1599">
        <v>0</v>
      </c>
      <c r="J1599">
        <v>0</v>
      </c>
      <c r="K1599">
        <v>0</v>
      </c>
      <c r="L1599">
        <v>1</v>
      </c>
      <c r="M1599" t="s">
        <v>36</v>
      </c>
      <c r="N1599" t="s">
        <v>36</v>
      </c>
      <c r="O1599" t="s">
        <v>36</v>
      </c>
      <c r="P1599" t="s">
        <v>442</v>
      </c>
      <c r="Q1599" t="s">
        <v>36</v>
      </c>
      <c r="R1599" t="s">
        <v>36</v>
      </c>
      <c r="S1599" t="s">
        <v>36</v>
      </c>
      <c r="T1599" t="s">
        <v>36</v>
      </c>
      <c r="U1599" t="s">
        <v>36</v>
      </c>
      <c r="V1599" t="s">
        <v>36</v>
      </c>
      <c r="W1599" t="s">
        <v>36</v>
      </c>
      <c r="X1599" t="s">
        <v>36</v>
      </c>
      <c r="Y1599" t="s">
        <v>36</v>
      </c>
      <c r="Z1599" t="s">
        <v>36</v>
      </c>
      <c r="AA1599" t="s">
        <v>36</v>
      </c>
      <c r="AB1599" t="s">
        <v>36</v>
      </c>
      <c r="AC1599" t="s">
        <v>36</v>
      </c>
      <c r="AD1599" t="s">
        <v>36</v>
      </c>
      <c r="AE1599" t="s">
        <v>36</v>
      </c>
      <c r="AF1599" t="s">
        <v>36</v>
      </c>
      <c r="AG1599" t="s">
        <v>36</v>
      </c>
    </row>
    <row r="1600" spans="1:33" hidden="1" x14ac:dyDescent="0.2">
      <c r="A1600">
        <v>1599</v>
      </c>
      <c r="B1600" t="s">
        <v>484</v>
      </c>
      <c r="C1600" t="s">
        <v>108</v>
      </c>
      <c r="D1600">
        <v>40</v>
      </c>
      <c r="E1600" t="s">
        <v>34</v>
      </c>
      <c r="F1600" t="s">
        <v>38</v>
      </c>
      <c r="G1600" t="s">
        <v>40</v>
      </c>
      <c r="H1600">
        <v>39191</v>
      </c>
      <c r="I1600">
        <v>0</v>
      </c>
      <c r="J1600">
        <v>1</v>
      </c>
      <c r="K1600">
        <v>0</v>
      </c>
      <c r="L1600">
        <v>0</v>
      </c>
      <c r="M1600" t="s">
        <v>36</v>
      </c>
      <c r="N1600" t="s">
        <v>36</v>
      </c>
      <c r="O1600" t="s">
        <v>36</v>
      </c>
      <c r="P1600" t="s">
        <v>442</v>
      </c>
      <c r="Q1600" t="s">
        <v>36</v>
      </c>
      <c r="R1600" t="s">
        <v>36</v>
      </c>
      <c r="S1600" t="s">
        <v>36</v>
      </c>
      <c r="T1600" t="s">
        <v>36</v>
      </c>
      <c r="U1600" t="s">
        <v>36</v>
      </c>
      <c r="V1600" t="s">
        <v>36</v>
      </c>
      <c r="W1600" t="s">
        <v>36</v>
      </c>
      <c r="X1600" t="s">
        <v>36</v>
      </c>
      <c r="Y1600" t="s">
        <v>36</v>
      </c>
      <c r="Z1600" t="s">
        <v>36</v>
      </c>
      <c r="AA1600" t="s">
        <v>36</v>
      </c>
      <c r="AB1600" t="s">
        <v>36</v>
      </c>
      <c r="AC1600" t="s">
        <v>36</v>
      </c>
      <c r="AD1600" t="s">
        <v>36</v>
      </c>
      <c r="AE1600" t="s">
        <v>36</v>
      </c>
      <c r="AF1600" t="s">
        <v>36</v>
      </c>
      <c r="AG1600" t="s">
        <v>36</v>
      </c>
    </row>
    <row r="1601" spans="1:33" x14ac:dyDescent="0.2">
      <c r="A1601">
        <v>1600</v>
      </c>
      <c r="B1601" t="s">
        <v>484</v>
      </c>
      <c r="C1601" t="s">
        <v>108</v>
      </c>
      <c r="D1601">
        <v>40</v>
      </c>
      <c r="E1601" t="s">
        <v>34</v>
      </c>
      <c r="F1601" t="s">
        <v>41</v>
      </c>
      <c r="G1601" t="s">
        <v>55</v>
      </c>
      <c r="H1601">
        <v>35357</v>
      </c>
      <c r="I1601">
        <v>1</v>
      </c>
      <c r="J1601">
        <v>1</v>
      </c>
      <c r="K1601">
        <v>1</v>
      </c>
      <c r="L1601">
        <v>0</v>
      </c>
      <c r="M1601" t="s">
        <v>58</v>
      </c>
      <c r="N1601" t="s">
        <v>84</v>
      </c>
      <c r="O1601" t="s">
        <v>85</v>
      </c>
      <c r="P1601" t="s">
        <v>442</v>
      </c>
      <c r="Q1601" t="s">
        <v>60</v>
      </c>
      <c r="R1601" t="s">
        <v>46</v>
      </c>
      <c r="S1601" t="s">
        <v>65</v>
      </c>
      <c r="T1601">
        <v>1</v>
      </c>
      <c r="U1601">
        <v>1</v>
      </c>
      <c r="V1601">
        <v>0</v>
      </c>
      <c r="W1601">
        <v>0</v>
      </c>
      <c r="X1601">
        <v>1</v>
      </c>
      <c r="Y1601">
        <v>0</v>
      </c>
      <c r="Z1601">
        <v>1</v>
      </c>
      <c r="AA1601">
        <v>1</v>
      </c>
      <c r="AB1601">
        <v>1</v>
      </c>
      <c r="AC1601">
        <v>0</v>
      </c>
      <c r="AD1601">
        <v>0</v>
      </c>
      <c r="AE1601">
        <v>1</v>
      </c>
      <c r="AF1601">
        <v>0</v>
      </c>
      <c r="AG1601">
        <v>0</v>
      </c>
    </row>
    <row r="1602" spans="1:33" x14ac:dyDescent="0.2">
      <c r="A1602">
        <v>1601</v>
      </c>
      <c r="B1602" t="s">
        <v>484</v>
      </c>
      <c r="C1602" t="s">
        <v>108</v>
      </c>
      <c r="D1602">
        <v>40</v>
      </c>
      <c r="E1602" t="s">
        <v>34</v>
      </c>
      <c r="F1602" t="s">
        <v>41</v>
      </c>
      <c r="G1602" t="s">
        <v>49</v>
      </c>
      <c r="H1602">
        <v>26005</v>
      </c>
      <c r="I1602">
        <v>1</v>
      </c>
      <c r="J1602">
        <v>1</v>
      </c>
      <c r="K1602">
        <v>1</v>
      </c>
      <c r="L1602">
        <v>0</v>
      </c>
      <c r="M1602" t="s">
        <v>52</v>
      </c>
      <c r="N1602" t="s">
        <v>83</v>
      </c>
      <c r="O1602" t="s">
        <v>50</v>
      </c>
      <c r="P1602" t="s">
        <v>442</v>
      </c>
      <c r="Q1602" t="s">
        <v>46</v>
      </c>
      <c r="R1602" t="s">
        <v>59</v>
      </c>
      <c r="S1602" t="s">
        <v>48</v>
      </c>
      <c r="T1602">
        <v>0</v>
      </c>
      <c r="U1602">
        <v>0</v>
      </c>
      <c r="V1602">
        <v>1</v>
      </c>
      <c r="W1602">
        <v>0</v>
      </c>
      <c r="X1602">
        <v>1</v>
      </c>
      <c r="Y1602">
        <v>0</v>
      </c>
      <c r="Z1602">
        <v>1</v>
      </c>
      <c r="AA1602">
        <v>0</v>
      </c>
      <c r="AB1602">
        <v>0</v>
      </c>
      <c r="AC1602">
        <v>1</v>
      </c>
      <c r="AD1602">
        <v>0</v>
      </c>
      <c r="AE1602">
        <v>1</v>
      </c>
      <c r="AF1602">
        <v>0</v>
      </c>
      <c r="AG1602">
        <v>0</v>
      </c>
    </row>
    <row r="1603" spans="1:33" hidden="1" x14ac:dyDescent="0.2">
      <c r="A1603">
        <v>1602</v>
      </c>
      <c r="B1603" t="s">
        <v>484</v>
      </c>
      <c r="C1603" t="s">
        <v>108</v>
      </c>
      <c r="D1603">
        <v>40</v>
      </c>
      <c r="E1603" t="s">
        <v>34</v>
      </c>
      <c r="F1603" t="s">
        <v>53</v>
      </c>
      <c r="G1603" t="s">
        <v>76</v>
      </c>
      <c r="H1603">
        <v>38592</v>
      </c>
      <c r="I1603">
        <v>1</v>
      </c>
      <c r="J1603">
        <v>1</v>
      </c>
      <c r="K1603">
        <v>0</v>
      </c>
      <c r="L1603">
        <v>0</v>
      </c>
      <c r="M1603" t="s">
        <v>36</v>
      </c>
      <c r="N1603" t="s">
        <v>36</v>
      </c>
      <c r="O1603" t="s">
        <v>36</v>
      </c>
      <c r="P1603" t="s">
        <v>442</v>
      </c>
      <c r="Q1603" t="s">
        <v>36</v>
      </c>
      <c r="R1603" t="s">
        <v>36</v>
      </c>
      <c r="S1603" t="s">
        <v>36</v>
      </c>
      <c r="T1603" t="s">
        <v>36</v>
      </c>
      <c r="U1603">
        <v>0</v>
      </c>
      <c r="V1603">
        <v>1</v>
      </c>
      <c r="W1603">
        <v>0</v>
      </c>
      <c r="X1603">
        <v>1</v>
      </c>
      <c r="Y1603">
        <v>0</v>
      </c>
      <c r="Z1603">
        <v>1</v>
      </c>
      <c r="AA1603">
        <v>0</v>
      </c>
      <c r="AB1603">
        <v>0</v>
      </c>
      <c r="AC1603">
        <v>1</v>
      </c>
      <c r="AD1603">
        <v>0</v>
      </c>
      <c r="AE1603">
        <v>1</v>
      </c>
      <c r="AF1603">
        <v>0</v>
      </c>
      <c r="AG1603">
        <v>0</v>
      </c>
    </row>
    <row r="1604" spans="1:33" x14ac:dyDescent="0.2">
      <c r="A1604">
        <v>1603</v>
      </c>
      <c r="B1604" t="s">
        <v>484</v>
      </c>
      <c r="C1604" t="s">
        <v>108</v>
      </c>
      <c r="D1604">
        <v>40</v>
      </c>
      <c r="E1604" t="s">
        <v>34</v>
      </c>
      <c r="F1604" t="s">
        <v>41</v>
      </c>
      <c r="G1604" t="s">
        <v>42</v>
      </c>
      <c r="H1604">
        <v>18726</v>
      </c>
      <c r="I1604">
        <v>1</v>
      </c>
      <c r="J1604">
        <v>1</v>
      </c>
      <c r="K1604">
        <v>1</v>
      </c>
      <c r="L1604">
        <v>0</v>
      </c>
      <c r="M1604" t="s">
        <v>82</v>
      </c>
      <c r="N1604" t="s">
        <v>116</v>
      </c>
      <c r="O1604" t="s">
        <v>43</v>
      </c>
      <c r="P1604" t="s">
        <v>442</v>
      </c>
      <c r="Q1604" t="s">
        <v>65</v>
      </c>
      <c r="R1604" t="s">
        <v>60</v>
      </c>
      <c r="S1604" t="s">
        <v>46</v>
      </c>
      <c r="T1604">
        <v>1</v>
      </c>
      <c r="U1604">
        <v>1</v>
      </c>
      <c r="V1604">
        <v>0</v>
      </c>
      <c r="W1604">
        <v>0</v>
      </c>
      <c r="X1604">
        <v>1</v>
      </c>
      <c r="Y1604">
        <v>0</v>
      </c>
      <c r="Z1604">
        <v>1</v>
      </c>
      <c r="AA1604">
        <v>1</v>
      </c>
      <c r="AB1604">
        <v>1</v>
      </c>
      <c r="AC1604">
        <v>0</v>
      </c>
      <c r="AD1604">
        <v>0</v>
      </c>
      <c r="AE1604">
        <v>1</v>
      </c>
      <c r="AF1604">
        <v>0</v>
      </c>
      <c r="AG1604">
        <v>0</v>
      </c>
    </row>
    <row r="1605" spans="1:33" x14ac:dyDescent="0.2">
      <c r="A1605">
        <v>1604</v>
      </c>
      <c r="B1605" t="s">
        <v>484</v>
      </c>
      <c r="C1605" t="s">
        <v>108</v>
      </c>
      <c r="D1605">
        <v>40</v>
      </c>
      <c r="E1605" t="s">
        <v>34</v>
      </c>
      <c r="F1605" t="s">
        <v>41</v>
      </c>
      <c r="G1605" t="s">
        <v>72</v>
      </c>
      <c r="H1605">
        <v>32512</v>
      </c>
      <c r="I1605">
        <v>0</v>
      </c>
      <c r="J1605">
        <v>0</v>
      </c>
      <c r="K1605">
        <v>0</v>
      </c>
      <c r="L1605">
        <v>1</v>
      </c>
      <c r="M1605" t="s">
        <v>115</v>
      </c>
      <c r="N1605" t="s">
        <v>73</v>
      </c>
      <c r="O1605" t="s">
        <v>75</v>
      </c>
      <c r="P1605" t="s">
        <v>442</v>
      </c>
      <c r="Q1605" t="s">
        <v>65</v>
      </c>
      <c r="R1605" t="s">
        <v>48</v>
      </c>
      <c r="S1605" t="s">
        <v>46</v>
      </c>
      <c r="T1605">
        <v>0</v>
      </c>
      <c r="U1605">
        <v>1</v>
      </c>
      <c r="V1605">
        <v>1</v>
      </c>
      <c r="W1605">
        <v>0</v>
      </c>
      <c r="X1605">
        <v>1</v>
      </c>
      <c r="Y1605">
        <v>0</v>
      </c>
      <c r="Z1605">
        <v>1</v>
      </c>
      <c r="AA1605">
        <v>0</v>
      </c>
      <c r="AB1605">
        <v>0</v>
      </c>
      <c r="AC1605">
        <v>0</v>
      </c>
      <c r="AD1605">
        <v>0</v>
      </c>
      <c r="AE1605">
        <v>0</v>
      </c>
      <c r="AF1605">
        <v>0</v>
      </c>
      <c r="AG1605">
        <v>1</v>
      </c>
    </row>
    <row r="1606" spans="1:33" hidden="1" x14ac:dyDescent="0.2">
      <c r="A1606">
        <v>1605</v>
      </c>
      <c r="B1606" t="s">
        <v>484</v>
      </c>
      <c r="C1606" t="s">
        <v>108</v>
      </c>
      <c r="D1606">
        <v>40</v>
      </c>
      <c r="E1606" t="s">
        <v>34</v>
      </c>
      <c r="F1606" t="s">
        <v>53</v>
      </c>
      <c r="G1606" t="s">
        <v>71</v>
      </c>
      <c r="H1606">
        <v>34543</v>
      </c>
      <c r="I1606">
        <v>0</v>
      </c>
      <c r="J1606">
        <v>0</v>
      </c>
      <c r="K1606">
        <v>0</v>
      </c>
      <c r="L1606">
        <v>1</v>
      </c>
      <c r="M1606" t="s">
        <v>36</v>
      </c>
      <c r="N1606" t="s">
        <v>36</v>
      </c>
      <c r="O1606" t="s">
        <v>36</v>
      </c>
      <c r="P1606" t="s">
        <v>442</v>
      </c>
      <c r="Q1606" t="s">
        <v>36</v>
      </c>
      <c r="R1606" t="s">
        <v>36</v>
      </c>
      <c r="S1606" t="s">
        <v>36</v>
      </c>
      <c r="T1606" t="s">
        <v>36</v>
      </c>
      <c r="U1606">
        <v>1</v>
      </c>
      <c r="V1606">
        <v>1</v>
      </c>
      <c r="W1606">
        <v>0</v>
      </c>
      <c r="X1606">
        <v>1</v>
      </c>
      <c r="Y1606">
        <v>0</v>
      </c>
      <c r="Z1606">
        <v>1</v>
      </c>
      <c r="AA1606">
        <v>0</v>
      </c>
      <c r="AB1606">
        <v>0</v>
      </c>
      <c r="AC1606">
        <v>0</v>
      </c>
      <c r="AD1606">
        <v>0</v>
      </c>
      <c r="AE1606">
        <v>0</v>
      </c>
      <c r="AF1606">
        <v>0</v>
      </c>
      <c r="AG1606">
        <v>1</v>
      </c>
    </row>
    <row r="1607" spans="1:33" x14ac:dyDescent="0.2">
      <c r="A1607">
        <v>1606</v>
      </c>
      <c r="B1607" t="s">
        <v>484</v>
      </c>
      <c r="C1607" t="s">
        <v>108</v>
      </c>
      <c r="D1607">
        <v>40</v>
      </c>
      <c r="E1607" t="s">
        <v>34</v>
      </c>
      <c r="F1607" t="s">
        <v>41</v>
      </c>
      <c r="G1607" t="s">
        <v>67</v>
      </c>
      <c r="H1607">
        <v>12931</v>
      </c>
      <c r="I1607">
        <v>1</v>
      </c>
      <c r="J1607">
        <v>1</v>
      </c>
      <c r="K1607">
        <v>1</v>
      </c>
      <c r="L1607">
        <v>0</v>
      </c>
      <c r="M1607" t="s">
        <v>86</v>
      </c>
      <c r="N1607" t="s">
        <v>69</v>
      </c>
      <c r="O1607" t="s">
        <v>70</v>
      </c>
      <c r="P1607" t="s">
        <v>442</v>
      </c>
      <c r="Q1607" t="s">
        <v>46</v>
      </c>
      <c r="R1607" t="s">
        <v>48</v>
      </c>
      <c r="S1607" t="s">
        <v>47</v>
      </c>
      <c r="T1607">
        <v>0</v>
      </c>
      <c r="U1607">
        <v>0</v>
      </c>
      <c r="V1607">
        <v>1</v>
      </c>
      <c r="W1607">
        <v>1</v>
      </c>
      <c r="X1607">
        <v>1</v>
      </c>
      <c r="Y1607">
        <v>0</v>
      </c>
      <c r="Z1607">
        <v>1</v>
      </c>
      <c r="AA1607">
        <v>0</v>
      </c>
      <c r="AB1607">
        <v>0</v>
      </c>
      <c r="AC1607">
        <v>1</v>
      </c>
      <c r="AD1607">
        <v>1</v>
      </c>
      <c r="AE1607">
        <v>1</v>
      </c>
      <c r="AF1607">
        <v>0</v>
      </c>
      <c r="AG1607">
        <v>0</v>
      </c>
    </row>
    <row r="1608" spans="1:33" hidden="1" x14ac:dyDescent="0.2">
      <c r="A1608">
        <v>1607</v>
      </c>
      <c r="B1608" t="s">
        <v>484</v>
      </c>
      <c r="C1608" t="s">
        <v>108</v>
      </c>
      <c r="D1608">
        <v>40</v>
      </c>
      <c r="E1608" t="s">
        <v>34</v>
      </c>
      <c r="F1608" t="s">
        <v>53</v>
      </c>
      <c r="G1608" t="s">
        <v>66</v>
      </c>
      <c r="H1608">
        <v>23106</v>
      </c>
      <c r="I1608">
        <v>1</v>
      </c>
      <c r="J1608">
        <v>1</v>
      </c>
      <c r="K1608">
        <v>0</v>
      </c>
      <c r="L1608">
        <v>0</v>
      </c>
      <c r="M1608" t="s">
        <v>36</v>
      </c>
      <c r="N1608" t="s">
        <v>36</v>
      </c>
      <c r="O1608" t="s">
        <v>36</v>
      </c>
      <c r="P1608" t="s">
        <v>442</v>
      </c>
      <c r="Q1608" t="s">
        <v>36</v>
      </c>
      <c r="R1608" t="s">
        <v>36</v>
      </c>
      <c r="S1608" t="s">
        <v>36</v>
      </c>
      <c r="T1608" t="s">
        <v>36</v>
      </c>
      <c r="U1608">
        <v>0</v>
      </c>
      <c r="V1608">
        <v>1</v>
      </c>
      <c r="W1608">
        <v>1</v>
      </c>
      <c r="X1608">
        <v>1</v>
      </c>
      <c r="Y1608">
        <v>0</v>
      </c>
      <c r="Z1608">
        <v>1</v>
      </c>
      <c r="AA1608">
        <v>0</v>
      </c>
      <c r="AB1608">
        <v>0</v>
      </c>
      <c r="AC1608">
        <v>1</v>
      </c>
      <c r="AD1608">
        <v>1</v>
      </c>
      <c r="AE1608">
        <v>1</v>
      </c>
      <c r="AF1608">
        <v>0</v>
      </c>
      <c r="AG1608">
        <v>0</v>
      </c>
    </row>
    <row r="1609" spans="1:33" x14ac:dyDescent="0.2">
      <c r="A1609">
        <v>1608</v>
      </c>
      <c r="B1609" t="s">
        <v>484</v>
      </c>
      <c r="C1609" t="s">
        <v>108</v>
      </c>
      <c r="D1609">
        <v>40</v>
      </c>
      <c r="E1609" t="s">
        <v>34</v>
      </c>
      <c r="F1609" t="s">
        <v>41</v>
      </c>
      <c r="G1609" t="s">
        <v>61</v>
      </c>
      <c r="H1609">
        <v>12036</v>
      </c>
      <c r="I1609">
        <v>1</v>
      </c>
      <c r="J1609">
        <v>1</v>
      </c>
      <c r="K1609">
        <v>1</v>
      </c>
      <c r="L1609">
        <v>0</v>
      </c>
      <c r="M1609" t="s">
        <v>63</v>
      </c>
      <c r="N1609" t="s">
        <v>87</v>
      </c>
      <c r="O1609" t="s">
        <v>125</v>
      </c>
      <c r="P1609" t="s">
        <v>442</v>
      </c>
      <c r="Q1609" t="s">
        <v>46</v>
      </c>
      <c r="R1609" t="s">
        <v>47</v>
      </c>
      <c r="S1609" t="s">
        <v>60</v>
      </c>
      <c r="T1609">
        <v>1</v>
      </c>
      <c r="U1609">
        <v>0</v>
      </c>
      <c r="V1609">
        <v>0</v>
      </c>
      <c r="W1609">
        <v>1</v>
      </c>
      <c r="X1609">
        <v>1</v>
      </c>
      <c r="Y1609">
        <v>0</v>
      </c>
      <c r="Z1609">
        <v>1</v>
      </c>
      <c r="AA1609">
        <v>1</v>
      </c>
      <c r="AB1609">
        <v>0</v>
      </c>
      <c r="AC1609">
        <v>0</v>
      </c>
      <c r="AD1609">
        <v>1</v>
      </c>
      <c r="AE1609">
        <v>1</v>
      </c>
      <c r="AF1609">
        <v>0</v>
      </c>
      <c r="AG1609">
        <v>0</v>
      </c>
    </row>
    <row r="1610" spans="1:33" hidden="1" x14ac:dyDescent="0.2">
      <c r="A1610">
        <v>1609</v>
      </c>
      <c r="B1610" t="s">
        <v>484</v>
      </c>
      <c r="C1610" t="s">
        <v>108</v>
      </c>
      <c r="D1610">
        <v>40</v>
      </c>
      <c r="E1610" t="s">
        <v>34</v>
      </c>
      <c r="F1610" t="s">
        <v>53</v>
      </c>
      <c r="G1610" t="s">
        <v>54</v>
      </c>
      <c r="H1610">
        <v>26698</v>
      </c>
      <c r="I1610">
        <v>1</v>
      </c>
      <c r="J1610">
        <v>0</v>
      </c>
      <c r="K1610">
        <v>1</v>
      </c>
      <c r="L1610">
        <v>0</v>
      </c>
      <c r="M1610" t="s">
        <v>36</v>
      </c>
      <c r="N1610" t="s">
        <v>36</v>
      </c>
      <c r="O1610" t="s">
        <v>36</v>
      </c>
      <c r="P1610" t="s">
        <v>442</v>
      </c>
      <c r="Q1610" t="s">
        <v>36</v>
      </c>
      <c r="R1610" t="s">
        <v>36</v>
      </c>
      <c r="S1610" t="s">
        <v>36</v>
      </c>
      <c r="T1610" t="s">
        <v>36</v>
      </c>
      <c r="U1610">
        <v>0</v>
      </c>
      <c r="V1610">
        <v>0</v>
      </c>
      <c r="W1610">
        <v>1</v>
      </c>
      <c r="X1610">
        <v>1</v>
      </c>
      <c r="Y1610">
        <v>0</v>
      </c>
      <c r="Z1610">
        <v>1</v>
      </c>
      <c r="AA1610">
        <v>1</v>
      </c>
      <c r="AB1610">
        <v>0</v>
      </c>
      <c r="AC1610">
        <v>0</v>
      </c>
      <c r="AD1610">
        <v>1</v>
      </c>
      <c r="AE1610">
        <v>1</v>
      </c>
      <c r="AF1610">
        <v>0</v>
      </c>
      <c r="AG1610">
        <v>0</v>
      </c>
    </row>
    <row r="1611" spans="1:33" hidden="1" x14ac:dyDescent="0.2">
      <c r="A1611">
        <v>1610</v>
      </c>
      <c r="B1611" t="s">
        <v>484</v>
      </c>
      <c r="C1611" t="s">
        <v>108</v>
      </c>
      <c r="D1611">
        <v>40</v>
      </c>
      <c r="E1611" t="s">
        <v>34</v>
      </c>
      <c r="F1611" t="s">
        <v>77</v>
      </c>
      <c r="G1611" t="s">
        <v>36</v>
      </c>
      <c r="H1611">
        <v>81076</v>
      </c>
      <c r="I1611" t="s">
        <v>485</v>
      </c>
      <c r="J1611" t="s">
        <v>486</v>
      </c>
      <c r="K1611" t="s">
        <v>487</v>
      </c>
      <c r="L1611" t="s">
        <v>36</v>
      </c>
      <c r="M1611" t="s">
        <v>36</v>
      </c>
      <c r="N1611" t="s">
        <v>36</v>
      </c>
      <c r="O1611" t="s">
        <v>36</v>
      </c>
      <c r="P1611" t="s">
        <v>442</v>
      </c>
      <c r="Q1611" t="s">
        <v>36</v>
      </c>
      <c r="R1611" t="s">
        <v>36</v>
      </c>
      <c r="S1611" t="s">
        <v>36</v>
      </c>
      <c r="T1611" t="s">
        <v>36</v>
      </c>
      <c r="U1611" t="s">
        <v>36</v>
      </c>
      <c r="V1611" t="s">
        <v>36</v>
      </c>
      <c r="W1611" t="s">
        <v>36</v>
      </c>
      <c r="X1611" t="s">
        <v>36</v>
      </c>
      <c r="Y1611" t="s">
        <v>36</v>
      </c>
      <c r="Z1611" t="s">
        <v>36</v>
      </c>
      <c r="AA1611" t="s">
        <v>36</v>
      </c>
      <c r="AB1611" t="s">
        <v>36</v>
      </c>
      <c r="AC1611" t="s">
        <v>36</v>
      </c>
      <c r="AD1611" t="s">
        <v>36</v>
      </c>
      <c r="AE1611" t="s">
        <v>36</v>
      </c>
      <c r="AF1611" t="s">
        <v>36</v>
      </c>
      <c r="AG1611" t="s">
        <v>36</v>
      </c>
    </row>
    <row r="1612" spans="1:33" hidden="1" x14ac:dyDescent="0.2">
      <c r="A1612">
        <v>1611</v>
      </c>
      <c r="B1612" t="s">
        <v>488</v>
      </c>
      <c r="C1612" t="s">
        <v>108</v>
      </c>
      <c r="D1612">
        <v>28</v>
      </c>
      <c r="E1612" t="s">
        <v>114</v>
      </c>
      <c r="F1612" t="s">
        <v>35</v>
      </c>
      <c r="G1612" t="s">
        <v>36</v>
      </c>
      <c r="H1612">
        <v>19758</v>
      </c>
      <c r="I1612" t="s">
        <v>36</v>
      </c>
      <c r="J1612" t="s">
        <v>36</v>
      </c>
      <c r="K1612" t="s">
        <v>36</v>
      </c>
      <c r="L1612" t="s">
        <v>36</v>
      </c>
      <c r="M1612" t="s">
        <v>36</v>
      </c>
      <c r="N1612" t="s">
        <v>36</v>
      </c>
      <c r="O1612" t="s">
        <v>36</v>
      </c>
      <c r="P1612" t="s">
        <v>442</v>
      </c>
      <c r="Q1612" t="s">
        <v>36</v>
      </c>
      <c r="R1612" t="s">
        <v>36</v>
      </c>
      <c r="S1612" t="s">
        <v>36</v>
      </c>
      <c r="T1612" t="s">
        <v>36</v>
      </c>
      <c r="U1612" t="s">
        <v>36</v>
      </c>
      <c r="V1612" t="s">
        <v>36</v>
      </c>
      <c r="W1612" t="s">
        <v>36</v>
      </c>
      <c r="X1612" t="s">
        <v>36</v>
      </c>
      <c r="Y1612" t="s">
        <v>36</v>
      </c>
      <c r="Z1612" t="s">
        <v>36</v>
      </c>
      <c r="AA1612" t="s">
        <v>36</v>
      </c>
      <c r="AB1612" t="s">
        <v>36</v>
      </c>
      <c r="AC1612" t="s">
        <v>36</v>
      </c>
      <c r="AD1612" t="s">
        <v>36</v>
      </c>
      <c r="AE1612" t="s">
        <v>36</v>
      </c>
      <c r="AF1612" t="s">
        <v>36</v>
      </c>
      <c r="AG1612" t="s">
        <v>36</v>
      </c>
    </row>
    <row r="1613" spans="1:33" hidden="1" x14ac:dyDescent="0.2">
      <c r="A1613">
        <v>1612</v>
      </c>
      <c r="B1613" t="s">
        <v>488</v>
      </c>
      <c r="C1613" t="s">
        <v>108</v>
      </c>
      <c r="D1613">
        <v>28</v>
      </c>
      <c r="E1613" t="s">
        <v>114</v>
      </c>
      <c r="F1613" t="s">
        <v>38</v>
      </c>
      <c r="G1613" t="s">
        <v>40</v>
      </c>
      <c r="H1613">
        <v>95862</v>
      </c>
      <c r="I1613">
        <v>0</v>
      </c>
      <c r="J1613">
        <v>1</v>
      </c>
      <c r="K1613">
        <v>1</v>
      </c>
      <c r="L1613">
        <v>0</v>
      </c>
      <c r="M1613" t="s">
        <v>36</v>
      </c>
      <c r="N1613" t="s">
        <v>36</v>
      </c>
      <c r="O1613" t="s">
        <v>36</v>
      </c>
      <c r="P1613" t="s">
        <v>442</v>
      </c>
      <c r="Q1613" t="s">
        <v>36</v>
      </c>
      <c r="R1613" t="s">
        <v>36</v>
      </c>
      <c r="S1613" t="s">
        <v>36</v>
      </c>
      <c r="T1613" t="s">
        <v>36</v>
      </c>
      <c r="U1613" t="s">
        <v>36</v>
      </c>
      <c r="V1613" t="s">
        <v>36</v>
      </c>
      <c r="W1613" t="s">
        <v>36</v>
      </c>
      <c r="X1613" t="s">
        <v>36</v>
      </c>
      <c r="Y1613" t="s">
        <v>36</v>
      </c>
      <c r="Z1613" t="s">
        <v>36</v>
      </c>
      <c r="AA1613" t="s">
        <v>36</v>
      </c>
      <c r="AB1613" t="s">
        <v>36</v>
      </c>
      <c r="AC1613" t="s">
        <v>36</v>
      </c>
      <c r="AD1613" t="s">
        <v>36</v>
      </c>
      <c r="AE1613" t="s">
        <v>36</v>
      </c>
      <c r="AF1613" t="s">
        <v>36</v>
      </c>
      <c r="AG1613" t="s">
        <v>36</v>
      </c>
    </row>
    <row r="1614" spans="1:33" hidden="1" x14ac:dyDescent="0.2">
      <c r="A1614">
        <v>1613</v>
      </c>
      <c r="B1614" t="s">
        <v>488</v>
      </c>
      <c r="C1614" t="s">
        <v>108</v>
      </c>
      <c r="D1614">
        <v>28</v>
      </c>
      <c r="E1614" t="s">
        <v>114</v>
      </c>
      <c r="F1614" t="s">
        <v>38</v>
      </c>
      <c r="G1614" t="s">
        <v>39</v>
      </c>
      <c r="H1614">
        <v>25242</v>
      </c>
      <c r="I1614">
        <v>0</v>
      </c>
      <c r="J1614">
        <v>0</v>
      </c>
      <c r="K1614">
        <v>0</v>
      </c>
      <c r="L1614">
        <v>1</v>
      </c>
      <c r="M1614" t="s">
        <v>36</v>
      </c>
      <c r="N1614" t="s">
        <v>36</v>
      </c>
      <c r="O1614" t="s">
        <v>36</v>
      </c>
      <c r="P1614" t="s">
        <v>442</v>
      </c>
      <c r="Q1614" t="s">
        <v>36</v>
      </c>
      <c r="R1614" t="s">
        <v>36</v>
      </c>
      <c r="S1614" t="s">
        <v>36</v>
      </c>
      <c r="T1614" t="s">
        <v>36</v>
      </c>
      <c r="U1614" t="s">
        <v>36</v>
      </c>
      <c r="V1614" t="s">
        <v>36</v>
      </c>
      <c r="W1614" t="s">
        <v>36</v>
      </c>
      <c r="X1614" t="s">
        <v>36</v>
      </c>
      <c r="Y1614" t="s">
        <v>36</v>
      </c>
      <c r="Z1614" t="s">
        <v>36</v>
      </c>
      <c r="AA1614" t="s">
        <v>36</v>
      </c>
      <c r="AB1614" t="s">
        <v>36</v>
      </c>
      <c r="AC1614" t="s">
        <v>36</v>
      </c>
      <c r="AD1614" t="s">
        <v>36</v>
      </c>
      <c r="AE1614" t="s">
        <v>36</v>
      </c>
      <c r="AF1614" t="s">
        <v>36</v>
      </c>
      <c r="AG1614" t="s">
        <v>36</v>
      </c>
    </row>
    <row r="1615" spans="1:33" x14ac:dyDescent="0.2">
      <c r="A1615">
        <v>1614</v>
      </c>
      <c r="B1615" t="s">
        <v>488</v>
      </c>
      <c r="C1615" t="s">
        <v>108</v>
      </c>
      <c r="D1615">
        <v>28</v>
      </c>
      <c r="E1615" t="s">
        <v>114</v>
      </c>
      <c r="F1615" t="s">
        <v>41</v>
      </c>
      <c r="G1615" t="s">
        <v>72</v>
      </c>
      <c r="H1615">
        <v>56570</v>
      </c>
      <c r="I1615">
        <v>0</v>
      </c>
      <c r="J1615">
        <v>0</v>
      </c>
      <c r="K1615">
        <v>1</v>
      </c>
      <c r="L1615">
        <v>0</v>
      </c>
      <c r="M1615" t="s">
        <v>74</v>
      </c>
      <c r="N1615" t="s">
        <v>73</v>
      </c>
      <c r="O1615" t="s">
        <v>104</v>
      </c>
      <c r="P1615" t="s">
        <v>442</v>
      </c>
      <c r="Q1615" t="s">
        <v>47</v>
      </c>
      <c r="R1615" t="s">
        <v>48</v>
      </c>
      <c r="S1615" t="s">
        <v>60</v>
      </c>
      <c r="T1615">
        <v>1</v>
      </c>
      <c r="U1615">
        <v>0</v>
      </c>
      <c r="V1615">
        <v>1</v>
      </c>
      <c r="W1615">
        <v>1</v>
      </c>
      <c r="X1615">
        <v>0</v>
      </c>
      <c r="Y1615">
        <v>0</v>
      </c>
      <c r="Z1615">
        <v>1</v>
      </c>
      <c r="AA1615">
        <v>1</v>
      </c>
      <c r="AB1615">
        <v>0</v>
      </c>
      <c r="AC1615">
        <v>0</v>
      </c>
      <c r="AD1615">
        <v>0</v>
      </c>
      <c r="AE1615">
        <v>0</v>
      </c>
      <c r="AF1615">
        <v>0</v>
      </c>
      <c r="AG1615">
        <v>0</v>
      </c>
    </row>
    <row r="1616" spans="1:33" x14ac:dyDescent="0.2">
      <c r="A1616">
        <v>1615</v>
      </c>
      <c r="B1616" t="s">
        <v>488</v>
      </c>
      <c r="C1616" t="s">
        <v>108</v>
      </c>
      <c r="D1616">
        <v>28</v>
      </c>
      <c r="E1616" t="s">
        <v>114</v>
      </c>
      <c r="F1616" t="s">
        <v>41</v>
      </c>
      <c r="G1616" t="s">
        <v>55</v>
      </c>
      <c r="H1616">
        <v>43883</v>
      </c>
      <c r="I1616">
        <v>1</v>
      </c>
      <c r="J1616">
        <v>0</v>
      </c>
      <c r="K1616">
        <v>0</v>
      </c>
      <c r="L1616">
        <v>0</v>
      </c>
      <c r="M1616" t="s">
        <v>58</v>
      </c>
      <c r="N1616" t="s">
        <v>84</v>
      </c>
      <c r="O1616" t="s">
        <v>94</v>
      </c>
      <c r="P1616" t="s">
        <v>442</v>
      </c>
      <c r="Q1616" t="s">
        <v>60</v>
      </c>
      <c r="R1616" t="s">
        <v>46</v>
      </c>
      <c r="S1616" t="s">
        <v>47</v>
      </c>
      <c r="T1616">
        <v>1</v>
      </c>
      <c r="U1616">
        <v>0</v>
      </c>
      <c r="V1616">
        <v>0</v>
      </c>
      <c r="W1616">
        <v>1</v>
      </c>
      <c r="X1616">
        <v>1</v>
      </c>
      <c r="Y1616">
        <v>0</v>
      </c>
      <c r="Z1616">
        <v>1</v>
      </c>
      <c r="AA1616">
        <v>1</v>
      </c>
      <c r="AB1616">
        <v>0</v>
      </c>
      <c r="AC1616">
        <v>0</v>
      </c>
      <c r="AD1616">
        <v>0</v>
      </c>
      <c r="AE1616">
        <v>0</v>
      </c>
      <c r="AF1616">
        <v>0</v>
      </c>
      <c r="AG1616">
        <v>0</v>
      </c>
    </row>
    <row r="1617" spans="1:33" hidden="1" x14ac:dyDescent="0.2">
      <c r="A1617">
        <v>1616</v>
      </c>
      <c r="B1617" t="s">
        <v>488</v>
      </c>
      <c r="C1617" t="s">
        <v>108</v>
      </c>
      <c r="D1617">
        <v>28</v>
      </c>
      <c r="E1617" t="s">
        <v>114</v>
      </c>
      <c r="F1617" t="s">
        <v>53</v>
      </c>
      <c r="G1617" t="s">
        <v>71</v>
      </c>
      <c r="H1617">
        <v>24028</v>
      </c>
      <c r="I1617">
        <v>0</v>
      </c>
      <c r="J1617">
        <v>0</v>
      </c>
      <c r="K1617">
        <v>0</v>
      </c>
      <c r="L1617">
        <v>1</v>
      </c>
      <c r="M1617" t="s">
        <v>36</v>
      </c>
      <c r="N1617" t="s">
        <v>36</v>
      </c>
      <c r="O1617" t="s">
        <v>36</v>
      </c>
      <c r="P1617" t="s">
        <v>442</v>
      </c>
      <c r="Q1617" t="s">
        <v>36</v>
      </c>
      <c r="R1617" t="s">
        <v>36</v>
      </c>
      <c r="S1617" t="s">
        <v>36</v>
      </c>
      <c r="T1617" t="s">
        <v>36</v>
      </c>
      <c r="U1617">
        <v>0</v>
      </c>
      <c r="V1617">
        <v>0</v>
      </c>
      <c r="W1617">
        <v>1</v>
      </c>
      <c r="X1617">
        <v>1</v>
      </c>
      <c r="Y1617">
        <v>0</v>
      </c>
      <c r="Z1617">
        <v>1</v>
      </c>
      <c r="AA1617">
        <v>1</v>
      </c>
      <c r="AB1617">
        <v>0</v>
      </c>
      <c r="AC1617">
        <v>0</v>
      </c>
      <c r="AD1617">
        <v>0</v>
      </c>
      <c r="AE1617">
        <v>0</v>
      </c>
      <c r="AF1617">
        <v>0</v>
      </c>
      <c r="AG1617">
        <v>0</v>
      </c>
    </row>
    <row r="1618" spans="1:33" x14ac:dyDescent="0.2">
      <c r="A1618">
        <v>1617</v>
      </c>
      <c r="B1618" t="s">
        <v>488</v>
      </c>
      <c r="C1618" t="s">
        <v>108</v>
      </c>
      <c r="D1618">
        <v>28</v>
      </c>
      <c r="E1618" t="s">
        <v>114</v>
      </c>
      <c r="F1618" t="s">
        <v>41</v>
      </c>
      <c r="G1618" t="s">
        <v>61</v>
      </c>
      <c r="H1618">
        <v>32979</v>
      </c>
      <c r="I1618">
        <v>0</v>
      </c>
      <c r="J1618">
        <v>0</v>
      </c>
      <c r="K1618">
        <v>1</v>
      </c>
      <c r="L1618">
        <v>0</v>
      </c>
      <c r="M1618" t="s">
        <v>64</v>
      </c>
      <c r="N1618" t="s">
        <v>97</v>
      </c>
      <c r="O1618" t="s">
        <v>63</v>
      </c>
      <c r="P1618" t="s">
        <v>442</v>
      </c>
      <c r="Q1618" t="s">
        <v>48</v>
      </c>
      <c r="R1618" t="s">
        <v>59</v>
      </c>
      <c r="S1618" t="s">
        <v>46</v>
      </c>
      <c r="T1618">
        <v>0</v>
      </c>
      <c r="U1618">
        <v>0</v>
      </c>
      <c r="V1618">
        <v>1</v>
      </c>
      <c r="W1618">
        <v>0</v>
      </c>
      <c r="X1618">
        <v>1</v>
      </c>
      <c r="Y1618">
        <v>0</v>
      </c>
      <c r="Z1618">
        <v>1</v>
      </c>
      <c r="AA1618">
        <v>0</v>
      </c>
      <c r="AB1618">
        <v>0</v>
      </c>
      <c r="AC1618">
        <v>0</v>
      </c>
      <c r="AD1618">
        <v>0</v>
      </c>
      <c r="AE1618">
        <v>1</v>
      </c>
      <c r="AF1618">
        <v>0</v>
      </c>
      <c r="AG1618">
        <v>0</v>
      </c>
    </row>
    <row r="1619" spans="1:33" hidden="1" x14ac:dyDescent="0.2">
      <c r="A1619">
        <v>1618</v>
      </c>
      <c r="B1619" t="s">
        <v>488</v>
      </c>
      <c r="C1619" t="s">
        <v>108</v>
      </c>
      <c r="D1619">
        <v>28</v>
      </c>
      <c r="E1619" t="s">
        <v>114</v>
      </c>
      <c r="F1619" t="s">
        <v>53</v>
      </c>
      <c r="G1619" t="s">
        <v>66</v>
      </c>
      <c r="H1619">
        <v>12773</v>
      </c>
      <c r="I1619">
        <v>0</v>
      </c>
      <c r="J1619">
        <v>1</v>
      </c>
      <c r="K1619">
        <v>0</v>
      </c>
      <c r="L1619">
        <v>0</v>
      </c>
      <c r="M1619" t="s">
        <v>36</v>
      </c>
      <c r="N1619" t="s">
        <v>36</v>
      </c>
      <c r="O1619" t="s">
        <v>36</v>
      </c>
      <c r="P1619" t="s">
        <v>442</v>
      </c>
      <c r="Q1619" t="s">
        <v>36</v>
      </c>
      <c r="R1619" t="s">
        <v>36</v>
      </c>
      <c r="S1619" t="s">
        <v>36</v>
      </c>
      <c r="T1619" t="s">
        <v>36</v>
      </c>
      <c r="U1619">
        <v>0</v>
      </c>
      <c r="V1619">
        <v>1</v>
      </c>
      <c r="W1619">
        <v>0</v>
      </c>
      <c r="X1619">
        <v>1</v>
      </c>
      <c r="Y1619">
        <v>0</v>
      </c>
      <c r="Z1619">
        <v>1</v>
      </c>
      <c r="AA1619">
        <v>0</v>
      </c>
      <c r="AB1619">
        <v>0</v>
      </c>
      <c r="AC1619">
        <v>0</v>
      </c>
      <c r="AD1619">
        <v>0</v>
      </c>
      <c r="AE1619">
        <v>1</v>
      </c>
      <c r="AF1619">
        <v>0</v>
      </c>
      <c r="AG1619">
        <v>0</v>
      </c>
    </row>
    <row r="1620" spans="1:33" x14ac:dyDescent="0.2">
      <c r="A1620">
        <v>1619</v>
      </c>
      <c r="B1620" t="s">
        <v>488</v>
      </c>
      <c r="C1620" t="s">
        <v>108</v>
      </c>
      <c r="D1620">
        <v>28</v>
      </c>
      <c r="E1620" t="s">
        <v>114</v>
      </c>
      <c r="F1620" t="s">
        <v>41</v>
      </c>
      <c r="G1620" t="s">
        <v>49</v>
      </c>
      <c r="H1620">
        <v>8328</v>
      </c>
      <c r="I1620">
        <v>1</v>
      </c>
      <c r="J1620">
        <v>0</v>
      </c>
      <c r="K1620">
        <v>0</v>
      </c>
      <c r="L1620">
        <v>0</v>
      </c>
      <c r="M1620" t="s">
        <v>83</v>
      </c>
      <c r="N1620" t="s">
        <v>50</v>
      </c>
      <c r="O1620" t="s">
        <v>96</v>
      </c>
      <c r="P1620" t="s">
        <v>442</v>
      </c>
      <c r="Q1620" t="s">
        <v>59</v>
      </c>
      <c r="R1620" t="s">
        <v>48</v>
      </c>
      <c r="S1620" t="s">
        <v>65</v>
      </c>
      <c r="T1620">
        <v>0</v>
      </c>
      <c r="U1620">
        <v>1</v>
      </c>
      <c r="V1620">
        <v>1</v>
      </c>
      <c r="W1620">
        <v>0</v>
      </c>
      <c r="X1620">
        <v>0</v>
      </c>
      <c r="Y1620">
        <v>0</v>
      </c>
      <c r="Z1620">
        <v>1</v>
      </c>
      <c r="AA1620">
        <v>0</v>
      </c>
      <c r="AB1620">
        <v>0</v>
      </c>
      <c r="AC1620">
        <v>0</v>
      </c>
      <c r="AD1620">
        <v>0</v>
      </c>
      <c r="AE1620">
        <v>0</v>
      </c>
      <c r="AF1620">
        <v>0</v>
      </c>
      <c r="AG1620">
        <v>0</v>
      </c>
    </row>
    <row r="1621" spans="1:33" x14ac:dyDescent="0.2">
      <c r="A1621">
        <v>1620</v>
      </c>
      <c r="B1621" t="s">
        <v>488</v>
      </c>
      <c r="C1621" t="s">
        <v>108</v>
      </c>
      <c r="D1621">
        <v>28</v>
      </c>
      <c r="E1621" t="s">
        <v>114</v>
      </c>
      <c r="F1621" t="s">
        <v>41</v>
      </c>
      <c r="G1621" t="s">
        <v>42</v>
      </c>
      <c r="H1621">
        <v>23546</v>
      </c>
      <c r="I1621">
        <v>1</v>
      </c>
      <c r="J1621">
        <v>1</v>
      </c>
      <c r="K1621">
        <v>1</v>
      </c>
      <c r="L1621">
        <v>0</v>
      </c>
      <c r="M1621" t="s">
        <v>45</v>
      </c>
      <c r="N1621" t="s">
        <v>44</v>
      </c>
      <c r="O1621" t="s">
        <v>102</v>
      </c>
      <c r="P1621" t="s">
        <v>442</v>
      </c>
      <c r="Q1621" t="s">
        <v>48</v>
      </c>
      <c r="R1621" t="s">
        <v>47</v>
      </c>
      <c r="S1621" t="s">
        <v>59</v>
      </c>
      <c r="T1621">
        <v>0</v>
      </c>
      <c r="U1621">
        <v>0</v>
      </c>
      <c r="V1621">
        <v>1</v>
      </c>
      <c r="W1621">
        <v>1</v>
      </c>
      <c r="X1621">
        <v>0</v>
      </c>
      <c r="Y1621">
        <v>0</v>
      </c>
      <c r="Z1621">
        <v>1</v>
      </c>
      <c r="AA1621">
        <v>0</v>
      </c>
      <c r="AB1621">
        <v>0</v>
      </c>
      <c r="AC1621">
        <v>1</v>
      </c>
      <c r="AD1621">
        <v>1</v>
      </c>
      <c r="AE1621">
        <v>0</v>
      </c>
      <c r="AF1621">
        <v>0</v>
      </c>
      <c r="AG1621">
        <v>0</v>
      </c>
    </row>
    <row r="1622" spans="1:33" hidden="1" x14ac:dyDescent="0.2">
      <c r="A1622">
        <v>1621</v>
      </c>
      <c r="B1622" t="s">
        <v>488</v>
      </c>
      <c r="C1622" t="s">
        <v>108</v>
      </c>
      <c r="D1622">
        <v>28</v>
      </c>
      <c r="E1622" t="s">
        <v>114</v>
      </c>
      <c r="F1622" t="s">
        <v>53</v>
      </c>
      <c r="G1622" t="s">
        <v>54</v>
      </c>
      <c r="H1622">
        <v>8127</v>
      </c>
      <c r="I1622">
        <v>0</v>
      </c>
      <c r="J1622">
        <v>0</v>
      </c>
      <c r="K1622">
        <v>1</v>
      </c>
      <c r="L1622">
        <v>0</v>
      </c>
      <c r="M1622" t="s">
        <v>36</v>
      </c>
      <c r="N1622" t="s">
        <v>36</v>
      </c>
      <c r="O1622" t="s">
        <v>36</v>
      </c>
      <c r="P1622" t="s">
        <v>442</v>
      </c>
      <c r="Q1622" t="s">
        <v>36</v>
      </c>
      <c r="R1622" t="s">
        <v>36</v>
      </c>
      <c r="S1622" t="s">
        <v>36</v>
      </c>
      <c r="T1622" t="s">
        <v>36</v>
      </c>
      <c r="U1622">
        <v>0</v>
      </c>
      <c r="V1622">
        <v>1</v>
      </c>
      <c r="W1622">
        <v>1</v>
      </c>
      <c r="X1622">
        <v>0</v>
      </c>
      <c r="Y1622">
        <v>0</v>
      </c>
      <c r="Z1622">
        <v>1</v>
      </c>
      <c r="AA1622">
        <v>0</v>
      </c>
      <c r="AB1622">
        <v>0</v>
      </c>
      <c r="AC1622">
        <v>1</v>
      </c>
      <c r="AD1622">
        <v>1</v>
      </c>
      <c r="AE1622">
        <v>0</v>
      </c>
      <c r="AF1622">
        <v>0</v>
      </c>
      <c r="AG1622">
        <v>0</v>
      </c>
    </row>
    <row r="1623" spans="1:33" x14ac:dyDescent="0.2">
      <c r="A1623">
        <v>1622</v>
      </c>
      <c r="B1623" t="s">
        <v>488</v>
      </c>
      <c r="C1623" t="s">
        <v>108</v>
      </c>
      <c r="D1623">
        <v>28</v>
      </c>
      <c r="E1623" t="s">
        <v>114</v>
      </c>
      <c r="F1623" t="s">
        <v>41</v>
      </c>
      <c r="G1623" t="s">
        <v>67</v>
      </c>
      <c r="H1623">
        <v>8369</v>
      </c>
      <c r="I1623">
        <v>0</v>
      </c>
      <c r="J1623">
        <v>0</v>
      </c>
      <c r="K1623">
        <v>1</v>
      </c>
      <c r="L1623">
        <v>0</v>
      </c>
      <c r="M1623" t="s">
        <v>68</v>
      </c>
      <c r="N1623" t="s">
        <v>69</v>
      </c>
      <c r="O1623" t="s">
        <v>103</v>
      </c>
      <c r="P1623" t="s">
        <v>442</v>
      </c>
      <c r="Q1623" t="s">
        <v>65</v>
      </c>
      <c r="R1623" t="s">
        <v>48</v>
      </c>
      <c r="S1623" t="s">
        <v>60</v>
      </c>
      <c r="T1623">
        <v>1</v>
      </c>
      <c r="U1623">
        <v>1</v>
      </c>
      <c r="V1623">
        <v>1</v>
      </c>
      <c r="W1623">
        <v>0</v>
      </c>
      <c r="X1623">
        <v>0</v>
      </c>
      <c r="Y1623">
        <v>0</v>
      </c>
      <c r="Z1623">
        <v>1</v>
      </c>
      <c r="AA1623">
        <v>1</v>
      </c>
      <c r="AB1623">
        <v>0</v>
      </c>
      <c r="AC1623">
        <v>0</v>
      </c>
      <c r="AD1623">
        <v>0</v>
      </c>
      <c r="AE1623">
        <v>0</v>
      </c>
      <c r="AF1623">
        <v>0</v>
      </c>
      <c r="AG1623">
        <v>0</v>
      </c>
    </row>
    <row r="1624" spans="1:33" hidden="1" x14ac:dyDescent="0.2">
      <c r="A1624">
        <v>1623</v>
      </c>
      <c r="B1624" t="s">
        <v>488</v>
      </c>
      <c r="C1624" t="s">
        <v>108</v>
      </c>
      <c r="D1624">
        <v>28</v>
      </c>
      <c r="E1624" t="s">
        <v>114</v>
      </c>
      <c r="F1624" t="s">
        <v>53</v>
      </c>
      <c r="G1624" t="s">
        <v>76</v>
      </c>
      <c r="H1624">
        <v>12011</v>
      </c>
      <c r="I1624">
        <v>1</v>
      </c>
      <c r="J1624">
        <v>0</v>
      </c>
      <c r="K1624">
        <v>0</v>
      </c>
      <c r="L1624">
        <v>0</v>
      </c>
      <c r="M1624" t="s">
        <v>36</v>
      </c>
      <c r="N1624" t="s">
        <v>36</v>
      </c>
      <c r="O1624" t="s">
        <v>36</v>
      </c>
      <c r="P1624" t="s">
        <v>442</v>
      </c>
      <c r="Q1624" t="s">
        <v>36</v>
      </c>
      <c r="R1624" t="s">
        <v>36</v>
      </c>
      <c r="S1624" t="s">
        <v>36</v>
      </c>
      <c r="T1624" t="s">
        <v>36</v>
      </c>
      <c r="U1624">
        <v>1</v>
      </c>
      <c r="V1624">
        <v>1</v>
      </c>
      <c r="W1624">
        <v>0</v>
      </c>
      <c r="X1624">
        <v>0</v>
      </c>
      <c r="Y1624">
        <v>0</v>
      </c>
      <c r="Z1624">
        <v>1</v>
      </c>
      <c r="AA1624">
        <v>1</v>
      </c>
      <c r="AB1624">
        <v>0</v>
      </c>
      <c r="AC1624">
        <v>0</v>
      </c>
      <c r="AD1624">
        <v>0</v>
      </c>
      <c r="AE1624">
        <v>0</v>
      </c>
      <c r="AF1624">
        <v>0</v>
      </c>
      <c r="AG1624">
        <v>0</v>
      </c>
    </row>
    <row r="1625" spans="1:33" hidden="1" x14ac:dyDescent="0.2">
      <c r="A1625">
        <v>1624</v>
      </c>
      <c r="B1625" t="s">
        <v>488</v>
      </c>
      <c r="C1625" t="s">
        <v>108</v>
      </c>
      <c r="D1625">
        <v>28</v>
      </c>
      <c r="E1625" t="s">
        <v>114</v>
      </c>
      <c r="F1625" t="s">
        <v>77</v>
      </c>
      <c r="G1625" t="s">
        <v>36</v>
      </c>
      <c r="H1625">
        <v>74927</v>
      </c>
      <c r="I1625" t="s">
        <v>489</v>
      </c>
      <c r="J1625" t="s">
        <v>490</v>
      </c>
      <c r="K1625" t="s">
        <v>89</v>
      </c>
      <c r="L1625" t="s">
        <v>36</v>
      </c>
      <c r="M1625" t="s">
        <v>36</v>
      </c>
      <c r="N1625" t="s">
        <v>36</v>
      </c>
      <c r="O1625" t="s">
        <v>36</v>
      </c>
      <c r="P1625" t="s">
        <v>442</v>
      </c>
      <c r="Q1625" t="s">
        <v>36</v>
      </c>
      <c r="R1625" t="s">
        <v>36</v>
      </c>
      <c r="S1625" t="s">
        <v>36</v>
      </c>
      <c r="T1625" t="s">
        <v>36</v>
      </c>
      <c r="U1625" t="s">
        <v>36</v>
      </c>
      <c r="V1625" t="s">
        <v>36</v>
      </c>
      <c r="W1625" t="s">
        <v>36</v>
      </c>
      <c r="X1625" t="s">
        <v>36</v>
      </c>
      <c r="Y1625" t="s">
        <v>36</v>
      </c>
      <c r="Z1625" t="s">
        <v>36</v>
      </c>
      <c r="AA1625" t="s">
        <v>36</v>
      </c>
      <c r="AB1625" t="s">
        <v>36</v>
      </c>
      <c r="AC1625" t="s">
        <v>36</v>
      </c>
      <c r="AD1625" t="s">
        <v>36</v>
      </c>
      <c r="AE1625" t="s">
        <v>36</v>
      </c>
      <c r="AF1625" t="s">
        <v>36</v>
      </c>
      <c r="AG1625" t="s">
        <v>36</v>
      </c>
    </row>
    <row r="1626" spans="1:33" hidden="1" x14ac:dyDescent="0.2">
      <c r="A1626">
        <v>1625</v>
      </c>
      <c r="B1626" t="s">
        <v>491</v>
      </c>
      <c r="C1626" t="s">
        <v>33</v>
      </c>
      <c r="D1626">
        <v>30</v>
      </c>
      <c r="E1626" t="s">
        <v>34</v>
      </c>
      <c r="F1626" t="s">
        <v>35</v>
      </c>
      <c r="G1626" t="s">
        <v>36</v>
      </c>
      <c r="H1626">
        <v>65535</v>
      </c>
      <c r="I1626" t="s">
        <v>36</v>
      </c>
      <c r="J1626" t="s">
        <v>36</v>
      </c>
      <c r="K1626" t="s">
        <v>36</v>
      </c>
      <c r="L1626" t="s">
        <v>36</v>
      </c>
      <c r="M1626" t="s">
        <v>36</v>
      </c>
      <c r="N1626" t="s">
        <v>36</v>
      </c>
      <c r="O1626" t="s">
        <v>36</v>
      </c>
      <c r="P1626" t="s">
        <v>442</v>
      </c>
      <c r="Q1626" t="s">
        <v>36</v>
      </c>
      <c r="R1626" t="s">
        <v>36</v>
      </c>
      <c r="S1626" t="s">
        <v>36</v>
      </c>
      <c r="T1626" t="s">
        <v>36</v>
      </c>
      <c r="U1626" t="s">
        <v>36</v>
      </c>
      <c r="V1626" t="s">
        <v>36</v>
      </c>
      <c r="W1626" t="s">
        <v>36</v>
      </c>
      <c r="X1626" t="s">
        <v>36</v>
      </c>
      <c r="Y1626" t="s">
        <v>36</v>
      </c>
      <c r="Z1626" t="s">
        <v>36</v>
      </c>
      <c r="AA1626" t="s">
        <v>36</v>
      </c>
      <c r="AB1626" t="s">
        <v>36</v>
      </c>
      <c r="AC1626" t="s">
        <v>36</v>
      </c>
      <c r="AD1626" t="s">
        <v>36</v>
      </c>
      <c r="AE1626" t="s">
        <v>36</v>
      </c>
      <c r="AF1626" t="s">
        <v>36</v>
      </c>
      <c r="AG1626" t="s">
        <v>36</v>
      </c>
    </row>
    <row r="1627" spans="1:33" hidden="1" x14ac:dyDescent="0.2">
      <c r="A1627">
        <v>1626</v>
      </c>
      <c r="B1627" t="s">
        <v>491</v>
      </c>
      <c r="C1627" t="s">
        <v>33</v>
      </c>
      <c r="D1627">
        <v>30</v>
      </c>
      <c r="E1627" t="s">
        <v>34</v>
      </c>
      <c r="F1627" t="s">
        <v>38</v>
      </c>
      <c r="G1627" t="s">
        <v>39</v>
      </c>
      <c r="H1627">
        <v>45666</v>
      </c>
      <c r="I1627">
        <v>0</v>
      </c>
      <c r="J1627">
        <v>0</v>
      </c>
      <c r="K1627">
        <v>0</v>
      </c>
      <c r="L1627">
        <v>1</v>
      </c>
      <c r="M1627" t="s">
        <v>36</v>
      </c>
      <c r="N1627" t="s">
        <v>36</v>
      </c>
      <c r="O1627" t="s">
        <v>36</v>
      </c>
      <c r="P1627" t="s">
        <v>442</v>
      </c>
      <c r="Q1627" t="s">
        <v>36</v>
      </c>
      <c r="R1627" t="s">
        <v>36</v>
      </c>
      <c r="S1627" t="s">
        <v>36</v>
      </c>
      <c r="T1627" t="s">
        <v>36</v>
      </c>
      <c r="U1627" t="s">
        <v>36</v>
      </c>
      <c r="V1627" t="s">
        <v>36</v>
      </c>
      <c r="W1627" t="s">
        <v>36</v>
      </c>
      <c r="X1627" t="s">
        <v>36</v>
      </c>
      <c r="Y1627" t="s">
        <v>36</v>
      </c>
      <c r="Z1627" t="s">
        <v>36</v>
      </c>
      <c r="AA1627" t="s">
        <v>36</v>
      </c>
      <c r="AB1627" t="s">
        <v>36</v>
      </c>
      <c r="AC1627" t="s">
        <v>36</v>
      </c>
      <c r="AD1627" t="s">
        <v>36</v>
      </c>
      <c r="AE1627" t="s">
        <v>36</v>
      </c>
      <c r="AF1627" t="s">
        <v>36</v>
      </c>
      <c r="AG1627" t="s">
        <v>36</v>
      </c>
    </row>
    <row r="1628" spans="1:33" hidden="1" x14ac:dyDescent="0.2">
      <c r="A1628">
        <v>1627</v>
      </c>
      <c r="B1628" t="s">
        <v>491</v>
      </c>
      <c r="C1628" t="s">
        <v>33</v>
      </c>
      <c r="D1628">
        <v>30</v>
      </c>
      <c r="E1628" t="s">
        <v>34</v>
      </c>
      <c r="F1628" t="s">
        <v>38</v>
      </c>
      <c r="G1628" t="s">
        <v>40</v>
      </c>
      <c r="H1628">
        <v>83418</v>
      </c>
      <c r="I1628">
        <v>0</v>
      </c>
      <c r="J1628">
        <v>0</v>
      </c>
      <c r="K1628">
        <v>1</v>
      </c>
      <c r="L1628">
        <v>0</v>
      </c>
      <c r="M1628" t="s">
        <v>36</v>
      </c>
      <c r="N1628" t="s">
        <v>36</v>
      </c>
      <c r="O1628" t="s">
        <v>36</v>
      </c>
      <c r="P1628" t="s">
        <v>442</v>
      </c>
      <c r="Q1628" t="s">
        <v>36</v>
      </c>
      <c r="R1628" t="s">
        <v>36</v>
      </c>
      <c r="S1628" t="s">
        <v>36</v>
      </c>
      <c r="T1628" t="s">
        <v>36</v>
      </c>
      <c r="U1628" t="s">
        <v>36</v>
      </c>
      <c r="V1628" t="s">
        <v>36</v>
      </c>
      <c r="W1628" t="s">
        <v>36</v>
      </c>
      <c r="X1628" t="s">
        <v>36</v>
      </c>
      <c r="Y1628" t="s">
        <v>36</v>
      </c>
      <c r="Z1628" t="s">
        <v>36</v>
      </c>
      <c r="AA1628" t="s">
        <v>36</v>
      </c>
      <c r="AB1628" t="s">
        <v>36</v>
      </c>
      <c r="AC1628" t="s">
        <v>36</v>
      </c>
      <c r="AD1628" t="s">
        <v>36</v>
      </c>
      <c r="AE1628" t="s">
        <v>36</v>
      </c>
      <c r="AF1628" t="s">
        <v>36</v>
      </c>
      <c r="AG1628" t="s">
        <v>36</v>
      </c>
    </row>
    <row r="1629" spans="1:33" x14ac:dyDescent="0.2">
      <c r="A1629">
        <v>1628</v>
      </c>
      <c r="B1629" t="s">
        <v>491</v>
      </c>
      <c r="C1629" t="s">
        <v>33</v>
      </c>
      <c r="D1629">
        <v>30</v>
      </c>
      <c r="E1629" t="s">
        <v>34</v>
      </c>
      <c r="F1629" t="s">
        <v>41</v>
      </c>
      <c r="G1629" t="s">
        <v>67</v>
      </c>
      <c r="H1629">
        <v>85472</v>
      </c>
      <c r="I1629">
        <v>0</v>
      </c>
      <c r="J1629">
        <v>1</v>
      </c>
      <c r="K1629">
        <v>0</v>
      </c>
      <c r="L1629">
        <v>0</v>
      </c>
      <c r="M1629" t="s">
        <v>86</v>
      </c>
      <c r="N1629" t="s">
        <v>70</v>
      </c>
      <c r="O1629" t="s">
        <v>69</v>
      </c>
      <c r="P1629" t="s">
        <v>442</v>
      </c>
      <c r="Q1629" t="s">
        <v>46</v>
      </c>
      <c r="R1629" t="s">
        <v>47</v>
      </c>
      <c r="S1629" t="s">
        <v>48</v>
      </c>
      <c r="T1629">
        <v>0</v>
      </c>
      <c r="U1629">
        <v>0</v>
      </c>
      <c r="V1629">
        <v>1</v>
      </c>
      <c r="W1629">
        <v>1</v>
      </c>
      <c r="X1629">
        <v>1</v>
      </c>
      <c r="Y1629">
        <v>0</v>
      </c>
      <c r="Z1629">
        <v>1</v>
      </c>
      <c r="AA1629">
        <v>0</v>
      </c>
      <c r="AB1629">
        <v>0</v>
      </c>
      <c r="AC1629">
        <v>0</v>
      </c>
      <c r="AD1629">
        <v>1</v>
      </c>
      <c r="AE1629">
        <v>0</v>
      </c>
      <c r="AF1629">
        <v>0</v>
      </c>
      <c r="AG1629">
        <v>0</v>
      </c>
    </row>
    <row r="1630" spans="1:33" hidden="1" x14ac:dyDescent="0.2">
      <c r="A1630">
        <v>1629</v>
      </c>
      <c r="B1630" t="s">
        <v>491</v>
      </c>
      <c r="C1630" t="s">
        <v>33</v>
      </c>
      <c r="D1630">
        <v>30</v>
      </c>
      <c r="E1630" t="s">
        <v>34</v>
      </c>
      <c r="F1630" t="s">
        <v>53</v>
      </c>
      <c r="G1630" t="s">
        <v>71</v>
      </c>
      <c r="H1630">
        <v>67621</v>
      </c>
      <c r="I1630">
        <v>0</v>
      </c>
      <c r="J1630">
        <v>0</v>
      </c>
      <c r="K1630">
        <v>1</v>
      </c>
      <c r="L1630">
        <v>0</v>
      </c>
      <c r="M1630" t="s">
        <v>36</v>
      </c>
      <c r="N1630" t="s">
        <v>36</v>
      </c>
      <c r="O1630" t="s">
        <v>36</v>
      </c>
      <c r="P1630" t="s">
        <v>442</v>
      </c>
      <c r="Q1630" t="s">
        <v>36</v>
      </c>
      <c r="R1630" t="s">
        <v>36</v>
      </c>
      <c r="S1630" t="s">
        <v>36</v>
      </c>
      <c r="T1630" t="s">
        <v>36</v>
      </c>
      <c r="U1630">
        <v>0</v>
      </c>
      <c r="V1630">
        <v>1</v>
      </c>
      <c r="W1630">
        <v>1</v>
      </c>
      <c r="X1630">
        <v>1</v>
      </c>
      <c r="Y1630">
        <v>0</v>
      </c>
      <c r="Z1630">
        <v>1</v>
      </c>
      <c r="AA1630">
        <v>0</v>
      </c>
      <c r="AB1630">
        <v>0</v>
      </c>
      <c r="AC1630">
        <v>0</v>
      </c>
      <c r="AD1630">
        <v>1</v>
      </c>
      <c r="AE1630">
        <v>0</v>
      </c>
      <c r="AF1630">
        <v>0</v>
      </c>
      <c r="AG1630">
        <v>0</v>
      </c>
    </row>
    <row r="1631" spans="1:33" x14ac:dyDescent="0.2">
      <c r="A1631">
        <v>1630</v>
      </c>
      <c r="B1631" t="s">
        <v>491</v>
      </c>
      <c r="C1631" t="s">
        <v>33</v>
      </c>
      <c r="D1631">
        <v>30</v>
      </c>
      <c r="E1631" t="s">
        <v>34</v>
      </c>
      <c r="F1631" t="s">
        <v>41</v>
      </c>
      <c r="G1631" t="s">
        <v>42</v>
      </c>
      <c r="H1631">
        <v>24333</v>
      </c>
      <c r="I1631">
        <v>0</v>
      </c>
      <c r="J1631">
        <v>0</v>
      </c>
      <c r="K1631">
        <v>1</v>
      </c>
      <c r="L1631">
        <v>0</v>
      </c>
      <c r="M1631" t="s">
        <v>43</v>
      </c>
      <c r="N1631" t="s">
        <v>102</v>
      </c>
      <c r="O1631" t="s">
        <v>82</v>
      </c>
      <c r="P1631" t="s">
        <v>442</v>
      </c>
      <c r="Q1631" t="s">
        <v>46</v>
      </c>
      <c r="R1631" t="s">
        <v>59</v>
      </c>
      <c r="S1631" t="s">
        <v>65</v>
      </c>
      <c r="T1631">
        <v>0</v>
      </c>
      <c r="U1631">
        <v>1</v>
      </c>
      <c r="V1631">
        <v>0</v>
      </c>
      <c r="W1631">
        <v>0</v>
      </c>
      <c r="X1631">
        <v>1</v>
      </c>
      <c r="Y1631">
        <v>0</v>
      </c>
      <c r="Z1631">
        <v>1</v>
      </c>
      <c r="AA1631">
        <v>0</v>
      </c>
      <c r="AB1631">
        <v>1</v>
      </c>
      <c r="AC1631">
        <v>0</v>
      </c>
      <c r="AD1631">
        <v>0</v>
      </c>
      <c r="AE1631">
        <v>0</v>
      </c>
      <c r="AF1631">
        <v>0</v>
      </c>
      <c r="AG1631">
        <v>0</v>
      </c>
    </row>
    <row r="1632" spans="1:33" x14ac:dyDescent="0.2">
      <c r="A1632">
        <v>1631</v>
      </c>
      <c r="B1632" t="s">
        <v>491</v>
      </c>
      <c r="C1632" t="s">
        <v>33</v>
      </c>
      <c r="D1632">
        <v>30</v>
      </c>
      <c r="E1632" t="s">
        <v>34</v>
      </c>
      <c r="F1632" t="s">
        <v>41</v>
      </c>
      <c r="G1632" t="s">
        <v>55</v>
      </c>
      <c r="H1632">
        <v>7887</v>
      </c>
      <c r="I1632">
        <v>0</v>
      </c>
      <c r="J1632">
        <v>1</v>
      </c>
      <c r="K1632">
        <v>0</v>
      </c>
      <c r="L1632">
        <v>0</v>
      </c>
      <c r="M1632" t="s">
        <v>94</v>
      </c>
      <c r="N1632" t="s">
        <v>84</v>
      </c>
      <c r="O1632" t="s">
        <v>85</v>
      </c>
      <c r="P1632" t="s">
        <v>442</v>
      </c>
      <c r="Q1632" t="s">
        <v>47</v>
      </c>
      <c r="R1632" t="s">
        <v>46</v>
      </c>
      <c r="S1632" t="s">
        <v>65</v>
      </c>
      <c r="T1632">
        <v>0</v>
      </c>
      <c r="U1632">
        <v>1</v>
      </c>
      <c r="V1632">
        <v>0</v>
      </c>
      <c r="W1632">
        <v>1</v>
      </c>
      <c r="X1632">
        <v>1</v>
      </c>
      <c r="Y1632">
        <v>0</v>
      </c>
      <c r="Z1632">
        <v>1</v>
      </c>
      <c r="AA1632">
        <v>0</v>
      </c>
      <c r="AB1632">
        <v>0</v>
      </c>
      <c r="AC1632">
        <v>0</v>
      </c>
      <c r="AD1632">
        <v>0</v>
      </c>
      <c r="AE1632">
        <v>1</v>
      </c>
      <c r="AF1632">
        <v>0</v>
      </c>
      <c r="AG1632">
        <v>0</v>
      </c>
    </row>
    <row r="1633" spans="1:33" hidden="1" x14ac:dyDescent="0.2">
      <c r="A1633">
        <v>1632</v>
      </c>
      <c r="B1633" t="s">
        <v>491</v>
      </c>
      <c r="C1633" t="s">
        <v>33</v>
      </c>
      <c r="D1633">
        <v>30</v>
      </c>
      <c r="E1633" t="s">
        <v>34</v>
      </c>
      <c r="F1633" t="s">
        <v>53</v>
      </c>
      <c r="G1633" t="s">
        <v>76</v>
      </c>
      <c r="H1633">
        <v>14694</v>
      </c>
      <c r="I1633">
        <v>0</v>
      </c>
      <c r="J1633">
        <v>1</v>
      </c>
      <c r="K1633">
        <v>1</v>
      </c>
      <c r="L1633">
        <v>0</v>
      </c>
      <c r="M1633" t="s">
        <v>36</v>
      </c>
      <c r="N1633" t="s">
        <v>36</v>
      </c>
      <c r="O1633" t="s">
        <v>36</v>
      </c>
      <c r="P1633" t="s">
        <v>442</v>
      </c>
      <c r="Q1633" t="s">
        <v>36</v>
      </c>
      <c r="R1633" t="s">
        <v>36</v>
      </c>
      <c r="S1633" t="s">
        <v>36</v>
      </c>
      <c r="T1633" t="s">
        <v>36</v>
      </c>
      <c r="U1633">
        <v>1</v>
      </c>
      <c r="V1633">
        <v>0</v>
      </c>
      <c r="W1633">
        <v>1</v>
      </c>
      <c r="X1633">
        <v>1</v>
      </c>
      <c r="Y1633">
        <v>0</v>
      </c>
      <c r="Z1633">
        <v>1</v>
      </c>
      <c r="AA1633">
        <v>0</v>
      </c>
      <c r="AB1633">
        <v>0</v>
      </c>
      <c r="AC1633">
        <v>0</v>
      </c>
      <c r="AD1633">
        <v>0</v>
      </c>
      <c r="AE1633">
        <v>1</v>
      </c>
      <c r="AF1633">
        <v>0</v>
      </c>
      <c r="AG1633">
        <v>0</v>
      </c>
    </row>
    <row r="1634" spans="1:33" x14ac:dyDescent="0.2">
      <c r="A1634">
        <v>1633</v>
      </c>
      <c r="B1634" t="s">
        <v>491</v>
      </c>
      <c r="C1634" t="s">
        <v>33</v>
      </c>
      <c r="D1634">
        <v>30</v>
      </c>
      <c r="E1634" t="s">
        <v>34</v>
      </c>
      <c r="F1634" t="s">
        <v>41</v>
      </c>
      <c r="G1634" t="s">
        <v>61</v>
      </c>
      <c r="H1634">
        <v>16054</v>
      </c>
      <c r="I1634">
        <v>1</v>
      </c>
      <c r="J1634">
        <v>0</v>
      </c>
      <c r="K1634">
        <v>0</v>
      </c>
      <c r="L1634">
        <v>0</v>
      </c>
      <c r="M1634" t="s">
        <v>64</v>
      </c>
      <c r="N1634" t="s">
        <v>62</v>
      </c>
      <c r="O1634" t="s">
        <v>63</v>
      </c>
      <c r="P1634" t="s">
        <v>442</v>
      </c>
      <c r="Q1634" t="s">
        <v>48</v>
      </c>
      <c r="R1634" t="s">
        <v>65</v>
      </c>
      <c r="S1634" t="s">
        <v>46</v>
      </c>
      <c r="T1634">
        <v>0</v>
      </c>
      <c r="U1634">
        <v>1</v>
      </c>
      <c r="V1634">
        <v>1</v>
      </c>
      <c r="W1634">
        <v>0</v>
      </c>
      <c r="X1634">
        <v>1</v>
      </c>
      <c r="Y1634">
        <v>0</v>
      </c>
      <c r="Z1634">
        <v>1</v>
      </c>
      <c r="AA1634">
        <v>0</v>
      </c>
      <c r="AB1634">
        <v>0</v>
      </c>
      <c r="AC1634">
        <v>1</v>
      </c>
      <c r="AD1634">
        <v>0</v>
      </c>
      <c r="AE1634">
        <v>0</v>
      </c>
      <c r="AF1634">
        <v>0</v>
      </c>
      <c r="AG1634">
        <v>0</v>
      </c>
    </row>
    <row r="1635" spans="1:33" hidden="1" x14ac:dyDescent="0.2">
      <c r="A1635">
        <v>1634</v>
      </c>
      <c r="B1635" t="s">
        <v>491</v>
      </c>
      <c r="C1635" t="s">
        <v>33</v>
      </c>
      <c r="D1635">
        <v>30</v>
      </c>
      <c r="E1635" t="s">
        <v>34</v>
      </c>
      <c r="F1635" t="s">
        <v>53</v>
      </c>
      <c r="G1635" t="s">
        <v>54</v>
      </c>
      <c r="H1635">
        <v>15416</v>
      </c>
      <c r="I1635">
        <v>0</v>
      </c>
      <c r="J1635">
        <v>0</v>
      </c>
      <c r="K1635">
        <v>1</v>
      </c>
      <c r="L1635">
        <v>0</v>
      </c>
      <c r="M1635" t="s">
        <v>36</v>
      </c>
      <c r="N1635" t="s">
        <v>36</v>
      </c>
      <c r="O1635" t="s">
        <v>36</v>
      </c>
      <c r="P1635" t="s">
        <v>442</v>
      </c>
      <c r="Q1635" t="s">
        <v>36</v>
      </c>
      <c r="R1635" t="s">
        <v>36</v>
      </c>
      <c r="S1635" t="s">
        <v>36</v>
      </c>
      <c r="T1635" t="s">
        <v>36</v>
      </c>
      <c r="U1635">
        <v>1</v>
      </c>
      <c r="V1635">
        <v>1</v>
      </c>
      <c r="W1635">
        <v>0</v>
      </c>
      <c r="X1635">
        <v>1</v>
      </c>
      <c r="Y1635">
        <v>0</v>
      </c>
      <c r="Z1635">
        <v>1</v>
      </c>
      <c r="AA1635">
        <v>0</v>
      </c>
      <c r="AB1635">
        <v>0</v>
      </c>
      <c r="AC1635">
        <v>1</v>
      </c>
      <c r="AD1635">
        <v>0</v>
      </c>
      <c r="AE1635">
        <v>0</v>
      </c>
      <c r="AF1635">
        <v>0</v>
      </c>
      <c r="AG1635">
        <v>0</v>
      </c>
    </row>
    <row r="1636" spans="1:33" x14ac:dyDescent="0.2">
      <c r="A1636">
        <v>1635</v>
      </c>
      <c r="B1636" t="s">
        <v>491</v>
      </c>
      <c r="C1636" t="s">
        <v>33</v>
      </c>
      <c r="D1636">
        <v>30</v>
      </c>
      <c r="E1636" t="s">
        <v>34</v>
      </c>
      <c r="F1636" t="s">
        <v>41</v>
      </c>
      <c r="G1636" t="s">
        <v>49</v>
      </c>
      <c r="H1636">
        <v>11806</v>
      </c>
      <c r="I1636">
        <v>0</v>
      </c>
      <c r="J1636">
        <v>1</v>
      </c>
      <c r="K1636">
        <v>0</v>
      </c>
      <c r="L1636">
        <v>0</v>
      </c>
      <c r="M1636" t="s">
        <v>96</v>
      </c>
      <c r="N1636" t="s">
        <v>51</v>
      </c>
      <c r="O1636" t="s">
        <v>52</v>
      </c>
      <c r="P1636" t="s">
        <v>442</v>
      </c>
      <c r="Q1636" t="s">
        <v>65</v>
      </c>
      <c r="R1636" t="s">
        <v>47</v>
      </c>
      <c r="S1636" t="s">
        <v>46</v>
      </c>
      <c r="T1636">
        <v>0</v>
      </c>
      <c r="U1636">
        <v>1</v>
      </c>
      <c r="V1636">
        <v>0</v>
      </c>
      <c r="W1636">
        <v>1</v>
      </c>
      <c r="X1636">
        <v>1</v>
      </c>
      <c r="Y1636">
        <v>0</v>
      </c>
      <c r="Z1636">
        <v>1</v>
      </c>
      <c r="AA1636">
        <v>0</v>
      </c>
      <c r="AB1636">
        <v>0</v>
      </c>
      <c r="AC1636">
        <v>0</v>
      </c>
      <c r="AD1636">
        <v>1</v>
      </c>
      <c r="AE1636">
        <v>0</v>
      </c>
      <c r="AF1636">
        <v>0</v>
      </c>
      <c r="AG1636">
        <v>0</v>
      </c>
    </row>
    <row r="1637" spans="1:33" x14ac:dyDescent="0.2">
      <c r="A1637">
        <v>1636</v>
      </c>
      <c r="B1637" t="s">
        <v>491</v>
      </c>
      <c r="C1637" t="s">
        <v>33</v>
      </c>
      <c r="D1637">
        <v>30</v>
      </c>
      <c r="E1637" t="s">
        <v>34</v>
      </c>
      <c r="F1637" t="s">
        <v>41</v>
      </c>
      <c r="G1637" t="s">
        <v>72</v>
      </c>
      <c r="H1637">
        <v>4333</v>
      </c>
      <c r="I1637">
        <v>0</v>
      </c>
      <c r="J1637">
        <v>0</v>
      </c>
      <c r="K1637">
        <v>1</v>
      </c>
      <c r="L1637">
        <v>0</v>
      </c>
      <c r="M1637" t="s">
        <v>93</v>
      </c>
      <c r="N1637" t="s">
        <v>115</v>
      </c>
      <c r="O1637" t="s">
        <v>75</v>
      </c>
      <c r="P1637" t="s">
        <v>442</v>
      </c>
      <c r="Q1637" t="s">
        <v>59</v>
      </c>
      <c r="R1637" t="s">
        <v>65</v>
      </c>
      <c r="S1637" t="s">
        <v>46</v>
      </c>
      <c r="T1637">
        <v>0</v>
      </c>
      <c r="U1637">
        <v>1</v>
      </c>
      <c r="V1637">
        <v>0</v>
      </c>
      <c r="W1637">
        <v>0</v>
      </c>
      <c r="X1637">
        <v>1</v>
      </c>
      <c r="Y1637">
        <v>0</v>
      </c>
      <c r="Z1637">
        <v>1</v>
      </c>
      <c r="AA1637">
        <v>0</v>
      </c>
      <c r="AB1637">
        <v>0</v>
      </c>
      <c r="AC1637">
        <v>0</v>
      </c>
      <c r="AD1637">
        <v>0</v>
      </c>
      <c r="AE1637">
        <v>1</v>
      </c>
      <c r="AF1637">
        <v>0</v>
      </c>
      <c r="AG1637">
        <v>0</v>
      </c>
    </row>
    <row r="1638" spans="1:33" hidden="1" x14ac:dyDescent="0.2">
      <c r="A1638">
        <v>1637</v>
      </c>
      <c r="B1638" t="s">
        <v>491</v>
      </c>
      <c r="C1638" t="s">
        <v>33</v>
      </c>
      <c r="D1638">
        <v>30</v>
      </c>
      <c r="E1638" t="s">
        <v>34</v>
      </c>
      <c r="F1638" t="s">
        <v>53</v>
      </c>
      <c r="G1638" t="s">
        <v>66</v>
      </c>
      <c r="H1638">
        <v>5038</v>
      </c>
      <c r="I1638">
        <v>0</v>
      </c>
      <c r="J1638">
        <v>0</v>
      </c>
      <c r="K1638">
        <v>1</v>
      </c>
      <c r="L1638">
        <v>0</v>
      </c>
      <c r="M1638" t="s">
        <v>36</v>
      </c>
      <c r="N1638" t="s">
        <v>36</v>
      </c>
      <c r="O1638" t="s">
        <v>36</v>
      </c>
      <c r="P1638" t="s">
        <v>442</v>
      </c>
      <c r="Q1638" t="s">
        <v>36</v>
      </c>
      <c r="R1638" t="s">
        <v>36</v>
      </c>
      <c r="S1638" t="s">
        <v>36</v>
      </c>
      <c r="T1638" t="s">
        <v>36</v>
      </c>
      <c r="U1638">
        <v>1</v>
      </c>
      <c r="V1638">
        <v>0</v>
      </c>
      <c r="W1638">
        <v>0</v>
      </c>
      <c r="X1638">
        <v>1</v>
      </c>
      <c r="Y1638">
        <v>0</v>
      </c>
      <c r="Z1638">
        <v>1</v>
      </c>
      <c r="AA1638">
        <v>0</v>
      </c>
      <c r="AB1638">
        <v>0</v>
      </c>
      <c r="AC1638">
        <v>0</v>
      </c>
      <c r="AD1638">
        <v>0</v>
      </c>
      <c r="AE1638">
        <v>1</v>
      </c>
      <c r="AF1638">
        <v>0</v>
      </c>
      <c r="AG1638">
        <v>0</v>
      </c>
    </row>
    <row r="1639" spans="1:33" hidden="1" x14ac:dyDescent="0.2">
      <c r="A1639">
        <v>1638</v>
      </c>
      <c r="B1639" t="s">
        <v>491</v>
      </c>
      <c r="C1639" t="s">
        <v>33</v>
      </c>
      <c r="D1639">
        <v>30</v>
      </c>
      <c r="E1639" t="s">
        <v>34</v>
      </c>
      <c r="F1639" t="s">
        <v>77</v>
      </c>
      <c r="G1639" t="s">
        <v>36</v>
      </c>
      <c r="H1639">
        <v>90457</v>
      </c>
      <c r="I1639" t="s">
        <v>492</v>
      </c>
      <c r="J1639" t="s">
        <v>493</v>
      </c>
      <c r="K1639" t="s">
        <v>443</v>
      </c>
      <c r="L1639" t="s">
        <v>36</v>
      </c>
      <c r="M1639" t="s">
        <v>36</v>
      </c>
      <c r="N1639" t="s">
        <v>36</v>
      </c>
      <c r="O1639" t="s">
        <v>36</v>
      </c>
      <c r="P1639" t="s">
        <v>442</v>
      </c>
      <c r="Q1639" t="s">
        <v>36</v>
      </c>
      <c r="R1639" t="s">
        <v>36</v>
      </c>
      <c r="S1639" t="s">
        <v>36</v>
      </c>
      <c r="T1639" t="s">
        <v>36</v>
      </c>
      <c r="U1639" t="s">
        <v>36</v>
      </c>
      <c r="V1639" t="s">
        <v>36</v>
      </c>
      <c r="W1639" t="s">
        <v>36</v>
      </c>
      <c r="X1639" t="s">
        <v>36</v>
      </c>
      <c r="Y1639" t="s">
        <v>36</v>
      </c>
      <c r="Z1639" t="s">
        <v>36</v>
      </c>
      <c r="AA1639" t="s">
        <v>36</v>
      </c>
      <c r="AB1639" t="s">
        <v>36</v>
      </c>
      <c r="AC1639" t="s">
        <v>36</v>
      </c>
      <c r="AD1639" t="s">
        <v>36</v>
      </c>
      <c r="AE1639" t="s">
        <v>36</v>
      </c>
      <c r="AF1639" t="s">
        <v>36</v>
      </c>
      <c r="AG1639" t="s">
        <v>36</v>
      </c>
    </row>
    <row r="1640" spans="1:33" hidden="1" x14ac:dyDescent="0.2">
      <c r="A1640">
        <v>1639</v>
      </c>
      <c r="B1640" t="s">
        <v>494</v>
      </c>
      <c r="C1640" t="s">
        <v>33</v>
      </c>
      <c r="D1640">
        <v>40</v>
      </c>
      <c r="E1640" t="s">
        <v>34</v>
      </c>
      <c r="F1640" t="s">
        <v>35</v>
      </c>
      <c r="G1640" t="s">
        <v>36</v>
      </c>
      <c r="H1640">
        <v>25265</v>
      </c>
      <c r="I1640" t="s">
        <v>36</v>
      </c>
      <c r="J1640" t="s">
        <v>36</v>
      </c>
      <c r="K1640" t="s">
        <v>36</v>
      </c>
      <c r="L1640" t="s">
        <v>36</v>
      </c>
      <c r="M1640" t="s">
        <v>36</v>
      </c>
      <c r="N1640" t="s">
        <v>36</v>
      </c>
      <c r="O1640" t="s">
        <v>36</v>
      </c>
      <c r="P1640" t="s">
        <v>442</v>
      </c>
      <c r="Q1640" t="s">
        <v>36</v>
      </c>
      <c r="R1640" t="s">
        <v>36</v>
      </c>
      <c r="S1640" t="s">
        <v>36</v>
      </c>
      <c r="T1640" t="s">
        <v>36</v>
      </c>
      <c r="U1640" t="s">
        <v>36</v>
      </c>
      <c r="V1640" t="s">
        <v>36</v>
      </c>
      <c r="W1640" t="s">
        <v>36</v>
      </c>
      <c r="X1640" t="s">
        <v>36</v>
      </c>
      <c r="Y1640" t="s">
        <v>36</v>
      </c>
      <c r="Z1640" t="s">
        <v>36</v>
      </c>
      <c r="AA1640" t="s">
        <v>36</v>
      </c>
      <c r="AB1640" t="s">
        <v>36</v>
      </c>
      <c r="AC1640" t="s">
        <v>36</v>
      </c>
      <c r="AD1640" t="s">
        <v>36</v>
      </c>
      <c r="AE1640" t="s">
        <v>36</v>
      </c>
      <c r="AF1640" t="s">
        <v>36</v>
      </c>
      <c r="AG1640" t="s">
        <v>36</v>
      </c>
    </row>
    <row r="1641" spans="1:33" hidden="1" x14ac:dyDescent="0.2">
      <c r="A1641">
        <v>1640</v>
      </c>
      <c r="B1641" t="s">
        <v>494</v>
      </c>
      <c r="C1641" t="s">
        <v>33</v>
      </c>
      <c r="D1641">
        <v>40</v>
      </c>
      <c r="E1641" t="s">
        <v>34</v>
      </c>
      <c r="F1641" t="s">
        <v>38</v>
      </c>
      <c r="G1641" t="s">
        <v>39</v>
      </c>
      <c r="H1641">
        <v>76513</v>
      </c>
      <c r="I1641">
        <v>0</v>
      </c>
      <c r="J1641">
        <v>0</v>
      </c>
      <c r="K1641">
        <v>0</v>
      </c>
      <c r="L1641">
        <v>1</v>
      </c>
      <c r="M1641" t="s">
        <v>36</v>
      </c>
      <c r="N1641" t="s">
        <v>36</v>
      </c>
      <c r="O1641" t="s">
        <v>36</v>
      </c>
      <c r="P1641" t="s">
        <v>442</v>
      </c>
      <c r="Q1641" t="s">
        <v>36</v>
      </c>
      <c r="R1641" t="s">
        <v>36</v>
      </c>
      <c r="S1641" t="s">
        <v>36</v>
      </c>
      <c r="T1641" t="s">
        <v>36</v>
      </c>
      <c r="U1641" t="s">
        <v>36</v>
      </c>
      <c r="V1641" t="s">
        <v>36</v>
      </c>
      <c r="W1641" t="s">
        <v>36</v>
      </c>
      <c r="X1641" t="s">
        <v>36</v>
      </c>
      <c r="Y1641" t="s">
        <v>36</v>
      </c>
      <c r="Z1641" t="s">
        <v>36</v>
      </c>
      <c r="AA1641" t="s">
        <v>36</v>
      </c>
      <c r="AB1641" t="s">
        <v>36</v>
      </c>
      <c r="AC1641" t="s">
        <v>36</v>
      </c>
      <c r="AD1641" t="s">
        <v>36</v>
      </c>
      <c r="AE1641" t="s">
        <v>36</v>
      </c>
      <c r="AF1641" t="s">
        <v>36</v>
      </c>
      <c r="AG1641" t="s">
        <v>36</v>
      </c>
    </row>
    <row r="1642" spans="1:33" hidden="1" x14ac:dyDescent="0.2">
      <c r="A1642">
        <v>1641</v>
      </c>
      <c r="B1642" t="s">
        <v>494</v>
      </c>
      <c r="C1642" t="s">
        <v>33</v>
      </c>
      <c r="D1642">
        <v>40</v>
      </c>
      <c r="E1642" t="s">
        <v>34</v>
      </c>
      <c r="F1642" t="s">
        <v>38</v>
      </c>
      <c r="G1642" t="s">
        <v>40</v>
      </c>
      <c r="H1642">
        <v>61828</v>
      </c>
      <c r="I1642">
        <v>0</v>
      </c>
      <c r="J1642">
        <v>0</v>
      </c>
      <c r="K1642">
        <v>1</v>
      </c>
      <c r="L1642">
        <v>0</v>
      </c>
      <c r="M1642" t="s">
        <v>36</v>
      </c>
      <c r="N1642" t="s">
        <v>36</v>
      </c>
      <c r="O1642" t="s">
        <v>36</v>
      </c>
      <c r="P1642" t="s">
        <v>442</v>
      </c>
      <c r="Q1642" t="s">
        <v>36</v>
      </c>
      <c r="R1642" t="s">
        <v>36</v>
      </c>
      <c r="S1642" t="s">
        <v>36</v>
      </c>
      <c r="T1642" t="s">
        <v>36</v>
      </c>
      <c r="U1642" t="s">
        <v>36</v>
      </c>
      <c r="V1642" t="s">
        <v>36</v>
      </c>
      <c r="W1642" t="s">
        <v>36</v>
      </c>
      <c r="X1642" t="s">
        <v>36</v>
      </c>
      <c r="Y1642" t="s">
        <v>36</v>
      </c>
      <c r="Z1642" t="s">
        <v>36</v>
      </c>
      <c r="AA1642" t="s">
        <v>36</v>
      </c>
      <c r="AB1642" t="s">
        <v>36</v>
      </c>
      <c r="AC1642" t="s">
        <v>36</v>
      </c>
      <c r="AD1642" t="s">
        <v>36</v>
      </c>
      <c r="AE1642" t="s">
        <v>36</v>
      </c>
      <c r="AF1642" t="s">
        <v>36</v>
      </c>
      <c r="AG1642" t="s">
        <v>36</v>
      </c>
    </row>
    <row r="1643" spans="1:33" x14ac:dyDescent="0.2">
      <c r="A1643">
        <v>1642</v>
      </c>
      <c r="B1643" t="s">
        <v>494</v>
      </c>
      <c r="C1643" t="s">
        <v>33</v>
      </c>
      <c r="D1643">
        <v>40</v>
      </c>
      <c r="E1643" t="s">
        <v>34</v>
      </c>
      <c r="F1643" t="s">
        <v>41</v>
      </c>
      <c r="G1643" t="s">
        <v>42</v>
      </c>
      <c r="H1643">
        <v>64591</v>
      </c>
      <c r="I1643">
        <v>0</v>
      </c>
      <c r="J1643">
        <v>0</v>
      </c>
      <c r="K1643">
        <v>0</v>
      </c>
      <c r="L1643">
        <v>1</v>
      </c>
      <c r="M1643" t="s">
        <v>44</v>
      </c>
      <c r="N1643" t="s">
        <v>102</v>
      </c>
      <c r="O1643" t="s">
        <v>43</v>
      </c>
      <c r="P1643" t="s">
        <v>442</v>
      </c>
      <c r="Q1643" t="s">
        <v>47</v>
      </c>
      <c r="R1643" t="s">
        <v>59</v>
      </c>
      <c r="S1643" t="s">
        <v>46</v>
      </c>
      <c r="T1643">
        <v>0</v>
      </c>
      <c r="U1643">
        <v>0</v>
      </c>
      <c r="V1643">
        <v>0</v>
      </c>
      <c r="W1643">
        <v>1</v>
      </c>
      <c r="X1643">
        <v>1</v>
      </c>
      <c r="Y1643">
        <v>0</v>
      </c>
      <c r="Z1643">
        <v>1</v>
      </c>
      <c r="AA1643">
        <v>0</v>
      </c>
      <c r="AB1643">
        <v>0</v>
      </c>
      <c r="AC1643">
        <v>0</v>
      </c>
      <c r="AD1643">
        <v>0</v>
      </c>
      <c r="AE1643">
        <v>0</v>
      </c>
      <c r="AF1643">
        <v>0</v>
      </c>
      <c r="AG1643">
        <v>1</v>
      </c>
    </row>
    <row r="1644" spans="1:33" x14ac:dyDescent="0.2">
      <c r="A1644">
        <v>1643</v>
      </c>
      <c r="B1644" t="s">
        <v>494</v>
      </c>
      <c r="C1644" t="s">
        <v>33</v>
      </c>
      <c r="D1644">
        <v>40</v>
      </c>
      <c r="E1644" t="s">
        <v>34</v>
      </c>
      <c r="F1644" t="s">
        <v>41</v>
      </c>
      <c r="G1644" t="s">
        <v>67</v>
      </c>
      <c r="H1644">
        <v>27004</v>
      </c>
      <c r="I1644">
        <v>1</v>
      </c>
      <c r="J1644">
        <v>0</v>
      </c>
      <c r="K1644">
        <v>0</v>
      </c>
      <c r="L1644">
        <v>1</v>
      </c>
      <c r="M1644" t="s">
        <v>86</v>
      </c>
      <c r="N1644" t="s">
        <v>69</v>
      </c>
      <c r="O1644" t="s">
        <v>109</v>
      </c>
      <c r="P1644" t="s">
        <v>442</v>
      </c>
      <c r="Q1644" t="s">
        <v>46</v>
      </c>
      <c r="R1644" t="s">
        <v>48</v>
      </c>
      <c r="S1644" t="s">
        <v>59</v>
      </c>
      <c r="T1644">
        <v>0</v>
      </c>
      <c r="U1644">
        <v>0</v>
      </c>
      <c r="V1644">
        <v>1</v>
      </c>
      <c r="W1644">
        <v>0</v>
      </c>
      <c r="X1644">
        <v>1</v>
      </c>
      <c r="Y1644">
        <v>0</v>
      </c>
      <c r="Z1644">
        <v>1</v>
      </c>
      <c r="AA1644">
        <v>0</v>
      </c>
      <c r="AB1644">
        <v>0</v>
      </c>
      <c r="AC1644">
        <v>0</v>
      </c>
      <c r="AD1644">
        <v>0</v>
      </c>
      <c r="AE1644">
        <v>1</v>
      </c>
      <c r="AF1644">
        <v>0</v>
      </c>
      <c r="AG1644">
        <v>1</v>
      </c>
    </row>
    <row r="1645" spans="1:33" hidden="1" x14ac:dyDescent="0.2">
      <c r="A1645">
        <v>1644</v>
      </c>
      <c r="B1645" t="s">
        <v>494</v>
      </c>
      <c r="C1645" t="s">
        <v>33</v>
      </c>
      <c r="D1645">
        <v>40</v>
      </c>
      <c r="E1645" t="s">
        <v>34</v>
      </c>
      <c r="F1645" t="s">
        <v>53</v>
      </c>
      <c r="G1645" t="s">
        <v>71</v>
      </c>
      <c r="H1645">
        <v>31013</v>
      </c>
      <c r="I1645">
        <v>0</v>
      </c>
      <c r="J1645">
        <v>1</v>
      </c>
      <c r="K1645">
        <v>0</v>
      </c>
      <c r="L1645">
        <v>0</v>
      </c>
      <c r="M1645" t="s">
        <v>36</v>
      </c>
      <c r="N1645" t="s">
        <v>36</v>
      </c>
      <c r="O1645" t="s">
        <v>36</v>
      </c>
      <c r="P1645" t="s">
        <v>442</v>
      </c>
      <c r="Q1645" t="s">
        <v>36</v>
      </c>
      <c r="R1645" t="s">
        <v>36</v>
      </c>
      <c r="S1645" t="s">
        <v>36</v>
      </c>
      <c r="T1645" t="s">
        <v>36</v>
      </c>
      <c r="U1645">
        <v>0</v>
      </c>
      <c r="V1645">
        <v>1</v>
      </c>
      <c r="W1645">
        <v>0</v>
      </c>
      <c r="X1645">
        <v>1</v>
      </c>
      <c r="Y1645">
        <v>0</v>
      </c>
      <c r="Z1645">
        <v>1</v>
      </c>
      <c r="AA1645">
        <v>0</v>
      </c>
      <c r="AB1645">
        <v>0</v>
      </c>
      <c r="AC1645">
        <v>0</v>
      </c>
      <c r="AD1645">
        <v>0</v>
      </c>
      <c r="AE1645">
        <v>1</v>
      </c>
      <c r="AF1645">
        <v>0</v>
      </c>
      <c r="AG1645">
        <v>1</v>
      </c>
    </row>
    <row r="1646" spans="1:33" x14ac:dyDescent="0.2">
      <c r="A1646">
        <v>1645</v>
      </c>
      <c r="B1646" t="s">
        <v>494</v>
      </c>
      <c r="C1646" t="s">
        <v>33</v>
      </c>
      <c r="D1646">
        <v>40</v>
      </c>
      <c r="E1646" t="s">
        <v>34</v>
      </c>
      <c r="F1646" t="s">
        <v>41</v>
      </c>
      <c r="G1646" t="s">
        <v>72</v>
      </c>
      <c r="H1646">
        <v>16461</v>
      </c>
      <c r="I1646">
        <v>0</v>
      </c>
      <c r="J1646">
        <v>1</v>
      </c>
      <c r="K1646">
        <v>0</v>
      </c>
      <c r="L1646">
        <v>0</v>
      </c>
      <c r="M1646" t="s">
        <v>104</v>
      </c>
      <c r="N1646" t="s">
        <v>74</v>
      </c>
      <c r="O1646" t="s">
        <v>93</v>
      </c>
      <c r="P1646" t="s">
        <v>442</v>
      </c>
      <c r="Q1646" t="s">
        <v>60</v>
      </c>
      <c r="R1646" t="s">
        <v>47</v>
      </c>
      <c r="S1646" t="s">
        <v>59</v>
      </c>
      <c r="T1646">
        <v>1</v>
      </c>
      <c r="U1646">
        <v>0</v>
      </c>
      <c r="V1646">
        <v>0</v>
      </c>
      <c r="W1646">
        <v>1</v>
      </c>
      <c r="X1646">
        <v>0</v>
      </c>
      <c r="Y1646">
        <v>0</v>
      </c>
      <c r="Z1646">
        <v>1</v>
      </c>
      <c r="AA1646">
        <v>0</v>
      </c>
      <c r="AB1646">
        <v>0</v>
      </c>
      <c r="AC1646">
        <v>0</v>
      </c>
      <c r="AD1646">
        <v>1</v>
      </c>
      <c r="AE1646">
        <v>0</v>
      </c>
      <c r="AF1646">
        <v>0</v>
      </c>
      <c r="AG1646">
        <v>0</v>
      </c>
    </row>
    <row r="1647" spans="1:33" x14ac:dyDescent="0.2">
      <c r="A1647">
        <v>1646</v>
      </c>
      <c r="B1647" t="s">
        <v>494</v>
      </c>
      <c r="C1647" t="s">
        <v>33</v>
      </c>
      <c r="D1647">
        <v>40</v>
      </c>
      <c r="E1647" t="s">
        <v>34</v>
      </c>
      <c r="F1647" t="s">
        <v>41</v>
      </c>
      <c r="G1647" t="s">
        <v>55</v>
      </c>
      <c r="H1647">
        <v>12076</v>
      </c>
      <c r="I1647">
        <v>1</v>
      </c>
      <c r="J1647">
        <v>0</v>
      </c>
      <c r="K1647">
        <v>0</v>
      </c>
      <c r="L1647">
        <v>0</v>
      </c>
      <c r="M1647" t="s">
        <v>85</v>
      </c>
      <c r="N1647" t="s">
        <v>94</v>
      </c>
      <c r="O1647" t="s">
        <v>57</v>
      </c>
      <c r="P1647" t="s">
        <v>442</v>
      </c>
      <c r="Q1647" t="s">
        <v>65</v>
      </c>
      <c r="R1647" t="s">
        <v>47</v>
      </c>
      <c r="S1647" t="s">
        <v>48</v>
      </c>
      <c r="T1647">
        <v>0</v>
      </c>
      <c r="U1647">
        <v>1</v>
      </c>
      <c r="V1647">
        <v>1</v>
      </c>
      <c r="W1647">
        <v>1</v>
      </c>
      <c r="X1647">
        <v>0</v>
      </c>
      <c r="Y1647">
        <v>0</v>
      </c>
      <c r="Z1647">
        <v>1</v>
      </c>
      <c r="AA1647">
        <v>0</v>
      </c>
      <c r="AB1647">
        <v>1</v>
      </c>
      <c r="AC1647">
        <v>0</v>
      </c>
      <c r="AD1647">
        <v>0</v>
      </c>
      <c r="AE1647">
        <v>0</v>
      </c>
      <c r="AF1647">
        <v>0</v>
      </c>
      <c r="AG1647">
        <v>0</v>
      </c>
    </row>
    <row r="1648" spans="1:33" hidden="1" x14ac:dyDescent="0.2">
      <c r="A1648">
        <v>1647</v>
      </c>
      <c r="B1648" t="s">
        <v>494</v>
      </c>
      <c r="C1648" t="s">
        <v>33</v>
      </c>
      <c r="D1648">
        <v>40</v>
      </c>
      <c r="E1648" t="s">
        <v>34</v>
      </c>
      <c r="F1648" t="s">
        <v>53</v>
      </c>
      <c r="G1648" t="s">
        <v>76</v>
      </c>
      <c r="H1648">
        <v>18642</v>
      </c>
      <c r="I1648">
        <v>0</v>
      </c>
      <c r="J1648">
        <v>0</v>
      </c>
      <c r="K1648">
        <v>0</v>
      </c>
      <c r="L1648">
        <v>1</v>
      </c>
      <c r="M1648" t="s">
        <v>36</v>
      </c>
      <c r="N1648" t="s">
        <v>36</v>
      </c>
      <c r="O1648" t="s">
        <v>36</v>
      </c>
      <c r="P1648" t="s">
        <v>442</v>
      </c>
      <c r="Q1648" t="s">
        <v>36</v>
      </c>
      <c r="R1648" t="s">
        <v>36</v>
      </c>
      <c r="S1648" t="s">
        <v>36</v>
      </c>
      <c r="T1648" t="s">
        <v>36</v>
      </c>
      <c r="U1648">
        <v>1</v>
      </c>
      <c r="V1648">
        <v>1</v>
      </c>
      <c r="W1648">
        <v>1</v>
      </c>
      <c r="X1648">
        <v>0</v>
      </c>
      <c r="Y1648">
        <v>0</v>
      </c>
      <c r="Z1648">
        <v>1</v>
      </c>
      <c r="AA1648">
        <v>0</v>
      </c>
      <c r="AB1648">
        <v>1</v>
      </c>
      <c r="AC1648">
        <v>0</v>
      </c>
      <c r="AD1648">
        <v>0</v>
      </c>
      <c r="AE1648">
        <v>0</v>
      </c>
      <c r="AF1648">
        <v>0</v>
      </c>
      <c r="AG1648">
        <v>0</v>
      </c>
    </row>
    <row r="1649" spans="1:33" x14ac:dyDescent="0.2">
      <c r="A1649">
        <v>1648</v>
      </c>
      <c r="B1649" t="s">
        <v>494</v>
      </c>
      <c r="C1649" t="s">
        <v>33</v>
      </c>
      <c r="D1649">
        <v>40</v>
      </c>
      <c r="E1649" t="s">
        <v>34</v>
      </c>
      <c r="F1649" t="s">
        <v>41</v>
      </c>
      <c r="G1649" t="s">
        <v>49</v>
      </c>
      <c r="H1649">
        <v>7523</v>
      </c>
      <c r="I1649">
        <v>0</v>
      </c>
      <c r="J1649">
        <v>1</v>
      </c>
      <c r="K1649">
        <v>1</v>
      </c>
      <c r="L1649">
        <v>0</v>
      </c>
      <c r="M1649" t="s">
        <v>52</v>
      </c>
      <c r="N1649" t="s">
        <v>51</v>
      </c>
      <c r="O1649" t="s">
        <v>83</v>
      </c>
      <c r="P1649" t="s">
        <v>442</v>
      </c>
      <c r="Q1649" t="s">
        <v>46</v>
      </c>
      <c r="R1649" t="s">
        <v>47</v>
      </c>
      <c r="S1649" t="s">
        <v>59</v>
      </c>
      <c r="T1649">
        <v>0</v>
      </c>
      <c r="U1649">
        <v>0</v>
      </c>
      <c r="V1649">
        <v>0</v>
      </c>
      <c r="W1649">
        <v>1</v>
      </c>
      <c r="X1649">
        <v>1</v>
      </c>
      <c r="Y1649">
        <v>0</v>
      </c>
      <c r="Z1649">
        <v>1</v>
      </c>
      <c r="AA1649">
        <v>0</v>
      </c>
      <c r="AB1649">
        <v>0</v>
      </c>
      <c r="AC1649">
        <v>0</v>
      </c>
      <c r="AD1649">
        <v>1</v>
      </c>
      <c r="AE1649">
        <v>0</v>
      </c>
      <c r="AF1649">
        <v>0</v>
      </c>
      <c r="AG1649">
        <v>0</v>
      </c>
    </row>
    <row r="1650" spans="1:33" hidden="1" x14ac:dyDescent="0.2">
      <c r="A1650">
        <v>1649</v>
      </c>
      <c r="B1650" t="s">
        <v>494</v>
      </c>
      <c r="C1650" t="s">
        <v>33</v>
      </c>
      <c r="D1650">
        <v>40</v>
      </c>
      <c r="E1650" t="s">
        <v>34</v>
      </c>
      <c r="F1650" t="s">
        <v>53</v>
      </c>
      <c r="G1650" t="s">
        <v>54</v>
      </c>
      <c r="H1650">
        <v>3382</v>
      </c>
      <c r="I1650">
        <v>0</v>
      </c>
      <c r="J1650">
        <v>1</v>
      </c>
      <c r="K1650">
        <v>0</v>
      </c>
      <c r="L1650">
        <v>0</v>
      </c>
      <c r="M1650" t="s">
        <v>36</v>
      </c>
      <c r="N1650" t="s">
        <v>36</v>
      </c>
      <c r="O1650" t="s">
        <v>36</v>
      </c>
      <c r="P1650" t="s">
        <v>442</v>
      </c>
      <c r="Q1650" t="s">
        <v>36</v>
      </c>
      <c r="R1650" t="s">
        <v>36</v>
      </c>
      <c r="S1650" t="s">
        <v>36</v>
      </c>
      <c r="T1650" t="s">
        <v>36</v>
      </c>
      <c r="U1650">
        <v>0</v>
      </c>
      <c r="V1650">
        <v>0</v>
      </c>
      <c r="W1650">
        <v>1</v>
      </c>
      <c r="X1650">
        <v>1</v>
      </c>
      <c r="Y1650">
        <v>0</v>
      </c>
      <c r="Z1650">
        <v>1</v>
      </c>
      <c r="AA1650">
        <v>0</v>
      </c>
      <c r="AB1650">
        <v>0</v>
      </c>
      <c r="AC1650">
        <v>0</v>
      </c>
      <c r="AD1650">
        <v>1</v>
      </c>
      <c r="AE1650">
        <v>0</v>
      </c>
      <c r="AF1650">
        <v>0</v>
      </c>
      <c r="AG1650">
        <v>0</v>
      </c>
    </row>
    <row r="1651" spans="1:33" x14ac:dyDescent="0.2">
      <c r="A1651">
        <v>1650</v>
      </c>
      <c r="B1651" t="s">
        <v>494</v>
      </c>
      <c r="C1651" t="s">
        <v>33</v>
      </c>
      <c r="D1651">
        <v>40</v>
      </c>
      <c r="E1651" t="s">
        <v>34</v>
      </c>
      <c r="F1651" t="s">
        <v>41</v>
      </c>
      <c r="G1651" t="s">
        <v>61</v>
      </c>
      <c r="H1651">
        <v>5380</v>
      </c>
      <c r="I1651">
        <v>0</v>
      </c>
      <c r="J1651">
        <v>0</v>
      </c>
      <c r="K1651">
        <v>0</v>
      </c>
      <c r="L1651">
        <v>1</v>
      </c>
      <c r="M1651" t="s">
        <v>62</v>
      </c>
      <c r="N1651" t="s">
        <v>87</v>
      </c>
      <c r="O1651" t="s">
        <v>63</v>
      </c>
      <c r="P1651" t="s">
        <v>442</v>
      </c>
      <c r="Q1651" t="s">
        <v>65</v>
      </c>
      <c r="R1651" t="s">
        <v>47</v>
      </c>
      <c r="S1651" t="s">
        <v>46</v>
      </c>
      <c r="T1651">
        <v>0</v>
      </c>
      <c r="U1651">
        <v>1</v>
      </c>
      <c r="V1651">
        <v>0</v>
      </c>
      <c r="W1651">
        <v>1</v>
      </c>
      <c r="X1651">
        <v>1</v>
      </c>
      <c r="Y1651">
        <v>0</v>
      </c>
      <c r="Z1651">
        <v>1</v>
      </c>
      <c r="AA1651">
        <v>0</v>
      </c>
      <c r="AB1651">
        <v>0</v>
      </c>
      <c r="AC1651">
        <v>0</v>
      </c>
      <c r="AD1651">
        <v>0</v>
      </c>
      <c r="AE1651">
        <v>0</v>
      </c>
      <c r="AF1651">
        <v>0</v>
      </c>
      <c r="AG1651">
        <v>1</v>
      </c>
    </row>
    <row r="1652" spans="1:33" hidden="1" x14ac:dyDescent="0.2">
      <c r="A1652">
        <v>1651</v>
      </c>
      <c r="B1652" t="s">
        <v>494</v>
      </c>
      <c r="C1652" t="s">
        <v>33</v>
      </c>
      <c r="D1652">
        <v>40</v>
      </c>
      <c r="E1652" t="s">
        <v>34</v>
      </c>
      <c r="F1652" t="s">
        <v>53</v>
      </c>
      <c r="G1652" t="s">
        <v>66</v>
      </c>
      <c r="H1652">
        <v>28159</v>
      </c>
      <c r="I1652">
        <v>0</v>
      </c>
      <c r="J1652">
        <v>0</v>
      </c>
      <c r="K1652">
        <v>0</v>
      </c>
      <c r="L1652">
        <v>1</v>
      </c>
      <c r="M1652" t="s">
        <v>36</v>
      </c>
      <c r="N1652" t="s">
        <v>36</v>
      </c>
      <c r="O1652" t="s">
        <v>36</v>
      </c>
      <c r="P1652" t="s">
        <v>442</v>
      </c>
      <c r="Q1652" t="s">
        <v>36</v>
      </c>
      <c r="R1652" t="s">
        <v>36</v>
      </c>
      <c r="S1652" t="s">
        <v>36</v>
      </c>
      <c r="T1652" t="s">
        <v>36</v>
      </c>
      <c r="U1652">
        <v>1</v>
      </c>
      <c r="V1652">
        <v>0</v>
      </c>
      <c r="W1652">
        <v>1</v>
      </c>
      <c r="X1652">
        <v>1</v>
      </c>
      <c r="Y1652">
        <v>0</v>
      </c>
      <c r="Z1652">
        <v>1</v>
      </c>
      <c r="AA1652">
        <v>0</v>
      </c>
      <c r="AB1652">
        <v>0</v>
      </c>
      <c r="AC1652">
        <v>0</v>
      </c>
      <c r="AD1652">
        <v>0</v>
      </c>
      <c r="AE1652">
        <v>0</v>
      </c>
      <c r="AF1652">
        <v>0</v>
      </c>
      <c r="AG1652">
        <v>1</v>
      </c>
    </row>
    <row r="1653" spans="1:33" hidden="1" x14ac:dyDescent="0.2">
      <c r="A1653">
        <v>1652</v>
      </c>
      <c r="B1653" t="s">
        <v>494</v>
      </c>
      <c r="C1653" t="s">
        <v>33</v>
      </c>
      <c r="D1653">
        <v>40</v>
      </c>
      <c r="E1653" t="s">
        <v>34</v>
      </c>
      <c r="F1653" t="s">
        <v>77</v>
      </c>
      <c r="G1653" t="s">
        <v>36</v>
      </c>
      <c r="H1653">
        <v>118764</v>
      </c>
      <c r="I1653" t="s">
        <v>495</v>
      </c>
      <c r="J1653" t="s">
        <v>496</v>
      </c>
      <c r="K1653" t="s">
        <v>497</v>
      </c>
      <c r="L1653" t="s">
        <v>36</v>
      </c>
      <c r="M1653" t="s">
        <v>36</v>
      </c>
      <c r="N1653" t="s">
        <v>36</v>
      </c>
      <c r="O1653" t="s">
        <v>36</v>
      </c>
      <c r="P1653" t="s">
        <v>442</v>
      </c>
      <c r="Q1653" t="s">
        <v>36</v>
      </c>
      <c r="R1653" t="s">
        <v>36</v>
      </c>
      <c r="S1653" t="s">
        <v>36</v>
      </c>
      <c r="T1653" t="s">
        <v>36</v>
      </c>
      <c r="U1653" t="s">
        <v>36</v>
      </c>
      <c r="V1653" t="s">
        <v>36</v>
      </c>
      <c r="W1653" t="s">
        <v>36</v>
      </c>
      <c r="X1653" t="s">
        <v>36</v>
      </c>
      <c r="Y1653" t="s">
        <v>36</v>
      </c>
      <c r="Z1653" t="s">
        <v>36</v>
      </c>
      <c r="AA1653" t="s">
        <v>36</v>
      </c>
      <c r="AB1653" t="s">
        <v>36</v>
      </c>
      <c r="AC1653" t="s">
        <v>36</v>
      </c>
      <c r="AD1653" t="s">
        <v>36</v>
      </c>
      <c r="AE1653" t="s">
        <v>36</v>
      </c>
      <c r="AF1653" t="s">
        <v>36</v>
      </c>
      <c r="AG1653" t="s">
        <v>36</v>
      </c>
    </row>
    <row r="1654" spans="1:33" hidden="1" x14ac:dyDescent="0.2">
      <c r="A1654">
        <v>1653</v>
      </c>
      <c r="B1654" t="s">
        <v>498</v>
      </c>
      <c r="C1654" t="s">
        <v>33</v>
      </c>
      <c r="D1654">
        <v>41</v>
      </c>
      <c r="E1654" t="s">
        <v>114</v>
      </c>
      <c r="F1654" t="s">
        <v>35</v>
      </c>
      <c r="G1654" t="s">
        <v>36</v>
      </c>
      <c r="H1654">
        <v>99167</v>
      </c>
      <c r="I1654" t="s">
        <v>36</v>
      </c>
      <c r="J1654" t="s">
        <v>36</v>
      </c>
      <c r="K1654" t="s">
        <v>36</v>
      </c>
      <c r="L1654" t="s">
        <v>36</v>
      </c>
      <c r="M1654" t="s">
        <v>36</v>
      </c>
      <c r="N1654" t="s">
        <v>36</v>
      </c>
      <c r="O1654" t="s">
        <v>36</v>
      </c>
      <c r="P1654" t="s">
        <v>442</v>
      </c>
      <c r="Q1654" t="s">
        <v>36</v>
      </c>
      <c r="R1654" t="s">
        <v>36</v>
      </c>
      <c r="S1654" t="s">
        <v>36</v>
      </c>
      <c r="T1654" t="s">
        <v>36</v>
      </c>
      <c r="U1654" t="s">
        <v>36</v>
      </c>
      <c r="V1654" t="s">
        <v>36</v>
      </c>
      <c r="W1654" t="s">
        <v>36</v>
      </c>
      <c r="X1654" t="s">
        <v>36</v>
      </c>
      <c r="Y1654" t="s">
        <v>36</v>
      </c>
      <c r="Z1654" t="s">
        <v>36</v>
      </c>
      <c r="AA1654" t="s">
        <v>36</v>
      </c>
      <c r="AB1654" t="s">
        <v>36</v>
      </c>
      <c r="AC1654" t="s">
        <v>36</v>
      </c>
      <c r="AD1654" t="s">
        <v>36</v>
      </c>
      <c r="AE1654" t="s">
        <v>36</v>
      </c>
      <c r="AF1654" t="s">
        <v>36</v>
      </c>
      <c r="AG1654" t="s">
        <v>36</v>
      </c>
    </row>
    <row r="1655" spans="1:33" hidden="1" x14ac:dyDescent="0.2">
      <c r="A1655">
        <v>1654</v>
      </c>
      <c r="B1655" t="s">
        <v>498</v>
      </c>
      <c r="C1655" t="s">
        <v>33</v>
      </c>
      <c r="D1655">
        <v>41</v>
      </c>
      <c r="E1655" t="s">
        <v>114</v>
      </c>
      <c r="F1655" t="s">
        <v>38</v>
      </c>
      <c r="G1655" t="s">
        <v>39</v>
      </c>
      <c r="H1655">
        <v>37633</v>
      </c>
      <c r="I1655">
        <v>0</v>
      </c>
      <c r="J1655">
        <v>0</v>
      </c>
      <c r="K1655">
        <v>0</v>
      </c>
      <c r="L1655">
        <v>1</v>
      </c>
      <c r="M1655" t="s">
        <v>36</v>
      </c>
      <c r="N1655" t="s">
        <v>36</v>
      </c>
      <c r="O1655" t="s">
        <v>36</v>
      </c>
      <c r="P1655" t="s">
        <v>442</v>
      </c>
      <c r="Q1655" t="s">
        <v>36</v>
      </c>
      <c r="R1655" t="s">
        <v>36</v>
      </c>
      <c r="S1655" t="s">
        <v>36</v>
      </c>
      <c r="T1655" t="s">
        <v>36</v>
      </c>
      <c r="U1655" t="s">
        <v>36</v>
      </c>
      <c r="V1655" t="s">
        <v>36</v>
      </c>
      <c r="W1655" t="s">
        <v>36</v>
      </c>
      <c r="X1655" t="s">
        <v>36</v>
      </c>
      <c r="Y1655" t="s">
        <v>36</v>
      </c>
      <c r="Z1655" t="s">
        <v>36</v>
      </c>
      <c r="AA1655" t="s">
        <v>36</v>
      </c>
      <c r="AB1655" t="s">
        <v>36</v>
      </c>
      <c r="AC1655" t="s">
        <v>36</v>
      </c>
      <c r="AD1655" t="s">
        <v>36</v>
      </c>
      <c r="AE1655" t="s">
        <v>36</v>
      </c>
      <c r="AF1655" t="s">
        <v>36</v>
      </c>
      <c r="AG1655" t="s">
        <v>36</v>
      </c>
    </row>
    <row r="1656" spans="1:33" hidden="1" x14ac:dyDescent="0.2">
      <c r="A1656">
        <v>1655</v>
      </c>
      <c r="B1656" t="s">
        <v>498</v>
      </c>
      <c r="C1656" t="s">
        <v>33</v>
      </c>
      <c r="D1656">
        <v>41</v>
      </c>
      <c r="E1656" t="s">
        <v>114</v>
      </c>
      <c r="F1656" t="s">
        <v>38</v>
      </c>
      <c r="G1656" t="s">
        <v>40</v>
      </c>
      <c r="H1656">
        <v>33990</v>
      </c>
      <c r="I1656">
        <v>0</v>
      </c>
      <c r="J1656">
        <v>0</v>
      </c>
      <c r="K1656">
        <v>1</v>
      </c>
      <c r="L1656">
        <v>0</v>
      </c>
      <c r="M1656" t="s">
        <v>36</v>
      </c>
      <c r="N1656" t="s">
        <v>36</v>
      </c>
      <c r="O1656" t="s">
        <v>36</v>
      </c>
      <c r="P1656" t="s">
        <v>442</v>
      </c>
      <c r="Q1656" t="s">
        <v>36</v>
      </c>
      <c r="R1656" t="s">
        <v>36</v>
      </c>
      <c r="S1656" t="s">
        <v>36</v>
      </c>
      <c r="T1656" t="s">
        <v>36</v>
      </c>
      <c r="U1656" t="s">
        <v>36</v>
      </c>
      <c r="V1656" t="s">
        <v>36</v>
      </c>
      <c r="W1656" t="s">
        <v>36</v>
      </c>
      <c r="X1656" t="s">
        <v>36</v>
      </c>
      <c r="Y1656" t="s">
        <v>36</v>
      </c>
      <c r="Z1656" t="s">
        <v>36</v>
      </c>
      <c r="AA1656" t="s">
        <v>36</v>
      </c>
      <c r="AB1656" t="s">
        <v>36</v>
      </c>
      <c r="AC1656" t="s">
        <v>36</v>
      </c>
      <c r="AD1656" t="s">
        <v>36</v>
      </c>
      <c r="AE1656" t="s">
        <v>36</v>
      </c>
      <c r="AF1656" t="s">
        <v>36</v>
      </c>
      <c r="AG1656" t="s">
        <v>36</v>
      </c>
    </row>
    <row r="1657" spans="1:33" x14ac:dyDescent="0.2">
      <c r="A1657">
        <v>1656</v>
      </c>
      <c r="B1657" t="s">
        <v>498</v>
      </c>
      <c r="C1657" t="s">
        <v>33</v>
      </c>
      <c r="D1657">
        <v>41</v>
      </c>
      <c r="E1657" t="s">
        <v>114</v>
      </c>
      <c r="F1657" t="s">
        <v>41</v>
      </c>
      <c r="G1657" t="s">
        <v>55</v>
      </c>
      <c r="H1657">
        <v>39910</v>
      </c>
      <c r="I1657">
        <v>1</v>
      </c>
      <c r="J1657">
        <v>1</v>
      </c>
      <c r="K1657">
        <v>1</v>
      </c>
      <c r="L1657">
        <v>0</v>
      </c>
      <c r="M1657" t="s">
        <v>84</v>
      </c>
      <c r="N1657" t="s">
        <v>58</v>
      </c>
      <c r="O1657" t="s">
        <v>85</v>
      </c>
      <c r="P1657" t="s">
        <v>442</v>
      </c>
      <c r="Q1657" t="s">
        <v>46</v>
      </c>
      <c r="R1657" t="s">
        <v>60</v>
      </c>
      <c r="S1657" t="s">
        <v>65</v>
      </c>
      <c r="T1657">
        <v>1</v>
      </c>
      <c r="U1657">
        <v>1</v>
      </c>
      <c r="V1657">
        <v>0</v>
      </c>
      <c r="W1657">
        <v>0</v>
      </c>
      <c r="X1657">
        <v>1</v>
      </c>
      <c r="Y1657">
        <v>0</v>
      </c>
      <c r="Z1657">
        <v>1</v>
      </c>
      <c r="AA1657">
        <v>1</v>
      </c>
      <c r="AB1657">
        <v>1</v>
      </c>
      <c r="AC1657">
        <v>0</v>
      </c>
      <c r="AD1657">
        <v>0</v>
      </c>
      <c r="AE1657">
        <v>1</v>
      </c>
      <c r="AF1657">
        <v>0</v>
      </c>
      <c r="AG1657">
        <v>0</v>
      </c>
    </row>
    <row r="1658" spans="1:33" hidden="1" x14ac:dyDescent="0.2">
      <c r="A1658">
        <v>1657</v>
      </c>
      <c r="B1658" t="s">
        <v>498</v>
      </c>
      <c r="C1658" t="s">
        <v>33</v>
      </c>
      <c r="D1658">
        <v>41</v>
      </c>
      <c r="E1658" t="s">
        <v>114</v>
      </c>
      <c r="F1658" t="s">
        <v>53</v>
      </c>
      <c r="G1658" t="s">
        <v>54</v>
      </c>
      <c r="H1658">
        <v>32008</v>
      </c>
      <c r="I1658">
        <v>1</v>
      </c>
      <c r="J1658">
        <v>1</v>
      </c>
      <c r="K1658">
        <v>1</v>
      </c>
      <c r="L1658">
        <v>0</v>
      </c>
      <c r="M1658" t="s">
        <v>36</v>
      </c>
      <c r="N1658" t="s">
        <v>36</v>
      </c>
      <c r="O1658" t="s">
        <v>36</v>
      </c>
      <c r="P1658" t="s">
        <v>442</v>
      </c>
      <c r="Q1658" t="s">
        <v>36</v>
      </c>
      <c r="R1658" t="s">
        <v>36</v>
      </c>
      <c r="S1658" t="s">
        <v>36</v>
      </c>
      <c r="T1658" t="s">
        <v>36</v>
      </c>
      <c r="U1658">
        <v>1</v>
      </c>
      <c r="V1658">
        <v>0</v>
      </c>
      <c r="W1658">
        <v>0</v>
      </c>
      <c r="X1658">
        <v>1</v>
      </c>
      <c r="Y1658">
        <v>0</v>
      </c>
      <c r="Z1658">
        <v>1</v>
      </c>
      <c r="AA1658">
        <v>1</v>
      </c>
      <c r="AB1658">
        <v>1</v>
      </c>
      <c r="AC1658">
        <v>0</v>
      </c>
      <c r="AD1658">
        <v>0</v>
      </c>
      <c r="AE1658">
        <v>1</v>
      </c>
      <c r="AF1658">
        <v>0</v>
      </c>
      <c r="AG1658">
        <v>0</v>
      </c>
    </row>
    <row r="1659" spans="1:33" x14ac:dyDescent="0.2">
      <c r="A1659">
        <v>1658</v>
      </c>
      <c r="B1659" t="s">
        <v>498</v>
      </c>
      <c r="C1659" t="s">
        <v>33</v>
      </c>
      <c r="D1659">
        <v>41</v>
      </c>
      <c r="E1659" t="s">
        <v>114</v>
      </c>
      <c r="F1659" t="s">
        <v>41</v>
      </c>
      <c r="G1659" t="s">
        <v>42</v>
      </c>
      <c r="H1659">
        <v>26180</v>
      </c>
      <c r="I1659">
        <v>1</v>
      </c>
      <c r="J1659">
        <v>1</v>
      </c>
      <c r="K1659">
        <v>1</v>
      </c>
      <c r="L1659">
        <v>0</v>
      </c>
      <c r="M1659" t="s">
        <v>82</v>
      </c>
      <c r="N1659" t="s">
        <v>44</v>
      </c>
      <c r="O1659" t="s">
        <v>45</v>
      </c>
      <c r="P1659" t="s">
        <v>442</v>
      </c>
      <c r="Q1659" t="s">
        <v>65</v>
      </c>
      <c r="R1659" t="s">
        <v>47</v>
      </c>
      <c r="S1659" t="s">
        <v>48</v>
      </c>
      <c r="T1659">
        <v>0</v>
      </c>
      <c r="U1659">
        <v>1</v>
      </c>
      <c r="V1659">
        <v>1</v>
      </c>
      <c r="W1659">
        <v>1</v>
      </c>
      <c r="X1659">
        <v>0</v>
      </c>
      <c r="Y1659">
        <v>0</v>
      </c>
      <c r="Z1659">
        <v>1</v>
      </c>
      <c r="AA1659">
        <v>0</v>
      </c>
      <c r="AB1659">
        <v>1</v>
      </c>
      <c r="AC1659">
        <v>1</v>
      </c>
      <c r="AD1659">
        <v>1</v>
      </c>
      <c r="AE1659">
        <v>0</v>
      </c>
      <c r="AF1659">
        <v>0</v>
      </c>
      <c r="AG1659">
        <v>0</v>
      </c>
    </row>
    <row r="1660" spans="1:33" x14ac:dyDescent="0.2">
      <c r="A1660">
        <v>1659</v>
      </c>
      <c r="B1660" t="s">
        <v>498</v>
      </c>
      <c r="C1660" t="s">
        <v>33</v>
      </c>
      <c r="D1660">
        <v>41</v>
      </c>
      <c r="E1660" t="s">
        <v>114</v>
      </c>
      <c r="F1660" t="s">
        <v>41</v>
      </c>
      <c r="G1660" t="s">
        <v>72</v>
      </c>
      <c r="H1660">
        <v>23362</v>
      </c>
      <c r="I1660">
        <v>1</v>
      </c>
      <c r="J1660">
        <v>1</v>
      </c>
      <c r="K1660">
        <v>1</v>
      </c>
      <c r="L1660">
        <v>0</v>
      </c>
      <c r="M1660" t="s">
        <v>73</v>
      </c>
      <c r="N1660" t="s">
        <v>104</v>
      </c>
      <c r="O1660" t="s">
        <v>74</v>
      </c>
      <c r="P1660" t="s">
        <v>442</v>
      </c>
      <c r="Q1660" t="s">
        <v>48</v>
      </c>
      <c r="R1660" t="s">
        <v>60</v>
      </c>
      <c r="S1660" t="s">
        <v>47</v>
      </c>
      <c r="T1660">
        <v>1</v>
      </c>
      <c r="U1660">
        <v>0</v>
      </c>
      <c r="V1660">
        <v>1</v>
      </c>
      <c r="W1660">
        <v>1</v>
      </c>
      <c r="X1660">
        <v>0</v>
      </c>
      <c r="Y1660">
        <v>0</v>
      </c>
      <c r="Z1660">
        <v>1</v>
      </c>
      <c r="AA1660">
        <v>1</v>
      </c>
      <c r="AB1660">
        <v>0</v>
      </c>
      <c r="AC1660">
        <v>1</v>
      </c>
      <c r="AD1660">
        <v>1</v>
      </c>
      <c r="AE1660">
        <v>0</v>
      </c>
      <c r="AF1660">
        <v>0</v>
      </c>
      <c r="AG1660">
        <v>0</v>
      </c>
    </row>
    <row r="1661" spans="1:33" hidden="1" x14ac:dyDescent="0.2">
      <c r="A1661">
        <v>1660</v>
      </c>
      <c r="B1661" t="s">
        <v>498</v>
      </c>
      <c r="C1661" t="s">
        <v>33</v>
      </c>
      <c r="D1661">
        <v>41</v>
      </c>
      <c r="E1661" t="s">
        <v>114</v>
      </c>
      <c r="F1661" t="s">
        <v>53</v>
      </c>
      <c r="G1661" t="s">
        <v>66</v>
      </c>
      <c r="H1661">
        <v>35127</v>
      </c>
      <c r="I1661">
        <v>1</v>
      </c>
      <c r="J1661">
        <v>1</v>
      </c>
      <c r="K1661">
        <v>0</v>
      </c>
      <c r="L1661">
        <v>0</v>
      </c>
      <c r="M1661" t="s">
        <v>36</v>
      </c>
      <c r="N1661" t="s">
        <v>36</v>
      </c>
      <c r="O1661" t="s">
        <v>36</v>
      </c>
      <c r="P1661" t="s">
        <v>442</v>
      </c>
      <c r="Q1661" t="s">
        <v>36</v>
      </c>
      <c r="R1661" t="s">
        <v>36</v>
      </c>
      <c r="S1661" t="s">
        <v>36</v>
      </c>
      <c r="T1661" t="s">
        <v>36</v>
      </c>
      <c r="U1661">
        <v>0</v>
      </c>
      <c r="V1661">
        <v>1</v>
      </c>
      <c r="W1661">
        <v>1</v>
      </c>
      <c r="X1661">
        <v>0</v>
      </c>
      <c r="Y1661">
        <v>0</v>
      </c>
      <c r="Z1661">
        <v>1</v>
      </c>
      <c r="AA1661">
        <v>1</v>
      </c>
      <c r="AB1661">
        <v>0</v>
      </c>
      <c r="AC1661">
        <v>1</v>
      </c>
      <c r="AD1661">
        <v>1</v>
      </c>
      <c r="AE1661">
        <v>0</v>
      </c>
      <c r="AF1661">
        <v>0</v>
      </c>
      <c r="AG1661">
        <v>0</v>
      </c>
    </row>
    <row r="1662" spans="1:33" x14ac:dyDescent="0.2">
      <c r="A1662">
        <v>1661</v>
      </c>
      <c r="B1662" t="s">
        <v>498</v>
      </c>
      <c r="C1662" t="s">
        <v>33</v>
      </c>
      <c r="D1662">
        <v>41</v>
      </c>
      <c r="E1662" t="s">
        <v>114</v>
      </c>
      <c r="F1662" t="s">
        <v>41</v>
      </c>
      <c r="G1662" t="s">
        <v>49</v>
      </c>
      <c r="H1662">
        <v>24755</v>
      </c>
      <c r="I1662">
        <v>1</v>
      </c>
      <c r="J1662">
        <v>1</v>
      </c>
      <c r="K1662">
        <v>1</v>
      </c>
      <c r="L1662">
        <v>0</v>
      </c>
      <c r="M1662" t="s">
        <v>95</v>
      </c>
      <c r="N1662" t="s">
        <v>83</v>
      </c>
      <c r="O1662" t="s">
        <v>50</v>
      </c>
      <c r="P1662" t="s">
        <v>442</v>
      </c>
      <c r="Q1662" t="s">
        <v>60</v>
      </c>
      <c r="R1662" t="s">
        <v>59</v>
      </c>
      <c r="S1662" t="s">
        <v>48</v>
      </c>
      <c r="T1662">
        <v>1</v>
      </c>
      <c r="U1662">
        <v>0</v>
      </c>
      <c r="V1662">
        <v>1</v>
      </c>
      <c r="W1662">
        <v>0</v>
      </c>
      <c r="X1662">
        <v>0</v>
      </c>
      <c r="Y1662">
        <v>0</v>
      </c>
      <c r="Z1662">
        <v>1</v>
      </c>
      <c r="AA1662">
        <v>1</v>
      </c>
      <c r="AB1662">
        <v>0</v>
      </c>
      <c r="AC1662">
        <v>1</v>
      </c>
      <c r="AD1662">
        <v>0</v>
      </c>
      <c r="AE1662">
        <v>0</v>
      </c>
      <c r="AF1662">
        <v>0</v>
      </c>
      <c r="AG1662">
        <v>0</v>
      </c>
    </row>
    <row r="1663" spans="1:33" hidden="1" x14ac:dyDescent="0.2">
      <c r="A1663">
        <v>1662</v>
      </c>
      <c r="B1663" t="s">
        <v>498</v>
      </c>
      <c r="C1663" t="s">
        <v>33</v>
      </c>
      <c r="D1663">
        <v>41</v>
      </c>
      <c r="E1663" t="s">
        <v>114</v>
      </c>
      <c r="F1663" t="s">
        <v>53</v>
      </c>
      <c r="G1663" t="s">
        <v>71</v>
      </c>
      <c r="H1663">
        <v>37496</v>
      </c>
      <c r="I1663">
        <v>0</v>
      </c>
      <c r="J1663">
        <v>0</v>
      </c>
      <c r="K1663">
        <v>1</v>
      </c>
      <c r="L1663">
        <v>0</v>
      </c>
      <c r="M1663" t="s">
        <v>36</v>
      </c>
      <c r="N1663" t="s">
        <v>36</v>
      </c>
      <c r="O1663" t="s">
        <v>36</v>
      </c>
      <c r="P1663" t="s">
        <v>442</v>
      </c>
      <c r="Q1663" t="s">
        <v>36</v>
      </c>
      <c r="R1663" t="s">
        <v>36</v>
      </c>
      <c r="S1663" t="s">
        <v>36</v>
      </c>
      <c r="T1663" t="s">
        <v>36</v>
      </c>
      <c r="U1663">
        <v>0</v>
      </c>
      <c r="V1663">
        <v>1</v>
      </c>
      <c r="W1663">
        <v>0</v>
      </c>
      <c r="X1663">
        <v>0</v>
      </c>
      <c r="Y1663">
        <v>0</v>
      </c>
      <c r="Z1663">
        <v>1</v>
      </c>
      <c r="AA1663">
        <v>1</v>
      </c>
      <c r="AB1663">
        <v>0</v>
      </c>
      <c r="AC1663">
        <v>1</v>
      </c>
      <c r="AD1663">
        <v>0</v>
      </c>
      <c r="AE1663">
        <v>0</v>
      </c>
      <c r="AF1663">
        <v>0</v>
      </c>
      <c r="AG1663">
        <v>0</v>
      </c>
    </row>
    <row r="1664" spans="1:33" x14ac:dyDescent="0.2">
      <c r="A1664">
        <v>1663</v>
      </c>
      <c r="B1664" t="s">
        <v>498</v>
      </c>
      <c r="C1664" t="s">
        <v>33</v>
      </c>
      <c r="D1664">
        <v>41</v>
      </c>
      <c r="E1664" t="s">
        <v>114</v>
      </c>
      <c r="F1664" t="s">
        <v>41</v>
      </c>
      <c r="G1664" t="s">
        <v>61</v>
      </c>
      <c r="H1664">
        <v>17558</v>
      </c>
      <c r="I1664">
        <v>1</v>
      </c>
      <c r="J1664">
        <v>1</v>
      </c>
      <c r="K1664">
        <v>1</v>
      </c>
      <c r="L1664">
        <v>0</v>
      </c>
      <c r="M1664" t="s">
        <v>63</v>
      </c>
      <c r="N1664" t="s">
        <v>64</v>
      </c>
      <c r="O1664" t="s">
        <v>62</v>
      </c>
      <c r="P1664" t="s">
        <v>442</v>
      </c>
      <c r="Q1664" t="s">
        <v>46</v>
      </c>
      <c r="R1664" t="s">
        <v>48</v>
      </c>
      <c r="S1664" t="s">
        <v>65</v>
      </c>
      <c r="T1664">
        <v>0</v>
      </c>
      <c r="U1664">
        <v>1</v>
      </c>
      <c r="V1664">
        <v>1</v>
      </c>
      <c r="W1664">
        <v>0</v>
      </c>
      <c r="X1664">
        <v>1</v>
      </c>
      <c r="Y1664">
        <v>0</v>
      </c>
      <c r="Z1664">
        <v>1</v>
      </c>
      <c r="AA1664">
        <v>0</v>
      </c>
      <c r="AB1664">
        <v>1</v>
      </c>
      <c r="AC1664">
        <v>1</v>
      </c>
      <c r="AD1664">
        <v>0</v>
      </c>
      <c r="AE1664">
        <v>1</v>
      </c>
      <c r="AF1664">
        <v>0</v>
      </c>
      <c r="AG1664">
        <v>0</v>
      </c>
    </row>
    <row r="1665" spans="1:33" x14ac:dyDescent="0.2">
      <c r="A1665">
        <v>1664</v>
      </c>
      <c r="B1665" t="s">
        <v>498</v>
      </c>
      <c r="C1665" t="s">
        <v>33</v>
      </c>
      <c r="D1665">
        <v>41</v>
      </c>
      <c r="E1665" t="s">
        <v>114</v>
      </c>
      <c r="F1665" t="s">
        <v>41</v>
      </c>
      <c r="G1665" t="s">
        <v>67</v>
      </c>
      <c r="H1665">
        <v>22080</v>
      </c>
      <c r="I1665">
        <v>1</v>
      </c>
      <c r="J1665">
        <v>1</v>
      </c>
      <c r="K1665">
        <v>1</v>
      </c>
      <c r="L1665">
        <v>0</v>
      </c>
      <c r="M1665" t="s">
        <v>103</v>
      </c>
      <c r="N1665" t="s">
        <v>70</v>
      </c>
      <c r="O1665" t="s">
        <v>68</v>
      </c>
      <c r="P1665" t="s">
        <v>442</v>
      </c>
      <c r="Q1665" t="s">
        <v>60</v>
      </c>
      <c r="R1665" t="s">
        <v>47</v>
      </c>
      <c r="S1665" t="s">
        <v>65</v>
      </c>
      <c r="T1665">
        <v>1</v>
      </c>
      <c r="U1665">
        <v>1</v>
      </c>
      <c r="V1665">
        <v>0</v>
      </c>
      <c r="W1665">
        <v>1</v>
      </c>
      <c r="X1665">
        <v>0</v>
      </c>
      <c r="Y1665">
        <v>0</v>
      </c>
      <c r="Z1665">
        <v>1</v>
      </c>
      <c r="AA1665">
        <v>1</v>
      </c>
      <c r="AB1665">
        <v>1</v>
      </c>
      <c r="AC1665">
        <v>0</v>
      </c>
      <c r="AD1665">
        <v>1</v>
      </c>
      <c r="AE1665">
        <v>0</v>
      </c>
      <c r="AF1665">
        <v>0</v>
      </c>
      <c r="AG1665">
        <v>0</v>
      </c>
    </row>
    <row r="1666" spans="1:33" hidden="1" x14ac:dyDescent="0.2">
      <c r="A1666">
        <v>1665</v>
      </c>
      <c r="B1666" t="s">
        <v>498</v>
      </c>
      <c r="C1666" t="s">
        <v>33</v>
      </c>
      <c r="D1666">
        <v>41</v>
      </c>
      <c r="E1666" t="s">
        <v>114</v>
      </c>
      <c r="F1666" t="s">
        <v>53</v>
      </c>
      <c r="G1666" t="s">
        <v>76</v>
      </c>
      <c r="H1666">
        <v>18059</v>
      </c>
      <c r="I1666">
        <v>1</v>
      </c>
      <c r="J1666">
        <v>1</v>
      </c>
      <c r="K1666">
        <v>0</v>
      </c>
      <c r="L1666">
        <v>0</v>
      </c>
      <c r="M1666" t="s">
        <v>36</v>
      </c>
      <c r="N1666" t="s">
        <v>36</v>
      </c>
      <c r="O1666" t="s">
        <v>36</v>
      </c>
      <c r="P1666" t="s">
        <v>442</v>
      </c>
      <c r="Q1666" t="s">
        <v>36</v>
      </c>
      <c r="R1666" t="s">
        <v>36</v>
      </c>
      <c r="S1666" t="s">
        <v>36</v>
      </c>
      <c r="T1666" t="s">
        <v>36</v>
      </c>
      <c r="U1666">
        <v>1</v>
      </c>
      <c r="V1666">
        <v>0</v>
      </c>
      <c r="W1666">
        <v>1</v>
      </c>
      <c r="X1666">
        <v>0</v>
      </c>
      <c r="Y1666">
        <v>0</v>
      </c>
      <c r="Z1666">
        <v>1</v>
      </c>
      <c r="AA1666">
        <v>1</v>
      </c>
      <c r="AB1666">
        <v>1</v>
      </c>
      <c r="AC1666">
        <v>0</v>
      </c>
      <c r="AD1666">
        <v>1</v>
      </c>
      <c r="AE1666">
        <v>0</v>
      </c>
      <c r="AF1666">
        <v>0</v>
      </c>
      <c r="AG1666">
        <v>0</v>
      </c>
    </row>
    <row r="1667" spans="1:33" hidden="1" x14ac:dyDescent="0.2">
      <c r="A1667">
        <v>1666</v>
      </c>
      <c r="B1667" t="s">
        <v>498</v>
      </c>
      <c r="C1667" t="s">
        <v>33</v>
      </c>
      <c r="D1667">
        <v>41</v>
      </c>
      <c r="E1667" t="s">
        <v>114</v>
      </c>
      <c r="F1667" t="s">
        <v>77</v>
      </c>
      <c r="G1667" t="s">
        <v>36</v>
      </c>
      <c r="H1667">
        <v>82484</v>
      </c>
      <c r="I1667" t="s">
        <v>499</v>
      </c>
      <c r="J1667" t="s">
        <v>500</v>
      </c>
      <c r="K1667" t="s">
        <v>501</v>
      </c>
      <c r="L1667" t="s">
        <v>36</v>
      </c>
      <c r="M1667" t="s">
        <v>36</v>
      </c>
      <c r="N1667" t="s">
        <v>36</v>
      </c>
      <c r="O1667" t="s">
        <v>36</v>
      </c>
      <c r="P1667" t="s">
        <v>442</v>
      </c>
      <c r="Q1667" t="s">
        <v>36</v>
      </c>
      <c r="R1667" t="s">
        <v>36</v>
      </c>
      <c r="S1667" t="s">
        <v>36</v>
      </c>
      <c r="T1667" t="s">
        <v>36</v>
      </c>
      <c r="U1667" t="s">
        <v>36</v>
      </c>
      <c r="V1667" t="s">
        <v>36</v>
      </c>
      <c r="W1667" t="s">
        <v>36</v>
      </c>
      <c r="X1667" t="s">
        <v>36</v>
      </c>
      <c r="Y1667" t="s">
        <v>36</v>
      </c>
      <c r="Z1667" t="s">
        <v>36</v>
      </c>
      <c r="AA1667" t="s">
        <v>36</v>
      </c>
      <c r="AB1667" t="s">
        <v>36</v>
      </c>
      <c r="AC1667" t="s">
        <v>36</v>
      </c>
      <c r="AD1667" t="s">
        <v>36</v>
      </c>
      <c r="AE1667" t="s">
        <v>36</v>
      </c>
      <c r="AF1667" t="s">
        <v>36</v>
      </c>
      <c r="AG1667" t="s">
        <v>36</v>
      </c>
    </row>
    <row r="1668" spans="1:33" hidden="1" x14ac:dyDescent="0.2">
      <c r="A1668">
        <v>1667</v>
      </c>
      <c r="B1668" t="s">
        <v>502</v>
      </c>
      <c r="C1668" t="s">
        <v>33</v>
      </c>
      <c r="D1668">
        <v>28</v>
      </c>
      <c r="E1668" t="s">
        <v>114</v>
      </c>
      <c r="F1668" t="s">
        <v>35</v>
      </c>
      <c r="G1668" t="s">
        <v>36</v>
      </c>
      <c r="H1668">
        <v>12614</v>
      </c>
      <c r="I1668" t="s">
        <v>36</v>
      </c>
      <c r="J1668" t="s">
        <v>36</v>
      </c>
      <c r="K1668" t="s">
        <v>36</v>
      </c>
      <c r="L1668" t="s">
        <v>36</v>
      </c>
      <c r="M1668" t="s">
        <v>36</v>
      </c>
      <c r="N1668" t="s">
        <v>36</v>
      </c>
      <c r="O1668" t="s">
        <v>36</v>
      </c>
      <c r="P1668" t="s">
        <v>442</v>
      </c>
      <c r="Q1668" t="s">
        <v>36</v>
      </c>
      <c r="R1668" t="s">
        <v>36</v>
      </c>
      <c r="S1668" t="s">
        <v>36</v>
      </c>
      <c r="T1668" t="s">
        <v>36</v>
      </c>
      <c r="U1668" t="s">
        <v>36</v>
      </c>
      <c r="V1668" t="s">
        <v>36</v>
      </c>
      <c r="W1668" t="s">
        <v>36</v>
      </c>
      <c r="X1668" t="s">
        <v>36</v>
      </c>
      <c r="Y1668" t="s">
        <v>36</v>
      </c>
      <c r="Z1668" t="s">
        <v>36</v>
      </c>
      <c r="AA1668" t="s">
        <v>36</v>
      </c>
      <c r="AB1668" t="s">
        <v>36</v>
      </c>
      <c r="AC1668" t="s">
        <v>36</v>
      </c>
      <c r="AD1668" t="s">
        <v>36</v>
      </c>
      <c r="AE1668" t="s">
        <v>36</v>
      </c>
      <c r="AF1668" t="s">
        <v>36</v>
      </c>
      <c r="AG1668" t="s">
        <v>36</v>
      </c>
    </row>
    <row r="1669" spans="1:33" hidden="1" x14ac:dyDescent="0.2">
      <c r="A1669">
        <v>1668</v>
      </c>
      <c r="B1669" t="s">
        <v>502</v>
      </c>
      <c r="C1669" t="s">
        <v>33</v>
      </c>
      <c r="D1669">
        <v>28</v>
      </c>
      <c r="E1669" t="s">
        <v>114</v>
      </c>
      <c r="F1669" t="s">
        <v>38</v>
      </c>
      <c r="G1669" t="s">
        <v>39</v>
      </c>
      <c r="H1669">
        <v>26487</v>
      </c>
      <c r="I1669">
        <v>0</v>
      </c>
      <c r="J1669">
        <v>0</v>
      </c>
      <c r="K1669">
        <v>0</v>
      </c>
      <c r="L1669">
        <v>1</v>
      </c>
      <c r="M1669" t="s">
        <v>36</v>
      </c>
      <c r="N1669" t="s">
        <v>36</v>
      </c>
      <c r="O1669" t="s">
        <v>36</v>
      </c>
      <c r="P1669" t="s">
        <v>442</v>
      </c>
      <c r="Q1669" t="s">
        <v>36</v>
      </c>
      <c r="R1669" t="s">
        <v>36</v>
      </c>
      <c r="S1669" t="s">
        <v>36</v>
      </c>
      <c r="T1669" t="s">
        <v>36</v>
      </c>
      <c r="U1669" t="s">
        <v>36</v>
      </c>
      <c r="V1669" t="s">
        <v>36</v>
      </c>
      <c r="W1669" t="s">
        <v>36</v>
      </c>
      <c r="X1669" t="s">
        <v>36</v>
      </c>
      <c r="Y1669" t="s">
        <v>36</v>
      </c>
      <c r="Z1669" t="s">
        <v>36</v>
      </c>
      <c r="AA1669" t="s">
        <v>36</v>
      </c>
      <c r="AB1669" t="s">
        <v>36</v>
      </c>
      <c r="AC1669" t="s">
        <v>36</v>
      </c>
      <c r="AD1669" t="s">
        <v>36</v>
      </c>
      <c r="AE1669" t="s">
        <v>36</v>
      </c>
      <c r="AF1669" t="s">
        <v>36</v>
      </c>
      <c r="AG1669" t="s">
        <v>36</v>
      </c>
    </row>
    <row r="1670" spans="1:33" hidden="1" x14ac:dyDescent="0.2">
      <c r="A1670">
        <v>1669</v>
      </c>
      <c r="B1670" t="s">
        <v>502</v>
      </c>
      <c r="C1670" t="s">
        <v>33</v>
      </c>
      <c r="D1670">
        <v>28</v>
      </c>
      <c r="E1670" t="s">
        <v>114</v>
      </c>
      <c r="F1670" t="s">
        <v>38</v>
      </c>
      <c r="G1670" t="s">
        <v>40</v>
      </c>
      <c r="H1670">
        <v>30313</v>
      </c>
      <c r="I1670">
        <v>0</v>
      </c>
      <c r="J1670">
        <v>0</v>
      </c>
      <c r="K1670">
        <v>0</v>
      </c>
      <c r="L1670">
        <v>1</v>
      </c>
      <c r="M1670" t="s">
        <v>36</v>
      </c>
      <c r="N1670" t="s">
        <v>36</v>
      </c>
      <c r="O1670" t="s">
        <v>36</v>
      </c>
      <c r="P1670" t="s">
        <v>442</v>
      </c>
      <c r="Q1670" t="s">
        <v>36</v>
      </c>
      <c r="R1670" t="s">
        <v>36</v>
      </c>
      <c r="S1670" t="s">
        <v>36</v>
      </c>
      <c r="T1670" t="s">
        <v>36</v>
      </c>
      <c r="U1670" t="s">
        <v>36</v>
      </c>
      <c r="V1670" t="s">
        <v>36</v>
      </c>
      <c r="W1670" t="s">
        <v>36</v>
      </c>
      <c r="X1670" t="s">
        <v>36</v>
      </c>
      <c r="Y1670" t="s">
        <v>36</v>
      </c>
      <c r="Z1670" t="s">
        <v>36</v>
      </c>
      <c r="AA1670" t="s">
        <v>36</v>
      </c>
      <c r="AB1670" t="s">
        <v>36</v>
      </c>
      <c r="AC1670" t="s">
        <v>36</v>
      </c>
      <c r="AD1670" t="s">
        <v>36</v>
      </c>
      <c r="AE1670" t="s">
        <v>36</v>
      </c>
      <c r="AF1670" t="s">
        <v>36</v>
      </c>
      <c r="AG1670" t="s">
        <v>36</v>
      </c>
    </row>
    <row r="1671" spans="1:33" x14ac:dyDescent="0.2">
      <c r="A1671">
        <v>1670</v>
      </c>
      <c r="B1671" t="s">
        <v>502</v>
      </c>
      <c r="C1671" t="s">
        <v>33</v>
      </c>
      <c r="D1671">
        <v>28</v>
      </c>
      <c r="E1671" t="s">
        <v>114</v>
      </c>
      <c r="F1671" t="s">
        <v>41</v>
      </c>
      <c r="G1671" t="s">
        <v>55</v>
      </c>
      <c r="H1671">
        <v>24713</v>
      </c>
      <c r="I1671">
        <v>1</v>
      </c>
      <c r="J1671">
        <v>1</v>
      </c>
      <c r="K1671">
        <v>0</v>
      </c>
      <c r="L1671">
        <v>0</v>
      </c>
      <c r="M1671" t="s">
        <v>84</v>
      </c>
      <c r="N1671" t="s">
        <v>57</v>
      </c>
      <c r="O1671" t="s">
        <v>58</v>
      </c>
      <c r="P1671" t="s">
        <v>442</v>
      </c>
      <c r="Q1671" t="s">
        <v>46</v>
      </c>
      <c r="R1671" t="s">
        <v>48</v>
      </c>
      <c r="S1671" t="s">
        <v>60</v>
      </c>
      <c r="T1671">
        <v>1</v>
      </c>
      <c r="U1671">
        <v>0</v>
      </c>
      <c r="V1671">
        <v>1</v>
      </c>
      <c r="W1671">
        <v>0</v>
      </c>
      <c r="X1671">
        <v>1</v>
      </c>
      <c r="Y1671">
        <v>0</v>
      </c>
      <c r="Z1671">
        <v>1</v>
      </c>
      <c r="AA1671">
        <v>0</v>
      </c>
      <c r="AB1671">
        <v>0</v>
      </c>
      <c r="AC1671">
        <v>1</v>
      </c>
      <c r="AD1671">
        <v>0</v>
      </c>
      <c r="AE1671">
        <v>1</v>
      </c>
      <c r="AF1671">
        <v>0</v>
      </c>
      <c r="AG1671">
        <v>0</v>
      </c>
    </row>
    <row r="1672" spans="1:33" hidden="1" x14ac:dyDescent="0.2">
      <c r="A1672">
        <v>1671</v>
      </c>
      <c r="B1672" t="s">
        <v>502</v>
      </c>
      <c r="C1672" t="s">
        <v>33</v>
      </c>
      <c r="D1672">
        <v>28</v>
      </c>
      <c r="E1672" t="s">
        <v>114</v>
      </c>
      <c r="F1672" t="s">
        <v>53</v>
      </c>
      <c r="G1672" t="s">
        <v>71</v>
      </c>
      <c r="H1672">
        <v>23521</v>
      </c>
      <c r="I1672">
        <v>0</v>
      </c>
      <c r="J1672">
        <v>1</v>
      </c>
      <c r="K1672">
        <v>1</v>
      </c>
      <c r="L1672">
        <v>0</v>
      </c>
      <c r="M1672" t="s">
        <v>36</v>
      </c>
      <c r="N1672" t="s">
        <v>36</v>
      </c>
      <c r="O1672" t="s">
        <v>36</v>
      </c>
      <c r="P1672" t="s">
        <v>442</v>
      </c>
      <c r="Q1672" t="s">
        <v>36</v>
      </c>
      <c r="R1672" t="s">
        <v>36</v>
      </c>
      <c r="S1672" t="s">
        <v>36</v>
      </c>
      <c r="T1672" t="s">
        <v>36</v>
      </c>
      <c r="U1672">
        <v>0</v>
      </c>
      <c r="V1672">
        <v>1</v>
      </c>
      <c r="W1672">
        <v>0</v>
      </c>
      <c r="X1672">
        <v>1</v>
      </c>
      <c r="Y1672">
        <v>0</v>
      </c>
      <c r="Z1672">
        <v>1</v>
      </c>
      <c r="AA1672">
        <v>0</v>
      </c>
      <c r="AB1672">
        <v>0</v>
      </c>
      <c r="AC1672">
        <v>1</v>
      </c>
      <c r="AD1672">
        <v>0</v>
      </c>
      <c r="AE1672">
        <v>1</v>
      </c>
      <c r="AF1672">
        <v>0</v>
      </c>
      <c r="AG1672">
        <v>0</v>
      </c>
    </row>
    <row r="1673" spans="1:33" x14ac:dyDescent="0.2">
      <c r="A1673">
        <v>1672</v>
      </c>
      <c r="B1673" t="s">
        <v>502</v>
      </c>
      <c r="C1673" t="s">
        <v>33</v>
      </c>
      <c r="D1673">
        <v>28</v>
      </c>
      <c r="E1673" t="s">
        <v>114</v>
      </c>
      <c r="F1673" t="s">
        <v>41</v>
      </c>
      <c r="G1673" t="s">
        <v>67</v>
      </c>
      <c r="H1673">
        <v>32778</v>
      </c>
      <c r="I1673">
        <v>1</v>
      </c>
      <c r="J1673">
        <v>0</v>
      </c>
      <c r="K1673">
        <v>1</v>
      </c>
      <c r="L1673">
        <v>0</v>
      </c>
      <c r="M1673" t="s">
        <v>86</v>
      </c>
      <c r="N1673" t="s">
        <v>68</v>
      </c>
      <c r="O1673" t="s">
        <v>69</v>
      </c>
      <c r="P1673" t="s">
        <v>442</v>
      </c>
      <c r="Q1673" t="s">
        <v>46</v>
      </c>
      <c r="R1673" t="s">
        <v>65</v>
      </c>
      <c r="S1673" t="s">
        <v>48</v>
      </c>
      <c r="T1673">
        <v>0</v>
      </c>
      <c r="U1673">
        <v>1</v>
      </c>
      <c r="V1673">
        <v>1</v>
      </c>
      <c r="W1673">
        <v>0</v>
      </c>
      <c r="X1673">
        <v>1</v>
      </c>
      <c r="Y1673">
        <v>0</v>
      </c>
      <c r="Z1673">
        <v>1</v>
      </c>
      <c r="AA1673">
        <v>0</v>
      </c>
      <c r="AB1673">
        <v>0</v>
      </c>
      <c r="AC1673">
        <v>1</v>
      </c>
      <c r="AD1673">
        <v>0</v>
      </c>
      <c r="AE1673">
        <v>1</v>
      </c>
      <c r="AF1673">
        <v>0</v>
      </c>
      <c r="AG1673">
        <v>0</v>
      </c>
    </row>
    <row r="1674" spans="1:33" x14ac:dyDescent="0.2">
      <c r="A1674">
        <v>1673</v>
      </c>
      <c r="B1674" t="s">
        <v>502</v>
      </c>
      <c r="C1674" t="s">
        <v>33</v>
      </c>
      <c r="D1674">
        <v>28</v>
      </c>
      <c r="E1674" t="s">
        <v>114</v>
      </c>
      <c r="F1674" t="s">
        <v>41</v>
      </c>
      <c r="G1674" t="s">
        <v>72</v>
      </c>
      <c r="H1674">
        <v>20330</v>
      </c>
      <c r="I1674">
        <v>0</v>
      </c>
      <c r="J1674">
        <v>0</v>
      </c>
      <c r="K1674">
        <v>0</v>
      </c>
      <c r="L1674">
        <v>1</v>
      </c>
      <c r="M1674" t="s">
        <v>75</v>
      </c>
      <c r="N1674" t="s">
        <v>73</v>
      </c>
      <c r="O1674" t="s">
        <v>74</v>
      </c>
      <c r="P1674" t="s">
        <v>442</v>
      </c>
      <c r="Q1674" t="s">
        <v>46</v>
      </c>
      <c r="R1674" t="s">
        <v>48</v>
      </c>
      <c r="S1674" t="s">
        <v>47</v>
      </c>
      <c r="T1674">
        <v>0</v>
      </c>
      <c r="U1674">
        <v>0</v>
      </c>
      <c r="V1674">
        <v>1</v>
      </c>
      <c r="W1674">
        <v>1</v>
      </c>
      <c r="X1674">
        <v>1</v>
      </c>
      <c r="Y1674">
        <v>0</v>
      </c>
      <c r="Z1674">
        <v>1</v>
      </c>
      <c r="AA1674">
        <v>0</v>
      </c>
      <c r="AB1674">
        <v>0</v>
      </c>
      <c r="AC1674">
        <v>0</v>
      </c>
      <c r="AD1674">
        <v>0</v>
      </c>
      <c r="AE1674">
        <v>0</v>
      </c>
      <c r="AF1674">
        <v>0</v>
      </c>
      <c r="AG1674">
        <v>1</v>
      </c>
    </row>
    <row r="1675" spans="1:33" hidden="1" x14ac:dyDescent="0.2">
      <c r="A1675">
        <v>1674</v>
      </c>
      <c r="B1675" t="s">
        <v>502</v>
      </c>
      <c r="C1675" t="s">
        <v>33</v>
      </c>
      <c r="D1675">
        <v>28</v>
      </c>
      <c r="E1675" t="s">
        <v>114</v>
      </c>
      <c r="F1675" t="s">
        <v>53</v>
      </c>
      <c r="G1675" t="s">
        <v>76</v>
      </c>
      <c r="H1675">
        <v>45071</v>
      </c>
      <c r="I1675">
        <v>1</v>
      </c>
      <c r="J1675">
        <v>0</v>
      </c>
      <c r="K1675">
        <v>0</v>
      </c>
      <c r="L1675">
        <v>0</v>
      </c>
      <c r="M1675" t="s">
        <v>36</v>
      </c>
      <c r="N1675" t="s">
        <v>36</v>
      </c>
      <c r="O1675" t="s">
        <v>36</v>
      </c>
      <c r="P1675" t="s">
        <v>442</v>
      </c>
      <c r="Q1675" t="s">
        <v>36</v>
      </c>
      <c r="R1675" t="s">
        <v>36</v>
      </c>
      <c r="S1675" t="s">
        <v>36</v>
      </c>
      <c r="T1675" t="s">
        <v>36</v>
      </c>
      <c r="U1675">
        <v>0</v>
      </c>
      <c r="V1675">
        <v>1</v>
      </c>
      <c r="W1675">
        <v>1</v>
      </c>
      <c r="X1675">
        <v>1</v>
      </c>
      <c r="Y1675">
        <v>0</v>
      </c>
      <c r="Z1675">
        <v>1</v>
      </c>
      <c r="AA1675">
        <v>0</v>
      </c>
      <c r="AB1675">
        <v>0</v>
      </c>
      <c r="AC1675">
        <v>0</v>
      </c>
      <c r="AD1675">
        <v>0</v>
      </c>
      <c r="AE1675">
        <v>0</v>
      </c>
      <c r="AF1675">
        <v>0</v>
      </c>
      <c r="AG1675">
        <v>1</v>
      </c>
    </row>
    <row r="1676" spans="1:33" x14ac:dyDescent="0.2">
      <c r="A1676">
        <v>1675</v>
      </c>
      <c r="B1676" t="s">
        <v>502</v>
      </c>
      <c r="C1676" t="s">
        <v>33</v>
      </c>
      <c r="D1676">
        <v>28</v>
      </c>
      <c r="E1676" t="s">
        <v>114</v>
      </c>
      <c r="F1676" t="s">
        <v>41</v>
      </c>
      <c r="G1676" t="s">
        <v>49</v>
      </c>
      <c r="H1676">
        <v>15332</v>
      </c>
      <c r="I1676">
        <v>1</v>
      </c>
      <c r="J1676">
        <v>0</v>
      </c>
      <c r="K1676">
        <v>0</v>
      </c>
      <c r="L1676">
        <v>0</v>
      </c>
      <c r="M1676" t="s">
        <v>51</v>
      </c>
      <c r="N1676" t="s">
        <v>52</v>
      </c>
      <c r="O1676" t="s">
        <v>50</v>
      </c>
      <c r="P1676" t="s">
        <v>442</v>
      </c>
      <c r="Q1676" t="s">
        <v>47</v>
      </c>
      <c r="R1676" t="s">
        <v>46</v>
      </c>
      <c r="S1676" t="s">
        <v>48</v>
      </c>
      <c r="T1676">
        <v>0</v>
      </c>
      <c r="U1676">
        <v>0</v>
      </c>
      <c r="V1676">
        <v>1</v>
      </c>
      <c r="W1676">
        <v>1</v>
      </c>
      <c r="X1676">
        <v>1</v>
      </c>
      <c r="Y1676">
        <v>0</v>
      </c>
      <c r="Z1676">
        <v>1</v>
      </c>
      <c r="AA1676">
        <v>0</v>
      </c>
      <c r="AB1676">
        <v>0</v>
      </c>
      <c r="AC1676">
        <v>0</v>
      </c>
      <c r="AD1676">
        <v>1</v>
      </c>
      <c r="AE1676">
        <v>0</v>
      </c>
      <c r="AF1676">
        <v>0</v>
      </c>
      <c r="AG1676">
        <v>0</v>
      </c>
    </row>
    <row r="1677" spans="1:33" hidden="1" x14ac:dyDescent="0.2">
      <c r="A1677">
        <v>1676</v>
      </c>
      <c r="B1677" t="s">
        <v>502</v>
      </c>
      <c r="C1677" t="s">
        <v>33</v>
      </c>
      <c r="D1677">
        <v>28</v>
      </c>
      <c r="E1677" t="s">
        <v>114</v>
      </c>
      <c r="F1677" t="s">
        <v>53</v>
      </c>
      <c r="G1677" t="s">
        <v>66</v>
      </c>
      <c r="H1677">
        <v>25315</v>
      </c>
      <c r="I1677">
        <v>1</v>
      </c>
      <c r="J1677">
        <v>1</v>
      </c>
      <c r="K1677">
        <v>0</v>
      </c>
      <c r="L1677">
        <v>0</v>
      </c>
      <c r="M1677" t="s">
        <v>36</v>
      </c>
      <c r="N1677" t="s">
        <v>36</v>
      </c>
      <c r="O1677" t="s">
        <v>36</v>
      </c>
      <c r="P1677" t="s">
        <v>442</v>
      </c>
      <c r="Q1677" t="s">
        <v>36</v>
      </c>
      <c r="R1677" t="s">
        <v>36</v>
      </c>
      <c r="S1677" t="s">
        <v>36</v>
      </c>
      <c r="T1677" t="s">
        <v>36</v>
      </c>
      <c r="U1677">
        <v>0</v>
      </c>
      <c r="V1677">
        <v>1</v>
      </c>
      <c r="W1677">
        <v>1</v>
      </c>
      <c r="X1677">
        <v>1</v>
      </c>
      <c r="Y1677">
        <v>0</v>
      </c>
      <c r="Z1677">
        <v>1</v>
      </c>
      <c r="AA1677">
        <v>0</v>
      </c>
      <c r="AB1677">
        <v>0</v>
      </c>
      <c r="AC1677">
        <v>0</v>
      </c>
      <c r="AD1677">
        <v>1</v>
      </c>
      <c r="AE1677">
        <v>0</v>
      </c>
      <c r="AF1677">
        <v>0</v>
      </c>
      <c r="AG1677">
        <v>0</v>
      </c>
    </row>
    <row r="1678" spans="1:33" x14ac:dyDescent="0.2">
      <c r="A1678">
        <v>1677</v>
      </c>
      <c r="B1678" t="s">
        <v>502</v>
      </c>
      <c r="C1678" t="s">
        <v>33</v>
      </c>
      <c r="D1678">
        <v>28</v>
      </c>
      <c r="E1678" t="s">
        <v>114</v>
      </c>
      <c r="F1678" t="s">
        <v>41</v>
      </c>
      <c r="G1678" t="s">
        <v>61</v>
      </c>
      <c r="H1678">
        <v>8668</v>
      </c>
      <c r="I1678">
        <v>1</v>
      </c>
      <c r="J1678">
        <v>1</v>
      </c>
      <c r="K1678">
        <v>0</v>
      </c>
      <c r="L1678">
        <v>0</v>
      </c>
      <c r="M1678" t="s">
        <v>62</v>
      </c>
      <c r="N1678" t="s">
        <v>87</v>
      </c>
      <c r="O1678" t="s">
        <v>97</v>
      </c>
      <c r="P1678" t="s">
        <v>442</v>
      </c>
      <c r="Q1678" t="s">
        <v>65</v>
      </c>
      <c r="R1678" t="s">
        <v>47</v>
      </c>
      <c r="S1678" t="s">
        <v>59</v>
      </c>
      <c r="T1678">
        <v>0</v>
      </c>
      <c r="U1678">
        <v>1</v>
      </c>
      <c r="V1678">
        <v>0</v>
      </c>
      <c r="W1678">
        <v>1</v>
      </c>
      <c r="X1678">
        <v>0</v>
      </c>
      <c r="Y1678">
        <v>0</v>
      </c>
      <c r="Z1678">
        <v>1</v>
      </c>
      <c r="AA1678">
        <v>0</v>
      </c>
      <c r="AB1678">
        <v>1</v>
      </c>
      <c r="AC1678">
        <v>0</v>
      </c>
      <c r="AD1678">
        <v>1</v>
      </c>
      <c r="AE1678">
        <v>0</v>
      </c>
      <c r="AF1678">
        <v>0</v>
      </c>
      <c r="AG1678">
        <v>0</v>
      </c>
    </row>
    <row r="1679" spans="1:33" x14ac:dyDescent="0.2">
      <c r="A1679">
        <v>1678</v>
      </c>
      <c r="B1679" t="s">
        <v>502</v>
      </c>
      <c r="C1679" t="s">
        <v>33</v>
      </c>
      <c r="D1679">
        <v>28</v>
      </c>
      <c r="E1679" t="s">
        <v>114</v>
      </c>
      <c r="F1679" t="s">
        <v>41</v>
      </c>
      <c r="G1679" t="s">
        <v>42</v>
      </c>
      <c r="H1679">
        <v>17474</v>
      </c>
      <c r="I1679">
        <v>1</v>
      </c>
      <c r="J1679">
        <v>0</v>
      </c>
      <c r="K1679">
        <v>0</v>
      </c>
      <c r="L1679">
        <v>0</v>
      </c>
      <c r="M1679" t="s">
        <v>44</v>
      </c>
      <c r="N1679" t="s">
        <v>102</v>
      </c>
      <c r="O1679" t="s">
        <v>43</v>
      </c>
      <c r="P1679" t="s">
        <v>442</v>
      </c>
      <c r="Q1679" t="s">
        <v>47</v>
      </c>
      <c r="R1679" t="s">
        <v>59</v>
      </c>
      <c r="S1679" t="s">
        <v>46</v>
      </c>
      <c r="T1679">
        <v>0</v>
      </c>
      <c r="U1679">
        <v>0</v>
      </c>
      <c r="V1679">
        <v>0</v>
      </c>
      <c r="W1679">
        <v>1</v>
      </c>
      <c r="X1679">
        <v>1</v>
      </c>
      <c r="Y1679">
        <v>0</v>
      </c>
      <c r="Z1679">
        <v>1</v>
      </c>
      <c r="AA1679">
        <v>0</v>
      </c>
      <c r="AB1679">
        <v>0</v>
      </c>
      <c r="AC1679">
        <v>0</v>
      </c>
      <c r="AD1679">
        <v>1</v>
      </c>
      <c r="AE1679">
        <v>0</v>
      </c>
      <c r="AF1679">
        <v>0</v>
      </c>
      <c r="AG1679">
        <v>0</v>
      </c>
    </row>
    <row r="1680" spans="1:33" hidden="1" x14ac:dyDescent="0.2">
      <c r="A1680">
        <v>1679</v>
      </c>
      <c r="B1680" t="s">
        <v>502</v>
      </c>
      <c r="C1680" t="s">
        <v>33</v>
      </c>
      <c r="D1680">
        <v>28</v>
      </c>
      <c r="E1680" t="s">
        <v>114</v>
      </c>
      <c r="F1680" t="s">
        <v>53</v>
      </c>
      <c r="G1680" t="s">
        <v>54</v>
      </c>
      <c r="H1680">
        <v>43999</v>
      </c>
      <c r="I1680">
        <v>0</v>
      </c>
      <c r="J1680">
        <v>1</v>
      </c>
      <c r="K1680">
        <v>1</v>
      </c>
      <c r="L1680">
        <v>0</v>
      </c>
      <c r="M1680" t="s">
        <v>36</v>
      </c>
      <c r="N1680" t="s">
        <v>36</v>
      </c>
      <c r="O1680" t="s">
        <v>36</v>
      </c>
      <c r="P1680" t="s">
        <v>442</v>
      </c>
      <c r="Q1680" t="s">
        <v>36</v>
      </c>
      <c r="R1680" t="s">
        <v>36</v>
      </c>
      <c r="S1680" t="s">
        <v>36</v>
      </c>
      <c r="T1680" t="s">
        <v>36</v>
      </c>
      <c r="U1680">
        <v>0</v>
      </c>
      <c r="V1680">
        <v>0</v>
      </c>
      <c r="W1680">
        <v>1</v>
      </c>
      <c r="X1680">
        <v>1</v>
      </c>
      <c r="Y1680">
        <v>0</v>
      </c>
      <c r="Z1680">
        <v>1</v>
      </c>
      <c r="AA1680">
        <v>0</v>
      </c>
      <c r="AB1680">
        <v>0</v>
      </c>
      <c r="AC1680">
        <v>0</v>
      </c>
      <c r="AD1680">
        <v>1</v>
      </c>
      <c r="AE1680">
        <v>0</v>
      </c>
      <c r="AF1680">
        <v>0</v>
      </c>
      <c r="AG1680">
        <v>0</v>
      </c>
    </row>
    <row r="1681" spans="1:33" hidden="1" x14ac:dyDescent="0.2">
      <c r="A1681">
        <v>1680</v>
      </c>
      <c r="B1681" t="s">
        <v>502</v>
      </c>
      <c r="C1681" t="s">
        <v>33</v>
      </c>
      <c r="D1681">
        <v>28</v>
      </c>
      <c r="E1681" t="s">
        <v>114</v>
      </c>
      <c r="F1681" t="s">
        <v>77</v>
      </c>
      <c r="G1681" t="s">
        <v>36</v>
      </c>
      <c r="H1681">
        <v>65077</v>
      </c>
      <c r="I1681" t="s">
        <v>503</v>
      </c>
      <c r="J1681" t="s">
        <v>504</v>
      </c>
      <c r="K1681" t="s">
        <v>505</v>
      </c>
      <c r="L1681" t="s">
        <v>36</v>
      </c>
      <c r="M1681" t="s">
        <v>36</v>
      </c>
      <c r="N1681" t="s">
        <v>36</v>
      </c>
      <c r="O1681" t="s">
        <v>36</v>
      </c>
      <c r="P1681" t="s">
        <v>442</v>
      </c>
      <c r="Q1681" t="s">
        <v>36</v>
      </c>
      <c r="R1681" t="s">
        <v>36</v>
      </c>
      <c r="S1681" t="s">
        <v>36</v>
      </c>
      <c r="T1681" t="s">
        <v>36</v>
      </c>
      <c r="U1681" t="s">
        <v>36</v>
      </c>
      <c r="V1681" t="s">
        <v>36</v>
      </c>
      <c r="W1681" t="s">
        <v>36</v>
      </c>
      <c r="X1681" t="s">
        <v>36</v>
      </c>
      <c r="Y1681" t="s">
        <v>36</v>
      </c>
      <c r="Z1681" t="s">
        <v>36</v>
      </c>
      <c r="AA1681" t="s">
        <v>36</v>
      </c>
      <c r="AB1681" t="s">
        <v>36</v>
      </c>
      <c r="AC1681" t="s">
        <v>36</v>
      </c>
      <c r="AD1681" t="s">
        <v>36</v>
      </c>
      <c r="AE1681" t="s">
        <v>36</v>
      </c>
      <c r="AF1681" t="s">
        <v>36</v>
      </c>
      <c r="AG1681" t="s">
        <v>36</v>
      </c>
    </row>
    <row r="1682" spans="1:33" hidden="1" x14ac:dyDescent="0.2">
      <c r="A1682">
        <v>1681</v>
      </c>
      <c r="B1682" t="s">
        <v>506</v>
      </c>
      <c r="C1682" t="s">
        <v>108</v>
      </c>
      <c r="D1682">
        <v>29</v>
      </c>
      <c r="E1682" t="s">
        <v>34</v>
      </c>
      <c r="F1682" t="s">
        <v>35</v>
      </c>
      <c r="G1682" t="s">
        <v>36</v>
      </c>
      <c r="H1682">
        <v>11258</v>
      </c>
      <c r="I1682" t="s">
        <v>36</v>
      </c>
      <c r="J1682" t="s">
        <v>36</v>
      </c>
      <c r="K1682" t="s">
        <v>36</v>
      </c>
      <c r="L1682" t="s">
        <v>36</v>
      </c>
      <c r="M1682" t="s">
        <v>36</v>
      </c>
      <c r="N1682" t="s">
        <v>36</v>
      </c>
      <c r="O1682" t="s">
        <v>36</v>
      </c>
      <c r="P1682" t="s">
        <v>442</v>
      </c>
      <c r="Q1682" t="s">
        <v>36</v>
      </c>
      <c r="R1682" t="s">
        <v>36</v>
      </c>
      <c r="S1682" t="s">
        <v>36</v>
      </c>
      <c r="T1682" t="s">
        <v>36</v>
      </c>
      <c r="U1682" t="s">
        <v>36</v>
      </c>
      <c r="V1682" t="s">
        <v>36</v>
      </c>
      <c r="W1682" t="s">
        <v>36</v>
      </c>
      <c r="X1682" t="s">
        <v>36</v>
      </c>
      <c r="Y1682" t="s">
        <v>36</v>
      </c>
      <c r="Z1682" t="s">
        <v>36</v>
      </c>
      <c r="AA1682" t="s">
        <v>36</v>
      </c>
      <c r="AB1682" t="s">
        <v>36</v>
      </c>
      <c r="AC1682" t="s">
        <v>36</v>
      </c>
      <c r="AD1682" t="s">
        <v>36</v>
      </c>
      <c r="AE1682" t="s">
        <v>36</v>
      </c>
      <c r="AF1682" t="s">
        <v>36</v>
      </c>
      <c r="AG1682" t="s">
        <v>36</v>
      </c>
    </row>
    <row r="1683" spans="1:33" hidden="1" x14ac:dyDescent="0.2">
      <c r="A1683">
        <v>1682</v>
      </c>
      <c r="B1683" t="s">
        <v>506</v>
      </c>
      <c r="C1683" t="s">
        <v>108</v>
      </c>
      <c r="D1683">
        <v>29</v>
      </c>
      <c r="E1683" t="s">
        <v>34</v>
      </c>
      <c r="F1683" t="s">
        <v>38</v>
      </c>
      <c r="G1683" t="s">
        <v>39</v>
      </c>
      <c r="H1683">
        <v>27850</v>
      </c>
      <c r="I1683">
        <v>0</v>
      </c>
      <c r="J1683">
        <v>0</v>
      </c>
      <c r="K1683">
        <v>0</v>
      </c>
      <c r="L1683">
        <v>1</v>
      </c>
      <c r="M1683" t="s">
        <v>36</v>
      </c>
      <c r="N1683" t="s">
        <v>36</v>
      </c>
      <c r="O1683" t="s">
        <v>36</v>
      </c>
      <c r="P1683" t="s">
        <v>442</v>
      </c>
      <c r="Q1683" t="s">
        <v>36</v>
      </c>
      <c r="R1683" t="s">
        <v>36</v>
      </c>
      <c r="S1683" t="s">
        <v>36</v>
      </c>
      <c r="T1683" t="s">
        <v>36</v>
      </c>
      <c r="U1683" t="s">
        <v>36</v>
      </c>
      <c r="V1683" t="s">
        <v>36</v>
      </c>
      <c r="W1683" t="s">
        <v>36</v>
      </c>
      <c r="X1683" t="s">
        <v>36</v>
      </c>
      <c r="Y1683" t="s">
        <v>36</v>
      </c>
      <c r="Z1683" t="s">
        <v>36</v>
      </c>
      <c r="AA1683" t="s">
        <v>36</v>
      </c>
      <c r="AB1683" t="s">
        <v>36</v>
      </c>
      <c r="AC1683" t="s">
        <v>36</v>
      </c>
      <c r="AD1683" t="s">
        <v>36</v>
      </c>
      <c r="AE1683" t="s">
        <v>36</v>
      </c>
      <c r="AF1683" t="s">
        <v>36</v>
      </c>
      <c r="AG1683" t="s">
        <v>36</v>
      </c>
    </row>
    <row r="1684" spans="1:33" hidden="1" x14ac:dyDescent="0.2">
      <c r="A1684">
        <v>1683</v>
      </c>
      <c r="B1684" t="s">
        <v>506</v>
      </c>
      <c r="C1684" t="s">
        <v>108</v>
      </c>
      <c r="D1684">
        <v>29</v>
      </c>
      <c r="E1684" t="s">
        <v>34</v>
      </c>
      <c r="F1684" t="s">
        <v>38</v>
      </c>
      <c r="G1684" t="s">
        <v>40</v>
      </c>
      <c r="H1684">
        <v>18317</v>
      </c>
      <c r="I1684">
        <v>0</v>
      </c>
      <c r="J1684">
        <v>0</v>
      </c>
      <c r="K1684">
        <v>1</v>
      </c>
      <c r="L1684">
        <v>0</v>
      </c>
      <c r="M1684" t="s">
        <v>36</v>
      </c>
      <c r="N1684" t="s">
        <v>36</v>
      </c>
      <c r="O1684" t="s">
        <v>36</v>
      </c>
      <c r="P1684" t="s">
        <v>442</v>
      </c>
      <c r="Q1684" t="s">
        <v>36</v>
      </c>
      <c r="R1684" t="s">
        <v>36</v>
      </c>
      <c r="S1684" t="s">
        <v>36</v>
      </c>
      <c r="T1684" t="s">
        <v>36</v>
      </c>
      <c r="U1684" t="s">
        <v>36</v>
      </c>
      <c r="V1684" t="s">
        <v>36</v>
      </c>
      <c r="W1684" t="s">
        <v>36</v>
      </c>
      <c r="X1684" t="s">
        <v>36</v>
      </c>
      <c r="Y1684" t="s">
        <v>36</v>
      </c>
      <c r="Z1684" t="s">
        <v>36</v>
      </c>
      <c r="AA1684" t="s">
        <v>36</v>
      </c>
      <c r="AB1684" t="s">
        <v>36</v>
      </c>
      <c r="AC1684" t="s">
        <v>36</v>
      </c>
      <c r="AD1684" t="s">
        <v>36</v>
      </c>
      <c r="AE1684" t="s">
        <v>36</v>
      </c>
      <c r="AF1684" t="s">
        <v>36</v>
      </c>
      <c r="AG1684" t="s">
        <v>36</v>
      </c>
    </row>
    <row r="1685" spans="1:33" x14ac:dyDescent="0.2">
      <c r="A1685">
        <v>1684</v>
      </c>
      <c r="B1685" t="s">
        <v>506</v>
      </c>
      <c r="C1685" t="s">
        <v>108</v>
      </c>
      <c r="D1685">
        <v>29</v>
      </c>
      <c r="E1685" t="s">
        <v>34</v>
      </c>
      <c r="F1685" t="s">
        <v>41</v>
      </c>
      <c r="G1685" t="s">
        <v>42</v>
      </c>
      <c r="H1685">
        <v>19928</v>
      </c>
      <c r="I1685">
        <v>0</v>
      </c>
      <c r="J1685">
        <v>1</v>
      </c>
      <c r="K1685">
        <v>1</v>
      </c>
      <c r="L1685">
        <v>0</v>
      </c>
      <c r="M1685" t="s">
        <v>43</v>
      </c>
      <c r="N1685" t="s">
        <v>116</v>
      </c>
      <c r="O1685" t="s">
        <v>82</v>
      </c>
      <c r="P1685" t="s">
        <v>442</v>
      </c>
      <c r="Q1685" t="s">
        <v>46</v>
      </c>
      <c r="R1685" t="s">
        <v>60</v>
      </c>
      <c r="S1685" t="s">
        <v>65</v>
      </c>
      <c r="T1685">
        <v>1</v>
      </c>
      <c r="U1685">
        <v>1</v>
      </c>
      <c r="V1685">
        <v>0</v>
      </c>
      <c r="W1685">
        <v>0</v>
      </c>
      <c r="X1685">
        <v>1</v>
      </c>
      <c r="Y1685">
        <v>0</v>
      </c>
      <c r="Z1685">
        <v>1</v>
      </c>
      <c r="AA1685">
        <v>1</v>
      </c>
      <c r="AB1685">
        <v>1</v>
      </c>
      <c r="AC1685">
        <v>0</v>
      </c>
      <c r="AD1685">
        <v>0</v>
      </c>
      <c r="AE1685">
        <v>0</v>
      </c>
      <c r="AF1685">
        <v>0</v>
      </c>
      <c r="AG1685">
        <v>0</v>
      </c>
    </row>
    <row r="1686" spans="1:33" x14ac:dyDescent="0.2">
      <c r="A1686">
        <v>1685</v>
      </c>
      <c r="B1686" t="s">
        <v>506</v>
      </c>
      <c r="C1686" t="s">
        <v>108</v>
      </c>
      <c r="D1686">
        <v>29</v>
      </c>
      <c r="E1686" t="s">
        <v>34</v>
      </c>
      <c r="F1686" t="s">
        <v>41</v>
      </c>
      <c r="G1686" t="s">
        <v>49</v>
      </c>
      <c r="H1686">
        <v>12777</v>
      </c>
      <c r="I1686">
        <v>0</v>
      </c>
      <c r="J1686">
        <v>0</v>
      </c>
      <c r="K1686">
        <v>1</v>
      </c>
      <c r="L1686">
        <v>0</v>
      </c>
      <c r="M1686" t="s">
        <v>95</v>
      </c>
      <c r="N1686" t="s">
        <v>52</v>
      </c>
      <c r="O1686" t="s">
        <v>51</v>
      </c>
      <c r="P1686" t="s">
        <v>442</v>
      </c>
      <c r="Q1686" t="s">
        <v>60</v>
      </c>
      <c r="R1686" t="s">
        <v>46</v>
      </c>
      <c r="S1686" t="s">
        <v>47</v>
      </c>
      <c r="T1686">
        <v>1</v>
      </c>
      <c r="U1686">
        <v>0</v>
      </c>
      <c r="V1686">
        <v>0</v>
      </c>
      <c r="W1686">
        <v>1</v>
      </c>
      <c r="X1686">
        <v>1</v>
      </c>
      <c r="Y1686">
        <v>0</v>
      </c>
      <c r="Z1686">
        <v>1</v>
      </c>
      <c r="AA1686">
        <v>0</v>
      </c>
      <c r="AB1686">
        <v>0</v>
      </c>
      <c r="AC1686">
        <v>0</v>
      </c>
      <c r="AD1686">
        <v>1</v>
      </c>
      <c r="AE1686">
        <v>0</v>
      </c>
      <c r="AF1686">
        <v>0</v>
      </c>
      <c r="AG1686">
        <v>0</v>
      </c>
    </row>
    <row r="1687" spans="1:33" hidden="1" x14ac:dyDescent="0.2">
      <c r="A1687">
        <v>1686</v>
      </c>
      <c r="B1687" t="s">
        <v>506</v>
      </c>
      <c r="C1687" t="s">
        <v>108</v>
      </c>
      <c r="D1687">
        <v>29</v>
      </c>
      <c r="E1687" t="s">
        <v>34</v>
      </c>
      <c r="F1687" t="s">
        <v>53</v>
      </c>
      <c r="G1687" t="s">
        <v>76</v>
      </c>
      <c r="H1687">
        <v>14393</v>
      </c>
      <c r="I1687">
        <v>1</v>
      </c>
      <c r="J1687">
        <v>1</v>
      </c>
      <c r="K1687">
        <v>0</v>
      </c>
      <c r="L1687">
        <v>0</v>
      </c>
      <c r="M1687" t="s">
        <v>36</v>
      </c>
      <c r="N1687" t="s">
        <v>36</v>
      </c>
      <c r="O1687" t="s">
        <v>36</v>
      </c>
      <c r="P1687" t="s">
        <v>442</v>
      </c>
      <c r="Q1687" t="s">
        <v>36</v>
      </c>
      <c r="R1687" t="s">
        <v>36</v>
      </c>
      <c r="S1687" t="s">
        <v>36</v>
      </c>
      <c r="T1687" t="s">
        <v>36</v>
      </c>
      <c r="U1687">
        <v>0</v>
      </c>
      <c r="V1687">
        <v>0</v>
      </c>
      <c r="W1687">
        <v>1</v>
      </c>
      <c r="X1687">
        <v>1</v>
      </c>
      <c r="Y1687">
        <v>0</v>
      </c>
      <c r="Z1687">
        <v>1</v>
      </c>
      <c r="AA1687">
        <v>0</v>
      </c>
      <c r="AB1687">
        <v>0</v>
      </c>
      <c r="AC1687">
        <v>0</v>
      </c>
      <c r="AD1687">
        <v>1</v>
      </c>
      <c r="AE1687">
        <v>0</v>
      </c>
      <c r="AF1687">
        <v>0</v>
      </c>
      <c r="AG1687">
        <v>0</v>
      </c>
    </row>
    <row r="1688" spans="1:33" x14ac:dyDescent="0.2">
      <c r="A1688">
        <v>1687</v>
      </c>
      <c r="B1688" t="s">
        <v>506</v>
      </c>
      <c r="C1688" t="s">
        <v>108</v>
      </c>
      <c r="D1688">
        <v>29</v>
      </c>
      <c r="E1688" t="s">
        <v>34</v>
      </c>
      <c r="F1688" t="s">
        <v>41</v>
      </c>
      <c r="G1688" t="s">
        <v>67</v>
      </c>
      <c r="H1688">
        <v>8198</v>
      </c>
      <c r="I1688">
        <v>0</v>
      </c>
      <c r="J1688">
        <v>1</v>
      </c>
      <c r="K1688">
        <v>1</v>
      </c>
      <c r="L1688">
        <v>0</v>
      </c>
      <c r="M1688" t="s">
        <v>69</v>
      </c>
      <c r="N1688" t="s">
        <v>70</v>
      </c>
      <c r="O1688" t="s">
        <v>68</v>
      </c>
      <c r="P1688" t="s">
        <v>442</v>
      </c>
      <c r="Q1688" t="s">
        <v>48</v>
      </c>
      <c r="R1688" t="s">
        <v>47</v>
      </c>
      <c r="S1688" t="s">
        <v>65</v>
      </c>
      <c r="T1688">
        <v>0</v>
      </c>
      <c r="U1688">
        <v>1</v>
      </c>
      <c r="V1688">
        <v>1</v>
      </c>
      <c r="W1688">
        <v>1</v>
      </c>
      <c r="X1688">
        <v>0</v>
      </c>
      <c r="Y1688">
        <v>0</v>
      </c>
      <c r="Z1688">
        <v>1</v>
      </c>
      <c r="AA1688">
        <v>0</v>
      </c>
      <c r="AB1688">
        <v>1</v>
      </c>
      <c r="AC1688">
        <v>0</v>
      </c>
      <c r="AD1688">
        <v>1</v>
      </c>
      <c r="AE1688">
        <v>0</v>
      </c>
      <c r="AF1688">
        <v>0</v>
      </c>
      <c r="AG1688">
        <v>0</v>
      </c>
    </row>
    <row r="1689" spans="1:33" x14ac:dyDescent="0.2">
      <c r="A1689">
        <v>1688</v>
      </c>
      <c r="B1689" t="s">
        <v>506</v>
      </c>
      <c r="C1689" t="s">
        <v>108</v>
      </c>
      <c r="D1689">
        <v>29</v>
      </c>
      <c r="E1689" t="s">
        <v>34</v>
      </c>
      <c r="F1689" t="s">
        <v>41</v>
      </c>
      <c r="G1689" t="s">
        <v>55</v>
      </c>
      <c r="H1689">
        <v>8290</v>
      </c>
      <c r="I1689">
        <v>0</v>
      </c>
      <c r="J1689">
        <v>0</v>
      </c>
      <c r="K1689">
        <v>1</v>
      </c>
      <c r="L1689">
        <v>0</v>
      </c>
      <c r="M1689" t="s">
        <v>57</v>
      </c>
      <c r="N1689" t="s">
        <v>58</v>
      </c>
      <c r="O1689" t="s">
        <v>85</v>
      </c>
      <c r="P1689" t="s">
        <v>442</v>
      </c>
      <c r="Q1689" t="s">
        <v>48</v>
      </c>
      <c r="R1689" t="s">
        <v>60</v>
      </c>
      <c r="S1689" t="s">
        <v>65</v>
      </c>
      <c r="T1689">
        <v>1</v>
      </c>
      <c r="U1689">
        <v>1</v>
      </c>
      <c r="V1689">
        <v>1</v>
      </c>
      <c r="W1689">
        <v>0</v>
      </c>
      <c r="X1689">
        <v>0</v>
      </c>
      <c r="Y1689">
        <v>0</v>
      </c>
      <c r="Z1689">
        <v>1</v>
      </c>
      <c r="AA1689">
        <v>0</v>
      </c>
      <c r="AB1689">
        <v>1</v>
      </c>
      <c r="AC1689">
        <v>0</v>
      </c>
      <c r="AD1689">
        <v>0</v>
      </c>
      <c r="AE1689">
        <v>0</v>
      </c>
      <c r="AF1689">
        <v>0</v>
      </c>
      <c r="AG1689">
        <v>0</v>
      </c>
    </row>
    <row r="1690" spans="1:33" hidden="1" x14ac:dyDescent="0.2">
      <c r="A1690">
        <v>1689</v>
      </c>
      <c r="B1690" t="s">
        <v>506</v>
      </c>
      <c r="C1690" t="s">
        <v>108</v>
      </c>
      <c r="D1690">
        <v>29</v>
      </c>
      <c r="E1690" t="s">
        <v>34</v>
      </c>
      <c r="F1690" t="s">
        <v>53</v>
      </c>
      <c r="G1690" t="s">
        <v>54</v>
      </c>
      <c r="H1690">
        <v>22362</v>
      </c>
      <c r="I1690">
        <v>0</v>
      </c>
      <c r="J1690">
        <v>0</v>
      </c>
      <c r="K1690">
        <v>1</v>
      </c>
      <c r="L1690">
        <v>0</v>
      </c>
      <c r="M1690" t="s">
        <v>36</v>
      </c>
      <c r="N1690" t="s">
        <v>36</v>
      </c>
      <c r="O1690" t="s">
        <v>36</v>
      </c>
      <c r="P1690" t="s">
        <v>442</v>
      </c>
      <c r="Q1690" t="s">
        <v>36</v>
      </c>
      <c r="R1690" t="s">
        <v>36</v>
      </c>
      <c r="S1690" t="s">
        <v>36</v>
      </c>
      <c r="T1690" t="s">
        <v>36</v>
      </c>
      <c r="U1690">
        <v>1</v>
      </c>
      <c r="V1690">
        <v>1</v>
      </c>
      <c r="W1690">
        <v>0</v>
      </c>
      <c r="X1690">
        <v>0</v>
      </c>
      <c r="Y1690">
        <v>0</v>
      </c>
      <c r="Z1690">
        <v>1</v>
      </c>
      <c r="AA1690">
        <v>0</v>
      </c>
      <c r="AB1690">
        <v>1</v>
      </c>
      <c r="AC1690">
        <v>0</v>
      </c>
      <c r="AD1690">
        <v>0</v>
      </c>
      <c r="AE1690">
        <v>0</v>
      </c>
      <c r="AF1690">
        <v>0</v>
      </c>
      <c r="AG1690">
        <v>0</v>
      </c>
    </row>
    <row r="1691" spans="1:33" x14ac:dyDescent="0.2">
      <c r="A1691">
        <v>1690</v>
      </c>
      <c r="B1691" t="s">
        <v>506</v>
      </c>
      <c r="C1691" t="s">
        <v>108</v>
      </c>
      <c r="D1691">
        <v>29</v>
      </c>
      <c r="E1691" t="s">
        <v>34</v>
      </c>
      <c r="F1691" t="s">
        <v>41</v>
      </c>
      <c r="G1691" t="s">
        <v>61</v>
      </c>
      <c r="H1691">
        <v>7023</v>
      </c>
      <c r="I1691">
        <v>1</v>
      </c>
      <c r="J1691">
        <v>1</v>
      </c>
      <c r="K1691">
        <v>0</v>
      </c>
      <c r="L1691">
        <v>0</v>
      </c>
      <c r="M1691" t="s">
        <v>87</v>
      </c>
      <c r="N1691" t="s">
        <v>62</v>
      </c>
      <c r="O1691" t="s">
        <v>64</v>
      </c>
      <c r="P1691" t="s">
        <v>442</v>
      </c>
      <c r="Q1691" t="s">
        <v>47</v>
      </c>
      <c r="R1691" t="s">
        <v>65</v>
      </c>
      <c r="S1691" t="s">
        <v>48</v>
      </c>
      <c r="T1691">
        <v>0</v>
      </c>
      <c r="U1691">
        <v>1</v>
      </c>
      <c r="V1691">
        <v>1</v>
      </c>
      <c r="W1691">
        <v>1</v>
      </c>
      <c r="X1691">
        <v>0</v>
      </c>
      <c r="Y1691">
        <v>0</v>
      </c>
      <c r="Z1691">
        <v>1</v>
      </c>
      <c r="AA1691">
        <v>0</v>
      </c>
      <c r="AB1691">
        <v>1</v>
      </c>
      <c r="AC1691">
        <v>0</v>
      </c>
      <c r="AD1691">
        <v>1</v>
      </c>
      <c r="AE1691">
        <v>0</v>
      </c>
      <c r="AF1691">
        <v>0</v>
      </c>
      <c r="AG1691">
        <v>0</v>
      </c>
    </row>
    <row r="1692" spans="1:33" hidden="1" x14ac:dyDescent="0.2">
      <c r="A1692">
        <v>1691</v>
      </c>
      <c r="B1692" t="s">
        <v>506</v>
      </c>
      <c r="C1692" t="s">
        <v>108</v>
      </c>
      <c r="D1692">
        <v>29</v>
      </c>
      <c r="E1692" t="s">
        <v>34</v>
      </c>
      <c r="F1692" t="s">
        <v>53</v>
      </c>
      <c r="G1692" t="s">
        <v>66</v>
      </c>
      <c r="H1692">
        <v>9584</v>
      </c>
      <c r="I1692">
        <v>1</v>
      </c>
      <c r="J1692">
        <v>0</v>
      </c>
      <c r="K1692">
        <v>0</v>
      </c>
      <c r="L1692">
        <v>0</v>
      </c>
      <c r="M1692" t="s">
        <v>36</v>
      </c>
      <c r="N1692" t="s">
        <v>36</v>
      </c>
      <c r="O1692" t="s">
        <v>36</v>
      </c>
      <c r="P1692" t="s">
        <v>442</v>
      </c>
      <c r="Q1692" t="s">
        <v>36</v>
      </c>
      <c r="R1692" t="s">
        <v>36</v>
      </c>
      <c r="S1692" t="s">
        <v>36</v>
      </c>
      <c r="T1692" t="s">
        <v>36</v>
      </c>
      <c r="U1692">
        <v>1</v>
      </c>
      <c r="V1692">
        <v>1</v>
      </c>
      <c r="W1692">
        <v>1</v>
      </c>
      <c r="X1692">
        <v>0</v>
      </c>
      <c r="Y1692">
        <v>0</v>
      </c>
      <c r="Z1692">
        <v>1</v>
      </c>
      <c r="AA1692">
        <v>0</v>
      </c>
      <c r="AB1692">
        <v>1</v>
      </c>
      <c r="AC1692">
        <v>0</v>
      </c>
      <c r="AD1692">
        <v>1</v>
      </c>
      <c r="AE1692">
        <v>0</v>
      </c>
      <c r="AF1692">
        <v>0</v>
      </c>
      <c r="AG1692">
        <v>0</v>
      </c>
    </row>
    <row r="1693" spans="1:33" x14ac:dyDescent="0.2">
      <c r="A1693">
        <v>1692</v>
      </c>
      <c r="B1693" t="s">
        <v>506</v>
      </c>
      <c r="C1693" t="s">
        <v>108</v>
      </c>
      <c r="D1693">
        <v>29</v>
      </c>
      <c r="E1693" t="s">
        <v>34</v>
      </c>
      <c r="F1693" t="s">
        <v>41</v>
      </c>
      <c r="G1693" t="s">
        <v>72</v>
      </c>
      <c r="H1693">
        <v>11158</v>
      </c>
      <c r="I1693">
        <v>1</v>
      </c>
      <c r="J1693">
        <v>1</v>
      </c>
      <c r="K1693">
        <v>0</v>
      </c>
      <c r="L1693">
        <v>0</v>
      </c>
      <c r="M1693" t="s">
        <v>115</v>
      </c>
      <c r="N1693" t="s">
        <v>74</v>
      </c>
      <c r="O1693" t="s">
        <v>93</v>
      </c>
      <c r="P1693" t="s">
        <v>442</v>
      </c>
      <c r="Q1693" t="s">
        <v>65</v>
      </c>
      <c r="R1693" t="s">
        <v>47</v>
      </c>
      <c r="S1693" t="s">
        <v>59</v>
      </c>
      <c r="T1693">
        <v>0</v>
      </c>
      <c r="U1693">
        <v>1</v>
      </c>
      <c r="V1693">
        <v>0</v>
      </c>
      <c r="W1693">
        <v>1</v>
      </c>
      <c r="X1693">
        <v>0</v>
      </c>
      <c r="Y1693">
        <v>0</v>
      </c>
      <c r="Z1693">
        <v>1</v>
      </c>
      <c r="AA1693">
        <v>0</v>
      </c>
      <c r="AB1693">
        <v>1</v>
      </c>
      <c r="AC1693">
        <v>0</v>
      </c>
      <c r="AD1693">
        <v>1</v>
      </c>
      <c r="AE1693">
        <v>0</v>
      </c>
      <c r="AF1693">
        <v>0</v>
      </c>
      <c r="AG1693">
        <v>0</v>
      </c>
    </row>
    <row r="1694" spans="1:33" hidden="1" x14ac:dyDescent="0.2">
      <c r="A1694">
        <v>1693</v>
      </c>
      <c r="B1694" t="s">
        <v>506</v>
      </c>
      <c r="C1694" t="s">
        <v>108</v>
      </c>
      <c r="D1694">
        <v>29</v>
      </c>
      <c r="E1694" t="s">
        <v>34</v>
      </c>
      <c r="F1694" t="s">
        <v>53</v>
      </c>
      <c r="G1694" t="s">
        <v>71</v>
      </c>
      <c r="H1694">
        <v>21406</v>
      </c>
      <c r="I1694">
        <v>1</v>
      </c>
      <c r="J1694">
        <v>1</v>
      </c>
      <c r="K1694">
        <v>0</v>
      </c>
      <c r="L1694">
        <v>0</v>
      </c>
      <c r="M1694" t="s">
        <v>36</v>
      </c>
      <c r="N1694" t="s">
        <v>36</v>
      </c>
      <c r="O1694" t="s">
        <v>36</v>
      </c>
      <c r="P1694" t="s">
        <v>442</v>
      </c>
      <c r="Q1694" t="s">
        <v>36</v>
      </c>
      <c r="R1694" t="s">
        <v>36</v>
      </c>
      <c r="S1694" t="s">
        <v>36</v>
      </c>
      <c r="T1694" t="s">
        <v>36</v>
      </c>
      <c r="U1694">
        <v>1</v>
      </c>
      <c r="V1694">
        <v>0</v>
      </c>
      <c r="W1694">
        <v>1</v>
      </c>
      <c r="X1694">
        <v>0</v>
      </c>
      <c r="Y1694">
        <v>0</v>
      </c>
      <c r="Z1694">
        <v>1</v>
      </c>
      <c r="AA1694">
        <v>0</v>
      </c>
      <c r="AB1694">
        <v>1</v>
      </c>
      <c r="AC1694">
        <v>0</v>
      </c>
      <c r="AD1694">
        <v>1</v>
      </c>
      <c r="AE1694">
        <v>0</v>
      </c>
      <c r="AF1694">
        <v>0</v>
      </c>
      <c r="AG1694">
        <v>0</v>
      </c>
    </row>
    <row r="1695" spans="1:33" hidden="1" x14ac:dyDescent="0.2">
      <c r="A1695">
        <v>1694</v>
      </c>
      <c r="B1695" t="s">
        <v>506</v>
      </c>
      <c r="C1695" t="s">
        <v>108</v>
      </c>
      <c r="D1695">
        <v>29</v>
      </c>
      <c r="E1695" t="s">
        <v>34</v>
      </c>
      <c r="F1695" t="s">
        <v>77</v>
      </c>
      <c r="G1695" t="s">
        <v>36</v>
      </c>
      <c r="H1695">
        <v>32406</v>
      </c>
      <c r="I1695" t="s">
        <v>507</v>
      </c>
      <c r="J1695" t="s">
        <v>508</v>
      </c>
      <c r="K1695" t="s">
        <v>112</v>
      </c>
      <c r="L1695" t="s">
        <v>36</v>
      </c>
      <c r="M1695" t="s">
        <v>36</v>
      </c>
      <c r="N1695" t="s">
        <v>36</v>
      </c>
      <c r="O1695" t="s">
        <v>36</v>
      </c>
      <c r="P1695" t="s">
        <v>442</v>
      </c>
      <c r="Q1695" t="s">
        <v>36</v>
      </c>
      <c r="R1695" t="s">
        <v>36</v>
      </c>
      <c r="S1695" t="s">
        <v>36</v>
      </c>
      <c r="T1695" t="s">
        <v>36</v>
      </c>
      <c r="U1695" t="s">
        <v>36</v>
      </c>
      <c r="V1695" t="s">
        <v>36</v>
      </c>
      <c r="W1695" t="s">
        <v>36</v>
      </c>
      <c r="X1695" t="s">
        <v>36</v>
      </c>
      <c r="Y1695" t="s">
        <v>36</v>
      </c>
      <c r="Z1695" t="s">
        <v>36</v>
      </c>
      <c r="AA1695" t="s">
        <v>36</v>
      </c>
      <c r="AB1695" t="s">
        <v>36</v>
      </c>
      <c r="AC1695" t="s">
        <v>36</v>
      </c>
      <c r="AD1695" t="s">
        <v>36</v>
      </c>
      <c r="AE1695" t="s">
        <v>36</v>
      </c>
      <c r="AF1695" t="s">
        <v>36</v>
      </c>
      <c r="AG1695" t="s">
        <v>36</v>
      </c>
    </row>
    <row r="1696" spans="1:33" hidden="1" x14ac:dyDescent="0.2">
      <c r="A1696">
        <v>1695</v>
      </c>
      <c r="B1696" t="s">
        <v>509</v>
      </c>
      <c r="C1696" t="s">
        <v>188</v>
      </c>
      <c r="D1696">
        <v>28</v>
      </c>
      <c r="E1696" t="s">
        <v>34</v>
      </c>
      <c r="F1696" t="s">
        <v>35</v>
      </c>
      <c r="G1696" t="s">
        <v>36</v>
      </c>
      <c r="H1696">
        <v>46273</v>
      </c>
      <c r="I1696" t="s">
        <v>36</v>
      </c>
      <c r="J1696" t="s">
        <v>36</v>
      </c>
      <c r="K1696" t="s">
        <v>36</v>
      </c>
      <c r="L1696" t="s">
        <v>36</v>
      </c>
      <c r="M1696" t="s">
        <v>36</v>
      </c>
      <c r="N1696" t="s">
        <v>36</v>
      </c>
      <c r="O1696" t="s">
        <v>36</v>
      </c>
      <c r="P1696" t="s">
        <v>442</v>
      </c>
      <c r="Q1696" t="s">
        <v>36</v>
      </c>
      <c r="R1696" t="s">
        <v>36</v>
      </c>
      <c r="S1696" t="s">
        <v>36</v>
      </c>
      <c r="T1696" t="s">
        <v>36</v>
      </c>
      <c r="U1696" t="s">
        <v>36</v>
      </c>
      <c r="V1696" t="s">
        <v>36</v>
      </c>
      <c r="W1696" t="s">
        <v>36</v>
      </c>
      <c r="X1696" t="s">
        <v>36</v>
      </c>
      <c r="Y1696" t="s">
        <v>36</v>
      </c>
      <c r="Z1696" t="s">
        <v>36</v>
      </c>
      <c r="AA1696" t="s">
        <v>36</v>
      </c>
      <c r="AB1696" t="s">
        <v>36</v>
      </c>
      <c r="AC1696" t="s">
        <v>36</v>
      </c>
      <c r="AD1696" t="s">
        <v>36</v>
      </c>
      <c r="AE1696" t="s">
        <v>36</v>
      </c>
      <c r="AF1696" t="s">
        <v>36</v>
      </c>
      <c r="AG1696" t="s">
        <v>36</v>
      </c>
    </row>
    <row r="1697" spans="1:33" hidden="1" x14ac:dyDescent="0.2">
      <c r="A1697">
        <v>1696</v>
      </c>
      <c r="B1697" t="s">
        <v>509</v>
      </c>
      <c r="C1697" t="s">
        <v>188</v>
      </c>
      <c r="D1697">
        <v>28</v>
      </c>
      <c r="E1697" t="s">
        <v>34</v>
      </c>
      <c r="F1697" t="s">
        <v>38</v>
      </c>
      <c r="G1697" t="s">
        <v>40</v>
      </c>
      <c r="H1697">
        <v>13602</v>
      </c>
      <c r="I1697">
        <v>1</v>
      </c>
      <c r="J1697">
        <v>1</v>
      </c>
      <c r="K1697">
        <v>1</v>
      </c>
      <c r="L1697">
        <v>1</v>
      </c>
      <c r="M1697" t="s">
        <v>36</v>
      </c>
      <c r="N1697" t="s">
        <v>36</v>
      </c>
      <c r="O1697" t="s">
        <v>36</v>
      </c>
      <c r="P1697" t="s">
        <v>442</v>
      </c>
      <c r="Q1697" t="s">
        <v>36</v>
      </c>
      <c r="R1697" t="s">
        <v>36</v>
      </c>
      <c r="S1697" t="s">
        <v>36</v>
      </c>
      <c r="T1697" t="s">
        <v>36</v>
      </c>
      <c r="U1697" t="s">
        <v>36</v>
      </c>
      <c r="V1697" t="s">
        <v>36</v>
      </c>
      <c r="W1697" t="s">
        <v>36</v>
      </c>
      <c r="X1697" t="s">
        <v>36</v>
      </c>
      <c r="Y1697" t="s">
        <v>36</v>
      </c>
      <c r="Z1697" t="s">
        <v>36</v>
      </c>
      <c r="AA1697" t="s">
        <v>36</v>
      </c>
      <c r="AB1697" t="s">
        <v>36</v>
      </c>
      <c r="AC1697" t="s">
        <v>36</v>
      </c>
      <c r="AD1697" t="s">
        <v>36</v>
      </c>
      <c r="AE1697" t="s">
        <v>36</v>
      </c>
      <c r="AF1697" t="s">
        <v>36</v>
      </c>
      <c r="AG1697" t="s">
        <v>36</v>
      </c>
    </row>
    <row r="1698" spans="1:33" hidden="1" x14ac:dyDescent="0.2">
      <c r="A1698">
        <v>1697</v>
      </c>
      <c r="B1698" t="s">
        <v>509</v>
      </c>
      <c r="C1698" t="s">
        <v>188</v>
      </c>
      <c r="D1698">
        <v>28</v>
      </c>
      <c r="E1698" t="s">
        <v>34</v>
      </c>
      <c r="F1698" t="s">
        <v>38</v>
      </c>
      <c r="G1698" t="s">
        <v>39</v>
      </c>
      <c r="H1698">
        <v>37076</v>
      </c>
      <c r="I1698">
        <v>0</v>
      </c>
      <c r="J1698">
        <v>0</v>
      </c>
      <c r="K1698">
        <v>0</v>
      </c>
      <c r="L1698">
        <v>1</v>
      </c>
      <c r="M1698" t="s">
        <v>36</v>
      </c>
      <c r="N1698" t="s">
        <v>36</v>
      </c>
      <c r="O1698" t="s">
        <v>36</v>
      </c>
      <c r="P1698" t="s">
        <v>442</v>
      </c>
      <c r="Q1698" t="s">
        <v>36</v>
      </c>
      <c r="R1698" t="s">
        <v>36</v>
      </c>
      <c r="S1698" t="s">
        <v>36</v>
      </c>
      <c r="T1698" t="s">
        <v>36</v>
      </c>
      <c r="U1698" t="s">
        <v>36</v>
      </c>
      <c r="V1698" t="s">
        <v>36</v>
      </c>
      <c r="W1698" t="s">
        <v>36</v>
      </c>
      <c r="X1698" t="s">
        <v>36</v>
      </c>
      <c r="Y1698" t="s">
        <v>36</v>
      </c>
      <c r="Z1698" t="s">
        <v>36</v>
      </c>
      <c r="AA1698" t="s">
        <v>36</v>
      </c>
      <c r="AB1698" t="s">
        <v>36</v>
      </c>
      <c r="AC1698" t="s">
        <v>36</v>
      </c>
      <c r="AD1698" t="s">
        <v>36</v>
      </c>
      <c r="AE1698" t="s">
        <v>36</v>
      </c>
      <c r="AF1698" t="s">
        <v>36</v>
      </c>
      <c r="AG1698" t="s">
        <v>36</v>
      </c>
    </row>
    <row r="1699" spans="1:33" x14ac:dyDescent="0.2">
      <c r="A1699">
        <v>1698</v>
      </c>
      <c r="B1699" t="s">
        <v>509</v>
      </c>
      <c r="C1699" t="s">
        <v>188</v>
      </c>
      <c r="D1699">
        <v>28</v>
      </c>
      <c r="E1699" t="s">
        <v>34</v>
      </c>
      <c r="F1699" t="s">
        <v>41</v>
      </c>
      <c r="G1699" t="s">
        <v>55</v>
      </c>
      <c r="H1699">
        <v>25757</v>
      </c>
      <c r="I1699">
        <v>0</v>
      </c>
      <c r="J1699">
        <v>0</v>
      </c>
      <c r="K1699">
        <v>1</v>
      </c>
      <c r="L1699">
        <v>0</v>
      </c>
      <c r="M1699" t="s">
        <v>57</v>
      </c>
      <c r="N1699" t="s">
        <v>84</v>
      </c>
      <c r="O1699" t="s">
        <v>85</v>
      </c>
      <c r="P1699" t="s">
        <v>442</v>
      </c>
      <c r="Q1699" t="s">
        <v>48</v>
      </c>
      <c r="R1699" t="s">
        <v>46</v>
      </c>
      <c r="S1699" t="s">
        <v>65</v>
      </c>
      <c r="T1699">
        <v>0</v>
      </c>
      <c r="U1699">
        <v>1</v>
      </c>
      <c r="V1699">
        <v>1</v>
      </c>
      <c r="W1699">
        <v>0</v>
      </c>
      <c r="X1699">
        <v>1</v>
      </c>
      <c r="Y1699">
        <v>0</v>
      </c>
      <c r="Z1699">
        <v>1</v>
      </c>
      <c r="AA1699">
        <v>0</v>
      </c>
      <c r="AB1699">
        <v>1</v>
      </c>
      <c r="AC1699">
        <v>0</v>
      </c>
      <c r="AD1699">
        <v>0</v>
      </c>
      <c r="AE1699">
        <v>0</v>
      </c>
      <c r="AF1699">
        <v>0</v>
      </c>
      <c r="AG1699">
        <v>0</v>
      </c>
    </row>
    <row r="1700" spans="1:33" x14ac:dyDescent="0.2">
      <c r="A1700">
        <v>1699</v>
      </c>
      <c r="B1700" t="s">
        <v>509</v>
      </c>
      <c r="C1700" t="s">
        <v>188</v>
      </c>
      <c r="D1700">
        <v>28</v>
      </c>
      <c r="E1700" t="s">
        <v>34</v>
      </c>
      <c r="F1700" t="s">
        <v>41</v>
      </c>
      <c r="G1700" t="s">
        <v>67</v>
      </c>
      <c r="H1700">
        <v>14910</v>
      </c>
      <c r="I1700">
        <v>0</v>
      </c>
      <c r="J1700">
        <v>0</v>
      </c>
      <c r="K1700">
        <v>1</v>
      </c>
      <c r="L1700">
        <v>0</v>
      </c>
      <c r="M1700" t="s">
        <v>69</v>
      </c>
      <c r="N1700" t="s">
        <v>86</v>
      </c>
      <c r="O1700" t="s">
        <v>70</v>
      </c>
      <c r="P1700" t="s">
        <v>442</v>
      </c>
      <c r="Q1700" t="s">
        <v>48</v>
      </c>
      <c r="R1700" t="s">
        <v>46</v>
      </c>
      <c r="S1700" t="s">
        <v>47</v>
      </c>
      <c r="T1700">
        <v>0</v>
      </c>
      <c r="U1700">
        <v>0</v>
      </c>
      <c r="V1700">
        <v>1</v>
      </c>
      <c r="W1700">
        <v>1</v>
      </c>
      <c r="X1700">
        <v>1</v>
      </c>
      <c r="Y1700">
        <v>0</v>
      </c>
      <c r="Z1700">
        <v>1</v>
      </c>
      <c r="AA1700">
        <v>0</v>
      </c>
      <c r="AB1700">
        <v>0</v>
      </c>
      <c r="AC1700">
        <v>0</v>
      </c>
      <c r="AD1700">
        <v>1</v>
      </c>
      <c r="AE1700">
        <v>0</v>
      </c>
      <c r="AF1700">
        <v>0</v>
      </c>
      <c r="AG1700">
        <v>0</v>
      </c>
    </row>
    <row r="1701" spans="1:33" hidden="1" x14ac:dyDescent="0.2">
      <c r="A1701">
        <v>1700</v>
      </c>
      <c r="B1701" t="s">
        <v>509</v>
      </c>
      <c r="C1701" t="s">
        <v>188</v>
      </c>
      <c r="D1701">
        <v>28</v>
      </c>
      <c r="E1701" t="s">
        <v>34</v>
      </c>
      <c r="F1701" t="s">
        <v>53</v>
      </c>
      <c r="G1701" t="s">
        <v>66</v>
      </c>
      <c r="H1701">
        <v>16492</v>
      </c>
      <c r="I1701">
        <v>0</v>
      </c>
      <c r="J1701">
        <v>0</v>
      </c>
      <c r="K1701">
        <v>1</v>
      </c>
      <c r="L1701">
        <v>0</v>
      </c>
      <c r="M1701" t="s">
        <v>36</v>
      </c>
      <c r="N1701" t="s">
        <v>36</v>
      </c>
      <c r="O1701" t="s">
        <v>36</v>
      </c>
      <c r="P1701" t="s">
        <v>442</v>
      </c>
      <c r="Q1701" t="s">
        <v>36</v>
      </c>
      <c r="R1701" t="s">
        <v>36</v>
      </c>
      <c r="S1701" t="s">
        <v>36</v>
      </c>
      <c r="T1701" t="s">
        <v>36</v>
      </c>
      <c r="U1701">
        <v>0</v>
      </c>
      <c r="V1701">
        <v>1</v>
      </c>
      <c r="W1701">
        <v>1</v>
      </c>
      <c r="X1701">
        <v>1</v>
      </c>
      <c r="Y1701">
        <v>0</v>
      </c>
      <c r="Z1701">
        <v>1</v>
      </c>
      <c r="AA1701">
        <v>0</v>
      </c>
      <c r="AB1701">
        <v>0</v>
      </c>
      <c r="AC1701">
        <v>0</v>
      </c>
      <c r="AD1701">
        <v>1</v>
      </c>
      <c r="AE1701">
        <v>0</v>
      </c>
      <c r="AF1701">
        <v>0</v>
      </c>
      <c r="AG1701">
        <v>0</v>
      </c>
    </row>
    <row r="1702" spans="1:33" x14ac:dyDescent="0.2">
      <c r="A1702">
        <v>1701</v>
      </c>
      <c r="B1702" t="s">
        <v>509</v>
      </c>
      <c r="C1702" t="s">
        <v>188</v>
      </c>
      <c r="D1702">
        <v>28</v>
      </c>
      <c r="E1702" t="s">
        <v>34</v>
      </c>
      <c r="F1702" t="s">
        <v>41</v>
      </c>
      <c r="G1702" t="s">
        <v>61</v>
      </c>
      <c r="H1702">
        <v>9188</v>
      </c>
      <c r="I1702">
        <v>0</v>
      </c>
      <c r="J1702">
        <v>0</v>
      </c>
      <c r="K1702">
        <v>1</v>
      </c>
      <c r="L1702">
        <v>0</v>
      </c>
      <c r="M1702" t="s">
        <v>64</v>
      </c>
      <c r="N1702" t="s">
        <v>87</v>
      </c>
      <c r="O1702" t="s">
        <v>63</v>
      </c>
      <c r="P1702" t="s">
        <v>442</v>
      </c>
      <c r="Q1702" t="s">
        <v>48</v>
      </c>
      <c r="R1702" t="s">
        <v>47</v>
      </c>
      <c r="S1702" t="s">
        <v>46</v>
      </c>
      <c r="T1702">
        <v>0</v>
      </c>
      <c r="U1702">
        <v>0</v>
      </c>
      <c r="V1702">
        <v>1</v>
      </c>
      <c r="W1702">
        <v>1</v>
      </c>
      <c r="X1702">
        <v>1</v>
      </c>
      <c r="Y1702">
        <v>0</v>
      </c>
      <c r="Z1702">
        <v>1</v>
      </c>
      <c r="AA1702">
        <v>0</v>
      </c>
      <c r="AB1702">
        <v>0</v>
      </c>
      <c r="AC1702">
        <v>0</v>
      </c>
      <c r="AD1702">
        <v>0</v>
      </c>
      <c r="AE1702">
        <v>1</v>
      </c>
      <c r="AF1702">
        <v>0</v>
      </c>
      <c r="AG1702">
        <v>0</v>
      </c>
    </row>
    <row r="1703" spans="1:33" x14ac:dyDescent="0.2">
      <c r="A1703">
        <v>1702</v>
      </c>
      <c r="B1703" t="s">
        <v>509</v>
      </c>
      <c r="C1703" t="s">
        <v>188</v>
      </c>
      <c r="D1703">
        <v>28</v>
      </c>
      <c r="E1703" t="s">
        <v>34</v>
      </c>
      <c r="F1703" t="s">
        <v>41</v>
      </c>
      <c r="G1703" t="s">
        <v>72</v>
      </c>
      <c r="H1703">
        <v>5846</v>
      </c>
      <c r="I1703">
        <v>0</v>
      </c>
      <c r="J1703">
        <v>0</v>
      </c>
      <c r="K1703">
        <v>1</v>
      </c>
      <c r="L1703">
        <v>0</v>
      </c>
      <c r="M1703" t="s">
        <v>74</v>
      </c>
      <c r="N1703" t="s">
        <v>93</v>
      </c>
      <c r="O1703" t="s">
        <v>115</v>
      </c>
      <c r="P1703" t="s">
        <v>442</v>
      </c>
      <c r="Q1703" t="s">
        <v>47</v>
      </c>
      <c r="R1703" t="s">
        <v>59</v>
      </c>
      <c r="S1703" t="s">
        <v>65</v>
      </c>
      <c r="T1703">
        <v>0</v>
      </c>
      <c r="U1703">
        <v>1</v>
      </c>
      <c r="V1703">
        <v>0</v>
      </c>
      <c r="W1703">
        <v>1</v>
      </c>
      <c r="X1703">
        <v>0</v>
      </c>
      <c r="Y1703">
        <v>0</v>
      </c>
      <c r="Z1703">
        <v>1</v>
      </c>
      <c r="AA1703">
        <v>0</v>
      </c>
      <c r="AB1703">
        <v>1</v>
      </c>
      <c r="AC1703">
        <v>0</v>
      </c>
      <c r="AD1703">
        <v>0</v>
      </c>
      <c r="AE1703">
        <v>0</v>
      </c>
      <c r="AF1703">
        <v>0</v>
      </c>
      <c r="AG1703">
        <v>0</v>
      </c>
    </row>
    <row r="1704" spans="1:33" hidden="1" x14ac:dyDescent="0.2">
      <c r="A1704">
        <v>1703</v>
      </c>
      <c r="B1704" t="s">
        <v>509</v>
      </c>
      <c r="C1704" t="s">
        <v>188</v>
      </c>
      <c r="D1704">
        <v>28</v>
      </c>
      <c r="E1704" t="s">
        <v>34</v>
      </c>
      <c r="F1704" t="s">
        <v>53</v>
      </c>
      <c r="G1704" t="s">
        <v>71</v>
      </c>
      <c r="H1704">
        <v>7287</v>
      </c>
      <c r="I1704">
        <v>0</v>
      </c>
      <c r="J1704">
        <v>1</v>
      </c>
      <c r="K1704">
        <v>0</v>
      </c>
      <c r="L1704">
        <v>0</v>
      </c>
      <c r="M1704" t="s">
        <v>36</v>
      </c>
      <c r="N1704" t="s">
        <v>36</v>
      </c>
      <c r="O1704" t="s">
        <v>36</v>
      </c>
      <c r="P1704" t="s">
        <v>442</v>
      </c>
      <c r="Q1704" t="s">
        <v>36</v>
      </c>
      <c r="R1704" t="s">
        <v>36</v>
      </c>
      <c r="S1704" t="s">
        <v>36</v>
      </c>
      <c r="T1704" t="s">
        <v>36</v>
      </c>
      <c r="U1704">
        <v>1</v>
      </c>
      <c r="V1704">
        <v>0</v>
      </c>
      <c r="W1704">
        <v>1</v>
      </c>
      <c r="X1704">
        <v>0</v>
      </c>
      <c r="Y1704">
        <v>0</v>
      </c>
      <c r="Z1704">
        <v>1</v>
      </c>
      <c r="AA1704">
        <v>0</v>
      </c>
      <c r="AB1704">
        <v>1</v>
      </c>
      <c r="AC1704">
        <v>0</v>
      </c>
      <c r="AD1704">
        <v>0</v>
      </c>
      <c r="AE1704">
        <v>0</v>
      </c>
      <c r="AF1704">
        <v>0</v>
      </c>
      <c r="AG1704">
        <v>0</v>
      </c>
    </row>
    <row r="1705" spans="1:33" x14ac:dyDescent="0.2">
      <c r="A1705">
        <v>1704</v>
      </c>
      <c r="B1705" t="s">
        <v>509</v>
      </c>
      <c r="C1705" t="s">
        <v>188</v>
      </c>
      <c r="D1705">
        <v>28</v>
      </c>
      <c r="E1705" t="s">
        <v>34</v>
      </c>
      <c r="F1705" t="s">
        <v>41</v>
      </c>
      <c r="G1705" t="s">
        <v>49</v>
      </c>
      <c r="H1705">
        <v>11405</v>
      </c>
      <c r="I1705">
        <v>0</v>
      </c>
      <c r="J1705">
        <v>0</v>
      </c>
      <c r="K1705">
        <v>1</v>
      </c>
      <c r="L1705">
        <v>0</v>
      </c>
      <c r="M1705" t="s">
        <v>51</v>
      </c>
      <c r="N1705" t="s">
        <v>52</v>
      </c>
      <c r="O1705" t="s">
        <v>50</v>
      </c>
      <c r="P1705" t="s">
        <v>442</v>
      </c>
      <c r="Q1705" t="s">
        <v>47</v>
      </c>
      <c r="R1705" t="s">
        <v>46</v>
      </c>
      <c r="S1705" t="s">
        <v>48</v>
      </c>
      <c r="T1705">
        <v>0</v>
      </c>
      <c r="U1705">
        <v>0</v>
      </c>
      <c r="V1705">
        <v>1</v>
      </c>
      <c r="W1705">
        <v>1</v>
      </c>
      <c r="X1705">
        <v>1</v>
      </c>
      <c r="Y1705">
        <v>0</v>
      </c>
      <c r="Z1705">
        <v>1</v>
      </c>
      <c r="AA1705">
        <v>0</v>
      </c>
      <c r="AB1705">
        <v>0</v>
      </c>
      <c r="AC1705">
        <v>1</v>
      </c>
      <c r="AD1705">
        <v>0</v>
      </c>
      <c r="AE1705">
        <v>0</v>
      </c>
      <c r="AF1705">
        <v>0</v>
      </c>
      <c r="AG1705">
        <v>0</v>
      </c>
    </row>
    <row r="1706" spans="1:33" hidden="1" x14ac:dyDescent="0.2">
      <c r="A1706">
        <v>1705</v>
      </c>
      <c r="B1706" t="s">
        <v>509</v>
      </c>
      <c r="C1706" t="s">
        <v>188</v>
      </c>
      <c r="D1706">
        <v>28</v>
      </c>
      <c r="E1706" t="s">
        <v>34</v>
      </c>
      <c r="F1706" t="s">
        <v>53</v>
      </c>
      <c r="G1706" t="s">
        <v>76</v>
      </c>
      <c r="H1706">
        <v>8835</v>
      </c>
      <c r="I1706">
        <v>0</v>
      </c>
      <c r="J1706">
        <v>1</v>
      </c>
      <c r="K1706">
        <v>0</v>
      </c>
      <c r="L1706">
        <v>0</v>
      </c>
      <c r="M1706" t="s">
        <v>36</v>
      </c>
      <c r="N1706" t="s">
        <v>36</v>
      </c>
      <c r="O1706" t="s">
        <v>36</v>
      </c>
      <c r="P1706" t="s">
        <v>442</v>
      </c>
      <c r="Q1706" t="s">
        <v>36</v>
      </c>
      <c r="R1706" t="s">
        <v>36</v>
      </c>
      <c r="S1706" t="s">
        <v>36</v>
      </c>
      <c r="T1706" t="s">
        <v>36</v>
      </c>
      <c r="U1706">
        <v>0</v>
      </c>
      <c r="V1706">
        <v>1</v>
      </c>
      <c r="W1706">
        <v>1</v>
      </c>
      <c r="X1706">
        <v>1</v>
      </c>
      <c r="Y1706">
        <v>0</v>
      </c>
      <c r="Z1706">
        <v>1</v>
      </c>
      <c r="AA1706">
        <v>0</v>
      </c>
      <c r="AB1706">
        <v>0</v>
      </c>
      <c r="AC1706">
        <v>1</v>
      </c>
      <c r="AD1706">
        <v>0</v>
      </c>
      <c r="AE1706">
        <v>0</v>
      </c>
      <c r="AF1706">
        <v>0</v>
      </c>
      <c r="AG1706">
        <v>0</v>
      </c>
    </row>
    <row r="1707" spans="1:33" x14ac:dyDescent="0.2">
      <c r="A1707">
        <v>1706</v>
      </c>
      <c r="B1707" t="s">
        <v>509</v>
      </c>
      <c r="C1707" t="s">
        <v>188</v>
      </c>
      <c r="D1707">
        <v>28</v>
      </c>
      <c r="E1707" t="s">
        <v>34</v>
      </c>
      <c r="F1707" t="s">
        <v>41</v>
      </c>
      <c r="G1707" t="s">
        <v>42</v>
      </c>
      <c r="H1707">
        <v>9324</v>
      </c>
      <c r="I1707">
        <v>0</v>
      </c>
      <c r="J1707">
        <v>0</v>
      </c>
      <c r="K1707">
        <v>1</v>
      </c>
      <c r="L1707">
        <v>0</v>
      </c>
      <c r="M1707" t="s">
        <v>82</v>
      </c>
      <c r="N1707" t="s">
        <v>43</v>
      </c>
      <c r="O1707" t="s">
        <v>102</v>
      </c>
      <c r="P1707" t="s">
        <v>442</v>
      </c>
      <c r="Q1707" t="s">
        <v>65</v>
      </c>
      <c r="R1707" t="s">
        <v>46</v>
      </c>
      <c r="S1707" t="s">
        <v>59</v>
      </c>
      <c r="T1707">
        <v>0</v>
      </c>
      <c r="U1707">
        <v>1</v>
      </c>
      <c r="V1707">
        <v>0</v>
      </c>
      <c r="W1707">
        <v>0</v>
      </c>
      <c r="X1707">
        <v>1</v>
      </c>
      <c r="Y1707">
        <v>0</v>
      </c>
      <c r="Z1707">
        <v>1</v>
      </c>
      <c r="AA1707">
        <v>0</v>
      </c>
      <c r="AB1707">
        <v>0</v>
      </c>
      <c r="AC1707">
        <v>0</v>
      </c>
      <c r="AD1707">
        <v>0</v>
      </c>
      <c r="AE1707">
        <v>0</v>
      </c>
      <c r="AF1707">
        <v>0</v>
      </c>
      <c r="AG1707">
        <v>0</v>
      </c>
    </row>
    <row r="1708" spans="1:33" hidden="1" x14ac:dyDescent="0.2">
      <c r="A1708">
        <v>1707</v>
      </c>
      <c r="B1708" t="s">
        <v>509</v>
      </c>
      <c r="C1708" t="s">
        <v>188</v>
      </c>
      <c r="D1708">
        <v>28</v>
      </c>
      <c r="E1708" t="s">
        <v>34</v>
      </c>
      <c r="F1708" t="s">
        <v>53</v>
      </c>
      <c r="G1708" t="s">
        <v>54</v>
      </c>
      <c r="H1708">
        <v>20847</v>
      </c>
      <c r="I1708">
        <v>0</v>
      </c>
      <c r="J1708">
        <v>0</v>
      </c>
      <c r="K1708">
        <v>1</v>
      </c>
      <c r="L1708">
        <v>0</v>
      </c>
      <c r="M1708" t="s">
        <v>36</v>
      </c>
      <c r="N1708" t="s">
        <v>36</v>
      </c>
      <c r="O1708" t="s">
        <v>36</v>
      </c>
      <c r="P1708" t="s">
        <v>442</v>
      </c>
      <c r="Q1708" t="s">
        <v>36</v>
      </c>
      <c r="R1708" t="s">
        <v>36</v>
      </c>
      <c r="S1708" t="s">
        <v>36</v>
      </c>
      <c r="T1708" t="s">
        <v>36</v>
      </c>
      <c r="U1708">
        <v>1</v>
      </c>
      <c r="V1708">
        <v>0</v>
      </c>
      <c r="W1708">
        <v>0</v>
      </c>
      <c r="X1708">
        <v>1</v>
      </c>
      <c r="Y1708">
        <v>0</v>
      </c>
      <c r="Z1708">
        <v>1</v>
      </c>
      <c r="AA1708">
        <v>0</v>
      </c>
      <c r="AB1708">
        <v>0</v>
      </c>
      <c r="AC1708">
        <v>0</v>
      </c>
      <c r="AD1708">
        <v>0</v>
      </c>
      <c r="AE1708">
        <v>0</v>
      </c>
      <c r="AF1708">
        <v>0</v>
      </c>
      <c r="AG1708">
        <v>0</v>
      </c>
    </row>
    <row r="1709" spans="1:33" hidden="1" x14ac:dyDescent="0.2">
      <c r="A1709">
        <v>1708</v>
      </c>
      <c r="B1709" t="s">
        <v>509</v>
      </c>
      <c r="C1709" t="s">
        <v>188</v>
      </c>
      <c r="D1709">
        <v>28</v>
      </c>
      <c r="E1709" t="s">
        <v>34</v>
      </c>
      <c r="F1709" t="s">
        <v>77</v>
      </c>
      <c r="G1709" t="s">
        <v>36</v>
      </c>
      <c r="H1709">
        <v>352710</v>
      </c>
      <c r="I1709" t="s">
        <v>510</v>
      </c>
      <c r="J1709" t="s">
        <v>190</v>
      </c>
      <c r="K1709" t="s">
        <v>511</v>
      </c>
      <c r="L1709" t="s">
        <v>36</v>
      </c>
      <c r="M1709" t="s">
        <v>36</v>
      </c>
      <c r="N1709" t="s">
        <v>36</v>
      </c>
      <c r="O1709" t="s">
        <v>36</v>
      </c>
      <c r="P1709" t="s">
        <v>442</v>
      </c>
      <c r="Q1709" t="s">
        <v>36</v>
      </c>
      <c r="R1709" t="s">
        <v>36</v>
      </c>
      <c r="S1709" t="s">
        <v>36</v>
      </c>
      <c r="T1709" t="s">
        <v>36</v>
      </c>
      <c r="U1709" t="s">
        <v>36</v>
      </c>
      <c r="V1709" t="s">
        <v>36</v>
      </c>
      <c r="W1709" t="s">
        <v>36</v>
      </c>
      <c r="X1709" t="s">
        <v>36</v>
      </c>
      <c r="Y1709" t="s">
        <v>36</v>
      </c>
      <c r="Z1709" t="s">
        <v>36</v>
      </c>
      <c r="AA1709" t="s">
        <v>36</v>
      </c>
      <c r="AB1709" t="s">
        <v>36</v>
      </c>
      <c r="AC1709" t="s">
        <v>36</v>
      </c>
      <c r="AD1709" t="s">
        <v>36</v>
      </c>
      <c r="AE1709" t="s">
        <v>36</v>
      </c>
      <c r="AF1709" t="s">
        <v>36</v>
      </c>
      <c r="AG1709" t="s">
        <v>36</v>
      </c>
    </row>
    <row r="1710" spans="1:33" hidden="1" x14ac:dyDescent="0.2">
      <c r="A1710">
        <v>1709</v>
      </c>
      <c r="B1710" t="s">
        <v>512</v>
      </c>
      <c r="C1710" t="s">
        <v>108</v>
      </c>
      <c r="D1710">
        <v>29</v>
      </c>
      <c r="E1710" t="s">
        <v>114</v>
      </c>
      <c r="F1710" t="s">
        <v>35</v>
      </c>
      <c r="G1710" t="s">
        <v>36</v>
      </c>
      <c r="H1710">
        <v>36654</v>
      </c>
      <c r="I1710" t="s">
        <v>36</v>
      </c>
      <c r="J1710" t="s">
        <v>36</v>
      </c>
      <c r="K1710" t="s">
        <v>36</v>
      </c>
      <c r="L1710" t="s">
        <v>36</v>
      </c>
      <c r="M1710" t="s">
        <v>36</v>
      </c>
      <c r="N1710" t="s">
        <v>36</v>
      </c>
      <c r="O1710" t="s">
        <v>36</v>
      </c>
      <c r="P1710" t="s">
        <v>442</v>
      </c>
      <c r="Q1710" t="s">
        <v>36</v>
      </c>
      <c r="R1710" t="s">
        <v>36</v>
      </c>
      <c r="S1710" t="s">
        <v>36</v>
      </c>
      <c r="T1710" t="s">
        <v>36</v>
      </c>
      <c r="U1710" t="s">
        <v>36</v>
      </c>
      <c r="V1710" t="s">
        <v>36</v>
      </c>
      <c r="W1710" t="s">
        <v>36</v>
      </c>
      <c r="X1710" t="s">
        <v>36</v>
      </c>
      <c r="Y1710" t="s">
        <v>36</v>
      </c>
      <c r="Z1710" t="s">
        <v>36</v>
      </c>
      <c r="AA1710" t="s">
        <v>36</v>
      </c>
      <c r="AB1710" t="s">
        <v>36</v>
      </c>
      <c r="AC1710" t="s">
        <v>36</v>
      </c>
      <c r="AD1710" t="s">
        <v>36</v>
      </c>
      <c r="AE1710" t="s">
        <v>36</v>
      </c>
      <c r="AF1710" t="s">
        <v>36</v>
      </c>
      <c r="AG1710" t="s">
        <v>36</v>
      </c>
    </row>
    <row r="1711" spans="1:33" hidden="1" x14ac:dyDescent="0.2">
      <c r="A1711">
        <v>1710</v>
      </c>
      <c r="B1711" t="s">
        <v>512</v>
      </c>
      <c r="C1711" t="s">
        <v>108</v>
      </c>
      <c r="D1711">
        <v>29</v>
      </c>
      <c r="E1711" t="s">
        <v>114</v>
      </c>
      <c r="F1711" t="s">
        <v>38</v>
      </c>
      <c r="G1711" t="s">
        <v>39</v>
      </c>
      <c r="H1711">
        <v>32685</v>
      </c>
      <c r="I1711">
        <v>0</v>
      </c>
      <c r="J1711">
        <v>0</v>
      </c>
      <c r="K1711">
        <v>0</v>
      </c>
      <c r="L1711">
        <v>1</v>
      </c>
      <c r="M1711" t="s">
        <v>36</v>
      </c>
      <c r="N1711" t="s">
        <v>36</v>
      </c>
      <c r="O1711" t="s">
        <v>36</v>
      </c>
      <c r="P1711" t="s">
        <v>442</v>
      </c>
      <c r="Q1711" t="s">
        <v>36</v>
      </c>
      <c r="R1711" t="s">
        <v>36</v>
      </c>
      <c r="S1711" t="s">
        <v>36</v>
      </c>
      <c r="T1711" t="s">
        <v>36</v>
      </c>
      <c r="U1711" t="s">
        <v>36</v>
      </c>
      <c r="V1711" t="s">
        <v>36</v>
      </c>
      <c r="W1711" t="s">
        <v>36</v>
      </c>
      <c r="X1711" t="s">
        <v>36</v>
      </c>
      <c r="Y1711" t="s">
        <v>36</v>
      </c>
      <c r="Z1711" t="s">
        <v>36</v>
      </c>
      <c r="AA1711" t="s">
        <v>36</v>
      </c>
      <c r="AB1711" t="s">
        <v>36</v>
      </c>
      <c r="AC1711" t="s">
        <v>36</v>
      </c>
      <c r="AD1711" t="s">
        <v>36</v>
      </c>
      <c r="AE1711" t="s">
        <v>36</v>
      </c>
      <c r="AF1711" t="s">
        <v>36</v>
      </c>
      <c r="AG1711" t="s">
        <v>36</v>
      </c>
    </row>
    <row r="1712" spans="1:33" hidden="1" x14ac:dyDescent="0.2">
      <c r="A1712">
        <v>1711</v>
      </c>
      <c r="B1712" t="s">
        <v>512</v>
      </c>
      <c r="C1712" t="s">
        <v>108</v>
      </c>
      <c r="D1712">
        <v>29</v>
      </c>
      <c r="E1712" t="s">
        <v>114</v>
      </c>
      <c r="F1712" t="s">
        <v>38</v>
      </c>
      <c r="G1712" t="s">
        <v>40</v>
      </c>
      <c r="H1712">
        <v>39910</v>
      </c>
      <c r="I1712">
        <v>0</v>
      </c>
      <c r="J1712">
        <v>0</v>
      </c>
      <c r="K1712">
        <v>1</v>
      </c>
      <c r="L1712">
        <v>0</v>
      </c>
      <c r="M1712" t="s">
        <v>36</v>
      </c>
      <c r="N1712" t="s">
        <v>36</v>
      </c>
      <c r="O1712" t="s">
        <v>36</v>
      </c>
      <c r="P1712" t="s">
        <v>442</v>
      </c>
      <c r="Q1712" t="s">
        <v>36</v>
      </c>
      <c r="R1712" t="s">
        <v>36</v>
      </c>
      <c r="S1712" t="s">
        <v>36</v>
      </c>
      <c r="T1712" t="s">
        <v>36</v>
      </c>
      <c r="U1712" t="s">
        <v>36</v>
      </c>
      <c r="V1712" t="s">
        <v>36</v>
      </c>
      <c r="W1712" t="s">
        <v>36</v>
      </c>
      <c r="X1712" t="s">
        <v>36</v>
      </c>
      <c r="Y1712" t="s">
        <v>36</v>
      </c>
      <c r="Z1712" t="s">
        <v>36</v>
      </c>
      <c r="AA1712" t="s">
        <v>36</v>
      </c>
      <c r="AB1712" t="s">
        <v>36</v>
      </c>
      <c r="AC1712" t="s">
        <v>36</v>
      </c>
      <c r="AD1712" t="s">
        <v>36</v>
      </c>
      <c r="AE1712" t="s">
        <v>36</v>
      </c>
      <c r="AF1712" t="s">
        <v>36</v>
      </c>
      <c r="AG1712" t="s">
        <v>36</v>
      </c>
    </row>
    <row r="1713" spans="1:33" x14ac:dyDescent="0.2">
      <c r="A1713">
        <v>1712</v>
      </c>
      <c r="B1713" t="s">
        <v>512</v>
      </c>
      <c r="C1713" t="s">
        <v>108</v>
      </c>
      <c r="D1713">
        <v>29</v>
      </c>
      <c r="E1713" t="s">
        <v>114</v>
      </c>
      <c r="F1713" t="s">
        <v>41</v>
      </c>
      <c r="G1713" t="s">
        <v>49</v>
      </c>
      <c r="H1713">
        <v>87776</v>
      </c>
      <c r="I1713">
        <v>0</v>
      </c>
      <c r="J1713">
        <v>0</v>
      </c>
      <c r="K1713">
        <v>0</v>
      </c>
      <c r="L1713">
        <v>1</v>
      </c>
      <c r="M1713" t="s">
        <v>96</v>
      </c>
      <c r="N1713" t="s">
        <v>52</v>
      </c>
      <c r="O1713" t="s">
        <v>50</v>
      </c>
      <c r="P1713" t="s">
        <v>442</v>
      </c>
      <c r="Q1713" t="s">
        <v>65</v>
      </c>
      <c r="R1713" t="s">
        <v>46</v>
      </c>
      <c r="S1713" t="s">
        <v>48</v>
      </c>
      <c r="T1713">
        <v>0</v>
      </c>
      <c r="U1713">
        <v>1</v>
      </c>
      <c r="V1713">
        <v>1</v>
      </c>
      <c r="W1713">
        <v>0</v>
      </c>
      <c r="X1713">
        <v>1</v>
      </c>
      <c r="Y1713">
        <v>0</v>
      </c>
      <c r="Z1713">
        <v>1</v>
      </c>
      <c r="AA1713">
        <v>0</v>
      </c>
      <c r="AB1713">
        <v>0</v>
      </c>
      <c r="AC1713">
        <v>0</v>
      </c>
      <c r="AD1713">
        <v>0</v>
      </c>
      <c r="AE1713">
        <v>0</v>
      </c>
      <c r="AF1713">
        <v>0</v>
      </c>
      <c r="AG1713">
        <v>1</v>
      </c>
    </row>
    <row r="1714" spans="1:33" x14ac:dyDescent="0.2">
      <c r="A1714">
        <v>1713</v>
      </c>
      <c r="B1714" t="s">
        <v>512</v>
      </c>
      <c r="C1714" t="s">
        <v>108</v>
      </c>
      <c r="D1714">
        <v>29</v>
      </c>
      <c r="E1714" t="s">
        <v>114</v>
      </c>
      <c r="F1714" t="s">
        <v>41</v>
      </c>
      <c r="G1714" t="s">
        <v>67</v>
      </c>
      <c r="H1714">
        <v>27414</v>
      </c>
      <c r="I1714">
        <v>0</v>
      </c>
      <c r="J1714">
        <v>0</v>
      </c>
      <c r="K1714">
        <v>0</v>
      </c>
      <c r="L1714">
        <v>1</v>
      </c>
      <c r="M1714" t="s">
        <v>109</v>
      </c>
      <c r="N1714" t="s">
        <v>70</v>
      </c>
      <c r="O1714" t="s">
        <v>69</v>
      </c>
      <c r="P1714" t="s">
        <v>442</v>
      </c>
      <c r="Q1714" t="s">
        <v>59</v>
      </c>
      <c r="R1714" t="s">
        <v>47</v>
      </c>
      <c r="S1714" t="s">
        <v>48</v>
      </c>
      <c r="T1714">
        <v>0</v>
      </c>
      <c r="U1714">
        <v>0</v>
      </c>
      <c r="V1714">
        <v>1</v>
      </c>
      <c r="W1714">
        <v>1</v>
      </c>
      <c r="X1714">
        <v>0</v>
      </c>
      <c r="Y1714">
        <v>0</v>
      </c>
      <c r="Z1714">
        <v>1</v>
      </c>
      <c r="AA1714">
        <v>0</v>
      </c>
      <c r="AB1714">
        <v>0</v>
      </c>
      <c r="AC1714">
        <v>0</v>
      </c>
      <c r="AD1714">
        <v>0</v>
      </c>
      <c r="AE1714">
        <v>0</v>
      </c>
      <c r="AF1714">
        <v>0</v>
      </c>
      <c r="AG1714">
        <v>1</v>
      </c>
    </row>
    <row r="1715" spans="1:33" hidden="1" x14ac:dyDescent="0.2">
      <c r="A1715">
        <v>1714</v>
      </c>
      <c r="B1715" t="s">
        <v>512</v>
      </c>
      <c r="C1715" t="s">
        <v>108</v>
      </c>
      <c r="D1715">
        <v>29</v>
      </c>
      <c r="E1715" t="s">
        <v>114</v>
      </c>
      <c r="F1715" t="s">
        <v>53</v>
      </c>
      <c r="G1715" t="s">
        <v>76</v>
      </c>
      <c r="H1715">
        <v>29968</v>
      </c>
      <c r="I1715">
        <v>1</v>
      </c>
      <c r="J1715">
        <v>0</v>
      </c>
      <c r="K1715">
        <v>0</v>
      </c>
      <c r="L1715">
        <v>0</v>
      </c>
      <c r="M1715" t="s">
        <v>36</v>
      </c>
      <c r="N1715" t="s">
        <v>36</v>
      </c>
      <c r="O1715" t="s">
        <v>36</v>
      </c>
      <c r="P1715" t="s">
        <v>442</v>
      </c>
      <c r="Q1715" t="s">
        <v>36</v>
      </c>
      <c r="R1715" t="s">
        <v>36</v>
      </c>
      <c r="S1715" t="s">
        <v>36</v>
      </c>
      <c r="T1715" t="s">
        <v>36</v>
      </c>
      <c r="U1715">
        <v>0</v>
      </c>
      <c r="V1715">
        <v>1</v>
      </c>
      <c r="W1715">
        <v>1</v>
      </c>
      <c r="X1715">
        <v>0</v>
      </c>
      <c r="Y1715">
        <v>0</v>
      </c>
      <c r="Z1715">
        <v>1</v>
      </c>
      <c r="AA1715">
        <v>0</v>
      </c>
      <c r="AB1715">
        <v>0</v>
      </c>
      <c r="AC1715">
        <v>0</v>
      </c>
      <c r="AD1715">
        <v>0</v>
      </c>
      <c r="AE1715">
        <v>0</v>
      </c>
      <c r="AF1715">
        <v>0</v>
      </c>
      <c r="AG1715">
        <v>1</v>
      </c>
    </row>
    <row r="1716" spans="1:33" x14ac:dyDescent="0.2">
      <c r="A1716">
        <v>1715</v>
      </c>
      <c r="B1716" t="s">
        <v>512</v>
      </c>
      <c r="C1716" t="s">
        <v>108</v>
      </c>
      <c r="D1716">
        <v>29</v>
      </c>
      <c r="E1716" t="s">
        <v>114</v>
      </c>
      <c r="F1716" t="s">
        <v>41</v>
      </c>
      <c r="G1716" t="s">
        <v>55</v>
      </c>
      <c r="H1716">
        <v>23618</v>
      </c>
      <c r="I1716">
        <v>0</v>
      </c>
      <c r="J1716">
        <v>0</v>
      </c>
      <c r="K1716">
        <v>0</v>
      </c>
      <c r="L1716">
        <v>1</v>
      </c>
      <c r="M1716" t="s">
        <v>84</v>
      </c>
      <c r="N1716" t="s">
        <v>85</v>
      </c>
      <c r="O1716" t="s">
        <v>56</v>
      </c>
      <c r="P1716" t="s">
        <v>442</v>
      </c>
      <c r="Q1716" t="s">
        <v>46</v>
      </c>
      <c r="R1716" t="s">
        <v>65</v>
      </c>
      <c r="S1716" t="s">
        <v>59</v>
      </c>
      <c r="T1716">
        <v>0</v>
      </c>
      <c r="U1716">
        <v>1</v>
      </c>
      <c r="V1716">
        <v>0</v>
      </c>
      <c r="W1716">
        <v>0</v>
      </c>
      <c r="X1716">
        <v>1</v>
      </c>
      <c r="Y1716">
        <v>0</v>
      </c>
      <c r="Z1716">
        <v>1</v>
      </c>
      <c r="AA1716">
        <v>0</v>
      </c>
      <c r="AB1716">
        <v>0</v>
      </c>
      <c r="AC1716">
        <v>0</v>
      </c>
      <c r="AD1716">
        <v>0</v>
      </c>
      <c r="AE1716">
        <v>0</v>
      </c>
      <c r="AF1716">
        <v>0</v>
      </c>
      <c r="AG1716">
        <v>1</v>
      </c>
    </row>
    <row r="1717" spans="1:33" x14ac:dyDescent="0.2">
      <c r="A1717">
        <v>1716</v>
      </c>
      <c r="B1717" t="s">
        <v>512</v>
      </c>
      <c r="C1717" t="s">
        <v>108</v>
      </c>
      <c r="D1717">
        <v>29</v>
      </c>
      <c r="E1717" t="s">
        <v>114</v>
      </c>
      <c r="F1717" t="s">
        <v>41</v>
      </c>
      <c r="G1717" t="s">
        <v>72</v>
      </c>
      <c r="H1717">
        <v>20342</v>
      </c>
      <c r="I1717">
        <v>0</v>
      </c>
      <c r="J1717">
        <v>0</v>
      </c>
      <c r="K1717">
        <v>0</v>
      </c>
      <c r="L1717">
        <v>1</v>
      </c>
      <c r="M1717" t="s">
        <v>115</v>
      </c>
      <c r="N1717" t="s">
        <v>75</v>
      </c>
      <c r="O1717" t="s">
        <v>74</v>
      </c>
      <c r="P1717" t="s">
        <v>442</v>
      </c>
      <c r="Q1717" t="s">
        <v>65</v>
      </c>
      <c r="R1717" t="s">
        <v>46</v>
      </c>
      <c r="S1717" t="s">
        <v>47</v>
      </c>
      <c r="T1717">
        <v>0</v>
      </c>
      <c r="U1717">
        <v>1</v>
      </c>
      <c r="V1717">
        <v>0</v>
      </c>
      <c r="W1717">
        <v>1</v>
      </c>
      <c r="X1717">
        <v>1</v>
      </c>
      <c r="Y1717">
        <v>0</v>
      </c>
      <c r="Z1717">
        <v>1</v>
      </c>
      <c r="AA1717">
        <v>0</v>
      </c>
      <c r="AB1717">
        <v>0</v>
      </c>
      <c r="AC1717">
        <v>0</v>
      </c>
      <c r="AD1717">
        <v>0</v>
      </c>
      <c r="AE1717">
        <v>0</v>
      </c>
      <c r="AF1717">
        <v>0</v>
      </c>
      <c r="AG1717">
        <v>1</v>
      </c>
    </row>
    <row r="1718" spans="1:33" hidden="1" x14ac:dyDescent="0.2">
      <c r="A1718">
        <v>1717</v>
      </c>
      <c r="B1718" t="s">
        <v>512</v>
      </c>
      <c r="C1718" t="s">
        <v>108</v>
      </c>
      <c r="D1718">
        <v>29</v>
      </c>
      <c r="E1718" t="s">
        <v>114</v>
      </c>
      <c r="F1718" t="s">
        <v>53</v>
      </c>
      <c r="G1718" t="s">
        <v>71</v>
      </c>
      <c r="H1718">
        <v>64264</v>
      </c>
      <c r="I1718">
        <v>0</v>
      </c>
      <c r="J1718">
        <v>1</v>
      </c>
      <c r="K1718">
        <v>0</v>
      </c>
      <c r="L1718">
        <v>0</v>
      </c>
      <c r="M1718" t="s">
        <v>36</v>
      </c>
      <c r="N1718" t="s">
        <v>36</v>
      </c>
      <c r="O1718" t="s">
        <v>36</v>
      </c>
      <c r="P1718" t="s">
        <v>442</v>
      </c>
      <c r="Q1718" t="s">
        <v>36</v>
      </c>
      <c r="R1718" t="s">
        <v>36</v>
      </c>
      <c r="S1718" t="s">
        <v>36</v>
      </c>
      <c r="T1718" t="s">
        <v>36</v>
      </c>
      <c r="U1718">
        <v>1</v>
      </c>
      <c r="V1718">
        <v>0</v>
      </c>
      <c r="W1718">
        <v>1</v>
      </c>
      <c r="X1718">
        <v>1</v>
      </c>
      <c r="Y1718">
        <v>0</v>
      </c>
      <c r="Z1718">
        <v>1</v>
      </c>
      <c r="AA1718">
        <v>0</v>
      </c>
      <c r="AB1718">
        <v>0</v>
      </c>
      <c r="AC1718">
        <v>0</v>
      </c>
      <c r="AD1718">
        <v>0</v>
      </c>
      <c r="AE1718">
        <v>0</v>
      </c>
      <c r="AF1718">
        <v>0</v>
      </c>
      <c r="AG1718">
        <v>1</v>
      </c>
    </row>
    <row r="1719" spans="1:33" x14ac:dyDescent="0.2">
      <c r="A1719">
        <v>1718</v>
      </c>
      <c r="B1719" t="s">
        <v>512</v>
      </c>
      <c r="C1719" t="s">
        <v>108</v>
      </c>
      <c r="D1719">
        <v>29</v>
      </c>
      <c r="E1719" t="s">
        <v>114</v>
      </c>
      <c r="F1719" t="s">
        <v>41</v>
      </c>
      <c r="G1719" t="s">
        <v>61</v>
      </c>
      <c r="H1719">
        <v>19310</v>
      </c>
      <c r="I1719">
        <v>0</v>
      </c>
      <c r="J1719">
        <v>0</v>
      </c>
      <c r="K1719">
        <v>0</v>
      </c>
      <c r="L1719">
        <v>1</v>
      </c>
      <c r="M1719" t="s">
        <v>97</v>
      </c>
      <c r="N1719" t="s">
        <v>62</v>
      </c>
      <c r="O1719" t="s">
        <v>63</v>
      </c>
      <c r="P1719" t="s">
        <v>442</v>
      </c>
      <c r="Q1719" t="s">
        <v>59</v>
      </c>
      <c r="R1719" t="s">
        <v>65</v>
      </c>
      <c r="S1719" t="s">
        <v>46</v>
      </c>
      <c r="T1719">
        <v>0</v>
      </c>
      <c r="U1719">
        <v>1</v>
      </c>
      <c r="V1719">
        <v>0</v>
      </c>
      <c r="W1719">
        <v>0</v>
      </c>
      <c r="X1719">
        <v>1</v>
      </c>
      <c r="Y1719">
        <v>0</v>
      </c>
      <c r="Z1719">
        <v>1</v>
      </c>
      <c r="AA1719">
        <v>0</v>
      </c>
      <c r="AB1719">
        <v>0</v>
      </c>
      <c r="AC1719">
        <v>0</v>
      </c>
      <c r="AD1719">
        <v>0</v>
      </c>
      <c r="AE1719">
        <v>0</v>
      </c>
      <c r="AF1719">
        <v>0</v>
      </c>
      <c r="AG1719">
        <v>1</v>
      </c>
    </row>
    <row r="1720" spans="1:33" hidden="1" x14ac:dyDescent="0.2">
      <c r="A1720">
        <v>1719</v>
      </c>
      <c r="B1720" t="s">
        <v>512</v>
      </c>
      <c r="C1720" t="s">
        <v>108</v>
      </c>
      <c r="D1720">
        <v>29</v>
      </c>
      <c r="E1720" t="s">
        <v>114</v>
      </c>
      <c r="F1720" t="s">
        <v>53</v>
      </c>
      <c r="G1720" t="s">
        <v>54</v>
      </c>
      <c r="H1720">
        <v>43648</v>
      </c>
      <c r="I1720">
        <v>0</v>
      </c>
      <c r="J1720">
        <v>1</v>
      </c>
      <c r="K1720">
        <v>1</v>
      </c>
      <c r="L1720">
        <v>0</v>
      </c>
      <c r="M1720" t="s">
        <v>36</v>
      </c>
      <c r="N1720" t="s">
        <v>36</v>
      </c>
      <c r="O1720" t="s">
        <v>36</v>
      </c>
      <c r="P1720" t="s">
        <v>442</v>
      </c>
      <c r="Q1720" t="s">
        <v>36</v>
      </c>
      <c r="R1720" t="s">
        <v>36</v>
      </c>
      <c r="S1720" t="s">
        <v>36</v>
      </c>
      <c r="T1720" t="s">
        <v>36</v>
      </c>
      <c r="U1720">
        <v>1</v>
      </c>
      <c r="V1720">
        <v>0</v>
      </c>
      <c r="W1720">
        <v>0</v>
      </c>
      <c r="X1720">
        <v>1</v>
      </c>
      <c r="Y1720">
        <v>0</v>
      </c>
      <c r="Z1720">
        <v>1</v>
      </c>
      <c r="AA1720">
        <v>0</v>
      </c>
      <c r="AB1720">
        <v>0</v>
      </c>
      <c r="AC1720">
        <v>0</v>
      </c>
      <c r="AD1720">
        <v>0</v>
      </c>
      <c r="AE1720">
        <v>0</v>
      </c>
      <c r="AF1720">
        <v>0</v>
      </c>
      <c r="AG1720">
        <v>1</v>
      </c>
    </row>
    <row r="1721" spans="1:33" x14ac:dyDescent="0.2">
      <c r="A1721">
        <v>1720</v>
      </c>
      <c r="B1721" t="s">
        <v>512</v>
      </c>
      <c r="C1721" t="s">
        <v>108</v>
      </c>
      <c r="D1721">
        <v>29</v>
      </c>
      <c r="E1721" t="s">
        <v>114</v>
      </c>
      <c r="F1721" t="s">
        <v>41</v>
      </c>
      <c r="G1721" t="s">
        <v>42</v>
      </c>
      <c r="H1721">
        <v>20613</v>
      </c>
      <c r="I1721">
        <v>0</v>
      </c>
      <c r="J1721">
        <v>0</v>
      </c>
      <c r="K1721">
        <v>0</v>
      </c>
      <c r="L1721">
        <v>1</v>
      </c>
      <c r="M1721" t="s">
        <v>44</v>
      </c>
      <c r="N1721" t="s">
        <v>82</v>
      </c>
      <c r="O1721" t="s">
        <v>45</v>
      </c>
      <c r="P1721" t="s">
        <v>442</v>
      </c>
      <c r="Q1721" t="s">
        <v>47</v>
      </c>
      <c r="R1721" t="s">
        <v>65</v>
      </c>
      <c r="S1721" t="s">
        <v>48</v>
      </c>
      <c r="T1721">
        <v>0</v>
      </c>
      <c r="U1721">
        <v>1</v>
      </c>
      <c r="V1721">
        <v>1</v>
      </c>
      <c r="W1721">
        <v>1</v>
      </c>
      <c r="X1721">
        <v>0</v>
      </c>
      <c r="Y1721">
        <v>0</v>
      </c>
      <c r="Z1721">
        <v>1</v>
      </c>
      <c r="AA1721">
        <v>0</v>
      </c>
      <c r="AB1721">
        <v>0</v>
      </c>
      <c r="AC1721">
        <v>0</v>
      </c>
      <c r="AD1721">
        <v>0</v>
      </c>
      <c r="AE1721">
        <v>0</v>
      </c>
      <c r="AF1721">
        <v>0</v>
      </c>
      <c r="AG1721">
        <v>1</v>
      </c>
    </row>
    <row r="1722" spans="1:33" hidden="1" x14ac:dyDescent="0.2">
      <c r="A1722">
        <v>1721</v>
      </c>
      <c r="B1722" t="s">
        <v>512</v>
      </c>
      <c r="C1722" t="s">
        <v>108</v>
      </c>
      <c r="D1722">
        <v>29</v>
      </c>
      <c r="E1722" t="s">
        <v>114</v>
      </c>
      <c r="F1722" t="s">
        <v>53</v>
      </c>
      <c r="G1722" t="s">
        <v>66</v>
      </c>
      <c r="H1722">
        <v>31629</v>
      </c>
      <c r="I1722">
        <v>1</v>
      </c>
      <c r="J1722">
        <v>0</v>
      </c>
      <c r="K1722">
        <v>0</v>
      </c>
      <c r="L1722">
        <v>0</v>
      </c>
      <c r="M1722" t="s">
        <v>36</v>
      </c>
      <c r="N1722" t="s">
        <v>36</v>
      </c>
      <c r="O1722" t="s">
        <v>36</v>
      </c>
      <c r="P1722" t="s">
        <v>442</v>
      </c>
      <c r="Q1722" t="s">
        <v>36</v>
      </c>
      <c r="R1722" t="s">
        <v>36</v>
      </c>
      <c r="S1722" t="s">
        <v>36</v>
      </c>
      <c r="T1722" t="s">
        <v>36</v>
      </c>
      <c r="U1722">
        <v>1</v>
      </c>
      <c r="V1722">
        <v>1</v>
      </c>
      <c r="W1722">
        <v>1</v>
      </c>
      <c r="X1722">
        <v>0</v>
      </c>
      <c r="Y1722">
        <v>0</v>
      </c>
      <c r="Z1722">
        <v>1</v>
      </c>
      <c r="AA1722">
        <v>0</v>
      </c>
      <c r="AB1722">
        <v>0</v>
      </c>
      <c r="AC1722">
        <v>0</v>
      </c>
      <c r="AD1722">
        <v>0</v>
      </c>
      <c r="AE1722">
        <v>0</v>
      </c>
      <c r="AF1722">
        <v>0</v>
      </c>
      <c r="AG1722">
        <v>1</v>
      </c>
    </row>
    <row r="1723" spans="1:33" hidden="1" x14ac:dyDescent="0.2">
      <c r="A1723">
        <v>1722</v>
      </c>
      <c r="B1723" t="s">
        <v>512</v>
      </c>
      <c r="C1723" t="s">
        <v>108</v>
      </c>
      <c r="D1723">
        <v>29</v>
      </c>
      <c r="E1723" t="s">
        <v>114</v>
      </c>
      <c r="F1723" t="s">
        <v>77</v>
      </c>
      <c r="G1723" t="s">
        <v>36</v>
      </c>
      <c r="H1723">
        <v>130580</v>
      </c>
      <c r="I1723" t="s">
        <v>513</v>
      </c>
      <c r="J1723" t="s">
        <v>514</v>
      </c>
      <c r="K1723" t="s">
        <v>112</v>
      </c>
      <c r="L1723" t="s">
        <v>36</v>
      </c>
      <c r="M1723" t="s">
        <v>36</v>
      </c>
      <c r="N1723" t="s">
        <v>36</v>
      </c>
      <c r="O1723" t="s">
        <v>36</v>
      </c>
      <c r="P1723" t="s">
        <v>442</v>
      </c>
      <c r="Q1723" t="s">
        <v>36</v>
      </c>
      <c r="R1723" t="s">
        <v>36</v>
      </c>
      <c r="S1723" t="s">
        <v>36</v>
      </c>
      <c r="T1723" t="s">
        <v>36</v>
      </c>
      <c r="U1723" t="s">
        <v>36</v>
      </c>
      <c r="V1723" t="s">
        <v>36</v>
      </c>
      <c r="W1723" t="s">
        <v>36</v>
      </c>
      <c r="X1723" t="s">
        <v>36</v>
      </c>
      <c r="Y1723" t="s">
        <v>36</v>
      </c>
      <c r="Z1723" t="s">
        <v>36</v>
      </c>
      <c r="AA1723" t="s">
        <v>36</v>
      </c>
      <c r="AB1723" t="s">
        <v>36</v>
      </c>
      <c r="AC1723" t="s">
        <v>36</v>
      </c>
      <c r="AD1723" t="s">
        <v>36</v>
      </c>
      <c r="AE1723" t="s">
        <v>36</v>
      </c>
      <c r="AF1723" t="s">
        <v>36</v>
      </c>
      <c r="AG1723" t="s">
        <v>36</v>
      </c>
    </row>
    <row r="1724" spans="1:33" hidden="1" x14ac:dyDescent="0.2">
      <c r="A1724">
        <v>1723</v>
      </c>
      <c r="B1724" t="s">
        <v>515</v>
      </c>
      <c r="C1724" t="s">
        <v>108</v>
      </c>
      <c r="D1724">
        <v>38</v>
      </c>
      <c r="E1724" t="s">
        <v>34</v>
      </c>
      <c r="F1724" t="s">
        <v>35</v>
      </c>
      <c r="G1724" t="s">
        <v>36</v>
      </c>
      <c r="H1724">
        <v>43102</v>
      </c>
      <c r="I1724" t="s">
        <v>36</v>
      </c>
      <c r="J1724" t="s">
        <v>36</v>
      </c>
      <c r="K1724" t="s">
        <v>36</v>
      </c>
      <c r="L1724" t="s">
        <v>36</v>
      </c>
      <c r="M1724" t="s">
        <v>36</v>
      </c>
      <c r="N1724" t="s">
        <v>36</v>
      </c>
      <c r="O1724" t="s">
        <v>36</v>
      </c>
      <c r="P1724" t="s">
        <v>442</v>
      </c>
      <c r="Q1724" t="s">
        <v>36</v>
      </c>
      <c r="R1724" t="s">
        <v>36</v>
      </c>
      <c r="S1724" t="s">
        <v>36</v>
      </c>
      <c r="T1724" t="s">
        <v>36</v>
      </c>
      <c r="U1724" t="s">
        <v>36</v>
      </c>
      <c r="V1724" t="s">
        <v>36</v>
      </c>
      <c r="W1724" t="s">
        <v>36</v>
      </c>
      <c r="X1724" t="s">
        <v>36</v>
      </c>
      <c r="Y1724" t="s">
        <v>36</v>
      </c>
      <c r="Z1724" t="s">
        <v>36</v>
      </c>
      <c r="AA1724" t="s">
        <v>36</v>
      </c>
      <c r="AB1724" t="s">
        <v>36</v>
      </c>
      <c r="AC1724" t="s">
        <v>36</v>
      </c>
      <c r="AD1724" t="s">
        <v>36</v>
      </c>
      <c r="AE1724" t="s">
        <v>36</v>
      </c>
      <c r="AF1724" t="s">
        <v>36</v>
      </c>
      <c r="AG1724" t="s">
        <v>36</v>
      </c>
    </row>
    <row r="1725" spans="1:33" hidden="1" x14ac:dyDescent="0.2">
      <c r="A1725">
        <v>1724</v>
      </c>
      <c r="B1725" t="s">
        <v>515</v>
      </c>
      <c r="C1725" t="s">
        <v>108</v>
      </c>
      <c r="D1725">
        <v>38</v>
      </c>
      <c r="E1725" t="s">
        <v>34</v>
      </c>
      <c r="F1725" t="s">
        <v>38</v>
      </c>
      <c r="G1725" t="s">
        <v>39</v>
      </c>
      <c r="H1725">
        <v>51348</v>
      </c>
      <c r="I1725">
        <v>0</v>
      </c>
      <c r="J1725">
        <v>0</v>
      </c>
      <c r="K1725">
        <v>0</v>
      </c>
      <c r="L1725">
        <v>1</v>
      </c>
      <c r="M1725" t="s">
        <v>36</v>
      </c>
      <c r="N1725" t="s">
        <v>36</v>
      </c>
      <c r="O1725" t="s">
        <v>36</v>
      </c>
      <c r="P1725" t="s">
        <v>442</v>
      </c>
      <c r="Q1725" t="s">
        <v>36</v>
      </c>
      <c r="R1725" t="s">
        <v>36</v>
      </c>
      <c r="S1725" t="s">
        <v>36</v>
      </c>
      <c r="T1725" t="s">
        <v>36</v>
      </c>
      <c r="U1725" t="s">
        <v>36</v>
      </c>
      <c r="V1725" t="s">
        <v>36</v>
      </c>
      <c r="W1725" t="s">
        <v>36</v>
      </c>
      <c r="X1725" t="s">
        <v>36</v>
      </c>
      <c r="Y1725" t="s">
        <v>36</v>
      </c>
      <c r="Z1725" t="s">
        <v>36</v>
      </c>
      <c r="AA1725" t="s">
        <v>36</v>
      </c>
      <c r="AB1725" t="s">
        <v>36</v>
      </c>
      <c r="AC1725" t="s">
        <v>36</v>
      </c>
      <c r="AD1725" t="s">
        <v>36</v>
      </c>
      <c r="AE1725" t="s">
        <v>36</v>
      </c>
      <c r="AF1725" t="s">
        <v>36</v>
      </c>
      <c r="AG1725" t="s">
        <v>36</v>
      </c>
    </row>
    <row r="1726" spans="1:33" hidden="1" x14ac:dyDescent="0.2">
      <c r="A1726">
        <v>1725</v>
      </c>
      <c r="B1726" t="s">
        <v>515</v>
      </c>
      <c r="C1726" t="s">
        <v>108</v>
      </c>
      <c r="D1726">
        <v>38</v>
      </c>
      <c r="E1726" t="s">
        <v>34</v>
      </c>
      <c r="F1726" t="s">
        <v>38</v>
      </c>
      <c r="G1726" t="s">
        <v>40</v>
      </c>
      <c r="H1726">
        <v>42363</v>
      </c>
      <c r="I1726">
        <v>0</v>
      </c>
      <c r="J1726">
        <v>0</v>
      </c>
      <c r="K1726">
        <v>1</v>
      </c>
      <c r="L1726">
        <v>0</v>
      </c>
      <c r="M1726" t="s">
        <v>36</v>
      </c>
      <c r="N1726" t="s">
        <v>36</v>
      </c>
      <c r="O1726" t="s">
        <v>36</v>
      </c>
      <c r="P1726" t="s">
        <v>442</v>
      </c>
      <c r="Q1726" t="s">
        <v>36</v>
      </c>
      <c r="R1726" t="s">
        <v>36</v>
      </c>
      <c r="S1726" t="s">
        <v>36</v>
      </c>
      <c r="T1726" t="s">
        <v>36</v>
      </c>
      <c r="U1726" t="s">
        <v>36</v>
      </c>
      <c r="V1726" t="s">
        <v>36</v>
      </c>
      <c r="W1726" t="s">
        <v>36</v>
      </c>
      <c r="X1726" t="s">
        <v>36</v>
      </c>
      <c r="Y1726" t="s">
        <v>36</v>
      </c>
      <c r="Z1726" t="s">
        <v>36</v>
      </c>
      <c r="AA1726" t="s">
        <v>36</v>
      </c>
      <c r="AB1726" t="s">
        <v>36</v>
      </c>
      <c r="AC1726" t="s">
        <v>36</v>
      </c>
      <c r="AD1726" t="s">
        <v>36</v>
      </c>
      <c r="AE1726" t="s">
        <v>36</v>
      </c>
      <c r="AF1726" t="s">
        <v>36</v>
      </c>
      <c r="AG1726" t="s">
        <v>36</v>
      </c>
    </row>
    <row r="1727" spans="1:33" x14ac:dyDescent="0.2">
      <c r="A1727">
        <v>1726</v>
      </c>
      <c r="B1727" t="s">
        <v>515</v>
      </c>
      <c r="C1727" t="s">
        <v>108</v>
      </c>
      <c r="D1727">
        <v>38</v>
      </c>
      <c r="E1727" t="s">
        <v>34</v>
      </c>
      <c r="F1727" t="s">
        <v>41</v>
      </c>
      <c r="G1727" t="s">
        <v>55</v>
      </c>
      <c r="H1727">
        <v>39695</v>
      </c>
      <c r="I1727">
        <v>1</v>
      </c>
      <c r="J1727">
        <v>1</v>
      </c>
      <c r="K1727">
        <v>1</v>
      </c>
      <c r="L1727">
        <v>0</v>
      </c>
      <c r="M1727" t="s">
        <v>56</v>
      </c>
      <c r="N1727" t="s">
        <v>57</v>
      </c>
      <c r="O1727" t="s">
        <v>85</v>
      </c>
      <c r="P1727" t="s">
        <v>442</v>
      </c>
      <c r="Q1727" t="s">
        <v>59</v>
      </c>
      <c r="R1727" t="s">
        <v>48</v>
      </c>
      <c r="S1727" t="s">
        <v>65</v>
      </c>
      <c r="T1727">
        <v>0</v>
      </c>
      <c r="U1727">
        <v>1</v>
      </c>
      <c r="V1727">
        <v>1</v>
      </c>
      <c r="W1727">
        <v>0</v>
      </c>
      <c r="X1727">
        <v>0</v>
      </c>
      <c r="Y1727">
        <v>0</v>
      </c>
      <c r="Z1727">
        <v>1</v>
      </c>
      <c r="AA1727">
        <v>0</v>
      </c>
      <c r="AB1727">
        <v>1</v>
      </c>
      <c r="AC1727">
        <v>1</v>
      </c>
      <c r="AD1727">
        <v>0</v>
      </c>
      <c r="AE1727">
        <v>0</v>
      </c>
      <c r="AF1727">
        <v>0</v>
      </c>
      <c r="AG1727">
        <v>0</v>
      </c>
    </row>
    <row r="1728" spans="1:33" x14ac:dyDescent="0.2">
      <c r="A1728">
        <v>1727</v>
      </c>
      <c r="B1728" t="s">
        <v>515</v>
      </c>
      <c r="C1728" t="s">
        <v>108</v>
      </c>
      <c r="D1728">
        <v>38</v>
      </c>
      <c r="E1728" t="s">
        <v>34</v>
      </c>
      <c r="F1728" t="s">
        <v>41</v>
      </c>
      <c r="G1728" t="s">
        <v>42</v>
      </c>
      <c r="H1728">
        <v>43084</v>
      </c>
      <c r="I1728">
        <v>1</v>
      </c>
      <c r="J1728">
        <v>1</v>
      </c>
      <c r="K1728">
        <v>1</v>
      </c>
      <c r="L1728">
        <v>0</v>
      </c>
      <c r="M1728" t="s">
        <v>43</v>
      </c>
      <c r="N1728" t="s">
        <v>45</v>
      </c>
      <c r="O1728" t="s">
        <v>82</v>
      </c>
      <c r="P1728" t="s">
        <v>442</v>
      </c>
      <c r="Q1728" t="s">
        <v>46</v>
      </c>
      <c r="R1728" t="s">
        <v>48</v>
      </c>
      <c r="S1728" t="s">
        <v>65</v>
      </c>
      <c r="T1728">
        <v>0</v>
      </c>
      <c r="U1728">
        <v>1</v>
      </c>
      <c r="V1728">
        <v>1</v>
      </c>
      <c r="W1728">
        <v>0</v>
      </c>
      <c r="X1728">
        <v>1</v>
      </c>
      <c r="Y1728">
        <v>0</v>
      </c>
      <c r="Z1728">
        <v>1</v>
      </c>
      <c r="AA1728">
        <v>0</v>
      </c>
      <c r="AB1728">
        <v>1</v>
      </c>
      <c r="AC1728">
        <v>1</v>
      </c>
      <c r="AD1728">
        <v>0</v>
      </c>
      <c r="AE1728">
        <v>1</v>
      </c>
      <c r="AF1728">
        <v>0</v>
      </c>
      <c r="AG1728">
        <v>0</v>
      </c>
    </row>
    <row r="1729" spans="1:33" hidden="1" x14ac:dyDescent="0.2">
      <c r="A1729">
        <v>1728</v>
      </c>
      <c r="B1729" t="s">
        <v>515</v>
      </c>
      <c r="C1729" t="s">
        <v>108</v>
      </c>
      <c r="D1729">
        <v>38</v>
      </c>
      <c r="E1729" t="s">
        <v>34</v>
      </c>
      <c r="F1729" t="s">
        <v>53</v>
      </c>
      <c r="G1729" t="s">
        <v>66</v>
      </c>
      <c r="H1729">
        <v>26261</v>
      </c>
      <c r="I1729">
        <v>1</v>
      </c>
      <c r="J1729">
        <v>1</v>
      </c>
      <c r="K1729">
        <v>0</v>
      </c>
      <c r="L1729">
        <v>0</v>
      </c>
      <c r="M1729" t="s">
        <v>36</v>
      </c>
      <c r="N1729" t="s">
        <v>36</v>
      </c>
      <c r="O1729" t="s">
        <v>36</v>
      </c>
      <c r="P1729" t="s">
        <v>442</v>
      </c>
      <c r="Q1729" t="s">
        <v>36</v>
      </c>
      <c r="R1729" t="s">
        <v>36</v>
      </c>
      <c r="S1729" t="s">
        <v>36</v>
      </c>
      <c r="T1729" t="s">
        <v>36</v>
      </c>
      <c r="U1729">
        <v>1</v>
      </c>
      <c r="V1729">
        <v>1</v>
      </c>
      <c r="W1729">
        <v>0</v>
      </c>
      <c r="X1729">
        <v>1</v>
      </c>
      <c r="Y1729">
        <v>0</v>
      </c>
      <c r="Z1729">
        <v>1</v>
      </c>
      <c r="AA1729">
        <v>0</v>
      </c>
      <c r="AB1729">
        <v>1</v>
      </c>
      <c r="AC1729">
        <v>1</v>
      </c>
      <c r="AD1729">
        <v>0</v>
      </c>
      <c r="AE1729">
        <v>1</v>
      </c>
      <c r="AF1729">
        <v>0</v>
      </c>
      <c r="AG1729">
        <v>0</v>
      </c>
    </row>
    <row r="1730" spans="1:33" x14ac:dyDescent="0.2">
      <c r="A1730">
        <v>1729</v>
      </c>
      <c r="B1730" t="s">
        <v>515</v>
      </c>
      <c r="C1730" t="s">
        <v>108</v>
      </c>
      <c r="D1730">
        <v>38</v>
      </c>
      <c r="E1730" t="s">
        <v>34</v>
      </c>
      <c r="F1730" t="s">
        <v>41</v>
      </c>
      <c r="G1730" t="s">
        <v>72</v>
      </c>
      <c r="H1730">
        <v>40514</v>
      </c>
      <c r="I1730">
        <v>0</v>
      </c>
      <c r="J1730">
        <v>0</v>
      </c>
      <c r="K1730">
        <v>0</v>
      </c>
      <c r="L1730">
        <v>1</v>
      </c>
      <c r="M1730" t="s">
        <v>115</v>
      </c>
      <c r="N1730" t="s">
        <v>74</v>
      </c>
      <c r="O1730" t="s">
        <v>75</v>
      </c>
      <c r="P1730" t="s">
        <v>442</v>
      </c>
      <c r="Q1730" t="s">
        <v>65</v>
      </c>
      <c r="R1730" t="s">
        <v>47</v>
      </c>
      <c r="S1730" t="s">
        <v>46</v>
      </c>
      <c r="T1730">
        <v>0</v>
      </c>
      <c r="U1730">
        <v>1</v>
      </c>
      <c r="V1730">
        <v>0</v>
      </c>
      <c r="W1730">
        <v>1</v>
      </c>
      <c r="X1730">
        <v>1</v>
      </c>
      <c r="Y1730">
        <v>0</v>
      </c>
      <c r="Z1730">
        <v>1</v>
      </c>
      <c r="AA1730">
        <v>0</v>
      </c>
      <c r="AB1730">
        <v>0</v>
      </c>
      <c r="AC1730">
        <v>0</v>
      </c>
      <c r="AD1730">
        <v>0</v>
      </c>
      <c r="AE1730">
        <v>0</v>
      </c>
      <c r="AF1730">
        <v>0</v>
      </c>
      <c r="AG1730">
        <v>1</v>
      </c>
    </row>
    <row r="1731" spans="1:33" x14ac:dyDescent="0.2">
      <c r="A1731">
        <v>1730</v>
      </c>
      <c r="B1731" t="s">
        <v>515</v>
      </c>
      <c r="C1731" t="s">
        <v>108</v>
      </c>
      <c r="D1731">
        <v>38</v>
      </c>
      <c r="E1731" t="s">
        <v>34</v>
      </c>
      <c r="F1731" t="s">
        <v>41</v>
      </c>
      <c r="G1731" t="s">
        <v>61</v>
      </c>
      <c r="H1731">
        <v>44225</v>
      </c>
      <c r="I1731">
        <v>0</v>
      </c>
      <c r="J1731">
        <v>0</v>
      </c>
      <c r="K1731">
        <v>0</v>
      </c>
      <c r="L1731">
        <v>1</v>
      </c>
      <c r="M1731" t="s">
        <v>97</v>
      </c>
      <c r="N1731" t="s">
        <v>63</v>
      </c>
      <c r="O1731" t="s">
        <v>64</v>
      </c>
      <c r="P1731" t="s">
        <v>442</v>
      </c>
      <c r="Q1731" t="s">
        <v>59</v>
      </c>
      <c r="R1731" t="s">
        <v>46</v>
      </c>
      <c r="S1731" t="s">
        <v>48</v>
      </c>
      <c r="T1731">
        <v>0</v>
      </c>
      <c r="U1731">
        <v>0</v>
      </c>
      <c r="V1731">
        <v>1</v>
      </c>
      <c r="W1731">
        <v>0</v>
      </c>
      <c r="X1731">
        <v>1</v>
      </c>
      <c r="Y1731">
        <v>0</v>
      </c>
      <c r="Z1731">
        <v>1</v>
      </c>
      <c r="AA1731">
        <v>0</v>
      </c>
      <c r="AB1731">
        <v>0</v>
      </c>
      <c r="AC1731">
        <v>0</v>
      </c>
      <c r="AD1731">
        <v>0</v>
      </c>
      <c r="AE1731">
        <v>0</v>
      </c>
      <c r="AF1731">
        <v>0</v>
      </c>
      <c r="AG1731">
        <v>1</v>
      </c>
    </row>
    <row r="1732" spans="1:33" hidden="1" x14ac:dyDescent="0.2">
      <c r="A1732">
        <v>1731</v>
      </c>
      <c r="B1732" t="s">
        <v>515</v>
      </c>
      <c r="C1732" t="s">
        <v>108</v>
      </c>
      <c r="D1732">
        <v>38</v>
      </c>
      <c r="E1732" t="s">
        <v>34</v>
      </c>
      <c r="F1732" t="s">
        <v>53</v>
      </c>
      <c r="G1732" t="s">
        <v>76</v>
      </c>
      <c r="H1732">
        <v>25099</v>
      </c>
      <c r="I1732">
        <v>1</v>
      </c>
      <c r="J1732">
        <v>0</v>
      </c>
      <c r="K1732">
        <v>0</v>
      </c>
      <c r="L1732">
        <v>0</v>
      </c>
      <c r="M1732" t="s">
        <v>36</v>
      </c>
      <c r="N1732" t="s">
        <v>36</v>
      </c>
      <c r="O1732" t="s">
        <v>36</v>
      </c>
      <c r="P1732" t="s">
        <v>442</v>
      </c>
      <c r="Q1732" t="s">
        <v>36</v>
      </c>
      <c r="R1732" t="s">
        <v>36</v>
      </c>
      <c r="S1732" t="s">
        <v>36</v>
      </c>
      <c r="T1732" t="s">
        <v>36</v>
      </c>
      <c r="U1732">
        <v>0</v>
      </c>
      <c r="V1732">
        <v>1</v>
      </c>
      <c r="W1732">
        <v>0</v>
      </c>
      <c r="X1732">
        <v>1</v>
      </c>
      <c r="Y1732">
        <v>0</v>
      </c>
      <c r="Z1732">
        <v>1</v>
      </c>
      <c r="AA1732">
        <v>0</v>
      </c>
      <c r="AB1732">
        <v>0</v>
      </c>
      <c r="AC1732">
        <v>0</v>
      </c>
      <c r="AD1732">
        <v>0</v>
      </c>
      <c r="AE1732">
        <v>0</v>
      </c>
      <c r="AF1732">
        <v>0</v>
      </c>
      <c r="AG1732">
        <v>1</v>
      </c>
    </row>
    <row r="1733" spans="1:33" x14ac:dyDescent="0.2">
      <c r="A1733">
        <v>1732</v>
      </c>
      <c r="B1733" t="s">
        <v>515</v>
      </c>
      <c r="C1733" t="s">
        <v>108</v>
      </c>
      <c r="D1733">
        <v>38</v>
      </c>
      <c r="E1733" t="s">
        <v>34</v>
      </c>
      <c r="F1733" t="s">
        <v>41</v>
      </c>
      <c r="G1733" t="s">
        <v>67</v>
      </c>
      <c r="H1733">
        <v>23179</v>
      </c>
      <c r="I1733">
        <v>0</v>
      </c>
      <c r="J1733">
        <v>0</v>
      </c>
      <c r="K1733">
        <v>0</v>
      </c>
      <c r="L1733">
        <v>1</v>
      </c>
      <c r="M1733" t="s">
        <v>69</v>
      </c>
      <c r="N1733" t="s">
        <v>86</v>
      </c>
      <c r="O1733" t="s">
        <v>109</v>
      </c>
      <c r="P1733" t="s">
        <v>442</v>
      </c>
      <c r="Q1733" t="s">
        <v>48</v>
      </c>
      <c r="R1733" t="s">
        <v>46</v>
      </c>
      <c r="S1733" t="s">
        <v>59</v>
      </c>
      <c r="T1733">
        <v>0</v>
      </c>
      <c r="U1733">
        <v>0</v>
      </c>
      <c r="V1733">
        <v>1</v>
      </c>
      <c r="W1733">
        <v>0</v>
      </c>
      <c r="X1733">
        <v>1</v>
      </c>
      <c r="Y1733">
        <v>0</v>
      </c>
      <c r="Z1733">
        <v>1</v>
      </c>
      <c r="AA1733">
        <v>0</v>
      </c>
      <c r="AB1733">
        <v>0</v>
      </c>
      <c r="AC1733">
        <v>0</v>
      </c>
      <c r="AD1733">
        <v>0</v>
      </c>
      <c r="AE1733">
        <v>0</v>
      </c>
      <c r="AF1733">
        <v>0</v>
      </c>
      <c r="AG1733">
        <v>1</v>
      </c>
    </row>
    <row r="1734" spans="1:33" hidden="1" x14ac:dyDescent="0.2">
      <c r="A1734">
        <v>1733</v>
      </c>
      <c r="B1734" t="s">
        <v>515</v>
      </c>
      <c r="C1734" t="s">
        <v>108</v>
      </c>
      <c r="D1734">
        <v>38</v>
      </c>
      <c r="E1734" t="s">
        <v>34</v>
      </c>
      <c r="F1734" t="s">
        <v>53</v>
      </c>
      <c r="G1734" t="s">
        <v>54</v>
      </c>
      <c r="H1734">
        <v>31957</v>
      </c>
      <c r="I1734">
        <v>0</v>
      </c>
      <c r="J1734">
        <v>0</v>
      </c>
      <c r="K1734">
        <v>1</v>
      </c>
      <c r="L1734">
        <v>0</v>
      </c>
      <c r="M1734" t="s">
        <v>36</v>
      </c>
      <c r="N1734" t="s">
        <v>36</v>
      </c>
      <c r="O1734" t="s">
        <v>36</v>
      </c>
      <c r="P1734" t="s">
        <v>442</v>
      </c>
      <c r="Q1734" t="s">
        <v>36</v>
      </c>
      <c r="R1734" t="s">
        <v>36</v>
      </c>
      <c r="S1734" t="s">
        <v>36</v>
      </c>
      <c r="T1734" t="s">
        <v>36</v>
      </c>
      <c r="U1734">
        <v>0</v>
      </c>
      <c r="V1734">
        <v>1</v>
      </c>
      <c r="W1734">
        <v>0</v>
      </c>
      <c r="X1734">
        <v>1</v>
      </c>
      <c r="Y1734">
        <v>0</v>
      </c>
      <c r="Z1734">
        <v>1</v>
      </c>
      <c r="AA1734">
        <v>0</v>
      </c>
      <c r="AB1734">
        <v>0</v>
      </c>
      <c r="AC1734">
        <v>0</v>
      </c>
      <c r="AD1734">
        <v>0</v>
      </c>
      <c r="AE1734">
        <v>0</v>
      </c>
      <c r="AF1734">
        <v>0</v>
      </c>
      <c r="AG1734">
        <v>1</v>
      </c>
    </row>
    <row r="1735" spans="1:33" x14ac:dyDescent="0.2">
      <c r="A1735">
        <v>1734</v>
      </c>
      <c r="B1735" t="s">
        <v>515</v>
      </c>
      <c r="C1735" t="s">
        <v>108</v>
      </c>
      <c r="D1735">
        <v>38</v>
      </c>
      <c r="E1735" t="s">
        <v>34</v>
      </c>
      <c r="F1735" t="s">
        <v>41</v>
      </c>
      <c r="G1735" t="s">
        <v>49</v>
      </c>
      <c r="H1735">
        <v>33800</v>
      </c>
      <c r="I1735">
        <v>0</v>
      </c>
      <c r="J1735">
        <v>0</v>
      </c>
      <c r="K1735">
        <v>1</v>
      </c>
      <c r="L1735">
        <v>0</v>
      </c>
      <c r="M1735" t="s">
        <v>52</v>
      </c>
      <c r="N1735" t="s">
        <v>50</v>
      </c>
      <c r="O1735" t="s">
        <v>96</v>
      </c>
      <c r="P1735" t="s">
        <v>442</v>
      </c>
      <c r="Q1735" t="s">
        <v>46</v>
      </c>
      <c r="R1735" t="s">
        <v>48</v>
      </c>
      <c r="S1735" t="s">
        <v>65</v>
      </c>
      <c r="T1735">
        <v>0</v>
      </c>
      <c r="U1735">
        <v>1</v>
      </c>
      <c r="V1735">
        <v>1</v>
      </c>
      <c r="W1735">
        <v>0</v>
      </c>
      <c r="X1735">
        <v>1</v>
      </c>
      <c r="Y1735">
        <v>0</v>
      </c>
      <c r="Z1735">
        <v>1</v>
      </c>
      <c r="AA1735">
        <v>0</v>
      </c>
      <c r="AB1735">
        <v>1</v>
      </c>
      <c r="AC1735">
        <v>0</v>
      </c>
      <c r="AD1735">
        <v>0</v>
      </c>
      <c r="AE1735">
        <v>0</v>
      </c>
      <c r="AF1735">
        <v>0</v>
      </c>
      <c r="AG1735">
        <v>0</v>
      </c>
    </row>
    <row r="1736" spans="1:33" hidden="1" x14ac:dyDescent="0.2">
      <c r="A1736">
        <v>1735</v>
      </c>
      <c r="B1736" t="s">
        <v>515</v>
      </c>
      <c r="C1736" t="s">
        <v>108</v>
      </c>
      <c r="D1736">
        <v>38</v>
      </c>
      <c r="E1736" t="s">
        <v>34</v>
      </c>
      <c r="F1736" t="s">
        <v>53</v>
      </c>
      <c r="G1736" t="s">
        <v>71</v>
      </c>
      <c r="H1736">
        <v>39558</v>
      </c>
      <c r="I1736">
        <v>0</v>
      </c>
      <c r="J1736">
        <v>0</v>
      </c>
      <c r="K1736">
        <v>0</v>
      </c>
      <c r="L1736">
        <v>1</v>
      </c>
      <c r="M1736" t="s">
        <v>36</v>
      </c>
      <c r="N1736" t="s">
        <v>36</v>
      </c>
      <c r="O1736" t="s">
        <v>36</v>
      </c>
      <c r="P1736" t="s">
        <v>442</v>
      </c>
      <c r="Q1736" t="s">
        <v>36</v>
      </c>
      <c r="R1736" t="s">
        <v>36</v>
      </c>
      <c r="S1736" t="s">
        <v>36</v>
      </c>
      <c r="T1736" t="s">
        <v>36</v>
      </c>
      <c r="U1736">
        <v>1</v>
      </c>
      <c r="V1736">
        <v>1</v>
      </c>
      <c r="W1736">
        <v>0</v>
      </c>
      <c r="X1736">
        <v>1</v>
      </c>
      <c r="Y1736">
        <v>0</v>
      </c>
      <c r="Z1736">
        <v>1</v>
      </c>
      <c r="AA1736">
        <v>0</v>
      </c>
      <c r="AB1736">
        <v>1</v>
      </c>
      <c r="AC1736">
        <v>0</v>
      </c>
      <c r="AD1736">
        <v>0</v>
      </c>
      <c r="AE1736">
        <v>0</v>
      </c>
      <c r="AF1736">
        <v>0</v>
      </c>
      <c r="AG1736">
        <v>0</v>
      </c>
    </row>
    <row r="1737" spans="1:33" hidden="1" x14ac:dyDescent="0.2">
      <c r="A1737">
        <v>1736</v>
      </c>
      <c r="B1737" t="s">
        <v>515</v>
      </c>
      <c r="C1737" t="s">
        <v>108</v>
      </c>
      <c r="D1737">
        <v>38</v>
      </c>
      <c r="E1737" t="s">
        <v>34</v>
      </c>
      <c r="F1737" t="s">
        <v>77</v>
      </c>
      <c r="G1737" t="s">
        <v>36</v>
      </c>
      <c r="H1737">
        <v>55591</v>
      </c>
      <c r="I1737" t="s">
        <v>516</v>
      </c>
      <c r="J1737" t="s">
        <v>517</v>
      </c>
      <c r="K1737" t="s">
        <v>153</v>
      </c>
      <c r="L1737" t="s">
        <v>36</v>
      </c>
      <c r="M1737" t="s">
        <v>36</v>
      </c>
      <c r="N1737" t="s">
        <v>36</v>
      </c>
      <c r="O1737" t="s">
        <v>36</v>
      </c>
      <c r="P1737" t="s">
        <v>442</v>
      </c>
      <c r="Q1737" t="s">
        <v>36</v>
      </c>
      <c r="R1737" t="s">
        <v>36</v>
      </c>
      <c r="S1737" t="s">
        <v>36</v>
      </c>
      <c r="T1737" t="s">
        <v>36</v>
      </c>
      <c r="U1737" t="s">
        <v>36</v>
      </c>
      <c r="V1737" t="s">
        <v>36</v>
      </c>
      <c r="W1737" t="s">
        <v>36</v>
      </c>
      <c r="X1737" t="s">
        <v>36</v>
      </c>
      <c r="Y1737" t="s">
        <v>36</v>
      </c>
      <c r="Z1737" t="s">
        <v>36</v>
      </c>
      <c r="AA1737" t="s">
        <v>36</v>
      </c>
      <c r="AB1737" t="s">
        <v>36</v>
      </c>
      <c r="AC1737" t="s">
        <v>36</v>
      </c>
      <c r="AD1737" t="s">
        <v>36</v>
      </c>
      <c r="AE1737" t="s">
        <v>36</v>
      </c>
      <c r="AF1737" t="s">
        <v>36</v>
      </c>
      <c r="AG1737" t="s">
        <v>36</v>
      </c>
    </row>
    <row r="1738" spans="1:33" hidden="1" x14ac:dyDescent="0.2">
      <c r="A1738">
        <v>1737</v>
      </c>
      <c r="B1738" t="s">
        <v>518</v>
      </c>
      <c r="C1738" t="s">
        <v>108</v>
      </c>
      <c r="D1738">
        <v>43</v>
      </c>
      <c r="E1738" t="s">
        <v>34</v>
      </c>
      <c r="F1738" t="s">
        <v>35</v>
      </c>
      <c r="G1738" t="s">
        <v>36</v>
      </c>
      <c r="H1738">
        <v>35992</v>
      </c>
      <c r="I1738" t="s">
        <v>36</v>
      </c>
      <c r="J1738" t="s">
        <v>36</v>
      </c>
      <c r="K1738" t="s">
        <v>36</v>
      </c>
      <c r="L1738" t="s">
        <v>36</v>
      </c>
      <c r="M1738" t="s">
        <v>36</v>
      </c>
      <c r="N1738" t="s">
        <v>36</v>
      </c>
      <c r="O1738" t="s">
        <v>36</v>
      </c>
      <c r="P1738" t="s">
        <v>442</v>
      </c>
      <c r="Q1738" t="s">
        <v>36</v>
      </c>
      <c r="R1738" t="s">
        <v>36</v>
      </c>
      <c r="S1738" t="s">
        <v>36</v>
      </c>
      <c r="T1738" t="s">
        <v>36</v>
      </c>
      <c r="U1738" t="s">
        <v>36</v>
      </c>
      <c r="V1738" t="s">
        <v>36</v>
      </c>
      <c r="W1738" t="s">
        <v>36</v>
      </c>
      <c r="X1738" t="s">
        <v>36</v>
      </c>
      <c r="Y1738" t="s">
        <v>36</v>
      </c>
      <c r="Z1738" t="s">
        <v>36</v>
      </c>
      <c r="AA1738" t="s">
        <v>36</v>
      </c>
      <c r="AB1738" t="s">
        <v>36</v>
      </c>
      <c r="AC1738" t="s">
        <v>36</v>
      </c>
      <c r="AD1738" t="s">
        <v>36</v>
      </c>
      <c r="AE1738" t="s">
        <v>36</v>
      </c>
      <c r="AF1738" t="s">
        <v>36</v>
      </c>
      <c r="AG1738" t="s">
        <v>36</v>
      </c>
    </row>
    <row r="1739" spans="1:33" hidden="1" x14ac:dyDescent="0.2">
      <c r="A1739">
        <v>1738</v>
      </c>
      <c r="B1739" t="s">
        <v>518</v>
      </c>
      <c r="C1739" t="s">
        <v>108</v>
      </c>
      <c r="D1739">
        <v>43</v>
      </c>
      <c r="E1739" t="s">
        <v>34</v>
      </c>
      <c r="F1739" t="s">
        <v>38</v>
      </c>
      <c r="G1739" t="s">
        <v>39</v>
      </c>
      <c r="H1739">
        <v>37939</v>
      </c>
      <c r="I1739">
        <v>0</v>
      </c>
      <c r="J1739">
        <v>0</v>
      </c>
      <c r="K1739">
        <v>0</v>
      </c>
      <c r="L1739">
        <v>1</v>
      </c>
      <c r="M1739" t="s">
        <v>36</v>
      </c>
      <c r="N1739" t="s">
        <v>36</v>
      </c>
      <c r="O1739" t="s">
        <v>36</v>
      </c>
      <c r="P1739" t="s">
        <v>442</v>
      </c>
      <c r="Q1739" t="s">
        <v>36</v>
      </c>
      <c r="R1739" t="s">
        <v>36</v>
      </c>
      <c r="S1739" t="s">
        <v>36</v>
      </c>
      <c r="T1739" t="s">
        <v>36</v>
      </c>
      <c r="U1739" t="s">
        <v>36</v>
      </c>
      <c r="V1739" t="s">
        <v>36</v>
      </c>
      <c r="W1739" t="s">
        <v>36</v>
      </c>
      <c r="X1739" t="s">
        <v>36</v>
      </c>
      <c r="Y1739" t="s">
        <v>36</v>
      </c>
      <c r="Z1739" t="s">
        <v>36</v>
      </c>
      <c r="AA1739" t="s">
        <v>36</v>
      </c>
      <c r="AB1739" t="s">
        <v>36</v>
      </c>
      <c r="AC1739" t="s">
        <v>36</v>
      </c>
      <c r="AD1739" t="s">
        <v>36</v>
      </c>
      <c r="AE1739" t="s">
        <v>36</v>
      </c>
      <c r="AF1739" t="s">
        <v>36</v>
      </c>
      <c r="AG1739" t="s">
        <v>36</v>
      </c>
    </row>
    <row r="1740" spans="1:33" hidden="1" x14ac:dyDescent="0.2">
      <c r="A1740">
        <v>1739</v>
      </c>
      <c r="B1740" t="s">
        <v>518</v>
      </c>
      <c r="C1740" t="s">
        <v>108</v>
      </c>
      <c r="D1740">
        <v>43</v>
      </c>
      <c r="E1740" t="s">
        <v>34</v>
      </c>
      <c r="F1740" t="s">
        <v>38</v>
      </c>
      <c r="G1740" t="s">
        <v>40</v>
      </c>
      <c r="H1740">
        <v>53435</v>
      </c>
      <c r="I1740">
        <v>0</v>
      </c>
      <c r="J1740">
        <v>0</v>
      </c>
      <c r="K1740">
        <v>1</v>
      </c>
      <c r="L1740">
        <v>0</v>
      </c>
      <c r="M1740" t="s">
        <v>36</v>
      </c>
      <c r="N1740" t="s">
        <v>36</v>
      </c>
      <c r="O1740" t="s">
        <v>36</v>
      </c>
      <c r="P1740" t="s">
        <v>442</v>
      </c>
      <c r="Q1740" t="s">
        <v>36</v>
      </c>
      <c r="R1740" t="s">
        <v>36</v>
      </c>
      <c r="S1740" t="s">
        <v>36</v>
      </c>
      <c r="T1740" t="s">
        <v>36</v>
      </c>
      <c r="U1740" t="s">
        <v>36</v>
      </c>
      <c r="V1740" t="s">
        <v>36</v>
      </c>
      <c r="W1740" t="s">
        <v>36</v>
      </c>
      <c r="X1740" t="s">
        <v>36</v>
      </c>
      <c r="Y1740" t="s">
        <v>36</v>
      </c>
      <c r="Z1740" t="s">
        <v>36</v>
      </c>
      <c r="AA1740" t="s">
        <v>36</v>
      </c>
      <c r="AB1740" t="s">
        <v>36</v>
      </c>
      <c r="AC1740" t="s">
        <v>36</v>
      </c>
      <c r="AD1740" t="s">
        <v>36</v>
      </c>
      <c r="AE1740" t="s">
        <v>36</v>
      </c>
      <c r="AF1740" t="s">
        <v>36</v>
      </c>
      <c r="AG1740" t="s">
        <v>36</v>
      </c>
    </row>
    <row r="1741" spans="1:33" x14ac:dyDescent="0.2">
      <c r="A1741">
        <v>1740</v>
      </c>
      <c r="B1741" t="s">
        <v>518</v>
      </c>
      <c r="C1741" t="s">
        <v>108</v>
      </c>
      <c r="D1741">
        <v>43</v>
      </c>
      <c r="E1741" t="s">
        <v>34</v>
      </c>
      <c r="F1741" t="s">
        <v>41</v>
      </c>
      <c r="G1741" t="s">
        <v>67</v>
      </c>
      <c r="H1741">
        <v>61523</v>
      </c>
      <c r="I1741">
        <v>1</v>
      </c>
      <c r="J1741">
        <v>1</v>
      </c>
      <c r="K1741">
        <v>1</v>
      </c>
      <c r="L1741">
        <v>0</v>
      </c>
      <c r="M1741" t="s">
        <v>103</v>
      </c>
      <c r="N1741" t="s">
        <v>68</v>
      </c>
      <c r="O1741" t="s">
        <v>70</v>
      </c>
      <c r="P1741" t="s">
        <v>442</v>
      </c>
      <c r="Q1741" t="s">
        <v>60</v>
      </c>
      <c r="R1741" t="s">
        <v>65</v>
      </c>
      <c r="S1741" t="s">
        <v>47</v>
      </c>
      <c r="T1741">
        <v>1</v>
      </c>
      <c r="U1741">
        <v>1</v>
      </c>
      <c r="V1741">
        <v>0</v>
      </c>
      <c r="W1741">
        <v>1</v>
      </c>
      <c r="X1741">
        <v>0</v>
      </c>
      <c r="Y1741">
        <v>0</v>
      </c>
      <c r="Z1741">
        <v>1</v>
      </c>
      <c r="AA1741">
        <v>1</v>
      </c>
      <c r="AB1741">
        <v>1</v>
      </c>
      <c r="AC1741">
        <v>0</v>
      </c>
      <c r="AD1741">
        <v>1</v>
      </c>
      <c r="AE1741">
        <v>0</v>
      </c>
      <c r="AF1741">
        <v>0</v>
      </c>
      <c r="AG1741">
        <v>0</v>
      </c>
    </row>
    <row r="1742" spans="1:33" hidden="1" x14ac:dyDescent="0.2">
      <c r="A1742">
        <v>1741</v>
      </c>
      <c r="B1742" t="s">
        <v>518</v>
      </c>
      <c r="C1742" t="s">
        <v>108</v>
      </c>
      <c r="D1742">
        <v>43</v>
      </c>
      <c r="E1742" t="s">
        <v>34</v>
      </c>
      <c r="F1742" t="s">
        <v>53</v>
      </c>
      <c r="G1742" t="s">
        <v>71</v>
      </c>
      <c r="H1742">
        <v>39766</v>
      </c>
      <c r="I1742">
        <v>0</v>
      </c>
      <c r="J1742">
        <v>0</v>
      </c>
      <c r="K1742">
        <v>0</v>
      </c>
      <c r="L1742">
        <v>1</v>
      </c>
      <c r="M1742" t="s">
        <v>36</v>
      </c>
      <c r="N1742" t="s">
        <v>36</v>
      </c>
      <c r="O1742" t="s">
        <v>36</v>
      </c>
      <c r="P1742" t="s">
        <v>442</v>
      </c>
      <c r="Q1742" t="s">
        <v>36</v>
      </c>
      <c r="R1742" t="s">
        <v>36</v>
      </c>
      <c r="S1742" t="s">
        <v>36</v>
      </c>
      <c r="T1742" t="s">
        <v>36</v>
      </c>
      <c r="U1742">
        <v>1</v>
      </c>
      <c r="V1742">
        <v>0</v>
      </c>
      <c r="W1742">
        <v>1</v>
      </c>
      <c r="X1742">
        <v>0</v>
      </c>
      <c r="Y1742">
        <v>0</v>
      </c>
      <c r="Z1742">
        <v>1</v>
      </c>
      <c r="AA1742">
        <v>1</v>
      </c>
      <c r="AB1742">
        <v>1</v>
      </c>
      <c r="AC1742">
        <v>0</v>
      </c>
      <c r="AD1742">
        <v>1</v>
      </c>
      <c r="AE1742">
        <v>0</v>
      </c>
      <c r="AF1742">
        <v>0</v>
      </c>
      <c r="AG1742">
        <v>0</v>
      </c>
    </row>
    <row r="1743" spans="1:33" x14ac:dyDescent="0.2">
      <c r="A1743">
        <v>1742</v>
      </c>
      <c r="B1743" t="s">
        <v>518</v>
      </c>
      <c r="C1743" t="s">
        <v>108</v>
      </c>
      <c r="D1743">
        <v>43</v>
      </c>
      <c r="E1743" t="s">
        <v>34</v>
      </c>
      <c r="F1743" t="s">
        <v>41</v>
      </c>
      <c r="G1743" t="s">
        <v>61</v>
      </c>
      <c r="H1743">
        <v>31890</v>
      </c>
      <c r="I1743">
        <v>1</v>
      </c>
      <c r="J1743">
        <v>1</v>
      </c>
      <c r="K1743">
        <v>1</v>
      </c>
      <c r="L1743">
        <v>0</v>
      </c>
      <c r="M1743" t="s">
        <v>87</v>
      </c>
      <c r="N1743" t="s">
        <v>62</v>
      </c>
      <c r="O1743" t="s">
        <v>125</v>
      </c>
      <c r="P1743" t="s">
        <v>442</v>
      </c>
      <c r="Q1743" t="s">
        <v>47</v>
      </c>
      <c r="R1743" t="s">
        <v>65</v>
      </c>
      <c r="S1743" t="s">
        <v>60</v>
      </c>
      <c r="T1743">
        <v>1</v>
      </c>
      <c r="U1743">
        <v>1</v>
      </c>
      <c r="V1743">
        <v>0</v>
      </c>
      <c r="W1743">
        <v>1</v>
      </c>
      <c r="X1743">
        <v>0</v>
      </c>
      <c r="Y1743">
        <v>0</v>
      </c>
      <c r="Z1743">
        <v>1</v>
      </c>
      <c r="AA1743">
        <v>1</v>
      </c>
      <c r="AB1743">
        <v>1</v>
      </c>
      <c r="AC1743">
        <v>0</v>
      </c>
      <c r="AD1743">
        <v>1</v>
      </c>
      <c r="AE1743">
        <v>0</v>
      </c>
      <c r="AF1743">
        <v>0</v>
      </c>
      <c r="AG1743">
        <v>0</v>
      </c>
    </row>
    <row r="1744" spans="1:33" x14ac:dyDescent="0.2">
      <c r="A1744">
        <v>1743</v>
      </c>
      <c r="B1744" t="s">
        <v>518</v>
      </c>
      <c r="C1744" t="s">
        <v>108</v>
      </c>
      <c r="D1744">
        <v>43</v>
      </c>
      <c r="E1744" t="s">
        <v>34</v>
      </c>
      <c r="F1744" t="s">
        <v>41</v>
      </c>
      <c r="G1744" t="s">
        <v>49</v>
      </c>
      <c r="H1744">
        <v>26749</v>
      </c>
      <c r="I1744">
        <v>1</v>
      </c>
      <c r="J1744">
        <v>1</v>
      </c>
      <c r="K1744">
        <v>1</v>
      </c>
      <c r="L1744">
        <v>0</v>
      </c>
      <c r="M1744" t="s">
        <v>52</v>
      </c>
      <c r="N1744" t="s">
        <v>51</v>
      </c>
      <c r="O1744" t="s">
        <v>96</v>
      </c>
      <c r="P1744" t="s">
        <v>442</v>
      </c>
      <c r="Q1744" t="s">
        <v>46</v>
      </c>
      <c r="R1744" t="s">
        <v>47</v>
      </c>
      <c r="S1744" t="s">
        <v>65</v>
      </c>
      <c r="T1744">
        <v>0</v>
      </c>
      <c r="U1744">
        <v>1</v>
      </c>
      <c r="V1744">
        <v>0</v>
      </c>
      <c r="W1744">
        <v>1</v>
      </c>
      <c r="X1744">
        <v>1</v>
      </c>
      <c r="Y1744">
        <v>0</v>
      </c>
      <c r="Z1744">
        <v>1</v>
      </c>
      <c r="AA1744">
        <v>0</v>
      </c>
      <c r="AB1744">
        <v>1</v>
      </c>
      <c r="AC1744">
        <v>0</v>
      </c>
      <c r="AD1744">
        <v>1</v>
      </c>
      <c r="AE1744">
        <v>1</v>
      </c>
      <c r="AF1744">
        <v>0</v>
      </c>
      <c r="AG1744">
        <v>0</v>
      </c>
    </row>
    <row r="1745" spans="1:33" hidden="1" x14ac:dyDescent="0.2">
      <c r="A1745">
        <v>1744</v>
      </c>
      <c r="B1745" t="s">
        <v>518</v>
      </c>
      <c r="C1745" t="s">
        <v>108</v>
      </c>
      <c r="D1745">
        <v>43</v>
      </c>
      <c r="E1745" t="s">
        <v>34</v>
      </c>
      <c r="F1745" t="s">
        <v>53</v>
      </c>
      <c r="G1745" t="s">
        <v>76</v>
      </c>
      <c r="H1745">
        <v>22286</v>
      </c>
      <c r="I1745">
        <v>1</v>
      </c>
      <c r="J1745">
        <v>1</v>
      </c>
      <c r="K1745">
        <v>0</v>
      </c>
      <c r="L1745">
        <v>0</v>
      </c>
      <c r="M1745" t="s">
        <v>36</v>
      </c>
      <c r="N1745" t="s">
        <v>36</v>
      </c>
      <c r="O1745" t="s">
        <v>36</v>
      </c>
      <c r="P1745" t="s">
        <v>442</v>
      </c>
      <c r="Q1745" t="s">
        <v>36</v>
      </c>
      <c r="R1745" t="s">
        <v>36</v>
      </c>
      <c r="S1745" t="s">
        <v>36</v>
      </c>
      <c r="T1745" t="s">
        <v>36</v>
      </c>
      <c r="U1745">
        <v>1</v>
      </c>
      <c r="V1745">
        <v>0</v>
      </c>
      <c r="W1745">
        <v>1</v>
      </c>
      <c r="X1745">
        <v>1</v>
      </c>
      <c r="Y1745">
        <v>0</v>
      </c>
      <c r="Z1745">
        <v>1</v>
      </c>
      <c r="AA1745">
        <v>0</v>
      </c>
      <c r="AB1745">
        <v>1</v>
      </c>
      <c r="AC1745">
        <v>0</v>
      </c>
      <c r="AD1745">
        <v>1</v>
      </c>
      <c r="AE1745">
        <v>1</v>
      </c>
      <c r="AF1745">
        <v>0</v>
      </c>
      <c r="AG1745">
        <v>0</v>
      </c>
    </row>
    <row r="1746" spans="1:33" x14ac:dyDescent="0.2">
      <c r="A1746">
        <v>1745</v>
      </c>
      <c r="B1746" t="s">
        <v>518</v>
      </c>
      <c r="C1746" t="s">
        <v>108</v>
      </c>
      <c r="D1746">
        <v>43</v>
      </c>
      <c r="E1746" t="s">
        <v>34</v>
      </c>
      <c r="F1746" t="s">
        <v>41</v>
      </c>
      <c r="G1746" t="s">
        <v>42</v>
      </c>
      <c r="H1746">
        <v>24443</v>
      </c>
      <c r="I1746">
        <v>1</v>
      </c>
      <c r="J1746">
        <v>1</v>
      </c>
      <c r="K1746">
        <v>1</v>
      </c>
      <c r="L1746">
        <v>0</v>
      </c>
      <c r="M1746" t="s">
        <v>116</v>
      </c>
      <c r="N1746" t="s">
        <v>45</v>
      </c>
      <c r="O1746" t="s">
        <v>82</v>
      </c>
      <c r="P1746" t="s">
        <v>442</v>
      </c>
      <c r="Q1746" t="s">
        <v>60</v>
      </c>
      <c r="R1746" t="s">
        <v>48</v>
      </c>
      <c r="S1746" t="s">
        <v>65</v>
      </c>
      <c r="T1746">
        <v>1</v>
      </c>
      <c r="U1746">
        <v>1</v>
      </c>
      <c r="V1746">
        <v>1</v>
      </c>
      <c r="W1746">
        <v>0</v>
      </c>
      <c r="X1746">
        <v>0</v>
      </c>
      <c r="Y1746">
        <v>0</v>
      </c>
      <c r="Z1746">
        <v>1</v>
      </c>
      <c r="AA1746">
        <v>1</v>
      </c>
      <c r="AB1746">
        <v>1</v>
      </c>
      <c r="AC1746">
        <v>1</v>
      </c>
      <c r="AD1746">
        <v>0</v>
      </c>
      <c r="AE1746">
        <v>0</v>
      </c>
      <c r="AF1746">
        <v>0</v>
      </c>
      <c r="AG1746">
        <v>0</v>
      </c>
    </row>
    <row r="1747" spans="1:33" hidden="1" x14ac:dyDescent="0.2">
      <c r="A1747">
        <v>1746</v>
      </c>
      <c r="B1747" t="s">
        <v>518</v>
      </c>
      <c r="C1747" t="s">
        <v>108</v>
      </c>
      <c r="D1747">
        <v>43</v>
      </c>
      <c r="E1747" t="s">
        <v>34</v>
      </c>
      <c r="F1747" t="s">
        <v>53</v>
      </c>
      <c r="G1747" t="s">
        <v>66</v>
      </c>
      <c r="H1747">
        <v>34443</v>
      </c>
      <c r="I1747">
        <v>1</v>
      </c>
      <c r="J1747">
        <v>0</v>
      </c>
      <c r="K1747">
        <v>0</v>
      </c>
      <c r="L1747">
        <v>0</v>
      </c>
      <c r="M1747" t="s">
        <v>36</v>
      </c>
      <c r="N1747" t="s">
        <v>36</v>
      </c>
      <c r="O1747" t="s">
        <v>36</v>
      </c>
      <c r="P1747" t="s">
        <v>442</v>
      </c>
      <c r="Q1747" t="s">
        <v>36</v>
      </c>
      <c r="R1747" t="s">
        <v>36</v>
      </c>
      <c r="S1747" t="s">
        <v>36</v>
      </c>
      <c r="T1747" t="s">
        <v>36</v>
      </c>
      <c r="U1747">
        <v>1</v>
      </c>
      <c r="V1747">
        <v>1</v>
      </c>
      <c r="W1747">
        <v>0</v>
      </c>
      <c r="X1747">
        <v>0</v>
      </c>
      <c r="Y1747">
        <v>0</v>
      </c>
      <c r="Z1747">
        <v>1</v>
      </c>
      <c r="AA1747">
        <v>1</v>
      </c>
      <c r="AB1747">
        <v>1</v>
      </c>
      <c r="AC1747">
        <v>1</v>
      </c>
      <c r="AD1747">
        <v>0</v>
      </c>
      <c r="AE1747">
        <v>0</v>
      </c>
      <c r="AF1747">
        <v>0</v>
      </c>
      <c r="AG1747">
        <v>0</v>
      </c>
    </row>
    <row r="1748" spans="1:33" x14ac:dyDescent="0.2">
      <c r="A1748">
        <v>1747</v>
      </c>
      <c r="B1748" t="s">
        <v>518</v>
      </c>
      <c r="C1748" t="s">
        <v>108</v>
      </c>
      <c r="D1748">
        <v>43</v>
      </c>
      <c r="E1748" t="s">
        <v>34</v>
      </c>
      <c r="F1748" t="s">
        <v>41</v>
      </c>
      <c r="G1748" t="s">
        <v>55</v>
      </c>
      <c r="H1748">
        <v>72467</v>
      </c>
      <c r="I1748">
        <v>1</v>
      </c>
      <c r="J1748">
        <v>1</v>
      </c>
      <c r="K1748">
        <v>1</v>
      </c>
      <c r="L1748">
        <v>0</v>
      </c>
      <c r="M1748" t="s">
        <v>85</v>
      </c>
      <c r="N1748" t="s">
        <v>94</v>
      </c>
      <c r="O1748" t="s">
        <v>58</v>
      </c>
      <c r="P1748" t="s">
        <v>442</v>
      </c>
      <c r="Q1748" t="s">
        <v>65</v>
      </c>
      <c r="R1748" t="s">
        <v>47</v>
      </c>
      <c r="S1748" t="s">
        <v>60</v>
      </c>
      <c r="T1748">
        <v>1</v>
      </c>
      <c r="U1748">
        <v>1</v>
      </c>
      <c r="V1748">
        <v>0</v>
      </c>
      <c r="W1748">
        <v>1</v>
      </c>
      <c r="X1748">
        <v>0</v>
      </c>
      <c r="Y1748">
        <v>0</v>
      </c>
      <c r="Z1748">
        <v>1</v>
      </c>
      <c r="AA1748">
        <v>1</v>
      </c>
      <c r="AB1748">
        <v>1</v>
      </c>
      <c r="AC1748">
        <v>0</v>
      </c>
      <c r="AD1748">
        <v>1</v>
      </c>
      <c r="AE1748">
        <v>0</v>
      </c>
      <c r="AF1748">
        <v>0</v>
      </c>
      <c r="AG1748">
        <v>0</v>
      </c>
    </row>
    <row r="1749" spans="1:33" x14ac:dyDescent="0.2">
      <c r="A1749">
        <v>1748</v>
      </c>
      <c r="B1749" t="s">
        <v>518</v>
      </c>
      <c r="C1749" t="s">
        <v>108</v>
      </c>
      <c r="D1749">
        <v>43</v>
      </c>
      <c r="E1749" t="s">
        <v>34</v>
      </c>
      <c r="F1749" t="s">
        <v>41</v>
      </c>
      <c r="G1749" t="s">
        <v>72</v>
      </c>
      <c r="H1749">
        <v>28183</v>
      </c>
      <c r="I1749">
        <v>0</v>
      </c>
      <c r="J1749">
        <v>0</v>
      </c>
      <c r="K1749">
        <v>0</v>
      </c>
      <c r="L1749">
        <v>1</v>
      </c>
      <c r="M1749" t="s">
        <v>115</v>
      </c>
      <c r="N1749" t="s">
        <v>73</v>
      </c>
      <c r="O1749" t="s">
        <v>75</v>
      </c>
      <c r="P1749" t="s">
        <v>442</v>
      </c>
      <c r="Q1749" t="s">
        <v>65</v>
      </c>
      <c r="R1749" t="s">
        <v>48</v>
      </c>
      <c r="S1749" t="s">
        <v>46</v>
      </c>
      <c r="T1749">
        <v>0</v>
      </c>
      <c r="U1749">
        <v>1</v>
      </c>
      <c r="V1749">
        <v>1</v>
      </c>
      <c r="W1749">
        <v>0</v>
      </c>
      <c r="X1749">
        <v>1</v>
      </c>
      <c r="Y1749">
        <v>0</v>
      </c>
      <c r="Z1749">
        <v>1</v>
      </c>
      <c r="AA1749">
        <v>0</v>
      </c>
      <c r="AB1749">
        <v>0</v>
      </c>
      <c r="AC1749">
        <v>0</v>
      </c>
      <c r="AD1749">
        <v>0</v>
      </c>
      <c r="AE1749">
        <v>0</v>
      </c>
      <c r="AF1749">
        <v>0</v>
      </c>
      <c r="AG1749">
        <v>1</v>
      </c>
    </row>
    <row r="1750" spans="1:33" hidden="1" x14ac:dyDescent="0.2">
      <c r="A1750">
        <v>1749</v>
      </c>
      <c r="B1750" t="s">
        <v>518</v>
      </c>
      <c r="C1750" t="s">
        <v>108</v>
      </c>
      <c r="D1750">
        <v>43</v>
      </c>
      <c r="E1750" t="s">
        <v>34</v>
      </c>
      <c r="F1750" t="s">
        <v>53</v>
      </c>
      <c r="G1750" t="s">
        <v>54</v>
      </c>
      <c r="H1750">
        <v>48726</v>
      </c>
      <c r="I1750">
        <v>0</v>
      </c>
      <c r="J1750">
        <v>0</v>
      </c>
      <c r="K1750">
        <v>1</v>
      </c>
      <c r="L1750">
        <v>0</v>
      </c>
      <c r="M1750" t="s">
        <v>36</v>
      </c>
      <c r="N1750" t="s">
        <v>36</v>
      </c>
      <c r="O1750" t="s">
        <v>36</v>
      </c>
      <c r="P1750" t="s">
        <v>442</v>
      </c>
      <c r="Q1750" t="s">
        <v>36</v>
      </c>
      <c r="R1750" t="s">
        <v>36</v>
      </c>
      <c r="S1750" t="s">
        <v>36</v>
      </c>
      <c r="T1750" t="s">
        <v>36</v>
      </c>
      <c r="U1750">
        <v>1</v>
      </c>
      <c r="V1750">
        <v>1</v>
      </c>
      <c r="W1750">
        <v>0</v>
      </c>
      <c r="X1750">
        <v>1</v>
      </c>
      <c r="Y1750">
        <v>0</v>
      </c>
      <c r="Z1750">
        <v>1</v>
      </c>
      <c r="AA1750">
        <v>0</v>
      </c>
      <c r="AB1750">
        <v>0</v>
      </c>
      <c r="AC1750">
        <v>0</v>
      </c>
      <c r="AD1750">
        <v>0</v>
      </c>
      <c r="AE1750">
        <v>0</v>
      </c>
      <c r="AF1750">
        <v>0</v>
      </c>
      <c r="AG1750">
        <v>1</v>
      </c>
    </row>
    <row r="1751" spans="1:33" hidden="1" x14ac:dyDescent="0.2">
      <c r="A1751">
        <v>1750</v>
      </c>
      <c r="B1751" t="s">
        <v>518</v>
      </c>
      <c r="C1751" t="s">
        <v>108</v>
      </c>
      <c r="D1751">
        <v>43</v>
      </c>
      <c r="E1751" t="s">
        <v>34</v>
      </c>
      <c r="F1751" t="s">
        <v>77</v>
      </c>
      <c r="G1751" t="s">
        <v>36</v>
      </c>
      <c r="H1751">
        <v>41764</v>
      </c>
      <c r="I1751" t="s">
        <v>519</v>
      </c>
      <c r="J1751" t="s">
        <v>520</v>
      </c>
      <c r="K1751" t="s">
        <v>162</v>
      </c>
      <c r="L1751" t="s">
        <v>36</v>
      </c>
      <c r="M1751" t="s">
        <v>36</v>
      </c>
      <c r="N1751" t="s">
        <v>36</v>
      </c>
      <c r="O1751" t="s">
        <v>36</v>
      </c>
      <c r="P1751" t="s">
        <v>442</v>
      </c>
      <c r="Q1751" t="s">
        <v>36</v>
      </c>
      <c r="R1751" t="s">
        <v>36</v>
      </c>
      <c r="S1751" t="s">
        <v>36</v>
      </c>
      <c r="T1751" t="s">
        <v>36</v>
      </c>
      <c r="U1751" t="s">
        <v>36</v>
      </c>
      <c r="V1751" t="s">
        <v>36</v>
      </c>
      <c r="W1751" t="s">
        <v>36</v>
      </c>
      <c r="X1751" t="s">
        <v>36</v>
      </c>
      <c r="Y1751" t="s">
        <v>36</v>
      </c>
      <c r="Z1751" t="s">
        <v>36</v>
      </c>
      <c r="AA1751" t="s">
        <v>36</v>
      </c>
      <c r="AB1751" t="s">
        <v>36</v>
      </c>
      <c r="AC1751" t="s">
        <v>36</v>
      </c>
      <c r="AD1751" t="s">
        <v>36</v>
      </c>
      <c r="AE1751" t="s">
        <v>36</v>
      </c>
      <c r="AF1751" t="s">
        <v>36</v>
      </c>
      <c r="AG1751" t="s">
        <v>36</v>
      </c>
    </row>
    <row r="1752" spans="1:33" hidden="1" x14ac:dyDescent="0.2">
      <c r="A1752">
        <v>1751</v>
      </c>
      <c r="B1752" t="s">
        <v>521</v>
      </c>
      <c r="C1752" t="s">
        <v>33</v>
      </c>
      <c r="D1752">
        <v>30</v>
      </c>
      <c r="E1752" t="s">
        <v>114</v>
      </c>
      <c r="F1752" t="s">
        <v>35</v>
      </c>
      <c r="G1752" t="s">
        <v>36</v>
      </c>
      <c r="H1752">
        <v>30557</v>
      </c>
      <c r="I1752" t="s">
        <v>36</v>
      </c>
      <c r="J1752" t="s">
        <v>36</v>
      </c>
      <c r="K1752" t="s">
        <v>36</v>
      </c>
      <c r="L1752" t="s">
        <v>36</v>
      </c>
      <c r="M1752" t="s">
        <v>36</v>
      </c>
      <c r="N1752" t="s">
        <v>36</v>
      </c>
      <c r="O1752" t="s">
        <v>36</v>
      </c>
      <c r="P1752" t="s">
        <v>442</v>
      </c>
      <c r="Q1752" t="s">
        <v>36</v>
      </c>
      <c r="R1752" t="s">
        <v>36</v>
      </c>
      <c r="S1752" t="s">
        <v>36</v>
      </c>
      <c r="T1752" t="s">
        <v>36</v>
      </c>
      <c r="U1752" t="s">
        <v>36</v>
      </c>
      <c r="V1752" t="s">
        <v>36</v>
      </c>
      <c r="W1752" t="s">
        <v>36</v>
      </c>
      <c r="X1752" t="s">
        <v>36</v>
      </c>
      <c r="Y1752" t="s">
        <v>36</v>
      </c>
      <c r="Z1752" t="s">
        <v>36</v>
      </c>
      <c r="AA1752" t="s">
        <v>36</v>
      </c>
      <c r="AB1752" t="s">
        <v>36</v>
      </c>
      <c r="AC1752" t="s">
        <v>36</v>
      </c>
      <c r="AD1752" t="s">
        <v>36</v>
      </c>
      <c r="AE1752" t="s">
        <v>36</v>
      </c>
      <c r="AF1752" t="s">
        <v>36</v>
      </c>
      <c r="AG1752" t="s">
        <v>36</v>
      </c>
    </row>
    <row r="1753" spans="1:33" hidden="1" x14ac:dyDescent="0.2">
      <c r="A1753">
        <v>1752</v>
      </c>
      <c r="B1753" t="s">
        <v>521</v>
      </c>
      <c r="C1753" t="s">
        <v>33</v>
      </c>
      <c r="D1753">
        <v>30</v>
      </c>
      <c r="E1753" t="s">
        <v>114</v>
      </c>
      <c r="F1753" t="s">
        <v>38</v>
      </c>
      <c r="G1753" t="s">
        <v>39</v>
      </c>
      <c r="H1753">
        <v>25204</v>
      </c>
      <c r="I1753">
        <v>0</v>
      </c>
      <c r="J1753">
        <v>0</v>
      </c>
      <c r="K1753">
        <v>1</v>
      </c>
      <c r="L1753">
        <v>0</v>
      </c>
      <c r="M1753" t="s">
        <v>36</v>
      </c>
      <c r="N1753" t="s">
        <v>36</v>
      </c>
      <c r="O1753" t="s">
        <v>36</v>
      </c>
      <c r="P1753" t="s">
        <v>442</v>
      </c>
      <c r="Q1753" t="s">
        <v>36</v>
      </c>
      <c r="R1753" t="s">
        <v>36</v>
      </c>
      <c r="S1753" t="s">
        <v>36</v>
      </c>
      <c r="T1753" t="s">
        <v>36</v>
      </c>
      <c r="U1753" t="s">
        <v>36</v>
      </c>
      <c r="V1753" t="s">
        <v>36</v>
      </c>
      <c r="W1753" t="s">
        <v>36</v>
      </c>
      <c r="X1753" t="s">
        <v>36</v>
      </c>
      <c r="Y1753" t="s">
        <v>36</v>
      </c>
      <c r="Z1753" t="s">
        <v>36</v>
      </c>
      <c r="AA1753" t="s">
        <v>36</v>
      </c>
      <c r="AB1753" t="s">
        <v>36</v>
      </c>
      <c r="AC1753" t="s">
        <v>36</v>
      </c>
      <c r="AD1753" t="s">
        <v>36</v>
      </c>
      <c r="AE1753" t="s">
        <v>36</v>
      </c>
      <c r="AF1753" t="s">
        <v>36</v>
      </c>
      <c r="AG1753" t="s">
        <v>36</v>
      </c>
    </row>
    <row r="1754" spans="1:33" hidden="1" x14ac:dyDescent="0.2">
      <c r="A1754">
        <v>1753</v>
      </c>
      <c r="B1754" t="s">
        <v>521</v>
      </c>
      <c r="C1754" t="s">
        <v>33</v>
      </c>
      <c r="D1754">
        <v>30</v>
      </c>
      <c r="E1754" t="s">
        <v>114</v>
      </c>
      <c r="F1754" t="s">
        <v>38</v>
      </c>
      <c r="G1754" t="s">
        <v>40</v>
      </c>
      <c r="H1754">
        <v>28008</v>
      </c>
      <c r="I1754">
        <v>0</v>
      </c>
      <c r="J1754">
        <v>0</v>
      </c>
      <c r="K1754">
        <v>1</v>
      </c>
      <c r="L1754">
        <v>0</v>
      </c>
      <c r="M1754" t="s">
        <v>36</v>
      </c>
      <c r="N1754" t="s">
        <v>36</v>
      </c>
      <c r="O1754" t="s">
        <v>36</v>
      </c>
      <c r="P1754" t="s">
        <v>442</v>
      </c>
      <c r="Q1754" t="s">
        <v>36</v>
      </c>
      <c r="R1754" t="s">
        <v>36</v>
      </c>
      <c r="S1754" t="s">
        <v>36</v>
      </c>
      <c r="T1754" t="s">
        <v>36</v>
      </c>
      <c r="U1754" t="s">
        <v>36</v>
      </c>
      <c r="V1754" t="s">
        <v>36</v>
      </c>
      <c r="W1754" t="s">
        <v>36</v>
      </c>
      <c r="X1754" t="s">
        <v>36</v>
      </c>
      <c r="Y1754" t="s">
        <v>36</v>
      </c>
      <c r="Z1754" t="s">
        <v>36</v>
      </c>
      <c r="AA1754" t="s">
        <v>36</v>
      </c>
      <c r="AB1754" t="s">
        <v>36</v>
      </c>
      <c r="AC1754" t="s">
        <v>36</v>
      </c>
      <c r="AD1754" t="s">
        <v>36</v>
      </c>
      <c r="AE1754" t="s">
        <v>36</v>
      </c>
      <c r="AF1754" t="s">
        <v>36</v>
      </c>
      <c r="AG1754" t="s">
        <v>36</v>
      </c>
    </row>
    <row r="1755" spans="1:33" x14ac:dyDescent="0.2">
      <c r="A1755">
        <v>1754</v>
      </c>
      <c r="B1755" t="s">
        <v>521</v>
      </c>
      <c r="C1755" t="s">
        <v>33</v>
      </c>
      <c r="D1755">
        <v>30</v>
      </c>
      <c r="E1755" t="s">
        <v>114</v>
      </c>
      <c r="F1755" t="s">
        <v>41</v>
      </c>
      <c r="G1755" t="s">
        <v>61</v>
      </c>
      <c r="H1755">
        <v>55518</v>
      </c>
      <c r="I1755">
        <v>0</v>
      </c>
      <c r="J1755">
        <v>0</v>
      </c>
      <c r="K1755">
        <v>0</v>
      </c>
      <c r="L1755">
        <v>1</v>
      </c>
      <c r="M1755" t="s">
        <v>125</v>
      </c>
      <c r="N1755" t="s">
        <v>97</v>
      </c>
      <c r="O1755" t="s">
        <v>62</v>
      </c>
      <c r="P1755" t="s">
        <v>442</v>
      </c>
      <c r="Q1755" t="s">
        <v>60</v>
      </c>
      <c r="R1755" t="s">
        <v>59</v>
      </c>
      <c r="S1755" t="s">
        <v>65</v>
      </c>
      <c r="T1755">
        <v>1</v>
      </c>
      <c r="U1755">
        <v>1</v>
      </c>
      <c r="V1755">
        <v>0</v>
      </c>
      <c r="W1755">
        <v>0</v>
      </c>
      <c r="X1755">
        <v>0</v>
      </c>
      <c r="Y1755">
        <v>0</v>
      </c>
      <c r="Z1755">
        <v>1</v>
      </c>
      <c r="AA1755">
        <v>0</v>
      </c>
      <c r="AB1755">
        <v>0</v>
      </c>
      <c r="AC1755">
        <v>0</v>
      </c>
      <c r="AD1755">
        <v>0</v>
      </c>
      <c r="AE1755">
        <v>0</v>
      </c>
      <c r="AF1755">
        <v>0</v>
      </c>
      <c r="AG1755">
        <v>1</v>
      </c>
    </row>
    <row r="1756" spans="1:33" x14ac:dyDescent="0.2">
      <c r="A1756">
        <v>1755</v>
      </c>
      <c r="B1756" t="s">
        <v>521</v>
      </c>
      <c r="C1756" t="s">
        <v>33</v>
      </c>
      <c r="D1756">
        <v>30</v>
      </c>
      <c r="E1756" t="s">
        <v>114</v>
      </c>
      <c r="F1756" t="s">
        <v>41</v>
      </c>
      <c r="G1756" t="s">
        <v>55</v>
      </c>
      <c r="H1756">
        <v>74773</v>
      </c>
      <c r="I1756">
        <v>1</v>
      </c>
      <c r="J1756">
        <v>0</v>
      </c>
      <c r="K1756">
        <v>0</v>
      </c>
      <c r="L1756">
        <v>0</v>
      </c>
      <c r="M1756" t="s">
        <v>85</v>
      </c>
      <c r="N1756" t="s">
        <v>57</v>
      </c>
      <c r="O1756" t="s">
        <v>94</v>
      </c>
      <c r="P1756" t="s">
        <v>442</v>
      </c>
      <c r="Q1756" t="s">
        <v>65</v>
      </c>
      <c r="R1756" t="s">
        <v>48</v>
      </c>
      <c r="S1756" t="s">
        <v>47</v>
      </c>
      <c r="T1756">
        <v>0</v>
      </c>
      <c r="U1756">
        <v>1</v>
      </c>
      <c r="V1756">
        <v>1</v>
      </c>
      <c r="W1756">
        <v>1</v>
      </c>
      <c r="X1756">
        <v>0</v>
      </c>
      <c r="Y1756">
        <v>0</v>
      </c>
      <c r="Z1756">
        <v>1</v>
      </c>
      <c r="AA1756">
        <v>0</v>
      </c>
      <c r="AB1756">
        <v>1</v>
      </c>
      <c r="AC1756">
        <v>0</v>
      </c>
      <c r="AD1756">
        <v>0</v>
      </c>
      <c r="AE1756">
        <v>0</v>
      </c>
      <c r="AF1756">
        <v>0</v>
      </c>
      <c r="AG1756">
        <v>0</v>
      </c>
    </row>
    <row r="1757" spans="1:33" hidden="1" x14ac:dyDescent="0.2">
      <c r="A1757">
        <v>1756</v>
      </c>
      <c r="B1757" t="s">
        <v>521</v>
      </c>
      <c r="C1757" t="s">
        <v>33</v>
      </c>
      <c r="D1757">
        <v>30</v>
      </c>
      <c r="E1757" t="s">
        <v>114</v>
      </c>
      <c r="F1757" t="s">
        <v>53</v>
      </c>
      <c r="G1757" t="s">
        <v>71</v>
      </c>
      <c r="H1757">
        <v>46857</v>
      </c>
      <c r="I1757">
        <v>0</v>
      </c>
      <c r="J1757">
        <v>1</v>
      </c>
      <c r="K1757">
        <v>0</v>
      </c>
      <c r="L1757">
        <v>0</v>
      </c>
      <c r="M1757" t="s">
        <v>36</v>
      </c>
      <c r="N1757" t="s">
        <v>36</v>
      </c>
      <c r="O1757" t="s">
        <v>36</v>
      </c>
      <c r="P1757" t="s">
        <v>442</v>
      </c>
      <c r="Q1757" t="s">
        <v>36</v>
      </c>
      <c r="R1757" t="s">
        <v>36</v>
      </c>
      <c r="S1757" t="s">
        <v>36</v>
      </c>
      <c r="T1757" t="s">
        <v>36</v>
      </c>
      <c r="U1757">
        <v>1</v>
      </c>
      <c r="V1757">
        <v>1</v>
      </c>
      <c r="W1757">
        <v>1</v>
      </c>
      <c r="X1757">
        <v>0</v>
      </c>
      <c r="Y1757">
        <v>0</v>
      </c>
      <c r="Z1757">
        <v>1</v>
      </c>
      <c r="AA1757">
        <v>0</v>
      </c>
      <c r="AB1757">
        <v>1</v>
      </c>
      <c r="AC1757">
        <v>0</v>
      </c>
      <c r="AD1757">
        <v>0</v>
      </c>
      <c r="AE1757">
        <v>0</v>
      </c>
      <c r="AF1757">
        <v>0</v>
      </c>
      <c r="AG1757">
        <v>0</v>
      </c>
    </row>
    <row r="1758" spans="1:33" x14ac:dyDescent="0.2">
      <c r="A1758">
        <v>1757</v>
      </c>
      <c r="B1758" t="s">
        <v>521</v>
      </c>
      <c r="C1758" t="s">
        <v>33</v>
      </c>
      <c r="D1758">
        <v>30</v>
      </c>
      <c r="E1758" t="s">
        <v>114</v>
      </c>
      <c r="F1758" t="s">
        <v>41</v>
      </c>
      <c r="G1758" t="s">
        <v>49</v>
      </c>
      <c r="H1758">
        <v>28392</v>
      </c>
      <c r="I1758">
        <v>0</v>
      </c>
      <c r="J1758">
        <v>1</v>
      </c>
      <c r="K1758">
        <v>0</v>
      </c>
      <c r="L1758">
        <v>0</v>
      </c>
      <c r="M1758" t="s">
        <v>51</v>
      </c>
      <c r="N1758" t="s">
        <v>96</v>
      </c>
      <c r="O1758" t="s">
        <v>83</v>
      </c>
      <c r="P1758" t="s">
        <v>442</v>
      </c>
      <c r="Q1758" t="s">
        <v>47</v>
      </c>
      <c r="R1758" t="s">
        <v>65</v>
      </c>
      <c r="S1758" t="s">
        <v>59</v>
      </c>
      <c r="T1758">
        <v>0</v>
      </c>
      <c r="U1758">
        <v>1</v>
      </c>
      <c r="V1758">
        <v>0</v>
      </c>
      <c r="W1758">
        <v>1</v>
      </c>
      <c r="X1758">
        <v>0</v>
      </c>
      <c r="Y1758">
        <v>0</v>
      </c>
      <c r="Z1758">
        <v>1</v>
      </c>
      <c r="AA1758">
        <v>0</v>
      </c>
      <c r="AB1758">
        <v>1</v>
      </c>
      <c r="AC1758">
        <v>0</v>
      </c>
      <c r="AD1758">
        <v>0</v>
      </c>
      <c r="AE1758">
        <v>0</v>
      </c>
      <c r="AF1758">
        <v>0</v>
      </c>
      <c r="AG1758">
        <v>0</v>
      </c>
    </row>
    <row r="1759" spans="1:33" x14ac:dyDescent="0.2">
      <c r="A1759">
        <v>1758</v>
      </c>
      <c r="B1759" t="s">
        <v>521</v>
      </c>
      <c r="C1759" t="s">
        <v>33</v>
      </c>
      <c r="D1759">
        <v>30</v>
      </c>
      <c r="E1759" t="s">
        <v>114</v>
      </c>
      <c r="F1759" t="s">
        <v>41</v>
      </c>
      <c r="G1759" t="s">
        <v>67</v>
      </c>
      <c r="H1759">
        <v>25722</v>
      </c>
      <c r="I1759">
        <v>1</v>
      </c>
      <c r="J1759">
        <v>0</v>
      </c>
      <c r="K1759">
        <v>0</v>
      </c>
      <c r="L1759">
        <v>0</v>
      </c>
      <c r="M1759" t="s">
        <v>86</v>
      </c>
      <c r="N1759" t="s">
        <v>69</v>
      </c>
      <c r="O1759" t="s">
        <v>109</v>
      </c>
      <c r="P1759" t="s">
        <v>442</v>
      </c>
      <c r="Q1759" t="s">
        <v>46</v>
      </c>
      <c r="R1759" t="s">
        <v>48</v>
      </c>
      <c r="S1759" t="s">
        <v>59</v>
      </c>
      <c r="T1759">
        <v>0</v>
      </c>
      <c r="U1759">
        <v>0</v>
      </c>
      <c r="V1759">
        <v>1</v>
      </c>
      <c r="W1759">
        <v>0</v>
      </c>
      <c r="X1759">
        <v>1</v>
      </c>
      <c r="Y1759">
        <v>0</v>
      </c>
      <c r="Z1759">
        <v>1</v>
      </c>
      <c r="AA1759">
        <v>0</v>
      </c>
      <c r="AB1759">
        <v>0</v>
      </c>
      <c r="AC1759">
        <v>0</v>
      </c>
      <c r="AD1759">
        <v>0</v>
      </c>
      <c r="AE1759">
        <v>1</v>
      </c>
      <c r="AF1759">
        <v>0</v>
      </c>
      <c r="AG1759">
        <v>0</v>
      </c>
    </row>
    <row r="1760" spans="1:33" hidden="1" x14ac:dyDescent="0.2">
      <c r="A1760">
        <v>1759</v>
      </c>
      <c r="B1760" t="s">
        <v>521</v>
      </c>
      <c r="C1760" t="s">
        <v>33</v>
      </c>
      <c r="D1760">
        <v>30</v>
      </c>
      <c r="E1760" t="s">
        <v>114</v>
      </c>
      <c r="F1760" t="s">
        <v>53</v>
      </c>
      <c r="G1760" t="s">
        <v>66</v>
      </c>
      <c r="H1760">
        <v>29818</v>
      </c>
      <c r="I1760">
        <v>0</v>
      </c>
      <c r="J1760">
        <v>1</v>
      </c>
      <c r="K1760">
        <v>0</v>
      </c>
      <c r="L1760">
        <v>0</v>
      </c>
      <c r="M1760" t="s">
        <v>36</v>
      </c>
      <c r="N1760" t="s">
        <v>36</v>
      </c>
      <c r="O1760" t="s">
        <v>36</v>
      </c>
      <c r="P1760" t="s">
        <v>442</v>
      </c>
      <c r="Q1760" t="s">
        <v>36</v>
      </c>
      <c r="R1760" t="s">
        <v>36</v>
      </c>
      <c r="S1760" t="s">
        <v>36</v>
      </c>
      <c r="T1760" t="s">
        <v>36</v>
      </c>
      <c r="U1760">
        <v>0</v>
      </c>
      <c r="V1760">
        <v>1</v>
      </c>
      <c r="W1760">
        <v>0</v>
      </c>
      <c r="X1760">
        <v>1</v>
      </c>
      <c r="Y1760">
        <v>0</v>
      </c>
      <c r="Z1760">
        <v>1</v>
      </c>
      <c r="AA1760">
        <v>0</v>
      </c>
      <c r="AB1760">
        <v>0</v>
      </c>
      <c r="AC1760">
        <v>0</v>
      </c>
      <c r="AD1760">
        <v>0</v>
      </c>
      <c r="AE1760">
        <v>1</v>
      </c>
      <c r="AF1760">
        <v>0</v>
      </c>
      <c r="AG1760">
        <v>0</v>
      </c>
    </row>
    <row r="1761" spans="1:33" x14ac:dyDescent="0.2">
      <c r="A1761">
        <v>1760</v>
      </c>
      <c r="B1761" t="s">
        <v>521</v>
      </c>
      <c r="C1761" t="s">
        <v>33</v>
      </c>
      <c r="D1761">
        <v>30</v>
      </c>
      <c r="E1761" t="s">
        <v>114</v>
      </c>
      <c r="F1761" t="s">
        <v>41</v>
      </c>
      <c r="G1761" t="s">
        <v>42</v>
      </c>
      <c r="H1761">
        <v>6507</v>
      </c>
      <c r="I1761">
        <v>0</v>
      </c>
      <c r="J1761">
        <v>1</v>
      </c>
      <c r="K1761">
        <v>0</v>
      </c>
      <c r="L1761">
        <v>0</v>
      </c>
      <c r="M1761" t="s">
        <v>44</v>
      </c>
      <c r="N1761" t="s">
        <v>45</v>
      </c>
      <c r="O1761" t="s">
        <v>82</v>
      </c>
      <c r="P1761" t="s">
        <v>442</v>
      </c>
      <c r="Q1761" t="s">
        <v>47</v>
      </c>
      <c r="R1761" t="s">
        <v>48</v>
      </c>
      <c r="S1761" t="s">
        <v>65</v>
      </c>
      <c r="T1761">
        <v>0</v>
      </c>
      <c r="U1761">
        <v>1</v>
      </c>
      <c r="V1761">
        <v>1</v>
      </c>
      <c r="W1761">
        <v>1</v>
      </c>
      <c r="X1761">
        <v>0</v>
      </c>
      <c r="Y1761">
        <v>0</v>
      </c>
      <c r="Z1761">
        <v>1</v>
      </c>
      <c r="AA1761">
        <v>0</v>
      </c>
      <c r="AB1761">
        <v>0</v>
      </c>
      <c r="AC1761">
        <v>1</v>
      </c>
      <c r="AD1761">
        <v>0</v>
      </c>
      <c r="AE1761">
        <v>0</v>
      </c>
      <c r="AF1761">
        <v>0</v>
      </c>
      <c r="AG1761">
        <v>0</v>
      </c>
    </row>
    <row r="1762" spans="1:33" hidden="1" x14ac:dyDescent="0.2">
      <c r="A1762">
        <v>1761</v>
      </c>
      <c r="B1762" t="s">
        <v>521</v>
      </c>
      <c r="C1762" t="s">
        <v>33</v>
      </c>
      <c r="D1762">
        <v>30</v>
      </c>
      <c r="E1762" t="s">
        <v>114</v>
      </c>
      <c r="F1762" t="s">
        <v>53</v>
      </c>
      <c r="G1762" t="s">
        <v>76</v>
      </c>
      <c r="H1762">
        <v>35048</v>
      </c>
      <c r="I1762">
        <v>1</v>
      </c>
      <c r="J1762">
        <v>0</v>
      </c>
      <c r="K1762">
        <v>0</v>
      </c>
      <c r="L1762">
        <v>0</v>
      </c>
      <c r="M1762" t="s">
        <v>36</v>
      </c>
      <c r="N1762" t="s">
        <v>36</v>
      </c>
      <c r="O1762" t="s">
        <v>36</v>
      </c>
      <c r="P1762" t="s">
        <v>442</v>
      </c>
      <c r="Q1762" t="s">
        <v>36</v>
      </c>
      <c r="R1762" t="s">
        <v>36</v>
      </c>
      <c r="S1762" t="s">
        <v>36</v>
      </c>
      <c r="T1762" t="s">
        <v>36</v>
      </c>
      <c r="U1762">
        <v>1</v>
      </c>
      <c r="V1762">
        <v>1</v>
      </c>
      <c r="W1762">
        <v>1</v>
      </c>
      <c r="X1762">
        <v>0</v>
      </c>
      <c r="Y1762">
        <v>0</v>
      </c>
      <c r="Z1762">
        <v>1</v>
      </c>
      <c r="AA1762">
        <v>0</v>
      </c>
      <c r="AB1762">
        <v>0</v>
      </c>
      <c r="AC1762">
        <v>1</v>
      </c>
      <c r="AD1762">
        <v>0</v>
      </c>
      <c r="AE1762">
        <v>0</v>
      </c>
      <c r="AF1762">
        <v>0</v>
      </c>
      <c r="AG1762">
        <v>0</v>
      </c>
    </row>
    <row r="1763" spans="1:33" x14ac:dyDescent="0.2">
      <c r="A1763">
        <v>1762</v>
      </c>
      <c r="B1763" t="s">
        <v>521</v>
      </c>
      <c r="C1763" t="s">
        <v>33</v>
      </c>
      <c r="D1763">
        <v>30</v>
      </c>
      <c r="E1763" t="s">
        <v>114</v>
      </c>
      <c r="F1763" t="s">
        <v>41</v>
      </c>
      <c r="G1763" t="s">
        <v>72</v>
      </c>
      <c r="H1763">
        <v>43147</v>
      </c>
      <c r="I1763">
        <v>0</v>
      </c>
      <c r="J1763">
        <v>1</v>
      </c>
      <c r="K1763">
        <v>0</v>
      </c>
      <c r="L1763">
        <v>0</v>
      </c>
      <c r="M1763" t="s">
        <v>115</v>
      </c>
      <c r="N1763" t="s">
        <v>73</v>
      </c>
      <c r="O1763" t="s">
        <v>74</v>
      </c>
      <c r="P1763" t="s">
        <v>442</v>
      </c>
      <c r="Q1763" t="s">
        <v>65</v>
      </c>
      <c r="R1763" t="s">
        <v>48</v>
      </c>
      <c r="S1763" t="s">
        <v>47</v>
      </c>
      <c r="T1763">
        <v>0</v>
      </c>
      <c r="U1763">
        <v>1</v>
      </c>
      <c r="V1763">
        <v>1</v>
      </c>
      <c r="W1763">
        <v>1</v>
      </c>
      <c r="X1763">
        <v>0</v>
      </c>
      <c r="Y1763">
        <v>0</v>
      </c>
      <c r="Z1763">
        <v>1</v>
      </c>
      <c r="AA1763">
        <v>0</v>
      </c>
      <c r="AB1763">
        <v>0</v>
      </c>
      <c r="AC1763">
        <v>1</v>
      </c>
      <c r="AD1763">
        <v>0</v>
      </c>
      <c r="AE1763">
        <v>0</v>
      </c>
      <c r="AF1763">
        <v>0</v>
      </c>
      <c r="AG1763">
        <v>0</v>
      </c>
    </row>
    <row r="1764" spans="1:33" hidden="1" x14ac:dyDescent="0.2">
      <c r="A1764">
        <v>1763</v>
      </c>
      <c r="B1764" t="s">
        <v>521</v>
      </c>
      <c r="C1764" t="s">
        <v>33</v>
      </c>
      <c r="D1764">
        <v>30</v>
      </c>
      <c r="E1764" t="s">
        <v>114</v>
      </c>
      <c r="F1764" t="s">
        <v>53</v>
      </c>
      <c r="G1764" t="s">
        <v>54</v>
      </c>
      <c r="H1764">
        <v>5621</v>
      </c>
      <c r="I1764">
        <v>0</v>
      </c>
      <c r="J1764">
        <v>1</v>
      </c>
      <c r="K1764">
        <v>0</v>
      </c>
      <c r="L1764">
        <v>0</v>
      </c>
      <c r="M1764" t="s">
        <v>36</v>
      </c>
      <c r="N1764" t="s">
        <v>36</v>
      </c>
      <c r="O1764" t="s">
        <v>36</v>
      </c>
      <c r="P1764" t="s">
        <v>442</v>
      </c>
      <c r="Q1764" t="s">
        <v>36</v>
      </c>
      <c r="R1764" t="s">
        <v>36</v>
      </c>
      <c r="S1764" t="s">
        <v>36</v>
      </c>
      <c r="T1764" t="s">
        <v>36</v>
      </c>
      <c r="U1764">
        <v>1</v>
      </c>
      <c r="V1764">
        <v>1</v>
      </c>
      <c r="W1764">
        <v>1</v>
      </c>
      <c r="X1764">
        <v>0</v>
      </c>
      <c r="Y1764">
        <v>0</v>
      </c>
      <c r="Z1764">
        <v>1</v>
      </c>
      <c r="AA1764">
        <v>0</v>
      </c>
      <c r="AB1764">
        <v>0</v>
      </c>
      <c r="AC1764">
        <v>1</v>
      </c>
      <c r="AD1764">
        <v>0</v>
      </c>
      <c r="AE1764">
        <v>0</v>
      </c>
      <c r="AF1764">
        <v>0</v>
      </c>
      <c r="AG1764">
        <v>0</v>
      </c>
    </row>
    <row r="1765" spans="1:33" hidden="1" x14ac:dyDescent="0.2">
      <c r="A1765">
        <v>1764</v>
      </c>
      <c r="B1765" t="s">
        <v>521</v>
      </c>
      <c r="C1765" t="s">
        <v>33</v>
      </c>
      <c r="D1765">
        <v>30</v>
      </c>
      <c r="E1765" t="s">
        <v>114</v>
      </c>
      <c r="F1765" t="s">
        <v>77</v>
      </c>
      <c r="G1765" t="s">
        <v>36</v>
      </c>
      <c r="H1765">
        <v>50556</v>
      </c>
      <c r="J1765" t="s">
        <v>522</v>
      </c>
      <c r="K1765" t="s">
        <v>523</v>
      </c>
      <c r="L1765" t="s">
        <v>36</v>
      </c>
      <c r="M1765" t="s">
        <v>36</v>
      </c>
      <c r="N1765" t="s">
        <v>36</v>
      </c>
      <c r="O1765" t="s">
        <v>36</v>
      </c>
      <c r="P1765" t="s">
        <v>442</v>
      </c>
      <c r="Q1765" t="s">
        <v>36</v>
      </c>
      <c r="R1765" t="s">
        <v>36</v>
      </c>
      <c r="S1765" t="s">
        <v>36</v>
      </c>
      <c r="T1765" t="s">
        <v>36</v>
      </c>
      <c r="U1765" t="s">
        <v>36</v>
      </c>
      <c r="V1765" t="s">
        <v>36</v>
      </c>
      <c r="W1765" t="s">
        <v>36</v>
      </c>
      <c r="X1765" t="s">
        <v>36</v>
      </c>
      <c r="Y1765" t="s">
        <v>36</v>
      </c>
      <c r="Z1765" t="s">
        <v>36</v>
      </c>
      <c r="AA1765" t="s">
        <v>36</v>
      </c>
      <c r="AB1765" t="s">
        <v>36</v>
      </c>
      <c r="AC1765" t="s">
        <v>36</v>
      </c>
      <c r="AD1765" t="s">
        <v>36</v>
      </c>
      <c r="AE1765" t="s">
        <v>36</v>
      </c>
      <c r="AF1765" t="s">
        <v>36</v>
      </c>
      <c r="AG1765" t="s">
        <v>36</v>
      </c>
    </row>
    <row r="1766" spans="1:33" hidden="1" x14ac:dyDescent="0.2">
      <c r="A1766">
        <v>1765</v>
      </c>
      <c r="B1766" t="s">
        <v>524</v>
      </c>
      <c r="C1766" t="s">
        <v>108</v>
      </c>
      <c r="D1766">
        <v>32</v>
      </c>
      <c r="E1766" t="s">
        <v>114</v>
      </c>
      <c r="F1766" t="s">
        <v>35</v>
      </c>
      <c r="G1766" t="s">
        <v>36</v>
      </c>
      <c r="H1766">
        <v>49069</v>
      </c>
      <c r="I1766" t="s">
        <v>36</v>
      </c>
      <c r="J1766" t="s">
        <v>36</v>
      </c>
      <c r="K1766" t="s">
        <v>36</v>
      </c>
      <c r="L1766" t="s">
        <v>36</v>
      </c>
      <c r="M1766" t="s">
        <v>36</v>
      </c>
      <c r="N1766" t="s">
        <v>36</v>
      </c>
      <c r="O1766" t="s">
        <v>36</v>
      </c>
      <c r="P1766" t="s">
        <v>442</v>
      </c>
      <c r="Q1766" t="s">
        <v>36</v>
      </c>
      <c r="R1766" t="s">
        <v>36</v>
      </c>
      <c r="S1766" t="s">
        <v>36</v>
      </c>
      <c r="T1766" t="s">
        <v>36</v>
      </c>
      <c r="U1766" t="s">
        <v>36</v>
      </c>
      <c r="V1766" t="s">
        <v>36</v>
      </c>
      <c r="W1766" t="s">
        <v>36</v>
      </c>
      <c r="X1766" t="s">
        <v>36</v>
      </c>
      <c r="Y1766" t="s">
        <v>36</v>
      </c>
      <c r="Z1766" t="s">
        <v>36</v>
      </c>
      <c r="AA1766" t="s">
        <v>36</v>
      </c>
      <c r="AB1766" t="s">
        <v>36</v>
      </c>
      <c r="AC1766" t="s">
        <v>36</v>
      </c>
      <c r="AD1766" t="s">
        <v>36</v>
      </c>
      <c r="AE1766" t="s">
        <v>36</v>
      </c>
      <c r="AF1766" t="s">
        <v>36</v>
      </c>
      <c r="AG1766" t="s">
        <v>36</v>
      </c>
    </row>
    <row r="1767" spans="1:33" hidden="1" x14ac:dyDescent="0.2">
      <c r="A1767">
        <v>1766</v>
      </c>
      <c r="B1767" t="s">
        <v>524</v>
      </c>
      <c r="C1767" t="s">
        <v>108</v>
      </c>
      <c r="D1767">
        <v>32</v>
      </c>
      <c r="E1767" t="s">
        <v>114</v>
      </c>
      <c r="F1767" t="s">
        <v>38</v>
      </c>
      <c r="G1767" t="s">
        <v>39</v>
      </c>
      <c r="H1767">
        <v>31463</v>
      </c>
      <c r="I1767">
        <v>0</v>
      </c>
      <c r="J1767">
        <v>0</v>
      </c>
      <c r="K1767">
        <v>0</v>
      </c>
      <c r="L1767">
        <v>1</v>
      </c>
      <c r="M1767" t="s">
        <v>36</v>
      </c>
      <c r="N1767" t="s">
        <v>36</v>
      </c>
      <c r="O1767" t="s">
        <v>36</v>
      </c>
      <c r="P1767" t="s">
        <v>442</v>
      </c>
      <c r="Q1767" t="s">
        <v>36</v>
      </c>
      <c r="R1767" t="s">
        <v>36</v>
      </c>
      <c r="S1767" t="s">
        <v>36</v>
      </c>
      <c r="T1767" t="s">
        <v>36</v>
      </c>
      <c r="U1767" t="s">
        <v>36</v>
      </c>
      <c r="V1767" t="s">
        <v>36</v>
      </c>
      <c r="W1767" t="s">
        <v>36</v>
      </c>
      <c r="X1767" t="s">
        <v>36</v>
      </c>
      <c r="Y1767" t="s">
        <v>36</v>
      </c>
      <c r="Z1767" t="s">
        <v>36</v>
      </c>
      <c r="AA1767" t="s">
        <v>36</v>
      </c>
      <c r="AB1767" t="s">
        <v>36</v>
      </c>
      <c r="AC1767" t="s">
        <v>36</v>
      </c>
      <c r="AD1767" t="s">
        <v>36</v>
      </c>
      <c r="AE1767" t="s">
        <v>36</v>
      </c>
      <c r="AF1767" t="s">
        <v>36</v>
      </c>
      <c r="AG1767" t="s">
        <v>36</v>
      </c>
    </row>
    <row r="1768" spans="1:33" hidden="1" x14ac:dyDescent="0.2">
      <c r="A1768">
        <v>1767</v>
      </c>
      <c r="B1768" t="s">
        <v>524</v>
      </c>
      <c r="C1768" t="s">
        <v>108</v>
      </c>
      <c r="D1768">
        <v>32</v>
      </c>
      <c r="E1768" t="s">
        <v>114</v>
      </c>
      <c r="F1768" t="s">
        <v>38</v>
      </c>
      <c r="G1768" t="s">
        <v>40</v>
      </c>
      <c r="H1768">
        <v>41507</v>
      </c>
      <c r="I1768">
        <v>0</v>
      </c>
      <c r="J1768">
        <v>1</v>
      </c>
      <c r="K1768">
        <v>1</v>
      </c>
      <c r="L1768">
        <v>0</v>
      </c>
      <c r="M1768" t="s">
        <v>36</v>
      </c>
      <c r="N1768" t="s">
        <v>36</v>
      </c>
      <c r="O1768" t="s">
        <v>36</v>
      </c>
      <c r="P1768" t="s">
        <v>442</v>
      </c>
      <c r="Q1768" t="s">
        <v>36</v>
      </c>
      <c r="R1768" t="s">
        <v>36</v>
      </c>
      <c r="S1768" t="s">
        <v>36</v>
      </c>
      <c r="T1768" t="s">
        <v>36</v>
      </c>
      <c r="U1768" t="s">
        <v>36</v>
      </c>
      <c r="V1768" t="s">
        <v>36</v>
      </c>
      <c r="W1768" t="s">
        <v>36</v>
      </c>
      <c r="X1768" t="s">
        <v>36</v>
      </c>
      <c r="Y1768" t="s">
        <v>36</v>
      </c>
      <c r="Z1768" t="s">
        <v>36</v>
      </c>
      <c r="AA1768" t="s">
        <v>36</v>
      </c>
      <c r="AB1768" t="s">
        <v>36</v>
      </c>
      <c r="AC1768" t="s">
        <v>36</v>
      </c>
      <c r="AD1768" t="s">
        <v>36</v>
      </c>
      <c r="AE1768" t="s">
        <v>36</v>
      </c>
      <c r="AF1768" t="s">
        <v>36</v>
      </c>
      <c r="AG1768" t="s">
        <v>36</v>
      </c>
    </row>
    <row r="1769" spans="1:33" x14ac:dyDescent="0.2">
      <c r="A1769">
        <v>1768</v>
      </c>
      <c r="B1769" t="s">
        <v>524</v>
      </c>
      <c r="C1769" t="s">
        <v>108</v>
      </c>
      <c r="D1769">
        <v>32</v>
      </c>
      <c r="E1769" t="s">
        <v>114</v>
      </c>
      <c r="F1769" t="s">
        <v>41</v>
      </c>
      <c r="G1769" t="s">
        <v>49</v>
      </c>
      <c r="H1769">
        <v>32715</v>
      </c>
      <c r="I1769">
        <v>1</v>
      </c>
      <c r="J1769">
        <v>0</v>
      </c>
      <c r="K1769">
        <v>0</v>
      </c>
      <c r="L1769">
        <v>0</v>
      </c>
      <c r="M1769" t="s">
        <v>51</v>
      </c>
      <c r="N1769" t="s">
        <v>83</v>
      </c>
      <c r="O1769" t="s">
        <v>95</v>
      </c>
      <c r="P1769" t="s">
        <v>442</v>
      </c>
      <c r="Q1769" t="s">
        <v>47</v>
      </c>
      <c r="R1769" t="s">
        <v>59</v>
      </c>
      <c r="S1769" t="s">
        <v>60</v>
      </c>
      <c r="T1769">
        <v>1</v>
      </c>
      <c r="U1769">
        <v>0</v>
      </c>
      <c r="V1769">
        <v>0</v>
      </c>
      <c r="W1769">
        <v>1</v>
      </c>
      <c r="X1769">
        <v>0</v>
      </c>
      <c r="Y1769">
        <v>0</v>
      </c>
      <c r="Z1769">
        <v>1</v>
      </c>
      <c r="AA1769">
        <v>0</v>
      </c>
      <c r="AB1769">
        <v>0</v>
      </c>
      <c r="AC1769">
        <v>0</v>
      </c>
      <c r="AD1769">
        <v>1</v>
      </c>
      <c r="AE1769">
        <v>0</v>
      </c>
      <c r="AF1769">
        <v>0</v>
      </c>
      <c r="AG1769">
        <v>0</v>
      </c>
    </row>
    <row r="1770" spans="1:33" hidden="1" x14ac:dyDescent="0.2">
      <c r="A1770">
        <v>1769</v>
      </c>
      <c r="B1770" t="s">
        <v>524</v>
      </c>
      <c r="C1770" t="s">
        <v>108</v>
      </c>
      <c r="D1770">
        <v>32</v>
      </c>
      <c r="E1770" t="s">
        <v>114</v>
      </c>
      <c r="F1770" t="s">
        <v>53</v>
      </c>
      <c r="G1770" t="s">
        <v>76</v>
      </c>
      <c r="H1770">
        <v>14612</v>
      </c>
      <c r="I1770">
        <v>1</v>
      </c>
      <c r="J1770">
        <v>0</v>
      </c>
      <c r="K1770">
        <v>0</v>
      </c>
      <c r="L1770">
        <v>0</v>
      </c>
      <c r="M1770" t="s">
        <v>36</v>
      </c>
      <c r="N1770" t="s">
        <v>36</v>
      </c>
      <c r="O1770" t="s">
        <v>36</v>
      </c>
      <c r="P1770" t="s">
        <v>442</v>
      </c>
      <c r="Q1770" t="s">
        <v>36</v>
      </c>
      <c r="R1770" t="s">
        <v>36</v>
      </c>
      <c r="S1770" t="s">
        <v>36</v>
      </c>
      <c r="T1770" t="s">
        <v>36</v>
      </c>
      <c r="U1770">
        <v>0</v>
      </c>
      <c r="V1770">
        <v>0</v>
      </c>
      <c r="W1770">
        <v>1</v>
      </c>
      <c r="X1770">
        <v>0</v>
      </c>
      <c r="Y1770">
        <v>0</v>
      </c>
      <c r="Z1770">
        <v>1</v>
      </c>
      <c r="AA1770">
        <v>0</v>
      </c>
      <c r="AB1770">
        <v>0</v>
      </c>
      <c r="AC1770">
        <v>0</v>
      </c>
      <c r="AD1770">
        <v>1</v>
      </c>
      <c r="AE1770">
        <v>0</v>
      </c>
      <c r="AF1770">
        <v>0</v>
      </c>
      <c r="AG1770">
        <v>0</v>
      </c>
    </row>
    <row r="1771" spans="1:33" x14ac:dyDescent="0.2">
      <c r="A1771">
        <v>1770</v>
      </c>
      <c r="B1771" t="s">
        <v>524</v>
      </c>
      <c r="C1771" t="s">
        <v>108</v>
      </c>
      <c r="D1771">
        <v>32</v>
      </c>
      <c r="E1771" t="s">
        <v>114</v>
      </c>
      <c r="F1771" t="s">
        <v>41</v>
      </c>
      <c r="G1771" t="s">
        <v>67</v>
      </c>
      <c r="H1771">
        <v>23381</v>
      </c>
      <c r="I1771">
        <v>0</v>
      </c>
      <c r="J1771">
        <v>0</v>
      </c>
      <c r="K1771">
        <v>0</v>
      </c>
      <c r="L1771">
        <v>1</v>
      </c>
      <c r="M1771" t="s">
        <v>86</v>
      </c>
      <c r="N1771" t="s">
        <v>109</v>
      </c>
      <c r="O1771" t="s">
        <v>69</v>
      </c>
      <c r="P1771" t="s">
        <v>442</v>
      </c>
      <c r="Q1771" t="s">
        <v>46</v>
      </c>
      <c r="R1771" t="s">
        <v>59</v>
      </c>
      <c r="S1771" t="s">
        <v>48</v>
      </c>
      <c r="T1771">
        <v>0</v>
      </c>
      <c r="U1771">
        <v>0</v>
      </c>
      <c r="V1771">
        <v>1</v>
      </c>
      <c r="W1771">
        <v>0</v>
      </c>
      <c r="X1771">
        <v>1</v>
      </c>
      <c r="Y1771">
        <v>0</v>
      </c>
      <c r="Z1771">
        <v>1</v>
      </c>
      <c r="AA1771">
        <v>0</v>
      </c>
      <c r="AB1771">
        <v>0</v>
      </c>
      <c r="AC1771">
        <v>0</v>
      </c>
      <c r="AD1771">
        <v>0</v>
      </c>
      <c r="AE1771">
        <v>0</v>
      </c>
      <c r="AF1771">
        <v>0</v>
      </c>
      <c r="AG1771">
        <v>1</v>
      </c>
    </row>
    <row r="1772" spans="1:33" x14ac:dyDescent="0.2">
      <c r="A1772">
        <v>1771</v>
      </c>
      <c r="B1772" t="s">
        <v>524</v>
      </c>
      <c r="C1772" t="s">
        <v>108</v>
      </c>
      <c r="D1772">
        <v>32</v>
      </c>
      <c r="E1772" t="s">
        <v>114</v>
      </c>
      <c r="F1772" t="s">
        <v>41</v>
      </c>
      <c r="G1772" t="s">
        <v>55</v>
      </c>
      <c r="H1772">
        <v>18212</v>
      </c>
      <c r="I1772">
        <v>0</v>
      </c>
      <c r="J1772">
        <v>1</v>
      </c>
      <c r="K1772">
        <v>0</v>
      </c>
      <c r="L1772">
        <v>0</v>
      </c>
      <c r="M1772" t="s">
        <v>57</v>
      </c>
      <c r="N1772" t="s">
        <v>94</v>
      </c>
      <c r="O1772" t="s">
        <v>56</v>
      </c>
      <c r="P1772" t="s">
        <v>442</v>
      </c>
      <c r="Q1772" t="s">
        <v>48</v>
      </c>
      <c r="R1772" t="s">
        <v>47</v>
      </c>
      <c r="S1772" t="s">
        <v>59</v>
      </c>
      <c r="T1772">
        <v>0</v>
      </c>
      <c r="U1772">
        <v>0</v>
      </c>
      <c r="V1772">
        <v>1</v>
      </c>
      <c r="W1772">
        <v>1</v>
      </c>
      <c r="X1772">
        <v>0</v>
      </c>
      <c r="Y1772">
        <v>0</v>
      </c>
      <c r="Z1772">
        <v>1</v>
      </c>
      <c r="AA1772">
        <v>0</v>
      </c>
      <c r="AB1772">
        <v>0</v>
      </c>
      <c r="AC1772">
        <v>0</v>
      </c>
      <c r="AD1772">
        <v>1</v>
      </c>
      <c r="AE1772">
        <v>0</v>
      </c>
      <c r="AF1772">
        <v>0</v>
      </c>
      <c r="AG1772">
        <v>0</v>
      </c>
    </row>
    <row r="1773" spans="1:33" hidden="1" x14ac:dyDescent="0.2">
      <c r="A1773">
        <v>1772</v>
      </c>
      <c r="B1773" t="s">
        <v>524</v>
      </c>
      <c r="C1773" t="s">
        <v>108</v>
      </c>
      <c r="D1773">
        <v>32</v>
      </c>
      <c r="E1773" t="s">
        <v>114</v>
      </c>
      <c r="F1773" t="s">
        <v>53</v>
      </c>
      <c r="G1773" t="s">
        <v>71</v>
      </c>
      <c r="H1773">
        <v>24937</v>
      </c>
      <c r="I1773">
        <v>0</v>
      </c>
      <c r="J1773">
        <v>1</v>
      </c>
      <c r="K1773">
        <v>0</v>
      </c>
      <c r="L1773">
        <v>0</v>
      </c>
      <c r="M1773" t="s">
        <v>36</v>
      </c>
      <c r="N1773" t="s">
        <v>36</v>
      </c>
      <c r="O1773" t="s">
        <v>36</v>
      </c>
      <c r="P1773" t="s">
        <v>442</v>
      </c>
      <c r="Q1773" t="s">
        <v>36</v>
      </c>
      <c r="R1773" t="s">
        <v>36</v>
      </c>
      <c r="S1773" t="s">
        <v>36</v>
      </c>
      <c r="T1773" t="s">
        <v>36</v>
      </c>
      <c r="U1773">
        <v>0</v>
      </c>
      <c r="V1773">
        <v>1</v>
      </c>
      <c r="W1773">
        <v>1</v>
      </c>
      <c r="X1773">
        <v>0</v>
      </c>
      <c r="Y1773">
        <v>0</v>
      </c>
      <c r="Z1773">
        <v>1</v>
      </c>
      <c r="AA1773">
        <v>0</v>
      </c>
      <c r="AB1773">
        <v>0</v>
      </c>
      <c r="AC1773">
        <v>0</v>
      </c>
      <c r="AD1773">
        <v>1</v>
      </c>
      <c r="AE1773">
        <v>0</v>
      </c>
      <c r="AF1773">
        <v>0</v>
      </c>
      <c r="AG1773">
        <v>0</v>
      </c>
    </row>
    <row r="1774" spans="1:33" x14ac:dyDescent="0.2">
      <c r="A1774">
        <v>1773</v>
      </c>
      <c r="B1774" t="s">
        <v>524</v>
      </c>
      <c r="C1774" t="s">
        <v>108</v>
      </c>
      <c r="D1774">
        <v>32</v>
      </c>
      <c r="E1774" t="s">
        <v>114</v>
      </c>
      <c r="F1774" t="s">
        <v>41</v>
      </c>
      <c r="G1774" t="s">
        <v>61</v>
      </c>
      <c r="H1774">
        <v>38960</v>
      </c>
      <c r="I1774">
        <v>0</v>
      </c>
      <c r="J1774">
        <v>0</v>
      </c>
      <c r="K1774">
        <v>0</v>
      </c>
      <c r="L1774">
        <v>1</v>
      </c>
      <c r="M1774" t="s">
        <v>97</v>
      </c>
      <c r="N1774" t="s">
        <v>63</v>
      </c>
      <c r="O1774" t="s">
        <v>64</v>
      </c>
      <c r="P1774" t="s">
        <v>442</v>
      </c>
      <c r="Q1774" t="s">
        <v>59</v>
      </c>
      <c r="R1774" t="s">
        <v>46</v>
      </c>
      <c r="S1774" t="s">
        <v>48</v>
      </c>
      <c r="T1774">
        <v>0</v>
      </c>
      <c r="U1774">
        <v>0</v>
      </c>
      <c r="V1774">
        <v>1</v>
      </c>
      <c r="W1774">
        <v>0</v>
      </c>
      <c r="X1774">
        <v>1</v>
      </c>
      <c r="Y1774">
        <v>0</v>
      </c>
      <c r="Z1774">
        <v>1</v>
      </c>
      <c r="AA1774">
        <v>0</v>
      </c>
      <c r="AB1774">
        <v>0</v>
      </c>
      <c r="AC1774">
        <v>0</v>
      </c>
      <c r="AD1774">
        <v>0</v>
      </c>
      <c r="AE1774">
        <v>0</v>
      </c>
      <c r="AF1774">
        <v>0</v>
      </c>
      <c r="AG1774">
        <v>1</v>
      </c>
    </row>
    <row r="1775" spans="1:33" hidden="1" x14ac:dyDescent="0.2">
      <c r="A1775">
        <v>1774</v>
      </c>
      <c r="B1775" t="s">
        <v>524</v>
      </c>
      <c r="C1775" t="s">
        <v>108</v>
      </c>
      <c r="D1775">
        <v>32</v>
      </c>
      <c r="E1775" t="s">
        <v>114</v>
      </c>
      <c r="F1775" t="s">
        <v>53</v>
      </c>
      <c r="G1775" t="s">
        <v>54</v>
      </c>
      <c r="H1775">
        <v>38871</v>
      </c>
      <c r="I1775">
        <v>0</v>
      </c>
      <c r="J1775">
        <v>1</v>
      </c>
      <c r="K1775">
        <v>1</v>
      </c>
      <c r="L1775">
        <v>0</v>
      </c>
      <c r="M1775" t="s">
        <v>36</v>
      </c>
      <c r="N1775" t="s">
        <v>36</v>
      </c>
      <c r="O1775" t="s">
        <v>36</v>
      </c>
      <c r="P1775" t="s">
        <v>442</v>
      </c>
      <c r="Q1775" t="s">
        <v>36</v>
      </c>
      <c r="R1775" t="s">
        <v>36</v>
      </c>
      <c r="S1775" t="s">
        <v>36</v>
      </c>
      <c r="T1775" t="s">
        <v>36</v>
      </c>
      <c r="U1775">
        <v>0</v>
      </c>
      <c r="V1775">
        <v>1</v>
      </c>
      <c r="W1775">
        <v>0</v>
      </c>
      <c r="X1775">
        <v>1</v>
      </c>
      <c r="Y1775">
        <v>0</v>
      </c>
      <c r="Z1775">
        <v>1</v>
      </c>
      <c r="AA1775">
        <v>0</v>
      </c>
      <c r="AB1775">
        <v>0</v>
      </c>
      <c r="AC1775">
        <v>0</v>
      </c>
      <c r="AD1775">
        <v>0</v>
      </c>
      <c r="AE1775">
        <v>0</v>
      </c>
      <c r="AF1775">
        <v>0</v>
      </c>
      <c r="AG1775">
        <v>1</v>
      </c>
    </row>
    <row r="1776" spans="1:33" x14ac:dyDescent="0.2">
      <c r="A1776">
        <v>1775</v>
      </c>
      <c r="B1776" t="s">
        <v>524</v>
      </c>
      <c r="C1776" t="s">
        <v>108</v>
      </c>
      <c r="D1776">
        <v>32</v>
      </c>
      <c r="E1776" t="s">
        <v>114</v>
      </c>
      <c r="F1776" t="s">
        <v>41</v>
      </c>
      <c r="G1776" t="s">
        <v>42</v>
      </c>
      <c r="H1776">
        <v>13705</v>
      </c>
      <c r="I1776">
        <v>1</v>
      </c>
      <c r="J1776">
        <v>0</v>
      </c>
      <c r="K1776">
        <v>0</v>
      </c>
      <c r="L1776">
        <v>0</v>
      </c>
      <c r="M1776" t="s">
        <v>44</v>
      </c>
      <c r="N1776" t="s">
        <v>45</v>
      </c>
      <c r="O1776" t="s">
        <v>102</v>
      </c>
      <c r="P1776" t="s">
        <v>442</v>
      </c>
      <c r="Q1776" t="s">
        <v>47</v>
      </c>
      <c r="R1776" t="s">
        <v>48</v>
      </c>
      <c r="S1776" t="s">
        <v>59</v>
      </c>
      <c r="T1776">
        <v>0</v>
      </c>
      <c r="U1776">
        <v>0</v>
      </c>
      <c r="V1776">
        <v>1</v>
      </c>
      <c r="W1776">
        <v>1</v>
      </c>
      <c r="X1776">
        <v>0</v>
      </c>
      <c r="Y1776">
        <v>0</v>
      </c>
      <c r="Z1776">
        <v>1</v>
      </c>
      <c r="AA1776">
        <v>0</v>
      </c>
      <c r="AB1776">
        <v>0</v>
      </c>
      <c r="AC1776">
        <v>0</v>
      </c>
      <c r="AD1776">
        <v>1</v>
      </c>
      <c r="AE1776">
        <v>0</v>
      </c>
      <c r="AF1776">
        <v>0</v>
      </c>
      <c r="AG1776">
        <v>0</v>
      </c>
    </row>
    <row r="1777" spans="1:33" x14ac:dyDescent="0.2">
      <c r="A1777">
        <v>1776</v>
      </c>
      <c r="B1777" t="s">
        <v>524</v>
      </c>
      <c r="C1777" t="s">
        <v>108</v>
      </c>
      <c r="D1777">
        <v>32</v>
      </c>
      <c r="E1777" t="s">
        <v>114</v>
      </c>
      <c r="F1777" t="s">
        <v>41</v>
      </c>
      <c r="G1777" t="s">
        <v>72</v>
      </c>
      <c r="H1777">
        <v>21386</v>
      </c>
      <c r="I1777">
        <v>0</v>
      </c>
      <c r="J1777">
        <v>0</v>
      </c>
      <c r="K1777">
        <v>1</v>
      </c>
      <c r="L1777">
        <v>0</v>
      </c>
      <c r="M1777" t="s">
        <v>93</v>
      </c>
      <c r="N1777" t="s">
        <v>73</v>
      </c>
      <c r="O1777" t="s">
        <v>115</v>
      </c>
      <c r="P1777" t="s">
        <v>442</v>
      </c>
      <c r="Q1777" t="s">
        <v>59</v>
      </c>
      <c r="R1777" t="s">
        <v>48</v>
      </c>
      <c r="S1777" t="s">
        <v>65</v>
      </c>
      <c r="T1777">
        <v>0</v>
      </c>
      <c r="U1777">
        <v>1</v>
      </c>
      <c r="V1777">
        <v>1</v>
      </c>
      <c r="W1777">
        <v>0</v>
      </c>
      <c r="X1777">
        <v>0</v>
      </c>
      <c r="Y1777">
        <v>0</v>
      </c>
      <c r="Z1777">
        <v>1</v>
      </c>
      <c r="AA1777">
        <v>0</v>
      </c>
      <c r="AB1777">
        <v>1</v>
      </c>
      <c r="AC1777">
        <v>0</v>
      </c>
      <c r="AD1777">
        <v>0</v>
      </c>
      <c r="AE1777">
        <v>0</v>
      </c>
      <c r="AF1777">
        <v>0</v>
      </c>
      <c r="AG1777">
        <v>0</v>
      </c>
    </row>
    <row r="1778" spans="1:33" hidden="1" x14ac:dyDescent="0.2">
      <c r="A1778">
        <v>1777</v>
      </c>
      <c r="B1778" t="s">
        <v>524</v>
      </c>
      <c r="C1778" t="s">
        <v>108</v>
      </c>
      <c r="D1778">
        <v>32</v>
      </c>
      <c r="E1778" t="s">
        <v>114</v>
      </c>
      <c r="F1778" t="s">
        <v>53</v>
      </c>
      <c r="G1778" t="s">
        <v>66</v>
      </c>
      <c r="H1778">
        <v>23754</v>
      </c>
      <c r="I1778">
        <v>1</v>
      </c>
      <c r="J1778">
        <v>1</v>
      </c>
      <c r="K1778">
        <v>0</v>
      </c>
      <c r="L1778">
        <v>0</v>
      </c>
      <c r="M1778" t="s">
        <v>36</v>
      </c>
      <c r="N1778" t="s">
        <v>36</v>
      </c>
      <c r="O1778" t="s">
        <v>36</v>
      </c>
      <c r="P1778" t="s">
        <v>442</v>
      </c>
      <c r="Q1778" t="s">
        <v>36</v>
      </c>
      <c r="R1778" t="s">
        <v>36</v>
      </c>
      <c r="S1778" t="s">
        <v>36</v>
      </c>
      <c r="T1778" t="s">
        <v>36</v>
      </c>
      <c r="U1778">
        <v>1</v>
      </c>
      <c r="V1778">
        <v>1</v>
      </c>
      <c r="W1778">
        <v>0</v>
      </c>
      <c r="X1778">
        <v>0</v>
      </c>
      <c r="Y1778">
        <v>0</v>
      </c>
      <c r="Z1778">
        <v>1</v>
      </c>
      <c r="AA1778">
        <v>0</v>
      </c>
      <c r="AB1778">
        <v>1</v>
      </c>
      <c r="AC1778">
        <v>0</v>
      </c>
      <c r="AD1778">
        <v>0</v>
      </c>
      <c r="AE1778">
        <v>0</v>
      </c>
      <c r="AF1778">
        <v>0</v>
      </c>
      <c r="AG1778">
        <v>0</v>
      </c>
    </row>
    <row r="1779" spans="1:33" hidden="1" x14ac:dyDescent="0.2">
      <c r="A1779">
        <v>1778</v>
      </c>
      <c r="B1779" t="s">
        <v>524</v>
      </c>
      <c r="C1779" t="s">
        <v>108</v>
      </c>
      <c r="D1779">
        <v>32</v>
      </c>
      <c r="E1779" t="s">
        <v>114</v>
      </c>
      <c r="F1779" t="s">
        <v>77</v>
      </c>
      <c r="G1779" t="s">
        <v>36</v>
      </c>
      <c r="H1779">
        <v>31803</v>
      </c>
      <c r="I1779" t="s">
        <v>525</v>
      </c>
      <c r="J1779" t="s">
        <v>526</v>
      </c>
      <c r="K1779" t="s">
        <v>329</v>
      </c>
      <c r="L1779" t="s">
        <v>36</v>
      </c>
      <c r="M1779" t="s">
        <v>36</v>
      </c>
      <c r="N1779" t="s">
        <v>36</v>
      </c>
      <c r="O1779" t="s">
        <v>36</v>
      </c>
      <c r="P1779" t="s">
        <v>442</v>
      </c>
      <c r="Q1779" t="s">
        <v>36</v>
      </c>
      <c r="R1779" t="s">
        <v>36</v>
      </c>
      <c r="S1779" t="s">
        <v>36</v>
      </c>
      <c r="T1779" t="s">
        <v>36</v>
      </c>
      <c r="U1779" t="s">
        <v>36</v>
      </c>
      <c r="V1779" t="s">
        <v>36</v>
      </c>
      <c r="W1779" t="s">
        <v>36</v>
      </c>
      <c r="X1779" t="s">
        <v>36</v>
      </c>
      <c r="Y1779" t="s">
        <v>36</v>
      </c>
      <c r="Z1779" t="s">
        <v>36</v>
      </c>
      <c r="AA1779" t="s">
        <v>36</v>
      </c>
      <c r="AB1779" t="s">
        <v>36</v>
      </c>
      <c r="AC1779" t="s">
        <v>36</v>
      </c>
      <c r="AD1779" t="s">
        <v>36</v>
      </c>
      <c r="AE1779" t="s">
        <v>36</v>
      </c>
      <c r="AF1779" t="s">
        <v>36</v>
      </c>
      <c r="AG1779" t="s">
        <v>36</v>
      </c>
    </row>
    <row r="1780" spans="1:33" hidden="1" x14ac:dyDescent="0.2">
      <c r="A1780">
        <v>1779</v>
      </c>
      <c r="B1780" t="s">
        <v>527</v>
      </c>
      <c r="C1780" t="s">
        <v>108</v>
      </c>
      <c r="D1780">
        <v>22</v>
      </c>
      <c r="E1780" t="s">
        <v>34</v>
      </c>
      <c r="F1780" t="s">
        <v>35</v>
      </c>
      <c r="G1780" t="s">
        <v>36</v>
      </c>
      <c r="H1780">
        <v>28659</v>
      </c>
      <c r="I1780" t="s">
        <v>36</v>
      </c>
      <c r="J1780" t="s">
        <v>36</v>
      </c>
      <c r="K1780" t="s">
        <v>36</v>
      </c>
      <c r="L1780" t="s">
        <v>36</v>
      </c>
      <c r="M1780" t="s">
        <v>36</v>
      </c>
      <c r="N1780" t="s">
        <v>36</v>
      </c>
      <c r="O1780" t="s">
        <v>36</v>
      </c>
      <c r="P1780" t="s">
        <v>442</v>
      </c>
      <c r="Q1780" t="s">
        <v>36</v>
      </c>
      <c r="R1780" t="s">
        <v>36</v>
      </c>
      <c r="S1780" t="s">
        <v>36</v>
      </c>
      <c r="T1780" t="s">
        <v>36</v>
      </c>
      <c r="U1780" t="s">
        <v>36</v>
      </c>
      <c r="V1780" t="s">
        <v>36</v>
      </c>
      <c r="W1780" t="s">
        <v>36</v>
      </c>
      <c r="X1780" t="s">
        <v>36</v>
      </c>
      <c r="Y1780" t="s">
        <v>36</v>
      </c>
      <c r="Z1780" t="s">
        <v>36</v>
      </c>
      <c r="AA1780" t="s">
        <v>36</v>
      </c>
      <c r="AB1780" t="s">
        <v>36</v>
      </c>
      <c r="AC1780" t="s">
        <v>36</v>
      </c>
      <c r="AD1780" t="s">
        <v>36</v>
      </c>
      <c r="AE1780" t="s">
        <v>36</v>
      </c>
      <c r="AF1780" t="s">
        <v>36</v>
      </c>
      <c r="AG1780" t="s">
        <v>36</v>
      </c>
    </row>
    <row r="1781" spans="1:33" hidden="1" x14ac:dyDescent="0.2">
      <c r="A1781">
        <v>1780</v>
      </c>
      <c r="B1781" t="s">
        <v>527</v>
      </c>
      <c r="C1781" t="s">
        <v>108</v>
      </c>
      <c r="D1781">
        <v>22</v>
      </c>
      <c r="E1781" t="s">
        <v>34</v>
      </c>
      <c r="F1781" t="s">
        <v>38</v>
      </c>
      <c r="G1781" t="s">
        <v>39</v>
      </c>
      <c r="H1781">
        <v>11261</v>
      </c>
      <c r="I1781">
        <v>0</v>
      </c>
      <c r="J1781">
        <v>0</v>
      </c>
      <c r="K1781">
        <v>0</v>
      </c>
      <c r="L1781">
        <v>1</v>
      </c>
      <c r="M1781" t="s">
        <v>36</v>
      </c>
      <c r="N1781" t="s">
        <v>36</v>
      </c>
      <c r="O1781" t="s">
        <v>36</v>
      </c>
      <c r="P1781" t="s">
        <v>442</v>
      </c>
      <c r="Q1781" t="s">
        <v>36</v>
      </c>
      <c r="R1781" t="s">
        <v>36</v>
      </c>
      <c r="S1781" t="s">
        <v>36</v>
      </c>
      <c r="T1781" t="s">
        <v>36</v>
      </c>
      <c r="U1781" t="s">
        <v>36</v>
      </c>
      <c r="V1781" t="s">
        <v>36</v>
      </c>
      <c r="W1781" t="s">
        <v>36</v>
      </c>
      <c r="X1781" t="s">
        <v>36</v>
      </c>
      <c r="Y1781" t="s">
        <v>36</v>
      </c>
      <c r="Z1781" t="s">
        <v>36</v>
      </c>
      <c r="AA1781" t="s">
        <v>36</v>
      </c>
      <c r="AB1781" t="s">
        <v>36</v>
      </c>
      <c r="AC1781" t="s">
        <v>36</v>
      </c>
      <c r="AD1781" t="s">
        <v>36</v>
      </c>
      <c r="AE1781" t="s">
        <v>36</v>
      </c>
      <c r="AF1781" t="s">
        <v>36</v>
      </c>
      <c r="AG1781" t="s">
        <v>36</v>
      </c>
    </row>
    <row r="1782" spans="1:33" hidden="1" x14ac:dyDescent="0.2">
      <c r="A1782">
        <v>1781</v>
      </c>
      <c r="B1782" t="s">
        <v>527</v>
      </c>
      <c r="C1782" t="s">
        <v>108</v>
      </c>
      <c r="D1782">
        <v>22</v>
      </c>
      <c r="E1782" t="s">
        <v>34</v>
      </c>
      <c r="F1782" t="s">
        <v>38</v>
      </c>
      <c r="G1782" t="s">
        <v>40</v>
      </c>
      <c r="H1782">
        <v>19182</v>
      </c>
      <c r="I1782">
        <v>0</v>
      </c>
      <c r="J1782">
        <v>0</v>
      </c>
      <c r="K1782">
        <v>1</v>
      </c>
      <c r="L1782">
        <v>0</v>
      </c>
      <c r="M1782" t="s">
        <v>36</v>
      </c>
      <c r="N1782" t="s">
        <v>36</v>
      </c>
      <c r="O1782" t="s">
        <v>36</v>
      </c>
      <c r="P1782" t="s">
        <v>442</v>
      </c>
      <c r="Q1782" t="s">
        <v>36</v>
      </c>
      <c r="R1782" t="s">
        <v>36</v>
      </c>
      <c r="S1782" t="s">
        <v>36</v>
      </c>
      <c r="T1782" t="s">
        <v>36</v>
      </c>
      <c r="U1782" t="s">
        <v>36</v>
      </c>
      <c r="V1782" t="s">
        <v>36</v>
      </c>
      <c r="W1782" t="s">
        <v>36</v>
      </c>
      <c r="X1782" t="s">
        <v>36</v>
      </c>
      <c r="Y1782" t="s">
        <v>36</v>
      </c>
      <c r="Z1782" t="s">
        <v>36</v>
      </c>
      <c r="AA1782" t="s">
        <v>36</v>
      </c>
      <c r="AB1782" t="s">
        <v>36</v>
      </c>
      <c r="AC1782" t="s">
        <v>36</v>
      </c>
      <c r="AD1782" t="s">
        <v>36</v>
      </c>
      <c r="AE1782" t="s">
        <v>36</v>
      </c>
      <c r="AF1782" t="s">
        <v>36</v>
      </c>
      <c r="AG1782" t="s">
        <v>36</v>
      </c>
    </row>
    <row r="1783" spans="1:33" x14ac:dyDescent="0.2">
      <c r="A1783">
        <v>1782</v>
      </c>
      <c r="B1783" t="s">
        <v>527</v>
      </c>
      <c r="C1783" t="s">
        <v>108</v>
      </c>
      <c r="D1783">
        <v>22</v>
      </c>
      <c r="E1783" t="s">
        <v>34</v>
      </c>
      <c r="F1783" t="s">
        <v>41</v>
      </c>
      <c r="G1783" t="s">
        <v>61</v>
      </c>
      <c r="H1783">
        <v>17095</v>
      </c>
      <c r="I1783">
        <v>0</v>
      </c>
      <c r="J1783">
        <v>0</v>
      </c>
      <c r="K1783">
        <v>1</v>
      </c>
      <c r="L1783">
        <v>0</v>
      </c>
      <c r="M1783" t="s">
        <v>63</v>
      </c>
      <c r="N1783" t="s">
        <v>97</v>
      </c>
      <c r="O1783" t="s">
        <v>62</v>
      </c>
      <c r="P1783" t="s">
        <v>442</v>
      </c>
      <c r="Q1783" t="s">
        <v>46</v>
      </c>
      <c r="R1783" t="s">
        <v>59</v>
      </c>
      <c r="S1783" t="s">
        <v>65</v>
      </c>
      <c r="T1783">
        <v>0</v>
      </c>
      <c r="U1783">
        <v>1</v>
      </c>
      <c r="V1783">
        <v>0</v>
      </c>
      <c r="W1783">
        <v>0</v>
      </c>
      <c r="X1783">
        <v>1</v>
      </c>
      <c r="Y1783">
        <v>0</v>
      </c>
      <c r="Z1783">
        <v>1</v>
      </c>
      <c r="AA1783">
        <v>0</v>
      </c>
      <c r="AB1783">
        <v>1</v>
      </c>
      <c r="AC1783">
        <v>0</v>
      </c>
      <c r="AD1783">
        <v>0</v>
      </c>
      <c r="AE1783">
        <v>0</v>
      </c>
      <c r="AF1783">
        <v>0</v>
      </c>
      <c r="AG1783">
        <v>0</v>
      </c>
    </row>
    <row r="1784" spans="1:33" hidden="1" x14ac:dyDescent="0.2">
      <c r="A1784">
        <v>1783</v>
      </c>
      <c r="B1784" t="s">
        <v>527</v>
      </c>
      <c r="C1784" t="s">
        <v>108</v>
      </c>
      <c r="D1784">
        <v>22</v>
      </c>
      <c r="E1784" t="s">
        <v>34</v>
      </c>
      <c r="F1784" t="s">
        <v>53</v>
      </c>
      <c r="G1784" t="s">
        <v>54</v>
      </c>
      <c r="H1784">
        <v>7755</v>
      </c>
      <c r="I1784">
        <v>0</v>
      </c>
      <c r="J1784">
        <v>0</v>
      </c>
      <c r="K1784">
        <v>1</v>
      </c>
      <c r="L1784">
        <v>0</v>
      </c>
      <c r="M1784" t="s">
        <v>36</v>
      </c>
      <c r="N1784" t="s">
        <v>36</v>
      </c>
      <c r="O1784" t="s">
        <v>36</v>
      </c>
      <c r="P1784" t="s">
        <v>442</v>
      </c>
      <c r="Q1784" t="s">
        <v>36</v>
      </c>
      <c r="R1784" t="s">
        <v>36</v>
      </c>
      <c r="S1784" t="s">
        <v>36</v>
      </c>
      <c r="T1784" t="s">
        <v>36</v>
      </c>
      <c r="U1784">
        <v>1</v>
      </c>
      <c r="V1784">
        <v>0</v>
      </c>
      <c r="W1784">
        <v>0</v>
      </c>
      <c r="X1784">
        <v>1</v>
      </c>
      <c r="Y1784">
        <v>0</v>
      </c>
      <c r="Z1784">
        <v>1</v>
      </c>
      <c r="AA1784">
        <v>0</v>
      </c>
      <c r="AB1784">
        <v>1</v>
      </c>
      <c r="AC1784">
        <v>0</v>
      </c>
      <c r="AD1784">
        <v>0</v>
      </c>
      <c r="AE1784">
        <v>0</v>
      </c>
      <c r="AF1784">
        <v>0</v>
      </c>
      <c r="AG1784">
        <v>0</v>
      </c>
    </row>
    <row r="1785" spans="1:33" x14ac:dyDescent="0.2">
      <c r="A1785">
        <v>1784</v>
      </c>
      <c r="B1785" t="s">
        <v>527</v>
      </c>
      <c r="C1785" t="s">
        <v>108</v>
      </c>
      <c r="D1785">
        <v>22</v>
      </c>
      <c r="E1785" t="s">
        <v>34</v>
      </c>
      <c r="F1785" t="s">
        <v>41</v>
      </c>
      <c r="G1785" t="s">
        <v>55</v>
      </c>
      <c r="H1785">
        <v>8261</v>
      </c>
      <c r="I1785">
        <v>1</v>
      </c>
      <c r="J1785">
        <v>1</v>
      </c>
      <c r="K1785">
        <v>1</v>
      </c>
      <c r="L1785">
        <v>0</v>
      </c>
      <c r="M1785" t="s">
        <v>57</v>
      </c>
      <c r="N1785" t="s">
        <v>84</v>
      </c>
      <c r="O1785" t="s">
        <v>94</v>
      </c>
      <c r="P1785" t="s">
        <v>442</v>
      </c>
      <c r="Q1785" t="s">
        <v>48</v>
      </c>
      <c r="R1785" t="s">
        <v>46</v>
      </c>
      <c r="S1785" t="s">
        <v>47</v>
      </c>
      <c r="T1785">
        <v>0</v>
      </c>
      <c r="U1785">
        <v>0</v>
      </c>
      <c r="V1785">
        <v>1</v>
      </c>
      <c r="W1785">
        <v>1</v>
      </c>
      <c r="X1785">
        <v>1</v>
      </c>
      <c r="Y1785">
        <v>0</v>
      </c>
      <c r="Z1785">
        <v>1</v>
      </c>
      <c r="AA1785">
        <v>0</v>
      </c>
      <c r="AB1785">
        <v>0</v>
      </c>
      <c r="AC1785">
        <v>1</v>
      </c>
      <c r="AD1785">
        <v>1</v>
      </c>
      <c r="AE1785">
        <v>1</v>
      </c>
      <c r="AF1785">
        <v>0</v>
      </c>
      <c r="AG1785">
        <v>0</v>
      </c>
    </row>
    <row r="1786" spans="1:33" x14ac:dyDescent="0.2">
      <c r="A1786">
        <v>1785</v>
      </c>
      <c r="B1786" t="s">
        <v>527</v>
      </c>
      <c r="C1786" t="s">
        <v>108</v>
      </c>
      <c r="D1786">
        <v>22</v>
      </c>
      <c r="E1786" t="s">
        <v>34</v>
      </c>
      <c r="F1786" t="s">
        <v>41</v>
      </c>
      <c r="G1786" t="s">
        <v>67</v>
      </c>
      <c r="H1786">
        <v>2349</v>
      </c>
      <c r="I1786">
        <v>0</v>
      </c>
      <c r="J1786">
        <v>1</v>
      </c>
      <c r="K1786">
        <v>0</v>
      </c>
      <c r="L1786">
        <v>0</v>
      </c>
      <c r="M1786" t="s">
        <v>69</v>
      </c>
      <c r="N1786" t="s">
        <v>68</v>
      </c>
      <c r="O1786" t="s">
        <v>103</v>
      </c>
      <c r="P1786" t="s">
        <v>442</v>
      </c>
      <c r="Q1786" t="s">
        <v>48</v>
      </c>
      <c r="R1786" t="s">
        <v>65</v>
      </c>
      <c r="S1786" t="s">
        <v>60</v>
      </c>
      <c r="T1786">
        <v>1</v>
      </c>
      <c r="U1786">
        <v>1</v>
      </c>
      <c r="V1786">
        <v>1</v>
      </c>
      <c r="W1786">
        <v>0</v>
      </c>
      <c r="X1786">
        <v>0</v>
      </c>
      <c r="Y1786">
        <v>0</v>
      </c>
      <c r="Z1786">
        <v>1</v>
      </c>
      <c r="AA1786">
        <v>0</v>
      </c>
      <c r="AB1786">
        <v>1</v>
      </c>
      <c r="AC1786">
        <v>0</v>
      </c>
      <c r="AD1786">
        <v>0</v>
      </c>
      <c r="AE1786">
        <v>0</v>
      </c>
      <c r="AF1786">
        <v>0</v>
      </c>
      <c r="AG1786">
        <v>0</v>
      </c>
    </row>
    <row r="1787" spans="1:33" hidden="1" x14ac:dyDescent="0.2">
      <c r="A1787">
        <v>1786</v>
      </c>
      <c r="B1787" t="s">
        <v>527</v>
      </c>
      <c r="C1787" t="s">
        <v>108</v>
      </c>
      <c r="D1787">
        <v>22</v>
      </c>
      <c r="E1787" t="s">
        <v>34</v>
      </c>
      <c r="F1787" t="s">
        <v>53</v>
      </c>
      <c r="G1787" t="s">
        <v>76</v>
      </c>
      <c r="H1787">
        <v>5874</v>
      </c>
      <c r="I1787">
        <v>1</v>
      </c>
      <c r="J1787">
        <v>1</v>
      </c>
      <c r="K1787">
        <v>1</v>
      </c>
      <c r="L1787">
        <v>0</v>
      </c>
      <c r="M1787" t="s">
        <v>36</v>
      </c>
      <c r="N1787" t="s">
        <v>36</v>
      </c>
      <c r="O1787" t="s">
        <v>36</v>
      </c>
      <c r="P1787" t="s">
        <v>442</v>
      </c>
      <c r="Q1787" t="s">
        <v>36</v>
      </c>
      <c r="R1787" t="s">
        <v>36</v>
      </c>
      <c r="S1787" t="s">
        <v>36</v>
      </c>
      <c r="T1787" t="s">
        <v>36</v>
      </c>
      <c r="U1787">
        <v>1</v>
      </c>
      <c r="V1787">
        <v>1</v>
      </c>
      <c r="W1787">
        <v>0</v>
      </c>
      <c r="X1787">
        <v>0</v>
      </c>
      <c r="Y1787">
        <v>0</v>
      </c>
      <c r="Z1787">
        <v>1</v>
      </c>
      <c r="AA1787">
        <v>0</v>
      </c>
      <c r="AB1787">
        <v>1</v>
      </c>
      <c r="AC1787">
        <v>0</v>
      </c>
      <c r="AD1787">
        <v>0</v>
      </c>
      <c r="AE1787">
        <v>0</v>
      </c>
      <c r="AF1787">
        <v>0</v>
      </c>
      <c r="AG1787">
        <v>0</v>
      </c>
    </row>
    <row r="1788" spans="1:33" x14ac:dyDescent="0.2">
      <c r="A1788">
        <v>1787</v>
      </c>
      <c r="B1788" t="s">
        <v>527</v>
      </c>
      <c r="C1788" t="s">
        <v>108</v>
      </c>
      <c r="D1788">
        <v>22</v>
      </c>
      <c r="E1788" t="s">
        <v>34</v>
      </c>
      <c r="F1788" t="s">
        <v>41</v>
      </c>
      <c r="G1788" t="s">
        <v>49</v>
      </c>
      <c r="H1788">
        <v>6006</v>
      </c>
      <c r="I1788">
        <v>1</v>
      </c>
      <c r="J1788">
        <v>1</v>
      </c>
      <c r="K1788">
        <v>1</v>
      </c>
      <c r="L1788">
        <v>0</v>
      </c>
      <c r="M1788" t="s">
        <v>95</v>
      </c>
      <c r="N1788" t="s">
        <v>52</v>
      </c>
      <c r="O1788" t="s">
        <v>96</v>
      </c>
      <c r="P1788" t="s">
        <v>442</v>
      </c>
      <c r="Q1788" t="s">
        <v>60</v>
      </c>
      <c r="R1788" t="s">
        <v>46</v>
      </c>
      <c r="S1788" t="s">
        <v>65</v>
      </c>
      <c r="T1788">
        <v>1</v>
      </c>
      <c r="U1788">
        <v>1</v>
      </c>
      <c r="V1788">
        <v>0</v>
      </c>
      <c r="W1788">
        <v>0</v>
      </c>
      <c r="X1788">
        <v>1</v>
      </c>
      <c r="Y1788">
        <v>0</v>
      </c>
      <c r="Z1788">
        <v>1</v>
      </c>
      <c r="AA1788">
        <v>1</v>
      </c>
      <c r="AB1788">
        <v>1</v>
      </c>
      <c r="AC1788">
        <v>0</v>
      </c>
      <c r="AD1788">
        <v>0</v>
      </c>
      <c r="AE1788">
        <v>1</v>
      </c>
      <c r="AF1788">
        <v>0</v>
      </c>
      <c r="AG1788">
        <v>0</v>
      </c>
    </row>
    <row r="1789" spans="1:33" hidden="1" x14ac:dyDescent="0.2">
      <c r="A1789">
        <v>1788</v>
      </c>
      <c r="B1789" t="s">
        <v>527</v>
      </c>
      <c r="C1789" t="s">
        <v>108</v>
      </c>
      <c r="D1789">
        <v>22</v>
      </c>
      <c r="E1789" t="s">
        <v>34</v>
      </c>
      <c r="F1789" t="s">
        <v>53</v>
      </c>
      <c r="G1789" t="s">
        <v>66</v>
      </c>
      <c r="H1789">
        <v>62657</v>
      </c>
      <c r="I1789">
        <v>1</v>
      </c>
      <c r="J1789">
        <v>1</v>
      </c>
      <c r="K1789">
        <v>0</v>
      </c>
      <c r="L1789">
        <v>0</v>
      </c>
      <c r="M1789" t="s">
        <v>36</v>
      </c>
      <c r="N1789" t="s">
        <v>36</v>
      </c>
      <c r="O1789" t="s">
        <v>36</v>
      </c>
      <c r="P1789" t="s">
        <v>442</v>
      </c>
      <c r="Q1789" t="s">
        <v>36</v>
      </c>
      <c r="R1789" t="s">
        <v>36</v>
      </c>
      <c r="S1789" t="s">
        <v>36</v>
      </c>
      <c r="T1789" t="s">
        <v>36</v>
      </c>
      <c r="U1789">
        <v>1</v>
      </c>
      <c r="V1789">
        <v>0</v>
      </c>
      <c r="W1789">
        <v>0</v>
      </c>
      <c r="X1789">
        <v>1</v>
      </c>
      <c r="Y1789">
        <v>0</v>
      </c>
      <c r="Z1789">
        <v>1</v>
      </c>
      <c r="AA1789">
        <v>1</v>
      </c>
      <c r="AB1789">
        <v>1</v>
      </c>
      <c r="AC1789">
        <v>0</v>
      </c>
      <c r="AD1789">
        <v>0</v>
      </c>
      <c r="AE1789">
        <v>1</v>
      </c>
      <c r="AF1789">
        <v>0</v>
      </c>
      <c r="AG1789">
        <v>0</v>
      </c>
    </row>
    <row r="1790" spans="1:33" x14ac:dyDescent="0.2">
      <c r="A1790">
        <v>1789</v>
      </c>
      <c r="B1790" t="s">
        <v>527</v>
      </c>
      <c r="C1790" t="s">
        <v>108</v>
      </c>
      <c r="D1790">
        <v>22</v>
      </c>
      <c r="E1790" t="s">
        <v>34</v>
      </c>
      <c r="F1790" t="s">
        <v>41</v>
      </c>
      <c r="G1790" t="s">
        <v>42</v>
      </c>
      <c r="H1790">
        <v>39362</v>
      </c>
      <c r="I1790">
        <v>1</v>
      </c>
      <c r="J1790">
        <v>1</v>
      </c>
      <c r="K1790">
        <v>1</v>
      </c>
      <c r="L1790">
        <v>0</v>
      </c>
      <c r="M1790" t="s">
        <v>44</v>
      </c>
      <c r="N1790" t="s">
        <v>45</v>
      </c>
      <c r="O1790" t="s">
        <v>82</v>
      </c>
      <c r="P1790" t="s">
        <v>442</v>
      </c>
      <c r="Q1790" t="s">
        <v>47</v>
      </c>
      <c r="R1790" t="s">
        <v>48</v>
      </c>
      <c r="S1790" t="s">
        <v>65</v>
      </c>
      <c r="T1790">
        <v>0</v>
      </c>
      <c r="U1790">
        <v>1</v>
      </c>
      <c r="V1790">
        <v>1</v>
      </c>
      <c r="W1790">
        <v>1</v>
      </c>
      <c r="X1790">
        <v>0</v>
      </c>
      <c r="Y1790">
        <v>0</v>
      </c>
      <c r="Z1790">
        <v>1</v>
      </c>
      <c r="AA1790">
        <v>0</v>
      </c>
      <c r="AB1790">
        <v>1</v>
      </c>
      <c r="AC1790">
        <v>1</v>
      </c>
      <c r="AD1790">
        <v>1</v>
      </c>
      <c r="AE1790">
        <v>0</v>
      </c>
      <c r="AF1790">
        <v>0</v>
      </c>
      <c r="AG1790">
        <v>0</v>
      </c>
    </row>
    <row r="1791" spans="1:33" x14ac:dyDescent="0.2">
      <c r="A1791">
        <v>1790</v>
      </c>
      <c r="B1791" t="s">
        <v>527</v>
      </c>
      <c r="C1791" t="s">
        <v>108</v>
      </c>
      <c r="D1791">
        <v>22</v>
      </c>
      <c r="E1791" t="s">
        <v>34</v>
      </c>
      <c r="F1791" t="s">
        <v>41</v>
      </c>
      <c r="G1791" t="s">
        <v>72</v>
      </c>
      <c r="H1791">
        <v>4774</v>
      </c>
      <c r="I1791">
        <v>1</v>
      </c>
      <c r="J1791">
        <v>1</v>
      </c>
      <c r="K1791">
        <v>1</v>
      </c>
      <c r="L1791">
        <v>0</v>
      </c>
      <c r="M1791" t="s">
        <v>104</v>
      </c>
      <c r="N1791" t="s">
        <v>73</v>
      </c>
      <c r="O1791" t="s">
        <v>75</v>
      </c>
      <c r="P1791" t="s">
        <v>442</v>
      </c>
      <c r="Q1791" t="s">
        <v>60</v>
      </c>
      <c r="R1791" t="s">
        <v>48</v>
      </c>
      <c r="S1791" t="s">
        <v>46</v>
      </c>
      <c r="T1791">
        <v>1</v>
      </c>
      <c r="U1791">
        <v>0</v>
      </c>
      <c r="V1791">
        <v>1</v>
      </c>
      <c r="W1791">
        <v>0</v>
      </c>
      <c r="X1791">
        <v>1</v>
      </c>
      <c r="Y1791">
        <v>0</v>
      </c>
      <c r="Z1791">
        <v>1</v>
      </c>
      <c r="AA1791">
        <v>1</v>
      </c>
      <c r="AB1791">
        <v>0</v>
      </c>
      <c r="AC1791">
        <v>1</v>
      </c>
      <c r="AD1791">
        <v>0</v>
      </c>
      <c r="AE1791">
        <v>1</v>
      </c>
      <c r="AF1791">
        <v>0</v>
      </c>
      <c r="AG1791">
        <v>0</v>
      </c>
    </row>
    <row r="1792" spans="1:33" hidden="1" x14ac:dyDescent="0.2">
      <c r="A1792">
        <v>1791</v>
      </c>
      <c r="B1792" t="s">
        <v>527</v>
      </c>
      <c r="C1792" t="s">
        <v>108</v>
      </c>
      <c r="D1792">
        <v>22</v>
      </c>
      <c r="E1792" t="s">
        <v>34</v>
      </c>
      <c r="F1792" t="s">
        <v>53</v>
      </c>
      <c r="G1792" t="s">
        <v>71</v>
      </c>
      <c r="H1792">
        <v>121720</v>
      </c>
      <c r="I1792">
        <v>0</v>
      </c>
      <c r="J1792">
        <v>0</v>
      </c>
      <c r="K1792">
        <v>0</v>
      </c>
      <c r="L1792">
        <v>1</v>
      </c>
      <c r="M1792" t="s">
        <v>36</v>
      </c>
      <c r="N1792" t="s">
        <v>36</v>
      </c>
      <c r="O1792" t="s">
        <v>36</v>
      </c>
      <c r="P1792" t="s">
        <v>442</v>
      </c>
      <c r="Q1792" t="s">
        <v>36</v>
      </c>
      <c r="R1792" t="s">
        <v>36</v>
      </c>
      <c r="S1792" t="s">
        <v>36</v>
      </c>
      <c r="T1792" t="s">
        <v>36</v>
      </c>
      <c r="U1792">
        <v>0</v>
      </c>
      <c r="V1792">
        <v>1</v>
      </c>
      <c r="W1792">
        <v>0</v>
      </c>
      <c r="X1792">
        <v>1</v>
      </c>
      <c r="Y1792">
        <v>0</v>
      </c>
      <c r="Z1792">
        <v>1</v>
      </c>
      <c r="AA1792">
        <v>1</v>
      </c>
      <c r="AB1792">
        <v>0</v>
      </c>
      <c r="AC1792">
        <v>1</v>
      </c>
      <c r="AD1792">
        <v>0</v>
      </c>
      <c r="AE1792">
        <v>1</v>
      </c>
      <c r="AF1792">
        <v>0</v>
      </c>
      <c r="AG1792">
        <v>0</v>
      </c>
    </row>
    <row r="1793" spans="1:33" hidden="1" x14ac:dyDescent="0.2">
      <c r="A1793">
        <v>1792</v>
      </c>
      <c r="B1793" t="s">
        <v>527</v>
      </c>
      <c r="C1793" t="s">
        <v>108</v>
      </c>
      <c r="D1793">
        <v>22</v>
      </c>
      <c r="E1793" t="s">
        <v>34</v>
      </c>
      <c r="F1793" t="s">
        <v>77</v>
      </c>
      <c r="G1793" t="s">
        <v>36</v>
      </c>
      <c r="H1793">
        <v>404571</v>
      </c>
      <c r="I1793" t="s">
        <v>528</v>
      </c>
      <c r="J1793" t="s">
        <v>529</v>
      </c>
      <c r="K1793" t="s">
        <v>530</v>
      </c>
      <c r="L1793" t="s">
        <v>36</v>
      </c>
      <c r="M1793" t="s">
        <v>36</v>
      </c>
      <c r="N1793" t="s">
        <v>36</v>
      </c>
      <c r="O1793" t="s">
        <v>36</v>
      </c>
      <c r="P1793" t="s">
        <v>442</v>
      </c>
      <c r="Q1793" t="s">
        <v>36</v>
      </c>
      <c r="R1793" t="s">
        <v>36</v>
      </c>
      <c r="S1793" t="s">
        <v>36</v>
      </c>
      <c r="T1793" t="s">
        <v>36</v>
      </c>
      <c r="U1793" t="s">
        <v>36</v>
      </c>
      <c r="V1793" t="s">
        <v>36</v>
      </c>
      <c r="W1793" t="s">
        <v>36</v>
      </c>
      <c r="X1793" t="s">
        <v>36</v>
      </c>
      <c r="Y1793" t="s">
        <v>36</v>
      </c>
      <c r="Z1793" t="s">
        <v>36</v>
      </c>
      <c r="AA1793" t="s">
        <v>36</v>
      </c>
      <c r="AB1793" t="s">
        <v>36</v>
      </c>
      <c r="AC1793" t="s">
        <v>36</v>
      </c>
      <c r="AD1793" t="s">
        <v>36</v>
      </c>
      <c r="AE1793" t="s">
        <v>36</v>
      </c>
      <c r="AF1793" t="s">
        <v>36</v>
      </c>
      <c r="AG1793" t="s">
        <v>36</v>
      </c>
    </row>
    <row r="1794" spans="1:33" hidden="1" x14ac:dyDescent="0.2">
      <c r="A1794">
        <v>1793</v>
      </c>
      <c r="B1794" t="s">
        <v>531</v>
      </c>
      <c r="C1794" t="s">
        <v>108</v>
      </c>
      <c r="D1794">
        <v>32</v>
      </c>
      <c r="E1794" t="s">
        <v>34</v>
      </c>
      <c r="F1794" t="s">
        <v>35</v>
      </c>
      <c r="G1794" t="s">
        <v>36</v>
      </c>
      <c r="H1794">
        <v>26595</v>
      </c>
      <c r="I1794" t="s">
        <v>36</v>
      </c>
      <c r="J1794" t="s">
        <v>36</v>
      </c>
      <c r="K1794" t="s">
        <v>36</v>
      </c>
      <c r="L1794" t="s">
        <v>36</v>
      </c>
      <c r="M1794" t="s">
        <v>36</v>
      </c>
      <c r="N1794" t="s">
        <v>36</v>
      </c>
      <c r="O1794" t="s">
        <v>36</v>
      </c>
      <c r="P1794" t="s">
        <v>442</v>
      </c>
      <c r="Q1794" t="s">
        <v>36</v>
      </c>
      <c r="R1794" t="s">
        <v>36</v>
      </c>
      <c r="S1794" t="s">
        <v>36</v>
      </c>
      <c r="T1794" t="s">
        <v>36</v>
      </c>
      <c r="U1794" t="s">
        <v>36</v>
      </c>
      <c r="V1794" t="s">
        <v>36</v>
      </c>
      <c r="W1794" t="s">
        <v>36</v>
      </c>
      <c r="X1794" t="s">
        <v>36</v>
      </c>
      <c r="Y1794" t="s">
        <v>36</v>
      </c>
      <c r="Z1794" t="s">
        <v>36</v>
      </c>
      <c r="AA1794" t="s">
        <v>36</v>
      </c>
      <c r="AB1794" t="s">
        <v>36</v>
      </c>
      <c r="AC1794" t="s">
        <v>36</v>
      </c>
      <c r="AD1794" t="s">
        <v>36</v>
      </c>
      <c r="AE1794" t="s">
        <v>36</v>
      </c>
      <c r="AF1794" t="s">
        <v>36</v>
      </c>
      <c r="AG1794" t="s">
        <v>36</v>
      </c>
    </row>
    <row r="1795" spans="1:33" hidden="1" x14ac:dyDescent="0.2">
      <c r="A1795">
        <v>1794</v>
      </c>
      <c r="B1795" t="s">
        <v>531</v>
      </c>
      <c r="C1795" t="s">
        <v>108</v>
      </c>
      <c r="D1795">
        <v>32</v>
      </c>
      <c r="E1795" t="s">
        <v>34</v>
      </c>
      <c r="F1795" t="s">
        <v>38</v>
      </c>
      <c r="G1795" t="s">
        <v>39</v>
      </c>
      <c r="H1795">
        <v>31410</v>
      </c>
      <c r="I1795">
        <v>0</v>
      </c>
      <c r="J1795">
        <v>0</v>
      </c>
      <c r="K1795">
        <v>0</v>
      </c>
      <c r="L1795">
        <v>1</v>
      </c>
      <c r="M1795" t="s">
        <v>36</v>
      </c>
      <c r="N1795" t="s">
        <v>36</v>
      </c>
      <c r="O1795" t="s">
        <v>36</v>
      </c>
      <c r="P1795" t="s">
        <v>442</v>
      </c>
      <c r="Q1795" t="s">
        <v>36</v>
      </c>
      <c r="R1795" t="s">
        <v>36</v>
      </c>
      <c r="S1795" t="s">
        <v>36</v>
      </c>
      <c r="T1795" t="s">
        <v>36</v>
      </c>
      <c r="U1795" t="s">
        <v>36</v>
      </c>
      <c r="V1795" t="s">
        <v>36</v>
      </c>
      <c r="W1795" t="s">
        <v>36</v>
      </c>
      <c r="X1795" t="s">
        <v>36</v>
      </c>
      <c r="Y1795" t="s">
        <v>36</v>
      </c>
      <c r="Z1795" t="s">
        <v>36</v>
      </c>
      <c r="AA1795" t="s">
        <v>36</v>
      </c>
      <c r="AB1795" t="s">
        <v>36</v>
      </c>
      <c r="AC1795" t="s">
        <v>36</v>
      </c>
      <c r="AD1795" t="s">
        <v>36</v>
      </c>
      <c r="AE1795" t="s">
        <v>36</v>
      </c>
      <c r="AF1795" t="s">
        <v>36</v>
      </c>
      <c r="AG1795" t="s">
        <v>36</v>
      </c>
    </row>
    <row r="1796" spans="1:33" hidden="1" x14ac:dyDescent="0.2">
      <c r="A1796">
        <v>1795</v>
      </c>
      <c r="B1796" t="s">
        <v>531</v>
      </c>
      <c r="C1796" t="s">
        <v>108</v>
      </c>
      <c r="D1796">
        <v>32</v>
      </c>
      <c r="E1796" t="s">
        <v>34</v>
      </c>
      <c r="F1796" t="s">
        <v>38</v>
      </c>
      <c r="G1796" t="s">
        <v>40</v>
      </c>
      <c r="H1796">
        <v>46599</v>
      </c>
      <c r="I1796">
        <v>0</v>
      </c>
      <c r="J1796">
        <v>1</v>
      </c>
      <c r="K1796">
        <v>1</v>
      </c>
      <c r="L1796">
        <v>0</v>
      </c>
      <c r="M1796" t="s">
        <v>36</v>
      </c>
      <c r="N1796" t="s">
        <v>36</v>
      </c>
      <c r="O1796" t="s">
        <v>36</v>
      </c>
      <c r="P1796" t="s">
        <v>442</v>
      </c>
      <c r="Q1796" t="s">
        <v>36</v>
      </c>
      <c r="R1796" t="s">
        <v>36</v>
      </c>
      <c r="S1796" t="s">
        <v>36</v>
      </c>
      <c r="T1796" t="s">
        <v>36</v>
      </c>
      <c r="U1796" t="s">
        <v>36</v>
      </c>
      <c r="V1796" t="s">
        <v>36</v>
      </c>
      <c r="W1796" t="s">
        <v>36</v>
      </c>
      <c r="X1796" t="s">
        <v>36</v>
      </c>
      <c r="Y1796" t="s">
        <v>36</v>
      </c>
      <c r="Z1796" t="s">
        <v>36</v>
      </c>
      <c r="AA1796" t="s">
        <v>36</v>
      </c>
      <c r="AB1796" t="s">
        <v>36</v>
      </c>
      <c r="AC1796" t="s">
        <v>36</v>
      </c>
      <c r="AD1796" t="s">
        <v>36</v>
      </c>
      <c r="AE1796" t="s">
        <v>36</v>
      </c>
      <c r="AF1796" t="s">
        <v>36</v>
      </c>
      <c r="AG1796" t="s">
        <v>36</v>
      </c>
    </row>
    <row r="1797" spans="1:33" x14ac:dyDescent="0.2">
      <c r="A1797">
        <v>1796</v>
      </c>
      <c r="B1797" t="s">
        <v>531</v>
      </c>
      <c r="C1797" t="s">
        <v>108</v>
      </c>
      <c r="D1797">
        <v>32</v>
      </c>
      <c r="E1797" t="s">
        <v>34</v>
      </c>
      <c r="F1797" t="s">
        <v>41</v>
      </c>
      <c r="G1797" t="s">
        <v>72</v>
      </c>
      <c r="H1797">
        <v>49793</v>
      </c>
      <c r="I1797">
        <v>0</v>
      </c>
      <c r="J1797">
        <v>0</v>
      </c>
      <c r="K1797">
        <v>0</v>
      </c>
      <c r="L1797">
        <v>1</v>
      </c>
      <c r="M1797" t="s">
        <v>93</v>
      </c>
      <c r="N1797" t="s">
        <v>74</v>
      </c>
      <c r="O1797" t="s">
        <v>75</v>
      </c>
      <c r="P1797" t="s">
        <v>442</v>
      </c>
      <c r="Q1797" t="s">
        <v>59</v>
      </c>
      <c r="R1797" t="s">
        <v>47</v>
      </c>
      <c r="S1797" t="s">
        <v>46</v>
      </c>
      <c r="T1797">
        <v>0</v>
      </c>
      <c r="U1797">
        <v>0</v>
      </c>
      <c r="V1797">
        <v>0</v>
      </c>
      <c r="W1797">
        <v>1</v>
      </c>
      <c r="X1797">
        <v>1</v>
      </c>
      <c r="Y1797">
        <v>0</v>
      </c>
      <c r="Z1797">
        <v>1</v>
      </c>
      <c r="AA1797">
        <v>0</v>
      </c>
      <c r="AB1797">
        <v>0</v>
      </c>
      <c r="AC1797">
        <v>0</v>
      </c>
      <c r="AD1797">
        <v>0</v>
      </c>
      <c r="AE1797">
        <v>0</v>
      </c>
      <c r="AF1797">
        <v>0</v>
      </c>
      <c r="AG1797">
        <v>1</v>
      </c>
    </row>
    <row r="1798" spans="1:33" x14ac:dyDescent="0.2">
      <c r="A1798">
        <v>1797</v>
      </c>
      <c r="B1798" t="s">
        <v>531</v>
      </c>
      <c r="C1798" t="s">
        <v>108</v>
      </c>
      <c r="D1798">
        <v>32</v>
      </c>
      <c r="E1798" t="s">
        <v>34</v>
      </c>
      <c r="F1798" t="s">
        <v>41</v>
      </c>
      <c r="G1798" t="s">
        <v>67</v>
      </c>
      <c r="H1798">
        <v>74737</v>
      </c>
      <c r="I1798">
        <v>0</v>
      </c>
      <c r="J1798">
        <v>1</v>
      </c>
      <c r="K1798">
        <v>1</v>
      </c>
      <c r="L1798">
        <v>0</v>
      </c>
      <c r="M1798" t="s">
        <v>109</v>
      </c>
      <c r="N1798" t="s">
        <v>103</v>
      </c>
      <c r="O1798" t="s">
        <v>70</v>
      </c>
      <c r="P1798" t="s">
        <v>442</v>
      </c>
      <c r="Q1798" t="s">
        <v>59</v>
      </c>
      <c r="R1798" t="s">
        <v>60</v>
      </c>
      <c r="S1798" t="s">
        <v>47</v>
      </c>
      <c r="T1798">
        <v>1</v>
      </c>
      <c r="U1798">
        <v>0</v>
      </c>
      <c r="V1798">
        <v>0</v>
      </c>
      <c r="W1798">
        <v>1</v>
      </c>
      <c r="X1798">
        <v>0</v>
      </c>
      <c r="Y1798">
        <v>0</v>
      </c>
      <c r="Z1798">
        <v>1</v>
      </c>
      <c r="AA1798">
        <v>1</v>
      </c>
      <c r="AB1798">
        <v>0</v>
      </c>
      <c r="AC1798">
        <v>0</v>
      </c>
      <c r="AD1798">
        <v>1</v>
      </c>
      <c r="AE1798">
        <v>0</v>
      </c>
      <c r="AF1798">
        <v>0</v>
      </c>
      <c r="AG1798">
        <v>0</v>
      </c>
    </row>
    <row r="1799" spans="1:33" hidden="1" x14ac:dyDescent="0.2">
      <c r="A1799">
        <v>1798</v>
      </c>
      <c r="B1799" t="s">
        <v>531</v>
      </c>
      <c r="C1799" t="s">
        <v>108</v>
      </c>
      <c r="D1799">
        <v>32</v>
      </c>
      <c r="E1799" t="s">
        <v>34</v>
      </c>
      <c r="F1799" t="s">
        <v>53</v>
      </c>
      <c r="G1799" t="s">
        <v>66</v>
      </c>
      <c r="H1799">
        <v>24781</v>
      </c>
      <c r="I1799">
        <v>1</v>
      </c>
      <c r="J1799">
        <v>1</v>
      </c>
      <c r="K1799">
        <v>0</v>
      </c>
      <c r="L1799">
        <v>0</v>
      </c>
      <c r="M1799" t="s">
        <v>36</v>
      </c>
      <c r="N1799" t="s">
        <v>36</v>
      </c>
      <c r="O1799" t="s">
        <v>36</v>
      </c>
      <c r="P1799" t="s">
        <v>442</v>
      </c>
      <c r="Q1799" t="s">
        <v>36</v>
      </c>
      <c r="R1799" t="s">
        <v>36</v>
      </c>
      <c r="S1799" t="s">
        <v>36</v>
      </c>
      <c r="T1799" t="s">
        <v>36</v>
      </c>
      <c r="U1799">
        <v>0</v>
      </c>
      <c r="V1799">
        <v>0</v>
      </c>
      <c r="W1799">
        <v>1</v>
      </c>
      <c r="X1799">
        <v>0</v>
      </c>
      <c r="Y1799">
        <v>0</v>
      </c>
      <c r="Z1799">
        <v>1</v>
      </c>
      <c r="AA1799">
        <v>1</v>
      </c>
      <c r="AB1799">
        <v>0</v>
      </c>
      <c r="AC1799">
        <v>0</v>
      </c>
      <c r="AD1799">
        <v>1</v>
      </c>
      <c r="AE1799">
        <v>0</v>
      </c>
      <c r="AF1799">
        <v>0</v>
      </c>
      <c r="AG1799">
        <v>0</v>
      </c>
    </row>
    <row r="1800" spans="1:33" x14ac:dyDescent="0.2">
      <c r="A1800">
        <v>1799</v>
      </c>
      <c r="B1800" t="s">
        <v>531</v>
      </c>
      <c r="C1800" t="s">
        <v>108</v>
      </c>
      <c r="D1800">
        <v>32</v>
      </c>
      <c r="E1800" t="s">
        <v>34</v>
      </c>
      <c r="F1800" t="s">
        <v>41</v>
      </c>
      <c r="G1800" t="s">
        <v>49</v>
      </c>
      <c r="H1800">
        <v>33144</v>
      </c>
      <c r="I1800">
        <v>1</v>
      </c>
      <c r="J1800">
        <v>0</v>
      </c>
      <c r="K1800">
        <v>0</v>
      </c>
      <c r="L1800">
        <v>0</v>
      </c>
      <c r="M1800" t="s">
        <v>96</v>
      </c>
      <c r="N1800" t="s">
        <v>52</v>
      </c>
      <c r="O1800" t="s">
        <v>83</v>
      </c>
      <c r="P1800" t="s">
        <v>442</v>
      </c>
      <c r="Q1800" t="s">
        <v>65</v>
      </c>
      <c r="R1800" t="s">
        <v>46</v>
      </c>
      <c r="S1800" t="s">
        <v>59</v>
      </c>
      <c r="T1800">
        <v>0</v>
      </c>
      <c r="U1800">
        <v>1</v>
      </c>
      <c r="V1800">
        <v>0</v>
      </c>
      <c r="W1800">
        <v>0</v>
      </c>
      <c r="X1800">
        <v>1</v>
      </c>
      <c r="Y1800">
        <v>0</v>
      </c>
      <c r="Z1800">
        <v>1</v>
      </c>
      <c r="AA1800">
        <v>0</v>
      </c>
      <c r="AB1800">
        <v>1</v>
      </c>
      <c r="AC1800">
        <v>0</v>
      </c>
      <c r="AD1800">
        <v>0</v>
      </c>
      <c r="AE1800">
        <v>0</v>
      </c>
      <c r="AF1800">
        <v>0</v>
      </c>
      <c r="AG1800">
        <v>0</v>
      </c>
    </row>
    <row r="1801" spans="1:33" x14ac:dyDescent="0.2">
      <c r="A1801">
        <v>1800</v>
      </c>
      <c r="B1801" t="s">
        <v>531</v>
      </c>
      <c r="C1801" t="s">
        <v>108</v>
      </c>
      <c r="D1801">
        <v>32</v>
      </c>
      <c r="E1801" t="s">
        <v>34</v>
      </c>
      <c r="F1801" t="s">
        <v>41</v>
      </c>
      <c r="G1801" t="s">
        <v>61</v>
      </c>
      <c r="H1801">
        <v>21077</v>
      </c>
      <c r="I1801">
        <v>0</v>
      </c>
      <c r="J1801">
        <v>0</v>
      </c>
      <c r="K1801">
        <v>1</v>
      </c>
      <c r="L1801">
        <v>0</v>
      </c>
      <c r="M1801" t="s">
        <v>97</v>
      </c>
      <c r="N1801" t="s">
        <v>63</v>
      </c>
      <c r="O1801" t="s">
        <v>62</v>
      </c>
      <c r="P1801" t="s">
        <v>442</v>
      </c>
      <c r="Q1801" t="s">
        <v>59</v>
      </c>
      <c r="R1801" t="s">
        <v>46</v>
      </c>
      <c r="S1801" t="s">
        <v>65</v>
      </c>
      <c r="T1801">
        <v>0</v>
      </c>
      <c r="U1801">
        <v>1</v>
      </c>
      <c r="V1801">
        <v>0</v>
      </c>
      <c r="W1801">
        <v>0</v>
      </c>
      <c r="X1801">
        <v>1</v>
      </c>
      <c r="Y1801">
        <v>0</v>
      </c>
      <c r="Z1801">
        <v>1</v>
      </c>
      <c r="AA1801">
        <v>0</v>
      </c>
      <c r="AB1801">
        <v>1</v>
      </c>
      <c r="AC1801">
        <v>0</v>
      </c>
      <c r="AD1801">
        <v>0</v>
      </c>
      <c r="AE1801">
        <v>0</v>
      </c>
      <c r="AF1801">
        <v>0</v>
      </c>
      <c r="AG1801">
        <v>0</v>
      </c>
    </row>
    <row r="1802" spans="1:33" hidden="1" x14ac:dyDescent="0.2">
      <c r="A1802">
        <v>1801</v>
      </c>
      <c r="B1802" t="s">
        <v>531</v>
      </c>
      <c r="C1802" t="s">
        <v>108</v>
      </c>
      <c r="D1802">
        <v>32</v>
      </c>
      <c r="E1802" t="s">
        <v>34</v>
      </c>
      <c r="F1802" t="s">
        <v>53</v>
      </c>
      <c r="G1802" t="s">
        <v>71</v>
      </c>
      <c r="H1802">
        <v>31388</v>
      </c>
      <c r="I1802">
        <v>0</v>
      </c>
      <c r="J1802">
        <v>0</v>
      </c>
      <c r="K1802">
        <v>0</v>
      </c>
      <c r="L1802">
        <v>1</v>
      </c>
      <c r="M1802" t="s">
        <v>36</v>
      </c>
      <c r="N1802" t="s">
        <v>36</v>
      </c>
      <c r="O1802" t="s">
        <v>36</v>
      </c>
      <c r="P1802" t="s">
        <v>442</v>
      </c>
      <c r="Q1802" t="s">
        <v>36</v>
      </c>
      <c r="R1802" t="s">
        <v>36</v>
      </c>
      <c r="S1802" t="s">
        <v>36</v>
      </c>
      <c r="T1802" t="s">
        <v>36</v>
      </c>
      <c r="U1802">
        <v>1</v>
      </c>
      <c r="V1802">
        <v>0</v>
      </c>
      <c r="W1802">
        <v>0</v>
      </c>
      <c r="X1802">
        <v>1</v>
      </c>
      <c r="Y1802">
        <v>0</v>
      </c>
      <c r="Z1802">
        <v>1</v>
      </c>
      <c r="AA1802">
        <v>0</v>
      </c>
      <c r="AB1802">
        <v>1</v>
      </c>
      <c r="AC1802">
        <v>0</v>
      </c>
      <c r="AD1802">
        <v>0</v>
      </c>
      <c r="AE1802">
        <v>0</v>
      </c>
      <c r="AF1802">
        <v>0</v>
      </c>
      <c r="AG1802">
        <v>0</v>
      </c>
    </row>
    <row r="1803" spans="1:33" x14ac:dyDescent="0.2">
      <c r="A1803">
        <v>1802</v>
      </c>
      <c r="B1803" t="s">
        <v>531</v>
      </c>
      <c r="C1803" t="s">
        <v>108</v>
      </c>
      <c r="D1803">
        <v>32</v>
      </c>
      <c r="E1803" t="s">
        <v>34</v>
      </c>
      <c r="F1803" t="s">
        <v>41</v>
      </c>
      <c r="G1803" t="s">
        <v>42</v>
      </c>
      <c r="H1803">
        <v>20181</v>
      </c>
      <c r="I1803">
        <v>1</v>
      </c>
      <c r="J1803">
        <v>1</v>
      </c>
      <c r="K1803">
        <v>0</v>
      </c>
      <c r="L1803">
        <v>0</v>
      </c>
      <c r="M1803" t="s">
        <v>82</v>
      </c>
      <c r="N1803" t="s">
        <v>44</v>
      </c>
      <c r="O1803" t="s">
        <v>43</v>
      </c>
      <c r="P1803" t="s">
        <v>442</v>
      </c>
      <c r="Q1803" t="s">
        <v>65</v>
      </c>
      <c r="R1803" t="s">
        <v>47</v>
      </c>
      <c r="S1803" t="s">
        <v>46</v>
      </c>
      <c r="T1803">
        <v>0</v>
      </c>
      <c r="U1803">
        <v>1</v>
      </c>
      <c r="V1803">
        <v>0</v>
      </c>
      <c r="W1803">
        <v>1</v>
      </c>
      <c r="X1803">
        <v>1</v>
      </c>
      <c r="Y1803">
        <v>0</v>
      </c>
      <c r="Z1803">
        <v>1</v>
      </c>
      <c r="AA1803">
        <v>0</v>
      </c>
      <c r="AB1803">
        <v>1</v>
      </c>
      <c r="AC1803">
        <v>0</v>
      </c>
      <c r="AD1803">
        <v>1</v>
      </c>
      <c r="AE1803">
        <v>0</v>
      </c>
      <c r="AF1803">
        <v>0</v>
      </c>
      <c r="AG1803">
        <v>0</v>
      </c>
    </row>
    <row r="1804" spans="1:33" hidden="1" x14ac:dyDescent="0.2">
      <c r="A1804">
        <v>1803</v>
      </c>
      <c r="B1804" t="s">
        <v>531</v>
      </c>
      <c r="C1804" t="s">
        <v>108</v>
      </c>
      <c r="D1804">
        <v>32</v>
      </c>
      <c r="E1804" t="s">
        <v>34</v>
      </c>
      <c r="F1804" t="s">
        <v>53</v>
      </c>
      <c r="G1804" t="s">
        <v>54</v>
      </c>
      <c r="H1804">
        <v>41000</v>
      </c>
      <c r="I1804">
        <v>0</v>
      </c>
      <c r="J1804">
        <v>1</v>
      </c>
      <c r="K1804">
        <v>1</v>
      </c>
      <c r="L1804">
        <v>0</v>
      </c>
      <c r="M1804" t="s">
        <v>36</v>
      </c>
      <c r="N1804" t="s">
        <v>36</v>
      </c>
      <c r="O1804" t="s">
        <v>36</v>
      </c>
      <c r="P1804" t="s">
        <v>442</v>
      </c>
      <c r="Q1804" t="s">
        <v>36</v>
      </c>
      <c r="R1804" t="s">
        <v>36</v>
      </c>
      <c r="S1804" t="s">
        <v>36</v>
      </c>
      <c r="T1804" t="s">
        <v>36</v>
      </c>
      <c r="U1804">
        <v>1</v>
      </c>
      <c r="V1804">
        <v>0</v>
      </c>
      <c r="W1804">
        <v>1</v>
      </c>
      <c r="X1804">
        <v>1</v>
      </c>
      <c r="Y1804">
        <v>0</v>
      </c>
      <c r="Z1804">
        <v>1</v>
      </c>
      <c r="AA1804">
        <v>0</v>
      </c>
      <c r="AB1804">
        <v>1</v>
      </c>
      <c r="AC1804">
        <v>0</v>
      </c>
      <c r="AD1804">
        <v>1</v>
      </c>
      <c r="AE1804">
        <v>0</v>
      </c>
      <c r="AF1804">
        <v>0</v>
      </c>
      <c r="AG1804">
        <v>0</v>
      </c>
    </row>
    <row r="1805" spans="1:33" x14ac:dyDescent="0.2">
      <c r="A1805">
        <v>1804</v>
      </c>
      <c r="B1805" t="s">
        <v>531</v>
      </c>
      <c r="C1805" t="s">
        <v>108</v>
      </c>
      <c r="D1805">
        <v>32</v>
      </c>
      <c r="E1805" t="s">
        <v>34</v>
      </c>
      <c r="F1805" t="s">
        <v>41</v>
      </c>
      <c r="G1805" t="s">
        <v>55</v>
      </c>
      <c r="H1805">
        <v>23652</v>
      </c>
      <c r="I1805">
        <v>1</v>
      </c>
      <c r="J1805">
        <v>0</v>
      </c>
      <c r="K1805">
        <v>1</v>
      </c>
      <c r="L1805">
        <v>0</v>
      </c>
      <c r="M1805" t="s">
        <v>58</v>
      </c>
      <c r="N1805" t="s">
        <v>57</v>
      </c>
      <c r="O1805" t="s">
        <v>85</v>
      </c>
      <c r="P1805" t="s">
        <v>442</v>
      </c>
      <c r="Q1805" t="s">
        <v>60</v>
      </c>
      <c r="R1805" t="s">
        <v>48</v>
      </c>
      <c r="S1805" t="s">
        <v>65</v>
      </c>
      <c r="T1805">
        <v>1</v>
      </c>
      <c r="U1805">
        <v>1</v>
      </c>
      <c r="V1805">
        <v>1</v>
      </c>
      <c r="W1805">
        <v>0</v>
      </c>
      <c r="X1805">
        <v>0</v>
      </c>
      <c r="Y1805">
        <v>0</v>
      </c>
      <c r="Z1805">
        <v>1</v>
      </c>
      <c r="AA1805">
        <v>1</v>
      </c>
      <c r="AB1805">
        <v>1</v>
      </c>
      <c r="AC1805">
        <v>0</v>
      </c>
      <c r="AD1805">
        <v>0</v>
      </c>
      <c r="AE1805">
        <v>0</v>
      </c>
      <c r="AF1805">
        <v>0</v>
      </c>
      <c r="AG1805">
        <v>0</v>
      </c>
    </row>
    <row r="1806" spans="1:33" hidden="1" x14ac:dyDescent="0.2">
      <c r="A1806">
        <v>1805</v>
      </c>
      <c r="B1806" t="s">
        <v>531</v>
      </c>
      <c r="C1806" t="s">
        <v>108</v>
      </c>
      <c r="D1806">
        <v>32</v>
      </c>
      <c r="E1806" t="s">
        <v>34</v>
      </c>
      <c r="F1806" t="s">
        <v>53</v>
      </c>
      <c r="G1806" t="s">
        <v>76</v>
      </c>
      <c r="H1806">
        <v>22279</v>
      </c>
      <c r="I1806">
        <v>1</v>
      </c>
      <c r="J1806">
        <v>0</v>
      </c>
      <c r="K1806">
        <v>0</v>
      </c>
      <c r="L1806">
        <v>0</v>
      </c>
      <c r="M1806" t="s">
        <v>36</v>
      </c>
      <c r="N1806" t="s">
        <v>36</v>
      </c>
      <c r="O1806" t="s">
        <v>36</v>
      </c>
      <c r="P1806" t="s">
        <v>442</v>
      </c>
      <c r="Q1806" t="s">
        <v>36</v>
      </c>
      <c r="R1806" t="s">
        <v>36</v>
      </c>
      <c r="S1806" t="s">
        <v>36</v>
      </c>
      <c r="T1806" t="s">
        <v>36</v>
      </c>
      <c r="U1806">
        <v>1</v>
      </c>
      <c r="V1806">
        <v>1</v>
      </c>
      <c r="W1806">
        <v>0</v>
      </c>
      <c r="X1806">
        <v>0</v>
      </c>
      <c r="Y1806">
        <v>0</v>
      </c>
      <c r="Z1806">
        <v>1</v>
      </c>
      <c r="AA1806">
        <v>1</v>
      </c>
      <c r="AB1806">
        <v>1</v>
      </c>
      <c r="AC1806">
        <v>0</v>
      </c>
      <c r="AD1806">
        <v>0</v>
      </c>
      <c r="AE1806">
        <v>0</v>
      </c>
      <c r="AF1806">
        <v>0</v>
      </c>
      <c r="AG1806">
        <v>0</v>
      </c>
    </row>
    <row r="1807" spans="1:33" hidden="1" x14ac:dyDescent="0.2">
      <c r="A1807">
        <v>1806</v>
      </c>
      <c r="B1807" t="s">
        <v>531</v>
      </c>
      <c r="C1807" t="s">
        <v>108</v>
      </c>
      <c r="D1807">
        <v>32</v>
      </c>
      <c r="E1807" t="s">
        <v>34</v>
      </c>
      <c r="F1807" t="s">
        <v>77</v>
      </c>
      <c r="G1807" t="s">
        <v>36</v>
      </c>
      <c r="H1807">
        <v>106748</v>
      </c>
      <c r="I1807" t="s">
        <v>532</v>
      </c>
      <c r="J1807" t="s">
        <v>533</v>
      </c>
      <c r="K1807" t="s">
        <v>162</v>
      </c>
      <c r="L1807" t="s">
        <v>36</v>
      </c>
      <c r="M1807" t="s">
        <v>36</v>
      </c>
      <c r="N1807" t="s">
        <v>36</v>
      </c>
      <c r="O1807" t="s">
        <v>36</v>
      </c>
      <c r="P1807" t="s">
        <v>442</v>
      </c>
      <c r="Q1807" t="s">
        <v>36</v>
      </c>
      <c r="R1807" t="s">
        <v>36</v>
      </c>
      <c r="S1807" t="s">
        <v>36</v>
      </c>
      <c r="T1807" t="s">
        <v>36</v>
      </c>
      <c r="U1807" t="s">
        <v>36</v>
      </c>
      <c r="V1807" t="s">
        <v>36</v>
      </c>
      <c r="W1807" t="s">
        <v>36</v>
      </c>
      <c r="X1807" t="s">
        <v>36</v>
      </c>
      <c r="Y1807" t="s">
        <v>36</v>
      </c>
      <c r="Z1807" t="s">
        <v>36</v>
      </c>
      <c r="AA1807" t="s">
        <v>36</v>
      </c>
      <c r="AB1807" t="s">
        <v>36</v>
      </c>
      <c r="AC1807" t="s">
        <v>36</v>
      </c>
      <c r="AD1807" t="s">
        <v>36</v>
      </c>
      <c r="AE1807" t="s">
        <v>36</v>
      </c>
      <c r="AF1807" t="s">
        <v>36</v>
      </c>
      <c r="AG1807" t="s">
        <v>36</v>
      </c>
    </row>
    <row r="1808" spans="1:33" hidden="1" x14ac:dyDescent="0.2">
      <c r="A1808">
        <v>1807</v>
      </c>
      <c r="B1808" t="s">
        <v>534</v>
      </c>
      <c r="C1808" t="s">
        <v>108</v>
      </c>
      <c r="D1808">
        <v>34</v>
      </c>
      <c r="E1808" t="s">
        <v>34</v>
      </c>
      <c r="F1808" t="s">
        <v>35</v>
      </c>
      <c r="G1808" t="s">
        <v>36</v>
      </c>
      <c r="H1808">
        <v>21175</v>
      </c>
      <c r="I1808" t="s">
        <v>36</v>
      </c>
      <c r="J1808" t="s">
        <v>36</v>
      </c>
      <c r="K1808" t="s">
        <v>36</v>
      </c>
      <c r="L1808" t="s">
        <v>36</v>
      </c>
      <c r="M1808" t="s">
        <v>36</v>
      </c>
      <c r="N1808" t="s">
        <v>36</v>
      </c>
      <c r="O1808" t="s">
        <v>36</v>
      </c>
      <c r="P1808" t="s">
        <v>442</v>
      </c>
      <c r="Q1808" t="s">
        <v>36</v>
      </c>
      <c r="R1808" t="s">
        <v>36</v>
      </c>
      <c r="S1808" t="s">
        <v>36</v>
      </c>
      <c r="T1808" t="s">
        <v>36</v>
      </c>
      <c r="U1808" t="s">
        <v>36</v>
      </c>
      <c r="V1808" t="s">
        <v>36</v>
      </c>
      <c r="W1808" t="s">
        <v>36</v>
      </c>
      <c r="X1808" t="s">
        <v>36</v>
      </c>
      <c r="Y1808" t="s">
        <v>36</v>
      </c>
      <c r="Z1808" t="s">
        <v>36</v>
      </c>
      <c r="AA1808" t="s">
        <v>36</v>
      </c>
      <c r="AB1808" t="s">
        <v>36</v>
      </c>
      <c r="AC1808" t="s">
        <v>36</v>
      </c>
      <c r="AD1808" t="s">
        <v>36</v>
      </c>
      <c r="AE1808" t="s">
        <v>36</v>
      </c>
      <c r="AF1808" t="s">
        <v>36</v>
      </c>
      <c r="AG1808" t="s">
        <v>36</v>
      </c>
    </row>
    <row r="1809" spans="1:33" hidden="1" x14ac:dyDescent="0.2">
      <c r="A1809">
        <v>1808</v>
      </c>
      <c r="B1809" t="s">
        <v>534</v>
      </c>
      <c r="C1809" t="s">
        <v>108</v>
      </c>
      <c r="D1809">
        <v>34</v>
      </c>
      <c r="E1809" t="s">
        <v>34</v>
      </c>
      <c r="F1809" t="s">
        <v>38</v>
      </c>
      <c r="G1809" t="s">
        <v>40</v>
      </c>
      <c r="H1809">
        <v>52992</v>
      </c>
      <c r="I1809">
        <v>0</v>
      </c>
      <c r="J1809">
        <v>0</v>
      </c>
      <c r="K1809">
        <v>1</v>
      </c>
      <c r="L1809">
        <v>0</v>
      </c>
      <c r="M1809" t="s">
        <v>36</v>
      </c>
      <c r="N1809" t="s">
        <v>36</v>
      </c>
      <c r="O1809" t="s">
        <v>36</v>
      </c>
      <c r="P1809" t="s">
        <v>442</v>
      </c>
      <c r="Q1809" t="s">
        <v>36</v>
      </c>
      <c r="R1809" t="s">
        <v>36</v>
      </c>
      <c r="S1809" t="s">
        <v>36</v>
      </c>
      <c r="T1809" t="s">
        <v>36</v>
      </c>
      <c r="U1809" t="s">
        <v>36</v>
      </c>
      <c r="V1809" t="s">
        <v>36</v>
      </c>
      <c r="W1809" t="s">
        <v>36</v>
      </c>
      <c r="X1809" t="s">
        <v>36</v>
      </c>
      <c r="Y1809" t="s">
        <v>36</v>
      </c>
      <c r="Z1809" t="s">
        <v>36</v>
      </c>
      <c r="AA1809" t="s">
        <v>36</v>
      </c>
      <c r="AB1809" t="s">
        <v>36</v>
      </c>
      <c r="AC1809" t="s">
        <v>36</v>
      </c>
      <c r="AD1809" t="s">
        <v>36</v>
      </c>
      <c r="AE1809" t="s">
        <v>36</v>
      </c>
      <c r="AF1809" t="s">
        <v>36</v>
      </c>
      <c r="AG1809" t="s">
        <v>36</v>
      </c>
    </row>
    <row r="1810" spans="1:33" hidden="1" x14ac:dyDescent="0.2">
      <c r="A1810">
        <v>1809</v>
      </c>
      <c r="B1810" t="s">
        <v>534</v>
      </c>
      <c r="C1810" t="s">
        <v>108</v>
      </c>
      <c r="D1810">
        <v>34</v>
      </c>
      <c r="E1810" t="s">
        <v>34</v>
      </c>
      <c r="F1810" t="s">
        <v>38</v>
      </c>
      <c r="G1810" t="s">
        <v>39</v>
      </c>
      <c r="H1810">
        <v>66176</v>
      </c>
      <c r="I1810">
        <v>0</v>
      </c>
      <c r="J1810">
        <v>0</v>
      </c>
      <c r="K1810">
        <v>0</v>
      </c>
      <c r="L1810">
        <v>1</v>
      </c>
      <c r="M1810" t="s">
        <v>36</v>
      </c>
      <c r="N1810" t="s">
        <v>36</v>
      </c>
      <c r="O1810" t="s">
        <v>36</v>
      </c>
      <c r="P1810" t="s">
        <v>442</v>
      </c>
      <c r="Q1810" t="s">
        <v>36</v>
      </c>
      <c r="R1810" t="s">
        <v>36</v>
      </c>
      <c r="S1810" t="s">
        <v>36</v>
      </c>
      <c r="T1810" t="s">
        <v>36</v>
      </c>
      <c r="U1810" t="s">
        <v>36</v>
      </c>
      <c r="V1810" t="s">
        <v>36</v>
      </c>
      <c r="W1810" t="s">
        <v>36</v>
      </c>
      <c r="X1810" t="s">
        <v>36</v>
      </c>
      <c r="Y1810" t="s">
        <v>36</v>
      </c>
      <c r="Z1810" t="s">
        <v>36</v>
      </c>
      <c r="AA1810" t="s">
        <v>36</v>
      </c>
      <c r="AB1810" t="s">
        <v>36</v>
      </c>
      <c r="AC1810" t="s">
        <v>36</v>
      </c>
      <c r="AD1810" t="s">
        <v>36</v>
      </c>
      <c r="AE1810" t="s">
        <v>36</v>
      </c>
      <c r="AF1810" t="s">
        <v>36</v>
      </c>
      <c r="AG1810" t="s">
        <v>36</v>
      </c>
    </row>
    <row r="1811" spans="1:33" x14ac:dyDescent="0.2">
      <c r="A1811">
        <v>1810</v>
      </c>
      <c r="B1811" t="s">
        <v>534</v>
      </c>
      <c r="C1811" t="s">
        <v>108</v>
      </c>
      <c r="D1811">
        <v>34</v>
      </c>
      <c r="E1811" t="s">
        <v>34</v>
      </c>
      <c r="F1811" t="s">
        <v>41</v>
      </c>
      <c r="G1811" t="s">
        <v>55</v>
      </c>
      <c r="H1811">
        <v>82567</v>
      </c>
      <c r="I1811">
        <v>1</v>
      </c>
      <c r="J1811">
        <v>1</v>
      </c>
      <c r="K1811">
        <v>1</v>
      </c>
      <c r="L1811">
        <v>0</v>
      </c>
      <c r="M1811" t="s">
        <v>57</v>
      </c>
      <c r="N1811" t="s">
        <v>84</v>
      </c>
      <c r="O1811" t="s">
        <v>94</v>
      </c>
      <c r="P1811" t="s">
        <v>442</v>
      </c>
      <c r="Q1811" t="s">
        <v>48</v>
      </c>
      <c r="R1811" t="s">
        <v>46</v>
      </c>
      <c r="S1811" t="s">
        <v>47</v>
      </c>
      <c r="T1811">
        <v>0</v>
      </c>
      <c r="U1811">
        <v>0</v>
      </c>
      <c r="V1811">
        <v>1</v>
      </c>
      <c r="W1811">
        <v>1</v>
      </c>
      <c r="X1811">
        <v>1</v>
      </c>
      <c r="Y1811">
        <v>0</v>
      </c>
      <c r="Z1811">
        <v>1</v>
      </c>
      <c r="AA1811">
        <v>0</v>
      </c>
      <c r="AB1811">
        <v>0</v>
      </c>
      <c r="AC1811">
        <v>1</v>
      </c>
      <c r="AD1811">
        <v>1</v>
      </c>
      <c r="AE1811">
        <v>1</v>
      </c>
      <c r="AF1811">
        <v>0</v>
      </c>
      <c r="AG1811">
        <v>0</v>
      </c>
    </row>
    <row r="1812" spans="1:33" x14ac:dyDescent="0.2">
      <c r="A1812">
        <v>1811</v>
      </c>
      <c r="B1812" t="s">
        <v>534</v>
      </c>
      <c r="C1812" t="s">
        <v>108</v>
      </c>
      <c r="D1812">
        <v>34</v>
      </c>
      <c r="E1812" t="s">
        <v>34</v>
      </c>
      <c r="F1812" t="s">
        <v>41</v>
      </c>
      <c r="G1812" t="s">
        <v>49</v>
      </c>
      <c r="H1812">
        <v>96553</v>
      </c>
      <c r="I1812">
        <v>0</v>
      </c>
      <c r="J1812">
        <v>0</v>
      </c>
      <c r="K1812">
        <v>0</v>
      </c>
      <c r="L1812">
        <v>1</v>
      </c>
      <c r="M1812" t="s">
        <v>96</v>
      </c>
      <c r="N1812" t="s">
        <v>50</v>
      </c>
      <c r="O1812" t="s">
        <v>51</v>
      </c>
      <c r="P1812" t="s">
        <v>442</v>
      </c>
      <c r="Q1812" t="s">
        <v>65</v>
      </c>
      <c r="R1812" t="s">
        <v>48</v>
      </c>
      <c r="S1812" t="s">
        <v>47</v>
      </c>
      <c r="T1812">
        <v>0</v>
      </c>
      <c r="U1812">
        <v>1</v>
      </c>
      <c r="V1812">
        <v>1</v>
      </c>
      <c r="W1812">
        <v>1</v>
      </c>
      <c r="X1812">
        <v>0</v>
      </c>
      <c r="Y1812">
        <v>0</v>
      </c>
      <c r="Z1812">
        <v>1</v>
      </c>
      <c r="AA1812">
        <v>0</v>
      </c>
      <c r="AB1812">
        <v>0</v>
      </c>
      <c r="AC1812">
        <v>0</v>
      </c>
      <c r="AD1812">
        <v>0</v>
      </c>
      <c r="AE1812">
        <v>0</v>
      </c>
      <c r="AF1812">
        <v>0</v>
      </c>
      <c r="AG1812">
        <v>1</v>
      </c>
    </row>
    <row r="1813" spans="1:33" hidden="1" x14ac:dyDescent="0.2">
      <c r="A1813">
        <v>1812</v>
      </c>
      <c r="B1813" t="s">
        <v>534</v>
      </c>
      <c r="C1813" t="s">
        <v>108</v>
      </c>
      <c r="D1813">
        <v>34</v>
      </c>
      <c r="E1813" t="s">
        <v>34</v>
      </c>
      <c r="F1813" t="s">
        <v>53</v>
      </c>
      <c r="G1813" t="s">
        <v>71</v>
      </c>
      <c r="H1813">
        <v>54799</v>
      </c>
      <c r="I1813">
        <v>0</v>
      </c>
      <c r="J1813">
        <v>0</v>
      </c>
      <c r="K1813">
        <v>0</v>
      </c>
      <c r="L1813">
        <v>1</v>
      </c>
      <c r="M1813" t="s">
        <v>36</v>
      </c>
      <c r="N1813" t="s">
        <v>36</v>
      </c>
      <c r="O1813" t="s">
        <v>36</v>
      </c>
      <c r="P1813" t="s">
        <v>442</v>
      </c>
      <c r="Q1813" t="s">
        <v>36</v>
      </c>
      <c r="R1813" t="s">
        <v>36</v>
      </c>
      <c r="S1813" t="s">
        <v>36</v>
      </c>
      <c r="T1813" t="s">
        <v>36</v>
      </c>
      <c r="U1813">
        <v>1</v>
      </c>
      <c r="V1813">
        <v>1</v>
      </c>
      <c r="W1813">
        <v>1</v>
      </c>
      <c r="X1813">
        <v>0</v>
      </c>
      <c r="Y1813">
        <v>0</v>
      </c>
      <c r="Z1813">
        <v>1</v>
      </c>
      <c r="AA1813">
        <v>0</v>
      </c>
      <c r="AB1813">
        <v>0</v>
      </c>
      <c r="AC1813">
        <v>0</v>
      </c>
      <c r="AD1813">
        <v>0</v>
      </c>
      <c r="AE1813">
        <v>0</v>
      </c>
      <c r="AF1813">
        <v>0</v>
      </c>
      <c r="AG1813">
        <v>1</v>
      </c>
    </row>
    <row r="1814" spans="1:33" x14ac:dyDescent="0.2">
      <c r="A1814">
        <v>1813</v>
      </c>
      <c r="B1814" t="s">
        <v>534</v>
      </c>
      <c r="C1814" t="s">
        <v>108</v>
      </c>
      <c r="D1814">
        <v>34</v>
      </c>
      <c r="E1814" t="s">
        <v>34</v>
      </c>
      <c r="F1814" t="s">
        <v>41</v>
      </c>
      <c r="G1814" t="s">
        <v>67</v>
      </c>
      <c r="H1814">
        <v>61842</v>
      </c>
      <c r="I1814">
        <v>1</v>
      </c>
      <c r="J1814">
        <v>1</v>
      </c>
      <c r="K1814">
        <v>1</v>
      </c>
      <c r="L1814">
        <v>0</v>
      </c>
      <c r="M1814" t="s">
        <v>69</v>
      </c>
      <c r="N1814" t="s">
        <v>70</v>
      </c>
      <c r="O1814" t="s">
        <v>103</v>
      </c>
      <c r="P1814" t="s">
        <v>442</v>
      </c>
      <c r="Q1814" t="s">
        <v>48</v>
      </c>
      <c r="R1814" t="s">
        <v>47</v>
      </c>
      <c r="S1814" t="s">
        <v>60</v>
      </c>
      <c r="T1814">
        <v>1</v>
      </c>
      <c r="U1814">
        <v>0</v>
      </c>
      <c r="V1814">
        <v>1</v>
      </c>
      <c r="W1814">
        <v>1</v>
      </c>
      <c r="X1814">
        <v>0</v>
      </c>
      <c r="Y1814">
        <v>0</v>
      </c>
      <c r="Z1814">
        <v>1</v>
      </c>
      <c r="AA1814">
        <v>1</v>
      </c>
      <c r="AB1814">
        <v>0</v>
      </c>
      <c r="AC1814">
        <v>1</v>
      </c>
      <c r="AD1814">
        <v>1</v>
      </c>
      <c r="AE1814">
        <v>0</v>
      </c>
      <c r="AF1814">
        <v>0</v>
      </c>
      <c r="AG1814">
        <v>0</v>
      </c>
    </row>
    <row r="1815" spans="1:33" hidden="1" x14ac:dyDescent="0.2">
      <c r="A1815">
        <v>1814</v>
      </c>
      <c r="B1815" t="s">
        <v>534</v>
      </c>
      <c r="C1815" t="s">
        <v>108</v>
      </c>
      <c r="D1815">
        <v>34</v>
      </c>
      <c r="E1815" t="s">
        <v>34</v>
      </c>
      <c r="F1815" t="s">
        <v>53</v>
      </c>
      <c r="G1815" t="s">
        <v>54</v>
      </c>
      <c r="H1815">
        <v>86253</v>
      </c>
      <c r="I1815">
        <v>1</v>
      </c>
      <c r="J1815">
        <v>1</v>
      </c>
      <c r="K1815">
        <v>1</v>
      </c>
      <c r="L1815">
        <v>0</v>
      </c>
      <c r="M1815" t="s">
        <v>36</v>
      </c>
      <c r="N1815" t="s">
        <v>36</v>
      </c>
      <c r="O1815" t="s">
        <v>36</v>
      </c>
      <c r="P1815" t="s">
        <v>442</v>
      </c>
      <c r="Q1815" t="s">
        <v>36</v>
      </c>
      <c r="R1815" t="s">
        <v>36</v>
      </c>
      <c r="S1815" t="s">
        <v>36</v>
      </c>
      <c r="T1815" t="s">
        <v>36</v>
      </c>
      <c r="U1815">
        <v>0</v>
      </c>
      <c r="V1815">
        <v>1</v>
      </c>
      <c r="W1815">
        <v>1</v>
      </c>
      <c r="X1815">
        <v>0</v>
      </c>
      <c r="Y1815">
        <v>0</v>
      </c>
      <c r="Z1815">
        <v>1</v>
      </c>
      <c r="AA1815">
        <v>1</v>
      </c>
      <c r="AB1815">
        <v>0</v>
      </c>
      <c r="AC1815">
        <v>1</v>
      </c>
      <c r="AD1815">
        <v>1</v>
      </c>
      <c r="AE1815">
        <v>0</v>
      </c>
      <c r="AF1815">
        <v>0</v>
      </c>
      <c r="AG1815">
        <v>0</v>
      </c>
    </row>
    <row r="1816" spans="1:33" x14ac:dyDescent="0.2">
      <c r="A1816">
        <v>1815</v>
      </c>
      <c r="B1816" t="s">
        <v>534</v>
      </c>
      <c r="C1816" t="s">
        <v>108</v>
      </c>
      <c r="D1816">
        <v>34</v>
      </c>
      <c r="E1816" t="s">
        <v>34</v>
      </c>
      <c r="F1816" t="s">
        <v>41</v>
      </c>
      <c r="G1816" t="s">
        <v>72</v>
      </c>
      <c r="H1816">
        <v>16290</v>
      </c>
      <c r="I1816">
        <v>0</v>
      </c>
      <c r="J1816">
        <v>0</v>
      </c>
      <c r="K1816">
        <v>0</v>
      </c>
      <c r="L1816">
        <v>1</v>
      </c>
      <c r="M1816" t="s">
        <v>73</v>
      </c>
      <c r="N1816" t="s">
        <v>115</v>
      </c>
      <c r="O1816" t="s">
        <v>74</v>
      </c>
      <c r="P1816" t="s">
        <v>442</v>
      </c>
      <c r="Q1816" t="s">
        <v>48</v>
      </c>
      <c r="R1816" t="s">
        <v>65</v>
      </c>
      <c r="S1816" t="s">
        <v>47</v>
      </c>
      <c r="T1816">
        <v>0</v>
      </c>
      <c r="U1816">
        <v>1</v>
      </c>
      <c r="V1816">
        <v>1</v>
      </c>
      <c r="W1816">
        <v>1</v>
      </c>
      <c r="X1816">
        <v>0</v>
      </c>
      <c r="Y1816">
        <v>0</v>
      </c>
      <c r="Z1816">
        <v>1</v>
      </c>
      <c r="AA1816">
        <v>0</v>
      </c>
      <c r="AB1816">
        <v>0</v>
      </c>
      <c r="AC1816">
        <v>0</v>
      </c>
      <c r="AD1816">
        <v>0</v>
      </c>
      <c r="AE1816">
        <v>0</v>
      </c>
      <c r="AF1816">
        <v>0</v>
      </c>
      <c r="AG1816">
        <v>1</v>
      </c>
    </row>
    <row r="1817" spans="1:33" x14ac:dyDescent="0.2">
      <c r="A1817">
        <v>1816</v>
      </c>
      <c r="B1817" t="s">
        <v>534</v>
      </c>
      <c r="C1817" t="s">
        <v>108</v>
      </c>
      <c r="D1817">
        <v>34</v>
      </c>
      <c r="E1817" t="s">
        <v>34</v>
      </c>
      <c r="F1817" t="s">
        <v>41</v>
      </c>
      <c r="G1817" t="s">
        <v>42</v>
      </c>
      <c r="H1817">
        <v>13459</v>
      </c>
      <c r="I1817">
        <v>1</v>
      </c>
      <c r="J1817">
        <v>1</v>
      </c>
      <c r="K1817">
        <v>1</v>
      </c>
      <c r="L1817">
        <v>0</v>
      </c>
      <c r="M1817" t="s">
        <v>45</v>
      </c>
      <c r="N1817" t="s">
        <v>43</v>
      </c>
      <c r="O1817" t="s">
        <v>82</v>
      </c>
      <c r="P1817" t="s">
        <v>442</v>
      </c>
      <c r="Q1817" t="s">
        <v>48</v>
      </c>
      <c r="R1817" t="s">
        <v>46</v>
      </c>
      <c r="S1817" t="s">
        <v>65</v>
      </c>
      <c r="T1817">
        <v>0</v>
      </c>
      <c r="U1817">
        <v>1</v>
      </c>
      <c r="V1817">
        <v>1</v>
      </c>
      <c r="W1817">
        <v>0</v>
      </c>
      <c r="X1817">
        <v>1</v>
      </c>
      <c r="Y1817">
        <v>0</v>
      </c>
      <c r="Z1817">
        <v>1</v>
      </c>
      <c r="AA1817">
        <v>0</v>
      </c>
      <c r="AB1817">
        <v>1</v>
      </c>
      <c r="AC1817">
        <v>1</v>
      </c>
      <c r="AD1817">
        <v>0</v>
      </c>
      <c r="AE1817">
        <v>1</v>
      </c>
      <c r="AF1817">
        <v>0</v>
      </c>
      <c r="AG1817">
        <v>0</v>
      </c>
    </row>
    <row r="1818" spans="1:33" hidden="1" x14ac:dyDescent="0.2">
      <c r="A1818">
        <v>1817</v>
      </c>
      <c r="B1818" t="s">
        <v>534</v>
      </c>
      <c r="C1818" t="s">
        <v>108</v>
      </c>
      <c r="D1818">
        <v>34</v>
      </c>
      <c r="E1818" t="s">
        <v>34</v>
      </c>
      <c r="F1818" t="s">
        <v>53</v>
      </c>
      <c r="G1818" t="s">
        <v>76</v>
      </c>
      <c r="H1818">
        <v>19302</v>
      </c>
      <c r="I1818">
        <v>0</v>
      </c>
      <c r="J1818">
        <v>1</v>
      </c>
      <c r="K1818">
        <v>0</v>
      </c>
      <c r="L1818">
        <v>0</v>
      </c>
      <c r="M1818" t="s">
        <v>36</v>
      </c>
      <c r="N1818" t="s">
        <v>36</v>
      </c>
      <c r="O1818" t="s">
        <v>36</v>
      </c>
      <c r="P1818" t="s">
        <v>442</v>
      </c>
      <c r="Q1818" t="s">
        <v>36</v>
      </c>
      <c r="R1818" t="s">
        <v>36</v>
      </c>
      <c r="S1818" t="s">
        <v>36</v>
      </c>
      <c r="T1818" t="s">
        <v>36</v>
      </c>
      <c r="U1818">
        <v>1</v>
      </c>
      <c r="V1818">
        <v>1</v>
      </c>
      <c r="W1818">
        <v>0</v>
      </c>
      <c r="X1818">
        <v>1</v>
      </c>
      <c r="Y1818">
        <v>0</v>
      </c>
      <c r="Z1818">
        <v>1</v>
      </c>
      <c r="AA1818">
        <v>0</v>
      </c>
      <c r="AB1818">
        <v>1</v>
      </c>
      <c r="AC1818">
        <v>1</v>
      </c>
      <c r="AD1818">
        <v>0</v>
      </c>
      <c r="AE1818">
        <v>1</v>
      </c>
      <c r="AF1818">
        <v>0</v>
      </c>
      <c r="AG1818">
        <v>0</v>
      </c>
    </row>
    <row r="1819" spans="1:33" x14ac:dyDescent="0.2">
      <c r="A1819">
        <v>1818</v>
      </c>
      <c r="B1819" t="s">
        <v>534</v>
      </c>
      <c r="C1819" t="s">
        <v>108</v>
      </c>
      <c r="D1819">
        <v>34</v>
      </c>
      <c r="E1819" t="s">
        <v>34</v>
      </c>
      <c r="F1819" t="s">
        <v>41</v>
      </c>
      <c r="G1819" t="s">
        <v>61</v>
      </c>
      <c r="H1819">
        <v>11092</v>
      </c>
      <c r="I1819">
        <v>0</v>
      </c>
      <c r="J1819">
        <v>0</v>
      </c>
      <c r="K1819">
        <v>0</v>
      </c>
      <c r="L1819">
        <v>1</v>
      </c>
      <c r="M1819" t="s">
        <v>63</v>
      </c>
      <c r="N1819" t="s">
        <v>64</v>
      </c>
      <c r="O1819" t="s">
        <v>87</v>
      </c>
      <c r="P1819" t="s">
        <v>442</v>
      </c>
      <c r="Q1819" t="s">
        <v>46</v>
      </c>
      <c r="R1819" t="s">
        <v>48</v>
      </c>
      <c r="S1819" t="s">
        <v>47</v>
      </c>
      <c r="T1819">
        <v>0</v>
      </c>
      <c r="U1819">
        <v>0</v>
      </c>
      <c r="V1819">
        <v>1</v>
      </c>
      <c r="W1819">
        <v>1</v>
      </c>
      <c r="X1819">
        <v>1</v>
      </c>
      <c r="Y1819">
        <v>0</v>
      </c>
      <c r="Z1819">
        <v>1</v>
      </c>
      <c r="AA1819">
        <v>0</v>
      </c>
      <c r="AB1819">
        <v>0</v>
      </c>
      <c r="AC1819">
        <v>0</v>
      </c>
      <c r="AD1819">
        <v>0</v>
      </c>
      <c r="AE1819">
        <v>0</v>
      </c>
      <c r="AF1819">
        <v>0</v>
      </c>
      <c r="AG1819">
        <v>1</v>
      </c>
    </row>
    <row r="1820" spans="1:33" hidden="1" x14ac:dyDescent="0.2">
      <c r="A1820">
        <v>1819</v>
      </c>
      <c r="B1820" t="s">
        <v>534</v>
      </c>
      <c r="C1820" t="s">
        <v>108</v>
      </c>
      <c r="D1820">
        <v>34</v>
      </c>
      <c r="E1820" t="s">
        <v>34</v>
      </c>
      <c r="F1820" t="s">
        <v>53</v>
      </c>
      <c r="G1820" t="s">
        <v>66</v>
      </c>
      <c r="H1820">
        <v>4209</v>
      </c>
      <c r="I1820">
        <v>0</v>
      </c>
      <c r="J1820">
        <v>0</v>
      </c>
      <c r="K1820">
        <v>0</v>
      </c>
      <c r="L1820">
        <v>1</v>
      </c>
      <c r="M1820" t="s">
        <v>36</v>
      </c>
      <c r="N1820" t="s">
        <v>36</v>
      </c>
      <c r="O1820" t="s">
        <v>36</v>
      </c>
      <c r="P1820" t="s">
        <v>442</v>
      </c>
      <c r="Q1820" t="s">
        <v>36</v>
      </c>
      <c r="R1820" t="s">
        <v>36</v>
      </c>
      <c r="S1820" t="s">
        <v>36</v>
      </c>
      <c r="T1820" t="s">
        <v>36</v>
      </c>
      <c r="U1820">
        <v>0</v>
      </c>
      <c r="V1820">
        <v>1</v>
      </c>
      <c r="W1820">
        <v>1</v>
      </c>
      <c r="X1820">
        <v>1</v>
      </c>
      <c r="Y1820">
        <v>0</v>
      </c>
      <c r="Z1820">
        <v>1</v>
      </c>
      <c r="AA1820">
        <v>0</v>
      </c>
      <c r="AB1820">
        <v>0</v>
      </c>
      <c r="AC1820">
        <v>0</v>
      </c>
      <c r="AD1820">
        <v>0</v>
      </c>
      <c r="AE1820">
        <v>0</v>
      </c>
      <c r="AF1820">
        <v>0</v>
      </c>
      <c r="AG1820">
        <v>1</v>
      </c>
    </row>
    <row r="1821" spans="1:33" hidden="1" x14ac:dyDescent="0.2">
      <c r="A1821">
        <v>1820</v>
      </c>
      <c r="B1821" t="s">
        <v>534</v>
      </c>
      <c r="C1821" t="s">
        <v>108</v>
      </c>
      <c r="D1821">
        <v>34</v>
      </c>
      <c r="E1821" t="s">
        <v>34</v>
      </c>
      <c r="F1821" t="s">
        <v>77</v>
      </c>
      <c r="G1821" t="s">
        <v>36</v>
      </c>
      <c r="H1821">
        <v>87078</v>
      </c>
      <c r="I1821" t="s">
        <v>535</v>
      </c>
      <c r="J1821" t="s">
        <v>536</v>
      </c>
      <c r="K1821" t="s">
        <v>425</v>
      </c>
      <c r="L1821" t="s">
        <v>36</v>
      </c>
      <c r="M1821" t="s">
        <v>36</v>
      </c>
      <c r="N1821" t="s">
        <v>36</v>
      </c>
      <c r="O1821" t="s">
        <v>36</v>
      </c>
      <c r="P1821" t="s">
        <v>442</v>
      </c>
      <c r="Q1821" t="s">
        <v>36</v>
      </c>
      <c r="R1821" t="s">
        <v>36</v>
      </c>
      <c r="S1821" t="s">
        <v>36</v>
      </c>
      <c r="T1821" t="s">
        <v>36</v>
      </c>
      <c r="U1821" t="s">
        <v>36</v>
      </c>
      <c r="V1821" t="s">
        <v>36</v>
      </c>
      <c r="W1821" t="s">
        <v>36</v>
      </c>
      <c r="X1821" t="s">
        <v>36</v>
      </c>
      <c r="Y1821" t="s">
        <v>36</v>
      </c>
      <c r="Z1821" t="s">
        <v>36</v>
      </c>
      <c r="AA1821" t="s">
        <v>36</v>
      </c>
      <c r="AB1821" t="s">
        <v>36</v>
      </c>
      <c r="AC1821" t="s">
        <v>36</v>
      </c>
      <c r="AD1821" t="s">
        <v>36</v>
      </c>
      <c r="AE1821" t="s">
        <v>36</v>
      </c>
      <c r="AF1821" t="s">
        <v>36</v>
      </c>
      <c r="AG1821" t="s">
        <v>36</v>
      </c>
    </row>
    <row r="1822" spans="1:33" hidden="1" x14ac:dyDescent="0.2">
      <c r="A1822">
        <v>1821</v>
      </c>
      <c r="B1822" t="s">
        <v>537</v>
      </c>
      <c r="C1822" t="s">
        <v>33</v>
      </c>
      <c r="D1822">
        <v>30</v>
      </c>
      <c r="E1822" t="s">
        <v>34</v>
      </c>
      <c r="F1822" t="s">
        <v>35</v>
      </c>
      <c r="G1822" t="s">
        <v>36</v>
      </c>
      <c r="H1822">
        <v>52388</v>
      </c>
      <c r="I1822" t="s">
        <v>36</v>
      </c>
      <c r="J1822" t="s">
        <v>36</v>
      </c>
      <c r="K1822" t="s">
        <v>36</v>
      </c>
      <c r="L1822" t="s">
        <v>36</v>
      </c>
      <c r="M1822" t="s">
        <v>36</v>
      </c>
      <c r="N1822" t="s">
        <v>36</v>
      </c>
      <c r="O1822" t="s">
        <v>36</v>
      </c>
      <c r="P1822" t="s">
        <v>442</v>
      </c>
      <c r="Q1822" t="s">
        <v>36</v>
      </c>
      <c r="R1822" t="s">
        <v>36</v>
      </c>
      <c r="S1822" t="s">
        <v>36</v>
      </c>
      <c r="T1822" t="s">
        <v>36</v>
      </c>
      <c r="U1822" t="s">
        <v>36</v>
      </c>
      <c r="V1822" t="s">
        <v>36</v>
      </c>
      <c r="W1822" t="s">
        <v>36</v>
      </c>
      <c r="X1822" t="s">
        <v>36</v>
      </c>
      <c r="Y1822" t="s">
        <v>36</v>
      </c>
      <c r="Z1822" t="s">
        <v>36</v>
      </c>
      <c r="AA1822" t="s">
        <v>36</v>
      </c>
      <c r="AB1822" t="s">
        <v>36</v>
      </c>
      <c r="AC1822" t="s">
        <v>36</v>
      </c>
      <c r="AD1822" t="s">
        <v>36</v>
      </c>
      <c r="AE1822" t="s">
        <v>36</v>
      </c>
      <c r="AF1822" t="s">
        <v>36</v>
      </c>
      <c r="AG1822" t="s">
        <v>36</v>
      </c>
    </row>
    <row r="1823" spans="1:33" hidden="1" x14ac:dyDescent="0.2">
      <c r="A1823">
        <v>1822</v>
      </c>
      <c r="B1823" t="s">
        <v>537</v>
      </c>
      <c r="C1823" t="s">
        <v>33</v>
      </c>
      <c r="D1823">
        <v>30</v>
      </c>
      <c r="E1823" t="s">
        <v>34</v>
      </c>
      <c r="F1823" t="s">
        <v>38</v>
      </c>
      <c r="G1823" t="s">
        <v>39</v>
      </c>
      <c r="H1823">
        <v>35779</v>
      </c>
      <c r="I1823">
        <v>0</v>
      </c>
      <c r="J1823">
        <v>0</v>
      </c>
      <c r="K1823">
        <v>0</v>
      </c>
      <c r="L1823">
        <v>1</v>
      </c>
      <c r="M1823" t="s">
        <v>36</v>
      </c>
      <c r="N1823" t="s">
        <v>36</v>
      </c>
      <c r="O1823" t="s">
        <v>36</v>
      </c>
      <c r="P1823" t="s">
        <v>442</v>
      </c>
      <c r="Q1823" t="s">
        <v>36</v>
      </c>
      <c r="R1823" t="s">
        <v>36</v>
      </c>
      <c r="S1823" t="s">
        <v>36</v>
      </c>
      <c r="T1823" t="s">
        <v>36</v>
      </c>
      <c r="U1823" t="s">
        <v>36</v>
      </c>
      <c r="V1823" t="s">
        <v>36</v>
      </c>
      <c r="W1823" t="s">
        <v>36</v>
      </c>
      <c r="X1823" t="s">
        <v>36</v>
      </c>
      <c r="Y1823" t="s">
        <v>36</v>
      </c>
      <c r="Z1823" t="s">
        <v>36</v>
      </c>
      <c r="AA1823" t="s">
        <v>36</v>
      </c>
      <c r="AB1823" t="s">
        <v>36</v>
      </c>
      <c r="AC1823" t="s">
        <v>36</v>
      </c>
      <c r="AD1823" t="s">
        <v>36</v>
      </c>
      <c r="AE1823" t="s">
        <v>36</v>
      </c>
      <c r="AF1823" t="s">
        <v>36</v>
      </c>
      <c r="AG1823" t="s">
        <v>36</v>
      </c>
    </row>
    <row r="1824" spans="1:33" hidden="1" x14ac:dyDescent="0.2">
      <c r="A1824">
        <v>1823</v>
      </c>
      <c r="B1824" t="s">
        <v>537</v>
      </c>
      <c r="C1824" t="s">
        <v>33</v>
      </c>
      <c r="D1824">
        <v>30</v>
      </c>
      <c r="E1824" t="s">
        <v>34</v>
      </c>
      <c r="F1824" t="s">
        <v>38</v>
      </c>
      <c r="G1824" t="s">
        <v>40</v>
      </c>
      <c r="H1824">
        <v>37927</v>
      </c>
      <c r="I1824">
        <v>0</v>
      </c>
      <c r="J1824">
        <v>0</v>
      </c>
      <c r="K1824">
        <v>1</v>
      </c>
      <c r="L1824">
        <v>0</v>
      </c>
      <c r="M1824" t="s">
        <v>36</v>
      </c>
      <c r="N1824" t="s">
        <v>36</v>
      </c>
      <c r="O1824" t="s">
        <v>36</v>
      </c>
      <c r="P1824" t="s">
        <v>442</v>
      </c>
      <c r="Q1824" t="s">
        <v>36</v>
      </c>
      <c r="R1824" t="s">
        <v>36</v>
      </c>
      <c r="S1824" t="s">
        <v>36</v>
      </c>
      <c r="T1824" t="s">
        <v>36</v>
      </c>
      <c r="U1824" t="s">
        <v>36</v>
      </c>
      <c r="V1824" t="s">
        <v>36</v>
      </c>
      <c r="W1824" t="s">
        <v>36</v>
      </c>
      <c r="X1824" t="s">
        <v>36</v>
      </c>
      <c r="Y1824" t="s">
        <v>36</v>
      </c>
      <c r="Z1824" t="s">
        <v>36</v>
      </c>
      <c r="AA1824" t="s">
        <v>36</v>
      </c>
      <c r="AB1824" t="s">
        <v>36</v>
      </c>
      <c r="AC1824" t="s">
        <v>36</v>
      </c>
      <c r="AD1824" t="s">
        <v>36</v>
      </c>
      <c r="AE1824" t="s">
        <v>36</v>
      </c>
      <c r="AF1824" t="s">
        <v>36</v>
      </c>
      <c r="AG1824" t="s">
        <v>36</v>
      </c>
    </row>
    <row r="1825" spans="1:33" x14ac:dyDescent="0.2">
      <c r="A1825">
        <v>1824</v>
      </c>
      <c r="B1825" t="s">
        <v>537</v>
      </c>
      <c r="C1825" t="s">
        <v>33</v>
      </c>
      <c r="D1825">
        <v>30</v>
      </c>
      <c r="E1825" t="s">
        <v>34</v>
      </c>
      <c r="F1825" t="s">
        <v>41</v>
      </c>
      <c r="G1825" t="s">
        <v>55</v>
      </c>
      <c r="H1825">
        <v>76729</v>
      </c>
      <c r="I1825">
        <v>0</v>
      </c>
      <c r="J1825">
        <v>0</v>
      </c>
      <c r="K1825">
        <v>0</v>
      </c>
      <c r="L1825">
        <v>1</v>
      </c>
      <c r="M1825" t="s">
        <v>57</v>
      </c>
      <c r="N1825" t="s">
        <v>94</v>
      </c>
      <c r="O1825" t="s">
        <v>85</v>
      </c>
      <c r="P1825" t="s">
        <v>442</v>
      </c>
      <c r="Q1825" t="s">
        <v>48</v>
      </c>
      <c r="R1825" t="s">
        <v>47</v>
      </c>
      <c r="S1825" t="s">
        <v>65</v>
      </c>
      <c r="T1825">
        <v>0</v>
      </c>
      <c r="U1825">
        <v>1</v>
      </c>
      <c r="V1825">
        <v>1</v>
      </c>
      <c r="W1825">
        <v>1</v>
      </c>
      <c r="X1825">
        <v>0</v>
      </c>
      <c r="Y1825">
        <v>0</v>
      </c>
      <c r="Z1825">
        <v>1</v>
      </c>
      <c r="AA1825">
        <v>0</v>
      </c>
      <c r="AB1825">
        <v>0</v>
      </c>
      <c r="AC1825">
        <v>0</v>
      </c>
      <c r="AD1825">
        <v>0</v>
      </c>
      <c r="AE1825">
        <v>0</v>
      </c>
      <c r="AF1825">
        <v>0</v>
      </c>
      <c r="AG1825">
        <v>1</v>
      </c>
    </row>
    <row r="1826" spans="1:33" hidden="1" x14ac:dyDescent="0.2">
      <c r="A1826">
        <v>1825</v>
      </c>
      <c r="B1826" t="s">
        <v>537</v>
      </c>
      <c r="C1826" t="s">
        <v>33</v>
      </c>
      <c r="D1826">
        <v>30</v>
      </c>
      <c r="E1826" t="s">
        <v>34</v>
      </c>
      <c r="F1826" t="s">
        <v>53</v>
      </c>
      <c r="G1826" t="s">
        <v>71</v>
      </c>
      <c r="H1826">
        <v>51004</v>
      </c>
      <c r="I1826">
        <v>1</v>
      </c>
      <c r="J1826">
        <v>1</v>
      </c>
      <c r="K1826">
        <v>0</v>
      </c>
      <c r="L1826">
        <v>0</v>
      </c>
      <c r="M1826" t="s">
        <v>36</v>
      </c>
      <c r="N1826" t="s">
        <v>36</v>
      </c>
      <c r="O1826" t="s">
        <v>36</v>
      </c>
      <c r="P1826" t="s">
        <v>442</v>
      </c>
      <c r="Q1826" t="s">
        <v>36</v>
      </c>
      <c r="R1826" t="s">
        <v>36</v>
      </c>
      <c r="S1826" t="s">
        <v>36</v>
      </c>
      <c r="T1826" t="s">
        <v>36</v>
      </c>
      <c r="U1826">
        <v>1</v>
      </c>
      <c r="V1826">
        <v>1</v>
      </c>
      <c r="W1826">
        <v>1</v>
      </c>
      <c r="X1826">
        <v>0</v>
      </c>
      <c r="Y1826">
        <v>0</v>
      </c>
      <c r="Z1826">
        <v>1</v>
      </c>
      <c r="AA1826">
        <v>0</v>
      </c>
      <c r="AB1826">
        <v>0</v>
      </c>
      <c r="AC1826">
        <v>0</v>
      </c>
      <c r="AD1826">
        <v>0</v>
      </c>
      <c r="AE1826">
        <v>0</v>
      </c>
      <c r="AF1826">
        <v>0</v>
      </c>
      <c r="AG1826">
        <v>1</v>
      </c>
    </row>
    <row r="1827" spans="1:33" x14ac:dyDescent="0.2">
      <c r="A1827">
        <v>1826</v>
      </c>
      <c r="B1827" t="s">
        <v>537</v>
      </c>
      <c r="C1827" t="s">
        <v>33</v>
      </c>
      <c r="D1827">
        <v>30</v>
      </c>
      <c r="E1827" t="s">
        <v>34</v>
      </c>
      <c r="F1827" t="s">
        <v>41</v>
      </c>
      <c r="G1827" t="s">
        <v>67</v>
      </c>
      <c r="H1827">
        <v>36024</v>
      </c>
      <c r="I1827">
        <v>0</v>
      </c>
      <c r="J1827">
        <v>0</v>
      </c>
      <c r="K1827">
        <v>1</v>
      </c>
      <c r="L1827">
        <v>0</v>
      </c>
      <c r="M1827" t="s">
        <v>69</v>
      </c>
      <c r="N1827" t="s">
        <v>109</v>
      </c>
      <c r="O1827" t="s">
        <v>68</v>
      </c>
      <c r="P1827" t="s">
        <v>442</v>
      </c>
      <c r="Q1827" t="s">
        <v>48</v>
      </c>
      <c r="R1827" t="s">
        <v>59</v>
      </c>
      <c r="S1827" t="s">
        <v>65</v>
      </c>
      <c r="T1827">
        <v>0</v>
      </c>
      <c r="U1827">
        <v>1</v>
      </c>
      <c r="V1827">
        <v>1</v>
      </c>
      <c r="W1827">
        <v>0</v>
      </c>
      <c r="X1827">
        <v>0</v>
      </c>
      <c r="Y1827">
        <v>0</v>
      </c>
      <c r="Z1827">
        <v>1</v>
      </c>
      <c r="AA1827">
        <v>0</v>
      </c>
      <c r="AB1827">
        <v>1</v>
      </c>
      <c r="AC1827">
        <v>0</v>
      </c>
      <c r="AD1827">
        <v>0</v>
      </c>
      <c r="AE1827">
        <v>0</v>
      </c>
      <c r="AF1827">
        <v>0</v>
      </c>
      <c r="AG1827">
        <v>0</v>
      </c>
    </row>
    <row r="1828" spans="1:33" x14ac:dyDescent="0.2">
      <c r="A1828">
        <v>1827</v>
      </c>
      <c r="B1828" t="s">
        <v>537</v>
      </c>
      <c r="C1828" t="s">
        <v>33</v>
      </c>
      <c r="D1828">
        <v>30</v>
      </c>
      <c r="E1828" t="s">
        <v>34</v>
      </c>
      <c r="F1828" t="s">
        <v>41</v>
      </c>
      <c r="G1828" t="s">
        <v>72</v>
      </c>
      <c r="H1828">
        <v>31351</v>
      </c>
      <c r="I1828">
        <v>0</v>
      </c>
      <c r="J1828">
        <v>1</v>
      </c>
      <c r="K1828">
        <v>1</v>
      </c>
      <c r="L1828">
        <v>0</v>
      </c>
      <c r="M1828" t="s">
        <v>73</v>
      </c>
      <c r="N1828" t="s">
        <v>74</v>
      </c>
      <c r="O1828" t="s">
        <v>115</v>
      </c>
      <c r="P1828" t="s">
        <v>442</v>
      </c>
      <c r="Q1828" t="s">
        <v>48</v>
      </c>
      <c r="R1828" t="s">
        <v>47</v>
      </c>
      <c r="S1828" t="s">
        <v>65</v>
      </c>
      <c r="T1828">
        <v>0</v>
      </c>
      <c r="U1828">
        <v>1</v>
      </c>
      <c r="V1828">
        <v>1</v>
      </c>
      <c r="W1828">
        <v>1</v>
      </c>
      <c r="X1828">
        <v>0</v>
      </c>
      <c r="Y1828">
        <v>0</v>
      </c>
      <c r="Z1828">
        <v>1</v>
      </c>
      <c r="AA1828">
        <v>0</v>
      </c>
      <c r="AB1828">
        <v>1</v>
      </c>
      <c r="AC1828">
        <v>0</v>
      </c>
      <c r="AD1828">
        <v>1</v>
      </c>
      <c r="AE1828">
        <v>0</v>
      </c>
      <c r="AF1828">
        <v>0</v>
      </c>
      <c r="AG1828">
        <v>0</v>
      </c>
    </row>
    <row r="1829" spans="1:33" hidden="1" x14ac:dyDescent="0.2">
      <c r="A1829">
        <v>1828</v>
      </c>
      <c r="B1829" t="s">
        <v>537</v>
      </c>
      <c r="C1829" t="s">
        <v>33</v>
      </c>
      <c r="D1829">
        <v>30</v>
      </c>
      <c r="E1829" t="s">
        <v>34</v>
      </c>
      <c r="F1829" t="s">
        <v>53</v>
      </c>
      <c r="G1829" t="s">
        <v>54</v>
      </c>
      <c r="H1829">
        <v>48689</v>
      </c>
      <c r="I1829">
        <v>0</v>
      </c>
      <c r="J1829">
        <v>0</v>
      </c>
      <c r="K1829">
        <v>1</v>
      </c>
      <c r="L1829">
        <v>0</v>
      </c>
      <c r="M1829" t="s">
        <v>36</v>
      </c>
      <c r="N1829" t="s">
        <v>36</v>
      </c>
      <c r="O1829" t="s">
        <v>36</v>
      </c>
      <c r="P1829" t="s">
        <v>442</v>
      </c>
      <c r="Q1829" t="s">
        <v>36</v>
      </c>
      <c r="R1829" t="s">
        <v>36</v>
      </c>
      <c r="S1829" t="s">
        <v>36</v>
      </c>
      <c r="T1829" t="s">
        <v>36</v>
      </c>
      <c r="U1829">
        <v>1</v>
      </c>
      <c r="V1829">
        <v>1</v>
      </c>
      <c r="W1829">
        <v>1</v>
      </c>
      <c r="X1829">
        <v>0</v>
      </c>
      <c r="Y1829">
        <v>0</v>
      </c>
      <c r="Z1829">
        <v>1</v>
      </c>
      <c r="AA1829">
        <v>0</v>
      </c>
      <c r="AB1829">
        <v>1</v>
      </c>
      <c r="AC1829">
        <v>0</v>
      </c>
      <c r="AD1829">
        <v>1</v>
      </c>
      <c r="AE1829">
        <v>0</v>
      </c>
      <c r="AF1829">
        <v>0</v>
      </c>
      <c r="AG1829">
        <v>0</v>
      </c>
    </row>
    <row r="1830" spans="1:33" x14ac:dyDescent="0.2">
      <c r="A1830">
        <v>1829</v>
      </c>
      <c r="B1830" t="s">
        <v>537</v>
      </c>
      <c r="C1830" t="s">
        <v>33</v>
      </c>
      <c r="D1830">
        <v>30</v>
      </c>
      <c r="E1830" t="s">
        <v>34</v>
      </c>
      <c r="F1830" t="s">
        <v>41</v>
      </c>
      <c r="G1830" t="s">
        <v>49</v>
      </c>
      <c r="H1830">
        <v>19486</v>
      </c>
      <c r="I1830">
        <v>0</v>
      </c>
      <c r="J1830">
        <v>0</v>
      </c>
      <c r="K1830">
        <v>0</v>
      </c>
      <c r="L1830">
        <v>1</v>
      </c>
      <c r="M1830" t="s">
        <v>83</v>
      </c>
      <c r="N1830" t="s">
        <v>52</v>
      </c>
      <c r="O1830" t="s">
        <v>96</v>
      </c>
      <c r="P1830" t="s">
        <v>442</v>
      </c>
      <c r="Q1830" t="s">
        <v>59</v>
      </c>
      <c r="R1830" t="s">
        <v>46</v>
      </c>
      <c r="S1830" t="s">
        <v>65</v>
      </c>
      <c r="T1830">
        <v>0</v>
      </c>
      <c r="U1830">
        <v>1</v>
      </c>
      <c r="V1830">
        <v>0</v>
      </c>
      <c r="W1830">
        <v>0</v>
      </c>
      <c r="X1830">
        <v>1</v>
      </c>
      <c r="Y1830">
        <v>0</v>
      </c>
      <c r="Z1830">
        <v>1</v>
      </c>
      <c r="AA1830">
        <v>0</v>
      </c>
      <c r="AB1830">
        <v>0</v>
      </c>
      <c r="AC1830">
        <v>0</v>
      </c>
      <c r="AD1830">
        <v>0</v>
      </c>
      <c r="AE1830">
        <v>0</v>
      </c>
      <c r="AF1830">
        <v>0</v>
      </c>
      <c r="AG1830">
        <v>1</v>
      </c>
    </row>
    <row r="1831" spans="1:33" hidden="1" x14ac:dyDescent="0.2">
      <c r="A1831">
        <v>1830</v>
      </c>
      <c r="B1831" t="s">
        <v>537</v>
      </c>
      <c r="C1831" t="s">
        <v>33</v>
      </c>
      <c r="D1831">
        <v>30</v>
      </c>
      <c r="E1831" t="s">
        <v>34</v>
      </c>
      <c r="F1831" t="s">
        <v>53</v>
      </c>
      <c r="G1831" t="s">
        <v>76</v>
      </c>
      <c r="H1831">
        <v>31836</v>
      </c>
      <c r="I1831">
        <v>1</v>
      </c>
      <c r="J1831">
        <v>0</v>
      </c>
      <c r="K1831">
        <v>0</v>
      </c>
      <c r="L1831">
        <v>0</v>
      </c>
      <c r="M1831" t="s">
        <v>36</v>
      </c>
      <c r="N1831" t="s">
        <v>36</v>
      </c>
      <c r="O1831" t="s">
        <v>36</v>
      </c>
      <c r="P1831" t="s">
        <v>442</v>
      </c>
      <c r="Q1831" t="s">
        <v>36</v>
      </c>
      <c r="R1831" t="s">
        <v>36</v>
      </c>
      <c r="S1831" t="s">
        <v>36</v>
      </c>
      <c r="T1831" t="s">
        <v>36</v>
      </c>
      <c r="U1831">
        <v>1</v>
      </c>
      <c r="V1831">
        <v>0</v>
      </c>
      <c r="W1831">
        <v>0</v>
      </c>
      <c r="X1831">
        <v>1</v>
      </c>
      <c r="Y1831">
        <v>0</v>
      </c>
      <c r="Z1831">
        <v>1</v>
      </c>
      <c r="AA1831">
        <v>0</v>
      </c>
      <c r="AB1831">
        <v>0</v>
      </c>
      <c r="AC1831">
        <v>0</v>
      </c>
      <c r="AD1831">
        <v>0</v>
      </c>
      <c r="AE1831">
        <v>0</v>
      </c>
      <c r="AF1831">
        <v>0</v>
      </c>
      <c r="AG1831">
        <v>1</v>
      </c>
    </row>
    <row r="1832" spans="1:33" x14ac:dyDescent="0.2">
      <c r="A1832">
        <v>1831</v>
      </c>
      <c r="B1832" t="s">
        <v>537</v>
      </c>
      <c r="C1832" t="s">
        <v>33</v>
      </c>
      <c r="D1832">
        <v>30</v>
      </c>
      <c r="E1832" t="s">
        <v>34</v>
      </c>
      <c r="F1832" t="s">
        <v>41</v>
      </c>
      <c r="G1832" t="s">
        <v>42</v>
      </c>
      <c r="H1832">
        <v>56689</v>
      </c>
      <c r="I1832">
        <v>0</v>
      </c>
      <c r="J1832">
        <v>0</v>
      </c>
      <c r="K1832">
        <v>1</v>
      </c>
      <c r="L1832">
        <v>0</v>
      </c>
      <c r="M1832" t="s">
        <v>116</v>
      </c>
      <c r="N1832" t="s">
        <v>45</v>
      </c>
      <c r="O1832" t="s">
        <v>44</v>
      </c>
      <c r="P1832" t="s">
        <v>442</v>
      </c>
      <c r="Q1832" t="s">
        <v>60</v>
      </c>
      <c r="R1832" t="s">
        <v>48</v>
      </c>
      <c r="S1832" t="s">
        <v>47</v>
      </c>
      <c r="T1832">
        <v>1</v>
      </c>
      <c r="U1832">
        <v>0</v>
      </c>
      <c r="V1832">
        <v>1</v>
      </c>
      <c r="W1832">
        <v>1</v>
      </c>
      <c r="X1832">
        <v>0</v>
      </c>
      <c r="Y1832">
        <v>0</v>
      </c>
      <c r="Z1832">
        <v>1</v>
      </c>
      <c r="AA1832">
        <v>0</v>
      </c>
      <c r="AB1832">
        <v>0</v>
      </c>
      <c r="AC1832">
        <v>0</v>
      </c>
      <c r="AD1832">
        <v>1</v>
      </c>
      <c r="AE1832">
        <v>0</v>
      </c>
      <c r="AF1832">
        <v>0</v>
      </c>
      <c r="AG1832">
        <v>0</v>
      </c>
    </row>
    <row r="1833" spans="1:33" x14ac:dyDescent="0.2">
      <c r="A1833">
        <v>1832</v>
      </c>
      <c r="B1833" t="s">
        <v>537</v>
      </c>
      <c r="C1833" t="s">
        <v>33</v>
      </c>
      <c r="D1833">
        <v>30</v>
      </c>
      <c r="E1833" t="s">
        <v>34</v>
      </c>
      <c r="F1833" t="s">
        <v>41</v>
      </c>
      <c r="G1833" t="s">
        <v>61</v>
      </c>
      <c r="H1833">
        <v>16992</v>
      </c>
      <c r="I1833">
        <v>0</v>
      </c>
      <c r="J1833">
        <v>0</v>
      </c>
      <c r="K1833">
        <v>1</v>
      </c>
      <c r="L1833">
        <v>0</v>
      </c>
      <c r="M1833" t="s">
        <v>63</v>
      </c>
      <c r="N1833" t="s">
        <v>97</v>
      </c>
      <c r="O1833" t="s">
        <v>125</v>
      </c>
      <c r="P1833" t="s">
        <v>442</v>
      </c>
      <c r="Q1833" t="s">
        <v>46</v>
      </c>
      <c r="R1833" t="s">
        <v>59</v>
      </c>
      <c r="S1833" t="s">
        <v>60</v>
      </c>
      <c r="T1833">
        <v>1</v>
      </c>
      <c r="U1833">
        <v>0</v>
      </c>
      <c r="V1833">
        <v>0</v>
      </c>
      <c r="W1833">
        <v>0</v>
      </c>
      <c r="X1833">
        <v>1</v>
      </c>
      <c r="Y1833">
        <v>0</v>
      </c>
      <c r="Z1833">
        <v>1</v>
      </c>
      <c r="AA1833">
        <v>1</v>
      </c>
      <c r="AB1833">
        <v>0</v>
      </c>
      <c r="AC1833">
        <v>0</v>
      </c>
      <c r="AD1833">
        <v>0</v>
      </c>
      <c r="AE1833">
        <v>0</v>
      </c>
      <c r="AF1833">
        <v>0</v>
      </c>
      <c r="AG1833">
        <v>0</v>
      </c>
    </row>
    <row r="1834" spans="1:33" hidden="1" x14ac:dyDescent="0.2">
      <c r="A1834">
        <v>1833</v>
      </c>
      <c r="B1834" t="s">
        <v>537</v>
      </c>
      <c r="C1834" t="s">
        <v>33</v>
      </c>
      <c r="D1834">
        <v>30</v>
      </c>
      <c r="E1834" t="s">
        <v>34</v>
      </c>
      <c r="F1834" t="s">
        <v>53</v>
      </c>
      <c r="G1834" t="s">
        <v>66</v>
      </c>
      <c r="H1834">
        <v>26983</v>
      </c>
      <c r="I1834">
        <v>1</v>
      </c>
      <c r="J1834">
        <v>1</v>
      </c>
      <c r="K1834">
        <v>0</v>
      </c>
      <c r="L1834">
        <v>0</v>
      </c>
      <c r="M1834" t="s">
        <v>36</v>
      </c>
      <c r="N1834" t="s">
        <v>36</v>
      </c>
      <c r="O1834" t="s">
        <v>36</v>
      </c>
      <c r="P1834" t="s">
        <v>442</v>
      </c>
      <c r="Q1834" t="s">
        <v>36</v>
      </c>
      <c r="R1834" t="s">
        <v>36</v>
      </c>
      <c r="S1834" t="s">
        <v>36</v>
      </c>
      <c r="T1834" t="s">
        <v>36</v>
      </c>
      <c r="U1834">
        <v>0</v>
      </c>
      <c r="V1834">
        <v>0</v>
      </c>
      <c r="W1834">
        <v>0</v>
      </c>
      <c r="X1834">
        <v>1</v>
      </c>
      <c r="Y1834">
        <v>0</v>
      </c>
      <c r="Z1834">
        <v>1</v>
      </c>
      <c r="AA1834">
        <v>1</v>
      </c>
      <c r="AB1834">
        <v>0</v>
      </c>
      <c r="AC1834">
        <v>0</v>
      </c>
      <c r="AD1834">
        <v>0</v>
      </c>
      <c r="AE1834">
        <v>0</v>
      </c>
      <c r="AF1834">
        <v>0</v>
      </c>
      <c r="AG1834">
        <v>0</v>
      </c>
    </row>
    <row r="1835" spans="1:33" hidden="1" x14ac:dyDescent="0.2">
      <c r="A1835">
        <v>1834</v>
      </c>
      <c r="B1835" t="s">
        <v>537</v>
      </c>
      <c r="C1835" t="s">
        <v>33</v>
      </c>
      <c r="D1835">
        <v>30</v>
      </c>
      <c r="E1835" t="s">
        <v>34</v>
      </c>
      <c r="F1835" t="s">
        <v>77</v>
      </c>
      <c r="G1835" t="s">
        <v>36</v>
      </c>
      <c r="H1835">
        <v>63497</v>
      </c>
      <c r="I1835" t="s">
        <v>538</v>
      </c>
      <c r="J1835" t="s">
        <v>539</v>
      </c>
      <c r="K1835" t="s">
        <v>166</v>
      </c>
      <c r="L1835" t="s">
        <v>36</v>
      </c>
      <c r="M1835" t="s">
        <v>36</v>
      </c>
      <c r="N1835" t="s">
        <v>36</v>
      </c>
      <c r="O1835" t="s">
        <v>36</v>
      </c>
      <c r="P1835" t="s">
        <v>442</v>
      </c>
      <c r="Q1835" t="s">
        <v>36</v>
      </c>
      <c r="R1835" t="s">
        <v>36</v>
      </c>
      <c r="S1835" t="s">
        <v>36</v>
      </c>
      <c r="T1835" t="s">
        <v>36</v>
      </c>
      <c r="U1835" t="s">
        <v>36</v>
      </c>
      <c r="V1835" t="s">
        <v>36</v>
      </c>
      <c r="W1835" t="s">
        <v>36</v>
      </c>
      <c r="X1835" t="s">
        <v>36</v>
      </c>
      <c r="Y1835" t="s">
        <v>36</v>
      </c>
      <c r="Z1835" t="s">
        <v>36</v>
      </c>
      <c r="AA1835" t="s">
        <v>36</v>
      </c>
      <c r="AB1835" t="s">
        <v>36</v>
      </c>
      <c r="AC1835" t="s">
        <v>36</v>
      </c>
      <c r="AD1835" t="s">
        <v>36</v>
      </c>
      <c r="AE1835" t="s">
        <v>36</v>
      </c>
      <c r="AF1835" t="s">
        <v>36</v>
      </c>
      <c r="AG1835" t="s">
        <v>36</v>
      </c>
    </row>
    <row r="1836" spans="1:33" hidden="1" x14ac:dyDescent="0.2">
      <c r="A1836">
        <v>1835</v>
      </c>
      <c r="B1836" t="s">
        <v>540</v>
      </c>
      <c r="C1836" t="s">
        <v>108</v>
      </c>
      <c r="D1836">
        <v>50</v>
      </c>
      <c r="E1836" t="s">
        <v>34</v>
      </c>
      <c r="F1836" t="s">
        <v>35</v>
      </c>
      <c r="G1836" t="s">
        <v>36</v>
      </c>
      <c r="H1836">
        <v>39041</v>
      </c>
      <c r="I1836" t="s">
        <v>36</v>
      </c>
      <c r="J1836" t="s">
        <v>36</v>
      </c>
      <c r="K1836" t="s">
        <v>36</v>
      </c>
      <c r="L1836" t="s">
        <v>36</v>
      </c>
      <c r="M1836" t="s">
        <v>36</v>
      </c>
      <c r="N1836" t="s">
        <v>36</v>
      </c>
      <c r="O1836" t="s">
        <v>36</v>
      </c>
      <c r="P1836" t="s">
        <v>442</v>
      </c>
      <c r="Q1836" t="s">
        <v>36</v>
      </c>
      <c r="R1836" t="s">
        <v>36</v>
      </c>
      <c r="S1836" t="s">
        <v>36</v>
      </c>
      <c r="T1836" t="s">
        <v>36</v>
      </c>
      <c r="U1836" t="s">
        <v>36</v>
      </c>
      <c r="V1836" t="s">
        <v>36</v>
      </c>
      <c r="W1836" t="s">
        <v>36</v>
      </c>
      <c r="X1836" t="s">
        <v>36</v>
      </c>
      <c r="Y1836" t="s">
        <v>36</v>
      </c>
      <c r="Z1836" t="s">
        <v>36</v>
      </c>
      <c r="AA1836" t="s">
        <v>36</v>
      </c>
      <c r="AB1836" t="s">
        <v>36</v>
      </c>
      <c r="AC1836" t="s">
        <v>36</v>
      </c>
      <c r="AD1836" t="s">
        <v>36</v>
      </c>
      <c r="AE1836" t="s">
        <v>36</v>
      </c>
      <c r="AF1836" t="s">
        <v>36</v>
      </c>
      <c r="AG1836" t="s">
        <v>36</v>
      </c>
    </row>
    <row r="1837" spans="1:33" hidden="1" x14ac:dyDescent="0.2">
      <c r="A1837">
        <v>1836</v>
      </c>
      <c r="B1837" t="s">
        <v>540</v>
      </c>
      <c r="C1837" t="s">
        <v>108</v>
      </c>
      <c r="D1837">
        <v>50</v>
      </c>
      <c r="E1837" t="s">
        <v>34</v>
      </c>
      <c r="F1837" t="s">
        <v>38</v>
      </c>
      <c r="G1837" t="s">
        <v>40</v>
      </c>
      <c r="H1837">
        <v>7386</v>
      </c>
      <c r="I1837">
        <v>1</v>
      </c>
      <c r="J1837">
        <v>0</v>
      </c>
      <c r="K1837">
        <v>0</v>
      </c>
      <c r="L1837">
        <v>0</v>
      </c>
      <c r="M1837" t="s">
        <v>36</v>
      </c>
      <c r="N1837" t="s">
        <v>36</v>
      </c>
      <c r="O1837" t="s">
        <v>36</v>
      </c>
      <c r="P1837" t="s">
        <v>442</v>
      </c>
      <c r="Q1837" t="s">
        <v>36</v>
      </c>
      <c r="R1837" t="s">
        <v>36</v>
      </c>
      <c r="S1837" t="s">
        <v>36</v>
      </c>
      <c r="T1837" t="s">
        <v>36</v>
      </c>
      <c r="U1837" t="s">
        <v>36</v>
      </c>
      <c r="V1837" t="s">
        <v>36</v>
      </c>
      <c r="W1837" t="s">
        <v>36</v>
      </c>
      <c r="X1837" t="s">
        <v>36</v>
      </c>
      <c r="Y1837" t="s">
        <v>36</v>
      </c>
      <c r="Z1837" t="s">
        <v>36</v>
      </c>
      <c r="AA1837" t="s">
        <v>36</v>
      </c>
      <c r="AB1837" t="s">
        <v>36</v>
      </c>
      <c r="AC1837" t="s">
        <v>36</v>
      </c>
      <c r="AD1837" t="s">
        <v>36</v>
      </c>
      <c r="AE1837" t="s">
        <v>36</v>
      </c>
      <c r="AF1837" t="s">
        <v>36</v>
      </c>
      <c r="AG1837" t="s">
        <v>36</v>
      </c>
    </row>
    <row r="1838" spans="1:33" hidden="1" x14ac:dyDescent="0.2">
      <c r="A1838">
        <v>1837</v>
      </c>
      <c r="B1838" t="s">
        <v>540</v>
      </c>
      <c r="C1838" t="s">
        <v>108</v>
      </c>
      <c r="D1838">
        <v>50</v>
      </c>
      <c r="E1838" t="s">
        <v>34</v>
      </c>
      <c r="F1838" t="s">
        <v>38</v>
      </c>
      <c r="G1838" t="s">
        <v>39</v>
      </c>
      <c r="H1838">
        <v>8287</v>
      </c>
      <c r="I1838">
        <v>1</v>
      </c>
      <c r="J1838">
        <v>0</v>
      </c>
      <c r="K1838">
        <v>0</v>
      </c>
      <c r="L1838">
        <v>0</v>
      </c>
      <c r="M1838" t="s">
        <v>36</v>
      </c>
      <c r="N1838" t="s">
        <v>36</v>
      </c>
      <c r="O1838" t="s">
        <v>36</v>
      </c>
      <c r="P1838" t="s">
        <v>442</v>
      </c>
      <c r="Q1838" t="s">
        <v>36</v>
      </c>
      <c r="R1838" t="s">
        <v>36</v>
      </c>
      <c r="S1838" t="s">
        <v>36</v>
      </c>
      <c r="T1838" t="s">
        <v>36</v>
      </c>
      <c r="U1838" t="s">
        <v>36</v>
      </c>
      <c r="V1838" t="s">
        <v>36</v>
      </c>
      <c r="W1838" t="s">
        <v>36</v>
      </c>
      <c r="X1838" t="s">
        <v>36</v>
      </c>
      <c r="Y1838" t="s">
        <v>36</v>
      </c>
      <c r="Z1838" t="s">
        <v>36</v>
      </c>
      <c r="AA1838" t="s">
        <v>36</v>
      </c>
      <c r="AB1838" t="s">
        <v>36</v>
      </c>
      <c r="AC1838" t="s">
        <v>36</v>
      </c>
      <c r="AD1838" t="s">
        <v>36</v>
      </c>
      <c r="AE1838" t="s">
        <v>36</v>
      </c>
      <c r="AF1838" t="s">
        <v>36</v>
      </c>
      <c r="AG1838" t="s">
        <v>36</v>
      </c>
    </row>
    <row r="1839" spans="1:33" x14ac:dyDescent="0.2">
      <c r="A1839">
        <v>1838</v>
      </c>
      <c r="B1839" t="s">
        <v>540</v>
      </c>
      <c r="C1839" t="s">
        <v>108</v>
      </c>
      <c r="D1839">
        <v>50</v>
      </c>
      <c r="E1839" t="s">
        <v>34</v>
      </c>
      <c r="F1839" t="s">
        <v>41</v>
      </c>
      <c r="G1839" t="s">
        <v>55</v>
      </c>
      <c r="H1839">
        <v>12015</v>
      </c>
      <c r="I1839">
        <v>1</v>
      </c>
      <c r="J1839">
        <v>1</v>
      </c>
      <c r="K1839">
        <v>1</v>
      </c>
      <c r="L1839">
        <v>0</v>
      </c>
      <c r="M1839" t="s">
        <v>85</v>
      </c>
      <c r="N1839" t="s">
        <v>56</v>
      </c>
      <c r="O1839" t="s">
        <v>57</v>
      </c>
      <c r="P1839" t="s">
        <v>442</v>
      </c>
      <c r="Q1839" t="s">
        <v>65</v>
      </c>
      <c r="R1839" t="s">
        <v>59</v>
      </c>
      <c r="S1839" t="s">
        <v>48</v>
      </c>
      <c r="T1839">
        <v>0</v>
      </c>
      <c r="U1839">
        <v>1</v>
      </c>
      <c r="V1839">
        <v>1</v>
      </c>
      <c r="W1839">
        <v>0</v>
      </c>
      <c r="X1839">
        <v>0</v>
      </c>
      <c r="Y1839">
        <v>0</v>
      </c>
      <c r="Z1839">
        <v>1</v>
      </c>
      <c r="AA1839">
        <v>0</v>
      </c>
      <c r="AB1839">
        <v>1</v>
      </c>
      <c r="AC1839">
        <v>1</v>
      </c>
      <c r="AD1839">
        <v>0</v>
      </c>
      <c r="AE1839">
        <v>0</v>
      </c>
      <c r="AF1839">
        <v>0</v>
      </c>
      <c r="AG1839">
        <v>0</v>
      </c>
    </row>
    <row r="1840" spans="1:33" hidden="1" x14ac:dyDescent="0.2">
      <c r="A1840">
        <v>1839</v>
      </c>
      <c r="B1840" t="s">
        <v>540</v>
      </c>
      <c r="C1840" t="s">
        <v>108</v>
      </c>
      <c r="D1840">
        <v>50</v>
      </c>
      <c r="E1840" t="s">
        <v>34</v>
      </c>
      <c r="F1840" t="s">
        <v>53</v>
      </c>
      <c r="G1840" t="s">
        <v>66</v>
      </c>
      <c r="H1840">
        <v>8798</v>
      </c>
      <c r="I1840">
        <v>1</v>
      </c>
      <c r="J1840">
        <v>1</v>
      </c>
      <c r="K1840">
        <v>1</v>
      </c>
      <c r="L1840">
        <v>0</v>
      </c>
      <c r="M1840" t="s">
        <v>36</v>
      </c>
      <c r="N1840" t="s">
        <v>36</v>
      </c>
      <c r="O1840" t="s">
        <v>36</v>
      </c>
      <c r="P1840" t="s">
        <v>442</v>
      </c>
      <c r="Q1840" t="s">
        <v>36</v>
      </c>
      <c r="R1840" t="s">
        <v>36</v>
      </c>
      <c r="S1840" t="s">
        <v>36</v>
      </c>
      <c r="T1840" t="s">
        <v>36</v>
      </c>
      <c r="U1840">
        <v>1</v>
      </c>
      <c r="V1840">
        <v>1</v>
      </c>
      <c r="W1840">
        <v>0</v>
      </c>
      <c r="X1840">
        <v>0</v>
      </c>
      <c r="Y1840">
        <v>0</v>
      </c>
      <c r="Z1840">
        <v>1</v>
      </c>
      <c r="AA1840">
        <v>0</v>
      </c>
      <c r="AB1840">
        <v>1</v>
      </c>
      <c r="AC1840">
        <v>1</v>
      </c>
      <c r="AD1840">
        <v>0</v>
      </c>
      <c r="AE1840">
        <v>0</v>
      </c>
      <c r="AF1840">
        <v>0</v>
      </c>
      <c r="AG1840">
        <v>0</v>
      </c>
    </row>
    <row r="1841" spans="1:33" x14ac:dyDescent="0.2">
      <c r="A1841">
        <v>1840</v>
      </c>
      <c r="B1841" t="s">
        <v>540</v>
      </c>
      <c r="C1841" t="s">
        <v>108</v>
      </c>
      <c r="D1841">
        <v>50</v>
      </c>
      <c r="E1841" t="s">
        <v>34</v>
      </c>
      <c r="F1841" t="s">
        <v>41</v>
      </c>
      <c r="G1841" t="s">
        <v>42</v>
      </c>
      <c r="H1841">
        <v>13969</v>
      </c>
      <c r="I1841">
        <v>1</v>
      </c>
      <c r="J1841">
        <v>1</v>
      </c>
      <c r="K1841">
        <v>1</v>
      </c>
      <c r="L1841">
        <v>0</v>
      </c>
      <c r="M1841" t="s">
        <v>45</v>
      </c>
      <c r="N1841" t="s">
        <v>43</v>
      </c>
      <c r="O1841" t="s">
        <v>82</v>
      </c>
      <c r="P1841" t="s">
        <v>442</v>
      </c>
      <c r="Q1841" t="s">
        <v>48</v>
      </c>
      <c r="R1841" t="s">
        <v>46</v>
      </c>
      <c r="S1841" t="s">
        <v>65</v>
      </c>
      <c r="T1841">
        <v>0</v>
      </c>
      <c r="U1841">
        <v>1</v>
      </c>
      <c r="V1841">
        <v>1</v>
      </c>
      <c r="W1841">
        <v>0</v>
      </c>
      <c r="X1841">
        <v>1</v>
      </c>
      <c r="Y1841">
        <v>0</v>
      </c>
      <c r="Z1841">
        <v>1</v>
      </c>
      <c r="AA1841">
        <v>0</v>
      </c>
      <c r="AB1841">
        <v>1</v>
      </c>
      <c r="AC1841">
        <v>1</v>
      </c>
      <c r="AD1841">
        <v>0</v>
      </c>
      <c r="AE1841">
        <v>1</v>
      </c>
      <c r="AF1841">
        <v>0</v>
      </c>
      <c r="AG1841">
        <v>0</v>
      </c>
    </row>
    <row r="1842" spans="1:33" x14ac:dyDescent="0.2">
      <c r="A1842">
        <v>1841</v>
      </c>
      <c r="B1842" t="s">
        <v>540</v>
      </c>
      <c r="C1842" t="s">
        <v>108</v>
      </c>
      <c r="D1842">
        <v>50</v>
      </c>
      <c r="E1842" t="s">
        <v>34</v>
      </c>
      <c r="F1842" t="s">
        <v>41</v>
      </c>
      <c r="G1842" t="s">
        <v>61</v>
      </c>
      <c r="H1842">
        <v>11167</v>
      </c>
      <c r="I1842">
        <v>1</v>
      </c>
      <c r="J1842">
        <v>1</v>
      </c>
      <c r="K1842">
        <v>1</v>
      </c>
      <c r="L1842">
        <v>0</v>
      </c>
      <c r="M1842" t="s">
        <v>125</v>
      </c>
      <c r="N1842" t="s">
        <v>62</v>
      </c>
      <c r="O1842" t="s">
        <v>87</v>
      </c>
      <c r="P1842" t="s">
        <v>442</v>
      </c>
      <c r="Q1842" t="s">
        <v>60</v>
      </c>
      <c r="R1842" t="s">
        <v>65</v>
      </c>
      <c r="S1842" t="s">
        <v>47</v>
      </c>
      <c r="T1842">
        <v>1</v>
      </c>
      <c r="U1842">
        <v>1</v>
      </c>
      <c r="V1842">
        <v>0</v>
      </c>
      <c r="W1842">
        <v>1</v>
      </c>
      <c r="X1842">
        <v>0</v>
      </c>
      <c r="Y1842">
        <v>0</v>
      </c>
      <c r="Z1842">
        <v>1</v>
      </c>
      <c r="AA1842">
        <v>1</v>
      </c>
      <c r="AB1842">
        <v>1</v>
      </c>
      <c r="AC1842">
        <v>0</v>
      </c>
      <c r="AD1842">
        <v>1</v>
      </c>
      <c r="AE1842">
        <v>0</v>
      </c>
      <c r="AF1842">
        <v>0</v>
      </c>
      <c r="AG1842">
        <v>0</v>
      </c>
    </row>
    <row r="1843" spans="1:33" hidden="1" x14ac:dyDescent="0.2">
      <c r="A1843">
        <v>1842</v>
      </c>
      <c r="B1843" t="s">
        <v>540</v>
      </c>
      <c r="C1843" t="s">
        <v>108</v>
      </c>
      <c r="D1843">
        <v>50</v>
      </c>
      <c r="E1843" t="s">
        <v>34</v>
      </c>
      <c r="F1843" t="s">
        <v>53</v>
      </c>
      <c r="G1843" t="s">
        <v>76</v>
      </c>
      <c r="H1843">
        <v>10458</v>
      </c>
      <c r="I1843">
        <v>1</v>
      </c>
      <c r="J1843">
        <v>1</v>
      </c>
      <c r="K1843">
        <v>1</v>
      </c>
      <c r="L1843">
        <v>0</v>
      </c>
      <c r="M1843" t="s">
        <v>36</v>
      </c>
      <c r="N1843" t="s">
        <v>36</v>
      </c>
      <c r="O1843" t="s">
        <v>36</v>
      </c>
      <c r="P1843" t="s">
        <v>442</v>
      </c>
      <c r="Q1843" t="s">
        <v>36</v>
      </c>
      <c r="R1843" t="s">
        <v>36</v>
      </c>
      <c r="S1843" t="s">
        <v>36</v>
      </c>
      <c r="T1843" t="s">
        <v>36</v>
      </c>
      <c r="U1843">
        <v>1</v>
      </c>
      <c r="V1843">
        <v>0</v>
      </c>
      <c r="W1843">
        <v>1</v>
      </c>
      <c r="X1843">
        <v>0</v>
      </c>
      <c r="Y1843">
        <v>0</v>
      </c>
      <c r="Z1843">
        <v>1</v>
      </c>
      <c r="AA1843">
        <v>1</v>
      </c>
      <c r="AB1843">
        <v>1</v>
      </c>
      <c r="AC1843">
        <v>0</v>
      </c>
      <c r="AD1843">
        <v>1</v>
      </c>
      <c r="AE1843">
        <v>0</v>
      </c>
      <c r="AF1843">
        <v>0</v>
      </c>
      <c r="AG1843">
        <v>0</v>
      </c>
    </row>
    <row r="1844" spans="1:33" x14ac:dyDescent="0.2">
      <c r="A1844">
        <v>1843</v>
      </c>
      <c r="B1844" t="s">
        <v>540</v>
      </c>
      <c r="C1844" t="s">
        <v>108</v>
      </c>
      <c r="D1844">
        <v>50</v>
      </c>
      <c r="E1844" t="s">
        <v>34</v>
      </c>
      <c r="F1844" t="s">
        <v>41</v>
      </c>
      <c r="G1844" t="s">
        <v>72</v>
      </c>
      <c r="H1844">
        <v>11049</v>
      </c>
      <c r="I1844">
        <v>0</v>
      </c>
      <c r="J1844">
        <v>0</v>
      </c>
      <c r="K1844">
        <v>1</v>
      </c>
      <c r="L1844">
        <v>0</v>
      </c>
      <c r="M1844" t="s">
        <v>75</v>
      </c>
      <c r="N1844" t="s">
        <v>74</v>
      </c>
      <c r="O1844" t="s">
        <v>93</v>
      </c>
      <c r="P1844" t="s">
        <v>442</v>
      </c>
      <c r="Q1844" t="s">
        <v>46</v>
      </c>
      <c r="R1844" t="s">
        <v>47</v>
      </c>
      <c r="S1844" t="s">
        <v>59</v>
      </c>
      <c r="T1844">
        <v>0</v>
      </c>
      <c r="U1844">
        <v>0</v>
      </c>
      <c r="V1844">
        <v>0</v>
      </c>
      <c r="W1844">
        <v>1</v>
      </c>
      <c r="X1844">
        <v>1</v>
      </c>
      <c r="Y1844">
        <v>0</v>
      </c>
      <c r="Z1844">
        <v>1</v>
      </c>
      <c r="AA1844">
        <v>0</v>
      </c>
      <c r="AB1844">
        <v>0</v>
      </c>
      <c r="AC1844">
        <v>0</v>
      </c>
      <c r="AD1844">
        <v>0</v>
      </c>
      <c r="AE1844">
        <v>0</v>
      </c>
      <c r="AF1844">
        <v>0</v>
      </c>
      <c r="AG1844">
        <v>0</v>
      </c>
    </row>
    <row r="1845" spans="1:33" hidden="1" x14ac:dyDescent="0.2">
      <c r="A1845">
        <v>1844</v>
      </c>
      <c r="B1845" t="s">
        <v>540</v>
      </c>
      <c r="C1845" t="s">
        <v>108</v>
      </c>
      <c r="D1845">
        <v>50</v>
      </c>
      <c r="E1845" t="s">
        <v>34</v>
      </c>
      <c r="F1845" t="s">
        <v>53</v>
      </c>
      <c r="G1845" t="s">
        <v>54</v>
      </c>
      <c r="H1845">
        <v>7236</v>
      </c>
      <c r="I1845">
        <v>0</v>
      </c>
      <c r="J1845">
        <v>1</v>
      </c>
      <c r="K1845">
        <v>0</v>
      </c>
      <c r="L1845">
        <v>0</v>
      </c>
      <c r="M1845" t="s">
        <v>36</v>
      </c>
      <c r="N1845" t="s">
        <v>36</v>
      </c>
      <c r="O1845" t="s">
        <v>36</v>
      </c>
      <c r="P1845" t="s">
        <v>442</v>
      </c>
      <c r="Q1845" t="s">
        <v>36</v>
      </c>
      <c r="R1845" t="s">
        <v>36</v>
      </c>
      <c r="S1845" t="s">
        <v>36</v>
      </c>
      <c r="T1845" t="s">
        <v>36</v>
      </c>
      <c r="U1845">
        <v>0</v>
      </c>
      <c r="V1845">
        <v>0</v>
      </c>
      <c r="W1845">
        <v>1</v>
      </c>
      <c r="X1845">
        <v>1</v>
      </c>
      <c r="Y1845">
        <v>0</v>
      </c>
      <c r="Z1845">
        <v>1</v>
      </c>
      <c r="AA1845">
        <v>0</v>
      </c>
      <c r="AB1845">
        <v>0</v>
      </c>
      <c r="AC1845">
        <v>0</v>
      </c>
      <c r="AD1845">
        <v>0</v>
      </c>
      <c r="AE1845">
        <v>0</v>
      </c>
      <c r="AF1845">
        <v>0</v>
      </c>
      <c r="AG1845">
        <v>0</v>
      </c>
    </row>
    <row r="1846" spans="1:33" x14ac:dyDescent="0.2">
      <c r="A1846">
        <v>1845</v>
      </c>
      <c r="B1846" t="s">
        <v>540</v>
      </c>
      <c r="C1846" t="s">
        <v>108</v>
      </c>
      <c r="D1846">
        <v>50</v>
      </c>
      <c r="E1846" t="s">
        <v>34</v>
      </c>
      <c r="F1846" t="s">
        <v>41</v>
      </c>
      <c r="G1846" t="s">
        <v>67</v>
      </c>
      <c r="H1846">
        <v>11499</v>
      </c>
      <c r="I1846">
        <v>0</v>
      </c>
      <c r="J1846">
        <v>1</v>
      </c>
      <c r="K1846">
        <v>1</v>
      </c>
      <c r="L1846">
        <v>0</v>
      </c>
      <c r="M1846" t="s">
        <v>70</v>
      </c>
      <c r="N1846" t="s">
        <v>86</v>
      </c>
      <c r="O1846" t="s">
        <v>69</v>
      </c>
      <c r="P1846" t="s">
        <v>442</v>
      </c>
      <c r="Q1846" t="s">
        <v>47</v>
      </c>
      <c r="R1846" t="s">
        <v>46</v>
      </c>
      <c r="S1846" t="s">
        <v>48</v>
      </c>
      <c r="T1846">
        <v>0</v>
      </c>
      <c r="U1846">
        <v>0</v>
      </c>
      <c r="V1846">
        <v>1</v>
      </c>
      <c r="W1846">
        <v>1</v>
      </c>
      <c r="X1846">
        <v>1</v>
      </c>
      <c r="Y1846">
        <v>0</v>
      </c>
      <c r="Z1846">
        <v>1</v>
      </c>
      <c r="AA1846">
        <v>0</v>
      </c>
      <c r="AB1846">
        <v>0</v>
      </c>
      <c r="AC1846">
        <v>1</v>
      </c>
      <c r="AD1846">
        <v>0</v>
      </c>
      <c r="AE1846">
        <v>1</v>
      </c>
      <c r="AF1846">
        <v>0</v>
      </c>
      <c r="AG1846">
        <v>0</v>
      </c>
    </row>
    <row r="1847" spans="1:33" x14ac:dyDescent="0.2">
      <c r="A1847">
        <v>1846</v>
      </c>
      <c r="B1847" t="s">
        <v>540</v>
      </c>
      <c r="C1847" t="s">
        <v>108</v>
      </c>
      <c r="D1847">
        <v>50</v>
      </c>
      <c r="E1847" t="s">
        <v>34</v>
      </c>
      <c r="F1847" t="s">
        <v>41</v>
      </c>
      <c r="G1847" t="s">
        <v>49</v>
      </c>
      <c r="H1847">
        <v>8246</v>
      </c>
      <c r="I1847">
        <v>0</v>
      </c>
      <c r="J1847">
        <v>1</v>
      </c>
      <c r="K1847">
        <v>0</v>
      </c>
      <c r="L1847">
        <v>0</v>
      </c>
      <c r="M1847" t="s">
        <v>52</v>
      </c>
      <c r="N1847" t="s">
        <v>95</v>
      </c>
      <c r="O1847" t="s">
        <v>50</v>
      </c>
      <c r="P1847" t="s">
        <v>442</v>
      </c>
      <c r="Q1847" t="s">
        <v>46</v>
      </c>
      <c r="R1847" t="s">
        <v>60</v>
      </c>
      <c r="S1847" t="s">
        <v>48</v>
      </c>
      <c r="T1847">
        <v>1</v>
      </c>
      <c r="U1847">
        <v>0</v>
      </c>
      <c r="V1847">
        <v>1</v>
      </c>
      <c r="W1847">
        <v>0</v>
      </c>
      <c r="X1847">
        <v>1</v>
      </c>
      <c r="Y1847">
        <v>0</v>
      </c>
      <c r="Z1847">
        <v>1</v>
      </c>
      <c r="AA1847">
        <v>1</v>
      </c>
      <c r="AB1847">
        <v>0</v>
      </c>
      <c r="AC1847">
        <v>0</v>
      </c>
      <c r="AD1847">
        <v>0</v>
      </c>
      <c r="AE1847">
        <v>0</v>
      </c>
      <c r="AF1847">
        <v>0</v>
      </c>
      <c r="AG1847">
        <v>0</v>
      </c>
    </row>
    <row r="1848" spans="1:33" hidden="1" x14ac:dyDescent="0.2">
      <c r="A1848">
        <v>1847</v>
      </c>
      <c r="B1848" t="s">
        <v>540</v>
      </c>
      <c r="C1848" t="s">
        <v>108</v>
      </c>
      <c r="D1848">
        <v>50</v>
      </c>
      <c r="E1848" t="s">
        <v>34</v>
      </c>
      <c r="F1848" t="s">
        <v>53</v>
      </c>
      <c r="G1848" t="s">
        <v>71</v>
      </c>
      <c r="H1848">
        <v>5747</v>
      </c>
      <c r="I1848">
        <v>0</v>
      </c>
      <c r="J1848">
        <v>0</v>
      </c>
      <c r="K1848">
        <v>1</v>
      </c>
      <c r="L1848">
        <v>0</v>
      </c>
      <c r="M1848" t="s">
        <v>36</v>
      </c>
      <c r="N1848" t="s">
        <v>36</v>
      </c>
      <c r="O1848" t="s">
        <v>36</v>
      </c>
      <c r="P1848" t="s">
        <v>442</v>
      </c>
      <c r="Q1848" t="s">
        <v>36</v>
      </c>
      <c r="R1848" t="s">
        <v>36</v>
      </c>
      <c r="S1848" t="s">
        <v>36</v>
      </c>
      <c r="T1848" t="s">
        <v>36</v>
      </c>
      <c r="U1848">
        <v>0</v>
      </c>
      <c r="V1848">
        <v>1</v>
      </c>
      <c r="W1848">
        <v>0</v>
      </c>
      <c r="X1848">
        <v>1</v>
      </c>
      <c r="Y1848">
        <v>0</v>
      </c>
      <c r="Z1848">
        <v>1</v>
      </c>
      <c r="AA1848">
        <v>1</v>
      </c>
      <c r="AB1848">
        <v>0</v>
      </c>
      <c r="AC1848">
        <v>0</v>
      </c>
      <c r="AD1848">
        <v>0</v>
      </c>
      <c r="AE1848">
        <v>0</v>
      </c>
      <c r="AF1848">
        <v>0</v>
      </c>
      <c r="AG1848">
        <v>0</v>
      </c>
    </row>
    <row r="1849" spans="1:33" hidden="1" x14ac:dyDescent="0.2">
      <c r="A1849">
        <v>1848</v>
      </c>
      <c r="B1849" t="s">
        <v>540</v>
      </c>
      <c r="C1849" t="s">
        <v>108</v>
      </c>
      <c r="D1849">
        <v>50</v>
      </c>
      <c r="E1849" t="s">
        <v>34</v>
      </c>
      <c r="F1849" t="s">
        <v>77</v>
      </c>
      <c r="G1849" t="s">
        <v>36</v>
      </c>
      <c r="H1849">
        <v>105161</v>
      </c>
      <c r="I1849" t="s">
        <v>541</v>
      </c>
      <c r="J1849" t="s">
        <v>542</v>
      </c>
      <c r="K1849" t="s">
        <v>443</v>
      </c>
      <c r="L1849" t="s">
        <v>36</v>
      </c>
      <c r="M1849" t="s">
        <v>36</v>
      </c>
      <c r="N1849" t="s">
        <v>36</v>
      </c>
      <c r="O1849" t="s">
        <v>36</v>
      </c>
      <c r="P1849" t="s">
        <v>442</v>
      </c>
      <c r="Q1849" t="s">
        <v>36</v>
      </c>
      <c r="R1849" t="s">
        <v>36</v>
      </c>
      <c r="S1849" t="s">
        <v>36</v>
      </c>
      <c r="T1849" t="s">
        <v>36</v>
      </c>
      <c r="U1849" t="s">
        <v>36</v>
      </c>
      <c r="V1849" t="s">
        <v>36</v>
      </c>
      <c r="W1849" t="s">
        <v>36</v>
      </c>
      <c r="X1849" t="s">
        <v>36</v>
      </c>
      <c r="Y1849" t="s">
        <v>36</v>
      </c>
      <c r="Z1849" t="s">
        <v>36</v>
      </c>
      <c r="AA1849" t="s">
        <v>36</v>
      </c>
      <c r="AB1849" t="s">
        <v>36</v>
      </c>
      <c r="AC1849" t="s">
        <v>36</v>
      </c>
      <c r="AD1849" t="s">
        <v>36</v>
      </c>
      <c r="AE1849" t="s">
        <v>36</v>
      </c>
      <c r="AF1849" t="s">
        <v>36</v>
      </c>
      <c r="AG1849" t="s">
        <v>36</v>
      </c>
    </row>
    <row r="1850" spans="1:33" hidden="1" x14ac:dyDescent="0.2">
      <c r="A1850">
        <v>1849</v>
      </c>
      <c r="B1850" t="s">
        <v>543</v>
      </c>
      <c r="C1850" t="s">
        <v>174</v>
      </c>
      <c r="D1850">
        <v>30</v>
      </c>
      <c r="E1850" t="s">
        <v>544</v>
      </c>
      <c r="F1850" t="s">
        <v>35</v>
      </c>
      <c r="G1850" t="s">
        <v>36</v>
      </c>
      <c r="H1850">
        <v>30903</v>
      </c>
      <c r="I1850" t="s">
        <v>36</v>
      </c>
      <c r="J1850" t="s">
        <v>36</v>
      </c>
      <c r="K1850" t="s">
        <v>36</v>
      </c>
      <c r="L1850" t="s">
        <v>36</v>
      </c>
      <c r="M1850" t="s">
        <v>36</v>
      </c>
      <c r="N1850" t="s">
        <v>36</v>
      </c>
      <c r="O1850" t="s">
        <v>36</v>
      </c>
      <c r="P1850" t="s">
        <v>442</v>
      </c>
      <c r="Q1850" t="s">
        <v>36</v>
      </c>
      <c r="R1850" t="s">
        <v>36</v>
      </c>
      <c r="S1850" t="s">
        <v>36</v>
      </c>
      <c r="T1850" t="s">
        <v>36</v>
      </c>
      <c r="U1850" t="s">
        <v>36</v>
      </c>
      <c r="V1850" t="s">
        <v>36</v>
      </c>
      <c r="W1850" t="s">
        <v>36</v>
      </c>
      <c r="X1850" t="s">
        <v>36</v>
      </c>
      <c r="Y1850" t="s">
        <v>36</v>
      </c>
      <c r="Z1850" t="s">
        <v>36</v>
      </c>
      <c r="AA1850" t="s">
        <v>36</v>
      </c>
      <c r="AB1850" t="s">
        <v>36</v>
      </c>
      <c r="AC1850" t="s">
        <v>36</v>
      </c>
      <c r="AD1850" t="s">
        <v>36</v>
      </c>
      <c r="AE1850" t="s">
        <v>36</v>
      </c>
      <c r="AF1850" t="s">
        <v>36</v>
      </c>
      <c r="AG1850" t="s">
        <v>36</v>
      </c>
    </row>
    <row r="1851" spans="1:33" hidden="1" x14ac:dyDescent="0.2">
      <c r="A1851">
        <v>1850</v>
      </c>
      <c r="B1851" t="s">
        <v>543</v>
      </c>
      <c r="C1851" t="s">
        <v>174</v>
      </c>
      <c r="D1851">
        <v>30</v>
      </c>
      <c r="E1851" t="s">
        <v>544</v>
      </c>
      <c r="F1851" t="s">
        <v>38</v>
      </c>
      <c r="G1851" t="s">
        <v>40</v>
      </c>
      <c r="H1851">
        <v>69876</v>
      </c>
      <c r="I1851">
        <v>0</v>
      </c>
      <c r="J1851">
        <v>1</v>
      </c>
      <c r="K1851">
        <v>1</v>
      </c>
      <c r="L1851">
        <v>0</v>
      </c>
      <c r="M1851" t="s">
        <v>36</v>
      </c>
      <c r="N1851" t="s">
        <v>36</v>
      </c>
      <c r="O1851" t="s">
        <v>36</v>
      </c>
      <c r="P1851" t="s">
        <v>442</v>
      </c>
      <c r="Q1851" t="s">
        <v>36</v>
      </c>
      <c r="R1851" t="s">
        <v>36</v>
      </c>
      <c r="S1851" t="s">
        <v>36</v>
      </c>
      <c r="T1851" t="s">
        <v>36</v>
      </c>
      <c r="U1851" t="s">
        <v>36</v>
      </c>
      <c r="V1851" t="s">
        <v>36</v>
      </c>
      <c r="W1851" t="s">
        <v>36</v>
      </c>
      <c r="X1851" t="s">
        <v>36</v>
      </c>
      <c r="Y1851" t="s">
        <v>36</v>
      </c>
      <c r="Z1851" t="s">
        <v>36</v>
      </c>
      <c r="AA1851" t="s">
        <v>36</v>
      </c>
      <c r="AB1851" t="s">
        <v>36</v>
      </c>
      <c r="AC1851" t="s">
        <v>36</v>
      </c>
      <c r="AD1851" t="s">
        <v>36</v>
      </c>
      <c r="AE1851" t="s">
        <v>36</v>
      </c>
      <c r="AF1851" t="s">
        <v>36</v>
      </c>
      <c r="AG1851" t="s">
        <v>36</v>
      </c>
    </row>
    <row r="1852" spans="1:33" hidden="1" x14ac:dyDescent="0.2">
      <c r="A1852">
        <v>1851</v>
      </c>
      <c r="B1852" t="s">
        <v>543</v>
      </c>
      <c r="C1852" t="s">
        <v>174</v>
      </c>
      <c r="D1852">
        <v>30</v>
      </c>
      <c r="E1852" t="s">
        <v>544</v>
      </c>
      <c r="F1852" t="s">
        <v>38</v>
      </c>
      <c r="G1852" t="s">
        <v>39</v>
      </c>
      <c r="H1852">
        <v>66814</v>
      </c>
      <c r="I1852">
        <v>0</v>
      </c>
      <c r="J1852">
        <v>0</v>
      </c>
      <c r="K1852">
        <v>0</v>
      </c>
      <c r="L1852">
        <v>1</v>
      </c>
      <c r="M1852" t="s">
        <v>36</v>
      </c>
      <c r="N1852" t="s">
        <v>36</v>
      </c>
      <c r="O1852" t="s">
        <v>36</v>
      </c>
      <c r="P1852" t="s">
        <v>442</v>
      </c>
      <c r="Q1852" t="s">
        <v>36</v>
      </c>
      <c r="R1852" t="s">
        <v>36</v>
      </c>
      <c r="S1852" t="s">
        <v>36</v>
      </c>
      <c r="T1852" t="s">
        <v>36</v>
      </c>
      <c r="U1852" t="s">
        <v>36</v>
      </c>
      <c r="V1852" t="s">
        <v>36</v>
      </c>
      <c r="W1852" t="s">
        <v>36</v>
      </c>
      <c r="X1852" t="s">
        <v>36</v>
      </c>
      <c r="Y1852" t="s">
        <v>36</v>
      </c>
      <c r="Z1852" t="s">
        <v>36</v>
      </c>
      <c r="AA1852" t="s">
        <v>36</v>
      </c>
      <c r="AB1852" t="s">
        <v>36</v>
      </c>
      <c r="AC1852" t="s">
        <v>36</v>
      </c>
      <c r="AD1852" t="s">
        <v>36</v>
      </c>
      <c r="AE1852" t="s">
        <v>36</v>
      </c>
      <c r="AF1852" t="s">
        <v>36</v>
      </c>
      <c r="AG1852" t="s">
        <v>36</v>
      </c>
    </row>
    <row r="1853" spans="1:33" x14ac:dyDescent="0.2">
      <c r="A1853">
        <v>1852</v>
      </c>
      <c r="B1853" t="s">
        <v>543</v>
      </c>
      <c r="C1853" t="s">
        <v>174</v>
      </c>
      <c r="D1853">
        <v>30</v>
      </c>
      <c r="E1853" t="s">
        <v>544</v>
      </c>
      <c r="F1853" t="s">
        <v>41</v>
      </c>
      <c r="G1853" t="s">
        <v>42</v>
      </c>
      <c r="H1853">
        <v>30087</v>
      </c>
      <c r="I1853">
        <v>0</v>
      </c>
      <c r="J1853">
        <v>0</v>
      </c>
      <c r="K1853">
        <v>0</v>
      </c>
      <c r="L1853">
        <v>1</v>
      </c>
      <c r="M1853" t="s">
        <v>82</v>
      </c>
      <c r="N1853" t="s">
        <v>43</v>
      </c>
      <c r="O1853" t="s">
        <v>44</v>
      </c>
      <c r="P1853" t="s">
        <v>442</v>
      </c>
      <c r="Q1853" t="s">
        <v>65</v>
      </c>
      <c r="R1853" t="s">
        <v>46</v>
      </c>
      <c r="S1853" t="s">
        <v>47</v>
      </c>
      <c r="T1853">
        <v>0</v>
      </c>
      <c r="U1853">
        <v>1</v>
      </c>
      <c r="V1853">
        <v>0</v>
      </c>
      <c r="W1853">
        <v>1</v>
      </c>
      <c r="X1853">
        <v>1</v>
      </c>
      <c r="Y1853">
        <v>0</v>
      </c>
      <c r="Z1853">
        <v>1</v>
      </c>
      <c r="AA1853">
        <v>0</v>
      </c>
      <c r="AB1853">
        <v>0</v>
      </c>
      <c r="AC1853">
        <v>0</v>
      </c>
      <c r="AD1853">
        <v>0</v>
      </c>
      <c r="AE1853">
        <v>0</v>
      </c>
      <c r="AF1853">
        <v>0</v>
      </c>
      <c r="AG1853">
        <v>1</v>
      </c>
    </row>
    <row r="1854" spans="1:33" x14ac:dyDescent="0.2">
      <c r="A1854">
        <v>1853</v>
      </c>
      <c r="B1854" t="s">
        <v>543</v>
      </c>
      <c r="C1854" t="s">
        <v>174</v>
      </c>
      <c r="D1854">
        <v>30</v>
      </c>
      <c r="E1854" t="s">
        <v>544</v>
      </c>
      <c r="F1854" t="s">
        <v>41</v>
      </c>
      <c r="G1854" t="s">
        <v>61</v>
      </c>
      <c r="H1854">
        <v>35700</v>
      </c>
      <c r="I1854">
        <v>0</v>
      </c>
      <c r="J1854">
        <v>0</v>
      </c>
      <c r="K1854">
        <v>0</v>
      </c>
      <c r="L1854">
        <v>1</v>
      </c>
      <c r="M1854" t="s">
        <v>97</v>
      </c>
      <c r="N1854" t="s">
        <v>87</v>
      </c>
      <c r="O1854" t="s">
        <v>125</v>
      </c>
      <c r="P1854" t="s">
        <v>442</v>
      </c>
      <c r="Q1854" t="s">
        <v>59</v>
      </c>
      <c r="R1854" t="s">
        <v>47</v>
      </c>
      <c r="S1854" t="s">
        <v>60</v>
      </c>
      <c r="T1854">
        <v>1</v>
      </c>
      <c r="U1854">
        <v>0</v>
      </c>
      <c r="V1854">
        <v>0</v>
      </c>
      <c r="W1854">
        <v>1</v>
      </c>
      <c r="X1854">
        <v>0</v>
      </c>
      <c r="Y1854">
        <v>0</v>
      </c>
      <c r="Z1854">
        <v>1</v>
      </c>
      <c r="AA1854">
        <v>0</v>
      </c>
      <c r="AB1854">
        <v>0</v>
      </c>
      <c r="AC1854">
        <v>0</v>
      </c>
      <c r="AD1854">
        <v>0</v>
      </c>
      <c r="AE1854">
        <v>0</v>
      </c>
      <c r="AF1854">
        <v>0</v>
      </c>
      <c r="AG1854">
        <v>1</v>
      </c>
    </row>
    <row r="1855" spans="1:33" hidden="1" x14ac:dyDescent="0.2">
      <c r="A1855">
        <v>1854</v>
      </c>
      <c r="B1855" t="s">
        <v>543</v>
      </c>
      <c r="C1855" t="s">
        <v>174</v>
      </c>
      <c r="D1855">
        <v>30</v>
      </c>
      <c r="E1855" t="s">
        <v>544</v>
      </c>
      <c r="F1855" t="s">
        <v>53</v>
      </c>
      <c r="G1855" t="s">
        <v>76</v>
      </c>
      <c r="H1855">
        <v>28290</v>
      </c>
      <c r="I1855">
        <v>1</v>
      </c>
      <c r="J1855">
        <v>0</v>
      </c>
      <c r="K1855">
        <v>0</v>
      </c>
      <c r="L1855">
        <v>0</v>
      </c>
      <c r="M1855" t="s">
        <v>36</v>
      </c>
      <c r="N1855" t="s">
        <v>36</v>
      </c>
      <c r="O1855" t="s">
        <v>36</v>
      </c>
      <c r="P1855" t="s">
        <v>442</v>
      </c>
      <c r="Q1855" t="s">
        <v>36</v>
      </c>
      <c r="R1855" t="s">
        <v>36</v>
      </c>
      <c r="S1855" t="s">
        <v>36</v>
      </c>
      <c r="T1855" t="s">
        <v>36</v>
      </c>
      <c r="U1855">
        <v>0</v>
      </c>
      <c r="V1855">
        <v>0</v>
      </c>
      <c r="W1855">
        <v>1</v>
      </c>
      <c r="X1855">
        <v>0</v>
      </c>
      <c r="Y1855">
        <v>0</v>
      </c>
      <c r="Z1855">
        <v>1</v>
      </c>
      <c r="AA1855">
        <v>0</v>
      </c>
      <c r="AB1855">
        <v>0</v>
      </c>
      <c r="AC1855">
        <v>0</v>
      </c>
      <c r="AD1855">
        <v>0</v>
      </c>
      <c r="AE1855">
        <v>0</v>
      </c>
      <c r="AF1855">
        <v>0</v>
      </c>
      <c r="AG1855">
        <v>1</v>
      </c>
    </row>
    <row r="1856" spans="1:33" x14ac:dyDescent="0.2">
      <c r="A1856">
        <v>1855</v>
      </c>
      <c r="B1856" t="s">
        <v>543</v>
      </c>
      <c r="C1856" t="s">
        <v>174</v>
      </c>
      <c r="D1856">
        <v>30</v>
      </c>
      <c r="E1856" t="s">
        <v>544</v>
      </c>
      <c r="F1856" t="s">
        <v>41</v>
      </c>
      <c r="G1856" t="s">
        <v>72</v>
      </c>
      <c r="H1856">
        <v>42658</v>
      </c>
      <c r="I1856">
        <v>0</v>
      </c>
      <c r="J1856">
        <v>0</v>
      </c>
      <c r="K1856">
        <v>0</v>
      </c>
      <c r="L1856">
        <v>1</v>
      </c>
      <c r="M1856" t="s">
        <v>93</v>
      </c>
      <c r="N1856" t="s">
        <v>74</v>
      </c>
      <c r="O1856" t="s">
        <v>115</v>
      </c>
      <c r="P1856" t="s">
        <v>442</v>
      </c>
      <c r="Q1856" t="s">
        <v>59</v>
      </c>
      <c r="R1856" t="s">
        <v>47</v>
      </c>
      <c r="S1856" t="s">
        <v>65</v>
      </c>
      <c r="T1856">
        <v>0</v>
      </c>
      <c r="U1856">
        <v>1</v>
      </c>
      <c r="V1856">
        <v>0</v>
      </c>
      <c r="W1856">
        <v>1</v>
      </c>
      <c r="X1856">
        <v>0</v>
      </c>
      <c r="Y1856">
        <v>0</v>
      </c>
      <c r="Z1856">
        <v>1</v>
      </c>
      <c r="AA1856">
        <v>0</v>
      </c>
      <c r="AB1856">
        <v>0</v>
      </c>
      <c r="AC1856">
        <v>0</v>
      </c>
      <c r="AD1856">
        <v>0</v>
      </c>
      <c r="AE1856">
        <v>0</v>
      </c>
      <c r="AF1856">
        <v>0</v>
      </c>
      <c r="AG1856">
        <v>1</v>
      </c>
    </row>
    <row r="1857" spans="1:33" hidden="1" x14ac:dyDescent="0.2">
      <c r="A1857">
        <v>1856</v>
      </c>
      <c r="B1857" t="s">
        <v>543</v>
      </c>
      <c r="C1857" t="s">
        <v>174</v>
      </c>
      <c r="D1857">
        <v>30</v>
      </c>
      <c r="E1857" t="s">
        <v>544</v>
      </c>
      <c r="F1857" t="s">
        <v>53</v>
      </c>
      <c r="G1857" t="s">
        <v>71</v>
      </c>
      <c r="H1857">
        <v>45294</v>
      </c>
      <c r="I1857">
        <v>0</v>
      </c>
      <c r="J1857">
        <v>0</v>
      </c>
      <c r="K1857">
        <v>0</v>
      </c>
      <c r="L1857">
        <v>1</v>
      </c>
      <c r="M1857" t="s">
        <v>36</v>
      </c>
      <c r="N1857" t="s">
        <v>36</v>
      </c>
      <c r="O1857" t="s">
        <v>36</v>
      </c>
      <c r="P1857" t="s">
        <v>442</v>
      </c>
      <c r="Q1857" t="s">
        <v>36</v>
      </c>
      <c r="R1857" t="s">
        <v>36</v>
      </c>
      <c r="S1857" t="s">
        <v>36</v>
      </c>
      <c r="T1857" t="s">
        <v>36</v>
      </c>
      <c r="U1857">
        <v>1</v>
      </c>
      <c r="V1857">
        <v>0</v>
      </c>
      <c r="W1857">
        <v>1</v>
      </c>
      <c r="X1857">
        <v>0</v>
      </c>
      <c r="Y1857">
        <v>0</v>
      </c>
      <c r="Z1857">
        <v>1</v>
      </c>
      <c r="AA1857">
        <v>0</v>
      </c>
      <c r="AB1857">
        <v>0</v>
      </c>
      <c r="AC1857">
        <v>0</v>
      </c>
      <c r="AD1857">
        <v>0</v>
      </c>
      <c r="AE1857">
        <v>0</v>
      </c>
      <c r="AF1857">
        <v>0</v>
      </c>
      <c r="AG1857">
        <v>1</v>
      </c>
    </row>
    <row r="1858" spans="1:33" x14ac:dyDescent="0.2">
      <c r="A1858">
        <v>1857</v>
      </c>
      <c r="B1858" t="s">
        <v>543</v>
      </c>
      <c r="C1858" t="s">
        <v>174</v>
      </c>
      <c r="D1858">
        <v>30</v>
      </c>
      <c r="E1858" t="s">
        <v>544</v>
      </c>
      <c r="F1858" t="s">
        <v>41</v>
      </c>
      <c r="G1858" t="s">
        <v>67</v>
      </c>
      <c r="H1858">
        <v>122021</v>
      </c>
      <c r="I1858">
        <v>1</v>
      </c>
      <c r="J1858">
        <v>1</v>
      </c>
      <c r="K1858">
        <v>1</v>
      </c>
      <c r="L1858">
        <v>0</v>
      </c>
      <c r="M1858" t="s">
        <v>86</v>
      </c>
      <c r="N1858" t="s">
        <v>68</v>
      </c>
      <c r="O1858" t="s">
        <v>70</v>
      </c>
      <c r="P1858" t="s">
        <v>442</v>
      </c>
      <c r="Q1858" t="s">
        <v>46</v>
      </c>
      <c r="R1858" t="s">
        <v>65</v>
      </c>
      <c r="S1858" t="s">
        <v>47</v>
      </c>
      <c r="T1858">
        <v>0</v>
      </c>
      <c r="U1858">
        <v>1</v>
      </c>
      <c r="V1858">
        <v>0</v>
      </c>
      <c r="W1858">
        <v>1</v>
      </c>
      <c r="X1858">
        <v>1</v>
      </c>
      <c r="Y1858">
        <v>0</v>
      </c>
      <c r="Z1858">
        <v>1</v>
      </c>
      <c r="AA1858">
        <v>0</v>
      </c>
      <c r="AB1858">
        <v>1</v>
      </c>
      <c r="AC1858">
        <v>0</v>
      </c>
      <c r="AD1858">
        <v>1</v>
      </c>
      <c r="AE1858">
        <v>1</v>
      </c>
      <c r="AF1858">
        <v>0</v>
      </c>
      <c r="AG1858">
        <v>0</v>
      </c>
    </row>
    <row r="1859" spans="1:33" x14ac:dyDescent="0.2">
      <c r="A1859">
        <v>1858</v>
      </c>
      <c r="B1859" t="s">
        <v>543</v>
      </c>
      <c r="C1859" t="s">
        <v>174</v>
      </c>
      <c r="D1859">
        <v>30</v>
      </c>
      <c r="E1859" t="s">
        <v>544</v>
      </c>
      <c r="F1859" t="s">
        <v>41</v>
      </c>
      <c r="G1859" t="s">
        <v>55</v>
      </c>
      <c r="H1859">
        <v>33138</v>
      </c>
      <c r="I1859">
        <v>1</v>
      </c>
      <c r="J1859">
        <v>1</v>
      </c>
      <c r="K1859">
        <v>1</v>
      </c>
      <c r="L1859">
        <v>0</v>
      </c>
      <c r="M1859" t="s">
        <v>58</v>
      </c>
      <c r="N1859" t="s">
        <v>84</v>
      </c>
      <c r="O1859" t="s">
        <v>56</v>
      </c>
      <c r="P1859" t="s">
        <v>442</v>
      </c>
      <c r="Q1859" t="s">
        <v>60</v>
      </c>
      <c r="R1859" t="s">
        <v>46</v>
      </c>
      <c r="S1859" t="s">
        <v>59</v>
      </c>
      <c r="T1859">
        <v>1</v>
      </c>
      <c r="U1859">
        <v>0</v>
      </c>
      <c r="V1859">
        <v>0</v>
      </c>
      <c r="W1859">
        <v>0</v>
      </c>
      <c r="X1859">
        <v>1</v>
      </c>
      <c r="Y1859">
        <v>0</v>
      </c>
      <c r="Z1859">
        <v>1</v>
      </c>
      <c r="AA1859">
        <v>1</v>
      </c>
      <c r="AB1859">
        <v>0</v>
      </c>
      <c r="AC1859">
        <v>0</v>
      </c>
      <c r="AD1859">
        <v>0</v>
      </c>
      <c r="AE1859">
        <v>1</v>
      </c>
      <c r="AF1859">
        <v>0</v>
      </c>
      <c r="AG1859">
        <v>0</v>
      </c>
    </row>
    <row r="1860" spans="1:33" hidden="1" x14ac:dyDescent="0.2">
      <c r="A1860">
        <v>1859</v>
      </c>
      <c r="B1860" t="s">
        <v>543</v>
      </c>
      <c r="C1860" t="s">
        <v>174</v>
      </c>
      <c r="D1860">
        <v>30</v>
      </c>
      <c r="E1860" t="s">
        <v>544</v>
      </c>
      <c r="F1860" t="s">
        <v>53</v>
      </c>
      <c r="G1860" t="s">
        <v>54</v>
      </c>
      <c r="H1860">
        <v>43560</v>
      </c>
      <c r="I1860">
        <v>1</v>
      </c>
      <c r="J1860">
        <v>1</v>
      </c>
      <c r="K1860">
        <v>1</v>
      </c>
      <c r="L1860">
        <v>0</v>
      </c>
      <c r="M1860" t="s">
        <v>36</v>
      </c>
      <c r="N1860" t="s">
        <v>36</v>
      </c>
      <c r="O1860" t="s">
        <v>36</v>
      </c>
      <c r="P1860" t="s">
        <v>442</v>
      </c>
      <c r="Q1860" t="s">
        <v>36</v>
      </c>
      <c r="R1860" t="s">
        <v>36</v>
      </c>
      <c r="S1860" t="s">
        <v>36</v>
      </c>
      <c r="T1860" t="s">
        <v>36</v>
      </c>
      <c r="U1860">
        <v>0</v>
      </c>
      <c r="V1860">
        <v>0</v>
      </c>
      <c r="W1860">
        <v>0</v>
      </c>
      <c r="X1860">
        <v>1</v>
      </c>
      <c r="Y1860">
        <v>0</v>
      </c>
      <c r="Z1860">
        <v>1</v>
      </c>
      <c r="AA1860">
        <v>1</v>
      </c>
      <c r="AB1860">
        <v>0</v>
      </c>
      <c r="AC1860">
        <v>0</v>
      </c>
      <c r="AD1860">
        <v>0</v>
      </c>
      <c r="AE1860">
        <v>1</v>
      </c>
      <c r="AF1860">
        <v>0</v>
      </c>
      <c r="AG1860">
        <v>0</v>
      </c>
    </row>
    <row r="1861" spans="1:33" x14ac:dyDescent="0.2">
      <c r="A1861">
        <v>1860</v>
      </c>
      <c r="B1861" t="s">
        <v>543</v>
      </c>
      <c r="C1861" t="s">
        <v>174</v>
      </c>
      <c r="D1861">
        <v>30</v>
      </c>
      <c r="E1861" t="s">
        <v>544</v>
      </c>
      <c r="F1861" t="s">
        <v>41</v>
      </c>
      <c r="G1861" t="s">
        <v>49</v>
      </c>
      <c r="H1861">
        <v>26338</v>
      </c>
      <c r="I1861">
        <v>0</v>
      </c>
      <c r="J1861">
        <v>0</v>
      </c>
      <c r="K1861">
        <v>0</v>
      </c>
      <c r="L1861">
        <v>1</v>
      </c>
      <c r="M1861" t="s">
        <v>52</v>
      </c>
      <c r="N1861" t="s">
        <v>95</v>
      </c>
      <c r="O1861" t="s">
        <v>51</v>
      </c>
      <c r="P1861" t="s">
        <v>442</v>
      </c>
      <c r="Q1861" t="s">
        <v>46</v>
      </c>
      <c r="R1861" t="s">
        <v>60</v>
      </c>
      <c r="S1861" t="s">
        <v>47</v>
      </c>
      <c r="T1861">
        <v>1</v>
      </c>
      <c r="U1861">
        <v>0</v>
      </c>
      <c r="V1861">
        <v>0</v>
      </c>
      <c r="W1861">
        <v>1</v>
      </c>
      <c r="X1861">
        <v>1</v>
      </c>
      <c r="Y1861">
        <v>0</v>
      </c>
      <c r="Z1861">
        <v>1</v>
      </c>
      <c r="AA1861">
        <v>0</v>
      </c>
      <c r="AB1861">
        <v>0</v>
      </c>
      <c r="AC1861">
        <v>0</v>
      </c>
      <c r="AD1861">
        <v>0</v>
      </c>
      <c r="AE1861">
        <v>0</v>
      </c>
      <c r="AF1861">
        <v>0</v>
      </c>
      <c r="AG1861">
        <v>1</v>
      </c>
    </row>
    <row r="1862" spans="1:33" hidden="1" x14ac:dyDescent="0.2">
      <c r="A1862">
        <v>1861</v>
      </c>
      <c r="B1862" t="s">
        <v>543</v>
      </c>
      <c r="C1862" t="s">
        <v>174</v>
      </c>
      <c r="D1862">
        <v>30</v>
      </c>
      <c r="E1862" t="s">
        <v>544</v>
      </c>
      <c r="F1862" t="s">
        <v>53</v>
      </c>
      <c r="G1862" t="s">
        <v>66</v>
      </c>
      <c r="H1862">
        <v>26824</v>
      </c>
      <c r="I1862">
        <v>0</v>
      </c>
      <c r="J1862">
        <v>0</v>
      </c>
      <c r="K1862">
        <v>1</v>
      </c>
      <c r="L1862">
        <v>0</v>
      </c>
      <c r="M1862" t="s">
        <v>36</v>
      </c>
      <c r="N1862" t="s">
        <v>36</v>
      </c>
      <c r="O1862" t="s">
        <v>36</v>
      </c>
      <c r="P1862" t="s">
        <v>442</v>
      </c>
      <c r="Q1862" t="s">
        <v>36</v>
      </c>
      <c r="R1862" t="s">
        <v>36</v>
      </c>
      <c r="S1862" t="s">
        <v>36</v>
      </c>
      <c r="T1862" t="s">
        <v>36</v>
      </c>
      <c r="U1862">
        <v>0</v>
      </c>
      <c r="V1862">
        <v>0</v>
      </c>
      <c r="W1862">
        <v>1</v>
      </c>
      <c r="X1862">
        <v>1</v>
      </c>
      <c r="Y1862">
        <v>0</v>
      </c>
      <c r="Z1862">
        <v>1</v>
      </c>
      <c r="AA1862">
        <v>0</v>
      </c>
      <c r="AB1862">
        <v>0</v>
      </c>
      <c r="AC1862">
        <v>0</v>
      </c>
      <c r="AD1862">
        <v>0</v>
      </c>
      <c r="AE1862">
        <v>0</v>
      </c>
      <c r="AF1862">
        <v>0</v>
      </c>
      <c r="AG1862">
        <v>1</v>
      </c>
    </row>
    <row r="1863" spans="1:33" hidden="1" x14ac:dyDescent="0.2">
      <c r="A1863">
        <v>1862</v>
      </c>
      <c r="B1863" t="s">
        <v>543</v>
      </c>
      <c r="C1863" t="s">
        <v>174</v>
      </c>
      <c r="D1863">
        <v>30</v>
      </c>
      <c r="E1863" t="s">
        <v>544</v>
      </c>
      <c r="F1863" t="s">
        <v>77</v>
      </c>
      <c r="G1863" t="s">
        <v>36</v>
      </c>
      <c r="H1863">
        <v>97523</v>
      </c>
      <c r="I1863" t="s">
        <v>545</v>
      </c>
      <c r="J1863" t="s">
        <v>546</v>
      </c>
      <c r="K1863" t="s">
        <v>162</v>
      </c>
      <c r="L1863" t="s">
        <v>36</v>
      </c>
      <c r="M1863" t="s">
        <v>36</v>
      </c>
      <c r="N1863" t="s">
        <v>36</v>
      </c>
      <c r="O1863" t="s">
        <v>36</v>
      </c>
      <c r="P1863" t="s">
        <v>442</v>
      </c>
      <c r="Q1863" t="s">
        <v>36</v>
      </c>
      <c r="R1863" t="s">
        <v>36</v>
      </c>
      <c r="S1863" t="s">
        <v>36</v>
      </c>
      <c r="T1863" t="s">
        <v>36</v>
      </c>
      <c r="U1863" t="s">
        <v>36</v>
      </c>
      <c r="V1863" t="s">
        <v>36</v>
      </c>
      <c r="W1863" t="s">
        <v>36</v>
      </c>
      <c r="X1863" t="s">
        <v>36</v>
      </c>
      <c r="Y1863" t="s">
        <v>36</v>
      </c>
      <c r="Z1863" t="s">
        <v>36</v>
      </c>
      <c r="AA1863" t="s">
        <v>36</v>
      </c>
      <c r="AB1863" t="s">
        <v>36</v>
      </c>
      <c r="AC1863" t="s">
        <v>36</v>
      </c>
      <c r="AD1863" t="s">
        <v>36</v>
      </c>
      <c r="AE1863" t="s">
        <v>36</v>
      </c>
      <c r="AF1863" t="s">
        <v>36</v>
      </c>
      <c r="AG1863" t="s">
        <v>36</v>
      </c>
    </row>
    <row r="1864" spans="1:33" hidden="1" x14ac:dyDescent="0.2">
      <c r="A1864">
        <v>1863</v>
      </c>
      <c r="B1864" t="s">
        <v>547</v>
      </c>
      <c r="C1864" t="s">
        <v>548</v>
      </c>
      <c r="D1864">
        <v>26</v>
      </c>
      <c r="E1864" t="s">
        <v>114</v>
      </c>
      <c r="F1864" t="s">
        <v>35</v>
      </c>
      <c r="G1864" t="s">
        <v>36</v>
      </c>
      <c r="H1864">
        <v>27483</v>
      </c>
      <c r="I1864" t="s">
        <v>36</v>
      </c>
      <c r="J1864" t="s">
        <v>36</v>
      </c>
      <c r="K1864" t="s">
        <v>36</v>
      </c>
      <c r="L1864" t="s">
        <v>36</v>
      </c>
      <c r="M1864" t="s">
        <v>36</v>
      </c>
      <c r="N1864" t="s">
        <v>36</v>
      </c>
      <c r="O1864" t="s">
        <v>36</v>
      </c>
      <c r="P1864" t="s">
        <v>442</v>
      </c>
      <c r="Q1864" t="s">
        <v>36</v>
      </c>
      <c r="R1864" t="s">
        <v>36</v>
      </c>
      <c r="S1864" t="s">
        <v>36</v>
      </c>
      <c r="T1864" t="s">
        <v>36</v>
      </c>
      <c r="U1864" t="s">
        <v>36</v>
      </c>
      <c r="V1864" t="s">
        <v>36</v>
      </c>
      <c r="W1864" t="s">
        <v>36</v>
      </c>
      <c r="X1864" t="s">
        <v>36</v>
      </c>
      <c r="Y1864" t="s">
        <v>36</v>
      </c>
      <c r="Z1864" t="s">
        <v>36</v>
      </c>
      <c r="AA1864" t="s">
        <v>36</v>
      </c>
      <c r="AB1864" t="s">
        <v>36</v>
      </c>
      <c r="AC1864" t="s">
        <v>36</v>
      </c>
      <c r="AD1864" t="s">
        <v>36</v>
      </c>
      <c r="AE1864" t="s">
        <v>36</v>
      </c>
      <c r="AF1864" t="s">
        <v>36</v>
      </c>
      <c r="AG1864" t="s">
        <v>36</v>
      </c>
    </row>
    <row r="1865" spans="1:33" hidden="1" x14ac:dyDescent="0.2">
      <c r="A1865">
        <v>1864</v>
      </c>
      <c r="B1865" t="s">
        <v>547</v>
      </c>
      <c r="C1865" t="s">
        <v>548</v>
      </c>
      <c r="D1865">
        <v>26</v>
      </c>
      <c r="E1865" t="s">
        <v>114</v>
      </c>
      <c r="F1865" t="s">
        <v>38</v>
      </c>
      <c r="G1865" t="s">
        <v>40</v>
      </c>
      <c r="H1865">
        <v>52501</v>
      </c>
      <c r="I1865">
        <v>0</v>
      </c>
      <c r="J1865">
        <v>0</v>
      </c>
      <c r="K1865">
        <v>1</v>
      </c>
      <c r="L1865">
        <v>0</v>
      </c>
      <c r="M1865" t="s">
        <v>36</v>
      </c>
      <c r="N1865" t="s">
        <v>36</v>
      </c>
      <c r="O1865" t="s">
        <v>36</v>
      </c>
      <c r="P1865" t="s">
        <v>442</v>
      </c>
      <c r="Q1865" t="s">
        <v>36</v>
      </c>
      <c r="R1865" t="s">
        <v>36</v>
      </c>
      <c r="S1865" t="s">
        <v>36</v>
      </c>
      <c r="T1865" t="s">
        <v>36</v>
      </c>
      <c r="U1865" t="s">
        <v>36</v>
      </c>
      <c r="V1865" t="s">
        <v>36</v>
      </c>
      <c r="W1865" t="s">
        <v>36</v>
      </c>
      <c r="X1865" t="s">
        <v>36</v>
      </c>
      <c r="Y1865" t="s">
        <v>36</v>
      </c>
      <c r="Z1865" t="s">
        <v>36</v>
      </c>
      <c r="AA1865" t="s">
        <v>36</v>
      </c>
      <c r="AB1865" t="s">
        <v>36</v>
      </c>
      <c r="AC1865" t="s">
        <v>36</v>
      </c>
      <c r="AD1865" t="s">
        <v>36</v>
      </c>
      <c r="AE1865" t="s">
        <v>36</v>
      </c>
      <c r="AF1865" t="s">
        <v>36</v>
      </c>
      <c r="AG1865" t="s">
        <v>36</v>
      </c>
    </row>
    <row r="1866" spans="1:33" hidden="1" x14ac:dyDescent="0.2">
      <c r="A1866">
        <v>1865</v>
      </c>
      <c r="B1866" t="s">
        <v>547</v>
      </c>
      <c r="C1866" t="s">
        <v>548</v>
      </c>
      <c r="D1866">
        <v>26</v>
      </c>
      <c r="E1866" t="s">
        <v>114</v>
      </c>
      <c r="F1866" t="s">
        <v>38</v>
      </c>
      <c r="G1866" t="s">
        <v>39</v>
      </c>
      <c r="H1866">
        <v>45398</v>
      </c>
      <c r="I1866">
        <v>0</v>
      </c>
      <c r="J1866">
        <v>1</v>
      </c>
      <c r="K1866">
        <v>1</v>
      </c>
      <c r="L1866">
        <v>0</v>
      </c>
      <c r="M1866" t="s">
        <v>36</v>
      </c>
      <c r="N1866" t="s">
        <v>36</v>
      </c>
      <c r="O1866" t="s">
        <v>36</v>
      </c>
      <c r="P1866" t="s">
        <v>442</v>
      </c>
      <c r="Q1866" t="s">
        <v>36</v>
      </c>
      <c r="R1866" t="s">
        <v>36</v>
      </c>
      <c r="S1866" t="s">
        <v>36</v>
      </c>
      <c r="T1866" t="s">
        <v>36</v>
      </c>
      <c r="U1866" t="s">
        <v>36</v>
      </c>
      <c r="V1866" t="s">
        <v>36</v>
      </c>
      <c r="W1866" t="s">
        <v>36</v>
      </c>
      <c r="X1866" t="s">
        <v>36</v>
      </c>
      <c r="Y1866" t="s">
        <v>36</v>
      </c>
      <c r="Z1866" t="s">
        <v>36</v>
      </c>
      <c r="AA1866" t="s">
        <v>36</v>
      </c>
      <c r="AB1866" t="s">
        <v>36</v>
      </c>
      <c r="AC1866" t="s">
        <v>36</v>
      </c>
      <c r="AD1866" t="s">
        <v>36</v>
      </c>
      <c r="AE1866" t="s">
        <v>36</v>
      </c>
      <c r="AF1866" t="s">
        <v>36</v>
      </c>
      <c r="AG1866" t="s">
        <v>36</v>
      </c>
    </row>
    <row r="1867" spans="1:33" hidden="1" x14ac:dyDescent="0.2">
      <c r="A1867">
        <v>1866</v>
      </c>
      <c r="B1867" t="s">
        <v>547</v>
      </c>
      <c r="C1867" t="s">
        <v>548</v>
      </c>
      <c r="D1867">
        <v>26</v>
      </c>
      <c r="E1867" t="s">
        <v>114</v>
      </c>
      <c r="F1867" t="s">
        <v>41</v>
      </c>
      <c r="G1867" t="s">
        <v>72</v>
      </c>
      <c r="H1867">
        <v>95146</v>
      </c>
      <c r="I1867">
        <v>0</v>
      </c>
      <c r="J1867">
        <v>0</v>
      </c>
      <c r="K1867">
        <v>0</v>
      </c>
      <c r="L1867">
        <v>1</v>
      </c>
      <c r="M1867" t="s">
        <v>75</v>
      </c>
      <c r="N1867" t="s">
        <v>115</v>
      </c>
      <c r="O1867" t="s">
        <v>74</v>
      </c>
      <c r="P1867" t="s">
        <v>442</v>
      </c>
      <c r="Q1867" t="s">
        <v>46</v>
      </c>
      <c r="R1867" t="s">
        <v>65</v>
      </c>
      <c r="S1867" t="s">
        <v>47</v>
      </c>
      <c r="T1867">
        <v>0</v>
      </c>
      <c r="U1867">
        <v>1</v>
      </c>
      <c r="V1867">
        <v>0</v>
      </c>
      <c r="W1867">
        <v>1</v>
      </c>
      <c r="X1867">
        <v>1</v>
      </c>
      <c r="Y1867">
        <v>0</v>
      </c>
      <c r="Z1867">
        <v>1</v>
      </c>
      <c r="AA1867">
        <v>0</v>
      </c>
      <c r="AB1867">
        <v>0</v>
      </c>
      <c r="AC1867">
        <v>0</v>
      </c>
      <c r="AD1867">
        <v>0</v>
      </c>
      <c r="AE1867">
        <v>0</v>
      </c>
      <c r="AF1867">
        <v>0</v>
      </c>
      <c r="AG1867">
        <v>1</v>
      </c>
    </row>
    <row r="1868" spans="1:33" hidden="1" x14ac:dyDescent="0.2">
      <c r="A1868">
        <v>1867</v>
      </c>
      <c r="B1868" t="s">
        <v>547</v>
      </c>
      <c r="C1868" t="s">
        <v>548</v>
      </c>
      <c r="D1868">
        <v>26</v>
      </c>
      <c r="E1868" t="s">
        <v>114</v>
      </c>
      <c r="F1868" t="s">
        <v>41</v>
      </c>
      <c r="G1868" t="s">
        <v>67</v>
      </c>
      <c r="H1868">
        <v>32282</v>
      </c>
      <c r="I1868">
        <v>0</v>
      </c>
      <c r="J1868">
        <v>1</v>
      </c>
      <c r="K1868">
        <v>0</v>
      </c>
      <c r="L1868">
        <v>0</v>
      </c>
      <c r="M1868" t="s">
        <v>68</v>
      </c>
      <c r="N1868" t="s">
        <v>86</v>
      </c>
      <c r="O1868" t="s">
        <v>69</v>
      </c>
      <c r="P1868" t="s">
        <v>442</v>
      </c>
      <c r="Q1868" t="s">
        <v>65</v>
      </c>
      <c r="R1868" t="s">
        <v>46</v>
      </c>
      <c r="S1868" t="s">
        <v>48</v>
      </c>
      <c r="T1868">
        <v>0</v>
      </c>
      <c r="U1868">
        <v>1</v>
      </c>
      <c r="V1868">
        <v>1</v>
      </c>
      <c r="W1868">
        <v>0</v>
      </c>
      <c r="X1868">
        <v>1</v>
      </c>
      <c r="Y1868">
        <v>0</v>
      </c>
      <c r="Z1868">
        <v>1</v>
      </c>
      <c r="AA1868">
        <v>0</v>
      </c>
      <c r="AB1868">
        <v>0</v>
      </c>
      <c r="AC1868">
        <v>0</v>
      </c>
      <c r="AD1868">
        <v>0</v>
      </c>
      <c r="AE1868">
        <v>1</v>
      </c>
      <c r="AF1868">
        <v>0</v>
      </c>
      <c r="AG1868">
        <v>0</v>
      </c>
    </row>
    <row r="1869" spans="1:33" hidden="1" x14ac:dyDescent="0.2">
      <c r="A1869">
        <v>1868</v>
      </c>
      <c r="B1869" t="s">
        <v>547</v>
      </c>
      <c r="C1869" t="s">
        <v>548</v>
      </c>
      <c r="D1869">
        <v>26</v>
      </c>
      <c r="E1869" t="s">
        <v>114</v>
      </c>
      <c r="F1869" t="s">
        <v>53</v>
      </c>
      <c r="G1869" t="s">
        <v>66</v>
      </c>
      <c r="H1869">
        <v>18530</v>
      </c>
      <c r="I1869">
        <v>0</v>
      </c>
      <c r="J1869">
        <v>1</v>
      </c>
      <c r="K1869">
        <v>0</v>
      </c>
      <c r="L1869">
        <v>0</v>
      </c>
      <c r="M1869" t="s">
        <v>36</v>
      </c>
      <c r="N1869" t="s">
        <v>36</v>
      </c>
      <c r="O1869" t="s">
        <v>36</v>
      </c>
      <c r="P1869" t="s">
        <v>442</v>
      </c>
      <c r="Q1869" t="s">
        <v>36</v>
      </c>
      <c r="R1869" t="s">
        <v>36</v>
      </c>
      <c r="S1869" t="s">
        <v>36</v>
      </c>
      <c r="T1869" t="s">
        <v>36</v>
      </c>
      <c r="U1869">
        <v>1</v>
      </c>
      <c r="V1869">
        <v>1</v>
      </c>
      <c r="W1869">
        <v>0</v>
      </c>
      <c r="X1869">
        <v>1</v>
      </c>
      <c r="Y1869">
        <v>0</v>
      </c>
      <c r="Z1869">
        <v>1</v>
      </c>
      <c r="AA1869">
        <v>0</v>
      </c>
      <c r="AB1869">
        <v>0</v>
      </c>
      <c r="AC1869">
        <v>0</v>
      </c>
      <c r="AD1869">
        <v>0</v>
      </c>
      <c r="AE1869">
        <v>1</v>
      </c>
      <c r="AF1869">
        <v>0</v>
      </c>
      <c r="AG1869">
        <v>0</v>
      </c>
    </row>
    <row r="1870" spans="1:33" hidden="1" x14ac:dyDescent="0.2">
      <c r="A1870">
        <v>1869</v>
      </c>
      <c r="B1870" t="s">
        <v>547</v>
      </c>
      <c r="C1870" t="s">
        <v>548</v>
      </c>
      <c r="D1870">
        <v>26</v>
      </c>
      <c r="E1870" t="s">
        <v>114</v>
      </c>
      <c r="F1870" t="s">
        <v>41</v>
      </c>
      <c r="G1870" t="s">
        <v>61</v>
      </c>
      <c r="H1870">
        <v>22183</v>
      </c>
      <c r="I1870">
        <v>0</v>
      </c>
      <c r="J1870">
        <v>1</v>
      </c>
      <c r="K1870">
        <v>0</v>
      </c>
      <c r="L1870">
        <v>0</v>
      </c>
      <c r="M1870" t="s">
        <v>64</v>
      </c>
      <c r="N1870" t="s">
        <v>62</v>
      </c>
      <c r="O1870" t="s">
        <v>97</v>
      </c>
      <c r="P1870" t="s">
        <v>442</v>
      </c>
      <c r="Q1870" t="s">
        <v>48</v>
      </c>
      <c r="R1870" t="s">
        <v>65</v>
      </c>
      <c r="S1870" t="s">
        <v>59</v>
      </c>
      <c r="T1870">
        <v>0</v>
      </c>
      <c r="U1870">
        <v>1</v>
      </c>
      <c r="V1870">
        <v>1</v>
      </c>
      <c r="W1870">
        <v>0</v>
      </c>
      <c r="X1870">
        <v>0</v>
      </c>
      <c r="Y1870">
        <v>0</v>
      </c>
      <c r="Z1870">
        <v>1</v>
      </c>
      <c r="AA1870">
        <v>0</v>
      </c>
      <c r="AB1870">
        <v>1</v>
      </c>
      <c r="AC1870">
        <v>0</v>
      </c>
      <c r="AD1870">
        <v>0</v>
      </c>
      <c r="AE1870">
        <v>0</v>
      </c>
      <c r="AF1870">
        <v>0</v>
      </c>
      <c r="AG1870">
        <v>0</v>
      </c>
    </row>
    <row r="1871" spans="1:33" hidden="1" x14ac:dyDescent="0.2">
      <c r="A1871">
        <v>1870</v>
      </c>
      <c r="B1871" t="s">
        <v>547</v>
      </c>
      <c r="C1871" t="s">
        <v>548</v>
      </c>
      <c r="D1871">
        <v>26</v>
      </c>
      <c r="E1871" t="s">
        <v>114</v>
      </c>
      <c r="F1871" t="s">
        <v>53</v>
      </c>
      <c r="G1871" t="s">
        <v>76</v>
      </c>
      <c r="H1871">
        <v>4518</v>
      </c>
      <c r="I1871">
        <v>0</v>
      </c>
      <c r="J1871">
        <v>1</v>
      </c>
      <c r="K1871">
        <v>0</v>
      </c>
      <c r="L1871">
        <v>0</v>
      </c>
      <c r="M1871" t="s">
        <v>36</v>
      </c>
      <c r="N1871" t="s">
        <v>36</v>
      </c>
      <c r="O1871" t="s">
        <v>36</v>
      </c>
      <c r="P1871" t="s">
        <v>442</v>
      </c>
      <c r="Q1871" t="s">
        <v>36</v>
      </c>
      <c r="R1871" t="s">
        <v>36</v>
      </c>
      <c r="S1871" t="s">
        <v>36</v>
      </c>
      <c r="T1871" t="s">
        <v>36</v>
      </c>
      <c r="U1871">
        <v>1</v>
      </c>
      <c r="V1871">
        <v>1</v>
      </c>
      <c r="W1871">
        <v>0</v>
      </c>
      <c r="X1871">
        <v>0</v>
      </c>
      <c r="Y1871">
        <v>0</v>
      </c>
      <c r="Z1871">
        <v>1</v>
      </c>
      <c r="AA1871">
        <v>0</v>
      </c>
      <c r="AB1871">
        <v>1</v>
      </c>
      <c r="AC1871">
        <v>0</v>
      </c>
      <c r="AD1871">
        <v>0</v>
      </c>
      <c r="AE1871">
        <v>0</v>
      </c>
      <c r="AF1871">
        <v>0</v>
      </c>
      <c r="AG1871">
        <v>0</v>
      </c>
    </row>
    <row r="1872" spans="1:33" hidden="1" x14ac:dyDescent="0.2">
      <c r="A1872">
        <v>1871</v>
      </c>
      <c r="B1872" t="s">
        <v>547</v>
      </c>
      <c r="C1872" t="s">
        <v>548</v>
      </c>
      <c r="D1872">
        <v>26</v>
      </c>
      <c r="E1872" t="s">
        <v>114</v>
      </c>
      <c r="F1872" t="s">
        <v>41</v>
      </c>
      <c r="G1872" t="s">
        <v>42</v>
      </c>
      <c r="H1872">
        <v>43527</v>
      </c>
      <c r="I1872">
        <v>1</v>
      </c>
      <c r="J1872">
        <v>0</v>
      </c>
      <c r="K1872">
        <v>0</v>
      </c>
      <c r="L1872">
        <v>1</v>
      </c>
      <c r="M1872" t="s">
        <v>82</v>
      </c>
      <c r="N1872" t="s">
        <v>102</v>
      </c>
      <c r="O1872" t="s">
        <v>43</v>
      </c>
      <c r="P1872" t="s">
        <v>442</v>
      </c>
      <c r="Q1872" t="s">
        <v>65</v>
      </c>
      <c r="R1872" t="s">
        <v>59</v>
      </c>
      <c r="S1872" t="s">
        <v>46</v>
      </c>
      <c r="T1872">
        <v>0</v>
      </c>
      <c r="U1872">
        <v>1</v>
      </c>
      <c r="V1872">
        <v>0</v>
      </c>
      <c r="W1872">
        <v>0</v>
      </c>
      <c r="X1872">
        <v>1</v>
      </c>
      <c r="Y1872">
        <v>0</v>
      </c>
      <c r="Z1872">
        <v>1</v>
      </c>
      <c r="AA1872">
        <v>0</v>
      </c>
      <c r="AB1872">
        <v>1</v>
      </c>
      <c r="AC1872">
        <v>0</v>
      </c>
      <c r="AD1872">
        <v>0</v>
      </c>
      <c r="AE1872">
        <v>0</v>
      </c>
      <c r="AF1872">
        <v>0</v>
      </c>
      <c r="AG1872">
        <v>1</v>
      </c>
    </row>
    <row r="1873" spans="1:33" hidden="1" x14ac:dyDescent="0.2">
      <c r="A1873">
        <v>1872</v>
      </c>
      <c r="B1873" t="s">
        <v>547</v>
      </c>
      <c r="C1873" t="s">
        <v>548</v>
      </c>
      <c r="D1873">
        <v>26</v>
      </c>
      <c r="E1873" t="s">
        <v>114</v>
      </c>
      <c r="F1873" t="s">
        <v>41</v>
      </c>
      <c r="G1873" t="s">
        <v>55</v>
      </c>
      <c r="H1873">
        <v>14249</v>
      </c>
      <c r="I1873">
        <v>1</v>
      </c>
      <c r="J1873">
        <v>0</v>
      </c>
      <c r="K1873">
        <v>0</v>
      </c>
      <c r="L1873">
        <v>1</v>
      </c>
      <c r="M1873" t="s">
        <v>84</v>
      </c>
      <c r="N1873" t="s">
        <v>57</v>
      </c>
      <c r="O1873" t="s">
        <v>94</v>
      </c>
      <c r="P1873" t="s">
        <v>442</v>
      </c>
      <c r="Q1873" t="s">
        <v>46</v>
      </c>
      <c r="R1873" t="s">
        <v>48</v>
      </c>
      <c r="S1873" t="s">
        <v>47</v>
      </c>
      <c r="T1873">
        <v>0</v>
      </c>
      <c r="U1873">
        <v>0</v>
      </c>
      <c r="V1873">
        <v>1</v>
      </c>
      <c r="W1873">
        <v>1</v>
      </c>
      <c r="X1873">
        <v>1</v>
      </c>
      <c r="Y1873">
        <v>0</v>
      </c>
      <c r="Z1873">
        <v>1</v>
      </c>
      <c r="AA1873">
        <v>0</v>
      </c>
      <c r="AB1873">
        <v>0</v>
      </c>
      <c r="AC1873">
        <v>0</v>
      </c>
      <c r="AD1873">
        <v>0</v>
      </c>
      <c r="AE1873">
        <v>1</v>
      </c>
      <c r="AF1873">
        <v>0</v>
      </c>
      <c r="AG1873">
        <v>1</v>
      </c>
    </row>
    <row r="1874" spans="1:33" hidden="1" x14ac:dyDescent="0.2">
      <c r="A1874">
        <v>1873</v>
      </c>
      <c r="B1874" t="s">
        <v>547</v>
      </c>
      <c r="C1874" t="s">
        <v>548</v>
      </c>
      <c r="D1874">
        <v>26</v>
      </c>
      <c r="E1874" t="s">
        <v>114</v>
      </c>
      <c r="F1874" t="s">
        <v>53</v>
      </c>
      <c r="G1874" t="s">
        <v>71</v>
      </c>
      <c r="H1874">
        <v>3416</v>
      </c>
      <c r="I1874">
        <v>0</v>
      </c>
      <c r="J1874">
        <v>1</v>
      </c>
      <c r="K1874">
        <v>0</v>
      </c>
      <c r="L1874">
        <v>0</v>
      </c>
      <c r="M1874" t="s">
        <v>36</v>
      </c>
      <c r="N1874" t="s">
        <v>36</v>
      </c>
      <c r="O1874" t="s">
        <v>36</v>
      </c>
      <c r="P1874" t="s">
        <v>442</v>
      </c>
      <c r="Q1874" t="s">
        <v>36</v>
      </c>
      <c r="R1874" t="s">
        <v>36</v>
      </c>
      <c r="S1874" t="s">
        <v>36</v>
      </c>
      <c r="T1874" t="s">
        <v>36</v>
      </c>
      <c r="U1874">
        <v>0</v>
      </c>
      <c r="V1874">
        <v>1</v>
      </c>
      <c r="W1874">
        <v>1</v>
      </c>
      <c r="X1874">
        <v>1</v>
      </c>
      <c r="Y1874">
        <v>0</v>
      </c>
      <c r="Z1874">
        <v>1</v>
      </c>
      <c r="AA1874">
        <v>0</v>
      </c>
      <c r="AB1874">
        <v>0</v>
      </c>
      <c r="AC1874">
        <v>0</v>
      </c>
      <c r="AD1874">
        <v>0</v>
      </c>
      <c r="AE1874">
        <v>1</v>
      </c>
      <c r="AF1874">
        <v>0</v>
      </c>
      <c r="AG1874">
        <v>1</v>
      </c>
    </row>
    <row r="1875" spans="1:33" hidden="1" x14ac:dyDescent="0.2">
      <c r="A1875">
        <v>1874</v>
      </c>
      <c r="B1875" t="s">
        <v>547</v>
      </c>
      <c r="C1875" t="s">
        <v>548</v>
      </c>
      <c r="D1875">
        <v>26</v>
      </c>
      <c r="E1875" t="s">
        <v>114</v>
      </c>
      <c r="F1875" t="s">
        <v>41</v>
      </c>
      <c r="G1875" t="s">
        <v>49</v>
      </c>
      <c r="H1875">
        <v>4834</v>
      </c>
      <c r="I1875">
        <v>0</v>
      </c>
      <c r="J1875">
        <v>0</v>
      </c>
      <c r="K1875">
        <v>1</v>
      </c>
      <c r="L1875">
        <v>0</v>
      </c>
      <c r="M1875" t="s">
        <v>96</v>
      </c>
      <c r="N1875" t="s">
        <v>52</v>
      </c>
      <c r="O1875" t="s">
        <v>50</v>
      </c>
      <c r="P1875" t="s">
        <v>442</v>
      </c>
      <c r="Q1875" t="s">
        <v>65</v>
      </c>
      <c r="R1875" t="s">
        <v>46</v>
      </c>
      <c r="S1875" t="s">
        <v>48</v>
      </c>
      <c r="T1875">
        <v>0</v>
      </c>
      <c r="U1875">
        <v>1</v>
      </c>
      <c r="V1875">
        <v>1</v>
      </c>
      <c r="W1875">
        <v>0</v>
      </c>
      <c r="X1875">
        <v>1</v>
      </c>
      <c r="Y1875">
        <v>0</v>
      </c>
      <c r="Z1875">
        <v>1</v>
      </c>
      <c r="AA1875">
        <v>0</v>
      </c>
      <c r="AB1875">
        <v>0</v>
      </c>
      <c r="AC1875">
        <v>1</v>
      </c>
      <c r="AD1875">
        <v>0</v>
      </c>
      <c r="AE1875">
        <v>0</v>
      </c>
      <c r="AF1875">
        <v>0</v>
      </c>
      <c r="AG1875">
        <v>0</v>
      </c>
    </row>
    <row r="1876" spans="1:33" hidden="1" x14ac:dyDescent="0.2">
      <c r="A1876">
        <v>1875</v>
      </c>
      <c r="B1876" t="s">
        <v>547</v>
      </c>
      <c r="C1876" t="s">
        <v>548</v>
      </c>
      <c r="D1876">
        <v>26</v>
      </c>
      <c r="E1876" t="s">
        <v>114</v>
      </c>
      <c r="F1876" t="s">
        <v>53</v>
      </c>
      <c r="G1876" t="s">
        <v>54</v>
      </c>
      <c r="H1876">
        <v>4349</v>
      </c>
      <c r="I1876">
        <v>0</v>
      </c>
      <c r="J1876">
        <v>1</v>
      </c>
      <c r="K1876">
        <v>0</v>
      </c>
      <c r="L1876">
        <v>0</v>
      </c>
      <c r="M1876" t="s">
        <v>36</v>
      </c>
      <c r="N1876" t="s">
        <v>36</v>
      </c>
      <c r="O1876" t="s">
        <v>36</v>
      </c>
      <c r="P1876" t="s">
        <v>442</v>
      </c>
      <c r="Q1876" t="s">
        <v>36</v>
      </c>
      <c r="R1876" t="s">
        <v>36</v>
      </c>
      <c r="S1876" t="s">
        <v>36</v>
      </c>
      <c r="T1876" t="s">
        <v>36</v>
      </c>
      <c r="U1876">
        <v>1</v>
      </c>
      <c r="V1876">
        <v>1</v>
      </c>
      <c r="W1876">
        <v>0</v>
      </c>
      <c r="X1876">
        <v>1</v>
      </c>
      <c r="Y1876">
        <v>0</v>
      </c>
      <c r="Z1876">
        <v>1</v>
      </c>
      <c r="AA1876">
        <v>0</v>
      </c>
      <c r="AB1876">
        <v>0</v>
      </c>
      <c r="AC1876">
        <v>1</v>
      </c>
      <c r="AD1876">
        <v>0</v>
      </c>
      <c r="AE1876">
        <v>0</v>
      </c>
      <c r="AF1876">
        <v>0</v>
      </c>
      <c r="AG1876">
        <v>0</v>
      </c>
    </row>
    <row r="1877" spans="1:33" hidden="1" x14ac:dyDescent="0.2">
      <c r="A1877">
        <v>1876</v>
      </c>
      <c r="B1877" t="s">
        <v>547</v>
      </c>
      <c r="C1877" t="s">
        <v>548</v>
      </c>
      <c r="D1877">
        <v>26</v>
      </c>
      <c r="E1877" t="s">
        <v>114</v>
      </c>
      <c r="F1877" t="s">
        <v>77</v>
      </c>
      <c r="G1877" t="s">
        <v>36</v>
      </c>
      <c r="H1877">
        <v>4868</v>
      </c>
      <c r="L1877" t="s">
        <v>36</v>
      </c>
      <c r="M1877" t="s">
        <v>36</v>
      </c>
      <c r="N1877" t="s">
        <v>36</v>
      </c>
      <c r="O1877" t="s">
        <v>36</v>
      </c>
      <c r="P1877" t="s">
        <v>442</v>
      </c>
      <c r="Q1877" t="s">
        <v>36</v>
      </c>
      <c r="R1877" t="s">
        <v>36</v>
      </c>
      <c r="S1877" t="s">
        <v>36</v>
      </c>
      <c r="T1877" t="s">
        <v>36</v>
      </c>
      <c r="U1877" t="s">
        <v>36</v>
      </c>
      <c r="V1877" t="s">
        <v>36</v>
      </c>
      <c r="W1877" t="s">
        <v>36</v>
      </c>
      <c r="X1877" t="s">
        <v>36</v>
      </c>
      <c r="Y1877" t="s">
        <v>36</v>
      </c>
      <c r="Z1877" t="s">
        <v>36</v>
      </c>
      <c r="AA1877" t="s">
        <v>36</v>
      </c>
      <c r="AB1877" t="s">
        <v>36</v>
      </c>
      <c r="AC1877" t="s">
        <v>36</v>
      </c>
      <c r="AD1877" t="s">
        <v>36</v>
      </c>
      <c r="AE1877" t="s">
        <v>36</v>
      </c>
      <c r="AF1877" t="s">
        <v>36</v>
      </c>
      <c r="AG1877" t="s">
        <v>36</v>
      </c>
    </row>
    <row r="1878" spans="1:33" hidden="1" x14ac:dyDescent="0.2">
      <c r="A1878">
        <v>1877</v>
      </c>
      <c r="B1878" t="s">
        <v>549</v>
      </c>
      <c r="C1878" t="s">
        <v>108</v>
      </c>
      <c r="D1878">
        <v>24</v>
      </c>
      <c r="E1878" t="s">
        <v>34</v>
      </c>
      <c r="F1878" t="s">
        <v>35</v>
      </c>
      <c r="G1878" t="s">
        <v>36</v>
      </c>
      <c r="H1878">
        <v>10745</v>
      </c>
      <c r="I1878" t="s">
        <v>36</v>
      </c>
      <c r="J1878" t="s">
        <v>36</v>
      </c>
      <c r="K1878" t="s">
        <v>36</v>
      </c>
      <c r="L1878" t="s">
        <v>36</v>
      </c>
      <c r="M1878" t="s">
        <v>36</v>
      </c>
      <c r="N1878" t="s">
        <v>36</v>
      </c>
      <c r="O1878" t="s">
        <v>36</v>
      </c>
      <c r="P1878" t="s">
        <v>442</v>
      </c>
      <c r="Q1878" t="s">
        <v>36</v>
      </c>
      <c r="R1878" t="s">
        <v>36</v>
      </c>
      <c r="S1878" t="s">
        <v>36</v>
      </c>
      <c r="T1878" t="s">
        <v>36</v>
      </c>
      <c r="U1878" t="s">
        <v>36</v>
      </c>
      <c r="V1878" t="s">
        <v>36</v>
      </c>
      <c r="W1878" t="s">
        <v>36</v>
      </c>
      <c r="X1878" t="s">
        <v>36</v>
      </c>
      <c r="Y1878" t="s">
        <v>36</v>
      </c>
      <c r="Z1878" t="s">
        <v>36</v>
      </c>
      <c r="AA1878" t="s">
        <v>36</v>
      </c>
      <c r="AB1878" t="s">
        <v>36</v>
      </c>
      <c r="AC1878" t="s">
        <v>36</v>
      </c>
      <c r="AD1878" t="s">
        <v>36</v>
      </c>
      <c r="AE1878" t="s">
        <v>36</v>
      </c>
      <c r="AF1878" t="s">
        <v>36</v>
      </c>
      <c r="AG1878" t="s">
        <v>36</v>
      </c>
    </row>
    <row r="1879" spans="1:33" hidden="1" x14ac:dyDescent="0.2">
      <c r="A1879">
        <v>1878</v>
      </c>
      <c r="B1879" t="s">
        <v>549</v>
      </c>
      <c r="C1879" t="s">
        <v>108</v>
      </c>
      <c r="D1879">
        <v>24</v>
      </c>
      <c r="E1879" t="s">
        <v>34</v>
      </c>
      <c r="F1879" t="s">
        <v>38</v>
      </c>
      <c r="G1879" t="s">
        <v>39</v>
      </c>
      <c r="H1879">
        <v>21711</v>
      </c>
      <c r="I1879">
        <v>0</v>
      </c>
      <c r="J1879">
        <v>0</v>
      </c>
      <c r="K1879">
        <v>0</v>
      </c>
      <c r="L1879">
        <v>1</v>
      </c>
      <c r="M1879" t="s">
        <v>36</v>
      </c>
      <c r="N1879" t="s">
        <v>36</v>
      </c>
      <c r="O1879" t="s">
        <v>36</v>
      </c>
      <c r="P1879" t="s">
        <v>442</v>
      </c>
      <c r="Q1879" t="s">
        <v>36</v>
      </c>
      <c r="R1879" t="s">
        <v>36</v>
      </c>
      <c r="S1879" t="s">
        <v>36</v>
      </c>
      <c r="T1879" t="s">
        <v>36</v>
      </c>
      <c r="U1879" t="s">
        <v>36</v>
      </c>
      <c r="V1879" t="s">
        <v>36</v>
      </c>
      <c r="W1879" t="s">
        <v>36</v>
      </c>
      <c r="X1879" t="s">
        <v>36</v>
      </c>
      <c r="Y1879" t="s">
        <v>36</v>
      </c>
      <c r="Z1879" t="s">
        <v>36</v>
      </c>
      <c r="AA1879" t="s">
        <v>36</v>
      </c>
      <c r="AB1879" t="s">
        <v>36</v>
      </c>
      <c r="AC1879" t="s">
        <v>36</v>
      </c>
      <c r="AD1879" t="s">
        <v>36</v>
      </c>
      <c r="AE1879" t="s">
        <v>36</v>
      </c>
      <c r="AF1879" t="s">
        <v>36</v>
      </c>
      <c r="AG1879" t="s">
        <v>36</v>
      </c>
    </row>
    <row r="1880" spans="1:33" hidden="1" x14ac:dyDescent="0.2">
      <c r="A1880">
        <v>1879</v>
      </c>
      <c r="B1880" t="s">
        <v>549</v>
      </c>
      <c r="C1880" t="s">
        <v>108</v>
      </c>
      <c r="D1880">
        <v>24</v>
      </c>
      <c r="E1880" t="s">
        <v>34</v>
      </c>
      <c r="F1880" t="s">
        <v>38</v>
      </c>
      <c r="G1880" t="s">
        <v>40</v>
      </c>
      <c r="H1880">
        <v>15797</v>
      </c>
      <c r="I1880">
        <v>0</v>
      </c>
      <c r="J1880">
        <v>0</v>
      </c>
      <c r="K1880">
        <v>1</v>
      </c>
      <c r="L1880">
        <v>0</v>
      </c>
      <c r="M1880" t="s">
        <v>36</v>
      </c>
      <c r="N1880" t="s">
        <v>36</v>
      </c>
      <c r="O1880" t="s">
        <v>36</v>
      </c>
      <c r="P1880" t="s">
        <v>442</v>
      </c>
      <c r="Q1880" t="s">
        <v>36</v>
      </c>
      <c r="R1880" t="s">
        <v>36</v>
      </c>
      <c r="S1880" t="s">
        <v>36</v>
      </c>
      <c r="T1880" t="s">
        <v>36</v>
      </c>
      <c r="U1880" t="s">
        <v>36</v>
      </c>
      <c r="V1880" t="s">
        <v>36</v>
      </c>
      <c r="W1880" t="s">
        <v>36</v>
      </c>
      <c r="X1880" t="s">
        <v>36</v>
      </c>
      <c r="Y1880" t="s">
        <v>36</v>
      </c>
      <c r="Z1880" t="s">
        <v>36</v>
      </c>
      <c r="AA1880" t="s">
        <v>36</v>
      </c>
      <c r="AB1880" t="s">
        <v>36</v>
      </c>
      <c r="AC1880" t="s">
        <v>36</v>
      </c>
      <c r="AD1880" t="s">
        <v>36</v>
      </c>
      <c r="AE1880" t="s">
        <v>36</v>
      </c>
      <c r="AF1880" t="s">
        <v>36</v>
      </c>
      <c r="AG1880" t="s">
        <v>36</v>
      </c>
    </row>
    <row r="1881" spans="1:33" x14ac:dyDescent="0.2">
      <c r="A1881">
        <v>1880</v>
      </c>
      <c r="B1881" t="s">
        <v>549</v>
      </c>
      <c r="C1881" t="s">
        <v>108</v>
      </c>
      <c r="D1881">
        <v>24</v>
      </c>
      <c r="E1881" t="s">
        <v>34</v>
      </c>
      <c r="F1881" t="s">
        <v>41</v>
      </c>
      <c r="G1881" t="s">
        <v>61</v>
      </c>
      <c r="H1881">
        <v>57391</v>
      </c>
      <c r="I1881">
        <v>1</v>
      </c>
      <c r="J1881">
        <v>0</v>
      </c>
      <c r="K1881">
        <v>0</v>
      </c>
      <c r="L1881">
        <v>0</v>
      </c>
      <c r="M1881" t="s">
        <v>87</v>
      </c>
      <c r="N1881" t="s">
        <v>64</v>
      </c>
      <c r="O1881" t="s">
        <v>62</v>
      </c>
      <c r="P1881" t="s">
        <v>442</v>
      </c>
      <c r="Q1881" t="s">
        <v>47</v>
      </c>
      <c r="R1881" t="s">
        <v>48</v>
      </c>
      <c r="S1881" t="s">
        <v>65</v>
      </c>
      <c r="T1881">
        <v>0</v>
      </c>
      <c r="U1881">
        <v>1</v>
      </c>
      <c r="V1881">
        <v>1</v>
      </c>
      <c r="W1881">
        <v>1</v>
      </c>
      <c r="X1881">
        <v>0</v>
      </c>
      <c r="Y1881">
        <v>0</v>
      </c>
      <c r="Z1881">
        <v>1</v>
      </c>
      <c r="AA1881">
        <v>0</v>
      </c>
      <c r="AB1881">
        <v>0</v>
      </c>
      <c r="AC1881">
        <v>0</v>
      </c>
      <c r="AD1881">
        <v>1</v>
      </c>
      <c r="AE1881">
        <v>0</v>
      </c>
      <c r="AF1881">
        <v>0</v>
      </c>
      <c r="AG1881">
        <v>0</v>
      </c>
    </row>
    <row r="1882" spans="1:33" x14ac:dyDescent="0.2">
      <c r="A1882">
        <v>1881</v>
      </c>
      <c r="B1882" t="s">
        <v>549</v>
      </c>
      <c r="C1882" t="s">
        <v>108</v>
      </c>
      <c r="D1882">
        <v>24</v>
      </c>
      <c r="E1882" t="s">
        <v>34</v>
      </c>
      <c r="F1882" t="s">
        <v>41</v>
      </c>
      <c r="G1882" t="s">
        <v>67</v>
      </c>
      <c r="H1882">
        <v>26572</v>
      </c>
      <c r="I1882">
        <v>0</v>
      </c>
      <c r="J1882">
        <v>1</v>
      </c>
      <c r="K1882">
        <v>0</v>
      </c>
      <c r="L1882">
        <v>0</v>
      </c>
      <c r="M1882" t="s">
        <v>86</v>
      </c>
      <c r="N1882" t="s">
        <v>103</v>
      </c>
      <c r="O1882" t="s">
        <v>69</v>
      </c>
      <c r="P1882" t="s">
        <v>442</v>
      </c>
      <c r="Q1882" t="s">
        <v>46</v>
      </c>
      <c r="R1882" t="s">
        <v>60</v>
      </c>
      <c r="S1882" t="s">
        <v>48</v>
      </c>
      <c r="T1882">
        <v>1</v>
      </c>
      <c r="U1882">
        <v>0</v>
      </c>
      <c r="V1882">
        <v>1</v>
      </c>
      <c r="W1882">
        <v>0</v>
      </c>
      <c r="X1882">
        <v>1</v>
      </c>
      <c r="Y1882">
        <v>0</v>
      </c>
      <c r="Z1882">
        <v>1</v>
      </c>
      <c r="AA1882">
        <v>1</v>
      </c>
      <c r="AB1882">
        <v>0</v>
      </c>
      <c r="AC1882">
        <v>0</v>
      </c>
      <c r="AD1882">
        <v>0</v>
      </c>
      <c r="AE1882">
        <v>0</v>
      </c>
      <c r="AF1882">
        <v>0</v>
      </c>
      <c r="AG1882">
        <v>0</v>
      </c>
    </row>
    <row r="1883" spans="1:33" hidden="1" x14ac:dyDescent="0.2">
      <c r="A1883">
        <v>1882</v>
      </c>
      <c r="B1883" t="s">
        <v>549</v>
      </c>
      <c r="C1883" t="s">
        <v>108</v>
      </c>
      <c r="D1883">
        <v>24</v>
      </c>
      <c r="E1883" t="s">
        <v>34</v>
      </c>
      <c r="F1883" t="s">
        <v>53</v>
      </c>
      <c r="G1883" t="s">
        <v>54</v>
      </c>
      <c r="H1883">
        <v>26443</v>
      </c>
      <c r="I1883">
        <v>0</v>
      </c>
      <c r="J1883">
        <v>0</v>
      </c>
      <c r="K1883">
        <v>1</v>
      </c>
      <c r="L1883">
        <v>0</v>
      </c>
      <c r="M1883" t="s">
        <v>36</v>
      </c>
      <c r="N1883" t="s">
        <v>36</v>
      </c>
      <c r="O1883" t="s">
        <v>36</v>
      </c>
      <c r="P1883" t="s">
        <v>442</v>
      </c>
      <c r="Q1883" t="s">
        <v>36</v>
      </c>
      <c r="R1883" t="s">
        <v>36</v>
      </c>
      <c r="S1883" t="s">
        <v>36</v>
      </c>
      <c r="T1883" t="s">
        <v>36</v>
      </c>
      <c r="U1883">
        <v>0</v>
      </c>
      <c r="V1883">
        <v>1</v>
      </c>
      <c r="W1883">
        <v>0</v>
      </c>
      <c r="X1883">
        <v>1</v>
      </c>
      <c r="Y1883">
        <v>0</v>
      </c>
      <c r="Z1883">
        <v>1</v>
      </c>
      <c r="AA1883">
        <v>1</v>
      </c>
      <c r="AB1883">
        <v>0</v>
      </c>
      <c r="AC1883">
        <v>0</v>
      </c>
      <c r="AD1883">
        <v>0</v>
      </c>
      <c r="AE1883">
        <v>0</v>
      </c>
      <c r="AF1883">
        <v>0</v>
      </c>
      <c r="AG1883">
        <v>0</v>
      </c>
    </row>
    <row r="1884" spans="1:33" x14ac:dyDescent="0.2">
      <c r="A1884">
        <v>1883</v>
      </c>
      <c r="B1884" t="s">
        <v>549</v>
      </c>
      <c r="C1884" t="s">
        <v>108</v>
      </c>
      <c r="D1884">
        <v>24</v>
      </c>
      <c r="E1884" t="s">
        <v>34</v>
      </c>
      <c r="F1884" t="s">
        <v>41</v>
      </c>
      <c r="G1884" t="s">
        <v>55</v>
      </c>
      <c r="H1884">
        <v>32748</v>
      </c>
      <c r="I1884">
        <v>1</v>
      </c>
      <c r="J1884">
        <v>1</v>
      </c>
      <c r="K1884">
        <v>1</v>
      </c>
      <c r="L1884">
        <v>0</v>
      </c>
      <c r="M1884" t="s">
        <v>58</v>
      </c>
      <c r="N1884" t="s">
        <v>94</v>
      </c>
      <c r="O1884" t="s">
        <v>57</v>
      </c>
      <c r="P1884" t="s">
        <v>442</v>
      </c>
      <c r="Q1884" t="s">
        <v>60</v>
      </c>
      <c r="R1884" t="s">
        <v>47</v>
      </c>
      <c r="S1884" t="s">
        <v>48</v>
      </c>
      <c r="T1884">
        <v>1</v>
      </c>
      <c r="U1884">
        <v>0</v>
      </c>
      <c r="V1884">
        <v>1</v>
      </c>
      <c r="W1884">
        <v>1</v>
      </c>
      <c r="X1884">
        <v>0</v>
      </c>
      <c r="Y1884">
        <v>0</v>
      </c>
      <c r="Z1884">
        <v>1</v>
      </c>
      <c r="AA1884">
        <v>1</v>
      </c>
      <c r="AB1884">
        <v>0</v>
      </c>
      <c r="AC1884">
        <v>1</v>
      </c>
      <c r="AD1884">
        <v>1</v>
      </c>
      <c r="AE1884">
        <v>0</v>
      </c>
      <c r="AF1884">
        <v>0</v>
      </c>
      <c r="AG1884">
        <v>0</v>
      </c>
    </row>
    <row r="1885" spans="1:33" hidden="1" x14ac:dyDescent="0.2">
      <c r="A1885">
        <v>1884</v>
      </c>
      <c r="B1885" t="s">
        <v>549</v>
      </c>
      <c r="C1885" t="s">
        <v>108</v>
      </c>
      <c r="D1885">
        <v>24</v>
      </c>
      <c r="E1885" t="s">
        <v>34</v>
      </c>
      <c r="F1885" t="s">
        <v>53</v>
      </c>
      <c r="G1885" t="s">
        <v>71</v>
      </c>
      <c r="H1885">
        <v>29890</v>
      </c>
      <c r="I1885">
        <v>1</v>
      </c>
      <c r="J1885">
        <v>1</v>
      </c>
      <c r="K1885">
        <v>1</v>
      </c>
      <c r="L1885">
        <v>0</v>
      </c>
      <c r="M1885" t="s">
        <v>36</v>
      </c>
      <c r="N1885" t="s">
        <v>36</v>
      </c>
      <c r="O1885" t="s">
        <v>36</v>
      </c>
      <c r="P1885" t="s">
        <v>442</v>
      </c>
      <c r="Q1885" t="s">
        <v>36</v>
      </c>
      <c r="R1885" t="s">
        <v>36</v>
      </c>
      <c r="S1885" t="s">
        <v>36</v>
      </c>
      <c r="T1885" t="s">
        <v>36</v>
      </c>
      <c r="U1885">
        <v>0</v>
      </c>
      <c r="V1885">
        <v>1</v>
      </c>
      <c r="W1885">
        <v>1</v>
      </c>
      <c r="X1885">
        <v>0</v>
      </c>
      <c r="Y1885">
        <v>0</v>
      </c>
      <c r="Z1885">
        <v>1</v>
      </c>
      <c r="AA1885">
        <v>1</v>
      </c>
      <c r="AB1885">
        <v>0</v>
      </c>
      <c r="AC1885">
        <v>1</v>
      </c>
      <c r="AD1885">
        <v>1</v>
      </c>
      <c r="AE1885">
        <v>0</v>
      </c>
      <c r="AF1885">
        <v>0</v>
      </c>
      <c r="AG1885">
        <v>0</v>
      </c>
    </row>
    <row r="1886" spans="1:33" x14ac:dyDescent="0.2">
      <c r="A1886">
        <v>1885</v>
      </c>
      <c r="B1886" t="s">
        <v>549</v>
      </c>
      <c r="C1886" t="s">
        <v>108</v>
      </c>
      <c r="D1886">
        <v>24</v>
      </c>
      <c r="E1886" t="s">
        <v>34</v>
      </c>
      <c r="F1886" t="s">
        <v>41</v>
      </c>
      <c r="G1886" t="s">
        <v>42</v>
      </c>
      <c r="H1886">
        <v>43901</v>
      </c>
      <c r="I1886">
        <v>0</v>
      </c>
      <c r="J1886">
        <v>1</v>
      </c>
      <c r="K1886">
        <v>0</v>
      </c>
      <c r="L1886">
        <v>0</v>
      </c>
      <c r="M1886" t="s">
        <v>45</v>
      </c>
      <c r="N1886" t="s">
        <v>44</v>
      </c>
      <c r="O1886" t="s">
        <v>43</v>
      </c>
      <c r="P1886" t="s">
        <v>442</v>
      </c>
      <c r="Q1886" t="s">
        <v>48</v>
      </c>
      <c r="R1886" t="s">
        <v>47</v>
      </c>
      <c r="S1886" t="s">
        <v>46</v>
      </c>
      <c r="T1886">
        <v>0</v>
      </c>
      <c r="U1886">
        <v>0</v>
      </c>
      <c r="V1886">
        <v>1</v>
      </c>
      <c r="W1886">
        <v>1</v>
      </c>
      <c r="X1886">
        <v>1</v>
      </c>
      <c r="Y1886">
        <v>0</v>
      </c>
      <c r="Z1886">
        <v>1</v>
      </c>
      <c r="AA1886">
        <v>0</v>
      </c>
      <c r="AB1886">
        <v>0</v>
      </c>
      <c r="AC1886">
        <v>0</v>
      </c>
      <c r="AD1886">
        <v>1</v>
      </c>
      <c r="AE1886">
        <v>0</v>
      </c>
      <c r="AF1886">
        <v>0</v>
      </c>
      <c r="AG1886">
        <v>0</v>
      </c>
    </row>
    <row r="1887" spans="1:33" x14ac:dyDescent="0.2">
      <c r="A1887">
        <v>1886</v>
      </c>
      <c r="B1887" t="s">
        <v>549</v>
      </c>
      <c r="C1887" t="s">
        <v>108</v>
      </c>
      <c r="D1887">
        <v>24</v>
      </c>
      <c r="E1887" t="s">
        <v>34</v>
      </c>
      <c r="F1887" t="s">
        <v>41</v>
      </c>
      <c r="G1887" t="s">
        <v>49</v>
      </c>
      <c r="H1887">
        <v>19279</v>
      </c>
      <c r="I1887">
        <v>1</v>
      </c>
      <c r="J1887">
        <v>1</v>
      </c>
      <c r="K1887">
        <v>0</v>
      </c>
      <c r="L1887">
        <v>0</v>
      </c>
      <c r="M1887" t="s">
        <v>96</v>
      </c>
      <c r="N1887" t="s">
        <v>51</v>
      </c>
      <c r="O1887" t="s">
        <v>52</v>
      </c>
      <c r="P1887" t="s">
        <v>442</v>
      </c>
      <c r="Q1887" t="s">
        <v>65</v>
      </c>
      <c r="R1887" t="s">
        <v>47</v>
      </c>
      <c r="S1887" t="s">
        <v>46</v>
      </c>
      <c r="T1887">
        <v>0</v>
      </c>
      <c r="U1887">
        <v>1</v>
      </c>
      <c r="V1887">
        <v>0</v>
      </c>
      <c r="W1887">
        <v>1</v>
      </c>
      <c r="X1887">
        <v>1</v>
      </c>
      <c r="Y1887">
        <v>0</v>
      </c>
      <c r="Z1887">
        <v>1</v>
      </c>
      <c r="AA1887">
        <v>0</v>
      </c>
      <c r="AB1887">
        <v>1</v>
      </c>
      <c r="AC1887">
        <v>0</v>
      </c>
      <c r="AD1887">
        <v>1</v>
      </c>
      <c r="AE1887">
        <v>0</v>
      </c>
      <c r="AF1887">
        <v>0</v>
      </c>
      <c r="AG1887">
        <v>0</v>
      </c>
    </row>
    <row r="1888" spans="1:33" hidden="1" x14ac:dyDescent="0.2">
      <c r="A1888">
        <v>1887</v>
      </c>
      <c r="B1888" t="s">
        <v>549</v>
      </c>
      <c r="C1888" t="s">
        <v>108</v>
      </c>
      <c r="D1888">
        <v>24</v>
      </c>
      <c r="E1888" t="s">
        <v>34</v>
      </c>
      <c r="F1888" t="s">
        <v>53</v>
      </c>
      <c r="G1888" t="s">
        <v>66</v>
      </c>
      <c r="H1888">
        <v>37451</v>
      </c>
      <c r="I1888">
        <v>1</v>
      </c>
      <c r="J1888">
        <v>1</v>
      </c>
      <c r="K1888">
        <v>0</v>
      </c>
      <c r="L1888">
        <v>0</v>
      </c>
      <c r="M1888" t="s">
        <v>36</v>
      </c>
      <c r="N1888" t="s">
        <v>36</v>
      </c>
      <c r="O1888" t="s">
        <v>36</v>
      </c>
      <c r="P1888" t="s">
        <v>442</v>
      </c>
      <c r="Q1888" t="s">
        <v>36</v>
      </c>
      <c r="R1888" t="s">
        <v>36</v>
      </c>
      <c r="S1888" t="s">
        <v>36</v>
      </c>
      <c r="T1888" t="s">
        <v>36</v>
      </c>
      <c r="U1888">
        <v>1</v>
      </c>
      <c r="V1888">
        <v>0</v>
      </c>
      <c r="W1888">
        <v>1</v>
      </c>
      <c r="X1888">
        <v>1</v>
      </c>
      <c r="Y1888">
        <v>0</v>
      </c>
      <c r="Z1888">
        <v>1</v>
      </c>
      <c r="AA1888">
        <v>0</v>
      </c>
      <c r="AB1888">
        <v>1</v>
      </c>
      <c r="AC1888">
        <v>0</v>
      </c>
      <c r="AD1888">
        <v>1</v>
      </c>
      <c r="AE1888">
        <v>0</v>
      </c>
      <c r="AF1888">
        <v>0</v>
      </c>
      <c r="AG1888">
        <v>0</v>
      </c>
    </row>
    <row r="1889" spans="1:33" x14ac:dyDescent="0.2">
      <c r="A1889">
        <v>1888</v>
      </c>
      <c r="B1889" t="s">
        <v>549</v>
      </c>
      <c r="C1889" t="s">
        <v>108</v>
      </c>
      <c r="D1889">
        <v>24</v>
      </c>
      <c r="E1889" t="s">
        <v>34</v>
      </c>
      <c r="F1889" t="s">
        <v>41</v>
      </c>
      <c r="G1889" t="s">
        <v>72</v>
      </c>
      <c r="H1889">
        <v>28542</v>
      </c>
      <c r="I1889">
        <v>0</v>
      </c>
      <c r="J1889">
        <v>0</v>
      </c>
      <c r="K1889">
        <v>0</v>
      </c>
      <c r="L1889">
        <v>1</v>
      </c>
      <c r="M1889" t="s">
        <v>73</v>
      </c>
      <c r="N1889" t="s">
        <v>93</v>
      </c>
      <c r="O1889" t="s">
        <v>75</v>
      </c>
      <c r="P1889" t="s">
        <v>442</v>
      </c>
      <c r="Q1889" t="s">
        <v>48</v>
      </c>
      <c r="R1889" t="s">
        <v>59</v>
      </c>
      <c r="S1889" t="s">
        <v>46</v>
      </c>
      <c r="T1889">
        <v>0</v>
      </c>
      <c r="U1889">
        <v>0</v>
      </c>
      <c r="V1889">
        <v>1</v>
      </c>
      <c r="W1889">
        <v>0</v>
      </c>
      <c r="X1889">
        <v>1</v>
      </c>
      <c r="Y1889">
        <v>0</v>
      </c>
      <c r="Z1889">
        <v>1</v>
      </c>
      <c r="AA1889">
        <v>0</v>
      </c>
      <c r="AB1889">
        <v>0</v>
      </c>
      <c r="AC1889">
        <v>0</v>
      </c>
      <c r="AD1889">
        <v>0</v>
      </c>
      <c r="AE1889">
        <v>0</v>
      </c>
      <c r="AF1889">
        <v>0</v>
      </c>
      <c r="AG1889">
        <v>1</v>
      </c>
    </row>
    <row r="1890" spans="1:33" hidden="1" x14ac:dyDescent="0.2">
      <c r="A1890">
        <v>1889</v>
      </c>
      <c r="B1890" t="s">
        <v>549</v>
      </c>
      <c r="C1890" t="s">
        <v>108</v>
      </c>
      <c r="D1890">
        <v>24</v>
      </c>
      <c r="E1890" t="s">
        <v>34</v>
      </c>
      <c r="F1890" t="s">
        <v>53</v>
      </c>
      <c r="G1890" t="s">
        <v>76</v>
      </c>
      <c r="H1890">
        <v>36323</v>
      </c>
      <c r="I1890">
        <v>1</v>
      </c>
      <c r="J1890">
        <v>0</v>
      </c>
      <c r="K1890">
        <v>0</v>
      </c>
      <c r="L1890">
        <v>0</v>
      </c>
      <c r="M1890" t="s">
        <v>36</v>
      </c>
      <c r="N1890" t="s">
        <v>36</v>
      </c>
      <c r="O1890" t="s">
        <v>36</v>
      </c>
      <c r="P1890" t="s">
        <v>442</v>
      </c>
      <c r="Q1890" t="s">
        <v>36</v>
      </c>
      <c r="R1890" t="s">
        <v>36</v>
      </c>
      <c r="S1890" t="s">
        <v>36</v>
      </c>
      <c r="T1890" t="s">
        <v>36</v>
      </c>
      <c r="U1890">
        <v>0</v>
      </c>
      <c r="V1890">
        <v>1</v>
      </c>
      <c r="W1890">
        <v>0</v>
      </c>
      <c r="X1890">
        <v>1</v>
      </c>
      <c r="Y1890">
        <v>0</v>
      </c>
      <c r="Z1890">
        <v>1</v>
      </c>
      <c r="AA1890">
        <v>0</v>
      </c>
      <c r="AB1890">
        <v>0</v>
      </c>
      <c r="AC1890">
        <v>0</v>
      </c>
      <c r="AD1890">
        <v>0</v>
      </c>
      <c r="AE1890">
        <v>0</v>
      </c>
      <c r="AF1890">
        <v>0</v>
      </c>
      <c r="AG1890">
        <v>1</v>
      </c>
    </row>
    <row r="1891" spans="1:33" hidden="1" x14ac:dyDescent="0.2">
      <c r="A1891">
        <v>1890</v>
      </c>
      <c r="B1891" t="s">
        <v>549</v>
      </c>
      <c r="C1891" t="s">
        <v>108</v>
      </c>
      <c r="D1891">
        <v>24</v>
      </c>
      <c r="E1891" t="s">
        <v>34</v>
      </c>
      <c r="F1891" t="s">
        <v>77</v>
      </c>
      <c r="G1891" t="s">
        <v>36</v>
      </c>
      <c r="H1891">
        <v>74983</v>
      </c>
      <c r="I1891" t="s">
        <v>550</v>
      </c>
      <c r="J1891" t="s">
        <v>551</v>
      </c>
      <c r="K1891" t="s">
        <v>552</v>
      </c>
      <c r="L1891" t="s">
        <v>36</v>
      </c>
      <c r="M1891" t="s">
        <v>36</v>
      </c>
      <c r="N1891" t="s">
        <v>36</v>
      </c>
      <c r="O1891" t="s">
        <v>36</v>
      </c>
      <c r="P1891" t="s">
        <v>442</v>
      </c>
      <c r="Q1891" t="s">
        <v>36</v>
      </c>
      <c r="R1891" t="s">
        <v>36</v>
      </c>
      <c r="S1891" t="s">
        <v>36</v>
      </c>
      <c r="T1891" t="s">
        <v>36</v>
      </c>
      <c r="U1891" t="s">
        <v>36</v>
      </c>
      <c r="V1891" t="s">
        <v>36</v>
      </c>
      <c r="W1891" t="s">
        <v>36</v>
      </c>
      <c r="X1891" t="s">
        <v>36</v>
      </c>
      <c r="Y1891" t="s">
        <v>36</v>
      </c>
      <c r="Z1891" t="s">
        <v>36</v>
      </c>
      <c r="AA1891" t="s">
        <v>36</v>
      </c>
      <c r="AB1891" t="s">
        <v>36</v>
      </c>
      <c r="AC1891" t="s">
        <v>36</v>
      </c>
      <c r="AD1891" t="s">
        <v>36</v>
      </c>
      <c r="AE1891" t="s">
        <v>36</v>
      </c>
      <c r="AF1891" t="s">
        <v>36</v>
      </c>
      <c r="AG1891" t="s">
        <v>36</v>
      </c>
    </row>
    <row r="1892" spans="1:33" hidden="1" x14ac:dyDescent="0.2">
      <c r="A1892">
        <v>1891</v>
      </c>
      <c r="B1892" t="s">
        <v>553</v>
      </c>
      <c r="C1892" t="s">
        <v>108</v>
      </c>
      <c r="D1892">
        <v>37</v>
      </c>
      <c r="E1892" t="s">
        <v>34</v>
      </c>
      <c r="F1892" t="s">
        <v>35</v>
      </c>
      <c r="G1892" t="s">
        <v>36</v>
      </c>
      <c r="H1892">
        <v>51842</v>
      </c>
      <c r="I1892" t="s">
        <v>36</v>
      </c>
      <c r="J1892" t="s">
        <v>36</v>
      </c>
      <c r="K1892" t="s">
        <v>36</v>
      </c>
      <c r="L1892" t="s">
        <v>36</v>
      </c>
      <c r="M1892" t="s">
        <v>36</v>
      </c>
      <c r="N1892" t="s">
        <v>36</v>
      </c>
      <c r="O1892" t="s">
        <v>36</v>
      </c>
      <c r="P1892" t="s">
        <v>442</v>
      </c>
      <c r="Q1892" t="s">
        <v>36</v>
      </c>
      <c r="R1892" t="s">
        <v>36</v>
      </c>
      <c r="S1892" t="s">
        <v>36</v>
      </c>
      <c r="T1892" t="s">
        <v>36</v>
      </c>
      <c r="U1892" t="s">
        <v>36</v>
      </c>
      <c r="V1892" t="s">
        <v>36</v>
      </c>
      <c r="W1892" t="s">
        <v>36</v>
      </c>
      <c r="X1892" t="s">
        <v>36</v>
      </c>
      <c r="Y1892" t="s">
        <v>36</v>
      </c>
      <c r="Z1892" t="s">
        <v>36</v>
      </c>
      <c r="AA1892" t="s">
        <v>36</v>
      </c>
      <c r="AB1892" t="s">
        <v>36</v>
      </c>
      <c r="AC1892" t="s">
        <v>36</v>
      </c>
      <c r="AD1892" t="s">
        <v>36</v>
      </c>
      <c r="AE1892" t="s">
        <v>36</v>
      </c>
      <c r="AF1892" t="s">
        <v>36</v>
      </c>
      <c r="AG1892" t="s">
        <v>36</v>
      </c>
    </row>
    <row r="1893" spans="1:33" hidden="1" x14ac:dyDescent="0.2">
      <c r="A1893">
        <v>1892</v>
      </c>
      <c r="B1893" t="s">
        <v>553</v>
      </c>
      <c r="C1893" t="s">
        <v>108</v>
      </c>
      <c r="D1893">
        <v>37</v>
      </c>
      <c r="E1893" t="s">
        <v>34</v>
      </c>
      <c r="F1893" t="s">
        <v>38</v>
      </c>
      <c r="G1893" t="s">
        <v>40</v>
      </c>
      <c r="H1893">
        <v>36017</v>
      </c>
      <c r="I1893">
        <v>0</v>
      </c>
      <c r="J1893">
        <v>0</v>
      </c>
      <c r="K1893">
        <v>1</v>
      </c>
      <c r="L1893">
        <v>0</v>
      </c>
      <c r="M1893" t="s">
        <v>36</v>
      </c>
      <c r="N1893" t="s">
        <v>36</v>
      </c>
      <c r="O1893" t="s">
        <v>36</v>
      </c>
      <c r="P1893" t="s">
        <v>442</v>
      </c>
      <c r="Q1893" t="s">
        <v>36</v>
      </c>
      <c r="R1893" t="s">
        <v>36</v>
      </c>
      <c r="S1893" t="s">
        <v>36</v>
      </c>
      <c r="T1893" t="s">
        <v>36</v>
      </c>
      <c r="U1893" t="s">
        <v>36</v>
      </c>
      <c r="V1893" t="s">
        <v>36</v>
      </c>
      <c r="W1893" t="s">
        <v>36</v>
      </c>
      <c r="X1893" t="s">
        <v>36</v>
      </c>
      <c r="Y1893" t="s">
        <v>36</v>
      </c>
      <c r="Z1893" t="s">
        <v>36</v>
      </c>
      <c r="AA1893" t="s">
        <v>36</v>
      </c>
      <c r="AB1893" t="s">
        <v>36</v>
      </c>
      <c r="AC1893" t="s">
        <v>36</v>
      </c>
      <c r="AD1893" t="s">
        <v>36</v>
      </c>
      <c r="AE1893" t="s">
        <v>36</v>
      </c>
      <c r="AF1893" t="s">
        <v>36</v>
      </c>
      <c r="AG1893" t="s">
        <v>36</v>
      </c>
    </row>
    <row r="1894" spans="1:33" hidden="1" x14ac:dyDescent="0.2">
      <c r="A1894">
        <v>1893</v>
      </c>
      <c r="B1894" t="s">
        <v>553</v>
      </c>
      <c r="C1894" t="s">
        <v>108</v>
      </c>
      <c r="D1894">
        <v>37</v>
      </c>
      <c r="E1894" t="s">
        <v>34</v>
      </c>
      <c r="F1894" t="s">
        <v>38</v>
      </c>
      <c r="G1894" t="s">
        <v>39</v>
      </c>
      <c r="H1894">
        <v>39746</v>
      </c>
      <c r="I1894">
        <v>0</v>
      </c>
      <c r="J1894">
        <v>0</v>
      </c>
      <c r="K1894">
        <v>0</v>
      </c>
      <c r="L1894">
        <v>1</v>
      </c>
      <c r="M1894" t="s">
        <v>36</v>
      </c>
      <c r="N1894" t="s">
        <v>36</v>
      </c>
      <c r="O1894" t="s">
        <v>36</v>
      </c>
      <c r="P1894" t="s">
        <v>442</v>
      </c>
      <c r="Q1894" t="s">
        <v>36</v>
      </c>
      <c r="R1894" t="s">
        <v>36</v>
      </c>
      <c r="S1894" t="s">
        <v>36</v>
      </c>
      <c r="T1894" t="s">
        <v>36</v>
      </c>
      <c r="U1894" t="s">
        <v>36</v>
      </c>
      <c r="V1894" t="s">
        <v>36</v>
      </c>
      <c r="W1894" t="s">
        <v>36</v>
      </c>
      <c r="X1894" t="s">
        <v>36</v>
      </c>
      <c r="Y1894" t="s">
        <v>36</v>
      </c>
      <c r="Z1894" t="s">
        <v>36</v>
      </c>
      <c r="AA1894" t="s">
        <v>36</v>
      </c>
      <c r="AB1894" t="s">
        <v>36</v>
      </c>
      <c r="AC1894" t="s">
        <v>36</v>
      </c>
      <c r="AD1894" t="s">
        <v>36</v>
      </c>
      <c r="AE1894" t="s">
        <v>36</v>
      </c>
      <c r="AF1894" t="s">
        <v>36</v>
      </c>
      <c r="AG1894" t="s">
        <v>36</v>
      </c>
    </row>
    <row r="1895" spans="1:33" x14ac:dyDescent="0.2">
      <c r="A1895">
        <v>1894</v>
      </c>
      <c r="B1895" t="s">
        <v>553</v>
      </c>
      <c r="C1895" t="s">
        <v>108</v>
      </c>
      <c r="D1895">
        <v>37</v>
      </c>
      <c r="E1895" t="s">
        <v>34</v>
      </c>
      <c r="F1895" t="s">
        <v>41</v>
      </c>
      <c r="G1895" t="s">
        <v>42</v>
      </c>
      <c r="H1895">
        <v>40651</v>
      </c>
      <c r="I1895">
        <v>0</v>
      </c>
      <c r="J1895">
        <v>0</v>
      </c>
      <c r="K1895">
        <v>1</v>
      </c>
      <c r="L1895">
        <v>0</v>
      </c>
      <c r="M1895" t="s">
        <v>43</v>
      </c>
      <c r="N1895" t="s">
        <v>45</v>
      </c>
      <c r="O1895" t="s">
        <v>44</v>
      </c>
      <c r="P1895" t="s">
        <v>442</v>
      </c>
      <c r="Q1895" t="s">
        <v>46</v>
      </c>
      <c r="R1895" t="s">
        <v>48</v>
      </c>
      <c r="S1895" t="s">
        <v>47</v>
      </c>
      <c r="T1895">
        <v>0</v>
      </c>
      <c r="U1895">
        <v>0</v>
      </c>
      <c r="V1895">
        <v>1</v>
      </c>
      <c r="W1895">
        <v>1</v>
      </c>
      <c r="X1895">
        <v>1</v>
      </c>
      <c r="Y1895">
        <v>0</v>
      </c>
      <c r="Z1895">
        <v>1</v>
      </c>
      <c r="AA1895">
        <v>0</v>
      </c>
      <c r="AB1895">
        <v>0</v>
      </c>
      <c r="AC1895">
        <v>0</v>
      </c>
      <c r="AD1895">
        <v>1</v>
      </c>
      <c r="AE1895">
        <v>0</v>
      </c>
      <c r="AF1895">
        <v>0</v>
      </c>
      <c r="AG1895">
        <v>0</v>
      </c>
    </row>
    <row r="1896" spans="1:33" x14ac:dyDescent="0.2">
      <c r="A1896">
        <v>1895</v>
      </c>
      <c r="B1896" t="s">
        <v>553</v>
      </c>
      <c r="C1896" t="s">
        <v>108</v>
      </c>
      <c r="D1896">
        <v>37</v>
      </c>
      <c r="E1896" t="s">
        <v>34</v>
      </c>
      <c r="F1896" t="s">
        <v>41</v>
      </c>
      <c r="G1896" t="s">
        <v>67</v>
      </c>
      <c r="H1896">
        <v>28801</v>
      </c>
      <c r="I1896">
        <v>0</v>
      </c>
      <c r="J1896">
        <v>1</v>
      </c>
      <c r="K1896">
        <v>1</v>
      </c>
      <c r="L1896">
        <v>0</v>
      </c>
      <c r="M1896" t="s">
        <v>86</v>
      </c>
      <c r="N1896" t="s">
        <v>68</v>
      </c>
      <c r="O1896" t="s">
        <v>70</v>
      </c>
      <c r="P1896" t="s">
        <v>442</v>
      </c>
      <c r="Q1896" t="s">
        <v>46</v>
      </c>
      <c r="R1896" t="s">
        <v>65</v>
      </c>
      <c r="S1896" t="s">
        <v>47</v>
      </c>
      <c r="T1896">
        <v>0</v>
      </c>
      <c r="U1896">
        <v>1</v>
      </c>
      <c r="V1896">
        <v>0</v>
      </c>
      <c r="W1896">
        <v>1</v>
      </c>
      <c r="X1896">
        <v>1</v>
      </c>
      <c r="Y1896">
        <v>0</v>
      </c>
      <c r="Z1896">
        <v>1</v>
      </c>
      <c r="AA1896">
        <v>0</v>
      </c>
      <c r="AB1896">
        <v>1</v>
      </c>
      <c r="AC1896">
        <v>0</v>
      </c>
      <c r="AD1896">
        <v>1</v>
      </c>
      <c r="AE1896">
        <v>0</v>
      </c>
      <c r="AF1896">
        <v>0</v>
      </c>
      <c r="AG1896">
        <v>0</v>
      </c>
    </row>
    <row r="1897" spans="1:33" hidden="1" x14ac:dyDescent="0.2">
      <c r="A1897">
        <v>1896</v>
      </c>
      <c r="B1897" t="s">
        <v>553</v>
      </c>
      <c r="C1897" t="s">
        <v>108</v>
      </c>
      <c r="D1897">
        <v>37</v>
      </c>
      <c r="E1897" t="s">
        <v>34</v>
      </c>
      <c r="F1897" t="s">
        <v>53</v>
      </c>
      <c r="G1897" t="s">
        <v>54</v>
      </c>
      <c r="H1897">
        <v>65519</v>
      </c>
      <c r="I1897">
        <v>0</v>
      </c>
      <c r="J1897">
        <v>1</v>
      </c>
      <c r="K1897">
        <v>1</v>
      </c>
      <c r="L1897">
        <v>0</v>
      </c>
      <c r="M1897" t="s">
        <v>36</v>
      </c>
      <c r="N1897" t="s">
        <v>36</v>
      </c>
      <c r="O1897" t="s">
        <v>36</v>
      </c>
      <c r="P1897" t="s">
        <v>442</v>
      </c>
      <c r="Q1897" t="s">
        <v>36</v>
      </c>
      <c r="R1897" t="s">
        <v>36</v>
      </c>
      <c r="S1897" t="s">
        <v>36</v>
      </c>
      <c r="T1897" t="s">
        <v>36</v>
      </c>
      <c r="U1897">
        <v>1</v>
      </c>
      <c r="V1897">
        <v>0</v>
      </c>
      <c r="W1897">
        <v>1</v>
      </c>
      <c r="X1897">
        <v>1</v>
      </c>
      <c r="Y1897">
        <v>0</v>
      </c>
      <c r="Z1897">
        <v>1</v>
      </c>
      <c r="AA1897">
        <v>0</v>
      </c>
      <c r="AB1897">
        <v>1</v>
      </c>
      <c r="AC1897">
        <v>0</v>
      </c>
      <c r="AD1897">
        <v>1</v>
      </c>
      <c r="AE1897">
        <v>0</v>
      </c>
      <c r="AF1897">
        <v>0</v>
      </c>
      <c r="AG1897">
        <v>0</v>
      </c>
    </row>
    <row r="1898" spans="1:33" x14ac:dyDescent="0.2">
      <c r="A1898">
        <v>1897</v>
      </c>
      <c r="B1898" t="s">
        <v>553</v>
      </c>
      <c r="C1898" t="s">
        <v>108</v>
      </c>
      <c r="D1898">
        <v>37</v>
      </c>
      <c r="E1898" t="s">
        <v>34</v>
      </c>
      <c r="F1898" t="s">
        <v>41</v>
      </c>
      <c r="G1898" t="s">
        <v>72</v>
      </c>
      <c r="H1898">
        <v>39418</v>
      </c>
      <c r="I1898">
        <v>1</v>
      </c>
      <c r="J1898">
        <v>1</v>
      </c>
      <c r="K1898">
        <v>1</v>
      </c>
      <c r="L1898">
        <v>0</v>
      </c>
      <c r="M1898" t="s">
        <v>104</v>
      </c>
      <c r="N1898" t="s">
        <v>93</v>
      </c>
      <c r="O1898" t="s">
        <v>73</v>
      </c>
      <c r="P1898" t="s">
        <v>442</v>
      </c>
      <c r="Q1898" t="s">
        <v>60</v>
      </c>
      <c r="R1898" t="s">
        <v>59</v>
      </c>
      <c r="S1898" t="s">
        <v>48</v>
      </c>
      <c r="T1898">
        <v>1</v>
      </c>
      <c r="U1898">
        <v>0</v>
      </c>
      <c r="V1898">
        <v>1</v>
      </c>
      <c r="W1898">
        <v>0</v>
      </c>
      <c r="X1898">
        <v>0</v>
      </c>
      <c r="Y1898">
        <v>0</v>
      </c>
      <c r="Z1898">
        <v>1</v>
      </c>
      <c r="AA1898">
        <v>1</v>
      </c>
      <c r="AB1898">
        <v>0</v>
      </c>
      <c r="AC1898">
        <v>1</v>
      </c>
      <c r="AD1898">
        <v>0</v>
      </c>
      <c r="AE1898">
        <v>0</v>
      </c>
      <c r="AF1898">
        <v>0</v>
      </c>
      <c r="AG1898">
        <v>0</v>
      </c>
    </row>
    <row r="1899" spans="1:33" hidden="1" x14ac:dyDescent="0.2">
      <c r="A1899">
        <v>1898</v>
      </c>
      <c r="B1899" t="s">
        <v>553</v>
      </c>
      <c r="C1899" t="s">
        <v>108</v>
      </c>
      <c r="D1899">
        <v>37</v>
      </c>
      <c r="E1899" t="s">
        <v>34</v>
      </c>
      <c r="F1899" t="s">
        <v>53</v>
      </c>
      <c r="G1899" t="s">
        <v>71</v>
      </c>
      <c r="H1899">
        <v>58258</v>
      </c>
      <c r="I1899">
        <v>1</v>
      </c>
      <c r="J1899">
        <v>1</v>
      </c>
      <c r="K1899">
        <v>0</v>
      </c>
      <c r="L1899">
        <v>0</v>
      </c>
      <c r="M1899" t="s">
        <v>36</v>
      </c>
      <c r="N1899" t="s">
        <v>36</v>
      </c>
      <c r="O1899" t="s">
        <v>36</v>
      </c>
      <c r="P1899" t="s">
        <v>442</v>
      </c>
      <c r="Q1899" t="s">
        <v>36</v>
      </c>
      <c r="R1899" t="s">
        <v>36</v>
      </c>
      <c r="S1899" t="s">
        <v>36</v>
      </c>
      <c r="T1899" t="s">
        <v>36</v>
      </c>
      <c r="U1899">
        <v>0</v>
      </c>
      <c r="V1899">
        <v>1</v>
      </c>
      <c r="W1899">
        <v>0</v>
      </c>
      <c r="X1899">
        <v>0</v>
      </c>
      <c r="Y1899">
        <v>0</v>
      </c>
      <c r="Z1899">
        <v>1</v>
      </c>
      <c r="AA1899">
        <v>1</v>
      </c>
      <c r="AB1899">
        <v>0</v>
      </c>
      <c r="AC1899">
        <v>1</v>
      </c>
      <c r="AD1899">
        <v>0</v>
      </c>
      <c r="AE1899">
        <v>0</v>
      </c>
      <c r="AF1899">
        <v>0</v>
      </c>
      <c r="AG1899">
        <v>0</v>
      </c>
    </row>
    <row r="1900" spans="1:33" x14ac:dyDescent="0.2">
      <c r="A1900">
        <v>1899</v>
      </c>
      <c r="B1900" t="s">
        <v>553</v>
      </c>
      <c r="C1900" t="s">
        <v>108</v>
      </c>
      <c r="D1900">
        <v>37</v>
      </c>
      <c r="E1900" t="s">
        <v>34</v>
      </c>
      <c r="F1900" t="s">
        <v>41</v>
      </c>
      <c r="G1900" t="s">
        <v>49</v>
      </c>
      <c r="H1900">
        <v>35364</v>
      </c>
      <c r="I1900">
        <v>1</v>
      </c>
      <c r="J1900">
        <v>0</v>
      </c>
      <c r="K1900">
        <v>0</v>
      </c>
      <c r="L1900">
        <v>0</v>
      </c>
      <c r="M1900" t="s">
        <v>51</v>
      </c>
      <c r="N1900" t="s">
        <v>50</v>
      </c>
      <c r="O1900" t="s">
        <v>52</v>
      </c>
      <c r="P1900" t="s">
        <v>442</v>
      </c>
      <c r="Q1900" t="s">
        <v>47</v>
      </c>
      <c r="R1900" t="s">
        <v>48</v>
      </c>
      <c r="S1900" t="s">
        <v>46</v>
      </c>
      <c r="T1900">
        <v>0</v>
      </c>
      <c r="U1900">
        <v>0</v>
      </c>
      <c r="V1900">
        <v>1</v>
      </c>
      <c r="W1900">
        <v>1</v>
      </c>
      <c r="X1900">
        <v>1</v>
      </c>
      <c r="Y1900">
        <v>0</v>
      </c>
      <c r="Z1900">
        <v>1</v>
      </c>
      <c r="AA1900">
        <v>0</v>
      </c>
      <c r="AB1900">
        <v>0</v>
      </c>
      <c r="AC1900">
        <v>0</v>
      </c>
      <c r="AD1900">
        <v>1</v>
      </c>
      <c r="AE1900">
        <v>0</v>
      </c>
      <c r="AF1900">
        <v>0</v>
      </c>
      <c r="AG1900">
        <v>0</v>
      </c>
    </row>
    <row r="1901" spans="1:33" x14ac:dyDescent="0.2">
      <c r="A1901">
        <v>1900</v>
      </c>
      <c r="B1901" t="s">
        <v>553</v>
      </c>
      <c r="C1901" t="s">
        <v>108</v>
      </c>
      <c r="D1901">
        <v>37</v>
      </c>
      <c r="E1901" t="s">
        <v>34</v>
      </c>
      <c r="F1901" t="s">
        <v>41</v>
      </c>
      <c r="G1901" t="s">
        <v>55</v>
      </c>
      <c r="H1901">
        <v>21800</v>
      </c>
      <c r="I1901">
        <v>0</v>
      </c>
      <c r="J1901">
        <v>0</v>
      </c>
      <c r="K1901">
        <v>1</v>
      </c>
      <c r="L1901">
        <v>0</v>
      </c>
      <c r="M1901" t="s">
        <v>84</v>
      </c>
      <c r="N1901" t="s">
        <v>57</v>
      </c>
      <c r="O1901" t="s">
        <v>85</v>
      </c>
      <c r="P1901" t="s">
        <v>442</v>
      </c>
      <c r="Q1901" t="s">
        <v>46</v>
      </c>
      <c r="R1901" t="s">
        <v>48</v>
      </c>
      <c r="S1901" t="s">
        <v>65</v>
      </c>
      <c r="T1901">
        <v>0</v>
      </c>
      <c r="U1901">
        <v>1</v>
      </c>
      <c r="V1901">
        <v>1</v>
      </c>
      <c r="W1901">
        <v>0</v>
      </c>
      <c r="X1901">
        <v>1</v>
      </c>
      <c r="Y1901">
        <v>0</v>
      </c>
      <c r="Z1901">
        <v>1</v>
      </c>
      <c r="AA1901">
        <v>0</v>
      </c>
      <c r="AB1901">
        <v>1</v>
      </c>
      <c r="AC1901">
        <v>0</v>
      </c>
      <c r="AD1901">
        <v>0</v>
      </c>
      <c r="AE1901">
        <v>0</v>
      </c>
      <c r="AF1901">
        <v>0</v>
      </c>
      <c r="AG1901">
        <v>0</v>
      </c>
    </row>
    <row r="1902" spans="1:33" hidden="1" x14ac:dyDescent="0.2">
      <c r="A1902">
        <v>1901</v>
      </c>
      <c r="B1902" t="s">
        <v>553</v>
      </c>
      <c r="C1902" t="s">
        <v>108</v>
      </c>
      <c r="D1902">
        <v>37</v>
      </c>
      <c r="E1902" t="s">
        <v>34</v>
      </c>
      <c r="F1902" t="s">
        <v>53</v>
      </c>
      <c r="G1902" t="s">
        <v>66</v>
      </c>
      <c r="H1902">
        <v>19341</v>
      </c>
      <c r="I1902">
        <v>1</v>
      </c>
      <c r="J1902">
        <v>1</v>
      </c>
      <c r="K1902">
        <v>0</v>
      </c>
      <c r="L1902">
        <v>0</v>
      </c>
      <c r="M1902" t="s">
        <v>36</v>
      </c>
      <c r="N1902" t="s">
        <v>36</v>
      </c>
      <c r="O1902" t="s">
        <v>36</v>
      </c>
      <c r="P1902" t="s">
        <v>442</v>
      </c>
      <c r="Q1902" t="s">
        <v>36</v>
      </c>
      <c r="R1902" t="s">
        <v>36</v>
      </c>
      <c r="S1902" t="s">
        <v>36</v>
      </c>
      <c r="T1902" t="s">
        <v>36</v>
      </c>
      <c r="U1902">
        <v>1</v>
      </c>
      <c r="V1902">
        <v>1</v>
      </c>
      <c r="W1902">
        <v>0</v>
      </c>
      <c r="X1902">
        <v>1</v>
      </c>
      <c r="Y1902">
        <v>0</v>
      </c>
      <c r="Z1902">
        <v>1</v>
      </c>
      <c r="AA1902">
        <v>0</v>
      </c>
      <c r="AB1902">
        <v>1</v>
      </c>
      <c r="AC1902">
        <v>0</v>
      </c>
      <c r="AD1902">
        <v>0</v>
      </c>
      <c r="AE1902">
        <v>0</v>
      </c>
      <c r="AF1902">
        <v>0</v>
      </c>
      <c r="AG1902">
        <v>0</v>
      </c>
    </row>
    <row r="1903" spans="1:33" x14ac:dyDescent="0.2">
      <c r="A1903">
        <v>1902</v>
      </c>
      <c r="B1903" t="s">
        <v>553</v>
      </c>
      <c r="C1903" t="s">
        <v>108</v>
      </c>
      <c r="D1903">
        <v>37</v>
      </c>
      <c r="E1903" t="s">
        <v>34</v>
      </c>
      <c r="F1903" t="s">
        <v>41</v>
      </c>
      <c r="G1903" t="s">
        <v>61</v>
      </c>
      <c r="H1903">
        <v>22496</v>
      </c>
      <c r="I1903">
        <v>0</v>
      </c>
      <c r="J1903">
        <v>0</v>
      </c>
      <c r="K1903">
        <v>1</v>
      </c>
      <c r="L1903">
        <v>0</v>
      </c>
      <c r="M1903" t="s">
        <v>97</v>
      </c>
      <c r="N1903" t="s">
        <v>64</v>
      </c>
      <c r="O1903" t="s">
        <v>125</v>
      </c>
      <c r="P1903" t="s">
        <v>442</v>
      </c>
      <c r="Q1903" t="s">
        <v>59</v>
      </c>
      <c r="R1903" t="s">
        <v>48</v>
      </c>
      <c r="S1903" t="s">
        <v>60</v>
      </c>
      <c r="T1903">
        <v>1</v>
      </c>
      <c r="U1903">
        <v>0</v>
      </c>
      <c r="V1903">
        <v>1</v>
      </c>
      <c r="W1903">
        <v>0</v>
      </c>
      <c r="X1903">
        <v>0</v>
      </c>
      <c r="Y1903">
        <v>0</v>
      </c>
      <c r="Z1903">
        <v>1</v>
      </c>
      <c r="AA1903">
        <v>1</v>
      </c>
      <c r="AB1903">
        <v>0</v>
      </c>
      <c r="AC1903">
        <v>0</v>
      </c>
      <c r="AD1903">
        <v>0</v>
      </c>
      <c r="AE1903">
        <v>0</v>
      </c>
      <c r="AF1903">
        <v>0</v>
      </c>
      <c r="AG1903">
        <v>0</v>
      </c>
    </row>
    <row r="1904" spans="1:33" hidden="1" x14ac:dyDescent="0.2">
      <c r="A1904">
        <v>1903</v>
      </c>
      <c r="B1904" t="s">
        <v>553</v>
      </c>
      <c r="C1904" t="s">
        <v>108</v>
      </c>
      <c r="D1904">
        <v>37</v>
      </c>
      <c r="E1904" t="s">
        <v>34</v>
      </c>
      <c r="F1904" t="s">
        <v>53</v>
      </c>
      <c r="G1904" t="s">
        <v>76</v>
      </c>
      <c r="H1904">
        <v>15179</v>
      </c>
      <c r="I1904">
        <v>1</v>
      </c>
      <c r="J1904">
        <v>0</v>
      </c>
      <c r="K1904">
        <v>0</v>
      </c>
      <c r="L1904">
        <v>0</v>
      </c>
      <c r="M1904" t="s">
        <v>36</v>
      </c>
      <c r="N1904" t="s">
        <v>36</v>
      </c>
      <c r="O1904" t="s">
        <v>36</v>
      </c>
      <c r="P1904" t="s">
        <v>442</v>
      </c>
      <c r="Q1904" t="s">
        <v>36</v>
      </c>
      <c r="R1904" t="s">
        <v>36</v>
      </c>
      <c r="S1904" t="s">
        <v>36</v>
      </c>
      <c r="T1904" t="s">
        <v>36</v>
      </c>
      <c r="U1904">
        <v>0</v>
      </c>
      <c r="V1904">
        <v>1</v>
      </c>
      <c r="W1904">
        <v>0</v>
      </c>
      <c r="X1904">
        <v>0</v>
      </c>
      <c r="Y1904">
        <v>0</v>
      </c>
      <c r="Z1904">
        <v>1</v>
      </c>
      <c r="AA1904">
        <v>1</v>
      </c>
      <c r="AB1904">
        <v>0</v>
      </c>
      <c r="AC1904">
        <v>0</v>
      </c>
      <c r="AD1904">
        <v>0</v>
      </c>
      <c r="AE1904">
        <v>0</v>
      </c>
      <c r="AF1904">
        <v>0</v>
      </c>
      <c r="AG1904">
        <v>0</v>
      </c>
    </row>
    <row r="1905" spans="1:33" hidden="1" x14ac:dyDescent="0.2">
      <c r="A1905">
        <v>1904</v>
      </c>
      <c r="B1905" t="s">
        <v>553</v>
      </c>
      <c r="C1905" t="s">
        <v>108</v>
      </c>
      <c r="D1905">
        <v>37</v>
      </c>
      <c r="E1905" t="s">
        <v>34</v>
      </c>
      <c r="F1905" t="s">
        <v>77</v>
      </c>
      <c r="G1905" t="s">
        <v>36</v>
      </c>
      <c r="H1905">
        <v>161720</v>
      </c>
      <c r="I1905" t="s">
        <v>554</v>
      </c>
      <c r="J1905" t="s">
        <v>555</v>
      </c>
      <c r="K1905" t="s">
        <v>556</v>
      </c>
      <c r="L1905" t="s">
        <v>36</v>
      </c>
      <c r="M1905" t="s">
        <v>36</v>
      </c>
      <c r="N1905" t="s">
        <v>36</v>
      </c>
      <c r="O1905" t="s">
        <v>36</v>
      </c>
      <c r="P1905" t="s">
        <v>442</v>
      </c>
      <c r="Q1905" t="s">
        <v>36</v>
      </c>
      <c r="R1905" t="s">
        <v>36</v>
      </c>
      <c r="S1905" t="s">
        <v>36</v>
      </c>
      <c r="T1905" t="s">
        <v>36</v>
      </c>
      <c r="U1905" t="s">
        <v>36</v>
      </c>
      <c r="V1905" t="s">
        <v>36</v>
      </c>
      <c r="W1905" t="s">
        <v>36</v>
      </c>
      <c r="X1905" t="s">
        <v>36</v>
      </c>
      <c r="Y1905" t="s">
        <v>36</v>
      </c>
      <c r="Z1905" t="s">
        <v>36</v>
      </c>
      <c r="AA1905" t="s">
        <v>36</v>
      </c>
      <c r="AB1905" t="s">
        <v>36</v>
      </c>
      <c r="AC1905" t="s">
        <v>36</v>
      </c>
      <c r="AD1905" t="s">
        <v>36</v>
      </c>
      <c r="AE1905" t="s">
        <v>36</v>
      </c>
      <c r="AF1905" t="s">
        <v>36</v>
      </c>
      <c r="AG1905" t="s">
        <v>36</v>
      </c>
    </row>
    <row r="1906" spans="1:33" hidden="1" x14ac:dyDescent="0.2">
      <c r="A1906">
        <v>1905</v>
      </c>
      <c r="B1906" t="s">
        <v>557</v>
      </c>
      <c r="C1906" t="s">
        <v>108</v>
      </c>
      <c r="D1906">
        <v>38</v>
      </c>
      <c r="E1906" t="s">
        <v>34</v>
      </c>
      <c r="F1906" t="s">
        <v>35</v>
      </c>
      <c r="G1906" t="s">
        <v>36</v>
      </c>
      <c r="H1906">
        <v>27416</v>
      </c>
      <c r="I1906" t="s">
        <v>36</v>
      </c>
      <c r="J1906" t="s">
        <v>36</v>
      </c>
      <c r="K1906" t="s">
        <v>36</v>
      </c>
      <c r="L1906" t="s">
        <v>36</v>
      </c>
      <c r="M1906" t="s">
        <v>36</v>
      </c>
      <c r="N1906" t="s">
        <v>36</v>
      </c>
      <c r="O1906" t="s">
        <v>36</v>
      </c>
      <c r="P1906" t="s">
        <v>442</v>
      </c>
      <c r="Q1906" t="s">
        <v>36</v>
      </c>
      <c r="R1906" t="s">
        <v>36</v>
      </c>
      <c r="S1906" t="s">
        <v>36</v>
      </c>
      <c r="T1906" t="s">
        <v>36</v>
      </c>
      <c r="U1906" t="s">
        <v>36</v>
      </c>
      <c r="V1906" t="s">
        <v>36</v>
      </c>
      <c r="W1906" t="s">
        <v>36</v>
      </c>
      <c r="X1906" t="s">
        <v>36</v>
      </c>
      <c r="Y1906" t="s">
        <v>36</v>
      </c>
      <c r="Z1906" t="s">
        <v>36</v>
      </c>
      <c r="AA1906" t="s">
        <v>36</v>
      </c>
      <c r="AB1906" t="s">
        <v>36</v>
      </c>
      <c r="AC1906" t="s">
        <v>36</v>
      </c>
      <c r="AD1906" t="s">
        <v>36</v>
      </c>
      <c r="AE1906" t="s">
        <v>36</v>
      </c>
      <c r="AF1906" t="s">
        <v>36</v>
      </c>
      <c r="AG1906" t="s">
        <v>36</v>
      </c>
    </row>
    <row r="1907" spans="1:33" hidden="1" x14ac:dyDescent="0.2">
      <c r="A1907">
        <v>1906</v>
      </c>
      <c r="B1907" t="s">
        <v>557</v>
      </c>
      <c r="C1907" t="s">
        <v>108</v>
      </c>
      <c r="D1907">
        <v>38</v>
      </c>
      <c r="E1907" t="s">
        <v>34</v>
      </c>
      <c r="F1907" t="s">
        <v>38</v>
      </c>
      <c r="G1907" t="s">
        <v>39</v>
      </c>
      <c r="H1907">
        <v>56233</v>
      </c>
      <c r="I1907">
        <v>0</v>
      </c>
      <c r="J1907">
        <v>0</v>
      </c>
      <c r="K1907">
        <v>0</v>
      </c>
      <c r="L1907">
        <v>1</v>
      </c>
      <c r="M1907" t="s">
        <v>36</v>
      </c>
      <c r="N1907" t="s">
        <v>36</v>
      </c>
      <c r="O1907" t="s">
        <v>36</v>
      </c>
      <c r="P1907" t="s">
        <v>442</v>
      </c>
      <c r="Q1907" t="s">
        <v>36</v>
      </c>
      <c r="R1907" t="s">
        <v>36</v>
      </c>
      <c r="S1907" t="s">
        <v>36</v>
      </c>
      <c r="T1907" t="s">
        <v>36</v>
      </c>
      <c r="U1907" t="s">
        <v>36</v>
      </c>
      <c r="V1907" t="s">
        <v>36</v>
      </c>
      <c r="W1907" t="s">
        <v>36</v>
      </c>
      <c r="X1907" t="s">
        <v>36</v>
      </c>
      <c r="Y1907" t="s">
        <v>36</v>
      </c>
      <c r="Z1907" t="s">
        <v>36</v>
      </c>
      <c r="AA1907" t="s">
        <v>36</v>
      </c>
      <c r="AB1907" t="s">
        <v>36</v>
      </c>
      <c r="AC1907" t="s">
        <v>36</v>
      </c>
      <c r="AD1907" t="s">
        <v>36</v>
      </c>
      <c r="AE1907" t="s">
        <v>36</v>
      </c>
      <c r="AF1907" t="s">
        <v>36</v>
      </c>
      <c r="AG1907" t="s">
        <v>36</v>
      </c>
    </row>
    <row r="1908" spans="1:33" hidden="1" x14ac:dyDescent="0.2">
      <c r="A1908">
        <v>1907</v>
      </c>
      <c r="B1908" t="s">
        <v>557</v>
      </c>
      <c r="C1908" t="s">
        <v>108</v>
      </c>
      <c r="D1908">
        <v>38</v>
      </c>
      <c r="E1908" t="s">
        <v>34</v>
      </c>
      <c r="F1908" t="s">
        <v>38</v>
      </c>
      <c r="G1908" t="s">
        <v>40</v>
      </c>
      <c r="H1908">
        <v>57853</v>
      </c>
      <c r="I1908">
        <v>0</v>
      </c>
      <c r="J1908">
        <v>0</v>
      </c>
      <c r="K1908">
        <v>1</v>
      </c>
      <c r="L1908">
        <v>0</v>
      </c>
      <c r="M1908" t="s">
        <v>36</v>
      </c>
      <c r="N1908" t="s">
        <v>36</v>
      </c>
      <c r="O1908" t="s">
        <v>36</v>
      </c>
      <c r="P1908" t="s">
        <v>442</v>
      </c>
      <c r="Q1908" t="s">
        <v>36</v>
      </c>
      <c r="R1908" t="s">
        <v>36</v>
      </c>
      <c r="S1908" t="s">
        <v>36</v>
      </c>
      <c r="T1908" t="s">
        <v>36</v>
      </c>
      <c r="U1908" t="s">
        <v>36</v>
      </c>
      <c r="V1908" t="s">
        <v>36</v>
      </c>
      <c r="W1908" t="s">
        <v>36</v>
      </c>
      <c r="X1908" t="s">
        <v>36</v>
      </c>
      <c r="Y1908" t="s">
        <v>36</v>
      </c>
      <c r="Z1908" t="s">
        <v>36</v>
      </c>
      <c r="AA1908" t="s">
        <v>36</v>
      </c>
      <c r="AB1908" t="s">
        <v>36</v>
      </c>
      <c r="AC1908" t="s">
        <v>36</v>
      </c>
      <c r="AD1908" t="s">
        <v>36</v>
      </c>
      <c r="AE1908" t="s">
        <v>36</v>
      </c>
      <c r="AF1908" t="s">
        <v>36</v>
      </c>
      <c r="AG1908" t="s">
        <v>36</v>
      </c>
    </row>
    <row r="1909" spans="1:33" x14ac:dyDescent="0.2">
      <c r="A1909">
        <v>1908</v>
      </c>
      <c r="B1909" t="s">
        <v>557</v>
      </c>
      <c r="C1909" t="s">
        <v>108</v>
      </c>
      <c r="D1909">
        <v>38</v>
      </c>
      <c r="E1909" t="s">
        <v>34</v>
      </c>
      <c r="F1909" t="s">
        <v>41</v>
      </c>
      <c r="G1909" t="s">
        <v>67</v>
      </c>
      <c r="H1909">
        <v>82888</v>
      </c>
      <c r="I1909">
        <v>1</v>
      </c>
      <c r="J1909">
        <v>1</v>
      </c>
      <c r="K1909">
        <v>1</v>
      </c>
      <c r="L1909">
        <v>0</v>
      </c>
      <c r="M1909" t="s">
        <v>70</v>
      </c>
      <c r="N1909" t="s">
        <v>68</v>
      </c>
      <c r="O1909" t="s">
        <v>86</v>
      </c>
      <c r="P1909" t="s">
        <v>442</v>
      </c>
      <c r="Q1909" t="s">
        <v>47</v>
      </c>
      <c r="R1909" t="s">
        <v>65</v>
      </c>
      <c r="S1909" t="s">
        <v>46</v>
      </c>
      <c r="T1909">
        <v>0</v>
      </c>
      <c r="U1909">
        <v>1</v>
      </c>
      <c r="V1909">
        <v>0</v>
      </c>
      <c r="W1909">
        <v>1</v>
      </c>
      <c r="X1909">
        <v>1</v>
      </c>
      <c r="Y1909">
        <v>0</v>
      </c>
      <c r="Z1909">
        <v>1</v>
      </c>
      <c r="AA1909">
        <v>0</v>
      </c>
      <c r="AB1909">
        <v>1</v>
      </c>
      <c r="AC1909">
        <v>0</v>
      </c>
      <c r="AD1909">
        <v>1</v>
      </c>
      <c r="AE1909">
        <v>1</v>
      </c>
      <c r="AF1909">
        <v>0</v>
      </c>
      <c r="AG1909">
        <v>0</v>
      </c>
    </row>
    <row r="1910" spans="1:33" x14ac:dyDescent="0.2">
      <c r="A1910">
        <v>1909</v>
      </c>
      <c r="B1910" t="s">
        <v>557</v>
      </c>
      <c r="C1910" t="s">
        <v>108</v>
      </c>
      <c r="D1910">
        <v>38</v>
      </c>
      <c r="E1910" t="s">
        <v>34</v>
      </c>
      <c r="F1910" t="s">
        <v>41</v>
      </c>
      <c r="G1910" t="s">
        <v>42</v>
      </c>
      <c r="H1910">
        <v>37884</v>
      </c>
      <c r="I1910">
        <v>1</v>
      </c>
      <c r="J1910">
        <v>0</v>
      </c>
      <c r="K1910">
        <v>1</v>
      </c>
      <c r="L1910">
        <v>0</v>
      </c>
      <c r="M1910" t="s">
        <v>43</v>
      </c>
      <c r="N1910" t="s">
        <v>116</v>
      </c>
      <c r="O1910" t="s">
        <v>45</v>
      </c>
      <c r="P1910" t="s">
        <v>442</v>
      </c>
      <c r="Q1910" t="s">
        <v>46</v>
      </c>
      <c r="R1910" t="s">
        <v>60</v>
      </c>
      <c r="S1910" t="s">
        <v>48</v>
      </c>
      <c r="T1910">
        <v>1</v>
      </c>
      <c r="U1910">
        <v>0</v>
      </c>
      <c r="V1910">
        <v>1</v>
      </c>
      <c r="W1910">
        <v>0</v>
      </c>
      <c r="X1910">
        <v>1</v>
      </c>
      <c r="Y1910">
        <v>0</v>
      </c>
      <c r="Z1910">
        <v>1</v>
      </c>
      <c r="AA1910">
        <v>0</v>
      </c>
      <c r="AB1910">
        <v>0</v>
      </c>
      <c r="AC1910">
        <v>1</v>
      </c>
      <c r="AD1910">
        <v>0</v>
      </c>
      <c r="AE1910">
        <v>1</v>
      </c>
      <c r="AF1910">
        <v>0</v>
      </c>
      <c r="AG1910">
        <v>0</v>
      </c>
    </row>
    <row r="1911" spans="1:33" hidden="1" x14ac:dyDescent="0.2">
      <c r="A1911">
        <v>1910</v>
      </c>
      <c r="B1911" t="s">
        <v>557</v>
      </c>
      <c r="C1911" t="s">
        <v>108</v>
      </c>
      <c r="D1911">
        <v>38</v>
      </c>
      <c r="E1911" t="s">
        <v>34</v>
      </c>
      <c r="F1911" t="s">
        <v>53</v>
      </c>
      <c r="G1911" t="s">
        <v>54</v>
      </c>
      <c r="H1911">
        <v>108712</v>
      </c>
      <c r="I1911">
        <v>1</v>
      </c>
      <c r="J1911">
        <v>1</v>
      </c>
      <c r="K1911">
        <v>1</v>
      </c>
      <c r="L1911">
        <v>0</v>
      </c>
      <c r="M1911" t="s">
        <v>36</v>
      </c>
      <c r="N1911" t="s">
        <v>36</v>
      </c>
      <c r="O1911" t="s">
        <v>36</v>
      </c>
      <c r="P1911" t="s">
        <v>442</v>
      </c>
      <c r="Q1911" t="s">
        <v>36</v>
      </c>
      <c r="R1911" t="s">
        <v>36</v>
      </c>
      <c r="S1911" t="s">
        <v>36</v>
      </c>
      <c r="T1911" t="s">
        <v>36</v>
      </c>
      <c r="U1911">
        <v>0</v>
      </c>
      <c r="V1911">
        <v>1</v>
      </c>
      <c r="W1911">
        <v>0</v>
      </c>
      <c r="X1911">
        <v>1</v>
      </c>
      <c r="Y1911">
        <v>0</v>
      </c>
      <c r="Z1911">
        <v>1</v>
      </c>
      <c r="AA1911">
        <v>0</v>
      </c>
      <c r="AB1911">
        <v>0</v>
      </c>
      <c r="AC1911">
        <v>1</v>
      </c>
      <c r="AD1911">
        <v>0</v>
      </c>
      <c r="AE1911">
        <v>1</v>
      </c>
      <c r="AF1911">
        <v>0</v>
      </c>
      <c r="AG1911">
        <v>0</v>
      </c>
    </row>
    <row r="1912" spans="1:33" x14ac:dyDescent="0.2">
      <c r="A1912">
        <v>1911</v>
      </c>
      <c r="B1912" t="s">
        <v>557</v>
      </c>
      <c r="C1912" t="s">
        <v>108</v>
      </c>
      <c r="D1912">
        <v>38</v>
      </c>
      <c r="E1912" t="s">
        <v>34</v>
      </c>
      <c r="F1912" t="s">
        <v>41</v>
      </c>
      <c r="G1912" t="s">
        <v>55</v>
      </c>
      <c r="H1912">
        <v>39584</v>
      </c>
      <c r="I1912">
        <v>1</v>
      </c>
      <c r="J1912">
        <v>1</v>
      </c>
      <c r="K1912">
        <v>1</v>
      </c>
      <c r="L1912">
        <v>0</v>
      </c>
      <c r="M1912" t="s">
        <v>94</v>
      </c>
      <c r="N1912" t="s">
        <v>84</v>
      </c>
      <c r="O1912" t="s">
        <v>85</v>
      </c>
      <c r="P1912" t="s">
        <v>442</v>
      </c>
      <c r="Q1912" t="s">
        <v>47</v>
      </c>
      <c r="R1912" t="s">
        <v>46</v>
      </c>
      <c r="S1912" t="s">
        <v>65</v>
      </c>
      <c r="T1912">
        <v>0</v>
      </c>
      <c r="U1912">
        <v>1</v>
      </c>
      <c r="V1912">
        <v>0</v>
      </c>
      <c r="W1912">
        <v>1</v>
      </c>
      <c r="X1912">
        <v>1</v>
      </c>
      <c r="Y1912">
        <v>0</v>
      </c>
      <c r="Z1912">
        <v>1</v>
      </c>
      <c r="AA1912">
        <v>0</v>
      </c>
      <c r="AB1912">
        <v>1</v>
      </c>
      <c r="AC1912">
        <v>0</v>
      </c>
      <c r="AD1912">
        <v>1</v>
      </c>
      <c r="AE1912">
        <v>1</v>
      </c>
      <c r="AF1912">
        <v>0</v>
      </c>
      <c r="AG1912">
        <v>0</v>
      </c>
    </row>
    <row r="1913" spans="1:33" x14ac:dyDescent="0.2">
      <c r="A1913">
        <v>1912</v>
      </c>
      <c r="B1913" t="s">
        <v>557</v>
      </c>
      <c r="C1913" t="s">
        <v>108</v>
      </c>
      <c r="D1913">
        <v>38</v>
      </c>
      <c r="E1913" t="s">
        <v>34</v>
      </c>
      <c r="F1913" t="s">
        <v>41</v>
      </c>
      <c r="G1913" t="s">
        <v>49</v>
      </c>
      <c r="H1913">
        <v>24629</v>
      </c>
      <c r="I1913">
        <v>1</v>
      </c>
      <c r="J1913">
        <v>1</v>
      </c>
      <c r="K1913">
        <v>1</v>
      </c>
      <c r="L1913">
        <v>0</v>
      </c>
      <c r="M1913" t="s">
        <v>52</v>
      </c>
      <c r="N1913" t="s">
        <v>50</v>
      </c>
      <c r="O1913" t="s">
        <v>83</v>
      </c>
      <c r="P1913" t="s">
        <v>442</v>
      </c>
      <c r="Q1913" t="s">
        <v>46</v>
      </c>
      <c r="R1913" t="s">
        <v>48</v>
      </c>
      <c r="S1913" t="s">
        <v>59</v>
      </c>
      <c r="T1913">
        <v>0</v>
      </c>
      <c r="U1913">
        <v>0</v>
      </c>
      <c r="V1913">
        <v>1</v>
      </c>
      <c r="W1913">
        <v>0</v>
      </c>
      <c r="X1913">
        <v>1</v>
      </c>
      <c r="Y1913">
        <v>0</v>
      </c>
      <c r="Z1913">
        <v>1</v>
      </c>
      <c r="AA1913">
        <v>0</v>
      </c>
      <c r="AB1913">
        <v>0</v>
      </c>
      <c r="AC1913">
        <v>1</v>
      </c>
      <c r="AD1913">
        <v>0</v>
      </c>
      <c r="AE1913">
        <v>1</v>
      </c>
      <c r="AF1913">
        <v>0</v>
      </c>
      <c r="AG1913">
        <v>0</v>
      </c>
    </row>
    <row r="1914" spans="1:33" hidden="1" x14ac:dyDescent="0.2">
      <c r="A1914">
        <v>1913</v>
      </c>
      <c r="B1914" t="s">
        <v>557</v>
      </c>
      <c r="C1914" t="s">
        <v>108</v>
      </c>
      <c r="D1914">
        <v>38</v>
      </c>
      <c r="E1914" t="s">
        <v>34</v>
      </c>
      <c r="F1914" t="s">
        <v>53</v>
      </c>
      <c r="G1914" t="s">
        <v>66</v>
      </c>
      <c r="H1914">
        <v>28934</v>
      </c>
      <c r="I1914">
        <v>1</v>
      </c>
      <c r="J1914">
        <v>1</v>
      </c>
      <c r="K1914">
        <v>0</v>
      </c>
      <c r="L1914">
        <v>0</v>
      </c>
      <c r="M1914" t="s">
        <v>36</v>
      </c>
      <c r="N1914" t="s">
        <v>36</v>
      </c>
      <c r="O1914" t="s">
        <v>36</v>
      </c>
      <c r="P1914" t="s">
        <v>442</v>
      </c>
      <c r="Q1914" t="s">
        <v>36</v>
      </c>
      <c r="R1914" t="s">
        <v>36</v>
      </c>
      <c r="S1914" t="s">
        <v>36</v>
      </c>
      <c r="T1914" t="s">
        <v>36</v>
      </c>
      <c r="U1914">
        <v>0</v>
      </c>
      <c r="V1914">
        <v>1</v>
      </c>
      <c r="W1914">
        <v>0</v>
      </c>
      <c r="X1914">
        <v>1</v>
      </c>
      <c r="Y1914">
        <v>0</v>
      </c>
      <c r="Z1914">
        <v>1</v>
      </c>
      <c r="AA1914">
        <v>0</v>
      </c>
      <c r="AB1914">
        <v>0</v>
      </c>
      <c r="AC1914">
        <v>1</v>
      </c>
      <c r="AD1914">
        <v>0</v>
      </c>
      <c r="AE1914">
        <v>1</v>
      </c>
      <c r="AF1914">
        <v>0</v>
      </c>
      <c r="AG1914">
        <v>0</v>
      </c>
    </row>
    <row r="1915" spans="1:33" x14ac:dyDescent="0.2">
      <c r="A1915">
        <v>1914</v>
      </c>
      <c r="B1915" t="s">
        <v>557</v>
      </c>
      <c r="C1915" t="s">
        <v>108</v>
      </c>
      <c r="D1915">
        <v>38</v>
      </c>
      <c r="E1915" t="s">
        <v>34</v>
      </c>
      <c r="F1915" t="s">
        <v>41</v>
      </c>
      <c r="G1915" t="s">
        <v>72</v>
      </c>
      <c r="H1915">
        <v>48368</v>
      </c>
      <c r="I1915">
        <v>0</v>
      </c>
      <c r="J1915">
        <v>0</v>
      </c>
      <c r="K1915">
        <v>0</v>
      </c>
      <c r="L1915">
        <v>1</v>
      </c>
      <c r="M1915" t="s">
        <v>115</v>
      </c>
      <c r="N1915" t="s">
        <v>75</v>
      </c>
      <c r="O1915" t="s">
        <v>93</v>
      </c>
      <c r="P1915" t="s">
        <v>442</v>
      </c>
      <c r="Q1915" t="s">
        <v>65</v>
      </c>
      <c r="R1915" t="s">
        <v>46</v>
      </c>
      <c r="S1915" t="s">
        <v>59</v>
      </c>
      <c r="T1915">
        <v>0</v>
      </c>
      <c r="U1915">
        <v>1</v>
      </c>
      <c r="V1915">
        <v>0</v>
      </c>
      <c r="W1915">
        <v>0</v>
      </c>
      <c r="X1915">
        <v>1</v>
      </c>
      <c r="Y1915">
        <v>0</v>
      </c>
      <c r="Z1915">
        <v>1</v>
      </c>
      <c r="AA1915">
        <v>0</v>
      </c>
      <c r="AB1915">
        <v>0</v>
      </c>
      <c r="AC1915">
        <v>0</v>
      </c>
      <c r="AD1915">
        <v>0</v>
      </c>
      <c r="AE1915">
        <v>0</v>
      </c>
      <c r="AF1915">
        <v>0</v>
      </c>
      <c r="AG1915">
        <v>1</v>
      </c>
    </row>
    <row r="1916" spans="1:33" hidden="1" x14ac:dyDescent="0.2">
      <c r="A1916">
        <v>1915</v>
      </c>
      <c r="B1916" t="s">
        <v>557</v>
      </c>
      <c r="C1916" t="s">
        <v>108</v>
      </c>
      <c r="D1916">
        <v>38</v>
      </c>
      <c r="E1916" t="s">
        <v>34</v>
      </c>
      <c r="F1916" t="s">
        <v>53</v>
      </c>
      <c r="G1916" t="s">
        <v>71</v>
      </c>
      <c r="H1916">
        <v>66215</v>
      </c>
      <c r="I1916">
        <v>1</v>
      </c>
      <c r="J1916">
        <v>0</v>
      </c>
      <c r="K1916">
        <v>1</v>
      </c>
      <c r="L1916">
        <v>0</v>
      </c>
      <c r="M1916" t="s">
        <v>36</v>
      </c>
      <c r="N1916" t="s">
        <v>36</v>
      </c>
      <c r="O1916" t="s">
        <v>36</v>
      </c>
      <c r="P1916" t="s">
        <v>442</v>
      </c>
      <c r="Q1916" t="s">
        <v>36</v>
      </c>
      <c r="R1916" t="s">
        <v>36</v>
      </c>
      <c r="S1916" t="s">
        <v>36</v>
      </c>
      <c r="T1916" t="s">
        <v>36</v>
      </c>
      <c r="U1916">
        <v>1</v>
      </c>
      <c r="V1916">
        <v>0</v>
      </c>
      <c r="W1916">
        <v>0</v>
      </c>
      <c r="X1916">
        <v>1</v>
      </c>
      <c r="Y1916">
        <v>0</v>
      </c>
      <c r="Z1916">
        <v>1</v>
      </c>
      <c r="AA1916">
        <v>0</v>
      </c>
      <c r="AB1916">
        <v>0</v>
      </c>
      <c r="AC1916">
        <v>0</v>
      </c>
      <c r="AD1916">
        <v>0</v>
      </c>
      <c r="AE1916">
        <v>0</v>
      </c>
      <c r="AF1916">
        <v>0</v>
      </c>
      <c r="AG1916">
        <v>1</v>
      </c>
    </row>
    <row r="1917" spans="1:33" x14ac:dyDescent="0.2">
      <c r="A1917">
        <v>1916</v>
      </c>
      <c r="B1917" t="s">
        <v>557</v>
      </c>
      <c r="C1917" t="s">
        <v>108</v>
      </c>
      <c r="D1917">
        <v>38</v>
      </c>
      <c r="E1917" t="s">
        <v>34</v>
      </c>
      <c r="F1917" t="s">
        <v>41</v>
      </c>
      <c r="G1917" t="s">
        <v>61</v>
      </c>
      <c r="H1917">
        <v>45951</v>
      </c>
      <c r="I1917">
        <v>1</v>
      </c>
      <c r="J1917">
        <v>1</v>
      </c>
      <c r="K1917">
        <v>1</v>
      </c>
      <c r="L1917">
        <v>0</v>
      </c>
      <c r="M1917" t="s">
        <v>63</v>
      </c>
      <c r="N1917" t="s">
        <v>62</v>
      </c>
      <c r="O1917" t="s">
        <v>87</v>
      </c>
      <c r="P1917" t="s">
        <v>442</v>
      </c>
      <c r="Q1917" t="s">
        <v>46</v>
      </c>
      <c r="R1917" t="s">
        <v>65</v>
      </c>
      <c r="S1917" t="s">
        <v>47</v>
      </c>
      <c r="T1917">
        <v>0</v>
      </c>
      <c r="U1917">
        <v>1</v>
      </c>
      <c r="V1917">
        <v>0</v>
      </c>
      <c r="W1917">
        <v>1</v>
      </c>
      <c r="X1917">
        <v>1</v>
      </c>
      <c r="Y1917">
        <v>0</v>
      </c>
      <c r="Z1917">
        <v>1</v>
      </c>
      <c r="AA1917">
        <v>0</v>
      </c>
      <c r="AB1917">
        <v>1</v>
      </c>
      <c r="AC1917">
        <v>0</v>
      </c>
      <c r="AD1917">
        <v>1</v>
      </c>
      <c r="AE1917">
        <v>1</v>
      </c>
      <c r="AF1917">
        <v>0</v>
      </c>
      <c r="AG1917">
        <v>0</v>
      </c>
    </row>
    <row r="1918" spans="1:33" hidden="1" x14ac:dyDescent="0.2">
      <c r="A1918">
        <v>1917</v>
      </c>
      <c r="B1918" t="s">
        <v>557</v>
      </c>
      <c r="C1918" t="s">
        <v>108</v>
      </c>
      <c r="D1918">
        <v>38</v>
      </c>
      <c r="E1918" t="s">
        <v>34</v>
      </c>
      <c r="F1918" t="s">
        <v>53</v>
      </c>
      <c r="G1918" t="s">
        <v>76</v>
      </c>
      <c r="H1918">
        <v>27949</v>
      </c>
      <c r="I1918">
        <v>0</v>
      </c>
      <c r="J1918">
        <v>0</v>
      </c>
      <c r="K1918">
        <v>0</v>
      </c>
      <c r="L1918">
        <v>1</v>
      </c>
      <c r="M1918" t="s">
        <v>36</v>
      </c>
      <c r="N1918" t="s">
        <v>36</v>
      </c>
      <c r="O1918" t="s">
        <v>36</v>
      </c>
      <c r="P1918" t="s">
        <v>442</v>
      </c>
      <c r="Q1918" t="s">
        <v>36</v>
      </c>
      <c r="R1918" t="s">
        <v>36</v>
      </c>
      <c r="S1918" t="s">
        <v>36</v>
      </c>
      <c r="T1918" t="s">
        <v>36</v>
      </c>
      <c r="U1918">
        <v>1</v>
      </c>
      <c r="V1918">
        <v>0</v>
      </c>
      <c r="W1918">
        <v>1</v>
      </c>
      <c r="X1918">
        <v>1</v>
      </c>
      <c r="Y1918">
        <v>0</v>
      </c>
      <c r="Z1918">
        <v>1</v>
      </c>
      <c r="AA1918">
        <v>0</v>
      </c>
      <c r="AB1918">
        <v>1</v>
      </c>
      <c r="AC1918">
        <v>0</v>
      </c>
      <c r="AD1918">
        <v>1</v>
      </c>
      <c r="AE1918">
        <v>1</v>
      </c>
      <c r="AF1918">
        <v>0</v>
      </c>
      <c r="AG1918">
        <v>0</v>
      </c>
    </row>
    <row r="1919" spans="1:33" hidden="1" x14ac:dyDescent="0.2">
      <c r="A1919">
        <v>1918</v>
      </c>
      <c r="B1919" t="s">
        <v>557</v>
      </c>
      <c r="C1919" t="s">
        <v>108</v>
      </c>
      <c r="D1919">
        <v>38</v>
      </c>
      <c r="E1919" t="s">
        <v>34</v>
      </c>
      <c r="F1919" t="s">
        <v>77</v>
      </c>
      <c r="G1919" t="s">
        <v>36</v>
      </c>
      <c r="H1919">
        <v>56415</v>
      </c>
      <c r="I1919" t="s">
        <v>558</v>
      </c>
      <c r="J1919" t="s">
        <v>559</v>
      </c>
      <c r="K1919" t="s">
        <v>162</v>
      </c>
      <c r="L1919" t="s">
        <v>36</v>
      </c>
      <c r="M1919" t="s">
        <v>36</v>
      </c>
      <c r="N1919" t="s">
        <v>36</v>
      </c>
      <c r="O1919" t="s">
        <v>36</v>
      </c>
      <c r="P1919" t="s">
        <v>442</v>
      </c>
      <c r="Q1919" t="s">
        <v>36</v>
      </c>
      <c r="R1919" t="s">
        <v>36</v>
      </c>
      <c r="S1919" t="s">
        <v>36</v>
      </c>
      <c r="T1919" t="s">
        <v>36</v>
      </c>
      <c r="U1919" t="s">
        <v>36</v>
      </c>
      <c r="V1919" t="s">
        <v>36</v>
      </c>
      <c r="W1919" t="s">
        <v>36</v>
      </c>
      <c r="X1919" t="s">
        <v>36</v>
      </c>
      <c r="Y1919" t="s">
        <v>36</v>
      </c>
      <c r="Z1919" t="s">
        <v>36</v>
      </c>
      <c r="AA1919" t="s">
        <v>36</v>
      </c>
      <c r="AB1919" t="s">
        <v>36</v>
      </c>
      <c r="AC1919" t="s">
        <v>36</v>
      </c>
      <c r="AD1919" t="s">
        <v>36</v>
      </c>
      <c r="AE1919" t="s">
        <v>36</v>
      </c>
      <c r="AF1919" t="s">
        <v>36</v>
      </c>
      <c r="AG1919" t="s">
        <v>36</v>
      </c>
    </row>
    <row r="1920" spans="1:33" hidden="1" x14ac:dyDescent="0.2">
      <c r="A1920">
        <v>1919</v>
      </c>
      <c r="B1920" t="s">
        <v>560</v>
      </c>
      <c r="C1920" t="s">
        <v>108</v>
      </c>
      <c r="D1920">
        <v>46</v>
      </c>
      <c r="E1920" t="s">
        <v>34</v>
      </c>
      <c r="F1920" t="s">
        <v>35</v>
      </c>
      <c r="G1920" t="s">
        <v>36</v>
      </c>
      <c r="H1920">
        <v>29437</v>
      </c>
      <c r="I1920" t="s">
        <v>36</v>
      </c>
      <c r="J1920" t="s">
        <v>36</v>
      </c>
      <c r="K1920" t="s">
        <v>36</v>
      </c>
      <c r="L1920" t="s">
        <v>36</v>
      </c>
      <c r="M1920" t="s">
        <v>36</v>
      </c>
      <c r="N1920" t="s">
        <v>36</v>
      </c>
      <c r="O1920" t="s">
        <v>36</v>
      </c>
      <c r="P1920" t="s">
        <v>442</v>
      </c>
      <c r="Q1920" t="s">
        <v>36</v>
      </c>
      <c r="R1920" t="s">
        <v>36</v>
      </c>
      <c r="S1920" t="s">
        <v>36</v>
      </c>
      <c r="T1920" t="s">
        <v>36</v>
      </c>
      <c r="U1920" t="s">
        <v>36</v>
      </c>
      <c r="V1920" t="s">
        <v>36</v>
      </c>
      <c r="W1920" t="s">
        <v>36</v>
      </c>
      <c r="X1920" t="s">
        <v>36</v>
      </c>
      <c r="Y1920" t="s">
        <v>36</v>
      </c>
      <c r="Z1920" t="s">
        <v>36</v>
      </c>
      <c r="AA1920" t="s">
        <v>36</v>
      </c>
      <c r="AB1920" t="s">
        <v>36</v>
      </c>
      <c r="AC1920" t="s">
        <v>36</v>
      </c>
      <c r="AD1920" t="s">
        <v>36</v>
      </c>
      <c r="AE1920" t="s">
        <v>36</v>
      </c>
      <c r="AF1920" t="s">
        <v>36</v>
      </c>
      <c r="AG1920" t="s">
        <v>36</v>
      </c>
    </row>
    <row r="1921" spans="1:33" hidden="1" x14ac:dyDescent="0.2">
      <c r="A1921">
        <v>1920</v>
      </c>
      <c r="B1921" t="s">
        <v>560</v>
      </c>
      <c r="C1921" t="s">
        <v>108</v>
      </c>
      <c r="D1921">
        <v>46</v>
      </c>
      <c r="E1921" t="s">
        <v>34</v>
      </c>
      <c r="F1921" t="s">
        <v>38</v>
      </c>
      <c r="G1921" t="s">
        <v>39</v>
      </c>
      <c r="H1921">
        <v>36014</v>
      </c>
      <c r="I1921">
        <v>0</v>
      </c>
      <c r="J1921">
        <v>0</v>
      </c>
      <c r="K1921">
        <v>0</v>
      </c>
      <c r="L1921">
        <v>1</v>
      </c>
      <c r="M1921" t="s">
        <v>36</v>
      </c>
      <c r="N1921" t="s">
        <v>36</v>
      </c>
      <c r="O1921" t="s">
        <v>36</v>
      </c>
      <c r="P1921" t="s">
        <v>442</v>
      </c>
      <c r="Q1921" t="s">
        <v>36</v>
      </c>
      <c r="R1921" t="s">
        <v>36</v>
      </c>
      <c r="S1921" t="s">
        <v>36</v>
      </c>
      <c r="T1921" t="s">
        <v>36</v>
      </c>
      <c r="U1921" t="s">
        <v>36</v>
      </c>
      <c r="V1921" t="s">
        <v>36</v>
      </c>
      <c r="W1921" t="s">
        <v>36</v>
      </c>
      <c r="X1921" t="s">
        <v>36</v>
      </c>
      <c r="Y1921" t="s">
        <v>36</v>
      </c>
      <c r="Z1921" t="s">
        <v>36</v>
      </c>
      <c r="AA1921" t="s">
        <v>36</v>
      </c>
      <c r="AB1921" t="s">
        <v>36</v>
      </c>
      <c r="AC1921" t="s">
        <v>36</v>
      </c>
      <c r="AD1921" t="s">
        <v>36</v>
      </c>
      <c r="AE1921" t="s">
        <v>36</v>
      </c>
      <c r="AF1921" t="s">
        <v>36</v>
      </c>
      <c r="AG1921" t="s">
        <v>36</v>
      </c>
    </row>
    <row r="1922" spans="1:33" hidden="1" x14ac:dyDescent="0.2">
      <c r="A1922">
        <v>1921</v>
      </c>
      <c r="B1922" t="s">
        <v>560</v>
      </c>
      <c r="C1922" t="s">
        <v>108</v>
      </c>
      <c r="D1922">
        <v>46</v>
      </c>
      <c r="E1922" t="s">
        <v>34</v>
      </c>
      <c r="F1922" t="s">
        <v>38</v>
      </c>
      <c r="G1922" t="s">
        <v>40</v>
      </c>
      <c r="H1922">
        <v>46658</v>
      </c>
      <c r="I1922">
        <v>0</v>
      </c>
      <c r="J1922">
        <v>0</v>
      </c>
      <c r="K1922">
        <v>1</v>
      </c>
      <c r="L1922">
        <v>0</v>
      </c>
      <c r="M1922" t="s">
        <v>36</v>
      </c>
      <c r="N1922" t="s">
        <v>36</v>
      </c>
      <c r="O1922" t="s">
        <v>36</v>
      </c>
      <c r="P1922" t="s">
        <v>442</v>
      </c>
      <c r="Q1922" t="s">
        <v>36</v>
      </c>
      <c r="R1922" t="s">
        <v>36</v>
      </c>
      <c r="S1922" t="s">
        <v>36</v>
      </c>
      <c r="T1922" t="s">
        <v>36</v>
      </c>
      <c r="U1922" t="s">
        <v>36</v>
      </c>
      <c r="V1922" t="s">
        <v>36</v>
      </c>
      <c r="W1922" t="s">
        <v>36</v>
      </c>
      <c r="X1922" t="s">
        <v>36</v>
      </c>
      <c r="Y1922" t="s">
        <v>36</v>
      </c>
      <c r="Z1922" t="s">
        <v>36</v>
      </c>
      <c r="AA1922" t="s">
        <v>36</v>
      </c>
      <c r="AB1922" t="s">
        <v>36</v>
      </c>
      <c r="AC1922" t="s">
        <v>36</v>
      </c>
      <c r="AD1922" t="s">
        <v>36</v>
      </c>
      <c r="AE1922" t="s">
        <v>36</v>
      </c>
      <c r="AF1922" t="s">
        <v>36</v>
      </c>
      <c r="AG1922" t="s">
        <v>36</v>
      </c>
    </row>
    <row r="1923" spans="1:33" x14ac:dyDescent="0.2">
      <c r="A1923">
        <v>1922</v>
      </c>
      <c r="B1923" t="s">
        <v>560</v>
      </c>
      <c r="C1923" t="s">
        <v>108</v>
      </c>
      <c r="D1923">
        <v>46</v>
      </c>
      <c r="E1923" t="s">
        <v>34</v>
      </c>
      <c r="F1923" t="s">
        <v>41</v>
      </c>
      <c r="G1923" t="s">
        <v>55</v>
      </c>
      <c r="H1923">
        <v>177704</v>
      </c>
      <c r="I1923">
        <v>1</v>
      </c>
      <c r="J1923">
        <v>1</v>
      </c>
      <c r="K1923">
        <v>1</v>
      </c>
      <c r="L1923">
        <v>0</v>
      </c>
      <c r="M1923" t="s">
        <v>58</v>
      </c>
      <c r="N1923" t="s">
        <v>94</v>
      </c>
      <c r="O1923" t="s">
        <v>57</v>
      </c>
      <c r="P1923" t="s">
        <v>442</v>
      </c>
      <c r="Q1923" t="s">
        <v>60</v>
      </c>
      <c r="R1923" t="s">
        <v>47</v>
      </c>
      <c r="S1923" t="s">
        <v>48</v>
      </c>
      <c r="T1923">
        <v>1</v>
      </c>
      <c r="U1923">
        <v>0</v>
      </c>
      <c r="V1923">
        <v>1</v>
      </c>
      <c r="W1923">
        <v>1</v>
      </c>
      <c r="X1923">
        <v>0</v>
      </c>
      <c r="Y1923">
        <v>0</v>
      </c>
      <c r="Z1923">
        <v>1</v>
      </c>
      <c r="AA1923">
        <v>1</v>
      </c>
      <c r="AB1923">
        <v>0</v>
      </c>
      <c r="AC1923">
        <v>1</v>
      </c>
      <c r="AD1923">
        <v>1</v>
      </c>
      <c r="AE1923">
        <v>0</v>
      </c>
      <c r="AF1923">
        <v>0</v>
      </c>
      <c r="AG1923">
        <v>0</v>
      </c>
    </row>
    <row r="1924" spans="1:33" x14ac:dyDescent="0.2">
      <c r="A1924">
        <v>1923</v>
      </c>
      <c r="B1924" t="s">
        <v>560</v>
      </c>
      <c r="C1924" t="s">
        <v>108</v>
      </c>
      <c r="D1924">
        <v>46</v>
      </c>
      <c r="E1924" t="s">
        <v>34</v>
      </c>
      <c r="F1924" t="s">
        <v>41</v>
      </c>
      <c r="G1924" t="s">
        <v>72</v>
      </c>
      <c r="H1924">
        <v>17861</v>
      </c>
      <c r="I1924">
        <v>1</v>
      </c>
      <c r="J1924">
        <v>1</v>
      </c>
      <c r="K1924">
        <v>1</v>
      </c>
      <c r="L1924">
        <v>0</v>
      </c>
      <c r="M1924" t="s">
        <v>74</v>
      </c>
      <c r="N1924" t="s">
        <v>104</v>
      </c>
      <c r="O1924" t="s">
        <v>115</v>
      </c>
      <c r="P1924" t="s">
        <v>442</v>
      </c>
      <c r="Q1924" t="s">
        <v>47</v>
      </c>
      <c r="R1924" t="s">
        <v>60</v>
      </c>
      <c r="S1924" t="s">
        <v>65</v>
      </c>
      <c r="T1924">
        <v>1</v>
      </c>
      <c r="U1924">
        <v>1</v>
      </c>
      <c r="V1924">
        <v>0</v>
      </c>
      <c r="W1924">
        <v>1</v>
      </c>
      <c r="X1924">
        <v>0</v>
      </c>
      <c r="Y1924">
        <v>0</v>
      </c>
      <c r="Z1924">
        <v>1</v>
      </c>
      <c r="AA1924">
        <v>1</v>
      </c>
      <c r="AB1924">
        <v>1</v>
      </c>
      <c r="AC1924">
        <v>0</v>
      </c>
      <c r="AD1924">
        <v>1</v>
      </c>
      <c r="AE1924">
        <v>0</v>
      </c>
      <c r="AF1924">
        <v>0</v>
      </c>
      <c r="AG1924">
        <v>0</v>
      </c>
    </row>
    <row r="1925" spans="1:33" hidden="1" x14ac:dyDescent="0.2">
      <c r="A1925">
        <v>1924</v>
      </c>
      <c r="B1925" t="s">
        <v>560</v>
      </c>
      <c r="C1925" t="s">
        <v>108</v>
      </c>
      <c r="D1925">
        <v>46</v>
      </c>
      <c r="E1925" t="s">
        <v>34</v>
      </c>
      <c r="F1925" t="s">
        <v>53</v>
      </c>
      <c r="G1925" t="s">
        <v>71</v>
      </c>
      <c r="H1925">
        <v>85503</v>
      </c>
      <c r="I1925">
        <v>0</v>
      </c>
      <c r="J1925">
        <v>0</v>
      </c>
      <c r="K1925">
        <v>0</v>
      </c>
      <c r="L1925">
        <v>1</v>
      </c>
      <c r="M1925" t="s">
        <v>36</v>
      </c>
      <c r="N1925" t="s">
        <v>36</v>
      </c>
      <c r="O1925" t="s">
        <v>36</v>
      </c>
      <c r="P1925" t="s">
        <v>442</v>
      </c>
      <c r="Q1925" t="s">
        <v>36</v>
      </c>
      <c r="R1925" t="s">
        <v>36</v>
      </c>
      <c r="S1925" t="s">
        <v>36</v>
      </c>
      <c r="T1925" t="s">
        <v>36</v>
      </c>
      <c r="U1925">
        <v>1</v>
      </c>
      <c r="V1925">
        <v>0</v>
      </c>
      <c r="W1925">
        <v>1</v>
      </c>
      <c r="X1925">
        <v>0</v>
      </c>
      <c r="Y1925">
        <v>0</v>
      </c>
      <c r="Z1925">
        <v>1</v>
      </c>
      <c r="AA1925">
        <v>1</v>
      </c>
      <c r="AB1925">
        <v>1</v>
      </c>
      <c r="AC1925">
        <v>0</v>
      </c>
      <c r="AD1925">
        <v>1</v>
      </c>
      <c r="AE1925">
        <v>0</v>
      </c>
      <c r="AF1925">
        <v>0</v>
      </c>
      <c r="AG1925">
        <v>0</v>
      </c>
    </row>
    <row r="1926" spans="1:33" x14ac:dyDescent="0.2">
      <c r="A1926">
        <v>1925</v>
      </c>
      <c r="B1926" t="s">
        <v>560</v>
      </c>
      <c r="C1926" t="s">
        <v>108</v>
      </c>
      <c r="D1926">
        <v>46</v>
      </c>
      <c r="E1926" t="s">
        <v>34</v>
      </c>
      <c r="F1926" t="s">
        <v>41</v>
      </c>
      <c r="G1926" t="s">
        <v>61</v>
      </c>
      <c r="H1926">
        <v>34905</v>
      </c>
      <c r="I1926">
        <v>1</v>
      </c>
      <c r="J1926">
        <v>1</v>
      </c>
      <c r="K1926">
        <v>1</v>
      </c>
      <c r="L1926">
        <v>0</v>
      </c>
      <c r="M1926" t="s">
        <v>62</v>
      </c>
      <c r="N1926" t="s">
        <v>97</v>
      </c>
      <c r="O1926" t="s">
        <v>63</v>
      </c>
      <c r="P1926" t="s">
        <v>442</v>
      </c>
      <c r="Q1926" t="s">
        <v>65</v>
      </c>
      <c r="R1926" t="s">
        <v>59</v>
      </c>
      <c r="S1926" t="s">
        <v>46</v>
      </c>
      <c r="T1926">
        <v>0</v>
      </c>
      <c r="U1926">
        <v>1</v>
      </c>
      <c r="V1926">
        <v>0</v>
      </c>
      <c r="W1926">
        <v>0</v>
      </c>
      <c r="X1926">
        <v>1</v>
      </c>
      <c r="Y1926">
        <v>0</v>
      </c>
      <c r="Z1926">
        <v>1</v>
      </c>
      <c r="AA1926">
        <v>0</v>
      </c>
      <c r="AB1926">
        <v>1</v>
      </c>
      <c r="AC1926">
        <v>0</v>
      </c>
      <c r="AD1926">
        <v>0</v>
      </c>
      <c r="AE1926">
        <v>1</v>
      </c>
      <c r="AF1926">
        <v>0</v>
      </c>
      <c r="AG1926">
        <v>0</v>
      </c>
    </row>
    <row r="1927" spans="1:33" hidden="1" x14ac:dyDescent="0.2">
      <c r="A1927">
        <v>1926</v>
      </c>
      <c r="B1927" t="s">
        <v>560</v>
      </c>
      <c r="C1927" t="s">
        <v>108</v>
      </c>
      <c r="D1927">
        <v>46</v>
      </c>
      <c r="E1927" t="s">
        <v>34</v>
      </c>
      <c r="F1927" t="s">
        <v>53</v>
      </c>
      <c r="G1927" t="s">
        <v>54</v>
      </c>
      <c r="H1927">
        <v>49566</v>
      </c>
      <c r="I1927">
        <v>0</v>
      </c>
      <c r="J1927">
        <v>1</v>
      </c>
      <c r="K1927">
        <v>0</v>
      </c>
      <c r="L1927">
        <v>0</v>
      </c>
      <c r="M1927" t="s">
        <v>36</v>
      </c>
      <c r="N1927" t="s">
        <v>36</v>
      </c>
      <c r="O1927" t="s">
        <v>36</v>
      </c>
      <c r="P1927" t="s">
        <v>442</v>
      </c>
      <c r="Q1927" t="s">
        <v>36</v>
      </c>
      <c r="R1927" t="s">
        <v>36</v>
      </c>
      <c r="S1927" t="s">
        <v>36</v>
      </c>
      <c r="T1927" t="s">
        <v>36</v>
      </c>
      <c r="U1927">
        <v>1</v>
      </c>
      <c r="V1927">
        <v>0</v>
      </c>
      <c r="W1927">
        <v>0</v>
      </c>
      <c r="X1927">
        <v>1</v>
      </c>
      <c r="Y1927">
        <v>0</v>
      </c>
      <c r="Z1927">
        <v>1</v>
      </c>
      <c r="AA1927">
        <v>0</v>
      </c>
      <c r="AB1927">
        <v>1</v>
      </c>
      <c r="AC1927">
        <v>0</v>
      </c>
      <c r="AD1927">
        <v>0</v>
      </c>
      <c r="AE1927">
        <v>1</v>
      </c>
      <c r="AF1927">
        <v>0</v>
      </c>
      <c r="AG1927">
        <v>0</v>
      </c>
    </row>
    <row r="1928" spans="1:33" x14ac:dyDescent="0.2">
      <c r="A1928">
        <v>1927</v>
      </c>
      <c r="B1928" t="s">
        <v>560</v>
      </c>
      <c r="C1928" t="s">
        <v>108</v>
      </c>
      <c r="D1928">
        <v>46</v>
      </c>
      <c r="E1928" t="s">
        <v>34</v>
      </c>
      <c r="F1928" t="s">
        <v>41</v>
      </c>
      <c r="G1928" t="s">
        <v>67</v>
      </c>
      <c r="H1928">
        <v>18699</v>
      </c>
      <c r="I1928">
        <v>1</v>
      </c>
      <c r="J1928">
        <v>1</v>
      </c>
      <c r="K1928">
        <v>1</v>
      </c>
      <c r="L1928">
        <v>0</v>
      </c>
      <c r="M1928" t="s">
        <v>69</v>
      </c>
      <c r="N1928" t="s">
        <v>68</v>
      </c>
      <c r="O1928" t="s">
        <v>86</v>
      </c>
      <c r="P1928" t="s">
        <v>442</v>
      </c>
      <c r="Q1928" t="s">
        <v>48</v>
      </c>
      <c r="R1928" t="s">
        <v>65</v>
      </c>
      <c r="S1928" t="s">
        <v>46</v>
      </c>
      <c r="T1928">
        <v>0</v>
      </c>
      <c r="U1928">
        <v>1</v>
      </c>
      <c r="V1928">
        <v>1</v>
      </c>
      <c r="W1928">
        <v>0</v>
      </c>
      <c r="X1928">
        <v>1</v>
      </c>
      <c r="Y1928">
        <v>0</v>
      </c>
      <c r="Z1928">
        <v>1</v>
      </c>
      <c r="AA1928">
        <v>0</v>
      </c>
      <c r="AB1928">
        <v>1</v>
      </c>
      <c r="AC1928">
        <v>1</v>
      </c>
      <c r="AD1928">
        <v>0</v>
      </c>
      <c r="AE1928">
        <v>1</v>
      </c>
      <c r="AF1928">
        <v>0</v>
      </c>
      <c r="AG1928">
        <v>0</v>
      </c>
    </row>
    <row r="1929" spans="1:33" x14ac:dyDescent="0.2">
      <c r="A1929">
        <v>1928</v>
      </c>
      <c r="B1929" t="s">
        <v>560</v>
      </c>
      <c r="C1929" t="s">
        <v>108</v>
      </c>
      <c r="D1929">
        <v>46</v>
      </c>
      <c r="E1929" t="s">
        <v>34</v>
      </c>
      <c r="F1929" t="s">
        <v>41</v>
      </c>
      <c r="G1929" t="s">
        <v>42</v>
      </c>
      <c r="H1929">
        <v>14950</v>
      </c>
      <c r="I1929">
        <v>1</v>
      </c>
      <c r="J1929">
        <v>1</v>
      </c>
      <c r="K1929">
        <v>1</v>
      </c>
      <c r="L1929">
        <v>0</v>
      </c>
      <c r="M1929" t="s">
        <v>44</v>
      </c>
      <c r="N1929" t="s">
        <v>45</v>
      </c>
      <c r="O1929" t="s">
        <v>82</v>
      </c>
      <c r="P1929" t="s">
        <v>442</v>
      </c>
      <c r="Q1929" t="s">
        <v>47</v>
      </c>
      <c r="R1929" t="s">
        <v>48</v>
      </c>
      <c r="S1929" t="s">
        <v>65</v>
      </c>
      <c r="T1929">
        <v>0</v>
      </c>
      <c r="U1929">
        <v>1</v>
      </c>
      <c r="V1929">
        <v>1</v>
      </c>
      <c r="W1929">
        <v>1</v>
      </c>
      <c r="X1929">
        <v>0</v>
      </c>
      <c r="Y1929">
        <v>0</v>
      </c>
      <c r="Z1929">
        <v>1</v>
      </c>
      <c r="AA1929">
        <v>0</v>
      </c>
      <c r="AB1929">
        <v>1</v>
      </c>
      <c r="AC1929">
        <v>1</v>
      </c>
      <c r="AD1929">
        <v>1</v>
      </c>
      <c r="AE1929">
        <v>0</v>
      </c>
      <c r="AF1929">
        <v>0</v>
      </c>
      <c r="AG1929">
        <v>0</v>
      </c>
    </row>
    <row r="1930" spans="1:33" hidden="1" x14ac:dyDescent="0.2">
      <c r="A1930">
        <v>1929</v>
      </c>
      <c r="B1930" t="s">
        <v>560</v>
      </c>
      <c r="C1930" t="s">
        <v>108</v>
      </c>
      <c r="D1930">
        <v>46</v>
      </c>
      <c r="E1930" t="s">
        <v>34</v>
      </c>
      <c r="F1930" t="s">
        <v>53</v>
      </c>
      <c r="G1930" t="s">
        <v>66</v>
      </c>
      <c r="H1930">
        <v>41348</v>
      </c>
      <c r="I1930">
        <v>0</v>
      </c>
      <c r="J1930">
        <v>0</v>
      </c>
      <c r="K1930">
        <v>0</v>
      </c>
      <c r="L1930">
        <v>1</v>
      </c>
      <c r="M1930" t="s">
        <v>36</v>
      </c>
      <c r="N1930" t="s">
        <v>36</v>
      </c>
      <c r="O1930" t="s">
        <v>36</v>
      </c>
      <c r="P1930" t="s">
        <v>442</v>
      </c>
      <c r="Q1930" t="s">
        <v>36</v>
      </c>
      <c r="R1930" t="s">
        <v>36</v>
      </c>
      <c r="S1930" t="s">
        <v>36</v>
      </c>
      <c r="T1930" t="s">
        <v>36</v>
      </c>
      <c r="U1930">
        <v>1</v>
      </c>
      <c r="V1930">
        <v>1</v>
      </c>
      <c r="W1930">
        <v>1</v>
      </c>
      <c r="X1930">
        <v>0</v>
      </c>
      <c r="Y1930">
        <v>0</v>
      </c>
      <c r="Z1930">
        <v>1</v>
      </c>
      <c r="AA1930">
        <v>0</v>
      </c>
      <c r="AB1930">
        <v>1</v>
      </c>
      <c r="AC1930">
        <v>1</v>
      </c>
      <c r="AD1930">
        <v>1</v>
      </c>
      <c r="AE1930">
        <v>0</v>
      </c>
      <c r="AF1930">
        <v>0</v>
      </c>
      <c r="AG1930">
        <v>0</v>
      </c>
    </row>
    <row r="1931" spans="1:33" x14ac:dyDescent="0.2">
      <c r="A1931">
        <v>1930</v>
      </c>
      <c r="B1931" t="s">
        <v>560</v>
      </c>
      <c r="C1931" t="s">
        <v>108</v>
      </c>
      <c r="D1931">
        <v>46</v>
      </c>
      <c r="E1931" t="s">
        <v>34</v>
      </c>
      <c r="F1931" t="s">
        <v>41</v>
      </c>
      <c r="G1931" t="s">
        <v>49</v>
      </c>
      <c r="H1931">
        <v>22845</v>
      </c>
      <c r="I1931">
        <v>1</v>
      </c>
      <c r="J1931">
        <v>1</v>
      </c>
      <c r="K1931">
        <v>1</v>
      </c>
      <c r="L1931">
        <v>0</v>
      </c>
      <c r="M1931" t="s">
        <v>52</v>
      </c>
      <c r="N1931" t="s">
        <v>95</v>
      </c>
      <c r="O1931" t="s">
        <v>51</v>
      </c>
      <c r="P1931" t="s">
        <v>442</v>
      </c>
      <c r="Q1931" t="s">
        <v>46</v>
      </c>
      <c r="R1931" t="s">
        <v>60</v>
      </c>
      <c r="S1931" t="s">
        <v>47</v>
      </c>
      <c r="T1931">
        <v>1</v>
      </c>
      <c r="U1931">
        <v>0</v>
      </c>
      <c r="V1931">
        <v>0</v>
      </c>
      <c r="W1931">
        <v>1</v>
      </c>
      <c r="X1931">
        <v>1</v>
      </c>
      <c r="Y1931">
        <v>0</v>
      </c>
      <c r="Z1931">
        <v>1</v>
      </c>
      <c r="AA1931">
        <v>1</v>
      </c>
      <c r="AB1931">
        <v>0</v>
      </c>
      <c r="AC1931">
        <v>0</v>
      </c>
      <c r="AD1931">
        <v>1</v>
      </c>
      <c r="AE1931">
        <v>1</v>
      </c>
      <c r="AF1931">
        <v>0</v>
      </c>
      <c r="AG1931">
        <v>0</v>
      </c>
    </row>
    <row r="1932" spans="1:33" hidden="1" x14ac:dyDescent="0.2">
      <c r="A1932">
        <v>1931</v>
      </c>
      <c r="B1932" t="s">
        <v>560</v>
      </c>
      <c r="C1932" t="s">
        <v>108</v>
      </c>
      <c r="D1932">
        <v>46</v>
      </c>
      <c r="E1932" t="s">
        <v>34</v>
      </c>
      <c r="F1932" t="s">
        <v>53</v>
      </c>
      <c r="G1932" t="s">
        <v>76</v>
      </c>
      <c r="H1932">
        <v>41852</v>
      </c>
      <c r="I1932">
        <v>1</v>
      </c>
      <c r="J1932">
        <v>0</v>
      </c>
      <c r="K1932">
        <v>0</v>
      </c>
      <c r="L1932">
        <v>0</v>
      </c>
      <c r="M1932" t="s">
        <v>36</v>
      </c>
      <c r="N1932" t="s">
        <v>36</v>
      </c>
      <c r="O1932" t="s">
        <v>36</v>
      </c>
      <c r="P1932" t="s">
        <v>442</v>
      </c>
      <c r="Q1932" t="s">
        <v>36</v>
      </c>
      <c r="R1932" t="s">
        <v>36</v>
      </c>
      <c r="S1932" t="s">
        <v>36</v>
      </c>
      <c r="T1932" t="s">
        <v>36</v>
      </c>
      <c r="U1932">
        <v>0</v>
      </c>
      <c r="V1932">
        <v>0</v>
      </c>
      <c r="W1932">
        <v>1</v>
      </c>
      <c r="X1932">
        <v>1</v>
      </c>
      <c r="Y1932">
        <v>0</v>
      </c>
      <c r="Z1932">
        <v>1</v>
      </c>
      <c r="AA1932">
        <v>1</v>
      </c>
      <c r="AB1932">
        <v>0</v>
      </c>
      <c r="AC1932">
        <v>0</v>
      </c>
      <c r="AD1932">
        <v>1</v>
      </c>
      <c r="AE1932">
        <v>1</v>
      </c>
      <c r="AF1932">
        <v>0</v>
      </c>
      <c r="AG1932">
        <v>0</v>
      </c>
    </row>
    <row r="1933" spans="1:33" hidden="1" x14ac:dyDescent="0.2">
      <c r="A1933">
        <v>1932</v>
      </c>
      <c r="B1933" t="s">
        <v>560</v>
      </c>
      <c r="C1933" t="s">
        <v>108</v>
      </c>
      <c r="D1933">
        <v>46</v>
      </c>
      <c r="E1933" t="s">
        <v>34</v>
      </c>
      <c r="F1933" t="s">
        <v>77</v>
      </c>
      <c r="G1933" t="s">
        <v>36</v>
      </c>
      <c r="H1933">
        <v>50141</v>
      </c>
      <c r="I1933" t="s">
        <v>561</v>
      </c>
      <c r="J1933" t="s">
        <v>162</v>
      </c>
      <c r="K1933" t="s">
        <v>162</v>
      </c>
      <c r="L1933" t="s">
        <v>36</v>
      </c>
      <c r="M1933" t="s">
        <v>36</v>
      </c>
      <c r="N1933" t="s">
        <v>36</v>
      </c>
      <c r="O1933" t="s">
        <v>36</v>
      </c>
      <c r="P1933" t="s">
        <v>442</v>
      </c>
      <c r="Q1933" t="s">
        <v>36</v>
      </c>
      <c r="R1933" t="s">
        <v>36</v>
      </c>
      <c r="S1933" t="s">
        <v>36</v>
      </c>
      <c r="T1933" t="s">
        <v>36</v>
      </c>
      <c r="U1933" t="s">
        <v>36</v>
      </c>
      <c r="V1933" t="s">
        <v>36</v>
      </c>
      <c r="W1933" t="s">
        <v>36</v>
      </c>
      <c r="X1933" t="s">
        <v>36</v>
      </c>
      <c r="Y1933" t="s">
        <v>36</v>
      </c>
      <c r="Z1933" t="s">
        <v>36</v>
      </c>
      <c r="AA1933" t="s">
        <v>36</v>
      </c>
      <c r="AB1933" t="s">
        <v>36</v>
      </c>
      <c r="AC1933" t="s">
        <v>36</v>
      </c>
      <c r="AD1933" t="s">
        <v>36</v>
      </c>
      <c r="AE1933" t="s">
        <v>36</v>
      </c>
      <c r="AF1933" t="s">
        <v>36</v>
      </c>
      <c r="AG1933" t="s">
        <v>36</v>
      </c>
    </row>
    <row r="1934" spans="1:33" hidden="1" x14ac:dyDescent="0.2">
      <c r="A1934">
        <v>1933</v>
      </c>
      <c r="B1934" t="s">
        <v>562</v>
      </c>
      <c r="C1934" t="s">
        <v>108</v>
      </c>
      <c r="D1934">
        <v>67</v>
      </c>
      <c r="E1934" t="s">
        <v>34</v>
      </c>
      <c r="F1934" t="s">
        <v>35</v>
      </c>
      <c r="G1934" t="s">
        <v>36</v>
      </c>
      <c r="H1934">
        <v>82416</v>
      </c>
      <c r="I1934" t="s">
        <v>36</v>
      </c>
      <c r="J1934" t="s">
        <v>36</v>
      </c>
      <c r="K1934" t="s">
        <v>36</v>
      </c>
      <c r="L1934" t="s">
        <v>36</v>
      </c>
      <c r="M1934" t="s">
        <v>36</v>
      </c>
      <c r="N1934" t="s">
        <v>36</v>
      </c>
      <c r="O1934" t="s">
        <v>36</v>
      </c>
      <c r="P1934" t="s">
        <v>442</v>
      </c>
      <c r="Q1934" t="s">
        <v>36</v>
      </c>
      <c r="R1934" t="s">
        <v>36</v>
      </c>
      <c r="S1934" t="s">
        <v>36</v>
      </c>
      <c r="T1934" t="s">
        <v>36</v>
      </c>
      <c r="U1934" t="s">
        <v>36</v>
      </c>
      <c r="V1934" t="s">
        <v>36</v>
      </c>
      <c r="W1934" t="s">
        <v>36</v>
      </c>
      <c r="X1934" t="s">
        <v>36</v>
      </c>
      <c r="Y1934" t="s">
        <v>36</v>
      </c>
      <c r="Z1934" t="s">
        <v>36</v>
      </c>
      <c r="AA1934" t="s">
        <v>36</v>
      </c>
      <c r="AB1934" t="s">
        <v>36</v>
      </c>
      <c r="AC1934" t="s">
        <v>36</v>
      </c>
      <c r="AD1934" t="s">
        <v>36</v>
      </c>
      <c r="AE1934" t="s">
        <v>36</v>
      </c>
      <c r="AF1934" t="s">
        <v>36</v>
      </c>
      <c r="AG1934" t="s">
        <v>36</v>
      </c>
    </row>
    <row r="1935" spans="1:33" hidden="1" x14ac:dyDescent="0.2">
      <c r="A1935">
        <v>1934</v>
      </c>
      <c r="B1935" t="s">
        <v>562</v>
      </c>
      <c r="C1935" t="s">
        <v>108</v>
      </c>
      <c r="D1935">
        <v>67</v>
      </c>
      <c r="E1935" t="s">
        <v>34</v>
      </c>
      <c r="F1935" t="s">
        <v>38</v>
      </c>
      <c r="G1935" t="s">
        <v>39</v>
      </c>
      <c r="H1935">
        <v>54660</v>
      </c>
      <c r="I1935">
        <v>0</v>
      </c>
      <c r="J1935">
        <v>0</v>
      </c>
      <c r="K1935">
        <v>0</v>
      </c>
      <c r="L1935">
        <v>1</v>
      </c>
      <c r="M1935" t="s">
        <v>36</v>
      </c>
      <c r="N1935" t="s">
        <v>36</v>
      </c>
      <c r="O1935" t="s">
        <v>36</v>
      </c>
      <c r="P1935" t="s">
        <v>442</v>
      </c>
      <c r="Q1935" t="s">
        <v>36</v>
      </c>
      <c r="R1935" t="s">
        <v>36</v>
      </c>
      <c r="S1935" t="s">
        <v>36</v>
      </c>
      <c r="T1935" t="s">
        <v>36</v>
      </c>
      <c r="U1935" t="s">
        <v>36</v>
      </c>
      <c r="V1935" t="s">
        <v>36</v>
      </c>
      <c r="W1935" t="s">
        <v>36</v>
      </c>
      <c r="X1935" t="s">
        <v>36</v>
      </c>
      <c r="Y1935" t="s">
        <v>36</v>
      </c>
      <c r="Z1935" t="s">
        <v>36</v>
      </c>
      <c r="AA1935" t="s">
        <v>36</v>
      </c>
      <c r="AB1935" t="s">
        <v>36</v>
      </c>
      <c r="AC1935" t="s">
        <v>36</v>
      </c>
      <c r="AD1935" t="s">
        <v>36</v>
      </c>
      <c r="AE1935" t="s">
        <v>36</v>
      </c>
      <c r="AF1935" t="s">
        <v>36</v>
      </c>
      <c r="AG1935" t="s">
        <v>36</v>
      </c>
    </row>
    <row r="1936" spans="1:33" hidden="1" x14ac:dyDescent="0.2">
      <c r="A1936">
        <v>1935</v>
      </c>
      <c r="B1936" t="s">
        <v>562</v>
      </c>
      <c r="C1936" t="s">
        <v>108</v>
      </c>
      <c r="D1936">
        <v>67</v>
      </c>
      <c r="E1936" t="s">
        <v>34</v>
      </c>
      <c r="F1936" t="s">
        <v>38</v>
      </c>
      <c r="G1936" t="s">
        <v>40</v>
      </c>
      <c r="H1936">
        <v>31088</v>
      </c>
      <c r="I1936">
        <v>0</v>
      </c>
      <c r="J1936">
        <v>0</v>
      </c>
      <c r="K1936">
        <v>1</v>
      </c>
      <c r="L1936">
        <v>0</v>
      </c>
      <c r="M1936" t="s">
        <v>36</v>
      </c>
      <c r="N1936" t="s">
        <v>36</v>
      </c>
      <c r="O1936" t="s">
        <v>36</v>
      </c>
      <c r="P1936" t="s">
        <v>442</v>
      </c>
      <c r="Q1936" t="s">
        <v>36</v>
      </c>
      <c r="R1936" t="s">
        <v>36</v>
      </c>
      <c r="S1936" t="s">
        <v>36</v>
      </c>
      <c r="T1936" t="s">
        <v>36</v>
      </c>
      <c r="U1936" t="s">
        <v>36</v>
      </c>
      <c r="V1936" t="s">
        <v>36</v>
      </c>
      <c r="W1936" t="s">
        <v>36</v>
      </c>
      <c r="X1936" t="s">
        <v>36</v>
      </c>
      <c r="Y1936" t="s">
        <v>36</v>
      </c>
      <c r="Z1936" t="s">
        <v>36</v>
      </c>
      <c r="AA1936" t="s">
        <v>36</v>
      </c>
      <c r="AB1936" t="s">
        <v>36</v>
      </c>
      <c r="AC1936" t="s">
        <v>36</v>
      </c>
      <c r="AD1936" t="s">
        <v>36</v>
      </c>
      <c r="AE1936" t="s">
        <v>36</v>
      </c>
      <c r="AF1936" t="s">
        <v>36</v>
      </c>
      <c r="AG1936" t="s">
        <v>36</v>
      </c>
    </row>
    <row r="1937" spans="1:33" x14ac:dyDescent="0.2">
      <c r="A1937">
        <v>1936</v>
      </c>
      <c r="B1937" t="s">
        <v>562</v>
      </c>
      <c r="C1937" t="s">
        <v>108</v>
      </c>
      <c r="D1937">
        <v>67</v>
      </c>
      <c r="E1937" t="s">
        <v>34</v>
      </c>
      <c r="F1937" t="s">
        <v>41</v>
      </c>
      <c r="G1937" t="s">
        <v>72</v>
      </c>
      <c r="H1937">
        <v>69247</v>
      </c>
      <c r="I1937">
        <v>0</v>
      </c>
      <c r="J1937">
        <v>1</v>
      </c>
      <c r="K1937">
        <v>1</v>
      </c>
      <c r="L1937">
        <v>0</v>
      </c>
      <c r="M1937" t="s">
        <v>74</v>
      </c>
      <c r="N1937" t="s">
        <v>73</v>
      </c>
      <c r="O1937" t="s">
        <v>115</v>
      </c>
      <c r="P1937" t="s">
        <v>442</v>
      </c>
      <c r="Q1937" t="s">
        <v>47</v>
      </c>
      <c r="R1937" t="s">
        <v>48</v>
      </c>
      <c r="S1937" t="s">
        <v>65</v>
      </c>
      <c r="T1937">
        <v>0</v>
      </c>
      <c r="U1937">
        <v>1</v>
      </c>
      <c r="V1937">
        <v>1</v>
      </c>
      <c r="W1937">
        <v>1</v>
      </c>
      <c r="X1937">
        <v>0</v>
      </c>
      <c r="Y1937">
        <v>0</v>
      </c>
      <c r="Z1937">
        <v>1</v>
      </c>
      <c r="AA1937">
        <v>0</v>
      </c>
      <c r="AB1937">
        <v>1</v>
      </c>
      <c r="AC1937">
        <v>1</v>
      </c>
      <c r="AD1937">
        <v>0</v>
      </c>
      <c r="AE1937">
        <v>0</v>
      </c>
      <c r="AF1937">
        <v>0</v>
      </c>
      <c r="AG1937">
        <v>0</v>
      </c>
    </row>
    <row r="1938" spans="1:33" hidden="1" x14ac:dyDescent="0.2">
      <c r="A1938">
        <v>1937</v>
      </c>
      <c r="B1938" t="s">
        <v>562</v>
      </c>
      <c r="C1938" t="s">
        <v>108</v>
      </c>
      <c r="D1938">
        <v>67</v>
      </c>
      <c r="E1938" t="s">
        <v>34</v>
      </c>
      <c r="F1938" t="s">
        <v>53</v>
      </c>
      <c r="G1938" t="s">
        <v>54</v>
      </c>
      <c r="H1938">
        <v>26375</v>
      </c>
      <c r="I1938">
        <v>0</v>
      </c>
      <c r="J1938">
        <v>0</v>
      </c>
      <c r="K1938">
        <v>1</v>
      </c>
      <c r="L1938">
        <v>0</v>
      </c>
      <c r="M1938" t="s">
        <v>36</v>
      </c>
      <c r="N1938" t="s">
        <v>36</v>
      </c>
      <c r="O1938" t="s">
        <v>36</v>
      </c>
      <c r="P1938" t="s">
        <v>442</v>
      </c>
      <c r="Q1938" t="s">
        <v>36</v>
      </c>
      <c r="R1938" t="s">
        <v>36</v>
      </c>
      <c r="S1938" t="s">
        <v>36</v>
      </c>
      <c r="T1938" t="s">
        <v>36</v>
      </c>
      <c r="U1938">
        <v>1</v>
      </c>
      <c r="V1938">
        <v>1</v>
      </c>
      <c r="W1938">
        <v>1</v>
      </c>
      <c r="X1938">
        <v>0</v>
      </c>
      <c r="Y1938">
        <v>0</v>
      </c>
      <c r="Z1938">
        <v>1</v>
      </c>
      <c r="AA1938">
        <v>0</v>
      </c>
      <c r="AB1938">
        <v>1</v>
      </c>
      <c r="AC1938">
        <v>1</v>
      </c>
      <c r="AD1938">
        <v>0</v>
      </c>
      <c r="AE1938">
        <v>0</v>
      </c>
      <c r="AF1938">
        <v>0</v>
      </c>
      <c r="AG1938">
        <v>0</v>
      </c>
    </row>
    <row r="1939" spans="1:33" x14ac:dyDescent="0.2">
      <c r="A1939">
        <v>1938</v>
      </c>
      <c r="B1939" t="s">
        <v>562</v>
      </c>
      <c r="C1939" t="s">
        <v>108</v>
      </c>
      <c r="D1939">
        <v>67</v>
      </c>
      <c r="E1939" t="s">
        <v>34</v>
      </c>
      <c r="F1939" t="s">
        <v>41</v>
      </c>
      <c r="G1939" t="s">
        <v>61</v>
      </c>
      <c r="H1939">
        <v>27034</v>
      </c>
      <c r="I1939">
        <v>0</v>
      </c>
      <c r="J1939">
        <v>1</v>
      </c>
      <c r="K1939">
        <v>0</v>
      </c>
      <c r="L1939">
        <v>0</v>
      </c>
      <c r="M1939" t="s">
        <v>63</v>
      </c>
      <c r="N1939" t="s">
        <v>87</v>
      </c>
      <c r="O1939" t="s">
        <v>64</v>
      </c>
      <c r="P1939" t="s">
        <v>442</v>
      </c>
      <c r="Q1939" t="s">
        <v>46</v>
      </c>
      <c r="R1939" t="s">
        <v>47</v>
      </c>
      <c r="S1939" t="s">
        <v>48</v>
      </c>
      <c r="T1939">
        <v>0</v>
      </c>
      <c r="U1939">
        <v>0</v>
      </c>
      <c r="V1939">
        <v>1</v>
      </c>
      <c r="W1939">
        <v>1</v>
      </c>
      <c r="X1939">
        <v>1</v>
      </c>
      <c r="Y1939">
        <v>0</v>
      </c>
      <c r="Z1939">
        <v>1</v>
      </c>
      <c r="AA1939">
        <v>0</v>
      </c>
      <c r="AB1939">
        <v>0</v>
      </c>
      <c r="AC1939">
        <v>0</v>
      </c>
      <c r="AD1939">
        <v>1</v>
      </c>
      <c r="AE1939">
        <v>0</v>
      </c>
      <c r="AF1939">
        <v>0</v>
      </c>
      <c r="AG1939">
        <v>0</v>
      </c>
    </row>
    <row r="1940" spans="1:33" x14ac:dyDescent="0.2">
      <c r="A1940">
        <v>1939</v>
      </c>
      <c r="B1940" t="s">
        <v>562</v>
      </c>
      <c r="C1940" t="s">
        <v>108</v>
      </c>
      <c r="D1940">
        <v>67</v>
      </c>
      <c r="E1940" t="s">
        <v>34</v>
      </c>
      <c r="F1940" t="s">
        <v>41</v>
      </c>
      <c r="G1940" t="s">
        <v>67</v>
      </c>
      <c r="H1940">
        <v>35766</v>
      </c>
      <c r="I1940">
        <v>1</v>
      </c>
      <c r="J1940">
        <v>1</v>
      </c>
      <c r="K1940">
        <v>1</v>
      </c>
      <c r="L1940">
        <v>0</v>
      </c>
      <c r="M1940" t="s">
        <v>109</v>
      </c>
      <c r="N1940" t="s">
        <v>68</v>
      </c>
      <c r="O1940" t="s">
        <v>70</v>
      </c>
      <c r="P1940" t="s">
        <v>442</v>
      </c>
      <c r="Q1940" t="s">
        <v>59</v>
      </c>
      <c r="R1940" t="s">
        <v>65</v>
      </c>
      <c r="S1940" t="s">
        <v>47</v>
      </c>
      <c r="T1940">
        <v>0</v>
      </c>
      <c r="U1940">
        <v>1</v>
      </c>
      <c r="V1940">
        <v>0</v>
      </c>
      <c r="W1940">
        <v>1</v>
      </c>
      <c r="X1940">
        <v>0</v>
      </c>
      <c r="Y1940">
        <v>0</v>
      </c>
      <c r="Z1940">
        <v>1</v>
      </c>
      <c r="AA1940">
        <v>0</v>
      </c>
      <c r="AB1940">
        <v>1</v>
      </c>
      <c r="AC1940">
        <v>0</v>
      </c>
      <c r="AD1940">
        <v>1</v>
      </c>
      <c r="AE1940">
        <v>0</v>
      </c>
      <c r="AF1940">
        <v>0</v>
      </c>
      <c r="AG1940">
        <v>0</v>
      </c>
    </row>
    <row r="1941" spans="1:33" hidden="1" x14ac:dyDescent="0.2">
      <c r="A1941">
        <v>1940</v>
      </c>
      <c r="B1941" t="s">
        <v>562</v>
      </c>
      <c r="C1941" t="s">
        <v>108</v>
      </c>
      <c r="D1941">
        <v>67</v>
      </c>
      <c r="E1941" t="s">
        <v>34</v>
      </c>
      <c r="F1941" t="s">
        <v>53</v>
      </c>
      <c r="G1941" t="s">
        <v>76</v>
      </c>
      <c r="H1941">
        <v>18848</v>
      </c>
      <c r="I1941">
        <v>1</v>
      </c>
      <c r="J1941">
        <v>1</v>
      </c>
      <c r="K1941">
        <v>0</v>
      </c>
      <c r="L1941">
        <v>0</v>
      </c>
      <c r="M1941" t="s">
        <v>36</v>
      </c>
      <c r="N1941" t="s">
        <v>36</v>
      </c>
      <c r="O1941" t="s">
        <v>36</v>
      </c>
      <c r="P1941" t="s">
        <v>442</v>
      </c>
      <c r="Q1941" t="s">
        <v>36</v>
      </c>
      <c r="R1941" t="s">
        <v>36</v>
      </c>
      <c r="S1941" t="s">
        <v>36</v>
      </c>
      <c r="T1941" t="s">
        <v>36</v>
      </c>
      <c r="U1941">
        <v>1</v>
      </c>
      <c r="V1941">
        <v>0</v>
      </c>
      <c r="W1941">
        <v>1</v>
      </c>
      <c r="X1941">
        <v>0</v>
      </c>
      <c r="Y1941">
        <v>0</v>
      </c>
      <c r="Z1941">
        <v>1</v>
      </c>
      <c r="AA1941">
        <v>0</v>
      </c>
      <c r="AB1941">
        <v>1</v>
      </c>
      <c r="AC1941">
        <v>0</v>
      </c>
      <c r="AD1941">
        <v>1</v>
      </c>
      <c r="AE1941">
        <v>0</v>
      </c>
      <c r="AF1941">
        <v>0</v>
      </c>
      <c r="AG1941">
        <v>0</v>
      </c>
    </row>
    <row r="1942" spans="1:33" x14ac:dyDescent="0.2">
      <c r="A1942">
        <v>1941</v>
      </c>
      <c r="B1942" t="s">
        <v>562</v>
      </c>
      <c r="C1942" t="s">
        <v>108</v>
      </c>
      <c r="D1942">
        <v>67</v>
      </c>
      <c r="E1942" t="s">
        <v>34</v>
      </c>
      <c r="F1942" t="s">
        <v>41</v>
      </c>
      <c r="G1942" t="s">
        <v>42</v>
      </c>
      <c r="H1942">
        <v>25903</v>
      </c>
      <c r="I1942">
        <v>1</v>
      </c>
      <c r="J1942">
        <v>1</v>
      </c>
      <c r="K1942">
        <v>0</v>
      </c>
      <c r="L1942">
        <v>0</v>
      </c>
      <c r="M1942" t="s">
        <v>45</v>
      </c>
      <c r="N1942" t="s">
        <v>82</v>
      </c>
      <c r="O1942" t="s">
        <v>44</v>
      </c>
      <c r="P1942" t="s">
        <v>442</v>
      </c>
      <c r="Q1942" t="s">
        <v>48</v>
      </c>
      <c r="R1942" t="s">
        <v>65</v>
      </c>
      <c r="S1942" t="s">
        <v>47</v>
      </c>
      <c r="T1942">
        <v>0</v>
      </c>
      <c r="U1942">
        <v>1</v>
      </c>
      <c r="V1942">
        <v>1</v>
      </c>
      <c r="W1942">
        <v>1</v>
      </c>
      <c r="X1942">
        <v>0</v>
      </c>
      <c r="Y1942">
        <v>0</v>
      </c>
      <c r="Z1942">
        <v>1</v>
      </c>
      <c r="AA1942">
        <v>0</v>
      </c>
      <c r="AB1942">
        <v>1</v>
      </c>
      <c r="AC1942">
        <v>1</v>
      </c>
      <c r="AD1942">
        <v>0</v>
      </c>
      <c r="AE1942">
        <v>0</v>
      </c>
      <c r="AF1942">
        <v>0</v>
      </c>
      <c r="AG1942">
        <v>0</v>
      </c>
    </row>
    <row r="1943" spans="1:33" hidden="1" x14ac:dyDescent="0.2">
      <c r="A1943">
        <v>1942</v>
      </c>
      <c r="B1943" t="s">
        <v>562</v>
      </c>
      <c r="C1943" t="s">
        <v>108</v>
      </c>
      <c r="D1943">
        <v>67</v>
      </c>
      <c r="E1943" t="s">
        <v>34</v>
      </c>
      <c r="F1943" t="s">
        <v>53</v>
      </c>
      <c r="G1943" t="s">
        <v>66</v>
      </c>
      <c r="H1943">
        <v>39317</v>
      </c>
      <c r="I1943">
        <v>1</v>
      </c>
      <c r="J1943">
        <v>1</v>
      </c>
      <c r="K1943">
        <v>0</v>
      </c>
      <c r="L1943">
        <v>0</v>
      </c>
      <c r="M1943" t="s">
        <v>36</v>
      </c>
      <c r="N1943" t="s">
        <v>36</v>
      </c>
      <c r="O1943" t="s">
        <v>36</v>
      </c>
      <c r="P1943" t="s">
        <v>442</v>
      </c>
      <c r="Q1943" t="s">
        <v>36</v>
      </c>
      <c r="R1943" t="s">
        <v>36</v>
      </c>
      <c r="S1943" t="s">
        <v>36</v>
      </c>
      <c r="T1943" t="s">
        <v>36</v>
      </c>
      <c r="U1943">
        <v>1</v>
      </c>
      <c r="V1943">
        <v>1</v>
      </c>
      <c r="W1943">
        <v>1</v>
      </c>
      <c r="X1943">
        <v>0</v>
      </c>
      <c r="Y1943">
        <v>0</v>
      </c>
      <c r="Z1943">
        <v>1</v>
      </c>
      <c r="AA1943">
        <v>0</v>
      </c>
      <c r="AB1943">
        <v>1</v>
      </c>
      <c r="AC1943">
        <v>1</v>
      </c>
      <c r="AD1943">
        <v>0</v>
      </c>
      <c r="AE1943">
        <v>0</v>
      </c>
      <c r="AF1943">
        <v>0</v>
      </c>
      <c r="AG1943">
        <v>0</v>
      </c>
    </row>
    <row r="1944" spans="1:33" x14ac:dyDescent="0.2">
      <c r="A1944">
        <v>1943</v>
      </c>
      <c r="B1944" t="s">
        <v>562</v>
      </c>
      <c r="C1944" t="s">
        <v>108</v>
      </c>
      <c r="D1944">
        <v>67</v>
      </c>
      <c r="E1944" t="s">
        <v>34</v>
      </c>
      <c r="F1944" t="s">
        <v>41</v>
      </c>
      <c r="G1944" t="s">
        <v>49</v>
      </c>
      <c r="H1944">
        <v>31056</v>
      </c>
      <c r="I1944">
        <v>1</v>
      </c>
      <c r="J1944">
        <v>1</v>
      </c>
      <c r="K1944">
        <v>1</v>
      </c>
      <c r="L1944">
        <v>0</v>
      </c>
      <c r="M1944" t="s">
        <v>50</v>
      </c>
      <c r="N1944" t="s">
        <v>96</v>
      </c>
      <c r="O1944" t="s">
        <v>52</v>
      </c>
      <c r="P1944" t="s">
        <v>442</v>
      </c>
      <c r="Q1944" t="s">
        <v>48</v>
      </c>
      <c r="R1944" t="s">
        <v>65</v>
      </c>
      <c r="S1944" t="s">
        <v>46</v>
      </c>
      <c r="T1944">
        <v>0</v>
      </c>
      <c r="U1944">
        <v>1</v>
      </c>
      <c r="V1944">
        <v>1</v>
      </c>
      <c r="W1944">
        <v>0</v>
      </c>
      <c r="X1944">
        <v>1</v>
      </c>
      <c r="Y1944">
        <v>0</v>
      </c>
      <c r="Z1944">
        <v>1</v>
      </c>
      <c r="AA1944">
        <v>0</v>
      </c>
      <c r="AB1944">
        <v>1</v>
      </c>
      <c r="AC1944">
        <v>1</v>
      </c>
      <c r="AD1944">
        <v>0</v>
      </c>
      <c r="AE1944">
        <v>1</v>
      </c>
      <c r="AF1944">
        <v>0</v>
      </c>
      <c r="AG1944">
        <v>0</v>
      </c>
    </row>
    <row r="1945" spans="1:33" x14ac:dyDescent="0.2">
      <c r="A1945">
        <v>1944</v>
      </c>
      <c r="B1945" t="s">
        <v>562</v>
      </c>
      <c r="C1945" t="s">
        <v>108</v>
      </c>
      <c r="D1945">
        <v>67</v>
      </c>
      <c r="E1945" t="s">
        <v>34</v>
      </c>
      <c r="F1945" t="s">
        <v>41</v>
      </c>
      <c r="G1945" t="s">
        <v>55</v>
      </c>
      <c r="H1945">
        <v>34015</v>
      </c>
      <c r="I1945">
        <v>1</v>
      </c>
      <c r="J1945">
        <v>1</v>
      </c>
      <c r="K1945">
        <v>1</v>
      </c>
      <c r="L1945">
        <v>0</v>
      </c>
      <c r="M1945" t="s">
        <v>58</v>
      </c>
      <c r="N1945" t="s">
        <v>85</v>
      </c>
      <c r="O1945" t="s">
        <v>94</v>
      </c>
      <c r="P1945" t="s">
        <v>442</v>
      </c>
      <c r="Q1945" t="s">
        <v>60</v>
      </c>
      <c r="R1945" t="s">
        <v>65</v>
      </c>
      <c r="S1945" t="s">
        <v>47</v>
      </c>
      <c r="T1945">
        <v>1</v>
      </c>
      <c r="U1945">
        <v>1</v>
      </c>
      <c r="V1945">
        <v>0</v>
      </c>
      <c r="W1945">
        <v>1</v>
      </c>
      <c r="X1945">
        <v>0</v>
      </c>
      <c r="Y1945">
        <v>0</v>
      </c>
      <c r="Z1945">
        <v>1</v>
      </c>
      <c r="AA1945">
        <v>1</v>
      </c>
      <c r="AB1945">
        <v>1</v>
      </c>
      <c r="AC1945">
        <v>0</v>
      </c>
      <c r="AD1945">
        <v>1</v>
      </c>
      <c r="AE1945">
        <v>0</v>
      </c>
      <c r="AF1945">
        <v>0</v>
      </c>
      <c r="AG1945">
        <v>0</v>
      </c>
    </row>
    <row r="1946" spans="1:33" hidden="1" x14ac:dyDescent="0.2">
      <c r="A1946">
        <v>1945</v>
      </c>
      <c r="B1946" t="s">
        <v>562</v>
      </c>
      <c r="C1946" t="s">
        <v>108</v>
      </c>
      <c r="D1946">
        <v>67</v>
      </c>
      <c r="E1946" t="s">
        <v>34</v>
      </c>
      <c r="F1946" t="s">
        <v>53</v>
      </c>
      <c r="G1946" t="s">
        <v>71</v>
      </c>
      <c r="H1946">
        <v>28496</v>
      </c>
      <c r="I1946">
        <v>1</v>
      </c>
      <c r="J1946">
        <v>1</v>
      </c>
      <c r="K1946">
        <v>0</v>
      </c>
      <c r="L1946">
        <v>0</v>
      </c>
      <c r="M1946" t="s">
        <v>36</v>
      </c>
      <c r="N1946" t="s">
        <v>36</v>
      </c>
      <c r="O1946" t="s">
        <v>36</v>
      </c>
      <c r="P1946" t="s">
        <v>442</v>
      </c>
      <c r="Q1946" t="s">
        <v>36</v>
      </c>
      <c r="R1946" t="s">
        <v>36</v>
      </c>
      <c r="S1946" t="s">
        <v>36</v>
      </c>
      <c r="T1946" t="s">
        <v>36</v>
      </c>
      <c r="U1946">
        <v>1</v>
      </c>
      <c r="V1946">
        <v>0</v>
      </c>
      <c r="W1946">
        <v>1</v>
      </c>
      <c r="X1946">
        <v>0</v>
      </c>
      <c r="Y1946">
        <v>0</v>
      </c>
      <c r="Z1946">
        <v>1</v>
      </c>
      <c r="AA1946">
        <v>1</v>
      </c>
      <c r="AB1946">
        <v>1</v>
      </c>
      <c r="AC1946">
        <v>0</v>
      </c>
      <c r="AD1946">
        <v>1</v>
      </c>
      <c r="AE1946">
        <v>0</v>
      </c>
      <c r="AF1946">
        <v>0</v>
      </c>
      <c r="AG1946">
        <v>0</v>
      </c>
    </row>
    <row r="1947" spans="1:33" hidden="1" x14ac:dyDescent="0.2">
      <c r="A1947">
        <v>1946</v>
      </c>
      <c r="B1947" t="s">
        <v>562</v>
      </c>
      <c r="C1947" t="s">
        <v>108</v>
      </c>
      <c r="D1947">
        <v>67</v>
      </c>
      <c r="E1947" t="s">
        <v>34</v>
      </c>
      <c r="F1947" t="s">
        <v>77</v>
      </c>
      <c r="G1947" t="s">
        <v>36</v>
      </c>
      <c r="H1947">
        <v>301156</v>
      </c>
      <c r="I1947" t="s">
        <v>563</v>
      </c>
      <c r="J1947" t="s">
        <v>564</v>
      </c>
      <c r="K1947" t="s">
        <v>223</v>
      </c>
      <c r="L1947" t="s">
        <v>36</v>
      </c>
      <c r="M1947" t="s">
        <v>36</v>
      </c>
      <c r="N1947" t="s">
        <v>36</v>
      </c>
      <c r="O1947" t="s">
        <v>36</v>
      </c>
      <c r="P1947" t="s">
        <v>442</v>
      </c>
      <c r="Q1947" t="s">
        <v>36</v>
      </c>
      <c r="R1947" t="s">
        <v>36</v>
      </c>
      <c r="S1947" t="s">
        <v>36</v>
      </c>
      <c r="T1947" t="s">
        <v>36</v>
      </c>
      <c r="U1947" t="s">
        <v>36</v>
      </c>
      <c r="V1947" t="s">
        <v>36</v>
      </c>
      <c r="W1947" t="s">
        <v>36</v>
      </c>
      <c r="X1947" t="s">
        <v>36</v>
      </c>
      <c r="Y1947" t="s">
        <v>36</v>
      </c>
      <c r="Z1947" t="s">
        <v>36</v>
      </c>
      <c r="AA1947" t="s">
        <v>36</v>
      </c>
      <c r="AB1947" t="s">
        <v>36</v>
      </c>
      <c r="AC1947" t="s">
        <v>36</v>
      </c>
      <c r="AD1947" t="s">
        <v>36</v>
      </c>
      <c r="AE1947" t="s">
        <v>36</v>
      </c>
      <c r="AF1947" t="s">
        <v>36</v>
      </c>
      <c r="AG1947" t="s">
        <v>36</v>
      </c>
    </row>
    <row r="1948" spans="1:33" hidden="1" x14ac:dyDescent="0.2">
      <c r="A1948">
        <v>1947</v>
      </c>
      <c r="B1948" t="s">
        <v>565</v>
      </c>
      <c r="C1948" t="s">
        <v>33</v>
      </c>
      <c r="D1948">
        <v>30</v>
      </c>
      <c r="E1948" t="s">
        <v>114</v>
      </c>
      <c r="F1948" t="s">
        <v>35</v>
      </c>
      <c r="G1948" t="s">
        <v>36</v>
      </c>
      <c r="H1948">
        <v>96179</v>
      </c>
      <c r="I1948" t="s">
        <v>36</v>
      </c>
      <c r="J1948" t="s">
        <v>36</v>
      </c>
      <c r="K1948" t="s">
        <v>36</v>
      </c>
      <c r="L1948" t="s">
        <v>36</v>
      </c>
      <c r="M1948" t="s">
        <v>36</v>
      </c>
      <c r="N1948" t="s">
        <v>36</v>
      </c>
      <c r="O1948" t="s">
        <v>36</v>
      </c>
      <c r="P1948" t="s">
        <v>442</v>
      </c>
      <c r="Q1948" t="s">
        <v>36</v>
      </c>
      <c r="R1948" t="s">
        <v>36</v>
      </c>
      <c r="S1948" t="s">
        <v>36</v>
      </c>
      <c r="T1948" t="s">
        <v>36</v>
      </c>
      <c r="U1948" t="s">
        <v>36</v>
      </c>
      <c r="V1948" t="s">
        <v>36</v>
      </c>
      <c r="W1948" t="s">
        <v>36</v>
      </c>
      <c r="X1948" t="s">
        <v>36</v>
      </c>
      <c r="Y1948" t="s">
        <v>36</v>
      </c>
      <c r="Z1948" t="s">
        <v>36</v>
      </c>
      <c r="AA1948" t="s">
        <v>36</v>
      </c>
      <c r="AB1948" t="s">
        <v>36</v>
      </c>
      <c r="AC1948" t="s">
        <v>36</v>
      </c>
      <c r="AD1948" t="s">
        <v>36</v>
      </c>
      <c r="AE1948" t="s">
        <v>36</v>
      </c>
      <c r="AF1948" t="s">
        <v>36</v>
      </c>
      <c r="AG1948" t="s">
        <v>36</v>
      </c>
    </row>
    <row r="1949" spans="1:33" hidden="1" x14ac:dyDescent="0.2">
      <c r="A1949">
        <v>1948</v>
      </c>
      <c r="B1949" t="s">
        <v>565</v>
      </c>
      <c r="C1949" t="s">
        <v>33</v>
      </c>
      <c r="D1949">
        <v>30</v>
      </c>
      <c r="E1949" t="s">
        <v>114</v>
      </c>
      <c r="F1949" t="s">
        <v>38</v>
      </c>
      <c r="G1949" t="s">
        <v>39</v>
      </c>
      <c r="H1949">
        <v>18711</v>
      </c>
      <c r="I1949">
        <v>1</v>
      </c>
      <c r="J1949">
        <v>0</v>
      </c>
      <c r="K1949">
        <v>1</v>
      </c>
      <c r="L1949">
        <v>0</v>
      </c>
      <c r="M1949" t="s">
        <v>36</v>
      </c>
      <c r="N1949" t="s">
        <v>36</v>
      </c>
      <c r="O1949" t="s">
        <v>36</v>
      </c>
      <c r="P1949" t="s">
        <v>442</v>
      </c>
      <c r="Q1949" t="s">
        <v>36</v>
      </c>
      <c r="R1949" t="s">
        <v>36</v>
      </c>
      <c r="S1949" t="s">
        <v>36</v>
      </c>
      <c r="T1949" t="s">
        <v>36</v>
      </c>
      <c r="U1949" t="s">
        <v>36</v>
      </c>
      <c r="V1949" t="s">
        <v>36</v>
      </c>
      <c r="W1949" t="s">
        <v>36</v>
      </c>
      <c r="X1949" t="s">
        <v>36</v>
      </c>
      <c r="Y1949" t="s">
        <v>36</v>
      </c>
      <c r="Z1949" t="s">
        <v>36</v>
      </c>
      <c r="AA1949" t="s">
        <v>36</v>
      </c>
      <c r="AB1949" t="s">
        <v>36</v>
      </c>
      <c r="AC1949" t="s">
        <v>36</v>
      </c>
      <c r="AD1949" t="s">
        <v>36</v>
      </c>
      <c r="AE1949" t="s">
        <v>36</v>
      </c>
      <c r="AF1949" t="s">
        <v>36</v>
      </c>
      <c r="AG1949" t="s">
        <v>36</v>
      </c>
    </row>
    <row r="1950" spans="1:33" hidden="1" x14ac:dyDescent="0.2">
      <c r="A1950">
        <v>1949</v>
      </c>
      <c r="B1950" t="s">
        <v>565</v>
      </c>
      <c r="C1950" t="s">
        <v>33</v>
      </c>
      <c r="D1950">
        <v>30</v>
      </c>
      <c r="E1950" t="s">
        <v>114</v>
      </c>
      <c r="F1950" t="s">
        <v>38</v>
      </c>
      <c r="G1950" t="s">
        <v>40</v>
      </c>
      <c r="H1950">
        <v>157969</v>
      </c>
      <c r="I1950">
        <v>0</v>
      </c>
      <c r="J1950">
        <v>1</v>
      </c>
      <c r="K1950">
        <v>1</v>
      </c>
      <c r="L1950">
        <v>0</v>
      </c>
      <c r="M1950" t="s">
        <v>36</v>
      </c>
      <c r="N1950" t="s">
        <v>36</v>
      </c>
      <c r="O1950" t="s">
        <v>36</v>
      </c>
      <c r="P1950" t="s">
        <v>442</v>
      </c>
      <c r="Q1950" t="s">
        <v>36</v>
      </c>
      <c r="R1950" t="s">
        <v>36</v>
      </c>
      <c r="S1950" t="s">
        <v>36</v>
      </c>
      <c r="T1950" t="s">
        <v>36</v>
      </c>
      <c r="U1950" t="s">
        <v>36</v>
      </c>
      <c r="V1950" t="s">
        <v>36</v>
      </c>
      <c r="W1950" t="s">
        <v>36</v>
      </c>
      <c r="X1950" t="s">
        <v>36</v>
      </c>
      <c r="Y1950" t="s">
        <v>36</v>
      </c>
      <c r="Z1950" t="s">
        <v>36</v>
      </c>
      <c r="AA1950" t="s">
        <v>36</v>
      </c>
      <c r="AB1950" t="s">
        <v>36</v>
      </c>
      <c r="AC1950" t="s">
        <v>36</v>
      </c>
      <c r="AD1950" t="s">
        <v>36</v>
      </c>
      <c r="AE1950" t="s">
        <v>36</v>
      </c>
      <c r="AF1950" t="s">
        <v>36</v>
      </c>
      <c r="AG1950" t="s">
        <v>36</v>
      </c>
    </row>
    <row r="1951" spans="1:33" x14ac:dyDescent="0.2">
      <c r="A1951">
        <v>1950</v>
      </c>
      <c r="B1951" t="s">
        <v>565</v>
      </c>
      <c r="C1951" t="s">
        <v>33</v>
      </c>
      <c r="D1951">
        <v>30</v>
      </c>
      <c r="E1951" t="s">
        <v>114</v>
      </c>
      <c r="F1951" t="s">
        <v>41</v>
      </c>
      <c r="G1951" t="s">
        <v>42</v>
      </c>
      <c r="H1951">
        <v>47236</v>
      </c>
      <c r="I1951">
        <v>0</v>
      </c>
      <c r="J1951">
        <v>1</v>
      </c>
      <c r="K1951">
        <v>0</v>
      </c>
      <c r="L1951">
        <v>0</v>
      </c>
      <c r="M1951" t="s">
        <v>43</v>
      </c>
      <c r="N1951" t="s">
        <v>44</v>
      </c>
      <c r="O1951" t="s">
        <v>82</v>
      </c>
      <c r="P1951" t="s">
        <v>442</v>
      </c>
      <c r="Q1951" t="s">
        <v>46</v>
      </c>
      <c r="R1951" t="s">
        <v>47</v>
      </c>
      <c r="S1951" t="s">
        <v>65</v>
      </c>
      <c r="T1951">
        <v>0</v>
      </c>
      <c r="U1951">
        <v>1</v>
      </c>
      <c r="V1951">
        <v>0</v>
      </c>
      <c r="W1951">
        <v>1</v>
      </c>
      <c r="X1951">
        <v>1</v>
      </c>
      <c r="Y1951">
        <v>0</v>
      </c>
      <c r="Z1951">
        <v>1</v>
      </c>
      <c r="AA1951">
        <v>0</v>
      </c>
      <c r="AB1951">
        <v>0</v>
      </c>
      <c r="AC1951">
        <v>0</v>
      </c>
      <c r="AD1951">
        <v>1</v>
      </c>
      <c r="AE1951">
        <v>0</v>
      </c>
      <c r="AF1951">
        <v>0</v>
      </c>
      <c r="AG1951">
        <v>0</v>
      </c>
    </row>
    <row r="1952" spans="1:33" x14ac:dyDescent="0.2">
      <c r="A1952">
        <v>1951</v>
      </c>
      <c r="B1952" t="s">
        <v>565</v>
      </c>
      <c r="C1952" t="s">
        <v>33</v>
      </c>
      <c r="D1952">
        <v>30</v>
      </c>
      <c r="E1952" t="s">
        <v>114</v>
      </c>
      <c r="F1952" t="s">
        <v>41</v>
      </c>
      <c r="G1952" t="s">
        <v>55</v>
      </c>
      <c r="H1952">
        <v>16545</v>
      </c>
      <c r="I1952">
        <v>0</v>
      </c>
      <c r="J1952">
        <v>1</v>
      </c>
      <c r="K1952">
        <v>0</v>
      </c>
      <c r="L1952">
        <v>0</v>
      </c>
      <c r="M1952" t="s">
        <v>84</v>
      </c>
      <c r="N1952" t="s">
        <v>94</v>
      </c>
      <c r="O1952" t="s">
        <v>58</v>
      </c>
      <c r="P1952" t="s">
        <v>442</v>
      </c>
      <c r="Q1952" t="s">
        <v>46</v>
      </c>
      <c r="R1952" t="s">
        <v>47</v>
      </c>
      <c r="S1952" t="s">
        <v>60</v>
      </c>
      <c r="T1952">
        <v>1</v>
      </c>
      <c r="U1952">
        <v>0</v>
      </c>
      <c r="V1952">
        <v>0</v>
      </c>
      <c r="W1952">
        <v>1</v>
      </c>
      <c r="X1952">
        <v>1</v>
      </c>
      <c r="Y1952">
        <v>0</v>
      </c>
      <c r="Z1952">
        <v>1</v>
      </c>
      <c r="AA1952">
        <v>0</v>
      </c>
      <c r="AB1952">
        <v>0</v>
      </c>
      <c r="AC1952">
        <v>0</v>
      </c>
      <c r="AD1952">
        <v>1</v>
      </c>
      <c r="AE1952">
        <v>0</v>
      </c>
      <c r="AF1952">
        <v>0</v>
      </c>
      <c r="AG1952">
        <v>0</v>
      </c>
    </row>
    <row r="1953" spans="1:33" hidden="1" x14ac:dyDescent="0.2">
      <c r="A1953">
        <v>1952</v>
      </c>
      <c r="B1953" t="s">
        <v>565</v>
      </c>
      <c r="C1953" t="s">
        <v>33</v>
      </c>
      <c r="D1953">
        <v>30</v>
      </c>
      <c r="E1953" t="s">
        <v>114</v>
      </c>
      <c r="F1953" t="s">
        <v>53</v>
      </c>
      <c r="G1953" t="s">
        <v>71</v>
      </c>
      <c r="H1953">
        <v>5534</v>
      </c>
      <c r="I1953">
        <v>0</v>
      </c>
      <c r="J1953">
        <v>0</v>
      </c>
      <c r="K1953">
        <v>1</v>
      </c>
      <c r="L1953">
        <v>0</v>
      </c>
      <c r="M1953" t="s">
        <v>36</v>
      </c>
      <c r="N1953" t="s">
        <v>36</v>
      </c>
      <c r="O1953" t="s">
        <v>36</v>
      </c>
      <c r="P1953" t="s">
        <v>442</v>
      </c>
      <c r="Q1953" t="s">
        <v>36</v>
      </c>
      <c r="R1953" t="s">
        <v>36</v>
      </c>
      <c r="S1953" t="s">
        <v>36</v>
      </c>
      <c r="T1953" t="s">
        <v>36</v>
      </c>
      <c r="U1953">
        <v>0</v>
      </c>
      <c r="V1953">
        <v>0</v>
      </c>
      <c r="W1953">
        <v>1</v>
      </c>
      <c r="X1953">
        <v>1</v>
      </c>
      <c r="Y1953">
        <v>0</v>
      </c>
      <c r="Z1953">
        <v>1</v>
      </c>
      <c r="AA1953">
        <v>0</v>
      </c>
      <c r="AB1953">
        <v>0</v>
      </c>
      <c r="AC1953">
        <v>0</v>
      </c>
      <c r="AD1953">
        <v>1</v>
      </c>
      <c r="AE1953">
        <v>0</v>
      </c>
      <c r="AF1953">
        <v>0</v>
      </c>
      <c r="AG1953">
        <v>0</v>
      </c>
    </row>
    <row r="1954" spans="1:33" x14ac:dyDescent="0.2">
      <c r="A1954">
        <v>1953</v>
      </c>
      <c r="B1954" t="s">
        <v>565</v>
      </c>
      <c r="C1954" t="s">
        <v>33</v>
      </c>
      <c r="D1954">
        <v>30</v>
      </c>
      <c r="E1954" t="s">
        <v>114</v>
      </c>
      <c r="F1954" t="s">
        <v>41</v>
      </c>
      <c r="G1954" t="s">
        <v>61</v>
      </c>
      <c r="H1954">
        <v>13047</v>
      </c>
      <c r="I1954">
        <v>0</v>
      </c>
      <c r="J1954">
        <v>1</v>
      </c>
      <c r="K1954">
        <v>0</v>
      </c>
      <c r="L1954">
        <v>0</v>
      </c>
      <c r="M1954" t="s">
        <v>63</v>
      </c>
      <c r="N1954" t="s">
        <v>64</v>
      </c>
      <c r="O1954" t="s">
        <v>62</v>
      </c>
      <c r="P1954" t="s">
        <v>442</v>
      </c>
      <c r="Q1954" t="s">
        <v>46</v>
      </c>
      <c r="R1954" t="s">
        <v>48</v>
      </c>
      <c r="S1954" t="s">
        <v>65</v>
      </c>
      <c r="T1954">
        <v>0</v>
      </c>
      <c r="U1954">
        <v>1</v>
      </c>
      <c r="V1954">
        <v>1</v>
      </c>
      <c r="W1954">
        <v>0</v>
      </c>
      <c r="X1954">
        <v>1</v>
      </c>
      <c r="Y1954">
        <v>0</v>
      </c>
      <c r="Z1954">
        <v>1</v>
      </c>
      <c r="AA1954">
        <v>0</v>
      </c>
      <c r="AB1954">
        <v>0</v>
      </c>
      <c r="AC1954">
        <v>1</v>
      </c>
      <c r="AD1954">
        <v>0</v>
      </c>
      <c r="AE1954">
        <v>0</v>
      </c>
      <c r="AF1954">
        <v>0</v>
      </c>
      <c r="AG1954">
        <v>0</v>
      </c>
    </row>
    <row r="1955" spans="1:33" hidden="1" x14ac:dyDescent="0.2">
      <c r="A1955">
        <v>1954</v>
      </c>
      <c r="B1955" t="s">
        <v>565</v>
      </c>
      <c r="C1955" t="s">
        <v>33</v>
      </c>
      <c r="D1955">
        <v>30</v>
      </c>
      <c r="E1955" t="s">
        <v>114</v>
      </c>
      <c r="F1955" t="s">
        <v>53</v>
      </c>
      <c r="G1955" t="s">
        <v>76</v>
      </c>
      <c r="H1955">
        <v>3843</v>
      </c>
      <c r="I1955">
        <v>0</v>
      </c>
      <c r="J1955">
        <v>1</v>
      </c>
      <c r="K1955">
        <v>0</v>
      </c>
      <c r="L1955">
        <v>0</v>
      </c>
      <c r="M1955" t="s">
        <v>36</v>
      </c>
      <c r="N1955" t="s">
        <v>36</v>
      </c>
      <c r="O1955" t="s">
        <v>36</v>
      </c>
      <c r="P1955" t="s">
        <v>442</v>
      </c>
      <c r="Q1955" t="s">
        <v>36</v>
      </c>
      <c r="R1955" t="s">
        <v>36</v>
      </c>
      <c r="S1955" t="s">
        <v>36</v>
      </c>
      <c r="T1955" t="s">
        <v>36</v>
      </c>
      <c r="U1955">
        <v>1</v>
      </c>
      <c r="V1955">
        <v>1</v>
      </c>
      <c r="W1955">
        <v>0</v>
      </c>
      <c r="X1955">
        <v>1</v>
      </c>
      <c r="Y1955">
        <v>0</v>
      </c>
      <c r="Z1955">
        <v>1</v>
      </c>
      <c r="AA1955">
        <v>0</v>
      </c>
      <c r="AB1955">
        <v>0</v>
      </c>
      <c r="AC1955">
        <v>1</v>
      </c>
      <c r="AD1955">
        <v>0</v>
      </c>
      <c r="AE1955">
        <v>0</v>
      </c>
      <c r="AF1955">
        <v>0</v>
      </c>
      <c r="AG1955">
        <v>0</v>
      </c>
    </row>
    <row r="1956" spans="1:33" x14ac:dyDescent="0.2">
      <c r="A1956">
        <v>1955</v>
      </c>
      <c r="B1956" t="s">
        <v>565</v>
      </c>
      <c r="C1956" t="s">
        <v>33</v>
      </c>
      <c r="D1956">
        <v>30</v>
      </c>
      <c r="E1956" t="s">
        <v>114</v>
      </c>
      <c r="F1956" t="s">
        <v>41</v>
      </c>
      <c r="G1956" t="s">
        <v>72</v>
      </c>
      <c r="H1956">
        <v>4461</v>
      </c>
      <c r="I1956">
        <v>0</v>
      </c>
      <c r="J1956">
        <v>1</v>
      </c>
      <c r="K1956">
        <v>0</v>
      </c>
      <c r="L1956">
        <v>0</v>
      </c>
      <c r="M1956" t="s">
        <v>93</v>
      </c>
      <c r="N1956" t="s">
        <v>75</v>
      </c>
      <c r="O1956" t="s">
        <v>104</v>
      </c>
      <c r="P1956" t="s">
        <v>442</v>
      </c>
      <c r="Q1956" t="s">
        <v>59</v>
      </c>
      <c r="R1956" t="s">
        <v>46</v>
      </c>
      <c r="S1956" t="s">
        <v>60</v>
      </c>
      <c r="T1956">
        <v>1</v>
      </c>
      <c r="U1956">
        <v>0</v>
      </c>
      <c r="V1956">
        <v>0</v>
      </c>
      <c r="W1956">
        <v>0</v>
      </c>
      <c r="X1956">
        <v>1</v>
      </c>
      <c r="Y1956">
        <v>0</v>
      </c>
      <c r="Z1956">
        <v>1</v>
      </c>
      <c r="AA1956">
        <v>0</v>
      </c>
      <c r="AB1956">
        <v>0</v>
      </c>
      <c r="AC1956">
        <v>0</v>
      </c>
      <c r="AD1956">
        <v>0</v>
      </c>
      <c r="AE1956">
        <v>1</v>
      </c>
      <c r="AF1956">
        <v>0</v>
      </c>
      <c r="AG1956">
        <v>0</v>
      </c>
    </row>
    <row r="1957" spans="1:33" x14ac:dyDescent="0.2">
      <c r="A1957">
        <v>1956</v>
      </c>
      <c r="B1957" t="s">
        <v>565</v>
      </c>
      <c r="C1957" t="s">
        <v>33</v>
      </c>
      <c r="D1957">
        <v>30</v>
      </c>
      <c r="E1957" t="s">
        <v>114</v>
      </c>
      <c r="F1957" t="s">
        <v>41</v>
      </c>
      <c r="G1957" t="s">
        <v>67</v>
      </c>
      <c r="H1957">
        <v>8213</v>
      </c>
      <c r="I1957">
        <v>0</v>
      </c>
      <c r="J1957">
        <v>0</v>
      </c>
      <c r="K1957">
        <v>1</v>
      </c>
      <c r="L1957">
        <v>0</v>
      </c>
      <c r="M1957" t="s">
        <v>103</v>
      </c>
      <c r="N1957" t="s">
        <v>68</v>
      </c>
      <c r="O1957" t="s">
        <v>86</v>
      </c>
      <c r="P1957" t="s">
        <v>442</v>
      </c>
      <c r="Q1957" t="s">
        <v>60</v>
      </c>
      <c r="R1957" t="s">
        <v>65</v>
      </c>
      <c r="S1957" t="s">
        <v>46</v>
      </c>
      <c r="T1957">
        <v>1</v>
      </c>
      <c r="U1957">
        <v>1</v>
      </c>
      <c r="V1957">
        <v>0</v>
      </c>
      <c r="W1957">
        <v>0</v>
      </c>
      <c r="X1957">
        <v>1</v>
      </c>
      <c r="Y1957">
        <v>0</v>
      </c>
      <c r="Z1957">
        <v>1</v>
      </c>
      <c r="AA1957">
        <v>0</v>
      </c>
      <c r="AB1957">
        <v>0</v>
      </c>
      <c r="AC1957">
        <v>0</v>
      </c>
      <c r="AD1957">
        <v>0</v>
      </c>
      <c r="AE1957">
        <v>1</v>
      </c>
      <c r="AF1957">
        <v>0</v>
      </c>
      <c r="AG1957">
        <v>0</v>
      </c>
    </row>
    <row r="1958" spans="1:33" hidden="1" x14ac:dyDescent="0.2">
      <c r="A1958">
        <v>1957</v>
      </c>
      <c r="B1958" t="s">
        <v>565</v>
      </c>
      <c r="C1958" t="s">
        <v>33</v>
      </c>
      <c r="D1958">
        <v>30</v>
      </c>
      <c r="E1958" t="s">
        <v>114</v>
      </c>
      <c r="F1958" t="s">
        <v>53</v>
      </c>
      <c r="G1958" t="s">
        <v>54</v>
      </c>
      <c r="H1958">
        <v>4222</v>
      </c>
      <c r="I1958">
        <v>0</v>
      </c>
      <c r="J1958">
        <v>0</v>
      </c>
      <c r="K1958">
        <v>1</v>
      </c>
      <c r="L1958">
        <v>0</v>
      </c>
      <c r="M1958" t="s">
        <v>36</v>
      </c>
      <c r="N1958" t="s">
        <v>36</v>
      </c>
      <c r="O1958" t="s">
        <v>36</v>
      </c>
      <c r="P1958" t="s">
        <v>442</v>
      </c>
      <c r="Q1958" t="s">
        <v>36</v>
      </c>
      <c r="R1958" t="s">
        <v>36</v>
      </c>
      <c r="S1958" t="s">
        <v>36</v>
      </c>
      <c r="T1958" t="s">
        <v>36</v>
      </c>
      <c r="U1958">
        <v>1</v>
      </c>
      <c r="V1958">
        <v>0</v>
      </c>
      <c r="W1958">
        <v>0</v>
      </c>
      <c r="X1958">
        <v>1</v>
      </c>
      <c r="Y1958">
        <v>0</v>
      </c>
      <c r="Z1958">
        <v>1</v>
      </c>
      <c r="AA1958">
        <v>0</v>
      </c>
      <c r="AB1958">
        <v>0</v>
      </c>
      <c r="AC1958">
        <v>0</v>
      </c>
      <c r="AD1958">
        <v>0</v>
      </c>
      <c r="AE1958">
        <v>1</v>
      </c>
      <c r="AF1958">
        <v>0</v>
      </c>
      <c r="AG1958">
        <v>0</v>
      </c>
    </row>
    <row r="1959" spans="1:33" x14ac:dyDescent="0.2">
      <c r="A1959">
        <v>1958</v>
      </c>
      <c r="B1959" t="s">
        <v>565</v>
      </c>
      <c r="C1959" t="s">
        <v>33</v>
      </c>
      <c r="D1959">
        <v>30</v>
      </c>
      <c r="E1959" t="s">
        <v>114</v>
      </c>
      <c r="F1959" t="s">
        <v>41</v>
      </c>
      <c r="G1959" t="s">
        <v>49</v>
      </c>
      <c r="H1959">
        <v>6699</v>
      </c>
      <c r="I1959">
        <v>0</v>
      </c>
      <c r="J1959">
        <v>0</v>
      </c>
      <c r="K1959">
        <v>1</v>
      </c>
      <c r="L1959">
        <v>0</v>
      </c>
      <c r="M1959" t="s">
        <v>51</v>
      </c>
      <c r="N1959" t="s">
        <v>52</v>
      </c>
      <c r="O1959" t="s">
        <v>83</v>
      </c>
      <c r="P1959" t="s">
        <v>442</v>
      </c>
      <c r="Q1959" t="s">
        <v>47</v>
      </c>
      <c r="R1959" t="s">
        <v>46</v>
      </c>
      <c r="S1959" t="s">
        <v>59</v>
      </c>
      <c r="T1959">
        <v>0</v>
      </c>
      <c r="U1959">
        <v>0</v>
      </c>
      <c r="V1959">
        <v>0</v>
      </c>
      <c r="W1959">
        <v>1</v>
      </c>
      <c r="X1959">
        <v>1</v>
      </c>
      <c r="Y1959">
        <v>0</v>
      </c>
      <c r="Z1959">
        <v>1</v>
      </c>
      <c r="AA1959">
        <v>0</v>
      </c>
      <c r="AB1959">
        <v>0</v>
      </c>
      <c r="AC1959">
        <v>0</v>
      </c>
      <c r="AD1959">
        <v>0</v>
      </c>
      <c r="AE1959">
        <v>0</v>
      </c>
      <c r="AF1959">
        <v>0</v>
      </c>
      <c r="AG1959">
        <v>0</v>
      </c>
    </row>
    <row r="1960" spans="1:33" hidden="1" x14ac:dyDescent="0.2">
      <c r="A1960">
        <v>1959</v>
      </c>
      <c r="B1960" t="s">
        <v>565</v>
      </c>
      <c r="C1960" t="s">
        <v>33</v>
      </c>
      <c r="D1960">
        <v>30</v>
      </c>
      <c r="E1960" t="s">
        <v>114</v>
      </c>
      <c r="F1960" t="s">
        <v>53</v>
      </c>
      <c r="G1960" t="s">
        <v>66</v>
      </c>
      <c r="H1960">
        <v>10224</v>
      </c>
      <c r="I1960">
        <v>0</v>
      </c>
      <c r="J1960">
        <v>1</v>
      </c>
      <c r="K1960">
        <v>0</v>
      </c>
      <c r="L1960">
        <v>0</v>
      </c>
      <c r="M1960" t="s">
        <v>36</v>
      </c>
      <c r="N1960" t="s">
        <v>36</v>
      </c>
      <c r="O1960" t="s">
        <v>36</v>
      </c>
      <c r="P1960" t="s">
        <v>442</v>
      </c>
      <c r="Q1960" t="s">
        <v>36</v>
      </c>
      <c r="R1960" t="s">
        <v>36</v>
      </c>
      <c r="S1960" t="s">
        <v>36</v>
      </c>
      <c r="T1960" t="s">
        <v>36</v>
      </c>
      <c r="U1960">
        <v>0</v>
      </c>
      <c r="V1960">
        <v>0</v>
      </c>
      <c r="W1960">
        <v>1</v>
      </c>
      <c r="X1960">
        <v>1</v>
      </c>
      <c r="Y1960">
        <v>0</v>
      </c>
      <c r="Z1960">
        <v>1</v>
      </c>
      <c r="AA1960">
        <v>0</v>
      </c>
      <c r="AB1960">
        <v>0</v>
      </c>
      <c r="AC1960">
        <v>0</v>
      </c>
      <c r="AD1960">
        <v>0</v>
      </c>
      <c r="AE1960">
        <v>0</v>
      </c>
      <c r="AF1960">
        <v>0</v>
      </c>
      <c r="AG1960">
        <v>0</v>
      </c>
    </row>
    <row r="1961" spans="1:33" hidden="1" x14ac:dyDescent="0.2">
      <c r="A1961">
        <v>1960</v>
      </c>
      <c r="B1961" t="s">
        <v>565</v>
      </c>
      <c r="C1961" t="s">
        <v>33</v>
      </c>
      <c r="D1961">
        <v>30</v>
      </c>
      <c r="E1961" t="s">
        <v>114</v>
      </c>
      <c r="F1961" t="s">
        <v>77</v>
      </c>
      <c r="G1961" t="s">
        <v>36</v>
      </c>
      <c r="H1961">
        <v>279010</v>
      </c>
      <c r="I1961" t="s">
        <v>566</v>
      </c>
      <c r="J1961" t="s">
        <v>166</v>
      </c>
      <c r="K1961" t="s">
        <v>567</v>
      </c>
      <c r="L1961" t="s">
        <v>36</v>
      </c>
      <c r="M1961" t="s">
        <v>36</v>
      </c>
      <c r="N1961" t="s">
        <v>36</v>
      </c>
      <c r="O1961" t="s">
        <v>36</v>
      </c>
      <c r="P1961" t="s">
        <v>442</v>
      </c>
      <c r="Q1961" t="s">
        <v>36</v>
      </c>
      <c r="R1961" t="s">
        <v>36</v>
      </c>
      <c r="S1961" t="s">
        <v>36</v>
      </c>
      <c r="T1961" t="s">
        <v>36</v>
      </c>
      <c r="U1961" t="s">
        <v>36</v>
      </c>
      <c r="V1961" t="s">
        <v>36</v>
      </c>
      <c r="W1961" t="s">
        <v>36</v>
      </c>
      <c r="X1961" t="s">
        <v>36</v>
      </c>
      <c r="Y1961" t="s">
        <v>36</v>
      </c>
      <c r="Z1961" t="s">
        <v>36</v>
      </c>
      <c r="AA1961" t="s">
        <v>36</v>
      </c>
      <c r="AB1961" t="s">
        <v>36</v>
      </c>
      <c r="AC1961" t="s">
        <v>36</v>
      </c>
      <c r="AD1961" t="s">
        <v>36</v>
      </c>
      <c r="AE1961" t="s">
        <v>36</v>
      </c>
      <c r="AF1961" t="s">
        <v>36</v>
      </c>
      <c r="AG1961" t="s">
        <v>36</v>
      </c>
    </row>
    <row r="1962" spans="1:33" hidden="1" x14ac:dyDescent="0.2">
      <c r="A1962">
        <v>1961</v>
      </c>
      <c r="B1962" t="s">
        <v>568</v>
      </c>
      <c r="C1962" t="s">
        <v>33</v>
      </c>
      <c r="D1962">
        <v>35</v>
      </c>
      <c r="E1962" t="s">
        <v>34</v>
      </c>
      <c r="F1962" t="s">
        <v>35</v>
      </c>
      <c r="G1962" t="s">
        <v>36</v>
      </c>
      <c r="H1962">
        <v>41695</v>
      </c>
      <c r="I1962" t="s">
        <v>36</v>
      </c>
      <c r="J1962" t="s">
        <v>36</v>
      </c>
      <c r="K1962" t="s">
        <v>36</v>
      </c>
      <c r="L1962" t="s">
        <v>36</v>
      </c>
      <c r="M1962" t="s">
        <v>36</v>
      </c>
      <c r="N1962" t="s">
        <v>36</v>
      </c>
      <c r="O1962" t="s">
        <v>36</v>
      </c>
      <c r="P1962" t="s">
        <v>442</v>
      </c>
      <c r="Q1962" t="s">
        <v>36</v>
      </c>
      <c r="R1962" t="s">
        <v>36</v>
      </c>
      <c r="S1962" t="s">
        <v>36</v>
      </c>
      <c r="T1962" t="s">
        <v>36</v>
      </c>
      <c r="U1962" t="s">
        <v>36</v>
      </c>
      <c r="V1962" t="s">
        <v>36</v>
      </c>
      <c r="W1962" t="s">
        <v>36</v>
      </c>
      <c r="X1962" t="s">
        <v>36</v>
      </c>
      <c r="Y1962" t="s">
        <v>36</v>
      </c>
      <c r="Z1962" t="s">
        <v>36</v>
      </c>
      <c r="AA1962" t="s">
        <v>36</v>
      </c>
      <c r="AB1962" t="s">
        <v>36</v>
      </c>
      <c r="AC1962" t="s">
        <v>36</v>
      </c>
      <c r="AD1962" t="s">
        <v>36</v>
      </c>
      <c r="AE1962" t="s">
        <v>36</v>
      </c>
      <c r="AF1962" t="s">
        <v>36</v>
      </c>
      <c r="AG1962" t="s">
        <v>36</v>
      </c>
    </row>
    <row r="1963" spans="1:33" hidden="1" x14ac:dyDescent="0.2">
      <c r="A1963">
        <v>1962</v>
      </c>
      <c r="B1963" t="s">
        <v>568</v>
      </c>
      <c r="C1963" t="s">
        <v>33</v>
      </c>
      <c r="D1963">
        <v>35</v>
      </c>
      <c r="E1963" t="s">
        <v>34</v>
      </c>
      <c r="F1963" t="s">
        <v>38</v>
      </c>
      <c r="G1963" t="s">
        <v>39</v>
      </c>
      <c r="H1963">
        <v>67488</v>
      </c>
      <c r="I1963">
        <v>1</v>
      </c>
      <c r="J1963">
        <v>1</v>
      </c>
      <c r="K1963">
        <v>0</v>
      </c>
      <c r="L1963">
        <v>0</v>
      </c>
      <c r="M1963" t="s">
        <v>36</v>
      </c>
      <c r="N1963" t="s">
        <v>36</v>
      </c>
      <c r="O1963" t="s">
        <v>36</v>
      </c>
      <c r="P1963" t="s">
        <v>442</v>
      </c>
      <c r="Q1963" t="s">
        <v>36</v>
      </c>
      <c r="R1963" t="s">
        <v>36</v>
      </c>
      <c r="S1963" t="s">
        <v>36</v>
      </c>
      <c r="T1963" t="s">
        <v>36</v>
      </c>
      <c r="U1963" t="s">
        <v>36</v>
      </c>
      <c r="V1963" t="s">
        <v>36</v>
      </c>
      <c r="W1963" t="s">
        <v>36</v>
      </c>
      <c r="X1963" t="s">
        <v>36</v>
      </c>
      <c r="Y1963" t="s">
        <v>36</v>
      </c>
      <c r="Z1963" t="s">
        <v>36</v>
      </c>
      <c r="AA1963" t="s">
        <v>36</v>
      </c>
      <c r="AB1963" t="s">
        <v>36</v>
      </c>
      <c r="AC1963" t="s">
        <v>36</v>
      </c>
      <c r="AD1963" t="s">
        <v>36</v>
      </c>
      <c r="AE1963" t="s">
        <v>36</v>
      </c>
      <c r="AF1963" t="s">
        <v>36</v>
      </c>
      <c r="AG1963" t="s">
        <v>36</v>
      </c>
    </row>
    <row r="1964" spans="1:33" hidden="1" x14ac:dyDescent="0.2">
      <c r="A1964">
        <v>1963</v>
      </c>
      <c r="B1964" t="s">
        <v>568</v>
      </c>
      <c r="C1964" t="s">
        <v>33</v>
      </c>
      <c r="D1964">
        <v>35</v>
      </c>
      <c r="E1964" t="s">
        <v>34</v>
      </c>
      <c r="F1964" t="s">
        <v>38</v>
      </c>
      <c r="G1964" t="s">
        <v>40</v>
      </c>
      <c r="H1964">
        <v>21589</v>
      </c>
      <c r="I1964">
        <v>1</v>
      </c>
      <c r="J1964">
        <v>1</v>
      </c>
      <c r="K1964">
        <v>1</v>
      </c>
      <c r="L1964">
        <v>0</v>
      </c>
      <c r="M1964" t="s">
        <v>36</v>
      </c>
      <c r="N1964" t="s">
        <v>36</v>
      </c>
      <c r="O1964" t="s">
        <v>36</v>
      </c>
      <c r="P1964" t="s">
        <v>442</v>
      </c>
      <c r="Q1964" t="s">
        <v>36</v>
      </c>
      <c r="R1964" t="s">
        <v>36</v>
      </c>
      <c r="S1964" t="s">
        <v>36</v>
      </c>
      <c r="T1964" t="s">
        <v>36</v>
      </c>
      <c r="U1964" t="s">
        <v>36</v>
      </c>
      <c r="V1964" t="s">
        <v>36</v>
      </c>
      <c r="W1964" t="s">
        <v>36</v>
      </c>
      <c r="X1964" t="s">
        <v>36</v>
      </c>
      <c r="Y1964" t="s">
        <v>36</v>
      </c>
      <c r="Z1964" t="s">
        <v>36</v>
      </c>
      <c r="AA1964" t="s">
        <v>36</v>
      </c>
      <c r="AB1964" t="s">
        <v>36</v>
      </c>
      <c r="AC1964" t="s">
        <v>36</v>
      </c>
      <c r="AD1964" t="s">
        <v>36</v>
      </c>
      <c r="AE1964" t="s">
        <v>36</v>
      </c>
      <c r="AF1964" t="s">
        <v>36</v>
      </c>
      <c r="AG1964" t="s">
        <v>36</v>
      </c>
    </row>
    <row r="1965" spans="1:33" x14ac:dyDescent="0.2">
      <c r="A1965">
        <v>1964</v>
      </c>
      <c r="B1965" t="s">
        <v>568</v>
      </c>
      <c r="C1965" t="s">
        <v>33</v>
      </c>
      <c r="D1965">
        <v>35</v>
      </c>
      <c r="E1965" t="s">
        <v>34</v>
      </c>
      <c r="F1965" t="s">
        <v>41</v>
      </c>
      <c r="G1965" t="s">
        <v>55</v>
      </c>
      <c r="H1965">
        <v>106597</v>
      </c>
      <c r="I1965">
        <v>1</v>
      </c>
      <c r="J1965">
        <v>1</v>
      </c>
      <c r="K1965">
        <v>0</v>
      </c>
      <c r="L1965">
        <v>0</v>
      </c>
      <c r="M1965" t="s">
        <v>84</v>
      </c>
      <c r="N1965" t="s">
        <v>94</v>
      </c>
      <c r="O1965" t="s">
        <v>57</v>
      </c>
      <c r="P1965" t="s">
        <v>442</v>
      </c>
      <c r="Q1965" t="s">
        <v>46</v>
      </c>
      <c r="R1965" t="s">
        <v>47</v>
      </c>
      <c r="S1965" t="s">
        <v>48</v>
      </c>
      <c r="T1965">
        <v>0</v>
      </c>
      <c r="U1965">
        <v>0</v>
      </c>
      <c r="V1965">
        <v>1</v>
      </c>
      <c r="W1965">
        <v>1</v>
      </c>
      <c r="X1965">
        <v>1</v>
      </c>
      <c r="Y1965">
        <v>0</v>
      </c>
      <c r="Z1965">
        <v>1</v>
      </c>
      <c r="AA1965">
        <v>0</v>
      </c>
      <c r="AB1965">
        <v>0</v>
      </c>
      <c r="AC1965">
        <v>0</v>
      </c>
      <c r="AD1965">
        <v>1</v>
      </c>
      <c r="AE1965">
        <v>1</v>
      </c>
      <c r="AF1965">
        <v>0</v>
      </c>
      <c r="AG1965">
        <v>0</v>
      </c>
    </row>
    <row r="1966" spans="1:33" hidden="1" x14ac:dyDescent="0.2">
      <c r="A1966">
        <v>1965</v>
      </c>
      <c r="B1966" t="s">
        <v>568</v>
      </c>
      <c r="C1966" t="s">
        <v>33</v>
      </c>
      <c r="D1966">
        <v>35</v>
      </c>
      <c r="E1966" t="s">
        <v>34</v>
      </c>
      <c r="F1966" t="s">
        <v>53</v>
      </c>
      <c r="G1966" t="s">
        <v>54</v>
      </c>
      <c r="H1966">
        <v>41849</v>
      </c>
      <c r="I1966">
        <v>1</v>
      </c>
      <c r="J1966">
        <v>1</v>
      </c>
      <c r="K1966">
        <v>0</v>
      </c>
      <c r="L1966">
        <v>0</v>
      </c>
      <c r="M1966" t="s">
        <v>36</v>
      </c>
      <c r="N1966" t="s">
        <v>36</v>
      </c>
      <c r="O1966" t="s">
        <v>36</v>
      </c>
      <c r="P1966" t="s">
        <v>442</v>
      </c>
      <c r="Q1966" t="s">
        <v>36</v>
      </c>
      <c r="R1966" t="s">
        <v>36</v>
      </c>
      <c r="S1966" t="s">
        <v>36</v>
      </c>
      <c r="T1966" t="s">
        <v>36</v>
      </c>
      <c r="U1966">
        <v>0</v>
      </c>
      <c r="V1966">
        <v>1</v>
      </c>
      <c r="W1966">
        <v>1</v>
      </c>
      <c r="X1966">
        <v>1</v>
      </c>
      <c r="Y1966">
        <v>0</v>
      </c>
      <c r="Z1966">
        <v>1</v>
      </c>
      <c r="AA1966">
        <v>0</v>
      </c>
      <c r="AB1966">
        <v>0</v>
      </c>
      <c r="AC1966">
        <v>0</v>
      </c>
      <c r="AD1966">
        <v>1</v>
      </c>
      <c r="AE1966">
        <v>1</v>
      </c>
      <c r="AF1966">
        <v>0</v>
      </c>
      <c r="AG1966">
        <v>0</v>
      </c>
    </row>
    <row r="1967" spans="1:33" x14ac:dyDescent="0.2">
      <c r="A1967">
        <v>1966</v>
      </c>
      <c r="B1967" t="s">
        <v>568</v>
      </c>
      <c r="C1967" t="s">
        <v>33</v>
      </c>
      <c r="D1967">
        <v>35</v>
      </c>
      <c r="E1967" t="s">
        <v>34</v>
      </c>
      <c r="F1967" t="s">
        <v>41</v>
      </c>
      <c r="G1967" t="s">
        <v>61</v>
      </c>
      <c r="H1967">
        <v>21429</v>
      </c>
      <c r="I1967">
        <v>0</v>
      </c>
      <c r="J1967">
        <v>1</v>
      </c>
      <c r="K1967">
        <v>0</v>
      </c>
      <c r="L1967">
        <v>0</v>
      </c>
      <c r="M1967" t="s">
        <v>64</v>
      </c>
      <c r="N1967" t="s">
        <v>63</v>
      </c>
      <c r="O1967" t="s">
        <v>97</v>
      </c>
      <c r="P1967" t="s">
        <v>442</v>
      </c>
      <c r="Q1967" t="s">
        <v>48</v>
      </c>
      <c r="R1967" t="s">
        <v>46</v>
      </c>
      <c r="S1967" t="s">
        <v>59</v>
      </c>
      <c r="T1967">
        <v>0</v>
      </c>
      <c r="U1967">
        <v>0</v>
      </c>
      <c r="V1967">
        <v>1</v>
      </c>
      <c r="W1967">
        <v>0</v>
      </c>
      <c r="X1967">
        <v>1</v>
      </c>
      <c r="Y1967">
        <v>0</v>
      </c>
      <c r="Z1967">
        <v>1</v>
      </c>
      <c r="AA1967">
        <v>0</v>
      </c>
      <c r="AB1967">
        <v>0</v>
      </c>
      <c r="AC1967">
        <v>0</v>
      </c>
      <c r="AD1967">
        <v>0</v>
      </c>
      <c r="AE1967">
        <v>1</v>
      </c>
      <c r="AF1967">
        <v>0</v>
      </c>
      <c r="AG1967">
        <v>0</v>
      </c>
    </row>
    <row r="1968" spans="1:33" x14ac:dyDescent="0.2">
      <c r="A1968">
        <v>1967</v>
      </c>
      <c r="B1968" t="s">
        <v>568</v>
      </c>
      <c r="C1968" t="s">
        <v>33</v>
      </c>
      <c r="D1968">
        <v>35</v>
      </c>
      <c r="E1968" t="s">
        <v>34</v>
      </c>
      <c r="F1968" t="s">
        <v>41</v>
      </c>
      <c r="G1968" t="s">
        <v>67</v>
      </c>
      <c r="H1968">
        <v>8682</v>
      </c>
      <c r="I1968">
        <v>0</v>
      </c>
      <c r="J1968">
        <v>1</v>
      </c>
      <c r="K1968">
        <v>0</v>
      </c>
      <c r="L1968">
        <v>0</v>
      </c>
      <c r="M1968" t="s">
        <v>70</v>
      </c>
      <c r="N1968" t="s">
        <v>109</v>
      </c>
      <c r="O1968" t="s">
        <v>68</v>
      </c>
      <c r="P1968" t="s">
        <v>442</v>
      </c>
      <c r="Q1968" t="s">
        <v>47</v>
      </c>
      <c r="R1968" t="s">
        <v>59</v>
      </c>
      <c r="S1968" t="s">
        <v>65</v>
      </c>
      <c r="T1968">
        <v>0</v>
      </c>
      <c r="U1968">
        <v>1</v>
      </c>
      <c r="V1968">
        <v>0</v>
      </c>
      <c r="W1968">
        <v>1</v>
      </c>
      <c r="X1968">
        <v>0</v>
      </c>
      <c r="Y1968">
        <v>0</v>
      </c>
      <c r="Z1968">
        <v>1</v>
      </c>
      <c r="AA1968">
        <v>0</v>
      </c>
      <c r="AB1968">
        <v>0</v>
      </c>
      <c r="AC1968">
        <v>0</v>
      </c>
      <c r="AD1968">
        <v>0</v>
      </c>
      <c r="AE1968">
        <v>0</v>
      </c>
      <c r="AF1968">
        <v>0</v>
      </c>
      <c r="AG1968">
        <v>0</v>
      </c>
    </row>
    <row r="1969" spans="1:33" hidden="1" x14ac:dyDescent="0.2">
      <c r="A1969">
        <v>1968</v>
      </c>
      <c r="B1969" t="s">
        <v>568</v>
      </c>
      <c r="C1969" t="s">
        <v>33</v>
      </c>
      <c r="D1969">
        <v>35</v>
      </c>
      <c r="E1969" t="s">
        <v>34</v>
      </c>
      <c r="F1969" t="s">
        <v>53</v>
      </c>
      <c r="G1969" t="s">
        <v>76</v>
      </c>
      <c r="H1969">
        <v>11255</v>
      </c>
      <c r="I1969">
        <v>0</v>
      </c>
      <c r="J1969">
        <v>1</v>
      </c>
      <c r="K1969">
        <v>0</v>
      </c>
      <c r="L1969">
        <v>0</v>
      </c>
      <c r="M1969" t="s">
        <v>36</v>
      </c>
      <c r="N1969" t="s">
        <v>36</v>
      </c>
      <c r="O1969" t="s">
        <v>36</v>
      </c>
      <c r="P1969" t="s">
        <v>442</v>
      </c>
      <c r="Q1969" t="s">
        <v>36</v>
      </c>
      <c r="R1969" t="s">
        <v>36</v>
      </c>
      <c r="S1969" t="s">
        <v>36</v>
      </c>
      <c r="T1969" t="s">
        <v>36</v>
      </c>
      <c r="U1969">
        <v>1</v>
      </c>
      <c r="V1969">
        <v>0</v>
      </c>
      <c r="W1969">
        <v>1</v>
      </c>
      <c r="X1969">
        <v>0</v>
      </c>
      <c r="Y1969">
        <v>0</v>
      </c>
      <c r="Z1969">
        <v>1</v>
      </c>
      <c r="AA1969">
        <v>0</v>
      </c>
      <c r="AB1969">
        <v>0</v>
      </c>
      <c r="AC1969">
        <v>0</v>
      </c>
      <c r="AD1969">
        <v>0</v>
      </c>
      <c r="AE1969">
        <v>0</v>
      </c>
      <c r="AF1969">
        <v>0</v>
      </c>
      <c r="AG1969">
        <v>0</v>
      </c>
    </row>
    <row r="1970" spans="1:33" x14ac:dyDescent="0.2">
      <c r="A1970">
        <v>1969</v>
      </c>
      <c r="B1970" t="s">
        <v>568</v>
      </c>
      <c r="C1970" t="s">
        <v>33</v>
      </c>
      <c r="D1970">
        <v>35</v>
      </c>
      <c r="E1970" t="s">
        <v>34</v>
      </c>
      <c r="F1970" t="s">
        <v>41</v>
      </c>
      <c r="G1970" t="s">
        <v>49</v>
      </c>
      <c r="H1970">
        <v>17957</v>
      </c>
      <c r="I1970">
        <v>1</v>
      </c>
      <c r="J1970">
        <v>1</v>
      </c>
      <c r="K1970">
        <v>0</v>
      </c>
      <c r="L1970">
        <v>0</v>
      </c>
      <c r="M1970" t="s">
        <v>83</v>
      </c>
      <c r="N1970" t="s">
        <v>50</v>
      </c>
      <c r="O1970" t="s">
        <v>52</v>
      </c>
      <c r="P1970" t="s">
        <v>442</v>
      </c>
      <c r="Q1970" t="s">
        <v>59</v>
      </c>
      <c r="R1970" t="s">
        <v>48</v>
      </c>
      <c r="S1970" t="s">
        <v>46</v>
      </c>
      <c r="T1970">
        <v>0</v>
      </c>
      <c r="U1970">
        <v>0</v>
      </c>
      <c r="V1970">
        <v>1</v>
      </c>
      <c r="W1970">
        <v>0</v>
      </c>
      <c r="X1970">
        <v>1</v>
      </c>
      <c r="Y1970">
        <v>0</v>
      </c>
      <c r="Z1970">
        <v>1</v>
      </c>
      <c r="AA1970">
        <v>0</v>
      </c>
      <c r="AB1970">
        <v>0</v>
      </c>
      <c r="AC1970">
        <v>1</v>
      </c>
      <c r="AD1970">
        <v>0</v>
      </c>
      <c r="AE1970">
        <v>0</v>
      </c>
      <c r="AF1970">
        <v>0</v>
      </c>
      <c r="AG1970">
        <v>0</v>
      </c>
    </row>
    <row r="1971" spans="1:33" hidden="1" x14ac:dyDescent="0.2">
      <c r="A1971">
        <v>1970</v>
      </c>
      <c r="B1971" t="s">
        <v>568</v>
      </c>
      <c r="C1971" t="s">
        <v>33</v>
      </c>
      <c r="D1971">
        <v>35</v>
      </c>
      <c r="E1971" t="s">
        <v>34</v>
      </c>
      <c r="F1971" t="s">
        <v>53</v>
      </c>
      <c r="G1971" t="s">
        <v>66</v>
      </c>
      <c r="H1971">
        <v>14512</v>
      </c>
      <c r="I1971">
        <v>1</v>
      </c>
      <c r="J1971">
        <v>1</v>
      </c>
      <c r="K1971">
        <v>0</v>
      </c>
      <c r="L1971">
        <v>0</v>
      </c>
      <c r="M1971" t="s">
        <v>36</v>
      </c>
      <c r="N1971" t="s">
        <v>36</v>
      </c>
      <c r="O1971" t="s">
        <v>36</v>
      </c>
      <c r="P1971" t="s">
        <v>442</v>
      </c>
      <c r="Q1971" t="s">
        <v>36</v>
      </c>
      <c r="R1971" t="s">
        <v>36</v>
      </c>
      <c r="S1971" t="s">
        <v>36</v>
      </c>
      <c r="T1971" t="s">
        <v>36</v>
      </c>
      <c r="U1971">
        <v>0</v>
      </c>
      <c r="V1971">
        <v>1</v>
      </c>
      <c r="W1971">
        <v>0</v>
      </c>
      <c r="X1971">
        <v>1</v>
      </c>
      <c r="Y1971">
        <v>0</v>
      </c>
      <c r="Z1971">
        <v>1</v>
      </c>
      <c r="AA1971">
        <v>0</v>
      </c>
      <c r="AB1971">
        <v>0</v>
      </c>
      <c r="AC1971">
        <v>1</v>
      </c>
      <c r="AD1971">
        <v>0</v>
      </c>
      <c r="AE1971">
        <v>0</v>
      </c>
      <c r="AF1971">
        <v>0</v>
      </c>
      <c r="AG1971">
        <v>0</v>
      </c>
    </row>
    <row r="1972" spans="1:33" x14ac:dyDescent="0.2">
      <c r="A1972">
        <v>1971</v>
      </c>
      <c r="B1972" t="s">
        <v>568</v>
      </c>
      <c r="C1972" t="s">
        <v>33</v>
      </c>
      <c r="D1972">
        <v>35</v>
      </c>
      <c r="E1972" t="s">
        <v>34</v>
      </c>
      <c r="F1972" t="s">
        <v>41</v>
      </c>
      <c r="G1972" t="s">
        <v>42</v>
      </c>
      <c r="H1972">
        <v>18280</v>
      </c>
      <c r="I1972">
        <v>0</v>
      </c>
      <c r="J1972">
        <v>1</v>
      </c>
      <c r="K1972">
        <v>0</v>
      </c>
      <c r="L1972">
        <v>0</v>
      </c>
      <c r="M1972" t="s">
        <v>43</v>
      </c>
      <c r="N1972" t="s">
        <v>116</v>
      </c>
      <c r="O1972" t="s">
        <v>45</v>
      </c>
      <c r="P1972" t="s">
        <v>442</v>
      </c>
      <c r="Q1972" t="s">
        <v>46</v>
      </c>
      <c r="R1972" t="s">
        <v>60</v>
      </c>
      <c r="S1972" t="s">
        <v>48</v>
      </c>
      <c r="T1972">
        <v>1</v>
      </c>
      <c r="U1972">
        <v>0</v>
      </c>
      <c r="V1972">
        <v>1</v>
      </c>
      <c r="W1972">
        <v>0</v>
      </c>
      <c r="X1972">
        <v>1</v>
      </c>
      <c r="Y1972">
        <v>0</v>
      </c>
      <c r="Z1972">
        <v>1</v>
      </c>
      <c r="AA1972">
        <v>1</v>
      </c>
      <c r="AB1972">
        <v>0</v>
      </c>
      <c r="AC1972">
        <v>0</v>
      </c>
      <c r="AD1972">
        <v>0</v>
      </c>
      <c r="AE1972">
        <v>0</v>
      </c>
      <c r="AF1972">
        <v>0</v>
      </c>
      <c r="AG1972">
        <v>0</v>
      </c>
    </row>
    <row r="1973" spans="1:33" x14ac:dyDescent="0.2">
      <c r="A1973">
        <v>1972</v>
      </c>
      <c r="B1973" t="s">
        <v>568</v>
      </c>
      <c r="C1973" t="s">
        <v>33</v>
      </c>
      <c r="D1973">
        <v>35</v>
      </c>
      <c r="E1973" t="s">
        <v>34</v>
      </c>
      <c r="F1973" t="s">
        <v>41</v>
      </c>
      <c r="G1973" t="s">
        <v>72</v>
      </c>
      <c r="H1973">
        <v>6206</v>
      </c>
      <c r="I1973">
        <v>0</v>
      </c>
      <c r="J1973">
        <v>0</v>
      </c>
      <c r="K1973">
        <v>1</v>
      </c>
      <c r="L1973">
        <v>0</v>
      </c>
      <c r="M1973" t="s">
        <v>115</v>
      </c>
      <c r="N1973" t="s">
        <v>73</v>
      </c>
      <c r="O1973" t="s">
        <v>75</v>
      </c>
      <c r="P1973" t="s">
        <v>442</v>
      </c>
      <c r="Q1973" t="s">
        <v>65</v>
      </c>
      <c r="R1973" t="s">
        <v>48</v>
      </c>
      <c r="S1973" t="s">
        <v>46</v>
      </c>
      <c r="T1973">
        <v>0</v>
      </c>
      <c r="U1973">
        <v>1</v>
      </c>
      <c r="V1973">
        <v>1</v>
      </c>
      <c r="W1973">
        <v>0</v>
      </c>
      <c r="X1973">
        <v>1</v>
      </c>
      <c r="Y1973">
        <v>0</v>
      </c>
      <c r="Z1973">
        <v>1</v>
      </c>
      <c r="AA1973">
        <v>0</v>
      </c>
      <c r="AB1973">
        <v>0</v>
      </c>
      <c r="AC1973">
        <v>0</v>
      </c>
      <c r="AD1973">
        <v>0</v>
      </c>
      <c r="AE1973">
        <v>1</v>
      </c>
      <c r="AF1973">
        <v>0</v>
      </c>
      <c r="AG1973">
        <v>0</v>
      </c>
    </row>
    <row r="1974" spans="1:33" hidden="1" x14ac:dyDescent="0.2">
      <c r="A1974">
        <v>1973</v>
      </c>
      <c r="B1974" t="s">
        <v>568</v>
      </c>
      <c r="C1974" t="s">
        <v>33</v>
      </c>
      <c r="D1974">
        <v>35</v>
      </c>
      <c r="E1974" t="s">
        <v>34</v>
      </c>
      <c r="F1974" t="s">
        <v>53</v>
      </c>
      <c r="G1974" t="s">
        <v>71</v>
      </c>
      <c r="H1974">
        <v>9423</v>
      </c>
      <c r="I1974">
        <v>0</v>
      </c>
      <c r="J1974">
        <v>1</v>
      </c>
      <c r="K1974">
        <v>0</v>
      </c>
      <c r="L1974">
        <v>0</v>
      </c>
      <c r="M1974" t="s">
        <v>36</v>
      </c>
      <c r="N1974" t="s">
        <v>36</v>
      </c>
      <c r="O1974" t="s">
        <v>36</v>
      </c>
      <c r="P1974" t="s">
        <v>442</v>
      </c>
      <c r="Q1974" t="s">
        <v>36</v>
      </c>
      <c r="R1974" t="s">
        <v>36</v>
      </c>
      <c r="S1974" t="s">
        <v>36</v>
      </c>
      <c r="T1974" t="s">
        <v>36</v>
      </c>
      <c r="U1974">
        <v>1</v>
      </c>
      <c r="V1974">
        <v>1</v>
      </c>
      <c r="W1974">
        <v>0</v>
      </c>
      <c r="X1974">
        <v>1</v>
      </c>
      <c r="Y1974">
        <v>0</v>
      </c>
      <c r="Z1974">
        <v>1</v>
      </c>
      <c r="AA1974">
        <v>0</v>
      </c>
      <c r="AB1974">
        <v>0</v>
      </c>
      <c r="AC1974">
        <v>0</v>
      </c>
      <c r="AD1974">
        <v>0</v>
      </c>
      <c r="AE1974">
        <v>1</v>
      </c>
      <c r="AF1974">
        <v>0</v>
      </c>
      <c r="AG1974">
        <v>0</v>
      </c>
    </row>
    <row r="1975" spans="1:33" hidden="1" x14ac:dyDescent="0.2">
      <c r="A1975">
        <v>1974</v>
      </c>
      <c r="B1975" t="s">
        <v>568</v>
      </c>
      <c r="C1975" t="s">
        <v>33</v>
      </c>
      <c r="D1975">
        <v>35</v>
      </c>
      <c r="E1975" t="s">
        <v>34</v>
      </c>
      <c r="F1975" t="s">
        <v>77</v>
      </c>
      <c r="G1975" t="s">
        <v>36</v>
      </c>
      <c r="H1975">
        <v>502341</v>
      </c>
      <c r="I1975" t="s">
        <v>569</v>
      </c>
      <c r="J1975" t="s">
        <v>570</v>
      </c>
      <c r="K1975" t="s">
        <v>571</v>
      </c>
      <c r="L1975" t="s">
        <v>36</v>
      </c>
      <c r="M1975" t="s">
        <v>36</v>
      </c>
      <c r="N1975" t="s">
        <v>36</v>
      </c>
      <c r="O1975" t="s">
        <v>36</v>
      </c>
      <c r="P1975" t="s">
        <v>442</v>
      </c>
      <c r="Q1975" t="s">
        <v>36</v>
      </c>
      <c r="R1975" t="s">
        <v>36</v>
      </c>
      <c r="S1975" t="s">
        <v>36</v>
      </c>
      <c r="T1975" t="s">
        <v>36</v>
      </c>
      <c r="U1975" t="s">
        <v>36</v>
      </c>
      <c r="V1975" t="s">
        <v>36</v>
      </c>
      <c r="W1975" t="s">
        <v>36</v>
      </c>
      <c r="X1975" t="s">
        <v>36</v>
      </c>
      <c r="Y1975" t="s">
        <v>36</v>
      </c>
      <c r="Z1975" t="s">
        <v>36</v>
      </c>
      <c r="AA1975" t="s">
        <v>36</v>
      </c>
      <c r="AB1975" t="s">
        <v>36</v>
      </c>
      <c r="AC1975" t="s">
        <v>36</v>
      </c>
      <c r="AD1975" t="s">
        <v>36</v>
      </c>
      <c r="AE1975" t="s">
        <v>36</v>
      </c>
      <c r="AF1975" t="s">
        <v>36</v>
      </c>
      <c r="AG1975" t="s">
        <v>36</v>
      </c>
    </row>
    <row r="1976" spans="1:33" hidden="1" x14ac:dyDescent="0.2">
      <c r="A1976">
        <v>1975</v>
      </c>
      <c r="B1976" t="s">
        <v>572</v>
      </c>
      <c r="C1976" t="s">
        <v>174</v>
      </c>
      <c r="D1976">
        <v>34</v>
      </c>
      <c r="E1976" t="s">
        <v>114</v>
      </c>
      <c r="F1976" t="s">
        <v>35</v>
      </c>
      <c r="G1976" t="s">
        <v>36</v>
      </c>
      <c r="H1976">
        <v>37078</v>
      </c>
      <c r="I1976" t="s">
        <v>36</v>
      </c>
      <c r="J1976" t="s">
        <v>36</v>
      </c>
      <c r="K1976" t="s">
        <v>36</v>
      </c>
      <c r="L1976" t="s">
        <v>36</v>
      </c>
      <c r="M1976" t="s">
        <v>36</v>
      </c>
      <c r="N1976" t="s">
        <v>36</v>
      </c>
      <c r="O1976" t="s">
        <v>36</v>
      </c>
      <c r="P1976" t="s">
        <v>442</v>
      </c>
      <c r="Q1976" t="s">
        <v>36</v>
      </c>
      <c r="R1976" t="s">
        <v>36</v>
      </c>
      <c r="S1976" t="s">
        <v>36</v>
      </c>
      <c r="T1976" t="s">
        <v>36</v>
      </c>
      <c r="U1976" t="s">
        <v>36</v>
      </c>
      <c r="V1976" t="s">
        <v>36</v>
      </c>
      <c r="W1976" t="s">
        <v>36</v>
      </c>
      <c r="X1976" t="s">
        <v>36</v>
      </c>
      <c r="Y1976" t="s">
        <v>36</v>
      </c>
      <c r="Z1976" t="s">
        <v>36</v>
      </c>
      <c r="AA1976" t="s">
        <v>36</v>
      </c>
      <c r="AB1976" t="s">
        <v>36</v>
      </c>
      <c r="AC1976" t="s">
        <v>36</v>
      </c>
      <c r="AD1976" t="s">
        <v>36</v>
      </c>
      <c r="AE1976" t="s">
        <v>36</v>
      </c>
      <c r="AF1976" t="s">
        <v>36</v>
      </c>
      <c r="AG1976" t="s">
        <v>36</v>
      </c>
    </row>
    <row r="1977" spans="1:33" hidden="1" x14ac:dyDescent="0.2">
      <c r="A1977">
        <v>1976</v>
      </c>
      <c r="B1977" t="s">
        <v>572</v>
      </c>
      <c r="C1977" t="s">
        <v>174</v>
      </c>
      <c r="D1977">
        <v>34</v>
      </c>
      <c r="E1977" t="s">
        <v>114</v>
      </c>
      <c r="F1977" t="s">
        <v>38</v>
      </c>
      <c r="G1977" t="s">
        <v>39</v>
      </c>
      <c r="H1977">
        <v>49209</v>
      </c>
      <c r="I1977">
        <v>0</v>
      </c>
      <c r="J1977">
        <v>0</v>
      </c>
      <c r="K1977">
        <v>0</v>
      </c>
      <c r="L1977">
        <v>1</v>
      </c>
      <c r="M1977" t="s">
        <v>36</v>
      </c>
      <c r="N1977" t="s">
        <v>36</v>
      </c>
      <c r="O1977" t="s">
        <v>36</v>
      </c>
      <c r="P1977" t="s">
        <v>442</v>
      </c>
      <c r="Q1977" t="s">
        <v>36</v>
      </c>
      <c r="R1977" t="s">
        <v>36</v>
      </c>
      <c r="S1977" t="s">
        <v>36</v>
      </c>
      <c r="T1977" t="s">
        <v>36</v>
      </c>
      <c r="U1977" t="s">
        <v>36</v>
      </c>
      <c r="V1977" t="s">
        <v>36</v>
      </c>
      <c r="W1977" t="s">
        <v>36</v>
      </c>
      <c r="X1977" t="s">
        <v>36</v>
      </c>
      <c r="Y1977" t="s">
        <v>36</v>
      </c>
      <c r="Z1977" t="s">
        <v>36</v>
      </c>
      <c r="AA1977" t="s">
        <v>36</v>
      </c>
      <c r="AB1977" t="s">
        <v>36</v>
      </c>
      <c r="AC1977" t="s">
        <v>36</v>
      </c>
      <c r="AD1977" t="s">
        <v>36</v>
      </c>
      <c r="AE1977" t="s">
        <v>36</v>
      </c>
      <c r="AF1977" t="s">
        <v>36</v>
      </c>
      <c r="AG1977" t="s">
        <v>36</v>
      </c>
    </row>
    <row r="1978" spans="1:33" hidden="1" x14ac:dyDescent="0.2">
      <c r="A1978">
        <v>1977</v>
      </c>
      <c r="B1978" t="s">
        <v>572</v>
      </c>
      <c r="C1978" t="s">
        <v>174</v>
      </c>
      <c r="D1978">
        <v>34</v>
      </c>
      <c r="E1978" t="s">
        <v>114</v>
      </c>
      <c r="F1978" t="s">
        <v>38</v>
      </c>
      <c r="G1978" t="s">
        <v>40</v>
      </c>
      <c r="H1978">
        <v>60560</v>
      </c>
      <c r="I1978">
        <v>0</v>
      </c>
      <c r="J1978">
        <v>0</v>
      </c>
      <c r="K1978">
        <v>0</v>
      </c>
      <c r="L1978">
        <v>1</v>
      </c>
      <c r="M1978" t="s">
        <v>36</v>
      </c>
      <c r="N1978" t="s">
        <v>36</v>
      </c>
      <c r="O1978" t="s">
        <v>36</v>
      </c>
      <c r="P1978" t="s">
        <v>442</v>
      </c>
      <c r="Q1978" t="s">
        <v>36</v>
      </c>
      <c r="R1978" t="s">
        <v>36</v>
      </c>
      <c r="S1978" t="s">
        <v>36</v>
      </c>
      <c r="T1978" t="s">
        <v>36</v>
      </c>
      <c r="U1978" t="s">
        <v>36</v>
      </c>
      <c r="V1978" t="s">
        <v>36</v>
      </c>
      <c r="W1978" t="s">
        <v>36</v>
      </c>
      <c r="X1978" t="s">
        <v>36</v>
      </c>
      <c r="Y1978" t="s">
        <v>36</v>
      </c>
      <c r="Z1978" t="s">
        <v>36</v>
      </c>
      <c r="AA1978" t="s">
        <v>36</v>
      </c>
      <c r="AB1978" t="s">
        <v>36</v>
      </c>
      <c r="AC1978" t="s">
        <v>36</v>
      </c>
      <c r="AD1978" t="s">
        <v>36</v>
      </c>
      <c r="AE1978" t="s">
        <v>36</v>
      </c>
      <c r="AF1978" t="s">
        <v>36</v>
      </c>
      <c r="AG1978" t="s">
        <v>36</v>
      </c>
    </row>
    <row r="1979" spans="1:33" x14ac:dyDescent="0.2">
      <c r="A1979">
        <v>1978</v>
      </c>
      <c r="B1979" t="s">
        <v>572</v>
      </c>
      <c r="C1979" t="s">
        <v>174</v>
      </c>
      <c r="D1979">
        <v>34</v>
      </c>
      <c r="E1979" t="s">
        <v>114</v>
      </c>
      <c r="F1979" t="s">
        <v>41</v>
      </c>
      <c r="G1979" t="s">
        <v>55</v>
      </c>
      <c r="H1979">
        <v>69833</v>
      </c>
      <c r="I1979">
        <v>1</v>
      </c>
      <c r="J1979">
        <v>1</v>
      </c>
      <c r="K1979">
        <v>1</v>
      </c>
      <c r="L1979">
        <v>0</v>
      </c>
      <c r="M1979" t="s">
        <v>94</v>
      </c>
      <c r="N1979" t="s">
        <v>84</v>
      </c>
      <c r="O1979" t="s">
        <v>56</v>
      </c>
      <c r="P1979" t="s">
        <v>442</v>
      </c>
      <c r="Q1979" t="s">
        <v>47</v>
      </c>
      <c r="R1979" t="s">
        <v>46</v>
      </c>
      <c r="S1979" t="s">
        <v>59</v>
      </c>
      <c r="T1979">
        <v>0</v>
      </c>
      <c r="U1979">
        <v>0</v>
      </c>
      <c r="V1979">
        <v>0</v>
      </c>
      <c r="W1979">
        <v>1</v>
      </c>
      <c r="X1979">
        <v>1</v>
      </c>
      <c r="Y1979">
        <v>0</v>
      </c>
      <c r="Z1979">
        <v>1</v>
      </c>
      <c r="AA1979">
        <v>0</v>
      </c>
      <c r="AB1979">
        <v>0</v>
      </c>
      <c r="AC1979">
        <v>0</v>
      </c>
      <c r="AD1979">
        <v>1</v>
      </c>
      <c r="AE1979">
        <v>1</v>
      </c>
      <c r="AF1979">
        <v>0</v>
      </c>
      <c r="AG1979">
        <v>0</v>
      </c>
    </row>
    <row r="1980" spans="1:33" x14ac:dyDescent="0.2">
      <c r="A1980">
        <v>1979</v>
      </c>
      <c r="B1980" t="s">
        <v>572</v>
      </c>
      <c r="C1980" t="s">
        <v>174</v>
      </c>
      <c r="D1980">
        <v>34</v>
      </c>
      <c r="E1980" t="s">
        <v>114</v>
      </c>
      <c r="F1980" t="s">
        <v>41</v>
      </c>
      <c r="G1980" t="s">
        <v>67</v>
      </c>
      <c r="H1980">
        <v>59838</v>
      </c>
      <c r="I1980">
        <v>1</v>
      </c>
      <c r="J1980">
        <v>1</v>
      </c>
      <c r="K1980">
        <v>1</v>
      </c>
      <c r="L1980">
        <v>0</v>
      </c>
      <c r="M1980" t="s">
        <v>69</v>
      </c>
      <c r="N1980" t="s">
        <v>68</v>
      </c>
      <c r="O1980" t="s">
        <v>70</v>
      </c>
      <c r="P1980" t="s">
        <v>442</v>
      </c>
      <c r="Q1980" t="s">
        <v>48</v>
      </c>
      <c r="R1980" t="s">
        <v>65</v>
      </c>
      <c r="S1980" t="s">
        <v>47</v>
      </c>
      <c r="T1980">
        <v>0</v>
      </c>
      <c r="U1980">
        <v>1</v>
      </c>
      <c r="V1980">
        <v>1</v>
      </c>
      <c r="W1980">
        <v>1</v>
      </c>
      <c r="X1980">
        <v>0</v>
      </c>
      <c r="Y1980">
        <v>0</v>
      </c>
      <c r="Z1980">
        <v>1</v>
      </c>
      <c r="AA1980">
        <v>0</v>
      </c>
      <c r="AB1980">
        <v>1</v>
      </c>
      <c r="AC1980">
        <v>1</v>
      </c>
      <c r="AD1980">
        <v>1</v>
      </c>
      <c r="AE1980">
        <v>0</v>
      </c>
      <c r="AF1980">
        <v>0</v>
      </c>
      <c r="AG1980">
        <v>0</v>
      </c>
    </row>
    <row r="1981" spans="1:33" hidden="1" x14ac:dyDescent="0.2">
      <c r="A1981">
        <v>1980</v>
      </c>
      <c r="B1981" t="s">
        <v>572</v>
      </c>
      <c r="C1981" t="s">
        <v>174</v>
      </c>
      <c r="D1981">
        <v>34</v>
      </c>
      <c r="E1981" t="s">
        <v>114</v>
      </c>
      <c r="F1981" t="s">
        <v>53</v>
      </c>
      <c r="G1981" t="s">
        <v>76</v>
      </c>
      <c r="H1981">
        <v>28031</v>
      </c>
      <c r="I1981">
        <v>1</v>
      </c>
      <c r="J1981">
        <v>0</v>
      </c>
      <c r="K1981">
        <v>0</v>
      </c>
      <c r="L1981">
        <v>0</v>
      </c>
      <c r="M1981" t="s">
        <v>36</v>
      </c>
      <c r="N1981" t="s">
        <v>36</v>
      </c>
      <c r="O1981" t="s">
        <v>36</v>
      </c>
      <c r="P1981" t="s">
        <v>442</v>
      </c>
      <c r="Q1981" t="s">
        <v>36</v>
      </c>
      <c r="R1981" t="s">
        <v>36</v>
      </c>
      <c r="S1981" t="s">
        <v>36</v>
      </c>
      <c r="T1981" t="s">
        <v>36</v>
      </c>
      <c r="U1981">
        <v>1</v>
      </c>
      <c r="V1981">
        <v>1</v>
      </c>
      <c r="W1981">
        <v>1</v>
      </c>
      <c r="X1981">
        <v>0</v>
      </c>
      <c r="Y1981">
        <v>0</v>
      </c>
      <c r="Z1981">
        <v>1</v>
      </c>
      <c r="AA1981">
        <v>0</v>
      </c>
      <c r="AB1981">
        <v>1</v>
      </c>
      <c r="AC1981">
        <v>1</v>
      </c>
      <c r="AD1981">
        <v>1</v>
      </c>
      <c r="AE1981">
        <v>0</v>
      </c>
      <c r="AF1981">
        <v>0</v>
      </c>
      <c r="AG1981">
        <v>0</v>
      </c>
    </row>
    <row r="1982" spans="1:33" x14ac:dyDescent="0.2">
      <c r="A1982">
        <v>1981</v>
      </c>
      <c r="B1982" t="s">
        <v>572</v>
      </c>
      <c r="C1982" t="s">
        <v>174</v>
      </c>
      <c r="D1982">
        <v>34</v>
      </c>
      <c r="E1982" t="s">
        <v>114</v>
      </c>
      <c r="F1982" t="s">
        <v>41</v>
      </c>
      <c r="G1982" t="s">
        <v>61</v>
      </c>
      <c r="H1982">
        <v>26132</v>
      </c>
      <c r="I1982">
        <v>1</v>
      </c>
      <c r="J1982">
        <v>1</v>
      </c>
      <c r="K1982">
        <v>1</v>
      </c>
      <c r="L1982">
        <v>0</v>
      </c>
      <c r="M1982" t="s">
        <v>63</v>
      </c>
      <c r="N1982" t="s">
        <v>64</v>
      </c>
      <c r="O1982" t="s">
        <v>87</v>
      </c>
      <c r="P1982" t="s">
        <v>442</v>
      </c>
      <c r="Q1982" t="s">
        <v>46</v>
      </c>
      <c r="R1982" t="s">
        <v>48</v>
      </c>
      <c r="S1982" t="s">
        <v>47</v>
      </c>
      <c r="T1982">
        <v>0</v>
      </c>
      <c r="U1982">
        <v>0</v>
      </c>
      <c r="V1982">
        <v>1</v>
      </c>
      <c r="W1982">
        <v>1</v>
      </c>
      <c r="X1982">
        <v>1</v>
      </c>
      <c r="Y1982">
        <v>0</v>
      </c>
      <c r="Z1982">
        <v>1</v>
      </c>
      <c r="AA1982">
        <v>0</v>
      </c>
      <c r="AB1982">
        <v>0</v>
      </c>
      <c r="AC1982">
        <v>1</v>
      </c>
      <c r="AD1982">
        <v>1</v>
      </c>
      <c r="AE1982">
        <v>1</v>
      </c>
      <c r="AF1982">
        <v>0</v>
      </c>
      <c r="AG1982">
        <v>0</v>
      </c>
    </row>
    <row r="1983" spans="1:33" x14ac:dyDescent="0.2">
      <c r="A1983">
        <v>1982</v>
      </c>
      <c r="B1983" t="s">
        <v>572</v>
      </c>
      <c r="C1983" t="s">
        <v>174</v>
      </c>
      <c r="D1983">
        <v>34</v>
      </c>
      <c r="E1983" t="s">
        <v>114</v>
      </c>
      <c r="F1983" t="s">
        <v>41</v>
      </c>
      <c r="G1983" t="s">
        <v>72</v>
      </c>
      <c r="H1983">
        <v>27980</v>
      </c>
      <c r="I1983">
        <v>0</v>
      </c>
      <c r="J1983">
        <v>0</v>
      </c>
      <c r="K1983">
        <v>0</v>
      </c>
      <c r="L1983">
        <v>1</v>
      </c>
      <c r="M1983" t="s">
        <v>74</v>
      </c>
      <c r="N1983" t="s">
        <v>75</v>
      </c>
      <c r="O1983" t="s">
        <v>93</v>
      </c>
      <c r="P1983" t="s">
        <v>442</v>
      </c>
      <c r="Q1983" t="s">
        <v>47</v>
      </c>
      <c r="R1983" t="s">
        <v>46</v>
      </c>
      <c r="S1983" t="s">
        <v>59</v>
      </c>
      <c r="T1983">
        <v>0</v>
      </c>
      <c r="U1983">
        <v>0</v>
      </c>
      <c r="V1983">
        <v>0</v>
      </c>
      <c r="W1983">
        <v>1</v>
      </c>
      <c r="X1983">
        <v>1</v>
      </c>
      <c r="Y1983">
        <v>0</v>
      </c>
      <c r="Z1983">
        <v>1</v>
      </c>
      <c r="AA1983">
        <v>0</v>
      </c>
      <c r="AB1983">
        <v>0</v>
      </c>
      <c r="AC1983">
        <v>0</v>
      </c>
      <c r="AD1983">
        <v>0</v>
      </c>
      <c r="AE1983">
        <v>0</v>
      </c>
      <c r="AF1983">
        <v>0</v>
      </c>
      <c r="AG1983">
        <v>1</v>
      </c>
    </row>
    <row r="1984" spans="1:33" hidden="1" x14ac:dyDescent="0.2">
      <c r="A1984">
        <v>1983</v>
      </c>
      <c r="B1984" t="s">
        <v>572</v>
      </c>
      <c r="C1984" t="s">
        <v>174</v>
      </c>
      <c r="D1984">
        <v>34</v>
      </c>
      <c r="E1984" t="s">
        <v>114</v>
      </c>
      <c r="F1984" t="s">
        <v>53</v>
      </c>
      <c r="G1984" t="s">
        <v>71</v>
      </c>
      <c r="H1984">
        <v>31461</v>
      </c>
      <c r="I1984">
        <v>0</v>
      </c>
      <c r="J1984">
        <v>0</v>
      </c>
      <c r="K1984">
        <v>0</v>
      </c>
      <c r="L1984">
        <v>1</v>
      </c>
      <c r="M1984" t="s">
        <v>36</v>
      </c>
      <c r="N1984" t="s">
        <v>36</v>
      </c>
      <c r="O1984" t="s">
        <v>36</v>
      </c>
      <c r="P1984" t="s">
        <v>442</v>
      </c>
      <c r="Q1984" t="s">
        <v>36</v>
      </c>
      <c r="R1984" t="s">
        <v>36</v>
      </c>
      <c r="S1984" t="s">
        <v>36</v>
      </c>
      <c r="T1984" t="s">
        <v>36</v>
      </c>
      <c r="U1984">
        <v>0</v>
      </c>
      <c r="V1984">
        <v>0</v>
      </c>
      <c r="W1984">
        <v>1</v>
      </c>
      <c r="X1984">
        <v>1</v>
      </c>
      <c r="Y1984">
        <v>0</v>
      </c>
      <c r="Z1984">
        <v>1</v>
      </c>
      <c r="AA1984">
        <v>0</v>
      </c>
      <c r="AB1984">
        <v>0</v>
      </c>
      <c r="AC1984">
        <v>0</v>
      </c>
      <c r="AD1984">
        <v>0</v>
      </c>
      <c r="AE1984">
        <v>0</v>
      </c>
      <c r="AF1984">
        <v>0</v>
      </c>
      <c r="AG1984">
        <v>1</v>
      </c>
    </row>
    <row r="1985" spans="1:33" x14ac:dyDescent="0.2">
      <c r="A1985">
        <v>1984</v>
      </c>
      <c r="B1985" t="s">
        <v>572</v>
      </c>
      <c r="C1985" t="s">
        <v>174</v>
      </c>
      <c r="D1985">
        <v>34</v>
      </c>
      <c r="E1985" t="s">
        <v>114</v>
      </c>
      <c r="F1985" t="s">
        <v>41</v>
      </c>
      <c r="G1985" t="s">
        <v>49</v>
      </c>
      <c r="H1985">
        <v>54201</v>
      </c>
      <c r="I1985">
        <v>1</v>
      </c>
      <c r="J1985">
        <v>1</v>
      </c>
      <c r="K1985">
        <v>1</v>
      </c>
      <c r="L1985">
        <v>0</v>
      </c>
      <c r="M1985" t="s">
        <v>96</v>
      </c>
      <c r="N1985" t="s">
        <v>50</v>
      </c>
      <c r="O1985" t="s">
        <v>52</v>
      </c>
      <c r="P1985" t="s">
        <v>442</v>
      </c>
      <c r="Q1985" t="s">
        <v>65</v>
      </c>
      <c r="R1985" t="s">
        <v>48</v>
      </c>
      <c r="S1985" t="s">
        <v>46</v>
      </c>
      <c r="T1985">
        <v>0</v>
      </c>
      <c r="U1985">
        <v>1</v>
      </c>
      <c r="V1985">
        <v>1</v>
      </c>
      <c r="W1985">
        <v>0</v>
      </c>
      <c r="X1985">
        <v>1</v>
      </c>
      <c r="Y1985">
        <v>0</v>
      </c>
      <c r="Z1985">
        <v>1</v>
      </c>
      <c r="AA1985">
        <v>0</v>
      </c>
      <c r="AB1985">
        <v>1</v>
      </c>
      <c r="AC1985">
        <v>1</v>
      </c>
      <c r="AD1985">
        <v>0</v>
      </c>
      <c r="AE1985">
        <v>1</v>
      </c>
      <c r="AF1985">
        <v>0</v>
      </c>
      <c r="AG1985">
        <v>0</v>
      </c>
    </row>
    <row r="1986" spans="1:33" hidden="1" x14ac:dyDescent="0.2">
      <c r="A1986">
        <v>1985</v>
      </c>
      <c r="B1986" t="s">
        <v>572</v>
      </c>
      <c r="C1986" t="s">
        <v>174</v>
      </c>
      <c r="D1986">
        <v>34</v>
      </c>
      <c r="E1986" t="s">
        <v>114</v>
      </c>
      <c r="F1986" t="s">
        <v>53</v>
      </c>
      <c r="G1986" t="s">
        <v>66</v>
      </c>
      <c r="H1986">
        <v>33830</v>
      </c>
      <c r="I1986">
        <v>1</v>
      </c>
      <c r="J1986">
        <v>0</v>
      </c>
      <c r="K1986">
        <v>0</v>
      </c>
      <c r="L1986">
        <v>0</v>
      </c>
      <c r="M1986" t="s">
        <v>36</v>
      </c>
      <c r="N1986" t="s">
        <v>36</v>
      </c>
      <c r="O1986" t="s">
        <v>36</v>
      </c>
      <c r="P1986" t="s">
        <v>442</v>
      </c>
      <c r="Q1986" t="s">
        <v>36</v>
      </c>
      <c r="R1986" t="s">
        <v>36</v>
      </c>
      <c r="S1986" t="s">
        <v>36</v>
      </c>
      <c r="T1986" t="s">
        <v>36</v>
      </c>
      <c r="U1986">
        <v>1</v>
      </c>
      <c r="V1986">
        <v>1</v>
      </c>
      <c r="W1986">
        <v>0</v>
      </c>
      <c r="X1986">
        <v>1</v>
      </c>
      <c r="Y1986">
        <v>0</v>
      </c>
      <c r="Z1986">
        <v>1</v>
      </c>
      <c r="AA1986">
        <v>0</v>
      </c>
      <c r="AB1986">
        <v>1</v>
      </c>
      <c r="AC1986">
        <v>1</v>
      </c>
      <c r="AD1986">
        <v>0</v>
      </c>
      <c r="AE1986">
        <v>1</v>
      </c>
      <c r="AF1986">
        <v>0</v>
      </c>
      <c r="AG1986">
        <v>0</v>
      </c>
    </row>
    <row r="1987" spans="1:33" x14ac:dyDescent="0.2">
      <c r="A1987">
        <v>1986</v>
      </c>
      <c r="B1987" t="s">
        <v>572</v>
      </c>
      <c r="C1987" t="s">
        <v>174</v>
      </c>
      <c r="D1987">
        <v>34</v>
      </c>
      <c r="E1987" t="s">
        <v>114</v>
      </c>
      <c r="F1987" t="s">
        <v>41</v>
      </c>
      <c r="G1987" t="s">
        <v>42</v>
      </c>
      <c r="H1987">
        <v>28087</v>
      </c>
      <c r="I1987">
        <v>1</v>
      </c>
      <c r="J1987">
        <v>1</v>
      </c>
      <c r="K1987">
        <v>1</v>
      </c>
      <c r="L1987">
        <v>0</v>
      </c>
      <c r="M1987" t="s">
        <v>45</v>
      </c>
      <c r="N1987" t="s">
        <v>82</v>
      </c>
      <c r="O1987" t="s">
        <v>44</v>
      </c>
      <c r="P1987" t="s">
        <v>442</v>
      </c>
      <c r="Q1987" t="s">
        <v>48</v>
      </c>
      <c r="R1987" t="s">
        <v>65</v>
      </c>
      <c r="S1987" t="s">
        <v>47</v>
      </c>
      <c r="T1987">
        <v>0</v>
      </c>
      <c r="U1987">
        <v>1</v>
      </c>
      <c r="V1987">
        <v>1</v>
      </c>
      <c r="W1987">
        <v>1</v>
      </c>
      <c r="X1987">
        <v>0</v>
      </c>
      <c r="Y1987">
        <v>0</v>
      </c>
      <c r="Z1987">
        <v>1</v>
      </c>
      <c r="AA1987">
        <v>0</v>
      </c>
      <c r="AB1987">
        <v>1</v>
      </c>
      <c r="AC1987">
        <v>1</v>
      </c>
      <c r="AD1987">
        <v>1</v>
      </c>
      <c r="AE1987">
        <v>0</v>
      </c>
      <c r="AF1987">
        <v>0</v>
      </c>
      <c r="AG1987">
        <v>0</v>
      </c>
    </row>
    <row r="1988" spans="1:33" hidden="1" x14ac:dyDescent="0.2">
      <c r="A1988">
        <v>1987</v>
      </c>
      <c r="B1988" t="s">
        <v>572</v>
      </c>
      <c r="C1988" t="s">
        <v>174</v>
      </c>
      <c r="D1988">
        <v>34</v>
      </c>
      <c r="E1988" t="s">
        <v>114</v>
      </c>
      <c r="F1988" t="s">
        <v>53</v>
      </c>
      <c r="G1988" t="s">
        <v>54</v>
      </c>
      <c r="H1988">
        <v>30029</v>
      </c>
      <c r="I1988">
        <v>0</v>
      </c>
      <c r="J1988">
        <v>0</v>
      </c>
      <c r="K1988">
        <v>0</v>
      </c>
      <c r="L1988">
        <v>1</v>
      </c>
      <c r="M1988" t="s">
        <v>36</v>
      </c>
      <c r="N1988" t="s">
        <v>36</v>
      </c>
      <c r="O1988" t="s">
        <v>36</v>
      </c>
      <c r="P1988" t="s">
        <v>442</v>
      </c>
      <c r="Q1988" t="s">
        <v>36</v>
      </c>
      <c r="R1988" t="s">
        <v>36</v>
      </c>
      <c r="S1988" t="s">
        <v>36</v>
      </c>
      <c r="T1988" t="s">
        <v>36</v>
      </c>
      <c r="U1988">
        <v>1</v>
      </c>
      <c r="V1988">
        <v>1</v>
      </c>
      <c r="W1988">
        <v>1</v>
      </c>
      <c r="X1988">
        <v>0</v>
      </c>
      <c r="Y1988">
        <v>0</v>
      </c>
      <c r="Z1988">
        <v>1</v>
      </c>
      <c r="AA1988">
        <v>0</v>
      </c>
      <c r="AB1988">
        <v>1</v>
      </c>
      <c r="AC1988">
        <v>1</v>
      </c>
      <c r="AD1988">
        <v>1</v>
      </c>
      <c r="AE1988">
        <v>0</v>
      </c>
      <c r="AF1988">
        <v>0</v>
      </c>
      <c r="AG1988">
        <v>0</v>
      </c>
    </row>
    <row r="1989" spans="1:33" hidden="1" x14ac:dyDescent="0.2">
      <c r="A1989">
        <v>1988</v>
      </c>
      <c r="B1989" t="s">
        <v>572</v>
      </c>
      <c r="C1989" t="s">
        <v>174</v>
      </c>
      <c r="D1989">
        <v>34</v>
      </c>
      <c r="E1989" t="s">
        <v>114</v>
      </c>
      <c r="F1989" t="s">
        <v>77</v>
      </c>
      <c r="G1989" t="s">
        <v>36</v>
      </c>
      <c r="H1989">
        <v>131511</v>
      </c>
      <c r="I1989" t="s">
        <v>573</v>
      </c>
      <c r="J1989" t="s">
        <v>112</v>
      </c>
      <c r="K1989" t="s">
        <v>574</v>
      </c>
      <c r="L1989" t="s">
        <v>36</v>
      </c>
      <c r="M1989" t="s">
        <v>36</v>
      </c>
      <c r="N1989" t="s">
        <v>36</v>
      </c>
      <c r="O1989" t="s">
        <v>36</v>
      </c>
      <c r="P1989" t="s">
        <v>442</v>
      </c>
      <c r="Q1989" t="s">
        <v>36</v>
      </c>
      <c r="R1989" t="s">
        <v>36</v>
      </c>
      <c r="S1989" t="s">
        <v>36</v>
      </c>
      <c r="T1989" t="s">
        <v>36</v>
      </c>
      <c r="U1989" t="s">
        <v>36</v>
      </c>
      <c r="V1989" t="s">
        <v>36</v>
      </c>
      <c r="W1989" t="s">
        <v>36</v>
      </c>
      <c r="X1989" t="s">
        <v>36</v>
      </c>
      <c r="Y1989" t="s">
        <v>36</v>
      </c>
      <c r="Z1989" t="s">
        <v>36</v>
      </c>
      <c r="AA1989" t="s">
        <v>36</v>
      </c>
      <c r="AB1989" t="s">
        <v>36</v>
      </c>
      <c r="AC1989" t="s">
        <v>36</v>
      </c>
      <c r="AD1989" t="s">
        <v>36</v>
      </c>
      <c r="AE1989" t="s">
        <v>36</v>
      </c>
      <c r="AF1989" t="s">
        <v>36</v>
      </c>
      <c r="AG1989" t="s">
        <v>36</v>
      </c>
    </row>
    <row r="1990" spans="1:33" hidden="1" x14ac:dyDescent="0.2">
      <c r="A1990">
        <v>1989</v>
      </c>
      <c r="B1990" t="s">
        <v>575</v>
      </c>
      <c r="C1990" t="s">
        <v>188</v>
      </c>
      <c r="D1990">
        <v>40</v>
      </c>
      <c r="E1990" t="s">
        <v>114</v>
      </c>
      <c r="F1990" t="s">
        <v>35</v>
      </c>
      <c r="G1990" t="s">
        <v>36</v>
      </c>
      <c r="H1990">
        <v>42851</v>
      </c>
      <c r="I1990" t="s">
        <v>36</v>
      </c>
      <c r="J1990" t="s">
        <v>36</v>
      </c>
      <c r="K1990" t="s">
        <v>36</v>
      </c>
      <c r="L1990" t="s">
        <v>36</v>
      </c>
      <c r="M1990" t="s">
        <v>36</v>
      </c>
      <c r="N1990" t="s">
        <v>36</v>
      </c>
      <c r="O1990" t="s">
        <v>36</v>
      </c>
      <c r="P1990" t="s">
        <v>442</v>
      </c>
      <c r="Q1990" t="s">
        <v>36</v>
      </c>
      <c r="R1990" t="s">
        <v>36</v>
      </c>
      <c r="S1990" t="s">
        <v>36</v>
      </c>
      <c r="T1990" t="s">
        <v>36</v>
      </c>
      <c r="U1990" t="s">
        <v>36</v>
      </c>
      <c r="V1990" t="s">
        <v>36</v>
      </c>
      <c r="W1990" t="s">
        <v>36</v>
      </c>
      <c r="X1990" t="s">
        <v>36</v>
      </c>
      <c r="Y1990" t="s">
        <v>36</v>
      </c>
      <c r="Z1990" t="s">
        <v>36</v>
      </c>
      <c r="AA1990" t="s">
        <v>36</v>
      </c>
      <c r="AB1990" t="s">
        <v>36</v>
      </c>
      <c r="AC1990" t="s">
        <v>36</v>
      </c>
      <c r="AD1990" t="s">
        <v>36</v>
      </c>
      <c r="AE1990" t="s">
        <v>36</v>
      </c>
      <c r="AF1990" t="s">
        <v>36</v>
      </c>
      <c r="AG1990" t="s">
        <v>36</v>
      </c>
    </row>
    <row r="1991" spans="1:33" hidden="1" x14ac:dyDescent="0.2">
      <c r="A1991">
        <v>1990</v>
      </c>
      <c r="B1991" t="s">
        <v>575</v>
      </c>
      <c r="C1991" t="s">
        <v>188</v>
      </c>
      <c r="D1991">
        <v>40</v>
      </c>
      <c r="E1991" t="s">
        <v>114</v>
      </c>
      <c r="F1991" t="s">
        <v>38</v>
      </c>
      <c r="G1991" t="s">
        <v>40</v>
      </c>
      <c r="H1991">
        <v>56702</v>
      </c>
      <c r="I1991">
        <v>0</v>
      </c>
      <c r="J1991">
        <v>0</v>
      </c>
      <c r="K1991">
        <v>1</v>
      </c>
      <c r="L1991">
        <v>0</v>
      </c>
      <c r="M1991" t="s">
        <v>36</v>
      </c>
      <c r="N1991" t="s">
        <v>36</v>
      </c>
      <c r="O1991" t="s">
        <v>36</v>
      </c>
      <c r="P1991" t="s">
        <v>442</v>
      </c>
      <c r="Q1991" t="s">
        <v>36</v>
      </c>
      <c r="R1991" t="s">
        <v>36</v>
      </c>
      <c r="S1991" t="s">
        <v>36</v>
      </c>
      <c r="T1991" t="s">
        <v>36</v>
      </c>
      <c r="U1991" t="s">
        <v>36</v>
      </c>
      <c r="V1991" t="s">
        <v>36</v>
      </c>
      <c r="W1991" t="s">
        <v>36</v>
      </c>
      <c r="X1991" t="s">
        <v>36</v>
      </c>
      <c r="Y1991" t="s">
        <v>36</v>
      </c>
      <c r="Z1991" t="s">
        <v>36</v>
      </c>
      <c r="AA1991" t="s">
        <v>36</v>
      </c>
      <c r="AB1991" t="s">
        <v>36</v>
      </c>
      <c r="AC1991" t="s">
        <v>36</v>
      </c>
      <c r="AD1991" t="s">
        <v>36</v>
      </c>
      <c r="AE1991" t="s">
        <v>36</v>
      </c>
      <c r="AF1991" t="s">
        <v>36</v>
      </c>
      <c r="AG1991" t="s">
        <v>36</v>
      </c>
    </row>
    <row r="1992" spans="1:33" hidden="1" x14ac:dyDescent="0.2">
      <c r="A1992">
        <v>1991</v>
      </c>
      <c r="B1992" t="s">
        <v>575</v>
      </c>
      <c r="C1992" t="s">
        <v>188</v>
      </c>
      <c r="D1992">
        <v>40</v>
      </c>
      <c r="E1992" t="s">
        <v>114</v>
      </c>
      <c r="F1992" t="s">
        <v>38</v>
      </c>
      <c r="G1992" t="s">
        <v>39</v>
      </c>
      <c r="H1992">
        <v>58060</v>
      </c>
      <c r="I1992">
        <v>0</v>
      </c>
      <c r="J1992">
        <v>1</v>
      </c>
      <c r="K1992">
        <v>0</v>
      </c>
      <c r="L1992">
        <v>0</v>
      </c>
      <c r="M1992" t="s">
        <v>36</v>
      </c>
      <c r="N1992" t="s">
        <v>36</v>
      </c>
      <c r="O1992" t="s">
        <v>36</v>
      </c>
      <c r="P1992" t="s">
        <v>442</v>
      </c>
      <c r="Q1992" t="s">
        <v>36</v>
      </c>
      <c r="R1992" t="s">
        <v>36</v>
      </c>
      <c r="S1992" t="s">
        <v>36</v>
      </c>
      <c r="T1992" t="s">
        <v>36</v>
      </c>
      <c r="U1992" t="s">
        <v>36</v>
      </c>
      <c r="V1992" t="s">
        <v>36</v>
      </c>
      <c r="W1992" t="s">
        <v>36</v>
      </c>
      <c r="X1992" t="s">
        <v>36</v>
      </c>
      <c r="Y1992" t="s">
        <v>36</v>
      </c>
      <c r="Z1992" t="s">
        <v>36</v>
      </c>
      <c r="AA1992" t="s">
        <v>36</v>
      </c>
      <c r="AB1992" t="s">
        <v>36</v>
      </c>
      <c r="AC1992" t="s">
        <v>36</v>
      </c>
      <c r="AD1992" t="s">
        <v>36</v>
      </c>
      <c r="AE1992" t="s">
        <v>36</v>
      </c>
      <c r="AF1992" t="s">
        <v>36</v>
      </c>
      <c r="AG1992" t="s">
        <v>36</v>
      </c>
    </row>
    <row r="1993" spans="1:33" x14ac:dyDescent="0.2">
      <c r="A1993">
        <v>1992</v>
      </c>
      <c r="B1993" t="s">
        <v>575</v>
      </c>
      <c r="C1993" t="s">
        <v>188</v>
      </c>
      <c r="D1993">
        <v>40</v>
      </c>
      <c r="E1993" t="s">
        <v>114</v>
      </c>
      <c r="F1993" t="s">
        <v>41</v>
      </c>
      <c r="G1993" t="s">
        <v>67</v>
      </c>
      <c r="H1993">
        <v>235265</v>
      </c>
      <c r="I1993">
        <v>0</v>
      </c>
      <c r="J1993">
        <v>1</v>
      </c>
      <c r="K1993">
        <v>0</v>
      </c>
      <c r="L1993">
        <v>0</v>
      </c>
      <c r="M1993" t="s">
        <v>86</v>
      </c>
      <c r="N1993" t="s">
        <v>68</v>
      </c>
      <c r="O1993" t="s">
        <v>70</v>
      </c>
      <c r="P1993" t="s">
        <v>442</v>
      </c>
      <c r="Q1993" t="s">
        <v>46</v>
      </c>
      <c r="R1993" t="s">
        <v>65</v>
      </c>
      <c r="S1993" t="s">
        <v>47</v>
      </c>
      <c r="T1993">
        <v>0</v>
      </c>
      <c r="U1993">
        <v>1</v>
      </c>
      <c r="V1993">
        <v>0</v>
      </c>
      <c r="W1993">
        <v>1</v>
      </c>
      <c r="X1993">
        <v>1</v>
      </c>
      <c r="Y1993">
        <v>0</v>
      </c>
      <c r="Z1993">
        <v>1</v>
      </c>
      <c r="AA1993">
        <v>0</v>
      </c>
      <c r="AB1993">
        <v>1</v>
      </c>
      <c r="AC1993">
        <v>0</v>
      </c>
      <c r="AD1993">
        <v>0</v>
      </c>
      <c r="AE1993">
        <v>0</v>
      </c>
      <c r="AF1993">
        <v>0</v>
      </c>
      <c r="AG1993">
        <v>0</v>
      </c>
    </row>
    <row r="1994" spans="1:33" x14ac:dyDescent="0.2">
      <c r="A1994">
        <v>1993</v>
      </c>
      <c r="B1994" t="s">
        <v>575</v>
      </c>
      <c r="C1994" t="s">
        <v>188</v>
      </c>
      <c r="D1994">
        <v>40</v>
      </c>
      <c r="E1994" t="s">
        <v>114</v>
      </c>
      <c r="F1994" t="s">
        <v>41</v>
      </c>
      <c r="G1994" t="s">
        <v>42</v>
      </c>
      <c r="H1994">
        <v>72552</v>
      </c>
      <c r="I1994">
        <v>1</v>
      </c>
      <c r="J1994">
        <v>1</v>
      </c>
      <c r="K1994">
        <v>1</v>
      </c>
      <c r="L1994">
        <v>0</v>
      </c>
      <c r="M1994" t="s">
        <v>82</v>
      </c>
      <c r="N1994" t="s">
        <v>102</v>
      </c>
      <c r="O1994" t="s">
        <v>44</v>
      </c>
      <c r="P1994" t="s">
        <v>442</v>
      </c>
      <c r="Q1994" t="s">
        <v>65</v>
      </c>
      <c r="R1994" t="s">
        <v>59</v>
      </c>
      <c r="S1994" t="s">
        <v>47</v>
      </c>
      <c r="T1994">
        <v>0</v>
      </c>
      <c r="U1994">
        <v>1</v>
      </c>
      <c r="V1994">
        <v>0</v>
      </c>
      <c r="W1994">
        <v>1</v>
      </c>
      <c r="X1994">
        <v>0</v>
      </c>
      <c r="Y1994">
        <v>0</v>
      </c>
      <c r="Z1994">
        <v>1</v>
      </c>
      <c r="AA1994">
        <v>0</v>
      </c>
      <c r="AB1994">
        <v>1</v>
      </c>
      <c r="AC1994">
        <v>0</v>
      </c>
      <c r="AD1994">
        <v>1</v>
      </c>
      <c r="AE1994">
        <v>0</v>
      </c>
      <c r="AF1994">
        <v>0</v>
      </c>
      <c r="AG1994">
        <v>0</v>
      </c>
    </row>
    <row r="1995" spans="1:33" hidden="1" x14ac:dyDescent="0.2">
      <c r="A1995">
        <v>1994</v>
      </c>
      <c r="B1995" t="s">
        <v>575</v>
      </c>
      <c r="C1995" t="s">
        <v>188</v>
      </c>
      <c r="D1995">
        <v>40</v>
      </c>
      <c r="E1995" t="s">
        <v>114</v>
      </c>
      <c r="F1995" t="s">
        <v>53</v>
      </c>
      <c r="G1995" t="s">
        <v>71</v>
      </c>
      <c r="H1995">
        <v>14094</v>
      </c>
      <c r="I1995">
        <v>0</v>
      </c>
      <c r="J1995">
        <v>1</v>
      </c>
      <c r="K1995">
        <v>0</v>
      </c>
      <c r="L1995">
        <v>0</v>
      </c>
      <c r="M1995" t="s">
        <v>36</v>
      </c>
      <c r="N1995" t="s">
        <v>36</v>
      </c>
      <c r="O1995" t="s">
        <v>36</v>
      </c>
      <c r="P1995" t="s">
        <v>442</v>
      </c>
      <c r="Q1995" t="s">
        <v>36</v>
      </c>
      <c r="R1995" t="s">
        <v>36</v>
      </c>
      <c r="S1995" t="s">
        <v>36</v>
      </c>
      <c r="T1995" t="s">
        <v>36</v>
      </c>
      <c r="U1995">
        <v>1</v>
      </c>
      <c r="V1995">
        <v>0</v>
      </c>
      <c r="W1995">
        <v>1</v>
      </c>
      <c r="X1995">
        <v>0</v>
      </c>
      <c r="Y1995">
        <v>0</v>
      </c>
      <c r="Z1995">
        <v>1</v>
      </c>
      <c r="AA1995">
        <v>0</v>
      </c>
      <c r="AB1995">
        <v>1</v>
      </c>
      <c r="AC1995">
        <v>0</v>
      </c>
      <c r="AD1995">
        <v>1</v>
      </c>
      <c r="AE1995">
        <v>0</v>
      </c>
      <c r="AF1995">
        <v>0</v>
      </c>
      <c r="AG1995">
        <v>0</v>
      </c>
    </row>
    <row r="1996" spans="1:33" x14ac:dyDescent="0.2">
      <c r="A1996">
        <v>1995</v>
      </c>
      <c r="B1996" t="s">
        <v>575</v>
      </c>
      <c r="C1996" t="s">
        <v>188</v>
      </c>
      <c r="D1996">
        <v>40</v>
      </c>
      <c r="E1996" t="s">
        <v>114</v>
      </c>
      <c r="F1996" t="s">
        <v>41</v>
      </c>
      <c r="G1996" t="s">
        <v>61</v>
      </c>
      <c r="H1996">
        <v>9770</v>
      </c>
      <c r="I1996">
        <v>0</v>
      </c>
      <c r="J1996">
        <v>0</v>
      </c>
      <c r="K1996">
        <v>1</v>
      </c>
      <c r="L1996">
        <v>0</v>
      </c>
      <c r="M1996" t="s">
        <v>62</v>
      </c>
      <c r="N1996" t="s">
        <v>63</v>
      </c>
      <c r="O1996" t="s">
        <v>87</v>
      </c>
      <c r="P1996" t="s">
        <v>442</v>
      </c>
      <c r="Q1996" t="s">
        <v>65</v>
      </c>
      <c r="R1996" t="s">
        <v>46</v>
      </c>
      <c r="S1996" t="s">
        <v>47</v>
      </c>
      <c r="T1996">
        <v>0</v>
      </c>
      <c r="U1996">
        <v>1</v>
      </c>
      <c r="V1996">
        <v>0</v>
      </c>
      <c r="W1996">
        <v>1</v>
      </c>
      <c r="X1996">
        <v>1</v>
      </c>
      <c r="Y1996">
        <v>0</v>
      </c>
      <c r="Z1996">
        <v>1</v>
      </c>
      <c r="AA1996">
        <v>0</v>
      </c>
      <c r="AB1996">
        <v>0</v>
      </c>
      <c r="AC1996">
        <v>0</v>
      </c>
      <c r="AD1996">
        <v>1</v>
      </c>
      <c r="AE1996">
        <v>0</v>
      </c>
      <c r="AF1996">
        <v>0</v>
      </c>
      <c r="AG1996">
        <v>0</v>
      </c>
    </row>
    <row r="1997" spans="1:33" x14ac:dyDescent="0.2">
      <c r="A1997">
        <v>1996</v>
      </c>
      <c r="B1997" t="s">
        <v>575</v>
      </c>
      <c r="C1997" t="s">
        <v>188</v>
      </c>
      <c r="D1997">
        <v>40</v>
      </c>
      <c r="E1997" t="s">
        <v>114</v>
      </c>
      <c r="F1997" t="s">
        <v>41</v>
      </c>
      <c r="G1997" t="s">
        <v>49</v>
      </c>
      <c r="H1997">
        <v>9526</v>
      </c>
      <c r="I1997">
        <v>1</v>
      </c>
      <c r="J1997">
        <v>0</v>
      </c>
      <c r="K1997">
        <v>0</v>
      </c>
      <c r="L1997">
        <v>0</v>
      </c>
      <c r="M1997" t="s">
        <v>96</v>
      </c>
      <c r="N1997" t="s">
        <v>50</v>
      </c>
      <c r="O1997" t="s">
        <v>95</v>
      </c>
      <c r="P1997" t="s">
        <v>442</v>
      </c>
      <c r="Q1997" t="s">
        <v>65</v>
      </c>
      <c r="R1997" t="s">
        <v>48</v>
      </c>
      <c r="S1997" t="s">
        <v>60</v>
      </c>
      <c r="T1997">
        <v>1</v>
      </c>
      <c r="U1997">
        <v>1</v>
      </c>
      <c r="V1997">
        <v>1</v>
      </c>
      <c r="W1997">
        <v>0</v>
      </c>
      <c r="X1997">
        <v>0</v>
      </c>
      <c r="Y1997">
        <v>0</v>
      </c>
      <c r="Z1997">
        <v>1</v>
      </c>
      <c r="AA1997">
        <v>0</v>
      </c>
      <c r="AB1997">
        <v>1</v>
      </c>
      <c r="AC1997">
        <v>0</v>
      </c>
      <c r="AD1997">
        <v>0</v>
      </c>
      <c r="AE1997">
        <v>0</v>
      </c>
      <c r="AF1997">
        <v>0</v>
      </c>
      <c r="AG1997">
        <v>0</v>
      </c>
    </row>
    <row r="1998" spans="1:33" hidden="1" x14ac:dyDescent="0.2">
      <c r="A1998">
        <v>1997</v>
      </c>
      <c r="B1998" t="s">
        <v>575</v>
      </c>
      <c r="C1998" t="s">
        <v>188</v>
      </c>
      <c r="D1998">
        <v>40</v>
      </c>
      <c r="E1998" t="s">
        <v>114</v>
      </c>
      <c r="F1998" t="s">
        <v>53</v>
      </c>
      <c r="G1998" t="s">
        <v>66</v>
      </c>
      <c r="H1998">
        <v>9655</v>
      </c>
      <c r="I1998">
        <v>0</v>
      </c>
      <c r="J1998">
        <v>1</v>
      </c>
      <c r="K1998">
        <v>0</v>
      </c>
      <c r="L1998">
        <v>0</v>
      </c>
      <c r="M1998" t="s">
        <v>36</v>
      </c>
      <c r="N1998" t="s">
        <v>36</v>
      </c>
      <c r="O1998" t="s">
        <v>36</v>
      </c>
      <c r="P1998" t="s">
        <v>442</v>
      </c>
      <c r="Q1998" t="s">
        <v>36</v>
      </c>
      <c r="R1998" t="s">
        <v>36</v>
      </c>
      <c r="S1998" t="s">
        <v>36</v>
      </c>
      <c r="T1998" t="s">
        <v>36</v>
      </c>
      <c r="U1998">
        <v>1</v>
      </c>
      <c r="V1998">
        <v>1</v>
      </c>
      <c r="W1998">
        <v>0</v>
      </c>
      <c r="X1998">
        <v>0</v>
      </c>
      <c r="Y1998">
        <v>0</v>
      </c>
      <c r="Z1998">
        <v>1</v>
      </c>
      <c r="AA1998">
        <v>0</v>
      </c>
      <c r="AB1998">
        <v>1</v>
      </c>
      <c r="AC1998">
        <v>0</v>
      </c>
      <c r="AD1998">
        <v>0</v>
      </c>
      <c r="AE1998">
        <v>0</v>
      </c>
      <c r="AF1998">
        <v>0</v>
      </c>
      <c r="AG1998">
        <v>0</v>
      </c>
    </row>
    <row r="1999" spans="1:33" x14ac:dyDescent="0.2">
      <c r="A1999">
        <v>1998</v>
      </c>
      <c r="B1999" t="s">
        <v>575</v>
      </c>
      <c r="C1999" t="s">
        <v>188</v>
      </c>
      <c r="D1999">
        <v>40</v>
      </c>
      <c r="E1999" t="s">
        <v>114</v>
      </c>
      <c r="F1999" t="s">
        <v>41</v>
      </c>
      <c r="G1999" t="s">
        <v>72</v>
      </c>
      <c r="H1999">
        <v>18617</v>
      </c>
      <c r="I1999">
        <v>0</v>
      </c>
      <c r="J1999">
        <v>1</v>
      </c>
      <c r="K1999">
        <v>0</v>
      </c>
      <c r="L1999">
        <v>0</v>
      </c>
      <c r="M1999" t="s">
        <v>93</v>
      </c>
      <c r="N1999" t="s">
        <v>115</v>
      </c>
      <c r="O1999" t="s">
        <v>75</v>
      </c>
      <c r="P1999" t="s">
        <v>442</v>
      </c>
      <c r="Q1999" t="s">
        <v>59</v>
      </c>
      <c r="R1999" t="s">
        <v>65</v>
      </c>
      <c r="S1999" t="s">
        <v>46</v>
      </c>
      <c r="T1999">
        <v>0</v>
      </c>
      <c r="U1999">
        <v>1</v>
      </c>
      <c r="V1999">
        <v>0</v>
      </c>
      <c r="W1999">
        <v>0</v>
      </c>
      <c r="X1999">
        <v>1</v>
      </c>
      <c r="Y1999">
        <v>0</v>
      </c>
      <c r="Z1999">
        <v>1</v>
      </c>
      <c r="AA1999">
        <v>0</v>
      </c>
      <c r="AB1999">
        <v>1</v>
      </c>
      <c r="AC1999">
        <v>0</v>
      </c>
      <c r="AD1999">
        <v>0</v>
      </c>
      <c r="AE1999">
        <v>0</v>
      </c>
      <c r="AF1999">
        <v>0</v>
      </c>
      <c r="AG1999">
        <v>0</v>
      </c>
    </row>
    <row r="2000" spans="1:33" hidden="1" x14ac:dyDescent="0.2">
      <c r="A2000">
        <v>1999</v>
      </c>
      <c r="B2000" t="s">
        <v>575</v>
      </c>
      <c r="C2000" t="s">
        <v>188</v>
      </c>
      <c r="D2000">
        <v>40</v>
      </c>
      <c r="E2000" t="s">
        <v>114</v>
      </c>
      <c r="F2000" t="s">
        <v>53</v>
      </c>
      <c r="G2000" t="s">
        <v>76</v>
      </c>
      <c r="H2000">
        <v>44457</v>
      </c>
      <c r="I2000">
        <v>1</v>
      </c>
      <c r="J2000">
        <v>0</v>
      </c>
      <c r="K2000">
        <v>0</v>
      </c>
      <c r="L2000">
        <v>0</v>
      </c>
      <c r="M2000" t="s">
        <v>36</v>
      </c>
      <c r="N2000" t="s">
        <v>36</v>
      </c>
      <c r="O2000" t="s">
        <v>36</v>
      </c>
      <c r="P2000" t="s">
        <v>442</v>
      </c>
      <c r="Q2000" t="s">
        <v>36</v>
      </c>
      <c r="R2000" t="s">
        <v>36</v>
      </c>
      <c r="S2000" t="s">
        <v>36</v>
      </c>
      <c r="T2000" t="s">
        <v>36</v>
      </c>
      <c r="U2000">
        <v>1</v>
      </c>
      <c r="V2000">
        <v>0</v>
      </c>
      <c r="W2000">
        <v>0</v>
      </c>
      <c r="X2000">
        <v>1</v>
      </c>
      <c r="Y2000">
        <v>0</v>
      </c>
      <c r="Z2000">
        <v>1</v>
      </c>
      <c r="AA2000">
        <v>0</v>
      </c>
      <c r="AB2000">
        <v>1</v>
      </c>
      <c r="AC2000">
        <v>0</v>
      </c>
      <c r="AD2000">
        <v>0</v>
      </c>
      <c r="AE2000">
        <v>0</v>
      </c>
      <c r="AF2000">
        <v>0</v>
      </c>
      <c r="AG2000">
        <v>0</v>
      </c>
    </row>
    <row r="2001" spans="1:33" x14ac:dyDescent="0.2">
      <c r="A2001">
        <v>2000</v>
      </c>
      <c r="B2001" t="s">
        <v>575</v>
      </c>
      <c r="C2001" t="s">
        <v>188</v>
      </c>
      <c r="D2001">
        <v>40</v>
      </c>
      <c r="E2001" t="s">
        <v>114</v>
      </c>
      <c r="F2001" t="s">
        <v>41</v>
      </c>
      <c r="G2001" t="s">
        <v>55</v>
      </c>
      <c r="H2001">
        <v>91577</v>
      </c>
      <c r="I2001">
        <v>1</v>
      </c>
      <c r="J2001">
        <v>0</v>
      </c>
      <c r="K2001">
        <v>0</v>
      </c>
      <c r="L2001">
        <v>0</v>
      </c>
      <c r="M2001" t="s">
        <v>84</v>
      </c>
      <c r="N2001" t="s">
        <v>85</v>
      </c>
      <c r="O2001" t="s">
        <v>94</v>
      </c>
      <c r="P2001" t="s">
        <v>442</v>
      </c>
      <c r="Q2001" t="s">
        <v>46</v>
      </c>
      <c r="R2001" t="s">
        <v>65</v>
      </c>
      <c r="S2001" t="s">
        <v>47</v>
      </c>
      <c r="T2001">
        <v>0</v>
      </c>
      <c r="U2001">
        <v>1</v>
      </c>
      <c r="V2001">
        <v>0</v>
      </c>
      <c r="W2001">
        <v>1</v>
      </c>
      <c r="X2001">
        <v>1</v>
      </c>
      <c r="Y2001">
        <v>0</v>
      </c>
      <c r="Z2001">
        <v>1</v>
      </c>
      <c r="AA2001">
        <v>0</v>
      </c>
      <c r="AB2001">
        <v>0</v>
      </c>
      <c r="AC2001">
        <v>0</v>
      </c>
      <c r="AD2001">
        <v>0</v>
      </c>
      <c r="AE2001">
        <v>1</v>
      </c>
      <c r="AF2001">
        <v>0</v>
      </c>
      <c r="AG2001">
        <v>0</v>
      </c>
    </row>
    <row r="2002" spans="1:33" hidden="1" x14ac:dyDescent="0.2">
      <c r="A2002">
        <v>2001</v>
      </c>
      <c r="B2002" t="s">
        <v>575</v>
      </c>
      <c r="C2002" t="s">
        <v>188</v>
      </c>
      <c r="D2002">
        <v>40</v>
      </c>
      <c r="E2002" t="s">
        <v>114</v>
      </c>
      <c r="F2002" t="s">
        <v>53</v>
      </c>
      <c r="G2002" t="s">
        <v>54</v>
      </c>
      <c r="H2002">
        <v>29877</v>
      </c>
      <c r="I2002">
        <v>0</v>
      </c>
      <c r="J2002">
        <v>1</v>
      </c>
      <c r="K2002">
        <v>0</v>
      </c>
      <c r="L2002">
        <v>0</v>
      </c>
      <c r="M2002" t="s">
        <v>36</v>
      </c>
      <c r="N2002" t="s">
        <v>36</v>
      </c>
      <c r="O2002" t="s">
        <v>36</v>
      </c>
      <c r="P2002" t="s">
        <v>442</v>
      </c>
      <c r="Q2002" t="s">
        <v>36</v>
      </c>
      <c r="R2002" t="s">
        <v>36</v>
      </c>
      <c r="S2002" t="s">
        <v>36</v>
      </c>
      <c r="T2002" t="s">
        <v>36</v>
      </c>
      <c r="U2002">
        <v>1</v>
      </c>
      <c r="V2002">
        <v>0</v>
      </c>
      <c r="W2002">
        <v>1</v>
      </c>
      <c r="X2002">
        <v>1</v>
      </c>
      <c r="Y2002">
        <v>0</v>
      </c>
      <c r="Z2002">
        <v>1</v>
      </c>
      <c r="AA2002">
        <v>0</v>
      </c>
      <c r="AB2002">
        <v>0</v>
      </c>
      <c r="AC2002">
        <v>0</v>
      </c>
      <c r="AD2002">
        <v>0</v>
      </c>
      <c r="AE2002">
        <v>1</v>
      </c>
      <c r="AF2002">
        <v>0</v>
      </c>
      <c r="AG2002">
        <v>0</v>
      </c>
    </row>
    <row r="2003" spans="1:33" hidden="1" x14ac:dyDescent="0.2">
      <c r="A2003">
        <v>2002</v>
      </c>
      <c r="B2003" t="s">
        <v>575</v>
      </c>
      <c r="C2003" t="s">
        <v>188</v>
      </c>
      <c r="D2003">
        <v>40</v>
      </c>
      <c r="E2003" t="s">
        <v>114</v>
      </c>
      <c r="F2003" t="s">
        <v>77</v>
      </c>
      <c r="G2003" t="s">
        <v>36</v>
      </c>
      <c r="H2003">
        <v>146257</v>
      </c>
      <c r="I2003" t="s">
        <v>576</v>
      </c>
      <c r="J2003" t="s">
        <v>190</v>
      </c>
      <c r="K2003" t="s">
        <v>191</v>
      </c>
      <c r="L2003" t="s">
        <v>36</v>
      </c>
      <c r="M2003" t="s">
        <v>36</v>
      </c>
      <c r="N2003" t="s">
        <v>36</v>
      </c>
      <c r="O2003" t="s">
        <v>36</v>
      </c>
      <c r="P2003" t="s">
        <v>442</v>
      </c>
      <c r="Q2003" t="s">
        <v>36</v>
      </c>
      <c r="R2003" t="s">
        <v>36</v>
      </c>
      <c r="S2003" t="s">
        <v>36</v>
      </c>
      <c r="T2003" t="s">
        <v>36</v>
      </c>
      <c r="U2003" t="s">
        <v>36</v>
      </c>
      <c r="V2003" t="s">
        <v>36</v>
      </c>
      <c r="W2003" t="s">
        <v>36</v>
      </c>
      <c r="X2003" t="s">
        <v>36</v>
      </c>
      <c r="Y2003" t="s">
        <v>36</v>
      </c>
      <c r="Z2003" t="s">
        <v>36</v>
      </c>
      <c r="AA2003" t="s">
        <v>36</v>
      </c>
      <c r="AB2003" t="s">
        <v>36</v>
      </c>
      <c r="AC2003" t="s">
        <v>36</v>
      </c>
      <c r="AD2003" t="s">
        <v>36</v>
      </c>
      <c r="AE2003" t="s">
        <v>36</v>
      </c>
      <c r="AF2003" t="s">
        <v>36</v>
      </c>
      <c r="AG2003" t="s">
        <v>36</v>
      </c>
    </row>
    <row r="2004" spans="1:33" hidden="1" x14ac:dyDescent="0.2">
      <c r="A2004">
        <v>2003</v>
      </c>
      <c r="B2004" t="s">
        <v>577</v>
      </c>
      <c r="C2004" t="s">
        <v>108</v>
      </c>
      <c r="D2004">
        <v>31</v>
      </c>
      <c r="E2004" t="s">
        <v>34</v>
      </c>
      <c r="F2004" t="s">
        <v>35</v>
      </c>
      <c r="G2004" t="s">
        <v>36</v>
      </c>
      <c r="H2004">
        <v>31531</v>
      </c>
      <c r="I2004" t="s">
        <v>36</v>
      </c>
      <c r="J2004" t="s">
        <v>36</v>
      </c>
      <c r="K2004" t="s">
        <v>36</v>
      </c>
      <c r="L2004" t="s">
        <v>36</v>
      </c>
      <c r="M2004" t="s">
        <v>36</v>
      </c>
      <c r="N2004" t="s">
        <v>36</v>
      </c>
      <c r="O2004" t="s">
        <v>36</v>
      </c>
      <c r="P2004" t="s">
        <v>442</v>
      </c>
      <c r="Q2004" t="s">
        <v>36</v>
      </c>
      <c r="R2004" t="s">
        <v>36</v>
      </c>
      <c r="S2004" t="s">
        <v>36</v>
      </c>
      <c r="T2004" t="s">
        <v>36</v>
      </c>
      <c r="U2004" t="s">
        <v>36</v>
      </c>
      <c r="V2004" t="s">
        <v>36</v>
      </c>
      <c r="W2004" t="s">
        <v>36</v>
      </c>
      <c r="X2004" t="s">
        <v>36</v>
      </c>
      <c r="Y2004" t="s">
        <v>36</v>
      </c>
      <c r="Z2004" t="s">
        <v>36</v>
      </c>
      <c r="AA2004" t="s">
        <v>36</v>
      </c>
      <c r="AB2004" t="s">
        <v>36</v>
      </c>
      <c r="AC2004" t="s">
        <v>36</v>
      </c>
      <c r="AD2004" t="s">
        <v>36</v>
      </c>
      <c r="AE2004" t="s">
        <v>36</v>
      </c>
      <c r="AF2004" t="s">
        <v>36</v>
      </c>
      <c r="AG2004" t="s">
        <v>36</v>
      </c>
    </row>
    <row r="2005" spans="1:33" hidden="1" x14ac:dyDescent="0.2">
      <c r="A2005">
        <v>2004</v>
      </c>
      <c r="B2005" t="s">
        <v>577</v>
      </c>
      <c r="C2005" t="s">
        <v>108</v>
      </c>
      <c r="D2005">
        <v>31</v>
      </c>
      <c r="E2005" t="s">
        <v>34</v>
      </c>
      <c r="F2005" t="s">
        <v>38</v>
      </c>
      <c r="G2005" t="s">
        <v>39</v>
      </c>
      <c r="H2005">
        <v>59373</v>
      </c>
      <c r="I2005">
        <v>0</v>
      </c>
      <c r="J2005">
        <v>0</v>
      </c>
      <c r="K2005">
        <v>0</v>
      </c>
      <c r="L2005">
        <v>1</v>
      </c>
      <c r="M2005" t="s">
        <v>36</v>
      </c>
      <c r="N2005" t="s">
        <v>36</v>
      </c>
      <c r="O2005" t="s">
        <v>36</v>
      </c>
      <c r="P2005" t="s">
        <v>442</v>
      </c>
      <c r="Q2005" t="s">
        <v>36</v>
      </c>
      <c r="R2005" t="s">
        <v>36</v>
      </c>
      <c r="S2005" t="s">
        <v>36</v>
      </c>
      <c r="T2005" t="s">
        <v>36</v>
      </c>
      <c r="U2005" t="s">
        <v>36</v>
      </c>
      <c r="V2005" t="s">
        <v>36</v>
      </c>
      <c r="W2005" t="s">
        <v>36</v>
      </c>
      <c r="X2005" t="s">
        <v>36</v>
      </c>
      <c r="Y2005" t="s">
        <v>36</v>
      </c>
      <c r="Z2005" t="s">
        <v>36</v>
      </c>
      <c r="AA2005" t="s">
        <v>36</v>
      </c>
      <c r="AB2005" t="s">
        <v>36</v>
      </c>
      <c r="AC2005" t="s">
        <v>36</v>
      </c>
      <c r="AD2005" t="s">
        <v>36</v>
      </c>
      <c r="AE2005" t="s">
        <v>36</v>
      </c>
      <c r="AF2005" t="s">
        <v>36</v>
      </c>
      <c r="AG2005" t="s">
        <v>36</v>
      </c>
    </row>
    <row r="2006" spans="1:33" hidden="1" x14ac:dyDescent="0.2">
      <c r="A2006">
        <v>2005</v>
      </c>
      <c r="B2006" t="s">
        <v>577</v>
      </c>
      <c r="C2006" t="s">
        <v>108</v>
      </c>
      <c r="D2006">
        <v>31</v>
      </c>
      <c r="E2006" t="s">
        <v>34</v>
      </c>
      <c r="F2006" t="s">
        <v>38</v>
      </c>
      <c r="G2006" t="s">
        <v>40</v>
      </c>
      <c r="H2006">
        <v>58597</v>
      </c>
      <c r="I2006">
        <v>0</v>
      </c>
      <c r="J2006">
        <v>0</v>
      </c>
      <c r="K2006">
        <v>1</v>
      </c>
      <c r="L2006">
        <v>0</v>
      </c>
      <c r="M2006" t="s">
        <v>36</v>
      </c>
      <c r="N2006" t="s">
        <v>36</v>
      </c>
      <c r="O2006" t="s">
        <v>36</v>
      </c>
      <c r="P2006" t="s">
        <v>442</v>
      </c>
      <c r="Q2006" t="s">
        <v>36</v>
      </c>
      <c r="R2006" t="s">
        <v>36</v>
      </c>
      <c r="S2006" t="s">
        <v>36</v>
      </c>
      <c r="T2006" t="s">
        <v>36</v>
      </c>
      <c r="U2006" t="s">
        <v>36</v>
      </c>
      <c r="V2006" t="s">
        <v>36</v>
      </c>
      <c r="W2006" t="s">
        <v>36</v>
      </c>
      <c r="X2006" t="s">
        <v>36</v>
      </c>
      <c r="Y2006" t="s">
        <v>36</v>
      </c>
      <c r="Z2006" t="s">
        <v>36</v>
      </c>
      <c r="AA2006" t="s">
        <v>36</v>
      </c>
      <c r="AB2006" t="s">
        <v>36</v>
      </c>
      <c r="AC2006" t="s">
        <v>36</v>
      </c>
      <c r="AD2006" t="s">
        <v>36</v>
      </c>
      <c r="AE2006" t="s">
        <v>36</v>
      </c>
      <c r="AF2006" t="s">
        <v>36</v>
      </c>
      <c r="AG2006" t="s">
        <v>36</v>
      </c>
    </row>
    <row r="2007" spans="1:33" x14ac:dyDescent="0.2">
      <c r="A2007">
        <v>2006</v>
      </c>
      <c r="B2007" t="s">
        <v>577</v>
      </c>
      <c r="C2007" t="s">
        <v>108</v>
      </c>
      <c r="D2007">
        <v>31</v>
      </c>
      <c r="E2007" t="s">
        <v>34</v>
      </c>
      <c r="F2007" t="s">
        <v>41</v>
      </c>
      <c r="G2007" t="s">
        <v>55</v>
      </c>
      <c r="H2007">
        <v>39805</v>
      </c>
      <c r="I2007">
        <v>0</v>
      </c>
      <c r="J2007">
        <v>1</v>
      </c>
      <c r="K2007">
        <v>0</v>
      </c>
      <c r="L2007">
        <v>0</v>
      </c>
      <c r="M2007" t="s">
        <v>57</v>
      </c>
      <c r="N2007" t="s">
        <v>85</v>
      </c>
      <c r="O2007" t="s">
        <v>56</v>
      </c>
      <c r="P2007" t="s">
        <v>442</v>
      </c>
      <c r="Q2007" t="s">
        <v>48</v>
      </c>
      <c r="R2007" t="s">
        <v>65</v>
      </c>
      <c r="S2007" t="s">
        <v>59</v>
      </c>
      <c r="T2007">
        <v>0</v>
      </c>
      <c r="U2007">
        <v>1</v>
      </c>
      <c r="V2007">
        <v>1</v>
      </c>
      <c r="W2007">
        <v>0</v>
      </c>
      <c r="X2007">
        <v>0</v>
      </c>
      <c r="Y2007">
        <v>0</v>
      </c>
      <c r="Z2007">
        <v>1</v>
      </c>
      <c r="AA2007">
        <v>0</v>
      </c>
      <c r="AB2007">
        <v>1</v>
      </c>
      <c r="AC2007">
        <v>0</v>
      </c>
      <c r="AD2007">
        <v>0</v>
      </c>
      <c r="AE2007">
        <v>0</v>
      </c>
      <c r="AF2007">
        <v>0</v>
      </c>
      <c r="AG2007">
        <v>0</v>
      </c>
    </row>
    <row r="2008" spans="1:33" x14ac:dyDescent="0.2">
      <c r="A2008">
        <v>2007</v>
      </c>
      <c r="B2008" t="s">
        <v>577</v>
      </c>
      <c r="C2008" t="s">
        <v>108</v>
      </c>
      <c r="D2008">
        <v>31</v>
      </c>
      <c r="E2008" t="s">
        <v>34</v>
      </c>
      <c r="F2008" t="s">
        <v>41</v>
      </c>
      <c r="G2008" t="s">
        <v>67</v>
      </c>
      <c r="H2008">
        <v>73008</v>
      </c>
      <c r="I2008">
        <v>0</v>
      </c>
      <c r="J2008">
        <v>1</v>
      </c>
      <c r="K2008">
        <v>1</v>
      </c>
      <c r="L2008">
        <v>0</v>
      </c>
      <c r="M2008" t="s">
        <v>109</v>
      </c>
      <c r="N2008" t="s">
        <v>68</v>
      </c>
      <c r="O2008" t="s">
        <v>103</v>
      </c>
      <c r="P2008" t="s">
        <v>442</v>
      </c>
      <c r="Q2008" t="s">
        <v>59</v>
      </c>
      <c r="R2008" t="s">
        <v>65</v>
      </c>
      <c r="S2008" t="s">
        <v>60</v>
      </c>
      <c r="T2008">
        <v>1</v>
      </c>
      <c r="U2008">
        <v>1</v>
      </c>
      <c r="V2008">
        <v>0</v>
      </c>
      <c r="W2008">
        <v>0</v>
      </c>
      <c r="X2008">
        <v>0</v>
      </c>
      <c r="Y2008">
        <v>0</v>
      </c>
      <c r="Z2008">
        <v>1</v>
      </c>
      <c r="AA2008">
        <v>1</v>
      </c>
      <c r="AB2008">
        <v>1</v>
      </c>
      <c r="AC2008">
        <v>0</v>
      </c>
      <c r="AD2008">
        <v>0</v>
      </c>
      <c r="AE2008">
        <v>0</v>
      </c>
      <c r="AF2008">
        <v>0</v>
      </c>
      <c r="AG2008">
        <v>0</v>
      </c>
    </row>
    <row r="2009" spans="1:33" hidden="1" x14ac:dyDescent="0.2">
      <c r="A2009">
        <v>2008</v>
      </c>
      <c r="B2009" t="s">
        <v>577</v>
      </c>
      <c r="C2009" t="s">
        <v>108</v>
      </c>
      <c r="D2009">
        <v>31</v>
      </c>
      <c r="E2009" t="s">
        <v>34</v>
      </c>
      <c r="F2009" t="s">
        <v>53</v>
      </c>
      <c r="G2009" t="s">
        <v>76</v>
      </c>
      <c r="H2009">
        <v>37400</v>
      </c>
      <c r="I2009">
        <v>1</v>
      </c>
      <c r="J2009">
        <v>0</v>
      </c>
      <c r="K2009">
        <v>0</v>
      </c>
      <c r="L2009">
        <v>0</v>
      </c>
      <c r="M2009" t="s">
        <v>36</v>
      </c>
      <c r="N2009" t="s">
        <v>36</v>
      </c>
      <c r="O2009" t="s">
        <v>36</v>
      </c>
      <c r="P2009" t="s">
        <v>442</v>
      </c>
      <c r="Q2009" t="s">
        <v>36</v>
      </c>
      <c r="R2009" t="s">
        <v>36</v>
      </c>
      <c r="S2009" t="s">
        <v>36</v>
      </c>
      <c r="T2009" t="s">
        <v>36</v>
      </c>
      <c r="U2009">
        <v>1</v>
      </c>
      <c r="V2009">
        <v>0</v>
      </c>
      <c r="W2009">
        <v>0</v>
      </c>
      <c r="X2009">
        <v>0</v>
      </c>
      <c r="Y2009">
        <v>0</v>
      </c>
      <c r="Z2009">
        <v>1</v>
      </c>
      <c r="AA2009">
        <v>1</v>
      </c>
      <c r="AB2009">
        <v>1</v>
      </c>
      <c r="AC2009">
        <v>0</v>
      </c>
      <c r="AD2009">
        <v>0</v>
      </c>
      <c r="AE2009">
        <v>0</v>
      </c>
      <c r="AF2009">
        <v>0</v>
      </c>
      <c r="AG2009">
        <v>0</v>
      </c>
    </row>
    <row r="2010" spans="1:33" x14ac:dyDescent="0.2">
      <c r="A2010">
        <v>2009</v>
      </c>
      <c r="B2010" t="s">
        <v>577</v>
      </c>
      <c r="C2010" t="s">
        <v>108</v>
      </c>
      <c r="D2010">
        <v>31</v>
      </c>
      <c r="E2010" t="s">
        <v>34</v>
      </c>
      <c r="F2010" t="s">
        <v>41</v>
      </c>
      <c r="G2010" t="s">
        <v>42</v>
      </c>
      <c r="H2010">
        <v>16805</v>
      </c>
      <c r="I2010">
        <v>0</v>
      </c>
      <c r="J2010">
        <v>1</v>
      </c>
      <c r="K2010">
        <v>1</v>
      </c>
      <c r="L2010">
        <v>0</v>
      </c>
      <c r="M2010" t="s">
        <v>43</v>
      </c>
      <c r="N2010" t="s">
        <v>82</v>
      </c>
      <c r="O2010" t="s">
        <v>44</v>
      </c>
      <c r="P2010" t="s">
        <v>442</v>
      </c>
      <c r="Q2010" t="s">
        <v>46</v>
      </c>
      <c r="R2010" t="s">
        <v>65</v>
      </c>
      <c r="S2010" t="s">
        <v>47</v>
      </c>
      <c r="T2010">
        <v>0</v>
      </c>
      <c r="U2010">
        <v>1</v>
      </c>
      <c r="V2010">
        <v>0</v>
      </c>
      <c r="W2010">
        <v>1</v>
      </c>
      <c r="X2010">
        <v>1</v>
      </c>
      <c r="Y2010">
        <v>0</v>
      </c>
      <c r="Z2010">
        <v>1</v>
      </c>
      <c r="AA2010">
        <v>0</v>
      </c>
      <c r="AB2010">
        <v>1</v>
      </c>
      <c r="AC2010">
        <v>0</v>
      </c>
      <c r="AD2010">
        <v>1</v>
      </c>
      <c r="AE2010">
        <v>0</v>
      </c>
      <c r="AF2010">
        <v>0</v>
      </c>
      <c r="AG2010">
        <v>0</v>
      </c>
    </row>
    <row r="2011" spans="1:33" hidden="1" x14ac:dyDescent="0.2">
      <c r="A2011">
        <v>2010</v>
      </c>
      <c r="B2011" t="s">
        <v>577</v>
      </c>
      <c r="C2011" t="s">
        <v>108</v>
      </c>
      <c r="D2011">
        <v>31</v>
      </c>
      <c r="E2011" t="s">
        <v>34</v>
      </c>
      <c r="F2011" t="s">
        <v>53</v>
      </c>
      <c r="G2011" t="s">
        <v>66</v>
      </c>
      <c r="H2011">
        <v>33558</v>
      </c>
      <c r="I2011">
        <v>1</v>
      </c>
      <c r="J2011">
        <v>1</v>
      </c>
      <c r="K2011">
        <v>0</v>
      </c>
      <c r="L2011">
        <v>0</v>
      </c>
      <c r="M2011" t="s">
        <v>36</v>
      </c>
      <c r="N2011" t="s">
        <v>36</v>
      </c>
      <c r="O2011" t="s">
        <v>36</v>
      </c>
      <c r="P2011" t="s">
        <v>442</v>
      </c>
      <c r="Q2011" t="s">
        <v>36</v>
      </c>
      <c r="R2011" t="s">
        <v>36</v>
      </c>
      <c r="S2011" t="s">
        <v>36</v>
      </c>
      <c r="T2011" t="s">
        <v>36</v>
      </c>
      <c r="U2011">
        <v>1</v>
      </c>
      <c r="V2011">
        <v>0</v>
      </c>
      <c r="W2011">
        <v>1</v>
      </c>
      <c r="X2011">
        <v>1</v>
      </c>
      <c r="Y2011">
        <v>0</v>
      </c>
      <c r="Z2011">
        <v>1</v>
      </c>
      <c r="AA2011">
        <v>0</v>
      </c>
      <c r="AB2011">
        <v>1</v>
      </c>
      <c r="AC2011">
        <v>0</v>
      </c>
      <c r="AD2011">
        <v>1</v>
      </c>
      <c r="AE2011">
        <v>0</v>
      </c>
      <c r="AF2011">
        <v>0</v>
      </c>
      <c r="AG2011">
        <v>0</v>
      </c>
    </row>
    <row r="2012" spans="1:33" x14ac:dyDescent="0.2">
      <c r="A2012">
        <v>2011</v>
      </c>
      <c r="B2012" t="s">
        <v>577</v>
      </c>
      <c r="C2012" t="s">
        <v>108</v>
      </c>
      <c r="D2012">
        <v>31</v>
      </c>
      <c r="E2012" t="s">
        <v>34</v>
      </c>
      <c r="F2012" t="s">
        <v>41</v>
      </c>
      <c r="G2012" t="s">
        <v>72</v>
      </c>
      <c r="H2012">
        <v>30877</v>
      </c>
      <c r="I2012">
        <v>0</v>
      </c>
      <c r="J2012">
        <v>0</v>
      </c>
      <c r="K2012">
        <v>0</v>
      </c>
      <c r="L2012">
        <v>1</v>
      </c>
      <c r="M2012" t="s">
        <v>74</v>
      </c>
      <c r="N2012" t="s">
        <v>115</v>
      </c>
      <c r="O2012" t="s">
        <v>73</v>
      </c>
      <c r="P2012" t="s">
        <v>442</v>
      </c>
      <c r="Q2012" t="s">
        <v>47</v>
      </c>
      <c r="R2012" t="s">
        <v>65</v>
      </c>
      <c r="S2012" t="s">
        <v>48</v>
      </c>
      <c r="T2012">
        <v>0</v>
      </c>
      <c r="U2012">
        <v>1</v>
      </c>
      <c r="V2012">
        <v>1</v>
      </c>
      <c r="W2012">
        <v>1</v>
      </c>
      <c r="X2012">
        <v>0</v>
      </c>
      <c r="Y2012">
        <v>0</v>
      </c>
      <c r="Z2012">
        <v>1</v>
      </c>
      <c r="AA2012">
        <v>0</v>
      </c>
      <c r="AB2012">
        <v>0</v>
      </c>
      <c r="AC2012">
        <v>0</v>
      </c>
      <c r="AD2012">
        <v>0</v>
      </c>
      <c r="AE2012">
        <v>0</v>
      </c>
      <c r="AF2012">
        <v>0</v>
      </c>
      <c r="AG2012">
        <v>1</v>
      </c>
    </row>
    <row r="2013" spans="1:33" x14ac:dyDescent="0.2">
      <c r="A2013">
        <v>2012</v>
      </c>
      <c r="B2013" t="s">
        <v>577</v>
      </c>
      <c r="C2013" t="s">
        <v>108</v>
      </c>
      <c r="D2013">
        <v>31</v>
      </c>
      <c r="E2013" t="s">
        <v>34</v>
      </c>
      <c r="F2013" t="s">
        <v>41</v>
      </c>
      <c r="G2013" t="s">
        <v>61</v>
      </c>
      <c r="H2013">
        <v>119003</v>
      </c>
      <c r="I2013">
        <v>0</v>
      </c>
      <c r="J2013">
        <v>1</v>
      </c>
      <c r="K2013">
        <v>0</v>
      </c>
      <c r="L2013">
        <v>0</v>
      </c>
      <c r="M2013" t="s">
        <v>64</v>
      </c>
      <c r="N2013" t="s">
        <v>87</v>
      </c>
      <c r="O2013" t="s">
        <v>97</v>
      </c>
      <c r="P2013" t="s">
        <v>442</v>
      </c>
      <c r="Q2013" t="s">
        <v>48</v>
      </c>
      <c r="R2013" t="s">
        <v>47</v>
      </c>
      <c r="S2013" t="s">
        <v>59</v>
      </c>
      <c r="T2013">
        <v>0</v>
      </c>
      <c r="U2013">
        <v>0</v>
      </c>
      <c r="V2013">
        <v>1</v>
      </c>
      <c r="W2013">
        <v>1</v>
      </c>
      <c r="X2013">
        <v>0</v>
      </c>
      <c r="Y2013">
        <v>0</v>
      </c>
      <c r="Z2013">
        <v>1</v>
      </c>
      <c r="AA2013">
        <v>0</v>
      </c>
      <c r="AB2013">
        <v>0</v>
      </c>
      <c r="AC2013">
        <v>0</v>
      </c>
      <c r="AD2013">
        <v>1</v>
      </c>
      <c r="AE2013">
        <v>0</v>
      </c>
      <c r="AF2013">
        <v>0</v>
      </c>
      <c r="AG2013">
        <v>0</v>
      </c>
    </row>
    <row r="2014" spans="1:33" hidden="1" x14ac:dyDescent="0.2">
      <c r="A2014">
        <v>2013</v>
      </c>
      <c r="B2014" t="s">
        <v>577</v>
      </c>
      <c r="C2014" t="s">
        <v>108</v>
      </c>
      <c r="D2014">
        <v>31</v>
      </c>
      <c r="E2014" t="s">
        <v>34</v>
      </c>
      <c r="F2014" t="s">
        <v>53</v>
      </c>
      <c r="G2014" t="s">
        <v>54</v>
      </c>
      <c r="H2014">
        <v>26788</v>
      </c>
      <c r="I2014">
        <v>0</v>
      </c>
      <c r="J2014">
        <v>1</v>
      </c>
      <c r="K2014">
        <v>0</v>
      </c>
      <c r="L2014">
        <v>0</v>
      </c>
      <c r="M2014" t="s">
        <v>36</v>
      </c>
      <c r="N2014" t="s">
        <v>36</v>
      </c>
      <c r="O2014" t="s">
        <v>36</v>
      </c>
      <c r="P2014" t="s">
        <v>442</v>
      </c>
      <c r="Q2014" t="s">
        <v>36</v>
      </c>
      <c r="R2014" t="s">
        <v>36</v>
      </c>
      <c r="S2014" t="s">
        <v>36</v>
      </c>
      <c r="T2014" t="s">
        <v>36</v>
      </c>
      <c r="U2014">
        <v>0</v>
      </c>
      <c r="V2014">
        <v>1</v>
      </c>
      <c r="W2014">
        <v>1</v>
      </c>
      <c r="X2014">
        <v>0</v>
      </c>
      <c r="Y2014">
        <v>0</v>
      </c>
      <c r="Z2014">
        <v>1</v>
      </c>
      <c r="AA2014">
        <v>0</v>
      </c>
      <c r="AB2014">
        <v>0</v>
      </c>
      <c r="AC2014">
        <v>0</v>
      </c>
      <c r="AD2014">
        <v>1</v>
      </c>
      <c r="AE2014">
        <v>0</v>
      </c>
      <c r="AF2014">
        <v>0</v>
      </c>
      <c r="AG2014">
        <v>0</v>
      </c>
    </row>
    <row r="2015" spans="1:33" x14ac:dyDescent="0.2">
      <c r="A2015">
        <v>2014</v>
      </c>
      <c r="B2015" t="s">
        <v>577</v>
      </c>
      <c r="C2015" t="s">
        <v>108</v>
      </c>
      <c r="D2015">
        <v>31</v>
      </c>
      <c r="E2015" t="s">
        <v>34</v>
      </c>
      <c r="F2015" t="s">
        <v>41</v>
      </c>
      <c r="G2015" t="s">
        <v>49</v>
      </c>
      <c r="H2015">
        <v>61427</v>
      </c>
      <c r="I2015">
        <v>0</v>
      </c>
      <c r="J2015">
        <v>0</v>
      </c>
      <c r="K2015">
        <v>0</v>
      </c>
      <c r="L2015">
        <v>1</v>
      </c>
      <c r="M2015" t="s">
        <v>50</v>
      </c>
      <c r="N2015" t="s">
        <v>51</v>
      </c>
      <c r="O2015" t="s">
        <v>96</v>
      </c>
      <c r="P2015" t="s">
        <v>442</v>
      </c>
      <c r="Q2015" t="s">
        <v>48</v>
      </c>
      <c r="R2015" t="s">
        <v>47</v>
      </c>
      <c r="S2015" t="s">
        <v>65</v>
      </c>
      <c r="T2015">
        <v>0</v>
      </c>
      <c r="U2015">
        <v>1</v>
      </c>
      <c r="V2015">
        <v>1</v>
      </c>
      <c r="W2015">
        <v>1</v>
      </c>
      <c r="X2015">
        <v>0</v>
      </c>
      <c r="Y2015">
        <v>0</v>
      </c>
      <c r="Z2015">
        <v>1</v>
      </c>
      <c r="AA2015">
        <v>0</v>
      </c>
      <c r="AB2015">
        <v>0</v>
      </c>
      <c r="AC2015">
        <v>0</v>
      </c>
      <c r="AD2015">
        <v>0</v>
      </c>
      <c r="AE2015">
        <v>0</v>
      </c>
      <c r="AF2015">
        <v>0</v>
      </c>
      <c r="AG2015">
        <v>1</v>
      </c>
    </row>
    <row r="2016" spans="1:33" hidden="1" x14ac:dyDescent="0.2">
      <c r="A2016">
        <v>2015</v>
      </c>
      <c r="B2016" t="s">
        <v>577</v>
      </c>
      <c r="C2016" t="s">
        <v>108</v>
      </c>
      <c r="D2016">
        <v>31</v>
      </c>
      <c r="E2016" t="s">
        <v>34</v>
      </c>
      <c r="F2016" t="s">
        <v>53</v>
      </c>
      <c r="G2016" t="s">
        <v>71</v>
      </c>
      <c r="H2016">
        <v>25295</v>
      </c>
      <c r="I2016">
        <v>0</v>
      </c>
      <c r="J2016">
        <v>0</v>
      </c>
      <c r="K2016">
        <v>0</v>
      </c>
      <c r="L2016">
        <v>1</v>
      </c>
      <c r="M2016" t="s">
        <v>36</v>
      </c>
      <c r="N2016" t="s">
        <v>36</v>
      </c>
      <c r="O2016" t="s">
        <v>36</v>
      </c>
      <c r="P2016" t="s">
        <v>442</v>
      </c>
      <c r="Q2016" t="s">
        <v>36</v>
      </c>
      <c r="R2016" t="s">
        <v>36</v>
      </c>
      <c r="S2016" t="s">
        <v>36</v>
      </c>
      <c r="T2016" t="s">
        <v>36</v>
      </c>
      <c r="U2016">
        <v>1</v>
      </c>
      <c r="V2016">
        <v>1</v>
      </c>
      <c r="W2016">
        <v>1</v>
      </c>
      <c r="X2016">
        <v>0</v>
      </c>
      <c r="Y2016">
        <v>0</v>
      </c>
      <c r="Z2016">
        <v>1</v>
      </c>
      <c r="AA2016">
        <v>0</v>
      </c>
      <c r="AB2016">
        <v>0</v>
      </c>
      <c r="AC2016">
        <v>0</v>
      </c>
      <c r="AD2016">
        <v>0</v>
      </c>
      <c r="AE2016">
        <v>0</v>
      </c>
      <c r="AF2016">
        <v>0</v>
      </c>
      <c r="AG2016">
        <v>1</v>
      </c>
    </row>
    <row r="2017" spans="1:33" hidden="1" x14ac:dyDescent="0.2">
      <c r="A2017">
        <v>2016</v>
      </c>
      <c r="B2017" t="s">
        <v>577</v>
      </c>
      <c r="C2017" t="s">
        <v>108</v>
      </c>
      <c r="D2017">
        <v>31</v>
      </c>
      <c r="E2017" t="s">
        <v>34</v>
      </c>
      <c r="F2017" t="s">
        <v>77</v>
      </c>
      <c r="G2017" t="s">
        <v>36</v>
      </c>
      <c r="H2017">
        <v>351807</v>
      </c>
      <c r="I2017" t="s">
        <v>578</v>
      </c>
      <c r="J2017" t="s">
        <v>579</v>
      </c>
      <c r="L2017" t="s">
        <v>36</v>
      </c>
      <c r="M2017" t="s">
        <v>36</v>
      </c>
      <c r="N2017" t="s">
        <v>36</v>
      </c>
      <c r="O2017" t="s">
        <v>36</v>
      </c>
      <c r="P2017" t="s">
        <v>442</v>
      </c>
      <c r="Q2017" t="s">
        <v>36</v>
      </c>
      <c r="R2017" t="s">
        <v>36</v>
      </c>
      <c r="S2017" t="s">
        <v>36</v>
      </c>
      <c r="T2017" t="s">
        <v>36</v>
      </c>
      <c r="U2017" t="s">
        <v>36</v>
      </c>
      <c r="V2017" t="s">
        <v>36</v>
      </c>
      <c r="W2017" t="s">
        <v>36</v>
      </c>
      <c r="X2017" t="s">
        <v>36</v>
      </c>
      <c r="Y2017" t="s">
        <v>36</v>
      </c>
      <c r="Z2017" t="s">
        <v>36</v>
      </c>
      <c r="AA2017" t="s">
        <v>36</v>
      </c>
      <c r="AB2017" t="s">
        <v>36</v>
      </c>
      <c r="AC2017" t="s">
        <v>36</v>
      </c>
      <c r="AD2017" t="s">
        <v>36</v>
      </c>
      <c r="AE2017" t="s">
        <v>36</v>
      </c>
      <c r="AF2017" t="s">
        <v>36</v>
      </c>
      <c r="AG2017" t="s">
        <v>36</v>
      </c>
    </row>
    <row r="2018" spans="1:33" hidden="1" x14ac:dyDescent="0.2">
      <c r="A2018">
        <v>2017</v>
      </c>
      <c r="B2018" t="s">
        <v>580</v>
      </c>
      <c r="C2018" t="s">
        <v>108</v>
      </c>
      <c r="D2018">
        <v>29</v>
      </c>
      <c r="E2018" t="s">
        <v>114</v>
      </c>
      <c r="F2018" t="s">
        <v>35</v>
      </c>
      <c r="G2018" t="s">
        <v>36</v>
      </c>
      <c r="H2018">
        <v>176206</v>
      </c>
      <c r="I2018" t="s">
        <v>36</v>
      </c>
      <c r="J2018" t="s">
        <v>36</v>
      </c>
      <c r="K2018" t="s">
        <v>36</v>
      </c>
      <c r="L2018" t="s">
        <v>36</v>
      </c>
      <c r="M2018" t="s">
        <v>36</v>
      </c>
      <c r="N2018" t="s">
        <v>36</v>
      </c>
      <c r="O2018" t="s">
        <v>36</v>
      </c>
      <c r="P2018" t="s">
        <v>442</v>
      </c>
      <c r="Q2018" t="s">
        <v>36</v>
      </c>
      <c r="R2018" t="s">
        <v>36</v>
      </c>
      <c r="S2018" t="s">
        <v>36</v>
      </c>
      <c r="T2018" t="s">
        <v>36</v>
      </c>
      <c r="U2018" t="s">
        <v>36</v>
      </c>
      <c r="V2018" t="s">
        <v>36</v>
      </c>
      <c r="W2018" t="s">
        <v>36</v>
      </c>
      <c r="X2018" t="s">
        <v>36</v>
      </c>
      <c r="Y2018" t="s">
        <v>36</v>
      </c>
      <c r="Z2018" t="s">
        <v>36</v>
      </c>
      <c r="AA2018" t="s">
        <v>36</v>
      </c>
      <c r="AB2018" t="s">
        <v>36</v>
      </c>
      <c r="AC2018" t="s">
        <v>36</v>
      </c>
      <c r="AD2018" t="s">
        <v>36</v>
      </c>
      <c r="AE2018" t="s">
        <v>36</v>
      </c>
      <c r="AF2018" t="s">
        <v>36</v>
      </c>
      <c r="AG2018" t="s">
        <v>36</v>
      </c>
    </row>
    <row r="2019" spans="1:33" hidden="1" x14ac:dyDescent="0.2">
      <c r="A2019">
        <v>2018</v>
      </c>
      <c r="B2019" t="s">
        <v>580</v>
      </c>
      <c r="C2019" t="s">
        <v>108</v>
      </c>
      <c r="D2019">
        <v>29</v>
      </c>
      <c r="E2019" t="s">
        <v>114</v>
      </c>
      <c r="F2019" t="s">
        <v>38</v>
      </c>
      <c r="G2019" t="s">
        <v>40</v>
      </c>
      <c r="H2019">
        <v>43383</v>
      </c>
      <c r="I2019">
        <v>0</v>
      </c>
      <c r="J2019">
        <v>0</v>
      </c>
      <c r="K2019">
        <v>1</v>
      </c>
      <c r="L2019">
        <v>0</v>
      </c>
      <c r="M2019" t="s">
        <v>36</v>
      </c>
      <c r="N2019" t="s">
        <v>36</v>
      </c>
      <c r="O2019" t="s">
        <v>36</v>
      </c>
      <c r="P2019" t="s">
        <v>442</v>
      </c>
      <c r="Q2019" t="s">
        <v>36</v>
      </c>
      <c r="R2019" t="s">
        <v>36</v>
      </c>
      <c r="S2019" t="s">
        <v>36</v>
      </c>
      <c r="T2019" t="s">
        <v>36</v>
      </c>
      <c r="U2019" t="s">
        <v>36</v>
      </c>
      <c r="V2019" t="s">
        <v>36</v>
      </c>
      <c r="W2019" t="s">
        <v>36</v>
      </c>
      <c r="X2019" t="s">
        <v>36</v>
      </c>
      <c r="Y2019" t="s">
        <v>36</v>
      </c>
      <c r="Z2019" t="s">
        <v>36</v>
      </c>
      <c r="AA2019" t="s">
        <v>36</v>
      </c>
      <c r="AB2019" t="s">
        <v>36</v>
      </c>
      <c r="AC2019" t="s">
        <v>36</v>
      </c>
      <c r="AD2019" t="s">
        <v>36</v>
      </c>
      <c r="AE2019" t="s">
        <v>36</v>
      </c>
      <c r="AF2019" t="s">
        <v>36</v>
      </c>
      <c r="AG2019" t="s">
        <v>36</v>
      </c>
    </row>
    <row r="2020" spans="1:33" hidden="1" x14ac:dyDescent="0.2">
      <c r="A2020">
        <v>2019</v>
      </c>
      <c r="B2020" t="s">
        <v>580</v>
      </c>
      <c r="C2020" t="s">
        <v>108</v>
      </c>
      <c r="D2020">
        <v>29</v>
      </c>
      <c r="E2020" t="s">
        <v>114</v>
      </c>
      <c r="F2020" t="s">
        <v>38</v>
      </c>
      <c r="G2020" t="s">
        <v>39</v>
      </c>
      <c r="H2020">
        <v>37896</v>
      </c>
      <c r="I2020">
        <v>0</v>
      </c>
      <c r="J2020">
        <v>0</v>
      </c>
      <c r="K2020">
        <v>0</v>
      </c>
      <c r="L2020">
        <v>1</v>
      </c>
      <c r="M2020" t="s">
        <v>36</v>
      </c>
      <c r="N2020" t="s">
        <v>36</v>
      </c>
      <c r="O2020" t="s">
        <v>36</v>
      </c>
      <c r="P2020" t="s">
        <v>442</v>
      </c>
      <c r="Q2020" t="s">
        <v>36</v>
      </c>
      <c r="R2020" t="s">
        <v>36</v>
      </c>
      <c r="S2020" t="s">
        <v>36</v>
      </c>
      <c r="T2020" t="s">
        <v>36</v>
      </c>
      <c r="U2020" t="s">
        <v>36</v>
      </c>
      <c r="V2020" t="s">
        <v>36</v>
      </c>
      <c r="W2020" t="s">
        <v>36</v>
      </c>
      <c r="X2020" t="s">
        <v>36</v>
      </c>
      <c r="Y2020" t="s">
        <v>36</v>
      </c>
      <c r="Z2020" t="s">
        <v>36</v>
      </c>
      <c r="AA2020" t="s">
        <v>36</v>
      </c>
      <c r="AB2020" t="s">
        <v>36</v>
      </c>
      <c r="AC2020" t="s">
        <v>36</v>
      </c>
      <c r="AD2020" t="s">
        <v>36</v>
      </c>
      <c r="AE2020" t="s">
        <v>36</v>
      </c>
      <c r="AF2020" t="s">
        <v>36</v>
      </c>
      <c r="AG2020" t="s">
        <v>36</v>
      </c>
    </row>
    <row r="2021" spans="1:33" x14ac:dyDescent="0.2">
      <c r="A2021">
        <v>2020</v>
      </c>
      <c r="B2021" t="s">
        <v>580</v>
      </c>
      <c r="C2021" t="s">
        <v>108</v>
      </c>
      <c r="D2021">
        <v>29</v>
      </c>
      <c r="E2021" t="s">
        <v>114</v>
      </c>
      <c r="F2021" t="s">
        <v>41</v>
      </c>
      <c r="G2021" t="s">
        <v>67</v>
      </c>
      <c r="H2021">
        <v>101767</v>
      </c>
      <c r="I2021">
        <v>0</v>
      </c>
      <c r="J2021">
        <v>0</v>
      </c>
      <c r="K2021">
        <v>0</v>
      </c>
      <c r="L2021">
        <v>1</v>
      </c>
      <c r="M2021" t="s">
        <v>69</v>
      </c>
      <c r="N2021" t="s">
        <v>70</v>
      </c>
      <c r="O2021" t="s">
        <v>86</v>
      </c>
      <c r="P2021" t="s">
        <v>442</v>
      </c>
      <c r="Q2021" t="s">
        <v>48</v>
      </c>
      <c r="R2021" t="s">
        <v>47</v>
      </c>
      <c r="S2021" t="s">
        <v>46</v>
      </c>
      <c r="T2021">
        <v>0</v>
      </c>
      <c r="U2021">
        <v>0</v>
      </c>
      <c r="V2021">
        <v>1</v>
      </c>
      <c r="W2021">
        <v>1</v>
      </c>
      <c r="X2021">
        <v>1</v>
      </c>
      <c r="Y2021">
        <v>0</v>
      </c>
      <c r="Z2021">
        <v>1</v>
      </c>
      <c r="AA2021">
        <v>0</v>
      </c>
      <c r="AB2021">
        <v>0</v>
      </c>
      <c r="AC2021">
        <v>0</v>
      </c>
      <c r="AD2021">
        <v>0</v>
      </c>
      <c r="AE2021">
        <v>0</v>
      </c>
      <c r="AF2021">
        <v>0</v>
      </c>
      <c r="AG2021">
        <v>1</v>
      </c>
    </row>
    <row r="2022" spans="1:33" x14ac:dyDescent="0.2">
      <c r="A2022">
        <v>2021</v>
      </c>
      <c r="B2022" t="s">
        <v>580</v>
      </c>
      <c r="C2022" t="s">
        <v>108</v>
      </c>
      <c r="D2022">
        <v>29</v>
      </c>
      <c r="E2022" t="s">
        <v>114</v>
      </c>
      <c r="F2022" t="s">
        <v>41</v>
      </c>
      <c r="G2022" t="s">
        <v>61</v>
      </c>
      <c r="H2022">
        <v>46061</v>
      </c>
      <c r="I2022">
        <v>1</v>
      </c>
      <c r="J2022">
        <v>1</v>
      </c>
      <c r="K2022">
        <v>1</v>
      </c>
      <c r="L2022">
        <v>0</v>
      </c>
      <c r="M2022" t="s">
        <v>62</v>
      </c>
      <c r="N2022" t="s">
        <v>87</v>
      </c>
      <c r="O2022" t="s">
        <v>63</v>
      </c>
      <c r="P2022" t="s">
        <v>442</v>
      </c>
      <c r="Q2022" t="s">
        <v>65</v>
      </c>
      <c r="R2022" t="s">
        <v>47</v>
      </c>
      <c r="S2022" t="s">
        <v>46</v>
      </c>
      <c r="T2022">
        <v>0</v>
      </c>
      <c r="U2022">
        <v>1</v>
      </c>
      <c r="V2022">
        <v>0</v>
      </c>
      <c r="W2022">
        <v>1</v>
      </c>
      <c r="X2022">
        <v>1</v>
      </c>
      <c r="Y2022">
        <v>0</v>
      </c>
      <c r="Z2022">
        <v>1</v>
      </c>
      <c r="AA2022">
        <v>0</v>
      </c>
      <c r="AB2022">
        <v>1</v>
      </c>
      <c r="AC2022">
        <v>0</v>
      </c>
      <c r="AD2022">
        <v>1</v>
      </c>
      <c r="AE2022">
        <v>1</v>
      </c>
      <c r="AF2022">
        <v>0</v>
      </c>
      <c r="AG2022">
        <v>0</v>
      </c>
    </row>
    <row r="2023" spans="1:33" hidden="1" x14ac:dyDescent="0.2">
      <c r="A2023">
        <v>2022</v>
      </c>
      <c r="B2023" t="s">
        <v>580</v>
      </c>
      <c r="C2023" t="s">
        <v>108</v>
      </c>
      <c r="D2023">
        <v>29</v>
      </c>
      <c r="E2023" t="s">
        <v>114</v>
      </c>
      <c r="F2023" t="s">
        <v>53</v>
      </c>
      <c r="G2023" t="s">
        <v>71</v>
      </c>
      <c r="H2023">
        <v>53968</v>
      </c>
      <c r="I2023">
        <v>0</v>
      </c>
      <c r="J2023">
        <v>0</v>
      </c>
      <c r="K2023">
        <v>1</v>
      </c>
      <c r="L2023">
        <v>0</v>
      </c>
      <c r="M2023" t="s">
        <v>36</v>
      </c>
      <c r="N2023" t="s">
        <v>36</v>
      </c>
      <c r="O2023" t="s">
        <v>36</v>
      </c>
      <c r="P2023" t="s">
        <v>442</v>
      </c>
      <c r="Q2023" t="s">
        <v>36</v>
      </c>
      <c r="R2023" t="s">
        <v>36</v>
      </c>
      <c r="S2023" t="s">
        <v>36</v>
      </c>
      <c r="T2023" t="s">
        <v>36</v>
      </c>
      <c r="U2023">
        <v>1</v>
      </c>
      <c r="V2023">
        <v>0</v>
      </c>
      <c r="W2023">
        <v>1</v>
      </c>
      <c r="X2023">
        <v>1</v>
      </c>
      <c r="Y2023">
        <v>0</v>
      </c>
      <c r="Z2023">
        <v>1</v>
      </c>
      <c r="AA2023">
        <v>0</v>
      </c>
      <c r="AB2023">
        <v>1</v>
      </c>
      <c r="AC2023">
        <v>0</v>
      </c>
      <c r="AD2023">
        <v>1</v>
      </c>
      <c r="AE2023">
        <v>1</v>
      </c>
      <c r="AF2023">
        <v>0</v>
      </c>
      <c r="AG2023">
        <v>0</v>
      </c>
    </row>
    <row r="2024" spans="1:33" x14ac:dyDescent="0.2">
      <c r="A2024">
        <v>2023</v>
      </c>
      <c r="B2024" t="s">
        <v>580</v>
      </c>
      <c r="C2024" t="s">
        <v>108</v>
      </c>
      <c r="D2024">
        <v>29</v>
      </c>
      <c r="E2024" t="s">
        <v>114</v>
      </c>
      <c r="F2024" t="s">
        <v>41</v>
      </c>
      <c r="G2024" t="s">
        <v>49</v>
      </c>
      <c r="H2024">
        <v>46282</v>
      </c>
      <c r="I2024">
        <v>0</v>
      </c>
      <c r="J2024">
        <v>0</v>
      </c>
      <c r="K2024">
        <v>0</v>
      </c>
      <c r="L2024">
        <v>1</v>
      </c>
      <c r="M2024" t="s">
        <v>51</v>
      </c>
      <c r="N2024" t="s">
        <v>83</v>
      </c>
      <c r="O2024" t="s">
        <v>50</v>
      </c>
      <c r="P2024" t="s">
        <v>442</v>
      </c>
      <c r="Q2024" t="s">
        <v>47</v>
      </c>
      <c r="R2024" t="s">
        <v>59</v>
      </c>
      <c r="S2024" t="s">
        <v>48</v>
      </c>
      <c r="T2024">
        <v>0</v>
      </c>
      <c r="U2024">
        <v>0</v>
      </c>
      <c r="V2024">
        <v>1</v>
      </c>
      <c r="W2024">
        <v>1</v>
      </c>
      <c r="X2024">
        <v>0</v>
      </c>
      <c r="Y2024">
        <v>0</v>
      </c>
      <c r="Z2024">
        <v>1</v>
      </c>
      <c r="AA2024">
        <v>0</v>
      </c>
      <c r="AB2024">
        <v>0</v>
      </c>
      <c r="AC2024">
        <v>0</v>
      </c>
      <c r="AD2024">
        <v>0</v>
      </c>
      <c r="AE2024">
        <v>0</v>
      </c>
      <c r="AF2024">
        <v>0</v>
      </c>
      <c r="AG2024">
        <v>1</v>
      </c>
    </row>
    <row r="2025" spans="1:33" hidden="1" x14ac:dyDescent="0.2">
      <c r="A2025">
        <v>2024</v>
      </c>
      <c r="B2025" t="s">
        <v>580</v>
      </c>
      <c r="C2025" t="s">
        <v>108</v>
      </c>
      <c r="D2025">
        <v>29</v>
      </c>
      <c r="E2025" t="s">
        <v>114</v>
      </c>
      <c r="F2025" t="s">
        <v>53</v>
      </c>
      <c r="G2025" t="s">
        <v>54</v>
      </c>
      <c r="H2025">
        <v>37714</v>
      </c>
      <c r="I2025">
        <v>0</v>
      </c>
      <c r="J2025">
        <v>0</v>
      </c>
      <c r="K2025">
        <v>1</v>
      </c>
      <c r="L2025">
        <v>0</v>
      </c>
      <c r="M2025" t="s">
        <v>36</v>
      </c>
      <c r="N2025" t="s">
        <v>36</v>
      </c>
      <c r="O2025" t="s">
        <v>36</v>
      </c>
      <c r="P2025" t="s">
        <v>442</v>
      </c>
      <c r="Q2025" t="s">
        <v>36</v>
      </c>
      <c r="R2025" t="s">
        <v>36</v>
      </c>
      <c r="S2025" t="s">
        <v>36</v>
      </c>
      <c r="T2025" t="s">
        <v>36</v>
      </c>
      <c r="U2025">
        <v>0</v>
      </c>
      <c r="V2025">
        <v>1</v>
      </c>
      <c r="W2025">
        <v>1</v>
      </c>
      <c r="X2025">
        <v>0</v>
      </c>
      <c r="Y2025">
        <v>0</v>
      </c>
      <c r="Z2025">
        <v>1</v>
      </c>
      <c r="AA2025">
        <v>0</v>
      </c>
      <c r="AB2025">
        <v>0</v>
      </c>
      <c r="AC2025">
        <v>0</v>
      </c>
      <c r="AD2025">
        <v>0</v>
      </c>
      <c r="AE2025">
        <v>0</v>
      </c>
      <c r="AF2025">
        <v>0</v>
      </c>
      <c r="AG2025">
        <v>1</v>
      </c>
    </row>
    <row r="2026" spans="1:33" x14ac:dyDescent="0.2">
      <c r="A2026">
        <v>2025</v>
      </c>
      <c r="B2026" t="s">
        <v>580</v>
      </c>
      <c r="C2026" t="s">
        <v>108</v>
      </c>
      <c r="D2026">
        <v>29</v>
      </c>
      <c r="E2026" t="s">
        <v>114</v>
      </c>
      <c r="F2026" t="s">
        <v>41</v>
      </c>
      <c r="G2026" t="s">
        <v>72</v>
      </c>
      <c r="H2026">
        <v>51582</v>
      </c>
      <c r="I2026">
        <v>0</v>
      </c>
      <c r="J2026">
        <v>0</v>
      </c>
      <c r="K2026">
        <v>0</v>
      </c>
      <c r="L2026">
        <v>1</v>
      </c>
      <c r="M2026" t="s">
        <v>73</v>
      </c>
      <c r="N2026" t="s">
        <v>115</v>
      </c>
      <c r="O2026" t="s">
        <v>75</v>
      </c>
      <c r="P2026" t="s">
        <v>442</v>
      </c>
      <c r="Q2026" t="s">
        <v>48</v>
      </c>
      <c r="R2026" t="s">
        <v>65</v>
      </c>
      <c r="S2026" t="s">
        <v>46</v>
      </c>
      <c r="T2026">
        <v>0</v>
      </c>
      <c r="U2026">
        <v>1</v>
      </c>
      <c r="V2026">
        <v>1</v>
      </c>
      <c r="W2026">
        <v>0</v>
      </c>
      <c r="X2026">
        <v>1</v>
      </c>
      <c r="Y2026">
        <v>0</v>
      </c>
      <c r="Z2026">
        <v>1</v>
      </c>
      <c r="AA2026">
        <v>0</v>
      </c>
      <c r="AB2026">
        <v>0</v>
      </c>
      <c r="AC2026">
        <v>0</v>
      </c>
      <c r="AD2026">
        <v>0</v>
      </c>
      <c r="AE2026">
        <v>0</v>
      </c>
      <c r="AF2026">
        <v>0</v>
      </c>
      <c r="AG2026">
        <v>1</v>
      </c>
    </row>
    <row r="2027" spans="1:33" x14ac:dyDescent="0.2">
      <c r="A2027">
        <v>2026</v>
      </c>
      <c r="B2027" t="s">
        <v>580</v>
      </c>
      <c r="C2027" t="s">
        <v>108</v>
      </c>
      <c r="D2027">
        <v>29</v>
      </c>
      <c r="E2027" t="s">
        <v>114</v>
      </c>
      <c r="F2027" t="s">
        <v>41</v>
      </c>
      <c r="G2027" t="s">
        <v>42</v>
      </c>
      <c r="H2027">
        <v>35810</v>
      </c>
      <c r="I2027">
        <v>0</v>
      </c>
      <c r="J2027">
        <v>0</v>
      </c>
      <c r="K2027">
        <v>0</v>
      </c>
      <c r="L2027">
        <v>1</v>
      </c>
      <c r="M2027" t="s">
        <v>102</v>
      </c>
      <c r="N2027" t="s">
        <v>44</v>
      </c>
      <c r="O2027" t="s">
        <v>45</v>
      </c>
      <c r="P2027" t="s">
        <v>442</v>
      </c>
      <c r="Q2027" t="s">
        <v>59</v>
      </c>
      <c r="R2027" t="s">
        <v>47</v>
      </c>
      <c r="S2027" t="s">
        <v>48</v>
      </c>
      <c r="T2027">
        <v>0</v>
      </c>
      <c r="U2027">
        <v>0</v>
      </c>
      <c r="V2027">
        <v>1</v>
      </c>
      <c r="W2027">
        <v>1</v>
      </c>
      <c r="X2027">
        <v>0</v>
      </c>
      <c r="Y2027">
        <v>0</v>
      </c>
      <c r="Z2027">
        <v>1</v>
      </c>
      <c r="AA2027">
        <v>0</v>
      </c>
      <c r="AB2027">
        <v>0</v>
      </c>
      <c r="AC2027">
        <v>0</v>
      </c>
      <c r="AD2027">
        <v>0</v>
      </c>
      <c r="AE2027">
        <v>0</v>
      </c>
      <c r="AF2027">
        <v>0</v>
      </c>
      <c r="AG2027">
        <v>1</v>
      </c>
    </row>
    <row r="2028" spans="1:33" hidden="1" x14ac:dyDescent="0.2">
      <c r="A2028">
        <v>2027</v>
      </c>
      <c r="B2028" t="s">
        <v>580</v>
      </c>
      <c r="C2028" t="s">
        <v>108</v>
      </c>
      <c r="D2028">
        <v>29</v>
      </c>
      <c r="E2028" t="s">
        <v>114</v>
      </c>
      <c r="F2028" t="s">
        <v>53</v>
      </c>
      <c r="G2028" t="s">
        <v>66</v>
      </c>
      <c r="H2028">
        <v>27847</v>
      </c>
      <c r="I2028">
        <v>1</v>
      </c>
      <c r="J2028">
        <v>0</v>
      </c>
      <c r="K2028">
        <v>0</v>
      </c>
      <c r="L2028">
        <v>0</v>
      </c>
      <c r="M2028" t="s">
        <v>36</v>
      </c>
      <c r="N2028" t="s">
        <v>36</v>
      </c>
      <c r="O2028" t="s">
        <v>36</v>
      </c>
      <c r="P2028" t="s">
        <v>442</v>
      </c>
      <c r="Q2028" t="s">
        <v>36</v>
      </c>
      <c r="R2028" t="s">
        <v>36</v>
      </c>
      <c r="S2028" t="s">
        <v>36</v>
      </c>
      <c r="T2028" t="s">
        <v>36</v>
      </c>
      <c r="U2028">
        <v>0</v>
      </c>
      <c r="V2028">
        <v>1</v>
      </c>
      <c r="W2028">
        <v>1</v>
      </c>
      <c r="X2028">
        <v>0</v>
      </c>
      <c r="Y2028">
        <v>0</v>
      </c>
      <c r="Z2028">
        <v>1</v>
      </c>
      <c r="AA2028">
        <v>0</v>
      </c>
      <c r="AB2028">
        <v>0</v>
      </c>
      <c r="AC2028">
        <v>0</v>
      </c>
      <c r="AD2028">
        <v>0</v>
      </c>
      <c r="AE2028">
        <v>0</v>
      </c>
      <c r="AF2028">
        <v>0</v>
      </c>
      <c r="AG2028">
        <v>1</v>
      </c>
    </row>
    <row r="2029" spans="1:33" x14ac:dyDescent="0.2">
      <c r="A2029">
        <v>2028</v>
      </c>
      <c r="B2029" t="s">
        <v>580</v>
      </c>
      <c r="C2029" t="s">
        <v>108</v>
      </c>
      <c r="D2029">
        <v>29</v>
      </c>
      <c r="E2029" t="s">
        <v>114</v>
      </c>
      <c r="F2029" t="s">
        <v>41</v>
      </c>
      <c r="G2029" t="s">
        <v>55</v>
      </c>
      <c r="H2029">
        <v>14307</v>
      </c>
      <c r="I2029">
        <v>0</v>
      </c>
      <c r="J2029">
        <v>0</v>
      </c>
      <c r="K2029">
        <v>0</v>
      </c>
      <c r="L2029">
        <v>1</v>
      </c>
      <c r="M2029" t="s">
        <v>56</v>
      </c>
      <c r="N2029" t="s">
        <v>84</v>
      </c>
      <c r="O2029" t="s">
        <v>94</v>
      </c>
      <c r="P2029" t="s">
        <v>442</v>
      </c>
      <c r="Q2029" t="s">
        <v>59</v>
      </c>
      <c r="R2029" t="s">
        <v>46</v>
      </c>
      <c r="S2029" t="s">
        <v>47</v>
      </c>
      <c r="T2029">
        <v>0</v>
      </c>
      <c r="U2029">
        <v>0</v>
      </c>
      <c r="V2029">
        <v>0</v>
      </c>
      <c r="W2029">
        <v>1</v>
      </c>
      <c r="X2029">
        <v>1</v>
      </c>
      <c r="Y2029">
        <v>0</v>
      </c>
      <c r="Z2029">
        <v>1</v>
      </c>
      <c r="AA2029">
        <v>0</v>
      </c>
      <c r="AB2029">
        <v>0</v>
      </c>
      <c r="AC2029">
        <v>0</v>
      </c>
      <c r="AD2029">
        <v>0</v>
      </c>
      <c r="AE2029">
        <v>0</v>
      </c>
      <c r="AF2029">
        <v>0</v>
      </c>
      <c r="AG2029">
        <v>1</v>
      </c>
    </row>
    <row r="2030" spans="1:33" hidden="1" x14ac:dyDescent="0.2">
      <c r="A2030">
        <v>2029</v>
      </c>
      <c r="B2030" t="s">
        <v>580</v>
      </c>
      <c r="C2030" t="s">
        <v>108</v>
      </c>
      <c r="D2030">
        <v>29</v>
      </c>
      <c r="E2030" t="s">
        <v>114</v>
      </c>
      <c r="F2030" t="s">
        <v>53</v>
      </c>
      <c r="G2030" t="s">
        <v>76</v>
      </c>
      <c r="H2030">
        <v>28998</v>
      </c>
      <c r="I2030">
        <v>1</v>
      </c>
      <c r="J2030">
        <v>0</v>
      </c>
      <c r="K2030">
        <v>0</v>
      </c>
      <c r="L2030">
        <v>0</v>
      </c>
      <c r="M2030" t="s">
        <v>36</v>
      </c>
      <c r="N2030" t="s">
        <v>36</v>
      </c>
      <c r="O2030" t="s">
        <v>36</v>
      </c>
      <c r="P2030" t="s">
        <v>442</v>
      </c>
      <c r="Q2030" t="s">
        <v>36</v>
      </c>
      <c r="R2030" t="s">
        <v>36</v>
      </c>
      <c r="S2030" t="s">
        <v>36</v>
      </c>
      <c r="T2030" t="s">
        <v>36</v>
      </c>
      <c r="U2030">
        <v>0</v>
      </c>
      <c r="V2030">
        <v>0</v>
      </c>
      <c r="W2030">
        <v>1</v>
      </c>
      <c r="X2030">
        <v>1</v>
      </c>
      <c r="Y2030">
        <v>0</v>
      </c>
      <c r="Z2030">
        <v>1</v>
      </c>
      <c r="AA2030">
        <v>0</v>
      </c>
      <c r="AB2030">
        <v>0</v>
      </c>
      <c r="AC2030">
        <v>0</v>
      </c>
      <c r="AD2030">
        <v>0</v>
      </c>
      <c r="AE2030">
        <v>0</v>
      </c>
      <c r="AF2030">
        <v>0</v>
      </c>
      <c r="AG2030">
        <v>1</v>
      </c>
    </row>
    <row r="2031" spans="1:33" hidden="1" x14ac:dyDescent="0.2">
      <c r="A2031">
        <v>2030</v>
      </c>
      <c r="B2031" t="s">
        <v>580</v>
      </c>
      <c r="C2031" t="s">
        <v>108</v>
      </c>
      <c r="D2031">
        <v>29</v>
      </c>
      <c r="E2031" t="s">
        <v>114</v>
      </c>
      <c r="F2031" t="s">
        <v>77</v>
      </c>
      <c r="G2031" t="s">
        <v>36</v>
      </c>
      <c r="H2031">
        <v>77872</v>
      </c>
      <c r="I2031" t="s">
        <v>581</v>
      </c>
      <c r="J2031" t="s">
        <v>582</v>
      </c>
      <c r="K2031" t="s">
        <v>162</v>
      </c>
      <c r="L2031" t="s">
        <v>36</v>
      </c>
      <c r="M2031" t="s">
        <v>36</v>
      </c>
      <c r="N2031" t="s">
        <v>36</v>
      </c>
      <c r="O2031" t="s">
        <v>36</v>
      </c>
      <c r="P2031" t="s">
        <v>442</v>
      </c>
      <c r="Q2031" t="s">
        <v>36</v>
      </c>
      <c r="R2031" t="s">
        <v>36</v>
      </c>
      <c r="S2031" t="s">
        <v>36</v>
      </c>
      <c r="T2031" t="s">
        <v>36</v>
      </c>
      <c r="U2031" t="s">
        <v>36</v>
      </c>
      <c r="V2031" t="s">
        <v>36</v>
      </c>
      <c r="W2031" t="s">
        <v>36</v>
      </c>
      <c r="X2031" t="s">
        <v>36</v>
      </c>
      <c r="Y2031" t="s">
        <v>36</v>
      </c>
      <c r="Z2031" t="s">
        <v>36</v>
      </c>
      <c r="AA2031" t="s">
        <v>36</v>
      </c>
      <c r="AB2031" t="s">
        <v>36</v>
      </c>
      <c r="AC2031" t="s">
        <v>36</v>
      </c>
      <c r="AD2031" t="s">
        <v>36</v>
      </c>
      <c r="AE2031" t="s">
        <v>36</v>
      </c>
      <c r="AF2031" t="s">
        <v>36</v>
      </c>
      <c r="AG2031" t="s">
        <v>36</v>
      </c>
    </row>
    <row r="2032" spans="1:33" hidden="1" x14ac:dyDescent="0.2">
      <c r="A2032">
        <v>2031</v>
      </c>
      <c r="B2032" t="s">
        <v>583</v>
      </c>
      <c r="C2032" t="s">
        <v>33</v>
      </c>
      <c r="D2032">
        <v>35</v>
      </c>
      <c r="E2032" t="s">
        <v>114</v>
      </c>
      <c r="F2032" t="s">
        <v>35</v>
      </c>
      <c r="G2032" t="s">
        <v>36</v>
      </c>
      <c r="H2032">
        <v>41964</v>
      </c>
      <c r="I2032" t="s">
        <v>36</v>
      </c>
      <c r="J2032" t="s">
        <v>36</v>
      </c>
      <c r="K2032" t="s">
        <v>36</v>
      </c>
      <c r="L2032" t="s">
        <v>36</v>
      </c>
      <c r="M2032" t="s">
        <v>36</v>
      </c>
      <c r="N2032" t="s">
        <v>36</v>
      </c>
      <c r="O2032" t="s">
        <v>36</v>
      </c>
      <c r="P2032" t="s">
        <v>442</v>
      </c>
      <c r="Q2032" t="s">
        <v>36</v>
      </c>
      <c r="R2032" t="s">
        <v>36</v>
      </c>
      <c r="S2032" t="s">
        <v>36</v>
      </c>
      <c r="T2032" t="s">
        <v>36</v>
      </c>
      <c r="U2032" t="s">
        <v>36</v>
      </c>
      <c r="V2032" t="s">
        <v>36</v>
      </c>
      <c r="W2032" t="s">
        <v>36</v>
      </c>
      <c r="X2032" t="s">
        <v>36</v>
      </c>
      <c r="Y2032" t="s">
        <v>36</v>
      </c>
      <c r="Z2032" t="s">
        <v>36</v>
      </c>
      <c r="AA2032" t="s">
        <v>36</v>
      </c>
      <c r="AB2032" t="s">
        <v>36</v>
      </c>
      <c r="AC2032" t="s">
        <v>36</v>
      </c>
      <c r="AD2032" t="s">
        <v>36</v>
      </c>
      <c r="AE2032" t="s">
        <v>36</v>
      </c>
      <c r="AF2032" t="s">
        <v>36</v>
      </c>
      <c r="AG2032" t="s">
        <v>36</v>
      </c>
    </row>
    <row r="2033" spans="1:33" hidden="1" x14ac:dyDescent="0.2">
      <c r="A2033">
        <v>2032</v>
      </c>
      <c r="B2033" t="s">
        <v>583</v>
      </c>
      <c r="C2033" t="s">
        <v>33</v>
      </c>
      <c r="D2033">
        <v>35</v>
      </c>
      <c r="E2033" t="s">
        <v>114</v>
      </c>
      <c r="F2033" t="s">
        <v>38</v>
      </c>
      <c r="G2033" t="s">
        <v>40</v>
      </c>
      <c r="H2033">
        <v>52040</v>
      </c>
      <c r="I2033">
        <v>0</v>
      </c>
      <c r="J2033">
        <v>0</v>
      </c>
      <c r="K2033">
        <v>1</v>
      </c>
      <c r="L2033">
        <v>0</v>
      </c>
      <c r="M2033" t="s">
        <v>36</v>
      </c>
      <c r="N2033" t="s">
        <v>36</v>
      </c>
      <c r="O2033" t="s">
        <v>36</v>
      </c>
      <c r="P2033" t="s">
        <v>442</v>
      </c>
      <c r="Q2033" t="s">
        <v>36</v>
      </c>
      <c r="R2033" t="s">
        <v>36</v>
      </c>
      <c r="S2033" t="s">
        <v>36</v>
      </c>
      <c r="T2033" t="s">
        <v>36</v>
      </c>
      <c r="U2033" t="s">
        <v>36</v>
      </c>
      <c r="V2033" t="s">
        <v>36</v>
      </c>
      <c r="W2033" t="s">
        <v>36</v>
      </c>
      <c r="X2033" t="s">
        <v>36</v>
      </c>
      <c r="Y2033" t="s">
        <v>36</v>
      </c>
      <c r="Z2033" t="s">
        <v>36</v>
      </c>
      <c r="AA2033" t="s">
        <v>36</v>
      </c>
      <c r="AB2033" t="s">
        <v>36</v>
      </c>
      <c r="AC2033" t="s">
        <v>36</v>
      </c>
      <c r="AD2033" t="s">
        <v>36</v>
      </c>
      <c r="AE2033" t="s">
        <v>36</v>
      </c>
      <c r="AF2033" t="s">
        <v>36</v>
      </c>
      <c r="AG2033" t="s">
        <v>36</v>
      </c>
    </row>
    <row r="2034" spans="1:33" hidden="1" x14ac:dyDescent="0.2">
      <c r="A2034">
        <v>2033</v>
      </c>
      <c r="B2034" t="s">
        <v>583</v>
      </c>
      <c r="C2034" t="s">
        <v>33</v>
      </c>
      <c r="D2034">
        <v>35</v>
      </c>
      <c r="E2034" t="s">
        <v>114</v>
      </c>
      <c r="F2034" t="s">
        <v>38</v>
      </c>
      <c r="G2034" t="s">
        <v>39</v>
      </c>
      <c r="H2034">
        <v>53865</v>
      </c>
      <c r="I2034">
        <v>0</v>
      </c>
      <c r="J2034">
        <v>0</v>
      </c>
      <c r="K2034">
        <v>1</v>
      </c>
      <c r="L2034">
        <v>0</v>
      </c>
      <c r="M2034" t="s">
        <v>36</v>
      </c>
      <c r="N2034" t="s">
        <v>36</v>
      </c>
      <c r="O2034" t="s">
        <v>36</v>
      </c>
      <c r="P2034" t="s">
        <v>442</v>
      </c>
      <c r="Q2034" t="s">
        <v>36</v>
      </c>
      <c r="R2034" t="s">
        <v>36</v>
      </c>
      <c r="S2034" t="s">
        <v>36</v>
      </c>
      <c r="T2034" t="s">
        <v>36</v>
      </c>
      <c r="U2034" t="s">
        <v>36</v>
      </c>
      <c r="V2034" t="s">
        <v>36</v>
      </c>
      <c r="W2034" t="s">
        <v>36</v>
      </c>
      <c r="X2034" t="s">
        <v>36</v>
      </c>
      <c r="Y2034" t="s">
        <v>36</v>
      </c>
      <c r="Z2034" t="s">
        <v>36</v>
      </c>
      <c r="AA2034" t="s">
        <v>36</v>
      </c>
      <c r="AB2034" t="s">
        <v>36</v>
      </c>
      <c r="AC2034" t="s">
        <v>36</v>
      </c>
      <c r="AD2034" t="s">
        <v>36</v>
      </c>
      <c r="AE2034" t="s">
        <v>36</v>
      </c>
      <c r="AF2034" t="s">
        <v>36</v>
      </c>
      <c r="AG2034" t="s">
        <v>36</v>
      </c>
    </row>
    <row r="2035" spans="1:33" x14ac:dyDescent="0.2">
      <c r="A2035">
        <v>2034</v>
      </c>
      <c r="B2035" t="s">
        <v>583</v>
      </c>
      <c r="C2035" t="s">
        <v>33</v>
      </c>
      <c r="D2035">
        <v>35</v>
      </c>
      <c r="E2035" t="s">
        <v>114</v>
      </c>
      <c r="F2035" t="s">
        <v>41</v>
      </c>
      <c r="G2035" t="s">
        <v>72</v>
      </c>
      <c r="H2035">
        <v>34303</v>
      </c>
      <c r="I2035">
        <v>1</v>
      </c>
      <c r="J2035">
        <v>0</v>
      </c>
      <c r="K2035">
        <v>0</v>
      </c>
      <c r="L2035">
        <v>0</v>
      </c>
      <c r="M2035" t="s">
        <v>73</v>
      </c>
      <c r="N2035" t="s">
        <v>75</v>
      </c>
      <c r="O2035" t="s">
        <v>115</v>
      </c>
      <c r="P2035" t="s">
        <v>442</v>
      </c>
      <c r="Q2035" t="s">
        <v>48</v>
      </c>
      <c r="R2035" t="s">
        <v>46</v>
      </c>
      <c r="S2035" t="s">
        <v>65</v>
      </c>
      <c r="T2035">
        <v>0</v>
      </c>
      <c r="U2035">
        <v>1</v>
      </c>
      <c r="V2035">
        <v>1</v>
      </c>
      <c r="W2035">
        <v>0</v>
      </c>
      <c r="X2035">
        <v>1</v>
      </c>
      <c r="Y2035">
        <v>0</v>
      </c>
      <c r="Z2035">
        <v>1</v>
      </c>
      <c r="AA2035">
        <v>0</v>
      </c>
      <c r="AB2035">
        <v>0</v>
      </c>
      <c r="AC2035">
        <v>1</v>
      </c>
      <c r="AD2035">
        <v>0</v>
      </c>
      <c r="AE2035">
        <v>0</v>
      </c>
      <c r="AF2035">
        <v>0</v>
      </c>
      <c r="AG2035">
        <v>0</v>
      </c>
    </row>
    <row r="2036" spans="1:33" x14ac:dyDescent="0.2">
      <c r="A2036">
        <v>2035</v>
      </c>
      <c r="B2036" t="s">
        <v>583</v>
      </c>
      <c r="C2036" t="s">
        <v>33</v>
      </c>
      <c r="D2036">
        <v>35</v>
      </c>
      <c r="E2036" t="s">
        <v>114</v>
      </c>
      <c r="F2036" t="s">
        <v>41</v>
      </c>
      <c r="G2036" t="s">
        <v>49</v>
      </c>
      <c r="H2036">
        <v>49713</v>
      </c>
      <c r="I2036">
        <v>0</v>
      </c>
      <c r="J2036">
        <v>1</v>
      </c>
      <c r="K2036">
        <v>0</v>
      </c>
      <c r="L2036">
        <v>0</v>
      </c>
      <c r="M2036" t="s">
        <v>52</v>
      </c>
      <c r="N2036" t="s">
        <v>51</v>
      </c>
      <c r="O2036" t="s">
        <v>96</v>
      </c>
      <c r="P2036" t="s">
        <v>442</v>
      </c>
      <c r="Q2036" t="s">
        <v>46</v>
      </c>
      <c r="R2036" t="s">
        <v>47</v>
      </c>
      <c r="S2036" t="s">
        <v>65</v>
      </c>
      <c r="T2036">
        <v>0</v>
      </c>
      <c r="U2036">
        <v>1</v>
      </c>
      <c r="V2036">
        <v>0</v>
      </c>
      <c r="W2036">
        <v>1</v>
      </c>
      <c r="X2036">
        <v>1</v>
      </c>
      <c r="Y2036">
        <v>0</v>
      </c>
      <c r="Z2036">
        <v>1</v>
      </c>
      <c r="AA2036">
        <v>0</v>
      </c>
      <c r="AB2036">
        <v>0</v>
      </c>
      <c r="AC2036">
        <v>0</v>
      </c>
      <c r="AD2036">
        <v>1</v>
      </c>
      <c r="AE2036">
        <v>0</v>
      </c>
      <c r="AF2036">
        <v>0</v>
      </c>
      <c r="AG2036">
        <v>0</v>
      </c>
    </row>
    <row r="2037" spans="1:33" hidden="1" x14ac:dyDescent="0.2">
      <c r="A2037">
        <v>2036</v>
      </c>
      <c r="B2037" t="s">
        <v>583</v>
      </c>
      <c r="C2037" t="s">
        <v>33</v>
      </c>
      <c r="D2037">
        <v>35</v>
      </c>
      <c r="E2037" t="s">
        <v>114</v>
      </c>
      <c r="F2037" t="s">
        <v>53</v>
      </c>
      <c r="G2037" t="s">
        <v>76</v>
      </c>
      <c r="H2037">
        <v>28213</v>
      </c>
      <c r="I2037">
        <v>1</v>
      </c>
      <c r="J2037">
        <v>0</v>
      </c>
      <c r="K2037">
        <v>0</v>
      </c>
      <c r="L2037">
        <v>0</v>
      </c>
      <c r="M2037" t="s">
        <v>36</v>
      </c>
      <c r="N2037" t="s">
        <v>36</v>
      </c>
      <c r="O2037" t="s">
        <v>36</v>
      </c>
      <c r="P2037" t="s">
        <v>442</v>
      </c>
      <c r="Q2037" t="s">
        <v>36</v>
      </c>
      <c r="R2037" t="s">
        <v>36</v>
      </c>
      <c r="S2037" t="s">
        <v>36</v>
      </c>
      <c r="T2037" t="s">
        <v>36</v>
      </c>
      <c r="U2037">
        <v>1</v>
      </c>
      <c r="V2037">
        <v>0</v>
      </c>
      <c r="W2037">
        <v>1</v>
      </c>
      <c r="X2037">
        <v>1</v>
      </c>
      <c r="Y2037">
        <v>0</v>
      </c>
      <c r="Z2037">
        <v>1</v>
      </c>
      <c r="AA2037">
        <v>0</v>
      </c>
      <c r="AB2037">
        <v>0</v>
      </c>
      <c r="AC2037">
        <v>0</v>
      </c>
      <c r="AD2037">
        <v>1</v>
      </c>
      <c r="AE2037">
        <v>0</v>
      </c>
      <c r="AF2037">
        <v>0</v>
      </c>
      <c r="AG2037">
        <v>0</v>
      </c>
    </row>
    <row r="2038" spans="1:33" x14ac:dyDescent="0.2">
      <c r="A2038">
        <v>2037</v>
      </c>
      <c r="B2038" t="s">
        <v>583</v>
      </c>
      <c r="C2038" t="s">
        <v>33</v>
      </c>
      <c r="D2038">
        <v>35</v>
      </c>
      <c r="E2038" t="s">
        <v>114</v>
      </c>
      <c r="F2038" t="s">
        <v>41</v>
      </c>
      <c r="G2038" t="s">
        <v>42</v>
      </c>
      <c r="H2038">
        <v>36757</v>
      </c>
      <c r="I2038">
        <v>0</v>
      </c>
      <c r="J2038">
        <v>0</v>
      </c>
      <c r="K2038">
        <v>1</v>
      </c>
      <c r="L2038">
        <v>0</v>
      </c>
      <c r="M2038" t="s">
        <v>43</v>
      </c>
      <c r="N2038" t="s">
        <v>45</v>
      </c>
      <c r="O2038" t="s">
        <v>44</v>
      </c>
      <c r="P2038" t="s">
        <v>442</v>
      </c>
      <c r="Q2038" t="s">
        <v>46</v>
      </c>
      <c r="R2038" t="s">
        <v>48</v>
      </c>
      <c r="S2038" t="s">
        <v>47</v>
      </c>
      <c r="T2038">
        <v>0</v>
      </c>
      <c r="U2038">
        <v>0</v>
      </c>
      <c r="V2038">
        <v>1</v>
      </c>
      <c r="W2038">
        <v>1</v>
      </c>
      <c r="X2038">
        <v>1</v>
      </c>
      <c r="Y2038">
        <v>0</v>
      </c>
      <c r="Z2038">
        <v>1</v>
      </c>
      <c r="AA2038">
        <v>0</v>
      </c>
      <c r="AB2038">
        <v>0</v>
      </c>
      <c r="AC2038">
        <v>0</v>
      </c>
      <c r="AD2038">
        <v>1</v>
      </c>
      <c r="AE2038">
        <v>0</v>
      </c>
      <c r="AF2038">
        <v>0</v>
      </c>
      <c r="AG2038">
        <v>0</v>
      </c>
    </row>
    <row r="2039" spans="1:33" hidden="1" x14ac:dyDescent="0.2">
      <c r="A2039">
        <v>2038</v>
      </c>
      <c r="B2039" t="s">
        <v>583</v>
      </c>
      <c r="C2039" t="s">
        <v>33</v>
      </c>
      <c r="D2039">
        <v>35</v>
      </c>
      <c r="E2039" t="s">
        <v>114</v>
      </c>
      <c r="F2039" t="s">
        <v>53</v>
      </c>
      <c r="G2039" t="s">
        <v>66</v>
      </c>
      <c r="H2039">
        <v>36610</v>
      </c>
      <c r="I2039">
        <v>1</v>
      </c>
      <c r="J2039">
        <v>0</v>
      </c>
      <c r="K2039">
        <v>0</v>
      </c>
      <c r="L2039">
        <v>0</v>
      </c>
      <c r="M2039" t="s">
        <v>36</v>
      </c>
      <c r="N2039" t="s">
        <v>36</v>
      </c>
      <c r="O2039" t="s">
        <v>36</v>
      </c>
      <c r="P2039" t="s">
        <v>442</v>
      </c>
      <c r="Q2039" t="s">
        <v>36</v>
      </c>
      <c r="R2039" t="s">
        <v>36</v>
      </c>
      <c r="S2039" t="s">
        <v>36</v>
      </c>
      <c r="T2039" t="s">
        <v>36</v>
      </c>
      <c r="U2039">
        <v>0</v>
      </c>
      <c r="V2039">
        <v>1</v>
      </c>
      <c r="W2039">
        <v>1</v>
      </c>
      <c r="X2039">
        <v>1</v>
      </c>
      <c r="Y2039">
        <v>0</v>
      </c>
      <c r="Z2039">
        <v>1</v>
      </c>
      <c r="AA2039">
        <v>0</v>
      </c>
      <c r="AB2039">
        <v>0</v>
      </c>
      <c r="AC2039">
        <v>0</v>
      </c>
      <c r="AD2039">
        <v>1</v>
      </c>
      <c r="AE2039">
        <v>0</v>
      </c>
      <c r="AF2039">
        <v>0</v>
      </c>
      <c r="AG2039">
        <v>0</v>
      </c>
    </row>
    <row r="2040" spans="1:33" x14ac:dyDescent="0.2">
      <c r="A2040">
        <v>2039</v>
      </c>
      <c r="B2040" t="s">
        <v>583</v>
      </c>
      <c r="C2040" t="s">
        <v>33</v>
      </c>
      <c r="D2040">
        <v>35</v>
      </c>
      <c r="E2040" t="s">
        <v>114</v>
      </c>
      <c r="F2040" t="s">
        <v>41</v>
      </c>
      <c r="G2040" t="s">
        <v>67</v>
      </c>
      <c r="H2040">
        <v>50767</v>
      </c>
      <c r="I2040">
        <v>0</v>
      </c>
      <c r="J2040">
        <v>1</v>
      </c>
      <c r="K2040">
        <v>0</v>
      </c>
      <c r="L2040">
        <v>0</v>
      </c>
      <c r="M2040" t="s">
        <v>68</v>
      </c>
      <c r="N2040" t="s">
        <v>103</v>
      </c>
      <c r="O2040" t="s">
        <v>86</v>
      </c>
      <c r="P2040" t="s">
        <v>442</v>
      </c>
      <c r="Q2040" t="s">
        <v>65</v>
      </c>
      <c r="R2040" t="s">
        <v>60</v>
      </c>
      <c r="S2040" t="s">
        <v>46</v>
      </c>
      <c r="T2040">
        <v>1</v>
      </c>
      <c r="U2040">
        <v>1</v>
      </c>
      <c r="V2040">
        <v>0</v>
      </c>
      <c r="W2040">
        <v>0</v>
      </c>
      <c r="X2040">
        <v>1</v>
      </c>
      <c r="Y2040">
        <v>0</v>
      </c>
      <c r="Z2040">
        <v>1</v>
      </c>
      <c r="AA2040">
        <v>1</v>
      </c>
      <c r="AB2040">
        <v>0</v>
      </c>
      <c r="AC2040">
        <v>0</v>
      </c>
      <c r="AD2040">
        <v>0</v>
      </c>
      <c r="AE2040">
        <v>0</v>
      </c>
      <c r="AF2040">
        <v>0</v>
      </c>
      <c r="AG2040">
        <v>0</v>
      </c>
    </row>
    <row r="2041" spans="1:33" x14ac:dyDescent="0.2">
      <c r="A2041">
        <v>2040</v>
      </c>
      <c r="B2041" t="s">
        <v>583</v>
      </c>
      <c r="C2041" t="s">
        <v>33</v>
      </c>
      <c r="D2041">
        <v>35</v>
      </c>
      <c r="E2041" t="s">
        <v>114</v>
      </c>
      <c r="F2041" t="s">
        <v>41</v>
      </c>
      <c r="G2041" t="s">
        <v>55</v>
      </c>
      <c r="H2041">
        <v>9098</v>
      </c>
      <c r="I2041">
        <v>1</v>
      </c>
      <c r="J2041">
        <v>0</v>
      </c>
      <c r="K2041">
        <v>0</v>
      </c>
      <c r="L2041">
        <v>0</v>
      </c>
      <c r="M2041" t="s">
        <v>94</v>
      </c>
      <c r="N2041" t="s">
        <v>56</v>
      </c>
      <c r="O2041" t="s">
        <v>57</v>
      </c>
      <c r="P2041" t="s">
        <v>442</v>
      </c>
      <c r="Q2041" t="s">
        <v>47</v>
      </c>
      <c r="R2041" t="s">
        <v>59</v>
      </c>
      <c r="S2041" t="s">
        <v>48</v>
      </c>
      <c r="T2041">
        <v>0</v>
      </c>
      <c r="U2041">
        <v>0</v>
      </c>
      <c r="V2041">
        <v>1</v>
      </c>
      <c r="W2041">
        <v>1</v>
      </c>
      <c r="X2041">
        <v>0</v>
      </c>
      <c r="Y2041">
        <v>0</v>
      </c>
      <c r="Z2041">
        <v>1</v>
      </c>
      <c r="AA2041">
        <v>0</v>
      </c>
      <c r="AB2041">
        <v>0</v>
      </c>
      <c r="AC2041">
        <v>0</v>
      </c>
      <c r="AD2041">
        <v>1</v>
      </c>
      <c r="AE2041">
        <v>0</v>
      </c>
      <c r="AF2041">
        <v>0</v>
      </c>
      <c r="AG2041">
        <v>0</v>
      </c>
    </row>
    <row r="2042" spans="1:33" hidden="1" x14ac:dyDescent="0.2">
      <c r="A2042">
        <v>2041</v>
      </c>
      <c r="B2042" t="s">
        <v>583</v>
      </c>
      <c r="C2042" t="s">
        <v>33</v>
      </c>
      <c r="D2042">
        <v>35</v>
      </c>
      <c r="E2042" t="s">
        <v>114</v>
      </c>
      <c r="F2042" t="s">
        <v>53</v>
      </c>
      <c r="G2042" t="s">
        <v>71</v>
      </c>
      <c r="H2042">
        <v>23243</v>
      </c>
      <c r="I2042">
        <v>0</v>
      </c>
      <c r="J2042">
        <v>0</v>
      </c>
      <c r="K2042">
        <v>1</v>
      </c>
      <c r="L2042">
        <v>0</v>
      </c>
      <c r="M2042" t="s">
        <v>36</v>
      </c>
      <c r="N2042" t="s">
        <v>36</v>
      </c>
      <c r="O2042" t="s">
        <v>36</v>
      </c>
      <c r="P2042" t="s">
        <v>442</v>
      </c>
      <c r="Q2042" t="s">
        <v>36</v>
      </c>
      <c r="R2042" t="s">
        <v>36</v>
      </c>
      <c r="S2042" t="s">
        <v>36</v>
      </c>
      <c r="T2042" t="s">
        <v>36</v>
      </c>
      <c r="U2042">
        <v>0</v>
      </c>
      <c r="V2042">
        <v>1</v>
      </c>
      <c r="W2042">
        <v>1</v>
      </c>
      <c r="X2042">
        <v>0</v>
      </c>
      <c r="Y2042">
        <v>0</v>
      </c>
      <c r="Z2042">
        <v>1</v>
      </c>
      <c r="AA2042">
        <v>0</v>
      </c>
      <c r="AB2042">
        <v>0</v>
      </c>
      <c r="AC2042">
        <v>0</v>
      </c>
      <c r="AD2042">
        <v>1</v>
      </c>
      <c r="AE2042">
        <v>0</v>
      </c>
      <c r="AF2042">
        <v>0</v>
      </c>
      <c r="AG2042">
        <v>0</v>
      </c>
    </row>
    <row r="2043" spans="1:33" x14ac:dyDescent="0.2">
      <c r="A2043">
        <v>2042</v>
      </c>
      <c r="B2043" t="s">
        <v>583</v>
      </c>
      <c r="C2043" t="s">
        <v>33</v>
      </c>
      <c r="D2043">
        <v>35</v>
      </c>
      <c r="E2043" t="s">
        <v>114</v>
      </c>
      <c r="F2043" t="s">
        <v>41</v>
      </c>
      <c r="G2043" t="s">
        <v>61</v>
      </c>
      <c r="H2043">
        <v>4840</v>
      </c>
      <c r="I2043">
        <v>0</v>
      </c>
      <c r="J2043">
        <v>1</v>
      </c>
      <c r="K2043">
        <v>0</v>
      </c>
      <c r="L2043">
        <v>0</v>
      </c>
      <c r="M2043" t="s">
        <v>125</v>
      </c>
      <c r="N2043" t="s">
        <v>62</v>
      </c>
      <c r="O2043" t="s">
        <v>64</v>
      </c>
      <c r="P2043" t="s">
        <v>442</v>
      </c>
      <c r="Q2043" t="s">
        <v>60</v>
      </c>
      <c r="R2043" t="s">
        <v>65</v>
      </c>
      <c r="S2043" t="s">
        <v>48</v>
      </c>
      <c r="T2043">
        <v>1</v>
      </c>
      <c r="U2043">
        <v>1</v>
      </c>
      <c r="V2043">
        <v>1</v>
      </c>
      <c r="W2043">
        <v>0</v>
      </c>
      <c r="X2043">
        <v>0</v>
      </c>
      <c r="Y2043">
        <v>0</v>
      </c>
      <c r="Z2043">
        <v>1</v>
      </c>
      <c r="AA2043">
        <v>0</v>
      </c>
      <c r="AB2043">
        <v>1</v>
      </c>
      <c r="AC2043">
        <v>0</v>
      </c>
      <c r="AD2043">
        <v>0</v>
      </c>
      <c r="AE2043">
        <v>0</v>
      </c>
      <c r="AF2043">
        <v>0</v>
      </c>
      <c r="AG2043">
        <v>0</v>
      </c>
    </row>
    <row r="2044" spans="1:33" hidden="1" x14ac:dyDescent="0.2">
      <c r="A2044">
        <v>2043</v>
      </c>
      <c r="B2044" t="s">
        <v>583</v>
      </c>
      <c r="C2044" t="s">
        <v>33</v>
      </c>
      <c r="D2044">
        <v>35</v>
      </c>
      <c r="E2044" t="s">
        <v>114</v>
      </c>
      <c r="F2044" t="s">
        <v>53</v>
      </c>
      <c r="G2044" t="s">
        <v>54</v>
      </c>
      <c r="H2044">
        <v>25275</v>
      </c>
      <c r="I2044">
        <v>0</v>
      </c>
      <c r="J2044">
        <v>1</v>
      </c>
      <c r="K2044">
        <v>0</v>
      </c>
      <c r="L2044">
        <v>0</v>
      </c>
      <c r="M2044" t="s">
        <v>36</v>
      </c>
      <c r="N2044" t="s">
        <v>36</v>
      </c>
      <c r="O2044" t="s">
        <v>36</v>
      </c>
      <c r="P2044" t="s">
        <v>442</v>
      </c>
      <c r="Q2044" t="s">
        <v>36</v>
      </c>
      <c r="R2044" t="s">
        <v>36</v>
      </c>
      <c r="S2044" t="s">
        <v>36</v>
      </c>
      <c r="T2044" t="s">
        <v>36</v>
      </c>
      <c r="U2044">
        <v>1</v>
      </c>
      <c r="V2044">
        <v>1</v>
      </c>
      <c r="W2044">
        <v>0</v>
      </c>
      <c r="X2044">
        <v>0</v>
      </c>
      <c r="Y2044">
        <v>0</v>
      </c>
      <c r="Z2044">
        <v>1</v>
      </c>
      <c r="AA2044">
        <v>0</v>
      </c>
      <c r="AB2044">
        <v>1</v>
      </c>
      <c r="AC2044">
        <v>0</v>
      </c>
      <c r="AD2044">
        <v>0</v>
      </c>
      <c r="AE2044">
        <v>0</v>
      </c>
      <c r="AF2044">
        <v>0</v>
      </c>
      <c r="AG2044">
        <v>0</v>
      </c>
    </row>
    <row r="2045" spans="1:33" hidden="1" x14ac:dyDescent="0.2">
      <c r="A2045">
        <v>2044</v>
      </c>
      <c r="B2045" t="s">
        <v>583</v>
      </c>
      <c r="C2045" t="s">
        <v>33</v>
      </c>
      <c r="D2045">
        <v>35</v>
      </c>
      <c r="E2045" t="s">
        <v>114</v>
      </c>
      <c r="F2045" t="s">
        <v>77</v>
      </c>
      <c r="G2045" t="s">
        <v>36</v>
      </c>
      <c r="H2045">
        <v>95765</v>
      </c>
      <c r="I2045" t="s">
        <v>584</v>
      </c>
      <c r="J2045" t="s">
        <v>190</v>
      </c>
      <c r="K2045" t="s">
        <v>585</v>
      </c>
      <c r="L2045" t="s">
        <v>36</v>
      </c>
      <c r="M2045" t="s">
        <v>36</v>
      </c>
      <c r="N2045" t="s">
        <v>36</v>
      </c>
      <c r="O2045" t="s">
        <v>36</v>
      </c>
      <c r="P2045" t="s">
        <v>442</v>
      </c>
      <c r="Q2045" t="s">
        <v>36</v>
      </c>
      <c r="R2045" t="s">
        <v>36</v>
      </c>
      <c r="S2045" t="s">
        <v>36</v>
      </c>
      <c r="T2045" t="s">
        <v>36</v>
      </c>
      <c r="U2045" t="s">
        <v>36</v>
      </c>
      <c r="V2045" t="s">
        <v>36</v>
      </c>
      <c r="W2045" t="s">
        <v>36</v>
      </c>
      <c r="X2045" t="s">
        <v>36</v>
      </c>
      <c r="Y2045" t="s">
        <v>36</v>
      </c>
      <c r="Z2045" t="s">
        <v>36</v>
      </c>
      <c r="AA2045" t="s">
        <v>36</v>
      </c>
      <c r="AB2045" t="s">
        <v>36</v>
      </c>
      <c r="AC2045" t="s">
        <v>36</v>
      </c>
      <c r="AD2045" t="s">
        <v>36</v>
      </c>
      <c r="AE2045" t="s">
        <v>36</v>
      </c>
      <c r="AF2045" t="s">
        <v>36</v>
      </c>
      <c r="AG2045" t="s">
        <v>36</v>
      </c>
    </row>
    <row r="2046" spans="1:33" hidden="1" x14ac:dyDescent="0.2">
      <c r="A2046">
        <v>2045</v>
      </c>
      <c r="B2046" t="s">
        <v>586</v>
      </c>
      <c r="C2046" t="s">
        <v>188</v>
      </c>
      <c r="D2046">
        <v>28</v>
      </c>
      <c r="E2046" t="s">
        <v>34</v>
      </c>
      <c r="F2046" t="s">
        <v>35</v>
      </c>
      <c r="G2046" t="s">
        <v>36</v>
      </c>
      <c r="H2046">
        <v>17529</v>
      </c>
      <c r="I2046" t="s">
        <v>36</v>
      </c>
      <c r="J2046" t="s">
        <v>36</v>
      </c>
      <c r="K2046" t="s">
        <v>36</v>
      </c>
      <c r="L2046" t="s">
        <v>36</v>
      </c>
      <c r="M2046" t="s">
        <v>36</v>
      </c>
      <c r="N2046" t="s">
        <v>36</v>
      </c>
      <c r="O2046" t="s">
        <v>36</v>
      </c>
      <c r="P2046" t="s">
        <v>442</v>
      </c>
      <c r="Q2046" t="s">
        <v>36</v>
      </c>
      <c r="R2046" t="s">
        <v>36</v>
      </c>
      <c r="S2046" t="s">
        <v>36</v>
      </c>
      <c r="T2046" t="s">
        <v>36</v>
      </c>
      <c r="U2046" t="s">
        <v>36</v>
      </c>
      <c r="V2046" t="s">
        <v>36</v>
      </c>
      <c r="W2046" t="s">
        <v>36</v>
      </c>
      <c r="X2046" t="s">
        <v>36</v>
      </c>
      <c r="Y2046" t="s">
        <v>36</v>
      </c>
      <c r="Z2046" t="s">
        <v>36</v>
      </c>
      <c r="AA2046" t="s">
        <v>36</v>
      </c>
      <c r="AB2046" t="s">
        <v>36</v>
      </c>
      <c r="AC2046" t="s">
        <v>36</v>
      </c>
      <c r="AD2046" t="s">
        <v>36</v>
      </c>
      <c r="AE2046" t="s">
        <v>36</v>
      </c>
      <c r="AF2046" t="s">
        <v>36</v>
      </c>
      <c r="AG2046" t="s">
        <v>36</v>
      </c>
    </row>
    <row r="2047" spans="1:33" hidden="1" x14ac:dyDescent="0.2">
      <c r="A2047">
        <v>2046</v>
      </c>
      <c r="B2047" t="s">
        <v>586</v>
      </c>
      <c r="C2047" t="s">
        <v>188</v>
      </c>
      <c r="D2047">
        <v>28</v>
      </c>
      <c r="E2047" t="s">
        <v>34</v>
      </c>
      <c r="F2047" t="s">
        <v>38</v>
      </c>
      <c r="G2047" t="s">
        <v>39</v>
      </c>
      <c r="H2047">
        <v>45221</v>
      </c>
      <c r="I2047">
        <v>0</v>
      </c>
      <c r="J2047">
        <v>1</v>
      </c>
      <c r="K2047">
        <v>0</v>
      </c>
      <c r="L2047">
        <v>0</v>
      </c>
      <c r="M2047" t="s">
        <v>36</v>
      </c>
      <c r="N2047" t="s">
        <v>36</v>
      </c>
      <c r="O2047" t="s">
        <v>36</v>
      </c>
      <c r="P2047" t="s">
        <v>442</v>
      </c>
      <c r="Q2047" t="s">
        <v>36</v>
      </c>
      <c r="R2047" t="s">
        <v>36</v>
      </c>
      <c r="S2047" t="s">
        <v>36</v>
      </c>
      <c r="T2047" t="s">
        <v>36</v>
      </c>
      <c r="U2047" t="s">
        <v>36</v>
      </c>
      <c r="V2047" t="s">
        <v>36</v>
      </c>
      <c r="W2047" t="s">
        <v>36</v>
      </c>
      <c r="X2047" t="s">
        <v>36</v>
      </c>
      <c r="Y2047" t="s">
        <v>36</v>
      </c>
      <c r="Z2047" t="s">
        <v>36</v>
      </c>
      <c r="AA2047" t="s">
        <v>36</v>
      </c>
      <c r="AB2047" t="s">
        <v>36</v>
      </c>
      <c r="AC2047" t="s">
        <v>36</v>
      </c>
      <c r="AD2047" t="s">
        <v>36</v>
      </c>
      <c r="AE2047" t="s">
        <v>36</v>
      </c>
      <c r="AF2047" t="s">
        <v>36</v>
      </c>
      <c r="AG2047" t="s">
        <v>36</v>
      </c>
    </row>
    <row r="2048" spans="1:33" hidden="1" x14ac:dyDescent="0.2">
      <c r="A2048">
        <v>2047</v>
      </c>
      <c r="B2048" t="s">
        <v>586</v>
      </c>
      <c r="C2048" t="s">
        <v>188</v>
      </c>
      <c r="D2048">
        <v>28</v>
      </c>
      <c r="E2048" t="s">
        <v>34</v>
      </c>
      <c r="F2048" t="s">
        <v>38</v>
      </c>
      <c r="G2048" t="s">
        <v>40</v>
      </c>
      <c r="H2048">
        <v>85098</v>
      </c>
      <c r="I2048">
        <v>0</v>
      </c>
      <c r="J2048">
        <v>0</v>
      </c>
      <c r="K2048">
        <v>1</v>
      </c>
      <c r="L2048">
        <v>0</v>
      </c>
      <c r="M2048" t="s">
        <v>36</v>
      </c>
      <c r="N2048" t="s">
        <v>36</v>
      </c>
      <c r="O2048" t="s">
        <v>36</v>
      </c>
      <c r="P2048" t="s">
        <v>442</v>
      </c>
      <c r="Q2048" t="s">
        <v>36</v>
      </c>
      <c r="R2048" t="s">
        <v>36</v>
      </c>
      <c r="S2048" t="s">
        <v>36</v>
      </c>
      <c r="T2048" t="s">
        <v>36</v>
      </c>
      <c r="U2048" t="s">
        <v>36</v>
      </c>
      <c r="V2048" t="s">
        <v>36</v>
      </c>
      <c r="W2048" t="s">
        <v>36</v>
      </c>
      <c r="X2048" t="s">
        <v>36</v>
      </c>
      <c r="Y2048" t="s">
        <v>36</v>
      </c>
      <c r="Z2048" t="s">
        <v>36</v>
      </c>
      <c r="AA2048" t="s">
        <v>36</v>
      </c>
      <c r="AB2048" t="s">
        <v>36</v>
      </c>
      <c r="AC2048" t="s">
        <v>36</v>
      </c>
      <c r="AD2048" t="s">
        <v>36</v>
      </c>
      <c r="AE2048" t="s">
        <v>36</v>
      </c>
      <c r="AF2048" t="s">
        <v>36</v>
      </c>
      <c r="AG2048" t="s">
        <v>36</v>
      </c>
    </row>
    <row r="2049" spans="1:33" x14ac:dyDescent="0.2">
      <c r="A2049">
        <v>2048</v>
      </c>
      <c r="B2049" t="s">
        <v>586</v>
      </c>
      <c r="C2049" t="s">
        <v>188</v>
      </c>
      <c r="D2049">
        <v>28</v>
      </c>
      <c r="E2049" t="s">
        <v>34</v>
      </c>
      <c r="F2049" t="s">
        <v>41</v>
      </c>
      <c r="G2049" t="s">
        <v>61</v>
      </c>
      <c r="H2049">
        <v>129047</v>
      </c>
      <c r="I2049">
        <v>1</v>
      </c>
      <c r="J2049">
        <v>1</v>
      </c>
      <c r="K2049">
        <v>0</v>
      </c>
      <c r="L2049">
        <v>0</v>
      </c>
      <c r="M2049" t="s">
        <v>87</v>
      </c>
      <c r="N2049" t="s">
        <v>62</v>
      </c>
      <c r="O2049" t="s">
        <v>64</v>
      </c>
      <c r="P2049" t="s">
        <v>442</v>
      </c>
      <c r="Q2049" t="s">
        <v>47</v>
      </c>
      <c r="R2049" t="s">
        <v>65</v>
      </c>
      <c r="S2049" t="s">
        <v>48</v>
      </c>
      <c r="T2049">
        <v>0</v>
      </c>
      <c r="U2049">
        <v>1</v>
      </c>
      <c r="V2049">
        <v>1</v>
      </c>
      <c r="W2049">
        <v>1</v>
      </c>
      <c r="X2049">
        <v>0</v>
      </c>
      <c r="Y2049">
        <v>0</v>
      </c>
      <c r="Z2049">
        <v>1</v>
      </c>
      <c r="AA2049">
        <v>0</v>
      </c>
      <c r="AB2049">
        <v>1</v>
      </c>
      <c r="AC2049">
        <v>0</v>
      </c>
      <c r="AD2049">
        <v>1</v>
      </c>
      <c r="AE2049">
        <v>0</v>
      </c>
      <c r="AF2049">
        <v>0</v>
      </c>
      <c r="AG2049">
        <v>0</v>
      </c>
    </row>
    <row r="2050" spans="1:33" x14ac:dyDescent="0.2">
      <c r="A2050">
        <v>2049</v>
      </c>
      <c r="B2050" t="s">
        <v>586</v>
      </c>
      <c r="C2050" t="s">
        <v>188</v>
      </c>
      <c r="D2050">
        <v>28</v>
      </c>
      <c r="E2050" t="s">
        <v>34</v>
      </c>
      <c r="F2050" t="s">
        <v>41</v>
      </c>
      <c r="G2050" t="s">
        <v>55</v>
      </c>
      <c r="H2050">
        <v>15740</v>
      </c>
      <c r="I2050">
        <v>1</v>
      </c>
      <c r="J2050">
        <v>0</v>
      </c>
      <c r="K2050">
        <v>0</v>
      </c>
      <c r="L2050">
        <v>0</v>
      </c>
      <c r="M2050" t="s">
        <v>85</v>
      </c>
      <c r="N2050" t="s">
        <v>57</v>
      </c>
      <c r="O2050" t="s">
        <v>56</v>
      </c>
      <c r="P2050" t="s">
        <v>442</v>
      </c>
      <c r="Q2050" t="s">
        <v>65</v>
      </c>
      <c r="R2050" t="s">
        <v>48</v>
      </c>
      <c r="S2050" t="s">
        <v>59</v>
      </c>
      <c r="T2050">
        <v>0</v>
      </c>
      <c r="U2050">
        <v>1</v>
      </c>
      <c r="V2050">
        <v>1</v>
      </c>
      <c r="W2050">
        <v>0</v>
      </c>
      <c r="X2050">
        <v>0</v>
      </c>
      <c r="Y2050">
        <v>0</v>
      </c>
      <c r="Z2050">
        <v>1</v>
      </c>
      <c r="AA2050">
        <v>0</v>
      </c>
      <c r="AB2050">
        <v>1</v>
      </c>
      <c r="AC2050">
        <v>0</v>
      </c>
      <c r="AD2050">
        <v>0</v>
      </c>
      <c r="AE2050">
        <v>0</v>
      </c>
      <c r="AF2050">
        <v>0</v>
      </c>
      <c r="AG2050">
        <v>0</v>
      </c>
    </row>
    <row r="2051" spans="1:33" hidden="1" x14ac:dyDescent="0.2">
      <c r="A2051">
        <v>2050</v>
      </c>
      <c r="B2051" t="s">
        <v>586</v>
      </c>
      <c r="C2051" t="s">
        <v>188</v>
      </c>
      <c r="D2051">
        <v>28</v>
      </c>
      <c r="E2051" t="s">
        <v>34</v>
      </c>
      <c r="F2051" t="s">
        <v>53</v>
      </c>
      <c r="G2051" t="s">
        <v>71</v>
      </c>
      <c r="H2051">
        <v>75763</v>
      </c>
      <c r="I2051">
        <v>0</v>
      </c>
      <c r="J2051">
        <v>1</v>
      </c>
      <c r="K2051">
        <v>0</v>
      </c>
      <c r="L2051">
        <v>0</v>
      </c>
      <c r="M2051" t="s">
        <v>36</v>
      </c>
      <c r="N2051" t="s">
        <v>36</v>
      </c>
      <c r="O2051" t="s">
        <v>36</v>
      </c>
      <c r="P2051" t="s">
        <v>442</v>
      </c>
      <c r="Q2051" t="s">
        <v>36</v>
      </c>
      <c r="R2051" t="s">
        <v>36</v>
      </c>
      <c r="S2051" t="s">
        <v>36</v>
      </c>
      <c r="T2051" t="s">
        <v>36</v>
      </c>
      <c r="U2051">
        <v>1</v>
      </c>
      <c r="V2051">
        <v>1</v>
      </c>
      <c r="W2051">
        <v>0</v>
      </c>
      <c r="X2051">
        <v>0</v>
      </c>
      <c r="Y2051">
        <v>0</v>
      </c>
      <c r="Z2051">
        <v>1</v>
      </c>
      <c r="AA2051">
        <v>0</v>
      </c>
      <c r="AB2051">
        <v>1</v>
      </c>
      <c r="AC2051">
        <v>0</v>
      </c>
      <c r="AD2051">
        <v>0</v>
      </c>
      <c r="AE2051">
        <v>0</v>
      </c>
      <c r="AF2051">
        <v>0</v>
      </c>
      <c r="AG2051">
        <v>0</v>
      </c>
    </row>
    <row r="2052" spans="1:33" x14ac:dyDescent="0.2">
      <c r="A2052">
        <v>2051</v>
      </c>
      <c r="B2052" t="s">
        <v>586</v>
      </c>
      <c r="C2052" t="s">
        <v>188</v>
      </c>
      <c r="D2052">
        <v>28</v>
      </c>
      <c r="E2052" t="s">
        <v>34</v>
      </c>
      <c r="F2052" t="s">
        <v>41</v>
      </c>
      <c r="G2052" t="s">
        <v>42</v>
      </c>
      <c r="H2052">
        <v>103515</v>
      </c>
      <c r="I2052">
        <v>0</v>
      </c>
      <c r="J2052">
        <v>0</v>
      </c>
      <c r="K2052">
        <v>1</v>
      </c>
      <c r="L2052">
        <v>0</v>
      </c>
      <c r="M2052" t="s">
        <v>43</v>
      </c>
      <c r="N2052" t="s">
        <v>116</v>
      </c>
      <c r="O2052" t="s">
        <v>44</v>
      </c>
      <c r="P2052" t="s">
        <v>442</v>
      </c>
      <c r="Q2052" t="s">
        <v>46</v>
      </c>
      <c r="R2052" t="s">
        <v>60</v>
      </c>
      <c r="S2052" t="s">
        <v>47</v>
      </c>
      <c r="T2052">
        <v>1</v>
      </c>
      <c r="U2052">
        <v>0</v>
      </c>
      <c r="V2052">
        <v>0</v>
      </c>
      <c r="W2052">
        <v>1</v>
      </c>
      <c r="X2052">
        <v>1</v>
      </c>
      <c r="Y2052">
        <v>0</v>
      </c>
      <c r="Z2052">
        <v>1</v>
      </c>
      <c r="AA2052">
        <v>0</v>
      </c>
      <c r="AB2052">
        <v>0</v>
      </c>
      <c r="AC2052">
        <v>0</v>
      </c>
      <c r="AD2052">
        <v>1</v>
      </c>
      <c r="AE2052">
        <v>0</v>
      </c>
      <c r="AF2052">
        <v>0</v>
      </c>
      <c r="AG2052">
        <v>0</v>
      </c>
    </row>
    <row r="2053" spans="1:33" x14ac:dyDescent="0.2">
      <c r="A2053">
        <v>2052</v>
      </c>
      <c r="B2053" t="s">
        <v>586</v>
      </c>
      <c r="C2053" t="s">
        <v>188</v>
      </c>
      <c r="D2053">
        <v>28</v>
      </c>
      <c r="E2053" t="s">
        <v>34</v>
      </c>
      <c r="F2053" t="s">
        <v>41</v>
      </c>
      <c r="G2053" t="s">
        <v>49</v>
      </c>
      <c r="H2053">
        <v>69108</v>
      </c>
      <c r="I2053">
        <v>0</v>
      </c>
      <c r="J2053">
        <v>0</v>
      </c>
      <c r="K2053">
        <v>0</v>
      </c>
      <c r="L2053">
        <v>1</v>
      </c>
      <c r="M2053" t="s">
        <v>52</v>
      </c>
      <c r="N2053" t="s">
        <v>95</v>
      </c>
      <c r="O2053" t="s">
        <v>50</v>
      </c>
      <c r="P2053" t="s">
        <v>442</v>
      </c>
      <c r="Q2053" t="s">
        <v>46</v>
      </c>
      <c r="R2053" t="s">
        <v>60</v>
      </c>
      <c r="S2053" t="s">
        <v>48</v>
      </c>
      <c r="T2053">
        <v>1</v>
      </c>
      <c r="U2053">
        <v>0</v>
      </c>
      <c r="V2053">
        <v>1</v>
      </c>
      <c r="W2053">
        <v>0</v>
      </c>
      <c r="X2053">
        <v>1</v>
      </c>
      <c r="Y2053">
        <v>0</v>
      </c>
      <c r="Z2053">
        <v>1</v>
      </c>
      <c r="AA2053">
        <v>0</v>
      </c>
      <c r="AB2053">
        <v>0</v>
      </c>
      <c r="AC2053">
        <v>0</v>
      </c>
      <c r="AD2053">
        <v>0</v>
      </c>
      <c r="AE2053">
        <v>0</v>
      </c>
      <c r="AF2053">
        <v>0</v>
      </c>
      <c r="AG2053">
        <v>1</v>
      </c>
    </row>
    <row r="2054" spans="1:33" hidden="1" x14ac:dyDescent="0.2">
      <c r="A2054">
        <v>2053</v>
      </c>
      <c r="B2054" t="s">
        <v>586</v>
      </c>
      <c r="C2054" t="s">
        <v>188</v>
      </c>
      <c r="D2054">
        <v>28</v>
      </c>
      <c r="E2054" t="s">
        <v>34</v>
      </c>
      <c r="F2054" t="s">
        <v>53</v>
      </c>
      <c r="G2054" t="s">
        <v>76</v>
      </c>
      <c r="H2054">
        <v>59245</v>
      </c>
      <c r="I2054">
        <v>0</v>
      </c>
      <c r="J2054">
        <v>0</v>
      </c>
      <c r="K2054">
        <v>1</v>
      </c>
      <c r="L2054">
        <v>0</v>
      </c>
      <c r="M2054" t="s">
        <v>36</v>
      </c>
      <c r="N2054" t="s">
        <v>36</v>
      </c>
      <c r="O2054" t="s">
        <v>36</v>
      </c>
      <c r="P2054" t="s">
        <v>442</v>
      </c>
      <c r="Q2054" t="s">
        <v>36</v>
      </c>
      <c r="R2054" t="s">
        <v>36</v>
      </c>
      <c r="S2054" t="s">
        <v>36</v>
      </c>
      <c r="T2054" t="s">
        <v>36</v>
      </c>
      <c r="U2054">
        <v>0</v>
      </c>
      <c r="V2054">
        <v>1</v>
      </c>
      <c r="W2054">
        <v>0</v>
      </c>
      <c r="X2054">
        <v>1</v>
      </c>
      <c r="Y2054">
        <v>0</v>
      </c>
      <c r="Z2054">
        <v>1</v>
      </c>
      <c r="AA2054">
        <v>0</v>
      </c>
      <c r="AB2054">
        <v>0</v>
      </c>
      <c r="AC2054">
        <v>0</v>
      </c>
      <c r="AD2054">
        <v>0</v>
      </c>
      <c r="AE2054">
        <v>0</v>
      </c>
      <c r="AF2054">
        <v>0</v>
      </c>
      <c r="AG2054">
        <v>1</v>
      </c>
    </row>
    <row r="2055" spans="1:33" x14ac:dyDescent="0.2">
      <c r="A2055">
        <v>2054</v>
      </c>
      <c r="B2055" t="s">
        <v>586</v>
      </c>
      <c r="C2055" t="s">
        <v>188</v>
      </c>
      <c r="D2055">
        <v>28</v>
      </c>
      <c r="E2055" t="s">
        <v>34</v>
      </c>
      <c r="F2055" t="s">
        <v>41</v>
      </c>
      <c r="G2055" t="s">
        <v>72</v>
      </c>
      <c r="H2055">
        <v>40115</v>
      </c>
      <c r="I2055">
        <v>0</v>
      </c>
      <c r="J2055">
        <v>0</v>
      </c>
      <c r="K2055">
        <v>0</v>
      </c>
      <c r="L2055">
        <v>1</v>
      </c>
      <c r="M2055" t="s">
        <v>73</v>
      </c>
      <c r="N2055" t="s">
        <v>75</v>
      </c>
      <c r="O2055" t="s">
        <v>104</v>
      </c>
      <c r="P2055" t="s">
        <v>442</v>
      </c>
      <c r="Q2055" t="s">
        <v>48</v>
      </c>
      <c r="R2055" t="s">
        <v>46</v>
      </c>
      <c r="S2055" t="s">
        <v>60</v>
      </c>
      <c r="T2055">
        <v>1</v>
      </c>
      <c r="U2055">
        <v>0</v>
      </c>
      <c r="V2055">
        <v>1</v>
      </c>
      <c r="W2055">
        <v>0</v>
      </c>
      <c r="X2055">
        <v>1</v>
      </c>
      <c r="Y2055">
        <v>0</v>
      </c>
      <c r="Z2055">
        <v>1</v>
      </c>
      <c r="AA2055">
        <v>0</v>
      </c>
      <c r="AB2055">
        <v>0</v>
      </c>
      <c r="AC2055">
        <v>0</v>
      </c>
      <c r="AD2055">
        <v>0</v>
      </c>
      <c r="AE2055">
        <v>0</v>
      </c>
      <c r="AF2055">
        <v>0</v>
      </c>
      <c r="AG2055">
        <v>1</v>
      </c>
    </row>
    <row r="2056" spans="1:33" hidden="1" x14ac:dyDescent="0.2">
      <c r="A2056">
        <v>2055</v>
      </c>
      <c r="B2056" t="s">
        <v>586</v>
      </c>
      <c r="C2056" t="s">
        <v>188</v>
      </c>
      <c r="D2056">
        <v>28</v>
      </c>
      <c r="E2056" t="s">
        <v>34</v>
      </c>
      <c r="F2056" t="s">
        <v>53</v>
      </c>
      <c r="G2056" t="s">
        <v>66</v>
      </c>
      <c r="H2056">
        <v>81711</v>
      </c>
      <c r="I2056">
        <v>0</v>
      </c>
      <c r="J2056">
        <v>0</v>
      </c>
      <c r="K2056">
        <v>0</v>
      </c>
      <c r="L2056">
        <v>1</v>
      </c>
      <c r="M2056" t="s">
        <v>36</v>
      </c>
      <c r="N2056" t="s">
        <v>36</v>
      </c>
      <c r="O2056" t="s">
        <v>36</v>
      </c>
      <c r="P2056" t="s">
        <v>442</v>
      </c>
      <c r="Q2056" t="s">
        <v>36</v>
      </c>
      <c r="R2056" t="s">
        <v>36</v>
      </c>
      <c r="S2056" t="s">
        <v>36</v>
      </c>
      <c r="T2056" t="s">
        <v>36</v>
      </c>
      <c r="U2056">
        <v>0</v>
      </c>
      <c r="V2056">
        <v>1</v>
      </c>
      <c r="W2056">
        <v>0</v>
      </c>
      <c r="X2056">
        <v>1</v>
      </c>
      <c r="Y2056">
        <v>0</v>
      </c>
      <c r="Z2056">
        <v>1</v>
      </c>
      <c r="AA2056">
        <v>0</v>
      </c>
      <c r="AB2056">
        <v>0</v>
      </c>
      <c r="AC2056">
        <v>0</v>
      </c>
      <c r="AD2056">
        <v>0</v>
      </c>
      <c r="AE2056">
        <v>0</v>
      </c>
      <c r="AF2056">
        <v>0</v>
      </c>
      <c r="AG2056">
        <v>1</v>
      </c>
    </row>
    <row r="2057" spans="1:33" x14ac:dyDescent="0.2">
      <c r="A2057">
        <v>2056</v>
      </c>
      <c r="B2057" t="s">
        <v>586</v>
      </c>
      <c r="C2057" t="s">
        <v>188</v>
      </c>
      <c r="D2057">
        <v>28</v>
      </c>
      <c r="E2057" t="s">
        <v>34</v>
      </c>
      <c r="F2057" t="s">
        <v>41</v>
      </c>
      <c r="G2057" t="s">
        <v>67</v>
      </c>
      <c r="H2057">
        <v>19076</v>
      </c>
      <c r="I2057">
        <v>1</v>
      </c>
      <c r="J2057">
        <v>0</v>
      </c>
      <c r="K2057">
        <v>0</v>
      </c>
      <c r="L2057">
        <v>0</v>
      </c>
      <c r="M2057" t="s">
        <v>70</v>
      </c>
      <c r="N2057" t="s">
        <v>109</v>
      </c>
      <c r="O2057" t="s">
        <v>86</v>
      </c>
      <c r="P2057" t="s">
        <v>442</v>
      </c>
      <c r="Q2057" t="s">
        <v>47</v>
      </c>
      <c r="R2057" t="s">
        <v>59</v>
      </c>
      <c r="S2057" t="s">
        <v>46</v>
      </c>
      <c r="T2057">
        <v>0</v>
      </c>
      <c r="U2057">
        <v>0</v>
      </c>
      <c r="V2057">
        <v>0</v>
      </c>
      <c r="W2057">
        <v>1</v>
      </c>
      <c r="X2057">
        <v>1</v>
      </c>
      <c r="Y2057">
        <v>0</v>
      </c>
      <c r="Z2057">
        <v>1</v>
      </c>
      <c r="AA2057">
        <v>0</v>
      </c>
      <c r="AB2057">
        <v>0</v>
      </c>
      <c r="AC2057">
        <v>0</v>
      </c>
      <c r="AD2057">
        <v>1</v>
      </c>
      <c r="AE2057">
        <v>0</v>
      </c>
      <c r="AF2057">
        <v>0</v>
      </c>
      <c r="AG2057">
        <v>0</v>
      </c>
    </row>
    <row r="2058" spans="1:33" hidden="1" x14ac:dyDescent="0.2">
      <c r="A2058">
        <v>2057</v>
      </c>
      <c r="B2058" t="s">
        <v>586</v>
      </c>
      <c r="C2058" t="s">
        <v>188</v>
      </c>
      <c r="D2058">
        <v>28</v>
      </c>
      <c r="E2058" t="s">
        <v>34</v>
      </c>
      <c r="F2058" t="s">
        <v>53</v>
      </c>
      <c r="G2058" t="s">
        <v>54</v>
      </c>
      <c r="H2058">
        <v>108551</v>
      </c>
      <c r="I2058">
        <v>0</v>
      </c>
      <c r="J2058">
        <v>0</v>
      </c>
      <c r="K2058">
        <v>1</v>
      </c>
      <c r="L2058">
        <v>0</v>
      </c>
      <c r="M2058" t="s">
        <v>36</v>
      </c>
      <c r="N2058" t="s">
        <v>36</v>
      </c>
      <c r="O2058" t="s">
        <v>36</v>
      </c>
      <c r="P2058" t="s">
        <v>442</v>
      </c>
      <c r="Q2058" t="s">
        <v>36</v>
      </c>
      <c r="R2058" t="s">
        <v>36</v>
      </c>
      <c r="S2058" t="s">
        <v>36</v>
      </c>
      <c r="T2058" t="s">
        <v>36</v>
      </c>
      <c r="U2058">
        <v>0</v>
      </c>
      <c r="V2058">
        <v>0</v>
      </c>
      <c r="W2058">
        <v>1</v>
      </c>
      <c r="X2058">
        <v>1</v>
      </c>
      <c r="Y2058">
        <v>0</v>
      </c>
      <c r="Z2058">
        <v>1</v>
      </c>
      <c r="AA2058">
        <v>0</v>
      </c>
      <c r="AB2058">
        <v>0</v>
      </c>
      <c r="AC2058">
        <v>0</v>
      </c>
      <c r="AD2058">
        <v>1</v>
      </c>
      <c r="AE2058">
        <v>0</v>
      </c>
      <c r="AF2058">
        <v>0</v>
      </c>
      <c r="AG2058">
        <v>0</v>
      </c>
    </row>
    <row r="2059" spans="1:33" hidden="1" x14ac:dyDescent="0.2">
      <c r="A2059">
        <v>2058</v>
      </c>
      <c r="B2059" t="s">
        <v>586</v>
      </c>
      <c r="C2059" t="s">
        <v>188</v>
      </c>
      <c r="D2059">
        <v>28</v>
      </c>
      <c r="E2059" t="s">
        <v>34</v>
      </c>
      <c r="F2059" t="s">
        <v>77</v>
      </c>
      <c r="G2059" t="s">
        <v>36</v>
      </c>
      <c r="H2059">
        <v>124887</v>
      </c>
      <c r="I2059" t="s">
        <v>587</v>
      </c>
      <c r="J2059" t="s">
        <v>588</v>
      </c>
      <c r="K2059" t="s">
        <v>393</v>
      </c>
      <c r="L2059" t="s">
        <v>36</v>
      </c>
      <c r="M2059" t="s">
        <v>36</v>
      </c>
      <c r="N2059" t="s">
        <v>36</v>
      </c>
      <c r="O2059" t="s">
        <v>36</v>
      </c>
      <c r="P2059" t="s">
        <v>442</v>
      </c>
      <c r="Q2059" t="s">
        <v>36</v>
      </c>
      <c r="R2059" t="s">
        <v>36</v>
      </c>
      <c r="S2059" t="s">
        <v>36</v>
      </c>
      <c r="T2059" t="s">
        <v>36</v>
      </c>
      <c r="U2059" t="s">
        <v>36</v>
      </c>
      <c r="V2059" t="s">
        <v>36</v>
      </c>
      <c r="W2059" t="s">
        <v>36</v>
      </c>
      <c r="X2059" t="s">
        <v>36</v>
      </c>
      <c r="Y2059" t="s">
        <v>36</v>
      </c>
      <c r="Z2059" t="s">
        <v>36</v>
      </c>
      <c r="AA2059" t="s">
        <v>36</v>
      </c>
      <c r="AB2059" t="s">
        <v>36</v>
      </c>
      <c r="AC2059" t="s">
        <v>36</v>
      </c>
      <c r="AD2059" t="s">
        <v>36</v>
      </c>
      <c r="AE2059" t="s">
        <v>36</v>
      </c>
      <c r="AF2059" t="s">
        <v>36</v>
      </c>
      <c r="AG2059" t="s">
        <v>36</v>
      </c>
    </row>
    <row r="2060" spans="1:33" hidden="1" x14ac:dyDescent="0.2">
      <c r="A2060">
        <v>2059</v>
      </c>
      <c r="B2060" t="s">
        <v>589</v>
      </c>
      <c r="C2060" t="s">
        <v>188</v>
      </c>
      <c r="D2060">
        <v>37</v>
      </c>
      <c r="E2060" t="s">
        <v>34</v>
      </c>
      <c r="F2060" t="s">
        <v>35</v>
      </c>
      <c r="G2060" t="s">
        <v>36</v>
      </c>
      <c r="H2060">
        <v>50749</v>
      </c>
      <c r="I2060" t="s">
        <v>36</v>
      </c>
      <c r="J2060" t="s">
        <v>36</v>
      </c>
      <c r="K2060" t="s">
        <v>36</v>
      </c>
      <c r="L2060" t="s">
        <v>36</v>
      </c>
      <c r="M2060" t="s">
        <v>36</v>
      </c>
      <c r="N2060" t="s">
        <v>36</v>
      </c>
      <c r="O2060" t="s">
        <v>36</v>
      </c>
      <c r="P2060" t="s">
        <v>442</v>
      </c>
      <c r="Q2060" t="s">
        <v>36</v>
      </c>
      <c r="R2060" t="s">
        <v>36</v>
      </c>
      <c r="S2060" t="s">
        <v>36</v>
      </c>
      <c r="T2060" t="s">
        <v>36</v>
      </c>
      <c r="U2060" t="s">
        <v>36</v>
      </c>
      <c r="V2060" t="s">
        <v>36</v>
      </c>
      <c r="W2060" t="s">
        <v>36</v>
      </c>
      <c r="X2060" t="s">
        <v>36</v>
      </c>
      <c r="Y2060" t="s">
        <v>36</v>
      </c>
      <c r="Z2060" t="s">
        <v>36</v>
      </c>
      <c r="AA2060" t="s">
        <v>36</v>
      </c>
      <c r="AB2060" t="s">
        <v>36</v>
      </c>
      <c r="AC2060" t="s">
        <v>36</v>
      </c>
      <c r="AD2060" t="s">
        <v>36</v>
      </c>
      <c r="AE2060" t="s">
        <v>36</v>
      </c>
      <c r="AF2060" t="s">
        <v>36</v>
      </c>
      <c r="AG2060" t="s">
        <v>36</v>
      </c>
    </row>
    <row r="2061" spans="1:33" hidden="1" x14ac:dyDescent="0.2">
      <c r="A2061">
        <v>2060</v>
      </c>
      <c r="B2061" t="s">
        <v>589</v>
      </c>
      <c r="C2061" t="s">
        <v>188</v>
      </c>
      <c r="D2061">
        <v>37</v>
      </c>
      <c r="E2061" t="s">
        <v>34</v>
      </c>
      <c r="F2061" t="s">
        <v>38</v>
      </c>
      <c r="G2061" t="s">
        <v>40</v>
      </c>
      <c r="H2061">
        <v>30838</v>
      </c>
      <c r="I2061">
        <v>1</v>
      </c>
      <c r="J2061">
        <v>1</v>
      </c>
      <c r="K2061">
        <v>1</v>
      </c>
      <c r="L2061">
        <v>0</v>
      </c>
      <c r="M2061" t="s">
        <v>36</v>
      </c>
      <c r="N2061" t="s">
        <v>36</v>
      </c>
      <c r="O2061" t="s">
        <v>36</v>
      </c>
      <c r="P2061" t="s">
        <v>442</v>
      </c>
      <c r="Q2061" t="s">
        <v>36</v>
      </c>
      <c r="R2061" t="s">
        <v>36</v>
      </c>
      <c r="S2061" t="s">
        <v>36</v>
      </c>
      <c r="T2061" t="s">
        <v>36</v>
      </c>
      <c r="U2061" t="s">
        <v>36</v>
      </c>
      <c r="V2061" t="s">
        <v>36</v>
      </c>
      <c r="W2061" t="s">
        <v>36</v>
      </c>
      <c r="X2061" t="s">
        <v>36</v>
      </c>
      <c r="Y2061" t="s">
        <v>36</v>
      </c>
      <c r="Z2061" t="s">
        <v>36</v>
      </c>
      <c r="AA2061" t="s">
        <v>36</v>
      </c>
      <c r="AB2061" t="s">
        <v>36</v>
      </c>
      <c r="AC2061" t="s">
        <v>36</v>
      </c>
      <c r="AD2061" t="s">
        <v>36</v>
      </c>
      <c r="AE2061" t="s">
        <v>36</v>
      </c>
      <c r="AF2061" t="s">
        <v>36</v>
      </c>
      <c r="AG2061" t="s">
        <v>36</v>
      </c>
    </row>
    <row r="2062" spans="1:33" hidden="1" x14ac:dyDescent="0.2">
      <c r="A2062">
        <v>2061</v>
      </c>
      <c r="B2062" t="s">
        <v>589</v>
      </c>
      <c r="C2062" t="s">
        <v>188</v>
      </c>
      <c r="D2062">
        <v>37</v>
      </c>
      <c r="E2062" t="s">
        <v>34</v>
      </c>
      <c r="F2062" t="s">
        <v>38</v>
      </c>
      <c r="G2062" t="s">
        <v>39</v>
      </c>
      <c r="H2062">
        <v>11941</v>
      </c>
      <c r="I2062">
        <v>1</v>
      </c>
      <c r="J2062">
        <v>1</v>
      </c>
      <c r="K2062">
        <v>1</v>
      </c>
      <c r="L2062">
        <v>0</v>
      </c>
      <c r="M2062" t="s">
        <v>36</v>
      </c>
      <c r="N2062" t="s">
        <v>36</v>
      </c>
      <c r="O2062" t="s">
        <v>36</v>
      </c>
      <c r="P2062" t="s">
        <v>442</v>
      </c>
      <c r="Q2062" t="s">
        <v>36</v>
      </c>
      <c r="R2062" t="s">
        <v>36</v>
      </c>
      <c r="S2062" t="s">
        <v>36</v>
      </c>
      <c r="T2062" t="s">
        <v>36</v>
      </c>
      <c r="U2062" t="s">
        <v>36</v>
      </c>
      <c r="V2062" t="s">
        <v>36</v>
      </c>
      <c r="W2062" t="s">
        <v>36</v>
      </c>
      <c r="X2062" t="s">
        <v>36</v>
      </c>
      <c r="Y2062" t="s">
        <v>36</v>
      </c>
      <c r="Z2062" t="s">
        <v>36</v>
      </c>
      <c r="AA2062" t="s">
        <v>36</v>
      </c>
      <c r="AB2062" t="s">
        <v>36</v>
      </c>
      <c r="AC2062" t="s">
        <v>36</v>
      </c>
      <c r="AD2062" t="s">
        <v>36</v>
      </c>
      <c r="AE2062" t="s">
        <v>36</v>
      </c>
      <c r="AF2062" t="s">
        <v>36</v>
      </c>
      <c r="AG2062" t="s">
        <v>36</v>
      </c>
    </row>
    <row r="2063" spans="1:33" x14ac:dyDescent="0.2">
      <c r="A2063">
        <v>2062</v>
      </c>
      <c r="B2063" t="s">
        <v>589</v>
      </c>
      <c r="C2063" t="s">
        <v>188</v>
      </c>
      <c r="D2063">
        <v>37</v>
      </c>
      <c r="E2063" t="s">
        <v>34</v>
      </c>
      <c r="F2063" t="s">
        <v>41</v>
      </c>
      <c r="G2063" t="s">
        <v>61</v>
      </c>
      <c r="H2063">
        <v>138682</v>
      </c>
      <c r="I2063">
        <v>1</v>
      </c>
      <c r="J2063">
        <v>1</v>
      </c>
      <c r="K2063">
        <v>0</v>
      </c>
      <c r="L2063">
        <v>0</v>
      </c>
      <c r="M2063" t="s">
        <v>62</v>
      </c>
      <c r="N2063" t="s">
        <v>63</v>
      </c>
      <c r="O2063" t="s">
        <v>87</v>
      </c>
      <c r="P2063" t="s">
        <v>442</v>
      </c>
      <c r="Q2063" t="s">
        <v>65</v>
      </c>
      <c r="R2063" t="s">
        <v>46</v>
      </c>
      <c r="S2063" t="s">
        <v>47</v>
      </c>
      <c r="T2063">
        <v>0</v>
      </c>
      <c r="U2063">
        <v>1</v>
      </c>
      <c r="V2063">
        <v>0</v>
      </c>
      <c r="W2063">
        <v>1</v>
      </c>
      <c r="X2063">
        <v>1</v>
      </c>
      <c r="Y2063">
        <v>0</v>
      </c>
      <c r="Z2063">
        <v>1</v>
      </c>
      <c r="AA2063">
        <v>0</v>
      </c>
      <c r="AB2063">
        <v>1</v>
      </c>
      <c r="AC2063">
        <v>0</v>
      </c>
      <c r="AD2063">
        <v>0</v>
      </c>
      <c r="AE2063">
        <v>1</v>
      </c>
      <c r="AF2063">
        <v>0</v>
      </c>
      <c r="AG2063">
        <v>0</v>
      </c>
    </row>
    <row r="2064" spans="1:33" x14ac:dyDescent="0.2">
      <c r="A2064">
        <v>2063</v>
      </c>
      <c r="B2064" t="s">
        <v>589</v>
      </c>
      <c r="C2064" t="s">
        <v>188</v>
      </c>
      <c r="D2064">
        <v>37</v>
      </c>
      <c r="E2064" t="s">
        <v>34</v>
      </c>
      <c r="F2064" t="s">
        <v>41</v>
      </c>
      <c r="G2064" t="s">
        <v>72</v>
      </c>
      <c r="H2064">
        <v>6211</v>
      </c>
      <c r="I2064">
        <v>1</v>
      </c>
      <c r="J2064">
        <v>1</v>
      </c>
      <c r="K2064">
        <v>1</v>
      </c>
      <c r="L2064">
        <v>0</v>
      </c>
      <c r="M2064" t="s">
        <v>75</v>
      </c>
      <c r="N2064" t="s">
        <v>73</v>
      </c>
      <c r="O2064" t="s">
        <v>74</v>
      </c>
      <c r="P2064" t="s">
        <v>442</v>
      </c>
      <c r="Q2064" t="s">
        <v>46</v>
      </c>
      <c r="R2064" t="s">
        <v>48</v>
      </c>
      <c r="S2064" t="s">
        <v>47</v>
      </c>
      <c r="T2064">
        <v>0</v>
      </c>
      <c r="U2064">
        <v>0</v>
      </c>
      <c r="V2064">
        <v>1</v>
      </c>
      <c r="W2064">
        <v>1</v>
      </c>
      <c r="X2064">
        <v>1</v>
      </c>
      <c r="Y2064">
        <v>0</v>
      </c>
      <c r="Z2064">
        <v>1</v>
      </c>
      <c r="AA2064">
        <v>0</v>
      </c>
      <c r="AB2064">
        <v>0</v>
      </c>
      <c r="AC2064">
        <v>1</v>
      </c>
      <c r="AD2064">
        <v>1</v>
      </c>
      <c r="AE2064">
        <v>1</v>
      </c>
      <c r="AF2064">
        <v>0</v>
      </c>
      <c r="AG2064">
        <v>0</v>
      </c>
    </row>
    <row r="2065" spans="1:33" hidden="1" x14ac:dyDescent="0.2">
      <c r="A2065">
        <v>2064</v>
      </c>
      <c r="B2065" t="s">
        <v>589</v>
      </c>
      <c r="C2065" t="s">
        <v>188</v>
      </c>
      <c r="D2065">
        <v>37</v>
      </c>
      <c r="E2065" t="s">
        <v>34</v>
      </c>
      <c r="F2065" t="s">
        <v>53</v>
      </c>
      <c r="G2065" t="s">
        <v>71</v>
      </c>
      <c r="H2065">
        <v>20630</v>
      </c>
      <c r="I2065">
        <v>1</v>
      </c>
      <c r="J2065">
        <v>0</v>
      </c>
      <c r="K2065">
        <v>0</v>
      </c>
      <c r="L2065">
        <v>0</v>
      </c>
      <c r="M2065" t="s">
        <v>36</v>
      </c>
      <c r="N2065" t="s">
        <v>36</v>
      </c>
      <c r="O2065" t="s">
        <v>36</v>
      </c>
      <c r="P2065" t="s">
        <v>442</v>
      </c>
      <c r="Q2065" t="s">
        <v>36</v>
      </c>
      <c r="R2065" t="s">
        <v>36</v>
      </c>
      <c r="S2065" t="s">
        <v>36</v>
      </c>
      <c r="T2065" t="s">
        <v>36</v>
      </c>
      <c r="U2065">
        <v>0</v>
      </c>
      <c r="V2065">
        <v>1</v>
      </c>
      <c r="W2065">
        <v>1</v>
      </c>
      <c r="X2065">
        <v>1</v>
      </c>
      <c r="Y2065">
        <v>0</v>
      </c>
      <c r="Z2065">
        <v>1</v>
      </c>
      <c r="AA2065">
        <v>0</v>
      </c>
      <c r="AB2065">
        <v>0</v>
      </c>
      <c r="AC2065">
        <v>1</v>
      </c>
      <c r="AD2065">
        <v>1</v>
      </c>
      <c r="AE2065">
        <v>1</v>
      </c>
      <c r="AF2065">
        <v>0</v>
      </c>
      <c r="AG2065">
        <v>0</v>
      </c>
    </row>
    <row r="2066" spans="1:33" x14ac:dyDescent="0.2">
      <c r="A2066">
        <v>2065</v>
      </c>
      <c r="B2066" t="s">
        <v>589</v>
      </c>
      <c r="C2066" t="s">
        <v>188</v>
      </c>
      <c r="D2066">
        <v>37</v>
      </c>
      <c r="E2066" t="s">
        <v>34</v>
      </c>
      <c r="F2066" t="s">
        <v>41</v>
      </c>
      <c r="G2066" t="s">
        <v>55</v>
      </c>
      <c r="H2066">
        <v>10359</v>
      </c>
      <c r="I2066">
        <v>1</v>
      </c>
      <c r="J2066">
        <v>1</v>
      </c>
      <c r="K2066">
        <v>0</v>
      </c>
      <c r="L2066">
        <v>0</v>
      </c>
      <c r="M2066" t="s">
        <v>84</v>
      </c>
      <c r="N2066" t="s">
        <v>94</v>
      </c>
      <c r="O2066" t="s">
        <v>56</v>
      </c>
      <c r="P2066" t="s">
        <v>442</v>
      </c>
      <c r="Q2066" t="s">
        <v>46</v>
      </c>
      <c r="R2066" t="s">
        <v>47</v>
      </c>
      <c r="S2066" t="s">
        <v>59</v>
      </c>
      <c r="T2066">
        <v>0</v>
      </c>
      <c r="U2066">
        <v>0</v>
      </c>
      <c r="V2066">
        <v>0</v>
      </c>
      <c r="W2066">
        <v>1</v>
      </c>
      <c r="X2066">
        <v>1</v>
      </c>
      <c r="Y2066">
        <v>0</v>
      </c>
      <c r="Z2066">
        <v>1</v>
      </c>
      <c r="AA2066">
        <v>0</v>
      </c>
      <c r="AB2066">
        <v>0</v>
      </c>
      <c r="AC2066">
        <v>0</v>
      </c>
      <c r="AD2066">
        <v>1</v>
      </c>
      <c r="AE2066">
        <v>1</v>
      </c>
      <c r="AF2066">
        <v>0</v>
      </c>
      <c r="AG2066">
        <v>0</v>
      </c>
    </row>
    <row r="2067" spans="1:33" hidden="1" x14ac:dyDescent="0.2">
      <c r="A2067">
        <v>2066</v>
      </c>
      <c r="B2067" t="s">
        <v>589</v>
      </c>
      <c r="C2067" t="s">
        <v>188</v>
      </c>
      <c r="D2067">
        <v>37</v>
      </c>
      <c r="E2067" t="s">
        <v>34</v>
      </c>
      <c r="F2067" t="s">
        <v>53</v>
      </c>
      <c r="G2067" t="s">
        <v>76</v>
      </c>
      <c r="H2067">
        <v>48525</v>
      </c>
      <c r="I2067">
        <v>1</v>
      </c>
      <c r="J2067">
        <v>0</v>
      </c>
      <c r="K2067">
        <v>0</v>
      </c>
      <c r="L2067">
        <v>0</v>
      </c>
      <c r="M2067" t="s">
        <v>36</v>
      </c>
      <c r="N2067" t="s">
        <v>36</v>
      </c>
      <c r="O2067" t="s">
        <v>36</v>
      </c>
      <c r="P2067" t="s">
        <v>442</v>
      </c>
      <c r="Q2067" t="s">
        <v>36</v>
      </c>
      <c r="R2067" t="s">
        <v>36</v>
      </c>
      <c r="S2067" t="s">
        <v>36</v>
      </c>
      <c r="T2067" t="s">
        <v>36</v>
      </c>
      <c r="U2067">
        <v>0</v>
      </c>
      <c r="V2067">
        <v>0</v>
      </c>
      <c r="W2067">
        <v>1</v>
      </c>
      <c r="X2067">
        <v>1</v>
      </c>
      <c r="Y2067">
        <v>0</v>
      </c>
      <c r="Z2067">
        <v>1</v>
      </c>
      <c r="AA2067">
        <v>0</v>
      </c>
      <c r="AB2067">
        <v>0</v>
      </c>
      <c r="AC2067">
        <v>0</v>
      </c>
      <c r="AD2067">
        <v>1</v>
      </c>
      <c r="AE2067">
        <v>1</v>
      </c>
      <c r="AF2067">
        <v>0</v>
      </c>
      <c r="AG2067">
        <v>0</v>
      </c>
    </row>
    <row r="2068" spans="1:33" x14ac:dyDescent="0.2">
      <c r="A2068">
        <v>2067</v>
      </c>
      <c r="B2068" t="s">
        <v>589</v>
      </c>
      <c r="C2068" t="s">
        <v>188</v>
      </c>
      <c r="D2068">
        <v>37</v>
      </c>
      <c r="E2068" t="s">
        <v>34</v>
      </c>
      <c r="F2068" t="s">
        <v>41</v>
      </c>
      <c r="G2068" t="s">
        <v>49</v>
      </c>
      <c r="H2068">
        <v>92971</v>
      </c>
      <c r="I2068">
        <v>0</v>
      </c>
      <c r="J2068">
        <v>1</v>
      </c>
      <c r="K2068">
        <v>0</v>
      </c>
      <c r="L2068">
        <v>0</v>
      </c>
      <c r="M2068" t="s">
        <v>83</v>
      </c>
      <c r="N2068" t="s">
        <v>52</v>
      </c>
      <c r="O2068" t="s">
        <v>50</v>
      </c>
      <c r="P2068" t="s">
        <v>442</v>
      </c>
      <c r="Q2068" t="s">
        <v>59</v>
      </c>
      <c r="R2068" t="s">
        <v>46</v>
      </c>
      <c r="S2068" t="s">
        <v>48</v>
      </c>
      <c r="T2068">
        <v>0</v>
      </c>
      <c r="U2068">
        <v>0</v>
      </c>
      <c r="V2068">
        <v>1</v>
      </c>
      <c r="W2068">
        <v>0</v>
      </c>
      <c r="X2068">
        <v>1</v>
      </c>
      <c r="Y2068">
        <v>0</v>
      </c>
      <c r="Z2068">
        <v>1</v>
      </c>
      <c r="AA2068">
        <v>0</v>
      </c>
      <c r="AB2068">
        <v>0</v>
      </c>
      <c r="AC2068">
        <v>0</v>
      </c>
      <c r="AD2068">
        <v>0</v>
      </c>
      <c r="AE2068">
        <v>1</v>
      </c>
      <c r="AF2068">
        <v>0</v>
      </c>
      <c r="AG2068">
        <v>0</v>
      </c>
    </row>
    <row r="2069" spans="1:33" x14ac:dyDescent="0.2">
      <c r="A2069">
        <v>2068</v>
      </c>
      <c r="B2069" t="s">
        <v>589</v>
      </c>
      <c r="C2069" t="s">
        <v>188</v>
      </c>
      <c r="D2069">
        <v>37</v>
      </c>
      <c r="E2069" t="s">
        <v>34</v>
      </c>
      <c r="F2069" t="s">
        <v>41</v>
      </c>
      <c r="G2069" t="s">
        <v>42</v>
      </c>
      <c r="H2069">
        <v>48913</v>
      </c>
      <c r="I2069">
        <v>1</v>
      </c>
      <c r="J2069">
        <v>0</v>
      </c>
      <c r="K2069">
        <v>0</v>
      </c>
      <c r="L2069">
        <v>0</v>
      </c>
      <c r="M2069" t="s">
        <v>43</v>
      </c>
      <c r="N2069" t="s">
        <v>102</v>
      </c>
      <c r="O2069" t="s">
        <v>82</v>
      </c>
      <c r="P2069" t="s">
        <v>442</v>
      </c>
      <c r="Q2069" t="s">
        <v>46</v>
      </c>
      <c r="R2069" t="s">
        <v>59</v>
      </c>
      <c r="S2069" t="s">
        <v>65</v>
      </c>
      <c r="T2069">
        <v>0</v>
      </c>
      <c r="U2069">
        <v>1</v>
      </c>
      <c r="V2069">
        <v>0</v>
      </c>
      <c r="W2069">
        <v>0</v>
      </c>
      <c r="X2069">
        <v>1</v>
      </c>
      <c r="Y2069">
        <v>0</v>
      </c>
      <c r="Z2069">
        <v>1</v>
      </c>
      <c r="AA2069">
        <v>0</v>
      </c>
      <c r="AB2069">
        <v>0</v>
      </c>
      <c r="AC2069">
        <v>0</v>
      </c>
      <c r="AD2069">
        <v>0</v>
      </c>
      <c r="AE2069">
        <v>1</v>
      </c>
      <c r="AF2069">
        <v>0</v>
      </c>
      <c r="AG2069">
        <v>0</v>
      </c>
    </row>
    <row r="2070" spans="1:33" hidden="1" x14ac:dyDescent="0.2">
      <c r="A2070">
        <v>2069</v>
      </c>
      <c r="B2070" t="s">
        <v>589</v>
      </c>
      <c r="C2070" t="s">
        <v>188</v>
      </c>
      <c r="D2070">
        <v>37</v>
      </c>
      <c r="E2070" t="s">
        <v>34</v>
      </c>
      <c r="F2070" t="s">
        <v>53</v>
      </c>
      <c r="G2070" t="s">
        <v>66</v>
      </c>
      <c r="H2070">
        <v>46863</v>
      </c>
      <c r="I2070">
        <v>1</v>
      </c>
      <c r="J2070">
        <v>0</v>
      </c>
      <c r="K2070">
        <v>0</v>
      </c>
      <c r="L2070">
        <v>0</v>
      </c>
      <c r="M2070" t="s">
        <v>36</v>
      </c>
      <c r="N2070" t="s">
        <v>36</v>
      </c>
      <c r="O2070" t="s">
        <v>36</v>
      </c>
      <c r="P2070" t="s">
        <v>442</v>
      </c>
      <c r="Q2070" t="s">
        <v>36</v>
      </c>
      <c r="R2070" t="s">
        <v>36</v>
      </c>
      <c r="S2070" t="s">
        <v>36</v>
      </c>
      <c r="T2070" t="s">
        <v>36</v>
      </c>
      <c r="U2070">
        <v>1</v>
      </c>
      <c r="V2070">
        <v>0</v>
      </c>
      <c r="W2070">
        <v>0</v>
      </c>
      <c r="X2070">
        <v>1</v>
      </c>
      <c r="Y2070">
        <v>0</v>
      </c>
      <c r="Z2070">
        <v>1</v>
      </c>
      <c r="AA2070">
        <v>0</v>
      </c>
      <c r="AB2070">
        <v>0</v>
      </c>
      <c r="AC2070">
        <v>0</v>
      </c>
      <c r="AD2070">
        <v>0</v>
      </c>
      <c r="AE2070">
        <v>1</v>
      </c>
      <c r="AF2070">
        <v>0</v>
      </c>
      <c r="AG2070">
        <v>0</v>
      </c>
    </row>
    <row r="2071" spans="1:33" x14ac:dyDescent="0.2">
      <c r="A2071">
        <v>2070</v>
      </c>
      <c r="B2071" t="s">
        <v>589</v>
      </c>
      <c r="C2071" t="s">
        <v>188</v>
      </c>
      <c r="D2071">
        <v>37</v>
      </c>
      <c r="E2071" t="s">
        <v>34</v>
      </c>
      <c r="F2071" t="s">
        <v>41</v>
      </c>
      <c r="G2071" t="s">
        <v>67</v>
      </c>
      <c r="H2071">
        <v>45741</v>
      </c>
      <c r="I2071">
        <v>0</v>
      </c>
      <c r="J2071">
        <v>0</v>
      </c>
      <c r="K2071">
        <v>1</v>
      </c>
      <c r="L2071">
        <v>0</v>
      </c>
      <c r="M2071" t="s">
        <v>69</v>
      </c>
      <c r="N2071" t="s">
        <v>68</v>
      </c>
      <c r="O2071" t="s">
        <v>70</v>
      </c>
      <c r="P2071" t="s">
        <v>442</v>
      </c>
      <c r="Q2071" t="s">
        <v>48</v>
      </c>
      <c r="R2071" t="s">
        <v>65</v>
      </c>
      <c r="S2071" t="s">
        <v>47</v>
      </c>
      <c r="T2071">
        <v>0</v>
      </c>
      <c r="U2071">
        <v>1</v>
      </c>
      <c r="V2071">
        <v>1</v>
      </c>
      <c r="W2071">
        <v>1</v>
      </c>
      <c r="X2071">
        <v>0</v>
      </c>
      <c r="Y2071">
        <v>0</v>
      </c>
      <c r="Z2071">
        <v>1</v>
      </c>
      <c r="AA2071">
        <v>0</v>
      </c>
      <c r="AB2071">
        <v>0</v>
      </c>
      <c r="AC2071">
        <v>0</v>
      </c>
      <c r="AD2071">
        <v>1</v>
      </c>
      <c r="AE2071">
        <v>0</v>
      </c>
      <c r="AF2071">
        <v>0</v>
      </c>
      <c r="AG2071">
        <v>0</v>
      </c>
    </row>
    <row r="2072" spans="1:33" hidden="1" x14ac:dyDescent="0.2">
      <c r="A2072">
        <v>2071</v>
      </c>
      <c r="B2072" t="s">
        <v>589</v>
      </c>
      <c r="C2072" t="s">
        <v>188</v>
      </c>
      <c r="D2072">
        <v>37</v>
      </c>
      <c r="E2072" t="s">
        <v>34</v>
      </c>
      <c r="F2072" t="s">
        <v>53</v>
      </c>
      <c r="G2072" t="s">
        <v>54</v>
      </c>
      <c r="H2072">
        <v>17725</v>
      </c>
      <c r="I2072">
        <v>1</v>
      </c>
      <c r="J2072">
        <v>0</v>
      </c>
      <c r="K2072">
        <v>0</v>
      </c>
      <c r="L2072">
        <v>0</v>
      </c>
      <c r="M2072" t="s">
        <v>36</v>
      </c>
      <c r="N2072" t="s">
        <v>36</v>
      </c>
      <c r="O2072" t="s">
        <v>36</v>
      </c>
      <c r="P2072" t="s">
        <v>442</v>
      </c>
      <c r="Q2072" t="s">
        <v>36</v>
      </c>
      <c r="R2072" t="s">
        <v>36</v>
      </c>
      <c r="S2072" t="s">
        <v>36</v>
      </c>
      <c r="T2072" t="s">
        <v>36</v>
      </c>
      <c r="U2072">
        <v>1</v>
      </c>
      <c r="V2072">
        <v>1</v>
      </c>
      <c r="W2072">
        <v>1</v>
      </c>
      <c r="X2072">
        <v>0</v>
      </c>
      <c r="Y2072">
        <v>0</v>
      </c>
      <c r="Z2072">
        <v>1</v>
      </c>
      <c r="AA2072">
        <v>0</v>
      </c>
      <c r="AB2072">
        <v>0</v>
      </c>
      <c r="AC2072">
        <v>0</v>
      </c>
      <c r="AD2072">
        <v>1</v>
      </c>
      <c r="AE2072">
        <v>0</v>
      </c>
      <c r="AF2072">
        <v>0</v>
      </c>
      <c r="AG2072">
        <v>0</v>
      </c>
    </row>
    <row r="2073" spans="1:33" hidden="1" x14ac:dyDescent="0.2">
      <c r="A2073">
        <v>2072</v>
      </c>
      <c r="B2073" t="s">
        <v>589</v>
      </c>
      <c r="C2073" t="s">
        <v>188</v>
      </c>
      <c r="D2073">
        <v>37</v>
      </c>
      <c r="E2073" t="s">
        <v>34</v>
      </c>
      <c r="F2073" t="s">
        <v>77</v>
      </c>
      <c r="G2073" t="s">
        <v>36</v>
      </c>
      <c r="H2073">
        <v>676334</v>
      </c>
      <c r="I2073" t="s">
        <v>590</v>
      </c>
      <c r="J2073" t="s">
        <v>591</v>
      </c>
      <c r="K2073" t="s">
        <v>592</v>
      </c>
      <c r="L2073" t="s">
        <v>36</v>
      </c>
      <c r="M2073" t="s">
        <v>36</v>
      </c>
      <c r="N2073" t="s">
        <v>36</v>
      </c>
      <c r="O2073" t="s">
        <v>36</v>
      </c>
      <c r="P2073" t="s">
        <v>442</v>
      </c>
      <c r="Q2073" t="s">
        <v>36</v>
      </c>
      <c r="R2073" t="s">
        <v>36</v>
      </c>
      <c r="S2073" t="s">
        <v>36</v>
      </c>
      <c r="T2073" t="s">
        <v>36</v>
      </c>
      <c r="U2073" t="s">
        <v>36</v>
      </c>
      <c r="V2073" t="s">
        <v>36</v>
      </c>
      <c r="W2073" t="s">
        <v>36</v>
      </c>
      <c r="X2073" t="s">
        <v>36</v>
      </c>
      <c r="Y2073" t="s">
        <v>36</v>
      </c>
      <c r="Z2073" t="s">
        <v>36</v>
      </c>
      <c r="AA2073" t="s">
        <v>36</v>
      </c>
      <c r="AB2073" t="s">
        <v>36</v>
      </c>
      <c r="AC2073" t="s">
        <v>36</v>
      </c>
      <c r="AD2073" t="s">
        <v>36</v>
      </c>
      <c r="AE2073" t="s">
        <v>36</v>
      </c>
      <c r="AF2073" t="s">
        <v>36</v>
      </c>
      <c r="AG2073" t="s">
        <v>36</v>
      </c>
    </row>
    <row r="2074" spans="1:33" hidden="1" x14ac:dyDescent="0.2">
      <c r="A2074">
        <v>2073</v>
      </c>
      <c r="B2074" t="s">
        <v>593</v>
      </c>
      <c r="C2074" t="s">
        <v>108</v>
      </c>
      <c r="D2074">
        <v>55</v>
      </c>
      <c r="E2074" t="s">
        <v>114</v>
      </c>
      <c r="F2074" t="s">
        <v>35</v>
      </c>
      <c r="G2074" t="s">
        <v>36</v>
      </c>
      <c r="H2074">
        <v>32474</v>
      </c>
      <c r="I2074" t="s">
        <v>36</v>
      </c>
      <c r="J2074" t="s">
        <v>36</v>
      </c>
      <c r="K2074" t="s">
        <v>36</v>
      </c>
      <c r="L2074" t="s">
        <v>36</v>
      </c>
      <c r="M2074" t="s">
        <v>36</v>
      </c>
      <c r="N2074" t="s">
        <v>36</v>
      </c>
      <c r="O2074" t="s">
        <v>36</v>
      </c>
      <c r="P2074" t="s">
        <v>442</v>
      </c>
      <c r="Q2074" t="s">
        <v>36</v>
      </c>
      <c r="R2074" t="s">
        <v>36</v>
      </c>
      <c r="S2074" t="s">
        <v>36</v>
      </c>
      <c r="T2074" t="s">
        <v>36</v>
      </c>
      <c r="U2074" t="s">
        <v>36</v>
      </c>
      <c r="V2074" t="s">
        <v>36</v>
      </c>
      <c r="W2074" t="s">
        <v>36</v>
      </c>
      <c r="X2074" t="s">
        <v>36</v>
      </c>
      <c r="Y2074" t="s">
        <v>36</v>
      </c>
      <c r="Z2074" t="s">
        <v>36</v>
      </c>
      <c r="AA2074" t="s">
        <v>36</v>
      </c>
      <c r="AB2074" t="s">
        <v>36</v>
      </c>
      <c r="AC2074" t="s">
        <v>36</v>
      </c>
      <c r="AD2074" t="s">
        <v>36</v>
      </c>
      <c r="AE2074" t="s">
        <v>36</v>
      </c>
      <c r="AF2074" t="s">
        <v>36</v>
      </c>
      <c r="AG2074" t="s">
        <v>36</v>
      </c>
    </row>
    <row r="2075" spans="1:33" hidden="1" x14ac:dyDescent="0.2">
      <c r="A2075">
        <v>2074</v>
      </c>
      <c r="B2075" t="s">
        <v>593</v>
      </c>
      <c r="C2075" t="s">
        <v>108</v>
      </c>
      <c r="D2075">
        <v>55</v>
      </c>
      <c r="E2075" t="s">
        <v>114</v>
      </c>
      <c r="F2075" t="s">
        <v>38</v>
      </c>
      <c r="G2075" t="s">
        <v>40</v>
      </c>
      <c r="H2075">
        <v>65642</v>
      </c>
      <c r="I2075">
        <v>0</v>
      </c>
      <c r="J2075">
        <v>1</v>
      </c>
      <c r="K2075">
        <v>1</v>
      </c>
      <c r="L2075">
        <v>0</v>
      </c>
      <c r="M2075" t="s">
        <v>36</v>
      </c>
      <c r="N2075" t="s">
        <v>36</v>
      </c>
      <c r="O2075" t="s">
        <v>36</v>
      </c>
      <c r="P2075" t="s">
        <v>442</v>
      </c>
      <c r="Q2075" t="s">
        <v>36</v>
      </c>
      <c r="R2075" t="s">
        <v>36</v>
      </c>
      <c r="S2075" t="s">
        <v>36</v>
      </c>
      <c r="T2075" t="s">
        <v>36</v>
      </c>
      <c r="U2075" t="s">
        <v>36</v>
      </c>
      <c r="V2075" t="s">
        <v>36</v>
      </c>
      <c r="W2075" t="s">
        <v>36</v>
      </c>
      <c r="X2075" t="s">
        <v>36</v>
      </c>
      <c r="Y2075" t="s">
        <v>36</v>
      </c>
      <c r="Z2075" t="s">
        <v>36</v>
      </c>
      <c r="AA2075" t="s">
        <v>36</v>
      </c>
      <c r="AB2075" t="s">
        <v>36</v>
      </c>
      <c r="AC2075" t="s">
        <v>36</v>
      </c>
      <c r="AD2075" t="s">
        <v>36</v>
      </c>
      <c r="AE2075" t="s">
        <v>36</v>
      </c>
      <c r="AF2075" t="s">
        <v>36</v>
      </c>
      <c r="AG2075" t="s">
        <v>36</v>
      </c>
    </row>
    <row r="2076" spans="1:33" hidden="1" x14ac:dyDescent="0.2">
      <c r="A2076">
        <v>2075</v>
      </c>
      <c r="B2076" t="s">
        <v>593</v>
      </c>
      <c r="C2076" t="s">
        <v>108</v>
      </c>
      <c r="D2076">
        <v>55</v>
      </c>
      <c r="E2076" t="s">
        <v>114</v>
      </c>
      <c r="F2076" t="s">
        <v>38</v>
      </c>
      <c r="G2076" t="s">
        <v>39</v>
      </c>
      <c r="H2076">
        <v>55182</v>
      </c>
      <c r="I2076">
        <v>0</v>
      </c>
      <c r="J2076">
        <v>0</v>
      </c>
      <c r="K2076">
        <v>0</v>
      </c>
      <c r="L2076">
        <v>1</v>
      </c>
      <c r="M2076" t="s">
        <v>36</v>
      </c>
      <c r="N2076" t="s">
        <v>36</v>
      </c>
      <c r="O2076" t="s">
        <v>36</v>
      </c>
      <c r="P2076" t="s">
        <v>442</v>
      </c>
      <c r="Q2076" t="s">
        <v>36</v>
      </c>
      <c r="R2076" t="s">
        <v>36</v>
      </c>
      <c r="S2076" t="s">
        <v>36</v>
      </c>
      <c r="T2076" t="s">
        <v>36</v>
      </c>
      <c r="U2076" t="s">
        <v>36</v>
      </c>
      <c r="V2076" t="s">
        <v>36</v>
      </c>
      <c r="W2076" t="s">
        <v>36</v>
      </c>
      <c r="X2076" t="s">
        <v>36</v>
      </c>
      <c r="Y2076" t="s">
        <v>36</v>
      </c>
      <c r="Z2076" t="s">
        <v>36</v>
      </c>
      <c r="AA2076" t="s">
        <v>36</v>
      </c>
      <c r="AB2076" t="s">
        <v>36</v>
      </c>
      <c r="AC2076" t="s">
        <v>36</v>
      </c>
      <c r="AD2076" t="s">
        <v>36</v>
      </c>
      <c r="AE2076" t="s">
        <v>36</v>
      </c>
      <c r="AF2076" t="s">
        <v>36</v>
      </c>
      <c r="AG2076" t="s">
        <v>36</v>
      </c>
    </row>
    <row r="2077" spans="1:33" x14ac:dyDescent="0.2">
      <c r="A2077">
        <v>2076</v>
      </c>
      <c r="B2077" t="s">
        <v>593</v>
      </c>
      <c r="C2077" t="s">
        <v>108</v>
      </c>
      <c r="D2077">
        <v>55</v>
      </c>
      <c r="E2077" t="s">
        <v>114</v>
      </c>
      <c r="F2077" t="s">
        <v>41</v>
      </c>
      <c r="G2077" t="s">
        <v>67</v>
      </c>
      <c r="H2077">
        <v>113948</v>
      </c>
      <c r="I2077">
        <v>1</v>
      </c>
      <c r="J2077">
        <v>0</v>
      </c>
      <c r="K2077">
        <v>0</v>
      </c>
      <c r="L2077">
        <v>0</v>
      </c>
      <c r="M2077" t="s">
        <v>70</v>
      </c>
      <c r="N2077" t="s">
        <v>103</v>
      </c>
      <c r="O2077" t="s">
        <v>69</v>
      </c>
      <c r="P2077" t="s">
        <v>442</v>
      </c>
      <c r="Q2077" t="s">
        <v>47</v>
      </c>
      <c r="R2077" t="s">
        <v>60</v>
      </c>
      <c r="S2077" t="s">
        <v>48</v>
      </c>
      <c r="T2077">
        <v>1</v>
      </c>
      <c r="U2077">
        <v>0</v>
      </c>
      <c r="V2077">
        <v>1</v>
      </c>
      <c r="W2077">
        <v>1</v>
      </c>
      <c r="X2077">
        <v>0</v>
      </c>
      <c r="Y2077">
        <v>0</v>
      </c>
      <c r="Z2077">
        <v>1</v>
      </c>
      <c r="AA2077">
        <v>0</v>
      </c>
      <c r="AB2077">
        <v>0</v>
      </c>
      <c r="AC2077">
        <v>0</v>
      </c>
      <c r="AD2077">
        <v>1</v>
      </c>
      <c r="AE2077">
        <v>0</v>
      </c>
      <c r="AF2077">
        <v>0</v>
      </c>
      <c r="AG2077">
        <v>0</v>
      </c>
    </row>
    <row r="2078" spans="1:33" x14ac:dyDescent="0.2">
      <c r="A2078">
        <v>2077</v>
      </c>
      <c r="B2078" t="s">
        <v>593</v>
      </c>
      <c r="C2078" t="s">
        <v>108</v>
      </c>
      <c r="D2078">
        <v>55</v>
      </c>
      <c r="E2078" t="s">
        <v>114</v>
      </c>
      <c r="F2078" t="s">
        <v>41</v>
      </c>
      <c r="G2078" t="s">
        <v>55</v>
      </c>
      <c r="H2078">
        <v>48188</v>
      </c>
      <c r="I2078">
        <v>0</v>
      </c>
      <c r="J2078">
        <v>0</v>
      </c>
      <c r="K2078">
        <v>0</v>
      </c>
      <c r="L2078">
        <v>1</v>
      </c>
      <c r="M2078" t="s">
        <v>94</v>
      </c>
      <c r="N2078" t="s">
        <v>57</v>
      </c>
      <c r="O2078" t="s">
        <v>84</v>
      </c>
      <c r="P2078" t="s">
        <v>442</v>
      </c>
      <c r="Q2078" t="s">
        <v>47</v>
      </c>
      <c r="R2078" t="s">
        <v>48</v>
      </c>
      <c r="S2078" t="s">
        <v>46</v>
      </c>
      <c r="T2078">
        <v>0</v>
      </c>
      <c r="U2078">
        <v>0</v>
      </c>
      <c r="V2078">
        <v>1</v>
      </c>
      <c r="W2078">
        <v>1</v>
      </c>
      <c r="X2078">
        <v>1</v>
      </c>
      <c r="Y2078">
        <v>0</v>
      </c>
      <c r="Z2078">
        <v>1</v>
      </c>
      <c r="AA2078">
        <v>0</v>
      </c>
      <c r="AB2078">
        <v>0</v>
      </c>
      <c r="AC2078">
        <v>0</v>
      </c>
      <c r="AD2078">
        <v>0</v>
      </c>
      <c r="AE2078">
        <v>0</v>
      </c>
      <c r="AF2078">
        <v>0</v>
      </c>
      <c r="AG2078">
        <v>1</v>
      </c>
    </row>
    <row r="2079" spans="1:33" hidden="1" x14ac:dyDescent="0.2">
      <c r="A2079">
        <v>2078</v>
      </c>
      <c r="B2079" t="s">
        <v>593</v>
      </c>
      <c r="C2079" t="s">
        <v>108</v>
      </c>
      <c r="D2079">
        <v>55</v>
      </c>
      <c r="E2079" t="s">
        <v>114</v>
      </c>
      <c r="F2079" t="s">
        <v>53</v>
      </c>
      <c r="G2079" t="s">
        <v>76</v>
      </c>
      <c r="H2079">
        <v>28492</v>
      </c>
      <c r="I2079">
        <v>1</v>
      </c>
      <c r="J2079">
        <v>0</v>
      </c>
      <c r="K2079">
        <v>0</v>
      </c>
      <c r="L2079">
        <v>0</v>
      </c>
      <c r="M2079" t="s">
        <v>36</v>
      </c>
      <c r="N2079" t="s">
        <v>36</v>
      </c>
      <c r="O2079" t="s">
        <v>36</v>
      </c>
      <c r="P2079" t="s">
        <v>442</v>
      </c>
      <c r="Q2079" t="s">
        <v>36</v>
      </c>
      <c r="R2079" t="s">
        <v>36</v>
      </c>
      <c r="S2079" t="s">
        <v>36</v>
      </c>
      <c r="T2079" t="s">
        <v>36</v>
      </c>
      <c r="U2079">
        <v>0</v>
      </c>
      <c r="V2079">
        <v>1</v>
      </c>
      <c r="W2079">
        <v>1</v>
      </c>
      <c r="X2079">
        <v>1</v>
      </c>
      <c r="Y2079">
        <v>0</v>
      </c>
      <c r="Z2079">
        <v>1</v>
      </c>
      <c r="AA2079">
        <v>0</v>
      </c>
      <c r="AB2079">
        <v>0</v>
      </c>
      <c r="AC2079">
        <v>0</v>
      </c>
      <c r="AD2079">
        <v>0</v>
      </c>
      <c r="AE2079">
        <v>0</v>
      </c>
      <c r="AF2079">
        <v>0</v>
      </c>
      <c r="AG2079">
        <v>1</v>
      </c>
    </row>
    <row r="2080" spans="1:33" x14ac:dyDescent="0.2">
      <c r="A2080">
        <v>2079</v>
      </c>
      <c r="B2080" t="s">
        <v>593</v>
      </c>
      <c r="C2080" t="s">
        <v>108</v>
      </c>
      <c r="D2080">
        <v>55</v>
      </c>
      <c r="E2080" t="s">
        <v>114</v>
      </c>
      <c r="F2080" t="s">
        <v>41</v>
      </c>
      <c r="G2080" t="s">
        <v>72</v>
      </c>
      <c r="H2080">
        <v>50700</v>
      </c>
      <c r="I2080">
        <v>0</v>
      </c>
      <c r="J2080">
        <v>0</v>
      </c>
      <c r="K2080">
        <v>0</v>
      </c>
      <c r="L2080">
        <v>1</v>
      </c>
      <c r="M2080" t="s">
        <v>115</v>
      </c>
      <c r="N2080" t="s">
        <v>74</v>
      </c>
      <c r="O2080" t="s">
        <v>104</v>
      </c>
      <c r="P2080" t="s">
        <v>442</v>
      </c>
      <c r="Q2080" t="s">
        <v>65</v>
      </c>
      <c r="R2080" t="s">
        <v>47</v>
      </c>
      <c r="S2080" t="s">
        <v>60</v>
      </c>
      <c r="T2080">
        <v>1</v>
      </c>
      <c r="U2080">
        <v>1</v>
      </c>
      <c r="V2080">
        <v>0</v>
      </c>
      <c r="W2080">
        <v>1</v>
      </c>
      <c r="X2080">
        <v>0</v>
      </c>
      <c r="Y2080">
        <v>0</v>
      </c>
      <c r="Z2080">
        <v>1</v>
      </c>
      <c r="AA2080">
        <v>0</v>
      </c>
      <c r="AB2080">
        <v>0</v>
      </c>
      <c r="AC2080">
        <v>0</v>
      </c>
      <c r="AD2080">
        <v>0</v>
      </c>
      <c r="AE2080">
        <v>0</v>
      </c>
      <c r="AF2080">
        <v>0</v>
      </c>
      <c r="AG2080">
        <v>1</v>
      </c>
    </row>
    <row r="2081" spans="1:33" hidden="1" x14ac:dyDescent="0.2">
      <c r="A2081">
        <v>2080</v>
      </c>
      <c r="B2081" t="s">
        <v>593</v>
      </c>
      <c r="C2081" t="s">
        <v>108</v>
      </c>
      <c r="D2081">
        <v>55</v>
      </c>
      <c r="E2081" t="s">
        <v>114</v>
      </c>
      <c r="F2081" t="s">
        <v>53</v>
      </c>
      <c r="G2081" t="s">
        <v>71</v>
      </c>
      <c r="H2081">
        <v>51515</v>
      </c>
      <c r="I2081">
        <v>0</v>
      </c>
      <c r="J2081">
        <v>0</v>
      </c>
      <c r="K2081">
        <v>0</v>
      </c>
      <c r="L2081">
        <v>1</v>
      </c>
      <c r="M2081" t="s">
        <v>36</v>
      </c>
      <c r="N2081" t="s">
        <v>36</v>
      </c>
      <c r="O2081" t="s">
        <v>36</v>
      </c>
      <c r="P2081" t="s">
        <v>442</v>
      </c>
      <c r="Q2081" t="s">
        <v>36</v>
      </c>
      <c r="R2081" t="s">
        <v>36</v>
      </c>
      <c r="S2081" t="s">
        <v>36</v>
      </c>
      <c r="T2081" t="s">
        <v>36</v>
      </c>
      <c r="U2081">
        <v>1</v>
      </c>
      <c r="V2081">
        <v>0</v>
      </c>
      <c r="W2081">
        <v>1</v>
      </c>
      <c r="X2081">
        <v>0</v>
      </c>
      <c r="Y2081">
        <v>0</v>
      </c>
      <c r="Z2081">
        <v>1</v>
      </c>
      <c r="AA2081">
        <v>0</v>
      </c>
      <c r="AB2081">
        <v>0</v>
      </c>
      <c r="AC2081">
        <v>0</v>
      </c>
      <c r="AD2081">
        <v>0</v>
      </c>
      <c r="AE2081">
        <v>0</v>
      </c>
      <c r="AF2081">
        <v>0</v>
      </c>
      <c r="AG2081">
        <v>1</v>
      </c>
    </row>
    <row r="2082" spans="1:33" x14ac:dyDescent="0.2">
      <c r="A2082">
        <v>2081</v>
      </c>
      <c r="B2082" t="s">
        <v>593</v>
      </c>
      <c r="C2082" t="s">
        <v>108</v>
      </c>
      <c r="D2082">
        <v>55</v>
      </c>
      <c r="E2082" t="s">
        <v>114</v>
      </c>
      <c r="F2082" t="s">
        <v>41</v>
      </c>
      <c r="G2082" t="s">
        <v>42</v>
      </c>
      <c r="H2082">
        <v>38667</v>
      </c>
      <c r="I2082">
        <v>0</v>
      </c>
      <c r="J2082">
        <v>0</v>
      </c>
      <c r="K2082">
        <v>0</v>
      </c>
      <c r="L2082">
        <v>1</v>
      </c>
      <c r="M2082" t="s">
        <v>43</v>
      </c>
      <c r="N2082" t="s">
        <v>82</v>
      </c>
      <c r="O2082" t="s">
        <v>45</v>
      </c>
      <c r="P2082" t="s">
        <v>442</v>
      </c>
      <c r="Q2082" t="s">
        <v>46</v>
      </c>
      <c r="R2082" t="s">
        <v>65</v>
      </c>
      <c r="S2082" t="s">
        <v>48</v>
      </c>
      <c r="T2082">
        <v>0</v>
      </c>
      <c r="U2082">
        <v>1</v>
      </c>
      <c r="V2082">
        <v>1</v>
      </c>
      <c r="W2082">
        <v>0</v>
      </c>
      <c r="X2082">
        <v>1</v>
      </c>
      <c r="Y2082">
        <v>0</v>
      </c>
      <c r="Z2082">
        <v>1</v>
      </c>
      <c r="AA2082">
        <v>0</v>
      </c>
      <c r="AB2082">
        <v>0</v>
      </c>
      <c r="AC2082">
        <v>0</v>
      </c>
      <c r="AD2082">
        <v>0</v>
      </c>
      <c r="AE2082">
        <v>0</v>
      </c>
      <c r="AF2082">
        <v>0</v>
      </c>
      <c r="AG2082">
        <v>1</v>
      </c>
    </row>
    <row r="2083" spans="1:33" x14ac:dyDescent="0.2">
      <c r="A2083">
        <v>2082</v>
      </c>
      <c r="B2083" t="s">
        <v>593</v>
      </c>
      <c r="C2083" t="s">
        <v>108</v>
      </c>
      <c r="D2083">
        <v>55</v>
      </c>
      <c r="E2083" t="s">
        <v>114</v>
      </c>
      <c r="F2083" t="s">
        <v>41</v>
      </c>
      <c r="G2083" t="s">
        <v>49</v>
      </c>
      <c r="H2083">
        <v>27476</v>
      </c>
      <c r="I2083">
        <v>0</v>
      </c>
      <c r="J2083">
        <v>1</v>
      </c>
      <c r="K2083">
        <v>0</v>
      </c>
      <c r="L2083">
        <v>0</v>
      </c>
      <c r="M2083" t="s">
        <v>52</v>
      </c>
      <c r="N2083" t="s">
        <v>51</v>
      </c>
      <c r="O2083" t="s">
        <v>50</v>
      </c>
      <c r="P2083" t="s">
        <v>442</v>
      </c>
      <c r="Q2083" t="s">
        <v>46</v>
      </c>
      <c r="R2083" t="s">
        <v>47</v>
      </c>
      <c r="S2083" t="s">
        <v>48</v>
      </c>
      <c r="T2083">
        <v>0</v>
      </c>
      <c r="U2083">
        <v>0</v>
      </c>
      <c r="V2083">
        <v>1</v>
      </c>
      <c r="W2083">
        <v>1</v>
      </c>
      <c r="X2083">
        <v>1</v>
      </c>
      <c r="Y2083">
        <v>0</v>
      </c>
      <c r="Z2083">
        <v>1</v>
      </c>
      <c r="AA2083">
        <v>0</v>
      </c>
      <c r="AB2083">
        <v>0</v>
      </c>
      <c r="AC2083">
        <v>0</v>
      </c>
      <c r="AD2083">
        <v>1</v>
      </c>
      <c r="AE2083">
        <v>0</v>
      </c>
      <c r="AF2083">
        <v>0</v>
      </c>
      <c r="AG2083">
        <v>0</v>
      </c>
    </row>
    <row r="2084" spans="1:33" hidden="1" x14ac:dyDescent="0.2">
      <c r="A2084">
        <v>2083</v>
      </c>
      <c r="B2084" t="s">
        <v>593</v>
      </c>
      <c r="C2084" t="s">
        <v>108</v>
      </c>
      <c r="D2084">
        <v>55</v>
      </c>
      <c r="E2084" t="s">
        <v>114</v>
      </c>
      <c r="F2084" t="s">
        <v>53</v>
      </c>
      <c r="G2084" t="s">
        <v>54</v>
      </c>
      <c r="H2084">
        <v>59136</v>
      </c>
      <c r="I2084">
        <v>0</v>
      </c>
      <c r="J2084">
        <v>0</v>
      </c>
      <c r="K2084">
        <v>1</v>
      </c>
      <c r="L2084">
        <v>0</v>
      </c>
      <c r="M2084" t="s">
        <v>36</v>
      </c>
      <c r="N2084" t="s">
        <v>36</v>
      </c>
      <c r="O2084" t="s">
        <v>36</v>
      </c>
      <c r="P2084" t="s">
        <v>442</v>
      </c>
      <c r="Q2084" t="s">
        <v>36</v>
      </c>
      <c r="R2084" t="s">
        <v>36</v>
      </c>
      <c r="S2084" t="s">
        <v>36</v>
      </c>
      <c r="T2084" t="s">
        <v>36</v>
      </c>
      <c r="U2084">
        <v>0</v>
      </c>
      <c r="V2084">
        <v>1</v>
      </c>
      <c r="W2084">
        <v>1</v>
      </c>
      <c r="X2084">
        <v>1</v>
      </c>
      <c r="Y2084">
        <v>0</v>
      </c>
      <c r="Z2084">
        <v>1</v>
      </c>
      <c r="AA2084">
        <v>0</v>
      </c>
      <c r="AB2084">
        <v>0</v>
      </c>
      <c r="AC2084">
        <v>0</v>
      </c>
      <c r="AD2084">
        <v>1</v>
      </c>
      <c r="AE2084">
        <v>0</v>
      </c>
      <c r="AF2084">
        <v>0</v>
      </c>
      <c r="AG2084">
        <v>0</v>
      </c>
    </row>
    <row r="2085" spans="1:33" x14ac:dyDescent="0.2">
      <c r="A2085">
        <v>2084</v>
      </c>
      <c r="B2085" t="s">
        <v>593</v>
      </c>
      <c r="C2085" t="s">
        <v>108</v>
      </c>
      <c r="D2085">
        <v>55</v>
      </c>
      <c r="E2085" t="s">
        <v>114</v>
      </c>
      <c r="F2085" t="s">
        <v>41</v>
      </c>
      <c r="G2085" t="s">
        <v>61</v>
      </c>
      <c r="H2085">
        <v>75412</v>
      </c>
      <c r="I2085">
        <v>1</v>
      </c>
      <c r="J2085">
        <v>0</v>
      </c>
      <c r="K2085">
        <v>0</v>
      </c>
      <c r="L2085">
        <v>0</v>
      </c>
      <c r="M2085" t="s">
        <v>64</v>
      </c>
      <c r="N2085" t="s">
        <v>62</v>
      </c>
      <c r="O2085" t="s">
        <v>63</v>
      </c>
      <c r="P2085" t="s">
        <v>442</v>
      </c>
      <c r="Q2085" t="s">
        <v>48</v>
      </c>
      <c r="R2085" t="s">
        <v>65</v>
      </c>
      <c r="S2085" t="s">
        <v>46</v>
      </c>
      <c r="T2085">
        <v>0</v>
      </c>
      <c r="U2085">
        <v>1</v>
      </c>
      <c r="V2085">
        <v>1</v>
      </c>
      <c r="W2085">
        <v>0</v>
      </c>
      <c r="X2085">
        <v>1</v>
      </c>
      <c r="Y2085">
        <v>0</v>
      </c>
      <c r="Z2085">
        <v>1</v>
      </c>
      <c r="AA2085">
        <v>0</v>
      </c>
      <c r="AB2085">
        <v>0</v>
      </c>
      <c r="AC2085">
        <v>1</v>
      </c>
      <c r="AD2085">
        <v>0</v>
      </c>
      <c r="AE2085">
        <v>0</v>
      </c>
      <c r="AF2085">
        <v>0</v>
      </c>
      <c r="AG2085">
        <v>0</v>
      </c>
    </row>
    <row r="2086" spans="1:33" hidden="1" x14ac:dyDescent="0.2">
      <c r="A2086">
        <v>2085</v>
      </c>
      <c r="B2086" t="s">
        <v>593</v>
      </c>
      <c r="C2086" t="s">
        <v>108</v>
      </c>
      <c r="D2086">
        <v>55</v>
      </c>
      <c r="E2086" t="s">
        <v>114</v>
      </c>
      <c r="F2086" t="s">
        <v>53</v>
      </c>
      <c r="G2086" t="s">
        <v>66</v>
      </c>
      <c r="H2086">
        <v>27264</v>
      </c>
      <c r="I2086">
        <v>1</v>
      </c>
      <c r="J2086">
        <v>0</v>
      </c>
      <c r="K2086">
        <v>0</v>
      </c>
      <c r="L2086">
        <v>0</v>
      </c>
      <c r="M2086" t="s">
        <v>36</v>
      </c>
      <c r="N2086" t="s">
        <v>36</v>
      </c>
      <c r="O2086" t="s">
        <v>36</v>
      </c>
      <c r="P2086" t="s">
        <v>442</v>
      </c>
      <c r="Q2086" t="s">
        <v>36</v>
      </c>
      <c r="R2086" t="s">
        <v>36</v>
      </c>
      <c r="S2086" t="s">
        <v>36</v>
      </c>
      <c r="T2086" t="s">
        <v>36</v>
      </c>
      <c r="U2086">
        <v>1</v>
      </c>
      <c r="V2086">
        <v>1</v>
      </c>
      <c r="W2086">
        <v>0</v>
      </c>
      <c r="X2086">
        <v>1</v>
      </c>
      <c r="Y2086">
        <v>0</v>
      </c>
      <c r="Z2086">
        <v>1</v>
      </c>
      <c r="AA2086">
        <v>0</v>
      </c>
      <c r="AB2086">
        <v>0</v>
      </c>
      <c r="AC2086">
        <v>1</v>
      </c>
      <c r="AD2086">
        <v>0</v>
      </c>
      <c r="AE2086">
        <v>0</v>
      </c>
      <c r="AF2086">
        <v>0</v>
      </c>
      <c r="AG2086">
        <v>0</v>
      </c>
    </row>
    <row r="2087" spans="1:33" hidden="1" x14ac:dyDescent="0.2">
      <c r="A2087">
        <v>2086</v>
      </c>
      <c r="B2087" t="s">
        <v>593</v>
      </c>
      <c r="C2087" t="s">
        <v>108</v>
      </c>
      <c r="D2087">
        <v>55</v>
      </c>
      <c r="E2087" t="s">
        <v>114</v>
      </c>
      <c r="F2087" t="s">
        <v>77</v>
      </c>
      <c r="G2087" t="s">
        <v>36</v>
      </c>
      <c r="H2087">
        <v>312056</v>
      </c>
      <c r="I2087" t="s">
        <v>594</v>
      </c>
      <c r="J2087" t="s">
        <v>595</v>
      </c>
      <c r="K2087" t="s">
        <v>596</v>
      </c>
      <c r="L2087" t="s">
        <v>36</v>
      </c>
      <c r="M2087" t="s">
        <v>36</v>
      </c>
      <c r="N2087" t="s">
        <v>36</v>
      </c>
      <c r="O2087" t="s">
        <v>36</v>
      </c>
      <c r="P2087" t="s">
        <v>442</v>
      </c>
      <c r="Q2087" t="s">
        <v>36</v>
      </c>
      <c r="R2087" t="s">
        <v>36</v>
      </c>
      <c r="S2087" t="s">
        <v>36</v>
      </c>
      <c r="T2087" t="s">
        <v>36</v>
      </c>
      <c r="U2087" t="s">
        <v>36</v>
      </c>
      <c r="V2087" t="s">
        <v>36</v>
      </c>
      <c r="W2087" t="s">
        <v>36</v>
      </c>
      <c r="X2087" t="s">
        <v>36</v>
      </c>
      <c r="Y2087" t="s">
        <v>36</v>
      </c>
      <c r="Z2087" t="s">
        <v>36</v>
      </c>
      <c r="AA2087" t="s">
        <v>36</v>
      </c>
      <c r="AB2087" t="s">
        <v>36</v>
      </c>
      <c r="AC2087" t="s">
        <v>36</v>
      </c>
      <c r="AD2087" t="s">
        <v>36</v>
      </c>
      <c r="AE2087" t="s">
        <v>36</v>
      </c>
      <c r="AF2087" t="s">
        <v>36</v>
      </c>
      <c r="AG2087" t="s">
        <v>36</v>
      </c>
    </row>
    <row r="2088" spans="1:33" hidden="1" x14ac:dyDescent="0.2">
      <c r="A2088">
        <v>2087</v>
      </c>
      <c r="B2088" t="s">
        <v>597</v>
      </c>
      <c r="C2088" t="s">
        <v>188</v>
      </c>
      <c r="D2088">
        <v>27</v>
      </c>
      <c r="E2088" t="s">
        <v>114</v>
      </c>
      <c r="F2088" t="s">
        <v>35</v>
      </c>
      <c r="G2088" t="s">
        <v>36</v>
      </c>
      <c r="H2088">
        <v>488227</v>
      </c>
      <c r="I2088" t="s">
        <v>36</v>
      </c>
      <c r="J2088" t="s">
        <v>36</v>
      </c>
      <c r="K2088" t="s">
        <v>36</v>
      </c>
      <c r="L2088" t="s">
        <v>36</v>
      </c>
      <c r="M2088" t="s">
        <v>36</v>
      </c>
      <c r="N2088" t="s">
        <v>36</v>
      </c>
      <c r="O2088" t="s">
        <v>36</v>
      </c>
      <c r="P2088" t="s">
        <v>442</v>
      </c>
      <c r="Q2088" t="s">
        <v>36</v>
      </c>
      <c r="R2088" t="s">
        <v>36</v>
      </c>
      <c r="S2088" t="s">
        <v>36</v>
      </c>
      <c r="T2088" t="s">
        <v>36</v>
      </c>
      <c r="U2088" t="s">
        <v>36</v>
      </c>
      <c r="V2088" t="s">
        <v>36</v>
      </c>
      <c r="W2088" t="s">
        <v>36</v>
      </c>
      <c r="X2088" t="s">
        <v>36</v>
      </c>
      <c r="Y2088" t="s">
        <v>36</v>
      </c>
      <c r="Z2088" t="s">
        <v>36</v>
      </c>
      <c r="AA2088" t="s">
        <v>36</v>
      </c>
      <c r="AB2088" t="s">
        <v>36</v>
      </c>
      <c r="AC2088" t="s">
        <v>36</v>
      </c>
      <c r="AD2088" t="s">
        <v>36</v>
      </c>
      <c r="AE2088" t="s">
        <v>36</v>
      </c>
      <c r="AF2088" t="s">
        <v>36</v>
      </c>
      <c r="AG2088" t="s">
        <v>36</v>
      </c>
    </row>
    <row r="2089" spans="1:33" hidden="1" x14ac:dyDescent="0.2">
      <c r="A2089">
        <v>2088</v>
      </c>
      <c r="B2089" t="s">
        <v>597</v>
      </c>
      <c r="C2089" t="s">
        <v>188</v>
      </c>
      <c r="D2089">
        <v>27</v>
      </c>
      <c r="E2089" t="s">
        <v>114</v>
      </c>
      <c r="F2089" t="s">
        <v>38</v>
      </c>
      <c r="G2089" t="s">
        <v>39</v>
      </c>
      <c r="H2089">
        <v>73833</v>
      </c>
      <c r="I2089">
        <v>0</v>
      </c>
      <c r="J2089">
        <v>0</v>
      </c>
      <c r="K2089">
        <v>0</v>
      </c>
      <c r="L2089">
        <v>1</v>
      </c>
      <c r="M2089" t="s">
        <v>36</v>
      </c>
      <c r="N2089" t="s">
        <v>36</v>
      </c>
      <c r="O2089" t="s">
        <v>36</v>
      </c>
      <c r="P2089" t="s">
        <v>442</v>
      </c>
      <c r="Q2089" t="s">
        <v>36</v>
      </c>
      <c r="R2089" t="s">
        <v>36</v>
      </c>
      <c r="S2089" t="s">
        <v>36</v>
      </c>
      <c r="T2089" t="s">
        <v>36</v>
      </c>
      <c r="U2089" t="s">
        <v>36</v>
      </c>
      <c r="V2089" t="s">
        <v>36</v>
      </c>
      <c r="W2089" t="s">
        <v>36</v>
      </c>
      <c r="X2089" t="s">
        <v>36</v>
      </c>
      <c r="Y2089" t="s">
        <v>36</v>
      </c>
      <c r="Z2089" t="s">
        <v>36</v>
      </c>
      <c r="AA2089" t="s">
        <v>36</v>
      </c>
      <c r="AB2089" t="s">
        <v>36</v>
      </c>
      <c r="AC2089" t="s">
        <v>36</v>
      </c>
      <c r="AD2089" t="s">
        <v>36</v>
      </c>
      <c r="AE2089" t="s">
        <v>36</v>
      </c>
      <c r="AF2089" t="s">
        <v>36</v>
      </c>
      <c r="AG2089" t="s">
        <v>36</v>
      </c>
    </row>
    <row r="2090" spans="1:33" hidden="1" x14ac:dyDescent="0.2">
      <c r="A2090">
        <v>2089</v>
      </c>
      <c r="B2090" t="s">
        <v>597</v>
      </c>
      <c r="C2090" t="s">
        <v>188</v>
      </c>
      <c r="D2090">
        <v>27</v>
      </c>
      <c r="E2090" t="s">
        <v>114</v>
      </c>
      <c r="F2090" t="s">
        <v>38</v>
      </c>
      <c r="G2090" t="s">
        <v>40</v>
      </c>
      <c r="H2090">
        <v>7830</v>
      </c>
      <c r="I2090">
        <v>0</v>
      </c>
      <c r="J2090">
        <v>0</v>
      </c>
      <c r="K2090">
        <v>1</v>
      </c>
      <c r="L2090">
        <v>0</v>
      </c>
      <c r="M2090" t="s">
        <v>36</v>
      </c>
      <c r="N2090" t="s">
        <v>36</v>
      </c>
      <c r="O2090" t="s">
        <v>36</v>
      </c>
      <c r="P2090" t="s">
        <v>442</v>
      </c>
      <c r="Q2090" t="s">
        <v>36</v>
      </c>
      <c r="R2090" t="s">
        <v>36</v>
      </c>
      <c r="S2090" t="s">
        <v>36</v>
      </c>
      <c r="T2090" t="s">
        <v>36</v>
      </c>
      <c r="U2090" t="s">
        <v>36</v>
      </c>
      <c r="V2090" t="s">
        <v>36</v>
      </c>
      <c r="W2090" t="s">
        <v>36</v>
      </c>
      <c r="X2090" t="s">
        <v>36</v>
      </c>
      <c r="Y2090" t="s">
        <v>36</v>
      </c>
      <c r="Z2090" t="s">
        <v>36</v>
      </c>
      <c r="AA2090" t="s">
        <v>36</v>
      </c>
      <c r="AB2090" t="s">
        <v>36</v>
      </c>
      <c r="AC2090" t="s">
        <v>36</v>
      </c>
      <c r="AD2090" t="s">
        <v>36</v>
      </c>
      <c r="AE2090" t="s">
        <v>36</v>
      </c>
      <c r="AF2090" t="s">
        <v>36</v>
      </c>
      <c r="AG2090" t="s">
        <v>36</v>
      </c>
    </row>
    <row r="2091" spans="1:33" x14ac:dyDescent="0.2">
      <c r="A2091">
        <v>2090</v>
      </c>
      <c r="B2091" t="s">
        <v>597</v>
      </c>
      <c r="C2091" t="s">
        <v>188</v>
      </c>
      <c r="D2091">
        <v>27</v>
      </c>
      <c r="E2091" t="s">
        <v>114</v>
      </c>
      <c r="F2091" t="s">
        <v>41</v>
      </c>
      <c r="G2091" t="s">
        <v>61</v>
      </c>
      <c r="H2091">
        <v>281691</v>
      </c>
      <c r="I2091">
        <v>1</v>
      </c>
      <c r="J2091">
        <v>1</v>
      </c>
      <c r="K2091">
        <v>0</v>
      </c>
      <c r="L2091">
        <v>0</v>
      </c>
      <c r="M2091" t="s">
        <v>64</v>
      </c>
      <c r="N2091" t="s">
        <v>97</v>
      </c>
      <c r="O2091" t="s">
        <v>62</v>
      </c>
      <c r="P2091" t="s">
        <v>442</v>
      </c>
      <c r="Q2091" t="s">
        <v>48</v>
      </c>
      <c r="R2091" t="s">
        <v>59</v>
      </c>
      <c r="S2091" t="s">
        <v>65</v>
      </c>
      <c r="T2091">
        <v>0</v>
      </c>
      <c r="U2091">
        <v>1</v>
      </c>
      <c r="V2091">
        <v>1</v>
      </c>
      <c r="W2091">
        <v>0</v>
      </c>
      <c r="X2091">
        <v>0</v>
      </c>
      <c r="Y2091">
        <v>0</v>
      </c>
      <c r="Z2091">
        <v>1</v>
      </c>
      <c r="AA2091">
        <v>0</v>
      </c>
      <c r="AB2091">
        <v>0</v>
      </c>
      <c r="AC2091">
        <v>1</v>
      </c>
      <c r="AD2091">
        <v>0</v>
      </c>
      <c r="AE2091">
        <v>0</v>
      </c>
      <c r="AF2091">
        <v>0</v>
      </c>
      <c r="AG2091">
        <v>0</v>
      </c>
    </row>
    <row r="2092" spans="1:33" x14ac:dyDescent="0.2">
      <c r="A2092">
        <v>2091</v>
      </c>
      <c r="B2092" t="s">
        <v>597</v>
      </c>
      <c r="C2092" t="s">
        <v>188</v>
      </c>
      <c r="D2092">
        <v>27</v>
      </c>
      <c r="E2092" t="s">
        <v>114</v>
      </c>
      <c r="F2092" t="s">
        <v>41</v>
      </c>
      <c r="G2092" t="s">
        <v>55</v>
      </c>
      <c r="H2092">
        <v>32654</v>
      </c>
      <c r="I2092">
        <v>0</v>
      </c>
      <c r="J2092">
        <v>1</v>
      </c>
      <c r="K2092">
        <v>1</v>
      </c>
      <c r="L2092">
        <v>0</v>
      </c>
      <c r="M2092" t="s">
        <v>85</v>
      </c>
      <c r="N2092" t="s">
        <v>94</v>
      </c>
      <c r="O2092" t="s">
        <v>56</v>
      </c>
      <c r="P2092" t="s">
        <v>442</v>
      </c>
      <c r="Q2092" t="s">
        <v>65</v>
      </c>
      <c r="R2092" t="s">
        <v>47</v>
      </c>
      <c r="S2092" t="s">
        <v>59</v>
      </c>
      <c r="T2092">
        <v>0</v>
      </c>
      <c r="U2092">
        <v>1</v>
      </c>
      <c r="V2092">
        <v>0</v>
      </c>
      <c r="W2092">
        <v>1</v>
      </c>
      <c r="X2092">
        <v>0</v>
      </c>
      <c r="Y2092">
        <v>0</v>
      </c>
      <c r="Z2092">
        <v>1</v>
      </c>
      <c r="AA2092">
        <v>0</v>
      </c>
      <c r="AB2092">
        <v>0</v>
      </c>
      <c r="AC2092">
        <v>0</v>
      </c>
      <c r="AD2092">
        <v>1</v>
      </c>
      <c r="AE2092">
        <v>0</v>
      </c>
      <c r="AF2092">
        <v>0</v>
      </c>
      <c r="AG2092">
        <v>0</v>
      </c>
    </row>
    <row r="2093" spans="1:33" hidden="1" x14ac:dyDescent="0.2">
      <c r="A2093">
        <v>2092</v>
      </c>
      <c r="B2093" t="s">
        <v>597</v>
      </c>
      <c r="C2093" t="s">
        <v>188</v>
      </c>
      <c r="D2093">
        <v>27</v>
      </c>
      <c r="E2093" t="s">
        <v>114</v>
      </c>
      <c r="F2093" t="s">
        <v>53</v>
      </c>
      <c r="G2093" t="s">
        <v>76</v>
      </c>
      <c r="H2093">
        <v>3805</v>
      </c>
      <c r="I2093">
        <v>1</v>
      </c>
      <c r="J2093">
        <v>1</v>
      </c>
      <c r="K2093">
        <v>0</v>
      </c>
      <c r="L2093">
        <v>0</v>
      </c>
      <c r="M2093" t="s">
        <v>36</v>
      </c>
      <c r="N2093" t="s">
        <v>36</v>
      </c>
      <c r="O2093" t="s">
        <v>36</v>
      </c>
      <c r="P2093" t="s">
        <v>442</v>
      </c>
      <c r="Q2093" t="s">
        <v>36</v>
      </c>
      <c r="R2093" t="s">
        <v>36</v>
      </c>
      <c r="S2093" t="s">
        <v>36</v>
      </c>
      <c r="T2093" t="s">
        <v>36</v>
      </c>
      <c r="U2093">
        <v>1</v>
      </c>
      <c r="V2093">
        <v>0</v>
      </c>
      <c r="W2093">
        <v>1</v>
      </c>
      <c r="X2093">
        <v>0</v>
      </c>
      <c r="Y2093">
        <v>0</v>
      </c>
      <c r="Z2093">
        <v>1</v>
      </c>
      <c r="AA2093">
        <v>0</v>
      </c>
      <c r="AB2093">
        <v>0</v>
      </c>
      <c r="AC2093">
        <v>0</v>
      </c>
      <c r="AD2093">
        <v>1</v>
      </c>
      <c r="AE2093">
        <v>0</v>
      </c>
      <c r="AF2093">
        <v>0</v>
      </c>
      <c r="AG2093">
        <v>0</v>
      </c>
    </row>
    <row r="2094" spans="1:33" x14ac:dyDescent="0.2">
      <c r="A2094">
        <v>2093</v>
      </c>
      <c r="B2094" t="s">
        <v>597</v>
      </c>
      <c r="C2094" t="s">
        <v>188</v>
      </c>
      <c r="D2094">
        <v>27</v>
      </c>
      <c r="E2094" t="s">
        <v>114</v>
      </c>
      <c r="F2094" t="s">
        <v>41</v>
      </c>
      <c r="G2094" t="s">
        <v>42</v>
      </c>
      <c r="H2094">
        <v>3640</v>
      </c>
      <c r="I2094">
        <v>0</v>
      </c>
      <c r="J2094">
        <v>1</v>
      </c>
      <c r="K2094">
        <v>1</v>
      </c>
      <c r="L2094">
        <v>0</v>
      </c>
      <c r="M2094" t="s">
        <v>45</v>
      </c>
      <c r="N2094" t="s">
        <v>82</v>
      </c>
      <c r="O2094" t="s">
        <v>43</v>
      </c>
      <c r="P2094" t="s">
        <v>442</v>
      </c>
      <c r="Q2094" t="s">
        <v>48</v>
      </c>
      <c r="R2094" t="s">
        <v>65</v>
      </c>
      <c r="S2094" t="s">
        <v>46</v>
      </c>
      <c r="T2094">
        <v>0</v>
      </c>
      <c r="U2094">
        <v>1</v>
      </c>
      <c r="V2094">
        <v>1</v>
      </c>
      <c r="W2094">
        <v>0</v>
      </c>
      <c r="X2094">
        <v>1</v>
      </c>
      <c r="Y2094">
        <v>0</v>
      </c>
      <c r="Z2094">
        <v>1</v>
      </c>
      <c r="AA2094">
        <v>0</v>
      </c>
      <c r="AB2094">
        <v>1</v>
      </c>
      <c r="AC2094">
        <v>0</v>
      </c>
      <c r="AD2094">
        <v>0</v>
      </c>
      <c r="AE2094">
        <v>1</v>
      </c>
      <c r="AF2094">
        <v>0</v>
      </c>
      <c r="AG2094">
        <v>0</v>
      </c>
    </row>
    <row r="2095" spans="1:33" x14ac:dyDescent="0.2">
      <c r="A2095">
        <v>2094</v>
      </c>
      <c r="B2095" t="s">
        <v>597</v>
      </c>
      <c r="C2095" t="s">
        <v>188</v>
      </c>
      <c r="D2095">
        <v>27</v>
      </c>
      <c r="E2095" t="s">
        <v>114</v>
      </c>
      <c r="F2095" t="s">
        <v>41</v>
      </c>
      <c r="G2095" t="s">
        <v>72</v>
      </c>
      <c r="H2095">
        <v>3316</v>
      </c>
      <c r="I2095">
        <v>1</v>
      </c>
      <c r="J2095">
        <v>1</v>
      </c>
      <c r="K2095">
        <v>1</v>
      </c>
      <c r="L2095">
        <v>0</v>
      </c>
      <c r="M2095" t="s">
        <v>115</v>
      </c>
      <c r="N2095" t="s">
        <v>74</v>
      </c>
      <c r="O2095" t="s">
        <v>93</v>
      </c>
      <c r="P2095" t="s">
        <v>442</v>
      </c>
      <c r="Q2095" t="s">
        <v>65</v>
      </c>
      <c r="R2095" t="s">
        <v>47</v>
      </c>
      <c r="S2095" t="s">
        <v>59</v>
      </c>
      <c r="T2095">
        <v>0</v>
      </c>
      <c r="U2095">
        <v>1</v>
      </c>
      <c r="V2095">
        <v>0</v>
      </c>
      <c r="W2095">
        <v>1</v>
      </c>
      <c r="X2095">
        <v>0</v>
      </c>
      <c r="Y2095">
        <v>0</v>
      </c>
      <c r="Z2095">
        <v>1</v>
      </c>
      <c r="AA2095">
        <v>0</v>
      </c>
      <c r="AB2095">
        <v>1</v>
      </c>
      <c r="AC2095">
        <v>0</v>
      </c>
      <c r="AD2095">
        <v>1</v>
      </c>
      <c r="AE2095">
        <v>0</v>
      </c>
      <c r="AF2095">
        <v>0</v>
      </c>
      <c r="AG2095">
        <v>0</v>
      </c>
    </row>
    <row r="2096" spans="1:33" hidden="1" x14ac:dyDescent="0.2">
      <c r="A2096">
        <v>2095</v>
      </c>
      <c r="B2096" t="s">
        <v>597</v>
      </c>
      <c r="C2096" t="s">
        <v>188</v>
      </c>
      <c r="D2096">
        <v>27</v>
      </c>
      <c r="E2096" t="s">
        <v>114</v>
      </c>
      <c r="F2096" t="s">
        <v>53</v>
      </c>
      <c r="G2096" t="s">
        <v>71</v>
      </c>
      <c r="H2096">
        <v>2371</v>
      </c>
      <c r="I2096">
        <v>0</v>
      </c>
      <c r="J2096">
        <v>1</v>
      </c>
      <c r="K2096">
        <v>1</v>
      </c>
      <c r="L2096">
        <v>0</v>
      </c>
      <c r="M2096" t="s">
        <v>36</v>
      </c>
      <c r="N2096" t="s">
        <v>36</v>
      </c>
      <c r="O2096" t="s">
        <v>36</v>
      </c>
      <c r="P2096" t="s">
        <v>442</v>
      </c>
      <c r="Q2096" t="s">
        <v>36</v>
      </c>
      <c r="R2096" t="s">
        <v>36</v>
      </c>
      <c r="S2096" t="s">
        <v>36</v>
      </c>
      <c r="T2096" t="s">
        <v>36</v>
      </c>
      <c r="U2096">
        <v>1</v>
      </c>
      <c r="V2096">
        <v>0</v>
      </c>
      <c r="W2096">
        <v>1</v>
      </c>
      <c r="X2096">
        <v>0</v>
      </c>
      <c r="Y2096">
        <v>0</v>
      </c>
      <c r="Z2096">
        <v>1</v>
      </c>
      <c r="AA2096">
        <v>0</v>
      </c>
      <c r="AB2096">
        <v>1</v>
      </c>
      <c r="AC2096">
        <v>0</v>
      </c>
      <c r="AD2096">
        <v>1</v>
      </c>
      <c r="AE2096">
        <v>0</v>
      </c>
      <c r="AF2096">
        <v>0</v>
      </c>
      <c r="AG2096">
        <v>0</v>
      </c>
    </row>
    <row r="2097" spans="1:33" x14ac:dyDescent="0.2">
      <c r="A2097">
        <v>2096</v>
      </c>
      <c r="B2097" t="s">
        <v>597</v>
      </c>
      <c r="C2097" t="s">
        <v>188</v>
      </c>
      <c r="D2097">
        <v>27</v>
      </c>
      <c r="E2097" t="s">
        <v>114</v>
      </c>
      <c r="F2097" t="s">
        <v>41</v>
      </c>
      <c r="G2097" t="s">
        <v>49</v>
      </c>
      <c r="H2097">
        <v>3504</v>
      </c>
      <c r="I2097">
        <v>0</v>
      </c>
      <c r="J2097">
        <v>1</v>
      </c>
      <c r="K2097">
        <v>1</v>
      </c>
      <c r="L2097">
        <v>0</v>
      </c>
      <c r="M2097" t="s">
        <v>96</v>
      </c>
      <c r="N2097" t="s">
        <v>50</v>
      </c>
      <c r="O2097" t="s">
        <v>52</v>
      </c>
      <c r="P2097" t="s">
        <v>442</v>
      </c>
      <c r="Q2097" t="s">
        <v>65</v>
      </c>
      <c r="R2097" t="s">
        <v>48</v>
      </c>
      <c r="S2097" t="s">
        <v>46</v>
      </c>
      <c r="T2097">
        <v>0</v>
      </c>
      <c r="U2097">
        <v>1</v>
      </c>
      <c r="V2097">
        <v>1</v>
      </c>
      <c r="W2097">
        <v>0</v>
      </c>
      <c r="X2097">
        <v>1</v>
      </c>
      <c r="Y2097">
        <v>0</v>
      </c>
      <c r="Z2097">
        <v>1</v>
      </c>
      <c r="AA2097">
        <v>0</v>
      </c>
      <c r="AB2097">
        <v>0</v>
      </c>
      <c r="AC2097">
        <v>1</v>
      </c>
      <c r="AD2097">
        <v>0</v>
      </c>
      <c r="AE2097">
        <v>1</v>
      </c>
      <c r="AF2097">
        <v>0</v>
      </c>
      <c r="AG2097">
        <v>0</v>
      </c>
    </row>
    <row r="2098" spans="1:33" hidden="1" x14ac:dyDescent="0.2">
      <c r="A2098">
        <v>2097</v>
      </c>
      <c r="B2098" t="s">
        <v>597</v>
      </c>
      <c r="C2098" t="s">
        <v>188</v>
      </c>
      <c r="D2098">
        <v>27</v>
      </c>
      <c r="E2098" t="s">
        <v>114</v>
      </c>
      <c r="F2098" t="s">
        <v>53</v>
      </c>
      <c r="G2098" t="s">
        <v>54</v>
      </c>
      <c r="H2098">
        <v>2714</v>
      </c>
      <c r="I2098">
        <v>1</v>
      </c>
      <c r="J2098">
        <v>1</v>
      </c>
      <c r="K2098">
        <v>0</v>
      </c>
      <c r="L2098">
        <v>0</v>
      </c>
      <c r="M2098" t="s">
        <v>36</v>
      </c>
      <c r="N2098" t="s">
        <v>36</v>
      </c>
      <c r="O2098" t="s">
        <v>36</v>
      </c>
      <c r="P2098" t="s">
        <v>442</v>
      </c>
      <c r="Q2098" t="s">
        <v>36</v>
      </c>
      <c r="R2098" t="s">
        <v>36</v>
      </c>
      <c r="S2098" t="s">
        <v>36</v>
      </c>
      <c r="T2098" t="s">
        <v>36</v>
      </c>
      <c r="U2098">
        <v>1</v>
      </c>
      <c r="V2098">
        <v>1</v>
      </c>
      <c r="W2098">
        <v>0</v>
      </c>
      <c r="X2098">
        <v>1</v>
      </c>
      <c r="Y2098">
        <v>0</v>
      </c>
      <c r="Z2098">
        <v>1</v>
      </c>
      <c r="AA2098">
        <v>0</v>
      </c>
      <c r="AB2098">
        <v>0</v>
      </c>
      <c r="AC2098">
        <v>1</v>
      </c>
      <c r="AD2098">
        <v>0</v>
      </c>
      <c r="AE2098">
        <v>1</v>
      </c>
      <c r="AF2098">
        <v>0</v>
      </c>
      <c r="AG2098">
        <v>0</v>
      </c>
    </row>
    <row r="2099" spans="1:33" x14ac:dyDescent="0.2">
      <c r="A2099">
        <v>2098</v>
      </c>
      <c r="B2099" t="s">
        <v>597</v>
      </c>
      <c r="C2099" t="s">
        <v>188</v>
      </c>
      <c r="D2099">
        <v>27</v>
      </c>
      <c r="E2099" t="s">
        <v>114</v>
      </c>
      <c r="F2099" t="s">
        <v>41</v>
      </c>
      <c r="G2099" t="s">
        <v>67</v>
      </c>
      <c r="H2099">
        <v>2407</v>
      </c>
      <c r="I2099">
        <v>0</v>
      </c>
      <c r="J2099">
        <v>1</v>
      </c>
      <c r="K2099">
        <v>1</v>
      </c>
      <c r="L2099">
        <v>0</v>
      </c>
      <c r="M2099" t="s">
        <v>109</v>
      </c>
      <c r="N2099" t="s">
        <v>68</v>
      </c>
      <c r="O2099" t="s">
        <v>86</v>
      </c>
      <c r="P2099" t="s">
        <v>442</v>
      </c>
      <c r="Q2099" t="s">
        <v>59</v>
      </c>
      <c r="R2099" t="s">
        <v>65</v>
      </c>
      <c r="S2099" t="s">
        <v>46</v>
      </c>
      <c r="T2099">
        <v>0</v>
      </c>
      <c r="U2099">
        <v>1</v>
      </c>
      <c r="V2099">
        <v>0</v>
      </c>
      <c r="W2099">
        <v>0</v>
      </c>
      <c r="X2099">
        <v>1</v>
      </c>
      <c r="Y2099">
        <v>0</v>
      </c>
      <c r="Z2099">
        <v>1</v>
      </c>
      <c r="AA2099">
        <v>0</v>
      </c>
      <c r="AB2099">
        <v>1</v>
      </c>
      <c r="AC2099">
        <v>0</v>
      </c>
      <c r="AD2099">
        <v>0</v>
      </c>
      <c r="AE2099">
        <v>1</v>
      </c>
      <c r="AF2099">
        <v>0</v>
      </c>
      <c r="AG2099">
        <v>0</v>
      </c>
    </row>
    <row r="2100" spans="1:33" hidden="1" x14ac:dyDescent="0.2">
      <c r="A2100">
        <v>2099</v>
      </c>
      <c r="B2100" t="s">
        <v>597</v>
      </c>
      <c r="C2100" t="s">
        <v>188</v>
      </c>
      <c r="D2100">
        <v>27</v>
      </c>
      <c r="E2100" t="s">
        <v>114</v>
      </c>
      <c r="F2100" t="s">
        <v>53</v>
      </c>
      <c r="G2100" t="s">
        <v>66</v>
      </c>
      <c r="H2100">
        <v>3755</v>
      </c>
      <c r="I2100">
        <v>0</v>
      </c>
      <c r="J2100">
        <v>1</v>
      </c>
      <c r="K2100">
        <v>1</v>
      </c>
      <c r="L2100">
        <v>0</v>
      </c>
      <c r="M2100" t="s">
        <v>36</v>
      </c>
      <c r="N2100" t="s">
        <v>36</v>
      </c>
      <c r="O2100" t="s">
        <v>36</v>
      </c>
      <c r="P2100" t="s">
        <v>442</v>
      </c>
      <c r="Q2100" t="s">
        <v>36</v>
      </c>
      <c r="R2100" t="s">
        <v>36</v>
      </c>
      <c r="S2100" t="s">
        <v>36</v>
      </c>
      <c r="T2100" t="s">
        <v>36</v>
      </c>
      <c r="U2100">
        <v>1</v>
      </c>
      <c r="V2100">
        <v>0</v>
      </c>
      <c r="W2100">
        <v>0</v>
      </c>
      <c r="X2100">
        <v>1</v>
      </c>
      <c r="Y2100">
        <v>0</v>
      </c>
      <c r="Z2100">
        <v>1</v>
      </c>
      <c r="AA2100">
        <v>0</v>
      </c>
      <c r="AB2100">
        <v>1</v>
      </c>
      <c r="AC2100">
        <v>0</v>
      </c>
      <c r="AD2100">
        <v>0</v>
      </c>
      <c r="AE2100">
        <v>1</v>
      </c>
      <c r="AF2100">
        <v>0</v>
      </c>
      <c r="AG2100">
        <v>0</v>
      </c>
    </row>
    <row r="2101" spans="1:33" hidden="1" x14ac:dyDescent="0.2">
      <c r="A2101">
        <v>2100</v>
      </c>
      <c r="B2101" t="s">
        <v>597</v>
      </c>
      <c r="C2101" t="s">
        <v>188</v>
      </c>
      <c r="D2101">
        <v>27</v>
      </c>
      <c r="E2101" t="s">
        <v>114</v>
      </c>
      <c r="F2101" t="s">
        <v>77</v>
      </c>
      <c r="G2101" t="s">
        <v>36</v>
      </c>
      <c r="H2101">
        <v>277347</v>
      </c>
      <c r="I2101" t="s">
        <v>598</v>
      </c>
      <c r="J2101" t="s">
        <v>599</v>
      </c>
      <c r="K2101" t="s">
        <v>190</v>
      </c>
      <c r="L2101" t="s">
        <v>36</v>
      </c>
      <c r="M2101" t="s">
        <v>36</v>
      </c>
      <c r="N2101" t="s">
        <v>36</v>
      </c>
      <c r="O2101" t="s">
        <v>36</v>
      </c>
      <c r="P2101" t="s">
        <v>442</v>
      </c>
      <c r="Q2101" t="s">
        <v>36</v>
      </c>
      <c r="R2101" t="s">
        <v>36</v>
      </c>
      <c r="S2101" t="s">
        <v>36</v>
      </c>
      <c r="T2101" t="s">
        <v>36</v>
      </c>
      <c r="U2101" t="s">
        <v>36</v>
      </c>
      <c r="V2101" t="s">
        <v>36</v>
      </c>
      <c r="W2101" t="s">
        <v>36</v>
      </c>
      <c r="X2101" t="s">
        <v>36</v>
      </c>
      <c r="Y2101" t="s">
        <v>36</v>
      </c>
      <c r="Z2101" t="s">
        <v>36</v>
      </c>
      <c r="AA2101" t="s">
        <v>36</v>
      </c>
      <c r="AB2101" t="s">
        <v>36</v>
      </c>
      <c r="AC2101" t="s">
        <v>36</v>
      </c>
      <c r="AD2101" t="s">
        <v>36</v>
      </c>
      <c r="AE2101" t="s">
        <v>36</v>
      </c>
      <c r="AF2101" t="s">
        <v>36</v>
      </c>
      <c r="AG2101" t="s">
        <v>36</v>
      </c>
    </row>
    <row r="2102" spans="1:33" hidden="1" x14ac:dyDescent="0.2">
      <c r="A2102">
        <v>2101</v>
      </c>
      <c r="B2102" t="s">
        <v>600</v>
      </c>
      <c r="C2102" t="s">
        <v>108</v>
      </c>
      <c r="D2102">
        <v>36</v>
      </c>
      <c r="E2102" t="s">
        <v>34</v>
      </c>
      <c r="F2102" t="s">
        <v>35</v>
      </c>
      <c r="G2102" t="s">
        <v>36</v>
      </c>
      <c r="H2102">
        <v>37718</v>
      </c>
      <c r="I2102" t="s">
        <v>36</v>
      </c>
      <c r="J2102" t="s">
        <v>36</v>
      </c>
      <c r="K2102" t="s">
        <v>36</v>
      </c>
      <c r="L2102" t="s">
        <v>36</v>
      </c>
      <c r="M2102" t="s">
        <v>36</v>
      </c>
      <c r="N2102" t="s">
        <v>36</v>
      </c>
      <c r="O2102" t="s">
        <v>36</v>
      </c>
      <c r="P2102" t="s">
        <v>442</v>
      </c>
      <c r="Q2102" t="s">
        <v>36</v>
      </c>
      <c r="R2102" t="s">
        <v>36</v>
      </c>
      <c r="S2102" t="s">
        <v>36</v>
      </c>
      <c r="T2102" t="s">
        <v>36</v>
      </c>
      <c r="U2102" t="s">
        <v>36</v>
      </c>
      <c r="V2102" t="s">
        <v>36</v>
      </c>
      <c r="W2102" t="s">
        <v>36</v>
      </c>
      <c r="X2102" t="s">
        <v>36</v>
      </c>
      <c r="Y2102" t="s">
        <v>36</v>
      </c>
      <c r="Z2102" t="s">
        <v>36</v>
      </c>
      <c r="AA2102" t="s">
        <v>36</v>
      </c>
      <c r="AB2102" t="s">
        <v>36</v>
      </c>
      <c r="AC2102" t="s">
        <v>36</v>
      </c>
      <c r="AD2102" t="s">
        <v>36</v>
      </c>
      <c r="AE2102" t="s">
        <v>36</v>
      </c>
      <c r="AF2102" t="s">
        <v>36</v>
      </c>
      <c r="AG2102" t="s">
        <v>36</v>
      </c>
    </row>
    <row r="2103" spans="1:33" hidden="1" x14ac:dyDescent="0.2">
      <c r="A2103">
        <v>2102</v>
      </c>
      <c r="B2103" t="s">
        <v>600</v>
      </c>
      <c r="C2103" t="s">
        <v>108</v>
      </c>
      <c r="D2103">
        <v>36</v>
      </c>
      <c r="E2103" t="s">
        <v>34</v>
      </c>
      <c r="F2103" t="s">
        <v>38</v>
      </c>
      <c r="G2103" t="s">
        <v>40</v>
      </c>
      <c r="H2103">
        <v>113593</v>
      </c>
      <c r="I2103">
        <v>0</v>
      </c>
      <c r="J2103">
        <v>0</v>
      </c>
      <c r="K2103">
        <v>1</v>
      </c>
      <c r="L2103">
        <v>0</v>
      </c>
      <c r="M2103" t="s">
        <v>36</v>
      </c>
      <c r="N2103" t="s">
        <v>36</v>
      </c>
      <c r="O2103" t="s">
        <v>36</v>
      </c>
      <c r="P2103" t="s">
        <v>442</v>
      </c>
      <c r="Q2103" t="s">
        <v>36</v>
      </c>
      <c r="R2103" t="s">
        <v>36</v>
      </c>
      <c r="S2103" t="s">
        <v>36</v>
      </c>
      <c r="T2103" t="s">
        <v>36</v>
      </c>
      <c r="U2103" t="s">
        <v>36</v>
      </c>
      <c r="V2103" t="s">
        <v>36</v>
      </c>
      <c r="W2103" t="s">
        <v>36</v>
      </c>
      <c r="X2103" t="s">
        <v>36</v>
      </c>
      <c r="Y2103" t="s">
        <v>36</v>
      </c>
      <c r="Z2103" t="s">
        <v>36</v>
      </c>
      <c r="AA2103" t="s">
        <v>36</v>
      </c>
      <c r="AB2103" t="s">
        <v>36</v>
      </c>
      <c r="AC2103" t="s">
        <v>36</v>
      </c>
      <c r="AD2103" t="s">
        <v>36</v>
      </c>
      <c r="AE2103" t="s">
        <v>36</v>
      </c>
      <c r="AF2103" t="s">
        <v>36</v>
      </c>
      <c r="AG2103" t="s">
        <v>36</v>
      </c>
    </row>
    <row r="2104" spans="1:33" hidden="1" x14ac:dyDescent="0.2">
      <c r="A2104">
        <v>2103</v>
      </c>
      <c r="B2104" t="s">
        <v>600</v>
      </c>
      <c r="C2104" t="s">
        <v>108</v>
      </c>
      <c r="D2104">
        <v>36</v>
      </c>
      <c r="E2104" t="s">
        <v>34</v>
      </c>
      <c r="F2104" t="s">
        <v>38</v>
      </c>
      <c r="G2104" t="s">
        <v>39</v>
      </c>
      <c r="H2104">
        <v>62748</v>
      </c>
      <c r="I2104">
        <v>0</v>
      </c>
      <c r="J2104">
        <v>0</v>
      </c>
      <c r="K2104">
        <v>0</v>
      </c>
      <c r="L2104">
        <v>1</v>
      </c>
      <c r="M2104" t="s">
        <v>36</v>
      </c>
      <c r="N2104" t="s">
        <v>36</v>
      </c>
      <c r="O2104" t="s">
        <v>36</v>
      </c>
      <c r="P2104" t="s">
        <v>442</v>
      </c>
      <c r="Q2104" t="s">
        <v>36</v>
      </c>
      <c r="R2104" t="s">
        <v>36</v>
      </c>
      <c r="S2104" t="s">
        <v>36</v>
      </c>
      <c r="T2104" t="s">
        <v>36</v>
      </c>
      <c r="U2104" t="s">
        <v>36</v>
      </c>
      <c r="V2104" t="s">
        <v>36</v>
      </c>
      <c r="W2104" t="s">
        <v>36</v>
      </c>
      <c r="X2104" t="s">
        <v>36</v>
      </c>
      <c r="Y2104" t="s">
        <v>36</v>
      </c>
      <c r="Z2104" t="s">
        <v>36</v>
      </c>
      <c r="AA2104" t="s">
        <v>36</v>
      </c>
      <c r="AB2104" t="s">
        <v>36</v>
      </c>
      <c r="AC2104" t="s">
        <v>36</v>
      </c>
      <c r="AD2104" t="s">
        <v>36</v>
      </c>
      <c r="AE2104" t="s">
        <v>36</v>
      </c>
      <c r="AF2104" t="s">
        <v>36</v>
      </c>
      <c r="AG2104" t="s">
        <v>36</v>
      </c>
    </row>
    <row r="2105" spans="1:33" x14ac:dyDescent="0.2">
      <c r="A2105">
        <v>2104</v>
      </c>
      <c r="B2105" t="s">
        <v>600</v>
      </c>
      <c r="C2105" t="s">
        <v>108</v>
      </c>
      <c r="D2105">
        <v>36</v>
      </c>
      <c r="E2105" t="s">
        <v>34</v>
      </c>
      <c r="F2105" t="s">
        <v>41</v>
      </c>
      <c r="G2105" t="s">
        <v>72</v>
      </c>
      <c r="H2105">
        <v>57578</v>
      </c>
      <c r="I2105">
        <v>0</v>
      </c>
      <c r="J2105">
        <v>0</v>
      </c>
      <c r="K2105">
        <v>0</v>
      </c>
      <c r="L2105">
        <v>1</v>
      </c>
      <c r="M2105" t="s">
        <v>73</v>
      </c>
      <c r="N2105" t="s">
        <v>75</v>
      </c>
      <c r="O2105" t="s">
        <v>104</v>
      </c>
      <c r="P2105" t="s">
        <v>442</v>
      </c>
      <c r="Q2105" t="s">
        <v>48</v>
      </c>
      <c r="R2105" t="s">
        <v>46</v>
      </c>
      <c r="S2105" t="s">
        <v>60</v>
      </c>
      <c r="T2105">
        <v>1</v>
      </c>
      <c r="U2105">
        <v>0</v>
      </c>
      <c r="V2105">
        <v>1</v>
      </c>
      <c r="W2105">
        <v>0</v>
      </c>
      <c r="X2105">
        <v>1</v>
      </c>
      <c r="Y2105">
        <v>0</v>
      </c>
      <c r="Z2105">
        <v>1</v>
      </c>
      <c r="AA2105">
        <v>0</v>
      </c>
      <c r="AB2105">
        <v>0</v>
      </c>
      <c r="AC2105">
        <v>0</v>
      </c>
      <c r="AD2105">
        <v>0</v>
      </c>
      <c r="AE2105">
        <v>0</v>
      </c>
      <c r="AF2105">
        <v>0</v>
      </c>
      <c r="AG2105">
        <v>1</v>
      </c>
    </row>
    <row r="2106" spans="1:33" x14ac:dyDescent="0.2">
      <c r="A2106">
        <v>2105</v>
      </c>
      <c r="B2106" t="s">
        <v>600</v>
      </c>
      <c r="C2106" t="s">
        <v>108</v>
      </c>
      <c r="D2106">
        <v>36</v>
      </c>
      <c r="E2106" t="s">
        <v>34</v>
      </c>
      <c r="F2106" t="s">
        <v>41</v>
      </c>
      <c r="G2106" t="s">
        <v>42</v>
      </c>
      <c r="H2106">
        <v>80968</v>
      </c>
      <c r="I2106">
        <v>0</v>
      </c>
      <c r="J2106">
        <v>1</v>
      </c>
      <c r="K2106">
        <v>0</v>
      </c>
      <c r="L2106">
        <v>0</v>
      </c>
      <c r="M2106" t="s">
        <v>44</v>
      </c>
      <c r="N2106" t="s">
        <v>116</v>
      </c>
      <c r="O2106" t="s">
        <v>45</v>
      </c>
      <c r="P2106" t="s">
        <v>442</v>
      </c>
      <c r="Q2106" t="s">
        <v>47</v>
      </c>
      <c r="R2106" t="s">
        <v>60</v>
      </c>
      <c r="S2106" t="s">
        <v>48</v>
      </c>
      <c r="T2106">
        <v>1</v>
      </c>
      <c r="U2106">
        <v>0</v>
      </c>
      <c r="V2106">
        <v>1</v>
      </c>
      <c r="W2106">
        <v>1</v>
      </c>
      <c r="X2106">
        <v>0</v>
      </c>
      <c r="Y2106">
        <v>0</v>
      </c>
      <c r="Z2106">
        <v>1</v>
      </c>
      <c r="AA2106">
        <v>1</v>
      </c>
      <c r="AB2106">
        <v>0</v>
      </c>
      <c r="AC2106">
        <v>0</v>
      </c>
      <c r="AD2106">
        <v>0</v>
      </c>
      <c r="AE2106">
        <v>0</v>
      </c>
      <c r="AF2106">
        <v>0</v>
      </c>
      <c r="AG2106">
        <v>0</v>
      </c>
    </row>
    <row r="2107" spans="1:33" hidden="1" x14ac:dyDescent="0.2">
      <c r="A2107">
        <v>2106</v>
      </c>
      <c r="B2107" t="s">
        <v>600</v>
      </c>
      <c r="C2107" t="s">
        <v>108</v>
      </c>
      <c r="D2107">
        <v>36</v>
      </c>
      <c r="E2107" t="s">
        <v>34</v>
      </c>
      <c r="F2107" t="s">
        <v>53</v>
      </c>
      <c r="G2107" t="s">
        <v>71</v>
      </c>
      <c r="H2107">
        <v>68012</v>
      </c>
      <c r="I2107">
        <v>0</v>
      </c>
      <c r="J2107">
        <v>1</v>
      </c>
      <c r="K2107">
        <v>0</v>
      </c>
      <c r="L2107">
        <v>0</v>
      </c>
      <c r="M2107" t="s">
        <v>36</v>
      </c>
      <c r="N2107" t="s">
        <v>36</v>
      </c>
      <c r="O2107" t="s">
        <v>36</v>
      </c>
      <c r="P2107" t="s">
        <v>442</v>
      </c>
      <c r="Q2107" t="s">
        <v>36</v>
      </c>
      <c r="R2107" t="s">
        <v>36</v>
      </c>
      <c r="S2107" t="s">
        <v>36</v>
      </c>
      <c r="T2107" t="s">
        <v>36</v>
      </c>
      <c r="U2107">
        <v>0</v>
      </c>
      <c r="V2107">
        <v>1</v>
      </c>
      <c r="W2107">
        <v>1</v>
      </c>
      <c r="X2107">
        <v>0</v>
      </c>
      <c r="Y2107">
        <v>0</v>
      </c>
      <c r="Z2107">
        <v>1</v>
      </c>
      <c r="AA2107">
        <v>1</v>
      </c>
      <c r="AB2107">
        <v>0</v>
      </c>
      <c r="AC2107">
        <v>0</v>
      </c>
      <c r="AD2107">
        <v>0</v>
      </c>
      <c r="AE2107">
        <v>0</v>
      </c>
      <c r="AF2107">
        <v>0</v>
      </c>
      <c r="AG2107">
        <v>0</v>
      </c>
    </row>
    <row r="2108" spans="1:33" x14ac:dyDescent="0.2">
      <c r="A2108">
        <v>2107</v>
      </c>
      <c r="B2108" t="s">
        <v>600</v>
      </c>
      <c r="C2108" t="s">
        <v>108</v>
      </c>
      <c r="D2108">
        <v>36</v>
      </c>
      <c r="E2108" t="s">
        <v>34</v>
      </c>
      <c r="F2108" t="s">
        <v>41</v>
      </c>
      <c r="G2108" t="s">
        <v>67</v>
      </c>
      <c r="H2108">
        <v>48391</v>
      </c>
      <c r="I2108">
        <v>0</v>
      </c>
      <c r="J2108">
        <v>1</v>
      </c>
      <c r="K2108">
        <v>0</v>
      </c>
      <c r="L2108">
        <v>0</v>
      </c>
      <c r="M2108" t="s">
        <v>70</v>
      </c>
      <c r="N2108" t="s">
        <v>103</v>
      </c>
      <c r="O2108" t="s">
        <v>69</v>
      </c>
      <c r="P2108" t="s">
        <v>442</v>
      </c>
      <c r="Q2108" t="s">
        <v>47</v>
      </c>
      <c r="R2108" t="s">
        <v>60</v>
      </c>
      <c r="S2108" t="s">
        <v>48</v>
      </c>
      <c r="T2108">
        <v>1</v>
      </c>
      <c r="U2108">
        <v>0</v>
      </c>
      <c r="V2108">
        <v>1</v>
      </c>
      <c r="W2108">
        <v>1</v>
      </c>
      <c r="X2108">
        <v>0</v>
      </c>
      <c r="Y2108">
        <v>0</v>
      </c>
      <c r="Z2108">
        <v>1</v>
      </c>
      <c r="AA2108">
        <v>1</v>
      </c>
      <c r="AB2108">
        <v>0</v>
      </c>
      <c r="AC2108">
        <v>0</v>
      </c>
      <c r="AD2108">
        <v>0</v>
      </c>
      <c r="AE2108">
        <v>0</v>
      </c>
      <c r="AF2108">
        <v>0</v>
      </c>
      <c r="AG2108">
        <v>0</v>
      </c>
    </row>
    <row r="2109" spans="1:33" hidden="1" x14ac:dyDescent="0.2">
      <c r="A2109">
        <v>2108</v>
      </c>
      <c r="B2109" t="s">
        <v>600</v>
      </c>
      <c r="C2109" t="s">
        <v>108</v>
      </c>
      <c r="D2109">
        <v>36</v>
      </c>
      <c r="E2109" t="s">
        <v>34</v>
      </c>
      <c r="F2109" t="s">
        <v>53</v>
      </c>
      <c r="G2109" t="s">
        <v>76</v>
      </c>
      <c r="H2109">
        <v>30474</v>
      </c>
      <c r="I2109">
        <v>1</v>
      </c>
      <c r="J2109">
        <v>0</v>
      </c>
      <c r="K2109">
        <v>0</v>
      </c>
      <c r="L2109">
        <v>0</v>
      </c>
      <c r="M2109" t="s">
        <v>36</v>
      </c>
      <c r="N2109" t="s">
        <v>36</v>
      </c>
      <c r="O2109" t="s">
        <v>36</v>
      </c>
      <c r="P2109" t="s">
        <v>442</v>
      </c>
      <c r="Q2109" t="s">
        <v>36</v>
      </c>
      <c r="R2109" t="s">
        <v>36</v>
      </c>
      <c r="S2109" t="s">
        <v>36</v>
      </c>
      <c r="T2109" t="s">
        <v>36</v>
      </c>
      <c r="U2109">
        <v>0</v>
      </c>
      <c r="V2109">
        <v>1</v>
      </c>
      <c r="W2109">
        <v>1</v>
      </c>
      <c r="X2109">
        <v>0</v>
      </c>
      <c r="Y2109">
        <v>0</v>
      </c>
      <c r="Z2109">
        <v>1</v>
      </c>
      <c r="AA2109">
        <v>1</v>
      </c>
      <c r="AB2109">
        <v>0</v>
      </c>
      <c r="AC2109">
        <v>0</v>
      </c>
      <c r="AD2109">
        <v>0</v>
      </c>
      <c r="AE2109">
        <v>0</v>
      </c>
      <c r="AF2109">
        <v>0</v>
      </c>
      <c r="AG2109">
        <v>0</v>
      </c>
    </row>
    <row r="2110" spans="1:33" x14ac:dyDescent="0.2">
      <c r="A2110">
        <v>2109</v>
      </c>
      <c r="B2110" t="s">
        <v>600</v>
      </c>
      <c r="C2110" t="s">
        <v>108</v>
      </c>
      <c r="D2110">
        <v>36</v>
      </c>
      <c r="E2110" t="s">
        <v>34</v>
      </c>
      <c r="F2110" t="s">
        <v>41</v>
      </c>
      <c r="G2110" t="s">
        <v>49</v>
      </c>
      <c r="H2110">
        <v>58494</v>
      </c>
      <c r="I2110">
        <v>0</v>
      </c>
      <c r="J2110">
        <v>0</v>
      </c>
      <c r="K2110">
        <v>1</v>
      </c>
      <c r="L2110">
        <v>0</v>
      </c>
      <c r="M2110" t="s">
        <v>51</v>
      </c>
      <c r="N2110" t="s">
        <v>50</v>
      </c>
      <c r="O2110" t="s">
        <v>95</v>
      </c>
      <c r="P2110" t="s">
        <v>442</v>
      </c>
      <c r="Q2110" t="s">
        <v>47</v>
      </c>
      <c r="R2110" t="s">
        <v>48</v>
      </c>
      <c r="S2110" t="s">
        <v>60</v>
      </c>
      <c r="T2110">
        <v>1</v>
      </c>
      <c r="U2110">
        <v>0</v>
      </c>
      <c r="V2110">
        <v>1</v>
      </c>
      <c r="W2110">
        <v>1</v>
      </c>
      <c r="X2110">
        <v>0</v>
      </c>
      <c r="Y2110">
        <v>0</v>
      </c>
      <c r="Z2110">
        <v>1</v>
      </c>
      <c r="AA2110">
        <v>1</v>
      </c>
      <c r="AB2110">
        <v>0</v>
      </c>
      <c r="AC2110">
        <v>0</v>
      </c>
      <c r="AD2110">
        <v>0</v>
      </c>
      <c r="AE2110">
        <v>0</v>
      </c>
      <c r="AF2110">
        <v>0</v>
      </c>
      <c r="AG2110">
        <v>0</v>
      </c>
    </row>
    <row r="2111" spans="1:33" x14ac:dyDescent="0.2">
      <c r="A2111">
        <v>2110</v>
      </c>
      <c r="B2111" t="s">
        <v>600</v>
      </c>
      <c r="C2111" t="s">
        <v>108</v>
      </c>
      <c r="D2111">
        <v>36</v>
      </c>
      <c r="E2111" t="s">
        <v>34</v>
      </c>
      <c r="F2111" t="s">
        <v>41</v>
      </c>
      <c r="G2111" t="s">
        <v>61</v>
      </c>
      <c r="H2111">
        <v>96028</v>
      </c>
      <c r="I2111">
        <v>0</v>
      </c>
      <c r="J2111">
        <v>0</v>
      </c>
      <c r="K2111">
        <v>0</v>
      </c>
      <c r="L2111">
        <v>1</v>
      </c>
      <c r="M2111" t="s">
        <v>97</v>
      </c>
      <c r="N2111" t="s">
        <v>62</v>
      </c>
      <c r="O2111" t="s">
        <v>87</v>
      </c>
      <c r="P2111" t="s">
        <v>442</v>
      </c>
      <c r="Q2111" t="s">
        <v>59</v>
      </c>
      <c r="R2111" t="s">
        <v>65</v>
      </c>
      <c r="S2111" t="s">
        <v>47</v>
      </c>
      <c r="T2111">
        <v>0</v>
      </c>
      <c r="U2111">
        <v>1</v>
      </c>
      <c r="V2111">
        <v>0</v>
      </c>
      <c r="W2111">
        <v>1</v>
      </c>
      <c r="X2111">
        <v>0</v>
      </c>
      <c r="Y2111">
        <v>0</v>
      </c>
      <c r="Z2111">
        <v>1</v>
      </c>
      <c r="AA2111">
        <v>0</v>
      </c>
      <c r="AB2111">
        <v>0</v>
      </c>
      <c r="AC2111">
        <v>0</v>
      </c>
      <c r="AD2111">
        <v>0</v>
      </c>
      <c r="AE2111">
        <v>0</v>
      </c>
      <c r="AF2111">
        <v>0</v>
      </c>
      <c r="AG2111">
        <v>1</v>
      </c>
    </row>
    <row r="2112" spans="1:33" hidden="1" x14ac:dyDescent="0.2">
      <c r="A2112">
        <v>2111</v>
      </c>
      <c r="B2112" t="s">
        <v>600</v>
      </c>
      <c r="C2112" t="s">
        <v>108</v>
      </c>
      <c r="D2112">
        <v>36</v>
      </c>
      <c r="E2112" t="s">
        <v>34</v>
      </c>
      <c r="F2112" t="s">
        <v>53</v>
      </c>
      <c r="G2112" t="s">
        <v>66</v>
      </c>
      <c r="H2112">
        <v>47605</v>
      </c>
      <c r="I2112">
        <v>1</v>
      </c>
      <c r="J2112">
        <v>0</v>
      </c>
      <c r="K2112">
        <v>0</v>
      </c>
      <c r="L2112">
        <v>0</v>
      </c>
      <c r="M2112" t="s">
        <v>36</v>
      </c>
      <c r="N2112" t="s">
        <v>36</v>
      </c>
      <c r="O2112" t="s">
        <v>36</v>
      </c>
      <c r="P2112" t="s">
        <v>442</v>
      </c>
      <c r="Q2112" t="s">
        <v>36</v>
      </c>
      <c r="R2112" t="s">
        <v>36</v>
      </c>
      <c r="S2112" t="s">
        <v>36</v>
      </c>
      <c r="T2112" t="s">
        <v>36</v>
      </c>
      <c r="U2112">
        <v>1</v>
      </c>
      <c r="V2112">
        <v>0</v>
      </c>
      <c r="W2112">
        <v>1</v>
      </c>
      <c r="X2112">
        <v>0</v>
      </c>
      <c r="Y2112">
        <v>0</v>
      </c>
      <c r="Z2112">
        <v>1</v>
      </c>
      <c r="AA2112">
        <v>0</v>
      </c>
      <c r="AB2112">
        <v>0</v>
      </c>
      <c r="AC2112">
        <v>0</v>
      </c>
      <c r="AD2112">
        <v>0</v>
      </c>
      <c r="AE2112">
        <v>0</v>
      </c>
      <c r="AF2112">
        <v>0</v>
      </c>
      <c r="AG2112">
        <v>1</v>
      </c>
    </row>
    <row r="2113" spans="1:33" x14ac:dyDescent="0.2">
      <c r="A2113">
        <v>2112</v>
      </c>
      <c r="B2113" t="s">
        <v>600</v>
      </c>
      <c r="C2113" t="s">
        <v>108</v>
      </c>
      <c r="D2113">
        <v>36</v>
      </c>
      <c r="E2113" t="s">
        <v>34</v>
      </c>
      <c r="F2113" t="s">
        <v>41</v>
      </c>
      <c r="G2113" t="s">
        <v>55</v>
      </c>
      <c r="H2113">
        <v>40392</v>
      </c>
      <c r="I2113">
        <v>0</v>
      </c>
      <c r="J2113">
        <v>0</v>
      </c>
      <c r="K2113">
        <v>0</v>
      </c>
      <c r="L2113">
        <v>1</v>
      </c>
      <c r="M2113" t="s">
        <v>56</v>
      </c>
      <c r="N2113" t="s">
        <v>94</v>
      </c>
      <c r="O2113" t="s">
        <v>85</v>
      </c>
      <c r="P2113" t="s">
        <v>442</v>
      </c>
      <c r="Q2113" t="s">
        <v>59</v>
      </c>
      <c r="R2113" t="s">
        <v>47</v>
      </c>
      <c r="S2113" t="s">
        <v>65</v>
      </c>
      <c r="T2113">
        <v>0</v>
      </c>
      <c r="U2113">
        <v>1</v>
      </c>
      <c r="V2113">
        <v>0</v>
      </c>
      <c r="W2113">
        <v>1</v>
      </c>
      <c r="X2113">
        <v>0</v>
      </c>
      <c r="Y2113">
        <v>0</v>
      </c>
      <c r="Z2113">
        <v>1</v>
      </c>
      <c r="AA2113">
        <v>0</v>
      </c>
      <c r="AB2113">
        <v>0</v>
      </c>
      <c r="AC2113">
        <v>0</v>
      </c>
      <c r="AD2113">
        <v>0</v>
      </c>
      <c r="AE2113">
        <v>0</v>
      </c>
      <c r="AF2113">
        <v>0</v>
      </c>
      <c r="AG2113">
        <v>1</v>
      </c>
    </row>
    <row r="2114" spans="1:33" hidden="1" x14ac:dyDescent="0.2">
      <c r="A2114">
        <v>2113</v>
      </c>
      <c r="B2114" t="s">
        <v>600</v>
      </c>
      <c r="C2114" t="s">
        <v>108</v>
      </c>
      <c r="D2114">
        <v>36</v>
      </c>
      <c r="E2114" t="s">
        <v>34</v>
      </c>
      <c r="F2114" t="s">
        <v>53</v>
      </c>
      <c r="G2114" t="s">
        <v>54</v>
      </c>
      <c r="H2114">
        <v>73907</v>
      </c>
      <c r="I2114">
        <v>0</v>
      </c>
      <c r="J2114">
        <v>0</v>
      </c>
      <c r="K2114">
        <v>1</v>
      </c>
      <c r="L2114">
        <v>0</v>
      </c>
      <c r="M2114" t="s">
        <v>36</v>
      </c>
      <c r="N2114" t="s">
        <v>36</v>
      </c>
      <c r="O2114" t="s">
        <v>36</v>
      </c>
      <c r="P2114" t="s">
        <v>442</v>
      </c>
      <c r="Q2114" t="s">
        <v>36</v>
      </c>
      <c r="R2114" t="s">
        <v>36</v>
      </c>
      <c r="S2114" t="s">
        <v>36</v>
      </c>
      <c r="T2114" t="s">
        <v>36</v>
      </c>
      <c r="U2114">
        <v>1</v>
      </c>
      <c r="V2114">
        <v>0</v>
      </c>
      <c r="W2114">
        <v>1</v>
      </c>
      <c r="X2114">
        <v>0</v>
      </c>
      <c r="Y2114">
        <v>0</v>
      </c>
      <c r="Z2114">
        <v>1</v>
      </c>
      <c r="AA2114">
        <v>0</v>
      </c>
      <c r="AB2114">
        <v>0</v>
      </c>
      <c r="AC2114">
        <v>0</v>
      </c>
      <c r="AD2114">
        <v>0</v>
      </c>
      <c r="AE2114">
        <v>0</v>
      </c>
      <c r="AF2114">
        <v>0</v>
      </c>
      <c r="AG2114">
        <v>1</v>
      </c>
    </row>
    <row r="2115" spans="1:33" hidden="1" x14ac:dyDescent="0.2">
      <c r="A2115">
        <v>2114</v>
      </c>
      <c r="B2115" t="s">
        <v>600</v>
      </c>
      <c r="C2115" t="s">
        <v>108</v>
      </c>
      <c r="D2115">
        <v>36</v>
      </c>
      <c r="E2115" t="s">
        <v>34</v>
      </c>
      <c r="F2115" t="s">
        <v>77</v>
      </c>
      <c r="G2115" t="s">
        <v>36</v>
      </c>
      <c r="H2115">
        <v>248691</v>
      </c>
      <c r="I2115" t="s">
        <v>601</v>
      </c>
      <c r="J2115" t="s">
        <v>602</v>
      </c>
      <c r="K2115" t="s">
        <v>162</v>
      </c>
      <c r="L2115" t="s">
        <v>36</v>
      </c>
      <c r="M2115" t="s">
        <v>36</v>
      </c>
      <c r="N2115" t="s">
        <v>36</v>
      </c>
      <c r="O2115" t="s">
        <v>36</v>
      </c>
      <c r="P2115" t="s">
        <v>442</v>
      </c>
      <c r="Q2115" t="s">
        <v>36</v>
      </c>
      <c r="R2115" t="s">
        <v>36</v>
      </c>
      <c r="S2115" t="s">
        <v>36</v>
      </c>
      <c r="T2115" t="s">
        <v>36</v>
      </c>
      <c r="U2115" t="s">
        <v>36</v>
      </c>
      <c r="V2115" t="s">
        <v>36</v>
      </c>
      <c r="W2115" t="s">
        <v>36</v>
      </c>
      <c r="X2115" t="s">
        <v>36</v>
      </c>
      <c r="Y2115" t="s">
        <v>36</v>
      </c>
      <c r="Z2115" t="s">
        <v>36</v>
      </c>
      <c r="AA2115" t="s">
        <v>36</v>
      </c>
      <c r="AB2115" t="s">
        <v>36</v>
      </c>
      <c r="AC2115" t="s">
        <v>36</v>
      </c>
      <c r="AD2115" t="s">
        <v>36</v>
      </c>
      <c r="AE2115" t="s">
        <v>36</v>
      </c>
      <c r="AF2115" t="s">
        <v>36</v>
      </c>
      <c r="AG2115" t="s">
        <v>36</v>
      </c>
    </row>
    <row r="2116" spans="1:33" hidden="1" x14ac:dyDescent="0.2">
      <c r="A2116">
        <v>2115</v>
      </c>
      <c r="B2116" t="s">
        <v>603</v>
      </c>
      <c r="C2116" t="s">
        <v>188</v>
      </c>
      <c r="D2116">
        <v>35</v>
      </c>
      <c r="E2116" t="s">
        <v>34</v>
      </c>
      <c r="F2116" t="s">
        <v>35</v>
      </c>
      <c r="G2116" t="s">
        <v>36</v>
      </c>
      <c r="H2116">
        <v>90535</v>
      </c>
      <c r="I2116" t="s">
        <v>36</v>
      </c>
      <c r="J2116" t="s">
        <v>36</v>
      </c>
      <c r="K2116" t="s">
        <v>36</v>
      </c>
      <c r="L2116" t="s">
        <v>36</v>
      </c>
      <c r="M2116" t="s">
        <v>36</v>
      </c>
      <c r="N2116" t="s">
        <v>36</v>
      </c>
      <c r="O2116" t="s">
        <v>36</v>
      </c>
      <c r="P2116" t="s">
        <v>442</v>
      </c>
      <c r="Q2116" t="s">
        <v>36</v>
      </c>
      <c r="R2116" t="s">
        <v>36</v>
      </c>
      <c r="S2116" t="s">
        <v>36</v>
      </c>
      <c r="T2116" t="s">
        <v>36</v>
      </c>
      <c r="U2116" t="s">
        <v>36</v>
      </c>
      <c r="V2116" t="s">
        <v>36</v>
      </c>
      <c r="W2116" t="s">
        <v>36</v>
      </c>
      <c r="X2116" t="s">
        <v>36</v>
      </c>
      <c r="Y2116" t="s">
        <v>36</v>
      </c>
      <c r="Z2116" t="s">
        <v>36</v>
      </c>
      <c r="AA2116" t="s">
        <v>36</v>
      </c>
      <c r="AB2116" t="s">
        <v>36</v>
      </c>
      <c r="AC2116" t="s">
        <v>36</v>
      </c>
      <c r="AD2116" t="s">
        <v>36</v>
      </c>
      <c r="AE2116" t="s">
        <v>36</v>
      </c>
      <c r="AF2116" t="s">
        <v>36</v>
      </c>
      <c r="AG2116" t="s">
        <v>36</v>
      </c>
    </row>
    <row r="2117" spans="1:33" hidden="1" x14ac:dyDescent="0.2">
      <c r="A2117">
        <v>2116</v>
      </c>
      <c r="B2117" t="s">
        <v>603</v>
      </c>
      <c r="C2117" t="s">
        <v>188</v>
      </c>
      <c r="D2117">
        <v>35</v>
      </c>
      <c r="E2117" t="s">
        <v>34</v>
      </c>
      <c r="F2117" t="s">
        <v>38</v>
      </c>
      <c r="G2117" t="s">
        <v>40</v>
      </c>
      <c r="H2117">
        <v>104763</v>
      </c>
      <c r="I2117">
        <v>0</v>
      </c>
      <c r="J2117">
        <v>1</v>
      </c>
      <c r="K2117">
        <v>0</v>
      </c>
      <c r="L2117">
        <v>0</v>
      </c>
      <c r="M2117" t="s">
        <v>36</v>
      </c>
      <c r="N2117" t="s">
        <v>36</v>
      </c>
      <c r="O2117" t="s">
        <v>36</v>
      </c>
      <c r="P2117" t="s">
        <v>442</v>
      </c>
      <c r="Q2117" t="s">
        <v>36</v>
      </c>
      <c r="R2117" t="s">
        <v>36</v>
      </c>
      <c r="S2117" t="s">
        <v>36</v>
      </c>
      <c r="T2117" t="s">
        <v>36</v>
      </c>
      <c r="U2117" t="s">
        <v>36</v>
      </c>
      <c r="V2117" t="s">
        <v>36</v>
      </c>
      <c r="W2117" t="s">
        <v>36</v>
      </c>
      <c r="X2117" t="s">
        <v>36</v>
      </c>
      <c r="Y2117" t="s">
        <v>36</v>
      </c>
      <c r="Z2117" t="s">
        <v>36</v>
      </c>
      <c r="AA2117" t="s">
        <v>36</v>
      </c>
      <c r="AB2117" t="s">
        <v>36</v>
      </c>
      <c r="AC2117" t="s">
        <v>36</v>
      </c>
      <c r="AD2117" t="s">
        <v>36</v>
      </c>
      <c r="AE2117" t="s">
        <v>36</v>
      </c>
      <c r="AF2117" t="s">
        <v>36</v>
      </c>
      <c r="AG2117" t="s">
        <v>36</v>
      </c>
    </row>
    <row r="2118" spans="1:33" hidden="1" x14ac:dyDescent="0.2">
      <c r="A2118">
        <v>2117</v>
      </c>
      <c r="B2118" t="s">
        <v>603</v>
      </c>
      <c r="C2118" t="s">
        <v>188</v>
      </c>
      <c r="D2118">
        <v>35</v>
      </c>
      <c r="E2118" t="s">
        <v>34</v>
      </c>
      <c r="F2118" t="s">
        <v>38</v>
      </c>
      <c r="G2118" t="s">
        <v>39</v>
      </c>
      <c r="H2118">
        <v>128014</v>
      </c>
      <c r="I2118">
        <v>0</v>
      </c>
      <c r="J2118">
        <v>0</v>
      </c>
      <c r="K2118">
        <v>0</v>
      </c>
      <c r="L2118">
        <v>1</v>
      </c>
      <c r="M2118" t="s">
        <v>36</v>
      </c>
      <c r="N2118" t="s">
        <v>36</v>
      </c>
      <c r="O2118" t="s">
        <v>36</v>
      </c>
      <c r="P2118" t="s">
        <v>442</v>
      </c>
      <c r="Q2118" t="s">
        <v>36</v>
      </c>
      <c r="R2118" t="s">
        <v>36</v>
      </c>
      <c r="S2118" t="s">
        <v>36</v>
      </c>
      <c r="T2118" t="s">
        <v>36</v>
      </c>
      <c r="U2118" t="s">
        <v>36</v>
      </c>
      <c r="V2118" t="s">
        <v>36</v>
      </c>
      <c r="W2118" t="s">
        <v>36</v>
      </c>
      <c r="X2118" t="s">
        <v>36</v>
      </c>
      <c r="Y2118" t="s">
        <v>36</v>
      </c>
      <c r="Z2118" t="s">
        <v>36</v>
      </c>
      <c r="AA2118" t="s">
        <v>36</v>
      </c>
      <c r="AB2118" t="s">
        <v>36</v>
      </c>
      <c r="AC2118" t="s">
        <v>36</v>
      </c>
      <c r="AD2118" t="s">
        <v>36</v>
      </c>
      <c r="AE2118" t="s">
        <v>36</v>
      </c>
      <c r="AF2118" t="s">
        <v>36</v>
      </c>
      <c r="AG2118" t="s">
        <v>36</v>
      </c>
    </row>
    <row r="2119" spans="1:33" x14ac:dyDescent="0.2">
      <c r="A2119">
        <v>2118</v>
      </c>
      <c r="B2119" t="s">
        <v>603</v>
      </c>
      <c r="C2119" t="s">
        <v>188</v>
      </c>
      <c r="D2119">
        <v>35</v>
      </c>
      <c r="E2119" t="s">
        <v>34</v>
      </c>
      <c r="F2119" t="s">
        <v>41</v>
      </c>
      <c r="G2119" t="s">
        <v>42</v>
      </c>
      <c r="H2119">
        <v>105885</v>
      </c>
      <c r="I2119">
        <v>0</v>
      </c>
      <c r="J2119">
        <v>1</v>
      </c>
      <c r="K2119">
        <v>0</v>
      </c>
      <c r="L2119">
        <v>0</v>
      </c>
      <c r="M2119" t="s">
        <v>45</v>
      </c>
      <c r="N2119" t="s">
        <v>116</v>
      </c>
      <c r="O2119" t="s">
        <v>82</v>
      </c>
      <c r="P2119" t="s">
        <v>442</v>
      </c>
      <c r="Q2119" t="s">
        <v>48</v>
      </c>
      <c r="R2119" t="s">
        <v>60</v>
      </c>
      <c r="S2119" t="s">
        <v>65</v>
      </c>
      <c r="T2119">
        <v>1</v>
      </c>
      <c r="U2119">
        <v>1</v>
      </c>
      <c r="V2119">
        <v>1</v>
      </c>
      <c r="W2119">
        <v>0</v>
      </c>
      <c r="X2119">
        <v>0</v>
      </c>
      <c r="Y2119">
        <v>0</v>
      </c>
      <c r="Z2119">
        <v>1</v>
      </c>
      <c r="AA2119">
        <v>1</v>
      </c>
      <c r="AB2119">
        <v>0</v>
      </c>
      <c r="AC2119">
        <v>0</v>
      </c>
      <c r="AD2119">
        <v>0</v>
      </c>
      <c r="AE2119">
        <v>0</v>
      </c>
      <c r="AF2119">
        <v>0</v>
      </c>
      <c r="AG2119">
        <v>0</v>
      </c>
    </row>
    <row r="2120" spans="1:33" x14ac:dyDescent="0.2">
      <c r="A2120">
        <v>2119</v>
      </c>
      <c r="B2120" t="s">
        <v>603</v>
      </c>
      <c r="C2120" t="s">
        <v>188</v>
      </c>
      <c r="D2120">
        <v>35</v>
      </c>
      <c r="E2120" t="s">
        <v>34</v>
      </c>
      <c r="F2120" t="s">
        <v>41</v>
      </c>
      <c r="G2120" t="s">
        <v>49</v>
      </c>
      <c r="H2120">
        <v>46576</v>
      </c>
      <c r="I2120">
        <v>1</v>
      </c>
      <c r="J2120">
        <v>0</v>
      </c>
      <c r="K2120">
        <v>0</v>
      </c>
      <c r="L2120">
        <v>0</v>
      </c>
      <c r="M2120" t="s">
        <v>96</v>
      </c>
      <c r="N2120" t="s">
        <v>52</v>
      </c>
      <c r="O2120" t="s">
        <v>50</v>
      </c>
      <c r="P2120" t="s">
        <v>442</v>
      </c>
      <c r="Q2120" t="s">
        <v>65</v>
      </c>
      <c r="R2120" t="s">
        <v>46</v>
      </c>
      <c r="S2120" t="s">
        <v>48</v>
      </c>
      <c r="T2120">
        <v>0</v>
      </c>
      <c r="U2120">
        <v>1</v>
      </c>
      <c r="V2120">
        <v>1</v>
      </c>
      <c r="W2120">
        <v>0</v>
      </c>
      <c r="X2120">
        <v>1</v>
      </c>
      <c r="Y2120">
        <v>0</v>
      </c>
      <c r="Z2120">
        <v>1</v>
      </c>
      <c r="AA2120">
        <v>0</v>
      </c>
      <c r="AB2120">
        <v>1</v>
      </c>
      <c r="AC2120">
        <v>0</v>
      </c>
      <c r="AD2120">
        <v>0</v>
      </c>
      <c r="AE2120">
        <v>0</v>
      </c>
      <c r="AF2120">
        <v>0</v>
      </c>
      <c r="AG2120">
        <v>0</v>
      </c>
    </row>
    <row r="2121" spans="1:33" hidden="1" x14ac:dyDescent="0.2">
      <c r="A2121">
        <v>2120</v>
      </c>
      <c r="B2121" t="s">
        <v>603</v>
      </c>
      <c r="C2121" t="s">
        <v>188</v>
      </c>
      <c r="D2121">
        <v>35</v>
      </c>
      <c r="E2121" t="s">
        <v>34</v>
      </c>
      <c r="F2121" t="s">
        <v>53</v>
      </c>
      <c r="G2121" t="s">
        <v>66</v>
      </c>
      <c r="H2121">
        <v>40683</v>
      </c>
      <c r="I2121">
        <v>1</v>
      </c>
      <c r="J2121">
        <v>0</v>
      </c>
      <c r="K2121">
        <v>0</v>
      </c>
      <c r="L2121">
        <v>0</v>
      </c>
      <c r="M2121" t="s">
        <v>36</v>
      </c>
      <c r="N2121" t="s">
        <v>36</v>
      </c>
      <c r="O2121" t="s">
        <v>36</v>
      </c>
      <c r="P2121" t="s">
        <v>442</v>
      </c>
      <c r="Q2121" t="s">
        <v>36</v>
      </c>
      <c r="R2121" t="s">
        <v>36</v>
      </c>
      <c r="S2121" t="s">
        <v>36</v>
      </c>
      <c r="T2121" t="s">
        <v>36</v>
      </c>
      <c r="U2121">
        <v>1</v>
      </c>
      <c r="V2121">
        <v>1</v>
      </c>
      <c r="W2121">
        <v>0</v>
      </c>
      <c r="X2121">
        <v>1</v>
      </c>
      <c r="Y2121">
        <v>0</v>
      </c>
      <c r="Z2121">
        <v>1</v>
      </c>
      <c r="AA2121">
        <v>0</v>
      </c>
      <c r="AB2121">
        <v>1</v>
      </c>
      <c r="AC2121">
        <v>0</v>
      </c>
      <c r="AD2121">
        <v>0</v>
      </c>
      <c r="AE2121">
        <v>0</v>
      </c>
      <c r="AF2121">
        <v>0</v>
      </c>
      <c r="AG2121">
        <v>0</v>
      </c>
    </row>
    <row r="2122" spans="1:33" x14ac:dyDescent="0.2">
      <c r="A2122">
        <v>2121</v>
      </c>
      <c r="B2122" t="s">
        <v>603</v>
      </c>
      <c r="C2122" t="s">
        <v>188</v>
      </c>
      <c r="D2122">
        <v>35</v>
      </c>
      <c r="E2122" t="s">
        <v>34</v>
      </c>
      <c r="F2122" t="s">
        <v>41</v>
      </c>
      <c r="G2122" t="s">
        <v>55</v>
      </c>
      <c r="H2122">
        <v>58433</v>
      </c>
      <c r="I2122">
        <v>1</v>
      </c>
      <c r="J2122">
        <v>1</v>
      </c>
      <c r="K2122">
        <v>1</v>
      </c>
      <c r="L2122">
        <v>0</v>
      </c>
      <c r="M2122" t="s">
        <v>58</v>
      </c>
      <c r="N2122" t="s">
        <v>57</v>
      </c>
      <c r="O2122" t="s">
        <v>94</v>
      </c>
      <c r="P2122" t="s">
        <v>442</v>
      </c>
      <c r="Q2122" t="s">
        <v>60</v>
      </c>
      <c r="R2122" t="s">
        <v>48</v>
      </c>
      <c r="S2122" t="s">
        <v>47</v>
      </c>
      <c r="T2122">
        <v>1</v>
      </c>
      <c r="U2122">
        <v>0</v>
      </c>
      <c r="V2122">
        <v>1</v>
      </c>
      <c r="W2122">
        <v>1</v>
      </c>
      <c r="X2122">
        <v>0</v>
      </c>
      <c r="Y2122">
        <v>0</v>
      </c>
      <c r="Z2122">
        <v>1</v>
      </c>
      <c r="AA2122">
        <v>1</v>
      </c>
      <c r="AB2122">
        <v>0</v>
      </c>
      <c r="AC2122">
        <v>1</v>
      </c>
      <c r="AD2122">
        <v>1</v>
      </c>
      <c r="AE2122">
        <v>0</v>
      </c>
      <c r="AF2122">
        <v>0</v>
      </c>
      <c r="AG2122">
        <v>0</v>
      </c>
    </row>
    <row r="2123" spans="1:33" x14ac:dyDescent="0.2">
      <c r="A2123">
        <v>2122</v>
      </c>
      <c r="B2123" t="s">
        <v>603</v>
      </c>
      <c r="C2123" t="s">
        <v>188</v>
      </c>
      <c r="D2123">
        <v>35</v>
      </c>
      <c r="E2123" t="s">
        <v>34</v>
      </c>
      <c r="F2123" t="s">
        <v>41</v>
      </c>
      <c r="G2123" t="s">
        <v>61</v>
      </c>
      <c r="H2123">
        <v>57217</v>
      </c>
      <c r="I2123">
        <v>1</v>
      </c>
      <c r="J2123">
        <v>1</v>
      </c>
      <c r="K2123">
        <v>1</v>
      </c>
      <c r="L2123">
        <v>0</v>
      </c>
      <c r="M2123" t="s">
        <v>62</v>
      </c>
      <c r="N2123" t="s">
        <v>125</v>
      </c>
      <c r="O2123" t="s">
        <v>87</v>
      </c>
      <c r="P2123" t="s">
        <v>442</v>
      </c>
      <c r="Q2123" t="s">
        <v>65</v>
      </c>
      <c r="R2123" t="s">
        <v>60</v>
      </c>
      <c r="S2123" t="s">
        <v>47</v>
      </c>
      <c r="T2123">
        <v>1</v>
      </c>
      <c r="U2123">
        <v>1</v>
      </c>
      <c r="V2123">
        <v>0</v>
      </c>
      <c r="W2123">
        <v>1</v>
      </c>
      <c r="X2123">
        <v>0</v>
      </c>
      <c r="Y2123">
        <v>0</v>
      </c>
      <c r="Z2123">
        <v>1</v>
      </c>
      <c r="AA2123">
        <v>1</v>
      </c>
      <c r="AB2123">
        <v>1</v>
      </c>
      <c r="AC2123">
        <v>0</v>
      </c>
      <c r="AD2123">
        <v>1</v>
      </c>
      <c r="AE2123">
        <v>0</v>
      </c>
      <c r="AF2123">
        <v>0</v>
      </c>
      <c r="AG2123">
        <v>0</v>
      </c>
    </row>
    <row r="2124" spans="1:33" hidden="1" x14ac:dyDescent="0.2">
      <c r="A2124">
        <v>2123</v>
      </c>
      <c r="B2124" t="s">
        <v>603</v>
      </c>
      <c r="C2124" t="s">
        <v>188</v>
      </c>
      <c r="D2124">
        <v>35</v>
      </c>
      <c r="E2124" t="s">
        <v>34</v>
      </c>
      <c r="F2124" t="s">
        <v>53</v>
      </c>
      <c r="G2124" t="s">
        <v>54</v>
      </c>
      <c r="H2124">
        <v>57039</v>
      </c>
      <c r="I2124">
        <v>0</v>
      </c>
      <c r="J2124">
        <v>0</v>
      </c>
      <c r="K2124">
        <v>1</v>
      </c>
      <c r="L2124">
        <v>0</v>
      </c>
      <c r="M2124" t="s">
        <v>36</v>
      </c>
      <c r="N2124" t="s">
        <v>36</v>
      </c>
      <c r="O2124" t="s">
        <v>36</v>
      </c>
      <c r="P2124" t="s">
        <v>442</v>
      </c>
      <c r="Q2124" t="s">
        <v>36</v>
      </c>
      <c r="R2124" t="s">
        <v>36</v>
      </c>
      <c r="S2124" t="s">
        <v>36</v>
      </c>
      <c r="T2124" t="s">
        <v>36</v>
      </c>
      <c r="U2124">
        <v>1</v>
      </c>
      <c r="V2124">
        <v>0</v>
      </c>
      <c r="W2124">
        <v>1</v>
      </c>
      <c r="X2124">
        <v>0</v>
      </c>
      <c r="Y2124">
        <v>0</v>
      </c>
      <c r="Z2124">
        <v>1</v>
      </c>
      <c r="AA2124">
        <v>1</v>
      </c>
      <c r="AB2124">
        <v>1</v>
      </c>
      <c r="AC2124">
        <v>0</v>
      </c>
      <c r="AD2124">
        <v>1</v>
      </c>
      <c r="AE2124">
        <v>0</v>
      </c>
      <c r="AF2124">
        <v>0</v>
      </c>
      <c r="AG2124">
        <v>0</v>
      </c>
    </row>
    <row r="2125" spans="1:33" x14ac:dyDescent="0.2">
      <c r="A2125">
        <v>2124</v>
      </c>
      <c r="B2125" t="s">
        <v>603</v>
      </c>
      <c r="C2125" t="s">
        <v>188</v>
      </c>
      <c r="D2125">
        <v>35</v>
      </c>
      <c r="E2125" t="s">
        <v>34</v>
      </c>
      <c r="F2125" t="s">
        <v>41</v>
      </c>
      <c r="G2125" t="s">
        <v>72</v>
      </c>
      <c r="H2125">
        <v>42952</v>
      </c>
      <c r="I2125">
        <v>0</v>
      </c>
      <c r="J2125">
        <v>1</v>
      </c>
      <c r="K2125">
        <v>0</v>
      </c>
      <c r="L2125">
        <v>0</v>
      </c>
      <c r="M2125" t="s">
        <v>93</v>
      </c>
      <c r="N2125" t="s">
        <v>115</v>
      </c>
      <c r="O2125" t="s">
        <v>75</v>
      </c>
      <c r="P2125" t="s">
        <v>442</v>
      </c>
      <c r="Q2125" t="s">
        <v>59</v>
      </c>
      <c r="R2125" t="s">
        <v>65</v>
      </c>
      <c r="S2125" t="s">
        <v>46</v>
      </c>
      <c r="T2125">
        <v>0</v>
      </c>
      <c r="U2125">
        <v>1</v>
      </c>
      <c r="V2125">
        <v>0</v>
      </c>
      <c r="W2125">
        <v>0</v>
      </c>
      <c r="X2125">
        <v>1</v>
      </c>
      <c r="Y2125">
        <v>0</v>
      </c>
      <c r="Z2125">
        <v>1</v>
      </c>
      <c r="AA2125">
        <v>0</v>
      </c>
      <c r="AB2125">
        <v>1</v>
      </c>
      <c r="AC2125">
        <v>0</v>
      </c>
      <c r="AD2125">
        <v>0</v>
      </c>
      <c r="AE2125">
        <v>0</v>
      </c>
      <c r="AF2125">
        <v>0</v>
      </c>
      <c r="AG2125">
        <v>0</v>
      </c>
    </row>
    <row r="2126" spans="1:33" hidden="1" x14ac:dyDescent="0.2">
      <c r="A2126">
        <v>2125</v>
      </c>
      <c r="B2126" t="s">
        <v>603</v>
      </c>
      <c r="C2126" t="s">
        <v>188</v>
      </c>
      <c r="D2126">
        <v>35</v>
      </c>
      <c r="E2126" t="s">
        <v>34</v>
      </c>
      <c r="F2126" t="s">
        <v>53</v>
      </c>
      <c r="G2126" t="s">
        <v>76</v>
      </c>
      <c r="H2126">
        <v>108191</v>
      </c>
      <c r="I2126">
        <v>0</v>
      </c>
      <c r="J2126">
        <v>0</v>
      </c>
      <c r="K2126">
        <v>0</v>
      </c>
      <c r="L2126">
        <v>1</v>
      </c>
      <c r="M2126" t="s">
        <v>36</v>
      </c>
      <c r="N2126" t="s">
        <v>36</v>
      </c>
      <c r="O2126" t="s">
        <v>36</v>
      </c>
      <c r="P2126" t="s">
        <v>442</v>
      </c>
      <c r="Q2126" t="s">
        <v>36</v>
      </c>
      <c r="R2126" t="s">
        <v>36</v>
      </c>
      <c r="S2126" t="s">
        <v>36</v>
      </c>
      <c r="T2126" t="s">
        <v>36</v>
      </c>
      <c r="U2126">
        <v>1</v>
      </c>
      <c r="V2126">
        <v>0</v>
      </c>
      <c r="W2126">
        <v>0</v>
      </c>
      <c r="X2126">
        <v>1</v>
      </c>
      <c r="Y2126">
        <v>0</v>
      </c>
      <c r="Z2126">
        <v>1</v>
      </c>
      <c r="AA2126">
        <v>0</v>
      </c>
      <c r="AB2126">
        <v>1</v>
      </c>
      <c r="AC2126">
        <v>0</v>
      </c>
      <c r="AD2126">
        <v>0</v>
      </c>
      <c r="AE2126">
        <v>0</v>
      </c>
      <c r="AF2126">
        <v>0</v>
      </c>
      <c r="AG2126">
        <v>0</v>
      </c>
    </row>
    <row r="2127" spans="1:33" x14ac:dyDescent="0.2">
      <c r="A2127">
        <v>2126</v>
      </c>
      <c r="B2127" t="s">
        <v>603</v>
      </c>
      <c r="C2127" t="s">
        <v>188</v>
      </c>
      <c r="D2127">
        <v>35</v>
      </c>
      <c r="E2127" t="s">
        <v>34</v>
      </c>
      <c r="F2127" t="s">
        <v>41</v>
      </c>
      <c r="G2127" t="s">
        <v>67</v>
      </c>
      <c r="H2127">
        <v>101450</v>
      </c>
      <c r="I2127">
        <v>1</v>
      </c>
      <c r="J2127">
        <v>1</v>
      </c>
      <c r="K2127">
        <v>1</v>
      </c>
      <c r="L2127">
        <v>0</v>
      </c>
      <c r="M2127" t="s">
        <v>68</v>
      </c>
      <c r="N2127" t="s">
        <v>109</v>
      </c>
      <c r="O2127" t="s">
        <v>86</v>
      </c>
      <c r="P2127" t="s">
        <v>442</v>
      </c>
      <c r="Q2127" t="s">
        <v>65</v>
      </c>
      <c r="R2127" t="s">
        <v>59</v>
      </c>
      <c r="S2127" t="s">
        <v>46</v>
      </c>
      <c r="T2127">
        <v>0</v>
      </c>
      <c r="U2127">
        <v>1</v>
      </c>
      <c r="V2127">
        <v>0</v>
      </c>
      <c r="W2127">
        <v>0</v>
      </c>
      <c r="X2127">
        <v>1</v>
      </c>
      <c r="Y2127">
        <v>0</v>
      </c>
      <c r="Z2127">
        <v>1</v>
      </c>
      <c r="AA2127">
        <v>0</v>
      </c>
      <c r="AB2127">
        <v>1</v>
      </c>
      <c r="AC2127">
        <v>0</v>
      </c>
      <c r="AD2127">
        <v>0</v>
      </c>
      <c r="AE2127">
        <v>1</v>
      </c>
      <c r="AF2127">
        <v>0</v>
      </c>
      <c r="AG2127">
        <v>0</v>
      </c>
    </row>
    <row r="2128" spans="1:33" hidden="1" x14ac:dyDescent="0.2">
      <c r="A2128">
        <v>2127</v>
      </c>
      <c r="B2128" t="s">
        <v>603</v>
      </c>
      <c r="C2128" t="s">
        <v>188</v>
      </c>
      <c r="D2128">
        <v>35</v>
      </c>
      <c r="E2128" t="s">
        <v>34</v>
      </c>
      <c r="F2128" t="s">
        <v>53</v>
      </c>
      <c r="G2128" t="s">
        <v>71</v>
      </c>
      <c r="H2128">
        <v>112006</v>
      </c>
      <c r="I2128">
        <v>0</v>
      </c>
      <c r="J2128">
        <v>0</v>
      </c>
      <c r="K2128">
        <v>1</v>
      </c>
      <c r="L2128">
        <v>1</v>
      </c>
      <c r="M2128" t="s">
        <v>36</v>
      </c>
      <c r="N2128" t="s">
        <v>36</v>
      </c>
      <c r="O2128" t="s">
        <v>36</v>
      </c>
      <c r="P2128" t="s">
        <v>442</v>
      </c>
      <c r="Q2128" t="s">
        <v>36</v>
      </c>
      <c r="R2128" t="s">
        <v>36</v>
      </c>
      <c r="S2128" t="s">
        <v>36</v>
      </c>
      <c r="T2128" t="s">
        <v>36</v>
      </c>
      <c r="U2128">
        <v>1</v>
      </c>
      <c r="V2128">
        <v>0</v>
      </c>
      <c r="W2128">
        <v>0</v>
      </c>
      <c r="X2128">
        <v>1</v>
      </c>
      <c r="Y2128">
        <v>0</v>
      </c>
      <c r="Z2128">
        <v>1</v>
      </c>
      <c r="AA2128">
        <v>0</v>
      </c>
      <c r="AB2128">
        <v>1</v>
      </c>
      <c r="AC2128">
        <v>0</v>
      </c>
      <c r="AD2128">
        <v>0</v>
      </c>
      <c r="AE2128">
        <v>1</v>
      </c>
      <c r="AF2128">
        <v>0</v>
      </c>
      <c r="AG2128">
        <v>0</v>
      </c>
    </row>
    <row r="2129" spans="1:33" hidden="1" x14ac:dyDescent="0.2">
      <c r="A2129">
        <v>2128</v>
      </c>
      <c r="B2129" t="s">
        <v>603</v>
      </c>
      <c r="C2129" t="s">
        <v>188</v>
      </c>
      <c r="D2129">
        <v>35</v>
      </c>
      <c r="E2129" t="s">
        <v>34</v>
      </c>
      <c r="F2129" t="s">
        <v>77</v>
      </c>
      <c r="G2129" t="s">
        <v>36</v>
      </c>
      <c r="H2129">
        <v>83250</v>
      </c>
      <c r="I2129" t="s">
        <v>604</v>
      </c>
      <c r="J2129" t="s">
        <v>190</v>
      </c>
      <c r="K2129" t="s">
        <v>393</v>
      </c>
      <c r="L2129" t="s">
        <v>36</v>
      </c>
      <c r="M2129" t="s">
        <v>36</v>
      </c>
      <c r="N2129" t="s">
        <v>36</v>
      </c>
      <c r="O2129" t="s">
        <v>36</v>
      </c>
      <c r="P2129" t="s">
        <v>442</v>
      </c>
      <c r="Q2129" t="s">
        <v>36</v>
      </c>
      <c r="R2129" t="s">
        <v>36</v>
      </c>
      <c r="S2129" t="s">
        <v>36</v>
      </c>
      <c r="T2129" t="s">
        <v>36</v>
      </c>
      <c r="U2129" t="s">
        <v>36</v>
      </c>
      <c r="V2129" t="s">
        <v>36</v>
      </c>
      <c r="W2129" t="s">
        <v>36</v>
      </c>
      <c r="X2129" t="s">
        <v>36</v>
      </c>
      <c r="Y2129" t="s">
        <v>36</v>
      </c>
      <c r="Z2129" t="s">
        <v>36</v>
      </c>
      <c r="AA2129" t="s">
        <v>36</v>
      </c>
      <c r="AB2129" t="s">
        <v>36</v>
      </c>
      <c r="AC2129" t="s">
        <v>36</v>
      </c>
      <c r="AD2129" t="s">
        <v>36</v>
      </c>
      <c r="AE2129" t="s">
        <v>36</v>
      </c>
      <c r="AF2129" t="s">
        <v>36</v>
      </c>
      <c r="AG2129" t="s">
        <v>36</v>
      </c>
    </row>
    <row r="2130" spans="1:33" hidden="1" x14ac:dyDescent="0.2">
      <c r="A2130">
        <v>2129</v>
      </c>
      <c r="B2130" t="s">
        <v>605</v>
      </c>
      <c r="C2130" t="s">
        <v>108</v>
      </c>
      <c r="D2130">
        <v>31</v>
      </c>
      <c r="E2130" t="s">
        <v>34</v>
      </c>
      <c r="F2130" t="s">
        <v>35</v>
      </c>
      <c r="G2130" t="s">
        <v>36</v>
      </c>
      <c r="H2130">
        <v>306920</v>
      </c>
      <c r="I2130" t="s">
        <v>36</v>
      </c>
      <c r="J2130" t="s">
        <v>36</v>
      </c>
      <c r="K2130" t="s">
        <v>36</v>
      </c>
      <c r="L2130" t="s">
        <v>36</v>
      </c>
      <c r="M2130" t="s">
        <v>36</v>
      </c>
      <c r="N2130" t="s">
        <v>36</v>
      </c>
      <c r="O2130" t="s">
        <v>36</v>
      </c>
      <c r="P2130" t="s">
        <v>442</v>
      </c>
      <c r="Q2130" t="s">
        <v>36</v>
      </c>
      <c r="R2130" t="s">
        <v>36</v>
      </c>
      <c r="S2130" t="s">
        <v>36</v>
      </c>
      <c r="T2130" t="s">
        <v>36</v>
      </c>
      <c r="U2130" t="s">
        <v>36</v>
      </c>
      <c r="V2130" t="s">
        <v>36</v>
      </c>
      <c r="W2130" t="s">
        <v>36</v>
      </c>
      <c r="X2130" t="s">
        <v>36</v>
      </c>
      <c r="Y2130" t="s">
        <v>36</v>
      </c>
      <c r="Z2130" t="s">
        <v>36</v>
      </c>
      <c r="AA2130" t="s">
        <v>36</v>
      </c>
      <c r="AB2130" t="s">
        <v>36</v>
      </c>
      <c r="AC2130" t="s">
        <v>36</v>
      </c>
      <c r="AD2130" t="s">
        <v>36</v>
      </c>
      <c r="AE2130" t="s">
        <v>36</v>
      </c>
      <c r="AF2130" t="s">
        <v>36</v>
      </c>
      <c r="AG2130" t="s">
        <v>36</v>
      </c>
    </row>
    <row r="2131" spans="1:33" hidden="1" x14ac:dyDescent="0.2">
      <c r="A2131">
        <v>2130</v>
      </c>
      <c r="B2131" t="s">
        <v>605</v>
      </c>
      <c r="C2131" t="s">
        <v>108</v>
      </c>
      <c r="D2131">
        <v>31</v>
      </c>
      <c r="E2131" t="s">
        <v>34</v>
      </c>
      <c r="F2131" t="s">
        <v>38</v>
      </c>
      <c r="G2131" t="s">
        <v>39</v>
      </c>
      <c r="H2131">
        <v>29288</v>
      </c>
      <c r="I2131">
        <v>0</v>
      </c>
      <c r="J2131">
        <v>0</v>
      </c>
      <c r="K2131">
        <v>0</v>
      </c>
      <c r="L2131">
        <v>1</v>
      </c>
      <c r="M2131" t="s">
        <v>36</v>
      </c>
      <c r="N2131" t="s">
        <v>36</v>
      </c>
      <c r="O2131" t="s">
        <v>36</v>
      </c>
      <c r="P2131" t="s">
        <v>442</v>
      </c>
      <c r="Q2131" t="s">
        <v>36</v>
      </c>
      <c r="R2131" t="s">
        <v>36</v>
      </c>
      <c r="S2131" t="s">
        <v>36</v>
      </c>
      <c r="T2131" t="s">
        <v>36</v>
      </c>
      <c r="U2131" t="s">
        <v>36</v>
      </c>
      <c r="V2131" t="s">
        <v>36</v>
      </c>
      <c r="W2131" t="s">
        <v>36</v>
      </c>
      <c r="X2131" t="s">
        <v>36</v>
      </c>
      <c r="Y2131" t="s">
        <v>36</v>
      </c>
      <c r="Z2131" t="s">
        <v>36</v>
      </c>
      <c r="AA2131" t="s">
        <v>36</v>
      </c>
      <c r="AB2131" t="s">
        <v>36</v>
      </c>
      <c r="AC2131" t="s">
        <v>36</v>
      </c>
      <c r="AD2131" t="s">
        <v>36</v>
      </c>
      <c r="AE2131" t="s">
        <v>36</v>
      </c>
      <c r="AF2131" t="s">
        <v>36</v>
      </c>
      <c r="AG2131" t="s">
        <v>36</v>
      </c>
    </row>
    <row r="2132" spans="1:33" hidden="1" x14ac:dyDescent="0.2">
      <c r="A2132">
        <v>2131</v>
      </c>
      <c r="B2132" t="s">
        <v>605</v>
      </c>
      <c r="C2132" t="s">
        <v>108</v>
      </c>
      <c r="D2132">
        <v>31</v>
      </c>
      <c r="E2132" t="s">
        <v>34</v>
      </c>
      <c r="F2132" t="s">
        <v>38</v>
      </c>
      <c r="G2132" t="s">
        <v>40</v>
      </c>
      <c r="H2132">
        <v>39004</v>
      </c>
      <c r="I2132">
        <v>0</v>
      </c>
      <c r="J2132">
        <v>0</v>
      </c>
      <c r="K2132">
        <v>1</v>
      </c>
      <c r="L2132">
        <v>0</v>
      </c>
      <c r="M2132" t="s">
        <v>36</v>
      </c>
      <c r="N2132" t="s">
        <v>36</v>
      </c>
      <c r="O2132" t="s">
        <v>36</v>
      </c>
      <c r="P2132" t="s">
        <v>442</v>
      </c>
      <c r="Q2132" t="s">
        <v>36</v>
      </c>
      <c r="R2132" t="s">
        <v>36</v>
      </c>
      <c r="S2132" t="s">
        <v>36</v>
      </c>
      <c r="T2132" t="s">
        <v>36</v>
      </c>
      <c r="U2132" t="s">
        <v>36</v>
      </c>
      <c r="V2132" t="s">
        <v>36</v>
      </c>
      <c r="W2132" t="s">
        <v>36</v>
      </c>
      <c r="X2132" t="s">
        <v>36</v>
      </c>
      <c r="Y2132" t="s">
        <v>36</v>
      </c>
      <c r="Z2132" t="s">
        <v>36</v>
      </c>
      <c r="AA2132" t="s">
        <v>36</v>
      </c>
      <c r="AB2132" t="s">
        <v>36</v>
      </c>
      <c r="AC2132" t="s">
        <v>36</v>
      </c>
      <c r="AD2132" t="s">
        <v>36</v>
      </c>
      <c r="AE2132" t="s">
        <v>36</v>
      </c>
      <c r="AF2132" t="s">
        <v>36</v>
      </c>
      <c r="AG2132" t="s">
        <v>36</v>
      </c>
    </row>
    <row r="2133" spans="1:33" x14ac:dyDescent="0.2">
      <c r="A2133">
        <v>2132</v>
      </c>
      <c r="B2133" t="s">
        <v>605</v>
      </c>
      <c r="C2133" t="s">
        <v>108</v>
      </c>
      <c r="D2133">
        <v>31</v>
      </c>
      <c r="E2133" t="s">
        <v>34</v>
      </c>
      <c r="F2133" t="s">
        <v>41</v>
      </c>
      <c r="G2133" t="s">
        <v>61</v>
      </c>
      <c r="H2133">
        <v>83351</v>
      </c>
      <c r="I2133">
        <v>1</v>
      </c>
      <c r="J2133">
        <v>1</v>
      </c>
      <c r="K2133">
        <v>1</v>
      </c>
      <c r="L2133">
        <v>0</v>
      </c>
      <c r="M2133" t="s">
        <v>63</v>
      </c>
      <c r="N2133" t="s">
        <v>97</v>
      </c>
      <c r="O2133" t="s">
        <v>62</v>
      </c>
      <c r="P2133" t="s">
        <v>442</v>
      </c>
      <c r="Q2133" t="s">
        <v>46</v>
      </c>
      <c r="R2133" t="s">
        <v>59</v>
      </c>
      <c r="S2133" t="s">
        <v>65</v>
      </c>
      <c r="T2133">
        <v>0</v>
      </c>
      <c r="U2133">
        <v>1</v>
      </c>
      <c r="V2133">
        <v>0</v>
      </c>
      <c r="W2133">
        <v>0</v>
      </c>
      <c r="X2133">
        <v>1</v>
      </c>
      <c r="Y2133">
        <v>0</v>
      </c>
      <c r="Z2133">
        <v>1</v>
      </c>
      <c r="AA2133">
        <v>0</v>
      </c>
      <c r="AB2133">
        <v>1</v>
      </c>
      <c r="AC2133">
        <v>0</v>
      </c>
      <c r="AD2133">
        <v>0</v>
      </c>
      <c r="AE2133">
        <v>1</v>
      </c>
      <c r="AF2133">
        <v>0</v>
      </c>
      <c r="AG2133">
        <v>0</v>
      </c>
    </row>
    <row r="2134" spans="1:33" x14ac:dyDescent="0.2">
      <c r="A2134">
        <v>2133</v>
      </c>
      <c r="B2134" t="s">
        <v>605</v>
      </c>
      <c r="C2134" t="s">
        <v>108</v>
      </c>
      <c r="D2134">
        <v>31</v>
      </c>
      <c r="E2134" t="s">
        <v>34</v>
      </c>
      <c r="F2134" t="s">
        <v>41</v>
      </c>
      <c r="G2134" t="s">
        <v>72</v>
      </c>
      <c r="H2134">
        <v>33074</v>
      </c>
      <c r="I2134">
        <v>1</v>
      </c>
      <c r="J2134">
        <v>1</v>
      </c>
      <c r="K2134">
        <v>1</v>
      </c>
      <c r="L2134">
        <v>0</v>
      </c>
      <c r="M2134" t="s">
        <v>73</v>
      </c>
      <c r="N2134" t="s">
        <v>75</v>
      </c>
      <c r="O2134" t="s">
        <v>115</v>
      </c>
      <c r="P2134" t="s">
        <v>442</v>
      </c>
      <c r="Q2134" t="s">
        <v>48</v>
      </c>
      <c r="R2134" t="s">
        <v>46</v>
      </c>
      <c r="S2134" t="s">
        <v>65</v>
      </c>
      <c r="T2134">
        <v>0</v>
      </c>
      <c r="U2134">
        <v>1</v>
      </c>
      <c r="V2134">
        <v>1</v>
      </c>
      <c r="W2134">
        <v>0</v>
      </c>
      <c r="X2134">
        <v>1</v>
      </c>
      <c r="Y2134">
        <v>0</v>
      </c>
      <c r="Z2134">
        <v>1</v>
      </c>
      <c r="AA2134">
        <v>0</v>
      </c>
      <c r="AB2134">
        <v>1</v>
      </c>
      <c r="AC2134">
        <v>1</v>
      </c>
      <c r="AD2134">
        <v>0</v>
      </c>
      <c r="AE2134">
        <v>1</v>
      </c>
      <c r="AF2134">
        <v>0</v>
      </c>
      <c r="AG2134">
        <v>0</v>
      </c>
    </row>
    <row r="2135" spans="1:33" hidden="1" x14ac:dyDescent="0.2">
      <c r="A2135">
        <v>2134</v>
      </c>
      <c r="B2135" t="s">
        <v>605</v>
      </c>
      <c r="C2135" t="s">
        <v>108</v>
      </c>
      <c r="D2135">
        <v>31</v>
      </c>
      <c r="E2135" t="s">
        <v>34</v>
      </c>
      <c r="F2135" t="s">
        <v>53</v>
      </c>
      <c r="G2135" t="s">
        <v>66</v>
      </c>
      <c r="H2135">
        <v>53831</v>
      </c>
      <c r="I2135">
        <v>0</v>
      </c>
      <c r="J2135">
        <v>0</v>
      </c>
      <c r="K2135">
        <v>0</v>
      </c>
      <c r="L2135">
        <v>1</v>
      </c>
      <c r="M2135" t="s">
        <v>36</v>
      </c>
      <c r="N2135" t="s">
        <v>36</v>
      </c>
      <c r="O2135" t="s">
        <v>36</v>
      </c>
      <c r="P2135" t="s">
        <v>442</v>
      </c>
      <c r="Q2135" t="s">
        <v>36</v>
      </c>
      <c r="R2135" t="s">
        <v>36</v>
      </c>
      <c r="S2135" t="s">
        <v>36</v>
      </c>
      <c r="T2135" t="s">
        <v>36</v>
      </c>
      <c r="U2135">
        <v>1</v>
      </c>
      <c r="V2135">
        <v>1</v>
      </c>
      <c r="W2135">
        <v>0</v>
      </c>
      <c r="X2135">
        <v>1</v>
      </c>
      <c r="Y2135">
        <v>0</v>
      </c>
      <c r="Z2135">
        <v>1</v>
      </c>
      <c r="AA2135">
        <v>0</v>
      </c>
      <c r="AB2135">
        <v>1</v>
      </c>
      <c r="AC2135">
        <v>1</v>
      </c>
      <c r="AD2135">
        <v>0</v>
      </c>
      <c r="AE2135">
        <v>1</v>
      </c>
      <c r="AF2135">
        <v>0</v>
      </c>
      <c r="AG2135">
        <v>0</v>
      </c>
    </row>
    <row r="2136" spans="1:33" x14ac:dyDescent="0.2">
      <c r="A2136">
        <v>2135</v>
      </c>
      <c r="B2136" t="s">
        <v>605</v>
      </c>
      <c r="C2136" t="s">
        <v>108</v>
      </c>
      <c r="D2136">
        <v>31</v>
      </c>
      <c r="E2136" t="s">
        <v>34</v>
      </c>
      <c r="F2136" t="s">
        <v>41</v>
      </c>
      <c r="G2136" t="s">
        <v>67</v>
      </c>
      <c r="H2136">
        <v>94707</v>
      </c>
      <c r="I2136">
        <v>1</v>
      </c>
      <c r="J2136">
        <v>1</v>
      </c>
      <c r="K2136">
        <v>1</v>
      </c>
      <c r="L2136">
        <v>0</v>
      </c>
      <c r="M2136" t="s">
        <v>68</v>
      </c>
      <c r="N2136" t="s">
        <v>70</v>
      </c>
      <c r="O2136" t="s">
        <v>86</v>
      </c>
      <c r="P2136" t="s">
        <v>442</v>
      </c>
      <c r="Q2136" t="s">
        <v>65</v>
      </c>
      <c r="R2136" t="s">
        <v>47</v>
      </c>
      <c r="S2136" t="s">
        <v>46</v>
      </c>
      <c r="T2136">
        <v>0</v>
      </c>
      <c r="U2136">
        <v>1</v>
      </c>
      <c r="V2136">
        <v>0</v>
      </c>
      <c r="W2136">
        <v>1</v>
      </c>
      <c r="X2136">
        <v>1</v>
      </c>
      <c r="Y2136">
        <v>0</v>
      </c>
      <c r="Z2136">
        <v>1</v>
      </c>
      <c r="AA2136">
        <v>0</v>
      </c>
      <c r="AB2136">
        <v>1</v>
      </c>
      <c r="AC2136">
        <v>0</v>
      </c>
      <c r="AD2136">
        <v>1</v>
      </c>
      <c r="AE2136">
        <v>1</v>
      </c>
      <c r="AF2136">
        <v>0</v>
      </c>
      <c r="AG2136">
        <v>0</v>
      </c>
    </row>
    <row r="2137" spans="1:33" hidden="1" x14ac:dyDescent="0.2">
      <c r="A2137">
        <v>2136</v>
      </c>
      <c r="B2137" t="s">
        <v>605</v>
      </c>
      <c r="C2137" t="s">
        <v>108</v>
      </c>
      <c r="D2137">
        <v>31</v>
      </c>
      <c r="E2137" t="s">
        <v>34</v>
      </c>
      <c r="F2137" t="s">
        <v>53</v>
      </c>
      <c r="G2137" t="s">
        <v>54</v>
      </c>
      <c r="H2137">
        <v>57685</v>
      </c>
      <c r="I2137">
        <v>1</v>
      </c>
      <c r="J2137">
        <v>1</v>
      </c>
      <c r="K2137">
        <v>1</v>
      </c>
      <c r="L2137">
        <v>0</v>
      </c>
      <c r="M2137" t="s">
        <v>36</v>
      </c>
      <c r="N2137" t="s">
        <v>36</v>
      </c>
      <c r="O2137" t="s">
        <v>36</v>
      </c>
      <c r="P2137" t="s">
        <v>442</v>
      </c>
      <c r="Q2137" t="s">
        <v>36</v>
      </c>
      <c r="R2137" t="s">
        <v>36</v>
      </c>
      <c r="S2137" t="s">
        <v>36</v>
      </c>
      <c r="T2137" t="s">
        <v>36</v>
      </c>
      <c r="U2137">
        <v>1</v>
      </c>
      <c r="V2137">
        <v>0</v>
      </c>
      <c r="W2137">
        <v>1</v>
      </c>
      <c r="X2137">
        <v>1</v>
      </c>
      <c r="Y2137">
        <v>0</v>
      </c>
      <c r="Z2137">
        <v>1</v>
      </c>
      <c r="AA2137">
        <v>0</v>
      </c>
      <c r="AB2137">
        <v>1</v>
      </c>
      <c r="AC2137">
        <v>0</v>
      </c>
      <c r="AD2137">
        <v>1</v>
      </c>
      <c r="AE2137">
        <v>1</v>
      </c>
      <c r="AF2137">
        <v>0</v>
      </c>
      <c r="AG2137">
        <v>0</v>
      </c>
    </row>
    <row r="2138" spans="1:33" x14ac:dyDescent="0.2">
      <c r="A2138">
        <v>2137</v>
      </c>
      <c r="B2138" t="s">
        <v>605</v>
      </c>
      <c r="C2138" t="s">
        <v>108</v>
      </c>
      <c r="D2138">
        <v>31</v>
      </c>
      <c r="E2138" t="s">
        <v>34</v>
      </c>
      <c r="F2138" t="s">
        <v>41</v>
      </c>
      <c r="G2138" t="s">
        <v>49</v>
      </c>
      <c r="H2138">
        <v>88782</v>
      </c>
      <c r="I2138">
        <v>1</v>
      </c>
      <c r="J2138">
        <v>1</v>
      </c>
      <c r="K2138">
        <v>1</v>
      </c>
      <c r="L2138">
        <v>0</v>
      </c>
      <c r="M2138" t="s">
        <v>96</v>
      </c>
      <c r="N2138" t="s">
        <v>51</v>
      </c>
      <c r="O2138" t="s">
        <v>50</v>
      </c>
      <c r="P2138" t="s">
        <v>442</v>
      </c>
      <c r="Q2138" t="s">
        <v>65</v>
      </c>
      <c r="R2138" t="s">
        <v>47</v>
      </c>
      <c r="S2138" t="s">
        <v>48</v>
      </c>
      <c r="T2138">
        <v>0</v>
      </c>
      <c r="U2138">
        <v>1</v>
      </c>
      <c r="V2138">
        <v>1</v>
      </c>
      <c r="W2138">
        <v>1</v>
      </c>
      <c r="X2138">
        <v>0</v>
      </c>
      <c r="Y2138">
        <v>0</v>
      </c>
      <c r="Z2138">
        <v>1</v>
      </c>
      <c r="AA2138">
        <v>0</v>
      </c>
      <c r="AB2138">
        <v>1</v>
      </c>
      <c r="AC2138">
        <v>1</v>
      </c>
      <c r="AD2138">
        <v>1</v>
      </c>
      <c r="AE2138">
        <v>0</v>
      </c>
      <c r="AF2138">
        <v>0</v>
      </c>
      <c r="AG2138">
        <v>0</v>
      </c>
    </row>
    <row r="2139" spans="1:33" x14ac:dyDescent="0.2">
      <c r="A2139">
        <v>2138</v>
      </c>
      <c r="B2139" t="s">
        <v>605</v>
      </c>
      <c r="C2139" t="s">
        <v>108</v>
      </c>
      <c r="D2139">
        <v>31</v>
      </c>
      <c r="E2139" t="s">
        <v>34</v>
      </c>
      <c r="F2139" t="s">
        <v>41</v>
      </c>
      <c r="G2139" t="s">
        <v>42</v>
      </c>
      <c r="H2139">
        <v>169000</v>
      </c>
      <c r="I2139">
        <v>1</v>
      </c>
      <c r="J2139">
        <v>1</v>
      </c>
      <c r="K2139">
        <v>1</v>
      </c>
      <c r="L2139">
        <v>0</v>
      </c>
      <c r="M2139" t="s">
        <v>44</v>
      </c>
      <c r="N2139" t="s">
        <v>102</v>
      </c>
      <c r="O2139" t="s">
        <v>82</v>
      </c>
      <c r="P2139" t="s">
        <v>442</v>
      </c>
      <c r="Q2139" t="s">
        <v>47</v>
      </c>
      <c r="R2139" t="s">
        <v>59</v>
      </c>
      <c r="S2139" t="s">
        <v>65</v>
      </c>
      <c r="T2139">
        <v>0</v>
      </c>
      <c r="U2139">
        <v>1</v>
      </c>
      <c r="V2139">
        <v>0</v>
      </c>
      <c r="W2139">
        <v>1</v>
      </c>
      <c r="X2139">
        <v>0</v>
      </c>
      <c r="Y2139">
        <v>0</v>
      </c>
      <c r="Z2139">
        <v>1</v>
      </c>
      <c r="AA2139">
        <v>0</v>
      </c>
      <c r="AB2139">
        <v>1</v>
      </c>
      <c r="AC2139">
        <v>0</v>
      </c>
      <c r="AD2139">
        <v>1</v>
      </c>
      <c r="AE2139">
        <v>0</v>
      </c>
      <c r="AF2139">
        <v>0</v>
      </c>
      <c r="AG2139">
        <v>0</v>
      </c>
    </row>
    <row r="2140" spans="1:33" hidden="1" x14ac:dyDescent="0.2">
      <c r="A2140">
        <v>2139</v>
      </c>
      <c r="B2140" t="s">
        <v>605</v>
      </c>
      <c r="C2140" t="s">
        <v>108</v>
      </c>
      <c r="D2140">
        <v>31</v>
      </c>
      <c r="E2140" t="s">
        <v>34</v>
      </c>
      <c r="F2140" t="s">
        <v>53</v>
      </c>
      <c r="G2140" t="s">
        <v>71</v>
      </c>
      <c r="H2140">
        <v>83675</v>
      </c>
      <c r="I2140">
        <v>0</v>
      </c>
      <c r="J2140">
        <v>1</v>
      </c>
      <c r="K2140">
        <v>1</v>
      </c>
      <c r="L2140">
        <v>0</v>
      </c>
      <c r="M2140" t="s">
        <v>36</v>
      </c>
      <c r="N2140" t="s">
        <v>36</v>
      </c>
      <c r="O2140" t="s">
        <v>36</v>
      </c>
      <c r="P2140" t="s">
        <v>442</v>
      </c>
      <c r="Q2140" t="s">
        <v>36</v>
      </c>
      <c r="R2140" t="s">
        <v>36</v>
      </c>
      <c r="S2140" t="s">
        <v>36</v>
      </c>
      <c r="T2140" t="s">
        <v>36</v>
      </c>
      <c r="U2140">
        <v>1</v>
      </c>
      <c r="V2140">
        <v>0</v>
      </c>
      <c r="W2140">
        <v>1</v>
      </c>
      <c r="X2140">
        <v>0</v>
      </c>
      <c r="Y2140">
        <v>0</v>
      </c>
      <c r="Z2140">
        <v>1</v>
      </c>
      <c r="AA2140">
        <v>0</v>
      </c>
      <c r="AB2140">
        <v>1</v>
      </c>
      <c r="AC2140">
        <v>0</v>
      </c>
      <c r="AD2140">
        <v>1</v>
      </c>
      <c r="AE2140">
        <v>0</v>
      </c>
      <c r="AF2140">
        <v>0</v>
      </c>
      <c r="AG2140">
        <v>0</v>
      </c>
    </row>
    <row r="2141" spans="1:33" x14ac:dyDescent="0.2">
      <c r="A2141">
        <v>2140</v>
      </c>
      <c r="B2141" t="s">
        <v>605</v>
      </c>
      <c r="C2141" t="s">
        <v>108</v>
      </c>
      <c r="D2141">
        <v>31</v>
      </c>
      <c r="E2141" t="s">
        <v>34</v>
      </c>
      <c r="F2141" t="s">
        <v>41</v>
      </c>
      <c r="G2141" t="s">
        <v>55</v>
      </c>
      <c r="H2141">
        <v>125707</v>
      </c>
      <c r="I2141">
        <v>1</v>
      </c>
      <c r="J2141">
        <v>1</v>
      </c>
      <c r="K2141">
        <v>1</v>
      </c>
      <c r="L2141">
        <v>0</v>
      </c>
      <c r="M2141" t="s">
        <v>85</v>
      </c>
      <c r="N2141" t="s">
        <v>84</v>
      </c>
      <c r="O2141" t="s">
        <v>58</v>
      </c>
      <c r="P2141" t="s">
        <v>442</v>
      </c>
      <c r="Q2141" t="s">
        <v>65</v>
      </c>
      <c r="R2141" t="s">
        <v>46</v>
      </c>
      <c r="S2141" t="s">
        <v>60</v>
      </c>
      <c r="T2141">
        <v>1</v>
      </c>
      <c r="U2141">
        <v>1</v>
      </c>
      <c r="V2141">
        <v>0</v>
      </c>
      <c r="W2141">
        <v>0</v>
      </c>
      <c r="X2141">
        <v>1</v>
      </c>
      <c r="Y2141">
        <v>0</v>
      </c>
      <c r="Z2141">
        <v>1</v>
      </c>
      <c r="AA2141">
        <v>1</v>
      </c>
      <c r="AB2141">
        <v>1</v>
      </c>
      <c r="AC2141">
        <v>0</v>
      </c>
      <c r="AD2141">
        <v>0</v>
      </c>
      <c r="AE2141">
        <v>1</v>
      </c>
      <c r="AF2141">
        <v>0</v>
      </c>
      <c r="AG2141">
        <v>0</v>
      </c>
    </row>
    <row r="2142" spans="1:33" hidden="1" x14ac:dyDescent="0.2">
      <c r="A2142">
        <v>2141</v>
      </c>
      <c r="B2142" t="s">
        <v>605</v>
      </c>
      <c r="C2142" t="s">
        <v>108</v>
      </c>
      <c r="D2142">
        <v>31</v>
      </c>
      <c r="E2142" t="s">
        <v>34</v>
      </c>
      <c r="F2142" t="s">
        <v>53</v>
      </c>
      <c r="G2142" t="s">
        <v>76</v>
      </c>
      <c r="H2142">
        <v>99700</v>
      </c>
      <c r="I2142">
        <v>1</v>
      </c>
      <c r="J2142">
        <v>1</v>
      </c>
      <c r="K2142">
        <v>0</v>
      </c>
      <c r="L2142">
        <v>0</v>
      </c>
      <c r="M2142" t="s">
        <v>36</v>
      </c>
      <c r="N2142" t="s">
        <v>36</v>
      </c>
      <c r="O2142" t="s">
        <v>36</v>
      </c>
      <c r="P2142" t="s">
        <v>442</v>
      </c>
      <c r="Q2142" t="s">
        <v>36</v>
      </c>
      <c r="R2142" t="s">
        <v>36</v>
      </c>
      <c r="S2142" t="s">
        <v>36</v>
      </c>
      <c r="T2142" t="s">
        <v>36</v>
      </c>
      <c r="U2142">
        <v>1</v>
      </c>
      <c r="V2142">
        <v>0</v>
      </c>
      <c r="W2142">
        <v>0</v>
      </c>
      <c r="X2142">
        <v>1</v>
      </c>
      <c r="Y2142">
        <v>0</v>
      </c>
      <c r="Z2142">
        <v>1</v>
      </c>
      <c r="AA2142">
        <v>1</v>
      </c>
      <c r="AB2142">
        <v>1</v>
      </c>
      <c r="AC2142">
        <v>0</v>
      </c>
      <c r="AD2142">
        <v>0</v>
      </c>
      <c r="AE2142">
        <v>1</v>
      </c>
      <c r="AF2142">
        <v>0</v>
      </c>
      <c r="AG2142">
        <v>0</v>
      </c>
    </row>
    <row r="2143" spans="1:33" hidden="1" x14ac:dyDescent="0.2">
      <c r="A2143">
        <v>2142</v>
      </c>
      <c r="B2143" t="s">
        <v>605</v>
      </c>
      <c r="C2143" t="s">
        <v>108</v>
      </c>
      <c r="D2143">
        <v>31</v>
      </c>
      <c r="E2143" t="s">
        <v>34</v>
      </c>
      <c r="F2143" t="s">
        <v>77</v>
      </c>
      <c r="G2143" t="s">
        <v>36</v>
      </c>
      <c r="H2143">
        <v>17672</v>
      </c>
      <c r="I2143" t="s">
        <v>606</v>
      </c>
      <c r="J2143" t="s">
        <v>607</v>
      </c>
      <c r="K2143" t="s">
        <v>162</v>
      </c>
      <c r="L2143" t="s">
        <v>36</v>
      </c>
      <c r="M2143" t="s">
        <v>36</v>
      </c>
      <c r="N2143" t="s">
        <v>36</v>
      </c>
      <c r="O2143" t="s">
        <v>36</v>
      </c>
      <c r="P2143" t="s">
        <v>442</v>
      </c>
      <c r="Q2143" t="s">
        <v>36</v>
      </c>
      <c r="R2143" t="s">
        <v>36</v>
      </c>
      <c r="S2143" t="s">
        <v>36</v>
      </c>
      <c r="T2143" t="s">
        <v>36</v>
      </c>
      <c r="U2143" t="s">
        <v>36</v>
      </c>
      <c r="V2143" t="s">
        <v>36</v>
      </c>
      <c r="W2143" t="s">
        <v>36</v>
      </c>
      <c r="X2143" t="s">
        <v>36</v>
      </c>
      <c r="Y2143" t="s">
        <v>36</v>
      </c>
      <c r="Z2143" t="s">
        <v>36</v>
      </c>
      <c r="AA2143" t="s">
        <v>36</v>
      </c>
      <c r="AB2143" t="s">
        <v>36</v>
      </c>
      <c r="AC2143" t="s">
        <v>36</v>
      </c>
      <c r="AD2143" t="s">
        <v>36</v>
      </c>
      <c r="AE2143" t="s">
        <v>36</v>
      </c>
      <c r="AF2143" t="s">
        <v>36</v>
      </c>
      <c r="AG2143" t="s">
        <v>36</v>
      </c>
    </row>
    <row r="2144" spans="1:33" hidden="1" x14ac:dyDescent="0.2">
      <c r="A2144">
        <v>2143</v>
      </c>
      <c r="B2144" t="s">
        <v>608</v>
      </c>
      <c r="C2144" t="s">
        <v>108</v>
      </c>
      <c r="D2144">
        <v>36</v>
      </c>
      <c r="E2144" t="s">
        <v>34</v>
      </c>
      <c r="F2144" t="s">
        <v>35</v>
      </c>
      <c r="G2144" t="s">
        <v>36</v>
      </c>
      <c r="H2144">
        <v>219366</v>
      </c>
      <c r="I2144" t="s">
        <v>36</v>
      </c>
      <c r="J2144" t="s">
        <v>36</v>
      </c>
      <c r="K2144" t="s">
        <v>36</v>
      </c>
      <c r="L2144" t="s">
        <v>36</v>
      </c>
      <c r="M2144" t="s">
        <v>36</v>
      </c>
      <c r="N2144" t="s">
        <v>36</v>
      </c>
      <c r="O2144" t="s">
        <v>36</v>
      </c>
      <c r="P2144" t="s">
        <v>442</v>
      </c>
      <c r="Q2144" t="s">
        <v>36</v>
      </c>
      <c r="R2144" t="s">
        <v>36</v>
      </c>
      <c r="S2144" t="s">
        <v>36</v>
      </c>
      <c r="T2144" t="s">
        <v>36</v>
      </c>
      <c r="U2144" t="s">
        <v>36</v>
      </c>
      <c r="V2144" t="s">
        <v>36</v>
      </c>
      <c r="W2144" t="s">
        <v>36</v>
      </c>
      <c r="X2144" t="s">
        <v>36</v>
      </c>
      <c r="Y2144" t="s">
        <v>36</v>
      </c>
      <c r="Z2144" t="s">
        <v>36</v>
      </c>
      <c r="AA2144" t="s">
        <v>36</v>
      </c>
      <c r="AB2144" t="s">
        <v>36</v>
      </c>
      <c r="AC2144" t="s">
        <v>36</v>
      </c>
      <c r="AD2144" t="s">
        <v>36</v>
      </c>
      <c r="AE2144" t="s">
        <v>36</v>
      </c>
      <c r="AF2144" t="s">
        <v>36</v>
      </c>
      <c r="AG2144" t="s">
        <v>36</v>
      </c>
    </row>
    <row r="2145" spans="1:33" hidden="1" x14ac:dyDescent="0.2">
      <c r="A2145">
        <v>2144</v>
      </c>
      <c r="B2145" t="s">
        <v>608</v>
      </c>
      <c r="C2145" t="s">
        <v>108</v>
      </c>
      <c r="D2145">
        <v>36</v>
      </c>
      <c r="E2145" t="s">
        <v>34</v>
      </c>
      <c r="F2145" t="s">
        <v>38</v>
      </c>
      <c r="G2145" t="s">
        <v>40</v>
      </c>
      <c r="H2145">
        <v>326499</v>
      </c>
      <c r="I2145">
        <v>0</v>
      </c>
      <c r="J2145">
        <v>0</v>
      </c>
      <c r="K2145">
        <v>1</v>
      </c>
      <c r="L2145">
        <v>0</v>
      </c>
      <c r="M2145" t="s">
        <v>36</v>
      </c>
      <c r="N2145" t="s">
        <v>36</v>
      </c>
      <c r="O2145" t="s">
        <v>36</v>
      </c>
      <c r="P2145" t="s">
        <v>442</v>
      </c>
      <c r="Q2145" t="s">
        <v>36</v>
      </c>
      <c r="R2145" t="s">
        <v>36</v>
      </c>
      <c r="S2145" t="s">
        <v>36</v>
      </c>
      <c r="T2145" t="s">
        <v>36</v>
      </c>
      <c r="U2145" t="s">
        <v>36</v>
      </c>
      <c r="V2145" t="s">
        <v>36</v>
      </c>
      <c r="W2145" t="s">
        <v>36</v>
      </c>
      <c r="X2145" t="s">
        <v>36</v>
      </c>
      <c r="Y2145" t="s">
        <v>36</v>
      </c>
      <c r="Z2145" t="s">
        <v>36</v>
      </c>
      <c r="AA2145" t="s">
        <v>36</v>
      </c>
      <c r="AB2145" t="s">
        <v>36</v>
      </c>
      <c r="AC2145" t="s">
        <v>36</v>
      </c>
      <c r="AD2145" t="s">
        <v>36</v>
      </c>
      <c r="AE2145" t="s">
        <v>36</v>
      </c>
      <c r="AF2145" t="s">
        <v>36</v>
      </c>
      <c r="AG2145" t="s">
        <v>36</v>
      </c>
    </row>
    <row r="2146" spans="1:33" hidden="1" x14ac:dyDescent="0.2">
      <c r="A2146">
        <v>2145</v>
      </c>
      <c r="B2146" t="s">
        <v>608</v>
      </c>
      <c r="C2146" t="s">
        <v>108</v>
      </c>
      <c r="D2146">
        <v>36</v>
      </c>
      <c r="E2146" t="s">
        <v>34</v>
      </c>
      <c r="F2146" t="s">
        <v>38</v>
      </c>
      <c r="G2146" t="s">
        <v>39</v>
      </c>
      <c r="H2146">
        <v>148107</v>
      </c>
      <c r="I2146">
        <v>0</v>
      </c>
      <c r="J2146">
        <v>0</v>
      </c>
      <c r="K2146">
        <v>0</v>
      </c>
      <c r="L2146">
        <v>1</v>
      </c>
      <c r="M2146" t="s">
        <v>36</v>
      </c>
      <c r="N2146" t="s">
        <v>36</v>
      </c>
      <c r="O2146" t="s">
        <v>36</v>
      </c>
      <c r="P2146" t="s">
        <v>442</v>
      </c>
      <c r="Q2146" t="s">
        <v>36</v>
      </c>
      <c r="R2146" t="s">
        <v>36</v>
      </c>
      <c r="S2146" t="s">
        <v>36</v>
      </c>
      <c r="T2146" t="s">
        <v>36</v>
      </c>
      <c r="U2146" t="s">
        <v>36</v>
      </c>
      <c r="V2146" t="s">
        <v>36</v>
      </c>
      <c r="W2146" t="s">
        <v>36</v>
      </c>
      <c r="X2146" t="s">
        <v>36</v>
      </c>
      <c r="Y2146" t="s">
        <v>36</v>
      </c>
      <c r="Z2146" t="s">
        <v>36</v>
      </c>
      <c r="AA2146" t="s">
        <v>36</v>
      </c>
      <c r="AB2146" t="s">
        <v>36</v>
      </c>
      <c r="AC2146" t="s">
        <v>36</v>
      </c>
      <c r="AD2146" t="s">
        <v>36</v>
      </c>
      <c r="AE2146" t="s">
        <v>36</v>
      </c>
      <c r="AF2146" t="s">
        <v>36</v>
      </c>
      <c r="AG2146" t="s">
        <v>36</v>
      </c>
    </row>
    <row r="2147" spans="1:33" x14ac:dyDescent="0.2">
      <c r="A2147">
        <v>2146</v>
      </c>
      <c r="B2147" t="s">
        <v>608</v>
      </c>
      <c r="C2147" t="s">
        <v>108</v>
      </c>
      <c r="D2147">
        <v>36</v>
      </c>
      <c r="E2147" t="s">
        <v>34</v>
      </c>
      <c r="F2147" t="s">
        <v>41</v>
      </c>
      <c r="G2147" t="s">
        <v>67</v>
      </c>
      <c r="H2147">
        <v>80575</v>
      </c>
      <c r="I2147">
        <v>1</v>
      </c>
      <c r="J2147">
        <v>1</v>
      </c>
      <c r="K2147">
        <v>1</v>
      </c>
      <c r="L2147">
        <v>0</v>
      </c>
      <c r="M2147" t="s">
        <v>68</v>
      </c>
      <c r="N2147" t="s">
        <v>103</v>
      </c>
      <c r="O2147" t="s">
        <v>70</v>
      </c>
      <c r="P2147" t="s">
        <v>442</v>
      </c>
      <c r="Q2147" t="s">
        <v>65</v>
      </c>
      <c r="R2147" t="s">
        <v>60</v>
      </c>
      <c r="S2147" t="s">
        <v>47</v>
      </c>
      <c r="T2147">
        <v>1</v>
      </c>
      <c r="U2147">
        <v>1</v>
      </c>
      <c r="V2147">
        <v>0</v>
      </c>
      <c r="W2147">
        <v>1</v>
      </c>
      <c r="X2147">
        <v>0</v>
      </c>
      <c r="Y2147">
        <v>0</v>
      </c>
      <c r="Z2147">
        <v>1</v>
      </c>
      <c r="AA2147">
        <v>1</v>
      </c>
      <c r="AB2147">
        <v>1</v>
      </c>
      <c r="AC2147">
        <v>0</v>
      </c>
      <c r="AD2147">
        <v>1</v>
      </c>
      <c r="AE2147">
        <v>0</v>
      </c>
      <c r="AF2147">
        <v>0</v>
      </c>
      <c r="AG2147">
        <v>0</v>
      </c>
    </row>
    <row r="2148" spans="1:33" x14ac:dyDescent="0.2">
      <c r="A2148">
        <v>2147</v>
      </c>
      <c r="B2148" t="s">
        <v>608</v>
      </c>
      <c r="C2148" t="s">
        <v>108</v>
      </c>
      <c r="D2148">
        <v>36</v>
      </c>
      <c r="E2148" t="s">
        <v>34</v>
      </c>
      <c r="F2148" t="s">
        <v>41</v>
      </c>
      <c r="G2148" t="s">
        <v>55</v>
      </c>
      <c r="H2148">
        <v>42268</v>
      </c>
      <c r="I2148">
        <v>1</v>
      </c>
      <c r="J2148">
        <v>1</v>
      </c>
      <c r="K2148">
        <v>1</v>
      </c>
      <c r="L2148">
        <v>0</v>
      </c>
      <c r="M2148" t="s">
        <v>94</v>
      </c>
      <c r="N2148" t="s">
        <v>84</v>
      </c>
      <c r="O2148" t="s">
        <v>85</v>
      </c>
      <c r="P2148" t="s">
        <v>442</v>
      </c>
      <c r="Q2148" t="s">
        <v>47</v>
      </c>
      <c r="R2148" t="s">
        <v>46</v>
      </c>
      <c r="S2148" t="s">
        <v>65</v>
      </c>
      <c r="T2148">
        <v>0</v>
      </c>
      <c r="U2148">
        <v>1</v>
      </c>
      <c r="V2148">
        <v>0</v>
      </c>
      <c r="W2148">
        <v>1</v>
      </c>
      <c r="X2148">
        <v>1</v>
      </c>
      <c r="Y2148">
        <v>0</v>
      </c>
      <c r="Z2148">
        <v>1</v>
      </c>
      <c r="AA2148">
        <v>0</v>
      </c>
      <c r="AB2148">
        <v>1</v>
      </c>
      <c r="AC2148">
        <v>0</v>
      </c>
      <c r="AD2148">
        <v>1</v>
      </c>
      <c r="AE2148">
        <v>1</v>
      </c>
      <c r="AF2148">
        <v>0</v>
      </c>
      <c r="AG2148">
        <v>0</v>
      </c>
    </row>
    <row r="2149" spans="1:33" hidden="1" x14ac:dyDescent="0.2">
      <c r="A2149">
        <v>2148</v>
      </c>
      <c r="B2149" t="s">
        <v>608</v>
      </c>
      <c r="C2149" t="s">
        <v>108</v>
      </c>
      <c r="D2149">
        <v>36</v>
      </c>
      <c r="E2149" t="s">
        <v>34</v>
      </c>
      <c r="F2149" t="s">
        <v>53</v>
      </c>
      <c r="G2149" t="s">
        <v>54</v>
      </c>
      <c r="H2149">
        <v>97940</v>
      </c>
      <c r="I2149">
        <v>0</v>
      </c>
      <c r="J2149">
        <v>1</v>
      </c>
      <c r="K2149">
        <v>1</v>
      </c>
      <c r="L2149">
        <v>0</v>
      </c>
      <c r="M2149" t="s">
        <v>36</v>
      </c>
      <c r="N2149" t="s">
        <v>36</v>
      </c>
      <c r="O2149" t="s">
        <v>36</v>
      </c>
      <c r="P2149" t="s">
        <v>442</v>
      </c>
      <c r="Q2149" t="s">
        <v>36</v>
      </c>
      <c r="R2149" t="s">
        <v>36</v>
      </c>
      <c r="S2149" t="s">
        <v>36</v>
      </c>
      <c r="T2149" t="s">
        <v>36</v>
      </c>
      <c r="U2149">
        <v>1</v>
      </c>
      <c r="V2149">
        <v>0</v>
      </c>
      <c r="W2149">
        <v>1</v>
      </c>
      <c r="X2149">
        <v>1</v>
      </c>
      <c r="Y2149">
        <v>0</v>
      </c>
      <c r="Z2149">
        <v>1</v>
      </c>
      <c r="AA2149">
        <v>0</v>
      </c>
      <c r="AB2149">
        <v>1</v>
      </c>
      <c r="AC2149">
        <v>0</v>
      </c>
      <c r="AD2149">
        <v>1</v>
      </c>
      <c r="AE2149">
        <v>1</v>
      </c>
      <c r="AF2149">
        <v>0</v>
      </c>
      <c r="AG2149">
        <v>0</v>
      </c>
    </row>
    <row r="2150" spans="1:33" x14ac:dyDescent="0.2">
      <c r="A2150">
        <v>2149</v>
      </c>
      <c r="B2150" t="s">
        <v>608</v>
      </c>
      <c r="C2150" t="s">
        <v>108</v>
      </c>
      <c r="D2150">
        <v>36</v>
      </c>
      <c r="E2150" t="s">
        <v>34</v>
      </c>
      <c r="F2150" t="s">
        <v>41</v>
      </c>
      <c r="G2150" t="s">
        <v>49</v>
      </c>
      <c r="H2150">
        <v>83376</v>
      </c>
      <c r="I2150">
        <v>1</v>
      </c>
      <c r="J2150">
        <v>1</v>
      </c>
      <c r="K2150">
        <v>1</v>
      </c>
      <c r="L2150">
        <v>0</v>
      </c>
      <c r="M2150" t="s">
        <v>50</v>
      </c>
      <c r="N2150" t="s">
        <v>51</v>
      </c>
      <c r="O2150" t="s">
        <v>95</v>
      </c>
      <c r="P2150" t="s">
        <v>442</v>
      </c>
      <c r="Q2150" t="s">
        <v>48</v>
      </c>
      <c r="R2150" t="s">
        <v>47</v>
      </c>
      <c r="S2150" t="s">
        <v>60</v>
      </c>
      <c r="T2150">
        <v>1</v>
      </c>
      <c r="U2150">
        <v>0</v>
      </c>
      <c r="V2150">
        <v>1</v>
      </c>
      <c r="W2150">
        <v>1</v>
      </c>
      <c r="X2150">
        <v>0</v>
      </c>
      <c r="Y2150">
        <v>0</v>
      </c>
      <c r="Z2150">
        <v>1</v>
      </c>
      <c r="AA2150">
        <v>1</v>
      </c>
      <c r="AB2150">
        <v>0</v>
      </c>
      <c r="AC2150">
        <v>1</v>
      </c>
      <c r="AD2150">
        <v>1</v>
      </c>
      <c r="AE2150">
        <v>0</v>
      </c>
      <c r="AF2150">
        <v>0</v>
      </c>
      <c r="AG2150">
        <v>0</v>
      </c>
    </row>
    <row r="2151" spans="1:33" x14ac:dyDescent="0.2">
      <c r="A2151">
        <v>2150</v>
      </c>
      <c r="B2151" t="s">
        <v>608</v>
      </c>
      <c r="C2151" t="s">
        <v>108</v>
      </c>
      <c r="D2151">
        <v>36</v>
      </c>
      <c r="E2151" t="s">
        <v>34</v>
      </c>
      <c r="F2151" t="s">
        <v>41</v>
      </c>
      <c r="G2151" t="s">
        <v>42</v>
      </c>
      <c r="H2151">
        <v>82325</v>
      </c>
      <c r="I2151">
        <v>1</v>
      </c>
      <c r="J2151">
        <v>1</v>
      </c>
      <c r="K2151">
        <v>1</v>
      </c>
      <c r="L2151">
        <v>0</v>
      </c>
      <c r="M2151" t="s">
        <v>82</v>
      </c>
      <c r="N2151" t="s">
        <v>116</v>
      </c>
      <c r="O2151" t="s">
        <v>45</v>
      </c>
      <c r="P2151" t="s">
        <v>442</v>
      </c>
      <c r="Q2151" t="s">
        <v>65</v>
      </c>
      <c r="R2151" t="s">
        <v>60</v>
      </c>
      <c r="S2151" t="s">
        <v>48</v>
      </c>
      <c r="T2151">
        <v>1</v>
      </c>
      <c r="U2151">
        <v>1</v>
      </c>
      <c r="V2151">
        <v>1</v>
      </c>
      <c r="W2151">
        <v>0</v>
      </c>
      <c r="X2151">
        <v>0</v>
      </c>
      <c r="Y2151">
        <v>0</v>
      </c>
      <c r="Z2151">
        <v>1</v>
      </c>
      <c r="AA2151">
        <v>1</v>
      </c>
      <c r="AB2151">
        <v>1</v>
      </c>
      <c r="AC2151">
        <v>1</v>
      </c>
      <c r="AD2151">
        <v>0</v>
      </c>
      <c r="AE2151">
        <v>0</v>
      </c>
      <c r="AF2151">
        <v>0</v>
      </c>
      <c r="AG2151">
        <v>0</v>
      </c>
    </row>
    <row r="2152" spans="1:33" hidden="1" x14ac:dyDescent="0.2">
      <c r="A2152">
        <v>2151</v>
      </c>
      <c r="B2152" t="s">
        <v>608</v>
      </c>
      <c r="C2152" t="s">
        <v>108</v>
      </c>
      <c r="D2152">
        <v>36</v>
      </c>
      <c r="E2152" t="s">
        <v>34</v>
      </c>
      <c r="F2152" t="s">
        <v>53</v>
      </c>
      <c r="G2152" t="s">
        <v>66</v>
      </c>
      <c r="H2152">
        <v>14833</v>
      </c>
      <c r="I2152">
        <v>1</v>
      </c>
      <c r="J2152">
        <v>0</v>
      </c>
      <c r="K2152">
        <v>0</v>
      </c>
      <c r="L2152">
        <v>0</v>
      </c>
      <c r="M2152" t="s">
        <v>36</v>
      </c>
      <c r="N2152" t="s">
        <v>36</v>
      </c>
      <c r="O2152" t="s">
        <v>36</v>
      </c>
      <c r="P2152" t="s">
        <v>442</v>
      </c>
      <c r="Q2152" t="s">
        <v>36</v>
      </c>
      <c r="R2152" t="s">
        <v>36</v>
      </c>
      <c r="S2152" t="s">
        <v>36</v>
      </c>
      <c r="T2152" t="s">
        <v>36</v>
      </c>
      <c r="U2152">
        <v>1</v>
      </c>
      <c r="V2152">
        <v>1</v>
      </c>
      <c r="W2152">
        <v>0</v>
      </c>
      <c r="X2152">
        <v>0</v>
      </c>
      <c r="Y2152">
        <v>0</v>
      </c>
      <c r="Z2152">
        <v>1</v>
      </c>
      <c r="AA2152">
        <v>1</v>
      </c>
      <c r="AB2152">
        <v>1</v>
      </c>
      <c r="AC2152">
        <v>1</v>
      </c>
      <c r="AD2152">
        <v>0</v>
      </c>
      <c r="AE2152">
        <v>0</v>
      </c>
      <c r="AF2152">
        <v>0</v>
      </c>
      <c r="AG2152">
        <v>0</v>
      </c>
    </row>
    <row r="2153" spans="1:33" x14ac:dyDescent="0.2">
      <c r="A2153">
        <v>2152</v>
      </c>
      <c r="B2153" t="s">
        <v>608</v>
      </c>
      <c r="C2153" t="s">
        <v>108</v>
      </c>
      <c r="D2153">
        <v>36</v>
      </c>
      <c r="E2153" t="s">
        <v>34</v>
      </c>
      <c r="F2153" t="s">
        <v>41</v>
      </c>
      <c r="G2153" t="s">
        <v>72</v>
      </c>
      <c r="H2153">
        <v>12779</v>
      </c>
      <c r="I2153">
        <v>1</v>
      </c>
      <c r="J2153">
        <v>1</v>
      </c>
      <c r="K2153">
        <v>1</v>
      </c>
      <c r="L2153">
        <v>0</v>
      </c>
      <c r="M2153" t="s">
        <v>75</v>
      </c>
      <c r="N2153" t="s">
        <v>74</v>
      </c>
      <c r="O2153" t="s">
        <v>73</v>
      </c>
      <c r="P2153" t="s">
        <v>442</v>
      </c>
      <c r="Q2153" t="s">
        <v>46</v>
      </c>
      <c r="R2153" t="s">
        <v>47</v>
      </c>
      <c r="S2153" t="s">
        <v>48</v>
      </c>
      <c r="T2153">
        <v>0</v>
      </c>
      <c r="U2153">
        <v>0</v>
      </c>
      <c r="V2153">
        <v>1</v>
      </c>
      <c r="W2153">
        <v>1</v>
      </c>
      <c r="X2153">
        <v>1</v>
      </c>
      <c r="Y2153">
        <v>0</v>
      </c>
      <c r="Z2153">
        <v>1</v>
      </c>
      <c r="AA2153">
        <v>0</v>
      </c>
      <c r="AB2153">
        <v>0</v>
      </c>
      <c r="AC2153">
        <v>1</v>
      </c>
      <c r="AD2153">
        <v>1</v>
      </c>
      <c r="AE2153">
        <v>1</v>
      </c>
      <c r="AF2153">
        <v>0</v>
      </c>
      <c r="AG2153">
        <v>0</v>
      </c>
    </row>
    <row r="2154" spans="1:33" hidden="1" x14ac:dyDescent="0.2">
      <c r="A2154">
        <v>2153</v>
      </c>
      <c r="B2154" t="s">
        <v>608</v>
      </c>
      <c r="C2154" t="s">
        <v>108</v>
      </c>
      <c r="D2154">
        <v>36</v>
      </c>
      <c r="E2154" t="s">
        <v>34</v>
      </c>
      <c r="F2154" t="s">
        <v>53</v>
      </c>
      <c r="G2154" t="s">
        <v>76</v>
      </c>
      <c r="H2154">
        <v>22744</v>
      </c>
      <c r="I2154">
        <v>1</v>
      </c>
      <c r="J2154">
        <v>0</v>
      </c>
      <c r="K2154">
        <v>0</v>
      </c>
      <c r="L2154">
        <v>0</v>
      </c>
      <c r="M2154" t="s">
        <v>36</v>
      </c>
      <c r="N2154" t="s">
        <v>36</v>
      </c>
      <c r="O2154" t="s">
        <v>36</v>
      </c>
      <c r="P2154" t="s">
        <v>442</v>
      </c>
      <c r="Q2154" t="s">
        <v>36</v>
      </c>
      <c r="R2154" t="s">
        <v>36</v>
      </c>
      <c r="S2154" t="s">
        <v>36</v>
      </c>
      <c r="T2154" t="s">
        <v>36</v>
      </c>
      <c r="U2154">
        <v>0</v>
      </c>
      <c r="V2154">
        <v>1</v>
      </c>
      <c r="W2154">
        <v>1</v>
      </c>
      <c r="X2154">
        <v>1</v>
      </c>
      <c r="Y2154">
        <v>0</v>
      </c>
      <c r="Z2154">
        <v>1</v>
      </c>
      <c r="AA2154">
        <v>0</v>
      </c>
      <c r="AB2154">
        <v>0</v>
      </c>
      <c r="AC2154">
        <v>1</v>
      </c>
      <c r="AD2154">
        <v>1</v>
      </c>
      <c r="AE2154">
        <v>1</v>
      </c>
      <c r="AF2154">
        <v>0</v>
      </c>
      <c r="AG2154">
        <v>0</v>
      </c>
    </row>
    <row r="2155" spans="1:33" x14ac:dyDescent="0.2">
      <c r="A2155">
        <v>2154</v>
      </c>
      <c r="B2155" t="s">
        <v>608</v>
      </c>
      <c r="C2155" t="s">
        <v>108</v>
      </c>
      <c r="D2155">
        <v>36</v>
      </c>
      <c r="E2155" t="s">
        <v>34</v>
      </c>
      <c r="F2155" t="s">
        <v>41</v>
      </c>
      <c r="G2155" t="s">
        <v>61</v>
      </c>
      <c r="H2155">
        <v>7258</v>
      </c>
      <c r="I2155">
        <v>1</v>
      </c>
      <c r="J2155">
        <v>1</v>
      </c>
      <c r="K2155">
        <v>1</v>
      </c>
      <c r="L2155">
        <v>0</v>
      </c>
      <c r="M2155" t="s">
        <v>87</v>
      </c>
      <c r="N2155" t="s">
        <v>125</v>
      </c>
      <c r="O2155" t="s">
        <v>63</v>
      </c>
      <c r="P2155" t="s">
        <v>442</v>
      </c>
      <c r="Q2155" t="s">
        <v>47</v>
      </c>
      <c r="R2155" t="s">
        <v>60</v>
      </c>
      <c r="S2155" t="s">
        <v>46</v>
      </c>
      <c r="T2155">
        <v>1</v>
      </c>
      <c r="U2155">
        <v>0</v>
      </c>
      <c r="V2155">
        <v>0</v>
      </c>
      <c r="W2155">
        <v>1</v>
      </c>
      <c r="X2155">
        <v>1</v>
      </c>
      <c r="Y2155">
        <v>0</v>
      </c>
      <c r="Z2155">
        <v>1</v>
      </c>
      <c r="AA2155">
        <v>1</v>
      </c>
      <c r="AB2155">
        <v>0</v>
      </c>
      <c r="AC2155">
        <v>0</v>
      </c>
      <c r="AD2155">
        <v>1</v>
      </c>
      <c r="AE2155">
        <v>1</v>
      </c>
      <c r="AF2155">
        <v>0</v>
      </c>
      <c r="AG2155">
        <v>0</v>
      </c>
    </row>
    <row r="2156" spans="1:33" hidden="1" x14ac:dyDescent="0.2">
      <c r="A2156">
        <v>2155</v>
      </c>
      <c r="B2156" t="s">
        <v>608</v>
      </c>
      <c r="C2156" t="s">
        <v>108</v>
      </c>
      <c r="D2156">
        <v>36</v>
      </c>
      <c r="E2156" t="s">
        <v>34</v>
      </c>
      <c r="F2156" t="s">
        <v>53</v>
      </c>
      <c r="G2156" t="s">
        <v>71</v>
      </c>
      <c r="H2156">
        <v>31807</v>
      </c>
      <c r="I2156">
        <v>1</v>
      </c>
      <c r="J2156">
        <v>1</v>
      </c>
      <c r="K2156">
        <v>1</v>
      </c>
      <c r="L2156">
        <v>0</v>
      </c>
      <c r="M2156" t="s">
        <v>36</v>
      </c>
      <c r="N2156" t="s">
        <v>36</v>
      </c>
      <c r="O2156" t="s">
        <v>36</v>
      </c>
      <c r="P2156" t="s">
        <v>442</v>
      </c>
      <c r="Q2156" t="s">
        <v>36</v>
      </c>
      <c r="R2156" t="s">
        <v>36</v>
      </c>
      <c r="S2156" t="s">
        <v>36</v>
      </c>
      <c r="T2156" t="s">
        <v>36</v>
      </c>
      <c r="U2156">
        <v>0</v>
      </c>
      <c r="V2156">
        <v>0</v>
      </c>
      <c r="W2156">
        <v>1</v>
      </c>
      <c r="X2156">
        <v>1</v>
      </c>
      <c r="Y2156">
        <v>0</v>
      </c>
      <c r="Z2156">
        <v>1</v>
      </c>
      <c r="AA2156">
        <v>1</v>
      </c>
      <c r="AB2156">
        <v>0</v>
      </c>
      <c r="AC2156">
        <v>0</v>
      </c>
      <c r="AD2156">
        <v>1</v>
      </c>
      <c r="AE2156">
        <v>1</v>
      </c>
      <c r="AF2156">
        <v>0</v>
      </c>
      <c r="AG2156">
        <v>0</v>
      </c>
    </row>
    <row r="2157" spans="1:33" hidden="1" x14ac:dyDescent="0.2">
      <c r="A2157">
        <v>2156</v>
      </c>
      <c r="B2157" t="s">
        <v>608</v>
      </c>
      <c r="C2157" t="s">
        <v>108</v>
      </c>
      <c r="D2157">
        <v>36</v>
      </c>
      <c r="E2157" t="s">
        <v>34</v>
      </c>
      <c r="F2157" t="s">
        <v>77</v>
      </c>
      <c r="G2157" t="s">
        <v>36</v>
      </c>
      <c r="H2157">
        <v>92931</v>
      </c>
      <c r="I2157" t="s">
        <v>609</v>
      </c>
      <c r="J2157" t="s">
        <v>610</v>
      </c>
      <c r="K2157" t="s">
        <v>166</v>
      </c>
      <c r="L2157" t="s">
        <v>36</v>
      </c>
      <c r="M2157" t="s">
        <v>36</v>
      </c>
      <c r="N2157" t="s">
        <v>36</v>
      </c>
      <c r="O2157" t="s">
        <v>36</v>
      </c>
      <c r="P2157" t="s">
        <v>442</v>
      </c>
      <c r="Q2157" t="s">
        <v>36</v>
      </c>
      <c r="R2157" t="s">
        <v>36</v>
      </c>
      <c r="S2157" t="s">
        <v>36</v>
      </c>
      <c r="T2157" t="s">
        <v>36</v>
      </c>
      <c r="U2157" t="s">
        <v>36</v>
      </c>
      <c r="V2157" t="s">
        <v>36</v>
      </c>
      <c r="W2157" t="s">
        <v>36</v>
      </c>
      <c r="X2157" t="s">
        <v>36</v>
      </c>
      <c r="Y2157" t="s">
        <v>36</v>
      </c>
      <c r="Z2157" t="s">
        <v>36</v>
      </c>
      <c r="AA2157" t="s">
        <v>36</v>
      </c>
      <c r="AB2157" t="s">
        <v>36</v>
      </c>
      <c r="AC2157" t="s">
        <v>36</v>
      </c>
      <c r="AD2157" t="s">
        <v>36</v>
      </c>
      <c r="AE2157" t="s">
        <v>36</v>
      </c>
      <c r="AF2157" t="s">
        <v>36</v>
      </c>
      <c r="AG2157" t="s">
        <v>36</v>
      </c>
    </row>
    <row r="2158" spans="1:33" hidden="1" x14ac:dyDescent="0.2">
      <c r="A2158">
        <v>2157</v>
      </c>
      <c r="B2158" t="s">
        <v>611</v>
      </c>
      <c r="C2158" t="s">
        <v>188</v>
      </c>
      <c r="D2158">
        <v>27</v>
      </c>
      <c r="E2158" t="s">
        <v>114</v>
      </c>
      <c r="F2158" t="s">
        <v>35</v>
      </c>
      <c r="G2158" t="s">
        <v>36</v>
      </c>
      <c r="H2158">
        <v>13817</v>
      </c>
      <c r="I2158" t="s">
        <v>36</v>
      </c>
      <c r="J2158" t="s">
        <v>36</v>
      </c>
      <c r="K2158" t="s">
        <v>36</v>
      </c>
      <c r="L2158" t="s">
        <v>36</v>
      </c>
      <c r="M2158" t="s">
        <v>36</v>
      </c>
      <c r="N2158" t="s">
        <v>36</v>
      </c>
      <c r="O2158" t="s">
        <v>36</v>
      </c>
      <c r="P2158" t="s">
        <v>442</v>
      </c>
      <c r="Q2158" t="s">
        <v>36</v>
      </c>
      <c r="R2158" t="s">
        <v>36</v>
      </c>
      <c r="S2158" t="s">
        <v>36</v>
      </c>
      <c r="T2158" t="s">
        <v>36</v>
      </c>
      <c r="U2158" t="s">
        <v>36</v>
      </c>
      <c r="V2158" t="s">
        <v>36</v>
      </c>
      <c r="W2158" t="s">
        <v>36</v>
      </c>
      <c r="X2158" t="s">
        <v>36</v>
      </c>
      <c r="Y2158" t="s">
        <v>36</v>
      </c>
      <c r="Z2158" t="s">
        <v>36</v>
      </c>
      <c r="AA2158" t="s">
        <v>36</v>
      </c>
      <c r="AB2158" t="s">
        <v>36</v>
      </c>
      <c r="AC2158" t="s">
        <v>36</v>
      </c>
      <c r="AD2158" t="s">
        <v>36</v>
      </c>
      <c r="AE2158" t="s">
        <v>36</v>
      </c>
      <c r="AF2158" t="s">
        <v>36</v>
      </c>
      <c r="AG2158" t="s">
        <v>36</v>
      </c>
    </row>
    <row r="2159" spans="1:33" hidden="1" x14ac:dyDescent="0.2">
      <c r="A2159">
        <v>2158</v>
      </c>
      <c r="B2159" t="s">
        <v>611</v>
      </c>
      <c r="C2159" t="s">
        <v>188</v>
      </c>
      <c r="D2159">
        <v>27</v>
      </c>
      <c r="E2159" t="s">
        <v>114</v>
      </c>
      <c r="F2159" t="s">
        <v>38</v>
      </c>
      <c r="G2159" t="s">
        <v>40</v>
      </c>
      <c r="H2159">
        <v>20526</v>
      </c>
      <c r="I2159">
        <v>0</v>
      </c>
      <c r="J2159">
        <v>0</v>
      </c>
      <c r="K2159">
        <v>1</v>
      </c>
      <c r="L2159">
        <v>0</v>
      </c>
      <c r="M2159" t="s">
        <v>36</v>
      </c>
      <c r="N2159" t="s">
        <v>36</v>
      </c>
      <c r="O2159" t="s">
        <v>36</v>
      </c>
      <c r="P2159" t="s">
        <v>442</v>
      </c>
      <c r="Q2159" t="s">
        <v>36</v>
      </c>
      <c r="R2159" t="s">
        <v>36</v>
      </c>
      <c r="S2159" t="s">
        <v>36</v>
      </c>
      <c r="T2159" t="s">
        <v>36</v>
      </c>
      <c r="U2159" t="s">
        <v>36</v>
      </c>
      <c r="V2159" t="s">
        <v>36</v>
      </c>
      <c r="W2159" t="s">
        <v>36</v>
      </c>
      <c r="X2159" t="s">
        <v>36</v>
      </c>
      <c r="Y2159" t="s">
        <v>36</v>
      </c>
      <c r="Z2159" t="s">
        <v>36</v>
      </c>
      <c r="AA2159" t="s">
        <v>36</v>
      </c>
      <c r="AB2159" t="s">
        <v>36</v>
      </c>
      <c r="AC2159" t="s">
        <v>36</v>
      </c>
      <c r="AD2159" t="s">
        <v>36</v>
      </c>
      <c r="AE2159" t="s">
        <v>36</v>
      </c>
      <c r="AF2159" t="s">
        <v>36</v>
      </c>
      <c r="AG2159" t="s">
        <v>36</v>
      </c>
    </row>
    <row r="2160" spans="1:33" hidden="1" x14ac:dyDescent="0.2">
      <c r="A2160">
        <v>2159</v>
      </c>
      <c r="B2160" t="s">
        <v>611</v>
      </c>
      <c r="C2160" t="s">
        <v>188</v>
      </c>
      <c r="D2160">
        <v>27</v>
      </c>
      <c r="E2160" t="s">
        <v>114</v>
      </c>
      <c r="F2160" t="s">
        <v>38</v>
      </c>
      <c r="G2160" t="s">
        <v>39</v>
      </c>
      <c r="H2160">
        <v>11661</v>
      </c>
      <c r="I2160">
        <v>0</v>
      </c>
      <c r="J2160">
        <v>0</v>
      </c>
      <c r="K2160">
        <v>0</v>
      </c>
      <c r="L2160">
        <v>1</v>
      </c>
      <c r="M2160" t="s">
        <v>36</v>
      </c>
      <c r="N2160" t="s">
        <v>36</v>
      </c>
      <c r="O2160" t="s">
        <v>36</v>
      </c>
      <c r="P2160" t="s">
        <v>442</v>
      </c>
      <c r="Q2160" t="s">
        <v>36</v>
      </c>
      <c r="R2160" t="s">
        <v>36</v>
      </c>
      <c r="S2160" t="s">
        <v>36</v>
      </c>
      <c r="T2160" t="s">
        <v>36</v>
      </c>
      <c r="U2160" t="s">
        <v>36</v>
      </c>
      <c r="V2160" t="s">
        <v>36</v>
      </c>
      <c r="W2160" t="s">
        <v>36</v>
      </c>
      <c r="X2160" t="s">
        <v>36</v>
      </c>
      <c r="Y2160" t="s">
        <v>36</v>
      </c>
      <c r="Z2160" t="s">
        <v>36</v>
      </c>
      <c r="AA2160" t="s">
        <v>36</v>
      </c>
      <c r="AB2160" t="s">
        <v>36</v>
      </c>
      <c r="AC2160" t="s">
        <v>36</v>
      </c>
      <c r="AD2160" t="s">
        <v>36</v>
      </c>
      <c r="AE2160" t="s">
        <v>36</v>
      </c>
      <c r="AF2160" t="s">
        <v>36</v>
      </c>
      <c r="AG2160" t="s">
        <v>36</v>
      </c>
    </row>
    <row r="2161" spans="1:33" x14ac:dyDescent="0.2">
      <c r="A2161">
        <v>2160</v>
      </c>
      <c r="B2161" t="s">
        <v>611</v>
      </c>
      <c r="C2161" t="s">
        <v>188</v>
      </c>
      <c r="D2161">
        <v>27</v>
      </c>
      <c r="E2161" t="s">
        <v>114</v>
      </c>
      <c r="F2161" t="s">
        <v>41</v>
      </c>
      <c r="G2161" t="s">
        <v>42</v>
      </c>
      <c r="H2161">
        <v>64929</v>
      </c>
      <c r="I2161">
        <v>1</v>
      </c>
      <c r="J2161">
        <v>1</v>
      </c>
      <c r="K2161">
        <v>1</v>
      </c>
      <c r="L2161">
        <v>0</v>
      </c>
      <c r="M2161" t="s">
        <v>45</v>
      </c>
      <c r="N2161" t="s">
        <v>82</v>
      </c>
      <c r="O2161" t="s">
        <v>44</v>
      </c>
      <c r="P2161" t="s">
        <v>442</v>
      </c>
      <c r="Q2161" t="s">
        <v>48</v>
      </c>
      <c r="R2161" t="s">
        <v>65</v>
      </c>
      <c r="S2161" t="s">
        <v>47</v>
      </c>
      <c r="T2161">
        <v>0</v>
      </c>
      <c r="U2161">
        <v>1</v>
      </c>
      <c r="V2161">
        <v>1</v>
      </c>
      <c r="W2161">
        <v>1</v>
      </c>
      <c r="X2161">
        <v>0</v>
      </c>
      <c r="Y2161">
        <v>0</v>
      </c>
      <c r="Z2161">
        <v>1</v>
      </c>
      <c r="AA2161">
        <v>0</v>
      </c>
      <c r="AB2161">
        <v>1</v>
      </c>
      <c r="AC2161">
        <v>1</v>
      </c>
      <c r="AD2161">
        <v>1</v>
      </c>
      <c r="AE2161">
        <v>0</v>
      </c>
      <c r="AF2161">
        <v>0</v>
      </c>
      <c r="AG2161">
        <v>0</v>
      </c>
    </row>
    <row r="2162" spans="1:33" x14ac:dyDescent="0.2">
      <c r="A2162">
        <v>2161</v>
      </c>
      <c r="B2162" t="s">
        <v>611</v>
      </c>
      <c r="C2162" t="s">
        <v>188</v>
      </c>
      <c r="D2162">
        <v>27</v>
      </c>
      <c r="E2162" t="s">
        <v>114</v>
      </c>
      <c r="F2162" t="s">
        <v>41</v>
      </c>
      <c r="G2162" t="s">
        <v>67</v>
      </c>
      <c r="H2162">
        <v>4806</v>
      </c>
      <c r="I2162">
        <v>1</v>
      </c>
      <c r="J2162">
        <v>1</v>
      </c>
      <c r="K2162">
        <v>1</v>
      </c>
      <c r="L2162">
        <v>0</v>
      </c>
      <c r="M2162" t="s">
        <v>86</v>
      </c>
      <c r="N2162" t="s">
        <v>70</v>
      </c>
      <c r="O2162" t="s">
        <v>68</v>
      </c>
      <c r="P2162" t="s">
        <v>442</v>
      </c>
      <c r="Q2162" t="s">
        <v>46</v>
      </c>
      <c r="R2162" t="s">
        <v>47</v>
      </c>
      <c r="S2162" t="s">
        <v>65</v>
      </c>
      <c r="T2162">
        <v>0</v>
      </c>
      <c r="U2162">
        <v>1</v>
      </c>
      <c r="V2162">
        <v>0</v>
      </c>
      <c r="W2162">
        <v>1</v>
      </c>
      <c r="X2162">
        <v>1</v>
      </c>
      <c r="Y2162">
        <v>0</v>
      </c>
      <c r="Z2162">
        <v>1</v>
      </c>
      <c r="AA2162">
        <v>0</v>
      </c>
      <c r="AB2162">
        <v>1</v>
      </c>
      <c r="AC2162">
        <v>0</v>
      </c>
      <c r="AD2162">
        <v>1</v>
      </c>
      <c r="AE2162">
        <v>1</v>
      </c>
      <c r="AF2162">
        <v>0</v>
      </c>
      <c r="AG2162">
        <v>0</v>
      </c>
    </row>
    <row r="2163" spans="1:33" hidden="1" x14ac:dyDescent="0.2">
      <c r="A2163">
        <v>2162</v>
      </c>
      <c r="B2163" t="s">
        <v>611</v>
      </c>
      <c r="C2163" t="s">
        <v>188</v>
      </c>
      <c r="D2163">
        <v>27</v>
      </c>
      <c r="E2163" t="s">
        <v>114</v>
      </c>
      <c r="F2163" t="s">
        <v>53</v>
      </c>
      <c r="G2163" t="s">
        <v>71</v>
      </c>
      <c r="H2163">
        <v>24299</v>
      </c>
      <c r="I2163">
        <v>1</v>
      </c>
      <c r="J2163">
        <v>1</v>
      </c>
      <c r="K2163">
        <v>0</v>
      </c>
      <c r="L2163">
        <v>0</v>
      </c>
      <c r="M2163" t="s">
        <v>36</v>
      </c>
      <c r="N2163" t="s">
        <v>36</v>
      </c>
      <c r="O2163" t="s">
        <v>36</v>
      </c>
      <c r="P2163" t="s">
        <v>442</v>
      </c>
      <c r="Q2163" t="s">
        <v>36</v>
      </c>
      <c r="R2163" t="s">
        <v>36</v>
      </c>
      <c r="S2163" t="s">
        <v>36</v>
      </c>
      <c r="T2163" t="s">
        <v>36</v>
      </c>
      <c r="U2163">
        <v>1</v>
      </c>
      <c r="V2163">
        <v>0</v>
      </c>
      <c r="W2163">
        <v>1</v>
      </c>
      <c r="X2163">
        <v>1</v>
      </c>
      <c r="Y2163">
        <v>0</v>
      </c>
      <c r="Z2163">
        <v>1</v>
      </c>
      <c r="AA2163">
        <v>0</v>
      </c>
      <c r="AB2163">
        <v>1</v>
      </c>
      <c r="AC2163">
        <v>0</v>
      </c>
      <c r="AD2163">
        <v>1</v>
      </c>
      <c r="AE2163">
        <v>1</v>
      </c>
      <c r="AF2163">
        <v>0</v>
      </c>
      <c r="AG2163">
        <v>0</v>
      </c>
    </row>
    <row r="2164" spans="1:33" x14ac:dyDescent="0.2">
      <c r="A2164">
        <v>2163</v>
      </c>
      <c r="B2164" t="s">
        <v>611</v>
      </c>
      <c r="C2164" t="s">
        <v>188</v>
      </c>
      <c r="D2164">
        <v>27</v>
      </c>
      <c r="E2164" t="s">
        <v>114</v>
      </c>
      <c r="F2164" t="s">
        <v>41</v>
      </c>
      <c r="G2164" t="s">
        <v>49</v>
      </c>
      <c r="H2164">
        <v>5220</v>
      </c>
      <c r="I2164">
        <v>1</v>
      </c>
      <c r="J2164">
        <v>1</v>
      </c>
      <c r="K2164">
        <v>1</v>
      </c>
      <c r="L2164">
        <v>0</v>
      </c>
      <c r="M2164" t="s">
        <v>50</v>
      </c>
      <c r="N2164" t="s">
        <v>83</v>
      </c>
      <c r="O2164" t="s">
        <v>52</v>
      </c>
      <c r="P2164" t="s">
        <v>442</v>
      </c>
      <c r="Q2164" t="s">
        <v>48</v>
      </c>
      <c r="R2164" t="s">
        <v>59</v>
      </c>
      <c r="S2164" t="s">
        <v>46</v>
      </c>
      <c r="T2164">
        <v>0</v>
      </c>
      <c r="U2164">
        <v>0</v>
      </c>
      <c r="V2164">
        <v>1</v>
      </c>
      <c r="W2164">
        <v>0</v>
      </c>
      <c r="X2164">
        <v>1</v>
      </c>
      <c r="Y2164">
        <v>0</v>
      </c>
      <c r="Z2164">
        <v>1</v>
      </c>
      <c r="AA2164">
        <v>0</v>
      </c>
      <c r="AB2164">
        <v>0</v>
      </c>
      <c r="AC2164">
        <v>1</v>
      </c>
      <c r="AD2164">
        <v>0</v>
      </c>
      <c r="AE2164">
        <v>1</v>
      </c>
      <c r="AF2164">
        <v>0</v>
      </c>
      <c r="AG2164">
        <v>0</v>
      </c>
    </row>
    <row r="2165" spans="1:33" hidden="1" x14ac:dyDescent="0.2">
      <c r="A2165">
        <v>2164</v>
      </c>
      <c r="B2165" t="s">
        <v>611</v>
      </c>
      <c r="C2165" t="s">
        <v>188</v>
      </c>
      <c r="D2165">
        <v>27</v>
      </c>
      <c r="E2165" t="s">
        <v>114</v>
      </c>
      <c r="F2165" t="s">
        <v>53</v>
      </c>
      <c r="G2165" t="s">
        <v>76</v>
      </c>
      <c r="H2165">
        <v>7478</v>
      </c>
      <c r="I2165">
        <v>1</v>
      </c>
      <c r="J2165">
        <v>1</v>
      </c>
      <c r="K2165">
        <v>1</v>
      </c>
      <c r="L2165">
        <v>0</v>
      </c>
      <c r="M2165" t="s">
        <v>36</v>
      </c>
      <c r="N2165" t="s">
        <v>36</v>
      </c>
      <c r="O2165" t="s">
        <v>36</v>
      </c>
      <c r="P2165" t="s">
        <v>442</v>
      </c>
      <c r="Q2165" t="s">
        <v>36</v>
      </c>
      <c r="R2165" t="s">
        <v>36</v>
      </c>
      <c r="S2165" t="s">
        <v>36</v>
      </c>
      <c r="T2165" t="s">
        <v>36</v>
      </c>
      <c r="U2165">
        <v>0</v>
      </c>
      <c r="V2165">
        <v>1</v>
      </c>
      <c r="W2165">
        <v>0</v>
      </c>
      <c r="X2165">
        <v>1</v>
      </c>
      <c r="Y2165">
        <v>0</v>
      </c>
      <c r="Z2165">
        <v>1</v>
      </c>
      <c r="AA2165">
        <v>0</v>
      </c>
      <c r="AB2165">
        <v>0</v>
      </c>
      <c r="AC2165">
        <v>1</v>
      </c>
      <c r="AD2165">
        <v>0</v>
      </c>
      <c r="AE2165">
        <v>1</v>
      </c>
      <c r="AF2165">
        <v>0</v>
      </c>
      <c r="AG2165">
        <v>0</v>
      </c>
    </row>
    <row r="2166" spans="1:33" x14ac:dyDescent="0.2">
      <c r="A2166">
        <v>2165</v>
      </c>
      <c r="B2166" t="s">
        <v>611</v>
      </c>
      <c r="C2166" t="s">
        <v>188</v>
      </c>
      <c r="D2166">
        <v>27</v>
      </c>
      <c r="E2166" t="s">
        <v>114</v>
      </c>
      <c r="F2166" t="s">
        <v>41</v>
      </c>
      <c r="G2166" t="s">
        <v>55</v>
      </c>
      <c r="H2166">
        <v>4701</v>
      </c>
      <c r="I2166">
        <v>1</v>
      </c>
      <c r="J2166">
        <v>1</v>
      </c>
      <c r="K2166">
        <v>1</v>
      </c>
      <c r="L2166">
        <v>0</v>
      </c>
      <c r="M2166" t="s">
        <v>56</v>
      </c>
      <c r="N2166" t="s">
        <v>57</v>
      </c>
      <c r="O2166" t="s">
        <v>58</v>
      </c>
      <c r="P2166" t="s">
        <v>442</v>
      </c>
      <c r="Q2166" t="s">
        <v>59</v>
      </c>
      <c r="R2166" t="s">
        <v>48</v>
      </c>
      <c r="S2166" t="s">
        <v>60</v>
      </c>
      <c r="T2166">
        <v>1</v>
      </c>
      <c r="U2166">
        <v>0</v>
      </c>
      <c r="V2166">
        <v>1</v>
      </c>
      <c r="W2166">
        <v>0</v>
      </c>
      <c r="X2166">
        <v>0</v>
      </c>
      <c r="Y2166">
        <v>0</v>
      </c>
      <c r="Z2166">
        <v>1</v>
      </c>
      <c r="AA2166">
        <v>1</v>
      </c>
      <c r="AB2166">
        <v>0</v>
      </c>
      <c r="AC2166">
        <v>1</v>
      </c>
      <c r="AD2166">
        <v>0</v>
      </c>
      <c r="AE2166">
        <v>0</v>
      </c>
      <c r="AF2166">
        <v>0</v>
      </c>
      <c r="AG2166">
        <v>0</v>
      </c>
    </row>
    <row r="2167" spans="1:33" x14ac:dyDescent="0.2">
      <c r="A2167">
        <v>2166</v>
      </c>
      <c r="B2167" t="s">
        <v>611</v>
      </c>
      <c r="C2167" t="s">
        <v>188</v>
      </c>
      <c r="D2167">
        <v>27</v>
      </c>
      <c r="E2167" t="s">
        <v>114</v>
      </c>
      <c r="F2167" t="s">
        <v>41</v>
      </c>
      <c r="G2167" t="s">
        <v>72</v>
      </c>
      <c r="H2167">
        <v>7644</v>
      </c>
      <c r="I2167">
        <v>1</v>
      </c>
      <c r="J2167">
        <v>1</v>
      </c>
      <c r="K2167">
        <v>1</v>
      </c>
      <c r="L2167">
        <v>0</v>
      </c>
      <c r="M2167" t="s">
        <v>74</v>
      </c>
      <c r="N2167" t="s">
        <v>75</v>
      </c>
      <c r="O2167" t="s">
        <v>115</v>
      </c>
      <c r="P2167" t="s">
        <v>442</v>
      </c>
      <c r="Q2167" t="s">
        <v>47</v>
      </c>
      <c r="R2167" t="s">
        <v>46</v>
      </c>
      <c r="S2167" t="s">
        <v>65</v>
      </c>
      <c r="T2167">
        <v>0</v>
      </c>
      <c r="U2167">
        <v>1</v>
      </c>
      <c r="V2167">
        <v>0</v>
      </c>
      <c r="W2167">
        <v>1</v>
      </c>
      <c r="X2167">
        <v>1</v>
      </c>
      <c r="Y2167">
        <v>0</v>
      </c>
      <c r="Z2167">
        <v>1</v>
      </c>
      <c r="AA2167">
        <v>0</v>
      </c>
      <c r="AB2167">
        <v>1</v>
      </c>
      <c r="AC2167">
        <v>0</v>
      </c>
      <c r="AD2167">
        <v>1</v>
      </c>
      <c r="AE2167">
        <v>1</v>
      </c>
      <c r="AF2167">
        <v>0</v>
      </c>
      <c r="AG2167">
        <v>0</v>
      </c>
    </row>
    <row r="2168" spans="1:33" hidden="1" x14ac:dyDescent="0.2">
      <c r="A2168">
        <v>2167</v>
      </c>
      <c r="B2168" t="s">
        <v>611</v>
      </c>
      <c r="C2168" t="s">
        <v>188</v>
      </c>
      <c r="D2168">
        <v>27</v>
      </c>
      <c r="E2168" t="s">
        <v>114</v>
      </c>
      <c r="F2168" t="s">
        <v>53</v>
      </c>
      <c r="G2168" t="s">
        <v>66</v>
      </c>
      <c r="H2168">
        <v>50115</v>
      </c>
      <c r="I2168">
        <v>0</v>
      </c>
      <c r="J2168">
        <v>0</v>
      </c>
      <c r="K2168">
        <v>1</v>
      </c>
      <c r="L2168">
        <v>0</v>
      </c>
      <c r="M2168" t="s">
        <v>36</v>
      </c>
      <c r="N2168" t="s">
        <v>36</v>
      </c>
      <c r="O2168" t="s">
        <v>36</v>
      </c>
      <c r="P2168" t="s">
        <v>442</v>
      </c>
      <c r="Q2168" t="s">
        <v>36</v>
      </c>
      <c r="R2168" t="s">
        <v>36</v>
      </c>
      <c r="S2168" t="s">
        <v>36</v>
      </c>
      <c r="T2168" t="s">
        <v>36</v>
      </c>
      <c r="U2168">
        <v>1</v>
      </c>
      <c r="V2168">
        <v>0</v>
      </c>
      <c r="W2168">
        <v>1</v>
      </c>
      <c r="X2168">
        <v>1</v>
      </c>
      <c r="Y2168">
        <v>0</v>
      </c>
      <c r="Z2168">
        <v>1</v>
      </c>
      <c r="AA2168">
        <v>0</v>
      </c>
      <c r="AB2168">
        <v>1</v>
      </c>
      <c r="AC2168">
        <v>0</v>
      </c>
      <c r="AD2168">
        <v>1</v>
      </c>
      <c r="AE2168">
        <v>1</v>
      </c>
      <c r="AF2168">
        <v>0</v>
      </c>
      <c r="AG2168">
        <v>0</v>
      </c>
    </row>
    <row r="2169" spans="1:33" x14ac:dyDescent="0.2">
      <c r="A2169">
        <v>2168</v>
      </c>
      <c r="B2169" t="s">
        <v>611</v>
      </c>
      <c r="C2169" t="s">
        <v>188</v>
      </c>
      <c r="D2169">
        <v>27</v>
      </c>
      <c r="E2169" t="s">
        <v>114</v>
      </c>
      <c r="F2169" t="s">
        <v>41</v>
      </c>
      <c r="G2169" t="s">
        <v>61</v>
      </c>
      <c r="H2169">
        <v>10003</v>
      </c>
      <c r="I2169">
        <v>1</v>
      </c>
      <c r="J2169">
        <v>1</v>
      </c>
      <c r="K2169">
        <v>1</v>
      </c>
      <c r="L2169">
        <v>0</v>
      </c>
      <c r="M2169" t="s">
        <v>62</v>
      </c>
      <c r="N2169" t="s">
        <v>87</v>
      </c>
      <c r="O2169" t="s">
        <v>97</v>
      </c>
      <c r="P2169" t="s">
        <v>442</v>
      </c>
      <c r="Q2169" t="s">
        <v>65</v>
      </c>
      <c r="R2169" t="s">
        <v>47</v>
      </c>
      <c r="S2169" t="s">
        <v>59</v>
      </c>
      <c r="T2169">
        <v>0</v>
      </c>
      <c r="U2169">
        <v>1</v>
      </c>
      <c r="V2169">
        <v>0</v>
      </c>
      <c r="W2169">
        <v>1</v>
      </c>
      <c r="X2169">
        <v>0</v>
      </c>
      <c r="Y2169">
        <v>0</v>
      </c>
      <c r="Z2169">
        <v>1</v>
      </c>
      <c r="AA2169">
        <v>0</v>
      </c>
      <c r="AB2169">
        <v>1</v>
      </c>
      <c r="AC2169">
        <v>0</v>
      </c>
      <c r="AD2169">
        <v>1</v>
      </c>
      <c r="AE2169">
        <v>0</v>
      </c>
      <c r="AF2169">
        <v>0</v>
      </c>
      <c r="AG2169">
        <v>0</v>
      </c>
    </row>
    <row r="2170" spans="1:33" hidden="1" x14ac:dyDescent="0.2">
      <c r="A2170">
        <v>2169</v>
      </c>
      <c r="B2170" t="s">
        <v>611</v>
      </c>
      <c r="C2170" t="s">
        <v>188</v>
      </c>
      <c r="D2170">
        <v>27</v>
      </c>
      <c r="E2170" t="s">
        <v>114</v>
      </c>
      <c r="F2170" t="s">
        <v>53</v>
      </c>
      <c r="G2170" t="s">
        <v>54</v>
      </c>
      <c r="H2170">
        <v>14861</v>
      </c>
      <c r="I2170">
        <v>1</v>
      </c>
      <c r="J2170">
        <v>1</v>
      </c>
      <c r="K2170">
        <v>1</v>
      </c>
      <c r="L2170">
        <v>0</v>
      </c>
      <c r="M2170" t="s">
        <v>36</v>
      </c>
      <c r="N2170" t="s">
        <v>36</v>
      </c>
      <c r="O2170" t="s">
        <v>36</v>
      </c>
      <c r="P2170" t="s">
        <v>442</v>
      </c>
      <c r="Q2170" t="s">
        <v>36</v>
      </c>
      <c r="R2170" t="s">
        <v>36</v>
      </c>
      <c r="S2170" t="s">
        <v>36</v>
      </c>
      <c r="T2170" t="s">
        <v>36</v>
      </c>
      <c r="U2170">
        <v>1</v>
      </c>
      <c r="V2170">
        <v>0</v>
      </c>
      <c r="W2170">
        <v>1</v>
      </c>
      <c r="X2170">
        <v>0</v>
      </c>
      <c r="Y2170">
        <v>0</v>
      </c>
      <c r="Z2170">
        <v>1</v>
      </c>
      <c r="AA2170">
        <v>0</v>
      </c>
      <c r="AB2170">
        <v>1</v>
      </c>
      <c r="AC2170">
        <v>0</v>
      </c>
      <c r="AD2170">
        <v>1</v>
      </c>
      <c r="AE2170">
        <v>0</v>
      </c>
      <c r="AF2170">
        <v>0</v>
      </c>
      <c r="AG2170">
        <v>0</v>
      </c>
    </row>
    <row r="2171" spans="1:33" hidden="1" x14ac:dyDescent="0.2">
      <c r="A2171">
        <v>2170</v>
      </c>
      <c r="B2171" t="s">
        <v>611</v>
      </c>
      <c r="C2171" t="s">
        <v>188</v>
      </c>
      <c r="D2171">
        <v>27</v>
      </c>
      <c r="E2171" t="s">
        <v>114</v>
      </c>
      <c r="F2171" t="s">
        <v>77</v>
      </c>
      <c r="G2171" t="s">
        <v>36</v>
      </c>
      <c r="H2171">
        <v>718260</v>
      </c>
      <c r="I2171" t="s">
        <v>612</v>
      </c>
      <c r="J2171" t="s">
        <v>613</v>
      </c>
      <c r="K2171" t="s">
        <v>190</v>
      </c>
      <c r="L2171" t="s">
        <v>36</v>
      </c>
      <c r="M2171" t="s">
        <v>36</v>
      </c>
      <c r="N2171" t="s">
        <v>36</v>
      </c>
      <c r="O2171" t="s">
        <v>36</v>
      </c>
      <c r="P2171" t="s">
        <v>442</v>
      </c>
      <c r="Q2171" t="s">
        <v>36</v>
      </c>
      <c r="R2171" t="s">
        <v>36</v>
      </c>
      <c r="S2171" t="s">
        <v>36</v>
      </c>
      <c r="T2171" t="s">
        <v>36</v>
      </c>
      <c r="U2171" t="s">
        <v>36</v>
      </c>
      <c r="V2171" t="s">
        <v>36</v>
      </c>
      <c r="W2171" t="s">
        <v>36</v>
      </c>
      <c r="X2171" t="s">
        <v>36</v>
      </c>
      <c r="Y2171" t="s">
        <v>36</v>
      </c>
      <c r="Z2171" t="s">
        <v>36</v>
      </c>
      <c r="AA2171" t="s">
        <v>36</v>
      </c>
      <c r="AB2171" t="s">
        <v>36</v>
      </c>
      <c r="AC2171" t="s">
        <v>36</v>
      </c>
      <c r="AD2171" t="s">
        <v>36</v>
      </c>
      <c r="AE2171" t="s">
        <v>36</v>
      </c>
      <c r="AF2171" t="s">
        <v>36</v>
      </c>
      <c r="AG2171" t="s">
        <v>36</v>
      </c>
    </row>
    <row r="2172" spans="1:33" hidden="1" x14ac:dyDescent="0.2">
      <c r="A2172">
        <v>2171</v>
      </c>
      <c r="B2172" t="s">
        <v>614</v>
      </c>
      <c r="C2172" t="s">
        <v>108</v>
      </c>
      <c r="D2172">
        <v>44</v>
      </c>
      <c r="E2172" t="s">
        <v>114</v>
      </c>
      <c r="F2172" t="s">
        <v>35</v>
      </c>
      <c r="G2172" t="s">
        <v>36</v>
      </c>
      <c r="H2172">
        <v>374020</v>
      </c>
      <c r="I2172" t="s">
        <v>36</v>
      </c>
      <c r="J2172" t="s">
        <v>36</v>
      </c>
      <c r="K2172" t="s">
        <v>36</v>
      </c>
      <c r="L2172" t="s">
        <v>36</v>
      </c>
      <c r="M2172" t="s">
        <v>36</v>
      </c>
      <c r="N2172" t="s">
        <v>36</v>
      </c>
      <c r="O2172" t="s">
        <v>36</v>
      </c>
      <c r="P2172" t="s">
        <v>442</v>
      </c>
      <c r="Q2172" t="s">
        <v>36</v>
      </c>
      <c r="R2172" t="s">
        <v>36</v>
      </c>
      <c r="S2172" t="s">
        <v>36</v>
      </c>
      <c r="T2172" t="s">
        <v>36</v>
      </c>
      <c r="U2172" t="s">
        <v>36</v>
      </c>
      <c r="V2172" t="s">
        <v>36</v>
      </c>
      <c r="W2172" t="s">
        <v>36</v>
      </c>
      <c r="X2172" t="s">
        <v>36</v>
      </c>
      <c r="Y2172" t="s">
        <v>36</v>
      </c>
      <c r="Z2172" t="s">
        <v>36</v>
      </c>
      <c r="AA2172" t="s">
        <v>36</v>
      </c>
      <c r="AB2172" t="s">
        <v>36</v>
      </c>
      <c r="AC2172" t="s">
        <v>36</v>
      </c>
      <c r="AD2172" t="s">
        <v>36</v>
      </c>
      <c r="AE2172" t="s">
        <v>36</v>
      </c>
      <c r="AF2172" t="s">
        <v>36</v>
      </c>
      <c r="AG2172" t="s">
        <v>36</v>
      </c>
    </row>
    <row r="2173" spans="1:33" hidden="1" x14ac:dyDescent="0.2">
      <c r="A2173">
        <v>2172</v>
      </c>
      <c r="B2173" t="s">
        <v>614</v>
      </c>
      <c r="C2173" t="s">
        <v>108</v>
      </c>
      <c r="D2173">
        <v>44</v>
      </c>
      <c r="E2173" t="s">
        <v>114</v>
      </c>
      <c r="F2173" t="s">
        <v>38</v>
      </c>
      <c r="G2173" t="s">
        <v>40</v>
      </c>
      <c r="H2173">
        <v>75695</v>
      </c>
      <c r="I2173">
        <v>0</v>
      </c>
      <c r="J2173">
        <v>0</v>
      </c>
      <c r="K2173">
        <v>1</v>
      </c>
      <c r="L2173">
        <v>0</v>
      </c>
      <c r="M2173" t="s">
        <v>36</v>
      </c>
      <c r="N2173" t="s">
        <v>36</v>
      </c>
      <c r="O2173" t="s">
        <v>36</v>
      </c>
      <c r="P2173" t="s">
        <v>442</v>
      </c>
      <c r="Q2173" t="s">
        <v>36</v>
      </c>
      <c r="R2173" t="s">
        <v>36</v>
      </c>
      <c r="S2173" t="s">
        <v>36</v>
      </c>
      <c r="T2173" t="s">
        <v>36</v>
      </c>
      <c r="U2173" t="s">
        <v>36</v>
      </c>
      <c r="V2173" t="s">
        <v>36</v>
      </c>
      <c r="W2173" t="s">
        <v>36</v>
      </c>
      <c r="X2173" t="s">
        <v>36</v>
      </c>
      <c r="Y2173" t="s">
        <v>36</v>
      </c>
      <c r="Z2173" t="s">
        <v>36</v>
      </c>
      <c r="AA2173" t="s">
        <v>36</v>
      </c>
      <c r="AB2173" t="s">
        <v>36</v>
      </c>
      <c r="AC2173" t="s">
        <v>36</v>
      </c>
      <c r="AD2173" t="s">
        <v>36</v>
      </c>
      <c r="AE2173" t="s">
        <v>36</v>
      </c>
      <c r="AF2173" t="s">
        <v>36</v>
      </c>
      <c r="AG2173" t="s">
        <v>36</v>
      </c>
    </row>
    <row r="2174" spans="1:33" hidden="1" x14ac:dyDescent="0.2">
      <c r="A2174">
        <v>2173</v>
      </c>
      <c r="B2174" t="s">
        <v>614</v>
      </c>
      <c r="C2174" t="s">
        <v>108</v>
      </c>
      <c r="D2174">
        <v>44</v>
      </c>
      <c r="E2174" t="s">
        <v>114</v>
      </c>
      <c r="F2174" t="s">
        <v>38</v>
      </c>
      <c r="G2174" t="s">
        <v>39</v>
      </c>
      <c r="H2174">
        <v>77304</v>
      </c>
      <c r="I2174">
        <v>0</v>
      </c>
      <c r="J2174">
        <v>0</v>
      </c>
      <c r="K2174">
        <v>0</v>
      </c>
      <c r="L2174">
        <v>1</v>
      </c>
      <c r="M2174" t="s">
        <v>36</v>
      </c>
      <c r="N2174" t="s">
        <v>36</v>
      </c>
      <c r="O2174" t="s">
        <v>36</v>
      </c>
      <c r="P2174" t="s">
        <v>442</v>
      </c>
      <c r="Q2174" t="s">
        <v>36</v>
      </c>
      <c r="R2174" t="s">
        <v>36</v>
      </c>
      <c r="S2174" t="s">
        <v>36</v>
      </c>
      <c r="T2174" t="s">
        <v>36</v>
      </c>
      <c r="U2174" t="s">
        <v>36</v>
      </c>
      <c r="V2174" t="s">
        <v>36</v>
      </c>
      <c r="W2174" t="s">
        <v>36</v>
      </c>
      <c r="X2174" t="s">
        <v>36</v>
      </c>
      <c r="Y2174" t="s">
        <v>36</v>
      </c>
      <c r="Z2174" t="s">
        <v>36</v>
      </c>
      <c r="AA2174" t="s">
        <v>36</v>
      </c>
      <c r="AB2174" t="s">
        <v>36</v>
      </c>
      <c r="AC2174" t="s">
        <v>36</v>
      </c>
      <c r="AD2174" t="s">
        <v>36</v>
      </c>
      <c r="AE2174" t="s">
        <v>36</v>
      </c>
      <c r="AF2174" t="s">
        <v>36</v>
      </c>
      <c r="AG2174" t="s">
        <v>36</v>
      </c>
    </row>
    <row r="2175" spans="1:33" x14ac:dyDescent="0.2">
      <c r="A2175">
        <v>2174</v>
      </c>
      <c r="B2175" t="s">
        <v>614</v>
      </c>
      <c r="C2175" t="s">
        <v>108</v>
      </c>
      <c r="D2175">
        <v>44</v>
      </c>
      <c r="E2175" t="s">
        <v>114</v>
      </c>
      <c r="F2175" t="s">
        <v>41</v>
      </c>
      <c r="G2175" t="s">
        <v>42</v>
      </c>
      <c r="H2175">
        <v>76268</v>
      </c>
      <c r="I2175">
        <v>0</v>
      </c>
      <c r="J2175">
        <v>0</v>
      </c>
      <c r="K2175">
        <v>0</v>
      </c>
      <c r="L2175">
        <v>1</v>
      </c>
      <c r="M2175" t="s">
        <v>82</v>
      </c>
      <c r="N2175" t="s">
        <v>116</v>
      </c>
      <c r="O2175" t="s">
        <v>43</v>
      </c>
      <c r="P2175" t="s">
        <v>442</v>
      </c>
      <c r="Q2175" t="s">
        <v>65</v>
      </c>
      <c r="R2175" t="s">
        <v>60</v>
      </c>
      <c r="S2175" t="s">
        <v>46</v>
      </c>
      <c r="T2175">
        <v>1</v>
      </c>
      <c r="U2175">
        <v>1</v>
      </c>
      <c r="V2175">
        <v>0</v>
      </c>
      <c r="W2175">
        <v>0</v>
      </c>
      <c r="X2175">
        <v>1</v>
      </c>
      <c r="Y2175">
        <v>0</v>
      </c>
      <c r="Z2175">
        <v>1</v>
      </c>
      <c r="AA2175">
        <v>0</v>
      </c>
      <c r="AB2175">
        <v>0</v>
      </c>
      <c r="AC2175">
        <v>0</v>
      </c>
      <c r="AD2175">
        <v>0</v>
      </c>
      <c r="AE2175">
        <v>0</v>
      </c>
      <c r="AF2175">
        <v>0</v>
      </c>
      <c r="AG2175">
        <v>1</v>
      </c>
    </row>
    <row r="2176" spans="1:33" x14ac:dyDescent="0.2">
      <c r="A2176">
        <v>2175</v>
      </c>
      <c r="B2176" t="s">
        <v>614</v>
      </c>
      <c r="C2176" t="s">
        <v>108</v>
      </c>
      <c r="D2176">
        <v>44</v>
      </c>
      <c r="E2176" t="s">
        <v>114</v>
      </c>
      <c r="F2176" t="s">
        <v>41</v>
      </c>
      <c r="G2176" t="s">
        <v>49</v>
      </c>
      <c r="H2176">
        <v>102929</v>
      </c>
      <c r="I2176">
        <v>1</v>
      </c>
      <c r="J2176">
        <v>1</v>
      </c>
      <c r="K2176">
        <v>1</v>
      </c>
      <c r="L2176">
        <v>0</v>
      </c>
      <c r="M2176" t="s">
        <v>52</v>
      </c>
      <c r="N2176" t="s">
        <v>96</v>
      </c>
      <c r="O2176" t="s">
        <v>50</v>
      </c>
      <c r="P2176" t="s">
        <v>442</v>
      </c>
      <c r="Q2176" t="s">
        <v>46</v>
      </c>
      <c r="R2176" t="s">
        <v>65</v>
      </c>
      <c r="S2176" t="s">
        <v>48</v>
      </c>
      <c r="T2176">
        <v>0</v>
      </c>
      <c r="U2176">
        <v>1</v>
      </c>
      <c r="V2176">
        <v>1</v>
      </c>
      <c r="W2176">
        <v>0</v>
      </c>
      <c r="X2176">
        <v>1</v>
      </c>
      <c r="Y2176">
        <v>0</v>
      </c>
      <c r="Z2176">
        <v>1</v>
      </c>
      <c r="AA2176">
        <v>0</v>
      </c>
      <c r="AB2176">
        <v>1</v>
      </c>
      <c r="AC2176">
        <v>1</v>
      </c>
      <c r="AD2176">
        <v>0</v>
      </c>
      <c r="AE2176">
        <v>1</v>
      </c>
      <c r="AF2176">
        <v>0</v>
      </c>
      <c r="AG2176">
        <v>0</v>
      </c>
    </row>
    <row r="2177" spans="1:33" hidden="1" x14ac:dyDescent="0.2">
      <c r="A2177">
        <v>2176</v>
      </c>
      <c r="B2177" t="s">
        <v>614</v>
      </c>
      <c r="C2177" t="s">
        <v>108</v>
      </c>
      <c r="D2177">
        <v>44</v>
      </c>
      <c r="E2177" t="s">
        <v>114</v>
      </c>
      <c r="F2177" t="s">
        <v>53</v>
      </c>
      <c r="G2177" t="s">
        <v>66</v>
      </c>
      <c r="H2177">
        <v>63094</v>
      </c>
      <c r="I2177">
        <v>1</v>
      </c>
      <c r="J2177">
        <v>1</v>
      </c>
      <c r="K2177">
        <v>0</v>
      </c>
      <c r="L2177">
        <v>0</v>
      </c>
      <c r="M2177" t="s">
        <v>36</v>
      </c>
      <c r="N2177" t="s">
        <v>36</v>
      </c>
      <c r="O2177" t="s">
        <v>36</v>
      </c>
      <c r="P2177" t="s">
        <v>442</v>
      </c>
      <c r="Q2177" t="s">
        <v>36</v>
      </c>
      <c r="R2177" t="s">
        <v>36</v>
      </c>
      <c r="S2177" t="s">
        <v>36</v>
      </c>
      <c r="T2177" t="s">
        <v>36</v>
      </c>
      <c r="U2177">
        <v>1</v>
      </c>
      <c r="V2177">
        <v>1</v>
      </c>
      <c r="W2177">
        <v>0</v>
      </c>
      <c r="X2177">
        <v>1</v>
      </c>
      <c r="Y2177">
        <v>0</v>
      </c>
      <c r="Z2177">
        <v>1</v>
      </c>
      <c r="AA2177">
        <v>0</v>
      </c>
      <c r="AB2177">
        <v>1</v>
      </c>
      <c r="AC2177">
        <v>1</v>
      </c>
      <c r="AD2177">
        <v>0</v>
      </c>
      <c r="AE2177">
        <v>1</v>
      </c>
      <c r="AF2177">
        <v>0</v>
      </c>
      <c r="AG2177">
        <v>0</v>
      </c>
    </row>
    <row r="2178" spans="1:33" x14ac:dyDescent="0.2">
      <c r="A2178">
        <v>2177</v>
      </c>
      <c r="B2178" t="s">
        <v>614</v>
      </c>
      <c r="C2178" t="s">
        <v>108</v>
      </c>
      <c r="D2178">
        <v>44</v>
      </c>
      <c r="E2178" t="s">
        <v>114</v>
      </c>
      <c r="F2178" t="s">
        <v>41</v>
      </c>
      <c r="G2178" t="s">
        <v>55</v>
      </c>
      <c r="H2178">
        <v>50070</v>
      </c>
      <c r="I2178">
        <v>1</v>
      </c>
      <c r="J2178">
        <v>1</v>
      </c>
      <c r="K2178">
        <v>1</v>
      </c>
      <c r="L2178">
        <v>0</v>
      </c>
      <c r="M2178" t="s">
        <v>85</v>
      </c>
      <c r="N2178" t="s">
        <v>94</v>
      </c>
      <c r="O2178" t="s">
        <v>84</v>
      </c>
      <c r="P2178" t="s">
        <v>442</v>
      </c>
      <c r="Q2178" t="s">
        <v>65</v>
      </c>
      <c r="R2178" t="s">
        <v>47</v>
      </c>
      <c r="S2178" t="s">
        <v>46</v>
      </c>
      <c r="T2178">
        <v>0</v>
      </c>
      <c r="U2178">
        <v>1</v>
      </c>
      <c r="V2178">
        <v>0</v>
      </c>
      <c r="W2178">
        <v>1</v>
      </c>
      <c r="X2178">
        <v>1</v>
      </c>
      <c r="Y2178">
        <v>0</v>
      </c>
      <c r="Z2178">
        <v>1</v>
      </c>
      <c r="AA2178">
        <v>0</v>
      </c>
      <c r="AB2178">
        <v>1</v>
      </c>
      <c r="AC2178">
        <v>0</v>
      </c>
      <c r="AD2178">
        <v>1</v>
      </c>
      <c r="AE2178">
        <v>1</v>
      </c>
      <c r="AF2178">
        <v>0</v>
      </c>
      <c r="AG2178">
        <v>0</v>
      </c>
    </row>
    <row r="2179" spans="1:33" x14ac:dyDescent="0.2">
      <c r="A2179">
        <v>2178</v>
      </c>
      <c r="B2179" t="s">
        <v>614</v>
      </c>
      <c r="C2179" t="s">
        <v>108</v>
      </c>
      <c r="D2179">
        <v>44</v>
      </c>
      <c r="E2179" t="s">
        <v>114</v>
      </c>
      <c r="F2179" t="s">
        <v>41</v>
      </c>
      <c r="G2179" t="s">
        <v>61</v>
      </c>
      <c r="H2179">
        <v>78915</v>
      </c>
      <c r="I2179">
        <v>0</v>
      </c>
      <c r="J2179">
        <v>1</v>
      </c>
      <c r="K2179">
        <v>0</v>
      </c>
      <c r="L2179">
        <v>0</v>
      </c>
      <c r="M2179" t="s">
        <v>64</v>
      </c>
      <c r="N2179" t="s">
        <v>87</v>
      </c>
      <c r="O2179" t="s">
        <v>63</v>
      </c>
      <c r="P2179" t="s">
        <v>442</v>
      </c>
      <c r="Q2179" t="s">
        <v>48</v>
      </c>
      <c r="R2179" t="s">
        <v>47</v>
      </c>
      <c r="S2179" t="s">
        <v>46</v>
      </c>
      <c r="T2179">
        <v>0</v>
      </c>
      <c r="U2179">
        <v>0</v>
      </c>
      <c r="V2179">
        <v>1</v>
      </c>
      <c r="W2179">
        <v>1</v>
      </c>
      <c r="X2179">
        <v>1</v>
      </c>
      <c r="Y2179">
        <v>0</v>
      </c>
      <c r="Z2179">
        <v>1</v>
      </c>
      <c r="AA2179">
        <v>0</v>
      </c>
      <c r="AB2179">
        <v>0</v>
      </c>
      <c r="AC2179">
        <v>0</v>
      </c>
      <c r="AD2179">
        <v>1</v>
      </c>
      <c r="AE2179">
        <v>0</v>
      </c>
      <c r="AF2179">
        <v>0</v>
      </c>
      <c r="AG2179">
        <v>0</v>
      </c>
    </row>
    <row r="2180" spans="1:33" hidden="1" x14ac:dyDescent="0.2">
      <c r="A2180">
        <v>2179</v>
      </c>
      <c r="B2180" t="s">
        <v>614</v>
      </c>
      <c r="C2180" t="s">
        <v>108</v>
      </c>
      <c r="D2180">
        <v>44</v>
      </c>
      <c r="E2180" t="s">
        <v>114</v>
      </c>
      <c r="F2180" t="s">
        <v>53</v>
      </c>
      <c r="G2180" t="s">
        <v>76</v>
      </c>
      <c r="H2180">
        <v>54215</v>
      </c>
      <c r="I2180">
        <v>1</v>
      </c>
      <c r="J2180">
        <v>1</v>
      </c>
      <c r="K2180">
        <v>0</v>
      </c>
      <c r="L2180">
        <v>0</v>
      </c>
      <c r="M2180" t="s">
        <v>36</v>
      </c>
      <c r="N2180" t="s">
        <v>36</v>
      </c>
      <c r="O2180" t="s">
        <v>36</v>
      </c>
      <c r="P2180" t="s">
        <v>442</v>
      </c>
      <c r="Q2180" t="s">
        <v>36</v>
      </c>
      <c r="R2180" t="s">
        <v>36</v>
      </c>
      <c r="S2180" t="s">
        <v>36</v>
      </c>
      <c r="T2180" t="s">
        <v>36</v>
      </c>
      <c r="U2180">
        <v>0</v>
      </c>
      <c r="V2180">
        <v>1</v>
      </c>
      <c r="W2180">
        <v>1</v>
      </c>
      <c r="X2180">
        <v>1</v>
      </c>
      <c r="Y2180">
        <v>0</v>
      </c>
      <c r="Z2180">
        <v>1</v>
      </c>
      <c r="AA2180">
        <v>0</v>
      </c>
      <c r="AB2180">
        <v>0</v>
      </c>
      <c r="AC2180">
        <v>0</v>
      </c>
      <c r="AD2180">
        <v>1</v>
      </c>
      <c r="AE2180">
        <v>0</v>
      </c>
      <c r="AF2180">
        <v>0</v>
      </c>
      <c r="AG2180">
        <v>0</v>
      </c>
    </row>
    <row r="2181" spans="1:33" x14ac:dyDescent="0.2">
      <c r="A2181">
        <v>2180</v>
      </c>
      <c r="B2181" t="s">
        <v>614</v>
      </c>
      <c r="C2181" t="s">
        <v>108</v>
      </c>
      <c r="D2181">
        <v>44</v>
      </c>
      <c r="E2181" t="s">
        <v>114</v>
      </c>
      <c r="F2181" t="s">
        <v>41</v>
      </c>
      <c r="G2181" t="s">
        <v>67</v>
      </c>
      <c r="H2181">
        <v>63412</v>
      </c>
      <c r="I2181">
        <v>1</v>
      </c>
      <c r="J2181">
        <v>0</v>
      </c>
      <c r="K2181">
        <v>0</v>
      </c>
      <c r="L2181">
        <v>0</v>
      </c>
      <c r="M2181" t="s">
        <v>109</v>
      </c>
      <c r="N2181" t="s">
        <v>69</v>
      </c>
      <c r="O2181" t="s">
        <v>68</v>
      </c>
      <c r="P2181" t="s">
        <v>442</v>
      </c>
      <c r="Q2181" t="s">
        <v>59</v>
      </c>
      <c r="R2181" t="s">
        <v>48</v>
      </c>
      <c r="S2181" t="s">
        <v>65</v>
      </c>
      <c r="T2181">
        <v>0</v>
      </c>
      <c r="U2181">
        <v>1</v>
      </c>
      <c r="V2181">
        <v>1</v>
      </c>
      <c r="W2181">
        <v>0</v>
      </c>
      <c r="X2181">
        <v>0</v>
      </c>
      <c r="Y2181">
        <v>0</v>
      </c>
      <c r="Z2181">
        <v>1</v>
      </c>
      <c r="AA2181">
        <v>0</v>
      </c>
      <c r="AB2181">
        <v>0</v>
      </c>
      <c r="AC2181">
        <v>0</v>
      </c>
      <c r="AD2181">
        <v>0</v>
      </c>
      <c r="AE2181">
        <v>0</v>
      </c>
      <c r="AF2181">
        <v>0</v>
      </c>
      <c r="AG2181">
        <v>0</v>
      </c>
    </row>
    <row r="2182" spans="1:33" hidden="1" x14ac:dyDescent="0.2">
      <c r="A2182">
        <v>2181</v>
      </c>
      <c r="B2182" t="s">
        <v>614</v>
      </c>
      <c r="C2182" t="s">
        <v>108</v>
      </c>
      <c r="D2182">
        <v>44</v>
      </c>
      <c r="E2182" t="s">
        <v>114</v>
      </c>
      <c r="F2182" t="s">
        <v>53</v>
      </c>
      <c r="G2182" t="s">
        <v>71</v>
      </c>
      <c r="H2182">
        <v>80472</v>
      </c>
      <c r="I2182">
        <v>1</v>
      </c>
      <c r="J2182">
        <v>1</v>
      </c>
      <c r="K2182">
        <v>1</v>
      </c>
      <c r="L2182">
        <v>0</v>
      </c>
      <c r="M2182" t="s">
        <v>36</v>
      </c>
      <c r="N2182" t="s">
        <v>36</v>
      </c>
      <c r="O2182" t="s">
        <v>36</v>
      </c>
      <c r="P2182" t="s">
        <v>442</v>
      </c>
      <c r="Q2182" t="s">
        <v>36</v>
      </c>
      <c r="R2182" t="s">
        <v>36</v>
      </c>
      <c r="S2182" t="s">
        <v>36</v>
      </c>
      <c r="T2182" t="s">
        <v>36</v>
      </c>
      <c r="U2182">
        <v>1</v>
      </c>
      <c r="V2182">
        <v>1</v>
      </c>
      <c r="W2182">
        <v>0</v>
      </c>
      <c r="X2182">
        <v>0</v>
      </c>
      <c r="Y2182">
        <v>0</v>
      </c>
      <c r="Z2182">
        <v>1</v>
      </c>
      <c r="AA2182">
        <v>0</v>
      </c>
      <c r="AB2182">
        <v>0</v>
      </c>
      <c r="AC2182">
        <v>0</v>
      </c>
      <c r="AD2182">
        <v>0</v>
      </c>
      <c r="AE2182">
        <v>0</v>
      </c>
      <c r="AF2182">
        <v>0</v>
      </c>
      <c r="AG2182">
        <v>0</v>
      </c>
    </row>
    <row r="2183" spans="1:33" x14ac:dyDescent="0.2">
      <c r="A2183">
        <v>2182</v>
      </c>
      <c r="B2183" t="s">
        <v>614</v>
      </c>
      <c r="C2183" t="s">
        <v>108</v>
      </c>
      <c r="D2183">
        <v>44</v>
      </c>
      <c r="E2183" t="s">
        <v>114</v>
      </c>
      <c r="F2183" t="s">
        <v>41</v>
      </c>
      <c r="G2183" t="s">
        <v>72</v>
      </c>
      <c r="H2183">
        <v>41082</v>
      </c>
      <c r="I2183">
        <v>1</v>
      </c>
      <c r="J2183">
        <v>1</v>
      </c>
      <c r="K2183">
        <v>1</v>
      </c>
      <c r="L2183">
        <v>0</v>
      </c>
      <c r="M2183" t="s">
        <v>75</v>
      </c>
      <c r="N2183" t="s">
        <v>115</v>
      </c>
      <c r="O2183" t="s">
        <v>74</v>
      </c>
      <c r="P2183" t="s">
        <v>442</v>
      </c>
      <c r="Q2183" t="s">
        <v>46</v>
      </c>
      <c r="R2183" t="s">
        <v>65</v>
      </c>
      <c r="S2183" t="s">
        <v>47</v>
      </c>
      <c r="T2183">
        <v>0</v>
      </c>
      <c r="U2183">
        <v>1</v>
      </c>
      <c r="V2183">
        <v>0</v>
      </c>
      <c r="W2183">
        <v>1</v>
      </c>
      <c r="X2183">
        <v>1</v>
      </c>
      <c r="Y2183">
        <v>0</v>
      </c>
      <c r="Z2183">
        <v>1</v>
      </c>
      <c r="AA2183">
        <v>0</v>
      </c>
      <c r="AB2183">
        <v>1</v>
      </c>
      <c r="AC2183">
        <v>0</v>
      </c>
      <c r="AD2183">
        <v>1</v>
      </c>
      <c r="AE2183">
        <v>1</v>
      </c>
      <c r="AF2183">
        <v>0</v>
      </c>
      <c r="AG2183">
        <v>0</v>
      </c>
    </row>
    <row r="2184" spans="1:33" hidden="1" x14ac:dyDescent="0.2">
      <c r="A2184">
        <v>2183</v>
      </c>
      <c r="B2184" t="s">
        <v>614</v>
      </c>
      <c r="C2184" t="s">
        <v>108</v>
      </c>
      <c r="D2184">
        <v>44</v>
      </c>
      <c r="E2184" t="s">
        <v>114</v>
      </c>
      <c r="F2184" t="s">
        <v>53</v>
      </c>
      <c r="G2184" t="s">
        <v>54</v>
      </c>
      <c r="H2184">
        <v>54147</v>
      </c>
      <c r="I2184">
        <v>0</v>
      </c>
      <c r="J2184">
        <v>0</v>
      </c>
      <c r="K2184">
        <v>1</v>
      </c>
      <c r="L2184">
        <v>0</v>
      </c>
      <c r="M2184" t="s">
        <v>36</v>
      </c>
      <c r="N2184" t="s">
        <v>36</v>
      </c>
      <c r="O2184" t="s">
        <v>36</v>
      </c>
      <c r="P2184" t="s">
        <v>442</v>
      </c>
      <c r="Q2184" t="s">
        <v>36</v>
      </c>
      <c r="R2184" t="s">
        <v>36</v>
      </c>
      <c r="S2184" t="s">
        <v>36</v>
      </c>
      <c r="T2184" t="s">
        <v>36</v>
      </c>
      <c r="U2184">
        <v>1</v>
      </c>
      <c r="V2184">
        <v>0</v>
      </c>
      <c r="W2184">
        <v>1</v>
      </c>
      <c r="X2184">
        <v>1</v>
      </c>
      <c r="Y2184">
        <v>0</v>
      </c>
      <c r="Z2184">
        <v>1</v>
      </c>
      <c r="AA2184">
        <v>0</v>
      </c>
      <c r="AB2184">
        <v>1</v>
      </c>
      <c r="AC2184">
        <v>0</v>
      </c>
      <c r="AD2184">
        <v>1</v>
      </c>
      <c r="AE2184">
        <v>1</v>
      </c>
      <c r="AF2184">
        <v>0</v>
      </c>
      <c r="AG2184">
        <v>0</v>
      </c>
    </row>
    <row r="2185" spans="1:33" hidden="1" x14ac:dyDescent="0.2">
      <c r="A2185">
        <v>2184</v>
      </c>
      <c r="B2185" t="s">
        <v>614</v>
      </c>
      <c r="C2185" t="s">
        <v>108</v>
      </c>
      <c r="D2185">
        <v>44</v>
      </c>
      <c r="E2185" t="s">
        <v>114</v>
      </c>
      <c r="F2185" t="s">
        <v>77</v>
      </c>
      <c r="G2185" t="s">
        <v>36</v>
      </c>
      <c r="H2185">
        <v>207734</v>
      </c>
      <c r="I2185" t="s">
        <v>615</v>
      </c>
      <c r="J2185" t="s">
        <v>616</v>
      </c>
      <c r="K2185" t="s">
        <v>112</v>
      </c>
      <c r="L2185" t="s">
        <v>36</v>
      </c>
      <c r="M2185" t="s">
        <v>36</v>
      </c>
      <c r="N2185" t="s">
        <v>36</v>
      </c>
      <c r="O2185" t="s">
        <v>36</v>
      </c>
      <c r="P2185" t="s">
        <v>442</v>
      </c>
      <c r="Q2185" t="s">
        <v>36</v>
      </c>
      <c r="R2185" t="s">
        <v>36</v>
      </c>
      <c r="S2185" t="s">
        <v>36</v>
      </c>
      <c r="T2185" t="s">
        <v>36</v>
      </c>
      <c r="U2185" t="s">
        <v>36</v>
      </c>
      <c r="V2185" t="s">
        <v>36</v>
      </c>
      <c r="W2185" t="s">
        <v>36</v>
      </c>
      <c r="X2185" t="s">
        <v>36</v>
      </c>
      <c r="Y2185" t="s">
        <v>36</v>
      </c>
      <c r="Z2185" t="s">
        <v>36</v>
      </c>
      <c r="AA2185" t="s">
        <v>36</v>
      </c>
      <c r="AB2185" t="s">
        <v>36</v>
      </c>
      <c r="AC2185" t="s">
        <v>36</v>
      </c>
      <c r="AD2185" t="s">
        <v>36</v>
      </c>
      <c r="AE2185" t="s">
        <v>36</v>
      </c>
      <c r="AF2185" t="s">
        <v>36</v>
      </c>
      <c r="AG2185" t="s">
        <v>36</v>
      </c>
    </row>
    <row r="2186" spans="1:33" hidden="1" x14ac:dyDescent="0.2">
      <c r="A2186">
        <v>2185</v>
      </c>
      <c r="B2186" t="s">
        <v>617</v>
      </c>
      <c r="C2186" t="s">
        <v>33</v>
      </c>
      <c r="D2186">
        <v>34</v>
      </c>
      <c r="E2186" t="s">
        <v>34</v>
      </c>
      <c r="F2186" t="s">
        <v>35</v>
      </c>
      <c r="G2186" t="s">
        <v>36</v>
      </c>
      <c r="H2186">
        <v>45323</v>
      </c>
      <c r="I2186" t="s">
        <v>36</v>
      </c>
      <c r="J2186" t="s">
        <v>36</v>
      </c>
      <c r="K2186" t="s">
        <v>36</v>
      </c>
      <c r="L2186" t="s">
        <v>36</v>
      </c>
      <c r="M2186" t="s">
        <v>36</v>
      </c>
      <c r="N2186" t="s">
        <v>36</v>
      </c>
      <c r="O2186" t="s">
        <v>36</v>
      </c>
      <c r="P2186" t="s">
        <v>442</v>
      </c>
      <c r="Q2186" t="s">
        <v>36</v>
      </c>
      <c r="R2186" t="s">
        <v>36</v>
      </c>
      <c r="S2186" t="s">
        <v>36</v>
      </c>
      <c r="T2186" t="s">
        <v>36</v>
      </c>
      <c r="U2186" t="s">
        <v>36</v>
      </c>
      <c r="V2186" t="s">
        <v>36</v>
      </c>
      <c r="W2186" t="s">
        <v>36</v>
      </c>
      <c r="X2186" t="s">
        <v>36</v>
      </c>
      <c r="Y2186" t="s">
        <v>36</v>
      </c>
      <c r="Z2186" t="s">
        <v>36</v>
      </c>
      <c r="AA2186" t="s">
        <v>36</v>
      </c>
      <c r="AB2186" t="s">
        <v>36</v>
      </c>
      <c r="AC2186" t="s">
        <v>36</v>
      </c>
      <c r="AD2186" t="s">
        <v>36</v>
      </c>
      <c r="AE2186" t="s">
        <v>36</v>
      </c>
      <c r="AF2186" t="s">
        <v>36</v>
      </c>
      <c r="AG2186" t="s">
        <v>36</v>
      </c>
    </row>
    <row r="2187" spans="1:33" hidden="1" x14ac:dyDescent="0.2">
      <c r="A2187">
        <v>2186</v>
      </c>
      <c r="B2187" t="s">
        <v>617</v>
      </c>
      <c r="C2187" t="s">
        <v>33</v>
      </c>
      <c r="D2187">
        <v>34</v>
      </c>
      <c r="E2187" t="s">
        <v>34</v>
      </c>
      <c r="F2187" t="s">
        <v>38</v>
      </c>
      <c r="G2187" t="s">
        <v>40</v>
      </c>
      <c r="H2187">
        <v>113563</v>
      </c>
      <c r="I2187">
        <v>0</v>
      </c>
      <c r="J2187">
        <v>0</v>
      </c>
      <c r="K2187">
        <v>1</v>
      </c>
      <c r="L2187">
        <v>0</v>
      </c>
      <c r="M2187" t="s">
        <v>36</v>
      </c>
      <c r="N2187" t="s">
        <v>36</v>
      </c>
      <c r="O2187" t="s">
        <v>36</v>
      </c>
      <c r="P2187" t="s">
        <v>442</v>
      </c>
      <c r="Q2187" t="s">
        <v>36</v>
      </c>
      <c r="R2187" t="s">
        <v>36</v>
      </c>
      <c r="S2187" t="s">
        <v>36</v>
      </c>
      <c r="T2187" t="s">
        <v>36</v>
      </c>
      <c r="U2187" t="s">
        <v>36</v>
      </c>
      <c r="V2187" t="s">
        <v>36</v>
      </c>
      <c r="W2187" t="s">
        <v>36</v>
      </c>
      <c r="X2187" t="s">
        <v>36</v>
      </c>
      <c r="Y2187" t="s">
        <v>36</v>
      </c>
      <c r="Z2187" t="s">
        <v>36</v>
      </c>
      <c r="AA2187" t="s">
        <v>36</v>
      </c>
      <c r="AB2187" t="s">
        <v>36</v>
      </c>
      <c r="AC2187" t="s">
        <v>36</v>
      </c>
      <c r="AD2187" t="s">
        <v>36</v>
      </c>
      <c r="AE2187" t="s">
        <v>36</v>
      </c>
      <c r="AF2187" t="s">
        <v>36</v>
      </c>
      <c r="AG2187" t="s">
        <v>36</v>
      </c>
    </row>
    <row r="2188" spans="1:33" hidden="1" x14ac:dyDescent="0.2">
      <c r="A2188">
        <v>2187</v>
      </c>
      <c r="B2188" t="s">
        <v>617</v>
      </c>
      <c r="C2188" t="s">
        <v>33</v>
      </c>
      <c r="D2188">
        <v>34</v>
      </c>
      <c r="E2188" t="s">
        <v>34</v>
      </c>
      <c r="F2188" t="s">
        <v>38</v>
      </c>
      <c r="G2188" t="s">
        <v>39</v>
      </c>
      <c r="H2188">
        <v>43679</v>
      </c>
      <c r="I2188">
        <v>0</v>
      </c>
      <c r="J2188">
        <v>0</v>
      </c>
      <c r="K2188">
        <v>0</v>
      </c>
      <c r="L2188">
        <v>1</v>
      </c>
      <c r="M2188" t="s">
        <v>36</v>
      </c>
      <c r="N2188" t="s">
        <v>36</v>
      </c>
      <c r="O2188" t="s">
        <v>36</v>
      </c>
      <c r="P2188" t="s">
        <v>442</v>
      </c>
      <c r="Q2188" t="s">
        <v>36</v>
      </c>
      <c r="R2188" t="s">
        <v>36</v>
      </c>
      <c r="S2188" t="s">
        <v>36</v>
      </c>
      <c r="T2188" t="s">
        <v>36</v>
      </c>
      <c r="U2188" t="s">
        <v>36</v>
      </c>
      <c r="V2188" t="s">
        <v>36</v>
      </c>
      <c r="W2188" t="s">
        <v>36</v>
      </c>
      <c r="X2188" t="s">
        <v>36</v>
      </c>
      <c r="Y2188" t="s">
        <v>36</v>
      </c>
      <c r="Z2188" t="s">
        <v>36</v>
      </c>
      <c r="AA2188" t="s">
        <v>36</v>
      </c>
      <c r="AB2188" t="s">
        <v>36</v>
      </c>
      <c r="AC2188" t="s">
        <v>36</v>
      </c>
      <c r="AD2188" t="s">
        <v>36</v>
      </c>
      <c r="AE2188" t="s">
        <v>36</v>
      </c>
      <c r="AF2188" t="s">
        <v>36</v>
      </c>
      <c r="AG2188" t="s">
        <v>36</v>
      </c>
    </row>
    <row r="2189" spans="1:33" x14ac:dyDescent="0.2">
      <c r="A2189">
        <v>2188</v>
      </c>
      <c r="B2189" t="s">
        <v>617</v>
      </c>
      <c r="C2189" t="s">
        <v>33</v>
      </c>
      <c r="D2189">
        <v>34</v>
      </c>
      <c r="E2189" t="s">
        <v>34</v>
      </c>
      <c r="F2189" t="s">
        <v>41</v>
      </c>
      <c r="G2189" t="s">
        <v>67</v>
      </c>
      <c r="H2189">
        <v>76122</v>
      </c>
      <c r="I2189">
        <v>0</v>
      </c>
      <c r="J2189">
        <v>1</v>
      </c>
      <c r="K2189">
        <v>0</v>
      </c>
      <c r="L2189">
        <v>0</v>
      </c>
      <c r="M2189" t="s">
        <v>70</v>
      </c>
      <c r="N2189" t="s">
        <v>103</v>
      </c>
      <c r="O2189" t="s">
        <v>69</v>
      </c>
      <c r="P2189" t="s">
        <v>442</v>
      </c>
      <c r="Q2189" t="s">
        <v>47</v>
      </c>
      <c r="R2189" t="s">
        <v>60</v>
      </c>
      <c r="S2189" t="s">
        <v>48</v>
      </c>
      <c r="T2189">
        <v>1</v>
      </c>
      <c r="U2189">
        <v>0</v>
      </c>
      <c r="V2189">
        <v>1</v>
      </c>
      <c r="W2189">
        <v>1</v>
      </c>
      <c r="X2189">
        <v>0</v>
      </c>
      <c r="Y2189">
        <v>0</v>
      </c>
      <c r="Z2189">
        <v>1</v>
      </c>
      <c r="AA2189">
        <v>1</v>
      </c>
      <c r="AB2189">
        <v>0</v>
      </c>
      <c r="AC2189">
        <v>0</v>
      </c>
      <c r="AD2189">
        <v>0</v>
      </c>
      <c r="AE2189">
        <v>0</v>
      </c>
      <c r="AF2189">
        <v>0</v>
      </c>
      <c r="AG2189">
        <v>0</v>
      </c>
    </row>
    <row r="2190" spans="1:33" hidden="1" x14ac:dyDescent="0.2">
      <c r="A2190">
        <v>2189</v>
      </c>
      <c r="B2190" t="s">
        <v>617</v>
      </c>
      <c r="C2190" t="s">
        <v>33</v>
      </c>
      <c r="D2190">
        <v>34</v>
      </c>
      <c r="E2190" t="s">
        <v>34</v>
      </c>
      <c r="F2190" t="s">
        <v>53</v>
      </c>
      <c r="G2190" t="s">
        <v>54</v>
      </c>
      <c r="H2190">
        <v>54322</v>
      </c>
      <c r="I2190">
        <v>0</v>
      </c>
      <c r="J2190">
        <v>0</v>
      </c>
      <c r="K2190">
        <v>1</v>
      </c>
      <c r="L2190">
        <v>0</v>
      </c>
      <c r="M2190" t="s">
        <v>36</v>
      </c>
      <c r="N2190" t="s">
        <v>36</v>
      </c>
      <c r="O2190" t="s">
        <v>36</v>
      </c>
      <c r="P2190" t="s">
        <v>442</v>
      </c>
      <c r="Q2190" t="s">
        <v>36</v>
      </c>
      <c r="R2190" t="s">
        <v>36</v>
      </c>
      <c r="S2190" t="s">
        <v>36</v>
      </c>
      <c r="T2190" t="s">
        <v>36</v>
      </c>
      <c r="U2190">
        <v>0</v>
      </c>
      <c r="V2190">
        <v>1</v>
      </c>
      <c r="W2190">
        <v>1</v>
      </c>
      <c r="X2190">
        <v>0</v>
      </c>
      <c r="Y2190">
        <v>0</v>
      </c>
      <c r="Z2190">
        <v>1</v>
      </c>
      <c r="AA2190">
        <v>1</v>
      </c>
      <c r="AB2190">
        <v>0</v>
      </c>
      <c r="AC2190">
        <v>0</v>
      </c>
      <c r="AD2190">
        <v>0</v>
      </c>
      <c r="AE2190">
        <v>0</v>
      </c>
      <c r="AF2190">
        <v>0</v>
      </c>
      <c r="AG2190">
        <v>0</v>
      </c>
    </row>
    <row r="2191" spans="1:33" x14ac:dyDescent="0.2">
      <c r="A2191">
        <v>2190</v>
      </c>
      <c r="B2191" t="s">
        <v>617</v>
      </c>
      <c r="C2191" t="s">
        <v>33</v>
      </c>
      <c r="D2191">
        <v>34</v>
      </c>
      <c r="E2191" t="s">
        <v>34</v>
      </c>
      <c r="F2191" t="s">
        <v>41</v>
      </c>
      <c r="G2191" t="s">
        <v>49</v>
      </c>
      <c r="H2191">
        <v>350330</v>
      </c>
      <c r="I2191">
        <v>0</v>
      </c>
      <c r="J2191">
        <v>1</v>
      </c>
      <c r="K2191">
        <v>0</v>
      </c>
      <c r="L2191">
        <v>0</v>
      </c>
      <c r="M2191" t="s">
        <v>96</v>
      </c>
      <c r="N2191" t="s">
        <v>95</v>
      </c>
      <c r="O2191" t="s">
        <v>50</v>
      </c>
      <c r="P2191" t="s">
        <v>442</v>
      </c>
      <c r="Q2191" t="s">
        <v>65</v>
      </c>
      <c r="R2191" t="s">
        <v>60</v>
      </c>
      <c r="S2191" t="s">
        <v>48</v>
      </c>
      <c r="T2191">
        <v>1</v>
      </c>
      <c r="U2191">
        <v>1</v>
      </c>
      <c r="V2191">
        <v>1</v>
      </c>
      <c r="W2191">
        <v>0</v>
      </c>
      <c r="X2191">
        <v>0</v>
      </c>
      <c r="Y2191">
        <v>0</v>
      </c>
      <c r="Z2191">
        <v>1</v>
      </c>
      <c r="AA2191">
        <v>1</v>
      </c>
      <c r="AB2191">
        <v>0</v>
      </c>
      <c r="AC2191">
        <v>0</v>
      </c>
      <c r="AD2191">
        <v>0</v>
      </c>
      <c r="AE2191">
        <v>0</v>
      </c>
      <c r="AF2191">
        <v>0</v>
      </c>
      <c r="AG2191">
        <v>0</v>
      </c>
    </row>
    <row r="2192" spans="1:33" x14ac:dyDescent="0.2">
      <c r="A2192">
        <v>2191</v>
      </c>
      <c r="B2192" t="s">
        <v>617</v>
      </c>
      <c r="C2192" t="s">
        <v>33</v>
      </c>
      <c r="D2192">
        <v>34</v>
      </c>
      <c r="E2192" t="s">
        <v>34</v>
      </c>
      <c r="F2192" t="s">
        <v>41</v>
      </c>
      <c r="G2192" t="s">
        <v>61</v>
      </c>
      <c r="H2192">
        <v>353230</v>
      </c>
      <c r="I2192">
        <v>1</v>
      </c>
      <c r="J2192">
        <v>0</v>
      </c>
      <c r="K2192">
        <v>0</v>
      </c>
      <c r="L2192">
        <v>0</v>
      </c>
      <c r="M2192" t="s">
        <v>125</v>
      </c>
      <c r="N2192" t="s">
        <v>87</v>
      </c>
      <c r="O2192" t="s">
        <v>63</v>
      </c>
      <c r="P2192" t="s">
        <v>442</v>
      </c>
      <c r="Q2192" t="s">
        <v>60</v>
      </c>
      <c r="R2192" t="s">
        <v>47</v>
      </c>
      <c r="S2192" t="s">
        <v>46</v>
      </c>
      <c r="T2192">
        <v>1</v>
      </c>
      <c r="U2192">
        <v>0</v>
      </c>
      <c r="V2192">
        <v>0</v>
      </c>
      <c r="W2192">
        <v>1</v>
      </c>
      <c r="X2192">
        <v>1</v>
      </c>
      <c r="Y2192">
        <v>0</v>
      </c>
      <c r="Z2192">
        <v>1</v>
      </c>
      <c r="AA2192">
        <v>1</v>
      </c>
      <c r="AB2192">
        <v>0</v>
      </c>
      <c r="AC2192">
        <v>0</v>
      </c>
      <c r="AD2192">
        <v>0</v>
      </c>
      <c r="AE2192">
        <v>0</v>
      </c>
      <c r="AF2192">
        <v>0</v>
      </c>
      <c r="AG2192">
        <v>0</v>
      </c>
    </row>
    <row r="2193" spans="1:33" hidden="1" x14ac:dyDescent="0.2">
      <c r="A2193">
        <v>2192</v>
      </c>
      <c r="B2193" t="s">
        <v>617</v>
      </c>
      <c r="C2193" t="s">
        <v>33</v>
      </c>
      <c r="D2193">
        <v>34</v>
      </c>
      <c r="E2193" t="s">
        <v>34</v>
      </c>
      <c r="F2193" t="s">
        <v>53</v>
      </c>
      <c r="G2193" t="s">
        <v>66</v>
      </c>
      <c r="H2193">
        <v>21996</v>
      </c>
      <c r="I2193">
        <v>1</v>
      </c>
      <c r="J2193">
        <v>0</v>
      </c>
      <c r="K2193">
        <v>0</v>
      </c>
      <c r="L2193">
        <v>0</v>
      </c>
      <c r="M2193" t="s">
        <v>36</v>
      </c>
      <c r="N2193" t="s">
        <v>36</v>
      </c>
      <c r="O2193" t="s">
        <v>36</v>
      </c>
      <c r="P2193" t="s">
        <v>442</v>
      </c>
      <c r="Q2193" t="s">
        <v>36</v>
      </c>
      <c r="R2193" t="s">
        <v>36</v>
      </c>
      <c r="S2193" t="s">
        <v>36</v>
      </c>
      <c r="T2193" t="s">
        <v>36</v>
      </c>
      <c r="U2193">
        <v>0</v>
      </c>
      <c r="V2193">
        <v>0</v>
      </c>
      <c r="W2193">
        <v>1</v>
      </c>
      <c r="X2193">
        <v>1</v>
      </c>
      <c r="Y2193">
        <v>0</v>
      </c>
      <c r="Z2193">
        <v>1</v>
      </c>
      <c r="AA2193">
        <v>1</v>
      </c>
      <c r="AB2193">
        <v>0</v>
      </c>
      <c r="AC2193">
        <v>0</v>
      </c>
      <c r="AD2193">
        <v>0</v>
      </c>
      <c r="AE2193">
        <v>0</v>
      </c>
      <c r="AF2193">
        <v>0</v>
      </c>
      <c r="AG2193">
        <v>0</v>
      </c>
    </row>
    <row r="2194" spans="1:33" x14ac:dyDescent="0.2">
      <c r="A2194">
        <v>2193</v>
      </c>
      <c r="B2194" t="s">
        <v>617</v>
      </c>
      <c r="C2194" t="s">
        <v>33</v>
      </c>
      <c r="D2194">
        <v>34</v>
      </c>
      <c r="E2194" t="s">
        <v>34</v>
      </c>
      <c r="F2194" t="s">
        <v>41</v>
      </c>
      <c r="G2194" t="s">
        <v>72</v>
      </c>
      <c r="H2194">
        <v>26988</v>
      </c>
      <c r="I2194">
        <v>0</v>
      </c>
      <c r="J2194">
        <v>0</v>
      </c>
      <c r="K2194">
        <v>0</v>
      </c>
      <c r="L2194">
        <v>1</v>
      </c>
      <c r="M2194" t="s">
        <v>115</v>
      </c>
      <c r="N2194" t="s">
        <v>104</v>
      </c>
      <c r="O2194" t="s">
        <v>93</v>
      </c>
      <c r="P2194" t="s">
        <v>442</v>
      </c>
      <c r="Q2194" t="s">
        <v>65</v>
      </c>
      <c r="R2194" t="s">
        <v>60</v>
      </c>
      <c r="S2194" t="s">
        <v>59</v>
      </c>
      <c r="T2194">
        <v>1</v>
      </c>
      <c r="U2194">
        <v>1</v>
      </c>
      <c r="V2194">
        <v>0</v>
      </c>
      <c r="W2194">
        <v>0</v>
      </c>
      <c r="X2194">
        <v>0</v>
      </c>
      <c r="Y2194">
        <v>0</v>
      </c>
      <c r="Z2194">
        <v>1</v>
      </c>
      <c r="AA2194">
        <v>0</v>
      </c>
      <c r="AB2194">
        <v>0</v>
      </c>
      <c r="AC2194">
        <v>0</v>
      </c>
      <c r="AD2194">
        <v>0</v>
      </c>
      <c r="AE2194">
        <v>0</v>
      </c>
      <c r="AF2194">
        <v>0</v>
      </c>
      <c r="AG2194">
        <v>1</v>
      </c>
    </row>
    <row r="2195" spans="1:33" hidden="1" x14ac:dyDescent="0.2">
      <c r="A2195">
        <v>2194</v>
      </c>
      <c r="B2195" t="s">
        <v>617</v>
      </c>
      <c r="C2195" t="s">
        <v>33</v>
      </c>
      <c r="D2195">
        <v>34</v>
      </c>
      <c r="E2195" t="s">
        <v>34</v>
      </c>
      <c r="F2195" t="s">
        <v>53</v>
      </c>
      <c r="G2195" t="s">
        <v>76</v>
      </c>
      <c r="H2195">
        <v>24214</v>
      </c>
      <c r="I2195">
        <v>0</v>
      </c>
      <c r="J2195">
        <v>1</v>
      </c>
      <c r="K2195">
        <v>0</v>
      </c>
      <c r="L2195">
        <v>0</v>
      </c>
      <c r="M2195" t="s">
        <v>36</v>
      </c>
      <c r="N2195" t="s">
        <v>36</v>
      </c>
      <c r="O2195" t="s">
        <v>36</v>
      </c>
      <c r="P2195" t="s">
        <v>442</v>
      </c>
      <c r="Q2195" t="s">
        <v>36</v>
      </c>
      <c r="R2195" t="s">
        <v>36</v>
      </c>
      <c r="S2195" t="s">
        <v>36</v>
      </c>
      <c r="T2195" t="s">
        <v>36</v>
      </c>
      <c r="U2195">
        <v>1</v>
      </c>
      <c r="V2195">
        <v>0</v>
      </c>
      <c r="W2195">
        <v>0</v>
      </c>
      <c r="X2195">
        <v>0</v>
      </c>
      <c r="Y2195">
        <v>0</v>
      </c>
      <c r="Z2195">
        <v>1</v>
      </c>
      <c r="AA2195">
        <v>0</v>
      </c>
      <c r="AB2195">
        <v>0</v>
      </c>
      <c r="AC2195">
        <v>0</v>
      </c>
      <c r="AD2195">
        <v>0</v>
      </c>
      <c r="AE2195">
        <v>0</v>
      </c>
      <c r="AF2195">
        <v>0</v>
      </c>
      <c r="AG2195">
        <v>1</v>
      </c>
    </row>
    <row r="2196" spans="1:33" x14ac:dyDescent="0.2">
      <c r="A2196">
        <v>2195</v>
      </c>
      <c r="B2196" t="s">
        <v>617</v>
      </c>
      <c r="C2196" t="s">
        <v>33</v>
      </c>
      <c r="D2196">
        <v>34</v>
      </c>
      <c r="E2196" t="s">
        <v>34</v>
      </c>
      <c r="F2196" t="s">
        <v>41</v>
      </c>
      <c r="G2196" t="s">
        <v>55</v>
      </c>
      <c r="H2196">
        <v>9415</v>
      </c>
      <c r="I2196">
        <v>0</v>
      </c>
      <c r="J2196">
        <v>1</v>
      </c>
      <c r="K2196">
        <v>0</v>
      </c>
      <c r="L2196">
        <v>0</v>
      </c>
      <c r="M2196" t="s">
        <v>84</v>
      </c>
      <c r="N2196" t="s">
        <v>85</v>
      </c>
      <c r="O2196" t="s">
        <v>57</v>
      </c>
      <c r="P2196" t="s">
        <v>442</v>
      </c>
      <c r="Q2196" t="s">
        <v>46</v>
      </c>
      <c r="R2196" t="s">
        <v>65</v>
      </c>
      <c r="S2196" t="s">
        <v>48</v>
      </c>
      <c r="T2196">
        <v>0</v>
      </c>
      <c r="U2196">
        <v>1</v>
      </c>
      <c r="V2196">
        <v>1</v>
      </c>
      <c r="W2196">
        <v>0</v>
      </c>
      <c r="X2196">
        <v>1</v>
      </c>
      <c r="Y2196">
        <v>0</v>
      </c>
      <c r="Z2196">
        <v>1</v>
      </c>
      <c r="AA2196">
        <v>0</v>
      </c>
      <c r="AB2196">
        <v>1</v>
      </c>
      <c r="AC2196">
        <v>0</v>
      </c>
      <c r="AD2196">
        <v>0</v>
      </c>
      <c r="AE2196">
        <v>0</v>
      </c>
      <c r="AF2196">
        <v>0</v>
      </c>
      <c r="AG2196">
        <v>0</v>
      </c>
    </row>
    <row r="2197" spans="1:33" x14ac:dyDescent="0.2">
      <c r="A2197">
        <v>2196</v>
      </c>
      <c r="B2197" t="s">
        <v>617</v>
      </c>
      <c r="C2197" t="s">
        <v>33</v>
      </c>
      <c r="D2197">
        <v>34</v>
      </c>
      <c r="E2197" t="s">
        <v>34</v>
      </c>
      <c r="F2197" t="s">
        <v>41</v>
      </c>
      <c r="G2197" t="s">
        <v>42</v>
      </c>
      <c r="H2197">
        <v>15412</v>
      </c>
      <c r="I2197">
        <v>1</v>
      </c>
      <c r="J2197">
        <v>0</v>
      </c>
      <c r="K2197">
        <v>0</v>
      </c>
      <c r="L2197">
        <v>0</v>
      </c>
      <c r="M2197" t="s">
        <v>44</v>
      </c>
      <c r="N2197" t="s">
        <v>43</v>
      </c>
      <c r="O2197" t="s">
        <v>45</v>
      </c>
      <c r="P2197" t="s">
        <v>442</v>
      </c>
      <c r="Q2197" t="s">
        <v>47</v>
      </c>
      <c r="R2197" t="s">
        <v>46</v>
      </c>
      <c r="S2197" t="s">
        <v>48</v>
      </c>
      <c r="T2197">
        <v>0</v>
      </c>
      <c r="U2197">
        <v>0</v>
      </c>
      <c r="V2197">
        <v>1</v>
      </c>
      <c r="W2197">
        <v>1</v>
      </c>
      <c r="X2197">
        <v>1</v>
      </c>
      <c r="Y2197">
        <v>0</v>
      </c>
      <c r="Z2197">
        <v>1</v>
      </c>
      <c r="AA2197">
        <v>0</v>
      </c>
      <c r="AB2197">
        <v>0</v>
      </c>
      <c r="AC2197">
        <v>0</v>
      </c>
      <c r="AD2197">
        <v>1</v>
      </c>
      <c r="AE2197">
        <v>0</v>
      </c>
      <c r="AF2197">
        <v>0</v>
      </c>
      <c r="AG2197">
        <v>0</v>
      </c>
    </row>
    <row r="2198" spans="1:33" hidden="1" x14ac:dyDescent="0.2">
      <c r="A2198">
        <v>2197</v>
      </c>
      <c r="B2198" t="s">
        <v>617</v>
      </c>
      <c r="C2198" t="s">
        <v>33</v>
      </c>
      <c r="D2198">
        <v>34</v>
      </c>
      <c r="E2198" t="s">
        <v>34</v>
      </c>
      <c r="F2198" t="s">
        <v>53</v>
      </c>
      <c r="G2198" t="s">
        <v>71</v>
      </c>
      <c r="H2198">
        <v>34849</v>
      </c>
      <c r="I2198">
        <v>0</v>
      </c>
      <c r="J2198">
        <v>0</v>
      </c>
      <c r="K2198">
        <v>0</v>
      </c>
      <c r="L2198">
        <v>1</v>
      </c>
      <c r="M2198" t="s">
        <v>36</v>
      </c>
      <c r="N2198" t="s">
        <v>36</v>
      </c>
      <c r="O2198" t="s">
        <v>36</v>
      </c>
      <c r="P2198" t="s">
        <v>442</v>
      </c>
      <c r="Q2198" t="s">
        <v>36</v>
      </c>
      <c r="R2198" t="s">
        <v>36</v>
      </c>
      <c r="S2198" t="s">
        <v>36</v>
      </c>
      <c r="T2198" t="s">
        <v>36</v>
      </c>
      <c r="U2198">
        <v>0</v>
      </c>
      <c r="V2198">
        <v>1</v>
      </c>
      <c r="W2198">
        <v>1</v>
      </c>
      <c r="X2198">
        <v>1</v>
      </c>
      <c r="Y2198">
        <v>0</v>
      </c>
      <c r="Z2198">
        <v>1</v>
      </c>
      <c r="AA2198">
        <v>0</v>
      </c>
      <c r="AB2198">
        <v>0</v>
      </c>
      <c r="AC2198">
        <v>0</v>
      </c>
      <c r="AD2198">
        <v>1</v>
      </c>
      <c r="AE2198">
        <v>0</v>
      </c>
      <c r="AF2198">
        <v>0</v>
      </c>
      <c r="AG2198">
        <v>0</v>
      </c>
    </row>
    <row r="2199" spans="1:33" hidden="1" x14ac:dyDescent="0.2">
      <c r="A2199">
        <v>2198</v>
      </c>
      <c r="B2199" t="s">
        <v>617</v>
      </c>
      <c r="C2199" t="s">
        <v>33</v>
      </c>
      <c r="D2199">
        <v>34</v>
      </c>
      <c r="E2199" t="s">
        <v>34</v>
      </c>
      <c r="F2199" t="s">
        <v>77</v>
      </c>
      <c r="G2199" t="s">
        <v>36</v>
      </c>
      <c r="H2199">
        <v>63405</v>
      </c>
      <c r="I2199" t="s">
        <v>618</v>
      </c>
      <c r="J2199" t="s">
        <v>619</v>
      </c>
      <c r="K2199" t="s">
        <v>166</v>
      </c>
      <c r="L2199" t="s">
        <v>36</v>
      </c>
      <c r="M2199" t="s">
        <v>36</v>
      </c>
      <c r="N2199" t="s">
        <v>36</v>
      </c>
      <c r="O2199" t="s">
        <v>36</v>
      </c>
      <c r="P2199" t="s">
        <v>442</v>
      </c>
      <c r="Q2199" t="s">
        <v>36</v>
      </c>
      <c r="R2199" t="s">
        <v>36</v>
      </c>
      <c r="S2199" t="s">
        <v>36</v>
      </c>
      <c r="T2199" t="s">
        <v>36</v>
      </c>
      <c r="U2199" t="s">
        <v>36</v>
      </c>
      <c r="V2199" t="s">
        <v>36</v>
      </c>
      <c r="W2199" t="s">
        <v>36</v>
      </c>
      <c r="X2199" t="s">
        <v>36</v>
      </c>
      <c r="Y2199" t="s">
        <v>36</v>
      </c>
      <c r="Z2199" t="s">
        <v>36</v>
      </c>
      <c r="AA2199" t="s">
        <v>36</v>
      </c>
      <c r="AB2199" t="s">
        <v>36</v>
      </c>
      <c r="AC2199" t="s">
        <v>36</v>
      </c>
      <c r="AD2199" t="s">
        <v>36</v>
      </c>
      <c r="AE2199" t="s">
        <v>36</v>
      </c>
      <c r="AF2199" t="s">
        <v>36</v>
      </c>
      <c r="AG2199" t="s">
        <v>36</v>
      </c>
    </row>
    <row r="2200" spans="1:33" hidden="1" x14ac:dyDescent="0.2">
      <c r="A2200">
        <v>2199</v>
      </c>
      <c r="B2200" t="s">
        <v>620</v>
      </c>
      <c r="C2200" t="s">
        <v>188</v>
      </c>
      <c r="D2200">
        <v>27</v>
      </c>
      <c r="E2200" t="s">
        <v>34</v>
      </c>
      <c r="F2200" t="s">
        <v>35</v>
      </c>
      <c r="G2200" t="s">
        <v>36</v>
      </c>
      <c r="H2200">
        <v>14788</v>
      </c>
      <c r="I2200" t="s">
        <v>36</v>
      </c>
      <c r="J2200" t="s">
        <v>36</v>
      </c>
      <c r="K2200" t="s">
        <v>36</v>
      </c>
      <c r="L2200" t="s">
        <v>36</v>
      </c>
      <c r="M2200" t="s">
        <v>36</v>
      </c>
      <c r="N2200" t="s">
        <v>36</v>
      </c>
      <c r="O2200" t="s">
        <v>36</v>
      </c>
      <c r="P2200" t="s">
        <v>442</v>
      </c>
      <c r="Q2200" t="s">
        <v>36</v>
      </c>
      <c r="R2200" t="s">
        <v>36</v>
      </c>
      <c r="S2200" t="s">
        <v>36</v>
      </c>
      <c r="T2200" t="s">
        <v>36</v>
      </c>
      <c r="U2200" t="s">
        <v>36</v>
      </c>
      <c r="V2200" t="s">
        <v>36</v>
      </c>
      <c r="W2200" t="s">
        <v>36</v>
      </c>
      <c r="X2200" t="s">
        <v>36</v>
      </c>
      <c r="Y2200" t="s">
        <v>36</v>
      </c>
      <c r="Z2200" t="s">
        <v>36</v>
      </c>
      <c r="AA2200" t="s">
        <v>36</v>
      </c>
      <c r="AB2200" t="s">
        <v>36</v>
      </c>
      <c r="AC2200" t="s">
        <v>36</v>
      </c>
      <c r="AD2200" t="s">
        <v>36</v>
      </c>
      <c r="AE2200" t="s">
        <v>36</v>
      </c>
      <c r="AF2200" t="s">
        <v>36</v>
      </c>
      <c r="AG2200" t="s">
        <v>36</v>
      </c>
    </row>
    <row r="2201" spans="1:33" hidden="1" x14ac:dyDescent="0.2">
      <c r="A2201">
        <v>2200</v>
      </c>
      <c r="B2201" t="s">
        <v>620</v>
      </c>
      <c r="C2201" t="s">
        <v>188</v>
      </c>
      <c r="D2201">
        <v>27</v>
      </c>
      <c r="E2201" t="s">
        <v>34</v>
      </c>
      <c r="F2201" t="s">
        <v>38</v>
      </c>
      <c r="G2201" t="s">
        <v>40</v>
      </c>
      <c r="H2201">
        <v>2186</v>
      </c>
      <c r="I2201">
        <v>0</v>
      </c>
      <c r="J2201">
        <v>0</v>
      </c>
      <c r="K2201">
        <v>1</v>
      </c>
      <c r="L2201">
        <v>0</v>
      </c>
      <c r="M2201" t="s">
        <v>36</v>
      </c>
      <c r="N2201" t="s">
        <v>36</v>
      </c>
      <c r="O2201" t="s">
        <v>36</v>
      </c>
      <c r="P2201" t="s">
        <v>442</v>
      </c>
      <c r="Q2201" t="s">
        <v>36</v>
      </c>
      <c r="R2201" t="s">
        <v>36</v>
      </c>
      <c r="S2201" t="s">
        <v>36</v>
      </c>
      <c r="T2201" t="s">
        <v>36</v>
      </c>
      <c r="U2201" t="s">
        <v>36</v>
      </c>
      <c r="V2201" t="s">
        <v>36</v>
      </c>
      <c r="W2201" t="s">
        <v>36</v>
      </c>
      <c r="X2201" t="s">
        <v>36</v>
      </c>
      <c r="Y2201" t="s">
        <v>36</v>
      </c>
      <c r="Z2201" t="s">
        <v>36</v>
      </c>
      <c r="AA2201" t="s">
        <v>36</v>
      </c>
      <c r="AB2201" t="s">
        <v>36</v>
      </c>
      <c r="AC2201" t="s">
        <v>36</v>
      </c>
      <c r="AD2201" t="s">
        <v>36</v>
      </c>
      <c r="AE2201" t="s">
        <v>36</v>
      </c>
      <c r="AF2201" t="s">
        <v>36</v>
      </c>
      <c r="AG2201" t="s">
        <v>36</v>
      </c>
    </row>
    <row r="2202" spans="1:33" hidden="1" x14ac:dyDescent="0.2">
      <c r="A2202">
        <v>2201</v>
      </c>
      <c r="B2202" t="s">
        <v>620</v>
      </c>
      <c r="C2202" t="s">
        <v>188</v>
      </c>
      <c r="D2202">
        <v>27</v>
      </c>
      <c r="E2202" t="s">
        <v>34</v>
      </c>
      <c r="F2202" t="s">
        <v>38</v>
      </c>
      <c r="G2202" t="s">
        <v>39</v>
      </c>
      <c r="H2202">
        <v>3927</v>
      </c>
      <c r="I2202">
        <v>0</v>
      </c>
      <c r="J2202">
        <v>0</v>
      </c>
      <c r="K2202">
        <v>0</v>
      </c>
      <c r="L2202">
        <v>1</v>
      </c>
      <c r="M2202" t="s">
        <v>36</v>
      </c>
      <c r="N2202" t="s">
        <v>36</v>
      </c>
      <c r="O2202" t="s">
        <v>36</v>
      </c>
      <c r="P2202" t="s">
        <v>442</v>
      </c>
      <c r="Q2202" t="s">
        <v>36</v>
      </c>
      <c r="R2202" t="s">
        <v>36</v>
      </c>
      <c r="S2202" t="s">
        <v>36</v>
      </c>
      <c r="T2202" t="s">
        <v>36</v>
      </c>
      <c r="U2202" t="s">
        <v>36</v>
      </c>
      <c r="V2202" t="s">
        <v>36</v>
      </c>
      <c r="W2202" t="s">
        <v>36</v>
      </c>
      <c r="X2202" t="s">
        <v>36</v>
      </c>
      <c r="Y2202" t="s">
        <v>36</v>
      </c>
      <c r="Z2202" t="s">
        <v>36</v>
      </c>
      <c r="AA2202" t="s">
        <v>36</v>
      </c>
      <c r="AB2202" t="s">
        <v>36</v>
      </c>
      <c r="AC2202" t="s">
        <v>36</v>
      </c>
      <c r="AD2202" t="s">
        <v>36</v>
      </c>
      <c r="AE2202" t="s">
        <v>36</v>
      </c>
      <c r="AF2202" t="s">
        <v>36</v>
      </c>
      <c r="AG2202" t="s">
        <v>36</v>
      </c>
    </row>
    <row r="2203" spans="1:33" x14ac:dyDescent="0.2">
      <c r="A2203">
        <v>2202</v>
      </c>
      <c r="B2203" t="s">
        <v>620</v>
      </c>
      <c r="C2203" t="s">
        <v>188</v>
      </c>
      <c r="D2203">
        <v>27</v>
      </c>
      <c r="E2203" t="s">
        <v>34</v>
      </c>
      <c r="F2203" t="s">
        <v>41</v>
      </c>
      <c r="G2203" t="s">
        <v>55</v>
      </c>
      <c r="H2203">
        <v>3986</v>
      </c>
      <c r="I2203">
        <v>1</v>
      </c>
      <c r="J2203">
        <v>1</v>
      </c>
      <c r="K2203">
        <v>1</v>
      </c>
      <c r="L2203">
        <v>0</v>
      </c>
      <c r="M2203" t="s">
        <v>85</v>
      </c>
      <c r="N2203" t="s">
        <v>84</v>
      </c>
      <c r="O2203" t="s">
        <v>57</v>
      </c>
      <c r="P2203" t="s">
        <v>442</v>
      </c>
      <c r="Q2203" t="s">
        <v>65</v>
      </c>
      <c r="R2203" t="s">
        <v>46</v>
      </c>
      <c r="S2203" t="s">
        <v>48</v>
      </c>
      <c r="T2203">
        <v>0</v>
      </c>
      <c r="U2203">
        <v>1</v>
      </c>
      <c r="V2203">
        <v>1</v>
      </c>
      <c r="W2203">
        <v>0</v>
      </c>
      <c r="X2203">
        <v>1</v>
      </c>
      <c r="Y2203">
        <v>0</v>
      </c>
      <c r="Z2203">
        <v>1</v>
      </c>
      <c r="AA2203">
        <v>0</v>
      </c>
      <c r="AB2203">
        <v>1</v>
      </c>
      <c r="AC2203">
        <v>1</v>
      </c>
      <c r="AD2203">
        <v>0</v>
      </c>
      <c r="AE2203">
        <v>1</v>
      </c>
      <c r="AF2203">
        <v>0</v>
      </c>
      <c r="AG2203">
        <v>0</v>
      </c>
    </row>
    <row r="2204" spans="1:33" x14ac:dyDescent="0.2">
      <c r="A2204">
        <v>2203</v>
      </c>
      <c r="B2204" t="s">
        <v>620</v>
      </c>
      <c r="C2204" t="s">
        <v>188</v>
      </c>
      <c r="D2204">
        <v>27</v>
      </c>
      <c r="E2204" t="s">
        <v>34</v>
      </c>
      <c r="F2204" t="s">
        <v>41</v>
      </c>
      <c r="G2204" t="s">
        <v>61</v>
      </c>
      <c r="H2204">
        <v>2259</v>
      </c>
      <c r="I2204">
        <v>1</v>
      </c>
      <c r="J2204">
        <v>1</v>
      </c>
      <c r="K2204">
        <v>1</v>
      </c>
      <c r="L2204">
        <v>0</v>
      </c>
      <c r="M2204" t="s">
        <v>63</v>
      </c>
      <c r="N2204" t="s">
        <v>62</v>
      </c>
      <c r="O2204" t="s">
        <v>64</v>
      </c>
      <c r="P2204" t="s">
        <v>442</v>
      </c>
      <c r="Q2204" t="s">
        <v>46</v>
      </c>
      <c r="R2204" t="s">
        <v>65</v>
      </c>
      <c r="S2204" t="s">
        <v>48</v>
      </c>
      <c r="T2204">
        <v>0</v>
      </c>
      <c r="U2204">
        <v>1</v>
      </c>
      <c r="V2204">
        <v>1</v>
      </c>
      <c r="W2204">
        <v>0</v>
      </c>
      <c r="X2204">
        <v>1</v>
      </c>
      <c r="Y2204">
        <v>0</v>
      </c>
      <c r="Z2204">
        <v>1</v>
      </c>
      <c r="AA2204">
        <v>0</v>
      </c>
      <c r="AB2204">
        <v>1</v>
      </c>
      <c r="AC2204">
        <v>1</v>
      </c>
      <c r="AD2204">
        <v>0</v>
      </c>
      <c r="AE2204">
        <v>1</v>
      </c>
      <c r="AF2204">
        <v>0</v>
      </c>
      <c r="AG2204">
        <v>0</v>
      </c>
    </row>
    <row r="2205" spans="1:33" hidden="1" x14ac:dyDescent="0.2">
      <c r="A2205">
        <v>2204</v>
      </c>
      <c r="B2205" t="s">
        <v>620</v>
      </c>
      <c r="C2205" t="s">
        <v>188</v>
      </c>
      <c r="D2205">
        <v>27</v>
      </c>
      <c r="E2205" t="s">
        <v>34</v>
      </c>
      <c r="F2205" t="s">
        <v>53</v>
      </c>
      <c r="G2205" t="s">
        <v>76</v>
      </c>
      <c r="H2205">
        <v>3283</v>
      </c>
      <c r="I2205">
        <v>1</v>
      </c>
      <c r="J2205">
        <v>1</v>
      </c>
      <c r="K2205">
        <v>1</v>
      </c>
      <c r="L2205">
        <v>0</v>
      </c>
      <c r="M2205" t="s">
        <v>36</v>
      </c>
      <c r="N2205" t="s">
        <v>36</v>
      </c>
      <c r="O2205" t="s">
        <v>36</v>
      </c>
      <c r="P2205" t="s">
        <v>442</v>
      </c>
      <c r="Q2205" t="s">
        <v>36</v>
      </c>
      <c r="R2205" t="s">
        <v>36</v>
      </c>
      <c r="S2205" t="s">
        <v>36</v>
      </c>
      <c r="T2205" t="s">
        <v>36</v>
      </c>
      <c r="U2205">
        <v>1</v>
      </c>
      <c r="V2205">
        <v>1</v>
      </c>
      <c r="W2205">
        <v>0</v>
      </c>
      <c r="X2205">
        <v>1</v>
      </c>
      <c r="Y2205">
        <v>0</v>
      </c>
      <c r="Z2205">
        <v>1</v>
      </c>
      <c r="AA2205">
        <v>0</v>
      </c>
      <c r="AB2205">
        <v>1</v>
      </c>
      <c r="AC2205">
        <v>1</v>
      </c>
      <c r="AD2205">
        <v>0</v>
      </c>
      <c r="AE2205">
        <v>1</v>
      </c>
      <c r="AF2205">
        <v>0</v>
      </c>
      <c r="AG2205">
        <v>0</v>
      </c>
    </row>
    <row r="2206" spans="1:33" x14ac:dyDescent="0.2">
      <c r="A2206">
        <v>2205</v>
      </c>
      <c r="B2206" t="s">
        <v>620</v>
      </c>
      <c r="C2206" t="s">
        <v>188</v>
      </c>
      <c r="D2206">
        <v>27</v>
      </c>
      <c r="E2206" t="s">
        <v>34</v>
      </c>
      <c r="F2206" t="s">
        <v>41</v>
      </c>
      <c r="G2206" t="s">
        <v>72</v>
      </c>
      <c r="H2206">
        <v>4633</v>
      </c>
      <c r="I2206">
        <v>1</v>
      </c>
      <c r="J2206">
        <v>1</v>
      </c>
      <c r="K2206">
        <v>1</v>
      </c>
      <c r="L2206">
        <v>0</v>
      </c>
      <c r="M2206" t="s">
        <v>73</v>
      </c>
      <c r="N2206" t="s">
        <v>74</v>
      </c>
      <c r="O2206" t="s">
        <v>75</v>
      </c>
      <c r="P2206" t="s">
        <v>442</v>
      </c>
      <c r="Q2206" t="s">
        <v>48</v>
      </c>
      <c r="R2206" t="s">
        <v>47</v>
      </c>
      <c r="S2206" t="s">
        <v>46</v>
      </c>
      <c r="T2206">
        <v>0</v>
      </c>
      <c r="U2206">
        <v>0</v>
      </c>
      <c r="V2206">
        <v>1</v>
      </c>
      <c r="W2206">
        <v>1</v>
      </c>
      <c r="X2206">
        <v>1</v>
      </c>
      <c r="Y2206">
        <v>0</v>
      </c>
      <c r="Z2206">
        <v>1</v>
      </c>
      <c r="AA2206">
        <v>0</v>
      </c>
      <c r="AB2206">
        <v>0</v>
      </c>
      <c r="AC2206">
        <v>1</v>
      </c>
      <c r="AD2206">
        <v>1</v>
      </c>
      <c r="AE2206">
        <v>1</v>
      </c>
      <c r="AF2206">
        <v>0</v>
      </c>
      <c r="AG2206">
        <v>0</v>
      </c>
    </row>
    <row r="2207" spans="1:33" x14ac:dyDescent="0.2">
      <c r="A2207">
        <v>2206</v>
      </c>
      <c r="B2207" t="s">
        <v>620</v>
      </c>
      <c r="C2207" t="s">
        <v>188</v>
      </c>
      <c r="D2207">
        <v>27</v>
      </c>
      <c r="E2207" t="s">
        <v>34</v>
      </c>
      <c r="F2207" t="s">
        <v>41</v>
      </c>
      <c r="G2207" t="s">
        <v>42</v>
      </c>
      <c r="H2207">
        <v>3876</v>
      </c>
      <c r="I2207">
        <v>1</v>
      </c>
      <c r="J2207">
        <v>1</v>
      </c>
      <c r="K2207">
        <v>1</v>
      </c>
      <c r="L2207">
        <v>0</v>
      </c>
      <c r="M2207" t="s">
        <v>102</v>
      </c>
      <c r="N2207" t="s">
        <v>44</v>
      </c>
      <c r="O2207" t="s">
        <v>43</v>
      </c>
      <c r="P2207" t="s">
        <v>442</v>
      </c>
      <c r="Q2207" t="s">
        <v>59</v>
      </c>
      <c r="R2207" t="s">
        <v>47</v>
      </c>
      <c r="S2207" t="s">
        <v>46</v>
      </c>
      <c r="T2207">
        <v>0</v>
      </c>
      <c r="U2207">
        <v>0</v>
      </c>
      <c r="V2207">
        <v>0</v>
      </c>
      <c r="W2207">
        <v>1</v>
      </c>
      <c r="X2207">
        <v>1</v>
      </c>
      <c r="Y2207">
        <v>0</v>
      </c>
      <c r="Z2207">
        <v>1</v>
      </c>
      <c r="AA2207">
        <v>0</v>
      </c>
      <c r="AB2207">
        <v>0</v>
      </c>
      <c r="AC2207">
        <v>0</v>
      </c>
      <c r="AD2207">
        <v>1</v>
      </c>
      <c r="AE2207">
        <v>1</v>
      </c>
      <c r="AF2207">
        <v>0</v>
      </c>
      <c r="AG2207">
        <v>0</v>
      </c>
    </row>
    <row r="2208" spans="1:33" hidden="1" x14ac:dyDescent="0.2">
      <c r="A2208">
        <v>2207</v>
      </c>
      <c r="B2208" t="s">
        <v>620</v>
      </c>
      <c r="C2208" t="s">
        <v>188</v>
      </c>
      <c r="D2208">
        <v>27</v>
      </c>
      <c r="E2208" t="s">
        <v>34</v>
      </c>
      <c r="F2208" t="s">
        <v>53</v>
      </c>
      <c r="G2208" t="s">
        <v>66</v>
      </c>
      <c r="H2208">
        <v>4514</v>
      </c>
      <c r="I2208">
        <v>1</v>
      </c>
      <c r="J2208">
        <v>1</v>
      </c>
      <c r="K2208">
        <v>1</v>
      </c>
      <c r="L2208">
        <v>0</v>
      </c>
      <c r="M2208" t="s">
        <v>36</v>
      </c>
      <c r="N2208" t="s">
        <v>36</v>
      </c>
      <c r="O2208" t="s">
        <v>36</v>
      </c>
      <c r="P2208" t="s">
        <v>442</v>
      </c>
      <c r="Q2208" t="s">
        <v>36</v>
      </c>
      <c r="R2208" t="s">
        <v>36</v>
      </c>
      <c r="S2208" t="s">
        <v>36</v>
      </c>
      <c r="T2208" t="s">
        <v>36</v>
      </c>
      <c r="U2208">
        <v>0</v>
      </c>
      <c r="V2208">
        <v>0</v>
      </c>
      <c r="W2208">
        <v>1</v>
      </c>
      <c r="X2208">
        <v>1</v>
      </c>
      <c r="Y2208">
        <v>0</v>
      </c>
      <c r="Z2208">
        <v>1</v>
      </c>
      <c r="AA2208">
        <v>0</v>
      </c>
      <c r="AB2208">
        <v>0</v>
      </c>
      <c r="AC2208">
        <v>0</v>
      </c>
      <c r="AD2208">
        <v>1</v>
      </c>
      <c r="AE2208">
        <v>1</v>
      </c>
      <c r="AF2208">
        <v>0</v>
      </c>
      <c r="AG2208">
        <v>0</v>
      </c>
    </row>
    <row r="2209" spans="1:33" x14ac:dyDescent="0.2">
      <c r="A2209">
        <v>2208</v>
      </c>
      <c r="B2209" t="s">
        <v>620</v>
      </c>
      <c r="C2209" t="s">
        <v>188</v>
      </c>
      <c r="D2209">
        <v>27</v>
      </c>
      <c r="E2209" t="s">
        <v>34</v>
      </c>
      <c r="F2209" t="s">
        <v>41</v>
      </c>
      <c r="G2209" t="s">
        <v>67</v>
      </c>
      <c r="H2209">
        <v>8993</v>
      </c>
      <c r="I2209">
        <v>1</v>
      </c>
      <c r="J2209">
        <v>1</v>
      </c>
      <c r="K2209">
        <v>1</v>
      </c>
      <c r="L2209">
        <v>0</v>
      </c>
      <c r="M2209" t="s">
        <v>103</v>
      </c>
      <c r="N2209" t="s">
        <v>69</v>
      </c>
      <c r="O2209" t="s">
        <v>70</v>
      </c>
      <c r="P2209" t="s">
        <v>442</v>
      </c>
      <c r="Q2209" t="s">
        <v>60</v>
      </c>
      <c r="R2209" t="s">
        <v>48</v>
      </c>
      <c r="S2209" t="s">
        <v>47</v>
      </c>
      <c r="T2209">
        <v>1</v>
      </c>
      <c r="U2209">
        <v>0</v>
      </c>
      <c r="V2209">
        <v>1</v>
      </c>
      <c r="W2209">
        <v>1</v>
      </c>
      <c r="X2209">
        <v>0</v>
      </c>
      <c r="Y2209">
        <v>0</v>
      </c>
      <c r="Z2209">
        <v>1</v>
      </c>
      <c r="AA2209">
        <v>1</v>
      </c>
      <c r="AB2209">
        <v>0</v>
      </c>
      <c r="AC2209">
        <v>1</v>
      </c>
      <c r="AD2209">
        <v>1</v>
      </c>
      <c r="AE2209">
        <v>0</v>
      </c>
      <c r="AF2209">
        <v>0</v>
      </c>
      <c r="AG2209">
        <v>0</v>
      </c>
    </row>
    <row r="2210" spans="1:33" hidden="1" x14ac:dyDescent="0.2">
      <c r="A2210">
        <v>2209</v>
      </c>
      <c r="B2210" t="s">
        <v>620</v>
      </c>
      <c r="C2210" t="s">
        <v>188</v>
      </c>
      <c r="D2210">
        <v>27</v>
      </c>
      <c r="E2210" t="s">
        <v>34</v>
      </c>
      <c r="F2210" t="s">
        <v>53</v>
      </c>
      <c r="G2210" t="s">
        <v>71</v>
      </c>
      <c r="H2210">
        <v>3116</v>
      </c>
      <c r="I2210">
        <v>1</v>
      </c>
      <c r="J2210">
        <v>1</v>
      </c>
      <c r="K2210">
        <v>1</v>
      </c>
      <c r="L2210">
        <v>0</v>
      </c>
      <c r="M2210" t="s">
        <v>36</v>
      </c>
      <c r="N2210" t="s">
        <v>36</v>
      </c>
      <c r="O2210" t="s">
        <v>36</v>
      </c>
      <c r="P2210" t="s">
        <v>442</v>
      </c>
      <c r="Q2210" t="s">
        <v>36</v>
      </c>
      <c r="R2210" t="s">
        <v>36</v>
      </c>
      <c r="S2210" t="s">
        <v>36</v>
      </c>
      <c r="T2210" t="s">
        <v>36</v>
      </c>
      <c r="U2210">
        <v>0</v>
      </c>
      <c r="V2210">
        <v>1</v>
      </c>
      <c r="W2210">
        <v>1</v>
      </c>
      <c r="X2210">
        <v>0</v>
      </c>
      <c r="Y2210">
        <v>0</v>
      </c>
      <c r="Z2210">
        <v>1</v>
      </c>
      <c r="AA2210">
        <v>1</v>
      </c>
      <c r="AB2210">
        <v>0</v>
      </c>
      <c r="AC2210">
        <v>1</v>
      </c>
      <c r="AD2210">
        <v>1</v>
      </c>
      <c r="AE2210">
        <v>0</v>
      </c>
      <c r="AF2210">
        <v>0</v>
      </c>
      <c r="AG2210">
        <v>0</v>
      </c>
    </row>
    <row r="2211" spans="1:33" x14ac:dyDescent="0.2">
      <c r="A2211">
        <v>2210</v>
      </c>
      <c r="B2211" t="s">
        <v>620</v>
      </c>
      <c r="C2211" t="s">
        <v>188</v>
      </c>
      <c r="D2211">
        <v>27</v>
      </c>
      <c r="E2211" t="s">
        <v>34</v>
      </c>
      <c r="F2211" t="s">
        <v>41</v>
      </c>
      <c r="G2211" t="s">
        <v>49</v>
      </c>
      <c r="H2211">
        <v>9765</v>
      </c>
      <c r="I2211">
        <v>1</v>
      </c>
      <c r="J2211">
        <v>1</v>
      </c>
      <c r="K2211">
        <v>1</v>
      </c>
      <c r="L2211">
        <v>0</v>
      </c>
      <c r="M2211" t="s">
        <v>50</v>
      </c>
      <c r="N2211" t="s">
        <v>83</v>
      </c>
      <c r="O2211" t="s">
        <v>95</v>
      </c>
      <c r="P2211" t="s">
        <v>442</v>
      </c>
      <c r="Q2211" t="s">
        <v>48</v>
      </c>
      <c r="R2211" t="s">
        <v>59</v>
      </c>
      <c r="S2211" t="s">
        <v>60</v>
      </c>
      <c r="T2211">
        <v>1</v>
      </c>
      <c r="U2211">
        <v>0</v>
      </c>
      <c r="V2211">
        <v>1</v>
      </c>
      <c r="W2211">
        <v>0</v>
      </c>
      <c r="X2211">
        <v>0</v>
      </c>
      <c r="Y2211">
        <v>0</v>
      </c>
      <c r="Z2211">
        <v>1</v>
      </c>
      <c r="AA2211">
        <v>1</v>
      </c>
      <c r="AB2211">
        <v>0</v>
      </c>
      <c r="AC2211">
        <v>1</v>
      </c>
      <c r="AD2211">
        <v>0</v>
      </c>
      <c r="AE2211">
        <v>0</v>
      </c>
      <c r="AF2211">
        <v>0</v>
      </c>
      <c r="AG2211">
        <v>0</v>
      </c>
    </row>
    <row r="2212" spans="1:33" hidden="1" x14ac:dyDescent="0.2">
      <c r="A2212">
        <v>2211</v>
      </c>
      <c r="B2212" t="s">
        <v>620</v>
      </c>
      <c r="C2212" t="s">
        <v>188</v>
      </c>
      <c r="D2212">
        <v>27</v>
      </c>
      <c r="E2212" t="s">
        <v>34</v>
      </c>
      <c r="F2212" t="s">
        <v>53</v>
      </c>
      <c r="G2212" t="s">
        <v>54</v>
      </c>
      <c r="H2212">
        <v>4404</v>
      </c>
      <c r="I2212">
        <v>1</v>
      </c>
      <c r="J2212">
        <v>1</v>
      </c>
      <c r="K2212">
        <v>1</v>
      </c>
      <c r="L2212">
        <v>0</v>
      </c>
      <c r="M2212" t="s">
        <v>36</v>
      </c>
      <c r="N2212" t="s">
        <v>36</v>
      </c>
      <c r="O2212" t="s">
        <v>36</v>
      </c>
      <c r="P2212" t="s">
        <v>442</v>
      </c>
      <c r="Q2212" t="s">
        <v>36</v>
      </c>
      <c r="R2212" t="s">
        <v>36</v>
      </c>
      <c r="S2212" t="s">
        <v>36</v>
      </c>
      <c r="T2212" t="s">
        <v>36</v>
      </c>
      <c r="U2212">
        <v>0</v>
      </c>
      <c r="V2212">
        <v>1</v>
      </c>
      <c r="W2212">
        <v>0</v>
      </c>
      <c r="X2212">
        <v>0</v>
      </c>
      <c r="Y2212">
        <v>0</v>
      </c>
      <c r="Z2212">
        <v>1</v>
      </c>
      <c r="AA2212">
        <v>1</v>
      </c>
      <c r="AB2212">
        <v>0</v>
      </c>
      <c r="AC2212">
        <v>1</v>
      </c>
      <c r="AD2212">
        <v>0</v>
      </c>
      <c r="AE2212">
        <v>0</v>
      </c>
      <c r="AF2212">
        <v>0</v>
      </c>
      <c r="AG2212">
        <v>0</v>
      </c>
    </row>
    <row r="2213" spans="1:33" hidden="1" x14ac:dyDescent="0.2">
      <c r="A2213">
        <v>2212</v>
      </c>
      <c r="B2213" t="s">
        <v>620</v>
      </c>
      <c r="C2213" t="s">
        <v>188</v>
      </c>
      <c r="D2213">
        <v>27</v>
      </c>
      <c r="E2213" t="s">
        <v>34</v>
      </c>
      <c r="F2213" t="s">
        <v>77</v>
      </c>
      <c r="G2213" t="s">
        <v>36</v>
      </c>
      <c r="H2213">
        <v>406867</v>
      </c>
      <c r="I2213" t="s">
        <v>621</v>
      </c>
      <c r="J2213" t="s">
        <v>613</v>
      </c>
      <c r="K2213" t="s">
        <v>622</v>
      </c>
      <c r="L2213" t="s">
        <v>36</v>
      </c>
      <c r="M2213" t="s">
        <v>36</v>
      </c>
      <c r="N2213" t="s">
        <v>36</v>
      </c>
      <c r="O2213" t="s">
        <v>36</v>
      </c>
      <c r="P2213" t="s">
        <v>442</v>
      </c>
      <c r="Q2213" t="s">
        <v>36</v>
      </c>
      <c r="R2213" t="s">
        <v>36</v>
      </c>
      <c r="S2213" t="s">
        <v>36</v>
      </c>
      <c r="T2213" t="s">
        <v>36</v>
      </c>
      <c r="U2213" t="s">
        <v>36</v>
      </c>
      <c r="V2213" t="s">
        <v>36</v>
      </c>
      <c r="W2213" t="s">
        <v>36</v>
      </c>
      <c r="X2213" t="s">
        <v>36</v>
      </c>
      <c r="Y2213" t="s">
        <v>36</v>
      </c>
      <c r="Z2213" t="s">
        <v>36</v>
      </c>
      <c r="AA2213" t="s">
        <v>36</v>
      </c>
      <c r="AB2213" t="s">
        <v>36</v>
      </c>
      <c r="AC2213" t="s">
        <v>36</v>
      </c>
      <c r="AD2213" t="s">
        <v>36</v>
      </c>
      <c r="AE2213" t="s">
        <v>36</v>
      </c>
      <c r="AF2213" t="s">
        <v>36</v>
      </c>
      <c r="AG2213" t="s">
        <v>36</v>
      </c>
    </row>
    <row r="2214" spans="1:33" hidden="1" x14ac:dyDescent="0.2">
      <c r="A2214">
        <v>2213</v>
      </c>
      <c r="B2214" t="s">
        <v>623</v>
      </c>
      <c r="C2214" t="s">
        <v>188</v>
      </c>
      <c r="D2214">
        <v>28</v>
      </c>
      <c r="E2214" t="s">
        <v>114</v>
      </c>
      <c r="F2214" t="s">
        <v>35</v>
      </c>
      <c r="G2214" t="s">
        <v>36</v>
      </c>
      <c r="H2214">
        <v>14787</v>
      </c>
      <c r="I2214" t="s">
        <v>36</v>
      </c>
      <c r="J2214" t="s">
        <v>36</v>
      </c>
      <c r="K2214" t="s">
        <v>36</v>
      </c>
      <c r="L2214" t="s">
        <v>36</v>
      </c>
      <c r="M2214" t="s">
        <v>36</v>
      </c>
      <c r="N2214" t="s">
        <v>36</v>
      </c>
      <c r="O2214" t="s">
        <v>36</v>
      </c>
      <c r="P2214" t="s">
        <v>442</v>
      </c>
      <c r="Q2214" t="s">
        <v>36</v>
      </c>
      <c r="R2214" t="s">
        <v>36</v>
      </c>
      <c r="S2214" t="s">
        <v>36</v>
      </c>
      <c r="T2214" t="s">
        <v>36</v>
      </c>
      <c r="U2214" t="s">
        <v>36</v>
      </c>
      <c r="V2214" t="s">
        <v>36</v>
      </c>
      <c r="W2214" t="s">
        <v>36</v>
      </c>
      <c r="X2214" t="s">
        <v>36</v>
      </c>
      <c r="Y2214" t="s">
        <v>36</v>
      </c>
      <c r="Z2214" t="s">
        <v>36</v>
      </c>
      <c r="AA2214" t="s">
        <v>36</v>
      </c>
      <c r="AB2214" t="s">
        <v>36</v>
      </c>
      <c r="AC2214" t="s">
        <v>36</v>
      </c>
      <c r="AD2214" t="s">
        <v>36</v>
      </c>
      <c r="AE2214" t="s">
        <v>36</v>
      </c>
      <c r="AF2214" t="s">
        <v>36</v>
      </c>
      <c r="AG2214" t="s">
        <v>36</v>
      </c>
    </row>
    <row r="2215" spans="1:33" hidden="1" x14ac:dyDescent="0.2">
      <c r="A2215">
        <v>2214</v>
      </c>
      <c r="B2215" t="s">
        <v>623</v>
      </c>
      <c r="C2215" t="s">
        <v>188</v>
      </c>
      <c r="D2215">
        <v>28</v>
      </c>
      <c r="E2215" t="s">
        <v>114</v>
      </c>
      <c r="F2215" t="s">
        <v>38</v>
      </c>
      <c r="G2215" t="s">
        <v>40</v>
      </c>
      <c r="H2215">
        <v>49514</v>
      </c>
      <c r="I2215">
        <v>0</v>
      </c>
      <c r="J2215">
        <v>0</v>
      </c>
      <c r="K2215">
        <v>1</v>
      </c>
      <c r="L2215">
        <v>0</v>
      </c>
      <c r="M2215" t="s">
        <v>36</v>
      </c>
      <c r="N2215" t="s">
        <v>36</v>
      </c>
      <c r="O2215" t="s">
        <v>36</v>
      </c>
      <c r="P2215" t="s">
        <v>442</v>
      </c>
      <c r="Q2215" t="s">
        <v>36</v>
      </c>
      <c r="R2215" t="s">
        <v>36</v>
      </c>
      <c r="S2215" t="s">
        <v>36</v>
      </c>
      <c r="T2215" t="s">
        <v>36</v>
      </c>
      <c r="U2215" t="s">
        <v>36</v>
      </c>
      <c r="V2215" t="s">
        <v>36</v>
      </c>
      <c r="W2215" t="s">
        <v>36</v>
      </c>
      <c r="X2215" t="s">
        <v>36</v>
      </c>
      <c r="Y2215" t="s">
        <v>36</v>
      </c>
      <c r="Z2215" t="s">
        <v>36</v>
      </c>
      <c r="AA2215" t="s">
        <v>36</v>
      </c>
      <c r="AB2215" t="s">
        <v>36</v>
      </c>
      <c r="AC2215" t="s">
        <v>36</v>
      </c>
      <c r="AD2215" t="s">
        <v>36</v>
      </c>
      <c r="AE2215" t="s">
        <v>36</v>
      </c>
      <c r="AF2215" t="s">
        <v>36</v>
      </c>
      <c r="AG2215" t="s">
        <v>36</v>
      </c>
    </row>
    <row r="2216" spans="1:33" hidden="1" x14ac:dyDescent="0.2">
      <c r="A2216">
        <v>2215</v>
      </c>
      <c r="B2216" t="s">
        <v>623</v>
      </c>
      <c r="C2216" t="s">
        <v>188</v>
      </c>
      <c r="D2216">
        <v>28</v>
      </c>
      <c r="E2216" t="s">
        <v>114</v>
      </c>
      <c r="F2216" t="s">
        <v>38</v>
      </c>
      <c r="G2216" t="s">
        <v>39</v>
      </c>
      <c r="H2216">
        <v>3443</v>
      </c>
      <c r="I2216">
        <v>0</v>
      </c>
      <c r="J2216">
        <v>0</v>
      </c>
      <c r="K2216">
        <v>0</v>
      </c>
      <c r="L2216">
        <v>1</v>
      </c>
      <c r="M2216" t="s">
        <v>36</v>
      </c>
      <c r="N2216" t="s">
        <v>36</v>
      </c>
      <c r="O2216" t="s">
        <v>36</v>
      </c>
      <c r="P2216" t="s">
        <v>442</v>
      </c>
      <c r="Q2216" t="s">
        <v>36</v>
      </c>
      <c r="R2216" t="s">
        <v>36</v>
      </c>
      <c r="S2216" t="s">
        <v>36</v>
      </c>
      <c r="T2216" t="s">
        <v>36</v>
      </c>
      <c r="U2216" t="s">
        <v>36</v>
      </c>
      <c r="V2216" t="s">
        <v>36</v>
      </c>
      <c r="W2216" t="s">
        <v>36</v>
      </c>
      <c r="X2216" t="s">
        <v>36</v>
      </c>
      <c r="Y2216" t="s">
        <v>36</v>
      </c>
      <c r="Z2216" t="s">
        <v>36</v>
      </c>
      <c r="AA2216" t="s">
        <v>36</v>
      </c>
      <c r="AB2216" t="s">
        <v>36</v>
      </c>
      <c r="AC2216" t="s">
        <v>36</v>
      </c>
      <c r="AD2216" t="s">
        <v>36</v>
      </c>
      <c r="AE2216" t="s">
        <v>36</v>
      </c>
      <c r="AF2216" t="s">
        <v>36</v>
      </c>
      <c r="AG2216" t="s">
        <v>36</v>
      </c>
    </row>
    <row r="2217" spans="1:33" x14ac:dyDescent="0.2">
      <c r="A2217">
        <v>2216</v>
      </c>
      <c r="B2217" t="s">
        <v>623</v>
      </c>
      <c r="C2217" t="s">
        <v>188</v>
      </c>
      <c r="D2217">
        <v>28</v>
      </c>
      <c r="E2217" t="s">
        <v>114</v>
      </c>
      <c r="F2217" t="s">
        <v>41</v>
      </c>
      <c r="G2217" t="s">
        <v>67</v>
      </c>
      <c r="H2217">
        <v>101551</v>
      </c>
      <c r="I2217">
        <v>1</v>
      </c>
      <c r="J2217">
        <v>1</v>
      </c>
      <c r="K2217">
        <v>1</v>
      </c>
      <c r="L2217">
        <v>0</v>
      </c>
      <c r="M2217" t="s">
        <v>68</v>
      </c>
      <c r="N2217" t="s">
        <v>70</v>
      </c>
      <c r="O2217" t="s">
        <v>86</v>
      </c>
      <c r="P2217" t="s">
        <v>442</v>
      </c>
      <c r="Q2217" t="s">
        <v>65</v>
      </c>
      <c r="R2217" t="s">
        <v>47</v>
      </c>
      <c r="S2217" t="s">
        <v>46</v>
      </c>
      <c r="T2217">
        <v>0</v>
      </c>
      <c r="U2217">
        <v>1</v>
      </c>
      <c r="V2217">
        <v>0</v>
      </c>
      <c r="W2217">
        <v>1</v>
      </c>
      <c r="X2217">
        <v>1</v>
      </c>
      <c r="Y2217">
        <v>0</v>
      </c>
      <c r="Z2217">
        <v>1</v>
      </c>
      <c r="AA2217">
        <v>0</v>
      </c>
      <c r="AB2217">
        <v>1</v>
      </c>
      <c r="AC2217">
        <v>0</v>
      </c>
      <c r="AD2217">
        <v>1</v>
      </c>
      <c r="AE2217">
        <v>1</v>
      </c>
      <c r="AF2217">
        <v>0</v>
      </c>
      <c r="AG2217">
        <v>0</v>
      </c>
    </row>
    <row r="2218" spans="1:33" x14ac:dyDescent="0.2">
      <c r="A2218">
        <v>2217</v>
      </c>
      <c r="B2218" t="s">
        <v>623</v>
      </c>
      <c r="C2218" t="s">
        <v>188</v>
      </c>
      <c r="D2218">
        <v>28</v>
      </c>
      <c r="E2218" t="s">
        <v>114</v>
      </c>
      <c r="F2218" t="s">
        <v>41</v>
      </c>
      <c r="G2218" t="s">
        <v>61</v>
      </c>
      <c r="H2218">
        <v>32256</v>
      </c>
      <c r="I2218">
        <v>1</v>
      </c>
      <c r="J2218">
        <v>1</v>
      </c>
      <c r="K2218">
        <v>0</v>
      </c>
      <c r="L2218">
        <v>0</v>
      </c>
      <c r="M2218" t="s">
        <v>87</v>
      </c>
      <c r="N2218" t="s">
        <v>64</v>
      </c>
      <c r="O2218" t="s">
        <v>62</v>
      </c>
      <c r="P2218" t="s">
        <v>442</v>
      </c>
      <c r="Q2218" t="s">
        <v>47</v>
      </c>
      <c r="R2218" t="s">
        <v>48</v>
      </c>
      <c r="S2218" t="s">
        <v>65</v>
      </c>
      <c r="T2218">
        <v>0</v>
      </c>
      <c r="U2218">
        <v>1</v>
      </c>
      <c r="V2218">
        <v>1</v>
      </c>
      <c r="W2218">
        <v>1</v>
      </c>
      <c r="X2218">
        <v>0</v>
      </c>
      <c r="Y2218">
        <v>0</v>
      </c>
      <c r="Z2218">
        <v>1</v>
      </c>
      <c r="AA2218">
        <v>0</v>
      </c>
      <c r="AB2218">
        <v>0</v>
      </c>
      <c r="AC2218">
        <v>1</v>
      </c>
      <c r="AD2218">
        <v>1</v>
      </c>
      <c r="AE2218">
        <v>0</v>
      </c>
      <c r="AF2218">
        <v>0</v>
      </c>
      <c r="AG2218">
        <v>0</v>
      </c>
    </row>
    <row r="2219" spans="1:33" hidden="1" x14ac:dyDescent="0.2">
      <c r="A2219">
        <v>2218</v>
      </c>
      <c r="B2219" t="s">
        <v>623</v>
      </c>
      <c r="C2219" t="s">
        <v>188</v>
      </c>
      <c r="D2219">
        <v>28</v>
      </c>
      <c r="E2219" t="s">
        <v>114</v>
      </c>
      <c r="F2219" t="s">
        <v>53</v>
      </c>
      <c r="G2219" t="s">
        <v>54</v>
      </c>
      <c r="H2219">
        <v>25688</v>
      </c>
      <c r="I2219">
        <v>1</v>
      </c>
      <c r="J2219">
        <v>1</v>
      </c>
      <c r="K2219">
        <v>1</v>
      </c>
      <c r="L2219">
        <v>0</v>
      </c>
      <c r="M2219" t="s">
        <v>36</v>
      </c>
      <c r="N2219" t="s">
        <v>36</v>
      </c>
      <c r="O2219" t="s">
        <v>36</v>
      </c>
      <c r="P2219" t="s">
        <v>442</v>
      </c>
      <c r="Q2219" t="s">
        <v>36</v>
      </c>
      <c r="R2219" t="s">
        <v>36</v>
      </c>
      <c r="S2219" t="s">
        <v>36</v>
      </c>
      <c r="T2219" t="s">
        <v>36</v>
      </c>
      <c r="U2219">
        <v>1</v>
      </c>
      <c r="V2219">
        <v>1</v>
      </c>
      <c r="W2219">
        <v>1</v>
      </c>
      <c r="X2219">
        <v>0</v>
      </c>
      <c r="Y2219">
        <v>0</v>
      </c>
      <c r="Z2219">
        <v>1</v>
      </c>
      <c r="AA2219">
        <v>0</v>
      </c>
      <c r="AB2219">
        <v>0</v>
      </c>
      <c r="AC2219">
        <v>1</v>
      </c>
      <c r="AD2219">
        <v>1</v>
      </c>
      <c r="AE2219">
        <v>0</v>
      </c>
      <c r="AF2219">
        <v>0</v>
      </c>
      <c r="AG2219">
        <v>0</v>
      </c>
    </row>
    <row r="2220" spans="1:33" x14ac:dyDescent="0.2">
      <c r="A2220">
        <v>2219</v>
      </c>
      <c r="B2220" t="s">
        <v>623</v>
      </c>
      <c r="C2220" t="s">
        <v>188</v>
      </c>
      <c r="D2220">
        <v>28</v>
      </c>
      <c r="E2220" t="s">
        <v>114</v>
      </c>
      <c r="F2220" t="s">
        <v>41</v>
      </c>
      <c r="G2220" t="s">
        <v>49</v>
      </c>
      <c r="H2220">
        <v>10361</v>
      </c>
      <c r="I2220">
        <v>1</v>
      </c>
      <c r="J2220">
        <v>1</v>
      </c>
      <c r="K2220">
        <v>1</v>
      </c>
      <c r="L2220">
        <v>0</v>
      </c>
      <c r="M2220" t="s">
        <v>50</v>
      </c>
      <c r="N2220" t="s">
        <v>83</v>
      </c>
      <c r="O2220" t="s">
        <v>52</v>
      </c>
      <c r="P2220" t="s">
        <v>442</v>
      </c>
      <c r="Q2220" t="s">
        <v>48</v>
      </c>
      <c r="R2220" t="s">
        <v>59</v>
      </c>
      <c r="S2220" t="s">
        <v>46</v>
      </c>
      <c r="T2220">
        <v>0</v>
      </c>
      <c r="U2220">
        <v>0</v>
      </c>
      <c r="V2220">
        <v>1</v>
      </c>
      <c r="W2220">
        <v>0</v>
      </c>
      <c r="X2220">
        <v>1</v>
      </c>
      <c r="Y2220">
        <v>0</v>
      </c>
      <c r="Z2220">
        <v>1</v>
      </c>
      <c r="AA2220">
        <v>0</v>
      </c>
      <c r="AB2220">
        <v>0</v>
      </c>
      <c r="AC2220">
        <v>1</v>
      </c>
      <c r="AD2220">
        <v>0</v>
      </c>
      <c r="AE2220">
        <v>1</v>
      </c>
      <c r="AF2220">
        <v>0</v>
      </c>
      <c r="AG2220">
        <v>0</v>
      </c>
    </row>
    <row r="2221" spans="1:33" hidden="1" x14ac:dyDescent="0.2">
      <c r="A2221">
        <v>2220</v>
      </c>
      <c r="B2221" t="s">
        <v>623</v>
      </c>
      <c r="C2221" t="s">
        <v>188</v>
      </c>
      <c r="D2221">
        <v>28</v>
      </c>
      <c r="E2221" t="s">
        <v>114</v>
      </c>
      <c r="F2221" t="s">
        <v>53</v>
      </c>
      <c r="G2221" t="s">
        <v>71</v>
      </c>
      <c r="H2221">
        <v>6634</v>
      </c>
      <c r="I2221">
        <v>1</v>
      </c>
      <c r="J2221">
        <v>1</v>
      </c>
      <c r="K2221">
        <v>1</v>
      </c>
      <c r="L2221">
        <v>0</v>
      </c>
      <c r="M2221" t="s">
        <v>36</v>
      </c>
      <c r="N2221" t="s">
        <v>36</v>
      </c>
      <c r="O2221" t="s">
        <v>36</v>
      </c>
      <c r="P2221" t="s">
        <v>442</v>
      </c>
      <c r="Q2221" t="s">
        <v>36</v>
      </c>
      <c r="R2221" t="s">
        <v>36</v>
      </c>
      <c r="S2221" t="s">
        <v>36</v>
      </c>
      <c r="T2221" t="s">
        <v>36</v>
      </c>
      <c r="U2221">
        <v>0</v>
      </c>
      <c r="V2221">
        <v>1</v>
      </c>
      <c r="W2221">
        <v>0</v>
      </c>
      <c r="X2221">
        <v>1</v>
      </c>
      <c r="Y2221">
        <v>0</v>
      </c>
      <c r="Z2221">
        <v>1</v>
      </c>
      <c r="AA2221">
        <v>0</v>
      </c>
      <c r="AB2221">
        <v>0</v>
      </c>
      <c r="AC2221">
        <v>1</v>
      </c>
      <c r="AD2221">
        <v>0</v>
      </c>
      <c r="AE2221">
        <v>1</v>
      </c>
      <c r="AF2221">
        <v>0</v>
      </c>
      <c r="AG2221">
        <v>0</v>
      </c>
    </row>
    <row r="2222" spans="1:33" x14ac:dyDescent="0.2">
      <c r="A2222">
        <v>2221</v>
      </c>
      <c r="B2222" t="s">
        <v>623</v>
      </c>
      <c r="C2222" t="s">
        <v>188</v>
      </c>
      <c r="D2222">
        <v>28</v>
      </c>
      <c r="E2222" t="s">
        <v>114</v>
      </c>
      <c r="F2222" t="s">
        <v>41</v>
      </c>
      <c r="G2222" t="s">
        <v>72</v>
      </c>
      <c r="H2222">
        <v>7314</v>
      </c>
      <c r="I2222">
        <v>0</v>
      </c>
      <c r="J2222">
        <v>1</v>
      </c>
      <c r="K2222">
        <v>1</v>
      </c>
      <c r="L2222">
        <v>0</v>
      </c>
      <c r="M2222" t="s">
        <v>75</v>
      </c>
      <c r="N2222" t="s">
        <v>115</v>
      </c>
      <c r="O2222" t="s">
        <v>104</v>
      </c>
      <c r="P2222" t="s">
        <v>442</v>
      </c>
      <c r="Q2222" t="s">
        <v>46</v>
      </c>
      <c r="R2222" t="s">
        <v>65</v>
      </c>
      <c r="S2222" t="s">
        <v>60</v>
      </c>
      <c r="T2222">
        <v>1</v>
      </c>
      <c r="U2222">
        <v>1</v>
      </c>
      <c r="V2222">
        <v>0</v>
      </c>
      <c r="W2222">
        <v>0</v>
      </c>
      <c r="X2222">
        <v>1</v>
      </c>
      <c r="Y2222">
        <v>0</v>
      </c>
      <c r="Z2222">
        <v>1</v>
      </c>
      <c r="AA2222">
        <v>1</v>
      </c>
      <c r="AB2222">
        <v>1</v>
      </c>
      <c r="AC2222">
        <v>0</v>
      </c>
      <c r="AD2222">
        <v>0</v>
      </c>
      <c r="AE2222">
        <v>0</v>
      </c>
      <c r="AF2222">
        <v>0</v>
      </c>
      <c r="AG2222">
        <v>0</v>
      </c>
    </row>
    <row r="2223" spans="1:33" x14ac:dyDescent="0.2">
      <c r="A2223">
        <v>2222</v>
      </c>
      <c r="B2223" t="s">
        <v>623</v>
      </c>
      <c r="C2223" t="s">
        <v>188</v>
      </c>
      <c r="D2223">
        <v>28</v>
      </c>
      <c r="E2223" t="s">
        <v>114</v>
      </c>
      <c r="F2223" t="s">
        <v>41</v>
      </c>
      <c r="G2223" t="s">
        <v>55</v>
      </c>
      <c r="H2223">
        <v>36240</v>
      </c>
      <c r="I2223">
        <v>1</v>
      </c>
      <c r="J2223">
        <v>1</v>
      </c>
      <c r="K2223">
        <v>1</v>
      </c>
      <c r="L2223">
        <v>0</v>
      </c>
      <c r="M2223" t="s">
        <v>84</v>
      </c>
      <c r="N2223" t="s">
        <v>58</v>
      </c>
      <c r="O2223" t="s">
        <v>94</v>
      </c>
      <c r="P2223" t="s">
        <v>442</v>
      </c>
      <c r="Q2223" t="s">
        <v>46</v>
      </c>
      <c r="R2223" t="s">
        <v>60</v>
      </c>
      <c r="S2223" t="s">
        <v>47</v>
      </c>
      <c r="T2223">
        <v>1</v>
      </c>
      <c r="U2223">
        <v>0</v>
      </c>
      <c r="V2223">
        <v>0</v>
      </c>
      <c r="W2223">
        <v>1</v>
      </c>
      <c r="X2223">
        <v>1</v>
      </c>
      <c r="Y2223">
        <v>0</v>
      </c>
      <c r="Z2223">
        <v>1</v>
      </c>
      <c r="AA2223">
        <v>1</v>
      </c>
      <c r="AB2223">
        <v>0</v>
      </c>
      <c r="AC2223">
        <v>0</v>
      </c>
      <c r="AD2223">
        <v>1</v>
      </c>
      <c r="AE2223">
        <v>1</v>
      </c>
      <c r="AF2223">
        <v>0</v>
      </c>
      <c r="AG2223">
        <v>0</v>
      </c>
    </row>
    <row r="2224" spans="1:33" hidden="1" x14ac:dyDescent="0.2">
      <c r="A2224">
        <v>2223</v>
      </c>
      <c r="B2224" t="s">
        <v>623</v>
      </c>
      <c r="C2224" t="s">
        <v>188</v>
      </c>
      <c r="D2224">
        <v>28</v>
      </c>
      <c r="E2224" t="s">
        <v>114</v>
      </c>
      <c r="F2224" t="s">
        <v>53</v>
      </c>
      <c r="G2224" t="s">
        <v>66</v>
      </c>
      <c r="H2224">
        <v>83931</v>
      </c>
      <c r="I2224">
        <v>1</v>
      </c>
      <c r="J2224">
        <v>1</v>
      </c>
      <c r="K2224">
        <v>1</v>
      </c>
      <c r="L2224">
        <v>0</v>
      </c>
      <c r="M2224" t="s">
        <v>36</v>
      </c>
      <c r="N2224" t="s">
        <v>36</v>
      </c>
      <c r="O2224" t="s">
        <v>36</v>
      </c>
      <c r="P2224" t="s">
        <v>442</v>
      </c>
      <c r="Q2224" t="s">
        <v>36</v>
      </c>
      <c r="R2224" t="s">
        <v>36</v>
      </c>
      <c r="S2224" t="s">
        <v>36</v>
      </c>
      <c r="T2224" t="s">
        <v>36</v>
      </c>
      <c r="U2224">
        <v>0</v>
      </c>
      <c r="V2224">
        <v>0</v>
      </c>
      <c r="W2224">
        <v>1</v>
      </c>
      <c r="X2224">
        <v>1</v>
      </c>
      <c r="Y2224">
        <v>0</v>
      </c>
      <c r="Z2224">
        <v>1</v>
      </c>
      <c r="AA2224">
        <v>1</v>
      </c>
      <c r="AB2224">
        <v>0</v>
      </c>
      <c r="AC2224">
        <v>0</v>
      </c>
      <c r="AD2224">
        <v>1</v>
      </c>
      <c r="AE2224">
        <v>1</v>
      </c>
      <c r="AF2224">
        <v>0</v>
      </c>
      <c r="AG2224">
        <v>0</v>
      </c>
    </row>
    <row r="2225" spans="1:33" x14ac:dyDescent="0.2">
      <c r="A2225">
        <v>2224</v>
      </c>
      <c r="B2225" t="s">
        <v>623</v>
      </c>
      <c r="C2225" t="s">
        <v>188</v>
      </c>
      <c r="D2225">
        <v>28</v>
      </c>
      <c r="E2225" t="s">
        <v>114</v>
      </c>
      <c r="F2225" t="s">
        <v>41</v>
      </c>
      <c r="G2225" t="s">
        <v>42</v>
      </c>
      <c r="H2225">
        <v>3904</v>
      </c>
      <c r="I2225">
        <v>1</v>
      </c>
      <c r="J2225">
        <v>1</v>
      </c>
      <c r="K2225">
        <v>1</v>
      </c>
      <c r="L2225">
        <v>0</v>
      </c>
      <c r="M2225" t="s">
        <v>102</v>
      </c>
      <c r="N2225" t="s">
        <v>43</v>
      </c>
      <c r="O2225" t="s">
        <v>44</v>
      </c>
      <c r="P2225" t="s">
        <v>442</v>
      </c>
      <c r="Q2225" t="s">
        <v>59</v>
      </c>
      <c r="R2225" t="s">
        <v>46</v>
      </c>
      <c r="S2225" t="s">
        <v>47</v>
      </c>
      <c r="T2225">
        <v>0</v>
      </c>
      <c r="U2225">
        <v>0</v>
      </c>
      <c r="V2225">
        <v>0</v>
      </c>
      <c r="W2225">
        <v>1</v>
      </c>
      <c r="X2225">
        <v>1</v>
      </c>
      <c r="Y2225">
        <v>0</v>
      </c>
      <c r="Z2225">
        <v>1</v>
      </c>
      <c r="AA2225">
        <v>0</v>
      </c>
      <c r="AB2225">
        <v>0</v>
      </c>
      <c r="AC2225">
        <v>0</v>
      </c>
      <c r="AD2225">
        <v>1</v>
      </c>
      <c r="AE2225">
        <v>1</v>
      </c>
      <c r="AF2225">
        <v>0</v>
      </c>
      <c r="AG2225">
        <v>0</v>
      </c>
    </row>
    <row r="2226" spans="1:33" hidden="1" x14ac:dyDescent="0.2">
      <c r="A2226">
        <v>2225</v>
      </c>
      <c r="B2226" t="s">
        <v>623</v>
      </c>
      <c r="C2226" t="s">
        <v>188</v>
      </c>
      <c r="D2226">
        <v>28</v>
      </c>
      <c r="E2226" t="s">
        <v>114</v>
      </c>
      <c r="F2226" t="s">
        <v>53</v>
      </c>
      <c r="G2226" t="s">
        <v>76</v>
      </c>
      <c r="H2226">
        <v>38728</v>
      </c>
      <c r="I2226">
        <v>1</v>
      </c>
      <c r="J2226">
        <v>1</v>
      </c>
      <c r="K2226">
        <v>1</v>
      </c>
      <c r="L2226">
        <v>0</v>
      </c>
      <c r="M2226" t="s">
        <v>36</v>
      </c>
      <c r="N2226" t="s">
        <v>36</v>
      </c>
      <c r="O2226" t="s">
        <v>36</v>
      </c>
      <c r="P2226" t="s">
        <v>442</v>
      </c>
      <c r="Q2226" t="s">
        <v>36</v>
      </c>
      <c r="R2226" t="s">
        <v>36</v>
      </c>
      <c r="S2226" t="s">
        <v>36</v>
      </c>
      <c r="T2226" t="s">
        <v>36</v>
      </c>
      <c r="U2226">
        <v>0</v>
      </c>
      <c r="V2226">
        <v>0</v>
      </c>
      <c r="W2226">
        <v>1</v>
      </c>
      <c r="X2226">
        <v>1</v>
      </c>
      <c r="Y2226">
        <v>0</v>
      </c>
      <c r="Z2226">
        <v>1</v>
      </c>
      <c r="AA2226">
        <v>0</v>
      </c>
      <c r="AB2226">
        <v>0</v>
      </c>
      <c r="AC2226">
        <v>0</v>
      </c>
      <c r="AD2226">
        <v>1</v>
      </c>
      <c r="AE2226">
        <v>1</v>
      </c>
      <c r="AF2226">
        <v>0</v>
      </c>
      <c r="AG2226">
        <v>0</v>
      </c>
    </row>
    <row r="2227" spans="1:33" hidden="1" x14ac:dyDescent="0.2">
      <c r="A2227">
        <v>2226</v>
      </c>
      <c r="B2227" t="s">
        <v>623</v>
      </c>
      <c r="C2227" t="s">
        <v>188</v>
      </c>
      <c r="D2227">
        <v>28</v>
      </c>
      <c r="E2227" t="s">
        <v>114</v>
      </c>
      <c r="F2227" t="s">
        <v>77</v>
      </c>
      <c r="G2227" t="s">
        <v>36</v>
      </c>
      <c r="H2227">
        <v>48955</v>
      </c>
      <c r="I2227" t="s">
        <v>624</v>
      </c>
      <c r="J2227" t="s">
        <v>625</v>
      </c>
      <c r="K2227" t="s">
        <v>190</v>
      </c>
      <c r="L2227" t="s">
        <v>36</v>
      </c>
      <c r="M2227" t="s">
        <v>36</v>
      </c>
      <c r="N2227" t="s">
        <v>36</v>
      </c>
      <c r="O2227" t="s">
        <v>36</v>
      </c>
      <c r="P2227" t="s">
        <v>442</v>
      </c>
      <c r="Q2227" t="s">
        <v>36</v>
      </c>
      <c r="R2227" t="s">
        <v>36</v>
      </c>
      <c r="S2227" t="s">
        <v>36</v>
      </c>
      <c r="T2227" t="s">
        <v>36</v>
      </c>
      <c r="U2227" t="s">
        <v>36</v>
      </c>
      <c r="V2227" t="s">
        <v>36</v>
      </c>
      <c r="W2227" t="s">
        <v>36</v>
      </c>
      <c r="X2227" t="s">
        <v>36</v>
      </c>
      <c r="Y2227" t="s">
        <v>36</v>
      </c>
      <c r="Z2227" t="s">
        <v>36</v>
      </c>
      <c r="AA2227" t="s">
        <v>36</v>
      </c>
      <c r="AB2227" t="s">
        <v>36</v>
      </c>
      <c r="AC2227" t="s">
        <v>36</v>
      </c>
      <c r="AD2227" t="s">
        <v>36</v>
      </c>
      <c r="AE2227" t="s">
        <v>36</v>
      </c>
      <c r="AF2227" t="s">
        <v>36</v>
      </c>
      <c r="AG2227" t="s">
        <v>36</v>
      </c>
    </row>
    <row r="2228" spans="1:33" hidden="1" x14ac:dyDescent="0.2">
      <c r="A2228">
        <v>2227</v>
      </c>
      <c r="B2228" t="s">
        <v>626</v>
      </c>
      <c r="C2228" t="s">
        <v>188</v>
      </c>
      <c r="D2228">
        <v>27</v>
      </c>
      <c r="E2228" t="s">
        <v>114</v>
      </c>
      <c r="F2228" t="s">
        <v>35</v>
      </c>
      <c r="G2228" t="s">
        <v>36</v>
      </c>
      <c r="H2228">
        <v>38415</v>
      </c>
      <c r="I2228" t="s">
        <v>36</v>
      </c>
      <c r="J2228" t="s">
        <v>36</v>
      </c>
      <c r="K2228" t="s">
        <v>36</v>
      </c>
      <c r="L2228" t="s">
        <v>36</v>
      </c>
      <c r="M2228" t="s">
        <v>36</v>
      </c>
      <c r="N2228" t="s">
        <v>36</v>
      </c>
      <c r="O2228" t="s">
        <v>36</v>
      </c>
      <c r="P2228" t="s">
        <v>442</v>
      </c>
      <c r="Q2228" t="s">
        <v>36</v>
      </c>
      <c r="R2228" t="s">
        <v>36</v>
      </c>
      <c r="S2228" t="s">
        <v>36</v>
      </c>
      <c r="T2228" t="s">
        <v>36</v>
      </c>
      <c r="U2228" t="s">
        <v>36</v>
      </c>
      <c r="V2228" t="s">
        <v>36</v>
      </c>
      <c r="W2228" t="s">
        <v>36</v>
      </c>
      <c r="X2228" t="s">
        <v>36</v>
      </c>
      <c r="Y2228" t="s">
        <v>36</v>
      </c>
      <c r="Z2228" t="s">
        <v>36</v>
      </c>
      <c r="AA2228" t="s">
        <v>36</v>
      </c>
      <c r="AB2228" t="s">
        <v>36</v>
      </c>
      <c r="AC2228" t="s">
        <v>36</v>
      </c>
      <c r="AD2228" t="s">
        <v>36</v>
      </c>
      <c r="AE2228" t="s">
        <v>36</v>
      </c>
      <c r="AF2228" t="s">
        <v>36</v>
      </c>
      <c r="AG2228" t="s">
        <v>36</v>
      </c>
    </row>
    <row r="2229" spans="1:33" hidden="1" x14ac:dyDescent="0.2">
      <c r="A2229">
        <v>2228</v>
      </c>
      <c r="B2229" t="s">
        <v>626</v>
      </c>
      <c r="C2229" t="s">
        <v>188</v>
      </c>
      <c r="D2229">
        <v>27</v>
      </c>
      <c r="E2229" t="s">
        <v>114</v>
      </c>
      <c r="F2229" t="s">
        <v>38</v>
      </c>
      <c r="G2229" t="s">
        <v>40</v>
      </c>
      <c r="H2229">
        <v>259694</v>
      </c>
      <c r="I2229">
        <v>0</v>
      </c>
      <c r="J2229">
        <v>0</v>
      </c>
      <c r="K2229">
        <v>1</v>
      </c>
      <c r="L2229">
        <v>0</v>
      </c>
      <c r="M2229" t="s">
        <v>36</v>
      </c>
      <c r="N2229" t="s">
        <v>36</v>
      </c>
      <c r="O2229" t="s">
        <v>36</v>
      </c>
      <c r="P2229" t="s">
        <v>442</v>
      </c>
      <c r="Q2229" t="s">
        <v>36</v>
      </c>
      <c r="R2229" t="s">
        <v>36</v>
      </c>
      <c r="S2229" t="s">
        <v>36</v>
      </c>
      <c r="T2229" t="s">
        <v>36</v>
      </c>
      <c r="U2229" t="s">
        <v>36</v>
      </c>
      <c r="V2229" t="s">
        <v>36</v>
      </c>
      <c r="W2229" t="s">
        <v>36</v>
      </c>
      <c r="X2229" t="s">
        <v>36</v>
      </c>
      <c r="Y2229" t="s">
        <v>36</v>
      </c>
      <c r="Z2229" t="s">
        <v>36</v>
      </c>
      <c r="AA2229" t="s">
        <v>36</v>
      </c>
      <c r="AB2229" t="s">
        <v>36</v>
      </c>
      <c r="AC2229" t="s">
        <v>36</v>
      </c>
      <c r="AD2229" t="s">
        <v>36</v>
      </c>
      <c r="AE2229" t="s">
        <v>36</v>
      </c>
      <c r="AF2229" t="s">
        <v>36</v>
      </c>
      <c r="AG2229" t="s">
        <v>36</v>
      </c>
    </row>
    <row r="2230" spans="1:33" hidden="1" x14ac:dyDescent="0.2">
      <c r="A2230">
        <v>2229</v>
      </c>
      <c r="B2230" t="s">
        <v>626</v>
      </c>
      <c r="C2230" t="s">
        <v>188</v>
      </c>
      <c r="D2230">
        <v>27</v>
      </c>
      <c r="E2230" t="s">
        <v>114</v>
      </c>
      <c r="F2230" t="s">
        <v>38</v>
      </c>
      <c r="G2230" t="s">
        <v>39</v>
      </c>
      <c r="H2230">
        <v>549771</v>
      </c>
      <c r="I2230">
        <v>1</v>
      </c>
      <c r="J2230">
        <v>1</v>
      </c>
      <c r="K2230">
        <v>1</v>
      </c>
      <c r="L2230">
        <v>0</v>
      </c>
      <c r="M2230" t="s">
        <v>36</v>
      </c>
      <c r="N2230" t="s">
        <v>36</v>
      </c>
      <c r="O2230" t="s">
        <v>36</v>
      </c>
      <c r="P2230" t="s">
        <v>442</v>
      </c>
      <c r="Q2230" t="s">
        <v>36</v>
      </c>
      <c r="R2230" t="s">
        <v>36</v>
      </c>
      <c r="S2230" t="s">
        <v>36</v>
      </c>
      <c r="T2230" t="s">
        <v>36</v>
      </c>
      <c r="U2230" t="s">
        <v>36</v>
      </c>
      <c r="V2230" t="s">
        <v>36</v>
      </c>
      <c r="W2230" t="s">
        <v>36</v>
      </c>
      <c r="X2230" t="s">
        <v>36</v>
      </c>
      <c r="Y2230" t="s">
        <v>36</v>
      </c>
      <c r="Z2230" t="s">
        <v>36</v>
      </c>
      <c r="AA2230" t="s">
        <v>36</v>
      </c>
      <c r="AB2230" t="s">
        <v>36</v>
      </c>
      <c r="AC2230" t="s">
        <v>36</v>
      </c>
      <c r="AD2230" t="s">
        <v>36</v>
      </c>
      <c r="AE2230" t="s">
        <v>36</v>
      </c>
      <c r="AF2230" t="s">
        <v>36</v>
      </c>
      <c r="AG2230" t="s">
        <v>36</v>
      </c>
    </row>
    <row r="2231" spans="1:33" x14ac:dyDescent="0.2">
      <c r="A2231">
        <v>2230</v>
      </c>
      <c r="B2231" t="s">
        <v>626</v>
      </c>
      <c r="C2231" t="s">
        <v>188</v>
      </c>
      <c r="D2231">
        <v>27</v>
      </c>
      <c r="E2231" t="s">
        <v>114</v>
      </c>
      <c r="F2231" t="s">
        <v>41</v>
      </c>
      <c r="G2231" t="s">
        <v>72</v>
      </c>
      <c r="H2231">
        <v>151574</v>
      </c>
      <c r="I2231">
        <v>0</v>
      </c>
      <c r="J2231">
        <v>1</v>
      </c>
      <c r="K2231">
        <v>1</v>
      </c>
      <c r="L2231">
        <v>0</v>
      </c>
      <c r="M2231" t="s">
        <v>74</v>
      </c>
      <c r="N2231" t="s">
        <v>75</v>
      </c>
      <c r="O2231" t="s">
        <v>115</v>
      </c>
      <c r="P2231" t="s">
        <v>442</v>
      </c>
      <c r="Q2231" t="s">
        <v>47</v>
      </c>
      <c r="R2231" t="s">
        <v>46</v>
      </c>
      <c r="S2231" t="s">
        <v>65</v>
      </c>
      <c r="T2231">
        <v>0</v>
      </c>
      <c r="U2231">
        <v>1</v>
      </c>
      <c r="V2231">
        <v>0</v>
      </c>
      <c r="W2231">
        <v>1</v>
      </c>
      <c r="X2231">
        <v>1</v>
      </c>
      <c r="Y2231">
        <v>0</v>
      </c>
      <c r="Z2231">
        <v>1</v>
      </c>
      <c r="AA2231">
        <v>0</v>
      </c>
      <c r="AB2231">
        <v>1</v>
      </c>
      <c r="AC2231">
        <v>0</v>
      </c>
      <c r="AD2231">
        <v>0</v>
      </c>
      <c r="AE2231">
        <v>1</v>
      </c>
      <c r="AF2231">
        <v>0</v>
      </c>
      <c r="AG2231">
        <v>0</v>
      </c>
    </row>
    <row r="2232" spans="1:33" x14ac:dyDescent="0.2">
      <c r="A2232">
        <v>2231</v>
      </c>
      <c r="B2232" t="s">
        <v>626</v>
      </c>
      <c r="C2232" t="s">
        <v>188</v>
      </c>
      <c r="D2232">
        <v>27</v>
      </c>
      <c r="E2232" t="s">
        <v>114</v>
      </c>
      <c r="F2232" t="s">
        <v>41</v>
      </c>
      <c r="G2232" t="s">
        <v>67</v>
      </c>
      <c r="H2232">
        <v>8175</v>
      </c>
      <c r="I2232">
        <v>0</v>
      </c>
      <c r="J2232">
        <v>0</v>
      </c>
      <c r="K2232">
        <v>1</v>
      </c>
      <c r="L2232">
        <v>0</v>
      </c>
      <c r="M2232" t="s">
        <v>70</v>
      </c>
      <c r="N2232" t="s">
        <v>109</v>
      </c>
      <c r="O2232" t="s">
        <v>68</v>
      </c>
      <c r="P2232" t="s">
        <v>442</v>
      </c>
      <c r="Q2232" t="s">
        <v>47</v>
      </c>
      <c r="R2232" t="s">
        <v>59</v>
      </c>
      <c r="S2232" t="s">
        <v>65</v>
      </c>
      <c r="T2232">
        <v>0</v>
      </c>
      <c r="U2232">
        <v>1</v>
      </c>
      <c r="V2232">
        <v>0</v>
      </c>
      <c r="W2232">
        <v>1</v>
      </c>
      <c r="X2232">
        <v>0</v>
      </c>
      <c r="Y2232">
        <v>0</v>
      </c>
      <c r="Z2232">
        <v>1</v>
      </c>
      <c r="AA2232">
        <v>0</v>
      </c>
      <c r="AB2232">
        <v>1</v>
      </c>
      <c r="AC2232">
        <v>0</v>
      </c>
      <c r="AD2232">
        <v>0</v>
      </c>
      <c r="AE2232">
        <v>0</v>
      </c>
      <c r="AF2232">
        <v>0</v>
      </c>
      <c r="AG2232">
        <v>0</v>
      </c>
    </row>
    <row r="2233" spans="1:33" hidden="1" x14ac:dyDescent="0.2">
      <c r="A2233">
        <v>2232</v>
      </c>
      <c r="B2233" t="s">
        <v>626</v>
      </c>
      <c r="C2233" t="s">
        <v>188</v>
      </c>
      <c r="D2233">
        <v>27</v>
      </c>
      <c r="E2233" t="s">
        <v>114</v>
      </c>
      <c r="F2233" t="s">
        <v>53</v>
      </c>
      <c r="G2233" t="s">
        <v>66</v>
      </c>
      <c r="H2233">
        <v>3020</v>
      </c>
      <c r="I2233">
        <v>0</v>
      </c>
      <c r="J2233">
        <v>0</v>
      </c>
      <c r="K2233">
        <v>1</v>
      </c>
      <c r="L2233">
        <v>0</v>
      </c>
      <c r="M2233" t="s">
        <v>36</v>
      </c>
      <c r="N2233" t="s">
        <v>36</v>
      </c>
      <c r="O2233" t="s">
        <v>36</v>
      </c>
      <c r="P2233" t="s">
        <v>442</v>
      </c>
      <c r="Q2233" t="s">
        <v>36</v>
      </c>
      <c r="R2233" t="s">
        <v>36</v>
      </c>
      <c r="S2233" t="s">
        <v>36</v>
      </c>
      <c r="T2233" t="s">
        <v>36</v>
      </c>
      <c r="U2233">
        <v>1</v>
      </c>
      <c r="V2233">
        <v>0</v>
      </c>
      <c r="W2233">
        <v>1</v>
      </c>
      <c r="X2233">
        <v>0</v>
      </c>
      <c r="Y2233">
        <v>0</v>
      </c>
      <c r="Z2233">
        <v>1</v>
      </c>
      <c r="AA2233">
        <v>0</v>
      </c>
      <c r="AB2233">
        <v>1</v>
      </c>
      <c r="AC2233">
        <v>0</v>
      </c>
      <c r="AD2233">
        <v>0</v>
      </c>
      <c r="AE2233">
        <v>0</v>
      </c>
      <c r="AF2233">
        <v>0</v>
      </c>
      <c r="AG2233">
        <v>0</v>
      </c>
    </row>
    <row r="2234" spans="1:33" x14ac:dyDescent="0.2">
      <c r="A2234">
        <v>2233</v>
      </c>
      <c r="B2234" t="s">
        <v>626</v>
      </c>
      <c r="C2234" t="s">
        <v>188</v>
      </c>
      <c r="D2234">
        <v>27</v>
      </c>
      <c r="E2234" t="s">
        <v>114</v>
      </c>
      <c r="F2234" t="s">
        <v>41</v>
      </c>
      <c r="G2234" t="s">
        <v>42</v>
      </c>
      <c r="H2234">
        <v>2594</v>
      </c>
      <c r="I2234">
        <v>0</v>
      </c>
      <c r="J2234">
        <v>1</v>
      </c>
      <c r="K2234">
        <v>0</v>
      </c>
      <c r="L2234">
        <v>0</v>
      </c>
      <c r="M2234" t="s">
        <v>44</v>
      </c>
      <c r="N2234" t="s">
        <v>45</v>
      </c>
      <c r="O2234" t="s">
        <v>43</v>
      </c>
      <c r="P2234" t="s">
        <v>442</v>
      </c>
      <c r="Q2234" t="s">
        <v>47</v>
      </c>
      <c r="R2234" t="s">
        <v>48</v>
      </c>
      <c r="S2234" t="s">
        <v>46</v>
      </c>
      <c r="T2234">
        <v>0</v>
      </c>
      <c r="U2234">
        <v>0</v>
      </c>
      <c r="V2234">
        <v>1</v>
      </c>
      <c r="W2234">
        <v>1</v>
      </c>
      <c r="X2234">
        <v>1</v>
      </c>
      <c r="Y2234">
        <v>0</v>
      </c>
      <c r="Z2234">
        <v>1</v>
      </c>
      <c r="AA2234">
        <v>0</v>
      </c>
      <c r="AB2234">
        <v>0</v>
      </c>
      <c r="AC2234">
        <v>1</v>
      </c>
      <c r="AD2234">
        <v>0</v>
      </c>
      <c r="AE2234">
        <v>0</v>
      </c>
      <c r="AF2234">
        <v>0</v>
      </c>
      <c r="AG2234">
        <v>0</v>
      </c>
    </row>
    <row r="2235" spans="1:33" hidden="1" x14ac:dyDescent="0.2">
      <c r="A2235">
        <v>2234</v>
      </c>
      <c r="B2235" t="s">
        <v>626</v>
      </c>
      <c r="C2235" t="s">
        <v>188</v>
      </c>
      <c r="D2235">
        <v>27</v>
      </c>
      <c r="E2235" t="s">
        <v>114</v>
      </c>
      <c r="F2235" t="s">
        <v>53</v>
      </c>
      <c r="G2235" t="s">
        <v>76</v>
      </c>
      <c r="H2235">
        <v>2545</v>
      </c>
      <c r="I2235">
        <v>0</v>
      </c>
      <c r="J2235">
        <v>1</v>
      </c>
      <c r="K2235">
        <v>0</v>
      </c>
      <c r="L2235">
        <v>0</v>
      </c>
      <c r="M2235" t="s">
        <v>36</v>
      </c>
      <c r="N2235" t="s">
        <v>36</v>
      </c>
      <c r="O2235" t="s">
        <v>36</v>
      </c>
      <c r="P2235" t="s">
        <v>442</v>
      </c>
      <c r="Q2235" t="s">
        <v>36</v>
      </c>
      <c r="R2235" t="s">
        <v>36</v>
      </c>
      <c r="S2235" t="s">
        <v>36</v>
      </c>
      <c r="T2235" t="s">
        <v>36</v>
      </c>
      <c r="U2235">
        <v>0</v>
      </c>
      <c r="V2235">
        <v>1</v>
      </c>
      <c r="W2235">
        <v>1</v>
      </c>
      <c r="X2235">
        <v>1</v>
      </c>
      <c r="Y2235">
        <v>0</v>
      </c>
      <c r="Z2235">
        <v>1</v>
      </c>
      <c r="AA2235">
        <v>0</v>
      </c>
      <c r="AB2235">
        <v>0</v>
      </c>
      <c r="AC2235">
        <v>1</v>
      </c>
      <c r="AD2235">
        <v>0</v>
      </c>
      <c r="AE2235">
        <v>0</v>
      </c>
      <c r="AF2235">
        <v>0</v>
      </c>
      <c r="AG2235">
        <v>0</v>
      </c>
    </row>
    <row r="2236" spans="1:33" x14ac:dyDescent="0.2">
      <c r="A2236">
        <v>2235</v>
      </c>
      <c r="B2236" t="s">
        <v>626</v>
      </c>
      <c r="C2236" t="s">
        <v>188</v>
      </c>
      <c r="D2236">
        <v>27</v>
      </c>
      <c r="E2236" t="s">
        <v>114</v>
      </c>
      <c r="F2236" t="s">
        <v>41</v>
      </c>
      <c r="G2236" t="s">
        <v>49</v>
      </c>
      <c r="H2236">
        <v>6102</v>
      </c>
      <c r="I2236">
        <v>1</v>
      </c>
      <c r="J2236">
        <v>1</v>
      </c>
      <c r="K2236">
        <v>0</v>
      </c>
      <c r="L2236">
        <v>0</v>
      </c>
      <c r="M2236" t="s">
        <v>52</v>
      </c>
      <c r="N2236" t="s">
        <v>50</v>
      </c>
      <c r="O2236" t="s">
        <v>83</v>
      </c>
      <c r="P2236" t="s">
        <v>442</v>
      </c>
      <c r="Q2236" t="s">
        <v>46</v>
      </c>
      <c r="R2236" t="s">
        <v>48</v>
      </c>
      <c r="S2236" t="s">
        <v>59</v>
      </c>
      <c r="T2236">
        <v>0</v>
      </c>
      <c r="U2236">
        <v>0</v>
      </c>
      <c r="V2236">
        <v>1</v>
      </c>
      <c r="W2236">
        <v>0</v>
      </c>
      <c r="X2236">
        <v>1</v>
      </c>
      <c r="Y2236">
        <v>0</v>
      </c>
      <c r="Z2236">
        <v>1</v>
      </c>
      <c r="AA2236">
        <v>0</v>
      </c>
      <c r="AB2236">
        <v>0</v>
      </c>
      <c r="AC2236">
        <v>1</v>
      </c>
      <c r="AD2236">
        <v>0</v>
      </c>
      <c r="AE2236">
        <v>1</v>
      </c>
      <c r="AF2236">
        <v>0</v>
      </c>
      <c r="AG2236">
        <v>0</v>
      </c>
    </row>
    <row r="2237" spans="1:33" x14ac:dyDescent="0.2">
      <c r="A2237">
        <v>2236</v>
      </c>
      <c r="B2237" t="s">
        <v>626</v>
      </c>
      <c r="C2237" t="s">
        <v>188</v>
      </c>
      <c r="D2237">
        <v>27</v>
      </c>
      <c r="E2237" t="s">
        <v>114</v>
      </c>
      <c r="F2237" t="s">
        <v>41</v>
      </c>
      <c r="G2237" t="s">
        <v>55</v>
      </c>
      <c r="H2237">
        <v>2356</v>
      </c>
      <c r="I2237">
        <v>0</v>
      </c>
      <c r="J2237">
        <v>1</v>
      </c>
      <c r="K2237">
        <v>0</v>
      </c>
      <c r="L2237">
        <v>0</v>
      </c>
      <c r="M2237" t="s">
        <v>57</v>
      </c>
      <c r="N2237" t="s">
        <v>85</v>
      </c>
      <c r="O2237" t="s">
        <v>58</v>
      </c>
      <c r="P2237" t="s">
        <v>442</v>
      </c>
      <c r="Q2237" t="s">
        <v>48</v>
      </c>
      <c r="R2237" t="s">
        <v>65</v>
      </c>
      <c r="S2237" t="s">
        <v>60</v>
      </c>
      <c r="T2237">
        <v>1</v>
      </c>
      <c r="U2237">
        <v>1</v>
      </c>
      <c r="V2237">
        <v>1</v>
      </c>
      <c r="W2237">
        <v>0</v>
      </c>
      <c r="X2237">
        <v>0</v>
      </c>
      <c r="Y2237">
        <v>0</v>
      </c>
      <c r="Z2237">
        <v>1</v>
      </c>
      <c r="AA2237">
        <v>0</v>
      </c>
      <c r="AB2237">
        <v>1</v>
      </c>
      <c r="AC2237">
        <v>0</v>
      </c>
      <c r="AD2237">
        <v>0</v>
      </c>
      <c r="AE2237">
        <v>0</v>
      </c>
      <c r="AF2237">
        <v>0</v>
      </c>
      <c r="AG2237">
        <v>0</v>
      </c>
    </row>
    <row r="2238" spans="1:33" hidden="1" x14ac:dyDescent="0.2">
      <c r="A2238">
        <v>2237</v>
      </c>
      <c r="B2238" t="s">
        <v>626</v>
      </c>
      <c r="C2238" t="s">
        <v>188</v>
      </c>
      <c r="D2238">
        <v>27</v>
      </c>
      <c r="E2238" t="s">
        <v>114</v>
      </c>
      <c r="F2238" t="s">
        <v>53</v>
      </c>
      <c r="G2238" t="s">
        <v>71</v>
      </c>
      <c r="H2238">
        <v>4237</v>
      </c>
      <c r="I2238">
        <v>1</v>
      </c>
      <c r="J2238">
        <v>1</v>
      </c>
      <c r="K2238">
        <v>0</v>
      </c>
      <c r="L2238">
        <v>0</v>
      </c>
      <c r="M2238" t="s">
        <v>36</v>
      </c>
      <c r="N2238" t="s">
        <v>36</v>
      </c>
      <c r="O2238" t="s">
        <v>36</v>
      </c>
      <c r="P2238" t="s">
        <v>442</v>
      </c>
      <c r="Q2238" t="s">
        <v>36</v>
      </c>
      <c r="R2238" t="s">
        <v>36</v>
      </c>
      <c r="S2238" t="s">
        <v>36</v>
      </c>
      <c r="T2238" t="s">
        <v>36</v>
      </c>
      <c r="U2238">
        <v>1</v>
      </c>
      <c r="V2238">
        <v>1</v>
      </c>
      <c r="W2238">
        <v>0</v>
      </c>
      <c r="X2238">
        <v>0</v>
      </c>
      <c r="Y2238">
        <v>0</v>
      </c>
      <c r="Z2238">
        <v>1</v>
      </c>
      <c r="AA2238">
        <v>0</v>
      </c>
      <c r="AB2238">
        <v>1</v>
      </c>
      <c r="AC2238">
        <v>0</v>
      </c>
      <c r="AD2238">
        <v>0</v>
      </c>
      <c r="AE2238">
        <v>0</v>
      </c>
      <c r="AF2238">
        <v>0</v>
      </c>
      <c r="AG2238">
        <v>0</v>
      </c>
    </row>
    <row r="2239" spans="1:33" x14ac:dyDescent="0.2">
      <c r="A2239">
        <v>2238</v>
      </c>
      <c r="B2239" t="s">
        <v>626</v>
      </c>
      <c r="C2239" t="s">
        <v>188</v>
      </c>
      <c r="D2239">
        <v>27</v>
      </c>
      <c r="E2239" t="s">
        <v>114</v>
      </c>
      <c r="F2239" t="s">
        <v>41</v>
      </c>
      <c r="G2239" t="s">
        <v>61</v>
      </c>
      <c r="H2239">
        <v>23439</v>
      </c>
      <c r="I2239">
        <v>0</v>
      </c>
      <c r="J2239">
        <v>1</v>
      </c>
      <c r="K2239">
        <v>1</v>
      </c>
      <c r="L2239">
        <v>0</v>
      </c>
      <c r="M2239" t="s">
        <v>62</v>
      </c>
      <c r="N2239" t="s">
        <v>97</v>
      </c>
      <c r="O2239" t="s">
        <v>64</v>
      </c>
      <c r="P2239" t="s">
        <v>442</v>
      </c>
      <c r="Q2239" t="s">
        <v>65</v>
      </c>
      <c r="R2239" t="s">
        <v>59</v>
      </c>
      <c r="S2239" t="s">
        <v>48</v>
      </c>
      <c r="T2239">
        <v>0</v>
      </c>
      <c r="U2239">
        <v>1</v>
      </c>
      <c r="V2239">
        <v>1</v>
      </c>
      <c r="W2239">
        <v>0</v>
      </c>
      <c r="X2239">
        <v>0</v>
      </c>
      <c r="Y2239">
        <v>0</v>
      </c>
      <c r="Z2239">
        <v>1</v>
      </c>
      <c r="AA2239">
        <v>0</v>
      </c>
      <c r="AB2239">
        <v>0</v>
      </c>
      <c r="AC2239">
        <v>1</v>
      </c>
      <c r="AD2239">
        <v>0</v>
      </c>
      <c r="AE2239">
        <v>0</v>
      </c>
      <c r="AF2239">
        <v>0</v>
      </c>
      <c r="AG2239">
        <v>0</v>
      </c>
    </row>
    <row r="2240" spans="1:33" hidden="1" x14ac:dyDescent="0.2">
      <c r="A2240">
        <v>2239</v>
      </c>
      <c r="B2240" t="s">
        <v>626</v>
      </c>
      <c r="C2240" t="s">
        <v>188</v>
      </c>
      <c r="D2240">
        <v>27</v>
      </c>
      <c r="E2240" t="s">
        <v>114</v>
      </c>
      <c r="F2240" t="s">
        <v>53</v>
      </c>
      <c r="G2240" t="s">
        <v>54</v>
      </c>
      <c r="H2240">
        <v>3510</v>
      </c>
      <c r="I2240">
        <v>0</v>
      </c>
      <c r="J2240">
        <v>1</v>
      </c>
      <c r="K2240">
        <v>1</v>
      </c>
      <c r="L2240">
        <v>0</v>
      </c>
      <c r="M2240" t="s">
        <v>36</v>
      </c>
      <c r="N2240" t="s">
        <v>36</v>
      </c>
      <c r="O2240" t="s">
        <v>36</v>
      </c>
      <c r="P2240" t="s">
        <v>442</v>
      </c>
      <c r="Q2240" t="s">
        <v>36</v>
      </c>
      <c r="R2240" t="s">
        <v>36</v>
      </c>
      <c r="S2240" t="s">
        <v>36</v>
      </c>
      <c r="T2240" t="s">
        <v>36</v>
      </c>
      <c r="U2240">
        <v>1</v>
      </c>
      <c r="V2240">
        <v>1</v>
      </c>
      <c r="W2240">
        <v>0</v>
      </c>
      <c r="X2240">
        <v>0</v>
      </c>
      <c r="Y2240">
        <v>0</v>
      </c>
      <c r="Z2240">
        <v>1</v>
      </c>
      <c r="AA2240">
        <v>0</v>
      </c>
      <c r="AB2240">
        <v>0</v>
      </c>
      <c r="AC2240">
        <v>1</v>
      </c>
      <c r="AD2240">
        <v>0</v>
      </c>
      <c r="AE2240">
        <v>0</v>
      </c>
      <c r="AF2240">
        <v>0</v>
      </c>
      <c r="AG2240">
        <v>0</v>
      </c>
    </row>
    <row r="2241" spans="1:33" hidden="1" x14ac:dyDescent="0.2">
      <c r="A2241">
        <v>2240</v>
      </c>
      <c r="B2241" t="s">
        <v>626</v>
      </c>
      <c r="C2241" t="s">
        <v>188</v>
      </c>
      <c r="D2241">
        <v>27</v>
      </c>
      <c r="E2241" t="s">
        <v>114</v>
      </c>
      <c r="F2241" t="s">
        <v>77</v>
      </c>
      <c r="G2241" t="s">
        <v>36</v>
      </c>
      <c r="H2241">
        <v>51474</v>
      </c>
      <c r="I2241" t="s">
        <v>624</v>
      </c>
      <c r="J2241" t="s">
        <v>625</v>
      </c>
      <c r="K2241" t="s">
        <v>190</v>
      </c>
      <c r="L2241" t="s">
        <v>36</v>
      </c>
      <c r="M2241" t="s">
        <v>36</v>
      </c>
      <c r="N2241" t="s">
        <v>36</v>
      </c>
      <c r="O2241" t="s">
        <v>36</v>
      </c>
      <c r="P2241" t="s">
        <v>442</v>
      </c>
      <c r="Q2241" t="s">
        <v>36</v>
      </c>
      <c r="R2241" t="s">
        <v>36</v>
      </c>
      <c r="S2241" t="s">
        <v>36</v>
      </c>
      <c r="T2241" t="s">
        <v>36</v>
      </c>
      <c r="U2241" t="s">
        <v>36</v>
      </c>
      <c r="V2241" t="s">
        <v>36</v>
      </c>
      <c r="W2241" t="s">
        <v>36</v>
      </c>
      <c r="X2241" t="s">
        <v>36</v>
      </c>
      <c r="Y2241" t="s">
        <v>36</v>
      </c>
      <c r="Z2241" t="s">
        <v>36</v>
      </c>
      <c r="AA2241" t="s">
        <v>36</v>
      </c>
      <c r="AB2241" t="s">
        <v>36</v>
      </c>
      <c r="AC2241" t="s">
        <v>36</v>
      </c>
      <c r="AD2241" t="s">
        <v>36</v>
      </c>
      <c r="AE2241" t="s">
        <v>36</v>
      </c>
      <c r="AF2241" t="s">
        <v>36</v>
      </c>
      <c r="AG2241" t="s">
        <v>36</v>
      </c>
    </row>
    <row r="2242" spans="1:33" hidden="1" x14ac:dyDescent="0.2">
      <c r="A2242">
        <v>2241</v>
      </c>
      <c r="B2242" t="s">
        <v>627</v>
      </c>
      <c r="C2242" t="s">
        <v>33</v>
      </c>
      <c r="D2242">
        <v>53</v>
      </c>
      <c r="E2242" t="s">
        <v>114</v>
      </c>
      <c r="F2242" t="s">
        <v>35</v>
      </c>
      <c r="G2242" t="s">
        <v>36</v>
      </c>
      <c r="H2242">
        <v>556595</v>
      </c>
      <c r="I2242" t="s">
        <v>36</v>
      </c>
      <c r="J2242" t="s">
        <v>36</v>
      </c>
      <c r="K2242" t="s">
        <v>36</v>
      </c>
      <c r="L2242" t="s">
        <v>36</v>
      </c>
      <c r="M2242" t="s">
        <v>36</v>
      </c>
      <c r="N2242" t="s">
        <v>36</v>
      </c>
      <c r="O2242" t="s">
        <v>36</v>
      </c>
      <c r="P2242" t="s">
        <v>442</v>
      </c>
      <c r="Q2242" t="s">
        <v>36</v>
      </c>
      <c r="R2242" t="s">
        <v>36</v>
      </c>
      <c r="S2242" t="s">
        <v>36</v>
      </c>
      <c r="T2242" t="s">
        <v>36</v>
      </c>
      <c r="U2242" t="s">
        <v>36</v>
      </c>
      <c r="V2242" t="s">
        <v>36</v>
      </c>
      <c r="W2242" t="s">
        <v>36</v>
      </c>
      <c r="X2242" t="s">
        <v>36</v>
      </c>
      <c r="Y2242" t="s">
        <v>36</v>
      </c>
      <c r="Z2242" t="s">
        <v>36</v>
      </c>
      <c r="AA2242" t="s">
        <v>36</v>
      </c>
      <c r="AB2242" t="s">
        <v>36</v>
      </c>
      <c r="AC2242" t="s">
        <v>36</v>
      </c>
      <c r="AD2242" t="s">
        <v>36</v>
      </c>
      <c r="AE2242" t="s">
        <v>36</v>
      </c>
      <c r="AF2242" t="s">
        <v>36</v>
      </c>
      <c r="AG2242" t="s">
        <v>36</v>
      </c>
    </row>
    <row r="2243" spans="1:33" hidden="1" x14ac:dyDescent="0.2">
      <c r="A2243">
        <v>2242</v>
      </c>
      <c r="B2243" t="s">
        <v>627</v>
      </c>
      <c r="C2243" t="s">
        <v>33</v>
      </c>
      <c r="D2243">
        <v>53</v>
      </c>
      <c r="E2243" t="s">
        <v>114</v>
      </c>
      <c r="F2243" t="s">
        <v>38</v>
      </c>
      <c r="G2243" t="s">
        <v>39</v>
      </c>
      <c r="H2243">
        <v>47918</v>
      </c>
      <c r="I2243">
        <v>0</v>
      </c>
      <c r="J2243">
        <v>0</v>
      </c>
      <c r="K2243">
        <v>0</v>
      </c>
      <c r="L2243">
        <v>1</v>
      </c>
      <c r="M2243" t="s">
        <v>36</v>
      </c>
      <c r="N2243" t="s">
        <v>36</v>
      </c>
      <c r="O2243" t="s">
        <v>36</v>
      </c>
      <c r="P2243" t="s">
        <v>442</v>
      </c>
      <c r="Q2243" t="s">
        <v>36</v>
      </c>
      <c r="R2243" t="s">
        <v>36</v>
      </c>
      <c r="S2243" t="s">
        <v>36</v>
      </c>
      <c r="T2243" t="s">
        <v>36</v>
      </c>
      <c r="U2243" t="s">
        <v>36</v>
      </c>
      <c r="V2243" t="s">
        <v>36</v>
      </c>
      <c r="W2243" t="s">
        <v>36</v>
      </c>
      <c r="X2243" t="s">
        <v>36</v>
      </c>
      <c r="Y2243" t="s">
        <v>36</v>
      </c>
      <c r="Z2243" t="s">
        <v>36</v>
      </c>
      <c r="AA2243" t="s">
        <v>36</v>
      </c>
      <c r="AB2243" t="s">
        <v>36</v>
      </c>
      <c r="AC2243" t="s">
        <v>36</v>
      </c>
      <c r="AD2243" t="s">
        <v>36</v>
      </c>
      <c r="AE2243" t="s">
        <v>36</v>
      </c>
      <c r="AF2243" t="s">
        <v>36</v>
      </c>
      <c r="AG2243" t="s">
        <v>36</v>
      </c>
    </row>
    <row r="2244" spans="1:33" hidden="1" x14ac:dyDescent="0.2">
      <c r="A2244">
        <v>2243</v>
      </c>
      <c r="B2244" t="s">
        <v>627</v>
      </c>
      <c r="C2244" t="s">
        <v>33</v>
      </c>
      <c r="D2244">
        <v>53</v>
      </c>
      <c r="E2244" t="s">
        <v>114</v>
      </c>
      <c r="F2244" t="s">
        <v>38</v>
      </c>
      <c r="G2244" t="s">
        <v>40</v>
      </c>
      <c r="H2244">
        <v>103144</v>
      </c>
      <c r="I2244">
        <v>0</v>
      </c>
      <c r="J2244">
        <v>0</v>
      </c>
      <c r="K2244">
        <v>0</v>
      </c>
      <c r="L2244">
        <v>1</v>
      </c>
      <c r="M2244" t="s">
        <v>36</v>
      </c>
      <c r="N2244" t="s">
        <v>36</v>
      </c>
      <c r="O2244" t="s">
        <v>36</v>
      </c>
      <c r="P2244" t="s">
        <v>442</v>
      </c>
      <c r="Q2244" t="s">
        <v>36</v>
      </c>
      <c r="R2244" t="s">
        <v>36</v>
      </c>
      <c r="S2244" t="s">
        <v>36</v>
      </c>
      <c r="T2244" t="s">
        <v>36</v>
      </c>
      <c r="U2244" t="s">
        <v>36</v>
      </c>
      <c r="V2244" t="s">
        <v>36</v>
      </c>
      <c r="W2244" t="s">
        <v>36</v>
      </c>
      <c r="X2244" t="s">
        <v>36</v>
      </c>
      <c r="Y2244" t="s">
        <v>36</v>
      </c>
      <c r="Z2244" t="s">
        <v>36</v>
      </c>
      <c r="AA2244" t="s">
        <v>36</v>
      </c>
      <c r="AB2244" t="s">
        <v>36</v>
      </c>
      <c r="AC2244" t="s">
        <v>36</v>
      </c>
      <c r="AD2244" t="s">
        <v>36</v>
      </c>
      <c r="AE2244" t="s">
        <v>36</v>
      </c>
      <c r="AF2244" t="s">
        <v>36</v>
      </c>
      <c r="AG2244" t="s">
        <v>36</v>
      </c>
    </row>
    <row r="2245" spans="1:33" x14ac:dyDescent="0.2">
      <c r="A2245">
        <v>2244</v>
      </c>
      <c r="B2245" t="s">
        <v>627</v>
      </c>
      <c r="C2245" t="s">
        <v>33</v>
      </c>
      <c r="D2245">
        <v>53</v>
      </c>
      <c r="E2245" t="s">
        <v>114</v>
      </c>
      <c r="F2245" t="s">
        <v>41</v>
      </c>
      <c r="G2245" t="s">
        <v>72</v>
      </c>
      <c r="H2245">
        <v>63327</v>
      </c>
      <c r="I2245">
        <v>0</v>
      </c>
      <c r="J2245">
        <v>0</v>
      </c>
      <c r="K2245">
        <v>0</v>
      </c>
      <c r="L2245">
        <v>1</v>
      </c>
      <c r="M2245" t="s">
        <v>75</v>
      </c>
      <c r="N2245" t="s">
        <v>93</v>
      </c>
      <c r="O2245" t="s">
        <v>73</v>
      </c>
      <c r="P2245" t="s">
        <v>442</v>
      </c>
      <c r="Q2245" t="s">
        <v>46</v>
      </c>
      <c r="R2245" t="s">
        <v>59</v>
      </c>
      <c r="S2245" t="s">
        <v>48</v>
      </c>
      <c r="T2245">
        <v>0</v>
      </c>
      <c r="U2245">
        <v>0</v>
      </c>
      <c r="V2245">
        <v>1</v>
      </c>
      <c r="W2245">
        <v>0</v>
      </c>
      <c r="X2245">
        <v>1</v>
      </c>
      <c r="Y2245">
        <v>0</v>
      </c>
      <c r="Z2245">
        <v>1</v>
      </c>
      <c r="AA2245">
        <v>0</v>
      </c>
      <c r="AB2245">
        <v>0</v>
      </c>
      <c r="AC2245">
        <v>0</v>
      </c>
      <c r="AD2245">
        <v>0</v>
      </c>
      <c r="AE2245">
        <v>0</v>
      </c>
      <c r="AF2245">
        <v>0</v>
      </c>
      <c r="AG2245">
        <v>1</v>
      </c>
    </row>
    <row r="2246" spans="1:33" x14ac:dyDescent="0.2">
      <c r="A2246">
        <v>2245</v>
      </c>
      <c r="B2246" t="s">
        <v>627</v>
      </c>
      <c r="C2246" t="s">
        <v>33</v>
      </c>
      <c r="D2246">
        <v>53</v>
      </c>
      <c r="E2246" t="s">
        <v>114</v>
      </c>
      <c r="F2246" t="s">
        <v>41</v>
      </c>
      <c r="G2246" t="s">
        <v>55</v>
      </c>
      <c r="H2246">
        <v>66542</v>
      </c>
      <c r="I2246">
        <v>0</v>
      </c>
      <c r="J2246">
        <v>0</v>
      </c>
      <c r="K2246">
        <v>1</v>
      </c>
      <c r="L2246">
        <v>0</v>
      </c>
      <c r="M2246" t="s">
        <v>56</v>
      </c>
      <c r="N2246" t="s">
        <v>57</v>
      </c>
      <c r="O2246" t="s">
        <v>94</v>
      </c>
      <c r="P2246" t="s">
        <v>442</v>
      </c>
      <c r="Q2246" t="s">
        <v>59</v>
      </c>
      <c r="R2246" t="s">
        <v>48</v>
      </c>
      <c r="S2246" t="s">
        <v>47</v>
      </c>
      <c r="T2246">
        <v>0</v>
      </c>
      <c r="U2246">
        <v>0</v>
      </c>
      <c r="V2246">
        <v>1</v>
      </c>
      <c r="W2246">
        <v>1</v>
      </c>
      <c r="X2246">
        <v>0</v>
      </c>
      <c r="Y2246">
        <v>0</v>
      </c>
      <c r="Z2246">
        <v>1</v>
      </c>
      <c r="AA2246">
        <v>0</v>
      </c>
      <c r="AB2246">
        <v>0</v>
      </c>
      <c r="AC2246">
        <v>0</v>
      </c>
      <c r="AD2246">
        <v>1</v>
      </c>
      <c r="AE2246">
        <v>0</v>
      </c>
      <c r="AF2246">
        <v>0</v>
      </c>
      <c r="AG2246">
        <v>0</v>
      </c>
    </row>
    <row r="2247" spans="1:33" hidden="1" x14ac:dyDescent="0.2">
      <c r="A2247">
        <v>2246</v>
      </c>
      <c r="B2247" t="s">
        <v>627</v>
      </c>
      <c r="C2247" t="s">
        <v>33</v>
      </c>
      <c r="D2247">
        <v>53</v>
      </c>
      <c r="E2247" t="s">
        <v>114</v>
      </c>
      <c r="F2247" t="s">
        <v>53</v>
      </c>
      <c r="G2247" t="s">
        <v>71</v>
      </c>
      <c r="H2247">
        <v>66608</v>
      </c>
      <c r="I2247">
        <v>1</v>
      </c>
      <c r="J2247">
        <v>1</v>
      </c>
      <c r="K2247">
        <v>1</v>
      </c>
      <c r="L2247">
        <v>0</v>
      </c>
      <c r="M2247" t="s">
        <v>36</v>
      </c>
      <c r="N2247" t="s">
        <v>36</v>
      </c>
      <c r="O2247" t="s">
        <v>36</v>
      </c>
      <c r="P2247" t="s">
        <v>442</v>
      </c>
      <c r="Q2247" t="s">
        <v>36</v>
      </c>
      <c r="R2247" t="s">
        <v>36</v>
      </c>
      <c r="S2247" t="s">
        <v>36</v>
      </c>
      <c r="T2247" t="s">
        <v>36</v>
      </c>
      <c r="U2247">
        <v>0</v>
      </c>
      <c r="V2247">
        <v>1</v>
      </c>
      <c r="W2247">
        <v>1</v>
      </c>
      <c r="X2247">
        <v>0</v>
      </c>
      <c r="Y2247">
        <v>0</v>
      </c>
      <c r="Z2247">
        <v>1</v>
      </c>
      <c r="AA2247">
        <v>0</v>
      </c>
      <c r="AB2247">
        <v>0</v>
      </c>
      <c r="AC2247">
        <v>0</v>
      </c>
      <c r="AD2247">
        <v>1</v>
      </c>
      <c r="AE2247">
        <v>0</v>
      </c>
      <c r="AF2247">
        <v>0</v>
      </c>
      <c r="AG2247">
        <v>0</v>
      </c>
    </row>
    <row r="2248" spans="1:33" x14ac:dyDescent="0.2">
      <c r="A2248">
        <v>2247</v>
      </c>
      <c r="B2248" t="s">
        <v>627</v>
      </c>
      <c r="C2248" t="s">
        <v>33</v>
      </c>
      <c r="D2248">
        <v>53</v>
      </c>
      <c r="E2248" t="s">
        <v>114</v>
      </c>
      <c r="F2248" t="s">
        <v>41</v>
      </c>
      <c r="G2248" t="s">
        <v>49</v>
      </c>
      <c r="H2248">
        <v>33908</v>
      </c>
      <c r="I2248">
        <v>1</v>
      </c>
      <c r="J2248">
        <v>0</v>
      </c>
      <c r="K2248">
        <v>1</v>
      </c>
      <c r="L2248">
        <v>0</v>
      </c>
      <c r="M2248" t="s">
        <v>51</v>
      </c>
      <c r="N2248" t="s">
        <v>50</v>
      </c>
      <c r="O2248" t="s">
        <v>96</v>
      </c>
      <c r="P2248" t="s">
        <v>442</v>
      </c>
      <c r="Q2248" t="s">
        <v>47</v>
      </c>
      <c r="R2248" t="s">
        <v>48</v>
      </c>
      <c r="S2248" t="s">
        <v>65</v>
      </c>
      <c r="T2248">
        <v>0</v>
      </c>
      <c r="U2248">
        <v>1</v>
      </c>
      <c r="V2248">
        <v>1</v>
      </c>
      <c r="W2248">
        <v>1</v>
      </c>
      <c r="X2248">
        <v>0</v>
      </c>
      <c r="Y2248">
        <v>0</v>
      </c>
      <c r="Z2248">
        <v>1</v>
      </c>
      <c r="AA2248">
        <v>0</v>
      </c>
      <c r="AB2248">
        <v>1</v>
      </c>
      <c r="AC2248">
        <v>0</v>
      </c>
      <c r="AD2248">
        <v>1</v>
      </c>
      <c r="AE2248">
        <v>0</v>
      </c>
      <c r="AF2248">
        <v>0</v>
      </c>
      <c r="AG2248">
        <v>0</v>
      </c>
    </row>
    <row r="2249" spans="1:33" x14ac:dyDescent="0.2">
      <c r="A2249">
        <v>2248</v>
      </c>
      <c r="B2249" t="s">
        <v>627</v>
      </c>
      <c r="C2249" t="s">
        <v>33</v>
      </c>
      <c r="D2249">
        <v>53</v>
      </c>
      <c r="E2249" t="s">
        <v>114</v>
      </c>
      <c r="F2249" t="s">
        <v>41</v>
      </c>
      <c r="G2249" t="s">
        <v>42</v>
      </c>
      <c r="H2249">
        <v>18606</v>
      </c>
      <c r="I2249">
        <v>0</v>
      </c>
      <c r="J2249">
        <v>1</v>
      </c>
      <c r="K2249">
        <v>1</v>
      </c>
      <c r="L2249">
        <v>0</v>
      </c>
      <c r="M2249" t="s">
        <v>43</v>
      </c>
      <c r="N2249" t="s">
        <v>44</v>
      </c>
      <c r="O2249" t="s">
        <v>82</v>
      </c>
      <c r="P2249" t="s">
        <v>442</v>
      </c>
      <c r="Q2249" t="s">
        <v>46</v>
      </c>
      <c r="R2249" t="s">
        <v>47</v>
      </c>
      <c r="S2249" t="s">
        <v>65</v>
      </c>
      <c r="T2249">
        <v>0</v>
      </c>
      <c r="U2249">
        <v>1</v>
      </c>
      <c r="V2249">
        <v>0</v>
      </c>
      <c r="W2249">
        <v>1</v>
      </c>
      <c r="X2249">
        <v>1</v>
      </c>
      <c r="Y2249">
        <v>0</v>
      </c>
      <c r="Z2249">
        <v>1</v>
      </c>
      <c r="AA2249">
        <v>0</v>
      </c>
      <c r="AB2249">
        <v>1</v>
      </c>
      <c r="AC2249">
        <v>0</v>
      </c>
      <c r="AD2249">
        <v>1</v>
      </c>
      <c r="AE2249">
        <v>0</v>
      </c>
      <c r="AF2249">
        <v>0</v>
      </c>
      <c r="AG2249">
        <v>0</v>
      </c>
    </row>
    <row r="2250" spans="1:33" hidden="1" x14ac:dyDescent="0.2">
      <c r="A2250">
        <v>2249</v>
      </c>
      <c r="B2250" t="s">
        <v>627</v>
      </c>
      <c r="C2250" t="s">
        <v>33</v>
      </c>
      <c r="D2250">
        <v>53</v>
      </c>
      <c r="E2250" t="s">
        <v>114</v>
      </c>
      <c r="F2250" t="s">
        <v>53</v>
      </c>
      <c r="G2250" t="s">
        <v>76</v>
      </c>
      <c r="H2250">
        <v>23342</v>
      </c>
      <c r="I2250">
        <v>1</v>
      </c>
      <c r="J2250">
        <v>0</v>
      </c>
      <c r="K2250">
        <v>0</v>
      </c>
      <c r="L2250">
        <v>0</v>
      </c>
      <c r="M2250" t="s">
        <v>36</v>
      </c>
      <c r="N2250" t="s">
        <v>36</v>
      </c>
      <c r="O2250" t="s">
        <v>36</v>
      </c>
      <c r="P2250" t="s">
        <v>442</v>
      </c>
      <c r="Q2250" t="s">
        <v>36</v>
      </c>
      <c r="R2250" t="s">
        <v>36</v>
      </c>
      <c r="S2250" t="s">
        <v>36</v>
      </c>
      <c r="T2250" t="s">
        <v>36</v>
      </c>
      <c r="U2250">
        <v>1</v>
      </c>
      <c r="V2250">
        <v>0</v>
      </c>
      <c r="W2250">
        <v>1</v>
      </c>
      <c r="X2250">
        <v>1</v>
      </c>
      <c r="Y2250">
        <v>0</v>
      </c>
      <c r="Z2250">
        <v>1</v>
      </c>
      <c r="AA2250">
        <v>0</v>
      </c>
      <c r="AB2250">
        <v>1</v>
      </c>
      <c r="AC2250">
        <v>0</v>
      </c>
      <c r="AD2250">
        <v>1</v>
      </c>
      <c r="AE2250">
        <v>0</v>
      </c>
      <c r="AF2250">
        <v>0</v>
      </c>
      <c r="AG2250">
        <v>0</v>
      </c>
    </row>
    <row r="2251" spans="1:33" x14ac:dyDescent="0.2">
      <c r="A2251">
        <v>2250</v>
      </c>
      <c r="B2251" t="s">
        <v>627</v>
      </c>
      <c r="C2251" t="s">
        <v>33</v>
      </c>
      <c r="D2251">
        <v>53</v>
      </c>
      <c r="E2251" t="s">
        <v>114</v>
      </c>
      <c r="F2251" t="s">
        <v>41</v>
      </c>
      <c r="G2251" t="s">
        <v>61</v>
      </c>
      <c r="H2251">
        <v>28910</v>
      </c>
      <c r="I2251">
        <v>0</v>
      </c>
      <c r="J2251">
        <v>0</v>
      </c>
      <c r="K2251">
        <v>0</v>
      </c>
      <c r="L2251">
        <v>1</v>
      </c>
      <c r="M2251" t="s">
        <v>97</v>
      </c>
      <c r="N2251" t="s">
        <v>125</v>
      </c>
      <c r="O2251" t="s">
        <v>64</v>
      </c>
      <c r="P2251" t="s">
        <v>442</v>
      </c>
      <c r="Q2251" t="s">
        <v>59</v>
      </c>
      <c r="R2251" t="s">
        <v>60</v>
      </c>
      <c r="S2251" t="s">
        <v>48</v>
      </c>
      <c r="T2251">
        <v>1</v>
      </c>
      <c r="U2251">
        <v>0</v>
      </c>
      <c r="V2251">
        <v>1</v>
      </c>
      <c r="W2251">
        <v>0</v>
      </c>
      <c r="X2251">
        <v>0</v>
      </c>
      <c r="Y2251">
        <v>0</v>
      </c>
      <c r="Z2251">
        <v>1</v>
      </c>
      <c r="AA2251">
        <v>0</v>
      </c>
      <c r="AB2251">
        <v>0</v>
      </c>
      <c r="AC2251">
        <v>0</v>
      </c>
      <c r="AD2251">
        <v>0</v>
      </c>
      <c r="AE2251">
        <v>0</v>
      </c>
      <c r="AF2251">
        <v>0</v>
      </c>
      <c r="AG2251">
        <v>1</v>
      </c>
    </row>
    <row r="2252" spans="1:33" hidden="1" x14ac:dyDescent="0.2">
      <c r="A2252">
        <v>2251</v>
      </c>
      <c r="B2252" t="s">
        <v>627</v>
      </c>
      <c r="C2252" t="s">
        <v>33</v>
      </c>
      <c r="D2252">
        <v>53</v>
      </c>
      <c r="E2252" t="s">
        <v>114</v>
      </c>
      <c r="F2252" t="s">
        <v>53</v>
      </c>
      <c r="G2252" t="s">
        <v>54</v>
      </c>
      <c r="H2252">
        <v>132600</v>
      </c>
      <c r="I2252">
        <v>0</v>
      </c>
      <c r="J2252">
        <v>0</v>
      </c>
      <c r="K2252">
        <v>1</v>
      </c>
      <c r="L2252">
        <v>0</v>
      </c>
      <c r="M2252" t="s">
        <v>36</v>
      </c>
      <c r="N2252" t="s">
        <v>36</v>
      </c>
      <c r="O2252" t="s">
        <v>36</v>
      </c>
      <c r="P2252" t="s">
        <v>442</v>
      </c>
      <c r="Q2252" t="s">
        <v>36</v>
      </c>
      <c r="R2252" t="s">
        <v>36</v>
      </c>
      <c r="S2252" t="s">
        <v>36</v>
      </c>
      <c r="T2252" t="s">
        <v>36</v>
      </c>
      <c r="U2252">
        <v>0</v>
      </c>
      <c r="V2252">
        <v>1</v>
      </c>
      <c r="W2252">
        <v>0</v>
      </c>
      <c r="X2252">
        <v>0</v>
      </c>
      <c r="Y2252">
        <v>0</v>
      </c>
      <c r="Z2252">
        <v>1</v>
      </c>
      <c r="AA2252">
        <v>0</v>
      </c>
      <c r="AB2252">
        <v>0</v>
      </c>
      <c r="AC2252">
        <v>0</v>
      </c>
      <c r="AD2252">
        <v>0</v>
      </c>
      <c r="AE2252">
        <v>0</v>
      </c>
      <c r="AF2252">
        <v>0</v>
      </c>
      <c r="AG2252">
        <v>1</v>
      </c>
    </row>
    <row r="2253" spans="1:33" x14ac:dyDescent="0.2">
      <c r="A2253">
        <v>2252</v>
      </c>
      <c r="B2253" t="s">
        <v>627</v>
      </c>
      <c r="C2253" t="s">
        <v>33</v>
      </c>
      <c r="D2253">
        <v>53</v>
      </c>
      <c r="E2253" t="s">
        <v>114</v>
      </c>
      <c r="F2253" t="s">
        <v>41</v>
      </c>
      <c r="G2253" t="s">
        <v>67</v>
      </c>
      <c r="H2253">
        <v>39869</v>
      </c>
      <c r="I2253">
        <v>0</v>
      </c>
      <c r="J2253">
        <v>1</v>
      </c>
      <c r="K2253">
        <v>1</v>
      </c>
      <c r="L2253">
        <v>0</v>
      </c>
      <c r="M2253" t="s">
        <v>109</v>
      </c>
      <c r="N2253" t="s">
        <v>69</v>
      </c>
      <c r="O2253" t="s">
        <v>103</v>
      </c>
      <c r="P2253" t="s">
        <v>442</v>
      </c>
      <c r="Q2253" t="s">
        <v>59</v>
      </c>
      <c r="R2253" t="s">
        <v>48</v>
      </c>
      <c r="S2253" t="s">
        <v>60</v>
      </c>
      <c r="T2253">
        <v>1</v>
      </c>
      <c r="U2253">
        <v>0</v>
      </c>
      <c r="V2253">
        <v>1</v>
      </c>
      <c r="W2253">
        <v>0</v>
      </c>
      <c r="X2253">
        <v>0</v>
      </c>
      <c r="Y2253">
        <v>0</v>
      </c>
      <c r="Z2253">
        <v>1</v>
      </c>
      <c r="AA2253">
        <v>1</v>
      </c>
      <c r="AB2253">
        <v>0</v>
      </c>
      <c r="AC2253">
        <v>1</v>
      </c>
      <c r="AD2253">
        <v>0</v>
      </c>
      <c r="AE2253">
        <v>0</v>
      </c>
      <c r="AF2253">
        <v>0</v>
      </c>
      <c r="AG2253">
        <v>0</v>
      </c>
    </row>
    <row r="2254" spans="1:33" hidden="1" x14ac:dyDescent="0.2">
      <c r="A2254">
        <v>2253</v>
      </c>
      <c r="B2254" t="s">
        <v>627</v>
      </c>
      <c r="C2254" t="s">
        <v>33</v>
      </c>
      <c r="D2254">
        <v>53</v>
      </c>
      <c r="E2254" t="s">
        <v>114</v>
      </c>
      <c r="F2254" t="s">
        <v>53</v>
      </c>
      <c r="G2254" t="s">
        <v>66</v>
      </c>
      <c r="H2254">
        <v>30773</v>
      </c>
      <c r="I2254">
        <v>1</v>
      </c>
      <c r="J2254">
        <v>0</v>
      </c>
      <c r="K2254">
        <v>0</v>
      </c>
      <c r="L2254">
        <v>0</v>
      </c>
      <c r="M2254" t="s">
        <v>36</v>
      </c>
      <c r="N2254" t="s">
        <v>36</v>
      </c>
      <c r="O2254" t="s">
        <v>36</v>
      </c>
      <c r="P2254" t="s">
        <v>442</v>
      </c>
      <c r="Q2254" t="s">
        <v>36</v>
      </c>
      <c r="R2254" t="s">
        <v>36</v>
      </c>
      <c r="S2254" t="s">
        <v>36</v>
      </c>
      <c r="T2254" t="s">
        <v>36</v>
      </c>
      <c r="U2254">
        <v>0</v>
      </c>
      <c r="V2254">
        <v>1</v>
      </c>
      <c r="W2254">
        <v>0</v>
      </c>
      <c r="X2254">
        <v>0</v>
      </c>
      <c r="Y2254">
        <v>0</v>
      </c>
      <c r="Z2254">
        <v>1</v>
      </c>
      <c r="AA2254">
        <v>1</v>
      </c>
      <c r="AB2254">
        <v>0</v>
      </c>
      <c r="AC2254">
        <v>1</v>
      </c>
      <c r="AD2254">
        <v>0</v>
      </c>
      <c r="AE2254">
        <v>0</v>
      </c>
      <c r="AF2254">
        <v>0</v>
      </c>
      <c r="AG2254">
        <v>0</v>
      </c>
    </row>
    <row r="2255" spans="1:33" hidden="1" x14ac:dyDescent="0.2">
      <c r="A2255">
        <v>2254</v>
      </c>
      <c r="B2255" t="s">
        <v>627</v>
      </c>
      <c r="C2255" t="s">
        <v>33</v>
      </c>
      <c r="D2255">
        <v>53</v>
      </c>
      <c r="E2255" t="s">
        <v>114</v>
      </c>
      <c r="F2255" t="s">
        <v>77</v>
      </c>
      <c r="G2255" t="s">
        <v>36</v>
      </c>
      <c r="H2255">
        <v>229179</v>
      </c>
      <c r="I2255" t="s">
        <v>628</v>
      </c>
      <c r="J2255" t="s">
        <v>629</v>
      </c>
      <c r="K2255" t="s">
        <v>630</v>
      </c>
      <c r="L2255" t="s">
        <v>36</v>
      </c>
      <c r="M2255" t="s">
        <v>36</v>
      </c>
      <c r="N2255" t="s">
        <v>36</v>
      </c>
      <c r="O2255" t="s">
        <v>36</v>
      </c>
      <c r="P2255" t="s">
        <v>442</v>
      </c>
      <c r="Q2255" t="s">
        <v>36</v>
      </c>
      <c r="R2255" t="s">
        <v>36</v>
      </c>
      <c r="S2255" t="s">
        <v>36</v>
      </c>
      <c r="T2255" t="s">
        <v>36</v>
      </c>
      <c r="U2255" t="s">
        <v>36</v>
      </c>
      <c r="V2255" t="s">
        <v>36</v>
      </c>
      <c r="W2255" t="s">
        <v>36</v>
      </c>
      <c r="X2255" t="s">
        <v>36</v>
      </c>
      <c r="Y2255" t="s">
        <v>36</v>
      </c>
      <c r="Z2255" t="s">
        <v>36</v>
      </c>
      <c r="AA2255" t="s">
        <v>36</v>
      </c>
      <c r="AB2255" t="s">
        <v>36</v>
      </c>
      <c r="AC2255" t="s">
        <v>36</v>
      </c>
      <c r="AD2255" t="s">
        <v>36</v>
      </c>
      <c r="AE2255" t="s">
        <v>36</v>
      </c>
      <c r="AF2255" t="s">
        <v>36</v>
      </c>
      <c r="AG2255" t="s">
        <v>36</v>
      </c>
    </row>
    <row r="2256" spans="1:33" hidden="1" x14ac:dyDescent="0.2">
      <c r="A2256">
        <v>2255</v>
      </c>
      <c r="B2256" t="s">
        <v>631</v>
      </c>
      <c r="C2256" t="s">
        <v>108</v>
      </c>
      <c r="D2256">
        <v>31</v>
      </c>
      <c r="E2256" t="s">
        <v>34</v>
      </c>
      <c r="F2256" t="s">
        <v>35</v>
      </c>
      <c r="G2256" t="s">
        <v>36</v>
      </c>
      <c r="H2256">
        <v>23430</v>
      </c>
      <c r="I2256" t="s">
        <v>36</v>
      </c>
      <c r="J2256" t="s">
        <v>36</v>
      </c>
      <c r="K2256" t="s">
        <v>36</v>
      </c>
      <c r="L2256" t="s">
        <v>36</v>
      </c>
      <c r="M2256" t="s">
        <v>36</v>
      </c>
      <c r="N2256" t="s">
        <v>36</v>
      </c>
      <c r="O2256" t="s">
        <v>36</v>
      </c>
      <c r="P2256" t="s">
        <v>442</v>
      </c>
      <c r="Q2256" t="s">
        <v>36</v>
      </c>
      <c r="R2256" t="s">
        <v>36</v>
      </c>
      <c r="S2256" t="s">
        <v>36</v>
      </c>
      <c r="T2256" t="s">
        <v>36</v>
      </c>
      <c r="U2256" t="s">
        <v>36</v>
      </c>
      <c r="V2256" t="s">
        <v>36</v>
      </c>
      <c r="W2256" t="s">
        <v>36</v>
      </c>
      <c r="X2256" t="s">
        <v>36</v>
      </c>
      <c r="Y2256" t="s">
        <v>36</v>
      </c>
      <c r="Z2256" t="s">
        <v>36</v>
      </c>
      <c r="AA2256" t="s">
        <v>36</v>
      </c>
      <c r="AB2256" t="s">
        <v>36</v>
      </c>
      <c r="AC2256" t="s">
        <v>36</v>
      </c>
      <c r="AD2256" t="s">
        <v>36</v>
      </c>
      <c r="AE2256" t="s">
        <v>36</v>
      </c>
      <c r="AF2256" t="s">
        <v>36</v>
      </c>
      <c r="AG2256" t="s">
        <v>36</v>
      </c>
    </row>
    <row r="2257" spans="1:33" hidden="1" x14ac:dyDescent="0.2">
      <c r="A2257">
        <v>2256</v>
      </c>
      <c r="B2257" t="s">
        <v>631</v>
      </c>
      <c r="C2257" t="s">
        <v>108</v>
      </c>
      <c r="D2257">
        <v>31</v>
      </c>
      <c r="E2257" t="s">
        <v>34</v>
      </c>
      <c r="F2257" t="s">
        <v>38</v>
      </c>
      <c r="G2257" t="s">
        <v>39</v>
      </c>
      <c r="H2257">
        <v>42628</v>
      </c>
      <c r="I2257">
        <v>0</v>
      </c>
      <c r="J2257">
        <v>0</v>
      </c>
      <c r="K2257">
        <v>0</v>
      </c>
      <c r="L2257">
        <v>1</v>
      </c>
      <c r="M2257" t="s">
        <v>36</v>
      </c>
      <c r="N2257" t="s">
        <v>36</v>
      </c>
      <c r="O2257" t="s">
        <v>36</v>
      </c>
      <c r="P2257" t="s">
        <v>442</v>
      </c>
      <c r="Q2257" t="s">
        <v>36</v>
      </c>
      <c r="R2257" t="s">
        <v>36</v>
      </c>
      <c r="S2257" t="s">
        <v>36</v>
      </c>
      <c r="T2257" t="s">
        <v>36</v>
      </c>
      <c r="U2257" t="s">
        <v>36</v>
      </c>
      <c r="V2257" t="s">
        <v>36</v>
      </c>
      <c r="W2257" t="s">
        <v>36</v>
      </c>
      <c r="X2257" t="s">
        <v>36</v>
      </c>
      <c r="Y2257" t="s">
        <v>36</v>
      </c>
      <c r="Z2257" t="s">
        <v>36</v>
      </c>
      <c r="AA2257" t="s">
        <v>36</v>
      </c>
      <c r="AB2257" t="s">
        <v>36</v>
      </c>
      <c r="AC2257" t="s">
        <v>36</v>
      </c>
      <c r="AD2257" t="s">
        <v>36</v>
      </c>
      <c r="AE2257" t="s">
        <v>36</v>
      </c>
      <c r="AF2257" t="s">
        <v>36</v>
      </c>
      <c r="AG2257" t="s">
        <v>36</v>
      </c>
    </row>
    <row r="2258" spans="1:33" hidden="1" x14ac:dyDescent="0.2">
      <c r="A2258">
        <v>2257</v>
      </c>
      <c r="B2258" t="s">
        <v>631</v>
      </c>
      <c r="C2258" t="s">
        <v>108</v>
      </c>
      <c r="D2258">
        <v>31</v>
      </c>
      <c r="E2258" t="s">
        <v>34</v>
      </c>
      <c r="F2258" t="s">
        <v>38</v>
      </c>
      <c r="G2258" t="s">
        <v>40</v>
      </c>
      <c r="H2258">
        <v>37544</v>
      </c>
      <c r="I2258">
        <v>0</v>
      </c>
      <c r="J2258">
        <v>0</v>
      </c>
      <c r="K2258">
        <v>1</v>
      </c>
      <c r="L2258">
        <v>0</v>
      </c>
      <c r="M2258" t="s">
        <v>36</v>
      </c>
      <c r="N2258" t="s">
        <v>36</v>
      </c>
      <c r="O2258" t="s">
        <v>36</v>
      </c>
      <c r="P2258" t="s">
        <v>442</v>
      </c>
      <c r="Q2258" t="s">
        <v>36</v>
      </c>
      <c r="R2258" t="s">
        <v>36</v>
      </c>
      <c r="S2258" t="s">
        <v>36</v>
      </c>
      <c r="T2258" t="s">
        <v>36</v>
      </c>
      <c r="U2258" t="s">
        <v>36</v>
      </c>
      <c r="V2258" t="s">
        <v>36</v>
      </c>
      <c r="W2258" t="s">
        <v>36</v>
      </c>
      <c r="X2258" t="s">
        <v>36</v>
      </c>
      <c r="Y2258" t="s">
        <v>36</v>
      </c>
      <c r="Z2258" t="s">
        <v>36</v>
      </c>
      <c r="AA2258" t="s">
        <v>36</v>
      </c>
      <c r="AB2258" t="s">
        <v>36</v>
      </c>
      <c r="AC2258" t="s">
        <v>36</v>
      </c>
      <c r="AD2258" t="s">
        <v>36</v>
      </c>
      <c r="AE2258" t="s">
        <v>36</v>
      </c>
      <c r="AF2258" t="s">
        <v>36</v>
      </c>
      <c r="AG2258" t="s">
        <v>36</v>
      </c>
    </row>
    <row r="2259" spans="1:33" x14ac:dyDescent="0.2">
      <c r="A2259">
        <v>2258</v>
      </c>
      <c r="B2259" t="s">
        <v>631</v>
      </c>
      <c r="C2259" t="s">
        <v>108</v>
      </c>
      <c r="D2259">
        <v>31</v>
      </c>
      <c r="E2259" t="s">
        <v>34</v>
      </c>
      <c r="F2259" t="s">
        <v>41</v>
      </c>
      <c r="G2259" t="s">
        <v>67</v>
      </c>
      <c r="H2259">
        <v>239716</v>
      </c>
      <c r="I2259">
        <v>0</v>
      </c>
      <c r="J2259">
        <v>1</v>
      </c>
      <c r="K2259">
        <v>0</v>
      </c>
      <c r="L2259">
        <v>0</v>
      </c>
      <c r="M2259" t="s">
        <v>109</v>
      </c>
      <c r="N2259" t="s">
        <v>103</v>
      </c>
      <c r="O2259" t="s">
        <v>86</v>
      </c>
      <c r="P2259" t="s">
        <v>442</v>
      </c>
      <c r="Q2259" t="s">
        <v>59</v>
      </c>
      <c r="R2259" t="s">
        <v>60</v>
      </c>
      <c r="S2259" t="s">
        <v>46</v>
      </c>
      <c r="T2259">
        <v>1</v>
      </c>
      <c r="U2259">
        <v>0</v>
      </c>
      <c r="V2259">
        <v>0</v>
      </c>
      <c r="W2259">
        <v>0</v>
      </c>
      <c r="X2259">
        <v>1</v>
      </c>
      <c r="Y2259">
        <v>0</v>
      </c>
      <c r="Z2259">
        <v>1</v>
      </c>
      <c r="AA2259">
        <v>1</v>
      </c>
      <c r="AB2259">
        <v>0</v>
      </c>
      <c r="AC2259">
        <v>0</v>
      </c>
      <c r="AD2259">
        <v>0</v>
      </c>
      <c r="AE2259">
        <v>0</v>
      </c>
      <c r="AF2259">
        <v>0</v>
      </c>
      <c r="AG2259">
        <v>0</v>
      </c>
    </row>
    <row r="2260" spans="1:33" hidden="1" x14ac:dyDescent="0.2">
      <c r="A2260">
        <v>2259</v>
      </c>
      <c r="B2260" t="s">
        <v>631</v>
      </c>
      <c r="C2260" t="s">
        <v>108</v>
      </c>
      <c r="D2260">
        <v>31</v>
      </c>
      <c r="E2260" t="s">
        <v>34</v>
      </c>
      <c r="F2260" t="s">
        <v>53</v>
      </c>
      <c r="G2260" t="s">
        <v>66</v>
      </c>
      <c r="H2260">
        <v>28268</v>
      </c>
      <c r="I2260">
        <v>1</v>
      </c>
      <c r="J2260">
        <v>1</v>
      </c>
      <c r="K2260">
        <v>0</v>
      </c>
      <c r="L2260">
        <v>0</v>
      </c>
      <c r="M2260" t="s">
        <v>36</v>
      </c>
      <c r="N2260" t="s">
        <v>36</v>
      </c>
      <c r="O2260" t="s">
        <v>36</v>
      </c>
      <c r="P2260" t="s">
        <v>442</v>
      </c>
      <c r="Q2260" t="s">
        <v>36</v>
      </c>
      <c r="R2260" t="s">
        <v>36</v>
      </c>
      <c r="S2260" t="s">
        <v>36</v>
      </c>
      <c r="T2260" t="s">
        <v>36</v>
      </c>
      <c r="U2260">
        <v>0</v>
      </c>
      <c r="V2260">
        <v>0</v>
      </c>
      <c r="W2260">
        <v>0</v>
      </c>
      <c r="X2260">
        <v>1</v>
      </c>
      <c r="Y2260">
        <v>0</v>
      </c>
      <c r="Z2260">
        <v>1</v>
      </c>
      <c r="AA2260">
        <v>1</v>
      </c>
      <c r="AB2260">
        <v>0</v>
      </c>
      <c r="AC2260">
        <v>0</v>
      </c>
      <c r="AD2260">
        <v>0</v>
      </c>
      <c r="AE2260">
        <v>0</v>
      </c>
      <c r="AF2260">
        <v>0</v>
      </c>
      <c r="AG2260">
        <v>0</v>
      </c>
    </row>
    <row r="2261" spans="1:33" x14ac:dyDescent="0.2">
      <c r="A2261">
        <v>2260</v>
      </c>
      <c r="B2261" t="s">
        <v>631</v>
      </c>
      <c r="C2261" t="s">
        <v>108</v>
      </c>
      <c r="D2261">
        <v>31</v>
      </c>
      <c r="E2261" t="s">
        <v>34</v>
      </c>
      <c r="F2261" t="s">
        <v>41</v>
      </c>
      <c r="G2261" t="s">
        <v>42</v>
      </c>
      <c r="H2261">
        <v>305790</v>
      </c>
      <c r="I2261">
        <v>0</v>
      </c>
      <c r="J2261">
        <v>1</v>
      </c>
      <c r="K2261">
        <v>0</v>
      </c>
      <c r="L2261">
        <v>0</v>
      </c>
      <c r="M2261" t="s">
        <v>45</v>
      </c>
      <c r="N2261" t="s">
        <v>44</v>
      </c>
      <c r="O2261" t="s">
        <v>116</v>
      </c>
      <c r="P2261" t="s">
        <v>442</v>
      </c>
      <c r="Q2261" t="s">
        <v>48</v>
      </c>
      <c r="R2261" t="s">
        <v>47</v>
      </c>
      <c r="S2261" t="s">
        <v>60</v>
      </c>
      <c r="T2261">
        <v>1</v>
      </c>
      <c r="U2261">
        <v>0</v>
      </c>
      <c r="V2261">
        <v>1</v>
      </c>
      <c r="W2261">
        <v>1</v>
      </c>
      <c r="X2261">
        <v>0</v>
      </c>
      <c r="Y2261">
        <v>0</v>
      </c>
      <c r="Z2261">
        <v>1</v>
      </c>
      <c r="AA2261">
        <v>0</v>
      </c>
      <c r="AB2261">
        <v>0</v>
      </c>
      <c r="AC2261">
        <v>0</v>
      </c>
      <c r="AD2261">
        <v>1</v>
      </c>
      <c r="AE2261">
        <v>0</v>
      </c>
      <c r="AF2261">
        <v>0</v>
      </c>
      <c r="AG2261">
        <v>0</v>
      </c>
    </row>
    <row r="2262" spans="1:33" x14ac:dyDescent="0.2">
      <c r="A2262">
        <v>2261</v>
      </c>
      <c r="B2262" t="s">
        <v>631</v>
      </c>
      <c r="C2262" t="s">
        <v>108</v>
      </c>
      <c r="D2262">
        <v>31</v>
      </c>
      <c r="E2262" t="s">
        <v>34</v>
      </c>
      <c r="F2262" t="s">
        <v>41</v>
      </c>
      <c r="G2262" t="s">
        <v>61</v>
      </c>
      <c r="H2262">
        <v>64146</v>
      </c>
      <c r="I2262">
        <v>1</v>
      </c>
      <c r="J2262">
        <v>0</v>
      </c>
      <c r="K2262">
        <v>0</v>
      </c>
      <c r="L2262">
        <v>0</v>
      </c>
      <c r="M2262" t="s">
        <v>62</v>
      </c>
      <c r="N2262" t="s">
        <v>64</v>
      </c>
      <c r="O2262" t="s">
        <v>87</v>
      </c>
      <c r="P2262" t="s">
        <v>442</v>
      </c>
      <c r="Q2262" t="s">
        <v>65</v>
      </c>
      <c r="R2262" t="s">
        <v>48</v>
      </c>
      <c r="S2262" t="s">
        <v>47</v>
      </c>
      <c r="T2262">
        <v>0</v>
      </c>
      <c r="U2262">
        <v>1</v>
      </c>
      <c r="V2262">
        <v>1</v>
      </c>
      <c r="W2262">
        <v>1</v>
      </c>
      <c r="X2262">
        <v>0</v>
      </c>
      <c r="Y2262">
        <v>0</v>
      </c>
      <c r="Z2262">
        <v>1</v>
      </c>
      <c r="AA2262">
        <v>0</v>
      </c>
      <c r="AB2262">
        <v>1</v>
      </c>
      <c r="AC2262">
        <v>0</v>
      </c>
      <c r="AD2262">
        <v>0</v>
      </c>
      <c r="AE2262">
        <v>0</v>
      </c>
      <c r="AF2262">
        <v>0</v>
      </c>
      <c r="AG2262">
        <v>0</v>
      </c>
    </row>
    <row r="2263" spans="1:33" hidden="1" x14ac:dyDescent="0.2">
      <c r="A2263">
        <v>2262</v>
      </c>
      <c r="B2263" t="s">
        <v>631</v>
      </c>
      <c r="C2263" t="s">
        <v>108</v>
      </c>
      <c r="D2263">
        <v>31</v>
      </c>
      <c r="E2263" t="s">
        <v>34</v>
      </c>
      <c r="F2263" t="s">
        <v>53</v>
      </c>
      <c r="G2263" t="s">
        <v>54</v>
      </c>
      <c r="H2263">
        <v>25964</v>
      </c>
      <c r="I2263">
        <v>0</v>
      </c>
      <c r="J2263">
        <v>1</v>
      </c>
      <c r="K2263">
        <v>0</v>
      </c>
      <c r="L2263">
        <v>0</v>
      </c>
      <c r="M2263" t="s">
        <v>36</v>
      </c>
      <c r="N2263" t="s">
        <v>36</v>
      </c>
      <c r="O2263" t="s">
        <v>36</v>
      </c>
      <c r="P2263" t="s">
        <v>442</v>
      </c>
      <c r="Q2263" t="s">
        <v>36</v>
      </c>
      <c r="R2263" t="s">
        <v>36</v>
      </c>
      <c r="S2263" t="s">
        <v>36</v>
      </c>
      <c r="T2263" t="s">
        <v>36</v>
      </c>
      <c r="U2263">
        <v>1</v>
      </c>
      <c r="V2263">
        <v>1</v>
      </c>
      <c r="W2263">
        <v>1</v>
      </c>
      <c r="X2263">
        <v>0</v>
      </c>
      <c r="Y2263">
        <v>0</v>
      </c>
      <c r="Z2263">
        <v>1</v>
      </c>
      <c r="AA2263">
        <v>0</v>
      </c>
      <c r="AB2263">
        <v>1</v>
      </c>
      <c r="AC2263">
        <v>0</v>
      </c>
      <c r="AD2263">
        <v>0</v>
      </c>
      <c r="AE2263">
        <v>0</v>
      </c>
      <c r="AF2263">
        <v>0</v>
      </c>
      <c r="AG2263">
        <v>0</v>
      </c>
    </row>
    <row r="2264" spans="1:33" x14ac:dyDescent="0.2">
      <c r="A2264">
        <v>2263</v>
      </c>
      <c r="B2264" t="s">
        <v>631</v>
      </c>
      <c r="C2264" t="s">
        <v>108</v>
      </c>
      <c r="D2264">
        <v>31</v>
      </c>
      <c r="E2264" t="s">
        <v>34</v>
      </c>
      <c r="F2264" t="s">
        <v>41</v>
      </c>
      <c r="G2264" t="s">
        <v>72</v>
      </c>
      <c r="H2264">
        <v>11946</v>
      </c>
      <c r="I2264">
        <v>0</v>
      </c>
      <c r="J2264">
        <v>0</v>
      </c>
      <c r="K2264">
        <v>1</v>
      </c>
      <c r="L2264">
        <v>0</v>
      </c>
      <c r="M2264" t="s">
        <v>75</v>
      </c>
      <c r="N2264" t="s">
        <v>93</v>
      </c>
      <c r="O2264" t="s">
        <v>115</v>
      </c>
      <c r="P2264" t="s">
        <v>442</v>
      </c>
      <c r="Q2264" t="s">
        <v>46</v>
      </c>
      <c r="R2264" t="s">
        <v>59</v>
      </c>
      <c r="S2264" t="s">
        <v>65</v>
      </c>
      <c r="T2264">
        <v>0</v>
      </c>
      <c r="U2264">
        <v>1</v>
      </c>
      <c r="V2264">
        <v>0</v>
      </c>
      <c r="W2264">
        <v>0</v>
      </c>
      <c r="X2264">
        <v>1</v>
      </c>
      <c r="Y2264">
        <v>0</v>
      </c>
      <c r="Z2264">
        <v>1</v>
      </c>
      <c r="AA2264">
        <v>0</v>
      </c>
      <c r="AB2264">
        <v>1</v>
      </c>
      <c r="AC2264">
        <v>0</v>
      </c>
      <c r="AD2264">
        <v>0</v>
      </c>
      <c r="AE2264">
        <v>0</v>
      </c>
      <c r="AF2264">
        <v>0</v>
      </c>
      <c r="AG2264">
        <v>0</v>
      </c>
    </row>
    <row r="2265" spans="1:33" hidden="1" x14ac:dyDescent="0.2">
      <c r="A2265">
        <v>2264</v>
      </c>
      <c r="B2265" t="s">
        <v>631</v>
      </c>
      <c r="C2265" t="s">
        <v>108</v>
      </c>
      <c r="D2265">
        <v>31</v>
      </c>
      <c r="E2265" t="s">
        <v>34</v>
      </c>
      <c r="F2265" t="s">
        <v>53</v>
      </c>
      <c r="G2265" t="s">
        <v>76</v>
      </c>
      <c r="H2265">
        <v>17150</v>
      </c>
      <c r="I2265">
        <v>1</v>
      </c>
      <c r="J2265">
        <v>0</v>
      </c>
      <c r="K2265">
        <v>0</v>
      </c>
      <c r="L2265">
        <v>0</v>
      </c>
      <c r="M2265" t="s">
        <v>36</v>
      </c>
      <c r="N2265" t="s">
        <v>36</v>
      </c>
      <c r="O2265" t="s">
        <v>36</v>
      </c>
      <c r="P2265" t="s">
        <v>442</v>
      </c>
      <c r="Q2265" t="s">
        <v>36</v>
      </c>
      <c r="R2265" t="s">
        <v>36</v>
      </c>
      <c r="S2265" t="s">
        <v>36</v>
      </c>
      <c r="T2265" t="s">
        <v>36</v>
      </c>
      <c r="U2265">
        <v>1</v>
      </c>
      <c r="V2265">
        <v>0</v>
      </c>
      <c r="W2265">
        <v>0</v>
      </c>
      <c r="X2265">
        <v>1</v>
      </c>
      <c r="Y2265">
        <v>0</v>
      </c>
      <c r="Z2265">
        <v>1</v>
      </c>
      <c r="AA2265">
        <v>0</v>
      </c>
      <c r="AB2265">
        <v>1</v>
      </c>
      <c r="AC2265">
        <v>0</v>
      </c>
      <c r="AD2265">
        <v>0</v>
      </c>
      <c r="AE2265">
        <v>0</v>
      </c>
      <c r="AF2265">
        <v>0</v>
      </c>
      <c r="AG2265">
        <v>0</v>
      </c>
    </row>
    <row r="2266" spans="1:33" x14ac:dyDescent="0.2">
      <c r="A2266">
        <v>2265</v>
      </c>
      <c r="B2266" t="s">
        <v>631</v>
      </c>
      <c r="C2266" t="s">
        <v>108</v>
      </c>
      <c r="D2266">
        <v>31</v>
      </c>
      <c r="E2266" t="s">
        <v>34</v>
      </c>
      <c r="F2266" t="s">
        <v>41</v>
      </c>
      <c r="G2266" t="s">
        <v>55</v>
      </c>
      <c r="H2266">
        <v>11584</v>
      </c>
      <c r="I2266">
        <v>0</v>
      </c>
      <c r="J2266">
        <v>0</v>
      </c>
      <c r="K2266">
        <v>1</v>
      </c>
      <c r="L2266">
        <v>0</v>
      </c>
      <c r="M2266" t="s">
        <v>57</v>
      </c>
      <c r="N2266" t="s">
        <v>58</v>
      </c>
      <c r="O2266" t="s">
        <v>94</v>
      </c>
      <c r="P2266" t="s">
        <v>442</v>
      </c>
      <c r="Q2266" t="s">
        <v>48</v>
      </c>
      <c r="R2266" t="s">
        <v>60</v>
      </c>
      <c r="S2266" t="s">
        <v>47</v>
      </c>
      <c r="T2266">
        <v>1</v>
      </c>
      <c r="U2266">
        <v>0</v>
      </c>
      <c r="V2266">
        <v>1</v>
      </c>
      <c r="W2266">
        <v>1</v>
      </c>
      <c r="X2266">
        <v>0</v>
      </c>
      <c r="Y2266">
        <v>0</v>
      </c>
      <c r="Z2266">
        <v>1</v>
      </c>
      <c r="AA2266">
        <v>0</v>
      </c>
      <c r="AB2266">
        <v>0</v>
      </c>
      <c r="AC2266">
        <v>0</v>
      </c>
      <c r="AD2266">
        <v>1</v>
      </c>
      <c r="AE2266">
        <v>0</v>
      </c>
      <c r="AF2266">
        <v>0</v>
      </c>
      <c r="AG2266">
        <v>0</v>
      </c>
    </row>
    <row r="2267" spans="1:33" x14ac:dyDescent="0.2">
      <c r="A2267">
        <v>2266</v>
      </c>
      <c r="B2267" t="s">
        <v>631</v>
      </c>
      <c r="C2267" t="s">
        <v>108</v>
      </c>
      <c r="D2267">
        <v>31</v>
      </c>
      <c r="E2267" t="s">
        <v>34</v>
      </c>
      <c r="F2267" t="s">
        <v>41</v>
      </c>
      <c r="G2267" t="s">
        <v>49</v>
      </c>
      <c r="H2267">
        <v>11332</v>
      </c>
      <c r="I2267">
        <v>0</v>
      </c>
      <c r="J2267">
        <v>0</v>
      </c>
      <c r="K2267">
        <v>1</v>
      </c>
      <c r="L2267">
        <v>0</v>
      </c>
      <c r="M2267" t="s">
        <v>95</v>
      </c>
      <c r="N2267" t="s">
        <v>52</v>
      </c>
      <c r="O2267" t="s">
        <v>96</v>
      </c>
      <c r="P2267" t="s">
        <v>442</v>
      </c>
      <c r="Q2267" t="s">
        <v>60</v>
      </c>
      <c r="R2267" t="s">
        <v>46</v>
      </c>
      <c r="S2267" t="s">
        <v>65</v>
      </c>
      <c r="T2267">
        <v>1</v>
      </c>
      <c r="U2267">
        <v>1</v>
      </c>
      <c r="V2267">
        <v>0</v>
      </c>
      <c r="W2267">
        <v>0</v>
      </c>
      <c r="X2267">
        <v>1</v>
      </c>
      <c r="Y2267">
        <v>0</v>
      </c>
      <c r="Z2267">
        <v>1</v>
      </c>
      <c r="AA2267">
        <v>0</v>
      </c>
      <c r="AB2267">
        <v>1</v>
      </c>
      <c r="AC2267">
        <v>0</v>
      </c>
      <c r="AD2267">
        <v>0</v>
      </c>
      <c r="AE2267">
        <v>0</v>
      </c>
      <c r="AF2267">
        <v>0</v>
      </c>
      <c r="AG2267">
        <v>0</v>
      </c>
    </row>
    <row r="2268" spans="1:33" hidden="1" x14ac:dyDescent="0.2">
      <c r="A2268">
        <v>2267</v>
      </c>
      <c r="B2268" t="s">
        <v>631</v>
      </c>
      <c r="C2268" t="s">
        <v>108</v>
      </c>
      <c r="D2268">
        <v>31</v>
      </c>
      <c r="E2268" t="s">
        <v>34</v>
      </c>
      <c r="F2268" t="s">
        <v>53</v>
      </c>
      <c r="G2268" t="s">
        <v>71</v>
      </c>
      <c r="H2268">
        <v>19516</v>
      </c>
      <c r="I2268">
        <v>0</v>
      </c>
      <c r="J2268">
        <v>1</v>
      </c>
      <c r="K2268">
        <v>0</v>
      </c>
      <c r="L2268">
        <v>0</v>
      </c>
      <c r="M2268" t="s">
        <v>36</v>
      </c>
      <c r="N2268" t="s">
        <v>36</v>
      </c>
      <c r="O2268" t="s">
        <v>36</v>
      </c>
      <c r="P2268" t="s">
        <v>442</v>
      </c>
      <c r="Q2268" t="s">
        <v>36</v>
      </c>
      <c r="R2268" t="s">
        <v>36</v>
      </c>
      <c r="S2268" t="s">
        <v>36</v>
      </c>
      <c r="T2268" t="s">
        <v>36</v>
      </c>
      <c r="U2268">
        <v>1</v>
      </c>
      <c r="V2268">
        <v>0</v>
      </c>
      <c r="W2268">
        <v>0</v>
      </c>
      <c r="X2268">
        <v>1</v>
      </c>
      <c r="Y2268">
        <v>0</v>
      </c>
      <c r="Z2268">
        <v>1</v>
      </c>
      <c r="AA2268">
        <v>0</v>
      </c>
      <c r="AB2268">
        <v>1</v>
      </c>
      <c r="AC2268">
        <v>0</v>
      </c>
      <c r="AD2268">
        <v>0</v>
      </c>
      <c r="AE2268">
        <v>0</v>
      </c>
      <c r="AF2268">
        <v>0</v>
      </c>
      <c r="AG2268">
        <v>0</v>
      </c>
    </row>
    <row r="2269" spans="1:33" hidden="1" x14ac:dyDescent="0.2">
      <c r="A2269">
        <v>2268</v>
      </c>
      <c r="B2269" t="s">
        <v>631</v>
      </c>
      <c r="C2269" t="s">
        <v>108</v>
      </c>
      <c r="D2269">
        <v>31</v>
      </c>
      <c r="E2269" t="s">
        <v>34</v>
      </c>
      <c r="F2269" t="s">
        <v>77</v>
      </c>
      <c r="G2269" t="s">
        <v>36</v>
      </c>
      <c r="H2269">
        <v>80280</v>
      </c>
      <c r="I2269" t="s">
        <v>632</v>
      </c>
      <c r="J2269" t="s">
        <v>633</v>
      </c>
      <c r="K2269" t="s">
        <v>162</v>
      </c>
      <c r="L2269" t="s">
        <v>36</v>
      </c>
      <c r="M2269" t="s">
        <v>36</v>
      </c>
      <c r="N2269" t="s">
        <v>36</v>
      </c>
      <c r="O2269" t="s">
        <v>36</v>
      </c>
      <c r="P2269" t="s">
        <v>442</v>
      </c>
      <c r="Q2269" t="s">
        <v>36</v>
      </c>
      <c r="R2269" t="s">
        <v>36</v>
      </c>
      <c r="S2269" t="s">
        <v>36</v>
      </c>
      <c r="T2269" t="s">
        <v>36</v>
      </c>
      <c r="U2269" t="s">
        <v>36</v>
      </c>
      <c r="V2269" t="s">
        <v>36</v>
      </c>
      <c r="W2269" t="s">
        <v>36</v>
      </c>
      <c r="X2269" t="s">
        <v>36</v>
      </c>
      <c r="Y2269" t="s">
        <v>36</v>
      </c>
      <c r="Z2269" t="s">
        <v>36</v>
      </c>
      <c r="AA2269" t="s">
        <v>36</v>
      </c>
      <c r="AB2269" t="s">
        <v>36</v>
      </c>
      <c r="AC2269" t="s">
        <v>36</v>
      </c>
      <c r="AD2269" t="s">
        <v>36</v>
      </c>
      <c r="AE2269" t="s">
        <v>36</v>
      </c>
      <c r="AF2269" t="s">
        <v>36</v>
      </c>
      <c r="AG2269" t="s">
        <v>36</v>
      </c>
    </row>
    <row r="2270" spans="1:33" hidden="1" x14ac:dyDescent="0.2">
      <c r="A2270">
        <v>2269</v>
      </c>
      <c r="B2270" t="s">
        <v>634</v>
      </c>
      <c r="C2270" t="s">
        <v>33</v>
      </c>
      <c r="D2270">
        <v>27</v>
      </c>
      <c r="E2270" t="s">
        <v>114</v>
      </c>
      <c r="F2270" t="s">
        <v>35</v>
      </c>
      <c r="G2270" t="s">
        <v>36</v>
      </c>
      <c r="H2270">
        <v>151345</v>
      </c>
      <c r="I2270" t="s">
        <v>36</v>
      </c>
      <c r="J2270" t="s">
        <v>36</v>
      </c>
      <c r="K2270" t="s">
        <v>36</v>
      </c>
      <c r="L2270" t="s">
        <v>36</v>
      </c>
      <c r="M2270" t="s">
        <v>36</v>
      </c>
      <c r="N2270" t="s">
        <v>36</v>
      </c>
      <c r="O2270" t="s">
        <v>36</v>
      </c>
      <c r="P2270" t="s">
        <v>442</v>
      </c>
      <c r="Q2270" t="s">
        <v>36</v>
      </c>
      <c r="R2270" t="s">
        <v>36</v>
      </c>
      <c r="S2270" t="s">
        <v>36</v>
      </c>
      <c r="T2270" t="s">
        <v>36</v>
      </c>
      <c r="U2270" t="s">
        <v>36</v>
      </c>
      <c r="V2270" t="s">
        <v>36</v>
      </c>
      <c r="W2270" t="s">
        <v>36</v>
      </c>
      <c r="X2270" t="s">
        <v>36</v>
      </c>
      <c r="Y2270" t="s">
        <v>36</v>
      </c>
      <c r="Z2270" t="s">
        <v>36</v>
      </c>
      <c r="AA2270" t="s">
        <v>36</v>
      </c>
      <c r="AB2270" t="s">
        <v>36</v>
      </c>
      <c r="AC2270" t="s">
        <v>36</v>
      </c>
      <c r="AD2270" t="s">
        <v>36</v>
      </c>
      <c r="AE2270" t="s">
        <v>36</v>
      </c>
      <c r="AF2270" t="s">
        <v>36</v>
      </c>
      <c r="AG2270" t="s">
        <v>36</v>
      </c>
    </row>
    <row r="2271" spans="1:33" hidden="1" x14ac:dyDescent="0.2">
      <c r="A2271">
        <v>2270</v>
      </c>
      <c r="B2271" t="s">
        <v>634</v>
      </c>
      <c r="C2271" t="s">
        <v>33</v>
      </c>
      <c r="D2271">
        <v>27</v>
      </c>
      <c r="E2271" t="s">
        <v>114</v>
      </c>
      <c r="F2271" t="s">
        <v>38</v>
      </c>
      <c r="G2271" t="s">
        <v>40</v>
      </c>
      <c r="H2271">
        <v>576383</v>
      </c>
      <c r="I2271">
        <v>0</v>
      </c>
      <c r="J2271">
        <v>0</v>
      </c>
      <c r="K2271">
        <v>1</v>
      </c>
      <c r="L2271">
        <v>0</v>
      </c>
      <c r="M2271" t="s">
        <v>36</v>
      </c>
      <c r="N2271" t="s">
        <v>36</v>
      </c>
      <c r="O2271" t="s">
        <v>36</v>
      </c>
      <c r="P2271" t="s">
        <v>442</v>
      </c>
      <c r="Q2271" t="s">
        <v>36</v>
      </c>
      <c r="R2271" t="s">
        <v>36</v>
      </c>
      <c r="S2271" t="s">
        <v>36</v>
      </c>
      <c r="T2271" t="s">
        <v>36</v>
      </c>
      <c r="U2271" t="s">
        <v>36</v>
      </c>
      <c r="V2271" t="s">
        <v>36</v>
      </c>
      <c r="W2271" t="s">
        <v>36</v>
      </c>
      <c r="X2271" t="s">
        <v>36</v>
      </c>
      <c r="Y2271" t="s">
        <v>36</v>
      </c>
      <c r="Z2271" t="s">
        <v>36</v>
      </c>
      <c r="AA2271" t="s">
        <v>36</v>
      </c>
      <c r="AB2271" t="s">
        <v>36</v>
      </c>
      <c r="AC2271" t="s">
        <v>36</v>
      </c>
      <c r="AD2271" t="s">
        <v>36</v>
      </c>
      <c r="AE2271" t="s">
        <v>36</v>
      </c>
      <c r="AF2271" t="s">
        <v>36</v>
      </c>
      <c r="AG2271" t="s">
        <v>36</v>
      </c>
    </row>
    <row r="2272" spans="1:33" hidden="1" x14ac:dyDescent="0.2">
      <c r="A2272">
        <v>2271</v>
      </c>
      <c r="B2272" t="s">
        <v>634</v>
      </c>
      <c r="C2272" t="s">
        <v>33</v>
      </c>
      <c r="D2272">
        <v>27</v>
      </c>
      <c r="E2272" t="s">
        <v>114</v>
      </c>
      <c r="F2272" t="s">
        <v>38</v>
      </c>
      <c r="G2272" t="s">
        <v>39</v>
      </c>
      <c r="H2272">
        <v>9018</v>
      </c>
      <c r="I2272">
        <v>0</v>
      </c>
      <c r="J2272">
        <v>0</v>
      </c>
      <c r="K2272">
        <v>0</v>
      </c>
      <c r="L2272">
        <v>1</v>
      </c>
      <c r="M2272" t="s">
        <v>36</v>
      </c>
      <c r="N2272" t="s">
        <v>36</v>
      </c>
      <c r="O2272" t="s">
        <v>36</v>
      </c>
      <c r="P2272" t="s">
        <v>442</v>
      </c>
      <c r="Q2272" t="s">
        <v>36</v>
      </c>
      <c r="R2272" t="s">
        <v>36</v>
      </c>
      <c r="S2272" t="s">
        <v>36</v>
      </c>
      <c r="T2272" t="s">
        <v>36</v>
      </c>
      <c r="U2272" t="s">
        <v>36</v>
      </c>
      <c r="V2272" t="s">
        <v>36</v>
      </c>
      <c r="W2272" t="s">
        <v>36</v>
      </c>
      <c r="X2272" t="s">
        <v>36</v>
      </c>
      <c r="Y2272" t="s">
        <v>36</v>
      </c>
      <c r="Z2272" t="s">
        <v>36</v>
      </c>
      <c r="AA2272" t="s">
        <v>36</v>
      </c>
      <c r="AB2272" t="s">
        <v>36</v>
      </c>
      <c r="AC2272" t="s">
        <v>36</v>
      </c>
      <c r="AD2272" t="s">
        <v>36</v>
      </c>
      <c r="AE2272" t="s">
        <v>36</v>
      </c>
      <c r="AF2272" t="s">
        <v>36</v>
      </c>
      <c r="AG2272" t="s">
        <v>36</v>
      </c>
    </row>
    <row r="2273" spans="1:33" x14ac:dyDescent="0.2">
      <c r="A2273">
        <v>2272</v>
      </c>
      <c r="B2273" t="s">
        <v>634</v>
      </c>
      <c r="C2273" t="s">
        <v>33</v>
      </c>
      <c r="D2273">
        <v>27</v>
      </c>
      <c r="E2273" t="s">
        <v>114</v>
      </c>
      <c r="F2273" t="s">
        <v>41</v>
      </c>
      <c r="G2273" t="s">
        <v>55</v>
      </c>
      <c r="H2273">
        <v>277159</v>
      </c>
      <c r="I2273">
        <v>0</v>
      </c>
      <c r="J2273">
        <v>1</v>
      </c>
      <c r="K2273">
        <v>1</v>
      </c>
      <c r="L2273">
        <v>0</v>
      </c>
      <c r="M2273" t="s">
        <v>57</v>
      </c>
      <c r="N2273" t="s">
        <v>58</v>
      </c>
      <c r="O2273" t="s">
        <v>85</v>
      </c>
      <c r="P2273" t="s">
        <v>442</v>
      </c>
      <c r="Q2273" t="s">
        <v>48</v>
      </c>
      <c r="R2273" t="s">
        <v>60</v>
      </c>
      <c r="S2273" t="s">
        <v>65</v>
      </c>
      <c r="T2273">
        <v>1</v>
      </c>
      <c r="U2273">
        <v>1</v>
      </c>
      <c r="V2273">
        <v>1</v>
      </c>
      <c r="W2273">
        <v>0</v>
      </c>
      <c r="X2273">
        <v>0</v>
      </c>
      <c r="Y2273">
        <v>0</v>
      </c>
      <c r="Z2273">
        <v>1</v>
      </c>
      <c r="AA2273">
        <v>1</v>
      </c>
      <c r="AB2273">
        <v>1</v>
      </c>
      <c r="AC2273">
        <v>0</v>
      </c>
      <c r="AD2273">
        <v>0</v>
      </c>
      <c r="AE2273">
        <v>0</v>
      </c>
      <c r="AF2273">
        <v>0</v>
      </c>
      <c r="AG2273">
        <v>0</v>
      </c>
    </row>
    <row r="2274" spans="1:33" hidden="1" x14ac:dyDescent="0.2">
      <c r="A2274">
        <v>2273</v>
      </c>
      <c r="B2274" t="s">
        <v>634</v>
      </c>
      <c r="C2274" t="s">
        <v>33</v>
      </c>
      <c r="D2274">
        <v>27</v>
      </c>
      <c r="E2274" t="s">
        <v>114</v>
      </c>
      <c r="F2274" t="s">
        <v>53</v>
      </c>
      <c r="G2274" t="s">
        <v>71</v>
      </c>
      <c r="H2274">
        <v>95230</v>
      </c>
      <c r="I2274">
        <v>0</v>
      </c>
      <c r="J2274">
        <v>1</v>
      </c>
      <c r="K2274">
        <v>1</v>
      </c>
      <c r="L2274">
        <v>0</v>
      </c>
      <c r="M2274" t="s">
        <v>36</v>
      </c>
      <c r="N2274" t="s">
        <v>36</v>
      </c>
      <c r="O2274" t="s">
        <v>36</v>
      </c>
      <c r="P2274" t="s">
        <v>442</v>
      </c>
      <c r="Q2274" t="s">
        <v>36</v>
      </c>
      <c r="R2274" t="s">
        <v>36</v>
      </c>
      <c r="S2274" t="s">
        <v>36</v>
      </c>
      <c r="T2274" t="s">
        <v>36</v>
      </c>
      <c r="U2274">
        <v>1</v>
      </c>
      <c r="V2274">
        <v>1</v>
      </c>
      <c r="W2274">
        <v>0</v>
      </c>
      <c r="X2274">
        <v>0</v>
      </c>
      <c r="Y2274">
        <v>0</v>
      </c>
      <c r="Z2274">
        <v>1</v>
      </c>
      <c r="AA2274">
        <v>1</v>
      </c>
      <c r="AB2274">
        <v>1</v>
      </c>
      <c r="AC2274">
        <v>0</v>
      </c>
      <c r="AD2274">
        <v>0</v>
      </c>
      <c r="AE2274">
        <v>0</v>
      </c>
      <c r="AF2274">
        <v>0</v>
      </c>
      <c r="AG2274">
        <v>0</v>
      </c>
    </row>
    <row r="2275" spans="1:33" x14ac:dyDescent="0.2">
      <c r="A2275">
        <v>2274</v>
      </c>
      <c r="B2275" t="s">
        <v>634</v>
      </c>
      <c r="C2275" t="s">
        <v>33</v>
      </c>
      <c r="D2275">
        <v>27</v>
      </c>
      <c r="E2275" t="s">
        <v>114</v>
      </c>
      <c r="F2275" t="s">
        <v>41</v>
      </c>
      <c r="G2275" t="s">
        <v>67</v>
      </c>
      <c r="H2275">
        <v>23047</v>
      </c>
      <c r="I2275">
        <v>1</v>
      </c>
      <c r="J2275">
        <v>1</v>
      </c>
      <c r="K2275">
        <v>1</v>
      </c>
      <c r="L2275">
        <v>0</v>
      </c>
      <c r="M2275" t="s">
        <v>70</v>
      </c>
      <c r="N2275" t="s">
        <v>109</v>
      </c>
      <c r="O2275" t="s">
        <v>69</v>
      </c>
      <c r="P2275" t="s">
        <v>442</v>
      </c>
      <c r="Q2275" t="s">
        <v>47</v>
      </c>
      <c r="R2275" t="s">
        <v>59</v>
      </c>
      <c r="S2275" t="s">
        <v>48</v>
      </c>
      <c r="T2275">
        <v>0</v>
      </c>
      <c r="U2275">
        <v>0</v>
      </c>
      <c r="V2275">
        <v>1</v>
      </c>
      <c r="W2275">
        <v>1</v>
      </c>
      <c r="X2275">
        <v>0</v>
      </c>
      <c r="Y2275">
        <v>0</v>
      </c>
      <c r="Z2275">
        <v>1</v>
      </c>
      <c r="AA2275">
        <v>0</v>
      </c>
      <c r="AB2275">
        <v>0</v>
      </c>
      <c r="AC2275">
        <v>1</v>
      </c>
      <c r="AD2275">
        <v>1</v>
      </c>
      <c r="AE2275">
        <v>0</v>
      </c>
      <c r="AF2275">
        <v>0</v>
      </c>
      <c r="AG2275">
        <v>0</v>
      </c>
    </row>
    <row r="2276" spans="1:33" x14ac:dyDescent="0.2">
      <c r="A2276">
        <v>2275</v>
      </c>
      <c r="B2276" t="s">
        <v>634</v>
      </c>
      <c r="C2276" t="s">
        <v>33</v>
      </c>
      <c r="D2276">
        <v>27</v>
      </c>
      <c r="E2276" t="s">
        <v>114</v>
      </c>
      <c r="F2276" t="s">
        <v>41</v>
      </c>
      <c r="G2276" t="s">
        <v>72</v>
      </c>
      <c r="H2276">
        <v>10306</v>
      </c>
      <c r="I2276">
        <v>1</v>
      </c>
      <c r="J2276">
        <v>1</v>
      </c>
      <c r="K2276">
        <v>1</v>
      </c>
      <c r="L2276">
        <v>0</v>
      </c>
      <c r="M2276" t="s">
        <v>75</v>
      </c>
      <c r="N2276" t="s">
        <v>74</v>
      </c>
      <c r="O2276" t="s">
        <v>115</v>
      </c>
      <c r="P2276" t="s">
        <v>442</v>
      </c>
      <c r="Q2276" t="s">
        <v>46</v>
      </c>
      <c r="R2276" t="s">
        <v>47</v>
      </c>
      <c r="S2276" t="s">
        <v>65</v>
      </c>
      <c r="T2276">
        <v>0</v>
      </c>
      <c r="U2276">
        <v>1</v>
      </c>
      <c r="V2276">
        <v>0</v>
      </c>
      <c r="W2276">
        <v>1</v>
      </c>
      <c r="X2276">
        <v>1</v>
      </c>
      <c r="Y2276">
        <v>0</v>
      </c>
      <c r="Z2276">
        <v>1</v>
      </c>
      <c r="AA2276">
        <v>0</v>
      </c>
      <c r="AB2276">
        <v>1</v>
      </c>
      <c r="AC2276">
        <v>0</v>
      </c>
      <c r="AD2276">
        <v>1</v>
      </c>
      <c r="AE2276">
        <v>1</v>
      </c>
      <c r="AF2276">
        <v>0</v>
      </c>
      <c r="AG2276">
        <v>0</v>
      </c>
    </row>
    <row r="2277" spans="1:33" hidden="1" x14ac:dyDescent="0.2">
      <c r="A2277">
        <v>2276</v>
      </c>
      <c r="B2277" t="s">
        <v>634</v>
      </c>
      <c r="C2277" t="s">
        <v>33</v>
      </c>
      <c r="D2277">
        <v>27</v>
      </c>
      <c r="E2277" t="s">
        <v>114</v>
      </c>
      <c r="F2277" t="s">
        <v>53</v>
      </c>
      <c r="G2277" t="s">
        <v>54</v>
      </c>
      <c r="H2277">
        <v>8549</v>
      </c>
      <c r="I2277">
        <v>1</v>
      </c>
      <c r="J2277">
        <v>1</v>
      </c>
      <c r="K2277">
        <v>1</v>
      </c>
      <c r="L2277">
        <v>0</v>
      </c>
      <c r="M2277" t="s">
        <v>36</v>
      </c>
      <c r="N2277" t="s">
        <v>36</v>
      </c>
      <c r="O2277" t="s">
        <v>36</v>
      </c>
      <c r="P2277" t="s">
        <v>442</v>
      </c>
      <c r="Q2277" t="s">
        <v>36</v>
      </c>
      <c r="R2277" t="s">
        <v>36</v>
      </c>
      <c r="S2277" t="s">
        <v>36</v>
      </c>
      <c r="T2277" t="s">
        <v>36</v>
      </c>
      <c r="U2277">
        <v>1</v>
      </c>
      <c r="V2277">
        <v>0</v>
      </c>
      <c r="W2277">
        <v>1</v>
      </c>
      <c r="X2277">
        <v>1</v>
      </c>
      <c r="Y2277">
        <v>0</v>
      </c>
      <c r="Z2277">
        <v>1</v>
      </c>
      <c r="AA2277">
        <v>0</v>
      </c>
      <c r="AB2277">
        <v>1</v>
      </c>
      <c r="AC2277">
        <v>0</v>
      </c>
      <c r="AD2277">
        <v>1</v>
      </c>
      <c r="AE2277">
        <v>1</v>
      </c>
      <c r="AF2277">
        <v>0</v>
      </c>
      <c r="AG2277">
        <v>0</v>
      </c>
    </row>
    <row r="2278" spans="1:33" x14ac:dyDescent="0.2">
      <c r="A2278">
        <v>2277</v>
      </c>
      <c r="B2278" t="s">
        <v>634</v>
      </c>
      <c r="C2278" t="s">
        <v>33</v>
      </c>
      <c r="D2278">
        <v>27</v>
      </c>
      <c r="E2278" t="s">
        <v>114</v>
      </c>
      <c r="F2278" t="s">
        <v>41</v>
      </c>
      <c r="G2278" t="s">
        <v>49</v>
      </c>
      <c r="H2278">
        <v>5833</v>
      </c>
      <c r="I2278">
        <v>0</v>
      </c>
      <c r="J2278">
        <v>1</v>
      </c>
      <c r="K2278">
        <v>1</v>
      </c>
      <c r="L2278">
        <v>0</v>
      </c>
      <c r="M2278" t="s">
        <v>52</v>
      </c>
      <c r="N2278" t="s">
        <v>96</v>
      </c>
      <c r="O2278" t="s">
        <v>50</v>
      </c>
      <c r="P2278" t="s">
        <v>442</v>
      </c>
      <c r="Q2278" t="s">
        <v>46</v>
      </c>
      <c r="R2278" t="s">
        <v>65</v>
      </c>
      <c r="S2278" t="s">
        <v>48</v>
      </c>
      <c r="T2278">
        <v>0</v>
      </c>
      <c r="U2278">
        <v>1</v>
      </c>
      <c r="V2278">
        <v>1</v>
      </c>
      <c r="W2278">
        <v>0</v>
      </c>
      <c r="X2278">
        <v>1</v>
      </c>
      <c r="Y2278">
        <v>0</v>
      </c>
      <c r="Z2278">
        <v>1</v>
      </c>
      <c r="AA2278">
        <v>0</v>
      </c>
      <c r="AB2278">
        <v>1</v>
      </c>
      <c r="AC2278">
        <v>1</v>
      </c>
      <c r="AD2278">
        <v>0</v>
      </c>
      <c r="AE2278">
        <v>0</v>
      </c>
      <c r="AF2278">
        <v>0</v>
      </c>
      <c r="AG2278">
        <v>0</v>
      </c>
    </row>
    <row r="2279" spans="1:33" hidden="1" x14ac:dyDescent="0.2">
      <c r="A2279">
        <v>2278</v>
      </c>
      <c r="B2279" t="s">
        <v>634</v>
      </c>
      <c r="C2279" t="s">
        <v>33</v>
      </c>
      <c r="D2279">
        <v>27</v>
      </c>
      <c r="E2279" t="s">
        <v>114</v>
      </c>
      <c r="F2279" t="s">
        <v>53</v>
      </c>
      <c r="G2279" t="s">
        <v>66</v>
      </c>
      <c r="H2279">
        <v>5186</v>
      </c>
      <c r="I2279">
        <v>0</v>
      </c>
      <c r="J2279">
        <v>1</v>
      </c>
      <c r="K2279">
        <v>1</v>
      </c>
      <c r="L2279">
        <v>0</v>
      </c>
      <c r="M2279" t="s">
        <v>36</v>
      </c>
      <c r="N2279" t="s">
        <v>36</v>
      </c>
      <c r="O2279" t="s">
        <v>36</v>
      </c>
      <c r="P2279" t="s">
        <v>442</v>
      </c>
      <c r="Q2279" t="s">
        <v>36</v>
      </c>
      <c r="R2279" t="s">
        <v>36</v>
      </c>
      <c r="S2279" t="s">
        <v>36</v>
      </c>
      <c r="T2279" t="s">
        <v>36</v>
      </c>
      <c r="U2279">
        <v>1</v>
      </c>
      <c r="V2279">
        <v>1</v>
      </c>
      <c r="W2279">
        <v>0</v>
      </c>
      <c r="X2279">
        <v>1</v>
      </c>
      <c r="Y2279">
        <v>0</v>
      </c>
      <c r="Z2279">
        <v>1</v>
      </c>
      <c r="AA2279">
        <v>0</v>
      </c>
      <c r="AB2279">
        <v>1</v>
      </c>
      <c r="AC2279">
        <v>1</v>
      </c>
      <c r="AD2279">
        <v>0</v>
      </c>
      <c r="AE2279">
        <v>0</v>
      </c>
      <c r="AF2279">
        <v>0</v>
      </c>
      <c r="AG2279">
        <v>0</v>
      </c>
    </row>
    <row r="2280" spans="1:33" x14ac:dyDescent="0.2">
      <c r="A2280">
        <v>2279</v>
      </c>
      <c r="B2280" t="s">
        <v>634</v>
      </c>
      <c r="C2280" t="s">
        <v>33</v>
      </c>
      <c r="D2280">
        <v>27</v>
      </c>
      <c r="E2280" t="s">
        <v>114</v>
      </c>
      <c r="F2280" t="s">
        <v>41</v>
      </c>
      <c r="G2280" t="s">
        <v>42</v>
      </c>
      <c r="H2280">
        <v>6243</v>
      </c>
      <c r="I2280">
        <v>1</v>
      </c>
      <c r="J2280">
        <v>1</v>
      </c>
      <c r="K2280">
        <v>0</v>
      </c>
      <c r="L2280">
        <v>0</v>
      </c>
      <c r="M2280" t="s">
        <v>102</v>
      </c>
      <c r="N2280" t="s">
        <v>116</v>
      </c>
      <c r="O2280" t="s">
        <v>82</v>
      </c>
      <c r="P2280" t="s">
        <v>442</v>
      </c>
      <c r="Q2280" t="s">
        <v>59</v>
      </c>
      <c r="R2280" t="s">
        <v>60</v>
      </c>
      <c r="S2280" t="s">
        <v>65</v>
      </c>
      <c r="T2280">
        <v>1</v>
      </c>
      <c r="U2280">
        <v>1</v>
      </c>
      <c r="V2280">
        <v>0</v>
      </c>
      <c r="W2280">
        <v>0</v>
      </c>
      <c r="X2280">
        <v>0</v>
      </c>
      <c r="Y2280">
        <v>0</v>
      </c>
      <c r="Z2280">
        <v>1</v>
      </c>
      <c r="AA2280">
        <v>1</v>
      </c>
      <c r="AB2280">
        <v>0</v>
      </c>
      <c r="AC2280">
        <v>0</v>
      </c>
      <c r="AD2280">
        <v>0</v>
      </c>
      <c r="AE2280">
        <v>0</v>
      </c>
      <c r="AF2280">
        <v>0</v>
      </c>
      <c r="AG2280">
        <v>0</v>
      </c>
    </row>
    <row r="2281" spans="1:33" x14ac:dyDescent="0.2">
      <c r="A2281">
        <v>2280</v>
      </c>
      <c r="B2281" t="s">
        <v>634</v>
      </c>
      <c r="C2281" t="s">
        <v>33</v>
      </c>
      <c r="D2281">
        <v>27</v>
      </c>
      <c r="E2281" t="s">
        <v>114</v>
      </c>
      <c r="F2281" t="s">
        <v>41</v>
      </c>
      <c r="G2281" t="s">
        <v>61</v>
      </c>
      <c r="H2281">
        <v>14323</v>
      </c>
      <c r="I2281">
        <v>0</v>
      </c>
      <c r="J2281">
        <v>1</v>
      </c>
      <c r="K2281">
        <v>1</v>
      </c>
      <c r="L2281">
        <v>0</v>
      </c>
      <c r="M2281" t="s">
        <v>87</v>
      </c>
      <c r="N2281" t="s">
        <v>125</v>
      </c>
      <c r="O2281" t="s">
        <v>62</v>
      </c>
      <c r="P2281" t="s">
        <v>442</v>
      </c>
      <c r="Q2281" t="s">
        <v>47</v>
      </c>
      <c r="R2281" t="s">
        <v>60</v>
      </c>
      <c r="S2281" t="s">
        <v>65</v>
      </c>
      <c r="T2281">
        <v>1</v>
      </c>
      <c r="U2281">
        <v>1</v>
      </c>
      <c r="V2281">
        <v>0</v>
      </c>
      <c r="W2281">
        <v>1</v>
      </c>
      <c r="X2281">
        <v>0</v>
      </c>
      <c r="Y2281">
        <v>0</v>
      </c>
      <c r="Z2281">
        <v>1</v>
      </c>
      <c r="AA2281">
        <v>1</v>
      </c>
      <c r="AB2281">
        <v>1</v>
      </c>
      <c r="AC2281">
        <v>0</v>
      </c>
      <c r="AD2281">
        <v>0</v>
      </c>
      <c r="AE2281">
        <v>0</v>
      </c>
      <c r="AF2281">
        <v>0</v>
      </c>
      <c r="AG2281">
        <v>0</v>
      </c>
    </row>
    <row r="2282" spans="1:33" hidden="1" x14ac:dyDescent="0.2">
      <c r="A2282">
        <v>2281</v>
      </c>
      <c r="B2282" t="s">
        <v>634</v>
      </c>
      <c r="C2282" t="s">
        <v>33</v>
      </c>
      <c r="D2282">
        <v>27</v>
      </c>
      <c r="E2282" t="s">
        <v>114</v>
      </c>
      <c r="F2282" t="s">
        <v>53</v>
      </c>
      <c r="G2282" t="s">
        <v>76</v>
      </c>
      <c r="H2282">
        <v>14161</v>
      </c>
      <c r="I2282">
        <v>1</v>
      </c>
      <c r="J2282">
        <v>1</v>
      </c>
      <c r="K2282">
        <v>0</v>
      </c>
      <c r="L2282">
        <v>0</v>
      </c>
      <c r="M2282" t="s">
        <v>36</v>
      </c>
      <c r="N2282" t="s">
        <v>36</v>
      </c>
      <c r="O2282" t="s">
        <v>36</v>
      </c>
      <c r="P2282" t="s">
        <v>442</v>
      </c>
      <c r="Q2282" t="s">
        <v>36</v>
      </c>
      <c r="R2282" t="s">
        <v>36</v>
      </c>
      <c r="S2282" t="s">
        <v>36</v>
      </c>
      <c r="T2282" t="s">
        <v>36</v>
      </c>
      <c r="U2282">
        <v>1</v>
      </c>
      <c r="V2282">
        <v>0</v>
      </c>
      <c r="W2282">
        <v>1</v>
      </c>
      <c r="X2282">
        <v>0</v>
      </c>
      <c r="Y2282">
        <v>0</v>
      </c>
      <c r="Z2282">
        <v>1</v>
      </c>
      <c r="AA2282">
        <v>1</v>
      </c>
      <c r="AB2282">
        <v>1</v>
      </c>
      <c r="AC2282">
        <v>0</v>
      </c>
      <c r="AD2282">
        <v>0</v>
      </c>
      <c r="AE2282">
        <v>0</v>
      </c>
      <c r="AF2282">
        <v>0</v>
      </c>
      <c r="AG2282">
        <v>0</v>
      </c>
    </row>
    <row r="2283" spans="1:33" hidden="1" x14ac:dyDescent="0.2">
      <c r="A2283">
        <v>2282</v>
      </c>
      <c r="B2283" t="s">
        <v>634</v>
      </c>
      <c r="C2283" t="s">
        <v>33</v>
      </c>
      <c r="D2283">
        <v>27</v>
      </c>
      <c r="E2283" t="s">
        <v>114</v>
      </c>
      <c r="F2283" t="s">
        <v>77</v>
      </c>
      <c r="G2283" t="s">
        <v>36</v>
      </c>
      <c r="H2283">
        <v>192748</v>
      </c>
      <c r="I2283" t="s">
        <v>635</v>
      </c>
      <c r="J2283" t="s">
        <v>636</v>
      </c>
      <c r="K2283" t="s">
        <v>166</v>
      </c>
      <c r="L2283" t="s">
        <v>36</v>
      </c>
      <c r="M2283" t="s">
        <v>36</v>
      </c>
      <c r="N2283" t="s">
        <v>36</v>
      </c>
      <c r="O2283" t="s">
        <v>36</v>
      </c>
      <c r="P2283" t="s">
        <v>442</v>
      </c>
      <c r="Q2283" t="s">
        <v>36</v>
      </c>
      <c r="R2283" t="s">
        <v>36</v>
      </c>
      <c r="S2283" t="s">
        <v>36</v>
      </c>
      <c r="T2283" t="s">
        <v>36</v>
      </c>
      <c r="U2283" t="s">
        <v>36</v>
      </c>
      <c r="V2283" t="s">
        <v>36</v>
      </c>
      <c r="W2283" t="s">
        <v>36</v>
      </c>
      <c r="X2283" t="s">
        <v>36</v>
      </c>
      <c r="Y2283" t="s">
        <v>36</v>
      </c>
      <c r="Z2283" t="s">
        <v>36</v>
      </c>
      <c r="AA2283" t="s">
        <v>36</v>
      </c>
      <c r="AB2283" t="s">
        <v>36</v>
      </c>
      <c r="AC2283" t="s">
        <v>36</v>
      </c>
      <c r="AD2283" t="s">
        <v>36</v>
      </c>
      <c r="AE2283" t="s">
        <v>36</v>
      </c>
      <c r="AF2283" t="s">
        <v>36</v>
      </c>
      <c r="AG2283" t="s">
        <v>36</v>
      </c>
    </row>
    <row r="2284" spans="1:33" hidden="1" x14ac:dyDescent="0.2">
      <c r="A2284">
        <v>2283</v>
      </c>
      <c r="B2284" t="s">
        <v>637</v>
      </c>
      <c r="C2284" t="s">
        <v>33</v>
      </c>
      <c r="D2284">
        <v>27</v>
      </c>
      <c r="E2284" t="s">
        <v>34</v>
      </c>
      <c r="F2284" t="s">
        <v>35</v>
      </c>
      <c r="G2284" t="s">
        <v>36</v>
      </c>
      <c r="H2284">
        <v>206329</v>
      </c>
      <c r="I2284" t="s">
        <v>36</v>
      </c>
      <c r="J2284" t="s">
        <v>36</v>
      </c>
      <c r="K2284" t="s">
        <v>36</v>
      </c>
      <c r="L2284" t="s">
        <v>36</v>
      </c>
      <c r="M2284" t="s">
        <v>36</v>
      </c>
      <c r="N2284" t="s">
        <v>36</v>
      </c>
      <c r="O2284" t="s">
        <v>36</v>
      </c>
      <c r="P2284" t="s">
        <v>442</v>
      </c>
      <c r="Q2284" t="s">
        <v>36</v>
      </c>
      <c r="R2284" t="s">
        <v>36</v>
      </c>
      <c r="S2284" t="s">
        <v>36</v>
      </c>
      <c r="T2284" t="s">
        <v>36</v>
      </c>
      <c r="U2284" t="s">
        <v>36</v>
      </c>
      <c r="V2284" t="s">
        <v>36</v>
      </c>
      <c r="W2284" t="s">
        <v>36</v>
      </c>
      <c r="X2284" t="s">
        <v>36</v>
      </c>
      <c r="Y2284" t="s">
        <v>36</v>
      </c>
      <c r="Z2284" t="s">
        <v>36</v>
      </c>
      <c r="AA2284" t="s">
        <v>36</v>
      </c>
      <c r="AB2284" t="s">
        <v>36</v>
      </c>
      <c r="AC2284" t="s">
        <v>36</v>
      </c>
      <c r="AD2284" t="s">
        <v>36</v>
      </c>
      <c r="AE2284" t="s">
        <v>36</v>
      </c>
      <c r="AF2284" t="s">
        <v>36</v>
      </c>
      <c r="AG2284" t="s">
        <v>36</v>
      </c>
    </row>
    <row r="2285" spans="1:33" hidden="1" x14ac:dyDescent="0.2">
      <c r="A2285">
        <v>2284</v>
      </c>
      <c r="B2285" t="s">
        <v>637</v>
      </c>
      <c r="C2285" t="s">
        <v>33</v>
      </c>
      <c r="D2285">
        <v>27</v>
      </c>
      <c r="E2285" t="s">
        <v>34</v>
      </c>
      <c r="F2285" t="s">
        <v>38</v>
      </c>
      <c r="G2285" t="s">
        <v>40</v>
      </c>
      <c r="H2285">
        <v>725328</v>
      </c>
      <c r="I2285">
        <v>0</v>
      </c>
      <c r="J2285">
        <v>0</v>
      </c>
      <c r="K2285">
        <v>1</v>
      </c>
      <c r="L2285">
        <v>0</v>
      </c>
      <c r="M2285" t="s">
        <v>36</v>
      </c>
      <c r="N2285" t="s">
        <v>36</v>
      </c>
      <c r="O2285" t="s">
        <v>36</v>
      </c>
      <c r="P2285" t="s">
        <v>442</v>
      </c>
      <c r="Q2285" t="s">
        <v>36</v>
      </c>
      <c r="R2285" t="s">
        <v>36</v>
      </c>
      <c r="S2285" t="s">
        <v>36</v>
      </c>
      <c r="T2285" t="s">
        <v>36</v>
      </c>
      <c r="U2285" t="s">
        <v>36</v>
      </c>
      <c r="V2285" t="s">
        <v>36</v>
      </c>
      <c r="W2285" t="s">
        <v>36</v>
      </c>
      <c r="X2285" t="s">
        <v>36</v>
      </c>
      <c r="Y2285" t="s">
        <v>36</v>
      </c>
      <c r="Z2285" t="s">
        <v>36</v>
      </c>
      <c r="AA2285" t="s">
        <v>36</v>
      </c>
      <c r="AB2285" t="s">
        <v>36</v>
      </c>
      <c r="AC2285" t="s">
        <v>36</v>
      </c>
      <c r="AD2285" t="s">
        <v>36</v>
      </c>
      <c r="AE2285" t="s">
        <v>36</v>
      </c>
      <c r="AF2285" t="s">
        <v>36</v>
      </c>
      <c r="AG2285" t="s">
        <v>36</v>
      </c>
    </row>
    <row r="2286" spans="1:33" hidden="1" x14ac:dyDescent="0.2">
      <c r="A2286">
        <v>2285</v>
      </c>
      <c r="B2286" t="s">
        <v>637</v>
      </c>
      <c r="C2286" t="s">
        <v>33</v>
      </c>
      <c r="D2286">
        <v>27</v>
      </c>
      <c r="E2286" t="s">
        <v>34</v>
      </c>
      <c r="F2286" t="s">
        <v>38</v>
      </c>
      <c r="G2286" t="s">
        <v>39</v>
      </c>
      <c r="H2286">
        <v>234694</v>
      </c>
      <c r="I2286">
        <v>1</v>
      </c>
      <c r="J2286">
        <v>1</v>
      </c>
      <c r="K2286">
        <v>1</v>
      </c>
      <c r="L2286">
        <v>0</v>
      </c>
      <c r="M2286" t="s">
        <v>36</v>
      </c>
      <c r="N2286" t="s">
        <v>36</v>
      </c>
      <c r="O2286" t="s">
        <v>36</v>
      </c>
      <c r="P2286" t="s">
        <v>442</v>
      </c>
      <c r="Q2286" t="s">
        <v>36</v>
      </c>
      <c r="R2286" t="s">
        <v>36</v>
      </c>
      <c r="S2286" t="s">
        <v>36</v>
      </c>
      <c r="T2286" t="s">
        <v>36</v>
      </c>
      <c r="U2286" t="s">
        <v>36</v>
      </c>
      <c r="V2286" t="s">
        <v>36</v>
      </c>
      <c r="W2286" t="s">
        <v>36</v>
      </c>
      <c r="X2286" t="s">
        <v>36</v>
      </c>
      <c r="Y2286" t="s">
        <v>36</v>
      </c>
      <c r="Z2286" t="s">
        <v>36</v>
      </c>
      <c r="AA2286" t="s">
        <v>36</v>
      </c>
      <c r="AB2286" t="s">
        <v>36</v>
      </c>
      <c r="AC2286" t="s">
        <v>36</v>
      </c>
      <c r="AD2286" t="s">
        <v>36</v>
      </c>
      <c r="AE2286" t="s">
        <v>36</v>
      </c>
      <c r="AF2286" t="s">
        <v>36</v>
      </c>
      <c r="AG2286" t="s">
        <v>36</v>
      </c>
    </row>
    <row r="2287" spans="1:33" x14ac:dyDescent="0.2">
      <c r="A2287">
        <v>2286</v>
      </c>
      <c r="B2287" t="s">
        <v>637</v>
      </c>
      <c r="C2287" t="s">
        <v>33</v>
      </c>
      <c r="D2287">
        <v>27</v>
      </c>
      <c r="E2287" t="s">
        <v>34</v>
      </c>
      <c r="F2287" t="s">
        <v>41</v>
      </c>
      <c r="G2287" t="s">
        <v>55</v>
      </c>
      <c r="H2287">
        <v>248751</v>
      </c>
      <c r="I2287">
        <v>1</v>
      </c>
      <c r="J2287">
        <v>1</v>
      </c>
      <c r="K2287">
        <v>1</v>
      </c>
      <c r="L2287">
        <v>0</v>
      </c>
      <c r="M2287" t="s">
        <v>84</v>
      </c>
      <c r="N2287" t="s">
        <v>94</v>
      </c>
      <c r="O2287" t="s">
        <v>56</v>
      </c>
      <c r="P2287" t="s">
        <v>442</v>
      </c>
      <c r="Q2287" t="s">
        <v>46</v>
      </c>
      <c r="R2287" t="s">
        <v>47</v>
      </c>
      <c r="S2287" t="s">
        <v>59</v>
      </c>
      <c r="T2287">
        <v>0</v>
      </c>
      <c r="U2287">
        <v>0</v>
      </c>
      <c r="V2287">
        <v>0</v>
      </c>
      <c r="W2287">
        <v>1</v>
      </c>
      <c r="X2287">
        <v>1</v>
      </c>
      <c r="Y2287">
        <v>0</v>
      </c>
      <c r="Z2287">
        <v>1</v>
      </c>
      <c r="AA2287">
        <v>0</v>
      </c>
      <c r="AB2287">
        <v>0</v>
      </c>
      <c r="AC2287">
        <v>0</v>
      </c>
      <c r="AD2287">
        <v>1</v>
      </c>
      <c r="AE2287">
        <v>1</v>
      </c>
      <c r="AF2287">
        <v>0</v>
      </c>
      <c r="AG2287">
        <v>0</v>
      </c>
    </row>
    <row r="2288" spans="1:33" x14ac:dyDescent="0.2">
      <c r="A2288">
        <v>2287</v>
      </c>
      <c r="B2288" t="s">
        <v>637</v>
      </c>
      <c r="C2288" t="s">
        <v>33</v>
      </c>
      <c r="D2288">
        <v>27</v>
      </c>
      <c r="E2288" t="s">
        <v>34</v>
      </c>
      <c r="F2288" t="s">
        <v>41</v>
      </c>
      <c r="G2288" t="s">
        <v>42</v>
      </c>
      <c r="H2288">
        <v>61874</v>
      </c>
      <c r="I2288">
        <v>1</v>
      </c>
      <c r="J2288">
        <v>1</v>
      </c>
      <c r="K2288">
        <v>1</v>
      </c>
      <c r="L2288">
        <v>0</v>
      </c>
      <c r="M2288" t="s">
        <v>45</v>
      </c>
      <c r="N2288" t="s">
        <v>102</v>
      </c>
      <c r="O2288" t="s">
        <v>43</v>
      </c>
      <c r="P2288" t="s">
        <v>442</v>
      </c>
      <c r="Q2288" t="s">
        <v>48</v>
      </c>
      <c r="R2288" t="s">
        <v>59</v>
      </c>
      <c r="S2288" t="s">
        <v>46</v>
      </c>
      <c r="T2288">
        <v>0</v>
      </c>
      <c r="U2288">
        <v>0</v>
      </c>
      <c r="V2288">
        <v>1</v>
      </c>
      <c r="W2288">
        <v>0</v>
      </c>
      <c r="X2288">
        <v>1</v>
      </c>
      <c r="Y2288">
        <v>0</v>
      </c>
      <c r="Z2288">
        <v>1</v>
      </c>
      <c r="AA2288">
        <v>0</v>
      </c>
      <c r="AB2288">
        <v>0</v>
      </c>
      <c r="AC2288">
        <v>1</v>
      </c>
      <c r="AD2288">
        <v>0</v>
      </c>
      <c r="AE2288">
        <v>1</v>
      </c>
      <c r="AF2288">
        <v>0</v>
      </c>
      <c r="AG2288">
        <v>0</v>
      </c>
    </row>
    <row r="2289" spans="1:33" hidden="1" x14ac:dyDescent="0.2">
      <c r="A2289">
        <v>2288</v>
      </c>
      <c r="B2289" t="s">
        <v>637</v>
      </c>
      <c r="C2289" t="s">
        <v>33</v>
      </c>
      <c r="D2289">
        <v>27</v>
      </c>
      <c r="E2289" t="s">
        <v>34</v>
      </c>
      <c r="F2289" t="s">
        <v>53</v>
      </c>
      <c r="G2289" t="s">
        <v>54</v>
      </c>
      <c r="H2289">
        <v>59280</v>
      </c>
      <c r="I2289">
        <v>1</v>
      </c>
      <c r="J2289">
        <v>1</v>
      </c>
      <c r="K2289">
        <v>0</v>
      </c>
      <c r="L2289">
        <v>0</v>
      </c>
      <c r="M2289" t="s">
        <v>36</v>
      </c>
      <c r="N2289" t="s">
        <v>36</v>
      </c>
      <c r="O2289" t="s">
        <v>36</v>
      </c>
      <c r="P2289" t="s">
        <v>442</v>
      </c>
      <c r="Q2289" t="s">
        <v>36</v>
      </c>
      <c r="R2289" t="s">
        <v>36</v>
      </c>
      <c r="S2289" t="s">
        <v>36</v>
      </c>
      <c r="T2289" t="s">
        <v>36</v>
      </c>
      <c r="U2289">
        <v>0</v>
      </c>
      <c r="V2289">
        <v>1</v>
      </c>
      <c r="W2289">
        <v>0</v>
      </c>
      <c r="X2289">
        <v>1</v>
      </c>
      <c r="Y2289">
        <v>0</v>
      </c>
      <c r="Z2289">
        <v>1</v>
      </c>
      <c r="AA2289">
        <v>0</v>
      </c>
      <c r="AB2289">
        <v>0</v>
      </c>
      <c r="AC2289">
        <v>1</v>
      </c>
      <c r="AD2289">
        <v>0</v>
      </c>
      <c r="AE2289">
        <v>1</v>
      </c>
      <c r="AF2289">
        <v>0</v>
      </c>
      <c r="AG2289">
        <v>0</v>
      </c>
    </row>
    <row r="2290" spans="1:33" x14ac:dyDescent="0.2">
      <c r="A2290">
        <v>2289</v>
      </c>
      <c r="B2290" t="s">
        <v>637</v>
      </c>
      <c r="C2290" t="s">
        <v>33</v>
      </c>
      <c r="D2290">
        <v>27</v>
      </c>
      <c r="E2290" t="s">
        <v>34</v>
      </c>
      <c r="F2290" t="s">
        <v>41</v>
      </c>
      <c r="G2290" t="s">
        <v>61</v>
      </c>
      <c r="H2290">
        <v>93750</v>
      </c>
      <c r="I2290">
        <v>1</v>
      </c>
      <c r="J2290">
        <v>1</v>
      </c>
      <c r="K2290">
        <v>1</v>
      </c>
      <c r="L2290">
        <v>0</v>
      </c>
      <c r="M2290" t="s">
        <v>97</v>
      </c>
      <c r="N2290" t="s">
        <v>125</v>
      </c>
      <c r="O2290" t="s">
        <v>62</v>
      </c>
      <c r="P2290" t="s">
        <v>442</v>
      </c>
      <c r="Q2290" t="s">
        <v>59</v>
      </c>
      <c r="R2290" t="s">
        <v>60</v>
      </c>
      <c r="S2290" t="s">
        <v>65</v>
      </c>
      <c r="T2290">
        <v>1</v>
      </c>
      <c r="U2290">
        <v>1</v>
      </c>
      <c r="V2290">
        <v>0</v>
      </c>
      <c r="W2290">
        <v>0</v>
      </c>
      <c r="X2290">
        <v>0</v>
      </c>
      <c r="Y2290">
        <v>0</v>
      </c>
      <c r="Z2290">
        <v>1</v>
      </c>
      <c r="AA2290">
        <v>1</v>
      </c>
      <c r="AB2290">
        <v>1</v>
      </c>
      <c r="AC2290">
        <v>0</v>
      </c>
      <c r="AD2290">
        <v>0</v>
      </c>
      <c r="AE2290">
        <v>0</v>
      </c>
      <c r="AF2290">
        <v>0</v>
      </c>
      <c r="AG2290">
        <v>0</v>
      </c>
    </row>
    <row r="2291" spans="1:33" hidden="1" x14ac:dyDescent="0.2">
      <c r="A2291">
        <v>2290</v>
      </c>
      <c r="B2291" t="s">
        <v>637</v>
      </c>
      <c r="C2291" t="s">
        <v>33</v>
      </c>
      <c r="D2291">
        <v>27</v>
      </c>
      <c r="E2291" t="s">
        <v>34</v>
      </c>
      <c r="F2291" t="s">
        <v>53</v>
      </c>
      <c r="G2291" t="s">
        <v>76</v>
      </c>
      <c r="H2291">
        <v>11857</v>
      </c>
      <c r="I2291">
        <v>1</v>
      </c>
      <c r="J2291">
        <v>1</v>
      </c>
      <c r="K2291">
        <v>0</v>
      </c>
      <c r="L2291">
        <v>0</v>
      </c>
      <c r="M2291" t="s">
        <v>36</v>
      </c>
      <c r="N2291" t="s">
        <v>36</v>
      </c>
      <c r="O2291" t="s">
        <v>36</v>
      </c>
      <c r="P2291" t="s">
        <v>442</v>
      </c>
      <c r="Q2291" t="s">
        <v>36</v>
      </c>
      <c r="R2291" t="s">
        <v>36</v>
      </c>
      <c r="S2291" t="s">
        <v>36</v>
      </c>
      <c r="T2291" t="s">
        <v>36</v>
      </c>
      <c r="U2291">
        <v>1</v>
      </c>
      <c r="V2291">
        <v>0</v>
      </c>
      <c r="W2291">
        <v>0</v>
      </c>
      <c r="X2291">
        <v>0</v>
      </c>
      <c r="Y2291">
        <v>0</v>
      </c>
      <c r="Z2291">
        <v>1</v>
      </c>
      <c r="AA2291">
        <v>1</v>
      </c>
      <c r="AB2291">
        <v>1</v>
      </c>
      <c r="AC2291">
        <v>0</v>
      </c>
      <c r="AD2291">
        <v>0</v>
      </c>
      <c r="AE2291">
        <v>0</v>
      </c>
      <c r="AF2291">
        <v>0</v>
      </c>
      <c r="AG2291">
        <v>0</v>
      </c>
    </row>
    <row r="2292" spans="1:33" x14ac:dyDescent="0.2">
      <c r="A2292">
        <v>2291</v>
      </c>
      <c r="B2292" t="s">
        <v>637</v>
      </c>
      <c r="C2292" t="s">
        <v>33</v>
      </c>
      <c r="D2292">
        <v>27</v>
      </c>
      <c r="E2292" t="s">
        <v>34</v>
      </c>
      <c r="F2292" t="s">
        <v>41</v>
      </c>
      <c r="G2292" t="s">
        <v>67</v>
      </c>
      <c r="H2292">
        <v>15639</v>
      </c>
      <c r="I2292">
        <v>1</v>
      </c>
      <c r="J2292">
        <v>1</v>
      </c>
      <c r="K2292">
        <v>1</v>
      </c>
      <c r="L2292">
        <v>0</v>
      </c>
      <c r="M2292" t="s">
        <v>103</v>
      </c>
      <c r="N2292" t="s">
        <v>69</v>
      </c>
      <c r="O2292" t="s">
        <v>86</v>
      </c>
      <c r="P2292" t="s">
        <v>442</v>
      </c>
      <c r="Q2292" t="s">
        <v>60</v>
      </c>
      <c r="R2292" t="s">
        <v>48</v>
      </c>
      <c r="S2292" t="s">
        <v>46</v>
      </c>
      <c r="T2292">
        <v>1</v>
      </c>
      <c r="U2292">
        <v>0</v>
      </c>
      <c r="V2292">
        <v>1</v>
      </c>
      <c r="W2292">
        <v>0</v>
      </c>
      <c r="X2292">
        <v>1</v>
      </c>
      <c r="Y2292">
        <v>0</v>
      </c>
      <c r="Z2292">
        <v>1</v>
      </c>
      <c r="AA2292">
        <v>1</v>
      </c>
      <c r="AB2292">
        <v>0</v>
      </c>
      <c r="AC2292">
        <v>1</v>
      </c>
      <c r="AD2292">
        <v>0</v>
      </c>
      <c r="AE2292">
        <v>1</v>
      </c>
      <c r="AF2292">
        <v>0</v>
      </c>
      <c r="AG2292">
        <v>0</v>
      </c>
    </row>
    <row r="2293" spans="1:33" x14ac:dyDescent="0.2">
      <c r="A2293">
        <v>2292</v>
      </c>
      <c r="B2293" t="s">
        <v>637</v>
      </c>
      <c r="C2293" t="s">
        <v>33</v>
      </c>
      <c r="D2293">
        <v>27</v>
      </c>
      <c r="E2293" t="s">
        <v>34</v>
      </c>
      <c r="F2293" t="s">
        <v>41</v>
      </c>
      <c r="G2293" t="s">
        <v>72</v>
      </c>
      <c r="H2293">
        <v>8606</v>
      </c>
      <c r="I2293">
        <v>1</v>
      </c>
      <c r="J2293">
        <v>1</v>
      </c>
      <c r="K2293">
        <v>1</v>
      </c>
      <c r="L2293">
        <v>0</v>
      </c>
      <c r="M2293" t="s">
        <v>74</v>
      </c>
      <c r="N2293" t="s">
        <v>75</v>
      </c>
      <c r="O2293" t="s">
        <v>104</v>
      </c>
      <c r="P2293" t="s">
        <v>442</v>
      </c>
      <c r="Q2293" t="s">
        <v>47</v>
      </c>
      <c r="R2293" t="s">
        <v>46</v>
      </c>
      <c r="S2293" t="s">
        <v>60</v>
      </c>
      <c r="T2293">
        <v>1</v>
      </c>
      <c r="U2293">
        <v>0</v>
      </c>
      <c r="V2293">
        <v>0</v>
      </c>
      <c r="W2293">
        <v>1</v>
      </c>
      <c r="X2293">
        <v>1</v>
      </c>
      <c r="Y2293">
        <v>0</v>
      </c>
      <c r="Z2293">
        <v>1</v>
      </c>
      <c r="AA2293">
        <v>1</v>
      </c>
      <c r="AB2293">
        <v>0</v>
      </c>
      <c r="AC2293">
        <v>0</v>
      </c>
      <c r="AD2293">
        <v>1</v>
      </c>
      <c r="AE2293">
        <v>1</v>
      </c>
      <c r="AF2293">
        <v>0</v>
      </c>
      <c r="AG2293">
        <v>0</v>
      </c>
    </row>
    <row r="2294" spans="1:33" hidden="1" x14ac:dyDescent="0.2">
      <c r="A2294">
        <v>2293</v>
      </c>
      <c r="B2294" t="s">
        <v>637</v>
      </c>
      <c r="C2294" t="s">
        <v>33</v>
      </c>
      <c r="D2294">
        <v>27</v>
      </c>
      <c r="E2294" t="s">
        <v>34</v>
      </c>
      <c r="F2294" t="s">
        <v>53</v>
      </c>
      <c r="G2294" t="s">
        <v>66</v>
      </c>
      <c r="H2294">
        <v>15549</v>
      </c>
      <c r="I2294">
        <v>1</v>
      </c>
      <c r="J2294">
        <v>1</v>
      </c>
      <c r="K2294">
        <v>1</v>
      </c>
      <c r="L2294">
        <v>0</v>
      </c>
      <c r="M2294" t="s">
        <v>36</v>
      </c>
      <c r="N2294" t="s">
        <v>36</v>
      </c>
      <c r="O2294" t="s">
        <v>36</v>
      </c>
      <c r="P2294" t="s">
        <v>442</v>
      </c>
      <c r="Q2294" t="s">
        <v>36</v>
      </c>
      <c r="R2294" t="s">
        <v>36</v>
      </c>
      <c r="S2294" t="s">
        <v>36</v>
      </c>
      <c r="T2294" t="s">
        <v>36</v>
      </c>
      <c r="U2294">
        <v>0</v>
      </c>
      <c r="V2294">
        <v>0</v>
      </c>
      <c r="W2294">
        <v>1</v>
      </c>
      <c r="X2294">
        <v>1</v>
      </c>
      <c r="Y2294">
        <v>0</v>
      </c>
      <c r="Z2294">
        <v>1</v>
      </c>
      <c r="AA2294">
        <v>1</v>
      </c>
      <c r="AB2294">
        <v>0</v>
      </c>
      <c r="AC2294">
        <v>0</v>
      </c>
      <c r="AD2294">
        <v>1</v>
      </c>
      <c r="AE2294">
        <v>1</v>
      </c>
      <c r="AF2294">
        <v>0</v>
      </c>
      <c r="AG2294">
        <v>0</v>
      </c>
    </row>
    <row r="2295" spans="1:33" x14ac:dyDescent="0.2">
      <c r="A2295">
        <v>2294</v>
      </c>
      <c r="B2295" t="s">
        <v>637</v>
      </c>
      <c r="C2295" t="s">
        <v>33</v>
      </c>
      <c r="D2295">
        <v>27</v>
      </c>
      <c r="E2295" t="s">
        <v>34</v>
      </c>
      <c r="F2295" t="s">
        <v>41</v>
      </c>
      <c r="G2295" t="s">
        <v>49</v>
      </c>
      <c r="H2295">
        <v>4950</v>
      </c>
      <c r="I2295">
        <v>1</v>
      </c>
      <c r="J2295">
        <v>1</v>
      </c>
      <c r="K2295">
        <v>0</v>
      </c>
      <c r="L2295">
        <v>0</v>
      </c>
      <c r="M2295" t="s">
        <v>95</v>
      </c>
      <c r="N2295" t="s">
        <v>96</v>
      </c>
      <c r="O2295" t="s">
        <v>50</v>
      </c>
      <c r="P2295" t="s">
        <v>442</v>
      </c>
      <c r="Q2295" t="s">
        <v>60</v>
      </c>
      <c r="R2295" t="s">
        <v>65</v>
      </c>
      <c r="S2295" t="s">
        <v>48</v>
      </c>
      <c r="T2295">
        <v>1</v>
      </c>
      <c r="U2295">
        <v>1</v>
      </c>
      <c r="V2295">
        <v>1</v>
      </c>
      <c r="W2295">
        <v>0</v>
      </c>
      <c r="X2295">
        <v>0</v>
      </c>
      <c r="Y2295">
        <v>0</v>
      </c>
      <c r="Z2295">
        <v>1</v>
      </c>
      <c r="AA2295">
        <v>1</v>
      </c>
      <c r="AB2295">
        <v>1</v>
      </c>
      <c r="AC2295">
        <v>0</v>
      </c>
      <c r="AD2295">
        <v>0</v>
      </c>
      <c r="AE2295">
        <v>0</v>
      </c>
      <c r="AF2295">
        <v>0</v>
      </c>
      <c r="AG2295">
        <v>0</v>
      </c>
    </row>
    <row r="2296" spans="1:33" hidden="1" x14ac:dyDescent="0.2">
      <c r="A2296">
        <v>2295</v>
      </c>
      <c r="B2296" t="s">
        <v>637</v>
      </c>
      <c r="C2296" t="s">
        <v>33</v>
      </c>
      <c r="D2296">
        <v>27</v>
      </c>
      <c r="E2296" t="s">
        <v>34</v>
      </c>
      <c r="F2296" t="s">
        <v>53</v>
      </c>
      <c r="G2296" t="s">
        <v>71</v>
      </c>
      <c r="H2296">
        <v>5917</v>
      </c>
      <c r="I2296">
        <v>0</v>
      </c>
      <c r="J2296">
        <v>1</v>
      </c>
      <c r="K2296">
        <v>1</v>
      </c>
      <c r="L2296">
        <v>0</v>
      </c>
      <c r="M2296" t="s">
        <v>36</v>
      </c>
      <c r="N2296" t="s">
        <v>36</v>
      </c>
      <c r="O2296" t="s">
        <v>36</v>
      </c>
      <c r="P2296" t="s">
        <v>442</v>
      </c>
      <c r="Q2296" t="s">
        <v>36</v>
      </c>
      <c r="R2296" t="s">
        <v>36</v>
      </c>
      <c r="S2296" t="s">
        <v>36</v>
      </c>
      <c r="T2296" t="s">
        <v>36</v>
      </c>
      <c r="U2296">
        <v>1</v>
      </c>
      <c r="V2296">
        <v>1</v>
      </c>
      <c r="W2296">
        <v>0</v>
      </c>
      <c r="X2296">
        <v>0</v>
      </c>
      <c r="Y2296">
        <v>0</v>
      </c>
      <c r="Z2296">
        <v>1</v>
      </c>
      <c r="AA2296">
        <v>1</v>
      </c>
      <c r="AB2296">
        <v>1</v>
      </c>
      <c r="AC2296">
        <v>0</v>
      </c>
      <c r="AD2296">
        <v>0</v>
      </c>
      <c r="AE2296">
        <v>0</v>
      </c>
      <c r="AF2296">
        <v>0</v>
      </c>
      <c r="AG2296">
        <v>0</v>
      </c>
    </row>
    <row r="2297" spans="1:33" hidden="1" x14ac:dyDescent="0.2">
      <c r="A2297">
        <v>2296</v>
      </c>
      <c r="B2297" t="s">
        <v>637</v>
      </c>
      <c r="C2297" t="s">
        <v>33</v>
      </c>
      <c r="D2297">
        <v>27</v>
      </c>
      <c r="E2297" t="s">
        <v>34</v>
      </c>
      <c r="F2297" t="s">
        <v>77</v>
      </c>
      <c r="G2297" t="s">
        <v>36</v>
      </c>
      <c r="H2297">
        <v>45693</v>
      </c>
      <c r="I2297" t="s">
        <v>624</v>
      </c>
      <c r="J2297" t="s">
        <v>638</v>
      </c>
      <c r="K2297" t="s">
        <v>639</v>
      </c>
      <c r="L2297" t="s">
        <v>36</v>
      </c>
      <c r="M2297" t="s">
        <v>36</v>
      </c>
      <c r="N2297" t="s">
        <v>36</v>
      </c>
      <c r="O2297" t="s">
        <v>36</v>
      </c>
      <c r="P2297" t="s">
        <v>442</v>
      </c>
      <c r="Q2297" t="s">
        <v>36</v>
      </c>
      <c r="R2297" t="s">
        <v>36</v>
      </c>
      <c r="S2297" t="s">
        <v>36</v>
      </c>
      <c r="T2297" t="s">
        <v>36</v>
      </c>
      <c r="U2297" t="s">
        <v>36</v>
      </c>
      <c r="V2297" t="s">
        <v>36</v>
      </c>
      <c r="W2297" t="s">
        <v>36</v>
      </c>
      <c r="X2297" t="s">
        <v>36</v>
      </c>
      <c r="Y2297" t="s">
        <v>36</v>
      </c>
      <c r="Z2297" t="s">
        <v>36</v>
      </c>
      <c r="AA2297" t="s">
        <v>36</v>
      </c>
      <c r="AB2297" t="s">
        <v>36</v>
      </c>
      <c r="AC2297" t="s">
        <v>36</v>
      </c>
      <c r="AD2297" t="s">
        <v>36</v>
      </c>
      <c r="AE2297" t="s">
        <v>36</v>
      </c>
      <c r="AF2297" t="s">
        <v>36</v>
      </c>
      <c r="AG2297" t="s">
        <v>36</v>
      </c>
    </row>
    <row r="2298" spans="1:33" hidden="1" x14ac:dyDescent="0.2">
      <c r="A2298">
        <v>2297</v>
      </c>
      <c r="B2298" t="s">
        <v>640</v>
      </c>
      <c r="C2298" t="s">
        <v>108</v>
      </c>
      <c r="D2298">
        <v>64</v>
      </c>
      <c r="E2298" t="s">
        <v>114</v>
      </c>
      <c r="F2298" t="s">
        <v>35</v>
      </c>
      <c r="G2298" t="s">
        <v>36</v>
      </c>
      <c r="H2298">
        <v>109809</v>
      </c>
      <c r="I2298" t="s">
        <v>36</v>
      </c>
      <c r="J2298" t="s">
        <v>36</v>
      </c>
      <c r="K2298" t="s">
        <v>36</v>
      </c>
      <c r="L2298" t="s">
        <v>36</v>
      </c>
      <c r="M2298" t="s">
        <v>36</v>
      </c>
      <c r="N2298" t="s">
        <v>36</v>
      </c>
      <c r="O2298" t="s">
        <v>36</v>
      </c>
      <c r="P2298" t="s">
        <v>442</v>
      </c>
      <c r="Q2298" t="s">
        <v>36</v>
      </c>
      <c r="R2298" t="s">
        <v>36</v>
      </c>
      <c r="S2298" t="s">
        <v>36</v>
      </c>
      <c r="T2298" t="s">
        <v>36</v>
      </c>
      <c r="U2298" t="s">
        <v>36</v>
      </c>
      <c r="V2298" t="s">
        <v>36</v>
      </c>
      <c r="W2298" t="s">
        <v>36</v>
      </c>
      <c r="X2298" t="s">
        <v>36</v>
      </c>
      <c r="Y2298" t="s">
        <v>36</v>
      </c>
      <c r="Z2298" t="s">
        <v>36</v>
      </c>
      <c r="AA2298" t="s">
        <v>36</v>
      </c>
      <c r="AB2298" t="s">
        <v>36</v>
      </c>
      <c r="AC2298" t="s">
        <v>36</v>
      </c>
      <c r="AD2298" t="s">
        <v>36</v>
      </c>
      <c r="AE2298" t="s">
        <v>36</v>
      </c>
      <c r="AF2298" t="s">
        <v>36</v>
      </c>
      <c r="AG2298" t="s">
        <v>36</v>
      </c>
    </row>
    <row r="2299" spans="1:33" hidden="1" x14ac:dyDescent="0.2">
      <c r="A2299">
        <v>2298</v>
      </c>
      <c r="B2299" t="s">
        <v>640</v>
      </c>
      <c r="C2299" t="s">
        <v>108</v>
      </c>
      <c r="D2299">
        <v>64</v>
      </c>
      <c r="E2299" t="s">
        <v>114</v>
      </c>
      <c r="F2299" t="s">
        <v>38</v>
      </c>
      <c r="G2299" t="s">
        <v>40</v>
      </c>
      <c r="H2299">
        <v>108871</v>
      </c>
      <c r="I2299">
        <v>0</v>
      </c>
      <c r="J2299">
        <v>0</v>
      </c>
      <c r="K2299">
        <v>1</v>
      </c>
      <c r="L2299">
        <v>0</v>
      </c>
      <c r="M2299" t="s">
        <v>36</v>
      </c>
      <c r="N2299" t="s">
        <v>36</v>
      </c>
      <c r="O2299" t="s">
        <v>36</v>
      </c>
      <c r="P2299" t="s">
        <v>442</v>
      </c>
      <c r="Q2299" t="s">
        <v>36</v>
      </c>
      <c r="R2299" t="s">
        <v>36</v>
      </c>
      <c r="S2299" t="s">
        <v>36</v>
      </c>
      <c r="T2299" t="s">
        <v>36</v>
      </c>
      <c r="U2299" t="s">
        <v>36</v>
      </c>
      <c r="V2299" t="s">
        <v>36</v>
      </c>
      <c r="W2299" t="s">
        <v>36</v>
      </c>
      <c r="X2299" t="s">
        <v>36</v>
      </c>
      <c r="Y2299" t="s">
        <v>36</v>
      </c>
      <c r="Z2299" t="s">
        <v>36</v>
      </c>
      <c r="AA2299" t="s">
        <v>36</v>
      </c>
      <c r="AB2299" t="s">
        <v>36</v>
      </c>
      <c r="AC2299" t="s">
        <v>36</v>
      </c>
      <c r="AD2299" t="s">
        <v>36</v>
      </c>
      <c r="AE2299" t="s">
        <v>36</v>
      </c>
      <c r="AF2299" t="s">
        <v>36</v>
      </c>
      <c r="AG2299" t="s">
        <v>36</v>
      </c>
    </row>
    <row r="2300" spans="1:33" hidden="1" x14ac:dyDescent="0.2">
      <c r="A2300">
        <v>2299</v>
      </c>
      <c r="B2300" t="s">
        <v>640</v>
      </c>
      <c r="C2300" t="s">
        <v>108</v>
      </c>
      <c r="D2300">
        <v>64</v>
      </c>
      <c r="E2300" t="s">
        <v>114</v>
      </c>
      <c r="F2300" t="s">
        <v>38</v>
      </c>
      <c r="G2300" t="s">
        <v>39</v>
      </c>
      <c r="H2300">
        <v>51840</v>
      </c>
      <c r="I2300">
        <v>0</v>
      </c>
      <c r="J2300">
        <v>0</v>
      </c>
      <c r="K2300">
        <v>0</v>
      </c>
      <c r="L2300">
        <v>1</v>
      </c>
      <c r="M2300" t="s">
        <v>36</v>
      </c>
      <c r="N2300" t="s">
        <v>36</v>
      </c>
      <c r="O2300" t="s">
        <v>36</v>
      </c>
      <c r="P2300" t="s">
        <v>442</v>
      </c>
      <c r="Q2300" t="s">
        <v>36</v>
      </c>
      <c r="R2300" t="s">
        <v>36</v>
      </c>
      <c r="S2300" t="s">
        <v>36</v>
      </c>
      <c r="T2300" t="s">
        <v>36</v>
      </c>
      <c r="U2300" t="s">
        <v>36</v>
      </c>
      <c r="V2300" t="s">
        <v>36</v>
      </c>
      <c r="W2300" t="s">
        <v>36</v>
      </c>
      <c r="X2300" t="s">
        <v>36</v>
      </c>
      <c r="Y2300" t="s">
        <v>36</v>
      </c>
      <c r="Z2300" t="s">
        <v>36</v>
      </c>
      <c r="AA2300" t="s">
        <v>36</v>
      </c>
      <c r="AB2300" t="s">
        <v>36</v>
      </c>
      <c r="AC2300" t="s">
        <v>36</v>
      </c>
      <c r="AD2300" t="s">
        <v>36</v>
      </c>
      <c r="AE2300" t="s">
        <v>36</v>
      </c>
      <c r="AF2300" t="s">
        <v>36</v>
      </c>
      <c r="AG2300" t="s">
        <v>36</v>
      </c>
    </row>
    <row r="2301" spans="1:33" x14ac:dyDescent="0.2">
      <c r="A2301">
        <v>2300</v>
      </c>
      <c r="B2301" t="s">
        <v>640</v>
      </c>
      <c r="C2301" t="s">
        <v>108</v>
      </c>
      <c r="D2301">
        <v>64</v>
      </c>
      <c r="E2301" t="s">
        <v>114</v>
      </c>
      <c r="F2301" t="s">
        <v>41</v>
      </c>
      <c r="G2301" t="s">
        <v>61</v>
      </c>
      <c r="H2301">
        <v>71354</v>
      </c>
      <c r="I2301">
        <v>0</v>
      </c>
      <c r="J2301">
        <v>0</v>
      </c>
      <c r="K2301">
        <v>0</v>
      </c>
      <c r="L2301">
        <v>1</v>
      </c>
      <c r="M2301" t="s">
        <v>64</v>
      </c>
      <c r="N2301" t="s">
        <v>97</v>
      </c>
      <c r="O2301" t="s">
        <v>63</v>
      </c>
      <c r="P2301" t="s">
        <v>442</v>
      </c>
      <c r="Q2301" t="s">
        <v>48</v>
      </c>
      <c r="R2301" t="s">
        <v>59</v>
      </c>
      <c r="S2301" t="s">
        <v>46</v>
      </c>
      <c r="T2301">
        <v>0</v>
      </c>
      <c r="U2301">
        <v>0</v>
      </c>
      <c r="V2301">
        <v>1</v>
      </c>
      <c r="W2301">
        <v>0</v>
      </c>
      <c r="X2301">
        <v>1</v>
      </c>
      <c r="Y2301">
        <v>0</v>
      </c>
      <c r="Z2301">
        <v>1</v>
      </c>
      <c r="AA2301">
        <v>0</v>
      </c>
      <c r="AB2301">
        <v>0</v>
      </c>
      <c r="AC2301">
        <v>0</v>
      </c>
      <c r="AD2301">
        <v>0</v>
      </c>
      <c r="AE2301">
        <v>0</v>
      </c>
      <c r="AF2301">
        <v>0</v>
      </c>
      <c r="AG2301">
        <v>1</v>
      </c>
    </row>
    <row r="2302" spans="1:33" x14ac:dyDescent="0.2">
      <c r="A2302">
        <v>2301</v>
      </c>
      <c r="B2302" t="s">
        <v>640</v>
      </c>
      <c r="C2302" t="s">
        <v>108</v>
      </c>
      <c r="D2302">
        <v>64</v>
      </c>
      <c r="E2302" t="s">
        <v>114</v>
      </c>
      <c r="F2302" t="s">
        <v>41</v>
      </c>
      <c r="G2302" t="s">
        <v>42</v>
      </c>
      <c r="H2302">
        <v>75091</v>
      </c>
      <c r="I2302">
        <v>0</v>
      </c>
      <c r="J2302">
        <v>0</v>
      </c>
      <c r="K2302">
        <v>1</v>
      </c>
      <c r="L2302">
        <v>0</v>
      </c>
      <c r="M2302" t="s">
        <v>45</v>
      </c>
      <c r="N2302" t="s">
        <v>43</v>
      </c>
      <c r="O2302" t="s">
        <v>44</v>
      </c>
      <c r="P2302" t="s">
        <v>442</v>
      </c>
      <c r="Q2302" t="s">
        <v>48</v>
      </c>
      <c r="R2302" t="s">
        <v>46</v>
      </c>
      <c r="S2302" t="s">
        <v>47</v>
      </c>
      <c r="T2302">
        <v>0</v>
      </c>
      <c r="U2302">
        <v>0</v>
      </c>
      <c r="V2302">
        <v>1</v>
      </c>
      <c r="W2302">
        <v>1</v>
      </c>
      <c r="X2302">
        <v>1</v>
      </c>
      <c r="Y2302">
        <v>0</v>
      </c>
      <c r="Z2302">
        <v>1</v>
      </c>
      <c r="AA2302">
        <v>0</v>
      </c>
      <c r="AB2302">
        <v>0</v>
      </c>
      <c r="AC2302">
        <v>0</v>
      </c>
      <c r="AD2302">
        <v>1</v>
      </c>
      <c r="AE2302">
        <v>0</v>
      </c>
      <c r="AF2302">
        <v>0</v>
      </c>
      <c r="AG2302">
        <v>0</v>
      </c>
    </row>
    <row r="2303" spans="1:33" hidden="1" x14ac:dyDescent="0.2">
      <c r="A2303">
        <v>2302</v>
      </c>
      <c r="B2303" t="s">
        <v>640</v>
      </c>
      <c r="C2303" t="s">
        <v>108</v>
      </c>
      <c r="D2303">
        <v>64</v>
      </c>
      <c r="E2303" t="s">
        <v>114</v>
      </c>
      <c r="F2303" t="s">
        <v>53</v>
      </c>
      <c r="G2303" t="s">
        <v>54</v>
      </c>
      <c r="H2303">
        <v>41956</v>
      </c>
      <c r="I2303">
        <v>0</v>
      </c>
      <c r="J2303">
        <v>1</v>
      </c>
      <c r="K2303">
        <v>0</v>
      </c>
      <c r="L2303">
        <v>0</v>
      </c>
      <c r="M2303" t="s">
        <v>36</v>
      </c>
      <c r="N2303" t="s">
        <v>36</v>
      </c>
      <c r="O2303" t="s">
        <v>36</v>
      </c>
      <c r="P2303" t="s">
        <v>442</v>
      </c>
      <c r="Q2303" t="s">
        <v>36</v>
      </c>
      <c r="R2303" t="s">
        <v>36</v>
      </c>
      <c r="S2303" t="s">
        <v>36</v>
      </c>
      <c r="T2303" t="s">
        <v>36</v>
      </c>
      <c r="U2303">
        <v>0</v>
      </c>
      <c r="V2303">
        <v>1</v>
      </c>
      <c r="W2303">
        <v>1</v>
      </c>
      <c r="X2303">
        <v>1</v>
      </c>
      <c r="Y2303">
        <v>0</v>
      </c>
      <c r="Z2303">
        <v>1</v>
      </c>
      <c r="AA2303">
        <v>0</v>
      </c>
      <c r="AB2303">
        <v>0</v>
      </c>
      <c r="AC2303">
        <v>0</v>
      </c>
      <c r="AD2303">
        <v>1</v>
      </c>
      <c r="AE2303">
        <v>0</v>
      </c>
      <c r="AF2303">
        <v>0</v>
      </c>
      <c r="AG2303">
        <v>0</v>
      </c>
    </row>
    <row r="2304" spans="1:33" x14ac:dyDescent="0.2">
      <c r="A2304">
        <v>2303</v>
      </c>
      <c r="B2304" t="s">
        <v>640</v>
      </c>
      <c r="C2304" t="s">
        <v>108</v>
      </c>
      <c r="D2304">
        <v>64</v>
      </c>
      <c r="E2304" t="s">
        <v>114</v>
      </c>
      <c r="F2304" t="s">
        <v>41</v>
      </c>
      <c r="G2304" t="s">
        <v>55</v>
      </c>
      <c r="H2304">
        <v>95739</v>
      </c>
      <c r="I2304">
        <v>0</v>
      </c>
      <c r="J2304">
        <v>0</v>
      </c>
      <c r="K2304">
        <v>0</v>
      </c>
      <c r="L2304">
        <v>1</v>
      </c>
      <c r="M2304" t="s">
        <v>85</v>
      </c>
      <c r="N2304" t="s">
        <v>56</v>
      </c>
      <c r="O2304" t="s">
        <v>57</v>
      </c>
      <c r="P2304" t="s">
        <v>442</v>
      </c>
      <c r="Q2304" t="s">
        <v>65</v>
      </c>
      <c r="R2304" t="s">
        <v>59</v>
      </c>
      <c r="S2304" t="s">
        <v>48</v>
      </c>
      <c r="T2304">
        <v>0</v>
      </c>
      <c r="U2304">
        <v>1</v>
      </c>
      <c r="V2304">
        <v>1</v>
      </c>
      <c r="W2304">
        <v>0</v>
      </c>
      <c r="X2304">
        <v>0</v>
      </c>
      <c r="Y2304">
        <v>0</v>
      </c>
      <c r="Z2304">
        <v>1</v>
      </c>
      <c r="AA2304">
        <v>0</v>
      </c>
      <c r="AB2304">
        <v>0</v>
      </c>
      <c r="AC2304">
        <v>0</v>
      </c>
      <c r="AD2304">
        <v>0</v>
      </c>
      <c r="AE2304">
        <v>0</v>
      </c>
      <c r="AF2304">
        <v>0</v>
      </c>
      <c r="AG2304">
        <v>1</v>
      </c>
    </row>
    <row r="2305" spans="1:33" hidden="1" x14ac:dyDescent="0.2">
      <c r="A2305">
        <v>2304</v>
      </c>
      <c r="B2305" t="s">
        <v>640</v>
      </c>
      <c r="C2305" t="s">
        <v>108</v>
      </c>
      <c r="D2305">
        <v>64</v>
      </c>
      <c r="E2305" t="s">
        <v>114</v>
      </c>
      <c r="F2305" t="s">
        <v>53</v>
      </c>
      <c r="G2305" t="s">
        <v>76</v>
      </c>
      <c r="H2305">
        <v>60014</v>
      </c>
      <c r="I2305">
        <v>1</v>
      </c>
      <c r="J2305">
        <v>0</v>
      </c>
      <c r="K2305">
        <v>0</v>
      </c>
      <c r="L2305">
        <v>0</v>
      </c>
      <c r="M2305" t="s">
        <v>36</v>
      </c>
      <c r="N2305" t="s">
        <v>36</v>
      </c>
      <c r="O2305" t="s">
        <v>36</v>
      </c>
      <c r="P2305" t="s">
        <v>442</v>
      </c>
      <c r="Q2305" t="s">
        <v>36</v>
      </c>
      <c r="R2305" t="s">
        <v>36</v>
      </c>
      <c r="S2305" t="s">
        <v>36</v>
      </c>
      <c r="T2305" t="s">
        <v>36</v>
      </c>
      <c r="U2305">
        <v>1</v>
      </c>
      <c r="V2305">
        <v>1</v>
      </c>
      <c r="W2305">
        <v>0</v>
      </c>
      <c r="X2305">
        <v>0</v>
      </c>
      <c r="Y2305">
        <v>0</v>
      </c>
      <c r="Z2305">
        <v>1</v>
      </c>
      <c r="AA2305">
        <v>0</v>
      </c>
      <c r="AB2305">
        <v>0</v>
      </c>
      <c r="AC2305">
        <v>0</v>
      </c>
      <c r="AD2305">
        <v>0</v>
      </c>
      <c r="AE2305">
        <v>0</v>
      </c>
      <c r="AF2305">
        <v>0</v>
      </c>
      <c r="AG2305">
        <v>1</v>
      </c>
    </row>
    <row r="2306" spans="1:33" x14ac:dyDescent="0.2">
      <c r="A2306">
        <v>2305</v>
      </c>
      <c r="B2306" t="s">
        <v>640</v>
      </c>
      <c r="C2306" t="s">
        <v>108</v>
      </c>
      <c r="D2306">
        <v>64</v>
      </c>
      <c r="E2306" t="s">
        <v>114</v>
      </c>
      <c r="F2306" t="s">
        <v>41</v>
      </c>
      <c r="G2306" t="s">
        <v>67</v>
      </c>
      <c r="H2306">
        <v>62042</v>
      </c>
      <c r="I2306">
        <v>1</v>
      </c>
      <c r="J2306">
        <v>0</v>
      </c>
      <c r="K2306">
        <v>0</v>
      </c>
      <c r="L2306">
        <v>0</v>
      </c>
      <c r="M2306" t="s">
        <v>70</v>
      </c>
      <c r="N2306" t="s">
        <v>68</v>
      </c>
      <c r="O2306" t="s">
        <v>103</v>
      </c>
      <c r="P2306" t="s">
        <v>442</v>
      </c>
      <c r="Q2306" t="s">
        <v>47</v>
      </c>
      <c r="R2306" t="s">
        <v>65</v>
      </c>
      <c r="S2306" t="s">
        <v>60</v>
      </c>
      <c r="T2306">
        <v>1</v>
      </c>
      <c r="U2306">
        <v>1</v>
      </c>
      <c r="V2306">
        <v>0</v>
      </c>
      <c r="W2306">
        <v>1</v>
      </c>
      <c r="X2306">
        <v>0</v>
      </c>
      <c r="Y2306">
        <v>0</v>
      </c>
      <c r="Z2306">
        <v>1</v>
      </c>
      <c r="AA2306">
        <v>0</v>
      </c>
      <c r="AB2306">
        <v>0</v>
      </c>
      <c r="AC2306">
        <v>0</v>
      </c>
      <c r="AD2306">
        <v>1</v>
      </c>
      <c r="AE2306">
        <v>0</v>
      </c>
      <c r="AF2306">
        <v>0</v>
      </c>
      <c r="AG2306">
        <v>0</v>
      </c>
    </row>
    <row r="2307" spans="1:33" x14ac:dyDescent="0.2">
      <c r="A2307">
        <v>2306</v>
      </c>
      <c r="B2307" t="s">
        <v>640</v>
      </c>
      <c r="C2307" t="s">
        <v>108</v>
      </c>
      <c r="D2307">
        <v>64</v>
      </c>
      <c r="E2307" t="s">
        <v>114</v>
      </c>
      <c r="F2307" t="s">
        <v>41</v>
      </c>
      <c r="G2307" t="s">
        <v>49</v>
      </c>
      <c r="H2307">
        <v>771113</v>
      </c>
      <c r="I2307">
        <v>0</v>
      </c>
      <c r="J2307">
        <v>0</v>
      </c>
      <c r="K2307">
        <v>1</v>
      </c>
      <c r="L2307">
        <v>0</v>
      </c>
      <c r="M2307" t="s">
        <v>50</v>
      </c>
      <c r="N2307" t="s">
        <v>52</v>
      </c>
      <c r="O2307" t="s">
        <v>51</v>
      </c>
      <c r="P2307" t="s">
        <v>442</v>
      </c>
      <c r="Q2307" t="s">
        <v>48</v>
      </c>
      <c r="R2307" t="s">
        <v>46</v>
      </c>
      <c r="S2307" t="s">
        <v>47</v>
      </c>
      <c r="T2307">
        <v>0</v>
      </c>
      <c r="U2307">
        <v>0</v>
      </c>
      <c r="V2307">
        <v>1</v>
      </c>
      <c r="W2307">
        <v>1</v>
      </c>
      <c r="X2307">
        <v>1</v>
      </c>
      <c r="Y2307">
        <v>0</v>
      </c>
      <c r="Z2307">
        <v>1</v>
      </c>
      <c r="AA2307">
        <v>0</v>
      </c>
      <c r="AB2307">
        <v>0</v>
      </c>
      <c r="AC2307">
        <v>0</v>
      </c>
      <c r="AD2307">
        <v>1</v>
      </c>
      <c r="AE2307">
        <v>0</v>
      </c>
      <c r="AF2307">
        <v>0</v>
      </c>
      <c r="AG2307">
        <v>0</v>
      </c>
    </row>
    <row r="2308" spans="1:33" hidden="1" x14ac:dyDescent="0.2">
      <c r="A2308">
        <v>2307</v>
      </c>
      <c r="B2308" t="s">
        <v>640</v>
      </c>
      <c r="C2308" t="s">
        <v>108</v>
      </c>
      <c r="D2308">
        <v>64</v>
      </c>
      <c r="E2308" t="s">
        <v>114</v>
      </c>
      <c r="F2308" t="s">
        <v>53</v>
      </c>
      <c r="G2308" t="s">
        <v>71</v>
      </c>
      <c r="H2308">
        <v>56967</v>
      </c>
      <c r="I2308">
        <v>1</v>
      </c>
      <c r="J2308">
        <v>0</v>
      </c>
      <c r="K2308">
        <v>0</v>
      </c>
      <c r="L2308">
        <v>0</v>
      </c>
      <c r="M2308" t="s">
        <v>36</v>
      </c>
      <c r="N2308" t="s">
        <v>36</v>
      </c>
      <c r="O2308" t="s">
        <v>36</v>
      </c>
      <c r="P2308" t="s">
        <v>442</v>
      </c>
      <c r="Q2308" t="s">
        <v>36</v>
      </c>
      <c r="R2308" t="s">
        <v>36</v>
      </c>
      <c r="S2308" t="s">
        <v>36</v>
      </c>
      <c r="T2308" t="s">
        <v>36</v>
      </c>
      <c r="U2308">
        <v>0</v>
      </c>
      <c r="V2308">
        <v>1</v>
      </c>
      <c r="W2308">
        <v>1</v>
      </c>
      <c r="X2308">
        <v>1</v>
      </c>
      <c r="Y2308">
        <v>0</v>
      </c>
      <c r="Z2308">
        <v>1</v>
      </c>
      <c r="AA2308">
        <v>0</v>
      </c>
      <c r="AB2308">
        <v>0</v>
      </c>
      <c r="AC2308">
        <v>0</v>
      </c>
      <c r="AD2308">
        <v>1</v>
      </c>
      <c r="AE2308">
        <v>0</v>
      </c>
      <c r="AF2308">
        <v>0</v>
      </c>
      <c r="AG2308">
        <v>0</v>
      </c>
    </row>
    <row r="2309" spans="1:33" x14ac:dyDescent="0.2">
      <c r="A2309">
        <v>2308</v>
      </c>
      <c r="B2309" t="s">
        <v>640</v>
      </c>
      <c r="C2309" t="s">
        <v>108</v>
      </c>
      <c r="D2309">
        <v>64</v>
      </c>
      <c r="E2309" t="s">
        <v>114</v>
      </c>
      <c r="F2309" t="s">
        <v>41</v>
      </c>
      <c r="G2309" t="s">
        <v>72</v>
      </c>
      <c r="H2309">
        <v>149479</v>
      </c>
      <c r="I2309">
        <v>0</v>
      </c>
      <c r="J2309">
        <v>0</v>
      </c>
      <c r="K2309">
        <v>0</v>
      </c>
      <c r="L2309">
        <v>1</v>
      </c>
      <c r="M2309" t="s">
        <v>75</v>
      </c>
      <c r="N2309" t="s">
        <v>104</v>
      </c>
      <c r="O2309" t="s">
        <v>93</v>
      </c>
      <c r="P2309" t="s">
        <v>442</v>
      </c>
      <c r="Q2309" t="s">
        <v>46</v>
      </c>
      <c r="R2309" t="s">
        <v>60</v>
      </c>
      <c r="S2309" t="s">
        <v>59</v>
      </c>
      <c r="T2309">
        <v>1</v>
      </c>
      <c r="U2309">
        <v>0</v>
      </c>
      <c r="V2309">
        <v>0</v>
      </c>
      <c r="W2309">
        <v>0</v>
      </c>
      <c r="X2309">
        <v>1</v>
      </c>
      <c r="Y2309">
        <v>0</v>
      </c>
      <c r="Z2309">
        <v>1</v>
      </c>
      <c r="AA2309">
        <v>0</v>
      </c>
      <c r="AB2309">
        <v>0</v>
      </c>
      <c r="AC2309">
        <v>0</v>
      </c>
      <c r="AD2309">
        <v>0</v>
      </c>
      <c r="AE2309">
        <v>0</v>
      </c>
      <c r="AF2309">
        <v>0</v>
      </c>
      <c r="AG2309">
        <v>1</v>
      </c>
    </row>
    <row r="2310" spans="1:33" hidden="1" x14ac:dyDescent="0.2">
      <c r="A2310">
        <v>2309</v>
      </c>
      <c r="B2310" t="s">
        <v>640</v>
      </c>
      <c r="C2310" t="s">
        <v>108</v>
      </c>
      <c r="D2310">
        <v>64</v>
      </c>
      <c r="E2310" t="s">
        <v>114</v>
      </c>
      <c r="F2310" t="s">
        <v>53</v>
      </c>
      <c r="G2310" t="s">
        <v>66</v>
      </c>
      <c r="H2310">
        <v>53882</v>
      </c>
      <c r="I2310">
        <v>1</v>
      </c>
      <c r="J2310">
        <v>0</v>
      </c>
      <c r="K2310">
        <v>0</v>
      </c>
      <c r="L2310">
        <v>0</v>
      </c>
      <c r="M2310" t="s">
        <v>36</v>
      </c>
      <c r="N2310" t="s">
        <v>36</v>
      </c>
      <c r="O2310" t="s">
        <v>36</v>
      </c>
      <c r="P2310" t="s">
        <v>442</v>
      </c>
      <c r="Q2310" t="s">
        <v>36</v>
      </c>
      <c r="R2310" t="s">
        <v>36</v>
      </c>
      <c r="S2310" t="s">
        <v>36</v>
      </c>
      <c r="T2310" t="s">
        <v>36</v>
      </c>
      <c r="U2310">
        <v>0</v>
      </c>
      <c r="V2310">
        <v>0</v>
      </c>
      <c r="W2310">
        <v>0</v>
      </c>
      <c r="X2310">
        <v>1</v>
      </c>
      <c r="Y2310">
        <v>0</v>
      </c>
      <c r="Z2310">
        <v>1</v>
      </c>
      <c r="AA2310">
        <v>0</v>
      </c>
      <c r="AB2310">
        <v>0</v>
      </c>
      <c r="AC2310">
        <v>0</v>
      </c>
      <c r="AD2310">
        <v>0</v>
      </c>
      <c r="AE2310">
        <v>0</v>
      </c>
      <c r="AF2310">
        <v>0</v>
      </c>
      <c r="AG2310">
        <v>1</v>
      </c>
    </row>
    <row r="2311" spans="1:33" hidden="1" x14ac:dyDescent="0.2">
      <c r="A2311">
        <v>2310</v>
      </c>
      <c r="B2311" t="s">
        <v>640</v>
      </c>
      <c r="C2311" t="s">
        <v>108</v>
      </c>
      <c r="D2311">
        <v>64</v>
      </c>
      <c r="E2311" t="s">
        <v>114</v>
      </c>
      <c r="F2311" t="s">
        <v>77</v>
      </c>
      <c r="G2311" t="s">
        <v>36</v>
      </c>
      <c r="H2311">
        <v>143460</v>
      </c>
      <c r="I2311" t="s">
        <v>641</v>
      </c>
      <c r="J2311" t="s">
        <v>642</v>
      </c>
      <c r="K2311" t="s">
        <v>643</v>
      </c>
      <c r="L2311" t="s">
        <v>36</v>
      </c>
      <c r="M2311" t="s">
        <v>36</v>
      </c>
      <c r="N2311" t="s">
        <v>36</v>
      </c>
      <c r="O2311" t="s">
        <v>36</v>
      </c>
      <c r="P2311" t="s">
        <v>442</v>
      </c>
      <c r="Q2311" t="s">
        <v>36</v>
      </c>
      <c r="R2311" t="s">
        <v>36</v>
      </c>
      <c r="S2311" t="s">
        <v>36</v>
      </c>
      <c r="T2311" t="s">
        <v>36</v>
      </c>
      <c r="U2311" t="s">
        <v>36</v>
      </c>
      <c r="V2311" t="s">
        <v>36</v>
      </c>
      <c r="W2311" t="s">
        <v>36</v>
      </c>
      <c r="X2311" t="s">
        <v>36</v>
      </c>
      <c r="Y2311" t="s">
        <v>36</v>
      </c>
      <c r="Z2311" t="s">
        <v>36</v>
      </c>
      <c r="AA2311" t="s">
        <v>36</v>
      </c>
      <c r="AB2311" t="s">
        <v>36</v>
      </c>
      <c r="AC2311" t="s">
        <v>36</v>
      </c>
      <c r="AD2311" t="s">
        <v>36</v>
      </c>
      <c r="AE2311" t="s">
        <v>36</v>
      </c>
      <c r="AF2311" t="s">
        <v>36</v>
      </c>
      <c r="AG2311" t="s">
        <v>36</v>
      </c>
    </row>
    <row r="2312" spans="1:33" hidden="1" x14ac:dyDescent="0.2">
      <c r="A2312">
        <v>2311</v>
      </c>
      <c r="B2312" t="s">
        <v>644</v>
      </c>
      <c r="C2312" t="s">
        <v>108</v>
      </c>
      <c r="D2312">
        <v>30</v>
      </c>
      <c r="E2312" t="s">
        <v>114</v>
      </c>
      <c r="F2312" t="s">
        <v>35</v>
      </c>
      <c r="G2312" t="s">
        <v>36</v>
      </c>
      <c r="H2312">
        <v>113658</v>
      </c>
      <c r="I2312" t="s">
        <v>36</v>
      </c>
      <c r="J2312" t="s">
        <v>36</v>
      </c>
      <c r="K2312" t="s">
        <v>36</v>
      </c>
      <c r="L2312" t="s">
        <v>36</v>
      </c>
      <c r="M2312" t="s">
        <v>36</v>
      </c>
      <c r="N2312" t="s">
        <v>36</v>
      </c>
      <c r="O2312" t="s">
        <v>36</v>
      </c>
      <c r="P2312" t="s">
        <v>442</v>
      </c>
      <c r="Q2312" t="s">
        <v>36</v>
      </c>
      <c r="R2312" t="s">
        <v>36</v>
      </c>
      <c r="S2312" t="s">
        <v>36</v>
      </c>
      <c r="T2312" t="s">
        <v>36</v>
      </c>
      <c r="U2312" t="s">
        <v>36</v>
      </c>
      <c r="V2312" t="s">
        <v>36</v>
      </c>
      <c r="W2312" t="s">
        <v>36</v>
      </c>
      <c r="X2312" t="s">
        <v>36</v>
      </c>
      <c r="Y2312" t="s">
        <v>36</v>
      </c>
      <c r="Z2312" t="s">
        <v>36</v>
      </c>
      <c r="AA2312" t="s">
        <v>36</v>
      </c>
      <c r="AB2312" t="s">
        <v>36</v>
      </c>
      <c r="AC2312" t="s">
        <v>36</v>
      </c>
      <c r="AD2312" t="s">
        <v>36</v>
      </c>
      <c r="AE2312" t="s">
        <v>36</v>
      </c>
      <c r="AF2312" t="s">
        <v>36</v>
      </c>
      <c r="AG2312" t="s">
        <v>36</v>
      </c>
    </row>
    <row r="2313" spans="1:33" hidden="1" x14ac:dyDescent="0.2">
      <c r="A2313">
        <v>2312</v>
      </c>
      <c r="B2313" t="s">
        <v>644</v>
      </c>
      <c r="C2313" t="s">
        <v>108</v>
      </c>
      <c r="D2313">
        <v>30</v>
      </c>
      <c r="E2313" t="s">
        <v>114</v>
      </c>
      <c r="F2313" t="s">
        <v>38</v>
      </c>
      <c r="G2313" t="s">
        <v>40</v>
      </c>
      <c r="H2313">
        <v>37652</v>
      </c>
      <c r="I2313">
        <v>0</v>
      </c>
      <c r="J2313">
        <v>0</v>
      </c>
      <c r="K2313">
        <v>1</v>
      </c>
      <c r="L2313">
        <v>0</v>
      </c>
      <c r="M2313" t="s">
        <v>36</v>
      </c>
      <c r="N2313" t="s">
        <v>36</v>
      </c>
      <c r="O2313" t="s">
        <v>36</v>
      </c>
      <c r="P2313" t="s">
        <v>442</v>
      </c>
      <c r="Q2313" t="s">
        <v>36</v>
      </c>
      <c r="R2313" t="s">
        <v>36</v>
      </c>
      <c r="S2313" t="s">
        <v>36</v>
      </c>
      <c r="T2313" t="s">
        <v>36</v>
      </c>
      <c r="U2313" t="s">
        <v>36</v>
      </c>
      <c r="V2313" t="s">
        <v>36</v>
      </c>
      <c r="W2313" t="s">
        <v>36</v>
      </c>
      <c r="X2313" t="s">
        <v>36</v>
      </c>
      <c r="Y2313" t="s">
        <v>36</v>
      </c>
      <c r="Z2313" t="s">
        <v>36</v>
      </c>
      <c r="AA2313" t="s">
        <v>36</v>
      </c>
      <c r="AB2313" t="s">
        <v>36</v>
      </c>
      <c r="AC2313" t="s">
        <v>36</v>
      </c>
      <c r="AD2313" t="s">
        <v>36</v>
      </c>
      <c r="AE2313" t="s">
        <v>36</v>
      </c>
      <c r="AF2313" t="s">
        <v>36</v>
      </c>
      <c r="AG2313" t="s">
        <v>36</v>
      </c>
    </row>
    <row r="2314" spans="1:33" hidden="1" x14ac:dyDescent="0.2">
      <c r="A2314">
        <v>2313</v>
      </c>
      <c r="B2314" t="s">
        <v>644</v>
      </c>
      <c r="C2314" t="s">
        <v>108</v>
      </c>
      <c r="D2314">
        <v>30</v>
      </c>
      <c r="E2314" t="s">
        <v>114</v>
      </c>
      <c r="F2314" t="s">
        <v>38</v>
      </c>
      <c r="G2314" t="s">
        <v>39</v>
      </c>
      <c r="H2314">
        <v>110728</v>
      </c>
      <c r="I2314">
        <v>0</v>
      </c>
      <c r="J2314">
        <v>0</v>
      </c>
      <c r="K2314">
        <v>0</v>
      </c>
      <c r="L2314">
        <v>1</v>
      </c>
      <c r="M2314" t="s">
        <v>36</v>
      </c>
      <c r="N2314" t="s">
        <v>36</v>
      </c>
      <c r="O2314" t="s">
        <v>36</v>
      </c>
      <c r="P2314" t="s">
        <v>442</v>
      </c>
      <c r="Q2314" t="s">
        <v>36</v>
      </c>
      <c r="R2314" t="s">
        <v>36</v>
      </c>
      <c r="S2314" t="s">
        <v>36</v>
      </c>
      <c r="T2314" t="s">
        <v>36</v>
      </c>
      <c r="U2314" t="s">
        <v>36</v>
      </c>
      <c r="V2314" t="s">
        <v>36</v>
      </c>
      <c r="W2314" t="s">
        <v>36</v>
      </c>
      <c r="X2314" t="s">
        <v>36</v>
      </c>
      <c r="Y2314" t="s">
        <v>36</v>
      </c>
      <c r="Z2314" t="s">
        <v>36</v>
      </c>
      <c r="AA2314" t="s">
        <v>36</v>
      </c>
      <c r="AB2314" t="s">
        <v>36</v>
      </c>
      <c r="AC2314" t="s">
        <v>36</v>
      </c>
      <c r="AD2314" t="s">
        <v>36</v>
      </c>
      <c r="AE2314" t="s">
        <v>36</v>
      </c>
      <c r="AF2314" t="s">
        <v>36</v>
      </c>
      <c r="AG2314" t="s">
        <v>36</v>
      </c>
    </row>
    <row r="2315" spans="1:33" x14ac:dyDescent="0.2">
      <c r="A2315">
        <v>2314</v>
      </c>
      <c r="B2315" t="s">
        <v>644</v>
      </c>
      <c r="C2315" t="s">
        <v>108</v>
      </c>
      <c r="D2315">
        <v>30</v>
      </c>
      <c r="E2315" t="s">
        <v>114</v>
      </c>
      <c r="F2315" t="s">
        <v>41</v>
      </c>
      <c r="G2315" t="s">
        <v>72</v>
      </c>
      <c r="H2315">
        <v>45710</v>
      </c>
      <c r="I2315">
        <v>0</v>
      </c>
      <c r="J2315">
        <v>0</v>
      </c>
      <c r="K2315">
        <v>0</v>
      </c>
      <c r="L2315">
        <v>1</v>
      </c>
      <c r="M2315" t="s">
        <v>93</v>
      </c>
      <c r="N2315" t="s">
        <v>74</v>
      </c>
      <c r="O2315" t="s">
        <v>75</v>
      </c>
      <c r="P2315" t="s">
        <v>442</v>
      </c>
      <c r="Q2315" t="s">
        <v>59</v>
      </c>
      <c r="R2315" t="s">
        <v>47</v>
      </c>
      <c r="S2315" t="s">
        <v>46</v>
      </c>
      <c r="T2315">
        <v>0</v>
      </c>
      <c r="U2315">
        <v>0</v>
      </c>
      <c r="V2315">
        <v>0</v>
      </c>
      <c r="W2315">
        <v>1</v>
      </c>
      <c r="X2315">
        <v>1</v>
      </c>
      <c r="Y2315">
        <v>0</v>
      </c>
      <c r="Z2315">
        <v>1</v>
      </c>
      <c r="AA2315">
        <v>0</v>
      </c>
      <c r="AB2315">
        <v>0</v>
      </c>
      <c r="AC2315">
        <v>0</v>
      </c>
      <c r="AD2315">
        <v>0</v>
      </c>
      <c r="AE2315">
        <v>0</v>
      </c>
      <c r="AF2315">
        <v>0</v>
      </c>
      <c r="AG2315">
        <v>1</v>
      </c>
    </row>
    <row r="2316" spans="1:33" x14ac:dyDescent="0.2">
      <c r="A2316">
        <v>2315</v>
      </c>
      <c r="B2316" t="s">
        <v>644</v>
      </c>
      <c r="C2316" t="s">
        <v>108</v>
      </c>
      <c r="D2316">
        <v>30</v>
      </c>
      <c r="E2316" t="s">
        <v>114</v>
      </c>
      <c r="F2316" t="s">
        <v>41</v>
      </c>
      <c r="G2316" t="s">
        <v>55</v>
      </c>
      <c r="H2316">
        <v>52738</v>
      </c>
      <c r="I2316">
        <v>0</v>
      </c>
      <c r="J2316">
        <v>0</v>
      </c>
      <c r="K2316">
        <v>1</v>
      </c>
      <c r="L2316">
        <v>0</v>
      </c>
      <c r="M2316" t="s">
        <v>94</v>
      </c>
      <c r="N2316" t="s">
        <v>57</v>
      </c>
      <c r="O2316" t="s">
        <v>58</v>
      </c>
      <c r="P2316" t="s">
        <v>442</v>
      </c>
      <c r="Q2316" t="s">
        <v>47</v>
      </c>
      <c r="R2316" t="s">
        <v>48</v>
      </c>
      <c r="S2316" t="s">
        <v>60</v>
      </c>
      <c r="T2316">
        <v>1</v>
      </c>
      <c r="U2316">
        <v>0</v>
      </c>
      <c r="V2316">
        <v>1</v>
      </c>
      <c r="W2316">
        <v>1</v>
      </c>
      <c r="X2316">
        <v>0</v>
      </c>
      <c r="Y2316">
        <v>0</v>
      </c>
      <c r="Z2316">
        <v>1</v>
      </c>
      <c r="AA2316">
        <v>1</v>
      </c>
      <c r="AB2316">
        <v>0</v>
      </c>
      <c r="AC2316">
        <v>0</v>
      </c>
      <c r="AD2316">
        <v>0</v>
      </c>
      <c r="AE2316">
        <v>0</v>
      </c>
      <c r="AF2316">
        <v>0</v>
      </c>
      <c r="AG2316">
        <v>0</v>
      </c>
    </row>
    <row r="2317" spans="1:33" hidden="1" x14ac:dyDescent="0.2">
      <c r="A2317">
        <v>2316</v>
      </c>
      <c r="B2317" t="s">
        <v>644</v>
      </c>
      <c r="C2317" t="s">
        <v>108</v>
      </c>
      <c r="D2317">
        <v>30</v>
      </c>
      <c r="E2317" t="s">
        <v>114</v>
      </c>
      <c r="F2317" t="s">
        <v>53</v>
      </c>
      <c r="G2317" t="s">
        <v>54</v>
      </c>
      <c r="H2317">
        <v>41842</v>
      </c>
      <c r="I2317">
        <v>0</v>
      </c>
      <c r="J2317">
        <v>1</v>
      </c>
      <c r="K2317">
        <v>1</v>
      </c>
      <c r="L2317">
        <v>0</v>
      </c>
      <c r="M2317" t="s">
        <v>36</v>
      </c>
      <c r="N2317" t="s">
        <v>36</v>
      </c>
      <c r="O2317" t="s">
        <v>36</v>
      </c>
      <c r="P2317" t="s">
        <v>442</v>
      </c>
      <c r="Q2317" t="s">
        <v>36</v>
      </c>
      <c r="R2317" t="s">
        <v>36</v>
      </c>
      <c r="S2317" t="s">
        <v>36</v>
      </c>
      <c r="T2317" t="s">
        <v>36</v>
      </c>
      <c r="U2317">
        <v>0</v>
      </c>
      <c r="V2317">
        <v>1</v>
      </c>
      <c r="W2317">
        <v>1</v>
      </c>
      <c r="X2317">
        <v>0</v>
      </c>
      <c r="Y2317">
        <v>0</v>
      </c>
      <c r="Z2317">
        <v>1</v>
      </c>
      <c r="AA2317">
        <v>1</v>
      </c>
      <c r="AB2317">
        <v>0</v>
      </c>
      <c r="AC2317">
        <v>0</v>
      </c>
      <c r="AD2317">
        <v>0</v>
      </c>
      <c r="AE2317">
        <v>0</v>
      </c>
      <c r="AF2317">
        <v>0</v>
      </c>
      <c r="AG2317">
        <v>0</v>
      </c>
    </row>
    <row r="2318" spans="1:33" x14ac:dyDescent="0.2">
      <c r="A2318">
        <v>2317</v>
      </c>
      <c r="B2318" t="s">
        <v>644</v>
      </c>
      <c r="C2318" t="s">
        <v>108</v>
      </c>
      <c r="D2318">
        <v>30</v>
      </c>
      <c r="E2318" t="s">
        <v>114</v>
      </c>
      <c r="F2318" t="s">
        <v>41</v>
      </c>
      <c r="G2318" t="s">
        <v>42</v>
      </c>
      <c r="H2318">
        <v>51193</v>
      </c>
      <c r="I2318">
        <v>1</v>
      </c>
      <c r="J2318">
        <v>0</v>
      </c>
      <c r="K2318">
        <v>1</v>
      </c>
      <c r="L2318">
        <v>0</v>
      </c>
      <c r="M2318" t="s">
        <v>82</v>
      </c>
      <c r="N2318" t="s">
        <v>45</v>
      </c>
      <c r="O2318" t="s">
        <v>44</v>
      </c>
      <c r="P2318" t="s">
        <v>442</v>
      </c>
      <c r="Q2318" t="s">
        <v>65</v>
      </c>
      <c r="R2318" t="s">
        <v>48</v>
      </c>
      <c r="S2318" t="s">
        <v>47</v>
      </c>
      <c r="T2318">
        <v>0</v>
      </c>
      <c r="U2318">
        <v>1</v>
      </c>
      <c r="V2318">
        <v>1</v>
      </c>
      <c r="W2318">
        <v>1</v>
      </c>
      <c r="X2318">
        <v>0</v>
      </c>
      <c r="Y2318">
        <v>0</v>
      </c>
      <c r="Z2318">
        <v>1</v>
      </c>
      <c r="AA2318">
        <v>0</v>
      </c>
      <c r="AB2318">
        <v>1</v>
      </c>
      <c r="AC2318">
        <v>0</v>
      </c>
      <c r="AD2318">
        <v>1</v>
      </c>
      <c r="AE2318">
        <v>0</v>
      </c>
      <c r="AF2318">
        <v>0</v>
      </c>
      <c r="AG2318">
        <v>0</v>
      </c>
    </row>
    <row r="2319" spans="1:33" x14ac:dyDescent="0.2">
      <c r="A2319">
        <v>2318</v>
      </c>
      <c r="B2319" t="s">
        <v>644</v>
      </c>
      <c r="C2319" t="s">
        <v>108</v>
      </c>
      <c r="D2319">
        <v>30</v>
      </c>
      <c r="E2319" t="s">
        <v>114</v>
      </c>
      <c r="F2319" t="s">
        <v>41</v>
      </c>
      <c r="G2319" t="s">
        <v>67</v>
      </c>
      <c r="H2319">
        <v>24954</v>
      </c>
      <c r="I2319">
        <v>1</v>
      </c>
      <c r="J2319">
        <v>0</v>
      </c>
      <c r="K2319">
        <v>0</v>
      </c>
      <c r="L2319">
        <v>0</v>
      </c>
      <c r="M2319" t="s">
        <v>103</v>
      </c>
      <c r="N2319" t="s">
        <v>86</v>
      </c>
      <c r="O2319" t="s">
        <v>69</v>
      </c>
      <c r="P2319" t="s">
        <v>442</v>
      </c>
      <c r="Q2319" t="s">
        <v>60</v>
      </c>
      <c r="R2319" t="s">
        <v>46</v>
      </c>
      <c r="S2319" t="s">
        <v>48</v>
      </c>
      <c r="T2319">
        <v>1</v>
      </c>
      <c r="U2319">
        <v>0</v>
      </c>
      <c r="V2319">
        <v>1</v>
      </c>
      <c r="W2319">
        <v>0</v>
      </c>
      <c r="X2319">
        <v>1</v>
      </c>
      <c r="Y2319">
        <v>0</v>
      </c>
      <c r="Z2319">
        <v>1</v>
      </c>
      <c r="AA2319">
        <v>1</v>
      </c>
      <c r="AB2319">
        <v>0</v>
      </c>
      <c r="AC2319">
        <v>0</v>
      </c>
      <c r="AD2319">
        <v>0</v>
      </c>
      <c r="AE2319">
        <v>0</v>
      </c>
      <c r="AF2319">
        <v>0</v>
      </c>
      <c r="AG2319">
        <v>0</v>
      </c>
    </row>
    <row r="2320" spans="1:33" hidden="1" x14ac:dyDescent="0.2">
      <c r="A2320">
        <v>2319</v>
      </c>
      <c r="B2320" t="s">
        <v>644</v>
      </c>
      <c r="C2320" t="s">
        <v>108</v>
      </c>
      <c r="D2320">
        <v>30</v>
      </c>
      <c r="E2320" t="s">
        <v>114</v>
      </c>
      <c r="F2320" t="s">
        <v>53</v>
      </c>
      <c r="G2320" t="s">
        <v>71</v>
      </c>
      <c r="H2320">
        <v>54110</v>
      </c>
      <c r="I2320">
        <v>0</v>
      </c>
      <c r="J2320">
        <v>0</v>
      </c>
      <c r="K2320">
        <v>1</v>
      </c>
      <c r="L2320">
        <v>0</v>
      </c>
      <c r="M2320" t="s">
        <v>36</v>
      </c>
      <c r="N2320" t="s">
        <v>36</v>
      </c>
      <c r="O2320" t="s">
        <v>36</v>
      </c>
      <c r="P2320" t="s">
        <v>442</v>
      </c>
      <c r="Q2320" t="s">
        <v>36</v>
      </c>
      <c r="R2320" t="s">
        <v>36</v>
      </c>
      <c r="S2320" t="s">
        <v>36</v>
      </c>
      <c r="T2320" t="s">
        <v>36</v>
      </c>
      <c r="U2320">
        <v>0</v>
      </c>
      <c r="V2320">
        <v>1</v>
      </c>
      <c r="W2320">
        <v>0</v>
      </c>
      <c r="X2320">
        <v>1</v>
      </c>
      <c r="Y2320">
        <v>0</v>
      </c>
      <c r="Z2320">
        <v>1</v>
      </c>
      <c r="AA2320">
        <v>1</v>
      </c>
      <c r="AB2320">
        <v>0</v>
      </c>
      <c r="AC2320">
        <v>0</v>
      </c>
      <c r="AD2320">
        <v>0</v>
      </c>
      <c r="AE2320">
        <v>0</v>
      </c>
      <c r="AF2320">
        <v>0</v>
      </c>
      <c r="AG2320">
        <v>0</v>
      </c>
    </row>
    <row r="2321" spans="1:33" x14ac:dyDescent="0.2">
      <c r="A2321">
        <v>2320</v>
      </c>
      <c r="B2321" t="s">
        <v>644</v>
      </c>
      <c r="C2321" t="s">
        <v>108</v>
      </c>
      <c r="D2321">
        <v>30</v>
      </c>
      <c r="E2321" t="s">
        <v>114</v>
      </c>
      <c r="F2321" t="s">
        <v>41</v>
      </c>
      <c r="G2321" t="s">
        <v>49</v>
      </c>
      <c r="H2321">
        <v>17145</v>
      </c>
      <c r="I2321">
        <v>0</v>
      </c>
      <c r="J2321">
        <v>0</v>
      </c>
      <c r="K2321">
        <v>0</v>
      </c>
      <c r="L2321">
        <v>1</v>
      </c>
      <c r="M2321" t="s">
        <v>50</v>
      </c>
      <c r="N2321" t="s">
        <v>95</v>
      </c>
      <c r="O2321" t="s">
        <v>51</v>
      </c>
      <c r="P2321" t="s">
        <v>442</v>
      </c>
      <c r="Q2321" t="s">
        <v>48</v>
      </c>
      <c r="R2321" t="s">
        <v>60</v>
      </c>
      <c r="S2321" t="s">
        <v>47</v>
      </c>
      <c r="T2321">
        <v>1</v>
      </c>
      <c r="U2321">
        <v>0</v>
      </c>
      <c r="V2321">
        <v>1</v>
      </c>
      <c r="W2321">
        <v>1</v>
      </c>
      <c r="X2321">
        <v>0</v>
      </c>
      <c r="Y2321">
        <v>0</v>
      </c>
      <c r="Z2321">
        <v>1</v>
      </c>
      <c r="AA2321">
        <v>0</v>
      </c>
      <c r="AB2321">
        <v>0</v>
      </c>
      <c r="AC2321">
        <v>0</v>
      </c>
      <c r="AD2321">
        <v>0</v>
      </c>
      <c r="AE2321">
        <v>0</v>
      </c>
      <c r="AF2321">
        <v>0</v>
      </c>
      <c r="AG2321">
        <v>1</v>
      </c>
    </row>
    <row r="2322" spans="1:33" hidden="1" x14ac:dyDescent="0.2">
      <c r="A2322">
        <v>2321</v>
      </c>
      <c r="B2322" t="s">
        <v>644</v>
      </c>
      <c r="C2322" t="s">
        <v>108</v>
      </c>
      <c r="D2322">
        <v>30</v>
      </c>
      <c r="E2322" t="s">
        <v>114</v>
      </c>
      <c r="F2322" t="s">
        <v>53</v>
      </c>
      <c r="G2322" t="s">
        <v>66</v>
      </c>
      <c r="H2322">
        <v>26415</v>
      </c>
      <c r="I2322">
        <v>1</v>
      </c>
      <c r="J2322">
        <v>1</v>
      </c>
      <c r="K2322">
        <v>0</v>
      </c>
      <c r="L2322">
        <v>0</v>
      </c>
      <c r="M2322" t="s">
        <v>36</v>
      </c>
      <c r="N2322" t="s">
        <v>36</v>
      </c>
      <c r="O2322" t="s">
        <v>36</v>
      </c>
      <c r="P2322" t="s">
        <v>442</v>
      </c>
      <c r="Q2322" t="s">
        <v>36</v>
      </c>
      <c r="R2322" t="s">
        <v>36</v>
      </c>
      <c r="S2322" t="s">
        <v>36</v>
      </c>
      <c r="T2322" t="s">
        <v>36</v>
      </c>
      <c r="U2322">
        <v>0</v>
      </c>
      <c r="V2322">
        <v>1</v>
      </c>
      <c r="W2322">
        <v>1</v>
      </c>
      <c r="X2322">
        <v>0</v>
      </c>
      <c r="Y2322">
        <v>0</v>
      </c>
      <c r="Z2322">
        <v>1</v>
      </c>
      <c r="AA2322">
        <v>0</v>
      </c>
      <c r="AB2322">
        <v>0</v>
      </c>
      <c r="AC2322">
        <v>0</v>
      </c>
      <c r="AD2322">
        <v>0</v>
      </c>
      <c r="AE2322">
        <v>0</v>
      </c>
      <c r="AF2322">
        <v>0</v>
      </c>
      <c r="AG2322">
        <v>1</v>
      </c>
    </row>
    <row r="2323" spans="1:33" x14ac:dyDescent="0.2">
      <c r="A2323">
        <v>2322</v>
      </c>
      <c r="B2323" t="s">
        <v>644</v>
      </c>
      <c r="C2323" t="s">
        <v>108</v>
      </c>
      <c r="D2323">
        <v>30</v>
      </c>
      <c r="E2323" t="s">
        <v>114</v>
      </c>
      <c r="F2323" t="s">
        <v>41</v>
      </c>
      <c r="G2323" t="s">
        <v>61</v>
      </c>
      <c r="H2323">
        <v>16762</v>
      </c>
      <c r="I2323">
        <v>1</v>
      </c>
      <c r="J2323">
        <v>0</v>
      </c>
      <c r="K2323">
        <v>0</v>
      </c>
      <c r="L2323">
        <v>0</v>
      </c>
      <c r="M2323" t="s">
        <v>62</v>
      </c>
      <c r="N2323" t="s">
        <v>87</v>
      </c>
      <c r="O2323" t="s">
        <v>63</v>
      </c>
      <c r="P2323" t="s">
        <v>442</v>
      </c>
      <c r="Q2323" t="s">
        <v>65</v>
      </c>
      <c r="R2323" t="s">
        <v>47</v>
      </c>
      <c r="S2323" t="s">
        <v>46</v>
      </c>
      <c r="T2323">
        <v>0</v>
      </c>
      <c r="U2323">
        <v>1</v>
      </c>
      <c r="V2323">
        <v>0</v>
      </c>
      <c r="W2323">
        <v>1</v>
      </c>
      <c r="X2323">
        <v>1</v>
      </c>
      <c r="Y2323">
        <v>0</v>
      </c>
      <c r="Z2323">
        <v>1</v>
      </c>
      <c r="AA2323">
        <v>0</v>
      </c>
      <c r="AB2323">
        <v>1</v>
      </c>
      <c r="AC2323">
        <v>0</v>
      </c>
      <c r="AD2323">
        <v>0</v>
      </c>
      <c r="AE2323">
        <v>0</v>
      </c>
      <c r="AF2323">
        <v>0</v>
      </c>
      <c r="AG2323">
        <v>0</v>
      </c>
    </row>
    <row r="2324" spans="1:33" hidden="1" x14ac:dyDescent="0.2">
      <c r="A2324">
        <v>2323</v>
      </c>
      <c r="B2324" t="s">
        <v>644</v>
      </c>
      <c r="C2324" t="s">
        <v>108</v>
      </c>
      <c r="D2324">
        <v>30</v>
      </c>
      <c r="E2324" t="s">
        <v>114</v>
      </c>
      <c r="F2324" t="s">
        <v>53</v>
      </c>
      <c r="G2324" t="s">
        <v>76</v>
      </c>
      <c r="H2324">
        <v>22635</v>
      </c>
      <c r="I2324">
        <v>1</v>
      </c>
      <c r="J2324">
        <v>0</v>
      </c>
      <c r="K2324">
        <v>0</v>
      </c>
      <c r="L2324">
        <v>0</v>
      </c>
      <c r="M2324" t="s">
        <v>36</v>
      </c>
      <c r="N2324" t="s">
        <v>36</v>
      </c>
      <c r="O2324" t="s">
        <v>36</v>
      </c>
      <c r="P2324" t="s">
        <v>442</v>
      </c>
      <c r="Q2324" t="s">
        <v>36</v>
      </c>
      <c r="R2324" t="s">
        <v>36</v>
      </c>
      <c r="S2324" t="s">
        <v>36</v>
      </c>
      <c r="T2324" t="s">
        <v>36</v>
      </c>
      <c r="U2324">
        <v>1</v>
      </c>
      <c r="V2324">
        <v>0</v>
      </c>
      <c r="W2324">
        <v>1</v>
      </c>
      <c r="X2324">
        <v>1</v>
      </c>
      <c r="Y2324">
        <v>0</v>
      </c>
      <c r="Z2324">
        <v>1</v>
      </c>
      <c r="AA2324">
        <v>0</v>
      </c>
      <c r="AB2324">
        <v>1</v>
      </c>
      <c r="AC2324">
        <v>0</v>
      </c>
      <c r="AD2324">
        <v>0</v>
      </c>
      <c r="AE2324">
        <v>0</v>
      </c>
      <c r="AF2324">
        <v>0</v>
      </c>
      <c r="AG2324">
        <v>0</v>
      </c>
    </row>
    <row r="2325" spans="1:33" hidden="1" x14ac:dyDescent="0.2">
      <c r="A2325">
        <v>2324</v>
      </c>
      <c r="B2325" t="s">
        <v>644</v>
      </c>
      <c r="C2325" t="s">
        <v>108</v>
      </c>
      <c r="D2325">
        <v>30</v>
      </c>
      <c r="E2325" t="s">
        <v>114</v>
      </c>
      <c r="F2325" t="s">
        <v>77</v>
      </c>
      <c r="G2325" t="s">
        <v>36</v>
      </c>
      <c r="H2325">
        <v>69954</v>
      </c>
      <c r="I2325" t="s">
        <v>645</v>
      </c>
      <c r="J2325" t="s">
        <v>646</v>
      </c>
      <c r="L2325" t="s">
        <v>36</v>
      </c>
      <c r="M2325" t="s">
        <v>36</v>
      </c>
      <c r="N2325" t="s">
        <v>36</v>
      </c>
      <c r="O2325" t="s">
        <v>36</v>
      </c>
      <c r="P2325" t="s">
        <v>442</v>
      </c>
      <c r="Q2325" t="s">
        <v>36</v>
      </c>
      <c r="R2325" t="s">
        <v>36</v>
      </c>
      <c r="S2325" t="s">
        <v>36</v>
      </c>
      <c r="T2325" t="s">
        <v>36</v>
      </c>
      <c r="U2325" t="s">
        <v>36</v>
      </c>
      <c r="V2325" t="s">
        <v>36</v>
      </c>
      <c r="W2325" t="s">
        <v>36</v>
      </c>
      <c r="X2325" t="s">
        <v>36</v>
      </c>
      <c r="Y2325" t="s">
        <v>36</v>
      </c>
      <c r="Z2325" t="s">
        <v>36</v>
      </c>
      <c r="AA2325" t="s">
        <v>36</v>
      </c>
      <c r="AB2325" t="s">
        <v>36</v>
      </c>
      <c r="AC2325" t="s">
        <v>36</v>
      </c>
      <c r="AD2325" t="s">
        <v>36</v>
      </c>
      <c r="AE2325" t="s">
        <v>36</v>
      </c>
      <c r="AF2325" t="s">
        <v>36</v>
      </c>
      <c r="AG2325" t="s">
        <v>36</v>
      </c>
    </row>
    <row r="2326" spans="1:33" hidden="1" x14ac:dyDescent="0.2">
      <c r="A2326">
        <v>2325</v>
      </c>
      <c r="B2326" t="s">
        <v>647</v>
      </c>
      <c r="C2326" t="s">
        <v>188</v>
      </c>
      <c r="D2326">
        <v>27</v>
      </c>
      <c r="E2326" t="s">
        <v>114</v>
      </c>
      <c r="F2326" t="s">
        <v>35</v>
      </c>
      <c r="G2326" t="s">
        <v>36</v>
      </c>
      <c r="H2326">
        <v>80558</v>
      </c>
      <c r="I2326" t="s">
        <v>36</v>
      </c>
      <c r="J2326" t="s">
        <v>36</v>
      </c>
      <c r="K2326" t="s">
        <v>36</v>
      </c>
      <c r="L2326" t="s">
        <v>36</v>
      </c>
      <c r="M2326" t="s">
        <v>36</v>
      </c>
      <c r="N2326" t="s">
        <v>36</v>
      </c>
      <c r="O2326" t="s">
        <v>36</v>
      </c>
      <c r="P2326" t="s">
        <v>442</v>
      </c>
      <c r="Q2326" t="s">
        <v>36</v>
      </c>
      <c r="R2326" t="s">
        <v>36</v>
      </c>
      <c r="S2326" t="s">
        <v>36</v>
      </c>
      <c r="T2326" t="s">
        <v>36</v>
      </c>
      <c r="U2326" t="s">
        <v>36</v>
      </c>
      <c r="V2326" t="s">
        <v>36</v>
      </c>
      <c r="W2326" t="s">
        <v>36</v>
      </c>
      <c r="X2326" t="s">
        <v>36</v>
      </c>
      <c r="Y2326" t="s">
        <v>36</v>
      </c>
      <c r="Z2326" t="s">
        <v>36</v>
      </c>
      <c r="AA2326" t="s">
        <v>36</v>
      </c>
      <c r="AB2326" t="s">
        <v>36</v>
      </c>
      <c r="AC2326" t="s">
        <v>36</v>
      </c>
      <c r="AD2326" t="s">
        <v>36</v>
      </c>
      <c r="AE2326" t="s">
        <v>36</v>
      </c>
      <c r="AF2326" t="s">
        <v>36</v>
      </c>
      <c r="AG2326" t="s">
        <v>36</v>
      </c>
    </row>
    <row r="2327" spans="1:33" hidden="1" x14ac:dyDescent="0.2">
      <c r="A2327">
        <v>2326</v>
      </c>
      <c r="B2327" t="s">
        <v>647</v>
      </c>
      <c r="C2327" t="s">
        <v>188</v>
      </c>
      <c r="D2327">
        <v>27</v>
      </c>
      <c r="E2327" t="s">
        <v>114</v>
      </c>
      <c r="F2327" t="s">
        <v>38</v>
      </c>
      <c r="G2327" t="s">
        <v>39</v>
      </c>
      <c r="H2327">
        <v>892505</v>
      </c>
      <c r="I2327">
        <v>0</v>
      </c>
      <c r="J2327">
        <v>0</v>
      </c>
      <c r="K2327">
        <v>0</v>
      </c>
      <c r="L2327">
        <v>1</v>
      </c>
      <c r="M2327" t="s">
        <v>36</v>
      </c>
      <c r="N2327" t="s">
        <v>36</v>
      </c>
      <c r="O2327" t="s">
        <v>36</v>
      </c>
      <c r="P2327" t="s">
        <v>442</v>
      </c>
      <c r="Q2327" t="s">
        <v>36</v>
      </c>
      <c r="R2327" t="s">
        <v>36</v>
      </c>
      <c r="S2327" t="s">
        <v>36</v>
      </c>
      <c r="T2327" t="s">
        <v>36</v>
      </c>
      <c r="U2327" t="s">
        <v>36</v>
      </c>
      <c r="V2327" t="s">
        <v>36</v>
      </c>
      <c r="W2327" t="s">
        <v>36</v>
      </c>
      <c r="X2327" t="s">
        <v>36</v>
      </c>
      <c r="Y2327" t="s">
        <v>36</v>
      </c>
      <c r="Z2327" t="s">
        <v>36</v>
      </c>
      <c r="AA2327" t="s">
        <v>36</v>
      </c>
      <c r="AB2327" t="s">
        <v>36</v>
      </c>
      <c r="AC2327" t="s">
        <v>36</v>
      </c>
      <c r="AD2327" t="s">
        <v>36</v>
      </c>
      <c r="AE2327" t="s">
        <v>36</v>
      </c>
      <c r="AF2327" t="s">
        <v>36</v>
      </c>
      <c r="AG2327" t="s">
        <v>36</v>
      </c>
    </row>
    <row r="2328" spans="1:33" hidden="1" x14ac:dyDescent="0.2">
      <c r="A2328">
        <v>2327</v>
      </c>
      <c r="B2328" t="s">
        <v>647</v>
      </c>
      <c r="C2328" t="s">
        <v>188</v>
      </c>
      <c r="D2328">
        <v>27</v>
      </c>
      <c r="E2328" t="s">
        <v>114</v>
      </c>
      <c r="F2328" t="s">
        <v>38</v>
      </c>
      <c r="G2328" t="s">
        <v>40</v>
      </c>
      <c r="H2328">
        <v>126543</v>
      </c>
      <c r="I2328">
        <v>0</v>
      </c>
      <c r="J2328">
        <v>0</v>
      </c>
      <c r="K2328">
        <v>1</v>
      </c>
      <c r="L2328">
        <v>0</v>
      </c>
      <c r="M2328" t="s">
        <v>36</v>
      </c>
      <c r="N2328" t="s">
        <v>36</v>
      </c>
      <c r="O2328" t="s">
        <v>36</v>
      </c>
      <c r="P2328" t="s">
        <v>442</v>
      </c>
      <c r="Q2328" t="s">
        <v>36</v>
      </c>
      <c r="R2328" t="s">
        <v>36</v>
      </c>
      <c r="S2328" t="s">
        <v>36</v>
      </c>
      <c r="T2328" t="s">
        <v>36</v>
      </c>
      <c r="U2328" t="s">
        <v>36</v>
      </c>
      <c r="V2328" t="s">
        <v>36</v>
      </c>
      <c r="W2328" t="s">
        <v>36</v>
      </c>
      <c r="X2328" t="s">
        <v>36</v>
      </c>
      <c r="Y2328" t="s">
        <v>36</v>
      </c>
      <c r="Z2328" t="s">
        <v>36</v>
      </c>
      <c r="AA2328" t="s">
        <v>36</v>
      </c>
      <c r="AB2328" t="s">
        <v>36</v>
      </c>
      <c r="AC2328" t="s">
        <v>36</v>
      </c>
      <c r="AD2328" t="s">
        <v>36</v>
      </c>
      <c r="AE2328" t="s">
        <v>36</v>
      </c>
      <c r="AF2328" t="s">
        <v>36</v>
      </c>
      <c r="AG2328" t="s">
        <v>36</v>
      </c>
    </row>
    <row r="2329" spans="1:33" x14ac:dyDescent="0.2">
      <c r="A2329">
        <v>2328</v>
      </c>
      <c r="B2329" t="s">
        <v>647</v>
      </c>
      <c r="C2329" t="s">
        <v>188</v>
      </c>
      <c r="D2329">
        <v>27</v>
      </c>
      <c r="E2329" t="s">
        <v>114</v>
      </c>
      <c r="F2329" t="s">
        <v>41</v>
      </c>
      <c r="G2329" t="s">
        <v>49</v>
      </c>
      <c r="H2329">
        <v>89383</v>
      </c>
      <c r="I2329">
        <v>0</v>
      </c>
      <c r="J2329">
        <v>0</v>
      </c>
      <c r="K2329">
        <v>1</v>
      </c>
      <c r="L2329">
        <v>0</v>
      </c>
      <c r="M2329" t="s">
        <v>50</v>
      </c>
      <c r="N2329" t="s">
        <v>51</v>
      </c>
      <c r="O2329" t="s">
        <v>83</v>
      </c>
      <c r="P2329" t="s">
        <v>442</v>
      </c>
      <c r="Q2329" t="s">
        <v>48</v>
      </c>
      <c r="R2329" t="s">
        <v>47</v>
      </c>
      <c r="S2329" t="s">
        <v>59</v>
      </c>
      <c r="T2329">
        <v>0</v>
      </c>
      <c r="U2329">
        <v>0</v>
      </c>
      <c r="V2329">
        <v>1</v>
      </c>
      <c r="W2329">
        <v>1</v>
      </c>
      <c r="X2329">
        <v>0</v>
      </c>
      <c r="Y2329">
        <v>0</v>
      </c>
      <c r="Z2329">
        <v>1</v>
      </c>
      <c r="AA2329">
        <v>0</v>
      </c>
      <c r="AB2329">
        <v>0</v>
      </c>
      <c r="AC2329">
        <v>0</v>
      </c>
      <c r="AD2329">
        <v>0</v>
      </c>
      <c r="AE2329">
        <v>0</v>
      </c>
      <c r="AF2329">
        <v>0</v>
      </c>
      <c r="AG2329">
        <v>0</v>
      </c>
    </row>
    <row r="2330" spans="1:33" x14ac:dyDescent="0.2">
      <c r="A2330">
        <v>2329</v>
      </c>
      <c r="B2330" t="s">
        <v>647</v>
      </c>
      <c r="C2330" t="s">
        <v>188</v>
      </c>
      <c r="D2330">
        <v>27</v>
      </c>
      <c r="E2330" t="s">
        <v>114</v>
      </c>
      <c r="F2330" t="s">
        <v>41</v>
      </c>
      <c r="G2330" t="s">
        <v>61</v>
      </c>
      <c r="H2330">
        <v>64464</v>
      </c>
      <c r="I2330">
        <v>1</v>
      </c>
      <c r="J2330">
        <v>0</v>
      </c>
      <c r="K2330">
        <v>0</v>
      </c>
      <c r="L2330">
        <v>0</v>
      </c>
      <c r="M2330" t="s">
        <v>125</v>
      </c>
      <c r="N2330" t="s">
        <v>87</v>
      </c>
      <c r="O2330" t="s">
        <v>62</v>
      </c>
      <c r="P2330" t="s">
        <v>442</v>
      </c>
      <c r="Q2330" t="s">
        <v>60</v>
      </c>
      <c r="R2330" t="s">
        <v>47</v>
      </c>
      <c r="S2330" t="s">
        <v>65</v>
      </c>
      <c r="T2330">
        <v>1</v>
      </c>
      <c r="U2330">
        <v>1</v>
      </c>
      <c r="V2330">
        <v>0</v>
      </c>
      <c r="W2330">
        <v>1</v>
      </c>
      <c r="X2330">
        <v>0</v>
      </c>
      <c r="Y2330">
        <v>0</v>
      </c>
      <c r="Z2330">
        <v>1</v>
      </c>
      <c r="AA2330">
        <v>1</v>
      </c>
      <c r="AB2330">
        <v>0</v>
      </c>
      <c r="AC2330">
        <v>0</v>
      </c>
      <c r="AD2330">
        <v>0</v>
      </c>
      <c r="AE2330">
        <v>0</v>
      </c>
      <c r="AF2330">
        <v>0</v>
      </c>
      <c r="AG2330">
        <v>0</v>
      </c>
    </row>
    <row r="2331" spans="1:33" hidden="1" x14ac:dyDescent="0.2">
      <c r="A2331">
        <v>2330</v>
      </c>
      <c r="B2331" t="s">
        <v>647</v>
      </c>
      <c r="C2331" t="s">
        <v>188</v>
      </c>
      <c r="D2331">
        <v>27</v>
      </c>
      <c r="E2331" t="s">
        <v>114</v>
      </c>
      <c r="F2331" t="s">
        <v>53</v>
      </c>
      <c r="G2331" t="s">
        <v>76</v>
      </c>
      <c r="H2331">
        <v>43347</v>
      </c>
      <c r="I2331">
        <v>1</v>
      </c>
      <c r="J2331">
        <v>0</v>
      </c>
      <c r="K2331">
        <v>0</v>
      </c>
      <c r="L2331">
        <v>0</v>
      </c>
      <c r="M2331" t="s">
        <v>36</v>
      </c>
      <c r="N2331" t="s">
        <v>36</v>
      </c>
      <c r="O2331" t="s">
        <v>36</v>
      </c>
      <c r="P2331" t="s">
        <v>442</v>
      </c>
      <c r="Q2331" t="s">
        <v>36</v>
      </c>
      <c r="R2331" t="s">
        <v>36</v>
      </c>
      <c r="S2331" t="s">
        <v>36</v>
      </c>
      <c r="T2331" t="s">
        <v>36</v>
      </c>
      <c r="U2331">
        <v>1</v>
      </c>
      <c r="V2331">
        <v>0</v>
      </c>
      <c r="W2331">
        <v>1</v>
      </c>
      <c r="X2331">
        <v>0</v>
      </c>
      <c r="Y2331">
        <v>0</v>
      </c>
      <c r="Z2331">
        <v>1</v>
      </c>
      <c r="AA2331">
        <v>1</v>
      </c>
      <c r="AB2331">
        <v>0</v>
      </c>
      <c r="AC2331">
        <v>0</v>
      </c>
      <c r="AD2331">
        <v>0</v>
      </c>
      <c r="AE2331">
        <v>0</v>
      </c>
      <c r="AF2331">
        <v>0</v>
      </c>
      <c r="AG2331">
        <v>0</v>
      </c>
    </row>
    <row r="2332" spans="1:33" x14ac:dyDescent="0.2">
      <c r="A2332">
        <v>2331</v>
      </c>
      <c r="B2332" t="s">
        <v>647</v>
      </c>
      <c r="C2332" t="s">
        <v>188</v>
      </c>
      <c r="D2332">
        <v>27</v>
      </c>
      <c r="E2332" t="s">
        <v>114</v>
      </c>
      <c r="F2332" t="s">
        <v>41</v>
      </c>
      <c r="G2332" t="s">
        <v>55</v>
      </c>
      <c r="H2332">
        <v>41693</v>
      </c>
      <c r="I2332">
        <v>0</v>
      </c>
      <c r="J2332">
        <v>1</v>
      </c>
      <c r="K2332">
        <v>0</v>
      </c>
      <c r="L2332">
        <v>0</v>
      </c>
      <c r="M2332" t="s">
        <v>56</v>
      </c>
      <c r="N2332" t="s">
        <v>57</v>
      </c>
      <c r="O2332" t="s">
        <v>94</v>
      </c>
      <c r="P2332" t="s">
        <v>442</v>
      </c>
      <c r="Q2332" t="s">
        <v>59</v>
      </c>
      <c r="R2332" t="s">
        <v>48</v>
      </c>
      <c r="S2332" t="s">
        <v>47</v>
      </c>
      <c r="T2332">
        <v>0</v>
      </c>
      <c r="U2332">
        <v>0</v>
      </c>
      <c r="V2332">
        <v>1</v>
      </c>
      <c r="W2332">
        <v>1</v>
      </c>
      <c r="X2332">
        <v>0</v>
      </c>
      <c r="Y2332">
        <v>0</v>
      </c>
      <c r="Z2332">
        <v>1</v>
      </c>
      <c r="AA2332">
        <v>0</v>
      </c>
      <c r="AB2332">
        <v>0</v>
      </c>
      <c r="AC2332">
        <v>1</v>
      </c>
      <c r="AD2332">
        <v>0</v>
      </c>
      <c r="AE2332">
        <v>0</v>
      </c>
      <c r="AF2332">
        <v>0</v>
      </c>
      <c r="AG2332">
        <v>0</v>
      </c>
    </row>
    <row r="2333" spans="1:33" x14ac:dyDescent="0.2">
      <c r="A2333">
        <v>2332</v>
      </c>
      <c r="B2333" t="s">
        <v>647</v>
      </c>
      <c r="C2333" t="s">
        <v>188</v>
      </c>
      <c r="D2333">
        <v>27</v>
      </c>
      <c r="E2333" t="s">
        <v>114</v>
      </c>
      <c r="F2333" t="s">
        <v>41</v>
      </c>
      <c r="G2333" t="s">
        <v>42</v>
      </c>
      <c r="H2333">
        <v>3320</v>
      </c>
      <c r="I2333">
        <v>0</v>
      </c>
      <c r="J2333">
        <v>1</v>
      </c>
      <c r="K2333">
        <v>0</v>
      </c>
      <c r="L2333">
        <v>0</v>
      </c>
      <c r="M2333" t="s">
        <v>82</v>
      </c>
      <c r="N2333" t="s">
        <v>43</v>
      </c>
      <c r="O2333" t="s">
        <v>116</v>
      </c>
      <c r="P2333" t="s">
        <v>442</v>
      </c>
      <c r="Q2333" t="s">
        <v>65</v>
      </c>
      <c r="R2333" t="s">
        <v>46</v>
      </c>
      <c r="S2333" t="s">
        <v>60</v>
      </c>
      <c r="T2333">
        <v>1</v>
      </c>
      <c r="U2333">
        <v>1</v>
      </c>
      <c r="V2333">
        <v>0</v>
      </c>
      <c r="W2333">
        <v>0</v>
      </c>
      <c r="X2333">
        <v>1</v>
      </c>
      <c r="Y2333">
        <v>0</v>
      </c>
      <c r="Z2333">
        <v>1</v>
      </c>
      <c r="AA2333">
        <v>0</v>
      </c>
      <c r="AB2333">
        <v>0</v>
      </c>
      <c r="AC2333">
        <v>0</v>
      </c>
      <c r="AD2333">
        <v>0</v>
      </c>
      <c r="AE2333">
        <v>1</v>
      </c>
      <c r="AF2333">
        <v>0</v>
      </c>
      <c r="AG2333">
        <v>0</v>
      </c>
    </row>
    <row r="2334" spans="1:33" hidden="1" x14ac:dyDescent="0.2">
      <c r="A2334">
        <v>2333</v>
      </c>
      <c r="B2334" t="s">
        <v>647</v>
      </c>
      <c r="C2334" t="s">
        <v>188</v>
      </c>
      <c r="D2334">
        <v>27</v>
      </c>
      <c r="E2334" t="s">
        <v>114</v>
      </c>
      <c r="F2334" t="s">
        <v>53</v>
      </c>
      <c r="G2334" t="s">
        <v>66</v>
      </c>
      <c r="H2334">
        <v>4881</v>
      </c>
      <c r="I2334">
        <v>0</v>
      </c>
      <c r="J2334">
        <v>0</v>
      </c>
      <c r="K2334">
        <v>1</v>
      </c>
      <c r="L2334">
        <v>0</v>
      </c>
      <c r="M2334" t="s">
        <v>36</v>
      </c>
      <c r="N2334" t="s">
        <v>36</v>
      </c>
      <c r="O2334" t="s">
        <v>36</v>
      </c>
      <c r="P2334" t="s">
        <v>442</v>
      </c>
      <c r="Q2334" t="s">
        <v>36</v>
      </c>
      <c r="R2334" t="s">
        <v>36</v>
      </c>
      <c r="S2334" t="s">
        <v>36</v>
      </c>
      <c r="T2334" t="s">
        <v>36</v>
      </c>
      <c r="U2334">
        <v>1</v>
      </c>
      <c r="V2334">
        <v>0</v>
      </c>
      <c r="W2334">
        <v>0</v>
      </c>
      <c r="X2334">
        <v>1</v>
      </c>
      <c r="Y2334">
        <v>0</v>
      </c>
      <c r="Z2334">
        <v>1</v>
      </c>
      <c r="AA2334">
        <v>0</v>
      </c>
      <c r="AB2334">
        <v>0</v>
      </c>
      <c r="AC2334">
        <v>0</v>
      </c>
      <c r="AD2334">
        <v>0</v>
      </c>
      <c r="AE2334">
        <v>1</v>
      </c>
      <c r="AF2334">
        <v>0</v>
      </c>
      <c r="AG2334">
        <v>0</v>
      </c>
    </row>
    <row r="2335" spans="1:33" x14ac:dyDescent="0.2">
      <c r="A2335">
        <v>2334</v>
      </c>
      <c r="B2335" t="s">
        <v>647</v>
      </c>
      <c r="C2335" t="s">
        <v>188</v>
      </c>
      <c r="D2335">
        <v>27</v>
      </c>
      <c r="E2335" t="s">
        <v>114</v>
      </c>
      <c r="F2335" t="s">
        <v>41</v>
      </c>
      <c r="G2335" t="s">
        <v>67</v>
      </c>
      <c r="H2335">
        <v>2777</v>
      </c>
      <c r="I2335">
        <v>0</v>
      </c>
      <c r="J2335">
        <v>1</v>
      </c>
      <c r="K2335">
        <v>0</v>
      </c>
      <c r="L2335">
        <v>0</v>
      </c>
      <c r="M2335" t="s">
        <v>70</v>
      </c>
      <c r="N2335" t="s">
        <v>86</v>
      </c>
      <c r="O2335" t="s">
        <v>68</v>
      </c>
      <c r="P2335" t="s">
        <v>442</v>
      </c>
      <c r="Q2335" t="s">
        <v>47</v>
      </c>
      <c r="R2335" t="s">
        <v>46</v>
      </c>
      <c r="S2335" t="s">
        <v>65</v>
      </c>
      <c r="T2335">
        <v>0</v>
      </c>
      <c r="U2335">
        <v>1</v>
      </c>
      <c r="V2335">
        <v>0</v>
      </c>
      <c r="W2335">
        <v>1</v>
      </c>
      <c r="X2335">
        <v>1</v>
      </c>
      <c r="Y2335">
        <v>0</v>
      </c>
      <c r="Z2335">
        <v>1</v>
      </c>
      <c r="AA2335">
        <v>0</v>
      </c>
      <c r="AB2335">
        <v>0</v>
      </c>
      <c r="AC2335">
        <v>0</v>
      </c>
      <c r="AD2335">
        <v>0</v>
      </c>
      <c r="AE2335">
        <v>1</v>
      </c>
      <c r="AF2335">
        <v>0</v>
      </c>
      <c r="AG2335">
        <v>0</v>
      </c>
    </row>
    <row r="2336" spans="1:33" hidden="1" x14ac:dyDescent="0.2">
      <c r="A2336">
        <v>2335</v>
      </c>
      <c r="B2336" t="s">
        <v>647</v>
      </c>
      <c r="C2336" t="s">
        <v>188</v>
      </c>
      <c r="D2336">
        <v>27</v>
      </c>
      <c r="E2336" t="s">
        <v>114</v>
      </c>
      <c r="F2336" t="s">
        <v>53</v>
      </c>
      <c r="G2336" t="s">
        <v>71</v>
      </c>
      <c r="H2336">
        <v>3744</v>
      </c>
      <c r="I2336">
        <v>0</v>
      </c>
      <c r="J2336">
        <v>1</v>
      </c>
      <c r="K2336">
        <v>0</v>
      </c>
      <c r="L2336">
        <v>0</v>
      </c>
      <c r="M2336" t="s">
        <v>36</v>
      </c>
      <c r="N2336" t="s">
        <v>36</v>
      </c>
      <c r="O2336" t="s">
        <v>36</v>
      </c>
      <c r="P2336" t="s">
        <v>442</v>
      </c>
      <c r="Q2336" t="s">
        <v>36</v>
      </c>
      <c r="R2336" t="s">
        <v>36</v>
      </c>
      <c r="S2336" t="s">
        <v>36</v>
      </c>
      <c r="T2336" t="s">
        <v>36</v>
      </c>
      <c r="U2336">
        <v>1</v>
      </c>
      <c r="V2336">
        <v>0</v>
      </c>
      <c r="W2336">
        <v>1</v>
      </c>
      <c r="X2336">
        <v>1</v>
      </c>
      <c r="Y2336">
        <v>0</v>
      </c>
      <c r="Z2336">
        <v>1</v>
      </c>
      <c r="AA2336">
        <v>0</v>
      </c>
      <c r="AB2336">
        <v>0</v>
      </c>
      <c r="AC2336">
        <v>0</v>
      </c>
      <c r="AD2336">
        <v>0</v>
      </c>
      <c r="AE2336">
        <v>1</v>
      </c>
      <c r="AF2336">
        <v>0</v>
      </c>
      <c r="AG2336">
        <v>0</v>
      </c>
    </row>
    <row r="2337" spans="1:33" x14ac:dyDescent="0.2">
      <c r="A2337">
        <v>2336</v>
      </c>
      <c r="B2337" t="s">
        <v>647</v>
      </c>
      <c r="C2337" t="s">
        <v>188</v>
      </c>
      <c r="D2337">
        <v>27</v>
      </c>
      <c r="E2337" t="s">
        <v>114</v>
      </c>
      <c r="F2337" t="s">
        <v>41</v>
      </c>
      <c r="G2337" t="s">
        <v>72</v>
      </c>
      <c r="H2337">
        <v>2342</v>
      </c>
      <c r="I2337">
        <v>0</v>
      </c>
      <c r="J2337">
        <v>0</v>
      </c>
      <c r="K2337">
        <v>1</v>
      </c>
      <c r="L2337">
        <v>0</v>
      </c>
      <c r="M2337" t="s">
        <v>115</v>
      </c>
      <c r="N2337" t="s">
        <v>75</v>
      </c>
      <c r="O2337" t="s">
        <v>93</v>
      </c>
      <c r="P2337" t="s">
        <v>442</v>
      </c>
      <c r="Q2337" t="s">
        <v>65</v>
      </c>
      <c r="R2337" t="s">
        <v>46</v>
      </c>
      <c r="S2337" t="s">
        <v>59</v>
      </c>
      <c r="T2337">
        <v>0</v>
      </c>
      <c r="U2337">
        <v>1</v>
      </c>
      <c r="V2337">
        <v>0</v>
      </c>
      <c r="W2337">
        <v>0</v>
      </c>
      <c r="X2337">
        <v>1</v>
      </c>
      <c r="Y2337">
        <v>0</v>
      </c>
      <c r="Z2337">
        <v>1</v>
      </c>
      <c r="AA2337">
        <v>0</v>
      </c>
      <c r="AB2337">
        <v>0</v>
      </c>
      <c r="AC2337">
        <v>0</v>
      </c>
      <c r="AD2337">
        <v>0</v>
      </c>
      <c r="AE2337">
        <v>0</v>
      </c>
      <c r="AF2337">
        <v>0</v>
      </c>
      <c r="AG2337">
        <v>0</v>
      </c>
    </row>
    <row r="2338" spans="1:33" hidden="1" x14ac:dyDescent="0.2">
      <c r="A2338">
        <v>2337</v>
      </c>
      <c r="B2338" t="s">
        <v>647</v>
      </c>
      <c r="C2338" t="s">
        <v>188</v>
      </c>
      <c r="D2338">
        <v>27</v>
      </c>
      <c r="E2338" t="s">
        <v>114</v>
      </c>
      <c r="F2338" t="s">
        <v>53</v>
      </c>
      <c r="G2338" t="s">
        <v>54</v>
      </c>
      <c r="H2338">
        <v>2817</v>
      </c>
      <c r="I2338">
        <v>0</v>
      </c>
      <c r="J2338">
        <v>1</v>
      </c>
      <c r="K2338">
        <v>0</v>
      </c>
      <c r="L2338">
        <v>0</v>
      </c>
      <c r="M2338" t="s">
        <v>36</v>
      </c>
      <c r="N2338" t="s">
        <v>36</v>
      </c>
      <c r="O2338" t="s">
        <v>36</v>
      </c>
      <c r="P2338" t="s">
        <v>442</v>
      </c>
      <c r="Q2338" t="s">
        <v>36</v>
      </c>
      <c r="R2338" t="s">
        <v>36</v>
      </c>
      <c r="S2338" t="s">
        <v>36</v>
      </c>
      <c r="T2338" t="s">
        <v>36</v>
      </c>
      <c r="U2338">
        <v>1</v>
      </c>
      <c r="V2338">
        <v>0</v>
      </c>
      <c r="W2338">
        <v>0</v>
      </c>
      <c r="X2338">
        <v>1</v>
      </c>
      <c r="Y2338">
        <v>0</v>
      </c>
      <c r="Z2338">
        <v>1</v>
      </c>
      <c r="AA2338">
        <v>0</v>
      </c>
      <c r="AB2338">
        <v>0</v>
      </c>
      <c r="AC2338">
        <v>0</v>
      </c>
      <c r="AD2338">
        <v>0</v>
      </c>
      <c r="AE2338">
        <v>0</v>
      </c>
      <c r="AF2338">
        <v>0</v>
      </c>
      <c r="AG2338">
        <v>0</v>
      </c>
    </row>
    <row r="2339" spans="1:33" hidden="1" x14ac:dyDescent="0.2">
      <c r="A2339">
        <v>2338</v>
      </c>
      <c r="B2339" t="s">
        <v>647</v>
      </c>
      <c r="C2339" t="s">
        <v>188</v>
      </c>
      <c r="D2339">
        <v>27</v>
      </c>
      <c r="E2339" t="s">
        <v>114</v>
      </c>
      <c r="F2339" t="s">
        <v>77</v>
      </c>
      <c r="G2339" t="s">
        <v>36</v>
      </c>
      <c r="H2339">
        <v>96764</v>
      </c>
      <c r="I2339" t="s">
        <v>624</v>
      </c>
      <c r="J2339" t="s">
        <v>648</v>
      </c>
      <c r="K2339" t="s">
        <v>190</v>
      </c>
      <c r="L2339" t="s">
        <v>36</v>
      </c>
      <c r="M2339" t="s">
        <v>36</v>
      </c>
      <c r="N2339" t="s">
        <v>36</v>
      </c>
      <c r="O2339" t="s">
        <v>36</v>
      </c>
      <c r="P2339" t="s">
        <v>442</v>
      </c>
      <c r="Q2339" t="s">
        <v>36</v>
      </c>
      <c r="R2339" t="s">
        <v>36</v>
      </c>
      <c r="S2339" t="s">
        <v>36</v>
      </c>
      <c r="T2339" t="s">
        <v>36</v>
      </c>
      <c r="U2339" t="s">
        <v>36</v>
      </c>
      <c r="V2339" t="s">
        <v>36</v>
      </c>
      <c r="W2339" t="s">
        <v>36</v>
      </c>
      <c r="X2339" t="s">
        <v>36</v>
      </c>
      <c r="Y2339" t="s">
        <v>36</v>
      </c>
      <c r="Z2339" t="s">
        <v>36</v>
      </c>
      <c r="AA2339" t="s">
        <v>36</v>
      </c>
      <c r="AB2339" t="s">
        <v>36</v>
      </c>
      <c r="AC2339" t="s">
        <v>36</v>
      </c>
      <c r="AD2339" t="s">
        <v>36</v>
      </c>
      <c r="AE2339" t="s">
        <v>36</v>
      </c>
      <c r="AF2339" t="s">
        <v>36</v>
      </c>
      <c r="AG2339" t="s">
        <v>36</v>
      </c>
    </row>
    <row r="2340" spans="1:33" hidden="1" x14ac:dyDescent="0.2">
      <c r="A2340">
        <v>2339</v>
      </c>
      <c r="B2340" t="s">
        <v>649</v>
      </c>
      <c r="C2340" t="s">
        <v>188</v>
      </c>
      <c r="D2340">
        <v>27</v>
      </c>
      <c r="E2340" t="s">
        <v>114</v>
      </c>
      <c r="F2340" t="s">
        <v>35</v>
      </c>
      <c r="G2340" t="s">
        <v>36</v>
      </c>
      <c r="H2340">
        <v>49571</v>
      </c>
      <c r="I2340" t="s">
        <v>36</v>
      </c>
      <c r="J2340" t="s">
        <v>36</v>
      </c>
      <c r="K2340" t="s">
        <v>36</v>
      </c>
      <c r="L2340" t="s">
        <v>36</v>
      </c>
      <c r="M2340" t="s">
        <v>36</v>
      </c>
      <c r="N2340" t="s">
        <v>36</v>
      </c>
      <c r="O2340" t="s">
        <v>36</v>
      </c>
      <c r="P2340" t="s">
        <v>442</v>
      </c>
      <c r="Q2340" t="s">
        <v>36</v>
      </c>
      <c r="R2340" t="s">
        <v>36</v>
      </c>
      <c r="S2340" t="s">
        <v>36</v>
      </c>
      <c r="T2340" t="s">
        <v>36</v>
      </c>
      <c r="U2340" t="s">
        <v>36</v>
      </c>
      <c r="V2340" t="s">
        <v>36</v>
      </c>
      <c r="W2340" t="s">
        <v>36</v>
      </c>
      <c r="X2340" t="s">
        <v>36</v>
      </c>
      <c r="Y2340" t="s">
        <v>36</v>
      </c>
      <c r="Z2340" t="s">
        <v>36</v>
      </c>
      <c r="AA2340" t="s">
        <v>36</v>
      </c>
      <c r="AB2340" t="s">
        <v>36</v>
      </c>
      <c r="AC2340" t="s">
        <v>36</v>
      </c>
      <c r="AD2340" t="s">
        <v>36</v>
      </c>
      <c r="AE2340" t="s">
        <v>36</v>
      </c>
      <c r="AF2340" t="s">
        <v>36</v>
      </c>
      <c r="AG2340" t="s">
        <v>36</v>
      </c>
    </row>
    <row r="2341" spans="1:33" hidden="1" x14ac:dyDescent="0.2">
      <c r="A2341">
        <v>2340</v>
      </c>
      <c r="B2341" t="s">
        <v>649</v>
      </c>
      <c r="C2341" t="s">
        <v>188</v>
      </c>
      <c r="D2341">
        <v>27</v>
      </c>
      <c r="E2341" t="s">
        <v>114</v>
      </c>
      <c r="F2341" t="s">
        <v>38</v>
      </c>
      <c r="G2341" t="s">
        <v>40</v>
      </c>
      <c r="H2341">
        <v>682856</v>
      </c>
      <c r="I2341">
        <v>0</v>
      </c>
      <c r="J2341">
        <v>0</v>
      </c>
      <c r="K2341">
        <v>1</v>
      </c>
      <c r="L2341">
        <v>0</v>
      </c>
      <c r="M2341" t="s">
        <v>36</v>
      </c>
      <c r="N2341" t="s">
        <v>36</v>
      </c>
      <c r="O2341" t="s">
        <v>36</v>
      </c>
      <c r="P2341" t="s">
        <v>442</v>
      </c>
      <c r="Q2341" t="s">
        <v>36</v>
      </c>
      <c r="R2341" t="s">
        <v>36</v>
      </c>
      <c r="S2341" t="s">
        <v>36</v>
      </c>
      <c r="T2341" t="s">
        <v>36</v>
      </c>
      <c r="U2341" t="s">
        <v>36</v>
      </c>
      <c r="V2341" t="s">
        <v>36</v>
      </c>
      <c r="W2341" t="s">
        <v>36</v>
      </c>
      <c r="X2341" t="s">
        <v>36</v>
      </c>
      <c r="Y2341" t="s">
        <v>36</v>
      </c>
      <c r="Z2341" t="s">
        <v>36</v>
      </c>
      <c r="AA2341" t="s">
        <v>36</v>
      </c>
      <c r="AB2341" t="s">
        <v>36</v>
      </c>
      <c r="AC2341" t="s">
        <v>36</v>
      </c>
      <c r="AD2341" t="s">
        <v>36</v>
      </c>
      <c r="AE2341" t="s">
        <v>36</v>
      </c>
      <c r="AF2341" t="s">
        <v>36</v>
      </c>
      <c r="AG2341" t="s">
        <v>36</v>
      </c>
    </row>
    <row r="2342" spans="1:33" hidden="1" x14ac:dyDescent="0.2">
      <c r="A2342">
        <v>2341</v>
      </c>
      <c r="B2342" t="s">
        <v>649</v>
      </c>
      <c r="C2342" t="s">
        <v>188</v>
      </c>
      <c r="D2342">
        <v>27</v>
      </c>
      <c r="E2342" t="s">
        <v>114</v>
      </c>
      <c r="F2342" t="s">
        <v>38</v>
      </c>
      <c r="G2342" t="s">
        <v>39</v>
      </c>
      <c r="H2342">
        <v>3906</v>
      </c>
      <c r="I2342">
        <v>0</v>
      </c>
      <c r="J2342">
        <v>0</v>
      </c>
      <c r="K2342">
        <v>0</v>
      </c>
      <c r="L2342">
        <v>1</v>
      </c>
      <c r="M2342" t="s">
        <v>36</v>
      </c>
      <c r="N2342" t="s">
        <v>36</v>
      </c>
      <c r="O2342" t="s">
        <v>36</v>
      </c>
      <c r="P2342" t="s">
        <v>442</v>
      </c>
      <c r="Q2342" t="s">
        <v>36</v>
      </c>
      <c r="R2342" t="s">
        <v>36</v>
      </c>
      <c r="S2342" t="s">
        <v>36</v>
      </c>
      <c r="T2342" t="s">
        <v>36</v>
      </c>
      <c r="U2342" t="s">
        <v>36</v>
      </c>
      <c r="V2342" t="s">
        <v>36</v>
      </c>
      <c r="W2342" t="s">
        <v>36</v>
      </c>
      <c r="X2342" t="s">
        <v>36</v>
      </c>
      <c r="Y2342" t="s">
        <v>36</v>
      </c>
      <c r="Z2342" t="s">
        <v>36</v>
      </c>
      <c r="AA2342" t="s">
        <v>36</v>
      </c>
      <c r="AB2342" t="s">
        <v>36</v>
      </c>
      <c r="AC2342" t="s">
        <v>36</v>
      </c>
      <c r="AD2342" t="s">
        <v>36</v>
      </c>
      <c r="AE2342" t="s">
        <v>36</v>
      </c>
      <c r="AF2342" t="s">
        <v>36</v>
      </c>
      <c r="AG2342" t="s">
        <v>36</v>
      </c>
    </row>
    <row r="2343" spans="1:33" x14ac:dyDescent="0.2">
      <c r="A2343">
        <v>2342</v>
      </c>
      <c r="B2343" t="s">
        <v>649</v>
      </c>
      <c r="C2343" t="s">
        <v>188</v>
      </c>
      <c r="D2343">
        <v>27</v>
      </c>
      <c r="E2343" t="s">
        <v>114</v>
      </c>
      <c r="F2343" t="s">
        <v>41</v>
      </c>
      <c r="G2343" t="s">
        <v>49</v>
      </c>
      <c r="H2343">
        <v>41537</v>
      </c>
      <c r="I2343">
        <v>0</v>
      </c>
      <c r="J2343">
        <v>0</v>
      </c>
      <c r="K2343">
        <v>1</v>
      </c>
      <c r="L2343">
        <v>0</v>
      </c>
      <c r="M2343" t="s">
        <v>95</v>
      </c>
      <c r="N2343" t="s">
        <v>96</v>
      </c>
      <c r="O2343" t="s">
        <v>52</v>
      </c>
      <c r="P2343" t="s">
        <v>442</v>
      </c>
      <c r="Q2343" t="s">
        <v>60</v>
      </c>
      <c r="R2343" t="s">
        <v>65</v>
      </c>
      <c r="S2343" t="s">
        <v>46</v>
      </c>
      <c r="T2343">
        <v>1</v>
      </c>
      <c r="U2343">
        <v>1</v>
      </c>
      <c r="V2343">
        <v>0</v>
      </c>
      <c r="W2343">
        <v>0</v>
      </c>
      <c r="X2343">
        <v>1</v>
      </c>
      <c r="Y2343">
        <v>0</v>
      </c>
      <c r="Z2343">
        <v>1</v>
      </c>
      <c r="AA2343">
        <v>0</v>
      </c>
      <c r="AB2343">
        <v>0</v>
      </c>
      <c r="AC2343">
        <v>0</v>
      </c>
      <c r="AD2343">
        <v>0</v>
      </c>
      <c r="AE2343">
        <v>1</v>
      </c>
      <c r="AF2343">
        <v>0</v>
      </c>
      <c r="AG2343">
        <v>0</v>
      </c>
    </row>
    <row r="2344" spans="1:33" x14ac:dyDescent="0.2">
      <c r="A2344">
        <v>2343</v>
      </c>
      <c r="B2344" t="s">
        <v>649</v>
      </c>
      <c r="C2344" t="s">
        <v>188</v>
      </c>
      <c r="D2344">
        <v>27</v>
      </c>
      <c r="E2344" t="s">
        <v>114</v>
      </c>
      <c r="F2344" t="s">
        <v>41</v>
      </c>
      <c r="G2344" t="s">
        <v>42</v>
      </c>
      <c r="H2344">
        <v>1050099</v>
      </c>
      <c r="I2344">
        <v>1</v>
      </c>
      <c r="J2344">
        <v>1</v>
      </c>
      <c r="K2344">
        <v>1</v>
      </c>
      <c r="L2344">
        <v>0</v>
      </c>
      <c r="M2344" t="s">
        <v>43</v>
      </c>
      <c r="N2344" t="s">
        <v>45</v>
      </c>
      <c r="O2344" t="s">
        <v>116</v>
      </c>
      <c r="P2344" t="s">
        <v>442</v>
      </c>
      <c r="Q2344" t="s">
        <v>46</v>
      </c>
      <c r="R2344" t="s">
        <v>48</v>
      </c>
      <c r="S2344" t="s">
        <v>60</v>
      </c>
      <c r="T2344">
        <v>1</v>
      </c>
      <c r="U2344">
        <v>0</v>
      </c>
      <c r="V2344">
        <v>1</v>
      </c>
      <c r="W2344">
        <v>0</v>
      </c>
      <c r="X2344">
        <v>1</v>
      </c>
      <c r="Y2344">
        <v>0</v>
      </c>
      <c r="Z2344">
        <v>1</v>
      </c>
      <c r="AA2344">
        <v>1</v>
      </c>
      <c r="AB2344">
        <v>0</v>
      </c>
      <c r="AC2344">
        <v>1</v>
      </c>
      <c r="AD2344">
        <v>0</v>
      </c>
      <c r="AE2344">
        <v>1</v>
      </c>
      <c r="AF2344">
        <v>0</v>
      </c>
      <c r="AG2344">
        <v>0</v>
      </c>
    </row>
    <row r="2345" spans="1:33" hidden="1" x14ac:dyDescent="0.2">
      <c r="A2345">
        <v>2344</v>
      </c>
      <c r="B2345" t="s">
        <v>649</v>
      </c>
      <c r="C2345" t="s">
        <v>188</v>
      </c>
      <c r="D2345">
        <v>27</v>
      </c>
      <c r="E2345" t="s">
        <v>114</v>
      </c>
      <c r="F2345" t="s">
        <v>53</v>
      </c>
      <c r="G2345" t="s">
        <v>54</v>
      </c>
      <c r="H2345">
        <v>71198</v>
      </c>
      <c r="I2345">
        <v>1</v>
      </c>
      <c r="J2345">
        <v>1</v>
      </c>
      <c r="K2345">
        <v>1</v>
      </c>
      <c r="L2345">
        <v>0</v>
      </c>
      <c r="M2345" t="s">
        <v>36</v>
      </c>
      <c r="N2345" t="s">
        <v>36</v>
      </c>
      <c r="O2345" t="s">
        <v>36</v>
      </c>
      <c r="P2345" t="s">
        <v>442</v>
      </c>
      <c r="Q2345" t="s">
        <v>36</v>
      </c>
      <c r="R2345" t="s">
        <v>36</v>
      </c>
      <c r="S2345" t="s">
        <v>36</v>
      </c>
      <c r="T2345" t="s">
        <v>36</v>
      </c>
      <c r="U2345">
        <v>0</v>
      </c>
      <c r="V2345">
        <v>1</v>
      </c>
      <c r="W2345">
        <v>0</v>
      </c>
      <c r="X2345">
        <v>1</v>
      </c>
      <c r="Y2345">
        <v>0</v>
      </c>
      <c r="Z2345">
        <v>1</v>
      </c>
      <c r="AA2345">
        <v>1</v>
      </c>
      <c r="AB2345">
        <v>0</v>
      </c>
      <c r="AC2345">
        <v>1</v>
      </c>
      <c r="AD2345">
        <v>0</v>
      </c>
      <c r="AE2345">
        <v>1</v>
      </c>
      <c r="AF2345">
        <v>0</v>
      </c>
      <c r="AG2345">
        <v>0</v>
      </c>
    </row>
    <row r="2346" spans="1:33" x14ac:dyDescent="0.2">
      <c r="A2346">
        <v>2345</v>
      </c>
      <c r="B2346" t="s">
        <v>649</v>
      </c>
      <c r="C2346" t="s">
        <v>188</v>
      </c>
      <c r="D2346">
        <v>27</v>
      </c>
      <c r="E2346" t="s">
        <v>114</v>
      </c>
      <c r="F2346" t="s">
        <v>41</v>
      </c>
      <c r="G2346" t="s">
        <v>72</v>
      </c>
      <c r="H2346">
        <v>46418</v>
      </c>
      <c r="I2346">
        <v>1</v>
      </c>
      <c r="J2346">
        <v>1</v>
      </c>
      <c r="K2346">
        <v>1</v>
      </c>
      <c r="L2346">
        <v>0</v>
      </c>
      <c r="M2346" t="s">
        <v>74</v>
      </c>
      <c r="N2346" t="s">
        <v>115</v>
      </c>
      <c r="O2346" t="s">
        <v>104</v>
      </c>
      <c r="P2346" t="s">
        <v>442</v>
      </c>
      <c r="Q2346" t="s">
        <v>47</v>
      </c>
      <c r="R2346" t="s">
        <v>65</v>
      </c>
      <c r="S2346" t="s">
        <v>60</v>
      </c>
      <c r="T2346">
        <v>1</v>
      </c>
      <c r="U2346">
        <v>1</v>
      </c>
      <c r="V2346">
        <v>0</v>
      </c>
      <c r="W2346">
        <v>1</v>
      </c>
      <c r="X2346">
        <v>0</v>
      </c>
      <c r="Y2346">
        <v>0</v>
      </c>
      <c r="Z2346">
        <v>1</v>
      </c>
      <c r="AA2346">
        <v>1</v>
      </c>
      <c r="AB2346">
        <v>1</v>
      </c>
      <c r="AC2346">
        <v>0</v>
      </c>
      <c r="AD2346">
        <v>1</v>
      </c>
      <c r="AE2346">
        <v>0</v>
      </c>
      <c r="AF2346">
        <v>0</v>
      </c>
      <c r="AG2346">
        <v>0</v>
      </c>
    </row>
    <row r="2347" spans="1:33" hidden="1" x14ac:dyDescent="0.2">
      <c r="A2347">
        <v>2346</v>
      </c>
      <c r="B2347" t="s">
        <v>649</v>
      </c>
      <c r="C2347" t="s">
        <v>188</v>
      </c>
      <c r="D2347">
        <v>27</v>
      </c>
      <c r="E2347" t="s">
        <v>114</v>
      </c>
      <c r="F2347" t="s">
        <v>53</v>
      </c>
      <c r="G2347" t="s">
        <v>66</v>
      </c>
      <c r="H2347">
        <v>32819</v>
      </c>
      <c r="I2347">
        <v>1</v>
      </c>
      <c r="J2347">
        <v>1</v>
      </c>
      <c r="K2347">
        <v>1</v>
      </c>
      <c r="L2347">
        <v>0</v>
      </c>
      <c r="M2347" t="s">
        <v>36</v>
      </c>
      <c r="N2347" t="s">
        <v>36</v>
      </c>
      <c r="O2347" t="s">
        <v>36</v>
      </c>
      <c r="P2347" t="s">
        <v>442</v>
      </c>
      <c r="Q2347" t="s">
        <v>36</v>
      </c>
      <c r="R2347" t="s">
        <v>36</v>
      </c>
      <c r="S2347" t="s">
        <v>36</v>
      </c>
      <c r="T2347" t="s">
        <v>36</v>
      </c>
      <c r="U2347">
        <v>1</v>
      </c>
      <c r="V2347">
        <v>0</v>
      </c>
      <c r="W2347">
        <v>1</v>
      </c>
      <c r="X2347">
        <v>0</v>
      </c>
      <c r="Y2347">
        <v>0</v>
      </c>
      <c r="Z2347">
        <v>1</v>
      </c>
      <c r="AA2347">
        <v>1</v>
      </c>
      <c r="AB2347">
        <v>1</v>
      </c>
      <c r="AC2347">
        <v>0</v>
      </c>
      <c r="AD2347">
        <v>1</v>
      </c>
      <c r="AE2347">
        <v>0</v>
      </c>
      <c r="AF2347">
        <v>0</v>
      </c>
      <c r="AG2347">
        <v>0</v>
      </c>
    </row>
    <row r="2348" spans="1:33" x14ac:dyDescent="0.2">
      <c r="A2348">
        <v>2347</v>
      </c>
      <c r="B2348" t="s">
        <v>649</v>
      </c>
      <c r="C2348" t="s">
        <v>188</v>
      </c>
      <c r="D2348">
        <v>27</v>
      </c>
      <c r="E2348" t="s">
        <v>114</v>
      </c>
      <c r="F2348" t="s">
        <v>41</v>
      </c>
      <c r="G2348" t="s">
        <v>55</v>
      </c>
      <c r="H2348">
        <v>24617</v>
      </c>
      <c r="I2348">
        <v>0</v>
      </c>
      <c r="J2348">
        <v>0</v>
      </c>
      <c r="K2348">
        <v>1</v>
      </c>
      <c r="L2348">
        <v>0</v>
      </c>
      <c r="M2348" t="s">
        <v>85</v>
      </c>
      <c r="N2348" t="s">
        <v>57</v>
      </c>
      <c r="O2348" t="s">
        <v>84</v>
      </c>
      <c r="P2348" t="s">
        <v>442</v>
      </c>
      <c r="Q2348" t="s">
        <v>65</v>
      </c>
      <c r="R2348" t="s">
        <v>48</v>
      </c>
      <c r="S2348" t="s">
        <v>46</v>
      </c>
      <c r="T2348">
        <v>0</v>
      </c>
      <c r="U2348">
        <v>1</v>
      </c>
      <c r="V2348">
        <v>1</v>
      </c>
      <c r="W2348">
        <v>0</v>
      </c>
      <c r="X2348">
        <v>1</v>
      </c>
      <c r="Y2348">
        <v>0</v>
      </c>
      <c r="Z2348">
        <v>1</v>
      </c>
      <c r="AA2348">
        <v>0</v>
      </c>
      <c r="AB2348">
        <v>0</v>
      </c>
      <c r="AC2348">
        <v>0</v>
      </c>
      <c r="AD2348">
        <v>0</v>
      </c>
      <c r="AE2348">
        <v>1</v>
      </c>
      <c r="AF2348">
        <v>0</v>
      </c>
      <c r="AG2348">
        <v>0</v>
      </c>
    </row>
    <row r="2349" spans="1:33" x14ac:dyDescent="0.2">
      <c r="A2349">
        <v>2348</v>
      </c>
      <c r="B2349" t="s">
        <v>649</v>
      </c>
      <c r="C2349" t="s">
        <v>188</v>
      </c>
      <c r="D2349">
        <v>27</v>
      </c>
      <c r="E2349" t="s">
        <v>114</v>
      </c>
      <c r="F2349" t="s">
        <v>41</v>
      </c>
      <c r="G2349" t="s">
        <v>67</v>
      </c>
      <c r="H2349">
        <v>9025</v>
      </c>
      <c r="I2349">
        <v>0</v>
      </c>
      <c r="J2349">
        <v>0</v>
      </c>
      <c r="K2349">
        <v>1</v>
      </c>
      <c r="L2349">
        <v>0</v>
      </c>
      <c r="M2349" t="s">
        <v>86</v>
      </c>
      <c r="N2349" t="s">
        <v>69</v>
      </c>
      <c r="O2349" t="s">
        <v>103</v>
      </c>
      <c r="P2349" t="s">
        <v>442</v>
      </c>
      <c r="Q2349" t="s">
        <v>46</v>
      </c>
      <c r="R2349" t="s">
        <v>48</v>
      </c>
      <c r="S2349" t="s">
        <v>60</v>
      </c>
      <c r="T2349">
        <v>1</v>
      </c>
      <c r="U2349">
        <v>0</v>
      </c>
      <c r="V2349">
        <v>1</v>
      </c>
      <c r="W2349">
        <v>0</v>
      </c>
      <c r="X2349">
        <v>1</v>
      </c>
      <c r="Y2349">
        <v>0</v>
      </c>
      <c r="Z2349">
        <v>1</v>
      </c>
      <c r="AA2349">
        <v>1</v>
      </c>
      <c r="AB2349">
        <v>0</v>
      </c>
      <c r="AC2349">
        <v>0</v>
      </c>
      <c r="AD2349">
        <v>0</v>
      </c>
      <c r="AE2349">
        <v>0</v>
      </c>
      <c r="AF2349">
        <v>0</v>
      </c>
      <c r="AG2349">
        <v>0</v>
      </c>
    </row>
    <row r="2350" spans="1:33" hidden="1" x14ac:dyDescent="0.2">
      <c r="A2350">
        <v>2349</v>
      </c>
      <c r="B2350" t="s">
        <v>649</v>
      </c>
      <c r="C2350" t="s">
        <v>188</v>
      </c>
      <c r="D2350">
        <v>27</v>
      </c>
      <c r="E2350" t="s">
        <v>114</v>
      </c>
      <c r="F2350" t="s">
        <v>53</v>
      </c>
      <c r="G2350" t="s">
        <v>76</v>
      </c>
      <c r="H2350">
        <v>11657</v>
      </c>
      <c r="I2350">
        <v>1</v>
      </c>
      <c r="J2350">
        <v>1</v>
      </c>
      <c r="K2350">
        <v>1</v>
      </c>
      <c r="L2350">
        <v>0</v>
      </c>
      <c r="M2350" t="s">
        <v>36</v>
      </c>
      <c r="N2350" t="s">
        <v>36</v>
      </c>
      <c r="O2350" t="s">
        <v>36</v>
      </c>
      <c r="P2350" t="s">
        <v>442</v>
      </c>
      <c r="Q2350" t="s">
        <v>36</v>
      </c>
      <c r="R2350" t="s">
        <v>36</v>
      </c>
      <c r="S2350" t="s">
        <v>36</v>
      </c>
      <c r="T2350" t="s">
        <v>36</v>
      </c>
      <c r="U2350">
        <v>0</v>
      </c>
      <c r="V2350">
        <v>1</v>
      </c>
      <c r="W2350">
        <v>0</v>
      </c>
      <c r="X2350">
        <v>1</v>
      </c>
      <c r="Y2350">
        <v>0</v>
      </c>
      <c r="Z2350">
        <v>1</v>
      </c>
      <c r="AA2350">
        <v>1</v>
      </c>
      <c r="AB2350">
        <v>0</v>
      </c>
      <c r="AC2350">
        <v>0</v>
      </c>
      <c r="AD2350">
        <v>0</v>
      </c>
      <c r="AE2350">
        <v>0</v>
      </c>
      <c r="AF2350">
        <v>0</v>
      </c>
      <c r="AG2350">
        <v>0</v>
      </c>
    </row>
    <row r="2351" spans="1:33" x14ac:dyDescent="0.2">
      <c r="A2351">
        <v>2350</v>
      </c>
      <c r="B2351" t="s">
        <v>649</v>
      </c>
      <c r="C2351" t="s">
        <v>188</v>
      </c>
      <c r="D2351">
        <v>27</v>
      </c>
      <c r="E2351" t="s">
        <v>114</v>
      </c>
      <c r="F2351" t="s">
        <v>41</v>
      </c>
      <c r="G2351" t="s">
        <v>61</v>
      </c>
      <c r="H2351">
        <v>7880</v>
      </c>
      <c r="I2351">
        <v>1</v>
      </c>
      <c r="J2351">
        <v>1</v>
      </c>
      <c r="K2351">
        <v>1</v>
      </c>
      <c r="L2351">
        <v>0</v>
      </c>
      <c r="M2351" t="s">
        <v>87</v>
      </c>
      <c r="N2351" t="s">
        <v>63</v>
      </c>
      <c r="O2351" t="s">
        <v>64</v>
      </c>
      <c r="P2351" t="s">
        <v>442</v>
      </c>
      <c r="Q2351" t="s">
        <v>47</v>
      </c>
      <c r="R2351" t="s">
        <v>46</v>
      </c>
      <c r="S2351" t="s">
        <v>48</v>
      </c>
      <c r="T2351">
        <v>0</v>
      </c>
      <c r="U2351">
        <v>0</v>
      </c>
      <c r="V2351">
        <v>1</v>
      </c>
      <c r="W2351">
        <v>1</v>
      </c>
      <c r="X2351">
        <v>1</v>
      </c>
      <c r="Y2351">
        <v>0</v>
      </c>
      <c r="Z2351">
        <v>1</v>
      </c>
      <c r="AA2351">
        <v>0</v>
      </c>
      <c r="AB2351">
        <v>0</v>
      </c>
      <c r="AC2351">
        <v>1</v>
      </c>
      <c r="AD2351">
        <v>1</v>
      </c>
      <c r="AE2351">
        <v>1</v>
      </c>
      <c r="AF2351">
        <v>0</v>
      </c>
      <c r="AG2351">
        <v>0</v>
      </c>
    </row>
    <row r="2352" spans="1:33" hidden="1" x14ac:dyDescent="0.2">
      <c r="A2352">
        <v>2351</v>
      </c>
      <c r="B2352" t="s">
        <v>649</v>
      </c>
      <c r="C2352" t="s">
        <v>188</v>
      </c>
      <c r="D2352">
        <v>27</v>
      </c>
      <c r="E2352" t="s">
        <v>114</v>
      </c>
      <c r="F2352" t="s">
        <v>53</v>
      </c>
      <c r="G2352" t="s">
        <v>71</v>
      </c>
      <c r="H2352">
        <v>5871</v>
      </c>
      <c r="I2352">
        <v>1</v>
      </c>
      <c r="J2352">
        <v>1</v>
      </c>
      <c r="K2352">
        <v>1</v>
      </c>
      <c r="L2352">
        <v>0</v>
      </c>
      <c r="M2352" t="s">
        <v>36</v>
      </c>
      <c r="N2352" t="s">
        <v>36</v>
      </c>
      <c r="O2352" t="s">
        <v>36</v>
      </c>
      <c r="P2352" t="s">
        <v>442</v>
      </c>
      <c r="Q2352" t="s">
        <v>36</v>
      </c>
      <c r="R2352" t="s">
        <v>36</v>
      </c>
      <c r="S2352" t="s">
        <v>36</v>
      </c>
      <c r="T2352" t="s">
        <v>36</v>
      </c>
      <c r="U2352">
        <v>0</v>
      </c>
      <c r="V2352">
        <v>1</v>
      </c>
      <c r="W2352">
        <v>1</v>
      </c>
      <c r="X2352">
        <v>1</v>
      </c>
      <c r="Y2352">
        <v>0</v>
      </c>
      <c r="Z2352">
        <v>1</v>
      </c>
      <c r="AA2352">
        <v>0</v>
      </c>
      <c r="AB2352">
        <v>0</v>
      </c>
      <c r="AC2352">
        <v>1</v>
      </c>
      <c r="AD2352">
        <v>1</v>
      </c>
      <c r="AE2352">
        <v>1</v>
      </c>
      <c r="AF2352">
        <v>0</v>
      </c>
      <c r="AG2352">
        <v>0</v>
      </c>
    </row>
    <row r="2353" spans="1:33" hidden="1" x14ac:dyDescent="0.2">
      <c r="A2353">
        <v>2352</v>
      </c>
      <c r="B2353" t="s">
        <v>649</v>
      </c>
      <c r="C2353" t="s">
        <v>188</v>
      </c>
      <c r="D2353">
        <v>27</v>
      </c>
      <c r="E2353" t="s">
        <v>114</v>
      </c>
      <c r="F2353" t="s">
        <v>77</v>
      </c>
      <c r="G2353" t="s">
        <v>36</v>
      </c>
      <c r="H2353">
        <v>134395</v>
      </c>
      <c r="I2353" t="s">
        <v>624</v>
      </c>
      <c r="J2353" t="s">
        <v>650</v>
      </c>
      <c r="K2353" t="s">
        <v>651</v>
      </c>
      <c r="L2353" t="s">
        <v>36</v>
      </c>
      <c r="M2353" t="s">
        <v>36</v>
      </c>
      <c r="N2353" t="s">
        <v>36</v>
      </c>
      <c r="O2353" t="s">
        <v>36</v>
      </c>
      <c r="P2353" t="s">
        <v>442</v>
      </c>
      <c r="Q2353" t="s">
        <v>36</v>
      </c>
      <c r="R2353" t="s">
        <v>36</v>
      </c>
      <c r="S2353" t="s">
        <v>36</v>
      </c>
      <c r="T2353" t="s">
        <v>36</v>
      </c>
      <c r="U2353" t="s">
        <v>36</v>
      </c>
      <c r="V2353" t="s">
        <v>36</v>
      </c>
      <c r="W2353" t="s">
        <v>36</v>
      </c>
      <c r="X2353" t="s">
        <v>36</v>
      </c>
      <c r="Y2353" t="s">
        <v>36</v>
      </c>
      <c r="Z2353" t="s">
        <v>36</v>
      </c>
      <c r="AA2353" t="s">
        <v>36</v>
      </c>
      <c r="AB2353" t="s">
        <v>36</v>
      </c>
      <c r="AC2353" t="s">
        <v>36</v>
      </c>
      <c r="AD2353" t="s">
        <v>36</v>
      </c>
      <c r="AE2353" t="s">
        <v>36</v>
      </c>
      <c r="AF2353" t="s">
        <v>36</v>
      </c>
      <c r="AG2353" t="s">
        <v>36</v>
      </c>
    </row>
    <row r="2354" spans="1:33" hidden="1" x14ac:dyDescent="0.2">
      <c r="A2354">
        <v>2353</v>
      </c>
      <c r="B2354" t="s">
        <v>652</v>
      </c>
      <c r="C2354" t="s">
        <v>108</v>
      </c>
      <c r="D2354">
        <v>43</v>
      </c>
      <c r="E2354" t="s">
        <v>114</v>
      </c>
      <c r="F2354" t="s">
        <v>35</v>
      </c>
      <c r="G2354" t="s">
        <v>36</v>
      </c>
      <c r="H2354">
        <v>90655</v>
      </c>
      <c r="I2354" t="s">
        <v>36</v>
      </c>
      <c r="J2354" t="s">
        <v>36</v>
      </c>
      <c r="K2354" t="s">
        <v>36</v>
      </c>
      <c r="L2354" t="s">
        <v>36</v>
      </c>
      <c r="M2354" t="s">
        <v>36</v>
      </c>
      <c r="N2354" t="s">
        <v>36</v>
      </c>
      <c r="O2354" t="s">
        <v>36</v>
      </c>
      <c r="P2354" t="s">
        <v>442</v>
      </c>
      <c r="Q2354" t="s">
        <v>36</v>
      </c>
      <c r="R2354" t="s">
        <v>36</v>
      </c>
      <c r="S2354" t="s">
        <v>36</v>
      </c>
      <c r="T2354" t="s">
        <v>36</v>
      </c>
      <c r="U2354" t="s">
        <v>36</v>
      </c>
      <c r="V2354" t="s">
        <v>36</v>
      </c>
      <c r="W2354" t="s">
        <v>36</v>
      </c>
      <c r="X2354" t="s">
        <v>36</v>
      </c>
      <c r="Y2354" t="s">
        <v>36</v>
      </c>
      <c r="Z2354" t="s">
        <v>36</v>
      </c>
      <c r="AA2354" t="s">
        <v>36</v>
      </c>
      <c r="AB2354" t="s">
        <v>36</v>
      </c>
      <c r="AC2354" t="s">
        <v>36</v>
      </c>
      <c r="AD2354" t="s">
        <v>36</v>
      </c>
      <c r="AE2354" t="s">
        <v>36</v>
      </c>
      <c r="AF2354" t="s">
        <v>36</v>
      </c>
      <c r="AG2354" t="s">
        <v>36</v>
      </c>
    </row>
    <row r="2355" spans="1:33" hidden="1" x14ac:dyDescent="0.2">
      <c r="A2355">
        <v>2354</v>
      </c>
      <c r="B2355" t="s">
        <v>652</v>
      </c>
      <c r="C2355" t="s">
        <v>108</v>
      </c>
      <c r="D2355">
        <v>43</v>
      </c>
      <c r="E2355" t="s">
        <v>114</v>
      </c>
      <c r="F2355" t="s">
        <v>38</v>
      </c>
      <c r="G2355" t="s">
        <v>39</v>
      </c>
      <c r="H2355">
        <v>79174</v>
      </c>
      <c r="I2355">
        <v>0</v>
      </c>
      <c r="J2355">
        <v>0</v>
      </c>
      <c r="K2355">
        <v>0</v>
      </c>
      <c r="L2355">
        <v>1</v>
      </c>
      <c r="M2355" t="s">
        <v>36</v>
      </c>
      <c r="N2355" t="s">
        <v>36</v>
      </c>
      <c r="O2355" t="s">
        <v>36</v>
      </c>
      <c r="P2355" t="s">
        <v>442</v>
      </c>
      <c r="Q2355" t="s">
        <v>36</v>
      </c>
      <c r="R2355" t="s">
        <v>36</v>
      </c>
      <c r="S2355" t="s">
        <v>36</v>
      </c>
      <c r="T2355" t="s">
        <v>36</v>
      </c>
      <c r="U2355" t="s">
        <v>36</v>
      </c>
      <c r="V2355" t="s">
        <v>36</v>
      </c>
      <c r="W2355" t="s">
        <v>36</v>
      </c>
      <c r="X2355" t="s">
        <v>36</v>
      </c>
      <c r="Y2355" t="s">
        <v>36</v>
      </c>
      <c r="Z2355" t="s">
        <v>36</v>
      </c>
      <c r="AA2355" t="s">
        <v>36</v>
      </c>
      <c r="AB2355" t="s">
        <v>36</v>
      </c>
      <c r="AC2355" t="s">
        <v>36</v>
      </c>
      <c r="AD2355" t="s">
        <v>36</v>
      </c>
      <c r="AE2355" t="s">
        <v>36</v>
      </c>
      <c r="AF2355" t="s">
        <v>36</v>
      </c>
      <c r="AG2355" t="s">
        <v>36</v>
      </c>
    </row>
    <row r="2356" spans="1:33" hidden="1" x14ac:dyDescent="0.2">
      <c r="A2356">
        <v>2355</v>
      </c>
      <c r="B2356" t="s">
        <v>652</v>
      </c>
      <c r="C2356" t="s">
        <v>108</v>
      </c>
      <c r="D2356">
        <v>43</v>
      </c>
      <c r="E2356" t="s">
        <v>114</v>
      </c>
      <c r="F2356" t="s">
        <v>38</v>
      </c>
      <c r="G2356" t="s">
        <v>40</v>
      </c>
      <c r="H2356">
        <v>60112</v>
      </c>
      <c r="I2356">
        <v>0</v>
      </c>
      <c r="J2356">
        <v>1</v>
      </c>
      <c r="K2356">
        <v>1</v>
      </c>
      <c r="L2356">
        <v>0</v>
      </c>
      <c r="M2356" t="s">
        <v>36</v>
      </c>
      <c r="N2356" t="s">
        <v>36</v>
      </c>
      <c r="O2356" t="s">
        <v>36</v>
      </c>
      <c r="P2356" t="s">
        <v>442</v>
      </c>
      <c r="Q2356" t="s">
        <v>36</v>
      </c>
      <c r="R2356" t="s">
        <v>36</v>
      </c>
      <c r="S2356" t="s">
        <v>36</v>
      </c>
      <c r="T2356" t="s">
        <v>36</v>
      </c>
      <c r="U2356" t="s">
        <v>36</v>
      </c>
      <c r="V2356" t="s">
        <v>36</v>
      </c>
      <c r="W2356" t="s">
        <v>36</v>
      </c>
      <c r="X2356" t="s">
        <v>36</v>
      </c>
      <c r="Y2356" t="s">
        <v>36</v>
      </c>
      <c r="Z2356" t="s">
        <v>36</v>
      </c>
      <c r="AA2356" t="s">
        <v>36</v>
      </c>
      <c r="AB2356" t="s">
        <v>36</v>
      </c>
      <c r="AC2356" t="s">
        <v>36</v>
      </c>
      <c r="AD2356" t="s">
        <v>36</v>
      </c>
      <c r="AE2356" t="s">
        <v>36</v>
      </c>
      <c r="AF2356" t="s">
        <v>36</v>
      </c>
      <c r="AG2356" t="s">
        <v>36</v>
      </c>
    </row>
    <row r="2357" spans="1:33" x14ac:dyDescent="0.2">
      <c r="A2357">
        <v>2356</v>
      </c>
      <c r="B2357" t="s">
        <v>652</v>
      </c>
      <c r="C2357" t="s">
        <v>108</v>
      </c>
      <c r="D2357">
        <v>43</v>
      </c>
      <c r="E2357" t="s">
        <v>114</v>
      </c>
      <c r="F2357" t="s">
        <v>41</v>
      </c>
      <c r="G2357" t="s">
        <v>42</v>
      </c>
      <c r="H2357">
        <v>115216</v>
      </c>
      <c r="I2357">
        <v>0</v>
      </c>
      <c r="J2357">
        <v>1</v>
      </c>
      <c r="K2357">
        <v>1</v>
      </c>
      <c r="L2357">
        <v>0</v>
      </c>
      <c r="M2357" t="s">
        <v>43</v>
      </c>
      <c r="N2357" t="s">
        <v>82</v>
      </c>
      <c r="O2357" t="s">
        <v>116</v>
      </c>
      <c r="P2357" t="s">
        <v>442</v>
      </c>
      <c r="Q2357" t="s">
        <v>46</v>
      </c>
      <c r="R2357" t="s">
        <v>65</v>
      </c>
      <c r="S2357" t="s">
        <v>60</v>
      </c>
      <c r="T2357">
        <v>1</v>
      </c>
      <c r="U2357">
        <v>1</v>
      </c>
      <c r="V2357">
        <v>0</v>
      </c>
      <c r="W2357">
        <v>0</v>
      </c>
      <c r="X2357">
        <v>1</v>
      </c>
      <c r="Y2357">
        <v>0</v>
      </c>
      <c r="Z2357">
        <v>1</v>
      </c>
      <c r="AA2357">
        <v>1</v>
      </c>
      <c r="AB2357">
        <v>1</v>
      </c>
      <c r="AC2357">
        <v>0</v>
      </c>
      <c r="AD2357">
        <v>0</v>
      </c>
      <c r="AE2357">
        <v>0</v>
      </c>
      <c r="AF2357">
        <v>0</v>
      </c>
      <c r="AG2357">
        <v>0</v>
      </c>
    </row>
    <row r="2358" spans="1:33" x14ac:dyDescent="0.2">
      <c r="A2358">
        <v>2357</v>
      </c>
      <c r="B2358" t="s">
        <v>652</v>
      </c>
      <c r="C2358" t="s">
        <v>108</v>
      </c>
      <c r="D2358">
        <v>43</v>
      </c>
      <c r="E2358" t="s">
        <v>114</v>
      </c>
      <c r="F2358" t="s">
        <v>41</v>
      </c>
      <c r="G2358" t="s">
        <v>72</v>
      </c>
      <c r="H2358">
        <v>837879</v>
      </c>
      <c r="I2358">
        <v>0</v>
      </c>
      <c r="J2358">
        <v>0</v>
      </c>
      <c r="K2358">
        <v>0</v>
      </c>
      <c r="L2358">
        <v>1</v>
      </c>
      <c r="M2358" t="s">
        <v>115</v>
      </c>
      <c r="N2358" t="s">
        <v>73</v>
      </c>
      <c r="O2358" t="s">
        <v>104</v>
      </c>
      <c r="P2358" t="s">
        <v>442</v>
      </c>
      <c r="Q2358" t="s">
        <v>65</v>
      </c>
      <c r="R2358" t="s">
        <v>48</v>
      </c>
      <c r="S2358" t="s">
        <v>60</v>
      </c>
      <c r="T2358">
        <v>1</v>
      </c>
      <c r="U2358">
        <v>1</v>
      </c>
      <c r="V2358">
        <v>1</v>
      </c>
      <c r="W2358">
        <v>0</v>
      </c>
      <c r="X2358">
        <v>0</v>
      </c>
      <c r="Y2358">
        <v>0</v>
      </c>
      <c r="Z2358">
        <v>1</v>
      </c>
      <c r="AA2358">
        <v>0</v>
      </c>
      <c r="AB2358">
        <v>0</v>
      </c>
      <c r="AC2358">
        <v>0</v>
      </c>
      <c r="AD2358">
        <v>0</v>
      </c>
      <c r="AE2358">
        <v>0</v>
      </c>
      <c r="AF2358">
        <v>0</v>
      </c>
      <c r="AG2358">
        <v>1</v>
      </c>
    </row>
    <row r="2359" spans="1:33" hidden="1" x14ac:dyDescent="0.2">
      <c r="A2359">
        <v>2358</v>
      </c>
      <c r="B2359" t="s">
        <v>652</v>
      </c>
      <c r="C2359" t="s">
        <v>108</v>
      </c>
      <c r="D2359">
        <v>43</v>
      </c>
      <c r="E2359" t="s">
        <v>114</v>
      </c>
      <c r="F2359" t="s">
        <v>53</v>
      </c>
      <c r="G2359" t="s">
        <v>54</v>
      </c>
      <c r="H2359">
        <v>86583</v>
      </c>
      <c r="I2359">
        <v>0</v>
      </c>
      <c r="J2359">
        <v>0</v>
      </c>
      <c r="K2359">
        <v>1</v>
      </c>
      <c r="L2359">
        <v>0</v>
      </c>
      <c r="M2359" t="s">
        <v>36</v>
      </c>
      <c r="N2359" t="s">
        <v>36</v>
      </c>
      <c r="O2359" t="s">
        <v>36</v>
      </c>
      <c r="P2359" t="s">
        <v>442</v>
      </c>
      <c r="Q2359" t="s">
        <v>36</v>
      </c>
      <c r="R2359" t="s">
        <v>36</v>
      </c>
      <c r="S2359" t="s">
        <v>36</v>
      </c>
      <c r="T2359" t="s">
        <v>36</v>
      </c>
      <c r="U2359">
        <v>1</v>
      </c>
      <c r="V2359">
        <v>1</v>
      </c>
      <c r="W2359">
        <v>0</v>
      </c>
      <c r="X2359">
        <v>0</v>
      </c>
      <c r="Y2359">
        <v>0</v>
      </c>
      <c r="Z2359">
        <v>1</v>
      </c>
      <c r="AA2359">
        <v>0</v>
      </c>
      <c r="AB2359">
        <v>0</v>
      </c>
      <c r="AC2359">
        <v>0</v>
      </c>
      <c r="AD2359">
        <v>0</v>
      </c>
      <c r="AE2359">
        <v>0</v>
      </c>
      <c r="AF2359">
        <v>0</v>
      </c>
      <c r="AG2359">
        <v>1</v>
      </c>
    </row>
    <row r="2360" spans="1:33" x14ac:dyDescent="0.2">
      <c r="A2360">
        <v>2359</v>
      </c>
      <c r="B2360" t="s">
        <v>652</v>
      </c>
      <c r="C2360" t="s">
        <v>108</v>
      </c>
      <c r="D2360">
        <v>43</v>
      </c>
      <c r="E2360" t="s">
        <v>114</v>
      </c>
      <c r="F2360" t="s">
        <v>41</v>
      </c>
      <c r="G2360" t="s">
        <v>55</v>
      </c>
      <c r="H2360">
        <v>59441</v>
      </c>
      <c r="I2360">
        <v>0</v>
      </c>
      <c r="J2360">
        <v>0</v>
      </c>
      <c r="K2360">
        <v>1</v>
      </c>
      <c r="L2360">
        <v>0</v>
      </c>
      <c r="M2360" t="s">
        <v>56</v>
      </c>
      <c r="N2360" t="s">
        <v>84</v>
      </c>
      <c r="O2360" t="s">
        <v>85</v>
      </c>
      <c r="P2360" t="s">
        <v>442</v>
      </c>
      <c r="Q2360" t="s">
        <v>59</v>
      </c>
      <c r="R2360" t="s">
        <v>46</v>
      </c>
      <c r="S2360" t="s">
        <v>65</v>
      </c>
      <c r="T2360">
        <v>0</v>
      </c>
      <c r="U2360">
        <v>1</v>
      </c>
      <c r="V2360">
        <v>0</v>
      </c>
      <c r="W2360">
        <v>0</v>
      </c>
      <c r="X2360">
        <v>1</v>
      </c>
      <c r="Y2360">
        <v>0</v>
      </c>
      <c r="Z2360">
        <v>1</v>
      </c>
      <c r="AA2360">
        <v>0</v>
      </c>
      <c r="AB2360">
        <v>1</v>
      </c>
      <c r="AC2360">
        <v>0</v>
      </c>
      <c r="AD2360">
        <v>0</v>
      </c>
      <c r="AE2360">
        <v>0</v>
      </c>
      <c r="AF2360">
        <v>0</v>
      </c>
      <c r="AG2360">
        <v>0</v>
      </c>
    </row>
    <row r="2361" spans="1:33" x14ac:dyDescent="0.2">
      <c r="A2361">
        <v>2360</v>
      </c>
      <c r="B2361" t="s">
        <v>652</v>
      </c>
      <c r="C2361" t="s">
        <v>108</v>
      </c>
      <c r="D2361">
        <v>43</v>
      </c>
      <c r="E2361" t="s">
        <v>114</v>
      </c>
      <c r="F2361" t="s">
        <v>41</v>
      </c>
      <c r="G2361" t="s">
        <v>67</v>
      </c>
      <c r="H2361">
        <v>56031</v>
      </c>
      <c r="I2361">
        <v>1</v>
      </c>
      <c r="J2361">
        <v>0</v>
      </c>
      <c r="K2361">
        <v>0</v>
      </c>
      <c r="L2361">
        <v>0</v>
      </c>
      <c r="M2361" t="s">
        <v>70</v>
      </c>
      <c r="N2361" t="s">
        <v>86</v>
      </c>
      <c r="O2361" t="s">
        <v>109</v>
      </c>
      <c r="P2361" t="s">
        <v>442</v>
      </c>
      <c r="Q2361" t="s">
        <v>47</v>
      </c>
      <c r="R2361" t="s">
        <v>46</v>
      </c>
      <c r="S2361" t="s">
        <v>59</v>
      </c>
      <c r="T2361">
        <v>0</v>
      </c>
      <c r="U2361">
        <v>0</v>
      </c>
      <c r="V2361">
        <v>0</v>
      </c>
      <c r="W2361">
        <v>1</v>
      </c>
      <c r="X2361">
        <v>1</v>
      </c>
      <c r="Y2361">
        <v>0</v>
      </c>
      <c r="Z2361">
        <v>1</v>
      </c>
      <c r="AA2361">
        <v>0</v>
      </c>
      <c r="AB2361">
        <v>0</v>
      </c>
      <c r="AC2361">
        <v>0</v>
      </c>
      <c r="AD2361">
        <v>1</v>
      </c>
      <c r="AE2361">
        <v>0</v>
      </c>
      <c r="AF2361">
        <v>0</v>
      </c>
      <c r="AG2361">
        <v>0</v>
      </c>
    </row>
    <row r="2362" spans="1:33" hidden="1" x14ac:dyDescent="0.2">
      <c r="A2362">
        <v>2361</v>
      </c>
      <c r="B2362" t="s">
        <v>652</v>
      </c>
      <c r="C2362" t="s">
        <v>108</v>
      </c>
      <c r="D2362">
        <v>43</v>
      </c>
      <c r="E2362" t="s">
        <v>114</v>
      </c>
      <c r="F2362" t="s">
        <v>53</v>
      </c>
      <c r="G2362" t="s">
        <v>71</v>
      </c>
      <c r="H2362">
        <v>47803</v>
      </c>
      <c r="I2362">
        <v>0</v>
      </c>
      <c r="J2362">
        <v>0</v>
      </c>
      <c r="K2362">
        <v>0</v>
      </c>
      <c r="L2362">
        <v>1</v>
      </c>
      <c r="M2362" t="s">
        <v>36</v>
      </c>
      <c r="N2362" t="s">
        <v>36</v>
      </c>
      <c r="O2362" t="s">
        <v>36</v>
      </c>
      <c r="P2362" t="s">
        <v>442</v>
      </c>
      <c r="Q2362" t="s">
        <v>36</v>
      </c>
      <c r="R2362" t="s">
        <v>36</v>
      </c>
      <c r="S2362" t="s">
        <v>36</v>
      </c>
      <c r="T2362" t="s">
        <v>36</v>
      </c>
      <c r="U2362">
        <v>0</v>
      </c>
      <c r="V2362">
        <v>0</v>
      </c>
      <c r="W2362">
        <v>1</v>
      </c>
      <c r="X2362">
        <v>1</v>
      </c>
      <c r="Y2362">
        <v>0</v>
      </c>
      <c r="Z2362">
        <v>1</v>
      </c>
      <c r="AA2362">
        <v>0</v>
      </c>
      <c r="AB2362">
        <v>0</v>
      </c>
      <c r="AC2362">
        <v>0</v>
      </c>
      <c r="AD2362">
        <v>1</v>
      </c>
      <c r="AE2362">
        <v>0</v>
      </c>
      <c r="AF2362">
        <v>0</v>
      </c>
      <c r="AG2362">
        <v>0</v>
      </c>
    </row>
    <row r="2363" spans="1:33" x14ac:dyDescent="0.2">
      <c r="A2363">
        <v>2362</v>
      </c>
      <c r="B2363" t="s">
        <v>652</v>
      </c>
      <c r="C2363" t="s">
        <v>108</v>
      </c>
      <c r="D2363">
        <v>43</v>
      </c>
      <c r="E2363" t="s">
        <v>114</v>
      </c>
      <c r="F2363" t="s">
        <v>41</v>
      </c>
      <c r="G2363" t="s">
        <v>49</v>
      </c>
      <c r="H2363">
        <v>48358</v>
      </c>
      <c r="I2363">
        <v>0</v>
      </c>
      <c r="J2363">
        <v>0</v>
      </c>
      <c r="K2363">
        <v>1</v>
      </c>
      <c r="L2363">
        <v>0</v>
      </c>
      <c r="M2363" t="s">
        <v>83</v>
      </c>
      <c r="N2363" t="s">
        <v>50</v>
      </c>
      <c r="O2363" t="s">
        <v>95</v>
      </c>
      <c r="P2363" t="s">
        <v>442</v>
      </c>
      <c r="Q2363" t="s">
        <v>59</v>
      </c>
      <c r="R2363" t="s">
        <v>48</v>
      </c>
      <c r="S2363" t="s">
        <v>60</v>
      </c>
      <c r="T2363">
        <v>1</v>
      </c>
      <c r="U2363">
        <v>0</v>
      </c>
      <c r="V2363">
        <v>1</v>
      </c>
      <c r="W2363">
        <v>0</v>
      </c>
      <c r="X2363">
        <v>0</v>
      </c>
      <c r="Y2363">
        <v>0</v>
      </c>
      <c r="Z2363">
        <v>1</v>
      </c>
      <c r="AA2363">
        <v>1</v>
      </c>
      <c r="AB2363">
        <v>0</v>
      </c>
      <c r="AC2363">
        <v>0</v>
      </c>
      <c r="AD2363">
        <v>0</v>
      </c>
      <c r="AE2363">
        <v>0</v>
      </c>
      <c r="AF2363">
        <v>0</v>
      </c>
      <c r="AG2363">
        <v>0</v>
      </c>
    </row>
    <row r="2364" spans="1:33" hidden="1" x14ac:dyDescent="0.2">
      <c r="A2364">
        <v>2363</v>
      </c>
      <c r="B2364" t="s">
        <v>652</v>
      </c>
      <c r="C2364" t="s">
        <v>108</v>
      </c>
      <c r="D2364">
        <v>43</v>
      </c>
      <c r="E2364" t="s">
        <v>114</v>
      </c>
      <c r="F2364" t="s">
        <v>53</v>
      </c>
      <c r="G2364" t="s">
        <v>66</v>
      </c>
      <c r="H2364">
        <v>34991</v>
      </c>
      <c r="I2364">
        <v>1</v>
      </c>
      <c r="J2364">
        <v>0</v>
      </c>
      <c r="K2364">
        <v>0</v>
      </c>
      <c r="L2364">
        <v>0</v>
      </c>
      <c r="M2364" t="s">
        <v>36</v>
      </c>
      <c r="N2364" t="s">
        <v>36</v>
      </c>
      <c r="O2364" t="s">
        <v>36</v>
      </c>
      <c r="P2364" t="s">
        <v>442</v>
      </c>
      <c r="Q2364" t="s">
        <v>36</v>
      </c>
      <c r="R2364" t="s">
        <v>36</v>
      </c>
      <c r="S2364" t="s">
        <v>36</v>
      </c>
      <c r="T2364" t="s">
        <v>36</v>
      </c>
      <c r="U2364">
        <v>0</v>
      </c>
      <c r="V2364">
        <v>1</v>
      </c>
      <c r="W2364">
        <v>0</v>
      </c>
      <c r="X2364">
        <v>0</v>
      </c>
      <c r="Y2364">
        <v>0</v>
      </c>
      <c r="Z2364">
        <v>1</v>
      </c>
      <c r="AA2364">
        <v>1</v>
      </c>
      <c r="AB2364">
        <v>0</v>
      </c>
      <c r="AC2364">
        <v>0</v>
      </c>
      <c r="AD2364">
        <v>0</v>
      </c>
      <c r="AE2364">
        <v>0</v>
      </c>
      <c r="AF2364">
        <v>0</v>
      </c>
      <c r="AG2364">
        <v>0</v>
      </c>
    </row>
    <row r="2365" spans="1:33" x14ac:dyDescent="0.2">
      <c r="A2365">
        <v>2364</v>
      </c>
      <c r="B2365" t="s">
        <v>652</v>
      </c>
      <c r="C2365" t="s">
        <v>108</v>
      </c>
      <c r="D2365">
        <v>43</v>
      </c>
      <c r="E2365" t="s">
        <v>114</v>
      </c>
      <c r="F2365" t="s">
        <v>41</v>
      </c>
      <c r="G2365" t="s">
        <v>61</v>
      </c>
      <c r="H2365">
        <v>73098</v>
      </c>
      <c r="I2365">
        <v>0</v>
      </c>
      <c r="J2365">
        <v>1</v>
      </c>
      <c r="K2365">
        <v>0</v>
      </c>
      <c r="L2365">
        <v>0</v>
      </c>
      <c r="M2365" t="s">
        <v>62</v>
      </c>
      <c r="N2365" t="s">
        <v>125</v>
      </c>
      <c r="O2365" t="s">
        <v>87</v>
      </c>
      <c r="P2365" t="s">
        <v>442</v>
      </c>
      <c r="Q2365" t="s">
        <v>65</v>
      </c>
      <c r="R2365" t="s">
        <v>60</v>
      </c>
      <c r="S2365" t="s">
        <v>47</v>
      </c>
      <c r="T2365">
        <v>1</v>
      </c>
      <c r="U2365">
        <v>1</v>
      </c>
      <c r="V2365">
        <v>0</v>
      </c>
      <c r="W2365">
        <v>1</v>
      </c>
      <c r="X2365">
        <v>0</v>
      </c>
      <c r="Y2365">
        <v>0</v>
      </c>
      <c r="Z2365">
        <v>1</v>
      </c>
      <c r="AA2365">
        <v>1</v>
      </c>
      <c r="AB2365">
        <v>0</v>
      </c>
      <c r="AC2365">
        <v>0</v>
      </c>
      <c r="AD2365">
        <v>0</v>
      </c>
      <c r="AE2365">
        <v>0</v>
      </c>
      <c r="AF2365">
        <v>0</v>
      </c>
      <c r="AG2365">
        <v>0</v>
      </c>
    </row>
    <row r="2366" spans="1:33" hidden="1" x14ac:dyDescent="0.2">
      <c r="A2366">
        <v>2365</v>
      </c>
      <c r="B2366" t="s">
        <v>652</v>
      </c>
      <c r="C2366" t="s">
        <v>108</v>
      </c>
      <c r="D2366">
        <v>43</v>
      </c>
      <c r="E2366" t="s">
        <v>114</v>
      </c>
      <c r="F2366" t="s">
        <v>53</v>
      </c>
      <c r="G2366" t="s">
        <v>76</v>
      </c>
      <c r="H2366">
        <v>40647</v>
      </c>
      <c r="I2366">
        <v>1</v>
      </c>
      <c r="J2366">
        <v>0</v>
      </c>
      <c r="K2366">
        <v>0</v>
      </c>
      <c r="L2366">
        <v>0</v>
      </c>
      <c r="M2366" t="s">
        <v>36</v>
      </c>
      <c r="N2366" t="s">
        <v>36</v>
      </c>
      <c r="O2366" t="s">
        <v>36</v>
      </c>
      <c r="P2366" t="s">
        <v>442</v>
      </c>
      <c r="Q2366" t="s">
        <v>36</v>
      </c>
      <c r="R2366" t="s">
        <v>36</v>
      </c>
      <c r="S2366" t="s">
        <v>36</v>
      </c>
      <c r="T2366" t="s">
        <v>36</v>
      </c>
      <c r="U2366">
        <v>1</v>
      </c>
      <c r="V2366">
        <v>0</v>
      </c>
      <c r="W2366">
        <v>1</v>
      </c>
      <c r="X2366">
        <v>0</v>
      </c>
      <c r="Y2366">
        <v>0</v>
      </c>
      <c r="Z2366">
        <v>1</v>
      </c>
      <c r="AA2366">
        <v>1</v>
      </c>
      <c r="AB2366">
        <v>0</v>
      </c>
      <c r="AC2366">
        <v>0</v>
      </c>
      <c r="AD2366">
        <v>0</v>
      </c>
      <c r="AE2366">
        <v>0</v>
      </c>
      <c r="AF2366">
        <v>0</v>
      </c>
      <c r="AG2366">
        <v>0</v>
      </c>
    </row>
    <row r="2367" spans="1:33" hidden="1" x14ac:dyDescent="0.2">
      <c r="A2367">
        <v>2366</v>
      </c>
      <c r="B2367" t="s">
        <v>652</v>
      </c>
      <c r="C2367" t="s">
        <v>108</v>
      </c>
      <c r="D2367">
        <v>43</v>
      </c>
      <c r="E2367" t="s">
        <v>114</v>
      </c>
      <c r="F2367" t="s">
        <v>77</v>
      </c>
      <c r="G2367" t="s">
        <v>36</v>
      </c>
      <c r="H2367">
        <v>169151</v>
      </c>
      <c r="I2367" t="s">
        <v>653</v>
      </c>
      <c r="J2367" t="s">
        <v>654</v>
      </c>
      <c r="K2367" t="s">
        <v>655</v>
      </c>
      <c r="L2367" t="s">
        <v>36</v>
      </c>
      <c r="M2367" t="s">
        <v>36</v>
      </c>
      <c r="N2367" t="s">
        <v>36</v>
      </c>
      <c r="O2367" t="s">
        <v>36</v>
      </c>
      <c r="P2367" t="s">
        <v>442</v>
      </c>
      <c r="Q2367" t="s">
        <v>36</v>
      </c>
      <c r="R2367" t="s">
        <v>36</v>
      </c>
      <c r="S2367" t="s">
        <v>36</v>
      </c>
      <c r="T2367" t="s">
        <v>36</v>
      </c>
      <c r="U2367" t="s">
        <v>36</v>
      </c>
      <c r="V2367" t="s">
        <v>36</v>
      </c>
      <c r="W2367" t="s">
        <v>36</v>
      </c>
      <c r="X2367" t="s">
        <v>36</v>
      </c>
      <c r="Y2367" t="s">
        <v>36</v>
      </c>
      <c r="Z2367" t="s">
        <v>36</v>
      </c>
      <c r="AA2367" t="s">
        <v>36</v>
      </c>
      <c r="AB2367" t="s">
        <v>36</v>
      </c>
      <c r="AC2367" t="s">
        <v>36</v>
      </c>
      <c r="AD2367" t="s">
        <v>36</v>
      </c>
      <c r="AE2367" t="s">
        <v>36</v>
      </c>
      <c r="AF2367" t="s">
        <v>36</v>
      </c>
      <c r="AG2367" t="s">
        <v>36</v>
      </c>
    </row>
    <row r="2368" spans="1:33" hidden="1" x14ac:dyDescent="0.2">
      <c r="A2368">
        <v>2367</v>
      </c>
      <c r="B2368" t="s">
        <v>656</v>
      </c>
      <c r="C2368" t="s">
        <v>33</v>
      </c>
      <c r="D2368">
        <v>30</v>
      </c>
      <c r="E2368" t="s">
        <v>114</v>
      </c>
      <c r="F2368" t="s">
        <v>35</v>
      </c>
      <c r="G2368" t="s">
        <v>36</v>
      </c>
      <c r="H2368">
        <v>275518</v>
      </c>
      <c r="I2368" t="s">
        <v>36</v>
      </c>
      <c r="J2368" t="s">
        <v>36</v>
      </c>
      <c r="K2368" t="s">
        <v>36</v>
      </c>
      <c r="L2368" t="s">
        <v>36</v>
      </c>
      <c r="M2368" t="s">
        <v>36</v>
      </c>
      <c r="N2368" t="s">
        <v>36</v>
      </c>
      <c r="O2368" t="s">
        <v>36</v>
      </c>
      <c r="P2368" t="s">
        <v>442</v>
      </c>
      <c r="Q2368" t="s">
        <v>36</v>
      </c>
      <c r="R2368" t="s">
        <v>36</v>
      </c>
      <c r="S2368" t="s">
        <v>36</v>
      </c>
      <c r="T2368" t="s">
        <v>36</v>
      </c>
      <c r="U2368" t="s">
        <v>36</v>
      </c>
      <c r="V2368" t="s">
        <v>36</v>
      </c>
      <c r="W2368" t="s">
        <v>36</v>
      </c>
      <c r="X2368" t="s">
        <v>36</v>
      </c>
      <c r="Y2368" t="s">
        <v>36</v>
      </c>
      <c r="Z2368" t="s">
        <v>36</v>
      </c>
      <c r="AA2368" t="s">
        <v>36</v>
      </c>
      <c r="AB2368" t="s">
        <v>36</v>
      </c>
      <c r="AC2368" t="s">
        <v>36</v>
      </c>
      <c r="AD2368" t="s">
        <v>36</v>
      </c>
      <c r="AE2368" t="s">
        <v>36</v>
      </c>
      <c r="AF2368" t="s">
        <v>36</v>
      </c>
      <c r="AG2368" t="s">
        <v>36</v>
      </c>
    </row>
    <row r="2369" spans="1:33" hidden="1" x14ac:dyDescent="0.2">
      <c r="A2369">
        <v>2368</v>
      </c>
      <c r="B2369" t="s">
        <v>656</v>
      </c>
      <c r="C2369" t="s">
        <v>33</v>
      </c>
      <c r="D2369">
        <v>30</v>
      </c>
      <c r="E2369" t="s">
        <v>114</v>
      </c>
      <c r="F2369" t="s">
        <v>38</v>
      </c>
      <c r="G2369" t="s">
        <v>40</v>
      </c>
      <c r="H2369">
        <v>54449</v>
      </c>
      <c r="I2369">
        <v>0</v>
      </c>
      <c r="J2369">
        <v>0</v>
      </c>
      <c r="K2369">
        <v>1</v>
      </c>
      <c r="L2369">
        <v>0</v>
      </c>
      <c r="M2369" t="s">
        <v>36</v>
      </c>
      <c r="N2369" t="s">
        <v>36</v>
      </c>
      <c r="O2369" t="s">
        <v>36</v>
      </c>
      <c r="P2369" t="s">
        <v>442</v>
      </c>
      <c r="Q2369" t="s">
        <v>36</v>
      </c>
      <c r="R2369" t="s">
        <v>36</v>
      </c>
      <c r="S2369" t="s">
        <v>36</v>
      </c>
      <c r="T2369" t="s">
        <v>36</v>
      </c>
      <c r="U2369" t="s">
        <v>36</v>
      </c>
      <c r="V2369" t="s">
        <v>36</v>
      </c>
      <c r="W2369" t="s">
        <v>36</v>
      </c>
      <c r="X2369" t="s">
        <v>36</v>
      </c>
      <c r="Y2369" t="s">
        <v>36</v>
      </c>
      <c r="Z2369" t="s">
        <v>36</v>
      </c>
      <c r="AA2369" t="s">
        <v>36</v>
      </c>
      <c r="AB2369" t="s">
        <v>36</v>
      </c>
      <c r="AC2369" t="s">
        <v>36</v>
      </c>
      <c r="AD2369" t="s">
        <v>36</v>
      </c>
      <c r="AE2369" t="s">
        <v>36</v>
      </c>
      <c r="AF2369" t="s">
        <v>36</v>
      </c>
      <c r="AG2369" t="s">
        <v>36</v>
      </c>
    </row>
    <row r="2370" spans="1:33" hidden="1" x14ac:dyDescent="0.2">
      <c r="A2370">
        <v>2369</v>
      </c>
      <c r="B2370" t="s">
        <v>656</v>
      </c>
      <c r="C2370" t="s">
        <v>33</v>
      </c>
      <c r="D2370">
        <v>30</v>
      </c>
      <c r="E2370" t="s">
        <v>114</v>
      </c>
      <c r="F2370" t="s">
        <v>38</v>
      </c>
      <c r="G2370" t="s">
        <v>39</v>
      </c>
      <c r="H2370">
        <v>50184</v>
      </c>
      <c r="I2370">
        <v>0</v>
      </c>
      <c r="J2370">
        <v>0</v>
      </c>
      <c r="K2370">
        <v>0</v>
      </c>
      <c r="L2370">
        <v>1</v>
      </c>
      <c r="M2370" t="s">
        <v>36</v>
      </c>
      <c r="N2370" t="s">
        <v>36</v>
      </c>
      <c r="O2370" t="s">
        <v>36</v>
      </c>
      <c r="P2370" t="s">
        <v>442</v>
      </c>
      <c r="Q2370" t="s">
        <v>36</v>
      </c>
      <c r="R2370" t="s">
        <v>36</v>
      </c>
      <c r="S2370" t="s">
        <v>36</v>
      </c>
      <c r="T2370" t="s">
        <v>36</v>
      </c>
      <c r="U2370" t="s">
        <v>36</v>
      </c>
      <c r="V2370" t="s">
        <v>36</v>
      </c>
      <c r="W2370" t="s">
        <v>36</v>
      </c>
      <c r="X2370" t="s">
        <v>36</v>
      </c>
      <c r="Y2370" t="s">
        <v>36</v>
      </c>
      <c r="Z2370" t="s">
        <v>36</v>
      </c>
      <c r="AA2370" t="s">
        <v>36</v>
      </c>
      <c r="AB2370" t="s">
        <v>36</v>
      </c>
      <c r="AC2370" t="s">
        <v>36</v>
      </c>
      <c r="AD2370" t="s">
        <v>36</v>
      </c>
      <c r="AE2370" t="s">
        <v>36</v>
      </c>
      <c r="AF2370" t="s">
        <v>36</v>
      </c>
      <c r="AG2370" t="s">
        <v>36</v>
      </c>
    </row>
    <row r="2371" spans="1:33" x14ac:dyDescent="0.2">
      <c r="A2371">
        <v>2370</v>
      </c>
      <c r="B2371" t="s">
        <v>656</v>
      </c>
      <c r="C2371" t="s">
        <v>33</v>
      </c>
      <c r="D2371">
        <v>30</v>
      </c>
      <c r="E2371" t="s">
        <v>114</v>
      </c>
      <c r="F2371" t="s">
        <v>41</v>
      </c>
      <c r="G2371" t="s">
        <v>67</v>
      </c>
      <c r="H2371">
        <v>67360</v>
      </c>
      <c r="I2371">
        <v>0</v>
      </c>
      <c r="J2371">
        <v>0</v>
      </c>
      <c r="K2371">
        <v>0</v>
      </c>
      <c r="L2371">
        <v>1</v>
      </c>
      <c r="M2371" t="s">
        <v>86</v>
      </c>
      <c r="N2371" t="s">
        <v>70</v>
      </c>
      <c r="O2371" t="s">
        <v>69</v>
      </c>
      <c r="P2371" t="s">
        <v>442</v>
      </c>
      <c r="Q2371" t="s">
        <v>46</v>
      </c>
      <c r="R2371" t="s">
        <v>47</v>
      </c>
      <c r="S2371" t="s">
        <v>48</v>
      </c>
      <c r="T2371">
        <v>0</v>
      </c>
      <c r="U2371">
        <v>0</v>
      </c>
      <c r="V2371">
        <v>1</v>
      </c>
      <c r="W2371">
        <v>1</v>
      </c>
      <c r="X2371">
        <v>1</v>
      </c>
      <c r="Y2371">
        <v>0</v>
      </c>
      <c r="Z2371">
        <v>1</v>
      </c>
      <c r="AA2371">
        <v>0</v>
      </c>
      <c r="AB2371">
        <v>0</v>
      </c>
      <c r="AC2371">
        <v>0</v>
      </c>
      <c r="AD2371">
        <v>0</v>
      </c>
      <c r="AE2371">
        <v>0</v>
      </c>
      <c r="AF2371">
        <v>0</v>
      </c>
      <c r="AG2371">
        <v>1</v>
      </c>
    </row>
    <row r="2372" spans="1:33" x14ac:dyDescent="0.2">
      <c r="A2372">
        <v>2371</v>
      </c>
      <c r="B2372" t="s">
        <v>656</v>
      </c>
      <c r="C2372" t="s">
        <v>33</v>
      </c>
      <c r="D2372">
        <v>30</v>
      </c>
      <c r="E2372" t="s">
        <v>114</v>
      </c>
      <c r="F2372" t="s">
        <v>41</v>
      </c>
      <c r="G2372" t="s">
        <v>61</v>
      </c>
      <c r="H2372">
        <v>66389</v>
      </c>
      <c r="I2372">
        <v>0</v>
      </c>
      <c r="J2372">
        <v>0</v>
      </c>
      <c r="K2372">
        <v>0</v>
      </c>
      <c r="L2372">
        <v>1</v>
      </c>
      <c r="M2372" t="s">
        <v>62</v>
      </c>
      <c r="N2372" t="s">
        <v>97</v>
      </c>
      <c r="O2372" t="s">
        <v>87</v>
      </c>
      <c r="P2372" t="s">
        <v>442</v>
      </c>
      <c r="Q2372" t="s">
        <v>65</v>
      </c>
      <c r="R2372" t="s">
        <v>59</v>
      </c>
      <c r="S2372" t="s">
        <v>47</v>
      </c>
      <c r="T2372">
        <v>0</v>
      </c>
      <c r="U2372">
        <v>1</v>
      </c>
      <c r="V2372">
        <v>0</v>
      </c>
      <c r="W2372">
        <v>1</v>
      </c>
      <c r="X2372">
        <v>0</v>
      </c>
      <c r="Y2372">
        <v>0</v>
      </c>
      <c r="Z2372">
        <v>1</v>
      </c>
      <c r="AA2372">
        <v>0</v>
      </c>
      <c r="AB2372">
        <v>0</v>
      </c>
      <c r="AC2372">
        <v>0</v>
      </c>
      <c r="AD2372">
        <v>0</v>
      </c>
      <c r="AE2372">
        <v>0</v>
      </c>
      <c r="AF2372">
        <v>0</v>
      </c>
      <c r="AG2372">
        <v>1</v>
      </c>
    </row>
    <row r="2373" spans="1:33" hidden="1" x14ac:dyDescent="0.2">
      <c r="A2373">
        <v>2372</v>
      </c>
      <c r="B2373" t="s">
        <v>656</v>
      </c>
      <c r="C2373" t="s">
        <v>33</v>
      </c>
      <c r="D2373">
        <v>30</v>
      </c>
      <c r="E2373" t="s">
        <v>114</v>
      </c>
      <c r="F2373" t="s">
        <v>53</v>
      </c>
      <c r="G2373" t="s">
        <v>54</v>
      </c>
      <c r="H2373">
        <v>57514</v>
      </c>
      <c r="I2373">
        <v>0</v>
      </c>
      <c r="J2373">
        <v>1</v>
      </c>
      <c r="K2373">
        <v>0</v>
      </c>
      <c r="L2373">
        <v>0</v>
      </c>
      <c r="M2373" t="s">
        <v>36</v>
      </c>
      <c r="N2373" t="s">
        <v>36</v>
      </c>
      <c r="O2373" t="s">
        <v>36</v>
      </c>
      <c r="P2373" t="s">
        <v>442</v>
      </c>
      <c r="Q2373" t="s">
        <v>36</v>
      </c>
      <c r="R2373" t="s">
        <v>36</v>
      </c>
      <c r="S2373" t="s">
        <v>36</v>
      </c>
      <c r="T2373" t="s">
        <v>36</v>
      </c>
      <c r="U2373">
        <v>1</v>
      </c>
      <c r="V2373">
        <v>0</v>
      </c>
      <c r="W2373">
        <v>1</v>
      </c>
      <c r="X2373">
        <v>0</v>
      </c>
      <c r="Y2373">
        <v>0</v>
      </c>
      <c r="Z2373">
        <v>1</v>
      </c>
      <c r="AA2373">
        <v>0</v>
      </c>
      <c r="AB2373">
        <v>0</v>
      </c>
      <c r="AC2373">
        <v>0</v>
      </c>
      <c r="AD2373">
        <v>0</v>
      </c>
      <c r="AE2373">
        <v>0</v>
      </c>
      <c r="AF2373">
        <v>0</v>
      </c>
      <c r="AG2373">
        <v>1</v>
      </c>
    </row>
    <row r="2374" spans="1:33" x14ac:dyDescent="0.2">
      <c r="A2374">
        <v>2373</v>
      </c>
      <c r="B2374" t="s">
        <v>656</v>
      </c>
      <c r="C2374" t="s">
        <v>33</v>
      </c>
      <c r="D2374">
        <v>30</v>
      </c>
      <c r="E2374" t="s">
        <v>114</v>
      </c>
      <c r="F2374" t="s">
        <v>41</v>
      </c>
      <c r="G2374" t="s">
        <v>55</v>
      </c>
      <c r="H2374">
        <v>85360</v>
      </c>
      <c r="I2374">
        <v>0</v>
      </c>
      <c r="J2374">
        <v>0</v>
      </c>
      <c r="K2374">
        <v>0</v>
      </c>
      <c r="L2374">
        <v>1</v>
      </c>
      <c r="M2374" t="s">
        <v>94</v>
      </c>
      <c r="N2374" t="s">
        <v>58</v>
      </c>
      <c r="O2374" t="s">
        <v>84</v>
      </c>
      <c r="P2374" t="s">
        <v>442</v>
      </c>
      <c r="Q2374" t="s">
        <v>47</v>
      </c>
      <c r="R2374" t="s">
        <v>60</v>
      </c>
      <c r="S2374" t="s">
        <v>46</v>
      </c>
      <c r="T2374">
        <v>1</v>
      </c>
      <c r="U2374">
        <v>0</v>
      </c>
      <c r="V2374">
        <v>0</v>
      </c>
      <c r="W2374">
        <v>1</v>
      </c>
      <c r="X2374">
        <v>1</v>
      </c>
      <c r="Y2374">
        <v>0</v>
      </c>
      <c r="Z2374">
        <v>1</v>
      </c>
      <c r="AA2374">
        <v>0</v>
      </c>
      <c r="AB2374">
        <v>0</v>
      </c>
      <c r="AC2374">
        <v>0</v>
      </c>
      <c r="AD2374">
        <v>0</v>
      </c>
      <c r="AE2374">
        <v>0</v>
      </c>
      <c r="AF2374">
        <v>0</v>
      </c>
      <c r="AG2374">
        <v>1</v>
      </c>
    </row>
    <row r="2375" spans="1:33" hidden="1" x14ac:dyDescent="0.2">
      <c r="A2375">
        <v>2374</v>
      </c>
      <c r="B2375" t="s">
        <v>656</v>
      </c>
      <c r="C2375" t="s">
        <v>33</v>
      </c>
      <c r="D2375">
        <v>30</v>
      </c>
      <c r="E2375" t="s">
        <v>114</v>
      </c>
      <c r="F2375" t="s">
        <v>53</v>
      </c>
      <c r="G2375" t="s">
        <v>71</v>
      </c>
      <c r="H2375">
        <v>48422</v>
      </c>
      <c r="I2375">
        <v>1</v>
      </c>
      <c r="J2375">
        <v>0</v>
      </c>
      <c r="K2375">
        <v>0</v>
      </c>
      <c r="L2375">
        <v>0</v>
      </c>
      <c r="M2375" t="s">
        <v>36</v>
      </c>
      <c r="N2375" t="s">
        <v>36</v>
      </c>
      <c r="O2375" t="s">
        <v>36</v>
      </c>
      <c r="P2375" t="s">
        <v>442</v>
      </c>
      <c r="Q2375" t="s">
        <v>36</v>
      </c>
      <c r="R2375" t="s">
        <v>36</v>
      </c>
      <c r="S2375" t="s">
        <v>36</v>
      </c>
      <c r="T2375" t="s">
        <v>36</v>
      </c>
      <c r="U2375">
        <v>0</v>
      </c>
      <c r="V2375">
        <v>0</v>
      </c>
      <c r="W2375">
        <v>1</v>
      </c>
      <c r="X2375">
        <v>1</v>
      </c>
      <c r="Y2375">
        <v>0</v>
      </c>
      <c r="Z2375">
        <v>1</v>
      </c>
      <c r="AA2375">
        <v>0</v>
      </c>
      <c r="AB2375">
        <v>0</v>
      </c>
      <c r="AC2375">
        <v>0</v>
      </c>
      <c r="AD2375">
        <v>0</v>
      </c>
      <c r="AE2375">
        <v>0</v>
      </c>
      <c r="AF2375">
        <v>0</v>
      </c>
      <c r="AG2375">
        <v>1</v>
      </c>
    </row>
    <row r="2376" spans="1:33" x14ac:dyDescent="0.2">
      <c r="A2376">
        <v>2375</v>
      </c>
      <c r="B2376" t="s">
        <v>656</v>
      </c>
      <c r="C2376" t="s">
        <v>33</v>
      </c>
      <c r="D2376">
        <v>30</v>
      </c>
      <c r="E2376" t="s">
        <v>114</v>
      </c>
      <c r="F2376" t="s">
        <v>41</v>
      </c>
      <c r="G2376" t="s">
        <v>72</v>
      </c>
      <c r="H2376">
        <v>60657</v>
      </c>
      <c r="I2376">
        <v>0</v>
      </c>
      <c r="J2376">
        <v>0</v>
      </c>
      <c r="K2376">
        <v>0</v>
      </c>
      <c r="L2376">
        <v>1</v>
      </c>
      <c r="M2376" t="s">
        <v>104</v>
      </c>
      <c r="N2376" t="s">
        <v>75</v>
      </c>
      <c r="O2376" t="s">
        <v>74</v>
      </c>
      <c r="P2376" t="s">
        <v>442</v>
      </c>
      <c r="Q2376" t="s">
        <v>60</v>
      </c>
      <c r="R2376" t="s">
        <v>46</v>
      </c>
      <c r="S2376" t="s">
        <v>47</v>
      </c>
      <c r="T2376">
        <v>1</v>
      </c>
      <c r="U2376">
        <v>0</v>
      </c>
      <c r="V2376">
        <v>0</v>
      </c>
      <c r="W2376">
        <v>1</v>
      </c>
      <c r="X2376">
        <v>1</v>
      </c>
      <c r="Y2376">
        <v>0</v>
      </c>
      <c r="Z2376">
        <v>1</v>
      </c>
      <c r="AA2376">
        <v>0</v>
      </c>
      <c r="AB2376">
        <v>0</v>
      </c>
      <c r="AC2376">
        <v>0</v>
      </c>
      <c r="AD2376">
        <v>0</v>
      </c>
      <c r="AE2376">
        <v>0</v>
      </c>
      <c r="AF2376">
        <v>0</v>
      </c>
      <c r="AG2376">
        <v>1</v>
      </c>
    </row>
    <row r="2377" spans="1:33" x14ac:dyDescent="0.2">
      <c r="A2377">
        <v>2376</v>
      </c>
      <c r="B2377" t="s">
        <v>656</v>
      </c>
      <c r="C2377" t="s">
        <v>33</v>
      </c>
      <c r="D2377">
        <v>30</v>
      </c>
      <c r="E2377" t="s">
        <v>114</v>
      </c>
      <c r="F2377" t="s">
        <v>41</v>
      </c>
      <c r="G2377" t="s">
        <v>42</v>
      </c>
      <c r="H2377">
        <v>69468</v>
      </c>
      <c r="I2377">
        <v>1</v>
      </c>
      <c r="J2377">
        <v>0</v>
      </c>
      <c r="K2377">
        <v>0</v>
      </c>
      <c r="L2377">
        <v>0</v>
      </c>
      <c r="M2377" t="s">
        <v>82</v>
      </c>
      <c r="N2377" t="s">
        <v>43</v>
      </c>
      <c r="O2377" t="s">
        <v>45</v>
      </c>
      <c r="P2377" t="s">
        <v>442</v>
      </c>
      <c r="Q2377" t="s">
        <v>65</v>
      </c>
      <c r="R2377" t="s">
        <v>46</v>
      </c>
      <c r="S2377" t="s">
        <v>48</v>
      </c>
      <c r="T2377">
        <v>0</v>
      </c>
      <c r="U2377">
        <v>1</v>
      </c>
      <c r="V2377">
        <v>1</v>
      </c>
      <c r="W2377">
        <v>0</v>
      </c>
      <c r="X2377">
        <v>1</v>
      </c>
      <c r="Y2377">
        <v>0</v>
      </c>
      <c r="Z2377">
        <v>1</v>
      </c>
      <c r="AA2377">
        <v>0</v>
      </c>
      <c r="AB2377">
        <v>1</v>
      </c>
      <c r="AC2377">
        <v>0</v>
      </c>
      <c r="AD2377">
        <v>0</v>
      </c>
      <c r="AE2377">
        <v>0</v>
      </c>
      <c r="AF2377">
        <v>0</v>
      </c>
      <c r="AG2377">
        <v>0</v>
      </c>
    </row>
    <row r="2378" spans="1:33" hidden="1" x14ac:dyDescent="0.2">
      <c r="A2378">
        <v>2377</v>
      </c>
      <c r="B2378" t="s">
        <v>656</v>
      </c>
      <c r="C2378" t="s">
        <v>33</v>
      </c>
      <c r="D2378">
        <v>30</v>
      </c>
      <c r="E2378" t="s">
        <v>114</v>
      </c>
      <c r="F2378" t="s">
        <v>53</v>
      </c>
      <c r="G2378" t="s">
        <v>76</v>
      </c>
      <c r="H2378">
        <v>38883</v>
      </c>
      <c r="I2378">
        <v>1</v>
      </c>
      <c r="J2378">
        <v>0</v>
      </c>
      <c r="K2378">
        <v>0</v>
      </c>
      <c r="L2378">
        <v>0</v>
      </c>
      <c r="M2378" t="s">
        <v>36</v>
      </c>
      <c r="N2378" t="s">
        <v>36</v>
      </c>
      <c r="O2378" t="s">
        <v>36</v>
      </c>
      <c r="P2378" t="s">
        <v>442</v>
      </c>
      <c r="Q2378" t="s">
        <v>36</v>
      </c>
      <c r="R2378" t="s">
        <v>36</v>
      </c>
      <c r="S2378" t="s">
        <v>36</v>
      </c>
      <c r="T2378" t="s">
        <v>36</v>
      </c>
      <c r="U2378">
        <v>1</v>
      </c>
      <c r="V2378">
        <v>1</v>
      </c>
      <c r="W2378">
        <v>0</v>
      </c>
      <c r="X2378">
        <v>1</v>
      </c>
      <c r="Y2378">
        <v>0</v>
      </c>
      <c r="Z2378">
        <v>1</v>
      </c>
      <c r="AA2378">
        <v>0</v>
      </c>
      <c r="AB2378">
        <v>1</v>
      </c>
      <c r="AC2378">
        <v>0</v>
      </c>
      <c r="AD2378">
        <v>0</v>
      </c>
      <c r="AE2378">
        <v>0</v>
      </c>
      <c r="AF2378">
        <v>0</v>
      </c>
      <c r="AG2378">
        <v>0</v>
      </c>
    </row>
    <row r="2379" spans="1:33" x14ac:dyDescent="0.2">
      <c r="A2379">
        <v>2378</v>
      </c>
      <c r="B2379" t="s">
        <v>656</v>
      </c>
      <c r="C2379" t="s">
        <v>33</v>
      </c>
      <c r="D2379">
        <v>30</v>
      </c>
      <c r="E2379" t="s">
        <v>114</v>
      </c>
      <c r="F2379" t="s">
        <v>41</v>
      </c>
      <c r="G2379" t="s">
        <v>49</v>
      </c>
      <c r="H2379">
        <v>294250</v>
      </c>
      <c r="I2379">
        <v>0</v>
      </c>
      <c r="J2379">
        <v>0</v>
      </c>
      <c r="K2379">
        <v>0</v>
      </c>
      <c r="L2379">
        <v>1</v>
      </c>
      <c r="M2379" t="s">
        <v>96</v>
      </c>
      <c r="N2379" t="s">
        <v>51</v>
      </c>
      <c r="O2379" t="s">
        <v>83</v>
      </c>
      <c r="P2379" t="s">
        <v>442</v>
      </c>
      <c r="Q2379" t="s">
        <v>65</v>
      </c>
      <c r="R2379" t="s">
        <v>47</v>
      </c>
      <c r="S2379" t="s">
        <v>59</v>
      </c>
      <c r="T2379">
        <v>0</v>
      </c>
      <c r="U2379">
        <v>1</v>
      </c>
      <c r="V2379">
        <v>0</v>
      </c>
      <c r="W2379">
        <v>1</v>
      </c>
      <c r="X2379">
        <v>0</v>
      </c>
      <c r="Y2379">
        <v>0</v>
      </c>
      <c r="Z2379">
        <v>1</v>
      </c>
      <c r="AA2379">
        <v>0</v>
      </c>
      <c r="AB2379">
        <v>0</v>
      </c>
      <c r="AC2379">
        <v>0</v>
      </c>
      <c r="AD2379">
        <v>0</v>
      </c>
      <c r="AE2379">
        <v>0</v>
      </c>
      <c r="AF2379">
        <v>0</v>
      </c>
      <c r="AG2379">
        <v>1</v>
      </c>
    </row>
    <row r="2380" spans="1:33" hidden="1" x14ac:dyDescent="0.2">
      <c r="A2380">
        <v>2379</v>
      </c>
      <c r="B2380" t="s">
        <v>656</v>
      </c>
      <c r="C2380" t="s">
        <v>33</v>
      </c>
      <c r="D2380">
        <v>30</v>
      </c>
      <c r="E2380" t="s">
        <v>114</v>
      </c>
      <c r="F2380" t="s">
        <v>53</v>
      </c>
      <c r="G2380" t="s">
        <v>66</v>
      </c>
      <c r="H2380">
        <v>156765</v>
      </c>
      <c r="I2380">
        <v>0</v>
      </c>
      <c r="J2380">
        <v>1</v>
      </c>
      <c r="K2380">
        <v>0</v>
      </c>
      <c r="L2380">
        <v>0</v>
      </c>
      <c r="M2380" t="s">
        <v>36</v>
      </c>
      <c r="N2380" t="s">
        <v>36</v>
      </c>
      <c r="O2380" t="s">
        <v>36</v>
      </c>
      <c r="P2380" t="s">
        <v>442</v>
      </c>
      <c r="Q2380" t="s">
        <v>36</v>
      </c>
      <c r="R2380" t="s">
        <v>36</v>
      </c>
      <c r="S2380" t="s">
        <v>36</v>
      </c>
      <c r="T2380" t="s">
        <v>36</v>
      </c>
      <c r="U2380">
        <v>1</v>
      </c>
      <c r="V2380">
        <v>0</v>
      </c>
      <c r="W2380">
        <v>1</v>
      </c>
      <c r="X2380">
        <v>0</v>
      </c>
      <c r="Y2380">
        <v>0</v>
      </c>
      <c r="Z2380">
        <v>1</v>
      </c>
      <c r="AA2380">
        <v>0</v>
      </c>
      <c r="AB2380">
        <v>0</v>
      </c>
      <c r="AC2380">
        <v>0</v>
      </c>
      <c r="AD2380">
        <v>0</v>
      </c>
      <c r="AE2380">
        <v>0</v>
      </c>
      <c r="AF2380">
        <v>0</v>
      </c>
      <c r="AG2380">
        <v>1</v>
      </c>
    </row>
    <row r="2381" spans="1:33" hidden="1" x14ac:dyDescent="0.2">
      <c r="A2381">
        <v>2380</v>
      </c>
      <c r="B2381" t="s">
        <v>656</v>
      </c>
      <c r="C2381" t="s">
        <v>33</v>
      </c>
      <c r="D2381">
        <v>30</v>
      </c>
      <c r="E2381" t="s">
        <v>114</v>
      </c>
      <c r="F2381" t="s">
        <v>77</v>
      </c>
      <c r="G2381" t="s">
        <v>36</v>
      </c>
      <c r="H2381">
        <v>309578</v>
      </c>
      <c r="I2381" t="s">
        <v>657</v>
      </c>
      <c r="J2381" t="s">
        <v>658</v>
      </c>
      <c r="K2381" t="s">
        <v>658</v>
      </c>
      <c r="L2381" t="s">
        <v>36</v>
      </c>
      <c r="M2381" t="s">
        <v>36</v>
      </c>
      <c r="N2381" t="s">
        <v>36</v>
      </c>
      <c r="O2381" t="s">
        <v>36</v>
      </c>
      <c r="P2381" t="s">
        <v>442</v>
      </c>
      <c r="Q2381" t="s">
        <v>36</v>
      </c>
      <c r="R2381" t="s">
        <v>36</v>
      </c>
      <c r="S2381" t="s">
        <v>36</v>
      </c>
      <c r="T2381" t="s">
        <v>36</v>
      </c>
      <c r="U2381" t="s">
        <v>36</v>
      </c>
      <c r="V2381" t="s">
        <v>36</v>
      </c>
      <c r="W2381" t="s">
        <v>36</v>
      </c>
      <c r="X2381" t="s">
        <v>36</v>
      </c>
      <c r="Y2381" t="s">
        <v>36</v>
      </c>
      <c r="Z2381" t="s">
        <v>36</v>
      </c>
      <c r="AA2381" t="s">
        <v>36</v>
      </c>
      <c r="AB2381" t="s">
        <v>36</v>
      </c>
      <c r="AC2381" t="s">
        <v>36</v>
      </c>
      <c r="AD2381" t="s">
        <v>36</v>
      </c>
      <c r="AE2381" t="s">
        <v>36</v>
      </c>
      <c r="AF2381" t="s">
        <v>36</v>
      </c>
      <c r="AG2381" t="s">
        <v>36</v>
      </c>
    </row>
    <row r="2382" spans="1:33" hidden="1" x14ac:dyDescent="0.2">
      <c r="A2382">
        <v>2381</v>
      </c>
      <c r="B2382" t="s">
        <v>659</v>
      </c>
      <c r="C2382" t="s">
        <v>108</v>
      </c>
      <c r="D2382">
        <v>45</v>
      </c>
      <c r="E2382" t="s">
        <v>34</v>
      </c>
      <c r="F2382" t="s">
        <v>35</v>
      </c>
      <c r="G2382" t="s">
        <v>36</v>
      </c>
      <c r="H2382">
        <v>37157</v>
      </c>
      <c r="I2382" t="s">
        <v>36</v>
      </c>
      <c r="J2382" t="s">
        <v>36</v>
      </c>
      <c r="K2382" t="s">
        <v>36</v>
      </c>
      <c r="L2382" t="s">
        <v>36</v>
      </c>
      <c r="M2382" t="s">
        <v>36</v>
      </c>
      <c r="N2382" t="s">
        <v>36</v>
      </c>
      <c r="O2382" t="s">
        <v>36</v>
      </c>
      <c r="P2382" t="s">
        <v>442</v>
      </c>
      <c r="Q2382" t="s">
        <v>36</v>
      </c>
      <c r="R2382" t="s">
        <v>36</v>
      </c>
      <c r="S2382" t="s">
        <v>36</v>
      </c>
      <c r="T2382" t="s">
        <v>36</v>
      </c>
      <c r="U2382" t="s">
        <v>36</v>
      </c>
      <c r="V2382" t="s">
        <v>36</v>
      </c>
      <c r="W2382" t="s">
        <v>36</v>
      </c>
      <c r="X2382" t="s">
        <v>36</v>
      </c>
      <c r="Y2382" t="s">
        <v>36</v>
      </c>
      <c r="Z2382" t="s">
        <v>36</v>
      </c>
      <c r="AA2382" t="s">
        <v>36</v>
      </c>
      <c r="AB2382" t="s">
        <v>36</v>
      </c>
      <c r="AC2382" t="s">
        <v>36</v>
      </c>
      <c r="AD2382" t="s">
        <v>36</v>
      </c>
      <c r="AE2382" t="s">
        <v>36</v>
      </c>
      <c r="AF2382" t="s">
        <v>36</v>
      </c>
      <c r="AG2382" t="s">
        <v>36</v>
      </c>
    </row>
    <row r="2383" spans="1:33" hidden="1" x14ac:dyDescent="0.2">
      <c r="A2383">
        <v>2382</v>
      </c>
      <c r="B2383" t="s">
        <v>659</v>
      </c>
      <c r="C2383" t="s">
        <v>108</v>
      </c>
      <c r="D2383">
        <v>45</v>
      </c>
      <c r="E2383" t="s">
        <v>34</v>
      </c>
      <c r="F2383" t="s">
        <v>38</v>
      </c>
      <c r="G2383" t="s">
        <v>40</v>
      </c>
      <c r="H2383">
        <v>314858</v>
      </c>
      <c r="I2383">
        <v>1</v>
      </c>
      <c r="J2383">
        <v>0</v>
      </c>
      <c r="K2383">
        <v>0</v>
      </c>
      <c r="L2383">
        <v>0</v>
      </c>
      <c r="M2383" t="s">
        <v>36</v>
      </c>
      <c r="N2383" t="s">
        <v>36</v>
      </c>
      <c r="O2383" t="s">
        <v>36</v>
      </c>
      <c r="P2383" t="s">
        <v>442</v>
      </c>
      <c r="Q2383" t="s">
        <v>36</v>
      </c>
      <c r="R2383" t="s">
        <v>36</v>
      </c>
      <c r="S2383" t="s">
        <v>36</v>
      </c>
      <c r="T2383" t="s">
        <v>36</v>
      </c>
      <c r="U2383" t="s">
        <v>36</v>
      </c>
      <c r="V2383" t="s">
        <v>36</v>
      </c>
      <c r="W2383" t="s">
        <v>36</v>
      </c>
      <c r="X2383" t="s">
        <v>36</v>
      </c>
      <c r="Y2383" t="s">
        <v>36</v>
      </c>
      <c r="Z2383" t="s">
        <v>36</v>
      </c>
      <c r="AA2383" t="s">
        <v>36</v>
      </c>
      <c r="AB2383" t="s">
        <v>36</v>
      </c>
      <c r="AC2383" t="s">
        <v>36</v>
      </c>
      <c r="AD2383" t="s">
        <v>36</v>
      </c>
      <c r="AE2383" t="s">
        <v>36</v>
      </c>
      <c r="AF2383" t="s">
        <v>36</v>
      </c>
      <c r="AG2383" t="s">
        <v>36</v>
      </c>
    </row>
    <row r="2384" spans="1:33" hidden="1" x14ac:dyDescent="0.2">
      <c r="A2384">
        <v>2383</v>
      </c>
      <c r="B2384" t="s">
        <v>659</v>
      </c>
      <c r="C2384" t="s">
        <v>108</v>
      </c>
      <c r="D2384">
        <v>45</v>
      </c>
      <c r="E2384" t="s">
        <v>34</v>
      </c>
      <c r="F2384" t="s">
        <v>38</v>
      </c>
      <c r="G2384" t="s">
        <v>39</v>
      </c>
      <c r="H2384">
        <v>116700</v>
      </c>
      <c r="I2384">
        <v>1</v>
      </c>
      <c r="J2384">
        <v>0</v>
      </c>
      <c r="K2384">
        <v>0</v>
      </c>
      <c r="L2384">
        <v>0</v>
      </c>
      <c r="M2384" t="s">
        <v>36</v>
      </c>
      <c r="N2384" t="s">
        <v>36</v>
      </c>
      <c r="O2384" t="s">
        <v>36</v>
      </c>
      <c r="P2384" t="s">
        <v>442</v>
      </c>
      <c r="Q2384" t="s">
        <v>36</v>
      </c>
      <c r="R2384" t="s">
        <v>36</v>
      </c>
      <c r="S2384" t="s">
        <v>36</v>
      </c>
      <c r="T2384" t="s">
        <v>36</v>
      </c>
      <c r="U2384" t="s">
        <v>36</v>
      </c>
      <c r="V2384" t="s">
        <v>36</v>
      </c>
      <c r="W2384" t="s">
        <v>36</v>
      </c>
      <c r="X2384" t="s">
        <v>36</v>
      </c>
      <c r="Y2384" t="s">
        <v>36</v>
      </c>
      <c r="Z2384" t="s">
        <v>36</v>
      </c>
      <c r="AA2384" t="s">
        <v>36</v>
      </c>
      <c r="AB2384" t="s">
        <v>36</v>
      </c>
      <c r="AC2384" t="s">
        <v>36</v>
      </c>
      <c r="AD2384" t="s">
        <v>36</v>
      </c>
      <c r="AE2384" t="s">
        <v>36</v>
      </c>
      <c r="AF2384" t="s">
        <v>36</v>
      </c>
      <c r="AG2384" t="s">
        <v>36</v>
      </c>
    </row>
    <row r="2385" spans="1:33" x14ac:dyDescent="0.2">
      <c r="A2385">
        <v>2384</v>
      </c>
      <c r="B2385" t="s">
        <v>659</v>
      </c>
      <c r="C2385" t="s">
        <v>108</v>
      </c>
      <c r="D2385">
        <v>45</v>
      </c>
      <c r="E2385" t="s">
        <v>34</v>
      </c>
      <c r="F2385" t="s">
        <v>41</v>
      </c>
      <c r="G2385" t="s">
        <v>42</v>
      </c>
      <c r="H2385">
        <v>15317</v>
      </c>
      <c r="I2385">
        <v>1</v>
      </c>
      <c r="J2385">
        <v>0</v>
      </c>
      <c r="K2385">
        <v>0</v>
      </c>
      <c r="L2385">
        <v>0</v>
      </c>
      <c r="M2385" t="s">
        <v>45</v>
      </c>
      <c r="N2385" t="s">
        <v>116</v>
      </c>
      <c r="O2385" t="s">
        <v>43</v>
      </c>
      <c r="P2385" t="s">
        <v>442</v>
      </c>
      <c r="Q2385" t="s">
        <v>48</v>
      </c>
      <c r="R2385" t="s">
        <v>60</v>
      </c>
      <c r="S2385" t="s">
        <v>46</v>
      </c>
      <c r="T2385">
        <v>1</v>
      </c>
      <c r="U2385">
        <v>0</v>
      </c>
      <c r="V2385">
        <v>1</v>
      </c>
      <c r="W2385">
        <v>0</v>
      </c>
      <c r="X2385">
        <v>1</v>
      </c>
      <c r="Y2385">
        <v>0</v>
      </c>
      <c r="Z2385">
        <v>1</v>
      </c>
      <c r="AA2385">
        <v>0</v>
      </c>
      <c r="AB2385">
        <v>0</v>
      </c>
      <c r="AC2385">
        <v>1</v>
      </c>
      <c r="AD2385">
        <v>0</v>
      </c>
      <c r="AE2385">
        <v>0</v>
      </c>
      <c r="AF2385">
        <v>0</v>
      </c>
      <c r="AG2385">
        <v>0</v>
      </c>
    </row>
    <row r="2386" spans="1:33" x14ac:dyDescent="0.2">
      <c r="A2386">
        <v>2385</v>
      </c>
      <c r="B2386" t="s">
        <v>659</v>
      </c>
      <c r="C2386" t="s">
        <v>108</v>
      </c>
      <c r="D2386">
        <v>45</v>
      </c>
      <c r="E2386" t="s">
        <v>34</v>
      </c>
      <c r="F2386" t="s">
        <v>41</v>
      </c>
      <c r="G2386" t="s">
        <v>72</v>
      </c>
      <c r="H2386">
        <v>4920</v>
      </c>
      <c r="I2386">
        <v>1</v>
      </c>
      <c r="J2386">
        <v>0</v>
      </c>
      <c r="K2386">
        <v>0</v>
      </c>
      <c r="L2386">
        <v>0</v>
      </c>
      <c r="M2386" t="s">
        <v>115</v>
      </c>
      <c r="N2386" t="s">
        <v>104</v>
      </c>
      <c r="O2386" t="s">
        <v>93</v>
      </c>
      <c r="P2386" t="s">
        <v>442</v>
      </c>
      <c r="Q2386" t="s">
        <v>65</v>
      </c>
      <c r="R2386" t="s">
        <v>60</v>
      </c>
      <c r="S2386" t="s">
        <v>59</v>
      </c>
      <c r="T2386">
        <v>1</v>
      </c>
      <c r="U2386">
        <v>1</v>
      </c>
      <c r="V2386">
        <v>0</v>
      </c>
      <c r="W2386">
        <v>0</v>
      </c>
      <c r="X2386">
        <v>0</v>
      </c>
      <c r="Y2386">
        <v>0</v>
      </c>
      <c r="Z2386">
        <v>1</v>
      </c>
      <c r="AA2386">
        <v>0</v>
      </c>
      <c r="AB2386">
        <v>1</v>
      </c>
      <c r="AC2386">
        <v>0</v>
      </c>
      <c r="AD2386">
        <v>0</v>
      </c>
      <c r="AE2386">
        <v>0</v>
      </c>
      <c r="AF2386">
        <v>0</v>
      </c>
      <c r="AG2386">
        <v>0</v>
      </c>
    </row>
    <row r="2387" spans="1:33" hidden="1" x14ac:dyDescent="0.2">
      <c r="A2387">
        <v>2386</v>
      </c>
      <c r="B2387" t="s">
        <v>659</v>
      </c>
      <c r="C2387" t="s">
        <v>108</v>
      </c>
      <c r="D2387">
        <v>45</v>
      </c>
      <c r="E2387" t="s">
        <v>34</v>
      </c>
      <c r="F2387" t="s">
        <v>53</v>
      </c>
      <c r="G2387" t="s">
        <v>54</v>
      </c>
      <c r="H2387">
        <v>6094</v>
      </c>
      <c r="I2387">
        <v>1</v>
      </c>
      <c r="J2387">
        <v>0</v>
      </c>
      <c r="K2387">
        <v>0</v>
      </c>
      <c r="L2387">
        <v>0</v>
      </c>
      <c r="M2387" t="s">
        <v>36</v>
      </c>
      <c r="N2387" t="s">
        <v>36</v>
      </c>
      <c r="O2387" t="s">
        <v>36</v>
      </c>
      <c r="P2387" t="s">
        <v>442</v>
      </c>
      <c r="Q2387" t="s">
        <v>36</v>
      </c>
      <c r="R2387" t="s">
        <v>36</v>
      </c>
      <c r="S2387" t="s">
        <v>36</v>
      </c>
      <c r="T2387" t="s">
        <v>36</v>
      </c>
      <c r="U2387">
        <v>1</v>
      </c>
      <c r="V2387">
        <v>0</v>
      </c>
      <c r="W2387">
        <v>0</v>
      </c>
      <c r="X2387">
        <v>0</v>
      </c>
      <c r="Y2387">
        <v>0</v>
      </c>
      <c r="Z2387">
        <v>1</v>
      </c>
      <c r="AA2387">
        <v>0</v>
      </c>
      <c r="AB2387">
        <v>1</v>
      </c>
      <c r="AC2387">
        <v>0</v>
      </c>
      <c r="AD2387">
        <v>0</v>
      </c>
      <c r="AE2387">
        <v>0</v>
      </c>
      <c r="AF2387">
        <v>0</v>
      </c>
      <c r="AG2387">
        <v>0</v>
      </c>
    </row>
    <row r="2388" spans="1:33" x14ac:dyDescent="0.2">
      <c r="A2388">
        <v>2387</v>
      </c>
      <c r="B2388" t="s">
        <v>659</v>
      </c>
      <c r="C2388" t="s">
        <v>108</v>
      </c>
      <c r="D2388">
        <v>45</v>
      </c>
      <c r="E2388" t="s">
        <v>34</v>
      </c>
      <c r="F2388" t="s">
        <v>41</v>
      </c>
      <c r="G2388" t="s">
        <v>49</v>
      </c>
      <c r="H2388">
        <v>3287</v>
      </c>
      <c r="I2388">
        <v>1</v>
      </c>
      <c r="J2388">
        <v>0</v>
      </c>
      <c r="K2388">
        <v>0</v>
      </c>
      <c r="L2388">
        <v>0</v>
      </c>
      <c r="M2388" t="s">
        <v>50</v>
      </c>
      <c r="N2388" t="s">
        <v>96</v>
      </c>
      <c r="O2388" t="s">
        <v>51</v>
      </c>
      <c r="P2388" t="s">
        <v>442</v>
      </c>
      <c r="Q2388" t="s">
        <v>48</v>
      </c>
      <c r="R2388" t="s">
        <v>65</v>
      </c>
      <c r="S2388" t="s">
        <v>47</v>
      </c>
      <c r="T2388">
        <v>0</v>
      </c>
      <c r="U2388">
        <v>1</v>
      </c>
      <c r="V2388">
        <v>1</v>
      </c>
      <c r="W2388">
        <v>1</v>
      </c>
      <c r="X2388">
        <v>0</v>
      </c>
      <c r="Y2388">
        <v>0</v>
      </c>
      <c r="Z2388">
        <v>1</v>
      </c>
      <c r="AA2388">
        <v>0</v>
      </c>
      <c r="AB2388">
        <v>0</v>
      </c>
      <c r="AC2388">
        <v>1</v>
      </c>
      <c r="AD2388">
        <v>0</v>
      </c>
      <c r="AE2388">
        <v>0</v>
      </c>
      <c r="AF2388">
        <v>0</v>
      </c>
      <c r="AG2388">
        <v>0</v>
      </c>
    </row>
    <row r="2389" spans="1:33" hidden="1" x14ac:dyDescent="0.2">
      <c r="A2389">
        <v>2388</v>
      </c>
      <c r="B2389" t="s">
        <v>659</v>
      </c>
      <c r="C2389" t="s">
        <v>108</v>
      </c>
      <c r="D2389">
        <v>45</v>
      </c>
      <c r="E2389" t="s">
        <v>34</v>
      </c>
      <c r="F2389" t="s">
        <v>53</v>
      </c>
      <c r="G2389" t="s">
        <v>66</v>
      </c>
      <c r="H2389">
        <v>21615</v>
      </c>
      <c r="I2389">
        <v>0</v>
      </c>
      <c r="J2389">
        <v>1</v>
      </c>
      <c r="K2389">
        <v>0</v>
      </c>
      <c r="L2389">
        <v>0</v>
      </c>
      <c r="M2389" t="s">
        <v>36</v>
      </c>
      <c r="N2389" t="s">
        <v>36</v>
      </c>
      <c r="O2389" t="s">
        <v>36</v>
      </c>
      <c r="P2389" t="s">
        <v>442</v>
      </c>
      <c r="Q2389" t="s">
        <v>36</v>
      </c>
      <c r="R2389" t="s">
        <v>36</v>
      </c>
      <c r="S2389" t="s">
        <v>36</v>
      </c>
      <c r="T2389" t="s">
        <v>36</v>
      </c>
      <c r="U2389">
        <v>1</v>
      </c>
      <c r="V2389">
        <v>1</v>
      </c>
      <c r="W2389">
        <v>1</v>
      </c>
      <c r="X2389">
        <v>0</v>
      </c>
      <c r="Y2389">
        <v>0</v>
      </c>
      <c r="Z2389">
        <v>1</v>
      </c>
      <c r="AA2389">
        <v>0</v>
      </c>
      <c r="AB2389">
        <v>0</v>
      </c>
      <c r="AC2389">
        <v>1</v>
      </c>
      <c r="AD2389">
        <v>0</v>
      </c>
      <c r="AE2389">
        <v>0</v>
      </c>
      <c r="AF2389">
        <v>0</v>
      </c>
      <c r="AG2389">
        <v>0</v>
      </c>
    </row>
    <row r="2390" spans="1:33" x14ac:dyDescent="0.2">
      <c r="A2390">
        <v>2389</v>
      </c>
      <c r="B2390" t="s">
        <v>659</v>
      </c>
      <c r="C2390" t="s">
        <v>108</v>
      </c>
      <c r="D2390">
        <v>45</v>
      </c>
      <c r="E2390" t="s">
        <v>34</v>
      </c>
      <c r="F2390" t="s">
        <v>41</v>
      </c>
      <c r="G2390" t="s">
        <v>55</v>
      </c>
      <c r="H2390">
        <v>6015</v>
      </c>
      <c r="I2390">
        <v>0</v>
      </c>
      <c r="J2390">
        <v>1</v>
      </c>
      <c r="K2390">
        <v>0</v>
      </c>
      <c r="L2390">
        <v>0</v>
      </c>
      <c r="M2390" t="s">
        <v>85</v>
      </c>
      <c r="N2390" t="s">
        <v>57</v>
      </c>
      <c r="O2390" t="s">
        <v>58</v>
      </c>
      <c r="P2390" t="s">
        <v>442</v>
      </c>
      <c r="Q2390" t="s">
        <v>65</v>
      </c>
      <c r="R2390" t="s">
        <v>48</v>
      </c>
      <c r="S2390" t="s">
        <v>60</v>
      </c>
      <c r="T2390">
        <v>1</v>
      </c>
      <c r="U2390">
        <v>1</v>
      </c>
      <c r="V2390">
        <v>1</v>
      </c>
      <c r="W2390">
        <v>0</v>
      </c>
      <c r="X2390">
        <v>0</v>
      </c>
      <c r="Y2390">
        <v>0</v>
      </c>
      <c r="Z2390">
        <v>1</v>
      </c>
      <c r="AA2390">
        <v>0</v>
      </c>
      <c r="AB2390">
        <v>0</v>
      </c>
      <c r="AC2390">
        <v>1</v>
      </c>
      <c r="AD2390">
        <v>0</v>
      </c>
      <c r="AE2390">
        <v>0</v>
      </c>
      <c r="AF2390">
        <v>0</v>
      </c>
      <c r="AG2390">
        <v>0</v>
      </c>
    </row>
    <row r="2391" spans="1:33" x14ac:dyDescent="0.2">
      <c r="A2391">
        <v>2390</v>
      </c>
      <c r="B2391" t="s">
        <v>659</v>
      </c>
      <c r="C2391" t="s">
        <v>108</v>
      </c>
      <c r="D2391">
        <v>45</v>
      </c>
      <c r="E2391" t="s">
        <v>34</v>
      </c>
      <c r="F2391" t="s">
        <v>41</v>
      </c>
      <c r="G2391" t="s">
        <v>67</v>
      </c>
      <c r="H2391">
        <v>8713</v>
      </c>
      <c r="I2391">
        <v>1</v>
      </c>
      <c r="J2391">
        <v>0</v>
      </c>
      <c r="K2391">
        <v>0</v>
      </c>
      <c r="L2391">
        <v>0</v>
      </c>
      <c r="M2391" t="s">
        <v>70</v>
      </c>
      <c r="N2391" t="s">
        <v>68</v>
      </c>
      <c r="O2391" t="s">
        <v>86</v>
      </c>
      <c r="P2391" t="s">
        <v>442</v>
      </c>
      <c r="Q2391" t="s">
        <v>47</v>
      </c>
      <c r="R2391" t="s">
        <v>65</v>
      </c>
      <c r="S2391" t="s">
        <v>46</v>
      </c>
      <c r="T2391">
        <v>0</v>
      </c>
      <c r="U2391">
        <v>1</v>
      </c>
      <c r="V2391">
        <v>0</v>
      </c>
      <c r="W2391">
        <v>1</v>
      </c>
      <c r="X2391">
        <v>1</v>
      </c>
      <c r="Y2391">
        <v>0</v>
      </c>
      <c r="Z2391">
        <v>1</v>
      </c>
      <c r="AA2391">
        <v>0</v>
      </c>
      <c r="AB2391">
        <v>0</v>
      </c>
      <c r="AC2391">
        <v>0</v>
      </c>
      <c r="AD2391">
        <v>1</v>
      </c>
      <c r="AE2391">
        <v>0</v>
      </c>
      <c r="AF2391">
        <v>0</v>
      </c>
      <c r="AG2391">
        <v>0</v>
      </c>
    </row>
    <row r="2392" spans="1:33" hidden="1" x14ac:dyDescent="0.2">
      <c r="A2392">
        <v>2391</v>
      </c>
      <c r="B2392" t="s">
        <v>659</v>
      </c>
      <c r="C2392" t="s">
        <v>108</v>
      </c>
      <c r="D2392">
        <v>45</v>
      </c>
      <c r="E2392" t="s">
        <v>34</v>
      </c>
      <c r="F2392" t="s">
        <v>53</v>
      </c>
      <c r="G2392" t="s">
        <v>76</v>
      </c>
      <c r="H2392">
        <v>9623</v>
      </c>
      <c r="I2392">
        <v>0</v>
      </c>
      <c r="J2392">
        <v>1</v>
      </c>
      <c r="K2392">
        <v>0</v>
      </c>
      <c r="L2392">
        <v>0</v>
      </c>
      <c r="M2392" t="s">
        <v>36</v>
      </c>
      <c r="N2392" t="s">
        <v>36</v>
      </c>
      <c r="O2392" t="s">
        <v>36</v>
      </c>
      <c r="P2392" t="s">
        <v>442</v>
      </c>
      <c r="Q2392" t="s">
        <v>36</v>
      </c>
      <c r="R2392" t="s">
        <v>36</v>
      </c>
      <c r="S2392" t="s">
        <v>36</v>
      </c>
      <c r="T2392" t="s">
        <v>36</v>
      </c>
      <c r="U2392">
        <v>1</v>
      </c>
      <c r="V2392">
        <v>0</v>
      </c>
      <c r="W2392">
        <v>1</v>
      </c>
      <c r="X2392">
        <v>1</v>
      </c>
      <c r="Y2392">
        <v>0</v>
      </c>
      <c r="Z2392">
        <v>1</v>
      </c>
      <c r="AA2392">
        <v>0</v>
      </c>
      <c r="AB2392">
        <v>0</v>
      </c>
      <c r="AC2392">
        <v>0</v>
      </c>
      <c r="AD2392">
        <v>1</v>
      </c>
      <c r="AE2392">
        <v>0</v>
      </c>
      <c r="AF2392">
        <v>0</v>
      </c>
      <c r="AG2392">
        <v>0</v>
      </c>
    </row>
    <row r="2393" spans="1:33" x14ac:dyDescent="0.2">
      <c r="A2393">
        <v>2392</v>
      </c>
      <c r="B2393" t="s">
        <v>659</v>
      </c>
      <c r="C2393" t="s">
        <v>108</v>
      </c>
      <c r="D2393">
        <v>45</v>
      </c>
      <c r="E2393" t="s">
        <v>34</v>
      </c>
      <c r="F2393" t="s">
        <v>41</v>
      </c>
      <c r="G2393" t="s">
        <v>61</v>
      </c>
      <c r="H2393">
        <v>855612</v>
      </c>
      <c r="I2393">
        <v>1</v>
      </c>
      <c r="J2393">
        <v>0</v>
      </c>
      <c r="K2393">
        <v>0</v>
      </c>
      <c r="L2393">
        <v>0</v>
      </c>
      <c r="M2393" t="s">
        <v>125</v>
      </c>
      <c r="N2393" t="s">
        <v>64</v>
      </c>
      <c r="O2393" t="s">
        <v>63</v>
      </c>
      <c r="P2393" t="s">
        <v>442</v>
      </c>
      <c r="Q2393" t="s">
        <v>60</v>
      </c>
      <c r="R2393" t="s">
        <v>48</v>
      </c>
      <c r="S2393" t="s">
        <v>46</v>
      </c>
      <c r="T2393">
        <v>1</v>
      </c>
      <c r="U2393">
        <v>0</v>
      </c>
      <c r="V2393">
        <v>1</v>
      </c>
      <c r="W2393">
        <v>0</v>
      </c>
      <c r="X2393">
        <v>1</v>
      </c>
      <c r="Y2393">
        <v>0</v>
      </c>
      <c r="Z2393">
        <v>1</v>
      </c>
      <c r="AA2393">
        <v>1</v>
      </c>
      <c r="AB2393">
        <v>0</v>
      </c>
      <c r="AC2393">
        <v>0</v>
      </c>
      <c r="AD2393">
        <v>0</v>
      </c>
      <c r="AE2393">
        <v>0</v>
      </c>
      <c r="AF2393">
        <v>0</v>
      </c>
      <c r="AG2393">
        <v>0</v>
      </c>
    </row>
    <row r="2394" spans="1:33" hidden="1" x14ac:dyDescent="0.2">
      <c r="A2394">
        <v>2393</v>
      </c>
      <c r="B2394" t="s">
        <v>659</v>
      </c>
      <c r="C2394" t="s">
        <v>108</v>
      </c>
      <c r="D2394">
        <v>45</v>
      </c>
      <c r="E2394" t="s">
        <v>34</v>
      </c>
      <c r="F2394" t="s">
        <v>53</v>
      </c>
      <c r="G2394" t="s">
        <v>71</v>
      </c>
      <c r="H2394">
        <v>10002</v>
      </c>
      <c r="I2394">
        <v>0</v>
      </c>
      <c r="J2394">
        <v>1</v>
      </c>
      <c r="K2394">
        <v>0</v>
      </c>
      <c r="L2394">
        <v>0</v>
      </c>
      <c r="M2394" t="s">
        <v>36</v>
      </c>
      <c r="N2394" t="s">
        <v>36</v>
      </c>
      <c r="O2394" t="s">
        <v>36</v>
      </c>
      <c r="P2394" t="s">
        <v>442</v>
      </c>
      <c r="Q2394" t="s">
        <v>36</v>
      </c>
      <c r="R2394" t="s">
        <v>36</v>
      </c>
      <c r="S2394" t="s">
        <v>36</v>
      </c>
      <c r="T2394" t="s">
        <v>36</v>
      </c>
      <c r="U2394">
        <v>0</v>
      </c>
      <c r="V2394">
        <v>1</v>
      </c>
      <c r="W2394">
        <v>0</v>
      </c>
      <c r="X2394">
        <v>1</v>
      </c>
      <c r="Y2394">
        <v>0</v>
      </c>
      <c r="Z2394">
        <v>1</v>
      </c>
      <c r="AA2394">
        <v>1</v>
      </c>
      <c r="AB2394">
        <v>0</v>
      </c>
      <c r="AC2394">
        <v>0</v>
      </c>
      <c r="AD2394">
        <v>0</v>
      </c>
      <c r="AE2394">
        <v>0</v>
      </c>
      <c r="AF2394">
        <v>0</v>
      </c>
      <c r="AG2394">
        <v>0</v>
      </c>
    </row>
    <row r="2395" spans="1:33" hidden="1" x14ac:dyDescent="0.2">
      <c r="A2395">
        <v>2394</v>
      </c>
      <c r="B2395" t="s">
        <v>659</v>
      </c>
      <c r="C2395" t="s">
        <v>108</v>
      </c>
      <c r="D2395">
        <v>45</v>
      </c>
      <c r="E2395" t="s">
        <v>34</v>
      </c>
      <c r="F2395" t="s">
        <v>77</v>
      </c>
      <c r="G2395" t="s">
        <v>36</v>
      </c>
      <c r="H2395">
        <v>169144</v>
      </c>
      <c r="I2395" t="s">
        <v>660</v>
      </c>
      <c r="J2395" t="s">
        <v>190</v>
      </c>
      <c r="K2395" t="s">
        <v>661</v>
      </c>
      <c r="L2395" t="s">
        <v>36</v>
      </c>
      <c r="M2395" t="s">
        <v>36</v>
      </c>
      <c r="N2395" t="s">
        <v>36</v>
      </c>
      <c r="O2395" t="s">
        <v>36</v>
      </c>
      <c r="P2395" t="s">
        <v>442</v>
      </c>
      <c r="Q2395" t="s">
        <v>36</v>
      </c>
      <c r="R2395" t="s">
        <v>36</v>
      </c>
      <c r="S2395" t="s">
        <v>36</v>
      </c>
      <c r="T2395" t="s">
        <v>36</v>
      </c>
      <c r="U2395" t="s">
        <v>36</v>
      </c>
      <c r="V2395" t="s">
        <v>36</v>
      </c>
      <c r="W2395" t="s">
        <v>36</v>
      </c>
      <c r="X2395" t="s">
        <v>36</v>
      </c>
      <c r="Y2395" t="s">
        <v>36</v>
      </c>
      <c r="Z2395" t="s">
        <v>36</v>
      </c>
      <c r="AA2395" t="s">
        <v>36</v>
      </c>
      <c r="AB2395" t="s">
        <v>36</v>
      </c>
      <c r="AC2395" t="s">
        <v>36</v>
      </c>
      <c r="AD2395" t="s">
        <v>36</v>
      </c>
      <c r="AE2395" t="s">
        <v>36</v>
      </c>
      <c r="AF2395" t="s">
        <v>36</v>
      </c>
      <c r="AG2395" t="s">
        <v>36</v>
      </c>
    </row>
    <row r="2396" spans="1:33" hidden="1" x14ac:dyDescent="0.2">
      <c r="A2396">
        <v>2395</v>
      </c>
      <c r="B2396" t="s">
        <v>662</v>
      </c>
      <c r="C2396" t="s">
        <v>108</v>
      </c>
      <c r="D2396">
        <v>30</v>
      </c>
      <c r="E2396" t="s">
        <v>34</v>
      </c>
      <c r="F2396" t="s">
        <v>35</v>
      </c>
      <c r="G2396" t="s">
        <v>36</v>
      </c>
      <c r="H2396">
        <v>35517</v>
      </c>
      <c r="I2396" t="s">
        <v>36</v>
      </c>
      <c r="J2396" t="s">
        <v>36</v>
      </c>
      <c r="K2396" t="s">
        <v>36</v>
      </c>
      <c r="L2396" t="s">
        <v>36</v>
      </c>
      <c r="M2396" t="s">
        <v>36</v>
      </c>
      <c r="N2396" t="s">
        <v>36</v>
      </c>
      <c r="O2396" t="s">
        <v>36</v>
      </c>
      <c r="P2396" t="s">
        <v>442</v>
      </c>
      <c r="Q2396" t="s">
        <v>36</v>
      </c>
      <c r="R2396" t="s">
        <v>36</v>
      </c>
      <c r="S2396" t="s">
        <v>36</v>
      </c>
      <c r="T2396" t="s">
        <v>36</v>
      </c>
      <c r="U2396" t="s">
        <v>36</v>
      </c>
      <c r="V2396" t="s">
        <v>36</v>
      </c>
      <c r="W2396" t="s">
        <v>36</v>
      </c>
      <c r="X2396" t="s">
        <v>36</v>
      </c>
      <c r="Y2396" t="s">
        <v>36</v>
      </c>
      <c r="Z2396" t="s">
        <v>36</v>
      </c>
      <c r="AA2396" t="s">
        <v>36</v>
      </c>
      <c r="AB2396" t="s">
        <v>36</v>
      </c>
      <c r="AC2396" t="s">
        <v>36</v>
      </c>
      <c r="AD2396" t="s">
        <v>36</v>
      </c>
      <c r="AE2396" t="s">
        <v>36</v>
      </c>
      <c r="AF2396" t="s">
        <v>36</v>
      </c>
      <c r="AG2396" t="s">
        <v>36</v>
      </c>
    </row>
    <row r="2397" spans="1:33" hidden="1" x14ac:dyDescent="0.2">
      <c r="A2397">
        <v>2396</v>
      </c>
      <c r="B2397" t="s">
        <v>662</v>
      </c>
      <c r="C2397" t="s">
        <v>108</v>
      </c>
      <c r="D2397">
        <v>30</v>
      </c>
      <c r="E2397" t="s">
        <v>34</v>
      </c>
      <c r="F2397" t="s">
        <v>38</v>
      </c>
      <c r="G2397" t="s">
        <v>40</v>
      </c>
      <c r="H2397">
        <v>83241</v>
      </c>
      <c r="I2397">
        <v>0</v>
      </c>
      <c r="J2397">
        <v>0</v>
      </c>
      <c r="K2397">
        <v>1</v>
      </c>
      <c r="L2397">
        <v>0</v>
      </c>
      <c r="M2397" t="s">
        <v>36</v>
      </c>
      <c r="N2397" t="s">
        <v>36</v>
      </c>
      <c r="O2397" t="s">
        <v>36</v>
      </c>
      <c r="P2397" t="s">
        <v>442</v>
      </c>
      <c r="Q2397" t="s">
        <v>36</v>
      </c>
      <c r="R2397" t="s">
        <v>36</v>
      </c>
      <c r="S2397" t="s">
        <v>36</v>
      </c>
      <c r="T2397" t="s">
        <v>36</v>
      </c>
      <c r="U2397" t="s">
        <v>36</v>
      </c>
      <c r="V2397" t="s">
        <v>36</v>
      </c>
      <c r="W2397" t="s">
        <v>36</v>
      </c>
      <c r="X2397" t="s">
        <v>36</v>
      </c>
      <c r="Y2397" t="s">
        <v>36</v>
      </c>
      <c r="Z2397" t="s">
        <v>36</v>
      </c>
      <c r="AA2397" t="s">
        <v>36</v>
      </c>
      <c r="AB2397" t="s">
        <v>36</v>
      </c>
      <c r="AC2397" t="s">
        <v>36</v>
      </c>
      <c r="AD2397" t="s">
        <v>36</v>
      </c>
      <c r="AE2397" t="s">
        <v>36</v>
      </c>
      <c r="AF2397" t="s">
        <v>36</v>
      </c>
      <c r="AG2397" t="s">
        <v>36</v>
      </c>
    </row>
    <row r="2398" spans="1:33" hidden="1" x14ac:dyDescent="0.2">
      <c r="A2398">
        <v>2397</v>
      </c>
      <c r="B2398" t="s">
        <v>662</v>
      </c>
      <c r="C2398" t="s">
        <v>108</v>
      </c>
      <c r="D2398">
        <v>30</v>
      </c>
      <c r="E2398" t="s">
        <v>34</v>
      </c>
      <c r="F2398" t="s">
        <v>38</v>
      </c>
      <c r="G2398" t="s">
        <v>39</v>
      </c>
      <c r="H2398">
        <v>41424</v>
      </c>
      <c r="I2398">
        <v>0</v>
      </c>
      <c r="J2398">
        <v>0</v>
      </c>
      <c r="K2398">
        <v>0</v>
      </c>
      <c r="L2398">
        <v>1</v>
      </c>
      <c r="M2398" t="s">
        <v>36</v>
      </c>
      <c r="N2398" t="s">
        <v>36</v>
      </c>
      <c r="O2398" t="s">
        <v>36</v>
      </c>
      <c r="P2398" t="s">
        <v>442</v>
      </c>
      <c r="Q2398" t="s">
        <v>36</v>
      </c>
      <c r="R2398" t="s">
        <v>36</v>
      </c>
      <c r="S2398" t="s">
        <v>36</v>
      </c>
      <c r="T2398" t="s">
        <v>36</v>
      </c>
      <c r="U2398" t="s">
        <v>36</v>
      </c>
      <c r="V2398" t="s">
        <v>36</v>
      </c>
      <c r="W2398" t="s">
        <v>36</v>
      </c>
      <c r="X2398" t="s">
        <v>36</v>
      </c>
      <c r="Y2398" t="s">
        <v>36</v>
      </c>
      <c r="Z2398" t="s">
        <v>36</v>
      </c>
      <c r="AA2398" t="s">
        <v>36</v>
      </c>
      <c r="AB2398" t="s">
        <v>36</v>
      </c>
      <c r="AC2398" t="s">
        <v>36</v>
      </c>
      <c r="AD2398" t="s">
        <v>36</v>
      </c>
      <c r="AE2398" t="s">
        <v>36</v>
      </c>
      <c r="AF2398" t="s">
        <v>36</v>
      </c>
      <c r="AG2398" t="s">
        <v>36</v>
      </c>
    </row>
    <row r="2399" spans="1:33" x14ac:dyDescent="0.2">
      <c r="A2399">
        <v>2398</v>
      </c>
      <c r="B2399" t="s">
        <v>662</v>
      </c>
      <c r="C2399" t="s">
        <v>108</v>
      </c>
      <c r="D2399">
        <v>30</v>
      </c>
      <c r="E2399" t="s">
        <v>34</v>
      </c>
      <c r="F2399" t="s">
        <v>41</v>
      </c>
      <c r="G2399" t="s">
        <v>72</v>
      </c>
      <c r="H2399">
        <v>50399</v>
      </c>
      <c r="I2399">
        <v>0</v>
      </c>
      <c r="J2399">
        <v>0</v>
      </c>
      <c r="K2399">
        <v>0</v>
      </c>
      <c r="L2399">
        <v>1</v>
      </c>
      <c r="M2399" t="s">
        <v>73</v>
      </c>
      <c r="N2399" t="s">
        <v>115</v>
      </c>
      <c r="O2399" t="s">
        <v>93</v>
      </c>
      <c r="P2399" t="s">
        <v>442</v>
      </c>
      <c r="Q2399" t="s">
        <v>48</v>
      </c>
      <c r="R2399" t="s">
        <v>65</v>
      </c>
      <c r="S2399" t="s">
        <v>59</v>
      </c>
      <c r="T2399">
        <v>0</v>
      </c>
      <c r="U2399">
        <v>1</v>
      </c>
      <c r="V2399">
        <v>1</v>
      </c>
      <c r="W2399">
        <v>0</v>
      </c>
      <c r="X2399">
        <v>0</v>
      </c>
      <c r="Y2399">
        <v>0</v>
      </c>
      <c r="Z2399">
        <v>1</v>
      </c>
      <c r="AA2399">
        <v>0</v>
      </c>
      <c r="AB2399">
        <v>0</v>
      </c>
      <c r="AC2399">
        <v>0</v>
      </c>
      <c r="AD2399">
        <v>0</v>
      </c>
      <c r="AE2399">
        <v>0</v>
      </c>
      <c r="AF2399">
        <v>0</v>
      </c>
      <c r="AG2399">
        <v>1</v>
      </c>
    </row>
    <row r="2400" spans="1:33" x14ac:dyDescent="0.2">
      <c r="A2400">
        <v>2399</v>
      </c>
      <c r="B2400" t="s">
        <v>662</v>
      </c>
      <c r="C2400" t="s">
        <v>108</v>
      </c>
      <c r="D2400">
        <v>30</v>
      </c>
      <c r="E2400" t="s">
        <v>34</v>
      </c>
      <c r="F2400" t="s">
        <v>41</v>
      </c>
      <c r="G2400" t="s">
        <v>49</v>
      </c>
      <c r="H2400">
        <v>54343</v>
      </c>
      <c r="I2400">
        <v>0</v>
      </c>
      <c r="J2400">
        <v>0</v>
      </c>
      <c r="K2400">
        <v>0</v>
      </c>
      <c r="L2400">
        <v>1</v>
      </c>
      <c r="M2400" t="s">
        <v>95</v>
      </c>
      <c r="N2400" t="s">
        <v>96</v>
      </c>
      <c r="O2400" t="s">
        <v>83</v>
      </c>
      <c r="P2400" t="s">
        <v>442</v>
      </c>
      <c r="Q2400" t="s">
        <v>60</v>
      </c>
      <c r="R2400" t="s">
        <v>65</v>
      </c>
      <c r="S2400" t="s">
        <v>59</v>
      </c>
      <c r="T2400">
        <v>1</v>
      </c>
      <c r="U2400">
        <v>1</v>
      </c>
      <c r="V2400">
        <v>0</v>
      </c>
      <c r="W2400">
        <v>0</v>
      </c>
      <c r="X2400">
        <v>0</v>
      </c>
      <c r="Y2400">
        <v>0</v>
      </c>
      <c r="Z2400">
        <v>1</v>
      </c>
      <c r="AA2400">
        <v>0</v>
      </c>
      <c r="AB2400">
        <v>0</v>
      </c>
      <c r="AC2400">
        <v>0</v>
      </c>
      <c r="AD2400">
        <v>0</v>
      </c>
      <c r="AE2400">
        <v>0</v>
      </c>
      <c r="AF2400">
        <v>0</v>
      </c>
      <c r="AG2400">
        <v>1</v>
      </c>
    </row>
    <row r="2401" spans="1:33" hidden="1" x14ac:dyDescent="0.2">
      <c r="A2401">
        <v>2400</v>
      </c>
      <c r="B2401" t="s">
        <v>662</v>
      </c>
      <c r="C2401" t="s">
        <v>108</v>
      </c>
      <c r="D2401">
        <v>30</v>
      </c>
      <c r="E2401" t="s">
        <v>34</v>
      </c>
      <c r="F2401" t="s">
        <v>53</v>
      </c>
      <c r="G2401" t="s">
        <v>66</v>
      </c>
      <c r="H2401">
        <v>28202</v>
      </c>
      <c r="I2401">
        <v>0</v>
      </c>
      <c r="J2401">
        <v>0</v>
      </c>
      <c r="K2401">
        <v>0</v>
      </c>
      <c r="L2401">
        <v>1</v>
      </c>
      <c r="M2401" t="s">
        <v>36</v>
      </c>
      <c r="N2401" t="s">
        <v>36</v>
      </c>
      <c r="O2401" t="s">
        <v>36</v>
      </c>
      <c r="P2401" t="s">
        <v>442</v>
      </c>
      <c r="Q2401" t="s">
        <v>36</v>
      </c>
      <c r="R2401" t="s">
        <v>36</v>
      </c>
      <c r="S2401" t="s">
        <v>36</v>
      </c>
      <c r="T2401" t="s">
        <v>36</v>
      </c>
      <c r="U2401">
        <v>1</v>
      </c>
      <c r="V2401">
        <v>0</v>
      </c>
      <c r="W2401">
        <v>0</v>
      </c>
      <c r="X2401">
        <v>0</v>
      </c>
      <c r="Y2401">
        <v>0</v>
      </c>
      <c r="Z2401">
        <v>1</v>
      </c>
      <c r="AA2401">
        <v>0</v>
      </c>
      <c r="AB2401">
        <v>0</v>
      </c>
      <c r="AC2401">
        <v>0</v>
      </c>
      <c r="AD2401">
        <v>0</v>
      </c>
      <c r="AE2401">
        <v>0</v>
      </c>
      <c r="AF2401">
        <v>0</v>
      </c>
      <c r="AG2401">
        <v>1</v>
      </c>
    </row>
    <row r="2402" spans="1:33" x14ac:dyDescent="0.2">
      <c r="A2402">
        <v>2401</v>
      </c>
      <c r="B2402" t="s">
        <v>662</v>
      </c>
      <c r="C2402" t="s">
        <v>108</v>
      </c>
      <c r="D2402">
        <v>30</v>
      </c>
      <c r="E2402" t="s">
        <v>34</v>
      </c>
      <c r="F2402" t="s">
        <v>41</v>
      </c>
      <c r="G2402" t="s">
        <v>55</v>
      </c>
      <c r="H2402">
        <v>26243</v>
      </c>
      <c r="I2402">
        <v>0</v>
      </c>
      <c r="J2402">
        <v>0</v>
      </c>
      <c r="K2402">
        <v>0</v>
      </c>
      <c r="L2402">
        <v>1</v>
      </c>
      <c r="M2402" t="s">
        <v>57</v>
      </c>
      <c r="N2402" t="s">
        <v>85</v>
      </c>
      <c r="O2402" t="s">
        <v>56</v>
      </c>
      <c r="P2402" t="s">
        <v>442</v>
      </c>
      <c r="Q2402" t="s">
        <v>48</v>
      </c>
      <c r="R2402" t="s">
        <v>65</v>
      </c>
      <c r="S2402" t="s">
        <v>59</v>
      </c>
      <c r="T2402">
        <v>0</v>
      </c>
      <c r="U2402">
        <v>1</v>
      </c>
      <c r="V2402">
        <v>1</v>
      </c>
      <c r="W2402">
        <v>0</v>
      </c>
      <c r="X2402">
        <v>0</v>
      </c>
      <c r="Y2402">
        <v>0</v>
      </c>
      <c r="Z2402">
        <v>1</v>
      </c>
      <c r="AA2402">
        <v>0</v>
      </c>
      <c r="AB2402">
        <v>0</v>
      </c>
      <c r="AC2402">
        <v>0</v>
      </c>
      <c r="AD2402">
        <v>0</v>
      </c>
      <c r="AE2402">
        <v>0</v>
      </c>
      <c r="AF2402">
        <v>0</v>
      </c>
      <c r="AG2402">
        <v>1</v>
      </c>
    </row>
    <row r="2403" spans="1:33" x14ac:dyDescent="0.2">
      <c r="A2403">
        <v>2402</v>
      </c>
      <c r="B2403" t="s">
        <v>662</v>
      </c>
      <c r="C2403" t="s">
        <v>108</v>
      </c>
      <c r="D2403">
        <v>30</v>
      </c>
      <c r="E2403" t="s">
        <v>34</v>
      </c>
      <c r="F2403" t="s">
        <v>41</v>
      </c>
      <c r="G2403" t="s">
        <v>61</v>
      </c>
      <c r="H2403">
        <v>27477</v>
      </c>
      <c r="I2403">
        <v>0</v>
      </c>
      <c r="J2403">
        <v>0</v>
      </c>
      <c r="K2403">
        <v>0</v>
      </c>
      <c r="L2403">
        <v>1</v>
      </c>
      <c r="M2403" t="s">
        <v>62</v>
      </c>
      <c r="N2403" t="s">
        <v>125</v>
      </c>
      <c r="O2403" t="s">
        <v>63</v>
      </c>
      <c r="P2403" t="s">
        <v>442</v>
      </c>
      <c r="Q2403" t="s">
        <v>65</v>
      </c>
      <c r="R2403" t="s">
        <v>60</v>
      </c>
      <c r="S2403" t="s">
        <v>46</v>
      </c>
      <c r="T2403">
        <v>1</v>
      </c>
      <c r="U2403">
        <v>1</v>
      </c>
      <c r="V2403">
        <v>0</v>
      </c>
      <c r="W2403">
        <v>0</v>
      </c>
      <c r="X2403">
        <v>1</v>
      </c>
      <c r="Y2403">
        <v>0</v>
      </c>
      <c r="Z2403">
        <v>1</v>
      </c>
      <c r="AA2403">
        <v>0</v>
      </c>
      <c r="AB2403">
        <v>0</v>
      </c>
      <c r="AC2403">
        <v>0</v>
      </c>
      <c r="AD2403">
        <v>0</v>
      </c>
      <c r="AE2403">
        <v>0</v>
      </c>
      <c r="AF2403">
        <v>0</v>
      </c>
      <c r="AG2403">
        <v>1</v>
      </c>
    </row>
    <row r="2404" spans="1:33" hidden="1" x14ac:dyDescent="0.2">
      <c r="A2404">
        <v>2403</v>
      </c>
      <c r="B2404" t="s">
        <v>662</v>
      </c>
      <c r="C2404" t="s">
        <v>108</v>
      </c>
      <c r="D2404">
        <v>30</v>
      </c>
      <c r="E2404" t="s">
        <v>34</v>
      </c>
      <c r="F2404" t="s">
        <v>53</v>
      </c>
      <c r="G2404" t="s">
        <v>71</v>
      </c>
      <c r="H2404">
        <v>53991</v>
      </c>
      <c r="I2404">
        <v>0</v>
      </c>
      <c r="J2404">
        <v>0</v>
      </c>
      <c r="K2404">
        <v>0</v>
      </c>
      <c r="L2404">
        <v>1</v>
      </c>
      <c r="M2404" t="s">
        <v>36</v>
      </c>
      <c r="N2404" t="s">
        <v>36</v>
      </c>
      <c r="O2404" t="s">
        <v>36</v>
      </c>
      <c r="P2404" t="s">
        <v>442</v>
      </c>
      <c r="Q2404" t="s">
        <v>36</v>
      </c>
      <c r="R2404" t="s">
        <v>36</v>
      </c>
      <c r="S2404" t="s">
        <v>36</v>
      </c>
      <c r="T2404" t="s">
        <v>36</v>
      </c>
      <c r="U2404">
        <v>1</v>
      </c>
      <c r="V2404">
        <v>0</v>
      </c>
      <c r="W2404">
        <v>0</v>
      </c>
      <c r="X2404">
        <v>1</v>
      </c>
      <c r="Y2404">
        <v>0</v>
      </c>
      <c r="Z2404">
        <v>1</v>
      </c>
      <c r="AA2404">
        <v>0</v>
      </c>
      <c r="AB2404">
        <v>0</v>
      </c>
      <c r="AC2404">
        <v>0</v>
      </c>
      <c r="AD2404">
        <v>0</v>
      </c>
      <c r="AE2404">
        <v>0</v>
      </c>
      <c r="AF2404">
        <v>0</v>
      </c>
      <c r="AG2404">
        <v>1</v>
      </c>
    </row>
    <row r="2405" spans="1:33" x14ac:dyDescent="0.2">
      <c r="A2405">
        <v>2404</v>
      </c>
      <c r="B2405" t="s">
        <v>662</v>
      </c>
      <c r="C2405" t="s">
        <v>108</v>
      </c>
      <c r="D2405">
        <v>30</v>
      </c>
      <c r="E2405" t="s">
        <v>34</v>
      </c>
      <c r="F2405" t="s">
        <v>41</v>
      </c>
      <c r="G2405" t="s">
        <v>67</v>
      </c>
      <c r="H2405">
        <v>33648</v>
      </c>
      <c r="I2405">
        <v>0</v>
      </c>
      <c r="J2405">
        <v>0</v>
      </c>
      <c r="K2405">
        <v>0</v>
      </c>
      <c r="L2405">
        <v>1</v>
      </c>
      <c r="M2405" t="s">
        <v>70</v>
      </c>
      <c r="N2405" t="s">
        <v>86</v>
      </c>
      <c r="O2405" t="s">
        <v>68</v>
      </c>
      <c r="P2405" t="s">
        <v>442</v>
      </c>
      <c r="Q2405" t="s">
        <v>47</v>
      </c>
      <c r="R2405" t="s">
        <v>46</v>
      </c>
      <c r="S2405" t="s">
        <v>65</v>
      </c>
      <c r="T2405">
        <v>0</v>
      </c>
      <c r="U2405">
        <v>1</v>
      </c>
      <c r="V2405">
        <v>0</v>
      </c>
      <c r="W2405">
        <v>1</v>
      </c>
      <c r="X2405">
        <v>1</v>
      </c>
      <c r="Y2405">
        <v>0</v>
      </c>
      <c r="Z2405">
        <v>1</v>
      </c>
      <c r="AA2405">
        <v>0</v>
      </c>
      <c r="AB2405">
        <v>0</v>
      </c>
      <c r="AC2405">
        <v>0</v>
      </c>
      <c r="AD2405">
        <v>0</v>
      </c>
      <c r="AE2405">
        <v>0</v>
      </c>
      <c r="AF2405">
        <v>0</v>
      </c>
      <c r="AG2405">
        <v>1</v>
      </c>
    </row>
    <row r="2406" spans="1:33" hidden="1" x14ac:dyDescent="0.2">
      <c r="A2406">
        <v>2405</v>
      </c>
      <c r="B2406" t="s">
        <v>662</v>
      </c>
      <c r="C2406" t="s">
        <v>108</v>
      </c>
      <c r="D2406">
        <v>30</v>
      </c>
      <c r="E2406" t="s">
        <v>34</v>
      </c>
      <c r="F2406" t="s">
        <v>53</v>
      </c>
      <c r="G2406" t="s">
        <v>76</v>
      </c>
      <c r="H2406">
        <v>25250</v>
      </c>
      <c r="I2406">
        <v>1</v>
      </c>
      <c r="J2406">
        <v>0</v>
      </c>
      <c r="K2406">
        <v>0</v>
      </c>
      <c r="L2406">
        <v>0</v>
      </c>
      <c r="M2406" t="s">
        <v>36</v>
      </c>
      <c r="N2406" t="s">
        <v>36</v>
      </c>
      <c r="O2406" t="s">
        <v>36</v>
      </c>
      <c r="P2406" t="s">
        <v>442</v>
      </c>
      <c r="Q2406" t="s">
        <v>36</v>
      </c>
      <c r="R2406" t="s">
        <v>36</v>
      </c>
      <c r="S2406" t="s">
        <v>36</v>
      </c>
      <c r="T2406" t="s">
        <v>36</v>
      </c>
      <c r="U2406">
        <v>1</v>
      </c>
      <c r="V2406">
        <v>0</v>
      </c>
      <c r="W2406">
        <v>1</v>
      </c>
      <c r="X2406">
        <v>1</v>
      </c>
      <c r="Y2406">
        <v>0</v>
      </c>
      <c r="Z2406">
        <v>1</v>
      </c>
      <c r="AA2406">
        <v>0</v>
      </c>
      <c r="AB2406">
        <v>0</v>
      </c>
      <c r="AC2406">
        <v>0</v>
      </c>
      <c r="AD2406">
        <v>0</v>
      </c>
      <c r="AE2406">
        <v>0</v>
      </c>
      <c r="AF2406">
        <v>0</v>
      </c>
      <c r="AG2406">
        <v>1</v>
      </c>
    </row>
    <row r="2407" spans="1:33" x14ac:dyDescent="0.2">
      <c r="A2407">
        <v>2406</v>
      </c>
      <c r="B2407" t="s">
        <v>662</v>
      </c>
      <c r="C2407" t="s">
        <v>108</v>
      </c>
      <c r="D2407">
        <v>30</v>
      </c>
      <c r="E2407" t="s">
        <v>34</v>
      </c>
      <c r="F2407" t="s">
        <v>41</v>
      </c>
      <c r="G2407" t="s">
        <v>42</v>
      </c>
      <c r="H2407">
        <v>25429</v>
      </c>
      <c r="I2407">
        <v>0</v>
      </c>
      <c r="J2407">
        <v>0</v>
      </c>
      <c r="K2407">
        <v>0</v>
      </c>
      <c r="L2407">
        <v>1</v>
      </c>
      <c r="M2407" t="s">
        <v>43</v>
      </c>
      <c r="N2407" t="s">
        <v>45</v>
      </c>
      <c r="O2407" t="s">
        <v>82</v>
      </c>
      <c r="P2407" t="s">
        <v>442</v>
      </c>
      <c r="Q2407" t="s">
        <v>46</v>
      </c>
      <c r="R2407" t="s">
        <v>48</v>
      </c>
      <c r="S2407" t="s">
        <v>65</v>
      </c>
      <c r="T2407">
        <v>0</v>
      </c>
      <c r="U2407">
        <v>1</v>
      </c>
      <c r="V2407">
        <v>1</v>
      </c>
      <c r="W2407">
        <v>0</v>
      </c>
      <c r="X2407">
        <v>1</v>
      </c>
      <c r="Y2407">
        <v>0</v>
      </c>
      <c r="Z2407">
        <v>1</v>
      </c>
      <c r="AA2407">
        <v>0</v>
      </c>
      <c r="AB2407">
        <v>0</v>
      </c>
      <c r="AC2407">
        <v>0</v>
      </c>
      <c r="AD2407">
        <v>0</v>
      </c>
      <c r="AE2407">
        <v>0</v>
      </c>
      <c r="AF2407">
        <v>0</v>
      </c>
      <c r="AG2407">
        <v>1</v>
      </c>
    </row>
    <row r="2408" spans="1:33" hidden="1" x14ac:dyDescent="0.2">
      <c r="A2408">
        <v>2407</v>
      </c>
      <c r="B2408" t="s">
        <v>662</v>
      </c>
      <c r="C2408" t="s">
        <v>108</v>
      </c>
      <c r="D2408">
        <v>30</v>
      </c>
      <c r="E2408" t="s">
        <v>34</v>
      </c>
      <c r="F2408" t="s">
        <v>53</v>
      </c>
      <c r="G2408" t="s">
        <v>54</v>
      </c>
      <c r="H2408">
        <v>38422</v>
      </c>
      <c r="I2408">
        <v>0</v>
      </c>
      <c r="J2408">
        <v>1</v>
      </c>
      <c r="K2408">
        <v>0</v>
      </c>
      <c r="L2408">
        <v>0</v>
      </c>
      <c r="M2408" t="s">
        <v>36</v>
      </c>
      <c r="N2408" t="s">
        <v>36</v>
      </c>
      <c r="O2408" t="s">
        <v>36</v>
      </c>
      <c r="P2408" t="s">
        <v>442</v>
      </c>
      <c r="Q2408" t="s">
        <v>36</v>
      </c>
      <c r="R2408" t="s">
        <v>36</v>
      </c>
      <c r="S2408" t="s">
        <v>36</v>
      </c>
      <c r="T2408" t="s">
        <v>36</v>
      </c>
      <c r="U2408">
        <v>1</v>
      </c>
      <c r="V2408">
        <v>1</v>
      </c>
      <c r="W2408">
        <v>0</v>
      </c>
      <c r="X2408">
        <v>1</v>
      </c>
      <c r="Y2408">
        <v>0</v>
      </c>
      <c r="Z2408">
        <v>1</v>
      </c>
      <c r="AA2408">
        <v>0</v>
      </c>
      <c r="AB2408">
        <v>0</v>
      </c>
      <c r="AC2408">
        <v>0</v>
      </c>
      <c r="AD2408">
        <v>0</v>
      </c>
      <c r="AE2408">
        <v>0</v>
      </c>
      <c r="AF2408">
        <v>0</v>
      </c>
      <c r="AG2408">
        <v>1</v>
      </c>
    </row>
    <row r="2409" spans="1:33" hidden="1" x14ac:dyDescent="0.2">
      <c r="A2409">
        <v>2408</v>
      </c>
      <c r="B2409" t="s">
        <v>662</v>
      </c>
      <c r="C2409" t="s">
        <v>108</v>
      </c>
      <c r="D2409">
        <v>30</v>
      </c>
      <c r="E2409" t="s">
        <v>34</v>
      </c>
      <c r="F2409" t="s">
        <v>77</v>
      </c>
      <c r="G2409" t="s">
        <v>36</v>
      </c>
      <c r="H2409">
        <v>174886</v>
      </c>
      <c r="I2409" t="s">
        <v>663</v>
      </c>
      <c r="J2409" t="s">
        <v>664</v>
      </c>
      <c r="K2409" t="s">
        <v>665</v>
      </c>
      <c r="L2409" t="s">
        <v>36</v>
      </c>
      <c r="M2409" t="s">
        <v>36</v>
      </c>
      <c r="N2409" t="s">
        <v>36</v>
      </c>
      <c r="O2409" t="s">
        <v>36</v>
      </c>
      <c r="P2409" t="s">
        <v>442</v>
      </c>
      <c r="Q2409" t="s">
        <v>36</v>
      </c>
      <c r="R2409" t="s">
        <v>36</v>
      </c>
      <c r="S2409" t="s">
        <v>36</v>
      </c>
      <c r="T2409" t="s">
        <v>36</v>
      </c>
      <c r="U2409" t="s">
        <v>36</v>
      </c>
      <c r="V2409" t="s">
        <v>36</v>
      </c>
      <c r="W2409" t="s">
        <v>36</v>
      </c>
      <c r="X2409" t="s">
        <v>36</v>
      </c>
      <c r="Y2409" t="s">
        <v>36</v>
      </c>
      <c r="Z2409" t="s">
        <v>36</v>
      </c>
      <c r="AA2409" t="s">
        <v>36</v>
      </c>
      <c r="AB2409" t="s">
        <v>36</v>
      </c>
      <c r="AC2409" t="s">
        <v>36</v>
      </c>
      <c r="AD2409" t="s">
        <v>36</v>
      </c>
      <c r="AE2409" t="s">
        <v>36</v>
      </c>
      <c r="AF2409" t="s">
        <v>36</v>
      </c>
      <c r="AG2409" t="s">
        <v>36</v>
      </c>
    </row>
    <row r="2410" spans="1:33" hidden="1" x14ac:dyDescent="0.2">
      <c r="A2410">
        <v>2409</v>
      </c>
      <c r="B2410" t="s">
        <v>666</v>
      </c>
      <c r="C2410" t="s">
        <v>667</v>
      </c>
      <c r="D2410">
        <v>39</v>
      </c>
      <c r="E2410" t="s">
        <v>34</v>
      </c>
      <c r="F2410" t="s">
        <v>35</v>
      </c>
      <c r="G2410" t="s">
        <v>36</v>
      </c>
      <c r="H2410">
        <v>28732</v>
      </c>
      <c r="I2410" t="s">
        <v>36</v>
      </c>
      <c r="J2410" t="s">
        <v>36</v>
      </c>
      <c r="K2410" t="s">
        <v>36</v>
      </c>
      <c r="L2410" t="s">
        <v>36</v>
      </c>
      <c r="M2410" t="s">
        <v>36</v>
      </c>
      <c r="N2410" t="s">
        <v>36</v>
      </c>
      <c r="O2410" t="s">
        <v>36</v>
      </c>
      <c r="P2410" t="s">
        <v>442</v>
      </c>
      <c r="Q2410" t="s">
        <v>36</v>
      </c>
      <c r="R2410" t="s">
        <v>36</v>
      </c>
      <c r="S2410" t="s">
        <v>36</v>
      </c>
      <c r="T2410" t="s">
        <v>36</v>
      </c>
      <c r="U2410" t="s">
        <v>36</v>
      </c>
      <c r="V2410" t="s">
        <v>36</v>
      </c>
      <c r="W2410" t="s">
        <v>36</v>
      </c>
      <c r="X2410" t="s">
        <v>36</v>
      </c>
      <c r="Y2410" t="s">
        <v>36</v>
      </c>
      <c r="Z2410" t="s">
        <v>36</v>
      </c>
      <c r="AA2410" t="s">
        <v>36</v>
      </c>
      <c r="AB2410" t="s">
        <v>36</v>
      </c>
      <c r="AC2410" t="s">
        <v>36</v>
      </c>
      <c r="AD2410" t="s">
        <v>36</v>
      </c>
      <c r="AE2410" t="s">
        <v>36</v>
      </c>
      <c r="AF2410" t="s">
        <v>36</v>
      </c>
      <c r="AG2410" t="s">
        <v>36</v>
      </c>
    </row>
    <row r="2411" spans="1:33" hidden="1" x14ac:dyDescent="0.2">
      <c r="A2411">
        <v>2410</v>
      </c>
      <c r="B2411" t="s">
        <v>666</v>
      </c>
      <c r="C2411" t="s">
        <v>667</v>
      </c>
      <c r="D2411">
        <v>39</v>
      </c>
      <c r="E2411" t="s">
        <v>34</v>
      </c>
      <c r="F2411" t="s">
        <v>38</v>
      </c>
      <c r="G2411" t="s">
        <v>40</v>
      </c>
      <c r="H2411">
        <v>69895</v>
      </c>
      <c r="I2411">
        <v>0</v>
      </c>
      <c r="J2411">
        <v>0</v>
      </c>
      <c r="K2411">
        <v>1</v>
      </c>
      <c r="L2411">
        <v>0</v>
      </c>
      <c r="M2411" t="s">
        <v>36</v>
      </c>
      <c r="N2411" t="s">
        <v>36</v>
      </c>
      <c r="O2411" t="s">
        <v>36</v>
      </c>
      <c r="P2411" t="s">
        <v>442</v>
      </c>
      <c r="Q2411" t="s">
        <v>36</v>
      </c>
      <c r="R2411" t="s">
        <v>36</v>
      </c>
      <c r="S2411" t="s">
        <v>36</v>
      </c>
      <c r="T2411" t="s">
        <v>36</v>
      </c>
      <c r="U2411" t="s">
        <v>36</v>
      </c>
      <c r="V2411" t="s">
        <v>36</v>
      </c>
      <c r="W2411" t="s">
        <v>36</v>
      </c>
      <c r="X2411" t="s">
        <v>36</v>
      </c>
      <c r="Y2411" t="s">
        <v>36</v>
      </c>
      <c r="Z2411" t="s">
        <v>36</v>
      </c>
      <c r="AA2411" t="s">
        <v>36</v>
      </c>
      <c r="AB2411" t="s">
        <v>36</v>
      </c>
      <c r="AC2411" t="s">
        <v>36</v>
      </c>
      <c r="AD2411" t="s">
        <v>36</v>
      </c>
      <c r="AE2411" t="s">
        <v>36</v>
      </c>
      <c r="AF2411" t="s">
        <v>36</v>
      </c>
      <c r="AG2411" t="s">
        <v>36</v>
      </c>
    </row>
    <row r="2412" spans="1:33" hidden="1" x14ac:dyDescent="0.2">
      <c r="A2412">
        <v>2411</v>
      </c>
      <c r="B2412" t="s">
        <v>666</v>
      </c>
      <c r="C2412" t="s">
        <v>667</v>
      </c>
      <c r="D2412">
        <v>39</v>
      </c>
      <c r="E2412" t="s">
        <v>34</v>
      </c>
      <c r="F2412" t="s">
        <v>38</v>
      </c>
      <c r="G2412" t="s">
        <v>39</v>
      </c>
      <c r="H2412">
        <v>50117</v>
      </c>
      <c r="I2412">
        <v>0</v>
      </c>
      <c r="J2412">
        <v>0</v>
      </c>
      <c r="K2412">
        <v>0</v>
      </c>
      <c r="L2412">
        <v>1</v>
      </c>
      <c r="M2412" t="s">
        <v>36</v>
      </c>
      <c r="N2412" t="s">
        <v>36</v>
      </c>
      <c r="O2412" t="s">
        <v>36</v>
      </c>
      <c r="P2412" t="s">
        <v>442</v>
      </c>
      <c r="Q2412" t="s">
        <v>36</v>
      </c>
      <c r="R2412" t="s">
        <v>36</v>
      </c>
      <c r="S2412" t="s">
        <v>36</v>
      </c>
      <c r="T2412" t="s">
        <v>36</v>
      </c>
      <c r="U2412" t="s">
        <v>36</v>
      </c>
      <c r="V2412" t="s">
        <v>36</v>
      </c>
      <c r="W2412" t="s">
        <v>36</v>
      </c>
      <c r="X2412" t="s">
        <v>36</v>
      </c>
      <c r="Y2412" t="s">
        <v>36</v>
      </c>
      <c r="Z2412" t="s">
        <v>36</v>
      </c>
      <c r="AA2412" t="s">
        <v>36</v>
      </c>
      <c r="AB2412" t="s">
        <v>36</v>
      </c>
      <c r="AC2412" t="s">
        <v>36</v>
      </c>
      <c r="AD2412" t="s">
        <v>36</v>
      </c>
      <c r="AE2412" t="s">
        <v>36</v>
      </c>
      <c r="AF2412" t="s">
        <v>36</v>
      </c>
      <c r="AG2412" t="s">
        <v>36</v>
      </c>
    </row>
    <row r="2413" spans="1:33" hidden="1" x14ac:dyDescent="0.2">
      <c r="A2413">
        <v>2412</v>
      </c>
      <c r="B2413" t="s">
        <v>666</v>
      </c>
      <c r="C2413" t="s">
        <v>667</v>
      </c>
      <c r="D2413">
        <v>39</v>
      </c>
      <c r="E2413" t="s">
        <v>34</v>
      </c>
      <c r="F2413" t="s">
        <v>41</v>
      </c>
      <c r="G2413" t="s">
        <v>49</v>
      </c>
      <c r="H2413">
        <v>45597</v>
      </c>
      <c r="I2413">
        <v>0</v>
      </c>
      <c r="J2413">
        <v>0</v>
      </c>
      <c r="K2413">
        <v>0</v>
      </c>
      <c r="L2413">
        <v>1</v>
      </c>
      <c r="M2413" t="s">
        <v>52</v>
      </c>
      <c r="N2413" t="s">
        <v>51</v>
      </c>
      <c r="O2413" t="s">
        <v>50</v>
      </c>
      <c r="P2413" t="s">
        <v>442</v>
      </c>
      <c r="Q2413" t="s">
        <v>46</v>
      </c>
      <c r="R2413" t="s">
        <v>47</v>
      </c>
      <c r="S2413" t="s">
        <v>48</v>
      </c>
      <c r="T2413">
        <v>0</v>
      </c>
      <c r="U2413">
        <v>0</v>
      </c>
      <c r="V2413">
        <v>1</v>
      </c>
      <c r="W2413">
        <v>1</v>
      </c>
      <c r="X2413">
        <v>1</v>
      </c>
      <c r="Y2413">
        <v>0</v>
      </c>
      <c r="Z2413">
        <v>1</v>
      </c>
      <c r="AA2413">
        <v>0</v>
      </c>
      <c r="AB2413">
        <v>0</v>
      </c>
      <c r="AC2413">
        <v>0</v>
      </c>
      <c r="AD2413">
        <v>0</v>
      </c>
      <c r="AE2413">
        <v>0</v>
      </c>
      <c r="AF2413">
        <v>0</v>
      </c>
      <c r="AG2413">
        <v>1</v>
      </c>
    </row>
    <row r="2414" spans="1:33" hidden="1" x14ac:dyDescent="0.2">
      <c r="A2414">
        <v>2413</v>
      </c>
      <c r="B2414" t="s">
        <v>666</v>
      </c>
      <c r="C2414" t="s">
        <v>667</v>
      </c>
      <c r="D2414">
        <v>39</v>
      </c>
      <c r="E2414" t="s">
        <v>34</v>
      </c>
      <c r="F2414" t="s">
        <v>41</v>
      </c>
      <c r="G2414" t="s">
        <v>72</v>
      </c>
      <c r="H2414">
        <v>33540</v>
      </c>
      <c r="I2414">
        <v>0</v>
      </c>
      <c r="J2414">
        <v>0</v>
      </c>
      <c r="K2414">
        <v>1</v>
      </c>
      <c r="L2414">
        <v>0</v>
      </c>
      <c r="M2414" t="s">
        <v>115</v>
      </c>
      <c r="N2414" t="s">
        <v>93</v>
      </c>
      <c r="O2414" t="s">
        <v>74</v>
      </c>
      <c r="P2414" t="s">
        <v>442</v>
      </c>
      <c r="Q2414" t="s">
        <v>65</v>
      </c>
      <c r="R2414" t="s">
        <v>59</v>
      </c>
      <c r="S2414" t="s">
        <v>47</v>
      </c>
      <c r="T2414">
        <v>0</v>
      </c>
      <c r="U2414">
        <v>1</v>
      </c>
      <c r="V2414">
        <v>0</v>
      </c>
      <c r="W2414">
        <v>1</v>
      </c>
      <c r="X2414">
        <v>0</v>
      </c>
      <c r="Y2414">
        <v>0</v>
      </c>
      <c r="Z2414">
        <v>1</v>
      </c>
      <c r="AA2414">
        <v>0</v>
      </c>
      <c r="AB2414">
        <v>0</v>
      </c>
      <c r="AC2414">
        <v>0</v>
      </c>
      <c r="AD2414">
        <v>1</v>
      </c>
      <c r="AE2414">
        <v>0</v>
      </c>
      <c r="AF2414">
        <v>0</v>
      </c>
      <c r="AG2414">
        <v>0</v>
      </c>
    </row>
    <row r="2415" spans="1:33" hidden="1" x14ac:dyDescent="0.2">
      <c r="A2415">
        <v>2414</v>
      </c>
      <c r="B2415" t="s">
        <v>666</v>
      </c>
      <c r="C2415" t="s">
        <v>667</v>
      </c>
      <c r="D2415">
        <v>39</v>
      </c>
      <c r="E2415" t="s">
        <v>34</v>
      </c>
      <c r="F2415" t="s">
        <v>53</v>
      </c>
      <c r="G2415" t="s">
        <v>76</v>
      </c>
      <c r="H2415">
        <v>33710</v>
      </c>
      <c r="I2415">
        <v>1</v>
      </c>
      <c r="J2415">
        <v>0</v>
      </c>
      <c r="K2415">
        <v>0</v>
      </c>
      <c r="L2415">
        <v>0</v>
      </c>
      <c r="M2415" t="s">
        <v>36</v>
      </c>
      <c r="N2415" t="s">
        <v>36</v>
      </c>
      <c r="O2415" t="s">
        <v>36</v>
      </c>
      <c r="P2415" t="s">
        <v>442</v>
      </c>
      <c r="Q2415" t="s">
        <v>36</v>
      </c>
      <c r="R2415" t="s">
        <v>36</v>
      </c>
      <c r="S2415" t="s">
        <v>36</v>
      </c>
      <c r="T2415" t="s">
        <v>36</v>
      </c>
      <c r="U2415">
        <v>1</v>
      </c>
      <c r="V2415">
        <v>0</v>
      </c>
      <c r="W2415">
        <v>1</v>
      </c>
      <c r="X2415">
        <v>0</v>
      </c>
      <c r="Y2415">
        <v>0</v>
      </c>
      <c r="Z2415">
        <v>1</v>
      </c>
      <c r="AA2415">
        <v>0</v>
      </c>
      <c r="AB2415">
        <v>0</v>
      </c>
      <c r="AC2415">
        <v>0</v>
      </c>
      <c r="AD2415">
        <v>1</v>
      </c>
      <c r="AE2415">
        <v>0</v>
      </c>
      <c r="AF2415">
        <v>0</v>
      </c>
      <c r="AG2415">
        <v>0</v>
      </c>
    </row>
    <row r="2416" spans="1:33" hidden="1" x14ac:dyDescent="0.2">
      <c r="A2416">
        <v>2415</v>
      </c>
      <c r="B2416" t="s">
        <v>666</v>
      </c>
      <c r="C2416" t="s">
        <v>667</v>
      </c>
      <c r="D2416">
        <v>39</v>
      </c>
      <c r="E2416" t="s">
        <v>34</v>
      </c>
      <c r="F2416" t="s">
        <v>41</v>
      </c>
      <c r="G2416" t="s">
        <v>42</v>
      </c>
      <c r="H2416">
        <v>30127</v>
      </c>
      <c r="I2416">
        <v>1</v>
      </c>
      <c r="J2416">
        <v>0</v>
      </c>
      <c r="K2416">
        <v>1</v>
      </c>
      <c r="L2416">
        <v>0</v>
      </c>
      <c r="M2416" t="s">
        <v>82</v>
      </c>
      <c r="N2416" t="s">
        <v>43</v>
      </c>
      <c r="O2416" t="s">
        <v>44</v>
      </c>
      <c r="P2416" t="s">
        <v>442</v>
      </c>
      <c r="Q2416" t="s">
        <v>65</v>
      </c>
      <c r="R2416" t="s">
        <v>46</v>
      </c>
      <c r="S2416" t="s">
        <v>47</v>
      </c>
      <c r="T2416">
        <v>0</v>
      </c>
      <c r="U2416">
        <v>1</v>
      </c>
      <c r="V2416">
        <v>0</v>
      </c>
      <c r="W2416">
        <v>1</v>
      </c>
      <c r="X2416">
        <v>1</v>
      </c>
      <c r="Y2416">
        <v>0</v>
      </c>
      <c r="Z2416">
        <v>1</v>
      </c>
      <c r="AA2416">
        <v>0</v>
      </c>
      <c r="AB2416">
        <v>1</v>
      </c>
      <c r="AC2416">
        <v>0</v>
      </c>
      <c r="AD2416">
        <v>1</v>
      </c>
      <c r="AE2416">
        <v>0</v>
      </c>
      <c r="AF2416">
        <v>0</v>
      </c>
      <c r="AG2416">
        <v>0</v>
      </c>
    </row>
    <row r="2417" spans="1:33" hidden="1" x14ac:dyDescent="0.2">
      <c r="A2417">
        <v>2416</v>
      </c>
      <c r="B2417" t="s">
        <v>666</v>
      </c>
      <c r="C2417" t="s">
        <v>667</v>
      </c>
      <c r="D2417">
        <v>39</v>
      </c>
      <c r="E2417" t="s">
        <v>34</v>
      </c>
      <c r="F2417" t="s">
        <v>41</v>
      </c>
      <c r="G2417" t="s">
        <v>67</v>
      </c>
      <c r="H2417">
        <v>28997</v>
      </c>
      <c r="I2417">
        <v>1</v>
      </c>
      <c r="J2417">
        <v>1</v>
      </c>
      <c r="K2417">
        <v>0</v>
      </c>
      <c r="L2417">
        <v>0</v>
      </c>
      <c r="M2417" t="s">
        <v>68</v>
      </c>
      <c r="N2417" t="s">
        <v>70</v>
      </c>
      <c r="O2417" t="s">
        <v>69</v>
      </c>
      <c r="P2417" t="s">
        <v>442</v>
      </c>
      <c r="Q2417" t="s">
        <v>65</v>
      </c>
      <c r="R2417" t="s">
        <v>47</v>
      </c>
      <c r="S2417" t="s">
        <v>48</v>
      </c>
      <c r="T2417">
        <v>0</v>
      </c>
      <c r="U2417">
        <v>1</v>
      </c>
      <c r="V2417">
        <v>1</v>
      </c>
      <c r="W2417">
        <v>1</v>
      </c>
      <c r="X2417">
        <v>0</v>
      </c>
      <c r="Y2417">
        <v>0</v>
      </c>
      <c r="Z2417">
        <v>1</v>
      </c>
      <c r="AA2417">
        <v>0</v>
      </c>
      <c r="AB2417">
        <v>1</v>
      </c>
      <c r="AC2417">
        <v>0</v>
      </c>
      <c r="AD2417">
        <v>1</v>
      </c>
      <c r="AE2417">
        <v>0</v>
      </c>
      <c r="AF2417">
        <v>0</v>
      </c>
      <c r="AG2417">
        <v>0</v>
      </c>
    </row>
    <row r="2418" spans="1:33" hidden="1" x14ac:dyDescent="0.2">
      <c r="A2418">
        <v>2417</v>
      </c>
      <c r="B2418" t="s">
        <v>666</v>
      </c>
      <c r="C2418" t="s">
        <v>667</v>
      </c>
      <c r="D2418">
        <v>39</v>
      </c>
      <c r="E2418" t="s">
        <v>34</v>
      </c>
      <c r="F2418" t="s">
        <v>53</v>
      </c>
      <c r="G2418" t="s">
        <v>54</v>
      </c>
      <c r="H2418">
        <v>98102</v>
      </c>
      <c r="I2418">
        <v>0</v>
      </c>
      <c r="J2418">
        <v>0</v>
      </c>
      <c r="K2418">
        <v>1</v>
      </c>
      <c r="L2418">
        <v>0</v>
      </c>
      <c r="M2418" t="s">
        <v>36</v>
      </c>
      <c r="N2418" t="s">
        <v>36</v>
      </c>
      <c r="O2418" t="s">
        <v>36</v>
      </c>
      <c r="P2418" t="s">
        <v>442</v>
      </c>
      <c r="Q2418" t="s">
        <v>36</v>
      </c>
      <c r="R2418" t="s">
        <v>36</v>
      </c>
      <c r="S2418" t="s">
        <v>36</v>
      </c>
      <c r="T2418" t="s">
        <v>36</v>
      </c>
      <c r="U2418">
        <v>1</v>
      </c>
      <c r="V2418">
        <v>1</v>
      </c>
      <c r="W2418">
        <v>1</v>
      </c>
      <c r="X2418">
        <v>0</v>
      </c>
      <c r="Y2418">
        <v>0</v>
      </c>
      <c r="Z2418">
        <v>1</v>
      </c>
      <c r="AA2418">
        <v>0</v>
      </c>
      <c r="AB2418">
        <v>1</v>
      </c>
      <c r="AC2418">
        <v>0</v>
      </c>
      <c r="AD2418">
        <v>1</v>
      </c>
      <c r="AE2418">
        <v>0</v>
      </c>
      <c r="AF2418">
        <v>0</v>
      </c>
      <c r="AG2418">
        <v>0</v>
      </c>
    </row>
    <row r="2419" spans="1:33" hidden="1" x14ac:dyDescent="0.2">
      <c r="A2419">
        <v>2418</v>
      </c>
      <c r="B2419" t="s">
        <v>666</v>
      </c>
      <c r="C2419" t="s">
        <v>667</v>
      </c>
      <c r="D2419">
        <v>39</v>
      </c>
      <c r="E2419" t="s">
        <v>34</v>
      </c>
      <c r="F2419" t="s">
        <v>41</v>
      </c>
      <c r="G2419" t="s">
        <v>61</v>
      </c>
      <c r="H2419">
        <v>36862</v>
      </c>
      <c r="I2419">
        <v>0</v>
      </c>
      <c r="J2419">
        <v>1</v>
      </c>
      <c r="K2419">
        <v>0</v>
      </c>
      <c r="L2419">
        <v>0</v>
      </c>
      <c r="M2419" t="s">
        <v>64</v>
      </c>
      <c r="N2419" t="s">
        <v>62</v>
      </c>
      <c r="O2419" t="s">
        <v>63</v>
      </c>
      <c r="P2419" t="s">
        <v>442</v>
      </c>
      <c r="Q2419" t="s">
        <v>48</v>
      </c>
      <c r="R2419" t="s">
        <v>65</v>
      </c>
      <c r="S2419" t="s">
        <v>46</v>
      </c>
      <c r="T2419">
        <v>0</v>
      </c>
      <c r="U2419">
        <v>1</v>
      </c>
      <c r="V2419">
        <v>1</v>
      </c>
      <c r="W2419">
        <v>0</v>
      </c>
      <c r="X2419">
        <v>1</v>
      </c>
      <c r="Y2419">
        <v>0</v>
      </c>
      <c r="Z2419">
        <v>1</v>
      </c>
      <c r="AA2419">
        <v>0</v>
      </c>
      <c r="AB2419">
        <v>1</v>
      </c>
      <c r="AC2419">
        <v>0</v>
      </c>
      <c r="AD2419">
        <v>0</v>
      </c>
      <c r="AE2419">
        <v>0</v>
      </c>
      <c r="AF2419">
        <v>0</v>
      </c>
      <c r="AG2419">
        <v>0</v>
      </c>
    </row>
    <row r="2420" spans="1:33" hidden="1" x14ac:dyDescent="0.2">
      <c r="A2420">
        <v>2419</v>
      </c>
      <c r="B2420" t="s">
        <v>666</v>
      </c>
      <c r="C2420" t="s">
        <v>667</v>
      </c>
      <c r="D2420">
        <v>39</v>
      </c>
      <c r="E2420" t="s">
        <v>34</v>
      </c>
      <c r="F2420" t="s">
        <v>53</v>
      </c>
      <c r="G2420" t="s">
        <v>71</v>
      </c>
      <c r="H2420">
        <v>56094</v>
      </c>
      <c r="I2420">
        <v>0</v>
      </c>
      <c r="J2420">
        <v>0</v>
      </c>
      <c r="K2420">
        <v>0</v>
      </c>
      <c r="L2420">
        <v>1</v>
      </c>
      <c r="M2420" t="s">
        <v>36</v>
      </c>
      <c r="N2420" t="s">
        <v>36</v>
      </c>
      <c r="O2420" t="s">
        <v>36</v>
      </c>
      <c r="P2420" t="s">
        <v>442</v>
      </c>
      <c r="Q2420" t="s">
        <v>36</v>
      </c>
      <c r="R2420" t="s">
        <v>36</v>
      </c>
      <c r="S2420" t="s">
        <v>36</v>
      </c>
      <c r="T2420" t="s">
        <v>36</v>
      </c>
      <c r="U2420">
        <v>1</v>
      </c>
      <c r="V2420">
        <v>1</v>
      </c>
      <c r="W2420">
        <v>0</v>
      </c>
      <c r="X2420">
        <v>1</v>
      </c>
      <c r="Y2420">
        <v>0</v>
      </c>
      <c r="Z2420">
        <v>1</v>
      </c>
      <c r="AA2420">
        <v>0</v>
      </c>
      <c r="AB2420">
        <v>1</v>
      </c>
      <c r="AC2420">
        <v>0</v>
      </c>
      <c r="AD2420">
        <v>0</v>
      </c>
      <c r="AE2420">
        <v>0</v>
      </c>
      <c r="AF2420">
        <v>0</v>
      </c>
      <c r="AG2420">
        <v>0</v>
      </c>
    </row>
    <row r="2421" spans="1:33" hidden="1" x14ac:dyDescent="0.2">
      <c r="A2421">
        <v>2420</v>
      </c>
      <c r="B2421" t="s">
        <v>666</v>
      </c>
      <c r="C2421" t="s">
        <v>667</v>
      </c>
      <c r="D2421">
        <v>39</v>
      </c>
      <c r="E2421" t="s">
        <v>34</v>
      </c>
      <c r="F2421" t="s">
        <v>41</v>
      </c>
      <c r="G2421" t="s">
        <v>55</v>
      </c>
      <c r="H2421">
        <v>12158</v>
      </c>
      <c r="I2421">
        <v>1</v>
      </c>
      <c r="J2421">
        <v>1</v>
      </c>
      <c r="K2421">
        <v>0</v>
      </c>
      <c r="L2421">
        <v>0</v>
      </c>
      <c r="M2421" t="s">
        <v>85</v>
      </c>
      <c r="N2421" t="s">
        <v>94</v>
      </c>
      <c r="O2421" t="s">
        <v>57</v>
      </c>
      <c r="P2421" t="s">
        <v>442</v>
      </c>
      <c r="Q2421" t="s">
        <v>65</v>
      </c>
      <c r="R2421" t="s">
        <v>47</v>
      </c>
      <c r="S2421" t="s">
        <v>48</v>
      </c>
      <c r="T2421">
        <v>0</v>
      </c>
      <c r="U2421">
        <v>1</v>
      </c>
      <c r="V2421">
        <v>1</v>
      </c>
      <c r="W2421">
        <v>1</v>
      </c>
      <c r="X2421">
        <v>0</v>
      </c>
      <c r="Y2421">
        <v>0</v>
      </c>
      <c r="Z2421">
        <v>1</v>
      </c>
      <c r="AA2421">
        <v>0</v>
      </c>
      <c r="AB2421">
        <v>1</v>
      </c>
      <c r="AC2421">
        <v>0</v>
      </c>
      <c r="AD2421">
        <v>1</v>
      </c>
      <c r="AE2421">
        <v>0</v>
      </c>
      <c r="AF2421">
        <v>0</v>
      </c>
      <c r="AG2421">
        <v>0</v>
      </c>
    </row>
    <row r="2422" spans="1:33" hidden="1" x14ac:dyDescent="0.2">
      <c r="A2422">
        <v>2421</v>
      </c>
      <c r="B2422" t="s">
        <v>666</v>
      </c>
      <c r="C2422" t="s">
        <v>667</v>
      </c>
      <c r="D2422">
        <v>39</v>
      </c>
      <c r="E2422" t="s">
        <v>34</v>
      </c>
      <c r="F2422" t="s">
        <v>53</v>
      </c>
      <c r="G2422" t="s">
        <v>66</v>
      </c>
      <c r="H2422">
        <v>23583</v>
      </c>
      <c r="I2422">
        <v>1</v>
      </c>
      <c r="J2422">
        <v>0</v>
      </c>
      <c r="K2422">
        <v>0</v>
      </c>
      <c r="L2422">
        <v>0</v>
      </c>
      <c r="M2422" t="s">
        <v>36</v>
      </c>
      <c r="N2422" t="s">
        <v>36</v>
      </c>
      <c r="O2422" t="s">
        <v>36</v>
      </c>
      <c r="P2422" t="s">
        <v>442</v>
      </c>
      <c r="Q2422" t="s">
        <v>36</v>
      </c>
      <c r="R2422" t="s">
        <v>36</v>
      </c>
      <c r="S2422" t="s">
        <v>36</v>
      </c>
      <c r="T2422" t="s">
        <v>36</v>
      </c>
      <c r="U2422">
        <v>1</v>
      </c>
      <c r="V2422">
        <v>1</v>
      </c>
      <c r="W2422">
        <v>1</v>
      </c>
      <c r="X2422">
        <v>0</v>
      </c>
      <c r="Y2422">
        <v>0</v>
      </c>
      <c r="Z2422">
        <v>1</v>
      </c>
      <c r="AA2422">
        <v>0</v>
      </c>
      <c r="AB2422">
        <v>1</v>
      </c>
      <c r="AC2422">
        <v>0</v>
      </c>
      <c r="AD2422">
        <v>1</v>
      </c>
      <c r="AE2422">
        <v>0</v>
      </c>
      <c r="AF2422">
        <v>0</v>
      </c>
      <c r="AG2422">
        <v>0</v>
      </c>
    </row>
    <row r="2423" spans="1:33" hidden="1" x14ac:dyDescent="0.2">
      <c r="A2423">
        <v>2422</v>
      </c>
      <c r="B2423" t="s">
        <v>666</v>
      </c>
      <c r="C2423" t="s">
        <v>667</v>
      </c>
      <c r="D2423">
        <v>39</v>
      </c>
      <c r="E2423" t="s">
        <v>34</v>
      </c>
      <c r="F2423" t="s">
        <v>77</v>
      </c>
      <c r="G2423" t="s">
        <v>36</v>
      </c>
      <c r="H2423">
        <v>64246</v>
      </c>
      <c r="I2423" t="s">
        <v>668</v>
      </c>
      <c r="J2423" t="s">
        <v>669</v>
      </c>
      <c r="K2423" t="s">
        <v>670</v>
      </c>
      <c r="L2423" t="s">
        <v>36</v>
      </c>
      <c r="M2423" t="s">
        <v>36</v>
      </c>
      <c r="N2423" t="s">
        <v>36</v>
      </c>
      <c r="O2423" t="s">
        <v>36</v>
      </c>
      <c r="P2423" t="s">
        <v>442</v>
      </c>
      <c r="Q2423" t="s">
        <v>36</v>
      </c>
      <c r="R2423" t="s">
        <v>36</v>
      </c>
      <c r="S2423" t="s">
        <v>36</v>
      </c>
      <c r="T2423" t="s">
        <v>36</v>
      </c>
      <c r="U2423" t="s">
        <v>36</v>
      </c>
      <c r="V2423" t="s">
        <v>36</v>
      </c>
      <c r="W2423" t="s">
        <v>36</v>
      </c>
      <c r="X2423" t="s">
        <v>36</v>
      </c>
      <c r="Y2423" t="s">
        <v>36</v>
      </c>
      <c r="Z2423" t="s">
        <v>36</v>
      </c>
      <c r="AA2423" t="s">
        <v>36</v>
      </c>
      <c r="AB2423" t="s">
        <v>36</v>
      </c>
      <c r="AC2423" t="s">
        <v>36</v>
      </c>
      <c r="AD2423" t="s">
        <v>36</v>
      </c>
      <c r="AE2423" t="s">
        <v>36</v>
      </c>
      <c r="AF2423" t="s">
        <v>36</v>
      </c>
      <c r="AG2423" t="s">
        <v>36</v>
      </c>
    </row>
    <row r="2424" spans="1:33" hidden="1" x14ac:dyDescent="0.2">
      <c r="A2424">
        <v>2423</v>
      </c>
      <c r="B2424" t="s">
        <v>671</v>
      </c>
      <c r="C2424" t="s">
        <v>33</v>
      </c>
      <c r="D2424">
        <v>56</v>
      </c>
      <c r="E2424" t="s">
        <v>114</v>
      </c>
      <c r="F2424" t="s">
        <v>35</v>
      </c>
      <c r="G2424" t="s">
        <v>36</v>
      </c>
      <c r="H2424">
        <v>34466</v>
      </c>
      <c r="I2424" t="s">
        <v>36</v>
      </c>
      <c r="J2424" t="s">
        <v>36</v>
      </c>
      <c r="K2424" t="s">
        <v>36</v>
      </c>
      <c r="L2424" t="s">
        <v>36</v>
      </c>
      <c r="M2424" t="s">
        <v>36</v>
      </c>
      <c r="N2424" t="s">
        <v>36</v>
      </c>
      <c r="O2424" t="s">
        <v>36</v>
      </c>
      <c r="P2424" t="s">
        <v>442</v>
      </c>
      <c r="Q2424" t="s">
        <v>36</v>
      </c>
      <c r="R2424" t="s">
        <v>36</v>
      </c>
      <c r="S2424" t="s">
        <v>36</v>
      </c>
      <c r="T2424" t="s">
        <v>36</v>
      </c>
      <c r="U2424" t="s">
        <v>36</v>
      </c>
      <c r="V2424" t="s">
        <v>36</v>
      </c>
      <c r="W2424" t="s">
        <v>36</v>
      </c>
      <c r="X2424" t="s">
        <v>36</v>
      </c>
      <c r="Y2424" t="s">
        <v>36</v>
      </c>
      <c r="Z2424" t="s">
        <v>36</v>
      </c>
      <c r="AA2424" t="s">
        <v>36</v>
      </c>
      <c r="AB2424" t="s">
        <v>36</v>
      </c>
      <c r="AC2424" t="s">
        <v>36</v>
      </c>
      <c r="AD2424" t="s">
        <v>36</v>
      </c>
      <c r="AE2424" t="s">
        <v>36</v>
      </c>
      <c r="AF2424" t="s">
        <v>36</v>
      </c>
      <c r="AG2424" t="s">
        <v>36</v>
      </c>
    </row>
    <row r="2425" spans="1:33" hidden="1" x14ac:dyDescent="0.2">
      <c r="A2425">
        <v>2424</v>
      </c>
      <c r="B2425" t="s">
        <v>671</v>
      </c>
      <c r="C2425" t="s">
        <v>33</v>
      </c>
      <c r="D2425">
        <v>56</v>
      </c>
      <c r="E2425" t="s">
        <v>114</v>
      </c>
      <c r="F2425" t="s">
        <v>38</v>
      </c>
      <c r="G2425" t="s">
        <v>39</v>
      </c>
      <c r="H2425">
        <v>69610</v>
      </c>
      <c r="I2425">
        <v>0</v>
      </c>
      <c r="J2425">
        <v>0</v>
      </c>
      <c r="K2425">
        <v>0</v>
      </c>
      <c r="L2425">
        <v>1</v>
      </c>
      <c r="M2425" t="s">
        <v>36</v>
      </c>
      <c r="N2425" t="s">
        <v>36</v>
      </c>
      <c r="O2425" t="s">
        <v>36</v>
      </c>
      <c r="P2425" t="s">
        <v>442</v>
      </c>
      <c r="Q2425" t="s">
        <v>36</v>
      </c>
      <c r="R2425" t="s">
        <v>36</v>
      </c>
      <c r="S2425" t="s">
        <v>36</v>
      </c>
      <c r="T2425" t="s">
        <v>36</v>
      </c>
      <c r="U2425" t="s">
        <v>36</v>
      </c>
      <c r="V2425" t="s">
        <v>36</v>
      </c>
      <c r="W2425" t="s">
        <v>36</v>
      </c>
      <c r="X2425" t="s">
        <v>36</v>
      </c>
      <c r="Y2425" t="s">
        <v>36</v>
      </c>
      <c r="Z2425" t="s">
        <v>36</v>
      </c>
      <c r="AA2425" t="s">
        <v>36</v>
      </c>
      <c r="AB2425" t="s">
        <v>36</v>
      </c>
      <c r="AC2425" t="s">
        <v>36</v>
      </c>
      <c r="AD2425" t="s">
        <v>36</v>
      </c>
      <c r="AE2425" t="s">
        <v>36</v>
      </c>
      <c r="AF2425" t="s">
        <v>36</v>
      </c>
      <c r="AG2425" t="s">
        <v>36</v>
      </c>
    </row>
    <row r="2426" spans="1:33" hidden="1" x14ac:dyDescent="0.2">
      <c r="A2426">
        <v>2425</v>
      </c>
      <c r="B2426" t="s">
        <v>671</v>
      </c>
      <c r="C2426" t="s">
        <v>33</v>
      </c>
      <c r="D2426">
        <v>56</v>
      </c>
      <c r="E2426" t="s">
        <v>114</v>
      </c>
      <c r="F2426" t="s">
        <v>38</v>
      </c>
      <c r="G2426" t="s">
        <v>40</v>
      </c>
      <c r="H2426">
        <v>82299</v>
      </c>
      <c r="I2426">
        <v>0</v>
      </c>
      <c r="J2426">
        <v>0</v>
      </c>
      <c r="K2426">
        <v>1</v>
      </c>
      <c r="L2426">
        <v>0</v>
      </c>
      <c r="M2426" t="s">
        <v>36</v>
      </c>
      <c r="N2426" t="s">
        <v>36</v>
      </c>
      <c r="O2426" t="s">
        <v>36</v>
      </c>
      <c r="P2426" t="s">
        <v>442</v>
      </c>
      <c r="Q2426" t="s">
        <v>36</v>
      </c>
      <c r="R2426" t="s">
        <v>36</v>
      </c>
      <c r="S2426" t="s">
        <v>36</v>
      </c>
      <c r="T2426" t="s">
        <v>36</v>
      </c>
      <c r="U2426" t="s">
        <v>36</v>
      </c>
      <c r="V2426" t="s">
        <v>36</v>
      </c>
      <c r="W2426" t="s">
        <v>36</v>
      </c>
      <c r="X2426" t="s">
        <v>36</v>
      </c>
      <c r="Y2426" t="s">
        <v>36</v>
      </c>
      <c r="Z2426" t="s">
        <v>36</v>
      </c>
      <c r="AA2426" t="s">
        <v>36</v>
      </c>
      <c r="AB2426" t="s">
        <v>36</v>
      </c>
      <c r="AC2426" t="s">
        <v>36</v>
      </c>
      <c r="AD2426" t="s">
        <v>36</v>
      </c>
      <c r="AE2426" t="s">
        <v>36</v>
      </c>
      <c r="AF2426" t="s">
        <v>36</v>
      </c>
      <c r="AG2426" t="s">
        <v>36</v>
      </c>
    </row>
    <row r="2427" spans="1:33" x14ac:dyDescent="0.2">
      <c r="A2427">
        <v>2426</v>
      </c>
      <c r="B2427" t="s">
        <v>671</v>
      </c>
      <c r="C2427" t="s">
        <v>33</v>
      </c>
      <c r="D2427">
        <v>56</v>
      </c>
      <c r="E2427" t="s">
        <v>114</v>
      </c>
      <c r="F2427" t="s">
        <v>41</v>
      </c>
      <c r="G2427" t="s">
        <v>42</v>
      </c>
      <c r="H2427">
        <v>79978</v>
      </c>
      <c r="I2427">
        <v>0</v>
      </c>
      <c r="J2427">
        <v>0</v>
      </c>
      <c r="K2427">
        <v>0</v>
      </c>
      <c r="L2427">
        <v>1</v>
      </c>
      <c r="M2427" t="s">
        <v>116</v>
      </c>
      <c r="N2427" t="s">
        <v>43</v>
      </c>
      <c r="O2427" t="s">
        <v>44</v>
      </c>
      <c r="P2427" t="s">
        <v>442</v>
      </c>
      <c r="Q2427" t="s">
        <v>60</v>
      </c>
      <c r="R2427" t="s">
        <v>46</v>
      </c>
      <c r="S2427" t="s">
        <v>47</v>
      </c>
      <c r="T2427">
        <v>1</v>
      </c>
      <c r="U2427">
        <v>0</v>
      </c>
      <c r="V2427">
        <v>0</v>
      </c>
      <c r="W2427">
        <v>1</v>
      </c>
      <c r="X2427">
        <v>1</v>
      </c>
      <c r="Y2427">
        <v>0</v>
      </c>
      <c r="Z2427">
        <v>1</v>
      </c>
      <c r="AA2427">
        <v>0</v>
      </c>
      <c r="AB2427">
        <v>0</v>
      </c>
      <c r="AC2427">
        <v>0</v>
      </c>
      <c r="AD2427">
        <v>0</v>
      </c>
      <c r="AE2427">
        <v>0</v>
      </c>
      <c r="AF2427">
        <v>0</v>
      </c>
      <c r="AG2427">
        <v>1</v>
      </c>
    </row>
    <row r="2428" spans="1:33" hidden="1" x14ac:dyDescent="0.2">
      <c r="A2428">
        <v>2427</v>
      </c>
      <c r="B2428" t="s">
        <v>671</v>
      </c>
      <c r="C2428" t="s">
        <v>33</v>
      </c>
      <c r="D2428">
        <v>56</v>
      </c>
      <c r="E2428" t="s">
        <v>114</v>
      </c>
      <c r="F2428" t="s">
        <v>53</v>
      </c>
      <c r="G2428" t="s">
        <v>76</v>
      </c>
      <c r="H2428">
        <v>61684</v>
      </c>
      <c r="I2428">
        <v>1</v>
      </c>
      <c r="J2428">
        <v>0</v>
      </c>
      <c r="K2428">
        <v>0</v>
      </c>
      <c r="L2428">
        <v>0</v>
      </c>
      <c r="M2428" t="s">
        <v>36</v>
      </c>
      <c r="N2428" t="s">
        <v>36</v>
      </c>
      <c r="O2428" t="s">
        <v>36</v>
      </c>
      <c r="P2428" t="s">
        <v>442</v>
      </c>
      <c r="Q2428" t="s">
        <v>36</v>
      </c>
      <c r="R2428" t="s">
        <v>36</v>
      </c>
      <c r="S2428" t="s">
        <v>36</v>
      </c>
      <c r="T2428" t="s">
        <v>36</v>
      </c>
      <c r="U2428">
        <v>0</v>
      </c>
      <c r="V2428">
        <v>0</v>
      </c>
      <c r="W2428">
        <v>1</v>
      </c>
      <c r="X2428">
        <v>1</v>
      </c>
      <c r="Y2428">
        <v>0</v>
      </c>
      <c r="Z2428">
        <v>1</v>
      </c>
      <c r="AA2428">
        <v>0</v>
      </c>
      <c r="AB2428">
        <v>0</v>
      </c>
      <c r="AC2428">
        <v>0</v>
      </c>
      <c r="AD2428">
        <v>0</v>
      </c>
      <c r="AE2428">
        <v>0</v>
      </c>
      <c r="AF2428">
        <v>0</v>
      </c>
      <c r="AG2428">
        <v>1</v>
      </c>
    </row>
    <row r="2429" spans="1:33" x14ac:dyDescent="0.2">
      <c r="A2429">
        <v>2428</v>
      </c>
      <c r="B2429" t="s">
        <v>671</v>
      </c>
      <c r="C2429" t="s">
        <v>33</v>
      </c>
      <c r="D2429">
        <v>56</v>
      </c>
      <c r="E2429" t="s">
        <v>114</v>
      </c>
      <c r="F2429" t="s">
        <v>41</v>
      </c>
      <c r="G2429" t="s">
        <v>72</v>
      </c>
      <c r="H2429">
        <v>63563</v>
      </c>
      <c r="I2429">
        <v>1</v>
      </c>
      <c r="J2429">
        <v>0</v>
      </c>
      <c r="K2429">
        <v>0</v>
      </c>
      <c r="L2429">
        <v>0</v>
      </c>
      <c r="M2429" t="s">
        <v>74</v>
      </c>
      <c r="N2429" t="s">
        <v>75</v>
      </c>
      <c r="O2429" t="s">
        <v>73</v>
      </c>
      <c r="P2429" t="s">
        <v>442</v>
      </c>
      <c r="Q2429" t="s">
        <v>47</v>
      </c>
      <c r="R2429" t="s">
        <v>46</v>
      </c>
      <c r="S2429" t="s">
        <v>48</v>
      </c>
      <c r="T2429">
        <v>0</v>
      </c>
      <c r="U2429">
        <v>0</v>
      </c>
      <c r="V2429">
        <v>1</v>
      </c>
      <c r="W2429">
        <v>1</v>
      </c>
      <c r="X2429">
        <v>1</v>
      </c>
      <c r="Y2429">
        <v>0</v>
      </c>
      <c r="Z2429">
        <v>1</v>
      </c>
      <c r="AA2429">
        <v>0</v>
      </c>
      <c r="AB2429">
        <v>0</v>
      </c>
      <c r="AC2429">
        <v>0</v>
      </c>
      <c r="AD2429">
        <v>1</v>
      </c>
      <c r="AE2429">
        <v>0</v>
      </c>
      <c r="AF2429">
        <v>0</v>
      </c>
      <c r="AG2429">
        <v>0</v>
      </c>
    </row>
    <row r="2430" spans="1:33" x14ac:dyDescent="0.2">
      <c r="A2430">
        <v>2429</v>
      </c>
      <c r="B2430" t="s">
        <v>671</v>
      </c>
      <c r="C2430" t="s">
        <v>33</v>
      </c>
      <c r="D2430">
        <v>56</v>
      </c>
      <c r="E2430" t="s">
        <v>114</v>
      </c>
      <c r="F2430" t="s">
        <v>41</v>
      </c>
      <c r="G2430" t="s">
        <v>49</v>
      </c>
      <c r="H2430">
        <v>55074</v>
      </c>
      <c r="I2430">
        <v>0</v>
      </c>
      <c r="J2430">
        <v>0</v>
      </c>
      <c r="K2430">
        <v>0</v>
      </c>
      <c r="L2430">
        <v>1</v>
      </c>
      <c r="M2430" t="s">
        <v>95</v>
      </c>
      <c r="N2430" t="s">
        <v>51</v>
      </c>
      <c r="O2430" t="s">
        <v>50</v>
      </c>
      <c r="P2430" t="s">
        <v>442</v>
      </c>
      <c r="Q2430" t="s">
        <v>60</v>
      </c>
      <c r="R2430" t="s">
        <v>47</v>
      </c>
      <c r="S2430" t="s">
        <v>48</v>
      </c>
      <c r="T2430">
        <v>1</v>
      </c>
      <c r="U2430">
        <v>0</v>
      </c>
      <c r="V2430">
        <v>1</v>
      </c>
      <c r="W2430">
        <v>1</v>
      </c>
      <c r="X2430">
        <v>0</v>
      </c>
      <c r="Y2430">
        <v>0</v>
      </c>
      <c r="Z2430">
        <v>1</v>
      </c>
      <c r="AA2430">
        <v>0</v>
      </c>
      <c r="AB2430">
        <v>0</v>
      </c>
      <c r="AC2430">
        <v>0</v>
      </c>
      <c r="AD2430">
        <v>0</v>
      </c>
      <c r="AE2430">
        <v>0</v>
      </c>
      <c r="AF2430">
        <v>0</v>
      </c>
      <c r="AG2430">
        <v>1</v>
      </c>
    </row>
    <row r="2431" spans="1:33" hidden="1" x14ac:dyDescent="0.2">
      <c r="A2431">
        <v>2430</v>
      </c>
      <c r="B2431" t="s">
        <v>671</v>
      </c>
      <c r="C2431" t="s">
        <v>33</v>
      </c>
      <c r="D2431">
        <v>56</v>
      </c>
      <c r="E2431" t="s">
        <v>114</v>
      </c>
      <c r="F2431" t="s">
        <v>53</v>
      </c>
      <c r="G2431" t="s">
        <v>71</v>
      </c>
      <c r="H2431">
        <v>145969</v>
      </c>
      <c r="I2431">
        <v>0</v>
      </c>
      <c r="J2431">
        <v>0</v>
      </c>
      <c r="K2431">
        <v>0</v>
      </c>
      <c r="L2431">
        <v>1</v>
      </c>
      <c r="M2431" t="s">
        <v>36</v>
      </c>
      <c r="N2431" t="s">
        <v>36</v>
      </c>
      <c r="O2431" t="s">
        <v>36</v>
      </c>
      <c r="P2431" t="s">
        <v>442</v>
      </c>
      <c r="Q2431" t="s">
        <v>36</v>
      </c>
      <c r="R2431" t="s">
        <v>36</v>
      </c>
      <c r="S2431" t="s">
        <v>36</v>
      </c>
      <c r="T2431" t="s">
        <v>36</v>
      </c>
      <c r="U2431">
        <v>0</v>
      </c>
      <c r="V2431">
        <v>1</v>
      </c>
      <c r="W2431">
        <v>1</v>
      </c>
      <c r="X2431">
        <v>0</v>
      </c>
      <c r="Y2431">
        <v>0</v>
      </c>
      <c r="Z2431">
        <v>1</v>
      </c>
      <c r="AA2431">
        <v>0</v>
      </c>
      <c r="AB2431">
        <v>0</v>
      </c>
      <c r="AC2431">
        <v>0</v>
      </c>
      <c r="AD2431">
        <v>0</v>
      </c>
      <c r="AE2431">
        <v>0</v>
      </c>
      <c r="AF2431">
        <v>0</v>
      </c>
      <c r="AG2431">
        <v>1</v>
      </c>
    </row>
    <row r="2432" spans="1:33" x14ac:dyDescent="0.2">
      <c r="A2432">
        <v>2431</v>
      </c>
      <c r="B2432" t="s">
        <v>671</v>
      </c>
      <c r="C2432" t="s">
        <v>33</v>
      </c>
      <c r="D2432">
        <v>56</v>
      </c>
      <c r="E2432" t="s">
        <v>114</v>
      </c>
      <c r="F2432" t="s">
        <v>41</v>
      </c>
      <c r="G2432" t="s">
        <v>61</v>
      </c>
      <c r="H2432">
        <v>56397</v>
      </c>
      <c r="I2432">
        <v>0</v>
      </c>
      <c r="J2432">
        <v>0</v>
      </c>
      <c r="K2432">
        <v>0</v>
      </c>
      <c r="L2432">
        <v>1</v>
      </c>
      <c r="M2432" t="s">
        <v>64</v>
      </c>
      <c r="N2432" t="s">
        <v>63</v>
      </c>
      <c r="O2432" t="s">
        <v>87</v>
      </c>
      <c r="P2432" t="s">
        <v>442</v>
      </c>
      <c r="Q2432" t="s">
        <v>48</v>
      </c>
      <c r="R2432" t="s">
        <v>46</v>
      </c>
      <c r="S2432" t="s">
        <v>47</v>
      </c>
      <c r="T2432">
        <v>0</v>
      </c>
      <c r="U2432">
        <v>0</v>
      </c>
      <c r="V2432">
        <v>1</v>
      </c>
      <c r="W2432">
        <v>1</v>
      </c>
      <c r="X2432">
        <v>1</v>
      </c>
      <c r="Y2432">
        <v>0</v>
      </c>
      <c r="Z2432">
        <v>1</v>
      </c>
      <c r="AA2432">
        <v>0</v>
      </c>
      <c r="AB2432">
        <v>0</v>
      </c>
      <c r="AC2432">
        <v>0</v>
      </c>
      <c r="AD2432">
        <v>0</v>
      </c>
      <c r="AE2432">
        <v>0</v>
      </c>
      <c r="AF2432">
        <v>0</v>
      </c>
      <c r="AG2432">
        <v>1</v>
      </c>
    </row>
    <row r="2433" spans="1:33" hidden="1" x14ac:dyDescent="0.2">
      <c r="A2433">
        <v>2432</v>
      </c>
      <c r="B2433" t="s">
        <v>671</v>
      </c>
      <c r="C2433" t="s">
        <v>33</v>
      </c>
      <c r="D2433">
        <v>56</v>
      </c>
      <c r="E2433" t="s">
        <v>114</v>
      </c>
      <c r="F2433" t="s">
        <v>53</v>
      </c>
      <c r="G2433" t="s">
        <v>54</v>
      </c>
      <c r="H2433">
        <v>82314</v>
      </c>
      <c r="I2433">
        <v>0</v>
      </c>
      <c r="J2433">
        <v>1</v>
      </c>
      <c r="K2433">
        <v>1</v>
      </c>
      <c r="L2433">
        <v>0</v>
      </c>
      <c r="M2433" t="s">
        <v>36</v>
      </c>
      <c r="N2433" t="s">
        <v>36</v>
      </c>
      <c r="O2433" t="s">
        <v>36</v>
      </c>
      <c r="P2433" t="s">
        <v>442</v>
      </c>
      <c r="Q2433" t="s">
        <v>36</v>
      </c>
      <c r="R2433" t="s">
        <v>36</v>
      </c>
      <c r="S2433" t="s">
        <v>36</v>
      </c>
      <c r="T2433" t="s">
        <v>36</v>
      </c>
      <c r="U2433">
        <v>0</v>
      </c>
      <c r="V2433">
        <v>1</v>
      </c>
      <c r="W2433">
        <v>1</v>
      </c>
      <c r="X2433">
        <v>1</v>
      </c>
      <c r="Y2433">
        <v>0</v>
      </c>
      <c r="Z2433">
        <v>1</v>
      </c>
      <c r="AA2433">
        <v>0</v>
      </c>
      <c r="AB2433">
        <v>0</v>
      </c>
      <c r="AC2433">
        <v>0</v>
      </c>
      <c r="AD2433">
        <v>0</v>
      </c>
      <c r="AE2433">
        <v>0</v>
      </c>
      <c r="AF2433">
        <v>0</v>
      </c>
      <c r="AG2433">
        <v>1</v>
      </c>
    </row>
    <row r="2434" spans="1:33" x14ac:dyDescent="0.2">
      <c r="A2434">
        <v>2433</v>
      </c>
      <c r="B2434" t="s">
        <v>671</v>
      </c>
      <c r="C2434" t="s">
        <v>33</v>
      </c>
      <c r="D2434">
        <v>56</v>
      </c>
      <c r="E2434" t="s">
        <v>114</v>
      </c>
      <c r="F2434" t="s">
        <v>41</v>
      </c>
      <c r="G2434" t="s">
        <v>67</v>
      </c>
      <c r="H2434">
        <v>36126</v>
      </c>
      <c r="I2434">
        <v>0</v>
      </c>
      <c r="J2434">
        <v>0</v>
      </c>
      <c r="K2434">
        <v>0</v>
      </c>
      <c r="L2434">
        <v>1</v>
      </c>
      <c r="M2434" t="s">
        <v>68</v>
      </c>
      <c r="N2434" t="s">
        <v>70</v>
      </c>
      <c r="O2434" t="s">
        <v>69</v>
      </c>
      <c r="P2434" t="s">
        <v>442</v>
      </c>
      <c r="Q2434" t="s">
        <v>65</v>
      </c>
      <c r="R2434" t="s">
        <v>47</v>
      </c>
      <c r="S2434" t="s">
        <v>48</v>
      </c>
      <c r="T2434">
        <v>0</v>
      </c>
      <c r="U2434">
        <v>1</v>
      </c>
      <c r="V2434">
        <v>1</v>
      </c>
      <c r="W2434">
        <v>1</v>
      </c>
      <c r="X2434">
        <v>0</v>
      </c>
      <c r="Y2434">
        <v>0</v>
      </c>
      <c r="Z2434">
        <v>1</v>
      </c>
      <c r="AA2434">
        <v>0</v>
      </c>
      <c r="AB2434">
        <v>0</v>
      </c>
      <c r="AC2434">
        <v>0</v>
      </c>
      <c r="AD2434">
        <v>0</v>
      </c>
      <c r="AE2434">
        <v>0</v>
      </c>
      <c r="AF2434">
        <v>0</v>
      </c>
      <c r="AG2434">
        <v>1</v>
      </c>
    </row>
    <row r="2435" spans="1:33" x14ac:dyDescent="0.2">
      <c r="A2435">
        <v>2434</v>
      </c>
      <c r="B2435" t="s">
        <v>671</v>
      </c>
      <c r="C2435" t="s">
        <v>33</v>
      </c>
      <c r="D2435">
        <v>56</v>
      </c>
      <c r="E2435" t="s">
        <v>114</v>
      </c>
      <c r="F2435" t="s">
        <v>41</v>
      </c>
      <c r="G2435" t="s">
        <v>55</v>
      </c>
      <c r="H2435">
        <v>19953</v>
      </c>
      <c r="I2435">
        <v>1</v>
      </c>
      <c r="J2435">
        <v>1</v>
      </c>
      <c r="K2435">
        <v>1</v>
      </c>
      <c r="L2435">
        <v>0</v>
      </c>
      <c r="M2435" t="s">
        <v>84</v>
      </c>
      <c r="N2435" t="s">
        <v>56</v>
      </c>
      <c r="O2435" t="s">
        <v>85</v>
      </c>
      <c r="P2435" t="s">
        <v>442</v>
      </c>
      <c r="Q2435" t="s">
        <v>46</v>
      </c>
      <c r="R2435" t="s">
        <v>59</v>
      </c>
      <c r="S2435" t="s">
        <v>65</v>
      </c>
      <c r="T2435">
        <v>0</v>
      </c>
      <c r="U2435">
        <v>1</v>
      </c>
      <c r="V2435">
        <v>0</v>
      </c>
      <c r="W2435">
        <v>0</v>
      </c>
      <c r="X2435">
        <v>1</v>
      </c>
      <c r="Y2435">
        <v>0</v>
      </c>
      <c r="Z2435">
        <v>1</v>
      </c>
      <c r="AA2435">
        <v>0</v>
      </c>
      <c r="AB2435">
        <v>1</v>
      </c>
      <c r="AC2435">
        <v>0</v>
      </c>
      <c r="AD2435">
        <v>0</v>
      </c>
      <c r="AE2435">
        <v>1</v>
      </c>
      <c r="AF2435">
        <v>0</v>
      </c>
      <c r="AG2435">
        <v>0</v>
      </c>
    </row>
    <row r="2436" spans="1:33" hidden="1" x14ac:dyDescent="0.2">
      <c r="A2436">
        <v>2435</v>
      </c>
      <c r="B2436" t="s">
        <v>671</v>
      </c>
      <c r="C2436" t="s">
        <v>33</v>
      </c>
      <c r="D2436">
        <v>56</v>
      </c>
      <c r="E2436" t="s">
        <v>114</v>
      </c>
      <c r="F2436" t="s">
        <v>53</v>
      </c>
      <c r="G2436" t="s">
        <v>66</v>
      </c>
      <c r="H2436">
        <v>43998</v>
      </c>
      <c r="I2436">
        <v>0</v>
      </c>
      <c r="J2436">
        <v>0</v>
      </c>
      <c r="K2436">
        <v>0</v>
      </c>
      <c r="L2436">
        <v>1</v>
      </c>
      <c r="M2436" t="s">
        <v>36</v>
      </c>
      <c r="N2436" t="s">
        <v>36</v>
      </c>
      <c r="O2436" t="s">
        <v>36</v>
      </c>
      <c r="P2436" t="s">
        <v>442</v>
      </c>
      <c r="Q2436" t="s">
        <v>36</v>
      </c>
      <c r="R2436" t="s">
        <v>36</v>
      </c>
      <c r="S2436" t="s">
        <v>36</v>
      </c>
      <c r="T2436" t="s">
        <v>36</v>
      </c>
      <c r="U2436">
        <v>1</v>
      </c>
      <c r="V2436">
        <v>0</v>
      </c>
      <c r="W2436">
        <v>0</v>
      </c>
      <c r="X2436">
        <v>1</v>
      </c>
      <c r="Y2436">
        <v>0</v>
      </c>
      <c r="Z2436">
        <v>1</v>
      </c>
      <c r="AA2436">
        <v>0</v>
      </c>
      <c r="AB2436">
        <v>1</v>
      </c>
      <c r="AC2436">
        <v>0</v>
      </c>
      <c r="AD2436">
        <v>0</v>
      </c>
      <c r="AE2436">
        <v>1</v>
      </c>
      <c r="AF2436">
        <v>0</v>
      </c>
      <c r="AG2436">
        <v>0</v>
      </c>
    </row>
    <row r="2437" spans="1:33" hidden="1" x14ac:dyDescent="0.2">
      <c r="A2437">
        <v>2436</v>
      </c>
      <c r="B2437" t="s">
        <v>671</v>
      </c>
      <c r="C2437" t="s">
        <v>33</v>
      </c>
      <c r="D2437">
        <v>56</v>
      </c>
      <c r="E2437" t="s">
        <v>114</v>
      </c>
      <c r="F2437" t="s">
        <v>77</v>
      </c>
      <c r="G2437" t="s">
        <v>36</v>
      </c>
      <c r="H2437">
        <v>86326</v>
      </c>
      <c r="I2437" t="s">
        <v>672</v>
      </c>
      <c r="J2437" t="s">
        <v>673</v>
      </c>
      <c r="K2437" t="s">
        <v>674</v>
      </c>
      <c r="L2437" t="s">
        <v>36</v>
      </c>
      <c r="M2437" t="s">
        <v>36</v>
      </c>
      <c r="N2437" t="s">
        <v>36</v>
      </c>
      <c r="O2437" t="s">
        <v>36</v>
      </c>
      <c r="P2437" t="s">
        <v>442</v>
      </c>
      <c r="Q2437" t="s">
        <v>36</v>
      </c>
      <c r="R2437" t="s">
        <v>36</v>
      </c>
      <c r="S2437" t="s">
        <v>36</v>
      </c>
      <c r="T2437" t="s">
        <v>36</v>
      </c>
      <c r="U2437" t="s">
        <v>36</v>
      </c>
      <c r="V2437" t="s">
        <v>36</v>
      </c>
      <c r="W2437" t="s">
        <v>36</v>
      </c>
      <c r="X2437" t="s">
        <v>36</v>
      </c>
      <c r="Y2437" t="s">
        <v>36</v>
      </c>
      <c r="Z2437" t="s">
        <v>36</v>
      </c>
      <c r="AA2437" t="s">
        <v>36</v>
      </c>
      <c r="AB2437" t="s">
        <v>36</v>
      </c>
      <c r="AC2437" t="s">
        <v>36</v>
      </c>
      <c r="AD2437" t="s">
        <v>36</v>
      </c>
      <c r="AE2437" t="s">
        <v>36</v>
      </c>
      <c r="AF2437" t="s">
        <v>36</v>
      </c>
      <c r="AG2437" t="s">
        <v>36</v>
      </c>
    </row>
    <row r="2438" spans="1:33" hidden="1" x14ac:dyDescent="0.2">
      <c r="A2438">
        <v>2437</v>
      </c>
      <c r="B2438" t="s">
        <v>675</v>
      </c>
      <c r="C2438" t="s">
        <v>33</v>
      </c>
      <c r="D2438">
        <v>56</v>
      </c>
      <c r="E2438" t="s">
        <v>114</v>
      </c>
      <c r="F2438" t="s">
        <v>35</v>
      </c>
      <c r="G2438" t="s">
        <v>36</v>
      </c>
      <c r="H2438">
        <v>777808</v>
      </c>
      <c r="I2438" t="s">
        <v>36</v>
      </c>
      <c r="J2438" t="s">
        <v>36</v>
      </c>
      <c r="K2438" t="s">
        <v>36</v>
      </c>
      <c r="L2438" t="s">
        <v>36</v>
      </c>
      <c r="M2438" t="s">
        <v>36</v>
      </c>
      <c r="N2438" t="s">
        <v>36</v>
      </c>
      <c r="O2438" t="s">
        <v>36</v>
      </c>
      <c r="P2438" t="s">
        <v>442</v>
      </c>
      <c r="Q2438" t="s">
        <v>36</v>
      </c>
      <c r="R2438" t="s">
        <v>36</v>
      </c>
      <c r="S2438" t="s">
        <v>36</v>
      </c>
      <c r="T2438" t="s">
        <v>36</v>
      </c>
      <c r="U2438" t="s">
        <v>36</v>
      </c>
      <c r="V2438" t="s">
        <v>36</v>
      </c>
      <c r="W2438" t="s">
        <v>36</v>
      </c>
      <c r="X2438" t="s">
        <v>36</v>
      </c>
      <c r="Y2438" t="s">
        <v>36</v>
      </c>
      <c r="Z2438" t="s">
        <v>36</v>
      </c>
      <c r="AA2438" t="s">
        <v>36</v>
      </c>
      <c r="AB2438" t="s">
        <v>36</v>
      </c>
      <c r="AC2438" t="s">
        <v>36</v>
      </c>
      <c r="AD2438" t="s">
        <v>36</v>
      </c>
      <c r="AE2438" t="s">
        <v>36</v>
      </c>
      <c r="AF2438" t="s">
        <v>36</v>
      </c>
      <c r="AG2438" t="s">
        <v>36</v>
      </c>
    </row>
    <row r="2439" spans="1:33" hidden="1" x14ac:dyDescent="0.2">
      <c r="A2439">
        <v>2438</v>
      </c>
      <c r="B2439" t="s">
        <v>675</v>
      </c>
      <c r="C2439" t="s">
        <v>33</v>
      </c>
      <c r="D2439">
        <v>56</v>
      </c>
      <c r="E2439" t="s">
        <v>114</v>
      </c>
      <c r="F2439" t="s">
        <v>38</v>
      </c>
      <c r="G2439" t="s">
        <v>39</v>
      </c>
      <c r="H2439">
        <v>357813</v>
      </c>
      <c r="I2439">
        <v>0</v>
      </c>
      <c r="J2439">
        <v>0</v>
      </c>
      <c r="K2439">
        <v>0</v>
      </c>
      <c r="L2439">
        <v>1</v>
      </c>
      <c r="M2439" t="s">
        <v>36</v>
      </c>
      <c r="N2439" t="s">
        <v>36</v>
      </c>
      <c r="O2439" t="s">
        <v>36</v>
      </c>
      <c r="P2439" t="s">
        <v>442</v>
      </c>
      <c r="Q2439" t="s">
        <v>36</v>
      </c>
      <c r="R2439" t="s">
        <v>36</v>
      </c>
      <c r="S2439" t="s">
        <v>36</v>
      </c>
      <c r="T2439" t="s">
        <v>36</v>
      </c>
      <c r="U2439" t="s">
        <v>36</v>
      </c>
      <c r="V2439" t="s">
        <v>36</v>
      </c>
      <c r="W2439" t="s">
        <v>36</v>
      </c>
      <c r="X2439" t="s">
        <v>36</v>
      </c>
      <c r="Y2439" t="s">
        <v>36</v>
      </c>
      <c r="Z2439" t="s">
        <v>36</v>
      </c>
      <c r="AA2439" t="s">
        <v>36</v>
      </c>
      <c r="AB2439" t="s">
        <v>36</v>
      </c>
      <c r="AC2439" t="s">
        <v>36</v>
      </c>
      <c r="AD2439" t="s">
        <v>36</v>
      </c>
      <c r="AE2439" t="s">
        <v>36</v>
      </c>
      <c r="AF2439" t="s">
        <v>36</v>
      </c>
      <c r="AG2439" t="s">
        <v>36</v>
      </c>
    </row>
    <row r="2440" spans="1:33" hidden="1" x14ac:dyDescent="0.2">
      <c r="A2440">
        <v>2439</v>
      </c>
      <c r="B2440" t="s">
        <v>675</v>
      </c>
      <c r="C2440" t="s">
        <v>33</v>
      </c>
      <c r="D2440">
        <v>56</v>
      </c>
      <c r="E2440" t="s">
        <v>114</v>
      </c>
      <c r="F2440" t="s">
        <v>38</v>
      </c>
      <c r="G2440" t="s">
        <v>40</v>
      </c>
      <c r="H2440">
        <v>37197</v>
      </c>
      <c r="I2440">
        <v>0</v>
      </c>
      <c r="J2440">
        <v>1</v>
      </c>
      <c r="K2440">
        <v>1</v>
      </c>
      <c r="L2440">
        <v>0</v>
      </c>
      <c r="M2440" t="s">
        <v>36</v>
      </c>
      <c r="N2440" t="s">
        <v>36</v>
      </c>
      <c r="O2440" t="s">
        <v>36</v>
      </c>
      <c r="P2440" t="s">
        <v>442</v>
      </c>
      <c r="Q2440" t="s">
        <v>36</v>
      </c>
      <c r="R2440" t="s">
        <v>36</v>
      </c>
      <c r="S2440" t="s">
        <v>36</v>
      </c>
      <c r="T2440" t="s">
        <v>36</v>
      </c>
      <c r="U2440" t="s">
        <v>36</v>
      </c>
      <c r="V2440" t="s">
        <v>36</v>
      </c>
      <c r="W2440" t="s">
        <v>36</v>
      </c>
      <c r="X2440" t="s">
        <v>36</v>
      </c>
      <c r="Y2440" t="s">
        <v>36</v>
      </c>
      <c r="Z2440" t="s">
        <v>36</v>
      </c>
      <c r="AA2440" t="s">
        <v>36</v>
      </c>
      <c r="AB2440" t="s">
        <v>36</v>
      </c>
      <c r="AC2440" t="s">
        <v>36</v>
      </c>
      <c r="AD2440" t="s">
        <v>36</v>
      </c>
      <c r="AE2440" t="s">
        <v>36</v>
      </c>
      <c r="AF2440" t="s">
        <v>36</v>
      </c>
      <c r="AG2440" t="s">
        <v>36</v>
      </c>
    </row>
    <row r="2441" spans="1:33" x14ac:dyDescent="0.2">
      <c r="A2441">
        <v>2440</v>
      </c>
      <c r="B2441" t="s">
        <v>675</v>
      </c>
      <c r="C2441" t="s">
        <v>33</v>
      </c>
      <c r="D2441">
        <v>56</v>
      </c>
      <c r="E2441" t="s">
        <v>114</v>
      </c>
      <c r="F2441" t="s">
        <v>41</v>
      </c>
      <c r="G2441" t="s">
        <v>67</v>
      </c>
      <c r="H2441">
        <v>35877</v>
      </c>
      <c r="I2441">
        <v>0</v>
      </c>
      <c r="J2441">
        <v>0</v>
      </c>
      <c r="K2441">
        <v>1</v>
      </c>
      <c r="L2441">
        <v>0</v>
      </c>
      <c r="M2441" t="s">
        <v>86</v>
      </c>
      <c r="N2441" t="s">
        <v>109</v>
      </c>
      <c r="O2441" t="s">
        <v>70</v>
      </c>
      <c r="P2441" t="s">
        <v>442</v>
      </c>
      <c r="Q2441" t="s">
        <v>46</v>
      </c>
      <c r="R2441" t="s">
        <v>59</v>
      </c>
      <c r="S2441" t="s">
        <v>47</v>
      </c>
      <c r="T2441">
        <v>0</v>
      </c>
      <c r="U2441">
        <v>0</v>
      </c>
      <c r="V2441">
        <v>0</v>
      </c>
      <c r="W2441">
        <v>1</v>
      </c>
      <c r="X2441">
        <v>1</v>
      </c>
      <c r="Y2441">
        <v>0</v>
      </c>
      <c r="Z2441">
        <v>1</v>
      </c>
      <c r="AA2441">
        <v>0</v>
      </c>
      <c r="AB2441">
        <v>0</v>
      </c>
      <c r="AC2441">
        <v>0</v>
      </c>
      <c r="AD2441">
        <v>1</v>
      </c>
      <c r="AE2441">
        <v>0</v>
      </c>
      <c r="AF2441">
        <v>0</v>
      </c>
      <c r="AG2441">
        <v>0</v>
      </c>
    </row>
    <row r="2442" spans="1:33" x14ac:dyDescent="0.2">
      <c r="A2442">
        <v>2441</v>
      </c>
      <c r="B2442" t="s">
        <v>675</v>
      </c>
      <c r="C2442" t="s">
        <v>33</v>
      </c>
      <c r="D2442">
        <v>56</v>
      </c>
      <c r="E2442" t="s">
        <v>114</v>
      </c>
      <c r="F2442" t="s">
        <v>41</v>
      </c>
      <c r="G2442" t="s">
        <v>55</v>
      </c>
      <c r="H2442">
        <v>19735</v>
      </c>
      <c r="I2442">
        <v>0</v>
      </c>
      <c r="J2442">
        <v>0</v>
      </c>
      <c r="K2442">
        <v>1</v>
      </c>
      <c r="L2442">
        <v>0</v>
      </c>
      <c r="M2442" t="s">
        <v>58</v>
      </c>
      <c r="N2442" t="s">
        <v>57</v>
      </c>
      <c r="O2442" t="s">
        <v>94</v>
      </c>
      <c r="P2442" t="s">
        <v>442</v>
      </c>
      <c r="Q2442" t="s">
        <v>60</v>
      </c>
      <c r="R2442" t="s">
        <v>48</v>
      </c>
      <c r="S2442" t="s">
        <v>47</v>
      </c>
      <c r="T2442">
        <v>1</v>
      </c>
      <c r="U2442">
        <v>0</v>
      </c>
      <c r="V2442">
        <v>1</v>
      </c>
      <c r="W2442">
        <v>1</v>
      </c>
      <c r="X2442">
        <v>0</v>
      </c>
      <c r="Y2442">
        <v>0</v>
      </c>
      <c r="Z2442">
        <v>1</v>
      </c>
      <c r="AA2442">
        <v>0</v>
      </c>
      <c r="AB2442">
        <v>0</v>
      </c>
      <c r="AC2442">
        <v>0</v>
      </c>
      <c r="AD2442">
        <v>1</v>
      </c>
      <c r="AE2442">
        <v>0</v>
      </c>
      <c r="AF2442">
        <v>0</v>
      </c>
      <c r="AG2442">
        <v>0</v>
      </c>
    </row>
    <row r="2443" spans="1:33" hidden="1" x14ac:dyDescent="0.2">
      <c r="A2443">
        <v>2442</v>
      </c>
      <c r="B2443" t="s">
        <v>675</v>
      </c>
      <c r="C2443" t="s">
        <v>33</v>
      </c>
      <c r="D2443">
        <v>56</v>
      </c>
      <c r="E2443" t="s">
        <v>114</v>
      </c>
      <c r="F2443" t="s">
        <v>53</v>
      </c>
      <c r="G2443" t="s">
        <v>76</v>
      </c>
      <c r="H2443">
        <v>19014</v>
      </c>
      <c r="I2443">
        <v>1</v>
      </c>
      <c r="J2443">
        <v>0</v>
      </c>
      <c r="K2443">
        <v>0</v>
      </c>
      <c r="L2443">
        <v>0</v>
      </c>
      <c r="M2443" t="s">
        <v>36</v>
      </c>
      <c r="N2443" t="s">
        <v>36</v>
      </c>
      <c r="O2443" t="s">
        <v>36</v>
      </c>
      <c r="P2443" t="s">
        <v>442</v>
      </c>
      <c r="Q2443" t="s">
        <v>36</v>
      </c>
      <c r="R2443" t="s">
        <v>36</v>
      </c>
      <c r="S2443" t="s">
        <v>36</v>
      </c>
      <c r="T2443" t="s">
        <v>36</v>
      </c>
      <c r="U2443">
        <v>0</v>
      </c>
      <c r="V2443">
        <v>1</v>
      </c>
      <c r="W2443">
        <v>1</v>
      </c>
      <c r="X2443">
        <v>0</v>
      </c>
      <c r="Y2443">
        <v>0</v>
      </c>
      <c r="Z2443">
        <v>1</v>
      </c>
      <c r="AA2443">
        <v>0</v>
      </c>
      <c r="AB2443">
        <v>0</v>
      </c>
      <c r="AC2443">
        <v>0</v>
      </c>
      <c r="AD2443">
        <v>1</v>
      </c>
      <c r="AE2443">
        <v>0</v>
      </c>
      <c r="AF2443">
        <v>0</v>
      </c>
      <c r="AG2443">
        <v>0</v>
      </c>
    </row>
    <row r="2444" spans="1:33" x14ac:dyDescent="0.2">
      <c r="A2444">
        <v>2443</v>
      </c>
      <c r="B2444" t="s">
        <v>675</v>
      </c>
      <c r="C2444" t="s">
        <v>33</v>
      </c>
      <c r="D2444">
        <v>56</v>
      </c>
      <c r="E2444" t="s">
        <v>114</v>
      </c>
      <c r="F2444" t="s">
        <v>41</v>
      </c>
      <c r="G2444" t="s">
        <v>49</v>
      </c>
      <c r="H2444">
        <v>19502</v>
      </c>
      <c r="I2444">
        <v>1</v>
      </c>
      <c r="J2444">
        <v>0</v>
      </c>
      <c r="K2444">
        <v>0</v>
      </c>
      <c r="L2444">
        <v>0</v>
      </c>
      <c r="M2444" t="s">
        <v>52</v>
      </c>
      <c r="N2444" t="s">
        <v>50</v>
      </c>
      <c r="O2444" t="s">
        <v>83</v>
      </c>
      <c r="P2444" t="s">
        <v>442</v>
      </c>
      <c r="Q2444" t="s">
        <v>46</v>
      </c>
      <c r="R2444" t="s">
        <v>48</v>
      </c>
      <c r="S2444" t="s">
        <v>59</v>
      </c>
      <c r="T2444">
        <v>0</v>
      </c>
      <c r="U2444">
        <v>0</v>
      </c>
      <c r="V2444">
        <v>1</v>
      </c>
      <c r="W2444">
        <v>0</v>
      </c>
      <c r="X2444">
        <v>1</v>
      </c>
      <c r="Y2444">
        <v>0</v>
      </c>
      <c r="Z2444">
        <v>1</v>
      </c>
      <c r="AA2444">
        <v>0</v>
      </c>
      <c r="AB2444">
        <v>0</v>
      </c>
      <c r="AC2444">
        <v>0</v>
      </c>
      <c r="AD2444">
        <v>0</v>
      </c>
      <c r="AE2444">
        <v>1</v>
      </c>
      <c r="AF2444">
        <v>0</v>
      </c>
      <c r="AG2444">
        <v>0</v>
      </c>
    </row>
    <row r="2445" spans="1:33" x14ac:dyDescent="0.2">
      <c r="A2445">
        <v>2444</v>
      </c>
      <c r="B2445" t="s">
        <v>675</v>
      </c>
      <c r="C2445" t="s">
        <v>33</v>
      </c>
      <c r="D2445">
        <v>56</v>
      </c>
      <c r="E2445" t="s">
        <v>114</v>
      </c>
      <c r="F2445" t="s">
        <v>41</v>
      </c>
      <c r="G2445" t="s">
        <v>72</v>
      </c>
      <c r="H2445">
        <v>77278</v>
      </c>
      <c r="I2445">
        <v>0</v>
      </c>
      <c r="J2445">
        <v>0</v>
      </c>
      <c r="K2445">
        <v>0</v>
      </c>
      <c r="L2445">
        <v>1</v>
      </c>
      <c r="M2445" t="s">
        <v>93</v>
      </c>
      <c r="N2445" t="s">
        <v>115</v>
      </c>
      <c r="O2445" t="s">
        <v>75</v>
      </c>
      <c r="P2445" t="s">
        <v>442</v>
      </c>
      <c r="Q2445" t="s">
        <v>59</v>
      </c>
      <c r="R2445" t="s">
        <v>65</v>
      </c>
      <c r="S2445" t="s">
        <v>46</v>
      </c>
      <c r="T2445">
        <v>0</v>
      </c>
      <c r="U2445">
        <v>1</v>
      </c>
      <c r="V2445">
        <v>0</v>
      </c>
      <c r="W2445">
        <v>0</v>
      </c>
      <c r="X2445">
        <v>1</v>
      </c>
      <c r="Y2445">
        <v>0</v>
      </c>
      <c r="Z2445">
        <v>1</v>
      </c>
      <c r="AA2445">
        <v>0</v>
      </c>
      <c r="AB2445">
        <v>0</v>
      </c>
      <c r="AC2445">
        <v>0</v>
      </c>
      <c r="AD2445">
        <v>0</v>
      </c>
      <c r="AE2445">
        <v>0</v>
      </c>
      <c r="AF2445">
        <v>0</v>
      </c>
      <c r="AG2445">
        <v>1</v>
      </c>
    </row>
    <row r="2446" spans="1:33" hidden="1" x14ac:dyDescent="0.2">
      <c r="A2446">
        <v>2445</v>
      </c>
      <c r="B2446" t="s">
        <v>675</v>
      </c>
      <c r="C2446" t="s">
        <v>33</v>
      </c>
      <c r="D2446">
        <v>56</v>
      </c>
      <c r="E2446" t="s">
        <v>114</v>
      </c>
      <c r="F2446" t="s">
        <v>53</v>
      </c>
      <c r="G2446" t="s">
        <v>54</v>
      </c>
      <c r="H2446">
        <v>1249686</v>
      </c>
      <c r="I2446">
        <v>0</v>
      </c>
      <c r="J2446">
        <v>0</v>
      </c>
      <c r="K2446">
        <v>1</v>
      </c>
      <c r="L2446">
        <v>0</v>
      </c>
      <c r="M2446" t="s">
        <v>36</v>
      </c>
      <c r="N2446" t="s">
        <v>36</v>
      </c>
      <c r="O2446" t="s">
        <v>36</v>
      </c>
      <c r="P2446" t="s">
        <v>442</v>
      </c>
      <c r="Q2446" t="s">
        <v>36</v>
      </c>
      <c r="R2446" t="s">
        <v>36</v>
      </c>
      <c r="S2446" t="s">
        <v>36</v>
      </c>
      <c r="T2446" t="s">
        <v>36</v>
      </c>
      <c r="U2446">
        <v>1</v>
      </c>
      <c r="V2446">
        <v>0</v>
      </c>
      <c r="W2446">
        <v>0</v>
      </c>
      <c r="X2446">
        <v>1</v>
      </c>
      <c r="Y2446">
        <v>0</v>
      </c>
      <c r="Z2446">
        <v>1</v>
      </c>
      <c r="AA2446">
        <v>0</v>
      </c>
      <c r="AB2446">
        <v>0</v>
      </c>
      <c r="AC2446">
        <v>0</v>
      </c>
      <c r="AD2446">
        <v>0</v>
      </c>
      <c r="AE2446">
        <v>0</v>
      </c>
      <c r="AF2446">
        <v>0</v>
      </c>
      <c r="AG2446">
        <v>1</v>
      </c>
    </row>
    <row r="2447" spans="1:33" x14ac:dyDescent="0.2">
      <c r="A2447">
        <v>2446</v>
      </c>
      <c r="B2447" t="s">
        <v>675</v>
      </c>
      <c r="C2447" t="s">
        <v>33</v>
      </c>
      <c r="D2447">
        <v>56</v>
      </c>
      <c r="E2447" t="s">
        <v>114</v>
      </c>
      <c r="F2447" t="s">
        <v>41</v>
      </c>
      <c r="G2447" t="s">
        <v>61</v>
      </c>
      <c r="H2447">
        <v>12829</v>
      </c>
      <c r="I2447">
        <v>0</v>
      </c>
      <c r="J2447">
        <v>1</v>
      </c>
      <c r="K2447">
        <v>0</v>
      </c>
      <c r="L2447">
        <v>0</v>
      </c>
      <c r="M2447" t="s">
        <v>125</v>
      </c>
      <c r="N2447" t="s">
        <v>62</v>
      </c>
      <c r="O2447" t="s">
        <v>87</v>
      </c>
      <c r="P2447" t="s">
        <v>442</v>
      </c>
      <c r="Q2447" t="s">
        <v>60</v>
      </c>
      <c r="R2447" t="s">
        <v>65</v>
      </c>
      <c r="S2447" t="s">
        <v>47</v>
      </c>
      <c r="T2447">
        <v>1</v>
      </c>
      <c r="U2447">
        <v>1</v>
      </c>
      <c r="V2447">
        <v>0</v>
      </c>
      <c r="W2447">
        <v>1</v>
      </c>
      <c r="X2447">
        <v>0</v>
      </c>
      <c r="Y2447">
        <v>0</v>
      </c>
      <c r="Z2447">
        <v>1</v>
      </c>
      <c r="AA2447">
        <v>0</v>
      </c>
      <c r="AB2447">
        <v>1</v>
      </c>
      <c r="AC2447">
        <v>0</v>
      </c>
      <c r="AD2447">
        <v>0</v>
      </c>
      <c r="AE2447">
        <v>0</v>
      </c>
      <c r="AF2447">
        <v>0</v>
      </c>
      <c r="AG2447">
        <v>0</v>
      </c>
    </row>
    <row r="2448" spans="1:33" hidden="1" x14ac:dyDescent="0.2">
      <c r="A2448">
        <v>2447</v>
      </c>
      <c r="B2448" t="s">
        <v>675</v>
      </c>
      <c r="C2448" t="s">
        <v>33</v>
      </c>
      <c r="D2448">
        <v>56</v>
      </c>
      <c r="E2448" t="s">
        <v>114</v>
      </c>
      <c r="F2448" t="s">
        <v>53</v>
      </c>
      <c r="G2448" t="s">
        <v>66</v>
      </c>
      <c r="H2448">
        <v>16951</v>
      </c>
      <c r="I2448">
        <v>1</v>
      </c>
      <c r="J2448">
        <v>1</v>
      </c>
      <c r="K2448">
        <v>0</v>
      </c>
      <c r="L2448">
        <v>0</v>
      </c>
      <c r="M2448" t="s">
        <v>36</v>
      </c>
      <c r="N2448" t="s">
        <v>36</v>
      </c>
      <c r="O2448" t="s">
        <v>36</v>
      </c>
      <c r="P2448" t="s">
        <v>442</v>
      </c>
      <c r="Q2448" t="s">
        <v>36</v>
      </c>
      <c r="R2448" t="s">
        <v>36</v>
      </c>
      <c r="S2448" t="s">
        <v>36</v>
      </c>
      <c r="T2448" t="s">
        <v>36</v>
      </c>
      <c r="U2448">
        <v>1</v>
      </c>
      <c r="V2448">
        <v>0</v>
      </c>
      <c r="W2448">
        <v>1</v>
      </c>
      <c r="X2448">
        <v>0</v>
      </c>
      <c r="Y2448">
        <v>0</v>
      </c>
      <c r="Z2448">
        <v>1</v>
      </c>
      <c r="AA2448">
        <v>0</v>
      </c>
      <c r="AB2448">
        <v>1</v>
      </c>
      <c r="AC2448">
        <v>0</v>
      </c>
      <c r="AD2448">
        <v>0</v>
      </c>
      <c r="AE2448">
        <v>0</v>
      </c>
      <c r="AF2448">
        <v>0</v>
      </c>
      <c r="AG2448">
        <v>0</v>
      </c>
    </row>
    <row r="2449" spans="1:33" x14ac:dyDescent="0.2">
      <c r="A2449">
        <v>2448</v>
      </c>
      <c r="B2449" t="s">
        <v>675</v>
      </c>
      <c r="C2449" t="s">
        <v>33</v>
      </c>
      <c r="D2449">
        <v>56</v>
      </c>
      <c r="E2449" t="s">
        <v>114</v>
      </c>
      <c r="F2449" t="s">
        <v>41</v>
      </c>
      <c r="G2449" t="s">
        <v>42</v>
      </c>
      <c r="H2449">
        <v>82367</v>
      </c>
      <c r="I2449">
        <v>1</v>
      </c>
      <c r="J2449">
        <v>1</v>
      </c>
      <c r="K2449">
        <v>0</v>
      </c>
      <c r="L2449">
        <v>0</v>
      </c>
      <c r="M2449" t="s">
        <v>82</v>
      </c>
      <c r="N2449" t="s">
        <v>116</v>
      </c>
      <c r="O2449" t="s">
        <v>43</v>
      </c>
      <c r="P2449" t="s">
        <v>442</v>
      </c>
      <c r="Q2449" t="s">
        <v>65</v>
      </c>
      <c r="R2449" t="s">
        <v>60</v>
      </c>
      <c r="S2449" t="s">
        <v>46</v>
      </c>
      <c r="T2449">
        <v>1</v>
      </c>
      <c r="U2449">
        <v>1</v>
      </c>
      <c r="V2449">
        <v>0</v>
      </c>
      <c r="W2449">
        <v>0</v>
      </c>
      <c r="X2449">
        <v>1</v>
      </c>
      <c r="Y2449">
        <v>0</v>
      </c>
      <c r="Z2449">
        <v>1</v>
      </c>
      <c r="AA2449">
        <v>1</v>
      </c>
      <c r="AB2449">
        <v>1</v>
      </c>
      <c r="AC2449">
        <v>0</v>
      </c>
      <c r="AD2449">
        <v>0</v>
      </c>
      <c r="AE2449">
        <v>0</v>
      </c>
      <c r="AF2449">
        <v>0</v>
      </c>
      <c r="AG2449">
        <v>0</v>
      </c>
    </row>
    <row r="2450" spans="1:33" hidden="1" x14ac:dyDescent="0.2">
      <c r="A2450">
        <v>2449</v>
      </c>
      <c r="B2450" t="s">
        <v>675</v>
      </c>
      <c r="C2450" t="s">
        <v>33</v>
      </c>
      <c r="D2450">
        <v>56</v>
      </c>
      <c r="E2450" t="s">
        <v>114</v>
      </c>
      <c r="F2450" t="s">
        <v>53</v>
      </c>
      <c r="G2450" t="s">
        <v>71</v>
      </c>
      <c r="H2450">
        <v>77941</v>
      </c>
      <c r="I2450">
        <v>0</v>
      </c>
      <c r="J2450">
        <v>1</v>
      </c>
      <c r="K2450">
        <v>0</v>
      </c>
      <c r="L2450">
        <v>0</v>
      </c>
      <c r="M2450" t="s">
        <v>36</v>
      </c>
      <c r="N2450" t="s">
        <v>36</v>
      </c>
      <c r="O2450" t="s">
        <v>36</v>
      </c>
      <c r="P2450" t="s">
        <v>442</v>
      </c>
      <c r="Q2450" t="s">
        <v>36</v>
      </c>
      <c r="R2450" t="s">
        <v>36</v>
      </c>
      <c r="S2450" t="s">
        <v>36</v>
      </c>
      <c r="T2450" t="s">
        <v>36</v>
      </c>
      <c r="U2450">
        <v>1</v>
      </c>
      <c r="V2450">
        <v>0</v>
      </c>
      <c r="W2450">
        <v>0</v>
      </c>
      <c r="X2450">
        <v>1</v>
      </c>
      <c r="Y2450">
        <v>0</v>
      </c>
      <c r="Z2450">
        <v>1</v>
      </c>
      <c r="AA2450">
        <v>1</v>
      </c>
      <c r="AB2450">
        <v>1</v>
      </c>
      <c r="AC2450">
        <v>0</v>
      </c>
      <c r="AD2450">
        <v>0</v>
      </c>
      <c r="AE2450">
        <v>0</v>
      </c>
      <c r="AF2450">
        <v>0</v>
      </c>
      <c r="AG2450">
        <v>0</v>
      </c>
    </row>
    <row r="2451" spans="1:33" hidden="1" x14ac:dyDescent="0.2">
      <c r="A2451">
        <v>2450</v>
      </c>
      <c r="B2451" t="s">
        <v>675</v>
      </c>
      <c r="C2451" t="s">
        <v>33</v>
      </c>
      <c r="D2451">
        <v>56</v>
      </c>
      <c r="E2451" t="s">
        <v>114</v>
      </c>
      <c r="F2451" t="s">
        <v>77</v>
      </c>
      <c r="G2451" t="s">
        <v>36</v>
      </c>
      <c r="H2451">
        <v>80757</v>
      </c>
      <c r="I2451" t="s">
        <v>676</v>
      </c>
      <c r="J2451" t="s">
        <v>677</v>
      </c>
      <c r="K2451" t="s">
        <v>678</v>
      </c>
      <c r="L2451" t="s">
        <v>36</v>
      </c>
      <c r="M2451" t="s">
        <v>36</v>
      </c>
      <c r="N2451" t="s">
        <v>36</v>
      </c>
      <c r="O2451" t="s">
        <v>36</v>
      </c>
      <c r="P2451" t="s">
        <v>442</v>
      </c>
      <c r="Q2451" t="s">
        <v>36</v>
      </c>
      <c r="R2451" t="s">
        <v>36</v>
      </c>
      <c r="S2451" t="s">
        <v>36</v>
      </c>
      <c r="T2451" t="s">
        <v>36</v>
      </c>
      <c r="U2451" t="s">
        <v>36</v>
      </c>
      <c r="V2451" t="s">
        <v>36</v>
      </c>
      <c r="W2451" t="s">
        <v>36</v>
      </c>
      <c r="X2451" t="s">
        <v>36</v>
      </c>
      <c r="Y2451" t="s">
        <v>36</v>
      </c>
      <c r="Z2451" t="s">
        <v>36</v>
      </c>
      <c r="AA2451" t="s">
        <v>36</v>
      </c>
      <c r="AB2451" t="s">
        <v>36</v>
      </c>
      <c r="AC2451" t="s">
        <v>36</v>
      </c>
      <c r="AD2451" t="s">
        <v>36</v>
      </c>
      <c r="AE2451" t="s">
        <v>36</v>
      </c>
      <c r="AF2451" t="s">
        <v>36</v>
      </c>
      <c r="AG2451" t="s">
        <v>36</v>
      </c>
    </row>
    <row r="2452" spans="1:33" hidden="1" x14ac:dyDescent="0.2">
      <c r="A2452">
        <v>2451</v>
      </c>
      <c r="B2452" t="s">
        <v>679</v>
      </c>
      <c r="C2452" t="s">
        <v>108</v>
      </c>
      <c r="D2452">
        <v>32</v>
      </c>
      <c r="E2452" t="s">
        <v>34</v>
      </c>
      <c r="F2452" t="s">
        <v>35</v>
      </c>
      <c r="G2452" t="s">
        <v>36</v>
      </c>
      <c r="H2452">
        <v>89649</v>
      </c>
      <c r="I2452" t="s">
        <v>36</v>
      </c>
      <c r="J2452" t="s">
        <v>36</v>
      </c>
      <c r="K2452" t="s">
        <v>36</v>
      </c>
      <c r="L2452" t="s">
        <v>36</v>
      </c>
      <c r="M2452" t="s">
        <v>36</v>
      </c>
      <c r="N2452" t="s">
        <v>36</v>
      </c>
      <c r="O2452" t="s">
        <v>36</v>
      </c>
      <c r="P2452" t="s">
        <v>442</v>
      </c>
      <c r="Q2452" t="s">
        <v>36</v>
      </c>
      <c r="R2452" t="s">
        <v>36</v>
      </c>
      <c r="S2452" t="s">
        <v>36</v>
      </c>
      <c r="T2452" t="s">
        <v>36</v>
      </c>
      <c r="U2452" t="s">
        <v>36</v>
      </c>
      <c r="V2452" t="s">
        <v>36</v>
      </c>
      <c r="W2452" t="s">
        <v>36</v>
      </c>
      <c r="X2452" t="s">
        <v>36</v>
      </c>
      <c r="Y2452" t="s">
        <v>36</v>
      </c>
      <c r="Z2452" t="s">
        <v>36</v>
      </c>
      <c r="AA2452" t="s">
        <v>36</v>
      </c>
      <c r="AB2452" t="s">
        <v>36</v>
      </c>
      <c r="AC2452" t="s">
        <v>36</v>
      </c>
      <c r="AD2452" t="s">
        <v>36</v>
      </c>
      <c r="AE2452" t="s">
        <v>36</v>
      </c>
      <c r="AF2452" t="s">
        <v>36</v>
      </c>
      <c r="AG2452" t="s">
        <v>36</v>
      </c>
    </row>
    <row r="2453" spans="1:33" hidden="1" x14ac:dyDescent="0.2">
      <c r="A2453">
        <v>2452</v>
      </c>
      <c r="B2453" t="s">
        <v>679</v>
      </c>
      <c r="C2453" t="s">
        <v>108</v>
      </c>
      <c r="D2453">
        <v>32</v>
      </c>
      <c r="E2453" t="s">
        <v>34</v>
      </c>
      <c r="F2453" t="s">
        <v>38</v>
      </c>
      <c r="G2453" t="s">
        <v>39</v>
      </c>
      <c r="H2453">
        <v>30037</v>
      </c>
      <c r="I2453">
        <v>0</v>
      </c>
      <c r="J2453">
        <v>0</v>
      </c>
      <c r="K2453">
        <v>0</v>
      </c>
      <c r="L2453">
        <v>1</v>
      </c>
      <c r="M2453" t="s">
        <v>36</v>
      </c>
      <c r="N2453" t="s">
        <v>36</v>
      </c>
      <c r="O2453" t="s">
        <v>36</v>
      </c>
      <c r="P2453" t="s">
        <v>442</v>
      </c>
      <c r="Q2453" t="s">
        <v>36</v>
      </c>
      <c r="R2453" t="s">
        <v>36</v>
      </c>
      <c r="S2453" t="s">
        <v>36</v>
      </c>
      <c r="T2453" t="s">
        <v>36</v>
      </c>
      <c r="U2453" t="s">
        <v>36</v>
      </c>
      <c r="V2453" t="s">
        <v>36</v>
      </c>
      <c r="W2453" t="s">
        <v>36</v>
      </c>
      <c r="X2453" t="s">
        <v>36</v>
      </c>
      <c r="Y2453" t="s">
        <v>36</v>
      </c>
      <c r="Z2453" t="s">
        <v>36</v>
      </c>
      <c r="AA2453" t="s">
        <v>36</v>
      </c>
      <c r="AB2453" t="s">
        <v>36</v>
      </c>
      <c r="AC2453" t="s">
        <v>36</v>
      </c>
      <c r="AD2453" t="s">
        <v>36</v>
      </c>
      <c r="AE2453" t="s">
        <v>36</v>
      </c>
      <c r="AF2453" t="s">
        <v>36</v>
      </c>
      <c r="AG2453" t="s">
        <v>36</v>
      </c>
    </row>
    <row r="2454" spans="1:33" hidden="1" x14ac:dyDescent="0.2">
      <c r="A2454">
        <v>2453</v>
      </c>
      <c r="B2454" t="s">
        <v>679</v>
      </c>
      <c r="C2454" t="s">
        <v>108</v>
      </c>
      <c r="D2454">
        <v>32</v>
      </c>
      <c r="E2454" t="s">
        <v>34</v>
      </c>
      <c r="F2454" t="s">
        <v>38</v>
      </c>
      <c r="G2454" t="s">
        <v>40</v>
      </c>
      <c r="H2454">
        <v>29027</v>
      </c>
      <c r="I2454">
        <v>0</v>
      </c>
      <c r="J2454">
        <v>0</v>
      </c>
      <c r="K2454">
        <v>1</v>
      </c>
      <c r="L2454">
        <v>0</v>
      </c>
      <c r="M2454" t="s">
        <v>36</v>
      </c>
      <c r="N2454" t="s">
        <v>36</v>
      </c>
      <c r="O2454" t="s">
        <v>36</v>
      </c>
      <c r="P2454" t="s">
        <v>442</v>
      </c>
      <c r="Q2454" t="s">
        <v>36</v>
      </c>
      <c r="R2454" t="s">
        <v>36</v>
      </c>
      <c r="S2454" t="s">
        <v>36</v>
      </c>
      <c r="T2454" t="s">
        <v>36</v>
      </c>
      <c r="U2454" t="s">
        <v>36</v>
      </c>
      <c r="V2454" t="s">
        <v>36</v>
      </c>
      <c r="W2454" t="s">
        <v>36</v>
      </c>
      <c r="X2454" t="s">
        <v>36</v>
      </c>
      <c r="Y2454" t="s">
        <v>36</v>
      </c>
      <c r="Z2454" t="s">
        <v>36</v>
      </c>
      <c r="AA2454" t="s">
        <v>36</v>
      </c>
      <c r="AB2454" t="s">
        <v>36</v>
      </c>
      <c r="AC2454" t="s">
        <v>36</v>
      </c>
      <c r="AD2454" t="s">
        <v>36</v>
      </c>
      <c r="AE2454" t="s">
        <v>36</v>
      </c>
      <c r="AF2454" t="s">
        <v>36</v>
      </c>
      <c r="AG2454" t="s">
        <v>36</v>
      </c>
    </row>
    <row r="2455" spans="1:33" x14ac:dyDescent="0.2">
      <c r="A2455">
        <v>2454</v>
      </c>
      <c r="B2455" t="s">
        <v>679</v>
      </c>
      <c r="C2455" t="s">
        <v>108</v>
      </c>
      <c r="D2455">
        <v>32</v>
      </c>
      <c r="E2455" t="s">
        <v>34</v>
      </c>
      <c r="F2455" t="s">
        <v>41</v>
      </c>
      <c r="G2455" t="s">
        <v>42</v>
      </c>
      <c r="H2455">
        <v>45184</v>
      </c>
      <c r="I2455">
        <v>1</v>
      </c>
      <c r="J2455">
        <v>0</v>
      </c>
      <c r="K2455">
        <v>1</v>
      </c>
      <c r="L2455">
        <v>0</v>
      </c>
      <c r="M2455" t="s">
        <v>44</v>
      </c>
      <c r="N2455" t="s">
        <v>43</v>
      </c>
      <c r="O2455" t="s">
        <v>82</v>
      </c>
      <c r="P2455" t="s">
        <v>442</v>
      </c>
      <c r="Q2455" t="s">
        <v>47</v>
      </c>
      <c r="R2455" t="s">
        <v>46</v>
      </c>
      <c r="S2455" t="s">
        <v>65</v>
      </c>
      <c r="T2455">
        <v>0</v>
      </c>
      <c r="U2455">
        <v>1</v>
      </c>
      <c r="V2455">
        <v>0</v>
      </c>
      <c r="W2455">
        <v>1</v>
      </c>
      <c r="X2455">
        <v>1</v>
      </c>
      <c r="Y2455">
        <v>0</v>
      </c>
      <c r="Z2455">
        <v>1</v>
      </c>
      <c r="AA2455">
        <v>0</v>
      </c>
      <c r="AB2455">
        <v>1</v>
      </c>
      <c r="AC2455">
        <v>0</v>
      </c>
      <c r="AD2455">
        <v>1</v>
      </c>
      <c r="AE2455">
        <v>0</v>
      </c>
      <c r="AF2455">
        <v>0</v>
      </c>
      <c r="AG2455">
        <v>0</v>
      </c>
    </row>
    <row r="2456" spans="1:33" hidden="1" x14ac:dyDescent="0.2">
      <c r="A2456">
        <v>2455</v>
      </c>
      <c r="B2456" t="s">
        <v>679</v>
      </c>
      <c r="C2456" t="s">
        <v>108</v>
      </c>
      <c r="D2456">
        <v>32</v>
      </c>
      <c r="E2456" t="s">
        <v>34</v>
      </c>
      <c r="F2456" t="s">
        <v>53</v>
      </c>
      <c r="G2456" t="s">
        <v>66</v>
      </c>
      <c r="H2456">
        <v>21483</v>
      </c>
      <c r="I2456">
        <v>1</v>
      </c>
      <c r="J2456">
        <v>1</v>
      </c>
      <c r="K2456">
        <v>0</v>
      </c>
      <c r="L2456">
        <v>0</v>
      </c>
      <c r="M2456" t="s">
        <v>36</v>
      </c>
      <c r="N2456" t="s">
        <v>36</v>
      </c>
      <c r="O2456" t="s">
        <v>36</v>
      </c>
      <c r="P2456" t="s">
        <v>442</v>
      </c>
      <c r="Q2456" t="s">
        <v>36</v>
      </c>
      <c r="R2456" t="s">
        <v>36</v>
      </c>
      <c r="S2456" t="s">
        <v>36</v>
      </c>
      <c r="T2456" t="s">
        <v>36</v>
      </c>
      <c r="U2456">
        <v>1</v>
      </c>
      <c r="V2456">
        <v>0</v>
      </c>
      <c r="W2456">
        <v>1</v>
      </c>
      <c r="X2456">
        <v>1</v>
      </c>
      <c r="Y2456">
        <v>0</v>
      </c>
      <c r="Z2456">
        <v>1</v>
      </c>
      <c r="AA2456">
        <v>0</v>
      </c>
      <c r="AB2456">
        <v>1</v>
      </c>
      <c r="AC2456">
        <v>0</v>
      </c>
      <c r="AD2456">
        <v>1</v>
      </c>
      <c r="AE2456">
        <v>0</v>
      </c>
      <c r="AF2456">
        <v>0</v>
      </c>
      <c r="AG2456">
        <v>0</v>
      </c>
    </row>
    <row r="2457" spans="1:33" x14ac:dyDescent="0.2">
      <c r="A2457">
        <v>2456</v>
      </c>
      <c r="B2457" t="s">
        <v>679</v>
      </c>
      <c r="C2457" t="s">
        <v>108</v>
      </c>
      <c r="D2457">
        <v>32</v>
      </c>
      <c r="E2457" t="s">
        <v>34</v>
      </c>
      <c r="F2457" t="s">
        <v>41</v>
      </c>
      <c r="G2457" t="s">
        <v>49</v>
      </c>
      <c r="H2457">
        <v>26630</v>
      </c>
      <c r="I2457">
        <v>0</v>
      </c>
      <c r="J2457">
        <v>0</v>
      </c>
      <c r="K2457">
        <v>1</v>
      </c>
      <c r="L2457">
        <v>0</v>
      </c>
      <c r="M2457" t="s">
        <v>52</v>
      </c>
      <c r="N2457" t="s">
        <v>50</v>
      </c>
      <c r="O2457" t="s">
        <v>96</v>
      </c>
      <c r="P2457" t="s">
        <v>442</v>
      </c>
      <c r="Q2457" t="s">
        <v>46</v>
      </c>
      <c r="R2457" t="s">
        <v>48</v>
      </c>
      <c r="S2457" t="s">
        <v>65</v>
      </c>
      <c r="T2457">
        <v>0</v>
      </c>
      <c r="U2457">
        <v>1</v>
      </c>
      <c r="V2457">
        <v>1</v>
      </c>
      <c r="W2457">
        <v>0</v>
      </c>
      <c r="X2457">
        <v>1</v>
      </c>
      <c r="Y2457">
        <v>0</v>
      </c>
      <c r="Z2457">
        <v>1</v>
      </c>
      <c r="AA2457">
        <v>0</v>
      </c>
      <c r="AB2457">
        <v>1</v>
      </c>
      <c r="AC2457">
        <v>0</v>
      </c>
      <c r="AD2457">
        <v>0</v>
      </c>
      <c r="AE2457">
        <v>0</v>
      </c>
      <c r="AF2457">
        <v>0</v>
      </c>
      <c r="AG2457">
        <v>0</v>
      </c>
    </row>
    <row r="2458" spans="1:33" x14ac:dyDescent="0.2">
      <c r="A2458">
        <v>2457</v>
      </c>
      <c r="B2458" t="s">
        <v>679</v>
      </c>
      <c r="C2458" t="s">
        <v>108</v>
      </c>
      <c r="D2458">
        <v>32</v>
      </c>
      <c r="E2458" t="s">
        <v>34</v>
      </c>
      <c r="F2458" t="s">
        <v>41</v>
      </c>
      <c r="G2458" t="s">
        <v>61</v>
      </c>
      <c r="H2458">
        <v>26493</v>
      </c>
      <c r="I2458">
        <v>0</v>
      </c>
      <c r="J2458">
        <v>0</v>
      </c>
      <c r="K2458">
        <v>1</v>
      </c>
      <c r="L2458">
        <v>0</v>
      </c>
      <c r="M2458" t="s">
        <v>63</v>
      </c>
      <c r="N2458" t="s">
        <v>64</v>
      </c>
      <c r="O2458" t="s">
        <v>87</v>
      </c>
      <c r="P2458" t="s">
        <v>442</v>
      </c>
      <c r="Q2458" t="s">
        <v>46</v>
      </c>
      <c r="R2458" t="s">
        <v>48</v>
      </c>
      <c r="S2458" t="s">
        <v>47</v>
      </c>
      <c r="T2458">
        <v>0</v>
      </c>
      <c r="U2458">
        <v>0</v>
      </c>
      <c r="V2458">
        <v>1</v>
      </c>
      <c r="W2458">
        <v>1</v>
      </c>
      <c r="X2458">
        <v>1</v>
      </c>
      <c r="Y2458">
        <v>0</v>
      </c>
      <c r="Z2458">
        <v>1</v>
      </c>
      <c r="AA2458">
        <v>0</v>
      </c>
      <c r="AB2458">
        <v>0</v>
      </c>
      <c r="AC2458">
        <v>0</v>
      </c>
      <c r="AD2458">
        <v>1</v>
      </c>
      <c r="AE2458">
        <v>0</v>
      </c>
      <c r="AF2458">
        <v>0</v>
      </c>
      <c r="AG2458">
        <v>0</v>
      </c>
    </row>
    <row r="2459" spans="1:33" hidden="1" x14ac:dyDescent="0.2">
      <c r="A2459">
        <v>2458</v>
      </c>
      <c r="B2459" t="s">
        <v>679</v>
      </c>
      <c r="C2459" t="s">
        <v>108</v>
      </c>
      <c r="D2459">
        <v>32</v>
      </c>
      <c r="E2459" t="s">
        <v>34</v>
      </c>
      <c r="F2459" t="s">
        <v>53</v>
      </c>
      <c r="G2459" t="s">
        <v>71</v>
      </c>
      <c r="H2459">
        <v>34594</v>
      </c>
      <c r="I2459">
        <v>0</v>
      </c>
      <c r="J2459">
        <v>0</v>
      </c>
      <c r="K2459">
        <v>0</v>
      </c>
      <c r="L2459">
        <v>1</v>
      </c>
      <c r="M2459" t="s">
        <v>36</v>
      </c>
      <c r="N2459" t="s">
        <v>36</v>
      </c>
      <c r="O2459" t="s">
        <v>36</v>
      </c>
      <c r="P2459" t="s">
        <v>442</v>
      </c>
      <c r="Q2459" t="s">
        <v>36</v>
      </c>
      <c r="R2459" t="s">
        <v>36</v>
      </c>
      <c r="S2459" t="s">
        <v>36</v>
      </c>
      <c r="T2459" t="s">
        <v>36</v>
      </c>
      <c r="U2459">
        <v>0</v>
      </c>
      <c r="V2459">
        <v>1</v>
      </c>
      <c r="W2459">
        <v>1</v>
      </c>
      <c r="X2459">
        <v>1</v>
      </c>
      <c r="Y2459">
        <v>0</v>
      </c>
      <c r="Z2459">
        <v>1</v>
      </c>
      <c r="AA2459">
        <v>0</v>
      </c>
      <c r="AB2459">
        <v>0</v>
      </c>
      <c r="AC2459">
        <v>0</v>
      </c>
      <c r="AD2459">
        <v>1</v>
      </c>
      <c r="AE2459">
        <v>0</v>
      </c>
      <c r="AF2459">
        <v>0</v>
      </c>
      <c r="AG2459">
        <v>0</v>
      </c>
    </row>
    <row r="2460" spans="1:33" x14ac:dyDescent="0.2">
      <c r="A2460">
        <v>2459</v>
      </c>
      <c r="B2460" t="s">
        <v>679</v>
      </c>
      <c r="C2460" t="s">
        <v>108</v>
      </c>
      <c r="D2460">
        <v>32</v>
      </c>
      <c r="E2460" t="s">
        <v>34</v>
      </c>
      <c r="F2460" t="s">
        <v>41</v>
      </c>
      <c r="G2460" t="s">
        <v>55</v>
      </c>
      <c r="H2460">
        <v>19325</v>
      </c>
      <c r="I2460">
        <v>0</v>
      </c>
      <c r="J2460">
        <v>0</v>
      </c>
      <c r="K2460">
        <v>1</v>
      </c>
      <c r="L2460">
        <v>0</v>
      </c>
      <c r="M2460" t="s">
        <v>84</v>
      </c>
      <c r="N2460" t="s">
        <v>57</v>
      </c>
      <c r="O2460" t="s">
        <v>94</v>
      </c>
      <c r="P2460" t="s">
        <v>442</v>
      </c>
      <c r="Q2460" t="s">
        <v>46</v>
      </c>
      <c r="R2460" t="s">
        <v>48</v>
      </c>
      <c r="S2460" t="s">
        <v>47</v>
      </c>
      <c r="T2460">
        <v>0</v>
      </c>
      <c r="U2460">
        <v>0</v>
      </c>
      <c r="V2460">
        <v>1</v>
      </c>
      <c r="W2460">
        <v>1</v>
      </c>
      <c r="X2460">
        <v>1</v>
      </c>
      <c r="Y2460">
        <v>0</v>
      </c>
      <c r="Z2460">
        <v>1</v>
      </c>
      <c r="AA2460">
        <v>0</v>
      </c>
      <c r="AB2460">
        <v>0</v>
      </c>
      <c r="AC2460">
        <v>0</v>
      </c>
      <c r="AD2460">
        <v>1</v>
      </c>
      <c r="AE2460">
        <v>0</v>
      </c>
      <c r="AF2460">
        <v>0</v>
      </c>
      <c r="AG2460">
        <v>0</v>
      </c>
    </row>
    <row r="2461" spans="1:33" hidden="1" x14ac:dyDescent="0.2">
      <c r="A2461">
        <v>2460</v>
      </c>
      <c r="B2461" t="s">
        <v>679</v>
      </c>
      <c r="C2461" t="s">
        <v>108</v>
      </c>
      <c r="D2461">
        <v>32</v>
      </c>
      <c r="E2461" t="s">
        <v>34</v>
      </c>
      <c r="F2461" t="s">
        <v>53</v>
      </c>
      <c r="G2461" t="s">
        <v>54</v>
      </c>
      <c r="H2461">
        <v>49395</v>
      </c>
      <c r="I2461">
        <v>0</v>
      </c>
      <c r="J2461">
        <v>1</v>
      </c>
      <c r="K2461">
        <v>0</v>
      </c>
      <c r="L2461">
        <v>0</v>
      </c>
      <c r="M2461" t="s">
        <v>36</v>
      </c>
      <c r="N2461" t="s">
        <v>36</v>
      </c>
      <c r="O2461" t="s">
        <v>36</v>
      </c>
      <c r="P2461" t="s">
        <v>442</v>
      </c>
      <c r="Q2461" t="s">
        <v>36</v>
      </c>
      <c r="R2461" t="s">
        <v>36</v>
      </c>
      <c r="S2461" t="s">
        <v>36</v>
      </c>
      <c r="T2461" t="s">
        <v>36</v>
      </c>
      <c r="U2461">
        <v>0</v>
      </c>
      <c r="V2461">
        <v>1</v>
      </c>
      <c r="W2461">
        <v>1</v>
      </c>
      <c r="X2461">
        <v>1</v>
      </c>
      <c r="Y2461">
        <v>0</v>
      </c>
      <c r="Z2461">
        <v>1</v>
      </c>
      <c r="AA2461">
        <v>0</v>
      </c>
      <c r="AB2461">
        <v>0</v>
      </c>
      <c r="AC2461">
        <v>0</v>
      </c>
      <c r="AD2461">
        <v>1</v>
      </c>
      <c r="AE2461">
        <v>0</v>
      </c>
      <c r="AF2461">
        <v>0</v>
      </c>
      <c r="AG2461">
        <v>0</v>
      </c>
    </row>
    <row r="2462" spans="1:33" x14ac:dyDescent="0.2">
      <c r="A2462">
        <v>2461</v>
      </c>
      <c r="B2462" t="s">
        <v>679</v>
      </c>
      <c r="C2462" t="s">
        <v>108</v>
      </c>
      <c r="D2462">
        <v>32</v>
      </c>
      <c r="E2462" t="s">
        <v>34</v>
      </c>
      <c r="F2462" t="s">
        <v>41</v>
      </c>
      <c r="G2462" t="s">
        <v>72</v>
      </c>
      <c r="H2462">
        <v>20119</v>
      </c>
      <c r="I2462">
        <v>1</v>
      </c>
      <c r="J2462">
        <v>0</v>
      </c>
      <c r="K2462">
        <v>0</v>
      </c>
      <c r="L2462">
        <v>0</v>
      </c>
      <c r="M2462" t="s">
        <v>74</v>
      </c>
      <c r="N2462" t="s">
        <v>104</v>
      </c>
      <c r="O2462" t="s">
        <v>93</v>
      </c>
      <c r="P2462" t="s">
        <v>442</v>
      </c>
      <c r="Q2462" t="s">
        <v>47</v>
      </c>
      <c r="R2462" t="s">
        <v>60</v>
      </c>
      <c r="S2462" t="s">
        <v>59</v>
      </c>
      <c r="T2462">
        <v>1</v>
      </c>
      <c r="U2462">
        <v>0</v>
      </c>
      <c r="V2462">
        <v>0</v>
      </c>
      <c r="W2462">
        <v>1</v>
      </c>
      <c r="X2462">
        <v>0</v>
      </c>
      <c r="Y2462">
        <v>0</v>
      </c>
      <c r="Z2462">
        <v>1</v>
      </c>
      <c r="AA2462">
        <v>0</v>
      </c>
      <c r="AB2462">
        <v>0</v>
      </c>
      <c r="AC2462">
        <v>0</v>
      </c>
      <c r="AD2462">
        <v>1</v>
      </c>
      <c r="AE2462">
        <v>0</v>
      </c>
      <c r="AF2462">
        <v>0</v>
      </c>
      <c r="AG2462">
        <v>0</v>
      </c>
    </row>
    <row r="2463" spans="1:33" x14ac:dyDescent="0.2">
      <c r="A2463">
        <v>2462</v>
      </c>
      <c r="B2463" t="s">
        <v>679</v>
      </c>
      <c r="C2463" t="s">
        <v>108</v>
      </c>
      <c r="D2463">
        <v>32</v>
      </c>
      <c r="E2463" t="s">
        <v>34</v>
      </c>
      <c r="F2463" t="s">
        <v>41</v>
      </c>
      <c r="G2463" t="s">
        <v>67</v>
      </c>
      <c r="H2463">
        <v>38254</v>
      </c>
      <c r="I2463">
        <v>1</v>
      </c>
      <c r="J2463">
        <v>1</v>
      </c>
      <c r="K2463">
        <v>0</v>
      </c>
      <c r="L2463">
        <v>0</v>
      </c>
      <c r="M2463" t="s">
        <v>70</v>
      </c>
      <c r="N2463" t="s">
        <v>68</v>
      </c>
      <c r="O2463" t="s">
        <v>86</v>
      </c>
      <c r="P2463" t="s">
        <v>442</v>
      </c>
      <c r="Q2463" t="s">
        <v>47</v>
      </c>
      <c r="R2463" t="s">
        <v>65</v>
      </c>
      <c r="S2463" t="s">
        <v>46</v>
      </c>
      <c r="T2463">
        <v>0</v>
      </c>
      <c r="U2463">
        <v>1</v>
      </c>
      <c r="V2463">
        <v>0</v>
      </c>
      <c r="W2463">
        <v>1</v>
      </c>
      <c r="X2463">
        <v>1</v>
      </c>
      <c r="Y2463">
        <v>0</v>
      </c>
      <c r="Z2463">
        <v>1</v>
      </c>
      <c r="AA2463">
        <v>0</v>
      </c>
      <c r="AB2463">
        <v>1</v>
      </c>
      <c r="AC2463">
        <v>0</v>
      </c>
      <c r="AD2463">
        <v>1</v>
      </c>
      <c r="AE2463">
        <v>0</v>
      </c>
      <c r="AF2463">
        <v>0</v>
      </c>
      <c r="AG2463">
        <v>0</v>
      </c>
    </row>
    <row r="2464" spans="1:33" hidden="1" x14ac:dyDescent="0.2">
      <c r="A2464">
        <v>2463</v>
      </c>
      <c r="B2464" t="s">
        <v>679</v>
      </c>
      <c r="C2464" t="s">
        <v>108</v>
      </c>
      <c r="D2464">
        <v>32</v>
      </c>
      <c r="E2464" t="s">
        <v>34</v>
      </c>
      <c r="F2464" t="s">
        <v>53</v>
      </c>
      <c r="G2464" t="s">
        <v>76</v>
      </c>
      <c r="H2464">
        <v>35914</v>
      </c>
      <c r="I2464">
        <v>1</v>
      </c>
      <c r="J2464">
        <v>1</v>
      </c>
      <c r="K2464">
        <v>0</v>
      </c>
      <c r="L2464">
        <v>0</v>
      </c>
      <c r="M2464" t="s">
        <v>36</v>
      </c>
      <c r="N2464" t="s">
        <v>36</v>
      </c>
      <c r="O2464" t="s">
        <v>36</v>
      </c>
      <c r="P2464" t="s">
        <v>442</v>
      </c>
      <c r="Q2464" t="s">
        <v>36</v>
      </c>
      <c r="R2464" t="s">
        <v>36</v>
      </c>
      <c r="S2464" t="s">
        <v>36</v>
      </c>
      <c r="T2464" t="s">
        <v>36</v>
      </c>
      <c r="U2464">
        <v>1</v>
      </c>
      <c r="V2464">
        <v>0</v>
      </c>
      <c r="W2464">
        <v>1</v>
      </c>
      <c r="X2464">
        <v>1</v>
      </c>
      <c r="Y2464">
        <v>0</v>
      </c>
      <c r="Z2464">
        <v>1</v>
      </c>
      <c r="AA2464">
        <v>0</v>
      </c>
      <c r="AB2464">
        <v>1</v>
      </c>
      <c r="AC2464">
        <v>0</v>
      </c>
      <c r="AD2464">
        <v>1</v>
      </c>
      <c r="AE2464">
        <v>0</v>
      </c>
      <c r="AF2464">
        <v>0</v>
      </c>
      <c r="AG2464">
        <v>0</v>
      </c>
    </row>
    <row r="2465" spans="1:33" hidden="1" x14ac:dyDescent="0.2">
      <c r="A2465">
        <v>2464</v>
      </c>
      <c r="B2465" t="s">
        <v>679</v>
      </c>
      <c r="C2465" t="s">
        <v>108</v>
      </c>
      <c r="D2465">
        <v>32</v>
      </c>
      <c r="E2465" t="s">
        <v>34</v>
      </c>
      <c r="F2465" t="s">
        <v>77</v>
      </c>
      <c r="G2465" t="s">
        <v>36</v>
      </c>
      <c r="H2465">
        <v>81060</v>
      </c>
      <c r="I2465" t="s">
        <v>680</v>
      </c>
      <c r="J2465" t="s">
        <v>681</v>
      </c>
      <c r="K2465" t="s">
        <v>162</v>
      </c>
      <c r="L2465" t="s">
        <v>36</v>
      </c>
      <c r="M2465" t="s">
        <v>36</v>
      </c>
      <c r="N2465" t="s">
        <v>36</v>
      </c>
      <c r="O2465" t="s">
        <v>36</v>
      </c>
      <c r="P2465" t="s">
        <v>442</v>
      </c>
      <c r="Q2465" t="s">
        <v>36</v>
      </c>
      <c r="R2465" t="s">
        <v>36</v>
      </c>
      <c r="S2465" t="s">
        <v>36</v>
      </c>
      <c r="T2465" t="s">
        <v>36</v>
      </c>
      <c r="U2465" t="s">
        <v>36</v>
      </c>
      <c r="V2465" t="s">
        <v>36</v>
      </c>
      <c r="W2465" t="s">
        <v>36</v>
      </c>
      <c r="X2465" t="s">
        <v>36</v>
      </c>
      <c r="Y2465" t="s">
        <v>36</v>
      </c>
      <c r="Z2465" t="s">
        <v>36</v>
      </c>
      <c r="AA2465" t="s">
        <v>36</v>
      </c>
      <c r="AB2465" t="s">
        <v>36</v>
      </c>
      <c r="AC2465" t="s">
        <v>36</v>
      </c>
      <c r="AD2465" t="s">
        <v>36</v>
      </c>
      <c r="AE2465" t="s">
        <v>36</v>
      </c>
      <c r="AF2465" t="s">
        <v>36</v>
      </c>
      <c r="AG2465" t="s">
        <v>36</v>
      </c>
    </row>
    <row r="2466" spans="1:33" hidden="1" x14ac:dyDescent="0.2">
      <c r="A2466">
        <v>2465</v>
      </c>
      <c r="B2466" t="s">
        <v>682</v>
      </c>
      <c r="C2466" t="s">
        <v>174</v>
      </c>
      <c r="D2466">
        <v>28</v>
      </c>
      <c r="E2466" t="s">
        <v>683</v>
      </c>
      <c r="F2466" t="s">
        <v>35</v>
      </c>
      <c r="G2466" t="s">
        <v>36</v>
      </c>
      <c r="H2466">
        <v>1378718</v>
      </c>
      <c r="I2466" t="s">
        <v>36</v>
      </c>
      <c r="J2466" t="s">
        <v>36</v>
      </c>
      <c r="K2466" t="s">
        <v>36</v>
      </c>
      <c r="L2466" t="s">
        <v>36</v>
      </c>
      <c r="M2466" t="s">
        <v>36</v>
      </c>
      <c r="N2466" t="s">
        <v>36</v>
      </c>
      <c r="O2466" t="s">
        <v>36</v>
      </c>
      <c r="P2466" t="s">
        <v>442</v>
      </c>
      <c r="Q2466" t="s">
        <v>36</v>
      </c>
      <c r="R2466" t="s">
        <v>36</v>
      </c>
      <c r="S2466" t="s">
        <v>36</v>
      </c>
      <c r="T2466" t="s">
        <v>36</v>
      </c>
      <c r="U2466" t="s">
        <v>36</v>
      </c>
      <c r="V2466" t="s">
        <v>36</v>
      </c>
      <c r="W2466" t="s">
        <v>36</v>
      </c>
      <c r="X2466" t="s">
        <v>36</v>
      </c>
      <c r="Y2466" t="s">
        <v>36</v>
      </c>
      <c r="Z2466" t="s">
        <v>36</v>
      </c>
      <c r="AA2466" t="s">
        <v>36</v>
      </c>
      <c r="AB2466" t="s">
        <v>36</v>
      </c>
      <c r="AC2466" t="s">
        <v>36</v>
      </c>
      <c r="AD2466" t="s">
        <v>36</v>
      </c>
      <c r="AE2466" t="s">
        <v>36</v>
      </c>
      <c r="AF2466" t="s">
        <v>36</v>
      </c>
      <c r="AG2466" t="s">
        <v>36</v>
      </c>
    </row>
    <row r="2467" spans="1:33" hidden="1" x14ac:dyDescent="0.2">
      <c r="A2467">
        <v>2466</v>
      </c>
      <c r="B2467" t="s">
        <v>682</v>
      </c>
      <c r="C2467" t="s">
        <v>174</v>
      </c>
      <c r="D2467">
        <v>28</v>
      </c>
      <c r="E2467" t="s">
        <v>683</v>
      </c>
      <c r="F2467" t="s">
        <v>38</v>
      </c>
      <c r="G2467" t="s">
        <v>39</v>
      </c>
      <c r="H2467">
        <v>78254</v>
      </c>
      <c r="I2467">
        <v>0</v>
      </c>
      <c r="J2467">
        <v>1</v>
      </c>
      <c r="K2467">
        <v>1</v>
      </c>
      <c r="L2467">
        <v>0</v>
      </c>
      <c r="M2467" t="s">
        <v>36</v>
      </c>
      <c r="N2467" t="s">
        <v>36</v>
      </c>
      <c r="O2467" t="s">
        <v>36</v>
      </c>
      <c r="P2467" t="s">
        <v>442</v>
      </c>
      <c r="Q2467" t="s">
        <v>36</v>
      </c>
      <c r="R2467" t="s">
        <v>36</v>
      </c>
      <c r="S2467" t="s">
        <v>36</v>
      </c>
      <c r="T2467" t="s">
        <v>36</v>
      </c>
      <c r="U2467" t="s">
        <v>36</v>
      </c>
      <c r="V2467" t="s">
        <v>36</v>
      </c>
      <c r="W2467" t="s">
        <v>36</v>
      </c>
      <c r="X2467" t="s">
        <v>36</v>
      </c>
      <c r="Y2467" t="s">
        <v>36</v>
      </c>
      <c r="Z2467" t="s">
        <v>36</v>
      </c>
      <c r="AA2467" t="s">
        <v>36</v>
      </c>
      <c r="AB2467" t="s">
        <v>36</v>
      </c>
      <c r="AC2467" t="s">
        <v>36</v>
      </c>
      <c r="AD2467" t="s">
        <v>36</v>
      </c>
      <c r="AE2467" t="s">
        <v>36</v>
      </c>
      <c r="AF2467" t="s">
        <v>36</v>
      </c>
      <c r="AG2467" t="s">
        <v>36</v>
      </c>
    </row>
    <row r="2468" spans="1:33" hidden="1" x14ac:dyDescent="0.2">
      <c r="A2468">
        <v>2467</v>
      </c>
      <c r="B2468" t="s">
        <v>682</v>
      </c>
      <c r="C2468" t="s">
        <v>174</v>
      </c>
      <c r="D2468">
        <v>28</v>
      </c>
      <c r="E2468" t="s">
        <v>683</v>
      </c>
      <c r="F2468" t="s">
        <v>38</v>
      </c>
      <c r="G2468" t="s">
        <v>40</v>
      </c>
      <c r="H2468">
        <v>114814</v>
      </c>
      <c r="I2468">
        <v>0</v>
      </c>
      <c r="J2468">
        <v>0</v>
      </c>
      <c r="K2468">
        <v>1</v>
      </c>
      <c r="L2468">
        <v>0</v>
      </c>
      <c r="M2468" t="s">
        <v>36</v>
      </c>
      <c r="N2468" t="s">
        <v>36</v>
      </c>
      <c r="O2468" t="s">
        <v>36</v>
      </c>
      <c r="P2468" t="s">
        <v>442</v>
      </c>
      <c r="Q2468" t="s">
        <v>36</v>
      </c>
      <c r="R2468" t="s">
        <v>36</v>
      </c>
      <c r="S2468" t="s">
        <v>36</v>
      </c>
      <c r="T2468" t="s">
        <v>36</v>
      </c>
      <c r="U2468" t="s">
        <v>36</v>
      </c>
      <c r="V2468" t="s">
        <v>36</v>
      </c>
      <c r="W2468" t="s">
        <v>36</v>
      </c>
      <c r="X2468" t="s">
        <v>36</v>
      </c>
      <c r="Y2468" t="s">
        <v>36</v>
      </c>
      <c r="Z2468" t="s">
        <v>36</v>
      </c>
      <c r="AA2468" t="s">
        <v>36</v>
      </c>
      <c r="AB2468" t="s">
        <v>36</v>
      </c>
      <c r="AC2468" t="s">
        <v>36</v>
      </c>
      <c r="AD2468" t="s">
        <v>36</v>
      </c>
      <c r="AE2468" t="s">
        <v>36</v>
      </c>
      <c r="AF2468" t="s">
        <v>36</v>
      </c>
      <c r="AG2468" t="s">
        <v>36</v>
      </c>
    </row>
    <row r="2469" spans="1:33" x14ac:dyDescent="0.2">
      <c r="A2469">
        <v>2468</v>
      </c>
      <c r="B2469" t="s">
        <v>682</v>
      </c>
      <c r="C2469" t="s">
        <v>174</v>
      </c>
      <c r="D2469">
        <v>28</v>
      </c>
      <c r="E2469" t="s">
        <v>683</v>
      </c>
      <c r="F2469" t="s">
        <v>41</v>
      </c>
      <c r="G2469" t="s">
        <v>42</v>
      </c>
      <c r="H2469">
        <v>209759</v>
      </c>
      <c r="I2469">
        <v>1</v>
      </c>
      <c r="J2469">
        <v>0</v>
      </c>
      <c r="K2469">
        <v>0</v>
      </c>
      <c r="L2469">
        <v>0</v>
      </c>
      <c r="M2469" t="s">
        <v>43</v>
      </c>
      <c r="N2469" t="s">
        <v>102</v>
      </c>
      <c r="O2469" t="s">
        <v>44</v>
      </c>
      <c r="P2469" t="s">
        <v>442</v>
      </c>
      <c r="Q2469" t="s">
        <v>46</v>
      </c>
      <c r="R2469" t="s">
        <v>59</v>
      </c>
      <c r="S2469" t="s">
        <v>47</v>
      </c>
      <c r="T2469">
        <v>0</v>
      </c>
      <c r="U2469">
        <v>0</v>
      </c>
      <c r="V2469">
        <v>0</v>
      </c>
      <c r="W2469">
        <v>1</v>
      </c>
      <c r="X2469">
        <v>1</v>
      </c>
      <c r="Y2469">
        <v>0</v>
      </c>
      <c r="Z2469">
        <v>1</v>
      </c>
      <c r="AA2469">
        <v>0</v>
      </c>
      <c r="AB2469">
        <v>0</v>
      </c>
      <c r="AC2469">
        <v>0</v>
      </c>
      <c r="AD2469">
        <v>0</v>
      </c>
      <c r="AE2469">
        <v>1</v>
      </c>
      <c r="AF2469">
        <v>0</v>
      </c>
      <c r="AG2469">
        <v>0</v>
      </c>
    </row>
    <row r="2470" spans="1:33" x14ac:dyDescent="0.2">
      <c r="A2470">
        <v>2469</v>
      </c>
      <c r="B2470" t="s">
        <v>682</v>
      </c>
      <c r="C2470" t="s">
        <v>174</v>
      </c>
      <c r="D2470">
        <v>28</v>
      </c>
      <c r="E2470" t="s">
        <v>683</v>
      </c>
      <c r="F2470" t="s">
        <v>41</v>
      </c>
      <c r="G2470" t="s">
        <v>72</v>
      </c>
      <c r="H2470">
        <v>41612</v>
      </c>
      <c r="I2470">
        <v>0</v>
      </c>
      <c r="J2470">
        <v>0</v>
      </c>
      <c r="K2470">
        <v>0</v>
      </c>
      <c r="L2470">
        <v>1</v>
      </c>
      <c r="M2470" t="s">
        <v>93</v>
      </c>
      <c r="N2470" t="s">
        <v>75</v>
      </c>
      <c r="O2470" t="s">
        <v>104</v>
      </c>
      <c r="P2470" t="s">
        <v>442</v>
      </c>
      <c r="Q2470" t="s">
        <v>59</v>
      </c>
      <c r="R2470" t="s">
        <v>46</v>
      </c>
      <c r="S2470" t="s">
        <v>60</v>
      </c>
      <c r="T2470">
        <v>1</v>
      </c>
      <c r="U2470">
        <v>0</v>
      </c>
      <c r="V2470">
        <v>0</v>
      </c>
      <c r="W2470">
        <v>0</v>
      </c>
      <c r="X2470">
        <v>1</v>
      </c>
      <c r="Y2470">
        <v>0</v>
      </c>
      <c r="Z2470">
        <v>1</v>
      </c>
      <c r="AA2470">
        <v>0</v>
      </c>
      <c r="AB2470">
        <v>0</v>
      </c>
      <c r="AC2470">
        <v>0</v>
      </c>
      <c r="AD2470">
        <v>0</v>
      </c>
      <c r="AE2470">
        <v>0</v>
      </c>
      <c r="AF2470">
        <v>0</v>
      </c>
      <c r="AG2470">
        <v>1</v>
      </c>
    </row>
    <row r="2471" spans="1:33" hidden="1" x14ac:dyDescent="0.2">
      <c r="A2471">
        <v>2470</v>
      </c>
      <c r="B2471" t="s">
        <v>682</v>
      </c>
      <c r="C2471" t="s">
        <v>174</v>
      </c>
      <c r="D2471">
        <v>28</v>
      </c>
      <c r="E2471" t="s">
        <v>683</v>
      </c>
      <c r="F2471" t="s">
        <v>53</v>
      </c>
      <c r="G2471" t="s">
        <v>66</v>
      </c>
      <c r="H2471">
        <v>24679</v>
      </c>
      <c r="I2471">
        <v>1</v>
      </c>
      <c r="J2471">
        <v>1</v>
      </c>
      <c r="K2471">
        <v>0</v>
      </c>
      <c r="L2471">
        <v>0</v>
      </c>
      <c r="M2471" t="s">
        <v>36</v>
      </c>
      <c r="N2471" t="s">
        <v>36</v>
      </c>
      <c r="O2471" t="s">
        <v>36</v>
      </c>
      <c r="P2471" t="s">
        <v>442</v>
      </c>
      <c r="Q2471" t="s">
        <v>36</v>
      </c>
      <c r="R2471" t="s">
        <v>36</v>
      </c>
      <c r="S2471" t="s">
        <v>36</v>
      </c>
      <c r="T2471" t="s">
        <v>36</v>
      </c>
      <c r="U2471">
        <v>0</v>
      </c>
      <c r="V2471">
        <v>0</v>
      </c>
      <c r="W2471">
        <v>0</v>
      </c>
      <c r="X2471">
        <v>1</v>
      </c>
      <c r="Y2471">
        <v>0</v>
      </c>
      <c r="Z2471">
        <v>1</v>
      </c>
      <c r="AA2471">
        <v>0</v>
      </c>
      <c r="AB2471">
        <v>0</v>
      </c>
      <c r="AC2471">
        <v>0</v>
      </c>
      <c r="AD2471">
        <v>0</v>
      </c>
      <c r="AE2471">
        <v>0</v>
      </c>
      <c r="AF2471">
        <v>0</v>
      </c>
      <c r="AG2471">
        <v>1</v>
      </c>
    </row>
    <row r="2472" spans="1:33" x14ac:dyDescent="0.2">
      <c r="A2472">
        <v>2471</v>
      </c>
      <c r="B2472" t="s">
        <v>682</v>
      </c>
      <c r="C2472" t="s">
        <v>174</v>
      </c>
      <c r="D2472">
        <v>28</v>
      </c>
      <c r="E2472" t="s">
        <v>683</v>
      </c>
      <c r="F2472" t="s">
        <v>41</v>
      </c>
      <c r="G2472" t="s">
        <v>55</v>
      </c>
      <c r="H2472">
        <v>10313</v>
      </c>
      <c r="I2472">
        <v>0</v>
      </c>
      <c r="J2472">
        <v>1</v>
      </c>
      <c r="K2472">
        <v>0</v>
      </c>
      <c r="L2472">
        <v>0</v>
      </c>
      <c r="M2472" t="s">
        <v>56</v>
      </c>
      <c r="N2472" t="s">
        <v>85</v>
      </c>
      <c r="O2472" t="s">
        <v>94</v>
      </c>
      <c r="P2472" t="s">
        <v>442</v>
      </c>
      <c r="Q2472" t="s">
        <v>59</v>
      </c>
      <c r="R2472" t="s">
        <v>65</v>
      </c>
      <c r="S2472" t="s">
        <v>47</v>
      </c>
      <c r="T2472">
        <v>0</v>
      </c>
      <c r="U2472">
        <v>1</v>
      </c>
      <c r="V2472">
        <v>0</v>
      </c>
      <c r="W2472">
        <v>1</v>
      </c>
      <c r="X2472">
        <v>0</v>
      </c>
      <c r="Y2472">
        <v>0</v>
      </c>
      <c r="Z2472">
        <v>1</v>
      </c>
      <c r="AA2472">
        <v>0</v>
      </c>
      <c r="AB2472">
        <v>1</v>
      </c>
      <c r="AC2472">
        <v>0</v>
      </c>
      <c r="AD2472">
        <v>0</v>
      </c>
      <c r="AE2472">
        <v>0</v>
      </c>
      <c r="AF2472">
        <v>0</v>
      </c>
      <c r="AG2472">
        <v>0</v>
      </c>
    </row>
    <row r="2473" spans="1:33" x14ac:dyDescent="0.2">
      <c r="A2473">
        <v>2472</v>
      </c>
      <c r="B2473" t="s">
        <v>682</v>
      </c>
      <c r="C2473" t="s">
        <v>174</v>
      </c>
      <c r="D2473">
        <v>28</v>
      </c>
      <c r="E2473" t="s">
        <v>683</v>
      </c>
      <c r="F2473" t="s">
        <v>41</v>
      </c>
      <c r="G2473" t="s">
        <v>61</v>
      </c>
      <c r="H2473">
        <v>16117</v>
      </c>
      <c r="I2473">
        <v>0</v>
      </c>
      <c r="J2473">
        <v>0</v>
      </c>
      <c r="K2473">
        <v>1</v>
      </c>
      <c r="L2473">
        <v>0</v>
      </c>
      <c r="M2473" t="s">
        <v>87</v>
      </c>
      <c r="N2473" t="s">
        <v>63</v>
      </c>
      <c r="O2473" t="s">
        <v>62</v>
      </c>
      <c r="P2473" t="s">
        <v>442</v>
      </c>
      <c r="Q2473" t="s">
        <v>47</v>
      </c>
      <c r="R2473" t="s">
        <v>46</v>
      </c>
      <c r="S2473" t="s">
        <v>65</v>
      </c>
      <c r="T2473">
        <v>0</v>
      </c>
      <c r="U2473">
        <v>1</v>
      </c>
      <c r="V2473">
        <v>0</v>
      </c>
      <c r="W2473">
        <v>1</v>
      </c>
      <c r="X2473">
        <v>1</v>
      </c>
      <c r="Y2473">
        <v>0</v>
      </c>
      <c r="Z2473">
        <v>1</v>
      </c>
      <c r="AA2473">
        <v>0</v>
      </c>
      <c r="AB2473">
        <v>1</v>
      </c>
      <c r="AC2473">
        <v>0</v>
      </c>
      <c r="AD2473">
        <v>0</v>
      </c>
      <c r="AE2473">
        <v>0</v>
      </c>
      <c r="AF2473">
        <v>0</v>
      </c>
      <c r="AG2473">
        <v>0</v>
      </c>
    </row>
    <row r="2474" spans="1:33" hidden="1" x14ac:dyDescent="0.2">
      <c r="A2474">
        <v>2473</v>
      </c>
      <c r="B2474" t="s">
        <v>682</v>
      </c>
      <c r="C2474" t="s">
        <v>174</v>
      </c>
      <c r="D2474">
        <v>28</v>
      </c>
      <c r="E2474" t="s">
        <v>683</v>
      </c>
      <c r="F2474" t="s">
        <v>53</v>
      </c>
      <c r="G2474" t="s">
        <v>71</v>
      </c>
      <c r="H2474">
        <v>34055</v>
      </c>
      <c r="I2474">
        <v>1</v>
      </c>
      <c r="J2474">
        <v>0</v>
      </c>
      <c r="K2474">
        <v>1</v>
      </c>
      <c r="L2474">
        <v>0</v>
      </c>
      <c r="M2474" t="s">
        <v>36</v>
      </c>
      <c r="N2474" t="s">
        <v>36</v>
      </c>
      <c r="O2474" t="s">
        <v>36</v>
      </c>
      <c r="P2474" t="s">
        <v>442</v>
      </c>
      <c r="Q2474" t="s">
        <v>36</v>
      </c>
      <c r="R2474" t="s">
        <v>36</v>
      </c>
      <c r="S2474" t="s">
        <v>36</v>
      </c>
      <c r="T2474" t="s">
        <v>36</v>
      </c>
      <c r="U2474">
        <v>1</v>
      </c>
      <c r="V2474">
        <v>0</v>
      </c>
      <c r="W2474">
        <v>1</v>
      </c>
      <c r="X2474">
        <v>1</v>
      </c>
      <c r="Y2474">
        <v>0</v>
      </c>
      <c r="Z2474">
        <v>1</v>
      </c>
      <c r="AA2474">
        <v>0</v>
      </c>
      <c r="AB2474">
        <v>1</v>
      </c>
      <c r="AC2474">
        <v>0</v>
      </c>
      <c r="AD2474">
        <v>0</v>
      </c>
      <c r="AE2474">
        <v>0</v>
      </c>
      <c r="AF2474">
        <v>0</v>
      </c>
      <c r="AG2474">
        <v>0</v>
      </c>
    </row>
    <row r="2475" spans="1:33" x14ac:dyDescent="0.2">
      <c r="A2475">
        <v>2474</v>
      </c>
      <c r="B2475" t="s">
        <v>682</v>
      </c>
      <c r="C2475" t="s">
        <v>174</v>
      </c>
      <c r="D2475">
        <v>28</v>
      </c>
      <c r="E2475" t="s">
        <v>683</v>
      </c>
      <c r="F2475" t="s">
        <v>41</v>
      </c>
      <c r="G2475" t="s">
        <v>67</v>
      </c>
      <c r="H2475">
        <v>8366</v>
      </c>
      <c r="I2475">
        <v>1</v>
      </c>
      <c r="J2475">
        <v>0</v>
      </c>
      <c r="K2475">
        <v>0</v>
      </c>
      <c r="L2475">
        <v>0</v>
      </c>
      <c r="M2475" t="s">
        <v>109</v>
      </c>
      <c r="N2475" t="s">
        <v>70</v>
      </c>
      <c r="O2475" t="s">
        <v>103</v>
      </c>
      <c r="P2475" t="s">
        <v>442</v>
      </c>
      <c r="Q2475" t="s">
        <v>59</v>
      </c>
      <c r="R2475" t="s">
        <v>47</v>
      </c>
      <c r="S2475" t="s">
        <v>60</v>
      </c>
      <c r="T2475">
        <v>1</v>
      </c>
      <c r="U2475">
        <v>0</v>
      </c>
      <c r="V2475">
        <v>0</v>
      </c>
      <c r="W2475">
        <v>1</v>
      </c>
      <c r="X2475">
        <v>0</v>
      </c>
      <c r="Y2475">
        <v>0</v>
      </c>
      <c r="Z2475">
        <v>1</v>
      </c>
      <c r="AA2475">
        <v>0</v>
      </c>
      <c r="AB2475">
        <v>0</v>
      </c>
      <c r="AC2475">
        <v>0</v>
      </c>
      <c r="AD2475">
        <v>0</v>
      </c>
      <c r="AE2475">
        <v>0</v>
      </c>
      <c r="AF2475">
        <v>0</v>
      </c>
      <c r="AG2475">
        <v>0</v>
      </c>
    </row>
    <row r="2476" spans="1:33" hidden="1" x14ac:dyDescent="0.2">
      <c r="A2476">
        <v>2475</v>
      </c>
      <c r="B2476" t="s">
        <v>682</v>
      </c>
      <c r="C2476" t="s">
        <v>174</v>
      </c>
      <c r="D2476">
        <v>28</v>
      </c>
      <c r="E2476" t="s">
        <v>683</v>
      </c>
      <c r="F2476" t="s">
        <v>53</v>
      </c>
      <c r="G2476" t="s">
        <v>76</v>
      </c>
      <c r="H2476">
        <v>39548</v>
      </c>
      <c r="I2476">
        <v>1</v>
      </c>
      <c r="J2476">
        <v>0</v>
      </c>
      <c r="K2476">
        <v>0</v>
      </c>
      <c r="L2476">
        <v>0</v>
      </c>
      <c r="M2476" t="s">
        <v>36</v>
      </c>
      <c r="N2476" t="s">
        <v>36</v>
      </c>
      <c r="O2476" t="s">
        <v>36</v>
      </c>
      <c r="P2476" t="s">
        <v>442</v>
      </c>
      <c r="Q2476" t="s">
        <v>36</v>
      </c>
      <c r="R2476" t="s">
        <v>36</v>
      </c>
      <c r="S2476" t="s">
        <v>36</v>
      </c>
      <c r="T2476" t="s">
        <v>36</v>
      </c>
      <c r="U2476">
        <v>0</v>
      </c>
      <c r="V2476">
        <v>0</v>
      </c>
      <c r="W2476">
        <v>1</v>
      </c>
      <c r="X2476">
        <v>0</v>
      </c>
      <c r="Y2476">
        <v>0</v>
      </c>
      <c r="Z2476">
        <v>1</v>
      </c>
      <c r="AA2476">
        <v>0</v>
      </c>
      <c r="AB2476">
        <v>0</v>
      </c>
      <c r="AC2476">
        <v>0</v>
      </c>
      <c r="AD2476">
        <v>0</v>
      </c>
      <c r="AE2476">
        <v>0</v>
      </c>
      <c r="AF2476">
        <v>0</v>
      </c>
      <c r="AG2476">
        <v>0</v>
      </c>
    </row>
    <row r="2477" spans="1:33" x14ac:dyDescent="0.2">
      <c r="A2477">
        <v>2476</v>
      </c>
      <c r="B2477" t="s">
        <v>682</v>
      </c>
      <c r="C2477" t="s">
        <v>174</v>
      </c>
      <c r="D2477">
        <v>28</v>
      </c>
      <c r="E2477" t="s">
        <v>683</v>
      </c>
      <c r="F2477" t="s">
        <v>41</v>
      </c>
      <c r="G2477" t="s">
        <v>49</v>
      </c>
      <c r="H2477">
        <v>8252</v>
      </c>
      <c r="I2477">
        <v>1</v>
      </c>
      <c r="J2477">
        <v>0</v>
      </c>
      <c r="K2477">
        <v>0</v>
      </c>
      <c r="L2477">
        <v>0</v>
      </c>
      <c r="M2477" t="s">
        <v>50</v>
      </c>
      <c r="N2477" t="s">
        <v>52</v>
      </c>
      <c r="O2477" t="s">
        <v>51</v>
      </c>
      <c r="P2477" t="s">
        <v>442</v>
      </c>
      <c r="Q2477" t="s">
        <v>48</v>
      </c>
      <c r="R2477" t="s">
        <v>46</v>
      </c>
      <c r="S2477" t="s">
        <v>47</v>
      </c>
      <c r="T2477">
        <v>0</v>
      </c>
      <c r="U2477">
        <v>0</v>
      </c>
      <c r="V2477">
        <v>1</v>
      </c>
      <c r="W2477">
        <v>1</v>
      </c>
      <c r="X2477">
        <v>1</v>
      </c>
      <c r="Y2477">
        <v>0</v>
      </c>
      <c r="Z2477">
        <v>1</v>
      </c>
      <c r="AA2477">
        <v>0</v>
      </c>
      <c r="AB2477">
        <v>0</v>
      </c>
      <c r="AC2477">
        <v>1</v>
      </c>
      <c r="AD2477">
        <v>0</v>
      </c>
      <c r="AE2477">
        <v>0</v>
      </c>
      <c r="AF2477">
        <v>0</v>
      </c>
      <c r="AG2477">
        <v>0</v>
      </c>
    </row>
    <row r="2478" spans="1:33" hidden="1" x14ac:dyDescent="0.2">
      <c r="A2478">
        <v>2477</v>
      </c>
      <c r="B2478" t="s">
        <v>682</v>
      </c>
      <c r="C2478" t="s">
        <v>174</v>
      </c>
      <c r="D2478">
        <v>28</v>
      </c>
      <c r="E2478" t="s">
        <v>683</v>
      </c>
      <c r="F2478" t="s">
        <v>53</v>
      </c>
      <c r="G2478" t="s">
        <v>54</v>
      </c>
      <c r="H2478">
        <v>9007</v>
      </c>
      <c r="I2478">
        <v>0</v>
      </c>
      <c r="J2478">
        <v>1</v>
      </c>
      <c r="K2478">
        <v>0</v>
      </c>
      <c r="L2478">
        <v>0</v>
      </c>
      <c r="M2478" t="s">
        <v>36</v>
      </c>
      <c r="N2478" t="s">
        <v>36</v>
      </c>
      <c r="O2478" t="s">
        <v>36</v>
      </c>
      <c r="P2478" t="s">
        <v>442</v>
      </c>
      <c r="Q2478" t="s">
        <v>36</v>
      </c>
      <c r="R2478" t="s">
        <v>36</v>
      </c>
      <c r="S2478" t="s">
        <v>36</v>
      </c>
      <c r="T2478" t="s">
        <v>36</v>
      </c>
      <c r="U2478">
        <v>0</v>
      </c>
      <c r="V2478">
        <v>1</v>
      </c>
      <c r="W2478">
        <v>1</v>
      </c>
      <c r="X2478">
        <v>1</v>
      </c>
      <c r="Y2478">
        <v>0</v>
      </c>
      <c r="Z2478">
        <v>1</v>
      </c>
      <c r="AA2478">
        <v>0</v>
      </c>
      <c r="AB2478">
        <v>0</v>
      </c>
      <c r="AC2478">
        <v>1</v>
      </c>
      <c r="AD2478">
        <v>0</v>
      </c>
      <c r="AE2478">
        <v>0</v>
      </c>
      <c r="AF2478">
        <v>0</v>
      </c>
      <c r="AG2478">
        <v>0</v>
      </c>
    </row>
    <row r="2479" spans="1:33" hidden="1" x14ac:dyDescent="0.2">
      <c r="A2479">
        <v>2478</v>
      </c>
      <c r="B2479" t="s">
        <v>682</v>
      </c>
      <c r="C2479" t="s">
        <v>174</v>
      </c>
      <c r="D2479">
        <v>28</v>
      </c>
      <c r="E2479" t="s">
        <v>683</v>
      </c>
      <c r="F2479" t="s">
        <v>77</v>
      </c>
      <c r="G2479" t="s">
        <v>36</v>
      </c>
      <c r="H2479">
        <v>93440</v>
      </c>
      <c r="I2479" t="s">
        <v>684</v>
      </c>
      <c r="J2479" t="s">
        <v>166</v>
      </c>
      <c r="K2479" t="s">
        <v>443</v>
      </c>
      <c r="L2479" t="s">
        <v>36</v>
      </c>
      <c r="M2479" t="s">
        <v>36</v>
      </c>
      <c r="N2479" t="s">
        <v>36</v>
      </c>
      <c r="O2479" t="s">
        <v>36</v>
      </c>
      <c r="P2479" t="s">
        <v>442</v>
      </c>
      <c r="Q2479" t="s">
        <v>36</v>
      </c>
      <c r="R2479" t="s">
        <v>36</v>
      </c>
      <c r="S2479" t="s">
        <v>36</v>
      </c>
      <c r="T2479" t="s">
        <v>36</v>
      </c>
      <c r="U2479" t="s">
        <v>36</v>
      </c>
      <c r="V2479" t="s">
        <v>36</v>
      </c>
      <c r="W2479" t="s">
        <v>36</v>
      </c>
      <c r="X2479" t="s">
        <v>36</v>
      </c>
      <c r="Y2479" t="s">
        <v>36</v>
      </c>
      <c r="Z2479" t="s">
        <v>36</v>
      </c>
      <c r="AA2479" t="s">
        <v>36</v>
      </c>
      <c r="AB2479" t="s">
        <v>36</v>
      </c>
      <c r="AC2479" t="s">
        <v>36</v>
      </c>
      <c r="AD2479" t="s">
        <v>36</v>
      </c>
      <c r="AE2479" t="s">
        <v>36</v>
      </c>
      <c r="AF2479" t="s">
        <v>36</v>
      </c>
      <c r="AG2479" t="s">
        <v>36</v>
      </c>
    </row>
    <row r="2480" spans="1:33" hidden="1" x14ac:dyDescent="0.2">
      <c r="A2480">
        <v>2479</v>
      </c>
      <c r="B2480" t="s">
        <v>685</v>
      </c>
      <c r="C2480" t="s">
        <v>108</v>
      </c>
      <c r="D2480">
        <v>32</v>
      </c>
      <c r="E2480" t="s">
        <v>114</v>
      </c>
      <c r="F2480" t="s">
        <v>35</v>
      </c>
      <c r="G2480" t="s">
        <v>36</v>
      </c>
      <c r="H2480">
        <v>74052</v>
      </c>
      <c r="I2480" t="s">
        <v>36</v>
      </c>
      <c r="J2480" t="s">
        <v>36</v>
      </c>
      <c r="K2480" t="s">
        <v>36</v>
      </c>
      <c r="L2480" t="s">
        <v>36</v>
      </c>
      <c r="M2480" t="s">
        <v>36</v>
      </c>
      <c r="N2480" t="s">
        <v>36</v>
      </c>
      <c r="O2480" t="s">
        <v>36</v>
      </c>
      <c r="P2480" t="s">
        <v>442</v>
      </c>
      <c r="Q2480" t="s">
        <v>36</v>
      </c>
      <c r="R2480" t="s">
        <v>36</v>
      </c>
      <c r="S2480" t="s">
        <v>36</v>
      </c>
      <c r="T2480" t="s">
        <v>36</v>
      </c>
      <c r="U2480" t="s">
        <v>36</v>
      </c>
      <c r="V2480" t="s">
        <v>36</v>
      </c>
      <c r="W2480" t="s">
        <v>36</v>
      </c>
      <c r="X2480" t="s">
        <v>36</v>
      </c>
      <c r="Y2480" t="s">
        <v>36</v>
      </c>
      <c r="Z2480" t="s">
        <v>36</v>
      </c>
      <c r="AA2480" t="s">
        <v>36</v>
      </c>
      <c r="AB2480" t="s">
        <v>36</v>
      </c>
      <c r="AC2480" t="s">
        <v>36</v>
      </c>
      <c r="AD2480" t="s">
        <v>36</v>
      </c>
      <c r="AE2480" t="s">
        <v>36</v>
      </c>
      <c r="AF2480" t="s">
        <v>36</v>
      </c>
      <c r="AG2480" t="s">
        <v>36</v>
      </c>
    </row>
    <row r="2481" spans="1:33" hidden="1" x14ac:dyDescent="0.2">
      <c r="A2481">
        <v>2480</v>
      </c>
      <c r="B2481" t="s">
        <v>685</v>
      </c>
      <c r="C2481" t="s">
        <v>108</v>
      </c>
      <c r="D2481">
        <v>32</v>
      </c>
      <c r="E2481" t="s">
        <v>114</v>
      </c>
      <c r="F2481" t="s">
        <v>38</v>
      </c>
      <c r="G2481" t="s">
        <v>39</v>
      </c>
      <c r="H2481">
        <v>35808</v>
      </c>
      <c r="I2481">
        <v>0</v>
      </c>
      <c r="J2481">
        <v>0</v>
      </c>
      <c r="K2481">
        <v>0</v>
      </c>
      <c r="L2481">
        <v>1</v>
      </c>
      <c r="M2481" t="s">
        <v>36</v>
      </c>
      <c r="N2481" t="s">
        <v>36</v>
      </c>
      <c r="O2481" t="s">
        <v>36</v>
      </c>
      <c r="P2481" t="s">
        <v>442</v>
      </c>
      <c r="Q2481" t="s">
        <v>36</v>
      </c>
      <c r="R2481" t="s">
        <v>36</v>
      </c>
      <c r="S2481" t="s">
        <v>36</v>
      </c>
      <c r="T2481" t="s">
        <v>36</v>
      </c>
      <c r="U2481" t="s">
        <v>36</v>
      </c>
      <c r="V2481" t="s">
        <v>36</v>
      </c>
      <c r="W2481" t="s">
        <v>36</v>
      </c>
      <c r="X2481" t="s">
        <v>36</v>
      </c>
      <c r="Y2481" t="s">
        <v>36</v>
      </c>
      <c r="Z2481" t="s">
        <v>36</v>
      </c>
      <c r="AA2481" t="s">
        <v>36</v>
      </c>
      <c r="AB2481" t="s">
        <v>36</v>
      </c>
      <c r="AC2481" t="s">
        <v>36</v>
      </c>
      <c r="AD2481" t="s">
        <v>36</v>
      </c>
      <c r="AE2481" t="s">
        <v>36</v>
      </c>
      <c r="AF2481" t="s">
        <v>36</v>
      </c>
      <c r="AG2481" t="s">
        <v>36</v>
      </c>
    </row>
    <row r="2482" spans="1:33" hidden="1" x14ac:dyDescent="0.2">
      <c r="A2482">
        <v>2481</v>
      </c>
      <c r="B2482" t="s">
        <v>685</v>
      </c>
      <c r="C2482" t="s">
        <v>108</v>
      </c>
      <c r="D2482">
        <v>32</v>
      </c>
      <c r="E2482" t="s">
        <v>114</v>
      </c>
      <c r="F2482" t="s">
        <v>38</v>
      </c>
      <c r="G2482" t="s">
        <v>40</v>
      </c>
      <c r="H2482">
        <v>37824</v>
      </c>
      <c r="I2482">
        <v>0</v>
      </c>
      <c r="J2482">
        <v>0</v>
      </c>
      <c r="K2482">
        <v>1</v>
      </c>
      <c r="L2482">
        <v>0</v>
      </c>
      <c r="M2482" t="s">
        <v>36</v>
      </c>
      <c r="N2482" t="s">
        <v>36</v>
      </c>
      <c r="O2482" t="s">
        <v>36</v>
      </c>
      <c r="P2482" t="s">
        <v>442</v>
      </c>
      <c r="Q2482" t="s">
        <v>36</v>
      </c>
      <c r="R2482" t="s">
        <v>36</v>
      </c>
      <c r="S2482" t="s">
        <v>36</v>
      </c>
      <c r="T2482" t="s">
        <v>36</v>
      </c>
      <c r="U2482" t="s">
        <v>36</v>
      </c>
      <c r="V2482" t="s">
        <v>36</v>
      </c>
      <c r="W2482" t="s">
        <v>36</v>
      </c>
      <c r="X2482" t="s">
        <v>36</v>
      </c>
      <c r="Y2482" t="s">
        <v>36</v>
      </c>
      <c r="Z2482" t="s">
        <v>36</v>
      </c>
      <c r="AA2482" t="s">
        <v>36</v>
      </c>
      <c r="AB2482" t="s">
        <v>36</v>
      </c>
      <c r="AC2482" t="s">
        <v>36</v>
      </c>
      <c r="AD2482" t="s">
        <v>36</v>
      </c>
      <c r="AE2482" t="s">
        <v>36</v>
      </c>
      <c r="AF2482" t="s">
        <v>36</v>
      </c>
      <c r="AG2482" t="s">
        <v>36</v>
      </c>
    </row>
    <row r="2483" spans="1:33" x14ac:dyDescent="0.2">
      <c r="A2483">
        <v>2482</v>
      </c>
      <c r="B2483" t="s">
        <v>685</v>
      </c>
      <c r="C2483" t="s">
        <v>108</v>
      </c>
      <c r="D2483">
        <v>32</v>
      </c>
      <c r="E2483" t="s">
        <v>114</v>
      </c>
      <c r="F2483" t="s">
        <v>41</v>
      </c>
      <c r="G2483" t="s">
        <v>55</v>
      </c>
      <c r="H2483">
        <v>55769</v>
      </c>
      <c r="I2483">
        <v>0</v>
      </c>
      <c r="J2483">
        <v>0</v>
      </c>
      <c r="K2483">
        <v>0</v>
      </c>
      <c r="L2483">
        <v>1</v>
      </c>
      <c r="M2483" t="s">
        <v>94</v>
      </c>
      <c r="N2483" t="s">
        <v>57</v>
      </c>
      <c r="O2483" t="s">
        <v>84</v>
      </c>
      <c r="P2483" t="s">
        <v>442</v>
      </c>
      <c r="Q2483" t="s">
        <v>47</v>
      </c>
      <c r="R2483" t="s">
        <v>48</v>
      </c>
      <c r="S2483" t="s">
        <v>46</v>
      </c>
      <c r="T2483">
        <v>0</v>
      </c>
      <c r="U2483">
        <v>0</v>
      </c>
      <c r="V2483">
        <v>1</v>
      </c>
      <c r="W2483">
        <v>1</v>
      </c>
      <c r="X2483">
        <v>1</v>
      </c>
      <c r="Y2483">
        <v>0</v>
      </c>
      <c r="Z2483">
        <v>1</v>
      </c>
      <c r="AA2483">
        <v>0</v>
      </c>
      <c r="AB2483">
        <v>0</v>
      </c>
      <c r="AC2483">
        <v>0</v>
      </c>
      <c r="AD2483">
        <v>0</v>
      </c>
      <c r="AE2483">
        <v>0</v>
      </c>
      <c r="AF2483">
        <v>0</v>
      </c>
      <c r="AG2483">
        <v>1</v>
      </c>
    </row>
    <row r="2484" spans="1:33" x14ac:dyDescent="0.2">
      <c r="A2484">
        <v>2483</v>
      </c>
      <c r="B2484" t="s">
        <v>685</v>
      </c>
      <c r="C2484" t="s">
        <v>108</v>
      </c>
      <c r="D2484">
        <v>32</v>
      </c>
      <c r="E2484" t="s">
        <v>114</v>
      </c>
      <c r="F2484" t="s">
        <v>41</v>
      </c>
      <c r="G2484" t="s">
        <v>42</v>
      </c>
      <c r="H2484">
        <v>27325</v>
      </c>
      <c r="I2484">
        <v>0</v>
      </c>
      <c r="J2484">
        <v>1</v>
      </c>
      <c r="K2484">
        <v>0</v>
      </c>
      <c r="L2484">
        <v>0</v>
      </c>
      <c r="M2484" t="s">
        <v>45</v>
      </c>
      <c r="N2484" t="s">
        <v>82</v>
      </c>
      <c r="O2484" t="s">
        <v>102</v>
      </c>
      <c r="P2484" t="s">
        <v>442</v>
      </c>
      <c r="Q2484" t="s">
        <v>48</v>
      </c>
      <c r="R2484" t="s">
        <v>65</v>
      </c>
      <c r="S2484" t="s">
        <v>59</v>
      </c>
      <c r="T2484">
        <v>0</v>
      </c>
      <c r="U2484">
        <v>1</v>
      </c>
      <c r="V2484">
        <v>1</v>
      </c>
      <c r="W2484">
        <v>0</v>
      </c>
      <c r="X2484">
        <v>0</v>
      </c>
      <c r="Y2484">
        <v>0</v>
      </c>
      <c r="Z2484">
        <v>1</v>
      </c>
      <c r="AA2484">
        <v>0</v>
      </c>
      <c r="AB2484">
        <v>1</v>
      </c>
      <c r="AC2484">
        <v>0</v>
      </c>
      <c r="AD2484">
        <v>0</v>
      </c>
      <c r="AE2484">
        <v>0</v>
      </c>
      <c r="AF2484">
        <v>0</v>
      </c>
      <c r="AG2484">
        <v>0</v>
      </c>
    </row>
    <row r="2485" spans="1:33" hidden="1" x14ac:dyDescent="0.2">
      <c r="A2485">
        <v>2484</v>
      </c>
      <c r="B2485" t="s">
        <v>685</v>
      </c>
      <c r="C2485" t="s">
        <v>108</v>
      </c>
      <c r="D2485">
        <v>32</v>
      </c>
      <c r="E2485" t="s">
        <v>114</v>
      </c>
      <c r="F2485" t="s">
        <v>53</v>
      </c>
      <c r="G2485" t="s">
        <v>54</v>
      </c>
      <c r="H2485">
        <v>31164</v>
      </c>
      <c r="I2485">
        <v>0</v>
      </c>
      <c r="J2485">
        <v>0</v>
      </c>
      <c r="K2485">
        <v>1</v>
      </c>
      <c r="L2485">
        <v>0</v>
      </c>
      <c r="M2485" t="s">
        <v>36</v>
      </c>
      <c r="N2485" t="s">
        <v>36</v>
      </c>
      <c r="O2485" t="s">
        <v>36</v>
      </c>
      <c r="P2485" t="s">
        <v>442</v>
      </c>
      <c r="Q2485" t="s">
        <v>36</v>
      </c>
      <c r="R2485" t="s">
        <v>36</v>
      </c>
      <c r="S2485" t="s">
        <v>36</v>
      </c>
      <c r="T2485" t="s">
        <v>36</v>
      </c>
      <c r="U2485">
        <v>1</v>
      </c>
      <c r="V2485">
        <v>1</v>
      </c>
      <c r="W2485">
        <v>0</v>
      </c>
      <c r="X2485">
        <v>0</v>
      </c>
      <c r="Y2485">
        <v>0</v>
      </c>
      <c r="Z2485">
        <v>1</v>
      </c>
      <c r="AA2485">
        <v>0</v>
      </c>
      <c r="AB2485">
        <v>1</v>
      </c>
      <c r="AC2485">
        <v>0</v>
      </c>
      <c r="AD2485">
        <v>0</v>
      </c>
      <c r="AE2485">
        <v>0</v>
      </c>
      <c r="AF2485">
        <v>0</v>
      </c>
      <c r="AG2485">
        <v>0</v>
      </c>
    </row>
    <row r="2486" spans="1:33" x14ac:dyDescent="0.2">
      <c r="A2486">
        <v>2485</v>
      </c>
      <c r="B2486" t="s">
        <v>685</v>
      </c>
      <c r="C2486" t="s">
        <v>108</v>
      </c>
      <c r="D2486">
        <v>32</v>
      </c>
      <c r="E2486" t="s">
        <v>114</v>
      </c>
      <c r="F2486" t="s">
        <v>41</v>
      </c>
      <c r="G2486" t="s">
        <v>72</v>
      </c>
      <c r="H2486">
        <v>25655</v>
      </c>
      <c r="I2486">
        <v>0</v>
      </c>
      <c r="J2486">
        <v>1</v>
      </c>
      <c r="K2486">
        <v>0</v>
      </c>
      <c r="L2486">
        <v>0</v>
      </c>
      <c r="M2486" t="s">
        <v>73</v>
      </c>
      <c r="N2486" t="s">
        <v>115</v>
      </c>
      <c r="O2486" t="s">
        <v>93</v>
      </c>
      <c r="P2486" t="s">
        <v>442</v>
      </c>
      <c r="Q2486" t="s">
        <v>48</v>
      </c>
      <c r="R2486" t="s">
        <v>65</v>
      </c>
      <c r="S2486" t="s">
        <v>59</v>
      </c>
      <c r="T2486">
        <v>0</v>
      </c>
      <c r="U2486">
        <v>1</v>
      </c>
      <c r="V2486">
        <v>1</v>
      </c>
      <c r="W2486">
        <v>0</v>
      </c>
      <c r="X2486">
        <v>0</v>
      </c>
      <c r="Y2486">
        <v>0</v>
      </c>
      <c r="Z2486">
        <v>1</v>
      </c>
      <c r="AA2486">
        <v>0</v>
      </c>
      <c r="AB2486">
        <v>1</v>
      </c>
      <c r="AC2486">
        <v>0</v>
      </c>
      <c r="AD2486">
        <v>0</v>
      </c>
      <c r="AE2486">
        <v>0</v>
      </c>
      <c r="AF2486">
        <v>0</v>
      </c>
      <c r="AG2486">
        <v>0</v>
      </c>
    </row>
    <row r="2487" spans="1:33" x14ac:dyDescent="0.2">
      <c r="A2487">
        <v>2486</v>
      </c>
      <c r="B2487" t="s">
        <v>685</v>
      </c>
      <c r="C2487" t="s">
        <v>108</v>
      </c>
      <c r="D2487">
        <v>32</v>
      </c>
      <c r="E2487" t="s">
        <v>114</v>
      </c>
      <c r="F2487" t="s">
        <v>41</v>
      </c>
      <c r="G2487" t="s">
        <v>67</v>
      </c>
      <c r="H2487">
        <v>23382</v>
      </c>
      <c r="I2487">
        <v>0</v>
      </c>
      <c r="J2487">
        <v>1</v>
      </c>
      <c r="K2487">
        <v>1</v>
      </c>
      <c r="L2487">
        <v>0</v>
      </c>
      <c r="M2487" t="s">
        <v>69</v>
      </c>
      <c r="N2487" t="s">
        <v>68</v>
      </c>
      <c r="O2487" t="s">
        <v>103</v>
      </c>
      <c r="P2487" t="s">
        <v>442</v>
      </c>
      <c r="Q2487" t="s">
        <v>48</v>
      </c>
      <c r="R2487" t="s">
        <v>65</v>
      </c>
      <c r="S2487" t="s">
        <v>60</v>
      </c>
      <c r="T2487">
        <v>1</v>
      </c>
      <c r="U2487">
        <v>1</v>
      </c>
      <c r="V2487">
        <v>1</v>
      </c>
      <c r="W2487">
        <v>0</v>
      </c>
      <c r="X2487">
        <v>0</v>
      </c>
      <c r="Y2487">
        <v>0</v>
      </c>
      <c r="Z2487">
        <v>1</v>
      </c>
      <c r="AA2487">
        <v>1</v>
      </c>
      <c r="AB2487">
        <v>1</v>
      </c>
      <c r="AC2487">
        <v>0</v>
      </c>
      <c r="AD2487">
        <v>0</v>
      </c>
      <c r="AE2487">
        <v>0</v>
      </c>
      <c r="AF2487">
        <v>0</v>
      </c>
      <c r="AG2487">
        <v>0</v>
      </c>
    </row>
    <row r="2488" spans="1:33" hidden="1" x14ac:dyDescent="0.2">
      <c r="A2488">
        <v>2487</v>
      </c>
      <c r="B2488" t="s">
        <v>685</v>
      </c>
      <c r="C2488" t="s">
        <v>108</v>
      </c>
      <c r="D2488">
        <v>32</v>
      </c>
      <c r="E2488" t="s">
        <v>114</v>
      </c>
      <c r="F2488" t="s">
        <v>53</v>
      </c>
      <c r="G2488" t="s">
        <v>66</v>
      </c>
      <c r="H2488">
        <v>32477</v>
      </c>
      <c r="I2488">
        <v>1</v>
      </c>
      <c r="J2488">
        <v>1</v>
      </c>
      <c r="K2488">
        <v>0</v>
      </c>
      <c r="L2488">
        <v>0</v>
      </c>
      <c r="M2488" t="s">
        <v>36</v>
      </c>
      <c r="N2488" t="s">
        <v>36</v>
      </c>
      <c r="O2488" t="s">
        <v>36</v>
      </c>
      <c r="P2488" t="s">
        <v>442</v>
      </c>
      <c r="Q2488" t="s">
        <v>36</v>
      </c>
      <c r="R2488" t="s">
        <v>36</v>
      </c>
      <c r="S2488" t="s">
        <v>36</v>
      </c>
      <c r="T2488" t="s">
        <v>36</v>
      </c>
      <c r="U2488">
        <v>1</v>
      </c>
      <c r="V2488">
        <v>1</v>
      </c>
      <c r="W2488">
        <v>0</v>
      </c>
      <c r="X2488">
        <v>0</v>
      </c>
      <c r="Y2488">
        <v>0</v>
      </c>
      <c r="Z2488">
        <v>1</v>
      </c>
      <c r="AA2488">
        <v>1</v>
      </c>
      <c r="AB2488">
        <v>1</v>
      </c>
      <c r="AC2488">
        <v>0</v>
      </c>
      <c r="AD2488">
        <v>0</v>
      </c>
      <c r="AE2488">
        <v>0</v>
      </c>
      <c r="AF2488">
        <v>0</v>
      </c>
      <c r="AG2488">
        <v>0</v>
      </c>
    </row>
    <row r="2489" spans="1:33" x14ac:dyDescent="0.2">
      <c r="A2489">
        <v>2488</v>
      </c>
      <c r="B2489" t="s">
        <v>685</v>
      </c>
      <c r="C2489" t="s">
        <v>108</v>
      </c>
      <c r="D2489">
        <v>32</v>
      </c>
      <c r="E2489" t="s">
        <v>114</v>
      </c>
      <c r="F2489" t="s">
        <v>41</v>
      </c>
      <c r="G2489" t="s">
        <v>49</v>
      </c>
      <c r="H2489">
        <v>38483</v>
      </c>
      <c r="I2489">
        <v>0</v>
      </c>
      <c r="J2489">
        <v>1</v>
      </c>
      <c r="K2489">
        <v>0</v>
      </c>
      <c r="L2489">
        <v>0</v>
      </c>
      <c r="M2489" t="s">
        <v>52</v>
      </c>
      <c r="N2489" t="s">
        <v>96</v>
      </c>
      <c r="O2489" t="s">
        <v>83</v>
      </c>
      <c r="P2489" t="s">
        <v>442</v>
      </c>
      <c r="Q2489" t="s">
        <v>46</v>
      </c>
      <c r="R2489" t="s">
        <v>65</v>
      </c>
      <c r="S2489" t="s">
        <v>59</v>
      </c>
      <c r="T2489">
        <v>0</v>
      </c>
      <c r="U2489">
        <v>1</v>
      </c>
      <c r="V2489">
        <v>0</v>
      </c>
      <c r="W2489">
        <v>0</v>
      </c>
      <c r="X2489">
        <v>1</v>
      </c>
      <c r="Y2489">
        <v>0</v>
      </c>
      <c r="Z2489">
        <v>1</v>
      </c>
      <c r="AA2489">
        <v>0</v>
      </c>
      <c r="AB2489">
        <v>1</v>
      </c>
      <c r="AC2489">
        <v>0</v>
      </c>
      <c r="AD2489">
        <v>0</v>
      </c>
      <c r="AE2489">
        <v>0</v>
      </c>
      <c r="AF2489">
        <v>0</v>
      </c>
      <c r="AG2489">
        <v>0</v>
      </c>
    </row>
    <row r="2490" spans="1:33" hidden="1" x14ac:dyDescent="0.2">
      <c r="A2490">
        <v>2489</v>
      </c>
      <c r="B2490" t="s">
        <v>685</v>
      </c>
      <c r="C2490" t="s">
        <v>108</v>
      </c>
      <c r="D2490">
        <v>32</v>
      </c>
      <c r="E2490" t="s">
        <v>114</v>
      </c>
      <c r="F2490" t="s">
        <v>53</v>
      </c>
      <c r="G2490" t="s">
        <v>76</v>
      </c>
      <c r="H2490">
        <v>20221</v>
      </c>
      <c r="I2490">
        <v>1</v>
      </c>
      <c r="J2490">
        <v>1</v>
      </c>
      <c r="K2490">
        <v>0</v>
      </c>
      <c r="L2490">
        <v>0</v>
      </c>
      <c r="M2490" t="s">
        <v>36</v>
      </c>
      <c r="N2490" t="s">
        <v>36</v>
      </c>
      <c r="O2490" t="s">
        <v>36</v>
      </c>
      <c r="P2490" t="s">
        <v>442</v>
      </c>
      <c r="Q2490" t="s">
        <v>36</v>
      </c>
      <c r="R2490" t="s">
        <v>36</v>
      </c>
      <c r="S2490" t="s">
        <v>36</v>
      </c>
      <c r="T2490" t="s">
        <v>36</v>
      </c>
      <c r="U2490">
        <v>1</v>
      </c>
      <c r="V2490">
        <v>0</v>
      </c>
      <c r="W2490">
        <v>0</v>
      </c>
      <c r="X2490">
        <v>1</v>
      </c>
      <c r="Y2490">
        <v>0</v>
      </c>
      <c r="Z2490">
        <v>1</v>
      </c>
      <c r="AA2490">
        <v>0</v>
      </c>
      <c r="AB2490">
        <v>1</v>
      </c>
      <c r="AC2490">
        <v>0</v>
      </c>
      <c r="AD2490">
        <v>0</v>
      </c>
      <c r="AE2490">
        <v>0</v>
      </c>
      <c r="AF2490">
        <v>0</v>
      </c>
      <c r="AG2490">
        <v>0</v>
      </c>
    </row>
    <row r="2491" spans="1:33" x14ac:dyDescent="0.2">
      <c r="A2491">
        <v>2490</v>
      </c>
      <c r="B2491" t="s">
        <v>685</v>
      </c>
      <c r="C2491" t="s">
        <v>108</v>
      </c>
      <c r="D2491">
        <v>32</v>
      </c>
      <c r="E2491" t="s">
        <v>114</v>
      </c>
      <c r="F2491" t="s">
        <v>41</v>
      </c>
      <c r="G2491" t="s">
        <v>61</v>
      </c>
      <c r="H2491">
        <v>52007</v>
      </c>
      <c r="I2491">
        <v>0</v>
      </c>
      <c r="J2491">
        <v>0</v>
      </c>
      <c r="K2491">
        <v>1</v>
      </c>
      <c r="L2491">
        <v>0</v>
      </c>
      <c r="M2491" t="s">
        <v>87</v>
      </c>
      <c r="N2491" t="s">
        <v>125</v>
      </c>
      <c r="O2491" t="s">
        <v>62</v>
      </c>
      <c r="P2491" t="s">
        <v>442</v>
      </c>
      <c r="Q2491" t="s">
        <v>47</v>
      </c>
      <c r="R2491" t="s">
        <v>60</v>
      </c>
      <c r="S2491" t="s">
        <v>65</v>
      </c>
      <c r="T2491">
        <v>1</v>
      </c>
      <c r="U2491">
        <v>1</v>
      </c>
      <c r="V2491">
        <v>0</v>
      </c>
      <c r="W2491">
        <v>1</v>
      </c>
      <c r="X2491">
        <v>0</v>
      </c>
      <c r="Y2491">
        <v>0</v>
      </c>
      <c r="Z2491">
        <v>1</v>
      </c>
      <c r="AA2491">
        <v>0</v>
      </c>
      <c r="AB2491">
        <v>1</v>
      </c>
      <c r="AC2491">
        <v>0</v>
      </c>
      <c r="AD2491">
        <v>0</v>
      </c>
      <c r="AE2491">
        <v>0</v>
      </c>
      <c r="AF2491">
        <v>0</v>
      </c>
      <c r="AG2491">
        <v>0</v>
      </c>
    </row>
    <row r="2492" spans="1:33" hidden="1" x14ac:dyDescent="0.2">
      <c r="A2492">
        <v>2491</v>
      </c>
      <c r="B2492" t="s">
        <v>685</v>
      </c>
      <c r="C2492" t="s">
        <v>108</v>
      </c>
      <c r="D2492">
        <v>32</v>
      </c>
      <c r="E2492" t="s">
        <v>114</v>
      </c>
      <c r="F2492" t="s">
        <v>53</v>
      </c>
      <c r="G2492" t="s">
        <v>71</v>
      </c>
      <c r="H2492">
        <v>40887</v>
      </c>
      <c r="I2492">
        <v>1</v>
      </c>
      <c r="J2492">
        <v>1</v>
      </c>
      <c r="K2492">
        <v>1</v>
      </c>
      <c r="L2492">
        <v>0</v>
      </c>
      <c r="M2492" t="s">
        <v>36</v>
      </c>
      <c r="N2492" t="s">
        <v>36</v>
      </c>
      <c r="O2492" t="s">
        <v>36</v>
      </c>
      <c r="P2492" t="s">
        <v>442</v>
      </c>
      <c r="Q2492" t="s">
        <v>36</v>
      </c>
      <c r="R2492" t="s">
        <v>36</v>
      </c>
      <c r="S2492" t="s">
        <v>36</v>
      </c>
      <c r="T2492" t="s">
        <v>36</v>
      </c>
      <c r="U2492">
        <v>1</v>
      </c>
      <c r="V2492">
        <v>0</v>
      </c>
      <c r="W2492">
        <v>1</v>
      </c>
      <c r="X2492">
        <v>0</v>
      </c>
      <c r="Y2492">
        <v>0</v>
      </c>
      <c r="Z2492">
        <v>1</v>
      </c>
      <c r="AA2492">
        <v>0</v>
      </c>
      <c r="AB2492">
        <v>1</v>
      </c>
      <c r="AC2492">
        <v>0</v>
      </c>
      <c r="AD2492">
        <v>0</v>
      </c>
      <c r="AE2492">
        <v>0</v>
      </c>
      <c r="AF2492">
        <v>0</v>
      </c>
      <c r="AG2492">
        <v>0</v>
      </c>
    </row>
    <row r="2493" spans="1:33" hidden="1" x14ac:dyDescent="0.2">
      <c r="A2493">
        <v>2492</v>
      </c>
      <c r="B2493" t="s">
        <v>685</v>
      </c>
      <c r="C2493" t="s">
        <v>108</v>
      </c>
      <c r="D2493">
        <v>32</v>
      </c>
      <c r="E2493" t="s">
        <v>114</v>
      </c>
      <c r="F2493" t="s">
        <v>77</v>
      </c>
      <c r="G2493" t="s">
        <v>36</v>
      </c>
      <c r="H2493">
        <v>49559</v>
      </c>
      <c r="I2493" t="s">
        <v>686</v>
      </c>
      <c r="J2493" t="s">
        <v>687</v>
      </c>
      <c r="K2493" t="s">
        <v>112</v>
      </c>
      <c r="L2493" t="s">
        <v>36</v>
      </c>
      <c r="M2493" t="s">
        <v>36</v>
      </c>
      <c r="N2493" t="s">
        <v>36</v>
      </c>
      <c r="O2493" t="s">
        <v>36</v>
      </c>
      <c r="P2493" t="s">
        <v>442</v>
      </c>
      <c r="Q2493" t="s">
        <v>36</v>
      </c>
      <c r="R2493" t="s">
        <v>36</v>
      </c>
      <c r="S2493" t="s">
        <v>36</v>
      </c>
      <c r="T2493" t="s">
        <v>36</v>
      </c>
      <c r="U2493" t="s">
        <v>36</v>
      </c>
      <c r="V2493" t="s">
        <v>36</v>
      </c>
      <c r="W2493" t="s">
        <v>36</v>
      </c>
      <c r="X2493" t="s">
        <v>36</v>
      </c>
      <c r="Y2493" t="s">
        <v>36</v>
      </c>
      <c r="Z2493" t="s">
        <v>36</v>
      </c>
      <c r="AA2493" t="s">
        <v>36</v>
      </c>
      <c r="AB2493" t="s">
        <v>36</v>
      </c>
      <c r="AC2493" t="s">
        <v>36</v>
      </c>
      <c r="AD2493" t="s">
        <v>36</v>
      </c>
      <c r="AE2493" t="s">
        <v>36</v>
      </c>
      <c r="AF2493" t="s">
        <v>36</v>
      </c>
      <c r="AG2493" t="s">
        <v>36</v>
      </c>
    </row>
    <row r="2494" spans="1:33" hidden="1" x14ac:dyDescent="0.2">
      <c r="A2494">
        <v>2493</v>
      </c>
      <c r="B2494" t="s">
        <v>688</v>
      </c>
      <c r="C2494" t="s">
        <v>188</v>
      </c>
      <c r="D2494">
        <v>76</v>
      </c>
      <c r="E2494" t="s">
        <v>114</v>
      </c>
      <c r="F2494" t="s">
        <v>35</v>
      </c>
      <c r="G2494" t="s">
        <v>36</v>
      </c>
      <c r="H2494">
        <v>144168</v>
      </c>
      <c r="I2494" t="s">
        <v>36</v>
      </c>
      <c r="J2494" t="s">
        <v>36</v>
      </c>
      <c r="K2494" t="s">
        <v>36</v>
      </c>
      <c r="L2494" t="s">
        <v>36</v>
      </c>
      <c r="M2494" t="s">
        <v>36</v>
      </c>
      <c r="N2494" t="s">
        <v>36</v>
      </c>
      <c r="O2494" t="s">
        <v>36</v>
      </c>
      <c r="P2494" t="s">
        <v>442</v>
      </c>
      <c r="Q2494" t="s">
        <v>36</v>
      </c>
      <c r="R2494" t="s">
        <v>36</v>
      </c>
      <c r="S2494" t="s">
        <v>36</v>
      </c>
      <c r="T2494" t="s">
        <v>36</v>
      </c>
      <c r="U2494" t="s">
        <v>36</v>
      </c>
      <c r="V2494" t="s">
        <v>36</v>
      </c>
      <c r="W2494" t="s">
        <v>36</v>
      </c>
      <c r="X2494" t="s">
        <v>36</v>
      </c>
      <c r="Y2494" t="s">
        <v>36</v>
      </c>
      <c r="Z2494" t="s">
        <v>36</v>
      </c>
      <c r="AA2494" t="s">
        <v>36</v>
      </c>
      <c r="AB2494" t="s">
        <v>36</v>
      </c>
      <c r="AC2494" t="s">
        <v>36</v>
      </c>
      <c r="AD2494" t="s">
        <v>36</v>
      </c>
      <c r="AE2494" t="s">
        <v>36</v>
      </c>
      <c r="AF2494" t="s">
        <v>36</v>
      </c>
      <c r="AG2494" t="s">
        <v>36</v>
      </c>
    </row>
    <row r="2495" spans="1:33" hidden="1" x14ac:dyDescent="0.2">
      <c r="A2495">
        <v>2494</v>
      </c>
      <c r="B2495" t="s">
        <v>688</v>
      </c>
      <c r="C2495" t="s">
        <v>188</v>
      </c>
      <c r="D2495">
        <v>76</v>
      </c>
      <c r="E2495" t="s">
        <v>114</v>
      </c>
      <c r="F2495" t="s">
        <v>38</v>
      </c>
      <c r="G2495" t="s">
        <v>39</v>
      </c>
      <c r="H2495">
        <v>112435</v>
      </c>
      <c r="I2495">
        <v>0</v>
      </c>
      <c r="J2495">
        <v>1</v>
      </c>
      <c r="K2495">
        <v>1</v>
      </c>
      <c r="L2495">
        <v>0</v>
      </c>
      <c r="M2495" t="s">
        <v>36</v>
      </c>
      <c r="N2495" t="s">
        <v>36</v>
      </c>
      <c r="O2495" t="s">
        <v>36</v>
      </c>
      <c r="P2495" t="s">
        <v>442</v>
      </c>
      <c r="Q2495" t="s">
        <v>36</v>
      </c>
      <c r="R2495" t="s">
        <v>36</v>
      </c>
      <c r="S2495" t="s">
        <v>36</v>
      </c>
      <c r="T2495" t="s">
        <v>36</v>
      </c>
      <c r="U2495" t="s">
        <v>36</v>
      </c>
      <c r="V2495" t="s">
        <v>36</v>
      </c>
      <c r="W2495" t="s">
        <v>36</v>
      </c>
      <c r="X2495" t="s">
        <v>36</v>
      </c>
      <c r="Y2495" t="s">
        <v>36</v>
      </c>
      <c r="Z2495" t="s">
        <v>36</v>
      </c>
      <c r="AA2495" t="s">
        <v>36</v>
      </c>
      <c r="AB2495" t="s">
        <v>36</v>
      </c>
      <c r="AC2495" t="s">
        <v>36</v>
      </c>
      <c r="AD2495" t="s">
        <v>36</v>
      </c>
      <c r="AE2495" t="s">
        <v>36</v>
      </c>
      <c r="AF2495" t="s">
        <v>36</v>
      </c>
      <c r="AG2495" t="s">
        <v>36</v>
      </c>
    </row>
    <row r="2496" spans="1:33" hidden="1" x14ac:dyDescent="0.2">
      <c r="A2496">
        <v>2495</v>
      </c>
      <c r="B2496" t="s">
        <v>688</v>
      </c>
      <c r="C2496" t="s">
        <v>188</v>
      </c>
      <c r="D2496">
        <v>76</v>
      </c>
      <c r="E2496" t="s">
        <v>114</v>
      </c>
      <c r="F2496" t="s">
        <v>38</v>
      </c>
      <c r="G2496" t="s">
        <v>40</v>
      </c>
      <c r="H2496">
        <v>94331</v>
      </c>
      <c r="I2496">
        <v>0</v>
      </c>
      <c r="J2496">
        <v>0</v>
      </c>
      <c r="K2496">
        <v>1</v>
      </c>
      <c r="L2496">
        <v>0</v>
      </c>
      <c r="M2496" t="s">
        <v>36</v>
      </c>
      <c r="N2496" t="s">
        <v>36</v>
      </c>
      <c r="O2496" t="s">
        <v>36</v>
      </c>
      <c r="P2496" t="s">
        <v>442</v>
      </c>
      <c r="Q2496" t="s">
        <v>36</v>
      </c>
      <c r="R2496" t="s">
        <v>36</v>
      </c>
      <c r="S2496" t="s">
        <v>36</v>
      </c>
      <c r="T2496" t="s">
        <v>36</v>
      </c>
      <c r="U2496" t="s">
        <v>36</v>
      </c>
      <c r="V2496" t="s">
        <v>36</v>
      </c>
      <c r="W2496" t="s">
        <v>36</v>
      </c>
      <c r="X2496" t="s">
        <v>36</v>
      </c>
      <c r="Y2496" t="s">
        <v>36</v>
      </c>
      <c r="Z2496" t="s">
        <v>36</v>
      </c>
      <c r="AA2496" t="s">
        <v>36</v>
      </c>
      <c r="AB2496" t="s">
        <v>36</v>
      </c>
      <c r="AC2496" t="s">
        <v>36</v>
      </c>
      <c r="AD2496" t="s">
        <v>36</v>
      </c>
      <c r="AE2496" t="s">
        <v>36</v>
      </c>
      <c r="AF2496" t="s">
        <v>36</v>
      </c>
      <c r="AG2496" t="s">
        <v>36</v>
      </c>
    </row>
    <row r="2497" spans="1:33" x14ac:dyDescent="0.2">
      <c r="A2497">
        <v>2496</v>
      </c>
      <c r="B2497" t="s">
        <v>688</v>
      </c>
      <c r="C2497" t="s">
        <v>188</v>
      </c>
      <c r="D2497">
        <v>76</v>
      </c>
      <c r="E2497" t="s">
        <v>114</v>
      </c>
      <c r="F2497" t="s">
        <v>41</v>
      </c>
      <c r="G2497" t="s">
        <v>55</v>
      </c>
      <c r="H2497">
        <v>161769</v>
      </c>
      <c r="I2497">
        <v>0</v>
      </c>
      <c r="J2497">
        <v>0</v>
      </c>
      <c r="K2497">
        <v>0</v>
      </c>
      <c r="L2497">
        <v>1</v>
      </c>
      <c r="M2497" t="s">
        <v>58</v>
      </c>
      <c r="N2497" t="s">
        <v>57</v>
      </c>
      <c r="O2497" t="s">
        <v>84</v>
      </c>
      <c r="P2497" t="s">
        <v>442</v>
      </c>
      <c r="Q2497" t="s">
        <v>60</v>
      </c>
      <c r="R2497" t="s">
        <v>48</v>
      </c>
      <c r="S2497" t="s">
        <v>46</v>
      </c>
      <c r="T2497">
        <v>1</v>
      </c>
      <c r="U2497">
        <v>0</v>
      </c>
      <c r="V2497">
        <v>1</v>
      </c>
      <c r="W2497">
        <v>0</v>
      </c>
      <c r="X2497">
        <v>1</v>
      </c>
      <c r="Y2497">
        <v>0</v>
      </c>
      <c r="Z2497">
        <v>1</v>
      </c>
      <c r="AA2497">
        <v>0</v>
      </c>
      <c r="AB2497">
        <v>0</v>
      </c>
      <c r="AC2497">
        <v>0</v>
      </c>
      <c r="AD2497">
        <v>0</v>
      </c>
      <c r="AE2497">
        <v>0</v>
      </c>
      <c r="AF2497">
        <v>0</v>
      </c>
      <c r="AG2497">
        <v>1</v>
      </c>
    </row>
    <row r="2498" spans="1:33" x14ac:dyDescent="0.2">
      <c r="A2498">
        <v>2497</v>
      </c>
      <c r="B2498" t="s">
        <v>688</v>
      </c>
      <c r="C2498" t="s">
        <v>188</v>
      </c>
      <c r="D2498">
        <v>76</v>
      </c>
      <c r="E2498" t="s">
        <v>114</v>
      </c>
      <c r="F2498" t="s">
        <v>41</v>
      </c>
      <c r="G2498" t="s">
        <v>61</v>
      </c>
      <c r="H2498">
        <v>140383</v>
      </c>
      <c r="I2498">
        <v>1</v>
      </c>
      <c r="J2498">
        <v>0</v>
      </c>
      <c r="K2498">
        <v>0</v>
      </c>
      <c r="L2498">
        <v>0</v>
      </c>
      <c r="M2498" t="s">
        <v>63</v>
      </c>
      <c r="N2498" t="s">
        <v>97</v>
      </c>
      <c r="O2498" t="s">
        <v>87</v>
      </c>
      <c r="P2498" t="s">
        <v>442</v>
      </c>
      <c r="Q2498" t="s">
        <v>46</v>
      </c>
      <c r="R2498" t="s">
        <v>59</v>
      </c>
      <c r="S2498" t="s">
        <v>47</v>
      </c>
      <c r="T2498">
        <v>0</v>
      </c>
      <c r="U2498">
        <v>0</v>
      </c>
      <c r="V2498">
        <v>0</v>
      </c>
      <c r="W2498">
        <v>1</v>
      </c>
      <c r="X2498">
        <v>1</v>
      </c>
      <c r="Y2498">
        <v>0</v>
      </c>
      <c r="Z2498">
        <v>1</v>
      </c>
      <c r="AA2498">
        <v>0</v>
      </c>
      <c r="AB2498">
        <v>0</v>
      </c>
      <c r="AC2498">
        <v>0</v>
      </c>
      <c r="AD2498">
        <v>0</v>
      </c>
      <c r="AE2498">
        <v>1</v>
      </c>
      <c r="AF2498">
        <v>0</v>
      </c>
      <c r="AG2498">
        <v>0</v>
      </c>
    </row>
    <row r="2499" spans="1:33" hidden="1" x14ac:dyDescent="0.2">
      <c r="A2499">
        <v>2498</v>
      </c>
      <c r="B2499" t="s">
        <v>688</v>
      </c>
      <c r="C2499" t="s">
        <v>188</v>
      </c>
      <c r="D2499">
        <v>76</v>
      </c>
      <c r="E2499" t="s">
        <v>114</v>
      </c>
      <c r="F2499" t="s">
        <v>53</v>
      </c>
      <c r="G2499" t="s">
        <v>71</v>
      </c>
      <c r="H2499">
        <v>113751</v>
      </c>
      <c r="I2499">
        <v>1</v>
      </c>
      <c r="J2499">
        <v>0</v>
      </c>
      <c r="K2499">
        <v>0</v>
      </c>
      <c r="L2499">
        <v>0</v>
      </c>
      <c r="M2499" t="s">
        <v>36</v>
      </c>
      <c r="N2499" t="s">
        <v>36</v>
      </c>
      <c r="O2499" t="s">
        <v>36</v>
      </c>
      <c r="P2499" t="s">
        <v>442</v>
      </c>
      <c r="Q2499" t="s">
        <v>36</v>
      </c>
      <c r="R2499" t="s">
        <v>36</v>
      </c>
      <c r="S2499" t="s">
        <v>36</v>
      </c>
      <c r="T2499" t="s">
        <v>36</v>
      </c>
      <c r="U2499">
        <v>0</v>
      </c>
      <c r="V2499">
        <v>0</v>
      </c>
      <c r="W2499">
        <v>1</v>
      </c>
      <c r="X2499">
        <v>1</v>
      </c>
      <c r="Y2499">
        <v>0</v>
      </c>
      <c r="Z2499">
        <v>1</v>
      </c>
      <c r="AA2499">
        <v>0</v>
      </c>
      <c r="AB2499">
        <v>0</v>
      </c>
      <c r="AC2499">
        <v>0</v>
      </c>
      <c r="AD2499">
        <v>0</v>
      </c>
      <c r="AE2499">
        <v>1</v>
      </c>
      <c r="AF2499">
        <v>0</v>
      </c>
      <c r="AG2499">
        <v>0</v>
      </c>
    </row>
    <row r="2500" spans="1:33" x14ac:dyDescent="0.2">
      <c r="A2500">
        <v>2499</v>
      </c>
      <c r="B2500" t="s">
        <v>688</v>
      </c>
      <c r="C2500" t="s">
        <v>188</v>
      </c>
      <c r="D2500">
        <v>76</v>
      </c>
      <c r="E2500" t="s">
        <v>114</v>
      </c>
      <c r="F2500" t="s">
        <v>41</v>
      </c>
      <c r="G2500" t="s">
        <v>49</v>
      </c>
      <c r="H2500">
        <v>15501</v>
      </c>
      <c r="I2500">
        <v>0</v>
      </c>
      <c r="J2500">
        <v>1</v>
      </c>
      <c r="K2500">
        <v>0</v>
      </c>
      <c r="L2500">
        <v>0</v>
      </c>
      <c r="M2500" t="s">
        <v>52</v>
      </c>
      <c r="N2500" t="s">
        <v>95</v>
      </c>
      <c r="O2500" t="s">
        <v>83</v>
      </c>
      <c r="P2500" t="s">
        <v>442</v>
      </c>
      <c r="Q2500" t="s">
        <v>46</v>
      </c>
      <c r="R2500" t="s">
        <v>60</v>
      </c>
      <c r="S2500" t="s">
        <v>59</v>
      </c>
      <c r="T2500">
        <v>1</v>
      </c>
      <c r="U2500">
        <v>0</v>
      </c>
      <c r="V2500">
        <v>0</v>
      </c>
      <c r="W2500">
        <v>0</v>
      </c>
      <c r="X2500">
        <v>1</v>
      </c>
      <c r="Y2500">
        <v>0</v>
      </c>
      <c r="Z2500">
        <v>1</v>
      </c>
      <c r="AA2500">
        <v>1</v>
      </c>
      <c r="AB2500">
        <v>0</v>
      </c>
      <c r="AC2500">
        <v>0</v>
      </c>
      <c r="AD2500">
        <v>0</v>
      </c>
      <c r="AE2500">
        <v>0</v>
      </c>
      <c r="AF2500">
        <v>0</v>
      </c>
      <c r="AG2500">
        <v>0</v>
      </c>
    </row>
    <row r="2501" spans="1:33" hidden="1" x14ac:dyDescent="0.2">
      <c r="A2501">
        <v>2500</v>
      </c>
      <c r="B2501" t="s">
        <v>688</v>
      </c>
      <c r="C2501" t="s">
        <v>188</v>
      </c>
      <c r="D2501">
        <v>76</v>
      </c>
      <c r="E2501" t="s">
        <v>114</v>
      </c>
      <c r="F2501" t="s">
        <v>53</v>
      </c>
      <c r="G2501" t="s">
        <v>54</v>
      </c>
      <c r="H2501">
        <v>12907</v>
      </c>
      <c r="I2501">
        <v>0</v>
      </c>
      <c r="J2501">
        <v>0</v>
      </c>
      <c r="K2501">
        <v>1</v>
      </c>
      <c r="L2501">
        <v>0</v>
      </c>
      <c r="M2501" t="s">
        <v>36</v>
      </c>
      <c r="N2501" t="s">
        <v>36</v>
      </c>
      <c r="O2501" t="s">
        <v>36</v>
      </c>
      <c r="P2501" t="s">
        <v>442</v>
      </c>
      <c r="Q2501" t="s">
        <v>36</v>
      </c>
      <c r="R2501" t="s">
        <v>36</v>
      </c>
      <c r="S2501" t="s">
        <v>36</v>
      </c>
      <c r="T2501" t="s">
        <v>36</v>
      </c>
      <c r="U2501">
        <v>0</v>
      </c>
      <c r="V2501">
        <v>0</v>
      </c>
      <c r="W2501">
        <v>0</v>
      </c>
      <c r="X2501">
        <v>1</v>
      </c>
      <c r="Y2501">
        <v>0</v>
      </c>
      <c r="Z2501">
        <v>1</v>
      </c>
      <c r="AA2501">
        <v>1</v>
      </c>
      <c r="AB2501">
        <v>0</v>
      </c>
      <c r="AC2501">
        <v>0</v>
      </c>
      <c r="AD2501">
        <v>0</v>
      </c>
      <c r="AE2501">
        <v>0</v>
      </c>
      <c r="AF2501">
        <v>0</v>
      </c>
      <c r="AG2501">
        <v>0</v>
      </c>
    </row>
    <row r="2502" spans="1:33" x14ac:dyDescent="0.2">
      <c r="A2502">
        <v>2501</v>
      </c>
      <c r="B2502" t="s">
        <v>688</v>
      </c>
      <c r="C2502" t="s">
        <v>188</v>
      </c>
      <c r="D2502">
        <v>76</v>
      </c>
      <c r="E2502" t="s">
        <v>114</v>
      </c>
      <c r="F2502" t="s">
        <v>41</v>
      </c>
      <c r="G2502" t="s">
        <v>42</v>
      </c>
      <c r="H2502">
        <v>11227</v>
      </c>
      <c r="I2502">
        <v>0</v>
      </c>
      <c r="J2502">
        <v>1</v>
      </c>
      <c r="K2502">
        <v>0</v>
      </c>
      <c r="L2502">
        <v>0</v>
      </c>
      <c r="M2502" t="s">
        <v>116</v>
      </c>
      <c r="N2502" t="s">
        <v>82</v>
      </c>
      <c r="O2502" t="s">
        <v>45</v>
      </c>
      <c r="P2502" t="s">
        <v>442</v>
      </c>
      <c r="Q2502" t="s">
        <v>60</v>
      </c>
      <c r="R2502" t="s">
        <v>65</v>
      </c>
      <c r="S2502" t="s">
        <v>48</v>
      </c>
      <c r="T2502">
        <v>1</v>
      </c>
      <c r="U2502">
        <v>1</v>
      </c>
      <c r="V2502">
        <v>1</v>
      </c>
      <c r="W2502">
        <v>0</v>
      </c>
      <c r="X2502">
        <v>0</v>
      </c>
      <c r="Y2502">
        <v>0</v>
      </c>
      <c r="Z2502">
        <v>1</v>
      </c>
      <c r="AA2502">
        <v>0</v>
      </c>
      <c r="AB2502">
        <v>1</v>
      </c>
      <c r="AC2502">
        <v>0</v>
      </c>
      <c r="AD2502">
        <v>0</v>
      </c>
      <c r="AE2502">
        <v>0</v>
      </c>
      <c r="AF2502">
        <v>0</v>
      </c>
      <c r="AG2502">
        <v>0</v>
      </c>
    </row>
    <row r="2503" spans="1:33" x14ac:dyDescent="0.2">
      <c r="A2503">
        <v>2502</v>
      </c>
      <c r="B2503" t="s">
        <v>688</v>
      </c>
      <c r="C2503" t="s">
        <v>188</v>
      </c>
      <c r="D2503">
        <v>76</v>
      </c>
      <c r="E2503" t="s">
        <v>114</v>
      </c>
      <c r="F2503" t="s">
        <v>41</v>
      </c>
      <c r="G2503" t="s">
        <v>72</v>
      </c>
      <c r="H2503">
        <v>6453</v>
      </c>
      <c r="I2503">
        <v>0</v>
      </c>
      <c r="J2503">
        <v>1</v>
      </c>
      <c r="K2503">
        <v>0</v>
      </c>
      <c r="L2503">
        <v>0</v>
      </c>
      <c r="M2503" t="s">
        <v>74</v>
      </c>
      <c r="N2503" t="s">
        <v>115</v>
      </c>
      <c r="O2503" t="s">
        <v>75</v>
      </c>
      <c r="P2503" t="s">
        <v>442</v>
      </c>
      <c r="Q2503" t="s">
        <v>47</v>
      </c>
      <c r="R2503" t="s">
        <v>65</v>
      </c>
      <c r="S2503" t="s">
        <v>46</v>
      </c>
      <c r="T2503">
        <v>0</v>
      </c>
      <c r="U2503">
        <v>1</v>
      </c>
      <c r="V2503">
        <v>0</v>
      </c>
      <c r="W2503">
        <v>1</v>
      </c>
      <c r="X2503">
        <v>1</v>
      </c>
      <c r="Y2503">
        <v>0</v>
      </c>
      <c r="Z2503">
        <v>1</v>
      </c>
      <c r="AA2503">
        <v>0</v>
      </c>
      <c r="AB2503">
        <v>1</v>
      </c>
      <c r="AC2503">
        <v>0</v>
      </c>
      <c r="AD2503">
        <v>0</v>
      </c>
      <c r="AE2503">
        <v>0</v>
      </c>
      <c r="AF2503">
        <v>0</v>
      </c>
      <c r="AG2503">
        <v>0</v>
      </c>
    </row>
    <row r="2504" spans="1:33" hidden="1" x14ac:dyDescent="0.2">
      <c r="A2504">
        <v>2503</v>
      </c>
      <c r="B2504" t="s">
        <v>688</v>
      </c>
      <c r="C2504" t="s">
        <v>188</v>
      </c>
      <c r="D2504">
        <v>76</v>
      </c>
      <c r="E2504" t="s">
        <v>114</v>
      </c>
      <c r="F2504" t="s">
        <v>53</v>
      </c>
      <c r="G2504" t="s">
        <v>66</v>
      </c>
      <c r="H2504">
        <v>3331</v>
      </c>
      <c r="I2504">
        <v>0</v>
      </c>
      <c r="J2504">
        <v>0</v>
      </c>
      <c r="K2504">
        <v>1</v>
      </c>
      <c r="L2504">
        <v>0</v>
      </c>
      <c r="M2504" t="s">
        <v>36</v>
      </c>
      <c r="N2504" t="s">
        <v>36</v>
      </c>
      <c r="O2504" t="s">
        <v>36</v>
      </c>
      <c r="P2504" t="s">
        <v>442</v>
      </c>
      <c r="Q2504" t="s">
        <v>36</v>
      </c>
      <c r="R2504" t="s">
        <v>36</v>
      </c>
      <c r="S2504" t="s">
        <v>36</v>
      </c>
      <c r="T2504" t="s">
        <v>36</v>
      </c>
      <c r="U2504">
        <v>1</v>
      </c>
      <c r="V2504">
        <v>0</v>
      </c>
      <c r="W2504">
        <v>1</v>
      </c>
      <c r="X2504">
        <v>1</v>
      </c>
      <c r="Y2504">
        <v>0</v>
      </c>
      <c r="Z2504">
        <v>1</v>
      </c>
      <c r="AA2504">
        <v>0</v>
      </c>
      <c r="AB2504">
        <v>1</v>
      </c>
      <c r="AC2504">
        <v>0</v>
      </c>
      <c r="AD2504">
        <v>0</v>
      </c>
      <c r="AE2504">
        <v>0</v>
      </c>
      <c r="AF2504">
        <v>0</v>
      </c>
      <c r="AG2504">
        <v>0</v>
      </c>
    </row>
    <row r="2505" spans="1:33" x14ac:dyDescent="0.2">
      <c r="A2505">
        <v>2504</v>
      </c>
      <c r="B2505" t="s">
        <v>688</v>
      </c>
      <c r="C2505" t="s">
        <v>188</v>
      </c>
      <c r="D2505">
        <v>76</v>
      </c>
      <c r="E2505" t="s">
        <v>114</v>
      </c>
      <c r="F2505" t="s">
        <v>41</v>
      </c>
      <c r="G2505" t="s">
        <v>67</v>
      </c>
      <c r="H2505">
        <v>2778</v>
      </c>
      <c r="I2505">
        <v>0</v>
      </c>
      <c r="J2505">
        <v>1</v>
      </c>
      <c r="K2505">
        <v>0</v>
      </c>
      <c r="L2505">
        <v>0</v>
      </c>
      <c r="M2505" t="s">
        <v>69</v>
      </c>
      <c r="N2505" t="s">
        <v>68</v>
      </c>
      <c r="O2505" t="s">
        <v>103</v>
      </c>
      <c r="P2505" t="s">
        <v>442</v>
      </c>
      <c r="Q2505" t="s">
        <v>48</v>
      </c>
      <c r="R2505" t="s">
        <v>65</v>
      </c>
      <c r="S2505" t="s">
        <v>60</v>
      </c>
      <c r="T2505">
        <v>1</v>
      </c>
      <c r="U2505">
        <v>1</v>
      </c>
      <c r="V2505">
        <v>1</v>
      </c>
      <c r="W2505">
        <v>0</v>
      </c>
      <c r="X2505">
        <v>0</v>
      </c>
      <c r="Y2505">
        <v>0</v>
      </c>
      <c r="Z2505">
        <v>1</v>
      </c>
      <c r="AA2505">
        <v>0</v>
      </c>
      <c r="AB2505">
        <v>1</v>
      </c>
      <c r="AC2505">
        <v>0</v>
      </c>
      <c r="AD2505">
        <v>0</v>
      </c>
      <c r="AE2505">
        <v>0</v>
      </c>
      <c r="AF2505">
        <v>0</v>
      </c>
      <c r="AG2505">
        <v>0</v>
      </c>
    </row>
    <row r="2506" spans="1:33" hidden="1" x14ac:dyDescent="0.2">
      <c r="A2506">
        <v>2505</v>
      </c>
      <c r="B2506" t="s">
        <v>688</v>
      </c>
      <c r="C2506" t="s">
        <v>188</v>
      </c>
      <c r="D2506">
        <v>76</v>
      </c>
      <c r="E2506" t="s">
        <v>114</v>
      </c>
      <c r="F2506" t="s">
        <v>53</v>
      </c>
      <c r="G2506" t="s">
        <v>76</v>
      </c>
      <c r="H2506">
        <v>3835</v>
      </c>
      <c r="I2506">
        <v>0</v>
      </c>
      <c r="J2506">
        <v>1</v>
      </c>
      <c r="K2506">
        <v>0</v>
      </c>
      <c r="L2506">
        <v>0</v>
      </c>
      <c r="M2506" t="s">
        <v>36</v>
      </c>
      <c r="N2506" t="s">
        <v>36</v>
      </c>
      <c r="O2506" t="s">
        <v>36</v>
      </c>
      <c r="P2506" t="s">
        <v>442</v>
      </c>
      <c r="Q2506" t="s">
        <v>36</v>
      </c>
      <c r="R2506" t="s">
        <v>36</v>
      </c>
      <c r="S2506" t="s">
        <v>36</v>
      </c>
      <c r="T2506" t="s">
        <v>36</v>
      </c>
      <c r="U2506">
        <v>1</v>
      </c>
      <c r="V2506">
        <v>1</v>
      </c>
      <c r="W2506">
        <v>0</v>
      </c>
      <c r="X2506">
        <v>0</v>
      </c>
      <c r="Y2506">
        <v>0</v>
      </c>
      <c r="Z2506">
        <v>1</v>
      </c>
      <c r="AA2506">
        <v>0</v>
      </c>
      <c r="AB2506">
        <v>1</v>
      </c>
      <c r="AC2506">
        <v>0</v>
      </c>
      <c r="AD2506">
        <v>0</v>
      </c>
      <c r="AE2506">
        <v>0</v>
      </c>
      <c r="AF2506">
        <v>0</v>
      </c>
      <c r="AG2506">
        <v>0</v>
      </c>
    </row>
    <row r="2507" spans="1:33" hidden="1" x14ac:dyDescent="0.2">
      <c r="A2507">
        <v>2506</v>
      </c>
      <c r="B2507" t="s">
        <v>688</v>
      </c>
      <c r="C2507" t="s">
        <v>188</v>
      </c>
      <c r="D2507">
        <v>76</v>
      </c>
      <c r="E2507" t="s">
        <v>114</v>
      </c>
      <c r="F2507" t="s">
        <v>77</v>
      </c>
      <c r="G2507" t="s">
        <v>36</v>
      </c>
      <c r="H2507">
        <v>261219</v>
      </c>
      <c r="I2507" t="s">
        <v>689</v>
      </c>
      <c r="J2507" t="s">
        <v>690</v>
      </c>
      <c r="K2507" t="s">
        <v>523</v>
      </c>
      <c r="L2507" t="s">
        <v>36</v>
      </c>
      <c r="M2507" t="s">
        <v>36</v>
      </c>
      <c r="N2507" t="s">
        <v>36</v>
      </c>
      <c r="O2507" t="s">
        <v>36</v>
      </c>
      <c r="P2507" t="s">
        <v>442</v>
      </c>
      <c r="Q2507" t="s">
        <v>36</v>
      </c>
      <c r="R2507" t="s">
        <v>36</v>
      </c>
      <c r="S2507" t="s">
        <v>36</v>
      </c>
      <c r="T2507" t="s">
        <v>36</v>
      </c>
      <c r="U2507" t="s">
        <v>36</v>
      </c>
      <c r="V2507" t="s">
        <v>36</v>
      </c>
      <c r="W2507" t="s">
        <v>36</v>
      </c>
      <c r="X2507" t="s">
        <v>36</v>
      </c>
      <c r="Y2507" t="s">
        <v>36</v>
      </c>
      <c r="Z2507" t="s">
        <v>36</v>
      </c>
      <c r="AA2507" t="s">
        <v>36</v>
      </c>
      <c r="AB2507" t="s">
        <v>36</v>
      </c>
      <c r="AC2507" t="s">
        <v>36</v>
      </c>
      <c r="AD2507" t="s">
        <v>36</v>
      </c>
      <c r="AE2507" t="s">
        <v>36</v>
      </c>
      <c r="AF2507" t="s">
        <v>36</v>
      </c>
      <c r="AG2507" t="s">
        <v>36</v>
      </c>
    </row>
    <row r="2508" spans="1:33" hidden="1" x14ac:dyDescent="0.2">
      <c r="A2508">
        <v>2507</v>
      </c>
      <c r="B2508" t="s">
        <v>691</v>
      </c>
      <c r="C2508" t="s">
        <v>108</v>
      </c>
      <c r="D2508">
        <v>60</v>
      </c>
      <c r="E2508" t="s">
        <v>34</v>
      </c>
      <c r="F2508" t="s">
        <v>35</v>
      </c>
      <c r="G2508" t="s">
        <v>36</v>
      </c>
      <c r="H2508">
        <v>19078</v>
      </c>
      <c r="I2508" t="s">
        <v>36</v>
      </c>
      <c r="J2508" t="s">
        <v>36</v>
      </c>
      <c r="K2508" t="s">
        <v>36</v>
      </c>
      <c r="L2508" t="s">
        <v>36</v>
      </c>
      <c r="M2508" t="s">
        <v>36</v>
      </c>
      <c r="N2508" t="s">
        <v>36</v>
      </c>
      <c r="O2508" t="s">
        <v>36</v>
      </c>
      <c r="P2508" t="s">
        <v>442</v>
      </c>
      <c r="Q2508" t="s">
        <v>36</v>
      </c>
      <c r="R2508" t="s">
        <v>36</v>
      </c>
      <c r="S2508" t="s">
        <v>36</v>
      </c>
      <c r="T2508" t="s">
        <v>36</v>
      </c>
      <c r="U2508" t="s">
        <v>36</v>
      </c>
      <c r="V2508" t="s">
        <v>36</v>
      </c>
      <c r="W2508" t="s">
        <v>36</v>
      </c>
      <c r="X2508" t="s">
        <v>36</v>
      </c>
      <c r="Y2508" t="s">
        <v>36</v>
      </c>
      <c r="Z2508" t="s">
        <v>36</v>
      </c>
      <c r="AA2508" t="s">
        <v>36</v>
      </c>
      <c r="AB2508" t="s">
        <v>36</v>
      </c>
      <c r="AC2508" t="s">
        <v>36</v>
      </c>
      <c r="AD2508" t="s">
        <v>36</v>
      </c>
      <c r="AE2508" t="s">
        <v>36</v>
      </c>
      <c r="AF2508" t="s">
        <v>36</v>
      </c>
      <c r="AG2508" t="s">
        <v>36</v>
      </c>
    </row>
    <row r="2509" spans="1:33" hidden="1" x14ac:dyDescent="0.2">
      <c r="A2509">
        <v>2508</v>
      </c>
      <c r="B2509" t="s">
        <v>691</v>
      </c>
      <c r="C2509" t="s">
        <v>108</v>
      </c>
      <c r="D2509">
        <v>60</v>
      </c>
      <c r="E2509" t="s">
        <v>34</v>
      </c>
      <c r="F2509" t="s">
        <v>38</v>
      </c>
      <c r="G2509" t="s">
        <v>39</v>
      </c>
      <c r="H2509">
        <v>36576</v>
      </c>
      <c r="I2509">
        <v>0</v>
      </c>
      <c r="J2509">
        <v>0</v>
      </c>
      <c r="K2509">
        <v>0</v>
      </c>
      <c r="L2509">
        <v>1</v>
      </c>
      <c r="M2509" t="s">
        <v>36</v>
      </c>
      <c r="N2509" t="s">
        <v>36</v>
      </c>
      <c r="O2509" t="s">
        <v>36</v>
      </c>
      <c r="P2509" t="s">
        <v>442</v>
      </c>
      <c r="Q2509" t="s">
        <v>36</v>
      </c>
      <c r="R2509" t="s">
        <v>36</v>
      </c>
      <c r="S2509" t="s">
        <v>36</v>
      </c>
      <c r="T2509" t="s">
        <v>36</v>
      </c>
      <c r="U2509" t="s">
        <v>36</v>
      </c>
      <c r="V2509" t="s">
        <v>36</v>
      </c>
      <c r="W2509" t="s">
        <v>36</v>
      </c>
      <c r="X2509" t="s">
        <v>36</v>
      </c>
      <c r="Y2509" t="s">
        <v>36</v>
      </c>
      <c r="Z2509" t="s">
        <v>36</v>
      </c>
      <c r="AA2509" t="s">
        <v>36</v>
      </c>
      <c r="AB2509" t="s">
        <v>36</v>
      </c>
      <c r="AC2509" t="s">
        <v>36</v>
      </c>
      <c r="AD2509" t="s">
        <v>36</v>
      </c>
      <c r="AE2509" t="s">
        <v>36</v>
      </c>
      <c r="AF2509" t="s">
        <v>36</v>
      </c>
      <c r="AG2509" t="s">
        <v>36</v>
      </c>
    </row>
    <row r="2510" spans="1:33" hidden="1" x14ac:dyDescent="0.2">
      <c r="A2510">
        <v>2509</v>
      </c>
      <c r="B2510" t="s">
        <v>691</v>
      </c>
      <c r="C2510" t="s">
        <v>108</v>
      </c>
      <c r="D2510">
        <v>60</v>
      </c>
      <c r="E2510" t="s">
        <v>34</v>
      </c>
      <c r="F2510" t="s">
        <v>38</v>
      </c>
      <c r="G2510" t="s">
        <v>40</v>
      </c>
      <c r="H2510">
        <v>24344</v>
      </c>
      <c r="I2510">
        <v>0</v>
      </c>
      <c r="J2510">
        <v>0</v>
      </c>
      <c r="K2510">
        <v>1</v>
      </c>
      <c r="L2510">
        <v>0</v>
      </c>
      <c r="M2510" t="s">
        <v>36</v>
      </c>
      <c r="N2510" t="s">
        <v>36</v>
      </c>
      <c r="O2510" t="s">
        <v>36</v>
      </c>
      <c r="P2510" t="s">
        <v>442</v>
      </c>
      <c r="Q2510" t="s">
        <v>36</v>
      </c>
      <c r="R2510" t="s">
        <v>36</v>
      </c>
      <c r="S2510" t="s">
        <v>36</v>
      </c>
      <c r="T2510" t="s">
        <v>36</v>
      </c>
      <c r="U2510" t="s">
        <v>36</v>
      </c>
      <c r="V2510" t="s">
        <v>36</v>
      </c>
      <c r="W2510" t="s">
        <v>36</v>
      </c>
      <c r="X2510" t="s">
        <v>36</v>
      </c>
      <c r="Y2510" t="s">
        <v>36</v>
      </c>
      <c r="Z2510" t="s">
        <v>36</v>
      </c>
      <c r="AA2510" t="s">
        <v>36</v>
      </c>
      <c r="AB2510" t="s">
        <v>36</v>
      </c>
      <c r="AC2510" t="s">
        <v>36</v>
      </c>
      <c r="AD2510" t="s">
        <v>36</v>
      </c>
      <c r="AE2510" t="s">
        <v>36</v>
      </c>
      <c r="AF2510" t="s">
        <v>36</v>
      </c>
      <c r="AG2510" t="s">
        <v>36</v>
      </c>
    </row>
    <row r="2511" spans="1:33" x14ac:dyDescent="0.2">
      <c r="A2511">
        <v>2510</v>
      </c>
      <c r="B2511" t="s">
        <v>691</v>
      </c>
      <c r="C2511" t="s">
        <v>108</v>
      </c>
      <c r="D2511">
        <v>60</v>
      </c>
      <c r="E2511" t="s">
        <v>34</v>
      </c>
      <c r="F2511" t="s">
        <v>41</v>
      </c>
      <c r="G2511" t="s">
        <v>61</v>
      </c>
      <c r="H2511">
        <v>52190</v>
      </c>
      <c r="I2511">
        <v>0</v>
      </c>
      <c r="J2511">
        <v>0</v>
      </c>
      <c r="K2511">
        <v>0</v>
      </c>
      <c r="L2511">
        <v>1</v>
      </c>
      <c r="M2511" t="s">
        <v>63</v>
      </c>
      <c r="N2511" t="s">
        <v>125</v>
      </c>
      <c r="O2511" t="s">
        <v>87</v>
      </c>
      <c r="P2511" t="s">
        <v>442</v>
      </c>
      <c r="Q2511" t="s">
        <v>46</v>
      </c>
      <c r="R2511" t="s">
        <v>60</v>
      </c>
      <c r="S2511" t="s">
        <v>47</v>
      </c>
      <c r="T2511">
        <v>1</v>
      </c>
      <c r="U2511">
        <v>0</v>
      </c>
      <c r="V2511">
        <v>0</v>
      </c>
      <c r="W2511">
        <v>1</v>
      </c>
      <c r="X2511">
        <v>1</v>
      </c>
      <c r="Y2511">
        <v>0</v>
      </c>
      <c r="Z2511">
        <v>1</v>
      </c>
      <c r="AA2511">
        <v>0</v>
      </c>
      <c r="AB2511">
        <v>0</v>
      </c>
      <c r="AC2511">
        <v>0</v>
      </c>
      <c r="AD2511">
        <v>0</v>
      </c>
      <c r="AE2511">
        <v>0</v>
      </c>
      <c r="AF2511">
        <v>0</v>
      </c>
      <c r="AG2511">
        <v>1</v>
      </c>
    </row>
    <row r="2512" spans="1:33" x14ac:dyDescent="0.2">
      <c r="A2512">
        <v>2511</v>
      </c>
      <c r="B2512" t="s">
        <v>691</v>
      </c>
      <c r="C2512" t="s">
        <v>108</v>
      </c>
      <c r="D2512">
        <v>60</v>
      </c>
      <c r="E2512" t="s">
        <v>34</v>
      </c>
      <c r="F2512" t="s">
        <v>41</v>
      </c>
      <c r="G2512" t="s">
        <v>42</v>
      </c>
      <c r="H2512">
        <v>50710</v>
      </c>
      <c r="I2512">
        <v>1</v>
      </c>
      <c r="J2512">
        <v>1</v>
      </c>
      <c r="K2512">
        <v>1</v>
      </c>
      <c r="L2512">
        <v>0</v>
      </c>
      <c r="M2512" t="s">
        <v>45</v>
      </c>
      <c r="N2512" t="s">
        <v>44</v>
      </c>
      <c r="O2512" t="s">
        <v>82</v>
      </c>
      <c r="P2512" t="s">
        <v>442</v>
      </c>
      <c r="Q2512" t="s">
        <v>48</v>
      </c>
      <c r="R2512" t="s">
        <v>47</v>
      </c>
      <c r="S2512" t="s">
        <v>65</v>
      </c>
      <c r="T2512">
        <v>0</v>
      </c>
      <c r="U2512">
        <v>1</v>
      </c>
      <c r="V2512">
        <v>1</v>
      </c>
      <c r="W2512">
        <v>1</v>
      </c>
      <c r="X2512">
        <v>0</v>
      </c>
      <c r="Y2512">
        <v>0</v>
      </c>
      <c r="Z2512">
        <v>1</v>
      </c>
      <c r="AA2512">
        <v>0</v>
      </c>
      <c r="AB2512">
        <v>1</v>
      </c>
      <c r="AC2512">
        <v>1</v>
      </c>
      <c r="AD2512">
        <v>1</v>
      </c>
      <c r="AE2512">
        <v>0</v>
      </c>
      <c r="AF2512">
        <v>0</v>
      </c>
      <c r="AG2512">
        <v>0</v>
      </c>
    </row>
    <row r="2513" spans="1:33" hidden="1" x14ac:dyDescent="0.2">
      <c r="A2513">
        <v>2512</v>
      </c>
      <c r="B2513" t="s">
        <v>691</v>
      </c>
      <c r="C2513" t="s">
        <v>108</v>
      </c>
      <c r="D2513">
        <v>60</v>
      </c>
      <c r="E2513" t="s">
        <v>34</v>
      </c>
      <c r="F2513" t="s">
        <v>53</v>
      </c>
      <c r="G2513" t="s">
        <v>54</v>
      </c>
      <c r="H2513">
        <v>26632</v>
      </c>
      <c r="I2513">
        <v>1</v>
      </c>
      <c r="J2513">
        <v>1</v>
      </c>
      <c r="K2513">
        <v>1</v>
      </c>
      <c r="L2513">
        <v>0</v>
      </c>
      <c r="M2513" t="s">
        <v>36</v>
      </c>
      <c r="N2513" t="s">
        <v>36</v>
      </c>
      <c r="O2513" t="s">
        <v>36</v>
      </c>
      <c r="P2513" t="s">
        <v>442</v>
      </c>
      <c r="Q2513" t="s">
        <v>36</v>
      </c>
      <c r="R2513" t="s">
        <v>36</v>
      </c>
      <c r="S2513" t="s">
        <v>36</v>
      </c>
      <c r="T2513" t="s">
        <v>36</v>
      </c>
      <c r="U2513">
        <v>1</v>
      </c>
      <c r="V2513">
        <v>1</v>
      </c>
      <c r="W2513">
        <v>1</v>
      </c>
      <c r="X2513">
        <v>0</v>
      </c>
      <c r="Y2513">
        <v>0</v>
      </c>
      <c r="Z2513">
        <v>1</v>
      </c>
      <c r="AA2513">
        <v>0</v>
      </c>
      <c r="AB2513">
        <v>1</v>
      </c>
      <c r="AC2513">
        <v>1</v>
      </c>
      <c r="AD2513">
        <v>1</v>
      </c>
      <c r="AE2513">
        <v>0</v>
      </c>
      <c r="AF2513">
        <v>0</v>
      </c>
      <c r="AG2513">
        <v>0</v>
      </c>
    </row>
    <row r="2514" spans="1:33" x14ac:dyDescent="0.2">
      <c r="A2514">
        <v>2513</v>
      </c>
      <c r="B2514" t="s">
        <v>691</v>
      </c>
      <c r="C2514" t="s">
        <v>108</v>
      </c>
      <c r="D2514">
        <v>60</v>
      </c>
      <c r="E2514" t="s">
        <v>34</v>
      </c>
      <c r="F2514" t="s">
        <v>41</v>
      </c>
      <c r="G2514" t="s">
        <v>72</v>
      </c>
      <c r="H2514">
        <v>23448</v>
      </c>
      <c r="I2514">
        <v>0</v>
      </c>
      <c r="J2514">
        <v>0</v>
      </c>
      <c r="K2514">
        <v>0</v>
      </c>
      <c r="L2514">
        <v>1</v>
      </c>
      <c r="M2514" t="s">
        <v>74</v>
      </c>
      <c r="N2514" t="s">
        <v>73</v>
      </c>
      <c r="O2514" t="s">
        <v>115</v>
      </c>
      <c r="P2514" t="s">
        <v>442</v>
      </c>
      <c r="Q2514" t="s">
        <v>47</v>
      </c>
      <c r="R2514" t="s">
        <v>48</v>
      </c>
      <c r="S2514" t="s">
        <v>65</v>
      </c>
      <c r="T2514">
        <v>0</v>
      </c>
      <c r="U2514">
        <v>1</v>
      </c>
      <c r="V2514">
        <v>1</v>
      </c>
      <c r="W2514">
        <v>1</v>
      </c>
      <c r="X2514">
        <v>0</v>
      </c>
      <c r="Y2514">
        <v>0</v>
      </c>
      <c r="Z2514">
        <v>1</v>
      </c>
      <c r="AA2514">
        <v>0</v>
      </c>
      <c r="AB2514">
        <v>0</v>
      </c>
      <c r="AC2514">
        <v>0</v>
      </c>
      <c r="AD2514">
        <v>0</v>
      </c>
      <c r="AE2514">
        <v>0</v>
      </c>
      <c r="AF2514">
        <v>0</v>
      </c>
      <c r="AG2514">
        <v>1</v>
      </c>
    </row>
    <row r="2515" spans="1:33" hidden="1" x14ac:dyDescent="0.2">
      <c r="A2515">
        <v>2514</v>
      </c>
      <c r="B2515" t="s">
        <v>691</v>
      </c>
      <c r="C2515" t="s">
        <v>108</v>
      </c>
      <c r="D2515">
        <v>60</v>
      </c>
      <c r="E2515" t="s">
        <v>34</v>
      </c>
      <c r="F2515" t="s">
        <v>53</v>
      </c>
      <c r="G2515" t="s">
        <v>66</v>
      </c>
      <c r="H2515">
        <v>13192</v>
      </c>
      <c r="I2515">
        <v>1</v>
      </c>
      <c r="J2515">
        <v>1</v>
      </c>
      <c r="K2515">
        <v>0</v>
      </c>
      <c r="L2515">
        <v>0</v>
      </c>
      <c r="M2515" t="s">
        <v>36</v>
      </c>
      <c r="N2515" t="s">
        <v>36</v>
      </c>
      <c r="O2515" t="s">
        <v>36</v>
      </c>
      <c r="P2515" t="s">
        <v>442</v>
      </c>
      <c r="Q2515" t="s">
        <v>36</v>
      </c>
      <c r="R2515" t="s">
        <v>36</v>
      </c>
      <c r="S2515" t="s">
        <v>36</v>
      </c>
      <c r="T2515" t="s">
        <v>36</v>
      </c>
      <c r="U2515">
        <v>1</v>
      </c>
      <c r="V2515">
        <v>1</v>
      </c>
      <c r="W2515">
        <v>1</v>
      </c>
      <c r="X2515">
        <v>0</v>
      </c>
      <c r="Y2515">
        <v>0</v>
      </c>
      <c r="Z2515">
        <v>1</v>
      </c>
      <c r="AA2515">
        <v>0</v>
      </c>
      <c r="AB2515">
        <v>0</v>
      </c>
      <c r="AC2515">
        <v>0</v>
      </c>
      <c r="AD2515">
        <v>0</v>
      </c>
      <c r="AE2515">
        <v>0</v>
      </c>
      <c r="AF2515">
        <v>0</v>
      </c>
      <c r="AG2515">
        <v>1</v>
      </c>
    </row>
    <row r="2516" spans="1:33" x14ac:dyDescent="0.2">
      <c r="A2516">
        <v>2515</v>
      </c>
      <c r="B2516" t="s">
        <v>691</v>
      </c>
      <c r="C2516" t="s">
        <v>108</v>
      </c>
      <c r="D2516">
        <v>60</v>
      </c>
      <c r="E2516" t="s">
        <v>34</v>
      </c>
      <c r="F2516" t="s">
        <v>41</v>
      </c>
      <c r="G2516" t="s">
        <v>49</v>
      </c>
      <c r="H2516">
        <v>24292</v>
      </c>
      <c r="I2516">
        <v>1</v>
      </c>
      <c r="J2516">
        <v>1</v>
      </c>
      <c r="K2516">
        <v>1</v>
      </c>
      <c r="L2516">
        <v>0</v>
      </c>
      <c r="M2516" t="s">
        <v>51</v>
      </c>
      <c r="N2516" t="s">
        <v>52</v>
      </c>
      <c r="O2516" t="s">
        <v>95</v>
      </c>
      <c r="P2516" t="s">
        <v>442</v>
      </c>
      <c r="Q2516" t="s">
        <v>47</v>
      </c>
      <c r="R2516" t="s">
        <v>46</v>
      </c>
      <c r="S2516" t="s">
        <v>60</v>
      </c>
      <c r="T2516">
        <v>1</v>
      </c>
      <c r="U2516">
        <v>0</v>
      </c>
      <c r="V2516">
        <v>0</v>
      </c>
      <c r="W2516">
        <v>1</v>
      </c>
      <c r="X2516">
        <v>1</v>
      </c>
      <c r="Y2516">
        <v>0</v>
      </c>
      <c r="Z2516">
        <v>1</v>
      </c>
      <c r="AA2516">
        <v>1</v>
      </c>
      <c r="AB2516">
        <v>0</v>
      </c>
      <c r="AC2516">
        <v>0</v>
      </c>
      <c r="AD2516">
        <v>1</v>
      </c>
      <c r="AE2516">
        <v>1</v>
      </c>
      <c r="AF2516">
        <v>0</v>
      </c>
      <c r="AG2516">
        <v>0</v>
      </c>
    </row>
    <row r="2517" spans="1:33" x14ac:dyDescent="0.2">
      <c r="A2517">
        <v>2516</v>
      </c>
      <c r="B2517" t="s">
        <v>691</v>
      </c>
      <c r="C2517" t="s">
        <v>108</v>
      </c>
      <c r="D2517">
        <v>60</v>
      </c>
      <c r="E2517" t="s">
        <v>34</v>
      </c>
      <c r="F2517" t="s">
        <v>41</v>
      </c>
      <c r="G2517" t="s">
        <v>55</v>
      </c>
      <c r="H2517">
        <v>32230</v>
      </c>
      <c r="I2517">
        <v>1</v>
      </c>
      <c r="J2517">
        <v>1</v>
      </c>
      <c r="K2517">
        <v>1</v>
      </c>
      <c r="L2517">
        <v>0</v>
      </c>
      <c r="M2517" t="s">
        <v>85</v>
      </c>
      <c r="N2517" t="s">
        <v>58</v>
      </c>
      <c r="O2517" t="s">
        <v>57</v>
      </c>
      <c r="P2517" t="s">
        <v>442</v>
      </c>
      <c r="Q2517" t="s">
        <v>65</v>
      </c>
      <c r="R2517" t="s">
        <v>60</v>
      </c>
      <c r="S2517" t="s">
        <v>48</v>
      </c>
      <c r="T2517">
        <v>1</v>
      </c>
      <c r="U2517">
        <v>1</v>
      </c>
      <c r="V2517">
        <v>1</v>
      </c>
      <c r="W2517">
        <v>0</v>
      </c>
      <c r="X2517">
        <v>0</v>
      </c>
      <c r="Y2517">
        <v>0</v>
      </c>
      <c r="Z2517">
        <v>1</v>
      </c>
      <c r="AA2517">
        <v>1</v>
      </c>
      <c r="AB2517">
        <v>1</v>
      </c>
      <c r="AC2517">
        <v>1</v>
      </c>
      <c r="AD2517">
        <v>0</v>
      </c>
      <c r="AE2517">
        <v>0</v>
      </c>
      <c r="AF2517">
        <v>0</v>
      </c>
      <c r="AG2517">
        <v>0</v>
      </c>
    </row>
    <row r="2518" spans="1:33" hidden="1" x14ac:dyDescent="0.2">
      <c r="A2518">
        <v>2517</v>
      </c>
      <c r="B2518" t="s">
        <v>691</v>
      </c>
      <c r="C2518" t="s">
        <v>108</v>
      </c>
      <c r="D2518">
        <v>60</v>
      </c>
      <c r="E2518" t="s">
        <v>34</v>
      </c>
      <c r="F2518" t="s">
        <v>53</v>
      </c>
      <c r="G2518" t="s">
        <v>76</v>
      </c>
      <c r="H2518">
        <v>18070</v>
      </c>
      <c r="I2518">
        <v>1</v>
      </c>
      <c r="J2518">
        <v>0</v>
      </c>
      <c r="K2518">
        <v>0</v>
      </c>
      <c r="L2518">
        <v>0</v>
      </c>
      <c r="M2518" t="s">
        <v>36</v>
      </c>
      <c r="N2518" t="s">
        <v>36</v>
      </c>
      <c r="O2518" t="s">
        <v>36</v>
      </c>
      <c r="P2518" t="s">
        <v>442</v>
      </c>
      <c r="Q2518" t="s">
        <v>36</v>
      </c>
      <c r="R2518" t="s">
        <v>36</v>
      </c>
      <c r="S2518" t="s">
        <v>36</v>
      </c>
      <c r="T2518" t="s">
        <v>36</v>
      </c>
      <c r="U2518">
        <v>1</v>
      </c>
      <c r="V2518">
        <v>1</v>
      </c>
      <c r="W2518">
        <v>0</v>
      </c>
      <c r="X2518">
        <v>0</v>
      </c>
      <c r="Y2518">
        <v>0</v>
      </c>
      <c r="Z2518">
        <v>1</v>
      </c>
      <c r="AA2518">
        <v>1</v>
      </c>
      <c r="AB2518">
        <v>1</v>
      </c>
      <c r="AC2518">
        <v>1</v>
      </c>
      <c r="AD2518">
        <v>0</v>
      </c>
      <c r="AE2518">
        <v>0</v>
      </c>
      <c r="AF2518">
        <v>0</v>
      </c>
      <c r="AG2518">
        <v>0</v>
      </c>
    </row>
    <row r="2519" spans="1:33" x14ac:dyDescent="0.2">
      <c r="A2519">
        <v>2518</v>
      </c>
      <c r="B2519" t="s">
        <v>691</v>
      </c>
      <c r="C2519" t="s">
        <v>108</v>
      </c>
      <c r="D2519">
        <v>60</v>
      </c>
      <c r="E2519" t="s">
        <v>34</v>
      </c>
      <c r="F2519" t="s">
        <v>41</v>
      </c>
      <c r="G2519" t="s">
        <v>67</v>
      </c>
      <c r="H2519">
        <v>26118</v>
      </c>
      <c r="I2519">
        <v>1</v>
      </c>
      <c r="J2519">
        <v>1</v>
      </c>
      <c r="K2519">
        <v>1</v>
      </c>
      <c r="L2519">
        <v>0</v>
      </c>
      <c r="M2519" t="s">
        <v>86</v>
      </c>
      <c r="N2519" t="s">
        <v>69</v>
      </c>
      <c r="O2519" t="s">
        <v>70</v>
      </c>
      <c r="P2519" t="s">
        <v>442</v>
      </c>
      <c r="Q2519" t="s">
        <v>46</v>
      </c>
      <c r="R2519" t="s">
        <v>48</v>
      </c>
      <c r="S2519" t="s">
        <v>47</v>
      </c>
      <c r="T2519">
        <v>0</v>
      </c>
      <c r="U2519">
        <v>0</v>
      </c>
      <c r="V2519">
        <v>1</v>
      </c>
      <c r="W2519">
        <v>1</v>
      </c>
      <c r="X2519">
        <v>1</v>
      </c>
      <c r="Y2519">
        <v>0</v>
      </c>
      <c r="Z2519">
        <v>1</v>
      </c>
      <c r="AA2519">
        <v>0</v>
      </c>
      <c r="AB2519">
        <v>0</v>
      </c>
      <c r="AC2519">
        <v>1</v>
      </c>
      <c r="AD2519">
        <v>1</v>
      </c>
      <c r="AE2519">
        <v>1</v>
      </c>
      <c r="AF2519">
        <v>0</v>
      </c>
      <c r="AG2519">
        <v>0</v>
      </c>
    </row>
    <row r="2520" spans="1:33" hidden="1" x14ac:dyDescent="0.2">
      <c r="A2520">
        <v>2519</v>
      </c>
      <c r="B2520" t="s">
        <v>691</v>
      </c>
      <c r="C2520" t="s">
        <v>108</v>
      </c>
      <c r="D2520">
        <v>60</v>
      </c>
      <c r="E2520" t="s">
        <v>34</v>
      </c>
      <c r="F2520" t="s">
        <v>53</v>
      </c>
      <c r="G2520" t="s">
        <v>71</v>
      </c>
      <c r="H2520">
        <v>29130</v>
      </c>
      <c r="I2520">
        <v>0</v>
      </c>
      <c r="J2520">
        <v>0</v>
      </c>
      <c r="K2520">
        <v>0</v>
      </c>
      <c r="L2520">
        <v>1</v>
      </c>
      <c r="M2520" t="s">
        <v>36</v>
      </c>
      <c r="N2520" t="s">
        <v>36</v>
      </c>
      <c r="O2520" t="s">
        <v>36</v>
      </c>
      <c r="P2520" t="s">
        <v>442</v>
      </c>
      <c r="Q2520" t="s">
        <v>36</v>
      </c>
      <c r="R2520" t="s">
        <v>36</v>
      </c>
      <c r="S2520" t="s">
        <v>36</v>
      </c>
      <c r="T2520" t="s">
        <v>36</v>
      </c>
      <c r="U2520">
        <v>0</v>
      </c>
      <c r="V2520">
        <v>1</v>
      </c>
      <c r="W2520">
        <v>1</v>
      </c>
      <c r="X2520">
        <v>1</v>
      </c>
      <c r="Y2520">
        <v>0</v>
      </c>
      <c r="Z2520">
        <v>1</v>
      </c>
      <c r="AA2520">
        <v>0</v>
      </c>
      <c r="AB2520">
        <v>0</v>
      </c>
      <c r="AC2520">
        <v>1</v>
      </c>
      <c r="AD2520">
        <v>1</v>
      </c>
      <c r="AE2520">
        <v>1</v>
      </c>
      <c r="AF2520">
        <v>0</v>
      </c>
      <c r="AG2520">
        <v>0</v>
      </c>
    </row>
    <row r="2521" spans="1:33" hidden="1" x14ac:dyDescent="0.2">
      <c r="A2521">
        <v>2520</v>
      </c>
      <c r="B2521" t="s">
        <v>691</v>
      </c>
      <c r="C2521" t="s">
        <v>108</v>
      </c>
      <c r="D2521">
        <v>60</v>
      </c>
      <c r="E2521" t="s">
        <v>34</v>
      </c>
      <c r="F2521" t="s">
        <v>77</v>
      </c>
      <c r="G2521" t="s">
        <v>36</v>
      </c>
      <c r="H2521">
        <v>67502</v>
      </c>
      <c r="I2521" t="s">
        <v>692</v>
      </c>
      <c r="J2521" t="s">
        <v>693</v>
      </c>
      <c r="K2521" t="s">
        <v>166</v>
      </c>
      <c r="L2521" t="s">
        <v>36</v>
      </c>
      <c r="M2521" t="s">
        <v>36</v>
      </c>
      <c r="N2521" t="s">
        <v>36</v>
      </c>
      <c r="O2521" t="s">
        <v>36</v>
      </c>
      <c r="P2521" t="s">
        <v>442</v>
      </c>
      <c r="Q2521" t="s">
        <v>36</v>
      </c>
      <c r="R2521" t="s">
        <v>36</v>
      </c>
      <c r="S2521" t="s">
        <v>36</v>
      </c>
      <c r="T2521" t="s">
        <v>36</v>
      </c>
      <c r="U2521" t="s">
        <v>36</v>
      </c>
      <c r="V2521" t="s">
        <v>36</v>
      </c>
      <c r="W2521" t="s">
        <v>36</v>
      </c>
      <c r="X2521" t="s">
        <v>36</v>
      </c>
      <c r="Y2521" t="s">
        <v>36</v>
      </c>
      <c r="Z2521" t="s">
        <v>36</v>
      </c>
      <c r="AA2521" t="s">
        <v>36</v>
      </c>
      <c r="AB2521" t="s">
        <v>36</v>
      </c>
      <c r="AC2521" t="s">
        <v>36</v>
      </c>
      <c r="AD2521" t="s">
        <v>36</v>
      </c>
      <c r="AE2521" t="s">
        <v>36</v>
      </c>
      <c r="AF2521" t="s">
        <v>36</v>
      </c>
      <c r="AG2521" t="s">
        <v>36</v>
      </c>
    </row>
    <row r="2522" spans="1:33" hidden="1" x14ac:dyDescent="0.2">
      <c r="A2522">
        <v>2521</v>
      </c>
      <c r="B2522" t="s">
        <v>694</v>
      </c>
      <c r="C2522" t="s">
        <v>188</v>
      </c>
      <c r="D2522">
        <v>28</v>
      </c>
      <c r="E2522" t="s">
        <v>34</v>
      </c>
      <c r="F2522" t="s">
        <v>35</v>
      </c>
      <c r="G2522" t="s">
        <v>36</v>
      </c>
      <c r="H2522">
        <v>23313</v>
      </c>
      <c r="I2522" t="s">
        <v>36</v>
      </c>
      <c r="J2522" t="s">
        <v>36</v>
      </c>
      <c r="K2522" t="s">
        <v>36</v>
      </c>
      <c r="L2522" t="s">
        <v>36</v>
      </c>
      <c r="M2522" t="s">
        <v>36</v>
      </c>
      <c r="N2522" t="s">
        <v>36</v>
      </c>
      <c r="O2522" t="s">
        <v>36</v>
      </c>
      <c r="P2522" t="s">
        <v>442</v>
      </c>
      <c r="Q2522" t="s">
        <v>36</v>
      </c>
      <c r="R2522" t="s">
        <v>36</v>
      </c>
      <c r="S2522" t="s">
        <v>36</v>
      </c>
      <c r="T2522" t="s">
        <v>36</v>
      </c>
      <c r="U2522" t="s">
        <v>36</v>
      </c>
      <c r="V2522" t="s">
        <v>36</v>
      </c>
      <c r="W2522" t="s">
        <v>36</v>
      </c>
      <c r="X2522" t="s">
        <v>36</v>
      </c>
      <c r="Y2522" t="s">
        <v>36</v>
      </c>
      <c r="Z2522" t="s">
        <v>36</v>
      </c>
      <c r="AA2522" t="s">
        <v>36</v>
      </c>
      <c r="AB2522" t="s">
        <v>36</v>
      </c>
      <c r="AC2522" t="s">
        <v>36</v>
      </c>
      <c r="AD2522" t="s">
        <v>36</v>
      </c>
      <c r="AE2522" t="s">
        <v>36</v>
      </c>
      <c r="AF2522" t="s">
        <v>36</v>
      </c>
      <c r="AG2522" t="s">
        <v>36</v>
      </c>
    </row>
    <row r="2523" spans="1:33" hidden="1" x14ac:dyDescent="0.2">
      <c r="A2523">
        <v>2522</v>
      </c>
      <c r="B2523" t="s">
        <v>694</v>
      </c>
      <c r="C2523" t="s">
        <v>188</v>
      </c>
      <c r="D2523">
        <v>28</v>
      </c>
      <c r="E2523" t="s">
        <v>34</v>
      </c>
      <c r="F2523" t="s">
        <v>38</v>
      </c>
      <c r="G2523" t="s">
        <v>40</v>
      </c>
      <c r="H2523">
        <v>14788</v>
      </c>
      <c r="I2523">
        <v>0</v>
      </c>
      <c r="J2523">
        <v>0</v>
      </c>
      <c r="K2523">
        <v>1</v>
      </c>
      <c r="L2523">
        <v>0</v>
      </c>
      <c r="M2523" t="s">
        <v>36</v>
      </c>
      <c r="N2523" t="s">
        <v>36</v>
      </c>
      <c r="O2523" t="s">
        <v>36</v>
      </c>
      <c r="P2523" t="s">
        <v>442</v>
      </c>
      <c r="Q2523" t="s">
        <v>36</v>
      </c>
      <c r="R2523" t="s">
        <v>36</v>
      </c>
      <c r="S2523" t="s">
        <v>36</v>
      </c>
      <c r="T2523" t="s">
        <v>36</v>
      </c>
      <c r="U2523" t="s">
        <v>36</v>
      </c>
      <c r="V2523" t="s">
        <v>36</v>
      </c>
      <c r="W2523" t="s">
        <v>36</v>
      </c>
      <c r="X2523" t="s">
        <v>36</v>
      </c>
      <c r="Y2523" t="s">
        <v>36</v>
      </c>
      <c r="Z2523" t="s">
        <v>36</v>
      </c>
      <c r="AA2523" t="s">
        <v>36</v>
      </c>
      <c r="AB2523" t="s">
        <v>36</v>
      </c>
      <c r="AC2523" t="s">
        <v>36</v>
      </c>
      <c r="AD2523" t="s">
        <v>36</v>
      </c>
      <c r="AE2523" t="s">
        <v>36</v>
      </c>
      <c r="AF2523" t="s">
        <v>36</v>
      </c>
      <c r="AG2523" t="s">
        <v>36</v>
      </c>
    </row>
    <row r="2524" spans="1:33" hidden="1" x14ac:dyDescent="0.2">
      <c r="A2524">
        <v>2523</v>
      </c>
      <c r="B2524" t="s">
        <v>694</v>
      </c>
      <c r="C2524" t="s">
        <v>188</v>
      </c>
      <c r="D2524">
        <v>28</v>
      </c>
      <c r="E2524" t="s">
        <v>34</v>
      </c>
      <c r="F2524" t="s">
        <v>38</v>
      </c>
      <c r="G2524" t="s">
        <v>39</v>
      </c>
      <c r="H2524">
        <v>15600</v>
      </c>
      <c r="I2524">
        <v>0</v>
      </c>
      <c r="J2524">
        <v>1</v>
      </c>
      <c r="K2524">
        <v>0</v>
      </c>
      <c r="L2524">
        <v>0</v>
      </c>
      <c r="M2524" t="s">
        <v>36</v>
      </c>
      <c r="N2524" t="s">
        <v>36</v>
      </c>
      <c r="O2524" t="s">
        <v>36</v>
      </c>
      <c r="P2524" t="s">
        <v>442</v>
      </c>
      <c r="Q2524" t="s">
        <v>36</v>
      </c>
      <c r="R2524" t="s">
        <v>36</v>
      </c>
      <c r="S2524" t="s">
        <v>36</v>
      </c>
      <c r="T2524" t="s">
        <v>36</v>
      </c>
      <c r="U2524" t="s">
        <v>36</v>
      </c>
      <c r="V2524" t="s">
        <v>36</v>
      </c>
      <c r="W2524" t="s">
        <v>36</v>
      </c>
      <c r="X2524" t="s">
        <v>36</v>
      </c>
      <c r="Y2524" t="s">
        <v>36</v>
      </c>
      <c r="Z2524" t="s">
        <v>36</v>
      </c>
      <c r="AA2524" t="s">
        <v>36</v>
      </c>
      <c r="AB2524" t="s">
        <v>36</v>
      </c>
      <c r="AC2524" t="s">
        <v>36</v>
      </c>
      <c r="AD2524" t="s">
        <v>36</v>
      </c>
      <c r="AE2524" t="s">
        <v>36</v>
      </c>
      <c r="AF2524" t="s">
        <v>36</v>
      </c>
      <c r="AG2524" t="s">
        <v>36</v>
      </c>
    </row>
    <row r="2525" spans="1:33" x14ac:dyDescent="0.2">
      <c r="A2525">
        <v>2524</v>
      </c>
      <c r="B2525" t="s">
        <v>694</v>
      </c>
      <c r="C2525" t="s">
        <v>188</v>
      </c>
      <c r="D2525">
        <v>28</v>
      </c>
      <c r="E2525" t="s">
        <v>34</v>
      </c>
      <c r="F2525" t="s">
        <v>41</v>
      </c>
      <c r="G2525" t="s">
        <v>61</v>
      </c>
      <c r="H2525">
        <v>30595</v>
      </c>
      <c r="I2525">
        <v>0</v>
      </c>
      <c r="J2525">
        <v>0</v>
      </c>
      <c r="K2525">
        <v>0</v>
      </c>
      <c r="L2525">
        <v>1</v>
      </c>
      <c r="M2525" t="s">
        <v>64</v>
      </c>
      <c r="N2525" t="s">
        <v>87</v>
      </c>
      <c r="O2525" t="s">
        <v>62</v>
      </c>
      <c r="P2525" t="s">
        <v>442</v>
      </c>
      <c r="Q2525" t="s">
        <v>48</v>
      </c>
      <c r="R2525" t="s">
        <v>47</v>
      </c>
      <c r="S2525" t="s">
        <v>65</v>
      </c>
      <c r="T2525">
        <v>0</v>
      </c>
      <c r="U2525">
        <v>1</v>
      </c>
      <c r="V2525">
        <v>1</v>
      </c>
      <c r="W2525">
        <v>1</v>
      </c>
      <c r="X2525">
        <v>0</v>
      </c>
      <c r="Y2525">
        <v>0</v>
      </c>
      <c r="Z2525">
        <v>1</v>
      </c>
      <c r="AA2525">
        <v>0</v>
      </c>
      <c r="AB2525">
        <v>0</v>
      </c>
      <c r="AC2525">
        <v>0</v>
      </c>
      <c r="AD2525">
        <v>0</v>
      </c>
      <c r="AE2525">
        <v>0</v>
      </c>
      <c r="AF2525">
        <v>0</v>
      </c>
      <c r="AG2525">
        <v>1</v>
      </c>
    </row>
    <row r="2526" spans="1:33" x14ac:dyDescent="0.2">
      <c r="A2526">
        <v>2525</v>
      </c>
      <c r="B2526" t="s">
        <v>694</v>
      </c>
      <c r="C2526" t="s">
        <v>188</v>
      </c>
      <c r="D2526">
        <v>28</v>
      </c>
      <c r="E2526" t="s">
        <v>34</v>
      </c>
      <c r="F2526" t="s">
        <v>41</v>
      </c>
      <c r="G2526" t="s">
        <v>72</v>
      </c>
      <c r="H2526">
        <v>10910</v>
      </c>
      <c r="I2526">
        <v>0</v>
      </c>
      <c r="J2526">
        <v>0</v>
      </c>
      <c r="K2526">
        <v>0</v>
      </c>
      <c r="L2526">
        <v>1</v>
      </c>
      <c r="M2526" t="s">
        <v>74</v>
      </c>
      <c r="N2526" t="s">
        <v>73</v>
      </c>
      <c r="O2526" t="s">
        <v>115</v>
      </c>
      <c r="P2526" t="s">
        <v>442</v>
      </c>
      <c r="Q2526" t="s">
        <v>47</v>
      </c>
      <c r="R2526" t="s">
        <v>48</v>
      </c>
      <c r="S2526" t="s">
        <v>65</v>
      </c>
      <c r="T2526">
        <v>0</v>
      </c>
      <c r="U2526">
        <v>1</v>
      </c>
      <c r="V2526">
        <v>1</v>
      </c>
      <c r="W2526">
        <v>1</v>
      </c>
      <c r="X2526">
        <v>0</v>
      </c>
      <c r="Y2526">
        <v>0</v>
      </c>
      <c r="Z2526">
        <v>1</v>
      </c>
      <c r="AA2526">
        <v>0</v>
      </c>
      <c r="AB2526">
        <v>0</v>
      </c>
      <c r="AC2526">
        <v>0</v>
      </c>
      <c r="AD2526">
        <v>0</v>
      </c>
      <c r="AE2526">
        <v>0</v>
      </c>
      <c r="AF2526">
        <v>0</v>
      </c>
      <c r="AG2526">
        <v>1</v>
      </c>
    </row>
    <row r="2527" spans="1:33" hidden="1" x14ac:dyDescent="0.2">
      <c r="A2527">
        <v>2526</v>
      </c>
      <c r="B2527" t="s">
        <v>694</v>
      </c>
      <c r="C2527" t="s">
        <v>188</v>
      </c>
      <c r="D2527">
        <v>28</v>
      </c>
      <c r="E2527" t="s">
        <v>34</v>
      </c>
      <c r="F2527" t="s">
        <v>53</v>
      </c>
      <c r="G2527" t="s">
        <v>71</v>
      </c>
      <c r="H2527">
        <v>10835</v>
      </c>
      <c r="I2527">
        <v>0</v>
      </c>
      <c r="J2527">
        <v>0</v>
      </c>
      <c r="K2527">
        <v>1</v>
      </c>
      <c r="L2527">
        <v>0</v>
      </c>
      <c r="M2527" t="s">
        <v>36</v>
      </c>
      <c r="N2527" t="s">
        <v>36</v>
      </c>
      <c r="O2527" t="s">
        <v>36</v>
      </c>
      <c r="P2527" t="s">
        <v>442</v>
      </c>
      <c r="Q2527" t="s">
        <v>36</v>
      </c>
      <c r="R2527" t="s">
        <v>36</v>
      </c>
      <c r="S2527" t="s">
        <v>36</v>
      </c>
      <c r="T2527" t="s">
        <v>36</v>
      </c>
      <c r="U2527">
        <v>1</v>
      </c>
      <c r="V2527">
        <v>1</v>
      </c>
      <c r="W2527">
        <v>1</v>
      </c>
      <c r="X2527">
        <v>0</v>
      </c>
      <c r="Y2527">
        <v>0</v>
      </c>
      <c r="Z2527">
        <v>1</v>
      </c>
      <c r="AA2527">
        <v>0</v>
      </c>
      <c r="AB2527">
        <v>0</v>
      </c>
      <c r="AC2527">
        <v>0</v>
      </c>
      <c r="AD2527">
        <v>0</v>
      </c>
      <c r="AE2527">
        <v>0</v>
      </c>
      <c r="AF2527">
        <v>0</v>
      </c>
      <c r="AG2527">
        <v>1</v>
      </c>
    </row>
    <row r="2528" spans="1:33" x14ac:dyDescent="0.2">
      <c r="A2528">
        <v>2527</v>
      </c>
      <c r="B2528" t="s">
        <v>694</v>
      </c>
      <c r="C2528" t="s">
        <v>188</v>
      </c>
      <c r="D2528">
        <v>28</v>
      </c>
      <c r="E2528" t="s">
        <v>34</v>
      </c>
      <c r="F2528" t="s">
        <v>41</v>
      </c>
      <c r="G2528" t="s">
        <v>67</v>
      </c>
      <c r="H2528">
        <v>4197</v>
      </c>
      <c r="I2528">
        <v>0</v>
      </c>
      <c r="J2528">
        <v>0</v>
      </c>
      <c r="K2528">
        <v>1</v>
      </c>
      <c r="L2528">
        <v>0</v>
      </c>
      <c r="M2528" t="s">
        <v>70</v>
      </c>
      <c r="N2528" t="s">
        <v>86</v>
      </c>
      <c r="O2528" t="s">
        <v>69</v>
      </c>
      <c r="P2528" t="s">
        <v>442</v>
      </c>
      <c r="Q2528" t="s">
        <v>47</v>
      </c>
      <c r="R2528" t="s">
        <v>46</v>
      </c>
      <c r="S2528" t="s">
        <v>48</v>
      </c>
      <c r="T2528">
        <v>0</v>
      </c>
      <c r="U2528">
        <v>0</v>
      </c>
      <c r="V2528">
        <v>1</v>
      </c>
      <c r="W2528">
        <v>1</v>
      </c>
      <c r="X2528">
        <v>1</v>
      </c>
      <c r="Y2528">
        <v>0</v>
      </c>
      <c r="Z2528">
        <v>1</v>
      </c>
      <c r="AA2528">
        <v>0</v>
      </c>
      <c r="AB2528">
        <v>0</v>
      </c>
      <c r="AC2528">
        <v>1</v>
      </c>
      <c r="AD2528">
        <v>0</v>
      </c>
      <c r="AE2528">
        <v>0</v>
      </c>
      <c r="AF2528">
        <v>0</v>
      </c>
      <c r="AG2528">
        <v>0</v>
      </c>
    </row>
    <row r="2529" spans="1:33" hidden="1" x14ac:dyDescent="0.2">
      <c r="A2529">
        <v>2528</v>
      </c>
      <c r="B2529" t="s">
        <v>694</v>
      </c>
      <c r="C2529" t="s">
        <v>188</v>
      </c>
      <c r="D2529">
        <v>28</v>
      </c>
      <c r="E2529" t="s">
        <v>34</v>
      </c>
      <c r="F2529" t="s">
        <v>53</v>
      </c>
      <c r="G2529" t="s">
        <v>76</v>
      </c>
      <c r="H2529">
        <v>4574</v>
      </c>
      <c r="I2529">
        <v>0</v>
      </c>
      <c r="J2529">
        <v>0</v>
      </c>
      <c r="K2529">
        <v>1</v>
      </c>
      <c r="L2529">
        <v>0</v>
      </c>
      <c r="M2529" t="s">
        <v>36</v>
      </c>
      <c r="N2529" t="s">
        <v>36</v>
      </c>
      <c r="O2529" t="s">
        <v>36</v>
      </c>
      <c r="P2529" t="s">
        <v>442</v>
      </c>
      <c r="Q2529" t="s">
        <v>36</v>
      </c>
      <c r="R2529" t="s">
        <v>36</v>
      </c>
      <c r="S2529" t="s">
        <v>36</v>
      </c>
      <c r="T2529" t="s">
        <v>36</v>
      </c>
      <c r="U2529">
        <v>0</v>
      </c>
      <c r="V2529">
        <v>1</v>
      </c>
      <c r="W2529">
        <v>1</v>
      </c>
      <c r="X2529">
        <v>1</v>
      </c>
      <c r="Y2529">
        <v>0</v>
      </c>
      <c r="Z2529">
        <v>1</v>
      </c>
      <c r="AA2529">
        <v>0</v>
      </c>
      <c r="AB2529">
        <v>0</v>
      </c>
      <c r="AC2529">
        <v>1</v>
      </c>
      <c r="AD2529">
        <v>0</v>
      </c>
      <c r="AE2529">
        <v>0</v>
      </c>
      <c r="AF2529">
        <v>0</v>
      </c>
      <c r="AG2529">
        <v>0</v>
      </c>
    </row>
    <row r="2530" spans="1:33" x14ac:dyDescent="0.2">
      <c r="A2530">
        <v>2529</v>
      </c>
      <c r="B2530" t="s">
        <v>694</v>
      </c>
      <c r="C2530" t="s">
        <v>188</v>
      </c>
      <c r="D2530">
        <v>28</v>
      </c>
      <c r="E2530" t="s">
        <v>34</v>
      </c>
      <c r="F2530" t="s">
        <v>41</v>
      </c>
      <c r="G2530" t="s">
        <v>49</v>
      </c>
      <c r="H2530">
        <v>5252</v>
      </c>
      <c r="I2530">
        <v>0</v>
      </c>
      <c r="J2530">
        <v>1</v>
      </c>
      <c r="K2530">
        <v>0</v>
      </c>
      <c r="L2530">
        <v>0</v>
      </c>
      <c r="M2530" t="s">
        <v>95</v>
      </c>
      <c r="N2530" t="s">
        <v>96</v>
      </c>
      <c r="O2530" t="s">
        <v>50</v>
      </c>
      <c r="P2530" t="s">
        <v>442</v>
      </c>
      <c r="Q2530" t="s">
        <v>60</v>
      </c>
      <c r="R2530" t="s">
        <v>65</v>
      </c>
      <c r="S2530" t="s">
        <v>48</v>
      </c>
      <c r="T2530">
        <v>1</v>
      </c>
      <c r="U2530">
        <v>1</v>
      </c>
      <c r="V2530">
        <v>1</v>
      </c>
      <c r="W2530">
        <v>0</v>
      </c>
      <c r="X2530">
        <v>0</v>
      </c>
      <c r="Y2530">
        <v>0</v>
      </c>
      <c r="Z2530">
        <v>1</v>
      </c>
      <c r="AA2530">
        <v>0</v>
      </c>
      <c r="AB2530">
        <v>1</v>
      </c>
      <c r="AC2530">
        <v>0</v>
      </c>
      <c r="AD2530">
        <v>0</v>
      </c>
      <c r="AE2530">
        <v>0</v>
      </c>
      <c r="AF2530">
        <v>0</v>
      </c>
      <c r="AG2530">
        <v>0</v>
      </c>
    </row>
    <row r="2531" spans="1:33" x14ac:dyDescent="0.2">
      <c r="A2531">
        <v>2530</v>
      </c>
      <c r="B2531" t="s">
        <v>694</v>
      </c>
      <c r="C2531" t="s">
        <v>188</v>
      </c>
      <c r="D2531">
        <v>28</v>
      </c>
      <c r="E2531" t="s">
        <v>34</v>
      </c>
      <c r="F2531" t="s">
        <v>41</v>
      </c>
      <c r="G2531" t="s">
        <v>55</v>
      </c>
      <c r="H2531">
        <v>3094</v>
      </c>
      <c r="I2531">
        <v>0</v>
      </c>
      <c r="J2531">
        <v>1</v>
      </c>
      <c r="K2531">
        <v>0</v>
      </c>
      <c r="L2531">
        <v>0</v>
      </c>
      <c r="M2531" t="s">
        <v>85</v>
      </c>
      <c r="N2531" t="s">
        <v>94</v>
      </c>
      <c r="O2531" t="s">
        <v>84</v>
      </c>
      <c r="P2531" t="s">
        <v>442</v>
      </c>
      <c r="Q2531" t="s">
        <v>65</v>
      </c>
      <c r="R2531" t="s">
        <v>47</v>
      </c>
      <c r="S2531" t="s">
        <v>46</v>
      </c>
      <c r="T2531">
        <v>0</v>
      </c>
      <c r="U2531">
        <v>1</v>
      </c>
      <c r="V2531">
        <v>0</v>
      </c>
      <c r="W2531">
        <v>1</v>
      </c>
      <c r="X2531">
        <v>1</v>
      </c>
      <c r="Y2531">
        <v>0</v>
      </c>
      <c r="Z2531">
        <v>1</v>
      </c>
      <c r="AA2531">
        <v>0</v>
      </c>
      <c r="AB2531">
        <v>0</v>
      </c>
      <c r="AC2531">
        <v>0</v>
      </c>
      <c r="AD2531">
        <v>1</v>
      </c>
      <c r="AE2531">
        <v>0</v>
      </c>
      <c r="AF2531">
        <v>0</v>
      </c>
      <c r="AG2531">
        <v>0</v>
      </c>
    </row>
    <row r="2532" spans="1:33" hidden="1" x14ac:dyDescent="0.2">
      <c r="A2532">
        <v>2531</v>
      </c>
      <c r="B2532" t="s">
        <v>694</v>
      </c>
      <c r="C2532" t="s">
        <v>188</v>
      </c>
      <c r="D2532">
        <v>28</v>
      </c>
      <c r="E2532" t="s">
        <v>34</v>
      </c>
      <c r="F2532" t="s">
        <v>53</v>
      </c>
      <c r="G2532" t="s">
        <v>54</v>
      </c>
      <c r="H2532">
        <v>2655</v>
      </c>
      <c r="I2532">
        <v>0</v>
      </c>
      <c r="J2532">
        <v>0</v>
      </c>
      <c r="K2532">
        <v>1</v>
      </c>
      <c r="L2532">
        <v>0</v>
      </c>
      <c r="M2532" t="s">
        <v>36</v>
      </c>
      <c r="N2532" t="s">
        <v>36</v>
      </c>
      <c r="O2532" t="s">
        <v>36</v>
      </c>
      <c r="P2532" t="s">
        <v>442</v>
      </c>
      <c r="Q2532" t="s">
        <v>36</v>
      </c>
      <c r="R2532" t="s">
        <v>36</v>
      </c>
      <c r="S2532" t="s">
        <v>36</v>
      </c>
      <c r="T2532" t="s">
        <v>36</v>
      </c>
      <c r="U2532">
        <v>1</v>
      </c>
      <c r="V2532">
        <v>0</v>
      </c>
      <c r="W2532">
        <v>1</v>
      </c>
      <c r="X2532">
        <v>1</v>
      </c>
      <c r="Y2532">
        <v>0</v>
      </c>
      <c r="Z2532">
        <v>1</v>
      </c>
      <c r="AA2532">
        <v>0</v>
      </c>
      <c r="AB2532">
        <v>0</v>
      </c>
      <c r="AC2532">
        <v>0</v>
      </c>
      <c r="AD2532">
        <v>1</v>
      </c>
      <c r="AE2532">
        <v>0</v>
      </c>
      <c r="AF2532">
        <v>0</v>
      </c>
      <c r="AG2532">
        <v>0</v>
      </c>
    </row>
    <row r="2533" spans="1:33" x14ac:dyDescent="0.2">
      <c r="A2533">
        <v>2532</v>
      </c>
      <c r="B2533" t="s">
        <v>694</v>
      </c>
      <c r="C2533" t="s">
        <v>188</v>
      </c>
      <c r="D2533">
        <v>28</v>
      </c>
      <c r="E2533" t="s">
        <v>34</v>
      </c>
      <c r="F2533" t="s">
        <v>41</v>
      </c>
      <c r="G2533" t="s">
        <v>42</v>
      </c>
      <c r="H2533">
        <v>5226</v>
      </c>
      <c r="I2533">
        <v>0</v>
      </c>
      <c r="J2533">
        <v>0</v>
      </c>
      <c r="K2533">
        <v>1</v>
      </c>
      <c r="L2533">
        <v>0</v>
      </c>
      <c r="M2533" t="s">
        <v>43</v>
      </c>
      <c r="N2533" t="s">
        <v>45</v>
      </c>
      <c r="O2533" t="s">
        <v>82</v>
      </c>
      <c r="P2533" t="s">
        <v>442</v>
      </c>
      <c r="Q2533" t="s">
        <v>46</v>
      </c>
      <c r="R2533" t="s">
        <v>48</v>
      </c>
      <c r="S2533" t="s">
        <v>65</v>
      </c>
      <c r="T2533">
        <v>0</v>
      </c>
      <c r="U2533">
        <v>1</v>
      </c>
      <c r="V2533">
        <v>1</v>
      </c>
      <c r="W2533">
        <v>0</v>
      </c>
      <c r="X2533">
        <v>1</v>
      </c>
      <c r="Y2533">
        <v>0</v>
      </c>
      <c r="Z2533">
        <v>1</v>
      </c>
      <c r="AA2533">
        <v>0</v>
      </c>
      <c r="AB2533">
        <v>1</v>
      </c>
      <c r="AC2533">
        <v>0</v>
      </c>
      <c r="AD2533">
        <v>0</v>
      </c>
      <c r="AE2533">
        <v>0</v>
      </c>
      <c r="AF2533">
        <v>0</v>
      </c>
      <c r="AG2533">
        <v>0</v>
      </c>
    </row>
    <row r="2534" spans="1:33" hidden="1" x14ac:dyDescent="0.2">
      <c r="A2534">
        <v>2533</v>
      </c>
      <c r="B2534" t="s">
        <v>694</v>
      </c>
      <c r="C2534" t="s">
        <v>188</v>
      </c>
      <c r="D2534">
        <v>28</v>
      </c>
      <c r="E2534" t="s">
        <v>34</v>
      </c>
      <c r="F2534" t="s">
        <v>53</v>
      </c>
      <c r="G2534" t="s">
        <v>66</v>
      </c>
      <c r="H2534">
        <v>2203</v>
      </c>
      <c r="I2534">
        <v>0</v>
      </c>
      <c r="J2534">
        <v>1</v>
      </c>
      <c r="K2534">
        <v>0</v>
      </c>
      <c r="L2534">
        <v>0</v>
      </c>
      <c r="M2534" t="s">
        <v>36</v>
      </c>
      <c r="N2534" t="s">
        <v>36</v>
      </c>
      <c r="O2534" t="s">
        <v>36</v>
      </c>
      <c r="P2534" t="s">
        <v>442</v>
      </c>
      <c r="Q2534" t="s">
        <v>36</v>
      </c>
      <c r="R2534" t="s">
        <v>36</v>
      </c>
      <c r="S2534" t="s">
        <v>36</v>
      </c>
      <c r="T2534" t="s">
        <v>36</v>
      </c>
      <c r="U2534">
        <v>1</v>
      </c>
      <c r="V2534">
        <v>1</v>
      </c>
      <c r="W2534">
        <v>0</v>
      </c>
      <c r="X2534">
        <v>1</v>
      </c>
      <c r="Y2534">
        <v>0</v>
      </c>
      <c r="Z2534">
        <v>1</v>
      </c>
      <c r="AA2534">
        <v>0</v>
      </c>
      <c r="AB2534">
        <v>1</v>
      </c>
      <c r="AC2534">
        <v>0</v>
      </c>
      <c r="AD2534">
        <v>0</v>
      </c>
      <c r="AE2534">
        <v>0</v>
      </c>
      <c r="AF2534">
        <v>0</v>
      </c>
      <c r="AG2534">
        <v>0</v>
      </c>
    </row>
    <row r="2535" spans="1:33" hidden="1" x14ac:dyDescent="0.2">
      <c r="A2535">
        <v>2534</v>
      </c>
      <c r="B2535" t="s">
        <v>694</v>
      </c>
      <c r="C2535" t="s">
        <v>188</v>
      </c>
      <c r="D2535">
        <v>28</v>
      </c>
      <c r="E2535" t="s">
        <v>34</v>
      </c>
      <c r="F2535" t="s">
        <v>77</v>
      </c>
      <c r="G2535" t="s">
        <v>36</v>
      </c>
      <c r="H2535">
        <v>5965</v>
      </c>
      <c r="L2535" t="s">
        <v>36</v>
      </c>
      <c r="M2535" t="s">
        <v>36</v>
      </c>
      <c r="N2535" t="s">
        <v>36</v>
      </c>
      <c r="O2535" t="s">
        <v>36</v>
      </c>
      <c r="P2535" t="s">
        <v>442</v>
      </c>
      <c r="Q2535" t="s">
        <v>36</v>
      </c>
      <c r="R2535" t="s">
        <v>36</v>
      </c>
      <c r="S2535" t="s">
        <v>36</v>
      </c>
      <c r="T2535" t="s">
        <v>36</v>
      </c>
      <c r="U2535" t="s">
        <v>36</v>
      </c>
      <c r="V2535" t="s">
        <v>36</v>
      </c>
      <c r="W2535" t="s">
        <v>36</v>
      </c>
      <c r="X2535" t="s">
        <v>36</v>
      </c>
      <c r="Y2535" t="s">
        <v>36</v>
      </c>
      <c r="Z2535" t="s">
        <v>36</v>
      </c>
      <c r="AA2535" t="s">
        <v>36</v>
      </c>
      <c r="AB2535" t="s">
        <v>36</v>
      </c>
      <c r="AC2535" t="s">
        <v>36</v>
      </c>
      <c r="AD2535" t="s">
        <v>36</v>
      </c>
      <c r="AE2535" t="s">
        <v>36</v>
      </c>
      <c r="AF2535" t="s">
        <v>36</v>
      </c>
      <c r="AG2535" t="s">
        <v>36</v>
      </c>
    </row>
    <row r="2536" spans="1:33" hidden="1" x14ac:dyDescent="0.2">
      <c r="A2536">
        <v>2535</v>
      </c>
      <c r="B2536" t="s">
        <v>695</v>
      </c>
      <c r="C2536" t="s">
        <v>188</v>
      </c>
      <c r="D2536">
        <v>44</v>
      </c>
      <c r="E2536" t="s">
        <v>114</v>
      </c>
      <c r="F2536" t="s">
        <v>35</v>
      </c>
      <c r="G2536" t="s">
        <v>36</v>
      </c>
      <c r="H2536">
        <v>44657</v>
      </c>
      <c r="I2536" t="s">
        <v>36</v>
      </c>
      <c r="J2536" t="s">
        <v>36</v>
      </c>
      <c r="K2536" t="s">
        <v>36</v>
      </c>
      <c r="L2536" t="s">
        <v>36</v>
      </c>
      <c r="M2536" t="s">
        <v>36</v>
      </c>
      <c r="N2536" t="s">
        <v>36</v>
      </c>
      <c r="O2536" t="s">
        <v>36</v>
      </c>
      <c r="P2536" t="s">
        <v>442</v>
      </c>
      <c r="Q2536" t="s">
        <v>36</v>
      </c>
      <c r="R2536" t="s">
        <v>36</v>
      </c>
      <c r="S2536" t="s">
        <v>36</v>
      </c>
      <c r="T2536" t="s">
        <v>36</v>
      </c>
      <c r="U2536" t="s">
        <v>36</v>
      </c>
      <c r="V2536" t="s">
        <v>36</v>
      </c>
      <c r="W2536" t="s">
        <v>36</v>
      </c>
      <c r="X2536" t="s">
        <v>36</v>
      </c>
      <c r="Y2536" t="s">
        <v>36</v>
      </c>
      <c r="Z2536" t="s">
        <v>36</v>
      </c>
      <c r="AA2536" t="s">
        <v>36</v>
      </c>
      <c r="AB2536" t="s">
        <v>36</v>
      </c>
      <c r="AC2536" t="s">
        <v>36</v>
      </c>
      <c r="AD2536" t="s">
        <v>36</v>
      </c>
      <c r="AE2536" t="s">
        <v>36</v>
      </c>
      <c r="AF2536" t="s">
        <v>36</v>
      </c>
      <c r="AG2536" t="s">
        <v>36</v>
      </c>
    </row>
    <row r="2537" spans="1:33" hidden="1" x14ac:dyDescent="0.2">
      <c r="A2537">
        <v>2536</v>
      </c>
      <c r="B2537" t="s">
        <v>695</v>
      </c>
      <c r="C2537" t="s">
        <v>188</v>
      </c>
      <c r="D2537">
        <v>44</v>
      </c>
      <c r="E2537" t="s">
        <v>114</v>
      </c>
      <c r="F2537" t="s">
        <v>38</v>
      </c>
      <c r="G2537" t="s">
        <v>39</v>
      </c>
      <c r="H2537">
        <v>63943</v>
      </c>
      <c r="I2537">
        <v>0</v>
      </c>
      <c r="J2537">
        <v>0</v>
      </c>
      <c r="K2537">
        <v>0</v>
      </c>
      <c r="L2537">
        <v>1</v>
      </c>
      <c r="M2537" t="s">
        <v>36</v>
      </c>
      <c r="N2537" t="s">
        <v>36</v>
      </c>
      <c r="O2537" t="s">
        <v>36</v>
      </c>
      <c r="P2537" t="s">
        <v>442</v>
      </c>
      <c r="Q2537" t="s">
        <v>36</v>
      </c>
      <c r="R2537" t="s">
        <v>36</v>
      </c>
      <c r="S2537" t="s">
        <v>36</v>
      </c>
      <c r="T2537" t="s">
        <v>36</v>
      </c>
      <c r="U2537" t="s">
        <v>36</v>
      </c>
      <c r="V2537" t="s">
        <v>36</v>
      </c>
      <c r="W2537" t="s">
        <v>36</v>
      </c>
      <c r="X2537" t="s">
        <v>36</v>
      </c>
      <c r="Y2537" t="s">
        <v>36</v>
      </c>
      <c r="Z2537" t="s">
        <v>36</v>
      </c>
      <c r="AA2537" t="s">
        <v>36</v>
      </c>
      <c r="AB2537" t="s">
        <v>36</v>
      </c>
      <c r="AC2537" t="s">
        <v>36</v>
      </c>
      <c r="AD2537" t="s">
        <v>36</v>
      </c>
      <c r="AE2537" t="s">
        <v>36</v>
      </c>
      <c r="AF2537" t="s">
        <v>36</v>
      </c>
      <c r="AG2537" t="s">
        <v>36</v>
      </c>
    </row>
    <row r="2538" spans="1:33" hidden="1" x14ac:dyDescent="0.2">
      <c r="A2538">
        <v>2537</v>
      </c>
      <c r="B2538" t="s">
        <v>695</v>
      </c>
      <c r="C2538" t="s">
        <v>188</v>
      </c>
      <c r="D2538">
        <v>44</v>
      </c>
      <c r="E2538" t="s">
        <v>114</v>
      </c>
      <c r="F2538" t="s">
        <v>38</v>
      </c>
      <c r="G2538" t="s">
        <v>40</v>
      </c>
      <c r="H2538">
        <v>102078</v>
      </c>
      <c r="I2538">
        <v>0</v>
      </c>
      <c r="J2538">
        <v>0</v>
      </c>
      <c r="K2538">
        <v>0</v>
      </c>
      <c r="L2538">
        <v>1</v>
      </c>
      <c r="M2538" t="s">
        <v>36</v>
      </c>
      <c r="N2538" t="s">
        <v>36</v>
      </c>
      <c r="O2538" t="s">
        <v>36</v>
      </c>
      <c r="P2538" t="s">
        <v>442</v>
      </c>
      <c r="Q2538" t="s">
        <v>36</v>
      </c>
      <c r="R2538" t="s">
        <v>36</v>
      </c>
      <c r="S2538" t="s">
        <v>36</v>
      </c>
      <c r="T2538" t="s">
        <v>36</v>
      </c>
      <c r="U2538" t="s">
        <v>36</v>
      </c>
      <c r="V2538" t="s">
        <v>36</v>
      </c>
      <c r="W2538" t="s">
        <v>36</v>
      </c>
      <c r="X2538" t="s">
        <v>36</v>
      </c>
      <c r="Y2538" t="s">
        <v>36</v>
      </c>
      <c r="Z2538" t="s">
        <v>36</v>
      </c>
      <c r="AA2538" t="s">
        <v>36</v>
      </c>
      <c r="AB2538" t="s">
        <v>36</v>
      </c>
      <c r="AC2538" t="s">
        <v>36</v>
      </c>
      <c r="AD2538" t="s">
        <v>36</v>
      </c>
      <c r="AE2538" t="s">
        <v>36</v>
      </c>
      <c r="AF2538" t="s">
        <v>36</v>
      </c>
      <c r="AG2538" t="s">
        <v>36</v>
      </c>
    </row>
    <row r="2539" spans="1:33" x14ac:dyDescent="0.2">
      <c r="A2539">
        <v>2538</v>
      </c>
      <c r="B2539" t="s">
        <v>695</v>
      </c>
      <c r="C2539" t="s">
        <v>188</v>
      </c>
      <c r="D2539">
        <v>44</v>
      </c>
      <c r="E2539" t="s">
        <v>114</v>
      </c>
      <c r="F2539" t="s">
        <v>41</v>
      </c>
      <c r="G2539" t="s">
        <v>49</v>
      </c>
      <c r="H2539">
        <v>93175</v>
      </c>
      <c r="I2539">
        <v>0</v>
      </c>
      <c r="J2539">
        <v>0</v>
      </c>
      <c r="K2539">
        <v>0</v>
      </c>
      <c r="L2539">
        <v>1</v>
      </c>
      <c r="M2539" t="s">
        <v>96</v>
      </c>
      <c r="N2539" t="s">
        <v>50</v>
      </c>
      <c r="O2539" t="s">
        <v>52</v>
      </c>
      <c r="P2539" t="s">
        <v>442</v>
      </c>
      <c r="Q2539" t="s">
        <v>65</v>
      </c>
      <c r="R2539" t="s">
        <v>48</v>
      </c>
      <c r="S2539" t="s">
        <v>46</v>
      </c>
      <c r="T2539">
        <v>0</v>
      </c>
      <c r="U2539">
        <v>1</v>
      </c>
      <c r="V2539">
        <v>1</v>
      </c>
      <c r="W2539">
        <v>0</v>
      </c>
      <c r="X2539">
        <v>1</v>
      </c>
      <c r="Y2539">
        <v>0</v>
      </c>
      <c r="Z2539">
        <v>1</v>
      </c>
      <c r="AA2539">
        <v>0</v>
      </c>
      <c r="AB2539">
        <v>0</v>
      </c>
      <c r="AC2539">
        <v>0</v>
      </c>
      <c r="AD2539">
        <v>0</v>
      </c>
      <c r="AE2539">
        <v>0</v>
      </c>
      <c r="AF2539">
        <v>0</v>
      </c>
      <c r="AG2539">
        <v>1</v>
      </c>
    </row>
    <row r="2540" spans="1:33" x14ac:dyDescent="0.2">
      <c r="A2540">
        <v>2539</v>
      </c>
      <c r="B2540" t="s">
        <v>695</v>
      </c>
      <c r="C2540" t="s">
        <v>188</v>
      </c>
      <c r="D2540">
        <v>44</v>
      </c>
      <c r="E2540" t="s">
        <v>114</v>
      </c>
      <c r="F2540" t="s">
        <v>41</v>
      </c>
      <c r="G2540" t="s">
        <v>42</v>
      </c>
      <c r="H2540">
        <v>67021</v>
      </c>
      <c r="I2540">
        <v>0</v>
      </c>
      <c r="J2540">
        <v>0</v>
      </c>
      <c r="K2540">
        <v>0</v>
      </c>
      <c r="L2540">
        <v>1</v>
      </c>
      <c r="M2540" t="s">
        <v>43</v>
      </c>
      <c r="N2540" t="s">
        <v>82</v>
      </c>
      <c r="O2540" t="s">
        <v>45</v>
      </c>
      <c r="P2540" t="s">
        <v>442</v>
      </c>
      <c r="Q2540" t="s">
        <v>46</v>
      </c>
      <c r="R2540" t="s">
        <v>65</v>
      </c>
      <c r="S2540" t="s">
        <v>48</v>
      </c>
      <c r="T2540">
        <v>0</v>
      </c>
      <c r="U2540">
        <v>1</v>
      </c>
      <c r="V2540">
        <v>1</v>
      </c>
      <c r="W2540">
        <v>0</v>
      </c>
      <c r="X2540">
        <v>1</v>
      </c>
      <c r="Y2540">
        <v>0</v>
      </c>
      <c r="Z2540">
        <v>1</v>
      </c>
      <c r="AA2540">
        <v>0</v>
      </c>
      <c r="AB2540">
        <v>0</v>
      </c>
      <c r="AC2540">
        <v>0</v>
      </c>
      <c r="AD2540">
        <v>0</v>
      </c>
      <c r="AE2540">
        <v>0</v>
      </c>
      <c r="AF2540">
        <v>0</v>
      </c>
      <c r="AG2540">
        <v>1</v>
      </c>
    </row>
    <row r="2541" spans="1:33" hidden="1" x14ac:dyDescent="0.2">
      <c r="A2541">
        <v>2540</v>
      </c>
      <c r="B2541" t="s">
        <v>695</v>
      </c>
      <c r="C2541" t="s">
        <v>188</v>
      </c>
      <c r="D2541">
        <v>44</v>
      </c>
      <c r="E2541" t="s">
        <v>114</v>
      </c>
      <c r="F2541" t="s">
        <v>53</v>
      </c>
      <c r="G2541" t="s">
        <v>76</v>
      </c>
      <c r="H2541">
        <v>41136</v>
      </c>
      <c r="I2541">
        <v>1</v>
      </c>
      <c r="J2541">
        <v>0</v>
      </c>
      <c r="K2541">
        <v>0</v>
      </c>
      <c r="L2541">
        <v>0</v>
      </c>
      <c r="M2541" t="s">
        <v>36</v>
      </c>
      <c r="N2541" t="s">
        <v>36</v>
      </c>
      <c r="O2541" t="s">
        <v>36</v>
      </c>
      <c r="P2541" t="s">
        <v>442</v>
      </c>
      <c r="Q2541" t="s">
        <v>36</v>
      </c>
      <c r="R2541" t="s">
        <v>36</v>
      </c>
      <c r="S2541" t="s">
        <v>36</v>
      </c>
      <c r="T2541" t="s">
        <v>36</v>
      </c>
      <c r="U2541">
        <v>1</v>
      </c>
      <c r="V2541">
        <v>1</v>
      </c>
      <c r="W2541">
        <v>0</v>
      </c>
      <c r="X2541">
        <v>1</v>
      </c>
      <c r="Y2541">
        <v>0</v>
      </c>
      <c r="Z2541">
        <v>1</v>
      </c>
      <c r="AA2541">
        <v>0</v>
      </c>
      <c r="AB2541">
        <v>0</v>
      </c>
      <c r="AC2541">
        <v>0</v>
      </c>
      <c r="AD2541">
        <v>0</v>
      </c>
      <c r="AE2541">
        <v>0</v>
      </c>
      <c r="AF2541">
        <v>0</v>
      </c>
      <c r="AG2541">
        <v>1</v>
      </c>
    </row>
    <row r="2542" spans="1:33" x14ac:dyDescent="0.2">
      <c r="A2542">
        <v>2541</v>
      </c>
      <c r="B2542" t="s">
        <v>695</v>
      </c>
      <c r="C2542" t="s">
        <v>188</v>
      </c>
      <c r="D2542">
        <v>44</v>
      </c>
      <c r="E2542" t="s">
        <v>114</v>
      </c>
      <c r="F2542" t="s">
        <v>41</v>
      </c>
      <c r="G2542" t="s">
        <v>67</v>
      </c>
      <c r="H2542">
        <v>98068</v>
      </c>
      <c r="I2542">
        <v>0</v>
      </c>
      <c r="J2542">
        <v>0</v>
      </c>
      <c r="K2542">
        <v>0</v>
      </c>
      <c r="L2542">
        <v>1</v>
      </c>
      <c r="M2542" t="s">
        <v>68</v>
      </c>
      <c r="N2542" t="s">
        <v>109</v>
      </c>
      <c r="O2542" t="s">
        <v>70</v>
      </c>
      <c r="P2542" t="s">
        <v>442</v>
      </c>
      <c r="Q2542" t="s">
        <v>65</v>
      </c>
      <c r="R2542" t="s">
        <v>59</v>
      </c>
      <c r="S2542" t="s">
        <v>47</v>
      </c>
      <c r="T2542">
        <v>0</v>
      </c>
      <c r="U2542">
        <v>1</v>
      </c>
      <c r="V2542">
        <v>0</v>
      </c>
      <c r="W2542">
        <v>1</v>
      </c>
      <c r="X2542">
        <v>0</v>
      </c>
      <c r="Y2542">
        <v>0</v>
      </c>
      <c r="Z2542">
        <v>1</v>
      </c>
      <c r="AA2542">
        <v>0</v>
      </c>
      <c r="AB2542">
        <v>0</v>
      </c>
      <c r="AC2542">
        <v>0</v>
      </c>
      <c r="AD2542">
        <v>0</v>
      </c>
      <c r="AE2542">
        <v>0</v>
      </c>
      <c r="AF2542">
        <v>0</v>
      </c>
      <c r="AG2542">
        <v>1</v>
      </c>
    </row>
    <row r="2543" spans="1:33" hidden="1" x14ac:dyDescent="0.2">
      <c r="A2543">
        <v>2542</v>
      </c>
      <c r="B2543" t="s">
        <v>695</v>
      </c>
      <c r="C2543" t="s">
        <v>188</v>
      </c>
      <c r="D2543">
        <v>44</v>
      </c>
      <c r="E2543" t="s">
        <v>114</v>
      </c>
      <c r="F2543" t="s">
        <v>53</v>
      </c>
      <c r="G2543" t="s">
        <v>54</v>
      </c>
      <c r="H2543">
        <v>67003</v>
      </c>
      <c r="I2543">
        <v>0</v>
      </c>
      <c r="J2543">
        <v>0</v>
      </c>
      <c r="K2543">
        <v>1</v>
      </c>
      <c r="L2543">
        <v>0</v>
      </c>
      <c r="M2543" t="s">
        <v>36</v>
      </c>
      <c r="N2543" t="s">
        <v>36</v>
      </c>
      <c r="O2543" t="s">
        <v>36</v>
      </c>
      <c r="P2543" t="s">
        <v>442</v>
      </c>
      <c r="Q2543" t="s">
        <v>36</v>
      </c>
      <c r="R2543" t="s">
        <v>36</v>
      </c>
      <c r="S2543" t="s">
        <v>36</v>
      </c>
      <c r="T2543" t="s">
        <v>36</v>
      </c>
      <c r="U2543">
        <v>1</v>
      </c>
      <c r="V2543">
        <v>0</v>
      </c>
      <c r="W2543">
        <v>1</v>
      </c>
      <c r="X2543">
        <v>0</v>
      </c>
      <c r="Y2543">
        <v>0</v>
      </c>
      <c r="Z2543">
        <v>1</v>
      </c>
      <c r="AA2543">
        <v>0</v>
      </c>
      <c r="AB2543">
        <v>0</v>
      </c>
      <c r="AC2543">
        <v>0</v>
      </c>
      <c r="AD2543">
        <v>0</v>
      </c>
      <c r="AE2543">
        <v>0</v>
      </c>
      <c r="AF2543">
        <v>0</v>
      </c>
      <c r="AG2543">
        <v>1</v>
      </c>
    </row>
    <row r="2544" spans="1:33" x14ac:dyDescent="0.2">
      <c r="A2544">
        <v>2543</v>
      </c>
      <c r="B2544" t="s">
        <v>695</v>
      </c>
      <c r="C2544" t="s">
        <v>188</v>
      </c>
      <c r="D2544">
        <v>44</v>
      </c>
      <c r="E2544" t="s">
        <v>114</v>
      </c>
      <c r="F2544" t="s">
        <v>41</v>
      </c>
      <c r="G2544" t="s">
        <v>72</v>
      </c>
      <c r="H2544">
        <v>21467</v>
      </c>
      <c r="I2544">
        <v>0</v>
      </c>
      <c r="J2544">
        <v>0</v>
      </c>
      <c r="K2544">
        <v>0</v>
      </c>
      <c r="L2544">
        <v>1</v>
      </c>
      <c r="M2544" t="s">
        <v>75</v>
      </c>
      <c r="N2544" t="s">
        <v>74</v>
      </c>
      <c r="O2544" t="s">
        <v>104</v>
      </c>
      <c r="P2544" t="s">
        <v>442</v>
      </c>
      <c r="Q2544" t="s">
        <v>46</v>
      </c>
      <c r="R2544" t="s">
        <v>47</v>
      </c>
      <c r="S2544" t="s">
        <v>60</v>
      </c>
      <c r="T2544">
        <v>1</v>
      </c>
      <c r="U2544">
        <v>0</v>
      </c>
      <c r="V2544">
        <v>0</v>
      </c>
      <c r="W2544">
        <v>1</v>
      </c>
      <c r="X2544">
        <v>1</v>
      </c>
      <c r="Y2544">
        <v>0</v>
      </c>
      <c r="Z2544">
        <v>1</v>
      </c>
      <c r="AA2544">
        <v>0</v>
      </c>
      <c r="AB2544">
        <v>0</v>
      </c>
      <c r="AC2544">
        <v>0</v>
      </c>
      <c r="AD2544">
        <v>0</v>
      </c>
      <c r="AE2544">
        <v>0</v>
      </c>
      <c r="AF2544">
        <v>0</v>
      </c>
      <c r="AG2544">
        <v>1</v>
      </c>
    </row>
    <row r="2545" spans="1:33" x14ac:dyDescent="0.2">
      <c r="A2545">
        <v>2544</v>
      </c>
      <c r="B2545" t="s">
        <v>695</v>
      </c>
      <c r="C2545" t="s">
        <v>188</v>
      </c>
      <c r="D2545">
        <v>44</v>
      </c>
      <c r="E2545" t="s">
        <v>114</v>
      </c>
      <c r="F2545" t="s">
        <v>41</v>
      </c>
      <c r="G2545" t="s">
        <v>55</v>
      </c>
      <c r="H2545">
        <v>23856</v>
      </c>
      <c r="I2545">
        <v>0</v>
      </c>
      <c r="J2545">
        <v>0</v>
      </c>
      <c r="K2545">
        <v>0</v>
      </c>
      <c r="L2545">
        <v>1</v>
      </c>
      <c r="M2545" t="s">
        <v>56</v>
      </c>
      <c r="N2545" t="s">
        <v>84</v>
      </c>
      <c r="O2545" t="s">
        <v>94</v>
      </c>
      <c r="P2545" t="s">
        <v>442</v>
      </c>
      <c r="Q2545" t="s">
        <v>59</v>
      </c>
      <c r="R2545" t="s">
        <v>46</v>
      </c>
      <c r="S2545" t="s">
        <v>47</v>
      </c>
      <c r="T2545">
        <v>0</v>
      </c>
      <c r="U2545">
        <v>0</v>
      </c>
      <c r="V2545">
        <v>0</v>
      </c>
      <c r="W2545">
        <v>1</v>
      </c>
      <c r="X2545">
        <v>1</v>
      </c>
      <c r="Y2545">
        <v>0</v>
      </c>
      <c r="Z2545">
        <v>1</v>
      </c>
      <c r="AA2545">
        <v>0</v>
      </c>
      <c r="AB2545">
        <v>0</v>
      </c>
      <c r="AC2545">
        <v>0</v>
      </c>
      <c r="AD2545">
        <v>0</v>
      </c>
      <c r="AE2545">
        <v>0</v>
      </c>
      <c r="AF2545">
        <v>0</v>
      </c>
      <c r="AG2545">
        <v>1</v>
      </c>
    </row>
    <row r="2546" spans="1:33" hidden="1" x14ac:dyDescent="0.2">
      <c r="A2546">
        <v>2545</v>
      </c>
      <c r="B2546" t="s">
        <v>695</v>
      </c>
      <c r="C2546" t="s">
        <v>188</v>
      </c>
      <c r="D2546">
        <v>44</v>
      </c>
      <c r="E2546" t="s">
        <v>114</v>
      </c>
      <c r="F2546" t="s">
        <v>53</v>
      </c>
      <c r="G2546" t="s">
        <v>66</v>
      </c>
      <c r="H2546">
        <v>30954</v>
      </c>
      <c r="I2546">
        <v>1</v>
      </c>
      <c r="J2546">
        <v>0</v>
      </c>
      <c r="K2546">
        <v>0</v>
      </c>
      <c r="L2546">
        <v>0</v>
      </c>
      <c r="M2546" t="s">
        <v>36</v>
      </c>
      <c r="N2546" t="s">
        <v>36</v>
      </c>
      <c r="O2546" t="s">
        <v>36</v>
      </c>
      <c r="P2546" t="s">
        <v>442</v>
      </c>
      <c r="Q2546" t="s">
        <v>36</v>
      </c>
      <c r="R2546" t="s">
        <v>36</v>
      </c>
      <c r="S2546" t="s">
        <v>36</v>
      </c>
      <c r="T2546" t="s">
        <v>36</v>
      </c>
      <c r="U2546">
        <v>0</v>
      </c>
      <c r="V2546">
        <v>0</v>
      </c>
      <c r="W2546">
        <v>1</v>
      </c>
      <c r="X2546">
        <v>1</v>
      </c>
      <c r="Y2546">
        <v>0</v>
      </c>
      <c r="Z2546">
        <v>1</v>
      </c>
      <c r="AA2546">
        <v>0</v>
      </c>
      <c r="AB2546">
        <v>0</v>
      </c>
      <c r="AC2546">
        <v>0</v>
      </c>
      <c r="AD2546">
        <v>0</v>
      </c>
      <c r="AE2546">
        <v>0</v>
      </c>
      <c r="AF2546">
        <v>0</v>
      </c>
      <c r="AG2546">
        <v>1</v>
      </c>
    </row>
    <row r="2547" spans="1:33" x14ac:dyDescent="0.2">
      <c r="A2547">
        <v>2546</v>
      </c>
      <c r="B2547" t="s">
        <v>695</v>
      </c>
      <c r="C2547" t="s">
        <v>188</v>
      </c>
      <c r="D2547">
        <v>44</v>
      </c>
      <c r="E2547" t="s">
        <v>114</v>
      </c>
      <c r="F2547" t="s">
        <v>41</v>
      </c>
      <c r="G2547" t="s">
        <v>61</v>
      </c>
      <c r="H2547">
        <v>20441</v>
      </c>
      <c r="I2547">
        <v>0</v>
      </c>
      <c r="J2547">
        <v>0</v>
      </c>
      <c r="K2547">
        <v>0</v>
      </c>
      <c r="L2547">
        <v>1</v>
      </c>
      <c r="M2547" t="s">
        <v>97</v>
      </c>
      <c r="N2547" t="s">
        <v>63</v>
      </c>
      <c r="O2547" t="s">
        <v>64</v>
      </c>
      <c r="P2547" t="s">
        <v>442</v>
      </c>
      <c r="Q2547" t="s">
        <v>59</v>
      </c>
      <c r="R2547" t="s">
        <v>46</v>
      </c>
      <c r="S2547" t="s">
        <v>48</v>
      </c>
      <c r="T2547">
        <v>0</v>
      </c>
      <c r="U2547">
        <v>0</v>
      </c>
      <c r="V2547">
        <v>1</v>
      </c>
      <c r="W2547">
        <v>0</v>
      </c>
      <c r="X2547">
        <v>1</v>
      </c>
      <c r="Y2547">
        <v>0</v>
      </c>
      <c r="Z2547">
        <v>1</v>
      </c>
      <c r="AA2547">
        <v>0</v>
      </c>
      <c r="AB2547">
        <v>0</v>
      </c>
      <c r="AC2547">
        <v>0</v>
      </c>
      <c r="AD2547">
        <v>0</v>
      </c>
      <c r="AE2547">
        <v>0</v>
      </c>
      <c r="AF2547">
        <v>0</v>
      </c>
      <c r="AG2547">
        <v>1</v>
      </c>
    </row>
    <row r="2548" spans="1:33" hidden="1" x14ac:dyDescent="0.2">
      <c r="A2548">
        <v>2547</v>
      </c>
      <c r="B2548" t="s">
        <v>695</v>
      </c>
      <c r="C2548" t="s">
        <v>188</v>
      </c>
      <c r="D2548">
        <v>44</v>
      </c>
      <c r="E2548" t="s">
        <v>114</v>
      </c>
      <c r="F2548" t="s">
        <v>53</v>
      </c>
      <c r="G2548" t="s">
        <v>71</v>
      </c>
      <c r="H2548">
        <v>47466</v>
      </c>
      <c r="I2548">
        <v>0</v>
      </c>
      <c r="J2548">
        <v>0</v>
      </c>
      <c r="K2548">
        <v>0</v>
      </c>
      <c r="L2548">
        <v>1</v>
      </c>
      <c r="M2548" t="s">
        <v>36</v>
      </c>
      <c r="N2548" t="s">
        <v>36</v>
      </c>
      <c r="O2548" t="s">
        <v>36</v>
      </c>
      <c r="P2548" t="s">
        <v>442</v>
      </c>
      <c r="Q2548" t="s">
        <v>36</v>
      </c>
      <c r="R2548" t="s">
        <v>36</v>
      </c>
      <c r="S2548" t="s">
        <v>36</v>
      </c>
      <c r="T2548" t="s">
        <v>36</v>
      </c>
      <c r="U2548">
        <v>0</v>
      </c>
      <c r="V2548">
        <v>1</v>
      </c>
      <c r="W2548">
        <v>0</v>
      </c>
      <c r="X2548">
        <v>1</v>
      </c>
      <c r="Y2548">
        <v>0</v>
      </c>
      <c r="Z2548">
        <v>1</v>
      </c>
      <c r="AA2548">
        <v>0</v>
      </c>
      <c r="AB2548">
        <v>0</v>
      </c>
      <c r="AC2548">
        <v>0</v>
      </c>
      <c r="AD2548">
        <v>0</v>
      </c>
      <c r="AE2548">
        <v>0</v>
      </c>
      <c r="AF2548">
        <v>0</v>
      </c>
      <c r="AG2548">
        <v>1</v>
      </c>
    </row>
    <row r="2549" spans="1:33" hidden="1" x14ac:dyDescent="0.2">
      <c r="A2549">
        <v>2548</v>
      </c>
      <c r="B2549" t="s">
        <v>695</v>
      </c>
      <c r="C2549" t="s">
        <v>188</v>
      </c>
      <c r="D2549">
        <v>44</v>
      </c>
      <c r="E2549" t="s">
        <v>114</v>
      </c>
      <c r="F2549" t="s">
        <v>77</v>
      </c>
      <c r="G2549" t="s">
        <v>36</v>
      </c>
      <c r="H2549">
        <v>583555</v>
      </c>
      <c r="I2549" t="s">
        <v>696</v>
      </c>
      <c r="J2549" t="s">
        <v>697</v>
      </c>
      <c r="K2549" t="s">
        <v>698</v>
      </c>
      <c r="L2549" t="s">
        <v>36</v>
      </c>
      <c r="M2549" t="s">
        <v>36</v>
      </c>
      <c r="N2549" t="s">
        <v>36</v>
      </c>
      <c r="O2549" t="s">
        <v>36</v>
      </c>
      <c r="P2549" t="s">
        <v>442</v>
      </c>
      <c r="Q2549" t="s">
        <v>36</v>
      </c>
      <c r="R2549" t="s">
        <v>36</v>
      </c>
      <c r="S2549" t="s">
        <v>36</v>
      </c>
      <c r="T2549" t="s">
        <v>36</v>
      </c>
      <c r="U2549" t="s">
        <v>36</v>
      </c>
      <c r="V2549" t="s">
        <v>36</v>
      </c>
      <c r="W2549" t="s">
        <v>36</v>
      </c>
      <c r="X2549" t="s">
        <v>36</v>
      </c>
      <c r="Y2549" t="s">
        <v>36</v>
      </c>
      <c r="Z2549" t="s">
        <v>36</v>
      </c>
      <c r="AA2549" t="s">
        <v>36</v>
      </c>
      <c r="AB2549" t="s">
        <v>36</v>
      </c>
      <c r="AC2549" t="s">
        <v>36</v>
      </c>
      <c r="AD2549" t="s">
        <v>36</v>
      </c>
      <c r="AE2549" t="s">
        <v>36</v>
      </c>
      <c r="AF2549" t="s">
        <v>36</v>
      </c>
      <c r="AG2549" t="s">
        <v>36</v>
      </c>
    </row>
    <row r="2550" spans="1:33" hidden="1" x14ac:dyDescent="0.2">
      <c r="A2550">
        <v>2549</v>
      </c>
      <c r="B2550" t="s">
        <v>699</v>
      </c>
      <c r="C2550" t="s">
        <v>108</v>
      </c>
      <c r="D2550">
        <v>56</v>
      </c>
      <c r="E2550" t="s">
        <v>34</v>
      </c>
      <c r="F2550" t="s">
        <v>35</v>
      </c>
      <c r="G2550" t="s">
        <v>36</v>
      </c>
      <c r="H2550">
        <v>24100</v>
      </c>
      <c r="I2550" t="s">
        <v>36</v>
      </c>
      <c r="J2550" t="s">
        <v>36</v>
      </c>
      <c r="K2550" t="s">
        <v>36</v>
      </c>
      <c r="L2550" t="s">
        <v>36</v>
      </c>
      <c r="M2550" t="s">
        <v>36</v>
      </c>
      <c r="N2550" t="s">
        <v>36</v>
      </c>
      <c r="O2550" t="s">
        <v>36</v>
      </c>
      <c r="P2550" t="s">
        <v>442</v>
      </c>
      <c r="Q2550" t="s">
        <v>36</v>
      </c>
      <c r="R2550" t="s">
        <v>36</v>
      </c>
      <c r="S2550" t="s">
        <v>36</v>
      </c>
      <c r="T2550" t="s">
        <v>36</v>
      </c>
      <c r="U2550" t="s">
        <v>36</v>
      </c>
      <c r="V2550" t="s">
        <v>36</v>
      </c>
      <c r="W2550" t="s">
        <v>36</v>
      </c>
      <c r="X2550" t="s">
        <v>36</v>
      </c>
      <c r="Y2550" t="s">
        <v>36</v>
      </c>
      <c r="Z2550" t="s">
        <v>36</v>
      </c>
      <c r="AA2550" t="s">
        <v>36</v>
      </c>
      <c r="AB2550" t="s">
        <v>36</v>
      </c>
      <c r="AC2550" t="s">
        <v>36</v>
      </c>
      <c r="AD2550" t="s">
        <v>36</v>
      </c>
      <c r="AE2550" t="s">
        <v>36</v>
      </c>
      <c r="AF2550" t="s">
        <v>36</v>
      </c>
      <c r="AG2550" t="s">
        <v>36</v>
      </c>
    </row>
    <row r="2551" spans="1:33" hidden="1" x14ac:dyDescent="0.2">
      <c r="A2551">
        <v>2550</v>
      </c>
      <c r="B2551" t="s">
        <v>699</v>
      </c>
      <c r="C2551" t="s">
        <v>108</v>
      </c>
      <c r="D2551">
        <v>56</v>
      </c>
      <c r="E2551" t="s">
        <v>34</v>
      </c>
      <c r="F2551" t="s">
        <v>38</v>
      </c>
      <c r="G2551" t="s">
        <v>39</v>
      </c>
      <c r="H2551">
        <v>23818</v>
      </c>
      <c r="I2551">
        <v>0</v>
      </c>
      <c r="J2551">
        <v>0</v>
      </c>
      <c r="K2551">
        <v>0</v>
      </c>
      <c r="L2551">
        <v>1</v>
      </c>
      <c r="M2551" t="s">
        <v>36</v>
      </c>
      <c r="N2551" t="s">
        <v>36</v>
      </c>
      <c r="O2551" t="s">
        <v>36</v>
      </c>
      <c r="P2551" t="s">
        <v>442</v>
      </c>
      <c r="Q2551" t="s">
        <v>36</v>
      </c>
      <c r="R2551" t="s">
        <v>36</v>
      </c>
      <c r="S2551" t="s">
        <v>36</v>
      </c>
      <c r="T2551" t="s">
        <v>36</v>
      </c>
      <c r="U2551" t="s">
        <v>36</v>
      </c>
      <c r="V2551" t="s">
        <v>36</v>
      </c>
      <c r="W2551" t="s">
        <v>36</v>
      </c>
      <c r="X2551" t="s">
        <v>36</v>
      </c>
      <c r="Y2551" t="s">
        <v>36</v>
      </c>
      <c r="Z2551" t="s">
        <v>36</v>
      </c>
      <c r="AA2551" t="s">
        <v>36</v>
      </c>
      <c r="AB2551" t="s">
        <v>36</v>
      </c>
      <c r="AC2551" t="s">
        <v>36</v>
      </c>
      <c r="AD2551" t="s">
        <v>36</v>
      </c>
      <c r="AE2551" t="s">
        <v>36</v>
      </c>
      <c r="AF2551" t="s">
        <v>36</v>
      </c>
      <c r="AG2551" t="s">
        <v>36</v>
      </c>
    </row>
    <row r="2552" spans="1:33" hidden="1" x14ac:dyDescent="0.2">
      <c r="A2552">
        <v>2551</v>
      </c>
      <c r="B2552" t="s">
        <v>699</v>
      </c>
      <c r="C2552" t="s">
        <v>108</v>
      </c>
      <c r="D2552">
        <v>56</v>
      </c>
      <c r="E2552" t="s">
        <v>34</v>
      </c>
      <c r="F2552" t="s">
        <v>38</v>
      </c>
      <c r="G2552" t="s">
        <v>40</v>
      </c>
      <c r="H2552">
        <v>30059</v>
      </c>
      <c r="I2552">
        <v>0</v>
      </c>
      <c r="J2552">
        <v>0</v>
      </c>
      <c r="K2552">
        <v>1</v>
      </c>
      <c r="L2552">
        <v>0</v>
      </c>
      <c r="M2552" t="s">
        <v>36</v>
      </c>
      <c r="N2552" t="s">
        <v>36</v>
      </c>
      <c r="O2552" t="s">
        <v>36</v>
      </c>
      <c r="P2552" t="s">
        <v>442</v>
      </c>
      <c r="Q2552" t="s">
        <v>36</v>
      </c>
      <c r="R2552" t="s">
        <v>36</v>
      </c>
      <c r="S2552" t="s">
        <v>36</v>
      </c>
      <c r="T2552" t="s">
        <v>36</v>
      </c>
      <c r="U2552" t="s">
        <v>36</v>
      </c>
      <c r="V2552" t="s">
        <v>36</v>
      </c>
      <c r="W2552" t="s">
        <v>36</v>
      </c>
      <c r="X2552" t="s">
        <v>36</v>
      </c>
      <c r="Y2552" t="s">
        <v>36</v>
      </c>
      <c r="Z2552" t="s">
        <v>36</v>
      </c>
      <c r="AA2552" t="s">
        <v>36</v>
      </c>
      <c r="AB2552" t="s">
        <v>36</v>
      </c>
      <c r="AC2552" t="s">
        <v>36</v>
      </c>
      <c r="AD2552" t="s">
        <v>36</v>
      </c>
      <c r="AE2552" t="s">
        <v>36</v>
      </c>
      <c r="AF2552" t="s">
        <v>36</v>
      </c>
      <c r="AG2552" t="s">
        <v>36</v>
      </c>
    </row>
    <row r="2553" spans="1:33" x14ac:dyDescent="0.2">
      <c r="A2553">
        <v>2552</v>
      </c>
      <c r="B2553" t="s">
        <v>699</v>
      </c>
      <c r="C2553" t="s">
        <v>108</v>
      </c>
      <c r="D2553">
        <v>56</v>
      </c>
      <c r="E2553" t="s">
        <v>34</v>
      </c>
      <c r="F2553" t="s">
        <v>41</v>
      </c>
      <c r="G2553" t="s">
        <v>72</v>
      </c>
      <c r="H2553">
        <v>66628</v>
      </c>
      <c r="I2553">
        <v>0</v>
      </c>
      <c r="J2553">
        <v>0</v>
      </c>
      <c r="K2553">
        <v>0</v>
      </c>
      <c r="L2553">
        <v>1</v>
      </c>
      <c r="M2553" t="s">
        <v>73</v>
      </c>
      <c r="N2553" t="s">
        <v>75</v>
      </c>
      <c r="O2553" t="s">
        <v>104</v>
      </c>
      <c r="P2553" t="s">
        <v>442</v>
      </c>
      <c r="Q2553" t="s">
        <v>48</v>
      </c>
      <c r="R2553" t="s">
        <v>46</v>
      </c>
      <c r="S2553" t="s">
        <v>60</v>
      </c>
      <c r="T2553">
        <v>1</v>
      </c>
      <c r="U2553">
        <v>0</v>
      </c>
      <c r="V2553">
        <v>1</v>
      </c>
      <c r="W2553">
        <v>0</v>
      </c>
      <c r="X2553">
        <v>1</v>
      </c>
      <c r="Y2553">
        <v>0</v>
      </c>
      <c r="Z2553">
        <v>1</v>
      </c>
      <c r="AA2553">
        <v>0</v>
      </c>
      <c r="AB2553">
        <v>0</v>
      </c>
      <c r="AC2553">
        <v>0</v>
      </c>
      <c r="AD2553">
        <v>0</v>
      </c>
      <c r="AE2553">
        <v>0</v>
      </c>
      <c r="AF2553">
        <v>0</v>
      </c>
      <c r="AG2553">
        <v>1</v>
      </c>
    </row>
    <row r="2554" spans="1:33" x14ac:dyDescent="0.2">
      <c r="A2554">
        <v>2553</v>
      </c>
      <c r="B2554" t="s">
        <v>699</v>
      </c>
      <c r="C2554" t="s">
        <v>108</v>
      </c>
      <c r="D2554">
        <v>56</v>
      </c>
      <c r="E2554" t="s">
        <v>34</v>
      </c>
      <c r="F2554" t="s">
        <v>41</v>
      </c>
      <c r="G2554" t="s">
        <v>49</v>
      </c>
      <c r="H2554">
        <v>17871</v>
      </c>
      <c r="I2554">
        <v>0</v>
      </c>
      <c r="J2554">
        <v>0</v>
      </c>
      <c r="K2554">
        <v>0</v>
      </c>
      <c r="L2554">
        <v>1</v>
      </c>
      <c r="M2554" t="s">
        <v>50</v>
      </c>
      <c r="N2554" t="s">
        <v>51</v>
      </c>
      <c r="O2554" t="s">
        <v>52</v>
      </c>
      <c r="P2554" t="s">
        <v>442</v>
      </c>
      <c r="Q2554" t="s">
        <v>48</v>
      </c>
      <c r="R2554" t="s">
        <v>47</v>
      </c>
      <c r="S2554" t="s">
        <v>46</v>
      </c>
      <c r="T2554">
        <v>0</v>
      </c>
      <c r="U2554">
        <v>0</v>
      </c>
      <c r="V2554">
        <v>1</v>
      </c>
      <c r="W2554">
        <v>1</v>
      </c>
      <c r="X2554">
        <v>1</v>
      </c>
      <c r="Y2554">
        <v>0</v>
      </c>
      <c r="Z2554">
        <v>1</v>
      </c>
      <c r="AA2554">
        <v>0</v>
      </c>
      <c r="AB2554">
        <v>0</v>
      </c>
      <c r="AC2554">
        <v>0</v>
      </c>
      <c r="AD2554">
        <v>0</v>
      </c>
      <c r="AE2554">
        <v>0</v>
      </c>
      <c r="AF2554">
        <v>0</v>
      </c>
      <c r="AG2554">
        <v>1</v>
      </c>
    </row>
    <row r="2555" spans="1:33" hidden="1" x14ac:dyDescent="0.2">
      <c r="A2555">
        <v>2554</v>
      </c>
      <c r="B2555" t="s">
        <v>699</v>
      </c>
      <c r="C2555" t="s">
        <v>108</v>
      </c>
      <c r="D2555">
        <v>56</v>
      </c>
      <c r="E2555" t="s">
        <v>34</v>
      </c>
      <c r="F2555" t="s">
        <v>53</v>
      </c>
      <c r="G2555" t="s">
        <v>54</v>
      </c>
      <c r="H2555">
        <v>21136</v>
      </c>
      <c r="I2555">
        <v>0</v>
      </c>
      <c r="J2555">
        <v>0</v>
      </c>
      <c r="K2555">
        <v>1</v>
      </c>
      <c r="L2555">
        <v>0</v>
      </c>
      <c r="M2555" t="s">
        <v>36</v>
      </c>
      <c r="N2555" t="s">
        <v>36</v>
      </c>
      <c r="O2555" t="s">
        <v>36</v>
      </c>
      <c r="P2555" t="s">
        <v>442</v>
      </c>
      <c r="Q2555" t="s">
        <v>36</v>
      </c>
      <c r="R2555" t="s">
        <v>36</v>
      </c>
      <c r="S2555" t="s">
        <v>36</v>
      </c>
      <c r="T2555" t="s">
        <v>36</v>
      </c>
      <c r="U2555">
        <v>0</v>
      </c>
      <c r="V2555">
        <v>1</v>
      </c>
      <c r="W2555">
        <v>1</v>
      </c>
      <c r="X2555">
        <v>1</v>
      </c>
      <c r="Y2555">
        <v>0</v>
      </c>
      <c r="Z2555">
        <v>1</v>
      </c>
      <c r="AA2555">
        <v>0</v>
      </c>
      <c r="AB2555">
        <v>0</v>
      </c>
      <c r="AC2555">
        <v>0</v>
      </c>
      <c r="AD2555">
        <v>0</v>
      </c>
      <c r="AE2555">
        <v>0</v>
      </c>
      <c r="AF2555">
        <v>0</v>
      </c>
      <c r="AG2555">
        <v>1</v>
      </c>
    </row>
    <row r="2556" spans="1:33" x14ac:dyDescent="0.2">
      <c r="A2556">
        <v>2555</v>
      </c>
      <c r="B2556" t="s">
        <v>699</v>
      </c>
      <c r="C2556" t="s">
        <v>108</v>
      </c>
      <c r="D2556">
        <v>56</v>
      </c>
      <c r="E2556" t="s">
        <v>34</v>
      </c>
      <c r="F2556" t="s">
        <v>41</v>
      </c>
      <c r="G2556" t="s">
        <v>55</v>
      </c>
      <c r="H2556">
        <v>14226</v>
      </c>
      <c r="I2556">
        <v>0</v>
      </c>
      <c r="J2556">
        <v>0</v>
      </c>
      <c r="K2556">
        <v>1</v>
      </c>
      <c r="L2556">
        <v>0</v>
      </c>
      <c r="M2556" t="s">
        <v>85</v>
      </c>
      <c r="N2556" t="s">
        <v>57</v>
      </c>
      <c r="O2556" t="s">
        <v>94</v>
      </c>
      <c r="P2556" t="s">
        <v>442</v>
      </c>
      <c r="Q2556" t="s">
        <v>65</v>
      </c>
      <c r="R2556" t="s">
        <v>48</v>
      </c>
      <c r="S2556" t="s">
        <v>47</v>
      </c>
      <c r="T2556">
        <v>0</v>
      </c>
      <c r="U2556">
        <v>1</v>
      </c>
      <c r="V2556">
        <v>1</v>
      </c>
      <c r="W2556">
        <v>1</v>
      </c>
      <c r="X2556">
        <v>0</v>
      </c>
      <c r="Y2556">
        <v>0</v>
      </c>
      <c r="Z2556">
        <v>1</v>
      </c>
      <c r="AA2556">
        <v>0</v>
      </c>
      <c r="AB2556">
        <v>0</v>
      </c>
      <c r="AC2556">
        <v>0</v>
      </c>
      <c r="AD2556">
        <v>1</v>
      </c>
      <c r="AE2556">
        <v>0</v>
      </c>
      <c r="AF2556">
        <v>0</v>
      </c>
      <c r="AG2556">
        <v>0</v>
      </c>
    </row>
    <row r="2557" spans="1:33" x14ac:dyDescent="0.2">
      <c r="A2557">
        <v>2556</v>
      </c>
      <c r="B2557" t="s">
        <v>699</v>
      </c>
      <c r="C2557" t="s">
        <v>108</v>
      </c>
      <c r="D2557">
        <v>56</v>
      </c>
      <c r="E2557" t="s">
        <v>34</v>
      </c>
      <c r="F2557" t="s">
        <v>41</v>
      </c>
      <c r="G2557" t="s">
        <v>67</v>
      </c>
      <c r="H2557">
        <v>14519</v>
      </c>
      <c r="I2557">
        <v>0</v>
      </c>
      <c r="J2557">
        <v>0</v>
      </c>
      <c r="K2557">
        <v>0</v>
      </c>
      <c r="L2557">
        <v>1</v>
      </c>
      <c r="M2557" t="s">
        <v>70</v>
      </c>
      <c r="N2557" t="s">
        <v>86</v>
      </c>
      <c r="O2557" t="s">
        <v>69</v>
      </c>
      <c r="P2557" t="s">
        <v>442</v>
      </c>
      <c r="Q2557" t="s">
        <v>47</v>
      </c>
      <c r="R2557" t="s">
        <v>46</v>
      </c>
      <c r="S2557" t="s">
        <v>48</v>
      </c>
      <c r="T2557">
        <v>0</v>
      </c>
      <c r="U2557">
        <v>0</v>
      </c>
      <c r="V2557">
        <v>1</v>
      </c>
      <c r="W2557">
        <v>1</v>
      </c>
      <c r="X2557">
        <v>1</v>
      </c>
      <c r="Y2557">
        <v>0</v>
      </c>
      <c r="Z2557">
        <v>1</v>
      </c>
      <c r="AA2557">
        <v>0</v>
      </c>
      <c r="AB2557">
        <v>0</v>
      </c>
      <c r="AC2557">
        <v>0</v>
      </c>
      <c r="AD2557">
        <v>0</v>
      </c>
      <c r="AE2557">
        <v>0</v>
      </c>
      <c r="AF2557">
        <v>0</v>
      </c>
      <c r="AG2557">
        <v>1</v>
      </c>
    </row>
    <row r="2558" spans="1:33" hidden="1" x14ac:dyDescent="0.2">
      <c r="A2558">
        <v>2557</v>
      </c>
      <c r="B2558" t="s">
        <v>699</v>
      </c>
      <c r="C2558" t="s">
        <v>108</v>
      </c>
      <c r="D2558">
        <v>56</v>
      </c>
      <c r="E2558" t="s">
        <v>34</v>
      </c>
      <c r="F2558" t="s">
        <v>53</v>
      </c>
      <c r="G2558" t="s">
        <v>66</v>
      </c>
      <c r="H2558">
        <v>22173</v>
      </c>
      <c r="I2558">
        <v>1</v>
      </c>
      <c r="J2558">
        <v>0</v>
      </c>
      <c r="K2558">
        <v>0</v>
      </c>
      <c r="L2558">
        <v>0</v>
      </c>
      <c r="M2558" t="s">
        <v>36</v>
      </c>
      <c r="N2558" t="s">
        <v>36</v>
      </c>
      <c r="O2558" t="s">
        <v>36</v>
      </c>
      <c r="P2558" t="s">
        <v>442</v>
      </c>
      <c r="Q2558" t="s">
        <v>36</v>
      </c>
      <c r="R2558" t="s">
        <v>36</v>
      </c>
      <c r="S2558" t="s">
        <v>36</v>
      </c>
      <c r="T2558" t="s">
        <v>36</v>
      </c>
      <c r="U2558">
        <v>0</v>
      </c>
      <c r="V2558">
        <v>1</v>
      </c>
      <c r="W2558">
        <v>1</v>
      </c>
      <c r="X2558">
        <v>1</v>
      </c>
      <c r="Y2558">
        <v>0</v>
      </c>
      <c r="Z2558">
        <v>1</v>
      </c>
      <c r="AA2558">
        <v>0</v>
      </c>
      <c r="AB2558">
        <v>0</v>
      </c>
      <c r="AC2558">
        <v>0</v>
      </c>
      <c r="AD2558">
        <v>0</v>
      </c>
      <c r="AE2558">
        <v>0</v>
      </c>
      <c r="AF2558">
        <v>0</v>
      </c>
      <c r="AG2558">
        <v>1</v>
      </c>
    </row>
    <row r="2559" spans="1:33" x14ac:dyDescent="0.2">
      <c r="A2559">
        <v>2558</v>
      </c>
      <c r="B2559" t="s">
        <v>699</v>
      </c>
      <c r="C2559" t="s">
        <v>108</v>
      </c>
      <c r="D2559">
        <v>56</v>
      </c>
      <c r="E2559" t="s">
        <v>34</v>
      </c>
      <c r="F2559" t="s">
        <v>41</v>
      </c>
      <c r="G2559" t="s">
        <v>61</v>
      </c>
      <c r="H2559">
        <v>10424</v>
      </c>
      <c r="I2559">
        <v>0</v>
      </c>
      <c r="J2559">
        <v>0</v>
      </c>
      <c r="K2559">
        <v>0</v>
      </c>
      <c r="L2559">
        <v>1</v>
      </c>
      <c r="M2559" t="s">
        <v>62</v>
      </c>
      <c r="N2559" t="s">
        <v>97</v>
      </c>
      <c r="O2559" t="s">
        <v>63</v>
      </c>
      <c r="P2559" t="s">
        <v>442</v>
      </c>
      <c r="Q2559" t="s">
        <v>65</v>
      </c>
      <c r="R2559" t="s">
        <v>59</v>
      </c>
      <c r="S2559" t="s">
        <v>46</v>
      </c>
      <c r="T2559">
        <v>0</v>
      </c>
      <c r="U2559">
        <v>1</v>
      </c>
      <c r="V2559">
        <v>0</v>
      </c>
      <c r="W2559">
        <v>0</v>
      </c>
      <c r="X2559">
        <v>1</v>
      </c>
      <c r="Y2559">
        <v>0</v>
      </c>
      <c r="Z2559">
        <v>1</v>
      </c>
      <c r="AA2559">
        <v>0</v>
      </c>
      <c r="AB2559">
        <v>0</v>
      </c>
      <c r="AC2559">
        <v>0</v>
      </c>
      <c r="AD2559">
        <v>0</v>
      </c>
      <c r="AE2559">
        <v>0</v>
      </c>
      <c r="AF2559">
        <v>0</v>
      </c>
      <c r="AG2559">
        <v>1</v>
      </c>
    </row>
    <row r="2560" spans="1:33" hidden="1" x14ac:dyDescent="0.2">
      <c r="A2560">
        <v>2559</v>
      </c>
      <c r="B2560" t="s">
        <v>699</v>
      </c>
      <c r="C2560" t="s">
        <v>108</v>
      </c>
      <c r="D2560">
        <v>56</v>
      </c>
      <c r="E2560" t="s">
        <v>34</v>
      </c>
      <c r="F2560" t="s">
        <v>53</v>
      </c>
      <c r="G2560" t="s">
        <v>76</v>
      </c>
      <c r="H2560">
        <v>12067</v>
      </c>
      <c r="I2560">
        <v>1</v>
      </c>
      <c r="J2560">
        <v>0</v>
      </c>
      <c r="K2560">
        <v>0</v>
      </c>
      <c r="L2560">
        <v>0</v>
      </c>
      <c r="M2560" t="s">
        <v>36</v>
      </c>
      <c r="N2560" t="s">
        <v>36</v>
      </c>
      <c r="O2560" t="s">
        <v>36</v>
      </c>
      <c r="P2560" t="s">
        <v>442</v>
      </c>
      <c r="Q2560" t="s">
        <v>36</v>
      </c>
      <c r="R2560" t="s">
        <v>36</v>
      </c>
      <c r="S2560" t="s">
        <v>36</v>
      </c>
      <c r="T2560" t="s">
        <v>36</v>
      </c>
      <c r="U2560">
        <v>1</v>
      </c>
      <c r="V2560">
        <v>0</v>
      </c>
      <c r="W2560">
        <v>0</v>
      </c>
      <c r="X2560">
        <v>1</v>
      </c>
      <c r="Y2560">
        <v>0</v>
      </c>
      <c r="Z2560">
        <v>1</v>
      </c>
      <c r="AA2560">
        <v>0</v>
      </c>
      <c r="AB2560">
        <v>0</v>
      </c>
      <c r="AC2560">
        <v>0</v>
      </c>
      <c r="AD2560">
        <v>0</v>
      </c>
      <c r="AE2560">
        <v>0</v>
      </c>
      <c r="AF2560">
        <v>0</v>
      </c>
      <c r="AG2560">
        <v>1</v>
      </c>
    </row>
    <row r="2561" spans="1:33" x14ac:dyDescent="0.2">
      <c r="A2561">
        <v>2560</v>
      </c>
      <c r="B2561" t="s">
        <v>699</v>
      </c>
      <c r="C2561" t="s">
        <v>108</v>
      </c>
      <c r="D2561">
        <v>56</v>
      </c>
      <c r="E2561" t="s">
        <v>34</v>
      </c>
      <c r="F2561" t="s">
        <v>41</v>
      </c>
      <c r="G2561" t="s">
        <v>42</v>
      </c>
      <c r="H2561">
        <v>13655</v>
      </c>
      <c r="I2561">
        <v>0</v>
      </c>
      <c r="J2561">
        <v>0</v>
      </c>
      <c r="K2561">
        <v>1</v>
      </c>
      <c r="L2561">
        <v>0</v>
      </c>
      <c r="M2561" t="s">
        <v>45</v>
      </c>
      <c r="N2561" t="s">
        <v>102</v>
      </c>
      <c r="O2561" t="s">
        <v>82</v>
      </c>
      <c r="P2561" t="s">
        <v>442</v>
      </c>
      <c r="Q2561" t="s">
        <v>48</v>
      </c>
      <c r="R2561" t="s">
        <v>59</v>
      </c>
      <c r="S2561" t="s">
        <v>65</v>
      </c>
      <c r="T2561">
        <v>0</v>
      </c>
      <c r="U2561">
        <v>1</v>
      </c>
      <c r="V2561">
        <v>1</v>
      </c>
      <c r="W2561">
        <v>0</v>
      </c>
      <c r="X2561">
        <v>0</v>
      </c>
      <c r="Y2561">
        <v>0</v>
      </c>
      <c r="Z2561">
        <v>1</v>
      </c>
      <c r="AA2561">
        <v>0</v>
      </c>
      <c r="AB2561">
        <v>1</v>
      </c>
      <c r="AC2561">
        <v>0</v>
      </c>
      <c r="AD2561">
        <v>0</v>
      </c>
      <c r="AE2561">
        <v>0</v>
      </c>
      <c r="AF2561">
        <v>0</v>
      </c>
      <c r="AG2561">
        <v>0</v>
      </c>
    </row>
    <row r="2562" spans="1:33" hidden="1" x14ac:dyDescent="0.2">
      <c r="A2562">
        <v>2561</v>
      </c>
      <c r="B2562" t="s">
        <v>699</v>
      </c>
      <c r="C2562" t="s">
        <v>108</v>
      </c>
      <c r="D2562">
        <v>56</v>
      </c>
      <c r="E2562" t="s">
        <v>34</v>
      </c>
      <c r="F2562" t="s">
        <v>53</v>
      </c>
      <c r="G2562" t="s">
        <v>71</v>
      </c>
      <c r="H2562">
        <v>21824</v>
      </c>
      <c r="I2562">
        <v>0</v>
      </c>
      <c r="J2562">
        <v>1</v>
      </c>
      <c r="K2562">
        <v>1</v>
      </c>
      <c r="L2562">
        <v>0</v>
      </c>
      <c r="M2562" t="s">
        <v>36</v>
      </c>
      <c r="N2562" t="s">
        <v>36</v>
      </c>
      <c r="O2562" t="s">
        <v>36</v>
      </c>
      <c r="P2562" t="s">
        <v>442</v>
      </c>
      <c r="Q2562" t="s">
        <v>36</v>
      </c>
      <c r="R2562" t="s">
        <v>36</v>
      </c>
      <c r="S2562" t="s">
        <v>36</v>
      </c>
      <c r="T2562" t="s">
        <v>36</v>
      </c>
      <c r="U2562">
        <v>1</v>
      </c>
      <c r="V2562">
        <v>1</v>
      </c>
      <c r="W2562">
        <v>0</v>
      </c>
      <c r="X2562">
        <v>0</v>
      </c>
      <c r="Y2562">
        <v>0</v>
      </c>
      <c r="Z2562">
        <v>1</v>
      </c>
      <c r="AA2562">
        <v>0</v>
      </c>
      <c r="AB2562">
        <v>1</v>
      </c>
      <c r="AC2562">
        <v>0</v>
      </c>
      <c r="AD2562">
        <v>0</v>
      </c>
      <c r="AE2562">
        <v>0</v>
      </c>
      <c r="AF2562">
        <v>0</v>
      </c>
      <c r="AG2562">
        <v>0</v>
      </c>
    </row>
    <row r="2563" spans="1:33" hidden="1" x14ac:dyDescent="0.2">
      <c r="A2563">
        <v>2562</v>
      </c>
      <c r="B2563" t="s">
        <v>699</v>
      </c>
      <c r="C2563" t="s">
        <v>108</v>
      </c>
      <c r="D2563">
        <v>56</v>
      </c>
      <c r="E2563" t="s">
        <v>34</v>
      </c>
      <c r="F2563" t="s">
        <v>77</v>
      </c>
      <c r="G2563" t="s">
        <v>36</v>
      </c>
      <c r="H2563">
        <v>21148</v>
      </c>
      <c r="I2563" t="s">
        <v>700</v>
      </c>
      <c r="J2563" t="s">
        <v>166</v>
      </c>
      <c r="K2563" t="s">
        <v>166</v>
      </c>
      <c r="L2563" t="s">
        <v>36</v>
      </c>
      <c r="M2563" t="s">
        <v>36</v>
      </c>
      <c r="N2563" t="s">
        <v>36</v>
      </c>
      <c r="O2563" t="s">
        <v>36</v>
      </c>
      <c r="P2563" t="s">
        <v>442</v>
      </c>
      <c r="Q2563" t="s">
        <v>36</v>
      </c>
      <c r="R2563" t="s">
        <v>36</v>
      </c>
      <c r="S2563" t="s">
        <v>36</v>
      </c>
      <c r="T2563" t="s">
        <v>36</v>
      </c>
      <c r="U2563" t="s">
        <v>36</v>
      </c>
      <c r="V2563" t="s">
        <v>36</v>
      </c>
      <c r="W2563" t="s">
        <v>36</v>
      </c>
      <c r="X2563" t="s">
        <v>36</v>
      </c>
      <c r="Y2563" t="s">
        <v>36</v>
      </c>
      <c r="Z2563" t="s">
        <v>36</v>
      </c>
      <c r="AA2563" t="s">
        <v>36</v>
      </c>
      <c r="AB2563" t="s">
        <v>36</v>
      </c>
      <c r="AC2563" t="s">
        <v>36</v>
      </c>
      <c r="AD2563" t="s">
        <v>36</v>
      </c>
      <c r="AE2563" t="s">
        <v>36</v>
      </c>
      <c r="AF2563" t="s">
        <v>36</v>
      </c>
      <c r="AG2563" t="s">
        <v>36</v>
      </c>
    </row>
    <row r="2564" spans="1:33" hidden="1" x14ac:dyDescent="0.2">
      <c r="A2564">
        <v>2563</v>
      </c>
      <c r="B2564" t="s">
        <v>701</v>
      </c>
      <c r="C2564" t="s">
        <v>188</v>
      </c>
      <c r="D2564">
        <v>28</v>
      </c>
      <c r="E2564" t="s">
        <v>34</v>
      </c>
      <c r="F2564" t="s">
        <v>35</v>
      </c>
      <c r="G2564" t="s">
        <v>36</v>
      </c>
      <c r="H2564">
        <v>41692</v>
      </c>
      <c r="I2564" t="s">
        <v>36</v>
      </c>
      <c r="J2564" t="s">
        <v>36</v>
      </c>
      <c r="K2564" t="s">
        <v>36</v>
      </c>
      <c r="L2564" t="s">
        <v>36</v>
      </c>
      <c r="M2564" t="s">
        <v>36</v>
      </c>
      <c r="N2564" t="s">
        <v>36</v>
      </c>
      <c r="O2564" t="s">
        <v>36</v>
      </c>
      <c r="P2564" t="s">
        <v>442</v>
      </c>
      <c r="Q2564" t="s">
        <v>36</v>
      </c>
      <c r="R2564" t="s">
        <v>36</v>
      </c>
      <c r="S2564" t="s">
        <v>36</v>
      </c>
      <c r="T2564" t="s">
        <v>36</v>
      </c>
      <c r="U2564" t="s">
        <v>36</v>
      </c>
      <c r="V2564" t="s">
        <v>36</v>
      </c>
      <c r="W2564" t="s">
        <v>36</v>
      </c>
      <c r="X2564" t="s">
        <v>36</v>
      </c>
      <c r="Y2564" t="s">
        <v>36</v>
      </c>
      <c r="Z2564" t="s">
        <v>36</v>
      </c>
      <c r="AA2564" t="s">
        <v>36</v>
      </c>
      <c r="AB2564" t="s">
        <v>36</v>
      </c>
      <c r="AC2564" t="s">
        <v>36</v>
      </c>
      <c r="AD2564" t="s">
        <v>36</v>
      </c>
      <c r="AE2564" t="s">
        <v>36</v>
      </c>
      <c r="AF2564" t="s">
        <v>36</v>
      </c>
      <c r="AG2564" t="s">
        <v>36</v>
      </c>
    </row>
    <row r="2565" spans="1:33" hidden="1" x14ac:dyDescent="0.2">
      <c r="A2565">
        <v>2564</v>
      </c>
      <c r="B2565" t="s">
        <v>701</v>
      </c>
      <c r="C2565" t="s">
        <v>188</v>
      </c>
      <c r="D2565">
        <v>28</v>
      </c>
      <c r="E2565" t="s">
        <v>34</v>
      </c>
      <c r="F2565" t="s">
        <v>38</v>
      </c>
      <c r="G2565" t="s">
        <v>40</v>
      </c>
      <c r="H2565">
        <v>5457758</v>
      </c>
      <c r="I2565">
        <v>1</v>
      </c>
      <c r="J2565">
        <v>0</v>
      </c>
      <c r="K2565">
        <v>0</v>
      </c>
      <c r="L2565">
        <v>0</v>
      </c>
      <c r="M2565" t="s">
        <v>36</v>
      </c>
      <c r="N2565" t="s">
        <v>36</v>
      </c>
      <c r="O2565" t="s">
        <v>36</v>
      </c>
      <c r="P2565" t="s">
        <v>442</v>
      </c>
      <c r="Q2565" t="s">
        <v>36</v>
      </c>
      <c r="R2565" t="s">
        <v>36</v>
      </c>
      <c r="S2565" t="s">
        <v>36</v>
      </c>
      <c r="T2565" t="s">
        <v>36</v>
      </c>
      <c r="U2565" t="s">
        <v>36</v>
      </c>
      <c r="V2565" t="s">
        <v>36</v>
      </c>
      <c r="W2565" t="s">
        <v>36</v>
      </c>
      <c r="X2565" t="s">
        <v>36</v>
      </c>
      <c r="Y2565" t="s">
        <v>36</v>
      </c>
      <c r="Z2565" t="s">
        <v>36</v>
      </c>
      <c r="AA2565" t="s">
        <v>36</v>
      </c>
      <c r="AB2565" t="s">
        <v>36</v>
      </c>
      <c r="AC2565" t="s">
        <v>36</v>
      </c>
      <c r="AD2565" t="s">
        <v>36</v>
      </c>
      <c r="AE2565" t="s">
        <v>36</v>
      </c>
      <c r="AF2565" t="s">
        <v>36</v>
      </c>
      <c r="AG2565" t="s">
        <v>36</v>
      </c>
    </row>
    <row r="2566" spans="1:33" hidden="1" x14ac:dyDescent="0.2">
      <c r="A2566">
        <v>2565</v>
      </c>
      <c r="B2566" t="s">
        <v>701</v>
      </c>
      <c r="C2566" t="s">
        <v>188</v>
      </c>
      <c r="D2566">
        <v>28</v>
      </c>
      <c r="E2566" t="s">
        <v>34</v>
      </c>
      <c r="F2566" t="s">
        <v>38</v>
      </c>
      <c r="G2566" t="s">
        <v>39</v>
      </c>
      <c r="H2566">
        <v>13955</v>
      </c>
      <c r="I2566">
        <v>0</v>
      </c>
      <c r="J2566">
        <v>0</v>
      </c>
      <c r="K2566">
        <v>1</v>
      </c>
      <c r="L2566">
        <v>0</v>
      </c>
      <c r="M2566" t="s">
        <v>36</v>
      </c>
      <c r="N2566" t="s">
        <v>36</v>
      </c>
      <c r="O2566" t="s">
        <v>36</v>
      </c>
      <c r="P2566" t="s">
        <v>442</v>
      </c>
      <c r="Q2566" t="s">
        <v>36</v>
      </c>
      <c r="R2566" t="s">
        <v>36</v>
      </c>
      <c r="S2566" t="s">
        <v>36</v>
      </c>
      <c r="T2566" t="s">
        <v>36</v>
      </c>
      <c r="U2566" t="s">
        <v>36</v>
      </c>
      <c r="V2566" t="s">
        <v>36</v>
      </c>
      <c r="W2566" t="s">
        <v>36</v>
      </c>
      <c r="X2566" t="s">
        <v>36</v>
      </c>
      <c r="Y2566" t="s">
        <v>36</v>
      </c>
      <c r="Z2566" t="s">
        <v>36</v>
      </c>
      <c r="AA2566" t="s">
        <v>36</v>
      </c>
      <c r="AB2566" t="s">
        <v>36</v>
      </c>
      <c r="AC2566" t="s">
        <v>36</v>
      </c>
      <c r="AD2566" t="s">
        <v>36</v>
      </c>
      <c r="AE2566" t="s">
        <v>36</v>
      </c>
      <c r="AF2566" t="s">
        <v>36</v>
      </c>
      <c r="AG2566" t="s">
        <v>36</v>
      </c>
    </row>
    <row r="2567" spans="1:33" x14ac:dyDescent="0.2">
      <c r="A2567">
        <v>2566</v>
      </c>
      <c r="B2567" t="s">
        <v>701</v>
      </c>
      <c r="C2567" t="s">
        <v>188</v>
      </c>
      <c r="D2567">
        <v>28</v>
      </c>
      <c r="E2567" t="s">
        <v>34</v>
      </c>
      <c r="F2567" t="s">
        <v>41</v>
      </c>
      <c r="G2567" t="s">
        <v>72</v>
      </c>
      <c r="H2567">
        <v>35245</v>
      </c>
      <c r="I2567">
        <v>0</v>
      </c>
      <c r="J2567">
        <v>1</v>
      </c>
      <c r="K2567">
        <v>0</v>
      </c>
      <c r="L2567">
        <v>0</v>
      </c>
      <c r="M2567" t="s">
        <v>74</v>
      </c>
      <c r="N2567" t="s">
        <v>115</v>
      </c>
      <c r="O2567" t="s">
        <v>104</v>
      </c>
      <c r="P2567" t="s">
        <v>442</v>
      </c>
      <c r="Q2567" t="s">
        <v>47</v>
      </c>
      <c r="R2567" t="s">
        <v>65</v>
      </c>
      <c r="S2567" t="s">
        <v>60</v>
      </c>
      <c r="T2567">
        <v>1</v>
      </c>
      <c r="U2567">
        <v>1</v>
      </c>
      <c r="V2567">
        <v>0</v>
      </c>
      <c r="W2567">
        <v>1</v>
      </c>
      <c r="X2567">
        <v>0</v>
      </c>
      <c r="Y2567">
        <v>0</v>
      </c>
      <c r="Z2567">
        <v>1</v>
      </c>
      <c r="AA2567">
        <v>0</v>
      </c>
      <c r="AB2567">
        <v>1</v>
      </c>
      <c r="AC2567">
        <v>0</v>
      </c>
      <c r="AD2567">
        <v>0</v>
      </c>
      <c r="AE2567">
        <v>0</v>
      </c>
      <c r="AF2567">
        <v>0</v>
      </c>
      <c r="AG2567">
        <v>0</v>
      </c>
    </row>
    <row r="2568" spans="1:33" x14ac:dyDescent="0.2">
      <c r="A2568">
        <v>2567</v>
      </c>
      <c r="B2568" t="s">
        <v>701</v>
      </c>
      <c r="C2568" t="s">
        <v>188</v>
      </c>
      <c r="D2568">
        <v>28</v>
      </c>
      <c r="E2568" t="s">
        <v>34</v>
      </c>
      <c r="F2568" t="s">
        <v>41</v>
      </c>
      <c r="G2568" t="s">
        <v>67</v>
      </c>
      <c r="H2568">
        <v>5820</v>
      </c>
      <c r="I2568">
        <v>0</v>
      </c>
      <c r="J2568">
        <v>1</v>
      </c>
      <c r="K2568">
        <v>0</v>
      </c>
      <c r="L2568">
        <v>0</v>
      </c>
      <c r="M2568" t="s">
        <v>86</v>
      </c>
      <c r="N2568" t="s">
        <v>70</v>
      </c>
      <c r="O2568" t="s">
        <v>68</v>
      </c>
      <c r="P2568" t="s">
        <v>442</v>
      </c>
      <c r="Q2568" t="s">
        <v>46</v>
      </c>
      <c r="R2568" t="s">
        <v>47</v>
      </c>
      <c r="S2568" t="s">
        <v>65</v>
      </c>
      <c r="T2568">
        <v>0</v>
      </c>
      <c r="U2568">
        <v>1</v>
      </c>
      <c r="V2568">
        <v>0</v>
      </c>
      <c r="W2568">
        <v>1</v>
      </c>
      <c r="X2568">
        <v>1</v>
      </c>
      <c r="Y2568">
        <v>0</v>
      </c>
      <c r="Z2568">
        <v>1</v>
      </c>
      <c r="AA2568">
        <v>0</v>
      </c>
      <c r="AB2568">
        <v>0</v>
      </c>
      <c r="AC2568">
        <v>0</v>
      </c>
      <c r="AD2568">
        <v>1</v>
      </c>
      <c r="AE2568">
        <v>0</v>
      </c>
      <c r="AF2568">
        <v>0</v>
      </c>
      <c r="AG2568">
        <v>0</v>
      </c>
    </row>
    <row r="2569" spans="1:33" hidden="1" x14ac:dyDescent="0.2">
      <c r="A2569">
        <v>2568</v>
      </c>
      <c r="B2569" t="s">
        <v>701</v>
      </c>
      <c r="C2569" t="s">
        <v>188</v>
      </c>
      <c r="D2569">
        <v>28</v>
      </c>
      <c r="E2569" t="s">
        <v>34</v>
      </c>
      <c r="F2569" t="s">
        <v>53</v>
      </c>
      <c r="G2569" t="s">
        <v>66</v>
      </c>
      <c r="H2569">
        <v>11886</v>
      </c>
      <c r="I2569">
        <v>1</v>
      </c>
      <c r="J2569">
        <v>0</v>
      </c>
      <c r="K2569">
        <v>0</v>
      </c>
      <c r="L2569">
        <v>0</v>
      </c>
      <c r="M2569" t="s">
        <v>36</v>
      </c>
      <c r="N2569" t="s">
        <v>36</v>
      </c>
      <c r="O2569" t="s">
        <v>36</v>
      </c>
      <c r="P2569" t="s">
        <v>442</v>
      </c>
      <c r="Q2569" t="s">
        <v>36</v>
      </c>
      <c r="R2569" t="s">
        <v>36</v>
      </c>
      <c r="S2569" t="s">
        <v>36</v>
      </c>
      <c r="T2569" t="s">
        <v>36</v>
      </c>
      <c r="U2569">
        <v>1</v>
      </c>
      <c r="V2569">
        <v>0</v>
      </c>
      <c r="W2569">
        <v>1</v>
      </c>
      <c r="X2569">
        <v>1</v>
      </c>
      <c r="Y2569">
        <v>0</v>
      </c>
      <c r="Z2569">
        <v>1</v>
      </c>
      <c r="AA2569">
        <v>0</v>
      </c>
      <c r="AB2569">
        <v>0</v>
      </c>
      <c r="AC2569">
        <v>0</v>
      </c>
      <c r="AD2569">
        <v>1</v>
      </c>
      <c r="AE2569">
        <v>0</v>
      </c>
      <c r="AF2569">
        <v>0</v>
      </c>
      <c r="AG2569">
        <v>0</v>
      </c>
    </row>
    <row r="2570" spans="1:33" x14ac:dyDescent="0.2">
      <c r="A2570">
        <v>2569</v>
      </c>
      <c r="B2570" t="s">
        <v>701</v>
      </c>
      <c r="C2570" t="s">
        <v>188</v>
      </c>
      <c r="D2570">
        <v>28</v>
      </c>
      <c r="E2570" t="s">
        <v>34</v>
      </c>
      <c r="F2570" t="s">
        <v>41</v>
      </c>
      <c r="G2570" t="s">
        <v>49</v>
      </c>
      <c r="H2570">
        <v>3644</v>
      </c>
      <c r="I2570">
        <v>0</v>
      </c>
      <c r="J2570">
        <v>1</v>
      </c>
      <c r="K2570">
        <v>0</v>
      </c>
      <c r="L2570">
        <v>0</v>
      </c>
      <c r="M2570" t="s">
        <v>51</v>
      </c>
      <c r="N2570" t="s">
        <v>95</v>
      </c>
      <c r="O2570" t="s">
        <v>50</v>
      </c>
      <c r="P2570" t="s">
        <v>442</v>
      </c>
      <c r="Q2570" t="s">
        <v>47</v>
      </c>
      <c r="R2570" t="s">
        <v>60</v>
      </c>
      <c r="S2570" t="s">
        <v>48</v>
      </c>
      <c r="T2570">
        <v>1</v>
      </c>
      <c r="U2570">
        <v>0</v>
      </c>
      <c r="V2570">
        <v>1</v>
      </c>
      <c r="W2570">
        <v>1</v>
      </c>
      <c r="X2570">
        <v>0</v>
      </c>
      <c r="Y2570">
        <v>0</v>
      </c>
      <c r="Z2570">
        <v>1</v>
      </c>
      <c r="AA2570">
        <v>1</v>
      </c>
      <c r="AB2570">
        <v>0</v>
      </c>
      <c r="AC2570">
        <v>0</v>
      </c>
      <c r="AD2570">
        <v>0</v>
      </c>
      <c r="AE2570">
        <v>0</v>
      </c>
      <c r="AF2570">
        <v>0</v>
      </c>
      <c r="AG2570">
        <v>0</v>
      </c>
    </row>
    <row r="2571" spans="1:33" x14ac:dyDescent="0.2">
      <c r="A2571">
        <v>2570</v>
      </c>
      <c r="B2571" t="s">
        <v>701</v>
      </c>
      <c r="C2571" t="s">
        <v>188</v>
      </c>
      <c r="D2571">
        <v>28</v>
      </c>
      <c r="E2571" t="s">
        <v>34</v>
      </c>
      <c r="F2571" t="s">
        <v>41</v>
      </c>
      <c r="G2571" t="s">
        <v>55</v>
      </c>
      <c r="H2571">
        <v>5918</v>
      </c>
      <c r="I2571">
        <v>0</v>
      </c>
      <c r="J2571">
        <v>1</v>
      </c>
      <c r="K2571">
        <v>0</v>
      </c>
      <c r="L2571">
        <v>0</v>
      </c>
      <c r="M2571" t="s">
        <v>58</v>
      </c>
      <c r="N2571" t="s">
        <v>57</v>
      </c>
      <c r="O2571" t="s">
        <v>84</v>
      </c>
      <c r="P2571" t="s">
        <v>442</v>
      </c>
      <c r="Q2571" t="s">
        <v>60</v>
      </c>
      <c r="R2571" t="s">
        <v>48</v>
      </c>
      <c r="S2571" t="s">
        <v>46</v>
      </c>
      <c r="T2571">
        <v>1</v>
      </c>
      <c r="U2571">
        <v>0</v>
      </c>
      <c r="V2571">
        <v>1</v>
      </c>
      <c r="W2571">
        <v>0</v>
      </c>
      <c r="X2571">
        <v>1</v>
      </c>
      <c r="Y2571">
        <v>0</v>
      </c>
      <c r="Z2571">
        <v>1</v>
      </c>
      <c r="AA2571">
        <v>0</v>
      </c>
      <c r="AB2571">
        <v>0</v>
      </c>
      <c r="AC2571">
        <v>1</v>
      </c>
      <c r="AD2571">
        <v>0</v>
      </c>
      <c r="AE2571">
        <v>0</v>
      </c>
      <c r="AF2571">
        <v>0</v>
      </c>
      <c r="AG2571">
        <v>0</v>
      </c>
    </row>
    <row r="2572" spans="1:33" hidden="1" x14ac:dyDescent="0.2">
      <c r="A2572">
        <v>2571</v>
      </c>
      <c r="B2572" t="s">
        <v>701</v>
      </c>
      <c r="C2572" t="s">
        <v>188</v>
      </c>
      <c r="D2572">
        <v>28</v>
      </c>
      <c r="E2572" t="s">
        <v>34</v>
      </c>
      <c r="F2572" t="s">
        <v>53</v>
      </c>
      <c r="G2572" t="s">
        <v>54</v>
      </c>
      <c r="H2572">
        <v>1981</v>
      </c>
      <c r="I2572">
        <v>0</v>
      </c>
      <c r="J2572">
        <v>1</v>
      </c>
      <c r="K2572">
        <v>0</v>
      </c>
      <c r="L2572">
        <v>0</v>
      </c>
      <c r="M2572" t="s">
        <v>36</v>
      </c>
      <c r="N2572" t="s">
        <v>36</v>
      </c>
      <c r="O2572" t="s">
        <v>36</v>
      </c>
      <c r="P2572" t="s">
        <v>442</v>
      </c>
      <c r="Q2572" t="s">
        <v>36</v>
      </c>
      <c r="R2572" t="s">
        <v>36</v>
      </c>
      <c r="S2572" t="s">
        <v>36</v>
      </c>
      <c r="T2572" t="s">
        <v>36</v>
      </c>
      <c r="U2572">
        <v>0</v>
      </c>
      <c r="V2572">
        <v>1</v>
      </c>
      <c r="W2572">
        <v>0</v>
      </c>
      <c r="X2572">
        <v>1</v>
      </c>
      <c r="Y2572">
        <v>0</v>
      </c>
      <c r="Z2572">
        <v>1</v>
      </c>
      <c r="AA2572">
        <v>0</v>
      </c>
      <c r="AB2572">
        <v>0</v>
      </c>
      <c r="AC2572">
        <v>1</v>
      </c>
      <c r="AD2572">
        <v>0</v>
      </c>
      <c r="AE2572">
        <v>0</v>
      </c>
      <c r="AF2572">
        <v>0</v>
      </c>
      <c r="AG2572">
        <v>0</v>
      </c>
    </row>
    <row r="2573" spans="1:33" x14ac:dyDescent="0.2">
      <c r="A2573">
        <v>2572</v>
      </c>
      <c r="B2573" t="s">
        <v>701</v>
      </c>
      <c r="C2573" t="s">
        <v>188</v>
      </c>
      <c r="D2573">
        <v>28</v>
      </c>
      <c r="E2573" t="s">
        <v>34</v>
      </c>
      <c r="F2573" t="s">
        <v>41</v>
      </c>
      <c r="G2573" t="s">
        <v>61</v>
      </c>
      <c r="H2573">
        <v>2445</v>
      </c>
      <c r="I2573">
        <v>0</v>
      </c>
      <c r="J2573">
        <v>1</v>
      </c>
      <c r="K2573">
        <v>0</v>
      </c>
      <c r="L2573">
        <v>0</v>
      </c>
      <c r="M2573" t="s">
        <v>97</v>
      </c>
      <c r="N2573" t="s">
        <v>62</v>
      </c>
      <c r="O2573" t="s">
        <v>125</v>
      </c>
      <c r="P2573" t="s">
        <v>442</v>
      </c>
      <c r="Q2573" t="s">
        <v>59</v>
      </c>
      <c r="R2573" t="s">
        <v>65</v>
      </c>
      <c r="S2573" t="s">
        <v>60</v>
      </c>
      <c r="T2573">
        <v>1</v>
      </c>
      <c r="U2573">
        <v>1</v>
      </c>
      <c r="V2573">
        <v>0</v>
      </c>
      <c r="W2573">
        <v>0</v>
      </c>
      <c r="X2573">
        <v>0</v>
      </c>
      <c r="Y2573">
        <v>0</v>
      </c>
      <c r="Z2573">
        <v>1</v>
      </c>
      <c r="AA2573">
        <v>0</v>
      </c>
      <c r="AB2573">
        <v>1</v>
      </c>
      <c r="AC2573">
        <v>0</v>
      </c>
      <c r="AD2573">
        <v>0</v>
      </c>
      <c r="AE2573">
        <v>0</v>
      </c>
      <c r="AF2573">
        <v>0</v>
      </c>
      <c r="AG2573">
        <v>0</v>
      </c>
    </row>
    <row r="2574" spans="1:33" hidden="1" x14ac:dyDescent="0.2">
      <c r="A2574">
        <v>2573</v>
      </c>
      <c r="B2574" t="s">
        <v>701</v>
      </c>
      <c r="C2574" t="s">
        <v>188</v>
      </c>
      <c r="D2574">
        <v>28</v>
      </c>
      <c r="E2574" t="s">
        <v>34</v>
      </c>
      <c r="F2574" t="s">
        <v>53</v>
      </c>
      <c r="G2574" t="s">
        <v>76</v>
      </c>
      <c r="H2574">
        <v>1806</v>
      </c>
      <c r="I2574">
        <v>0</v>
      </c>
      <c r="J2574">
        <v>1</v>
      </c>
      <c r="K2574">
        <v>0</v>
      </c>
      <c r="L2574">
        <v>0</v>
      </c>
      <c r="M2574" t="s">
        <v>36</v>
      </c>
      <c r="N2574" t="s">
        <v>36</v>
      </c>
      <c r="O2574" t="s">
        <v>36</v>
      </c>
      <c r="P2574" t="s">
        <v>442</v>
      </c>
      <c r="Q2574" t="s">
        <v>36</v>
      </c>
      <c r="R2574" t="s">
        <v>36</v>
      </c>
      <c r="S2574" t="s">
        <v>36</v>
      </c>
      <c r="T2574" t="s">
        <v>36</v>
      </c>
      <c r="U2574">
        <v>1</v>
      </c>
      <c r="V2574">
        <v>0</v>
      </c>
      <c r="W2574">
        <v>0</v>
      </c>
      <c r="X2574">
        <v>0</v>
      </c>
      <c r="Y2574">
        <v>0</v>
      </c>
      <c r="Z2574">
        <v>1</v>
      </c>
      <c r="AA2574">
        <v>0</v>
      </c>
      <c r="AB2574">
        <v>1</v>
      </c>
      <c r="AC2574">
        <v>0</v>
      </c>
      <c r="AD2574">
        <v>0</v>
      </c>
      <c r="AE2574">
        <v>0</v>
      </c>
      <c r="AF2574">
        <v>0</v>
      </c>
      <c r="AG2574">
        <v>0</v>
      </c>
    </row>
    <row r="2575" spans="1:33" x14ac:dyDescent="0.2">
      <c r="A2575">
        <v>2574</v>
      </c>
      <c r="B2575" t="s">
        <v>701</v>
      </c>
      <c r="C2575" t="s">
        <v>188</v>
      </c>
      <c r="D2575">
        <v>28</v>
      </c>
      <c r="E2575" t="s">
        <v>34</v>
      </c>
      <c r="F2575" t="s">
        <v>41</v>
      </c>
      <c r="G2575" t="s">
        <v>42</v>
      </c>
      <c r="H2575">
        <v>2710</v>
      </c>
      <c r="I2575">
        <v>0</v>
      </c>
      <c r="J2575">
        <v>0</v>
      </c>
      <c r="K2575">
        <v>1</v>
      </c>
      <c r="L2575">
        <v>0</v>
      </c>
      <c r="M2575" t="s">
        <v>43</v>
      </c>
      <c r="N2575" t="s">
        <v>45</v>
      </c>
      <c r="O2575" t="s">
        <v>82</v>
      </c>
      <c r="P2575" t="s">
        <v>442</v>
      </c>
      <c r="Q2575" t="s">
        <v>46</v>
      </c>
      <c r="R2575" t="s">
        <v>48</v>
      </c>
      <c r="S2575" t="s">
        <v>65</v>
      </c>
      <c r="T2575">
        <v>0</v>
      </c>
      <c r="U2575">
        <v>1</v>
      </c>
      <c r="V2575">
        <v>1</v>
      </c>
      <c r="W2575">
        <v>0</v>
      </c>
      <c r="X2575">
        <v>1</v>
      </c>
      <c r="Y2575">
        <v>0</v>
      </c>
      <c r="Z2575">
        <v>1</v>
      </c>
      <c r="AA2575">
        <v>0</v>
      </c>
      <c r="AB2575">
        <v>1</v>
      </c>
      <c r="AC2575">
        <v>0</v>
      </c>
      <c r="AD2575">
        <v>0</v>
      </c>
      <c r="AE2575">
        <v>0</v>
      </c>
      <c r="AF2575">
        <v>0</v>
      </c>
      <c r="AG2575">
        <v>0</v>
      </c>
    </row>
    <row r="2576" spans="1:33" hidden="1" x14ac:dyDescent="0.2">
      <c r="A2576">
        <v>2575</v>
      </c>
      <c r="B2576" t="s">
        <v>701</v>
      </c>
      <c r="C2576" t="s">
        <v>188</v>
      </c>
      <c r="D2576">
        <v>28</v>
      </c>
      <c r="E2576" t="s">
        <v>34</v>
      </c>
      <c r="F2576" t="s">
        <v>53</v>
      </c>
      <c r="G2576" t="s">
        <v>71</v>
      </c>
      <c r="H2576">
        <v>1910</v>
      </c>
      <c r="I2576">
        <v>0</v>
      </c>
      <c r="J2576">
        <v>0</v>
      </c>
      <c r="K2576">
        <v>1</v>
      </c>
      <c r="L2576">
        <v>0</v>
      </c>
      <c r="M2576" t="s">
        <v>36</v>
      </c>
      <c r="N2576" t="s">
        <v>36</v>
      </c>
      <c r="O2576" t="s">
        <v>36</v>
      </c>
      <c r="P2576" t="s">
        <v>442</v>
      </c>
      <c r="Q2576" t="s">
        <v>36</v>
      </c>
      <c r="R2576" t="s">
        <v>36</v>
      </c>
      <c r="S2576" t="s">
        <v>36</v>
      </c>
      <c r="T2576" t="s">
        <v>36</v>
      </c>
      <c r="U2576">
        <v>1</v>
      </c>
      <c r="V2576">
        <v>1</v>
      </c>
      <c r="W2576">
        <v>0</v>
      </c>
      <c r="X2576">
        <v>1</v>
      </c>
      <c r="Y2576">
        <v>0</v>
      </c>
      <c r="Z2576">
        <v>1</v>
      </c>
      <c r="AA2576">
        <v>0</v>
      </c>
      <c r="AB2576">
        <v>1</v>
      </c>
      <c r="AC2576">
        <v>0</v>
      </c>
      <c r="AD2576">
        <v>0</v>
      </c>
      <c r="AE2576">
        <v>0</v>
      </c>
      <c r="AF2576">
        <v>0</v>
      </c>
      <c r="AG2576">
        <v>0</v>
      </c>
    </row>
    <row r="2577" spans="1:33" hidden="1" x14ac:dyDescent="0.2">
      <c r="A2577">
        <v>2576</v>
      </c>
      <c r="B2577" t="s">
        <v>701</v>
      </c>
      <c r="C2577" t="s">
        <v>188</v>
      </c>
      <c r="D2577">
        <v>28</v>
      </c>
      <c r="E2577" t="s">
        <v>34</v>
      </c>
      <c r="F2577" t="s">
        <v>77</v>
      </c>
      <c r="G2577" t="s">
        <v>36</v>
      </c>
      <c r="H2577">
        <v>105142</v>
      </c>
      <c r="I2577" t="s">
        <v>702</v>
      </c>
      <c r="J2577" t="s">
        <v>190</v>
      </c>
      <c r="K2577" t="s">
        <v>393</v>
      </c>
      <c r="L2577" t="s">
        <v>36</v>
      </c>
      <c r="M2577" t="s">
        <v>36</v>
      </c>
      <c r="N2577" t="s">
        <v>36</v>
      </c>
      <c r="O2577" t="s">
        <v>36</v>
      </c>
      <c r="P2577" t="s">
        <v>442</v>
      </c>
      <c r="Q2577" t="s">
        <v>36</v>
      </c>
      <c r="R2577" t="s">
        <v>36</v>
      </c>
      <c r="S2577" t="s">
        <v>36</v>
      </c>
      <c r="T2577" t="s">
        <v>36</v>
      </c>
      <c r="U2577" t="s">
        <v>36</v>
      </c>
      <c r="V2577" t="s">
        <v>36</v>
      </c>
      <c r="W2577" t="s">
        <v>36</v>
      </c>
      <c r="X2577" t="s">
        <v>36</v>
      </c>
      <c r="Y2577" t="s">
        <v>36</v>
      </c>
      <c r="Z2577" t="s">
        <v>36</v>
      </c>
      <c r="AA2577" t="s">
        <v>36</v>
      </c>
      <c r="AB2577" t="s">
        <v>36</v>
      </c>
      <c r="AC2577" t="s">
        <v>36</v>
      </c>
      <c r="AD2577" t="s">
        <v>36</v>
      </c>
      <c r="AE2577" t="s">
        <v>36</v>
      </c>
      <c r="AF2577" t="s">
        <v>36</v>
      </c>
      <c r="AG2577" t="s">
        <v>36</v>
      </c>
    </row>
    <row r="2578" spans="1:33" hidden="1" x14ac:dyDescent="0.2">
      <c r="A2578">
        <v>2577</v>
      </c>
      <c r="B2578" t="s">
        <v>703</v>
      </c>
      <c r="C2578" t="s">
        <v>108</v>
      </c>
      <c r="D2578">
        <v>39</v>
      </c>
      <c r="E2578" t="s">
        <v>114</v>
      </c>
      <c r="F2578" t="s">
        <v>35</v>
      </c>
      <c r="G2578" t="s">
        <v>36</v>
      </c>
      <c r="H2578">
        <v>29816</v>
      </c>
      <c r="I2578" t="s">
        <v>36</v>
      </c>
      <c r="J2578" t="s">
        <v>36</v>
      </c>
      <c r="K2578" t="s">
        <v>36</v>
      </c>
      <c r="L2578" t="s">
        <v>36</v>
      </c>
      <c r="M2578" t="s">
        <v>36</v>
      </c>
      <c r="N2578" t="s">
        <v>36</v>
      </c>
      <c r="O2578" t="s">
        <v>36</v>
      </c>
      <c r="P2578" t="s">
        <v>442</v>
      </c>
      <c r="Q2578" t="s">
        <v>36</v>
      </c>
      <c r="R2578" t="s">
        <v>36</v>
      </c>
      <c r="S2578" t="s">
        <v>36</v>
      </c>
      <c r="T2578" t="s">
        <v>36</v>
      </c>
      <c r="U2578" t="s">
        <v>36</v>
      </c>
      <c r="V2578" t="s">
        <v>36</v>
      </c>
      <c r="W2578" t="s">
        <v>36</v>
      </c>
      <c r="X2578" t="s">
        <v>36</v>
      </c>
      <c r="Y2578" t="s">
        <v>36</v>
      </c>
      <c r="Z2578" t="s">
        <v>36</v>
      </c>
      <c r="AA2578" t="s">
        <v>36</v>
      </c>
      <c r="AB2578" t="s">
        <v>36</v>
      </c>
      <c r="AC2578" t="s">
        <v>36</v>
      </c>
      <c r="AD2578" t="s">
        <v>36</v>
      </c>
      <c r="AE2578" t="s">
        <v>36</v>
      </c>
      <c r="AF2578" t="s">
        <v>36</v>
      </c>
      <c r="AG2578" t="s">
        <v>36</v>
      </c>
    </row>
    <row r="2579" spans="1:33" hidden="1" x14ac:dyDescent="0.2">
      <c r="A2579">
        <v>2578</v>
      </c>
      <c r="B2579" t="s">
        <v>703</v>
      </c>
      <c r="C2579" t="s">
        <v>108</v>
      </c>
      <c r="D2579">
        <v>39</v>
      </c>
      <c r="E2579" t="s">
        <v>114</v>
      </c>
      <c r="F2579" t="s">
        <v>38</v>
      </c>
      <c r="G2579" t="s">
        <v>39</v>
      </c>
      <c r="H2579">
        <v>74578</v>
      </c>
      <c r="I2579">
        <v>0</v>
      </c>
      <c r="J2579">
        <v>0</v>
      </c>
      <c r="K2579">
        <v>0</v>
      </c>
      <c r="L2579">
        <v>1</v>
      </c>
      <c r="M2579" t="s">
        <v>36</v>
      </c>
      <c r="N2579" t="s">
        <v>36</v>
      </c>
      <c r="O2579" t="s">
        <v>36</v>
      </c>
      <c r="P2579" t="s">
        <v>442</v>
      </c>
      <c r="Q2579" t="s">
        <v>36</v>
      </c>
      <c r="R2579" t="s">
        <v>36</v>
      </c>
      <c r="S2579" t="s">
        <v>36</v>
      </c>
      <c r="T2579" t="s">
        <v>36</v>
      </c>
      <c r="U2579" t="s">
        <v>36</v>
      </c>
      <c r="V2579" t="s">
        <v>36</v>
      </c>
      <c r="W2579" t="s">
        <v>36</v>
      </c>
      <c r="X2579" t="s">
        <v>36</v>
      </c>
      <c r="Y2579" t="s">
        <v>36</v>
      </c>
      <c r="Z2579" t="s">
        <v>36</v>
      </c>
      <c r="AA2579" t="s">
        <v>36</v>
      </c>
      <c r="AB2579" t="s">
        <v>36</v>
      </c>
      <c r="AC2579" t="s">
        <v>36</v>
      </c>
      <c r="AD2579" t="s">
        <v>36</v>
      </c>
      <c r="AE2579" t="s">
        <v>36</v>
      </c>
      <c r="AF2579" t="s">
        <v>36</v>
      </c>
      <c r="AG2579" t="s">
        <v>36</v>
      </c>
    </row>
    <row r="2580" spans="1:33" hidden="1" x14ac:dyDescent="0.2">
      <c r="A2580">
        <v>2579</v>
      </c>
      <c r="B2580" t="s">
        <v>703</v>
      </c>
      <c r="C2580" t="s">
        <v>108</v>
      </c>
      <c r="D2580">
        <v>39</v>
      </c>
      <c r="E2580" t="s">
        <v>114</v>
      </c>
      <c r="F2580" t="s">
        <v>38</v>
      </c>
      <c r="G2580" t="s">
        <v>40</v>
      </c>
      <c r="H2580">
        <v>53590</v>
      </c>
      <c r="I2580">
        <v>0</v>
      </c>
      <c r="J2580">
        <v>0</v>
      </c>
      <c r="K2580">
        <v>1</v>
      </c>
      <c r="L2580">
        <v>0</v>
      </c>
      <c r="M2580" t="s">
        <v>36</v>
      </c>
      <c r="N2580" t="s">
        <v>36</v>
      </c>
      <c r="O2580" t="s">
        <v>36</v>
      </c>
      <c r="P2580" t="s">
        <v>442</v>
      </c>
      <c r="Q2580" t="s">
        <v>36</v>
      </c>
      <c r="R2580" t="s">
        <v>36</v>
      </c>
      <c r="S2580" t="s">
        <v>36</v>
      </c>
      <c r="T2580" t="s">
        <v>36</v>
      </c>
      <c r="U2580" t="s">
        <v>36</v>
      </c>
      <c r="V2580" t="s">
        <v>36</v>
      </c>
      <c r="W2580" t="s">
        <v>36</v>
      </c>
      <c r="X2580" t="s">
        <v>36</v>
      </c>
      <c r="Y2580" t="s">
        <v>36</v>
      </c>
      <c r="Z2580" t="s">
        <v>36</v>
      </c>
      <c r="AA2580" t="s">
        <v>36</v>
      </c>
      <c r="AB2580" t="s">
        <v>36</v>
      </c>
      <c r="AC2580" t="s">
        <v>36</v>
      </c>
      <c r="AD2580" t="s">
        <v>36</v>
      </c>
      <c r="AE2580" t="s">
        <v>36</v>
      </c>
      <c r="AF2580" t="s">
        <v>36</v>
      </c>
      <c r="AG2580" t="s">
        <v>36</v>
      </c>
    </row>
    <row r="2581" spans="1:33" x14ac:dyDescent="0.2">
      <c r="A2581">
        <v>2580</v>
      </c>
      <c r="B2581" t="s">
        <v>703</v>
      </c>
      <c r="C2581" t="s">
        <v>108</v>
      </c>
      <c r="D2581">
        <v>39</v>
      </c>
      <c r="E2581" t="s">
        <v>114</v>
      </c>
      <c r="F2581" t="s">
        <v>41</v>
      </c>
      <c r="G2581" t="s">
        <v>72</v>
      </c>
      <c r="H2581">
        <v>81511</v>
      </c>
      <c r="I2581">
        <v>1</v>
      </c>
      <c r="J2581">
        <v>0</v>
      </c>
      <c r="K2581">
        <v>0</v>
      </c>
      <c r="L2581">
        <v>0</v>
      </c>
      <c r="M2581" t="s">
        <v>74</v>
      </c>
      <c r="N2581" t="s">
        <v>115</v>
      </c>
      <c r="O2581" t="s">
        <v>73</v>
      </c>
      <c r="P2581" t="s">
        <v>442</v>
      </c>
      <c r="Q2581" t="s">
        <v>47</v>
      </c>
      <c r="R2581" t="s">
        <v>65</v>
      </c>
      <c r="S2581" t="s">
        <v>48</v>
      </c>
      <c r="T2581">
        <v>0</v>
      </c>
      <c r="U2581">
        <v>1</v>
      </c>
      <c r="V2581">
        <v>1</v>
      </c>
      <c r="W2581">
        <v>1</v>
      </c>
      <c r="X2581">
        <v>0</v>
      </c>
      <c r="Y2581">
        <v>0</v>
      </c>
      <c r="Z2581">
        <v>1</v>
      </c>
      <c r="AA2581">
        <v>0</v>
      </c>
      <c r="AB2581">
        <v>0</v>
      </c>
      <c r="AC2581">
        <v>0</v>
      </c>
      <c r="AD2581">
        <v>1</v>
      </c>
      <c r="AE2581">
        <v>0</v>
      </c>
      <c r="AF2581">
        <v>0</v>
      </c>
      <c r="AG2581">
        <v>0</v>
      </c>
    </row>
    <row r="2582" spans="1:33" x14ac:dyDescent="0.2">
      <c r="A2582">
        <v>2581</v>
      </c>
      <c r="B2582" t="s">
        <v>703</v>
      </c>
      <c r="C2582" t="s">
        <v>108</v>
      </c>
      <c r="D2582">
        <v>39</v>
      </c>
      <c r="E2582" t="s">
        <v>114</v>
      </c>
      <c r="F2582" t="s">
        <v>41</v>
      </c>
      <c r="G2582" t="s">
        <v>49</v>
      </c>
      <c r="H2582">
        <v>37119</v>
      </c>
      <c r="I2582">
        <v>1</v>
      </c>
      <c r="J2582">
        <v>1</v>
      </c>
      <c r="K2582">
        <v>1</v>
      </c>
      <c r="L2582">
        <v>0</v>
      </c>
      <c r="M2582" t="s">
        <v>51</v>
      </c>
      <c r="N2582" t="s">
        <v>96</v>
      </c>
      <c r="O2582" t="s">
        <v>50</v>
      </c>
      <c r="P2582" t="s">
        <v>442</v>
      </c>
      <c r="Q2582" t="s">
        <v>47</v>
      </c>
      <c r="R2582" t="s">
        <v>65</v>
      </c>
      <c r="S2582" t="s">
        <v>48</v>
      </c>
      <c r="T2582">
        <v>0</v>
      </c>
      <c r="U2582">
        <v>1</v>
      </c>
      <c r="V2582">
        <v>1</v>
      </c>
      <c r="W2582">
        <v>1</v>
      </c>
      <c r="X2582">
        <v>0</v>
      </c>
      <c r="Y2582">
        <v>0</v>
      </c>
      <c r="Z2582">
        <v>1</v>
      </c>
      <c r="AA2582">
        <v>0</v>
      </c>
      <c r="AB2582">
        <v>1</v>
      </c>
      <c r="AC2582">
        <v>1</v>
      </c>
      <c r="AD2582">
        <v>1</v>
      </c>
      <c r="AE2582">
        <v>0</v>
      </c>
      <c r="AF2582">
        <v>0</v>
      </c>
      <c r="AG2582">
        <v>0</v>
      </c>
    </row>
    <row r="2583" spans="1:33" hidden="1" x14ac:dyDescent="0.2">
      <c r="A2583">
        <v>2582</v>
      </c>
      <c r="B2583" t="s">
        <v>703</v>
      </c>
      <c r="C2583" t="s">
        <v>108</v>
      </c>
      <c r="D2583">
        <v>39</v>
      </c>
      <c r="E2583" t="s">
        <v>114</v>
      </c>
      <c r="F2583" t="s">
        <v>53</v>
      </c>
      <c r="G2583" t="s">
        <v>54</v>
      </c>
      <c r="H2583">
        <v>65792</v>
      </c>
      <c r="I2583">
        <v>0</v>
      </c>
      <c r="J2583">
        <v>0</v>
      </c>
      <c r="K2583">
        <v>1</v>
      </c>
      <c r="L2583">
        <v>0</v>
      </c>
      <c r="M2583" t="s">
        <v>36</v>
      </c>
      <c r="N2583" t="s">
        <v>36</v>
      </c>
      <c r="O2583" t="s">
        <v>36</v>
      </c>
      <c r="P2583" t="s">
        <v>442</v>
      </c>
      <c r="Q2583" t="s">
        <v>36</v>
      </c>
      <c r="R2583" t="s">
        <v>36</v>
      </c>
      <c r="S2583" t="s">
        <v>36</v>
      </c>
      <c r="T2583" t="s">
        <v>36</v>
      </c>
      <c r="U2583">
        <v>1</v>
      </c>
      <c r="V2583">
        <v>1</v>
      </c>
      <c r="W2583">
        <v>1</v>
      </c>
      <c r="X2583">
        <v>0</v>
      </c>
      <c r="Y2583">
        <v>0</v>
      </c>
      <c r="Z2583">
        <v>1</v>
      </c>
      <c r="AA2583">
        <v>0</v>
      </c>
      <c r="AB2583">
        <v>1</v>
      </c>
      <c r="AC2583">
        <v>1</v>
      </c>
      <c r="AD2583">
        <v>1</v>
      </c>
      <c r="AE2583">
        <v>0</v>
      </c>
      <c r="AF2583">
        <v>0</v>
      </c>
      <c r="AG2583">
        <v>0</v>
      </c>
    </row>
    <row r="2584" spans="1:33" x14ac:dyDescent="0.2">
      <c r="A2584">
        <v>2583</v>
      </c>
      <c r="B2584" t="s">
        <v>703</v>
      </c>
      <c r="C2584" t="s">
        <v>108</v>
      </c>
      <c r="D2584">
        <v>39</v>
      </c>
      <c r="E2584" t="s">
        <v>114</v>
      </c>
      <c r="F2584" t="s">
        <v>41</v>
      </c>
      <c r="G2584" t="s">
        <v>55</v>
      </c>
      <c r="H2584">
        <v>65970</v>
      </c>
      <c r="I2584">
        <v>0</v>
      </c>
      <c r="J2584">
        <v>0</v>
      </c>
      <c r="K2584">
        <v>0</v>
      </c>
      <c r="L2584">
        <v>1</v>
      </c>
      <c r="M2584" t="s">
        <v>57</v>
      </c>
      <c r="N2584" t="s">
        <v>84</v>
      </c>
      <c r="O2584" t="s">
        <v>85</v>
      </c>
      <c r="P2584" t="s">
        <v>442</v>
      </c>
      <c r="Q2584" t="s">
        <v>48</v>
      </c>
      <c r="R2584" t="s">
        <v>46</v>
      </c>
      <c r="S2584" t="s">
        <v>65</v>
      </c>
      <c r="T2584">
        <v>0</v>
      </c>
      <c r="U2584">
        <v>1</v>
      </c>
      <c r="V2584">
        <v>1</v>
      </c>
      <c r="W2584">
        <v>0</v>
      </c>
      <c r="X2584">
        <v>1</v>
      </c>
      <c r="Y2584">
        <v>0</v>
      </c>
      <c r="Z2584">
        <v>1</v>
      </c>
      <c r="AA2584">
        <v>0</v>
      </c>
      <c r="AB2584">
        <v>0</v>
      </c>
      <c r="AC2584">
        <v>0</v>
      </c>
      <c r="AD2584">
        <v>0</v>
      </c>
      <c r="AE2584">
        <v>0</v>
      </c>
      <c r="AF2584">
        <v>0</v>
      </c>
      <c r="AG2584">
        <v>1</v>
      </c>
    </row>
    <row r="2585" spans="1:33" hidden="1" x14ac:dyDescent="0.2">
      <c r="A2585">
        <v>2584</v>
      </c>
      <c r="B2585" t="s">
        <v>703</v>
      </c>
      <c r="C2585" t="s">
        <v>108</v>
      </c>
      <c r="D2585">
        <v>39</v>
      </c>
      <c r="E2585" t="s">
        <v>114</v>
      </c>
      <c r="F2585" t="s">
        <v>53</v>
      </c>
      <c r="G2585" t="s">
        <v>71</v>
      </c>
      <c r="H2585">
        <v>51514</v>
      </c>
      <c r="I2585">
        <v>0</v>
      </c>
      <c r="J2585">
        <v>0</v>
      </c>
      <c r="K2585">
        <v>0</v>
      </c>
      <c r="L2585">
        <v>1</v>
      </c>
      <c r="M2585" t="s">
        <v>36</v>
      </c>
      <c r="N2585" t="s">
        <v>36</v>
      </c>
      <c r="O2585" t="s">
        <v>36</v>
      </c>
      <c r="P2585" t="s">
        <v>442</v>
      </c>
      <c r="Q2585" t="s">
        <v>36</v>
      </c>
      <c r="R2585" t="s">
        <v>36</v>
      </c>
      <c r="S2585" t="s">
        <v>36</v>
      </c>
      <c r="T2585" t="s">
        <v>36</v>
      </c>
      <c r="U2585">
        <v>1</v>
      </c>
      <c r="V2585">
        <v>1</v>
      </c>
      <c r="W2585">
        <v>0</v>
      </c>
      <c r="X2585">
        <v>1</v>
      </c>
      <c r="Y2585">
        <v>0</v>
      </c>
      <c r="Z2585">
        <v>1</v>
      </c>
      <c r="AA2585">
        <v>0</v>
      </c>
      <c r="AB2585">
        <v>0</v>
      </c>
      <c r="AC2585">
        <v>0</v>
      </c>
      <c r="AD2585">
        <v>0</v>
      </c>
      <c r="AE2585">
        <v>0</v>
      </c>
      <c r="AF2585">
        <v>0</v>
      </c>
      <c r="AG2585">
        <v>1</v>
      </c>
    </row>
    <row r="2586" spans="1:33" x14ac:dyDescent="0.2">
      <c r="A2586">
        <v>2585</v>
      </c>
      <c r="B2586" t="s">
        <v>703</v>
      </c>
      <c r="C2586" t="s">
        <v>108</v>
      </c>
      <c r="D2586">
        <v>39</v>
      </c>
      <c r="E2586" t="s">
        <v>114</v>
      </c>
      <c r="F2586" t="s">
        <v>41</v>
      </c>
      <c r="G2586" t="s">
        <v>67</v>
      </c>
      <c r="H2586">
        <v>31433</v>
      </c>
      <c r="I2586">
        <v>0</v>
      </c>
      <c r="J2586">
        <v>0</v>
      </c>
      <c r="K2586">
        <v>0</v>
      </c>
      <c r="L2586">
        <v>1</v>
      </c>
      <c r="M2586" t="s">
        <v>68</v>
      </c>
      <c r="N2586" t="s">
        <v>70</v>
      </c>
      <c r="O2586" t="s">
        <v>69</v>
      </c>
      <c r="P2586" t="s">
        <v>442</v>
      </c>
      <c r="Q2586" t="s">
        <v>65</v>
      </c>
      <c r="R2586" t="s">
        <v>47</v>
      </c>
      <c r="S2586" t="s">
        <v>48</v>
      </c>
      <c r="T2586">
        <v>0</v>
      </c>
      <c r="U2586">
        <v>1</v>
      </c>
      <c r="V2586">
        <v>1</v>
      </c>
      <c r="W2586">
        <v>1</v>
      </c>
      <c r="X2586">
        <v>0</v>
      </c>
      <c r="Y2586">
        <v>0</v>
      </c>
      <c r="Z2586">
        <v>1</v>
      </c>
      <c r="AA2586">
        <v>0</v>
      </c>
      <c r="AB2586">
        <v>0</v>
      </c>
      <c r="AC2586">
        <v>0</v>
      </c>
      <c r="AD2586">
        <v>0</v>
      </c>
      <c r="AE2586">
        <v>0</v>
      </c>
      <c r="AF2586">
        <v>0</v>
      </c>
      <c r="AG2586">
        <v>1</v>
      </c>
    </row>
    <row r="2587" spans="1:33" x14ac:dyDescent="0.2">
      <c r="A2587">
        <v>2586</v>
      </c>
      <c r="B2587" t="s">
        <v>703</v>
      </c>
      <c r="C2587" t="s">
        <v>108</v>
      </c>
      <c r="D2587">
        <v>39</v>
      </c>
      <c r="E2587" t="s">
        <v>114</v>
      </c>
      <c r="F2587" t="s">
        <v>41</v>
      </c>
      <c r="G2587" t="s">
        <v>42</v>
      </c>
      <c r="H2587">
        <v>68729</v>
      </c>
      <c r="I2587">
        <v>1</v>
      </c>
      <c r="J2587">
        <v>1</v>
      </c>
      <c r="K2587">
        <v>1</v>
      </c>
      <c r="L2587">
        <v>0</v>
      </c>
      <c r="M2587" t="s">
        <v>102</v>
      </c>
      <c r="N2587" t="s">
        <v>44</v>
      </c>
      <c r="O2587" t="s">
        <v>45</v>
      </c>
      <c r="P2587" t="s">
        <v>442</v>
      </c>
      <c r="Q2587" t="s">
        <v>59</v>
      </c>
      <c r="R2587" t="s">
        <v>47</v>
      </c>
      <c r="S2587" t="s">
        <v>48</v>
      </c>
      <c r="T2587">
        <v>0</v>
      </c>
      <c r="U2587">
        <v>0</v>
      </c>
      <c r="V2587">
        <v>1</v>
      </c>
      <c r="W2587">
        <v>1</v>
      </c>
      <c r="X2587">
        <v>0</v>
      </c>
      <c r="Y2587">
        <v>0</v>
      </c>
      <c r="Z2587">
        <v>1</v>
      </c>
      <c r="AA2587">
        <v>0</v>
      </c>
      <c r="AB2587">
        <v>0</v>
      </c>
      <c r="AC2587">
        <v>1</v>
      </c>
      <c r="AD2587">
        <v>1</v>
      </c>
      <c r="AE2587">
        <v>0</v>
      </c>
      <c r="AF2587">
        <v>0</v>
      </c>
      <c r="AG2587">
        <v>0</v>
      </c>
    </row>
    <row r="2588" spans="1:33" hidden="1" x14ac:dyDescent="0.2">
      <c r="A2588">
        <v>2587</v>
      </c>
      <c r="B2588" t="s">
        <v>703</v>
      </c>
      <c r="C2588" t="s">
        <v>108</v>
      </c>
      <c r="D2588">
        <v>39</v>
      </c>
      <c r="E2588" t="s">
        <v>114</v>
      </c>
      <c r="F2588" t="s">
        <v>53</v>
      </c>
      <c r="G2588" t="s">
        <v>66</v>
      </c>
      <c r="H2588">
        <v>38923</v>
      </c>
      <c r="I2588">
        <v>1</v>
      </c>
      <c r="J2588">
        <v>1</v>
      </c>
      <c r="K2588">
        <v>0</v>
      </c>
      <c r="L2588">
        <v>0</v>
      </c>
      <c r="M2588" t="s">
        <v>36</v>
      </c>
      <c r="N2588" t="s">
        <v>36</v>
      </c>
      <c r="O2588" t="s">
        <v>36</v>
      </c>
      <c r="P2588" t="s">
        <v>442</v>
      </c>
      <c r="Q2588" t="s">
        <v>36</v>
      </c>
      <c r="R2588" t="s">
        <v>36</v>
      </c>
      <c r="S2588" t="s">
        <v>36</v>
      </c>
      <c r="T2588" t="s">
        <v>36</v>
      </c>
      <c r="U2588">
        <v>0</v>
      </c>
      <c r="V2588">
        <v>1</v>
      </c>
      <c r="W2588">
        <v>1</v>
      </c>
      <c r="X2588">
        <v>0</v>
      </c>
      <c r="Y2588">
        <v>0</v>
      </c>
      <c r="Z2588">
        <v>1</v>
      </c>
      <c r="AA2588">
        <v>0</v>
      </c>
      <c r="AB2588">
        <v>0</v>
      </c>
      <c r="AC2588">
        <v>1</v>
      </c>
      <c r="AD2588">
        <v>1</v>
      </c>
      <c r="AE2588">
        <v>0</v>
      </c>
      <c r="AF2588">
        <v>0</v>
      </c>
      <c r="AG2588">
        <v>0</v>
      </c>
    </row>
    <row r="2589" spans="1:33" x14ac:dyDescent="0.2">
      <c r="A2589">
        <v>2588</v>
      </c>
      <c r="B2589" t="s">
        <v>703</v>
      </c>
      <c r="C2589" t="s">
        <v>108</v>
      </c>
      <c r="D2589">
        <v>39</v>
      </c>
      <c r="E2589" t="s">
        <v>114</v>
      </c>
      <c r="F2589" t="s">
        <v>41</v>
      </c>
      <c r="G2589" t="s">
        <v>61</v>
      </c>
      <c r="H2589">
        <v>14764</v>
      </c>
      <c r="I2589">
        <v>0</v>
      </c>
      <c r="J2589">
        <v>0</v>
      </c>
      <c r="K2589">
        <v>1</v>
      </c>
      <c r="L2589">
        <v>0</v>
      </c>
      <c r="M2589" t="s">
        <v>64</v>
      </c>
      <c r="N2589" t="s">
        <v>62</v>
      </c>
      <c r="O2589" t="s">
        <v>125</v>
      </c>
      <c r="P2589" t="s">
        <v>442</v>
      </c>
      <c r="Q2589" t="s">
        <v>48</v>
      </c>
      <c r="R2589" t="s">
        <v>65</v>
      </c>
      <c r="S2589" t="s">
        <v>60</v>
      </c>
      <c r="T2589">
        <v>1</v>
      </c>
      <c r="U2589">
        <v>1</v>
      </c>
      <c r="V2589">
        <v>1</v>
      </c>
      <c r="W2589">
        <v>0</v>
      </c>
      <c r="X2589">
        <v>0</v>
      </c>
      <c r="Y2589">
        <v>0</v>
      </c>
      <c r="Z2589">
        <v>1</v>
      </c>
      <c r="AA2589">
        <v>1</v>
      </c>
      <c r="AB2589">
        <v>0</v>
      </c>
      <c r="AC2589">
        <v>0</v>
      </c>
      <c r="AD2589">
        <v>0</v>
      </c>
      <c r="AE2589">
        <v>0</v>
      </c>
      <c r="AF2589">
        <v>0</v>
      </c>
      <c r="AG2589">
        <v>0</v>
      </c>
    </row>
    <row r="2590" spans="1:33" hidden="1" x14ac:dyDescent="0.2">
      <c r="A2590">
        <v>2589</v>
      </c>
      <c r="B2590" t="s">
        <v>703</v>
      </c>
      <c r="C2590" t="s">
        <v>108</v>
      </c>
      <c r="D2590">
        <v>39</v>
      </c>
      <c r="E2590" t="s">
        <v>114</v>
      </c>
      <c r="F2590" t="s">
        <v>53</v>
      </c>
      <c r="G2590" t="s">
        <v>76</v>
      </c>
      <c r="H2590">
        <v>35092</v>
      </c>
      <c r="I2590">
        <v>1</v>
      </c>
      <c r="J2590">
        <v>0</v>
      </c>
      <c r="K2590">
        <v>0</v>
      </c>
      <c r="L2590">
        <v>0</v>
      </c>
      <c r="M2590" t="s">
        <v>36</v>
      </c>
      <c r="N2590" t="s">
        <v>36</v>
      </c>
      <c r="O2590" t="s">
        <v>36</v>
      </c>
      <c r="P2590" t="s">
        <v>442</v>
      </c>
      <c r="Q2590" t="s">
        <v>36</v>
      </c>
      <c r="R2590" t="s">
        <v>36</v>
      </c>
      <c r="S2590" t="s">
        <v>36</v>
      </c>
      <c r="T2590" t="s">
        <v>36</v>
      </c>
      <c r="U2590">
        <v>1</v>
      </c>
      <c r="V2590">
        <v>1</v>
      </c>
      <c r="W2590">
        <v>0</v>
      </c>
      <c r="X2590">
        <v>0</v>
      </c>
      <c r="Y2590">
        <v>0</v>
      </c>
      <c r="Z2590">
        <v>1</v>
      </c>
      <c r="AA2590">
        <v>1</v>
      </c>
      <c r="AB2590">
        <v>0</v>
      </c>
      <c r="AC2590">
        <v>0</v>
      </c>
      <c r="AD2590">
        <v>0</v>
      </c>
      <c r="AE2590">
        <v>0</v>
      </c>
      <c r="AF2590">
        <v>0</v>
      </c>
      <c r="AG2590">
        <v>0</v>
      </c>
    </row>
    <row r="2591" spans="1:33" hidden="1" x14ac:dyDescent="0.2">
      <c r="A2591">
        <v>2590</v>
      </c>
      <c r="B2591" t="s">
        <v>703</v>
      </c>
      <c r="C2591" t="s">
        <v>108</v>
      </c>
      <c r="D2591">
        <v>39</v>
      </c>
      <c r="E2591" t="s">
        <v>114</v>
      </c>
      <c r="F2591" t="s">
        <v>77</v>
      </c>
      <c r="G2591" t="s">
        <v>36</v>
      </c>
      <c r="H2591">
        <v>113420</v>
      </c>
      <c r="I2591" t="s">
        <v>704</v>
      </c>
      <c r="J2591" t="s">
        <v>705</v>
      </c>
      <c r="K2591" t="s">
        <v>329</v>
      </c>
      <c r="L2591" t="s">
        <v>36</v>
      </c>
      <c r="M2591" t="s">
        <v>36</v>
      </c>
      <c r="N2591" t="s">
        <v>36</v>
      </c>
      <c r="O2591" t="s">
        <v>36</v>
      </c>
      <c r="P2591" t="s">
        <v>442</v>
      </c>
      <c r="Q2591" t="s">
        <v>36</v>
      </c>
      <c r="R2591" t="s">
        <v>36</v>
      </c>
      <c r="S2591" t="s">
        <v>36</v>
      </c>
      <c r="T2591" t="s">
        <v>36</v>
      </c>
      <c r="U2591" t="s">
        <v>36</v>
      </c>
      <c r="V2591" t="s">
        <v>36</v>
      </c>
      <c r="W2591" t="s">
        <v>36</v>
      </c>
      <c r="X2591" t="s">
        <v>36</v>
      </c>
      <c r="Y2591" t="s">
        <v>36</v>
      </c>
      <c r="Z2591" t="s">
        <v>36</v>
      </c>
      <c r="AA2591" t="s">
        <v>36</v>
      </c>
      <c r="AB2591" t="s">
        <v>36</v>
      </c>
      <c r="AC2591" t="s">
        <v>36</v>
      </c>
      <c r="AD2591" t="s">
        <v>36</v>
      </c>
      <c r="AE2591" t="s">
        <v>36</v>
      </c>
      <c r="AF2591" t="s">
        <v>36</v>
      </c>
      <c r="AG2591" t="s">
        <v>36</v>
      </c>
    </row>
    <row r="2592" spans="1:33" hidden="1" x14ac:dyDescent="0.2">
      <c r="A2592">
        <v>2591</v>
      </c>
      <c r="B2592" t="s">
        <v>706</v>
      </c>
      <c r="C2592" t="s">
        <v>108</v>
      </c>
      <c r="D2592">
        <v>34</v>
      </c>
      <c r="E2592" t="s">
        <v>34</v>
      </c>
      <c r="F2592" t="s">
        <v>35</v>
      </c>
      <c r="G2592" t="s">
        <v>36</v>
      </c>
      <c r="H2592">
        <v>30291</v>
      </c>
      <c r="I2592" t="s">
        <v>36</v>
      </c>
      <c r="J2592" t="s">
        <v>36</v>
      </c>
      <c r="K2592" t="s">
        <v>36</v>
      </c>
      <c r="L2592" t="s">
        <v>36</v>
      </c>
      <c r="M2592" t="s">
        <v>36</v>
      </c>
      <c r="N2592" t="s">
        <v>36</v>
      </c>
      <c r="O2592" t="s">
        <v>36</v>
      </c>
      <c r="P2592" t="s">
        <v>442</v>
      </c>
      <c r="Q2592" t="s">
        <v>36</v>
      </c>
      <c r="R2592" t="s">
        <v>36</v>
      </c>
      <c r="S2592" t="s">
        <v>36</v>
      </c>
      <c r="T2592" t="s">
        <v>36</v>
      </c>
      <c r="U2592" t="s">
        <v>36</v>
      </c>
      <c r="V2592" t="s">
        <v>36</v>
      </c>
      <c r="W2592" t="s">
        <v>36</v>
      </c>
      <c r="X2592" t="s">
        <v>36</v>
      </c>
      <c r="Y2592" t="s">
        <v>36</v>
      </c>
      <c r="Z2592" t="s">
        <v>36</v>
      </c>
      <c r="AA2592" t="s">
        <v>36</v>
      </c>
      <c r="AB2592" t="s">
        <v>36</v>
      </c>
      <c r="AC2592" t="s">
        <v>36</v>
      </c>
      <c r="AD2592" t="s">
        <v>36</v>
      </c>
      <c r="AE2592" t="s">
        <v>36</v>
      </c>
      <c r="AF2592" t="s">
        <v>36</v>
      </c>
      <c r="AG2592" t="s">
        <v>36</v>
      </c>
    </row>
    <row r="2593" spans="1:33" hidden="1" x14ac:dyDescent="0.2">
      <c r="A2593">
        <v>2592</v>
      </c>
      <c r="B2593" t="s">
        <v>706</v>
      </c>
      <c r="C2593" t="s">
        <v>108</v>
      </c>
      <c r="D2593">
        <v>34</v>
      </c>
      <c r="E2593" t="s">
        <v>34</v>
      </c>
      <c r="F2593" t="s">
        <v>38</v>
      </c>
      <c r="G2593" t="s">
        <v>40</v>
      </c>
      <c r="H2593">
        <v>61218</v>
      </c>
      <c r="I2593">
        <v>0</v>
      </c>
      <c r="J2593">
        <v>0</v>
      </c>
      <c r="K2593">
        <v>1</v>
      </c>
      <c r="L2593">
        <v>0</v>
      </c>
      <c r="M2593" t="s">
        <v>36</v>
      </c>
      <c r="N2593" t="s">
        <v>36</v>
      </c>
      <c r="O2593" t="s">
        <v>36</v>
      </c>
      <c r="P2593" t="s">
        <v>442</v>
      </c>
      <c r="Q2593" t="s">
        <v>36</v>
      </c>
      <c r="R2593" t="s">
        <v>36</v>
      </c>
      <c r="S2593" t="s">
        <v>36</v>
      </c>
      <c r="T2593" t="s">
        <v>36</v>
      </c>
      <c r="U2593" t="s">
        <v>36</v>
      </c>
      <c r="V2593" t="s">
        <v>36</v>
      </c>
      <c r="W2593" t="s">
        <v>36</v>
      </c>
      <c r="X2593" t="s">
        <v>36</v>
      </c>
      <c r="Y2593" t="s">
        <v>36</v>
      </c>
      <c r="Z2593" t="s">
        <v>36</v>
      </c>
      <c r="AA2593" t="s">
        <v>36</v>
      </c>
      <c r="AB2593" t="s">
        <v>36</v>
      </c>
      <c r="AC2593" t="s">
        <v>36</v>
      </c>
      <c r="AD2593" t="s">
        <v>36</v>
      </c>
      <c r="AE2593" t="s">
        <v>36</v>
      </c>
      <c r="AF2593" t="s">
        <v>36</v>
      </c>
      <c r="AG2593" t="s">
        <v>36</v>
      </c>
    </row>
    <row r="2594" spans="1:33" hidden="1" x14ac:dyDescent="0.2">
      <c r="A2594">
        <v>2593</v>
      </c>
      <c r="B2594" t="s">
        <v>706</v>
      </c>
      <c r="C2594" t="s">
        <v>108</v>
      </c>
      <c r="D2594">
        <v>34</v>
      </c>
      <c r="E2594" t="s">
        <v>34</v>
      </c>
      <c r="F2594" t="s">
        <v>38</v>
      </c>
      <c r="G2594" t="s">
        <v>39</v>
      </c>
      <c r="H2594">
        <v>68106</v>
      </c>
      <c r="I2594">
        <v>0</v>
      </c>
      <c r="J2594">
        <v>0</v>
      </c>
      <c r="K2594">
        <v>0</v>
      </c>
      <c r="L2594">
        <v>1</v>
      </c>
      <c r="M2594" t="s">
        <v>36</v>
      </c>
      <c r="N2594" t="s">
        <v>36</v>
      </c>
      <c r="O2594" t="s">
        <v>36</v>
      </c>
      <c r="P2594" t="s">
        <v>442</v>
      </c>
      <c r="Q2594" t="s">
        <v>36</v>
      </c>
      <c r="R2594" t="s">
        <v>36</v>
      </c>
      <c r="S2594" t="s">
        <v>36</v>
      </c>
      <c r="T2594" t="s">
        <v>36</v>
      </c>
      <c r="U2594" t="s">
        <v>36</v>
      </c>
      <c r="V2594" t="s">
        <v>36</v>
      </c>
      <c r="W2594" t="s">
        <v>36</v>
      </c>
      <c r="X2594" t="s">
        <v>36</v>
      </c>
      <c r="Y2594" t="s">
        <v>36</v>
      </c>
      <c r="Z2594" t="s">
        <v>36</v>
      </c>
      <c r="AA2594" t="s">
        <v>36</v>
      </c>
      <c r="AB2594" t="s">
        <v>36</v>
      </c>
      <c r="AC2594" t="s">
        <v>36</v>
      </c>
      <c r="AD2594" t="s">
        <v>36</v>
      </c>
      <c r="AE2594" t="s">
        <v>36</v>
      </c>
      <c r="AF2594" t="s">
        <v>36</v>
      </c>
      <c r="AG2594" t="s">
        <v>36</v>
      </c>
    </row>
    <row r="2595" spans="1:33" x14ac:dyDescent="0.2">
      <c r="A2595">
        <v>2594</v>
      </c>
      <c r="B2595" t="s">
        <v>706</v>
      </c>
      <c r="C2595" t="s">
        <v>108</v>
      </c>
      <c r="D2595">
        <v>34</v>
      </c>
      <c r="E2595" t="s">
        <v>34</v>
      </c>
      <c r="F2595" t="s">
        <v>41</v>
      </c>
      <c r="G2595" t="s">
        <v>42</v>
      </c>
      <c r="H2595">
        <v>70141</v>
      </c>
      <c r="I2595">
        <v>1</v>
      </c>
      <c r="J2595">
        <v>1</v>
      </c>
      <c r="K2595">
        <v>1</v>
      </c>
      <c r="L2595">
        <v>0</v>
      </c>
      <c r="M2595" t="s">
        <v>82</v>
      </c>
      <c r="N2595" t="s">
        <v>116</v>
      </c>
      <c r="O2595" t="s">
        <v>102</v>
      </c>
      <c r="P2595" t="s">
        <v>442</v>
      </c>
      <c r="Q2595" t="s">
        <v>65</v>
      </c>
      <c r="R2595" t="s">
        <v>60</v>
      </c>
      <c r="S2595" t="s">
        <v>59</v>
      </c>
      <c r="T2595">
        <v>1</v>
      </c>
      <c r="U2595">
        <v>1</v>
      </c>
      <c r="V2595">
        <v>0</v>
      </c>
      <c r="W2595">
        <v>0</v>
      </c>
      <c r="X2595">
        <v>0</v>
      </c>
      <c r="Y2595">
        <v>0</v>
      </c>
      <c r="Z2595">
        <v>1</v>
      </c>
      <c r="AA2595">
        <v>1</v>
      </c>
      <c r="AB2595">
        <v>1</v>
      </c>
      <c r="AC2595">
        <v>0</v>
      </c>
      <c r="AD2595">
        <v>0</v>
      </c>
      <c r="AE2595">
        <v>0</v>
      </c>
      <c r="AF2595">
        <v>0</v>
      </c>
      <c r="AG2595">
        <v>0</v>
      </c>
    </row>
    <row r="2596" spans="1:33" x14ac:dyDescent="0.2">
      <c r="A2596">
        <v>2595</v>
      </c>
      <c r="B2596" t="s">
        <v>706</v>
      </c>
      <c r="C2596" t="s">
        <v>108</v>
      </c>
      <c r="D2596">
        <v>34</v>
      </c>
      <c r="E2596" t="s">
        <v>34</v>
      </c>
      <c r="F2596" t="s">
        <v>41</v>
      </c>
      <c r="G2596" t="s">
        <v>49</v>
      </c>
      <c r="H2596">
        <v>34604</v>
      </c>
      <c r="I2596">
        <v>1</v>
      </c>
      <c r="J2596">
        <v>1</v>
      </c>
      <c r="K2596">
        <v>1</v>
      </c>
      <c r="L2596">
        <v>0</v>
      </c>
      <c r="M2596" t="s">
        <v>52</v>
      </c>
      <c r="N2596" t="s">
        <v>50</v>
      </c>
      <c r="O2596" t="s">
        <v>83</v>
      </c>
      <c r="P2596" t="s">
        <v>442</v>
      </c>
      <c r="Q2596" t="s">
        <v>46</v>
      </c>
      <c r="R2596" t="s">
        <v>48</v>
      </c>
      <c r="S2596" t="s">
        <v>59</v>
      </c>
      <c r="T2596">
        <v>0</v>
      </c>
      <c r="U2596">
        <v>0</v>
      </c>
      <c r="V2596">
        <v>1</v>
      </c>
      <c r="W2596">
        <v>0</v>
      </c>
      <c r="X2596">
        <v>1</v>
      </c>
      <c r="Y2596">
        <v>0</v>
      </c>
      <c r="Z2596">
        <v>1</v>
      </c>
      <c r="AA2596">
        <v>0</v>
      </c>
      <c r="AB2596">
        <v>0</v>
      </c>
      <c r="AC2596">
        <v>1</v>
      </c>
      <c r="AD2596">
        <v>0</v>
      </c>
      <c r="AE2596">
        <v>1</v>
      </c>
      <c r="AF2596">
        <v>0</v>
      </c>
      <c r="AG2596">
        <v>0</v>
      </c>
    </row>
    <row r="2597" spans="1:33" hidden="1" x14ac:dyDescent="0.2">
      <c r="A2597">
        <v>2596</v>
      </c>
      <c r="B2597" t="s">
        <v>706</v>
      </c>
      <c r="C2597" t="s">
        <v>108</v>
      </c>
      <c r="D2597">
        <v>34</v>
      </c>
      <c r="E2597" t="s">
        <v>34</v>
      </c>
      <c r="F2597" t="s">
        <v>53</v>
      </c>
      <c r="G2597" t="s">
        <v>71</v>
      </c>
      <c r="H2597">
        <v>43593</v>
      </c>
      <c r="I2597">
        <v>1</v>
      </c>
      <c r="J2597">
        <v>0</v>
      </c>
      <c r="K2597">
        <v>1</v>
      </c>
      <c r="L2597">
        <v>0</v>
      </c>
      <c r="M2597" t="s">
        <v>36</v>
      </c>
      <c r="N2597" t="s">
        <v>36</v>
      </c>
      <c r="O2597" t="s">
        <v>36</v>
      </c>
      <c r="P2597" t="s">
        <v>442</v>
      </c>
      <c r="Q2597" t="s">
        <v>36</v>
      </c>
      <c r="R2597" t="s">
        <v>36</v>
      </c>
      <c r="S2597" t="s">
        <v>36</v>
      </c>
      <c r="T2597" t="s">
        <v>36</v>
      </c>
      <c r="U2597">
        <v>0</v>
      </c>
      <c r="V2597">
        <v>1</v>
      </c>
      <c r="W2597">
        <v>0</v>
      </c>
      <c r="X2597">
        <v>1</v>
      </c>
      <c r="Y2597">
        <v>0</v>
      </c>
      <c r="Z2597">
        <v>1</v>
      </c>
      <c r="AA2597">
        <v>0</v>
      </c>
      <c r="AB2597">
        <v>0</v>
      </c>
      <c r="AC2597">
        <v>1</v>
      </c>
      <c r="AD2597">
        <v>0</v>
      </c>
      <c r="AE2597">
        <v>1</v>
      </c>
      <c r="AF2597">
        <v>0</v>
      </c>
      <c r="AG2597">
        <v>0</v>
      </c>
    </row>
    <row r="2598" spans="1:33" x14ac:dyDescent="0.2">
      <c r="A2598">
        <v>2597</v>
      </c>
      <c r="B2598" t="s">
        <v>706</v>
      </c>
      <c r="C2598" t="s">
        <v>108</v>
      </c>
      <c r="D2598">
        <v>34</v>
      </c>
      <c r="E2598" t="s">
        <v>34</v>
      </c>
      <c r="F2598" t="s">
        <v>41</v>
      </c>
      <c r="G2598" t="s">
        <v>61</v>
      </c>
      <c r="H2598">
        <v>22535</v>
      </c>
      <c r="I2598">
        <v>1</v>
      </c>
      <c r="J2598">
        <v>1</v>
      </c>
      <c r="K2598">
        <v>1</v>
      </c>
      <c r="L2598">
        <v>0</v>
      </c>
      <c r="M2598" t="s">
        <v>62</v>
      </c>
      <c r="N2598" t="s">
        <v>87</v>
      </c>
      <c r="O2598" t="s">
        <v>63</v>
      </c>
      <c r="P2598" t="s">
        <v>442</v>
      </c>
      <c r="Q2598" t="s">
        <v>65</v>
      </c>
      <c r="R2598" t="s">
        <v>47</v>
      </c>
      <c r="S2598" t="s">
        <v>46</v>
      </c>
      <c r="T2598">
        <v>0</v>
      </c>
      <c r="U2598">
        <v>1</v>
      </c>
      <c r="V2598">
        <v>0</v>
      </c>
      <c r="W2598">
        <v>1</v>
      </c>
      <c r="X2598">
        <v>1</v>
      </c>
      <c r="Y2598">
        <v>0</v>
      </c>
      <c r="Z2598">
        <v>1</v>
      </c>
      <c r="AA2598">
        <v>0</v>
      </c>
      <c r="AB2598">
        <v>1</v>
      </c>
      <c r="AC2598">
        <v>0</v>
      </c>
      <c r="AD2598">
        <v>1</v>
      </c>
      <c r="AE2598">
        <v>1</v>
      </c>
      <c r="AF2598">
        <v>0</v>
      </c>
      <c r="AG2598">
        <v>0</v>
      </c>
    </row>
    <row r="2599" spans="1:33" x14ac:dyDescent="0.2">
      <c r="A2599">
        <v>2598</v>
      </c>
      <c r="B2599" t="s">
        <v>706</v>
      </c>
      <c r="C2599" t="s">
        <v>108</v>
      </c>
      <c r="D2599">
        <v>34</v>
      </c>
      <c r="E2599" t="s">
        <v>34</v>
      </c>
      <c r="F2599" t="s">
        <v>41</v>
      </c>
      <c r="G2599" t="s">
        <v>67</v>
      </c>
      <c r="H2599">
        <v>74997</v>
      </c>
      <c r="I2599">
        <v>1</v>
      </c>
      <c r="J2599">
        <v>1</v>
      </c>
      <c r="K2599">
        <v>1</v>
      </c>
      <c r="L2599">
        <v>0</v>
      </c>
      <c r="M2599" t="s">
        <v>69</v>
      </c>
      <c r="N2599" t="s">
        <v>70</v>
      </c>
      <c r="O2599" t="s">
        <v>86</v>
      </c>
      <c r="P2599" t="s">
        <v>442</v>
      </c>
      <c r="Q2599" t="s">
        <v>48</v>
      </c>
      <c r="R2599" t="s">
        <v>47</v>
      </c>
      <c r="S2599" t="s">
        <v>46</v>
      </c>
      <c r="T2599">
        <v>0</v>
      </c>
      <c r="U2599">
        <v>0</v>
      </c>
      <c r="V2599">
        <v>1</v>
      </c>
      <c r="W2599">
        <v>1</v>
      </c>
      <c r="X2599">
        <v>1</v>
      </c>
      <c r="Y2599">
        <v>0</v>
      </c>
      <c r="Z2599">
        <v>1</v>
      </c>
      <c r="AA2599">
        <v>0</v>
      </c>
      <c r="AB2599">
        <v>0</v>
      </c>
      <c r="AC2599">
        <v>1</v>
      </c>
      <c r="AD2599">
        <v>1</v>
      </c>
      <c r="AE2599">
        <v>1</v>
      </c>
      <c r="AF2599">
        <v>0</v>
      </c>
      <c r="AG2599">
        <v>0</v>
      </c>
    </row>
    <row r="2600" spans="1:33" hidden="1" x14ac:dyDescent="0.2">
      <c r="A2600">
        <v>2599</v>
      </c>
      <c r="B2600" t="s">
        <v>706</v>
      </c>
      <c r="C2600" t="s">
        <v>108</v>
      </c>
      <c r="D2600">
        <v>34</v>
      </c>
      <c r="E2600" t="s">
        <v>34</v>
      </c>
      <c r="F2600" t="s">
        <v>53</v>
      </c>
      <c r="G2600" t="s">
        <v>66</v>
      </c>
      <c r="H2600">
        <v>29740</v>
      </c>
      <c r="I2600">
        <v>1</v>
      </c>
      <c r="J2600">
        <v>1</v>
      </c>
      <c r="K2600">
        <v>0</v>
      </c>
      <c r="L2600">
        <v>0</v>
      </c>
      <c r="M2600" t="s">
        <v>36</v>
      </c>
      <c r="N2600" t="s">
        <v>36</v>
      </c>
      <c r="O2600" t="s">
        <v>36</v>
      </c>
      <c r="P2600" t="s">
        <v>442</v>
      </c>
      <c r="Q2600" t="s">
        <v>36</v>
      </c>
      <c r="R2600" t="s">
        <v>36</v>
      </c>
      <c r="S2600" t="s">
        <v>36</v>
      </c>
      <c r="T2600" t="s">
        <v>36</v>
      </c>
      <c r="U2600">
        <v>0</v>
      </c>
      <c r="V2600">
        <v>1</v>
      </c>
      <c r="W2600">
        <v>1</v>
      </c>
      <c r="X2600">
        <v>1</v>
      </c>
      <c r="Y2600">
        <v>0</v>
      </c>
      <c r="Z2600">
        <v>1</v>
      </c>
      <c r="AA2600">
        <v>0</v>
      </c>
      <c r="AB2600">
        <v>0</v>
      </c>
      <c r="AC2600">
        <v>1</v>
      </c>
      <c r="AD2600">
        <v>1</v>
      </c>
      <c r="AE2600">
        <v>1</v>
      </c>
      <c r="AF2600">
        <v>0</v>
      </c>
      <c r="AG2600">
        <v>0</v>
      </c>
    </row>
    <row r="2601" spans="1:33" x14ac:dyDescent="0.2">
      <c r="A2601">
        <v>2600</v>
      </c>
      <c r="B2601" t="s">
        <v>706</v>
      </c>
      <c r="C2601" t="s">
        <v>108</v>
      </c>
      <c r="D2601">
        <v>34</v>
      </c>
      <c r="E2601" t="s">
        <v>34</v>
      </c>
      <c r="F2601" t="s">
        <v>41</v>
      </c>
      <c r="G2601" t="s">
        <v>72</v>
      </c>
      <c r="H2601">
        <v>39383</v>
      </c>
      <c r="I2601">
        <v>1</v>
      </c>
      <c r="J2601">
        <v>1</v>
      </c>
      <c r="K2601">
        <v>1</v>
      </c>
      <c r="L2601">
        <v>0</v>
      </c>
      <c r="M2601" t="s">
        <v>74</v>
      </c>
      <c r="N2601" t="s">
        <v>115</v>
      </c>
      <c r="O2601" t="s">
        <v>93</v>
      </c>
      <c r="P2601" t="s">
        <v>442</v>
      </c>
      <c r="Q2601" t="s">
        <v>47</v>
      </c>
      <c r="R2601" t="s">
        <v>65</v>
      </c>
      <c r="S2601" t="s">
        <v>59</v>
      </c>
      <c r="T2601">
        <v>0</v>
      </c>
      <c r="U2601">
        <v>1</v>
      </c>
      <c r="V2601">
        <v>0</v>
      </c>
      <c r="W2601">
        <v>1</v>
      </c>
      <c r="X2601">
        <v>0</v>
      </c>
      <c r="Y2601">
        <v>0</v>
      </c>
      <c r="Z2601">
        <v>1</v>
      </c>
      <c r="AA2601">
        <v>0</v>
      </c>
      <c r="AB2601">
        <v>1</v>
      </c>
      <c r="AC2601">
        <v>0</v>
      </c>
      <c r="AD2601">
        <v>1</v>
      </c>
      <c r="AE2601">
        <v>0</v>
      </c>
      <c r="AF2601">
        <v>0</v>
      </c>
      <c r="AG2601">
        <v>0</v>
      </c>
    </row>
    <row r="2602" spans="1:33" hidden="1" x14ac:dyDescent="0.2">
      <c r="A2602">
        <v>2601</v>
      </c>
      <c r="B2602" t="s">
        <v>706</v>
      </c>
      <c r="C2602" t="s">
        <v>108</v>
      </c>
      <c r="D2602">
        <v>34</v>
      </c>
      <c r="E2602" t="s">
        <v>34</v>
      </c>
      <c r="F2602" t="s">
        <v>53</v>
      </c>
      <c r="G2602" t="s">
        <v>54</v>
      </c>
      <c r="H2602">
        <v>44760</v>
      </c>
      <c r="I2602">
        <v>0</v>
      </c>
      <c r="J2602">
        <v>1</v>
      </c>
      <c r="K2602">
        <v>1</v>
      </c>
      <c r="L2602">
        <v>0</v>
      </c>
      <c r="M2602" t="s">
        <v>36</v>
      </c>
      <c r="N2602" t="s">
        <v>36</v>
      </c>
      <c r="O2602" t="s">
        <v>36</v>
      </c>
      <c r="P2602" t="s">
        <v>442</v>
      </c>
      <c r="Q2602" t="s">
        <v>36</v>
      </c>
      <c r="R2602" t="s">
        <v>36</v>
      </c>
      <c r="S2602" t="s">
        <v>36</v>
      </c>
      <c r="T2602" t="s">
        <v>36</v>
      </c>
      <c r="U2602">
        <v>1</v>
      </c>
      <c r="V2602">
        <v>0</v>
      </c>
      <c r="W2602">
        <v>1</v>
      </c>
      <c r="X2602">
        <v>0</v>
      </c>
      <c r="Y2602">
        <v>0</v>
      </c>
      <c r="Z2602">
        <v>1</v>
      </c>
      <c r="AA2602">
        <v>0</v>
      </c>
      <c r="AB2602">
        <v>1</v>
      </c>
      <c r="AC2602">
        <v>0</v>
      </c>
      <c r="AD2602">
        <v>1</v>
      </c>
      <c r="AE2602">
        <v>0</v>
      </c>
      <c r="AF2602">
        <v>0</v>
      </c>
      <c r="AG2602">
        <v>0</v>
      </c>
    </row>
    <row r="2603" spans="1:33" x14ac:dyDescent="0.2">
      <c r="A2603">
        <v>2602</v>
      </c>
      <c r="B2603" t="s">
        <v>706</v>
      </c>
      <c r="C2603" t="s">
        <v>108</v>
      </c>
      <c r="D2603">
        <v>34</v>
      </c>
      <c r="E2603" t="s">
        <v>34</v>
      </c>
      <c r="F2603" t="s">
        <v>41</v>
      </c>
      <c r="G2603" t="s">
        <v>55</v>
      </c>
      <c r="H2603">
        <v>28581</v>
      </c>
      <c r="I2603">
        <v>1</v>
      </c>
      <c r="J2603">
        <v>1</v>
      </c>
      <c r="K2603">
        <v>1</v>
      </c>
      <c r="L2603">
        <v>0</v>
      </c>
      <c r="M2603" t="s">
        <v>94</v>
      </c>
      <c r="N2603" t="s">
        <v>85</v>
      </c>
      <c r="O2603" t="s">
        <v>57</v>
      </c>
      <c r="P2603" t="s">
        <v>442</v>
      </c>
      <c r="Q2603" t="s">
        <v>47</v>
      </c>
      <c r="R2603" t="s">
        <v>65</v>
      </c>
      <c r="S2603" t="s">
        <v>48</v>
      </c>
      <c r="T2603">
        <v>0</v>
      </c>
      <c r="U2603">
        <v>1</v>
      </c>
      <c r="V2603">
        <v>1</v>
      </c>
      <c r="W2603">
        <v>1</v>
      </c>
      <c r="X2603">
        <v>0</v>
      </c>
      <c r="Y2603">
        <v>0</v>
      </c>
      <c r="Z2603">
        <v>1</v>
      </c>
      <c r="AA2603">
        <v>0</v>
      </c>
      <c r="AB2603">
        <v>1</v>
      </c>
      <c r="AC2603">
        <v>1</v>
      </c>
      <c r="AD2603">
        <v>1</v>
      </c>
      <c r="AE2603">
        <v>0</v>
      </c>
      <c r="AF2603">
        <v>0</v>
      </c>
      <c r="AG2603">
        <v>0</v>
      </c>
    </row>
    <row r="2604" spans="1:33" hidden="1" x14ac:dyDescent="0.2">
      <c r="A2604">
        <v>2603</v>
      </c>
      <c r="B2604" t="s">
        <v>706</v>
      </c>
      <c r="C2604" t="s">
        <v>108</v>
      </c>
      <c r="D2604">
        <v>34</v>
      </c>
      <c r="E2604" t="s">
        <v>34</v>
      </c>
      <c r="F2604" t="s">
        <v>53</v>
      </c>
      <c r="G2604" t="s">
        <v>76</v>
      </c>
      <c r="H2604">
        <v>23516</v>
      </c>
      <c r="I2604">
        <v>1</v>
      </c>
      <c r="J2604">
        <v>1</v>
      </c>
      <c r="K2604">
        <v>0</v>
      </c>
      <c r="L2604">
        <v>0</v>
      </c>
      <c r="M2604" t="s">
        <v>36</v>
      </c>
      <c r="N2604" t="s">
        <v>36</v>
      </c>
      <c r="O2604" t="s">
        <v>36</v>
      </c>
      <c r="P2604" t="s">
        <v>442</v>
      </c>
      <c r="Q2604" t="s">
        <v>36</v>
      </c>
      <c r="R2604" t="s">
        <v>36</v>
      </c>
      <c r="S2604" t="s">
        <v>36</v>
      </c>
      <c r="T2604" t="s">
        <v>36</v>
      </c>
      <c r="U2604">
        <v>1</v>
      </c>
      <c r="V2604">
        <v>1</v>
      </c>
      <c r="W2604">
        <v>1</v>
      </c>
      <c r="X2604">
        <v>0</v>
      </c>
      <c r="Y2604">
        <v>0</v>
      </c>
      <c r="Z2604">
        <v>1</v>
      </c>
      <c r="AA2604">
        <v>0</v>
      </c>
      <c r="AB2604">
        <v>1</v>
      </c>
      <c r="AC2604">
        <v>1</v>
      </c>
      <c r="AD2604">
        <v>1</v>
      </c>
      <c r="AE2604">
        <v>0</v>
      </c>
      <c r="AF2604">
        <v>0</v>
      </c>
      <c r="AG2604">
        <v>0</v>
      </c>
    </row>
    <row r="2605" spans="1:33" hidden="1" x14ac:dyDescent="0.2">
      <c r="A2605">
        <v>2604</v>
      </c>
      <c r="B2605" t="s">
        <v>706</v>
      </c>
      <c r="C2605" t="s">
        <v>108</v>
      </c>
      <c r="D2605">
        <v>34</v>
      </c>
      <c r="E2605" t="s">
        <v>34</v>
      </c>
      <c r="F2605" t="s">
        <v>77</v>
      </c>
      <c r="G2605" t="s">
        <v>36</v>
      </c>
      <c r="H2605">
        <v>144983</v>
      </c>
      <c r="I2605" t="s">
        <v>707</v>
      </c>
      <c r="J2605" t="s">
        <v>708</v>
      </c>
      <c r="K2605" t="s">
        <v>709</v>
      </c>
      <c r="L2605" t="s">
        <v>36</v>
      </c>
      <c r="M2605" t="s">
        <v>36</v>
      </c>
      <c r="N2605" t="s">
        <v>36</v>
      </c>
      <c r="O2605" t="s">
        <v>36</v>
      </c>
      <c r="P2605" t="s">
        <v>442</v>
      </c>
      <c r="Q2605" t="s">
        <v>36</v>
      </c>
      <c r="R2605" t="s">
        <v>36</v>
      </c>
      <c r="S2605" t="s">
        <v>36</v>
      </c>
      <c r="T2605" t="s">
        <v>36</v>
      </c>
      <c r="U2605" t="s">
        <v>36</v>
      </c>
      <c r="V2605" t="s">
        <v>36</v>
      </c>
      <c r="W2605" t="s">
        <v>36</v>
      </c>
      <c r="X2605" t="s">
        <v>36</v>
      </c>
      <c r="Y2605" t="s">
        <v>36</v>
      </c>
      <c r="Z2605" t="s">
        <v>36</v>
      </c>
      <c r="AA2605" t="s">
        <v>36</v>
      </c>
      <c r="AB2605" t="s">
        <v>36</v>
      </c>
      <c r="AC2605" t="s">
        <v>36</v>
      </c>
      <c r="AD2605" t="s">
        <v>36</v>
      </c>
      <c r="AE2605" t="s">
        <v>36</v>
      </c>
      <c r="AF2605" t="s">
        <v>36</v>
      </c>
      <c r="AG2605" t="s">
        <v>36</v>
      </c>
    </row>
    <row r="2606" spans="1:33" hidden="1" x14ac:dyDescent="0.2">
      <c r="A2606">
        <v>2605</v>
      </c>
      <c r="B2606" t="s">
        <v>710</v>
      </c>
      <c r="C2606" t="s">
        <v>108</v>
      </c>
      <c r="D2606">
        <v>59</v>
      </c>
      <c r="E2606" t="s">
        <v>34</v>
      </c>
      <c r="F2606" t="s">
        <v>35</v>
      </c>
      <c r="G2606" t="s">
        <v>36</v>
      </c>
      <c r="H2606">
        <v>30217</v>
      </c>
      <c r="I2606" t="s">
        <v>36</v>
      </c>
      <c r="J2606" t="s">
        <v>36</v>
      </c>
      <c r="K2606" t="s">
        <v>36</v>
      </c>
      <c r="L2606" t="s">
        <v>36</v>
      </c>
      <c r="M2606" t="s">
        <v>36</v>
      </c>
      <c r="N2606" t="s">
        <v>36</v>
      </c>
      <c r="O2606" t="s">
        <v>36</v>
      </c>
      <c r="P2606" t="s">
        <v>442</v>
      </c>
      <c r="Q2606" t="s">
        <v>36</v>
      </c>
      <c r="R2606" t="s">
        <v>36</v>
      </c>
      <c r="S2606" t="s">
        <v>36</v>
      </c>
      <c r="T2606" t="s">
        <v>36</v>
      </c>
      <c r="U2606" t="s">
        <v>36</v>
      </c>
      <c r="V2606" t="s">
        <v>36</v>
      </c>
      <c r="W2606" t="s">
        <v>36</v>
      </c>
      <c r="X2606" t="s">
        <v>36</v>
      </c>
      <c r="Y2606" t="s">
        <v>36</v>
      </c>
      <c r="Z2606" t="s">
        <v>36</v>
      </c>
      <c r="AA2606" t="s">
        <v>36</v>
      </c>
      <c r="AB2606" t="s">
        <v>36</v>
      </c>
      <c r="AC2606" t="s">
        <v>36</v>
      </c>
      <c r="AD2606" t="s">
        <v>36</v>
      </c>
      <c r="AE2606" t="s">
        <v>36</v>
      </c>
      <c r="AF2606" t="s">
        <v>36</v>
      </c>
      <c r="AG2606" t="s">
        <v>36</v>
      </c>
    </row>
    <row r="2607" spans="1:33" hidden="1" x14ac:dyDescent="0.2">
      <c r="A2607">
        <v>2606</v>
      </c>
      <c r="B2607" t="s">
        <v>710</v>
      </c>
      <c r="C2607" t="s">
        <v>108</v>
      </c>
      <c r="D2607">
        <v>59</v>
      </c>
      <c r="E2607" t="s">
        <v>34</v>
      </c>
      <c r="F2607" t="s">
        <v>38</v>
      </c>
      <c r="G2607" t="s">
        <v>40</v>
      </c>
      <c r="H2607">
        <v>31974</v>
      </c>
      <c r="I2607">
        <v>0</v>
      </c>
      <c r="J2607">
        <v>0</v>
      </c>
      <c r="K2607">
        <v>1</v>
      </c>
      <c r="L2607">
        <v>0</v>
      </c>
      <c r="M2607" t="s">
        <v>36</v>
      </c>
      <c r="N2607" t="s">
        <v>36</v>
      </c>
      <c r="O2607" t="s">
        <v>36</v>
      </c>
      <c r="P2607" t="s">
        <v>442</v>
      </c>
      <c r="Q2607" t="s">
        <v>36</v>
      </c>
      <c r="R2607" t="s">
        <v>36</v>
      </c>
      <c r="S2607" t="s">
        <v>36</v>
      </c>
      <c r="T2607" t="s">
        <v>36</v>
      </c>
      <c r="U2607" t="s">
        <v>36</v>
      </c>
      <c r="V2607" t="s">
        <v>36</v>
      </c>
      <c r="W2607" t="s">
        <v>36</v>
      </c>
      <c r="X2607" t="s">
        <v>36</v>
      </c>
      <c r="Y2607" t="s">
        <v>36</v>
      </c>
      <c r="Z2607" t="s">
        <v>36</v>
      </c>
      <c r="AA2607" t="s">
        <v>36</v>
      </c>
      <c r="AB2607" t="s">
        <v>36</v>
      </c>
      <c r="AC2607" t="s">
        <v>36</v>
      </c>
      <c r="AD2607" t="s">
        <v>36</v>
      </c>
      <c r="AE2607" t="s">
        <v>36</v>
      </c>
      <c r="AF2607" t="s">
        <v>36</v>
      </c>
      <c r="AG2607" t="s">
        <v>36</v>
      </c>
    </row>
    <row r="2608" spans="1:33" hidden="1" x14ac:dyDescent="0.2">
      <c r="A2608">
        <v>2607</v>
      </c>
      <c r="B2608" t="s">
        <v>710</v>
      </c>
      <c r="C2608" t="s">
        <v>108</v>
      </c>
      <c r="D2608">
        <v>59</v>
      </c>
      <c r="E2608" t="s">
        <v>34</v>
      </c>
      <c r="F2608" t="s">
        <v>38</v>
      </c>
      <c r="G2608" t="s">
        <v>39</v>
      </c>
      <c r="H2608">
        <v>38111</v>
      </c>
      <c r="I2608">
        <v>0</v>
      </c>
      <c r="J2608">
        <v>0</v>
      </c>
      <c r="K2608">
        <v>0</v>
      </c>
      <c r="L2608">
        <v>1</v>
      </c>
      <c r="M2608" t="s">
        <v>36</v>
      </c>
      <c r="N2608" t="s">
        <v>36</v>
      </c>
      <c r="O2608" t="s">
        <v>36</v>
      </c>
      <c r="P2608" t="s">
        <v>442</v>
      </c>
      <c r="Q2608" t="s">
        <v>36</v>
      </c>
      <c r="R2608" t="s">
        <v>36</v>
      </c>
      <c r="S2608" t="s">
        <v>36</v>
      </c>
      <c r="T2608" t="s">
        <v>36</v>
      </c>
      <c r="U2608" t="s">
        <v>36</v>
      </c>
      <c r="V2608" t="s">
        <v>36</v>
      </c>
      <c r="W2608" t="s">
        <v>36</v>
      </c>
      <c r="X2608" t="s">
        <v>36</v>
      </c>
      <c r="Y2608" t="s">
        <v>36</v>
      </c>
      <c r="Z2608" t="s">
        <v>36</v>
      </c>
      <c r="AA2608" t="s">
        <v>36</v>
      </c>
      <c r="AB2608" t="s">
        <v>36</v>
      </c>
      <c r="AC2608" t="s">
        <v>36</v>
      </c>
      <c r="AD2608" t="s">
        <v>36</v>
      </c>
      <c r="AE2608" t="s">
        <v>36</v>
      </c>
      <c r="AF2608" t="s">
        <v>36</v>
      </c>
      <c r="AG2608" t="s">
        <v>36</v>
      </c>
    </row>
    <row r="2609" spans="1:33" x14ac:dyDescent="0.2">
      <c r="A2609">
        <v>2608</v>
      </c>
      <c r="B2609" t="s">
        <v>710</v>
      </c>
      <c r="C2609" t="s">
        <v>108</v>
      </c>
      <c r="D2609">
        <v>59</v>
      </c>
      <c r="E2609" t="s">
        <v>34</v>
      </c>
      <c r="F2609" t="s">
        <v>41</v>
      </c>
      <c r="G2609" t="s">
        <v>49</v>
      </c>
      <c r="H2609">
        <v>59358</v>
      </c>
      <c r="I2609">
        <v>1</v>
      </c>
      <c r="J2609">
        <v>0</v>
      </c>
      <c r="K2609">
        <v>0</v>
      </c>
      <c r="L2609">
        <v>0</v>
      </c>
      <c r="M2609" t="s">
        <v>96</v>
      </c>
      <c r="N2609" t="s">
        <v>52</v>
      </c>
      <c r="O2609" t="s">
        <v>83</v>
      </c>
      <c r="P2609" t="s">
        <v>442</v>
      </c>
      <c r="Q2609" t="s">
        <v>65</v>
      </c>
      <c r="R2609" t="s">
        <v>46</v>
      </c>
      <c r="S2609" t="s">
        <v>59</v>
      </c>
      <c r="T2609">
        <v>0</v>
      </c>
      <c r="U2609">
        <v>1</v>
      </c>
      <c r="V2609">
        <v>0</v>
      </c>
      <c r="W2609">
        <v>0</v>
      </c>
      <c r="X2609">
        <v>1</v>
      </c>
      <c r="Y2609">
        <v>0</v>
      </c>
      <c r="Z2609">
        <v>1</v>
      </c>
      <c r="AA2609">
        <v>0</v>
      </c>
      <c r="AB2609">
        <v>1</v>
      </c>
      <c r="AC2609">
        <v>0</v>
      </c>
      <c r="AD2609">
        <v>0</v>
      </c>
      <c r="AE2609">
        <v>0</v>
      </c>
      <c r="AF2609">
        <v>0</v>
      </c>
      <c r="AG2609">
        <v>0</v>
      </c>
    </row>
    <row r="2610" spans="1:33" x14ac:dyDescent="0.2">
      <c r="A2610">
        <v>2609</v>
      </c>
      <c r="B2610" t="s">
        <v>710</v>
      </c>
      <c r="C2610" t="s">
        <v>108</v>
      </c>
      <c r="D2610">
        <v>59</v>
      </c>
      <c r="E2610" t="s">
        <v>34</v>
      </c>
      <c r="F2610" t="s">
        <v>41</v>
      </c>
      <c r="G2610" t="s">
        <v>42</v>
      </c>
      <c r="H2610">
        <v>22277</v>
      </c>
      <c r="I2610">
        <v>1</v>
      </c>
      <c r="J2610">
        <v>0</v>
      </c>
      <c r="K2610">
        <v>1</v>
      </c>
      <c r="L2610">
        <v>0</v>
      </c>
      <c r="M2610" t="s">
        <v>82</v>
      </c>
      <c r="N2610" t="s">
        <v>43</v>
      </c>
      <c r="O2610" t="s">
        <v>44</v>
      </c>
      <c r="P2610" t="s">
        <v>442</v>
      </c>
      <c r="Q2610" t="s">
        <v>65</v>
      </c>
      <c r="R2610" t="s">
        <v>46</v>
      </c>
      <c r="S2610" t="s">
        <v>47</v>
      </c>
      <c r="T2610">
        <v>0</v>
      </c>
      <c r="U2610">
        <v>1</v>
      </c>
      <c r="V2610">
        <v>0</v>
      </c>
      <c r="W2610">
        <v>1</v>
      </c>
      <c r="X2610">
        <v>1</v>
      </c>
      <c r="Y2610">
        <v>0</v>
      </c>
      <c r="Z2610">
        <v>1</v>
      </c>
      <c r="AA2610">
        <v>0</v>
      </c>
      <c r="AB2610">
        <v>1</v>
      </c>
      <c r="AC2610">
        <v>0</v>
      </c>
      <c r="AD2610">
        <v>1</v>
      </c>
      <c r="AE2610">
        <v>0</v>
      </c>
      <c r="AF2610">
        <v>0</v>
      </c>
      <c r="AG2610">
        <v>0</v>
      </c>
    </row>
    <row r="2611" spans="1:33" hidden="1" x14ac:dyDescent="0.2">
      <c r="A2611">
        <v>2610</v>
      </c>
      <c r="B2611" t="s">
        <v>710</v>
      </c>
      <c r="C2611" t="s">
        <v>108</v>
      </c>
      <c r="D2611">
        <v>59</v>
      </c>
      <c r="E2611" t="s">
        <v>34</v>
      </c>
      <c r="F2611" t="s">
        <v>53</v>
      </c>
      <c r="G2611" t="s">
        <v>71</v>
      </c>
      <c r="H2611">
        <v>75895</v>
      </c>
      <c r="I2611">
        <v>0</v>
      </c>
      <c r="J2611">
        <v>0</v>
      </c>
      <c r="K2611">
        <v>0</v>
      </c>
      <c r="L2611">
        <v>1</v>
      </c>
      <c r="M2611" t="s">
        <v>36</v>
      </c>
      <c r="N2611" t="s">
        <v>36</v>
      </c>
      <c r="O2611" t="s">
        <v>36</v>
      </c>
      <c r="P2611" t="s">
        <v>442</v>
      </c>
      <c r="Q2611" t="s">
        <v>36</v>
      </c>
      <c r="R2611" t="s">
        <v>36</v>
      </c>
      <c r="S2611" t="s">
        <v>36</v>
      </c>
      <c r="T2611" t="s">
        <v>36</v>
      </c>
      <c r="U2611">
        <v>1</v>
      </c>
      <c r="V2611">
        <v>0</v>
      </c>
      <c r="W2611">
        <v>1</v>
      </c>
      <c r="X2611">
        <v>1</v>
      </c>
      <c r="Y2611">
        <v>0</v>
      </c>
      <c r="Z2611">
        <v>1</v>
      </c>
      <c r="AA2611">
        <v>0</v>
      </c>
      <c r="AB2611">
        <v>1</v>
      </c>
      <c r="AC2611">
        <v>0</v>
      </c>
      <c r="AD2611">
        <v>1</v>
      </c>
      <c r="AE2611">
        <v>0</v>
      </c>
      <c r="AF2611">
        <v>0</v>
      </c>
      <c r="AG2611">
        <v>0</v>
      </c>
    </row>
    <row r="2612" spans="1:33" x14ac:dyDescent="0.2">
      <c r="A2612">
        <v>2611</v>
      </c>
      <c r="B2612" t="s">
        <v>710</v>
      </c>
      <c r="C2612" t="s">
        <v>108</v>
      </c>
      <c r="D2612">
        <v>59</v>
      </c>
      <c r="E2612" t="s">
        <v>34</v>
      </c>
      <c r="F2612" t="s">
        <v>41</v>
      </c>
      <c r="G2612" t="s">
        <v>67</v>
      </c>
      <c r="H2612">
        <v>32372</v>
      </c>
      <c r="I2612">
        <v>1</v>
      </c>
      <c r="J2612">
        <v>0</v>
      </c>
      <c r="K2612">
        <v>0</v>
      </c>
      <c r="L2612">
        <v>0</v>
      </c>
      <c r="M2612" t="s">
        <v>68</v>
      </c>
      <c r="N2612" t="s">
        <v>86</v>
      </c>
      <c r="O2612" t="s">
        <v>109</v>
      </c>
      <c r="P2612" t="s">
        <v>442</v>
      </c>
      <c r="Q2612" t="s">
        <v>65</v>
      </c>
      <c r="R2612" t="s">
        <v>46</v>
      </c>
      <c r="S2612" t="s">
        <v>59</v>
      </c>
      <c r="T2612">
        <v>0</v>
      </c>
      <c r="U2612">
        <v>1</v>
      </c>
      <c r="V2612">
        <v>0</v>
      </c>
      <c r="W2612">
        <v>0</v>
      </c>
      <c r="X2612">
        <v>1</v>
      </c>
      <c r="Y2612">
        <v>0</v>
      </c>
      <c r="Z2612">
        <v>1</v>
      </c>
      <c r="AA2612">
        <v>0</v>
      </c>
      <c r="AB2612">
        <v>1</v>
      </c>
      <c r="AC2612">
        <v>0</v>
      </c>
      <c r="AD2612">
        <v>0</v>
      </c>
      <c r="AE2612">
        <v>0</v>
      </c>
      <c r="AF2612">
        <v>0</v>
      </c>
      <c r="AG2612">
        <v>0</v>
      </c>
    </row>
    <row r="2613" spans="1:33" hidden="1" x14ac:dyDescent="0.2">
      <c r="A2613">
        <v>2612</v>
      </c>
      <c r="B2613" t="s">
        <v>710</v>
      </c>
      <c r="C2613" t="s">
        <v>108</v>
      </c>
      <c r="D2613">
        <v>59</v>
      </c>
      <c r="E2613" t="s">
        <v>34</v>
      </c>
      <c r="F2613" t="s">
        <v>53</v>
      </c>
      <c r="G2613" t="s">
        <v>76</v>
      </c>
      <c r="H2613">
        <v>26574</v>
      </c>
      <c r="I2613">
        <v>1</v>
      </c>
      <c r="J2613">
        <v>0</v>
      </c>
      <c r="K2613">
        <v>0</v>
      </c>
      <c r="L2613">
        <v>0</v>
      </c>
      <c r="M2613" t="s">
        <v>36</v>
      </c>
      <c r="N2613" t="s">
        <v>36</v>
      </c>
      <c r="O2613" t="s">
        <v>36</v>
      </c>
      <c r="P2613" t="s">
        <v>442</v>
      </c>
      <c r="Q2613" t="s">
        <v>36</v>
      </c>
      <c r="R2613" t="s">
        <v>36</v>
      </c>
      <c r="S2613" t="s">
        <v>36</v>
      </c>
      <c r="T2613" t="s">
        <v>36</v>
      </c>
      <c r="U2613">
        <v>1</v>
      </c>
      <c r="V2613">
        <v>0</v>
      </c>
      <c r="W2613">
        <v>0</v>
      </c>
      <c r="X2613">
        <v>1</v>
      </c>
      <c r="Y2613">
        <v>0</v>
      </c>
      <c r="Z2613">
        <v>1</v>
      </c>
      <c r="AA2613">
        <v>0</v>
      </c>
      <c r="AB2613">
        <v>1</v>
      </c>
      <c r="AC2613">
        <v>0</v>
      </c>
      <c r="AD2613">
        <v>0</v>
      </c>
      <c r="AE2613">
        <v>0</v>
      </c>
      <c r="AF2613">
        <v>0</v>
      </c>
      <c r="AG2613">
        <v>0</v>
      </c>
    </row>
    <row r="2614" spans="1:33" x14ac:dyDescent="0.2">
      <c r="A2614">
        <v>2613</v>
      </c>
      <c r="B2614" t="s">
        <v>710</v>
      </c>
      <c r="C2614" t="s">
        <v>108</v>
      </c>
      <c r="D2614">
        <v>59</v>
      </c>
      <c r="E2614" t="s">
        <v>34</v>
      </c>
      <c r="F2614" t="s">
        <v>41</v>
      </c>
      <c r="G2614" t="s">
        <v>55</v>
      </c>
      <c r="H2614">
        <v>18182</v>
      </c>
      <c r="I2614">
        <v>1</v>
      </c>
      <c r="J2614">
        <v>0</v>
      </c>
      <c r="K2614">
        <v>0</v>
      </c>
      <c r="L2614">
        <v>0</v>
      </c>
      <c r="M2614" t="s">
        <v>94</v>
      </c>
      <c r="N2614" t="s">
        <v>56</v>
      </c>
      <c r="O2614" t="s">
        <v>57</v>
      </c>
      <c r="P2614" t="s">
        <v>442</v>
      </c>
      <c r="Q2614" t="s">
        <v>47</v>
      </c>
      <c r="R2614" t="s">
        <v>59</v>
      </c>
      <c r="S2614" t="s">
        <v>48</v>
      </c>
      <c r="T2614">
        <v>0</v>
      </c>
      <c r="U2614">
        <v>0</v>
      </c>
      <c r="V2614">
        <v>1</v>
      </c>
      <c r="W2614">
        <v>1</v>
      </c>
      <c r="X2614">
        <v>0</v>
      </c>
      <c r="Y2614">
        <v>0</v>
      </c>
      <c r="Z2614">
        <v>1</v>
      </c>
      <c r="AA2614">
        <v>0</v>
      </c>
      <c r="AB2614">
        <v>0</v>
      </c>
      <c r="AC2614">
        <v>0</v>
      </c>
      <c r="AD2614">
        <v>1</v>
      </c>
      <c r="AE2614">
        <v>0</v>
      </c>
      <c r="AF2614">
        <v>0</v>
      </c>
      <c r="AG2614">
        <v>0</v>
      </c>
    </row>
    <row r="2615" spans="1:33" x14ac:dyDescent="0.2">
      <c r="A2615">
        <v>2614</v>
      </c>
      <c r="B2615" t="s">
        <v>710</v>
      </c>
      <c r="C2615" t="s">
        <v>108</v>
      </c>
      <c r="D2615">
        <v>59</v>
      </c>
      <c r="E2615" t="s">
        <v>34</v>
      </c>
      <c r="F2615" t="s">
        <v>41</v>
      </c>
      <c r="G2615" t="s">
        <v>72</v>
      </c>
      <c r="H2615">
        <v>15062</v>
      </c>
      <c r="I2615">
        <v>0</v>
      </c>
      <c r="J2615">
        <v>0</v>
      </c>
      <c r="K2615">
        <v>0</v>
      </c>
      <c r="L2615">
        <v>1</v>
      </c>
      <c r="M2615" t="s">
        <v>93</v>
      </c>
      <c r="N2615" t="s">
        <v>75</v>
      </c>
      <c r="O2615" t="s">
        <v>73</v>
      </c>
      <c r="P2615" t="s">
        <v>442</v>
      </c>
      <c r="Q2615" t="s">
        <v>59</v>
      </c>
      <c r="R2615" t="s">
        <v>46</v>
      </c>
      <c r="S2615" t="s">
        <v>48</v>
      </c>
      <c r="T2615">
        <v>0</v>
      </c>
      <c r="U2615">
        <v>0</v>
      </c>
      <c r="V2615">
        <v>1</v>
      </c>
      <c r="W2615">
        <v>0</v>
      </c>
      <c r="X2615">
        <v>1</v>
      </c>
      <c r="Y2615">
        <v>0</v>
      </c>
      <c r="Z2615">
        <v>1</v>
      </c>
      <c r="AA2615">
        <v>0</v>
      </c>
      <c r="AB2615">
        <v>0</v>
      </c>
      <c r="AC2615">
        <v>0</v>
      </c>
      <c r="AD2615">
        <v>0</v>
      </c>
      <c r="AE2615">
        <v>0</v>
      </c>
      <c r="AF2615">
        <v>0</v>
      </c>
      <c r="AG2615">
        <v>1</v>
      </c>
    </row>
    <row r="2616" spans="1:33" hidden="1" x14ac:dyDescent="0.2">
      <c r="A2616">
        <v>2615</v>
      </c>
      <c r="B2616" t="s">
        <v>710</v>
      </c>
      <c r="C2616" t="s">
        <v>108</v>
      </c>
      <c r="D2616">
        <v>59</v>
      </c>
      <c r="E2616" t="s">
        <v>34</v>
      </c>
      <c r="F2616" t="s">
        <v>53</v>
      </c>
      <c r="G2616" t="s">
        <v>54</v>
      </c>
      <c r="H2616">
        <v>47351</v>
      </c>
      <c r="I2616">
        <v>0</v>
      </c>
      <c r="J2616">
        <v>1</v>
      </c>
      <c r="K2616">
        <v>1</v>
      </c>
      <c r="L2616">
        <v>0</v>
      </c>
      <c r="M2616" t="s">
        <v>36</v>
      </c>
      <c r="N2616" t="s">
        <v>36</v>
      </c>
      <c r="O2616" t="s">
        <v>36</v>
      </c>
      <c r="P2616" t="s">
        <v>442</v>
      </c>
      <c r="Q2616" t="s">
        <v>36</v>
      </c>
      <c r="R2616" t="s">
        <v>36</v>
      </c>
      <c r="S2616" t="s">
        <v>36</v>
      </c>
      <c r="T2616" t="s">
        <v>36</v>
      </c>
      <c r="U2616">
        <v>0</v>
      </c>
      <c r="V2616">
        <v>1</v>
      </c>
      <c r="W2616">
        <v>0</v>
      </c>
      <c r="X2616">
        <v>1</v>
      </c>
      <c r="Y2616">
        <v>0</v>
      </c>
      <c r="Z2616">
        <v>1</v>
      </c>
      <c r="AA2616">
        <v>0</v>
      </c>
      <c r="AB2616">
        <v>0</v>
      </c>
      <c r="AC2616">
        <v>0</v>
      </c>
      <c r="AD2616">
        <v>0</v>
      </c>
      <c r="AE2616">
        <v>0</v>
      </c>
      <c r="AF2616">
        <v>0</v>
      </c>
      <c r="AG2616">
        <v>1</v>
      </c>
    </row>
    <row r="2617" spans="1:33" x14ac:dyDescent="0.2">
      <c r="A2617">
        <v>2616</v>
      </c>
      <c r="B2617" t="s">
        <v>710</v>
      </c>
      <c r="C2617" t="s">
        <v>108</v>
      </c>
      <c r="D2617">
        <v>59</v>
      </c>
      <c r="E2617" t="s">
        <v>34</v>
      </c>
      <c r="F2617" t="s">
        <v>41</v>
      </c>
      <c r="G2617" t="s">
        <v>61</v>
      </c>
      <c r="H2617">
        <v>81854</v>
      </c>
      <c r="I2617">
        <v>1</v>
      </c>
      <c r="J2617">
        <v>1</v>
      </c>
      <c r="K2617">
        <v>0</v>
      </c>
      <c r="L2617">
        <v>0</v>
      </c>
      <c r="M2617" t="s">
        <v>87</v>
      </c>
      <c r="N2617" t="s">
        <v>125</v>
      </c>
      <c r="O2617" t="s">
        <v>63</v>
      </c>
      <c r="P2617" t="s">
        <v>442</v>
      </c>
      <c r="Q2617" t="s">
        <v>47</v>
      </c>
      <c r="R2617" t="s">
        <v>60</v>
      </c>
      <c r="S2617" t="s">
        <v>46</v>
      </c>
      <c r="T2617">
        <v>1</v>
      </c>
      <c r="U2617">
        <v>0</v>
      </c>
      <c r="V2617">
        <v>0</v>
      </c>
      <c r="W2617">
        <v>1</v>
      </c>
      <c r="X2617">
        <v>1</v>
      </c>
      <c r="Y2617">
        <v>0</v>
      </c>
      <c r="Z2617">
        <v>1</v>
      </c>
      <c r="AA2617">
        <v>1</v>
      </c>
      <c r="AB2617">
        <v>0</v>
      </c>
      <c r="AC2617">
        <v>0</v>
      </c>
      <c r="AD2617">
        <v>1</v>
      </c>
      <c r="AE2617">
        <v>0</v>
      </c>
      <c r="AF2617">
        <v>0</v>
      </c>
      <c r="AG2617">
        <v>0</v>
      </c>
    </row>
    <row r="2618" spans="1:33" hidden="1" x14ac:dyDescent="0.2">
      <c r="A2618">
        <v>2617</v>
      </c>
      <c r="B2618" t="s">
        <v>710</v>
      </c>
      <c r="C2618" t="s">
        <v>108</v>
      </c>
      <c r="D2618">
        <v>59</v>
      </c>
      <c r="E2618" t="s">
        <v>34</v>
      </c>
      <c r="F2618" t="s">
        <v>53</v>
      </c>
      <c r="G2618" t="s">
        <v>66</v>
      </c>
      <c r="H2618">
        <v>63229</v>
      </c>
      <c r="I2618">
        <v>1</v>
      </c>
      <c r="J2618">
        <v>1</v>
      </c>
      <c r="K2618">
        <v>0</v>
      </c>
      <c r="L2618">
        <v>0</v>
      </c>
      <c r="M2618" t="s">
        <v>36</v>
      </c>
      <c r="N2618" t="s">
        <v>36</v>
      </c>
      <c r="O2618" t="s">
        <v>36</v>
      </c>
      <c r="P2618" t="s">
        <v>442</v>
      </c>
      <c r="Q2618" t="s">
        <v>36</v>
      </c>
      <c r="R2618" t="s">
        <v>36</v>
      </c>
      <c r="S2618" t="s">
        <v>36</v>
      </c>
      <c r="T2618" t="s">
        <v>36</v>
      </c>
      <c r="U2618">
        <v>0</v>
      </c>
      <c r="V2618">
        <v>0</v>
      </c>
      <c r="W2618">
        <v>1</v>
      </c>
      <c r="X2618">
        <v>1</v>
      </c>
      <c r="Y2618">
        <v>0</v>
      </c>
      <c r="Z2618">
        <v>1</v>
      </c>
      <c r="AA2618">
        <v>1</v>
      </c>
      <c r="AB2618">
        <v>0</v>
      </c>
      <c r="AC2618">
        <v>0</v>
      </c>
      <c r="AD2618">
        <v>1</v>
      </c>
      <c r="AE2618">
        <v>0</v>
      </c>
      <c r="AF2618">
        <v>0</v>
      </c>
      <c r="AG2618">
        <v>0</v>
      </c>
    </row>
    <row r="2619" spans="1:33" hidden="1" x14ac:dyDescent="0.2">
      <c r="A2619">
        <v>2618</v>
      </c>
      <c r="B2619" t="s">
        <v>710</v>
      </c>
      <c r="C2619" t="s">
        <v>108</v>
      </c>
      <c r="D2619">
        <v>59</v>
      </c>
      <c r="E2619" t="s">
        <v>34</v>
      </c>
      <c r="F2619" t="s">
        <v>77</v>
      </c>
      <c r="G2619" t="s">
        <v>36</v>
      </c>
      <c r="H2619">
        <v>201039</v>
      </c>
      <c r="I2619" t="s">
        <v>711</v>
      </c>
      <c r="J2619" t="s">
        <v>712</v>
      </c>
      <c r="K2619" t="s">
        <v>166</v>
      </c>
      <c r="L2619" t="s">
        <v>36</v>
      </c>
      <c r="M2619" t="s">
        <v>36</v>
      </c>
      <c r="N2619" t="s">
        <v>36</v>
      </c>
      <c r="O2619" t="s">
        <v>36</v>
      </c>
      <c r="P2619" t="s">
        <v>442</v>
      </c>
      <c r="Q2619" t="s">
        <v>36</v>
      </c>
      <c r="R2619" t="s">
        <v>36</v>
      </c>
      <c r="S2619" t="s">
        <v>36</v>
      </c>
      <c r="T2619" t="s">
        <v>36</v>
      </c>
      <c r="U2619" t="s">
        <v>36</v>
      </c>
      <c r="V2619" t="s">
        <v>36</v>
      </c>
      <c r="W2619" t="s">
        <v>36</v>
      </c>
      <c r="X2619" t="s">
        <v>36</v>
      </c>
      <c r="Y2619" t="s">
        <v>36</v>
      </c>
      <c r="Z2619" t="s">
        <v>36</v>
      </c>
      <c r="AA2619" t="s">
        <v>36</v>
      </c>
      <c r="AB2619" t="s">
        <v>36</v>
      </c>
      <c r="AC2619" t="s">
        <v>36</v>
      </c>
      <c r="AD2619" t="s">
        <v>36</v>
      </c>
      <c r="AE2619" t="s">
        <v>36</v>
      </c>
      <c r="AF2619" t="s">
        <v>36</v>
      </c>
      <c r="AG2619" t="s">
        <v>36</v>
      </c>
    </row>
    <row r="2620" spans="1:33" hidden="1" x14ac:dyDescent="0.2">
      <c r="A2620">
        <v>2619</v>
      </c>
      <c r="B2620" t="s">
        <v>713</v>
      </c>
      <c r="C2620" t="s">
        <v>108</v>
      </c>
      <c r="D2620">
        <v>29</v>
      </c>
      <c r="E2620" t="s">
        <v>34</v>
      </c>
      <c r="F2620" t="s">
        <v>35</v>
      </c>
      <c r="G2620" t="s">
        <v>36</v>
      </c>
      <c r="H2620">
        <v>58308</v>
      </c>
      <c r="I2620" t="s">
        <v>36</v>
      </c>
      <c r="J2620" t="s">
        <v>36</v>
      </c>
      <c r="K2620" t="s">
        <v>36</v>
      </c>
      <c r="L2620" t="s">
        <v>36</v>
      </c>
      <c r="M2620" t="s">
        <v>36</v>
      </c>
      <c r="N2620" t="s">
        <v>36</v>
      </c>
      <c r="O2620" t="s">
        <v>36</v>
      </c>
      <c r="P2620" t="s">
        <v>442</v>
      </c>
      <c r="Q2620" t="s">
        <v>36</v>
      </c>
      <c r="R2620" t="s">
        <v>36</v>
      </c>
      <c r="S2620" t="s">
        <v>36</v>
      </c>
      <c r="T2620" t="s">
        <v>36</v>
      </c>
      <c r="U2620" t="s">
        <v>36</v>
      </c>
      <c r="V2620" t="s">
        <v>36</v>
      </c>
      <c r="W2620" t="s">
        <v>36</v>
      </c>
      <c r="X2620" t="s">
        <v>36</v>
      </c>
      <c r="Y2620" t="s">
        <v>36</v>
      </c>
      <c r="Z2620" t="s">
        <v>36</v>
      </c>
      <c r="AA2620" t="s">
        <v>36</v>
      </c>
      <c r="AB2620" t="s">
        <v>36</v>
      </c>
      <c r="AC2620" t="s">
        <v>36</v>
      </c>
      <c r="AD2620" t="s">
        <v>36</v>
      </c>
      <c r="AE2620" t="s">
        <v>36</v>
      </c>
      <c r="AF2620" t="s">
        <v>36</v>
      </c>
      <c r="AG2620" t="s">
        <v>36</v>
      </c>
    </row>
    <row r="2621" spans="1:33" hidden="1" x14ac:dyDescent="0.2">
      <c r="A2621">
        <v>2620</v>
      </c>
      <c r="B2621" t="s">
        <v>713</v>
      </c>
      <c r="C2621" t="s">
        <v>108</v>
      </c>
      <c r="D2621">
        <v>29</v>
      </c>
      <c r="E2621" t="s">
        <v>34</v>
      </c>
      <c r="F2621" t="s">
        <v>38</v>
      </c>
      <c r="G2621" t="s">
        <v>39</v>
      </c>
      <c r="H2621">
        <v>33781</v>
      </c>
      <c r="I2621">
        <v>0</v>
      </c>
      <c r="J2621">
        <v>0</v>
      </c>
      <c r="K2621">
        <v>0</v>
      </c>
      <c r="L2621">
        <v>1</v>
      </c>
      <c r="M2621" t="s">
        <v>36</v>
      </c>
      <c r="N2621" t="s">
        <v>36</v>
      </c>
      <c r="O2621" t="s">
        <v>36</v>
      </c>
      <c r="P2621" t="s">
        <v>442</v>
      </c>
      <c r="Q2621" t="s">
        <v>36</v>
      </c>
      <c r="R2621" t="s">
        <v>36</v>
      </c>
      <c r="S2621" t="s">
        <v>36</v>
      </c>
      <c r="T2621" t="s">
        <v>36</v>
      </c>
      <c r="U2621" t="s">
        <v>36</v>
      </c>
      <c r="V2621" t="s">
        <v>36</v>
      </c>
      <c r="W2621" t="s">
        <v>36</v>
      </c>
      <c r="X2621" t="s">
        <v>36</v>
      </c>
      <c r="Y2621" t="s">
        <v>36</v>
      </c>
      <c r="Z2621" t="s">
        <v>36</v>
      </c>
      <c r="AA2621" t="s">
        <v>36</v>
      </c>
      <c r="AB2621" t="s">
        <v>36</v>
      </c>
      <c r="AC2621" t="s">
        <v>36</v>
      </c>
      <c r="AD2621" t="s">
        <v>36</v>
      </c>
      <c r="AE2621" t="s">
        <v>36</v>
      </c>
      <c r="AF2621" t="s">
        <v>36</v>
      </c>
      <c r="AG2621" t="s">
        <v>36</v>
      </c>
    </row>
    <row r="2622" spans="1:33" hidden="1" x14ac:dyDescent="0.2">
      <c r="A2622">
        <v>2621</v>
      </c>
      <c r="B2622" t="s">
        <v>713</v>
      </c>
      <c r="C2622" t="s">
        <v>108</v>
      </c>
      <c r="D2622">
        <v>29</v>
      </c>
      <c r="E2622" t="s">
        <v>34</v>
      </c>
      <c r="F2622" t="s">
        <v>38</v>
      </c>
      <c r="G2622" t="s">
        <v>40</v>
      </c>
      <c r="H2622">
        <v>32109</v>
      </c>
      <c r="I2622">
        <v>0</v>
      </c>
      <c r="J2622">
        <v>0</v>
      </c>
      <c r="K2622">
        <v>1</v>
      </c>
      <c r="L2622">
        <v>0</v>
      </c>
      <c r="M2622" t="s">
        <v>36</v>
      </c>
      <c r="N2622" t="s">
        <v>36</v>
      </c>
      <c r="O2622" t="s">
        <v>36</v>
      </c>
      <c r="P2622" t="s">
        <v>442</v>
      </c>
      <c r="Q2622" t="s">
        <v>36</v>
      </c>
      <c r="R2622" t="s">
        <v>36</v>
      </c>
      <c r="S2622" t="s">
        <v>36</v>
      </c>
      <c r="T2622" t="s">
        <v>36</v>
      </c>
      <c r="U2622" t="s">
        <v>36</v>
      </c>
      <c r="V2622" t="s">
        <v>36</v>
      </c>
      <c r="W2622" t="s">
        <v>36</v>
      </c>
      <c r="X2622" t="s">
        <v>36</v>
      </c>
      <c r="Y2622" t="s">
        <v>36</v>
      </c>
      <c r="Z2622" t="s">
        <v>36</v>
      </c>
      <c r="AA2622" t="s">
        <v>36</v>
      </c>
      <c r="AB2622" t="s">
        <v>36</v>
      </c>
      <c r="AC2622" t="s">
        <v>36</v>
      </c>
      <c r="AD2622" t="s">
        <v>36</v>
      </c>
      <c r="AE2622" t="s">
        <v>36</v>
      </c>
      <c r="AF2622" t="s">
        <v>36</v>
      </c>
      <c r="AG2622" t="s">
        <v>36</v>
      </c>
    </row>
    <row r="2623" spans="1:33" x14ac:dyDescent="0.2">
      <c r="A2623">
        <v>2622</v>
      </c>
      <c r="B2623" t="s">
        <v>713</v>
      </c>
      <c r="C2623" t="s">
        <v>108</v>
      </c>
      <c r="D2623">
        <v>29</v>
      </c>
      <c r="E2623" t="s">
        <v>34</v>
      </c>
      <c r="F2623" t="s">
        <v>41</v>
      </c>
      <c r="G2623" t="s">
        <v>67</v>
      </c>
      <c r="H2623">
        <v>29996</v>
      </c>
      <c r="I2623">
        <v>1</v>
      </c>
      <c r="J2623">
        <v>1</v>
      </c>
      <c r="K2623">
        <v>1</v>
      </c>
      <c r="L2623">
        <v>0</v>
      </c>
      <c r="M2623" t="s">
        <v>69</v>
      </c>
      <c r="N2623" t="s">
        <v>68</v>
      </c>
      <c r="O2623" t="s">
        <v>109</v>
      </c>
      <c r="P2623" t="s">
        <v>442</v>
      </c>
      <c r="Q2623" t="s">
        <v>48</v>
      </c>
      <c r="R2623" t="s">
        <v>65</v>
      </c>
      <c r="S2623" t="s">
        <v>59</v>
      </c>
      <c r="T2623">
        <v>0</v>
      </c>
      <c r="U2623">
        <v>1</v>
      </c>
      <c r="V2623">
        <v>1</v>
      </c>
      <c r="W2623">
        <v>0</v>
      </c>
      <c r="X2623">
        <v>0</v>
      </c>
      <c r="Y2623">
        <v>0</v>
      </c>
      <c r="Z2623">
        <v>1</v>
      </c>
      <c r="AA2623">
        <v>0</v>
      </c>
      <c r="AB2623">
        <v>1</v>
      </c>
      <c r="AC2623">
        <v>1</v>
      </c>
      <c r="AD2623">
        <v>0</v>
      </c>
      <c r="AE2623">
        <v>0</v>
      </c>
      <c r="AF2623">
        <v>0</v>
      </c>
      <c r="AG2623">
        <v>0</v>
      </c>
    </row>
    <row r="2624" spans="1:33" x14ac:dyDescent="0.2">
      <c r="A2624">
        <v>2623</v>
      </c>
      <c r="B2624" t="s">
        <v>713</v>
      </c>
      <c r="C2624" t="s">
        <v>108</v>
      </c>
      <c r="D2624">
        <v>29</v>
      </c>
      <c r="E2624" t="s">
        <v>34</v>
      </c>
      <c r="F2624" t="s">
        <v>41</v>
      </c>
      <c r="G2624" t="s">
        <v>55</v>
      </c>
      <c r="H2624">
        <v>25908</v>
      </c>
      <c r="I2624">
        <v>1</v>
      </c>
      <c r="J2624">
        <v>1</v>
      </c>
      <c r="K2624">
        <v>1</v>
      </c>
      <c r="L2624">
        <v>0</v>
      </c>
      <c r="M2624" t="s">
        <v>84</v>
      </c>
      <c r="N2624" t="s">
        <v>57</v>
      </c>
      <c r="O2624" t="s">
        <v>85</v>
      </c>
      <c r="P2624" t="s">
        <v>442</v>
      </c>
      <c r="Q2624" t="s">
        <v>46</v>
      </c>
      <c r="R2624" t="s">
        <v>48</v>
      </c>
      <c r="S2624" t="s">
        <v>65</v>
      </c>
      <c r="T2624">
        <v>0</v>
      </c>
      <c r="U2624">
        <v>1</v>
      </c>
      <c r="V2624">
        <v>1</v>
      </c>
      <c r="W2624">
        <v>0</v>
      </c>
      <c r="X2624">
        <v>1</v>
      </c>
      <c r="Y2624">
        <v>0</v>
      </c>
      <c r="Z2624">
        <v>1</v>
      </c>
      <c r="AA2624">
        <v>0</v>
      </c>
      <c r="AB2624">
        <v>1</v>
      </c>
      <c r="AC2624">
        <v>1</v>
      </c>
      <c r="AD2624">
        <v>0</v>
      </c>
      <c r="AE2624">
        <v>1</v>
      </c>
      <c r="AF2624">
        <v>0</v>
      </c>
      <c r="AG2624">
        <v>0</v>
      </c>
    </row>
    <row r="2625" spans="1:33" hidden="1" x14ac:dyDescent="0.2">
      <c r="A2625">
        <v>2624</v>
      </c>
      <c r="B2625" t="s">
        <v>713</v>
      </c>
      <c r="C2625" t="s">
        <v>108</v>
      </c>
      <c r="D2625">
        <v>29</v>
      </c>
      <c r="E2625" t="s">
        <v>34</v>
      </c>
      <c r="F2625" t="s">
        <v>53</v>
      </c>
      <c r="G2625" t="s">
        <v>71</v>
      </c>
      <c r="H2625">
        <v>34165</v>
      </c>
      <c r="I2625">
        <v>0</v>
      </c>
      <c r="J2625">
        <v>1</v>
      </c>
      <c r="K2625">
        <v>0</v>
      </c>
      <c r="L2625">
        <v>0</v>
      </c>
      <c r="M2625" t="s">
        <v>36</v>
      </c>
      <c r="N2625" t="s">
        <v>36</v>
      </c>
      <c r="O2625" t="s">
        <v>36</v>
      </c>
      <c r="P2625" t="s">
        <v>442</v>
      </c>
      <c r="Q2625" t="s">
        <v>36</v>
      </c>
      <c r="R2625" t="s">
        <v>36</v>
      </c>
      <c r="S2625" t="s">
        <v>36</v>
      </c>
      <c r="T2625" t="s">
        <v>36</v>
      </c>
      <c r="U2625">
        <v>1</v>
      </c>
      <c r="V2625">
        <v>1</v>
      </c>
      <c r="W2625">
        <v>0</v>
      </c>
      <c r="X2625">
        <v>1</v>
      </c>
      <c r="Y2625">
        <v>0</v>
      </c>
      <c r="Z2625">
        <v>1</v>
      </c>
      <c r="AA2625">
        <v>0</v>
      </c>
      <c r="AB2625">
        <v>1</v>
      </c>
      <c r="AC2625">
        <v>1</v>
      </c>
      <c r="AD2625">
        <v>0</v>
      </c>
      <c r="AE2625">
        <v>1</v>
      </c>
      <c r="AF2625">
        <v>0</v>
      </c>
      <c r="AG2625">
        <v>0</v>
      </c>
    </row>
    <row r="2626" spans="1:33" x14ac:dyDescent="0.2">
      <c r="A2626">
        <v>2625</v>
      </c>
      <c r="B2626" t="s">
        <v>713</v>
      </c>
      <c r="C2626" t="s">
        <v>108</v>
      </c>
      <c r="D2626">
        <v>29</v>
      </c>
      <c r="E2626" t="s">
        <v>34</v>
      </c>
      <c r="F2626" t="s">
        <v>41</v>
      </c>
      <c r="G2626" t="s">
        <v>49</v>
      </c>
      <c r="H2626">
        <v>32325</v>
      </c>
      <c r="I2626">
        <v>1</v>
      </c>
      <c r="J2626">
        <v>1</v>
      </c>
      <c r="K2626">
        <v>1</v>
      </c>
      <c r="L2626">
        <v>0</v>
      </c>
      <c r="M2626" t="s">
        <v>83</v>
      </c>
      <c r="N2626" t="s">
        <v>51</v>
      </c>
      <c r="O2626" t="s">
        <v>52</v>
      </c>
      <c r="P2626" t="s">
        <v>442</v>
      </c>
      <c r="Q2626" t="s">
        <v>59</v>
      </c>
      <c r="R2626" t="s">
        <v>47</v>
      </c>
      <c r="S2626" t="s">
        <v>46</v>
      </c>
      <c r="T2626">
        <v>0</v>
      </c>
      <c r="U2626">
        <v>0</v>
      </c>
      <c r="V2626">
        <v>0</v>
      </c>
      <c r="W2626">
        <v>1</v>
      </c>
      <c r="X2626">
        <v>1</v>
      </c>
      <c r="Y2626">
        <v>0</v>
      </c>
      <c r="Z2626">
        <v>1</v>
      </c>
      <c r="AA2626">
        <v>0</v>
      </c>
      <c r="AB2626">
        <v>0</v>
      </c>
      <c r="AC2626">
        <v>0</v>
      </c>
      <c r="AD2626">
        <v>1</v>
      </c>
      <c r="AE2626">
        <v>1</v>
      </c>
      <c r="AF2626">
        <v>0</v>
      </c>
      <c r="AG2626">
        <v>0</v>
      </c>
    </row>
    <row r="2627" spans="1:33" hidden="1" x14ac:dyDescent="0.2">
      <c r="A2627">
        <v>2626</v>
      </c>
      <c r="B2627" t="s">
        <v>713</v>
      </c>
      <c r="C2627" t="s">
        <v>108</v>
      </c>
      <c r="D2627">
        <v>29</v>
      </c>
      <c r="E2627" t="s">
        <v>34</v>
      </c>
      <c r="F2627" t="s">
        <v>53</v>
      </c>
      <c r="G2627" t="s">
        <v>54</v>
      </c>
      <c r="H2627">
        <v>45421</v>
      </c>
      <c r="I2627">
        <v>1</v>
      </c>
      <c r="J2627">
        <v>1</v>
      </c>
      <c r="K2627">
        <v>1</v>
      </c>
      <c r="L2627">
        <v>0</v>
      </c>
      <c r="M2627" t="s">
        <v>36</v>
      </c>
      <c r="N2627" t="s">
        <v>36</v>
      </c>
      <c r="O2627" t="s">
        <v>36</v>
      </c>
      <c r="P2627" t="s">
        <v>442</v>
      </c>
      <c r="Q2627" t="s">
        <v>36</v>
      </c>
      <c r="R2627" t="s">
        <v>36</v>
      </c>
      <c r="S2627" t="s">
        <v>36</v>
      </c>
      <c r="T2627" t="s">
        <v>36</v>
      </c>
      <c r="U2627">
        <v>0</v>
      </c>
      <c r="V2627">
        <v>0</v>
      </c>
      <c r="W2627">
        <v>1</v>
      </c>
      <c r="X2627">
        <v>1</v>
      </c>
      <c r="Y2627">
        <v>0</v>
      </c>
      <c r="Z2627">
        <v>1</v>
      </c>
      <c r="AA2627">
        <v>0</v>
      </c>
      <c r="AB2627">
        <v>0</v>
      </c>
      <c r="AC2627">
        <v>0</v>
      </c>
      <c r="AD2627">
        <v>1</v>
      </c>
      <c r="AE2627">
        <v>1</v>
      </c>
      <c r="AF2627">
        <v>0</v>
      </c>
      <c r="AG2627">
        <v>0</v>
      </c>
    </row>
    <row r="2628" spans="1:33" x14ac:dyDescent="0.2">
      <c r="A2628">
        <v>2627</v>
      </c>
      <c r="B2628" t="s">
        <v>713</v>
      </c>
      <c r="C2628" t="s">
        <v>108</v>
      </c>
      <c r="D2628">
        <v>29</v>
      </c>
      <c r="E2628" t="s">
        <v>34</v>
      </c>
      <c r="F2628" t="s">
        <v>41</v>
      </c>
      <c r="G2628" t="s">
        <v>42</v>
      </c>
      <c r="H2628">
        <v>25949</v>
      </c>
      <c r="I2628">
        <v>1</v>
      </c>
      <c r="J2628">
        <v>1</v>
      </c>
      <c r="K2628">
        <v>1</v>
      </c>
      <c r="L2628">
        <v>0</v>
      </c>
      <c r="M2628" t="s">
        <v>82</v>
      </c>
      <c r="N2628" t="s">
        <v>102</v>
      </c>
      <c r="O2628" t="s">
        <v>44</v>
      </c>
      <c r="P2628" t="s">
        <v>442</v>
      </c>
      <c r="Q2628" t="s">
        <v>65</v>
      </c>
      <c r="R2628" t="s">
        <v>59</v>
      </c>
      <c r="S2628" t="s">
        <v>47</v>
      </c>
      <c r="T2628">
        <v>0</v>
      </c>
      <c r="U2628">
        <v>1</v>
      </c>
      <c r="V2628">
        <v>0</v>
      </c>
      <c r="W2628">
        <v>1</v>
      </c>
      <c r="X2628">
        <v>0</v>
      </c>
      <c r="Y2628">
        <v>0</v>
      </c>
      <c r="Z2628">
        <v>1</v>
      </c>
      <c r="AA2628">
        <v>0</v>
      </c>
      <c r="AB2628">
        <v>1</v>
      </c>
      <c r="AC2628">
        <v>0</v>
      </c>
      <c r="AD2628">
        <v>1</v>
      </c>
      <c r="AE2628">
        <v>0</v>
      </c>
      <c r="AF2628">
        <v>0</v>
      </c>
      <c r="AG2628">
        <v>0</v>
      </c>
    </row>
    <row r="2629" spans="1:33" x14ac:dyDescent="0.2">
      <c r="A2629">
        <v>2628</v>
      </c>
      <c r="B2629" t="s">
        <v>713</v>
      </c>
      <c r="C2629" t="s">
        <v>108</v>
      </c>
      <c r="D2629">
        <v>29</v>
      </c>
      <c r="E2629" t="s">
        <v>34</v>
      </c>
      <c r="F2629" t="s">
        <v>41</v>
      </c>
      <c r="G2629" t="s">
        <v>61</v>
      </c>
      <c r="H2629">
        <v>34413</v>
      </c>
      <c r="I2629">
        <v>1</v>
      </c>
      <c r="J2629">
        <v>1</v>
      </c>
      <c r="K2629">
        <v>1</v>
      </c>
      <c r="L2629">
        <v>0</v>
      </c>
      <c r="M2629" t="s">
        <v>64</v>
      </c>
      <c r="N2629" t="s">
        <v>87</v>
      </c>
      <c r="O2629" t="s">
        <v>97</v>
      </c>
      <c r="P2629" t="s">
        <v>442</v>
      </c>
      <c r="Q2629" t="s">
        <v>48</v>
      </c>
      <c r="R2629" t="s">
        <v>47</v>
      </c>
      <c r="S2629" t="s">
        <v>59</v>
      </c>
      <c r="T2629">
        <v>0</v>
      </c>
      <c r="U2629">
        <v>0</v>
      </c>
      <c r="V2629">
        <v>1</v>
      </c>
      <c r="W2629">
        <v>1</v>
      </c>
      <c r="X2629">
        <v>0</v>
      </c>
      <c r="Y2629">
        <v>0</v>
      </c>
      <c r="Z2629">
        <v>1</v>
      </c>
      <c r="AA2629">
        <v>0</v>
      </c>
      <c r="AB2629">
        <v>0</v>
      </c>
      <c r="AC2629">
        <v>1</v>
      </c>
      <c r="AD2629">
        <v>1</v>
      </c>
      <c r="AE2629">
        <v>0</v>
      </c>
      <c r="AF2629">
        <v>0</v>
      </c>
      <c r="AG2629">
        <v>0</v>
      </c>
    </row>
    <row r="2630" spans="1:33" hidden="1" x14ac:dyDescent="0.2">
      <c r="A2630">
        <v>2629</v>
      </c>
      <c r="B2630" t="s">
        <v>713</v>
      </c>
      <c r="C2630" t="s">
        <v>108</v>
      </c>
      <c r="D2630">
        <v>29</v>
      </c>
      <c r="E2630" t="s">
        <v>34</v>
      </c>
      <c r="F2630" t="s">
        <v>53</v>
      </c>
      <c r="G2630" t="s">
        <v>66</v>
      </c>
      <c r="H2630">
        <v>28782</v>
      </c>
      <c r="I2630">
        <v>1</v>
      </c>
      <c r="J2630">
        <v>1</v>
      </c>
      <c r="K2630">
        <v>0</v>
      </c>
      <c r="L2630">
        <v>0</v>
      </c>
      <c r="M2630" t="s">
        <v>36</v>
      </c>
      <c r="N2630" t="s">
        <v>36</v>
      </c>
      <c r="O2630" t="s">
        <v>36</v>
      </c>
      <c r="P2630" t="s">
        <v>442</v>
      </c>
      <c r="Q2630" t="s">
        <v>36</v>
      </c>
      <c r="R2630" t="s">
        <v>36</v>
      </c>
      <c r="S2630" t="s">
        <v>36</v>
      </c>
      <c r="T2630" t="s">
        <v>36</v>
      </c>
      <c r="U2630">
        <v>0</v>
      </c>
      <c r="V2630">
        <v>1</v>
      </c>
      <c r="W2630">
        <v>1</v>
      </c>
      <c r="X2630">
        <v>0</v>
      </c>
      <c r="Y2630">
        <v>0</v>
      </c>
      <c r="Z2630">
        <v>1</v>
      </c>
      <c r="AA2630">
        <v>0</v>
      </c>
      <c r="AB2630">
        <v>0</v>
      </c>
      <c r="AC2630">
        <v>1</v>
      </c>
      <c r="AD2630">
        <v>1</v>
      </c>
      <c r="AE2630">
        <v>0</v>
      </c>
      <c r="AF2630">
        <v>0</v>
      </c>
      <c r="AG2630">
        <v>0</v>
      </c>
    </row>
    <row r="2631" spans="1:33" x14ac:dyDescent="0.2">
      <c r="A2631">
        <v>2630</v>
      </c>
      <c r="B2631" t="s">
        <v>713</v>
      </c>
      <c r="C2631" t="s">
        <v>108</v>
      </c>
      <c r="D2631">
        <v>29</v>
      </c>
      <c r="E2631" t="s">
        <v>34</v>
      </c>
      <c r="F2631" t="s">
        <v>41</v>
      </c>
      <c r="G2631" t="s">
        <v>72</v>
      </c>
      <c r="H2631">
        <v>21500</v>
      </c>
      <c r="I2631">
        <v>1</v>
      </c>
      <c r="J2631">
        <v>1</v>
      </c>
      <c r="K2631">
        <v>1</v>
      </c>
      <c r="L2631">
        <v>0</v>
      </c>
      <c r="M2631" t="s">
        <v>75</v>
      </c>
      <c r="N2631" t="s">
        <v>115</v>
      </c>
      <c r="O2631" t="s">
        <v>104</v>
      </c>
      <c r="P2631" t="s">
        <v>442</v>
      </c>
      <c r="Q2631" t="s">
        <v>46</v>
      </c>
      <c r="R2631" t="s">
        <v>65</v>
      </c>
      <c r="S2631" t="s">
        <v>60</v>
      </c>
      <c r="T2631">
        <v>1</v>
      </c>
      <c r="U2631">
        <v>1</v>
      </c>
      <c r="V2631">
        <v>0</v>
      </c>
      <c r="W2631">
        <v>0</v>
      </c>
      <c r="X2631">
        <v>1</v>
      </c>
      <c r="Y2631">
        <v>0</v>
      </c>
      <c r="Z2631">
        <v>1</v>
      </c>
      <c r="AA2631">
        <v>1</v>
      </c>
      <c r="AB2631">
        <v>1</v>
      </c>
      <c r="AC2631">
        <v>0</v>
      </c>
      <c r="AD2631">
        <v>0</v>
      </c>
      <c r="AE2631">
        <v>1</v>
      </c>
      <c r="AF2631">
        <v>0</v>
      </c>
      <c r="AG2631">
        <v>0</v>
      </c>
    </row>
    <row r="2632" spans="1:33" hidden="1" x14ac:dyDescent="0.2">
      <c r="A2632">
        <v>2631</v>
      </c>
      <c r="B2632" t="s">
        <v>713</v>
      </c>
      <c r="C2632" t="s">
        <v>108</v>
      </c>
      <c r="D2632">
        <v>29</v>
      </c>
      <c r="E2632" t="s">
        <v>34</v>
      </c>
      <c r="F2632" t="s">
        <v>53</v>
      </c>
      <c r="G2632" t="s">
        <v>76</v>
      </c>
      <c r="H2632">
        <v>8119</v>
      </c>
      <c r="I2632">
        <v>1</v>
      </c>
      <c r="J2632">
        <v>1</v>
      </c>
      <c r="K2632">
        <v>0</v>
      </c>
      <c r="L2632">
        <v>0</v>
      </c>
      <c r="M2632" t="s">
        <v>36</v>
      </c>
      <c r="N2632" t="s">
        <v>36</v>
      </c>
      <c r="O2632" t="s">
        <v>36</v>
      </c>
      <c r="P2632" t="s">
        <v>442</v>
      </c>
      <c r="Q2632" t="s">
        <v>36</v>
      </c>
      <c r="R2632" t="s">
        <v>36</v>
      </c>
      <c r="S2632" t="s">
        <v>36</v>
      </c>
      <c r="T2632" t="s">
        <v>36</v>
      </c>
      <c r="U2632">
        <v>1</v>
      </c>
      <c r="V2632">
        <v>0</v>
      </c>
      <c r="W2632">
        <v>0</v>
      </c>
      <c r="X2632">
        <v>1</v>
      </c>
      <c r="Y2632">
        <v>0</v>
      </c>
      <c r="Z2632">
        <v>1</v>
      </c>
      <c r="AA2632">
        <v>1</v>
      </c>
      <c r="AB2632">
        <v>1</v>
      </c>
      <c r="AC2632">
        <v>0</v>
      </c>
      <c r="AD2632">
        <v>0</v>
      </c>
      <c r="AE2632">
        <v>1</v>
      </c>
      <c r="AF2632">
        <v>0</v>
      </c>
      <c r="AG2632">
        <v>0</v>
      </c>
    </row>
    <row r="2633" spans="1:33" hidden="1" x14ac:dyDescent="0.2">
      <c r="A2633">
        <v>2632</v>
      </c>
      <c r="B2633" t="s">
        <v>713</v>
      </c>
      <c r="C2633" t="s">
        <v>108</v>
      </c>
      <c r="D2633">
        <v>29</v>
      </c>
      <c r="E2633" t="s">
        <v>34</v>
      </c>
      <c r="F2633" t="s">
        <v>77</v>
      </c>
      <c r="G2633" t="s">
        <v>36</v>
      </c>
      <c r="H2633">
        <v>25158</v>
      </c>
      <c r="I2633" t="s">
        <v>714</v>
      </c>
      <c r="J2633" t="s">
        <v>715</v>
      </c>
      <c r="K2633" t="s">
        <v>162</v>
      </c>
      <c r="L2633" t="s">
        <v>36</v>
      </c>
      <c r="M2633" t="s">
        <v>36</v>
      </c>
      <c r="N2633" t="s">
        <v>36</v>
      </c>
      <c r="O2633" t="s">
        <v>36</v>
      </c>
      <c r="P2633" t="s">
        <v>442</v>
      </c>
      <c r="Q2633" t="s">
        <v>36</v>
      </c>
      <c r="R2633" t="s">
        <v>36</v>
      </c>
      <c r="S2633" t="s">
        <v>36</v>
      </c>
      <c r="T2633" t="s">
        <v>36</v>
      </c>
      <c r="U2633" t="s">
        <v>36</v>
      </c>
      <c r="V2633" t="s">
        <v>36</v>
      </c>
      <c r="W2633" t="s">
        <v>36</v>
      </c>
      <c r="X2633" t="s">
        <v>36</v>
      </c>
      <c r="Y2633" t="s">
        <v>36</v>
      </c>
      <c r="Z2633" t="s">
        <v>36</v>
      </c>
      <c r="AA2633" t="s">
        <v>36</v>
      </c>
      <c r="AB2633" t="s">
        <v>36</v>
      </c>
      <c r="AC2633" t="s">
        <v>36</v>
      </c>
      <c r="AD2633" t="s">
        <v>36</v>
      </c>
      <c r="AE2633" t="s">
        <v>36</v>
      </c>
      <c r="AF2633" t="s">
        <v>36</v>
      </c>
      <c r="AG2633" t="s">
        <v>36</v>
      </c>
    </row>
    <row r="2634" spans="1:33" hidden="1" x14ac:dyDescent="0.2">
      <c r="A2634">
        <v>2633</v>
      </c>
      <c r="B2634" t="s">
        <v>716</v>
      </c>
      <c r="C2634" t="s">
        <v>108</v>
      </c>
      <c r="D2634">
        <v>26</v>
      </c>
      <c r="E2634" t="s">
        <v>34</v>
      </c>
      <c r="F2634" t="s">
        <v>35</v>
      </c>
      <c r="G2634" t="s">
        <v>36</v>
      </c>
      <c r="H2634">
        <v>21578</v>
      </c>
      <c r="I2634" t="s">
        <v>36</v>
      </c>
      <c r="J2634" t="s">
        <v>36</v>
      </c>
      <c r="K2634" t="s">
        <v>36</v>
      </c>
      <c r="L2634" t="s">
        <v>36</v>
      </c>
      <c r="M2634" t="s">
        <v>36</v>
      </c>
      <c r="N2634" t="s">
        <v>36</v>
      </c>
      <c r="O2634" t="s">
        <v>36</v>
      </c>
      <c r="P2634" t="s">
        <v>442</v>
      </c>
      <c r="Q2634" t="s">
        <v>36</v>
      </c>
      <c r="R2634" t="s">
        <v>36</v>
      </c>
      <c r="S2634" t="s">
        <v>36</v>
      </c>
      <c r="T2634" t="s">
        <v>36</v>
      </c>
      <c r="U2634" t="s">
        <v>36</v>
      </c>
      <c r="V2634" t="s">
        <v>36</v>
      </c>
      <c r="W2634" t="s">
        <v>36</v>
      </c>
      <c r="X2634" t="s">
        <v>36</v>
      </c>
      <c r="Y2634" t="s">
        <v>36</v>
      </c>
      <c r="Z2634" t="s">
        <v>36</v>
      </c>
      <c r="AA2634" t="s">
        <v>36</v>
      </c>
      <c r="AB2634" t="s">
        <v>36</v>
      </c>
      <c r="AC2634" t="s">
        <v>36</v>
      </c>
      <c r="AD2634" t="s">
        <v>36</v>
      </c>
      <c r="AE2634" t="s">
        <v>36</v>
      </c>
      <c r="AF2634" t="s">
        <v>36</v>
      </c>
      <c r="AG2634" t="s">
        <v>36</v>
      </c>
    </row>
    <row r="2635" spans="1:33" hidden="1" x14ac:dyDescent="0.2">
      <c r="A2635">
        <v>2634</v>
      </c>
      <c r="B2635" t="s">
        <v>716</v>
      </c>
      <c r="C2635" t="s">
        <v>108</v>
      </c>
      <c r="D2635">
        <v>26</v>
      </c>
      <c r="E2635" t="s">
        <v>34</v>
      </c>
      <c r="F2635" t="s">
        <v>38</v>
      </c>
      <c r="G2635" t="s">
        <v>40</v>
      </c>
      <c r="H2635">
        <v>47039</v>
      </c>
      <c r="I2635">
        <v>0</v>
      </c>
      <c r="J2635">
        <v>0</v>
      </c>
      <c r="K2635">
        <v>0</v>
      </c>
      <c r="L2635">
        <v>1</v>
      </c>
      <c r="M2635" t="s">
        <v>36</v>
      </c>
      <c r="N2635" t="s">
        <v>36</v>
      </c>
      <c r="O2635" t="s">
        <v>36</v>
      </c>
      <c r="P2635" t="s">
        <v>442</v>
      </c>
      <c r="Q2635" t="s">
        <v>36</v>
      </c>
      <c r="R2635" t="s">
        <v>36</v>
      </c>
      <c r="S2635" t="s">
        <v>36</v>
      </c>
      <c r="T2635" t="s">
        <v>36</v>
      </c>
      <c r="U2635" t="s">
        <v>36</v>
      </c>
      <c r="V2635" t="s">
        <v>36</v>
      </c>
      <c r="W2635" t="s">
        <v>36</v>
      </c>
      <c r="X2635" t="s">
        <v>36</v>
      </c>
      <c r="Y2635" t="s">
        <v>36</v>
      </c>
      <c r="Z2635" t="s">
        <v>36</v>
      </c>
      <c r="AA2635" t="s">
        <v>36</v>
      </c>
      <c r="AB2635" t="s">
        <v>36</v>
      </c>
      <c r="AC2635" t="s">
        <v>36</v>
      </c>
      <c r="AD2635" t="s">
        <v>36</v>
      </c>
      <c r="AE2635" t="s">
        <v>36</v>
      </c>
      <c r="AF2635" t="s">
        <v>36</v>
      </c>
      <c r="AG2635" t="s">
        <v>36</v>
      </c>
    </row>
    <row r="2636" spans="1:33" hidden="1" x14ac:dyDescent="0.2">
      <c r="A2636">
        <v>2635</v>
      </c>
      <c r="B2636" t="s">
        <v>716</v>
      </c>
      <c r="C2636" t="s">
        <v>108</v>
      </c>
      <c r="D2636">
        <v>26</v>
      </c>
      <c r="E2636" t="s">
        <v>34</v>
      </c>
      <c r="F2636" t="s">
        <v>38</v>
      </c>
      <c r="G2636" t="s">
        <v>39</v>
      </c>
      <c r="H2636">
        <v>29468</v>
      </c>
      <c r="I2636">
        <v>0</v>
      </c>
      <c r="J2636">
        <v>0</v>
      </c>
      <c r="K2636">
        <v>0</v>
      </c>
      <c r="L2636">
        <v>1</v>
      </c>
      <c r="M2636" t="s">
        <v>36</v>
      </c>
      <c r="N2636" t="s">
        <v>36</v>
      </c>
      <c r="O2636" t="s">
        <v>36</v>
      </c>
      <c r="P2636" t="s">
        <v>442</v>
      </c>
      <c r="Q2636" t="s">
        <v>36</v>
      </c>
      <c r="R2636" t="s">
        <v>36</v>
      </c>
      <c r="S2636" t="s">
        <v>36</v>
      </c>
      <c r="T2636" t="s">
        <v>36</v>
      </c>
      <c r="U2636" t="s">
        <v>36</v>
      </c>
      <c r="V2636" t="s">
        <v>36</v>
      </c>
      <c r="W2636" t="s">
        <v>36</v>
      </c>
      <c r="X2636" t="s">
        <v>36</v>
      </c>
      <c r="Y2636" t="s">
        <v>36</v>
      </c>
      <c r="Z2636" t="s">
        <v>36</v>
      </c>
      <c r="AA2636" t="s">
        <v>36</v>
      </c>
      <c r="AB2636" t="s">
        <v>36</v>
      </c>
      <c r="AC2636" t="s">
        <v>36</v>
      </c>
      <c r="AD2636" t="s">
        <v>36</v>
      </c>
      <c r="AE2636" t="s">
        <v>36</v>
      </c>
      <c r="AF2636" t="s">
        <v>36</v>
      </c>
      <c r="AG2636" t="s">
        <v>36</v>
      </c>
    </row>
    <row r="2637" spans="1:33" x14ac:dyDescent="0.2">
      <c r="A2637">
        <v>2636</v>
      </c>
      <c r="B2637" t="s">
        <v>716</v>
      </c>
      <c r="C2637" t="s">
        <v>108</v>
      </c>
      <c r="D2637">
        <v>26</v>
      </c>
      <c r="E2637" t="s">
        <v>34</v>
      </c>
      <c r="F2637" t="s">
        <v>41</v>
      </c>
      <c r="G2637" t="s">
        <v>42</v>
      </c>
      <c r="H2637">
        <v>37061</v>
      </c>
      <c r="I2637">
        <v>0</v>
      </c>
      <c r="J2637">
        <v>0</v>
      </c>
      <c r="K2637">
        <v>0</v>
      </c>
      <c r="L2637">
        <v>1</v>
      </c>
      <c r="M2637" t="s">
        <v>82</v>
      </c>
      <c r="N2637" t="s">
        <v>45</v>
      </c>
      <c r="O2637" t="s">
        <v>102</v>
      </c>
      <c r="P2637" t="s">
        <v>442</v>
      </c>
      <c r="Q2637" t="s">
        <v>65</v>
      </c>
      <c r="R2637" t="s">
        <v>48</v>
      </c>
      <c r="S2637" t="s">
        <v>59</v>
      </c>
      <c r="T2637">
        <v>0</v>
      </c>
      <c r="U2637">
        <v>1</v>
      </c>
      <c r="V2637">
        <v>1</v>
      </c>
      <c r="W2637">
        <v>0</v>
      </c>
      <c r="X2637">
        <v>0</v>
      </c>
      <c r="Y2637">
        <v>0</v>
      </c>
      <c r="Z2637">
        <v>1</v>
      </c>
      <c r="AA2637">
        <v>0</v>
      </c>
      <c r="AB2637">
        <v>0</v>
      </c>
      <c r="AC2637">
        <v>0</v>
      </c>
      <c r="AD2637">
        <v>0</v>
      </c>
      <c r="AE2637">
        <v>0</v>
      </c>
      <c r="AF2637">
        <v>0</v>
      </c>
      <c r="AG2637">
        <v>1</v>
      </c>
    </row>
    <row r="2638" spans="1:33" x14ac:dyDescent="0.2">
      <c r="A2638">
        <v>2637</v>
      </c>
      <c r="B2638" t="s">
        <v>716</v>
      </c>
      <c r="C2638" t="s">
        <v>108</v>
      </c>
      <c r="D2638">
        <v>26</v>
      </c>
      <c r="E2638" t="s">
        <v>34</v>
      </c>
      <c r="F2638" t="s">
        <v>41</v>
      </c>
      <c r="G2638" t="s">
        <v>67</v>
      </c>
      <c r="H2638">
        <v>52019</v>
      </c>
      <c r="I2638">
        <v>0</v>
      </c>
      <c r="J2638">
        <v>0</v>
      </c>
      <c r="K2638">
        <v>0</v>
      </c>
      <c r="L2638">
        <v>1</v>
      </c>
      <c r="M2638" t="s">
        <v>86</v>
      </c>
      <c r="N2638" t="s">
        <v>109</v>
      </c>
      <c r="O2638" t="s">
        <v>70</v>
      </c>
      <c r="P2638" t="s">
        <v>442</v>
      </c>
      <c r="Q2638" t="s">
        <v>46</v>
      </c>
      <c r="R2638" t="s">
        <v>59</v>
      </c>
      <c r="S2638" t="s">
        <v>47</v>
      </c>
      <c r="T2638">
        <v>0</v>
      </c>
      <c r="U2638">
        <v>0</v>
      </c>
      <c r="V2638">
        <v>0</v>
      </c>
      <c r="W2638">
        <v>1</v>
      </c>
      <c r="X2638">
        <v>1</v>
      </c>
      <c r="Y2638">
        <v>0</v>
      </c>
      <c r="Z2638">
        <v>1</v>
      </c>
      <c r="AA2638">
        <v>0</v>
      </c>
      <c r="AB2638">
        <v>0</v>
      </c>
      <c r="AC2638">
        <v>0</v>
      </c>
      <c r="AD2638">
        <v>0</v>
      </c>
      <c r="AE2638">
        <v>0</v>
      </c>
      <c r="AF2638">
        <v>0</v>
      </c>
      <c r="AG2638">
        <v>1</v>
      </c>
    </row>
    <row r="2639" spans="1:33" hidden="1" x14ac:dyDescent="0.2">
      <c r="A2639">
        <v>2638</v>
      </c>
      <c r="B2639" t="s">
        <v>716</v>
      </c>
      <c r="C2639" t="s">
        <v>108</v>
      </c>
      <c r="D2639">
        <v>26</v>
      </c>
      <c r="E2639" t="s">
        <v>34</v>
      </c>
      <c r="F2639" t="s">
        <v>53</v>
      </c>
      <c r="G2639" t="s">
        <v>71</v>
      </c>
      <c r="H2639">
        <v>23139</v>
      </c>
      <c r="I2639">
        <v>0</v>
      </c>
      <c r="J2639">
        <v>0</v>
      </c>
      <c r="K2639">
        <v>0</v>
      </c>
      <c r="L2639">
        <v>1</v>
      </c>
      <c r="M2639" t="s">
        <v>36</v>
      </c>
      <c r="N2639" t="s">
        <v>36</v>
      </c>
      <c r="O2639" t="s">
        <v>36</v>
      </c>
      <c r="P2639" t="s">
        <v>442</v>
      </c>
      <c r="Q2639" t="s">
        <v>36</v>
      </c>
      <c r="R2639" t="s">
        <v>36</v>
      </c>
      <c r="S2639" t="s">
        <v>36</v>
      </c>
      <c r="T2639" t="s">
        <v>36</v>
      </c>
      <c r="U2639">
        <v>0</v>
      </c>
      <c r="V2639">
        <v>0</v>
      </c>
      <c r="W2639">
        <v>1</v>
      </c>
      <c r="X2639">
        <v>1</v>
      </c>
      <c r="Y2639">
        <v>0</v>
      </c>
      <c r="Z2639">
        <v>1</v>
      </c>
      <c r="AA2639">
        <v>0</v>
      </c>
      <c r="AB2639">
        <v>0</v>
      </c>
      <c r="AC2639">
        <v>0</v>
      </c>
      <c r="AD2639">
        <v>0</v>
      </c>
      <c r="AE2639">
        <v>0</v>
      </c>
      <c r="AF2639">
        <v>0</v>
      </c>
      <c r="AG2639">
        <v>1</v>
      </c>
    </row>
    <row r="2640" spans="1:33" x14ac:dyDescent="0.2">
      <c r="A2640">
        <v>2639</v>
      </c>
      <c r="B2640" t="s">
        <v>716</v>
      </c>
      <c r="C2640" t="s">
        <v>108</v>
      </c>
      <c r="D2640">
        <v>26</v>
      </c>
      <c r="E2640" t="s">
        <v>34</v>
      </c>
      <c r="F2640" t="s">
        <v>41</v>
      </c>
      <c r="G2640" t="s">
        <v>55</v>
      </c>
      <c r="H2640">
        <v>32705</v>
      </c>
      <c r="I2640">
        <v>0</v>
      </c>
      <c r="J2640">
        <v>0</v>
      </c>
      <c r="K2640">
        <v>0</v>
      </c>
      <c r="L2640">
        <v>1</v>
      </c>
      <c r="M2640" t="s">
        <v>84</v>
      </c>
      <c r="N2640" t="s">
        <v>57</v>
      </c>
      <c r="O2640" t="s">
        <v>94</v>
      </c>
      <c r="P2640" t="s">
        <v>442</v>
      </c>
      <c r="Q2640" t="s">
        <v>46</v>
      </c>
      <c r="R2640" t="s">
        <v>48</v>
      </c>
      <c r="S2640" t="s">
        <v>47</v>
      </c>
      <c r="T2640">
        <v>0</v>
      </c>
      <c r="U2640">
        <v>0</v>
      </c>
      <c r="V2640">
        <v>1</v>
      </c>
      <c r="W2640">
        <v>1</v>
      </c>
      <c r="X2640">
        <v>1</v>
      </c>
      <c r="Y2640">
        <v>0</v>
      </c>
      <c r="Z2640">
        <v>1</v>
      </c>
      <c r="AA2640">
        <v>0</v>
      </c>
      <c r="AB2640">
        <v>0</v>
      </c>
      <c r="AC2640">
        <v>0</v>
      </c>
      <c r="AD2640">
        <v>0</v>
      </c>
      <c r="AE2640">
        <v>0</v>
      </c>
      <c r="AF2640">
        <v>0</v>
      </c>
      <c r="AG2640">
        <v>1</v>
      </c>
    </row>
    <row r="2641" spans="1:33" x14ac:dyDescent="0.2">
      <c r="A2641">
        <v>2640</v>
      </c>
      <c r="B2641" t="s">
        <v>716</v>
      </c>
      <c r="C2641" t="s">
        <v>108</v>
      </c>
      <c r="D2641">
        <v>26</v>
      </c>
      <c r="E2641" t="s">
        <v>34</v>
      </c>
      <c r="F2641" t="s">
        <v>41</v>
      </c>
      <c r="G2641" t="s">
        <v>49</v>
      </c>
      <c r="H2641">
        <v>63726</v>
      </c>
      <c r="I2641">
        <v>0</v>
      </c>
      <c r="J2641">
        <v>0</v>
      </c>
      <c r="K2641">
        <v>0</v>
      </c>
      <c r="L2641">
        <v>1</v>
      </c>
      <c r="M2641" t="s">
        <v>52</v>
      </c>
      <c r="N2641" t="s">
        <v>83</v>
      </c>
      <c r="O2641" t="s">
        <v>51</v>
      </c>
      <c r="P2641" t="s">
        <v>442</v>
      </c>
      <c r="Q2641" t="s">
        <v>46</v>
      </c>
      <c r="R2641" t="s">
        <v>59</v>
      </c>
      <c r="S2641" t="s">
        <v>47</v>
      </c>
      <c r="T2641">
        <v>0</v>
      </c>
      <c r="U2641">
        <v>0</v>
      </c>
      <c r="V2641">
        <v>0</v>
      </c>
      <c r="W2641">
        <v>1</v>
      </c>
      <c r="X2641">
        <v>1</v>
      </c>
      <c r="Y2641">
        <v>0</v>
      </c>
      <c r="Z2641">
        <v>1</v>
      </c>
      <c r="AA2641">
        <v>0</v>
      </c>
      <c r="AB2641">
        <v>0</v>
      </c>
      <c r="AC2641">
        <v>0</v>
      </c>
      <c r="AD2641">
        <v>0</v>
      </c>
      <c r="AE2641">
        <v>0</v>
      </c>
      <c r="AF2641">
        <v>0</v>
      </c>
      <c r="AG2641">
        <v>1</v>
      </c>
    </row>
    <row r="2642" spans="1:33" hidden="1" x14ac:dyDescent="0.2">
      <c r="A2642">
        <v>2641</v>
      </c>
      <c r="B2642" t="s">
        <v>716</v>
      </c>
      <c r="C2642" t="s">
        <v>108</v>
      </c>
      <c r="D2642">
        <v>26</v>
      </c>
      <c r="E2642" t="s">
        <v>34</v>
      </c>
      <c r="F2642" t="s">
        <v>53</v>
      </c>
      <c r="G2642" t="s">
        <v>66</v>
      </c>
      <c r="H2642">
        <v>35144</v>
      </c>
      <c r="I2642">
        <v>1</v>
      </c>
      <c r="J2642">
        <v>1</v>
      </c>
      <c r="K2642">
        <v>0</v>
      </c>
      <c r="L2642">
        <v>0</v>
      </c>
      <c r="M2642" t="s">
        <v>36</v>
      </c>
      <c r="N2642" t="s">
        <v>36</v>
      </c>
      <c r="O2642" t="s">
        <v>36</v>
      </c>
      <c r="P2642" t="s">
        <v>442</v>
      </c>
      <c r="Q2642" t="s">
        <v>36</v>
      </c>
      <c r="R2642" t="s">
        <v>36</v>
      </c>
      <c r="S2642" t="s">
        <v>36</v>
      </c>
      <c r="T2642" t="s">
        <v>36</v>
      </c>
      <c r="U2642">
        <v>0</v>
      </c>
      <c r="V2642">
        <v>0</v>
      </c>
      <c r="W2642">
        <v>1</v>
      </c>
      <c r="X2642">
        <v>1</v>
      </c>
      <c r="Y2642">
        <v>0</v>
      </c>
      <c r="Z2642">
        <v>1</v>
      </c>
      <c r="AA2642">
        <v>0</v>
      </c>
      <c r="AB2642">
        <v>0</v>
      </c>
      <c r="AC2642">
        <v>0</v>
      </c>
      <c r="AD2642">
        <v>0</v>
      </c>
      <c r="AE2642">
        <v>0</v>
      </c>
      <c r="AF2642">
        <v>0</v>
      </c>
      <c r="AG2642">
        <v>1</v>
      </c>
    </row>
    <row r="2643" spans="1:33" x14ac:dyDescent="0.2">
      <c r="A2643">
        <v>2642</v>
      </c>
      <c r="B2643" t="s">
        <v>716</v>
      </c>
      <c r="C2643" t="s">
        <v>108</v>
      </c>
      <c r="D2643">
        <v>26</v>
      </c>
      <c r="E2643" t="s">
        <v>34</v>
      </c>
      <c r="F2643" t="s">
        <v>41</v>
      </c>
      <c r="G2643" t="s">
        <v>72</v>
      </c>
      <c r="H2643">
        <v>15950</v>
      </c>
      <c r="I2643">
        <v>0</v>
      </c>
      <c r="J2643">
        <v>0</v>
      </c>
      <c r="K2643">
        <v>0</v>
      </c>
      <c r="L2643">
        <v>1</v>
      </c>
      <c r="M2643" t="s">
        <v>115</v>
      </c>
      <c r="N2643" t="s">
        <v>74</v>
      </c>
      <c r="O2643" t="s">
        <v>75</v>
      </c>
      <c r="P2643" t="s">
        <v>442</v>
      </c>
      <c r="Q2643" t="s">
        <v>65</v>
      </c>
      <c r="R2643" t="s">
        <v>47</v>
      </c>
      <c r="S2643" t="s">
        <v>46</v>
      </c>
      <c r="T2643">
        <v>0</v>
      </c>
      <c r="U2643">
        <v>1</v>
      </c>
      <c r="V2643">
        <v>0</v>
      </c>
      <c r="W2643">
        <v>1</v>
      </c>
      <c r="X2643">
        <v>1</v>
      </c>
      <c r="Y2643">
        <v>0</v>
      </c>
      <c r="Z2643">
        <v>1</v>
      </c>
      <c r="AA2643">
        <v>0</v>
      </c>
      <c r="AB2643">
        <v>0</v>
      </c>
      <c r="AC2643">
        <v>0</v>
      </c>
      <c r="AD2643">
        <v>0</v>
      </c>
      <c r="AE2643">
        <v>0</v>
      </c>
      <c r="AF2643">
        <v>0</v>
      </c>
      <c r="AG2643">
        <v>1</v>
      </c>
    </row>
    <row r="2644" spans="1:33" hidden="1" x14ac:dyDescent="0.2">
      <c r="A2644">
        <v>2643</v>
      </c>
      <c r="B2644" t="s">
        <v>716</v>
      </c>
      <c r="C2644" t="s">
        <v>108</v>
      </c>
      <c r="D2644">
        <v>26</v>
      </c>
      <c r="E2644" t="s">
        <v>34</v>
      </c>
      <c r="F2644" t="s">
        <v>53</v>
      </c>
      <c r="G2644" t="s">
        <v>76</v>
      </c>
      <c r="H2644">
        <v>24030</v>
      </c>
      <c r="I2644">
        <v>1</v>
      </c>
      <c r="J2644">
        <v>0</v>
      </c>
      <c r="K2644">
        <v>0</v>
      </c>
      <c r="L2644">
        <v>0</v>
      </c>
      <c r="M2644" t="s">
        <v>36</v>
      </c>
      <c r="N2644" t="s">
        <v>36</v>
      </c>
      <c r="O2644" t="s">
        <v>36</v>
      </c>
      <c r="P2644" t="s">
        <v>442</v>
      </c>
      <c r="Q2644" t="s">
        <v>36</v>
      </c>
      <c r="R2644" t="s">
        <v>36</v>
      </c>
      <c r="S2644" t="s">
        <v>36</v>
      </c>
      <c r="T2644" t="s">
        <v>36</v>
      </c>
      <c r="U2644">
        <v>1</v>
      </c>
      <c r="V2644">
        <v>0</v>
      </c>
      <c r="W2644">
        <v>1</v>
      </c>
      <c r="X2644">
        <v>1</v>
      </c>
      <c r="Y2644">
        <v>0</v>
      </c>
      <c r="Z2644">
        <v>1</v>
      </c>
      <c r="AA2644">
        <v>0</v>
      </c>
      <c r="AB2644">
        <v>0</v>
      </c>
      <c r="AC2644">
        <v>0</v>
      </c>
      <c r="AD2644">
        <v>0</v>
      </c>
      <c r="AE2644">
        <v>0</v>
      </c>
      <c r="AF2644">
        <v>0</v>
      </c>
      <c r="AG2644">
        <v>1</v>
      </c>
    </row>
    <row r="2645" spans="1:33" x14ac:dyDescent="0.2">
      <c r="A2645">
        <v>2644</v>
      </c>
      <c r="B2645" t="s">
        <v>716</v>
      </c>
      <c r="C2645" t="s">
        <v>108</v>
      </c>
      <c r="D2645">
        <v>26</v>
      </c>
      <c r="E2645" t="s">
        <v>34</v>
      </c>
      <c r="F2645" t="s">
        <v>41</v>
      </c>
      <c r="G2645" t="s">
        <v>61</v>
      </c>
      <c r="H2645">
        <v>38336</v>
      </c>
      <c r="I2645">
        <v>1</v>
      </c>
      <c r="J2645">
        <v>1</v>
      </c>
      <c r="K2645">
        <v>1</v>
      </c>
      <c r="L2645">
        <v>0</v>
      </c>
      <c r="M2645" t="s">
        <v>62</v>
      </c>
      <c r="N2645" t="s">
        <v>63</v>
      </c>
      <c r="O2645" t="s">
        <v>64</v>
      </c>
      <c r="P2645" t="s">
        <v>442</v>
      </c>
      <c r="Q2645" t="s">
        <v>65</v>
      </c>
      <c r="R2645" t="s">
        <v>46</v>
      </c>
      <c r="S2645" t="s">
        <v>48</v>
      </c>
      <c r="T2645">
        <v>0</v>
      </c>
      <c r="U2645">
        <v>1</v>
      </c>
      <c r="V2645">
        <v>1</v>
      </c>
      <c r="W2645">
        <v>0</v>
      </c>
      <c r="X2645">
        <v>1</v>
      </c>
      <c r="Y2645">
        <v>0</v>
      </c>
      <c r="Z2645">
        <v>1</v>
      </c>
      <c r="AA2645">
        <v>0</v>
      </c>
      <c r="AB2645">
        <v>1</v>
      </c>
      <c r="AC2645">
        <v>1</v>
      </c>
      <c r="AD2645">
        <v>0</v>
      </c>
      <c r="AE2645">
        <v>1</v>
      </c>
      <c r="AF2645">
        <v>0</v>
      </c>
      <c r="AG2645">
        <v>0</v>
      </c>
    </row>
    <row r="2646" spans="1:33" hidden="1" x14ac:dyDescent="0.2">
      <c r="A2646">
        <v>2645</v>
      </c>
      <c r="B2646" t="s">
        <v>716</v>
      </c>
      <c r="C2646" t="s">
        <v>108</v>
      </c>
      <c r="D2646">
        <v>26</v>
      </c>
      <c r="E2646" t="s">
        <v>34</v>
      </c>
      <c r="F2646" t="s">
        <v>53</v>
      </c>
      <c r="G2646" t="s">
        <v>54</v>
      </c>
      <c r="H2646">
        <v>50780</v>
      </c>
      <c r="I2646">
        <v>0</v>
      </c>
      <c r="J2646">
        <v>1</v>
      </c>
      <c r="K2646">
        <v>0</v>
      </c>
      <c r="L2646">
        <v>0</v>
      </c>
      <c r="M2646" t="s">
        <v>36</v>
      </c>
      <c r="N2646" t="s">
        <v>36</v>
      </c>
      <c r="O2646" t="s">
        <v>36</v>
      </c>
      <c r="P2646" t="s">
        <v>442</v>
      </c>
      <c r="Q2646" t="s">
        <v>36</v>
      </c>
      <c r="R2646" t="s">
        <v>36</v>
      </c>
      <c r="S2646" t="s">
        <v>36</v>
      </c>
      <c r="T2646" t="s">
        <v>36</v>
      </c>
      <c r="U2646">
        <v>1</v>
      </c>
      <c r="V2646">
        <v>1</v>
      </c>
      <c r="W2646">
        <v>0</v>
      </c>
      <c r="X2646">
        <v>1</v>
      </c>
      <c r="Y2646">
        <v>0</v>
      </c>
      <c r="Z2646">
        <v>1</v>
      </c>
      <c r="AA2646">
        <v>0</v>
      </c>
      <c r="AB2646">
        <v>1</v>
      </c>
      <c r="AC2646">
        <v>1</v>
      </c>
      <c r="AD2646">
        <v>0</v>
      </c>
      <c r="AE2646">
        <v>1</v>
      </c>
      <c r="AF2646">
        <v>0</v>
      </c>
      <c r="AG2646">
        <v>0</v>
      </c>
    </row>
    <row r="2647" spans="1:33" hidden="1" x14ac:dyDescent="0.2">
      <c r="A2647">
        <v>2646</v>
      </c>
      <c r="B2647" t="s">
        <v>716</v>
      </c>
      <c r="C2647" t="s">
        <v>108</v>
      </c>
      <c r="D2647">
        <v>26</v>
      </c>
      <c r="E2647" t="s">
        <v>34</v>
      </c>
      <c r="F2647" t="s">
        <v>77</v>
      </c>
      <c r="G2647" t="s">
        <v>36</v>
      </c>
      <c r="H2647">
        <v>75870</v>
      </c>
      <c r="I2647" t="s">
        <v>717</v>
      </c>
      <c r="J2647" t="s">
        <v>718</v>
      </c>
      <c r="L2647" t="s">
        <v>36</v>
      </c>
      <c r="M2647" t="s">
        <v>36</v>
      </c>
      <c r="N2647" t="s">
        <v>36</v>
      </c>
      <c r="O2647" t="s">
        <v>36</v>
      </c>
      <c r="P2647" t="s">
        <v>442</v>
      </c>
      <c r="Q2647" t="s">
        <v>36</v>
      </c>
      <c r="R2647" t="s">
        <v>36</v>
      </c>
      <c r="S2647" t="s">
        <v>36</v>
      </c>
      <c r="T2647" t="s">
        <v>36</v>
      </c>
      <c r="U2647" t="s">
        <v>36</v>
      </c>
      <c r="V2647" t="s">
        <v>36</v>
      </c>
      <c r="W2647" t="s">
        <v>36</v>
      </c>
      <c r="X2647" t="s">
        <v>36</v>
      </c>
      <c r="Y2647" t="s">
        <v>36</v>
      </c>
      <c r="Z2647" t="s">
        <v>36</v>
      </c>
      <c r="AA2647" t="s">
        <v>36</v>
      </c>
      <c r="AB2647" t="s">
        <v>36</v>
      </c>
      <c r="AC2647" t="s">
        <v>36</v>
      </c>
      <c r="AD2647" t="s">
        <v>36</v>
      </c>
      <c r="AE2647" t="s">
        <v>36</v>
      </c>
      <c r="AF2647" t="s">
        <v>36</v>
      </c>
      <c r="AG2647" t="s">
        <v>36</v>
      </c>
    </row>
    <row r="2648" spans="1:33" hidden="1" x14ac:dyDescent="0.2">
      <c r="A2648">
        <v>2647</v>
      </c>
      <c r="B2648" t="s">
        <v>719</v>
      </c>
      <c r="C2648" t="s">
        <v>108</v>
      </c>
      <c r="D2648">
        <v>37</v>
      </c>
      <c r="E2648" t="s">
        <v>114</v>
      </c>
      <c r="F2648" t="s">
        <v>35</v>
      </c>
      <c r="G2648" t="s">
        <v>36</v>
      </c>
      <c r="H2648">
        <v>67636</v>
      </c>
      <c r="I2648" t="s">
        <v>36</v>
      </c>
      <c r="J2648" t="s">
        <v>36</v>
      </c>
      <c r="K2648" t="s">
        <v>36</v>
      </c>
      <c r="L2648" t="s">
        <v>36</v>
      </c>
      <c r="M2648" t="s">
        <v>36</v>
      </c>
      <c r="N2648" t="s">
        <v>36</v>
      </c>
      <c r="O2648" t="s">
        <v>36</v>
      </c>
      <c r="P2648" t="s">
        <v>442</v>
      </c>
      <c r="Q2648" t="s">
        <v>36</v>
      </c>
      <c r="R2648" t="s">
        <v>36</v>
      </c>
      <c r="S2648" t="s">
        <v>36</v>
      </c>
      <c r="T2648" t="s">
        <v>36</v>
      </c>
      <c r="U2648" t="s">
        <v>36</v>
      </c>
      <c r="V2648" t="s">
        <v>36</v>
      </c>
      <c r="W2648" t="s">
        <v>36</v>
      </c>
      <c r="X2648" t="s">
        <v>36</v>
      </c>
      <c r="Y2648" t="s">
        <v>36</v>
      </c>
      <c r="Z2648" t="s">
        <v>36</v>
      </c>
      <c r="AA2648" t="s">
        <v>36</v>
      </c>
      <c r="AB2648" t="s">
        <v>36</v>
      </c>
      <c r="AC2648" t="s">
        <v>36</v>
      </c>
      <c r="AD2648" t="s">
        <v>36</v>
      </c>
      <c r="AE2648" t="s">
        <v>36</v>
      </c>
      <c r="AF2648" t="s">
        <v>36</v>
      </c>
      <c r="AG2648" t="s">
        <v>36</v>
      </c>
    </row>
    <row r="2649" spans="1:33" hidden="1" x14ac:dyDescent="0.2">
      <c r="A2649">
        <v>2648</v>
      </c>
      <c r="B2649" t="s">
        <v>719</v>
      </c>
      <c r="C2649" t="s">
        <v>108</v>
      </c>
      <c r="D2649">
        <v>37</v>
      </c>
      <c r="E2649" t="s">
        <v>114</v>
      </c>
      <c r="F2649" t="s">
        <v>38</v>
      </c>
      <c r="G2649" t="s">
        <v>39</v>
      </c>
      <c r="H2649">
        <v>37657</v>
      </c>
      <c r="I2649">
        <v>0</v>
      </c>
      <c r="J2649">
        <v>0</v>
      </c>
      <c r="K2649">
        <v>0</v>
      </c>
      <c r="L2649">
        <v>1</v>
      </c>
      <c r="M2649" t="s">
        <v>36</v>
      </c>
      <c r="N2649" t="s">
        <v>36</v>
      </c>
      <c r="O2649" t="s">
        <v>36</v>
      </c>
      <c r="P2649" t="s">
        <v>442</v>
      </c>
      <c r="Q2649" t="s">
        <v>36</v>
      </c>
      <c r="R2649" t="s">
        <v>36</v>
      </c>
      <c r="S2649" t="s">
        <v>36</v>
      </c>
      <c r="T2649" t="s">
        <v>36</v>
      </c>
      <c r="U2649" t="s">
        <v>36</v>
      </c>
      <c r="V2649" t="s">
        <v>36</v>
      </c>
      <c r="W2649" t="s">
        <v>36</v>
      </c>
      <c r="X2649" t="s">
        <v>36</v>
      </c>
      <c r="Y2649" t="s">
        <v>36</v>
      </c>
      <c r="Z2649" t="s">
        <v>36</v>
      </c>
      <c r="AA2649" t="s">
        <v>36</v>
      </c>
      <c r="AB2649" t="s">
        <v>36</v>
      </c>
      <c r="AC2649" t="s">
        <v>36</v>
      </c>
      <c r="AD2649" t="s">
        <v>36</v>
      </c>
      <c r="AE2649" t="s">
        <v>36</v>
      </c>
      <c r="AF2649" t="s">
        <v>36</v>
      </c>
      <c r="AG2649" t="s">
        <v>36</v>
      </c>
    </row>
    <row r="2650" spans="1:33" hidden="1" x14ac:dyDescent="0.2">
      <c r="A2650">
        <v>2649</v>
      </c>
      <c r="B2650" t="s">
        <v>719</v>
      </c>
      <c r="C2650" t="s">
        <v>108</v>
      </c>
      <c r="D2650">
        <v>37</v>
      </c>
      <c r="E2650" t="s">
        <v>114</v>
      </c>
      <c r="F2650" t="s">
        <v>38</v>
      </c>
      <c r="G2650" t="s">
        <v>40</v>
      </c>
      <c r="H2650">
        <v>31131</v>
      </c>
      <c r="I2650">
        <v>0</v>
      </c>
      <c r="J2650">
        <v>0</v>
      </c>
      <c r="K2650">
        <v>1</v>
      </c>
      <c r="L2650">
        <v>0</v>
      </c>
      <c r="M2650" t="s">
        <v>36</v>
      </c>
      <c r="N2650" t="s">
        <v>36</v>
      </c>
      <c r="O2650" t="s">
        <v>36</v>
      </c>
      <c r="P2650" t="s">
        <v>442</v>
      </c>
      <c r="Q2650" t="s">
        <v>36</v>
      </c>
      <c r="R2650" t="s">
        <v>36</v>
      </c>
      <c r="S2650" t="s">
        <v>36</v>
      </c>
      <c r="T2650" t="s">
        <v>36</v>
      </c>
      <c r="U2650" t="s">
        <v>36</v>
      </c>
      <c r="V2650" t="s">
        <v>36</v>
      </c>
      <c r="W2650" t="s">
        <v>36</v>
      </c>
      <c r="X2650" t="s">
        <v>36</v>
      </c>
      <c r="Y2650" t="s">
        <v>36</v>
      </c>
      <c r="Z2650" t="s">
        <v>36</v>
      </c>
      <c r="AA2650" t="s">
        <v>36</v>
      </c>
      <c r="AB2650" t="s">
        <v>36</v>
      </c>
      <c r="AC2650" t="s">
        <v>36</v>
      </c>
      <c r="AD2650" t="s">
        <v>36</v>
      </c>
      <c r="AE2650" t="s">
        <v>36</v>
      </c>
      <c r="AF2650" t="s">
        <v>36</v>
      </c>
      <c r="AG2650" t="s">
        <v>36</v>
      </c>
    </row>
    <row r="2651" spans="1:33" x14ac:dyDescent="0.2">
      <c r="A2651">
        <v>2650</v>
      </c>
      <c r="B2651" t="s">
        <v>719</v>
      </c>
      <c r="C2651" t="s">
        <v>108</v>
      </c>
      <c r="D2651">
        <v>37</v>
      </c>
      <c r="E2651" t="s">
        <v>114</v>
      </c>
      <c r="F2651" t="s">
        <v>41</v>
      </c>
      <c r="G2651" t="s">
        <v>72</v>
      </c>
      <c r="H2651">
        <v>54676</v>
      </c>
      <c r="I2651">
        <v>0</v>
      </c>
      <c r="J2651">
        <v>0</v>
      </c>
      <c r="K2651">
        <v>0</v>
      </c>
      <c r="L2651">
        <v>1</v>
      </c>
      <c r="M2651" t="s">
        <v>93</v>
      </c>
      <c r="N2651" t="s">
        <v>104</v>
      </c>
      <c r="O2651" t="s">
        <v>75</v>
      </c>
      <c r="P2651" t="s">
        <v>442</v>
      </c>
      <c r="Q2651" t="s">
        <v>59</v>
      </c>
      <c r="R2651" t="s">
        <v>60</v>
      </c>
      <c r="S2651" t="s">
        <v>46</v>
      </c>
      <c r="T2651">
        <v>1</v>
      </c>
      <c r="U2651">
        <v>0</v>
      </c>
      <c r="V2651">
        <v>0</v>
      </c>
      <c r="W2651">
        <v>0</v>
      </c>
      <c r="X2651">
        <v>1</v>
      </c>
      <c r="Y2651">
        <v>0</v>
      </c>
      <c r="Z2651">
        <v>1</v>
      </c>
      <c r="AA2651">
        <v>0</v>
      </c>
      <c r="AB2651">
        <v>0</v>
      </c>
      <c r="AC2651">
        <v>0</v>
      </c>
      <c r="AD2651">
        <v>0</v>
      </c>
      <c r="AE2651">
        <v>0</v>
      </c>
      <c r="AF2651">
        <v>0</v>
      </c>
      <c r="AG2651">
        <v>1</v>
      </c>
    </row>
    <row r="2652" spans="1:33" x14ac:dyDescent="0.2">
      <c r="A2652">
        <v>2651</v>
      </c>
      <c r="B2652" t="s">
        <v>719</v>
      </c>
      <c r="C2652" t="s">
        <v>108</v>
      </c>
      <c r="D2652">
        <v>37</v>
      </c>
      <c r="E2652" t="s">
        <v>114</v>
      </c>
      <c r="F2652" t="s">
        <v>41</v>
      </c>
      <c r="G2652" t="s">
        <v>67</v>
      </c>
      <c r="H2652">
        <v>33010</v>
      </c>
      <c r="I2652">
        <v>0</v>
      </c>
      <c r="J2652">
        <v>0</v>
      </c>
      <c r="K2652">
        <v>1</v>
      </c>
      <c r="L2652">
        <v>0</v>
      </c>
      <c r="M2652" t="s">
        <v>69</v>
      </c>
      <c r="N2652" t="s">
        <v>86</v>
      </c>
      <c r="O2652" t="s">
        <v>68</v>
      </c>
      <c r="P2652" t="s">
        <v>442</v>
      </c>
      <c r="Q2652" t="s">
        <v>48</v>
      </c>
      <c r="R2652" t="s">
        <v>46</v>
      </c>
      <c r="S2652" t="s">
        <v>65</v>
      </c>
      <c r="T2652">
        <v>0</v>
      </c>
      <c r="U2652">
        <v>1</v>
      </c>
      <c r="V2652">
        <v>1</v>
      </c>
      <c r="W2652">
        <v>0</v>
      </c>
      <c r="X2652">
        <v>1</v>
      </c>
      <c r="Y2652">
        <v>0</v>
      </c>
      <c r="Z2652">
        <v>1</v>
      </c>
      <c r="AA2652">
        <v>0</v>
      </c>
      <c r="AB2652">
        <v>1</v>
      </c>
      <c r="AC2652">
        <v>0</v>
      </c>
      <c r="AD2652">
        <v>0</v>
      </c>
      <c r="AE2652">
        <v>0</v>
      </c>
      <c r="AF2652">
        <v>0</v>
      </c>
      <c r="AG2652">
        <v>0</v>
      </c>
    </row>
    <row r="2653" spans="1:33" hidden="1" x14ac:dyDescent="0.2">
      <c r="A2653">
        <v>2652</v>
      </c>
      <c r="B2653" t="s">
        <v>719</v>
      </c>
      <c r="C2653" t="s">
        <v>108</v>
      </c>
      <c r="D2653">
        <v>37</v>
      </c>
      <c r="E2653" t="s">
        <v>114</v>
      </c>
      <c r="F2653" t="s">
        <v>53</v>
      </c>
      <c r="G2653" t="s">
        <v>71</v>
      </c>
      <c r="H2653">
        <v>48108</v>
      </c>
      <c r="I2653">
        <v>0</v>
      </c>
      <c r="J2653">
        <v>0</v>
      </c>
      <c r="K2653">
        <v>0</v>
      </c>
      <c r="L2653">
        <v>1</v>
      </c>
      <c r="M2653" t="s">
        <v>36</v>
      </c>
      <c r="N2653" t="s">
        <v>36</v>
      </c>
      <c r="O2653" t="s">
        <v>36</v>
      </c>
      <c r="P2653" t="s">
        <v>442</v>
      </c>
      <c r="Q2653" t="s">
        <v>36</v>
      </c>
      <c r="R2653" t="s">
        <v>36</v>
      </c>
      <c r="S2653" t="s">
        <v>36</v>
      </c>
      <c r="T2653" t="s">
        <v>36</v>
      </c>
      <c r="U2653">
        <v>1</v>
      </c>
      <c r="V2653">
        <v>1</v>
      </c>
      <c r="W2653">
        <v>0</v>
      </c>
      <c r="X2653">
        <v>1</v>
      </c>
      <c r="Y2653">
        <v>0</v>
      </c>
      <c r="Z2653">
        <v>1</v>
      </c>
      <c r="AA2653">
        <v>0</v>
      </c>
      <c r="AB2653">
        <v>1</v>
      </c>
      <c r="AC2653">
        <v>0</v>
      </c>
      <c r="AD2653">
        <v>0</v>
      </c>
      <c r="AE2653">
        <v>0</v>
      </c>
      <c r="AF2653">
        <v>0</v>
      </c>
      <c r="AG2653">
        <v>0</v>
      </c>
    </row>
    <row r="2654" spans="1:33" x14ac:dyDescent="0.2">
      <c r="A2654">
        <v>2653</v>
      </c>
      <c r="B2654" t="s">
        <v>719</v>
      </c>
      <c r="C2654" t="s">
        <v>108</v>
      </c>
      <c r="D2654">
        <v>37</v>
      </c>
      <c r="E2654" t="s">
        <v>114</v>
      </c>
      <c r="F2654" t="s">
        <v>41</v>
      </c>
      <c r="G2654" t="s">
        <v>55</v>
      </c>
      <c r="H2654">
        <v>22869</v>
      </c>
      <c r="I2654">
        <v>0</v>
      </c>
      <c r="J2654">
        <v>0</v>
      </c>
      <c r="K2654">
        <v>0</v>
      </c>
      <c r="L2654">
        <v>1</v>
      </c>
      <c r="M2654" t="s">
        <v>58</v>
      </c>
      <c r="N2654" t="s">
        <v>84</v>
      </c>
      <c r="O2654" t="s">
        <v>57</v>
      </c>
      <c r="P2654" t="s">
        <v>442</v>
      </c>
      <c r="Q2654" t="s">
        <v>60</v>
      </c>
      <c r="R2654" t="s">
        <v>46</v>
      </c>
      <c r="S2654" t="s">
        <v>48</v>
      </c>
      <c r="T2654">
        <v>1</v>
      </c>
      <c r="U2654">
        <v>0</v>
      </c>
      <c r="V2654">
        <v>1</v>
      </c>
      <c r="W2654">
        <v>0</v>
      </c>
      <c r="X2654">
        <v>1</v>
      </c>
      <c r="Y2654">
        <v>0</v>
      </c>
      <c r="Z2654">
        <v>1</v>
      </c>
      <c r="AA2654">
        <v>0</v>
      </c>
      <c r="AB2654">
        <v>0</v>
      </c>
      <c r="AC2654">
        <v>0</v>
      </c>
      <c r="AD2654">
        <v>0</v>
      </c>
      <c r="AE2654">
        <v>0</v>
      </c>
      <c r="AF2654">
        <v>0</v>
      </c>
      <c r="AG2654">
        <v>1</v>
      </c>
    </row>
    <row r="2655" spans="1:33" hidden="1" x14ac:dyDescent="0.2">
      <c r="A2655">
        <v>2654</v>
      </c>
      <c r="B2655" t="s">
        <v>719</v>
      </c>
      <c r="C2655" t="s">
        <v>108</v>
      </c>
      <c r="D2655">
        <v>37</v>
      </c>
      <c r="E2655" t="s">
        <v>114</v>
      </c>
      <c r="F2655" t="s">
        <v>53</v>
      </c>
      <c r="G2655" t="s">
        <v>54</v>
      </c>
      <c r="H2655">
        <v>44871</v>
      </c>
      <c r="I2655">
        <v>0</v>
      </c>
      <c r="J2655">
        <v>0</v>
      </c>
      <c r="K2655">
        <v>1</v>
      </c>
      <c r="L2655">
        <v>0</v>
      </c>
      <c r="M2655" t="s">
        <v>36</v>
      </c>
      <c r="N2655" t="s">
        <v>36</v>
      </c>
      <c r="O2655" t="s">
        <v>36</v>
      </c>
      <c r="P2655" t="s">
        <v>442</v>
      </c>
      <c r="Q2655" t="s">
        <v>36</v>
      </c>
      <c r="R2655" t="s">
        <v>36</v>
      </c>
      <c r="S2655" t="s">
        <v>36</v>
      </c>
      <c r="T2655" t="s">
        <v>36</v>
      </c>
      <c r="U2655">
        <v>0</v>
      </c>
      <c r="V2655">
        <v>1</v>
      </c>
      <c r="W2655">
        <v>0</v>
      </c>
      <c r="X2655">
        <v>1</v>
      </c>
      <c r="Y2655">
        <v>0</v>
      </c>
      <c r="Z2655">
        <v>1</v>
      </c>
      <c r="AA2655">
        <v>0</v>
      </c>
      <c r="AB2655">
        <v>0</v>
      </c>
      <c r="AC2655">
        <v>0</v>
      </c>
      <c r="AD2655">
        <v>0</v>
      </c>
      <c r="AE2655">
        <v>0</v>
      </c>
      <c r="AF2655">
        <v>0</v>
      </c>
      <c r="AG2655">
        <v>1</v>
      </c>
    </row>
    <row r="2656" spans="1:33" x14ac:dyDescent="0.2">
      <c r="A2656">
        <v>2655</v>
      </c>
      <c r="B2656" t="s">
        <v>719</v>
      </c>
      <c r="C2656" t="s">
        <v>108</v>
      </c>
      <c r="D2656">
        <v>37</v>
      </c>
      <c r="E2656" t="s">
        <v>114</v>
      </c>
      <c r="F2656" t="s">
        <v>41</v>
      </c>
      <c r="G2656" t="s">
        <v>49</v>
      </c>
      <c r="H2656">
        <v>24014</v>
      </c>
      <c r="I2656">
        <v>0</v>
      </c>
      <c r="J2656">
        <v>0</v>
      </c>
      <c r="K2656">
        <v>1</v>
      </c>
      <c r="L2656">
        <v>0</v>
      </c>
      <c r="M2656" t="s">
        <v>83</v>
      </c>
      <c r="N2656" t="s">
        <v>51</v>
      </c>
      <c r="O2656" t="s">
        <v>96</v>
      </c>
      <c r="P2656" t="s">
        <v>442</v>
      </c>
      <c r="Q2656" t="s">
        <v>59</v>
      </c>
      <c r="R2656" t="s">
        <v>47</v>
      </c>
      <c r="S2656" t="s">
        <v>65</v>
      </c>
      <c r="T2656">
        <v>0</v>
      </c>
      <c r="U2656">
        <v>1</v>
      </c>
      <c r="V2656">
        <v>0</v>
      </c>
      <c r="W2656">
        <v>1</v>
      </c>
      <c r="X2656">
        <v>0</v>
      </c>
      <c r="Y2656">
        <v>0</v>
      </c>
      <c r="Z2656">
        <v>1</v>
      </c>
      <c r="AA2656">
        <v>0</v>
      </c>
      <c r="AB2656">
        <v>1</v>
      </c>
      <c r="AC2656">
        <v>0</v>
      </c>
      <c r="AD2656">
        <v>0</v>
      </c>
      <c r="AE2656">
        <v>0</v>
      </c>
      <c r="AF2656">
        <v>0</v>
      </c>
      <c r="AG2656">
        <v>0</v>
      </c>
    </row>
    <row r="2657" spans="1:33" x14ac:dyDescent="0.2">
      <c r="A2657">
        <v>2656</v>
      </c>
      <c r="B2657" t="s">
        <v>719</v>
      </c>
      <c r="C2657" t="s">
        <v>108</v>
      </c>
      <c r="D2657">
        <v>37</v>
      </c>
      <c r="E2657" t="s">
        <v>114</v>
      </c>
      <c r="F2657" t="s">
        <v>41</v>
      </c>
      <c r="G2657" t="s">
        <v>61</v>
      </c>
      <c r="H2657">
        <v>19283</v>
      </c>
      <c r="I2657">
        <v>1</v>
      </c>
      <c r="J2657">
        <v>0</v>
      </c>
      <c r="K2657">
        <v>0</v>
      </c>
      <c r="L2657">
        <v>0</v>
      </c>
      <c r="M2657" t="s">
        <v>62</v>
      </c>
      <c r="N2657" t="s">
        <v>87</v>
      </c>
      <c r="O2657" t="s">
        <v>64</v>
      </c>
      <c r="P2657" t="s">
        <v>442</v>
      </c>
      <c r="Q2657" t="s">
        <v>65</v>
      </c>
      <c r="R2657" t="s">
        <v>47</v>
      </c>
      <c r="S2657" t="s">
        <v>48</v>
      </c>
      <c r="T2657">
        <v>0</v>
      </c>
      <c r="U2657">
        <v>1</v>
      </c>
      <c r="V2657">
        <v>1</v>
      </c>
      <c r="W2657">
        <v>1</v>
      </c>
      <c r="X2657">
        <v>0</v>
      </c>
      <c r="Y2657">
        <v>0</v>
      </c>
      <c r="Z2657">
        <v>1</v>
      </c>
      <c r="AA2657">
        <v>0</v>
      </c>
      <c r="AB2657">
        <v>1</v>
      </c>
      <c r="AC2657">
        <v>0</v>
      </c>
      <c r="AD2657">
        <v>0</v>
      </c>
      <c r="AE2657">
        <v>0</v>
      </c>
      <c r="AF2657">
        <v>0</v>
      </c>
      <c r="AG2657">
        <v>0</v>
      </c>
    </row>
    <row r="2658" spans="1:33" hidden="1" x14ac:dyDescent="0.2">
      <c r="A2658">
        <v>2657</v>
      </c>
      <c r="B2658" t="s">
        <v>719</v>
      </c>
      <c r="C2658" t="s">
        <v>108</v>
      </c>
      <c r="D2658">
        <v>37</v>
      </c>
      <c r="E2658" t="s">
        <v>114</v>
      </c>
      <c r="F2658" t="s">
        <v>53</v>
      </c>
      <c r="G2658" t="s">
        <v>76</v>
      </c>
      <c r="H2658">
        <v>25686</v>
      </c>
      <c r="I2658">
        <v>1</v>
      </c>
      <c r="J2658">
        <v>0</v>
      </c>
      <c r="K2658">
        <v>0</v>
      </c>
      <c r="L2658">
        <v>0</v>
      </c>
      <c r="M2658" t="s">
        <v>36</v>
      </c>
      <c r="N2658" t="s">
        <v>36</v>
      </c>
      <c r="O2658" t="s">
        <v>36</v>
      </c>
      <c r="P2658" t="s">
        <v>442</v>
      </c>
      <c r="Q2658" t="s">
        <v>36</v>
      </c>
      <c r="R2658" t="s">
        <v>36</v>
      </c>
      <c r="S2658" t="s">
        <v>36</v>
      </c>
      <c r="T2658" t="s">
        <v>36</v>
      </c>
      <c r="U2658">
        <v>1</v>
      </c>
      <c r="V2658">
        <v>1</v>
      </c>
      <c r="W2658">
        <v>1</v>
      </c>
      <c r="X2658">
        <v>0</v>
      </c>
      <c r="Y2658">
        <v>0</v>
      </c>
      <c r="Z2658">
        <v>1</v>
      </c>
      <c r="AA2658">
        <v>0</v>
      </c>
      <c r="AB2658">
        <v>1</v>
      </c>
      <c r="AC2658">
        <v>0</v>
      </c>
      <c r="AD2658">
        <v>0</v>
      </c>
      <c r="AE2658">
        <v>0</v>
      </c>
      <c r="AF2658">
        <v>0</v>
      </c>
      <c r="AG2658">
        <v>0</v>
      </c>
    </row>
    <row r="2659" spans="1:33" x14ac:dyDescent="0.2">
      <c r="A2659">
        <v>2658</v>
      </c>
      <c r="B2659" t="s">
        <v>719</v>
      </c>
      <c r="C2659" t="s">
        <v>108</v>
      </c>
      <c r="D2659">
        <v>37</v>
      </c>
      <c r="E2659" t="s">
        <v>114</v>
      </c>
      <c r="F2659" t="s">
        <v>41</v>
      </c>
      <c r="G2659" t="s">
        <v>42</v>
      </c>
      <c r="H2659">
        <v>23097</v>
      </c>
      <c r="I2659">
        <v>1</v>
      </c>
      <c r="J2659">
        <v>1</v>
      </c>
      <c r="K2659">
        <v>0</v>
      </c>
      <c r="L2659">
        <v>0</v>
      </c>
      <c r="M2659" t="s">
        <v>44</v>
      </c>
      <c r="N2659" t="s">
        <v>82</v>
      </c>
      <c r="O2659" t="s">
        <v>45</v>
      </c>
      <c r="P2659" t="s">
        <v>442</v>
      </c>
      <c r="Q2659" t="s">
        <v>47</v>
      </c>
      <c r="R2659" t="s">
        <v>65</v>
      </c>
      <c r="S2659" t="s">
        <v>48</v>
      </c>
      <c r="T2659">
        <v>0</v>
      </c>
      <c r="U2659">
        <v>1</v>
      </c>
      <c r="V2659">
        <v>1</v>
      </c>
      <c r="W2659">
        <v>1</v>
      </c>
      <c r="X2659">
        <v>0</v>
      </c>
      <c r="Y2659">
        <v>0</v>
      </c>
      <c r="Z2659">
        <v>1</v>
      </c>
      <c r="AA2659">
        <v>0</v>
      </c>
      <c r="AB2659">
        <v>1</v>
      </c>
      <c r="AC2659">
        <v>0</v>
      </c>
      <c r="AD2659">
        <v>1</v>
      </c>
      <c r="AE2659">
        <v>0</v>
      </c>
      <c r="AF2659">
        <v>0</v>
      </c>
      <c r="AG2659">
        <v>0</v>
      </c>
    </row>
    <row r="2660" spans="1:33" hidden="1" x14ac:dyDescent="0.2">
      <c r="A2660">
        <v>2659</v>
      </c>
      <c r="B2660" t="s">
        <v>719</v>
      </c>
      <c r="C2660" t="s">
        <v>108</v>
      </c>
      <c r="D2660">
        <v>37</v>
      </c>
      <c r="E2660" t="s">
        <v>114</v>
      </c>
      <c r="F2660" t="s">
        <v>53</v>
      </c>
      <c r="G2660" t="s">
        <v>66</v>
      </c>
      <c r="H2660">
        <v>47463</v>
      </c>
      <c r="I2660">
        <v>1</v>
      </c>
      <c r="J2660">
        <v>1</v>
      </c>
      <c r="K2660">
        <v>0</v>
      </c>
      <c r="L2660">
        <v>0</v>
      </c>
      <c r="M2660" t="s">
        <v>36</v>
      </c>
      <c r="N2660" t="s">
        <v>36</v>
      </c>
      <c r="O2660" t="s">
        <v>36</v>
      </c>
      <c r="P2660" t="s">
        <v>442</v>
      </c>
      <c r="Q2660" t="s">
        <v>36</v>
      </c>
      <c r="R2660" t="s">
        <v>36</v>
      </c>
      <c r="S2660" t="s">
        <v>36</v>
      </c>
      <c r="T2660" t="s">
        <v>36</v>
      </c>
      <c r="U2660">
        <v>1</v>
      </c>
      <c r="V2660">
        <v>1</v>
      </c>
      <c r="W2660">
        <v>1</v>
      </c>
      <c r="X2660">
        <v>0</v>
      </c>
      <c r="Y2660">
        <v>0</v>
      </c>
      <c r="Z2660">
        <v>1</v>
      </c>
      <c r="AA2660">
        <v>0</v>
      </c>
      <c r="AB2660">
        <v>1</v>
      </c>
      <c r="AC2660">
        <v>0</v>
      </c>
      <c r="AD2660">
        <v>1</v>
      </c>
      <c r="AE2660">
        <v>0</v>
      </c>
      <c r="AF2660">
        <v>0</v>
      </c>
      <c r="AG2660">
        <v>0</v>
      </c>
    </row>
    <row r="2661" spans="1:33" hidden="1" x14ac:dyDescent="0.2">
      <c r="A2661">
        <v>2660</v>
      </c>
      <c r="B2661" t="s">
        <v>719</v>
      </c>
      <c r="C2661" t="s">
        <v>108</v>
      </c>
      <c r="D2661">
        <v>37</v>
      </c>
      <c r="E2661" t="s">
        <v>114</v>
      </c>
      <c r="F2661" t="s">
        <v>77</v>
      </c>
      <c r="G2661" t="s">
        <v>36</v>
      </c>
      <c r="H2661">
        <v>158367</v>
      </c>
      <c r="I2661" t="s">
        <v>720</v>
      </c>
      <c r="J2661" t="s">
        <v>721</v>
      </c>
      <c r="L2661" t="s">
        <v>36</v>
      </c>
      <c r="M2661" t="s">
        <v>36</v>
      </c>
      <c r="N2661" t="s">
        <v>36</v>
      </c>
      <c r="O2661" t="s">
        <v>36</v>
      </c>
      <c r="P2661" t="s">
        <v>442</v>
      </c>
      <c r="Q2661" t="s">
        <v>36</v>
      </c>
      <c r="R2661" t="s">
        <v>36</v>
      </c>
      <c r="S2661" t="s">
        <v>36</v>
      </c>
      <c r="T2661" t="s">
        <v>36</v>
      </c>
      <c r="U2661" t="s">
        <v>36</v>
      </c>
      <c r="V2661" t="s">
        <v>36</v>
      </c>
      <c r="W2661" t="s">
        <v>36</v>
      </c>
      <c r="X2661" t="s">
        <v>36</v>
      </c>
      <c r="Y2661" t="s">
        <v>36</v>
      </c>
      <c r="Z2661" t="s">
        <v>36</v>
      </c>
      <c r="AA2661" t="s">
        <v>36</v>
      </c>
      <c r="AB2661" t="s">
        <v>36</v>
      </c>
      <c r="AC2661" t="s">
        <v>36</v>
      </c>
      <c r="AD2661" t="s">
        <v>36</v>
      </c>
      <c r="AE2661" t="s">
        <v>36</v>
      </c>
      <c r="AF2661" t="s">
        <v>36</v>
      </c>
      <c r="AG2661" t="s">
        <v>36</v>
      </c>
    </row>
    <row r="2662" spans="1:33" hidden="1" x14ac:dyDescent="0.2">
      <c r="A2662">
        <v>2661</v>
      </c>
      <c r="B2662" t="s">
        <v>722</v>
      </c>
      <c r="C2662" t="s">
        <v>33</v>
      </c>
      <c r="D2662">
        <v>28</v>
      </c>
      <c r="E2662" t="s">
        <v>34</v>
      </c>
      <c r="F2662" t="s">
        <v>35</v>
      </c>
      <c r="G2662" t="s">
        <v>36</v>
      </c>
      <c r="H2662">
        <v>24331</v>
      </c>
      <c r="I2662" t="s">
        <v>36</v>
      </c>
      <c r="J2662" t="s">
        <v>36</v>
      </c>
      <c r="K2662" t="s">
        <v>36</v>
      </c>
      <c r="L2662" t="s">
        <v>36</v>
      </c>
      <c r="M2662" t="s">
        <v>36</v>
      </c>
      <c r="N2662" t="s">
        <v>36</v>
      </c>
      <c r="O2662" t="s">
        <v>36</v>
      </c>
      <c r="P2662" t="s">
        <v>442</v>
      </c>
      <c r="Q2662" t="s">
        <v>36</v>
      </c>
      <c r="R2662" t="s">
        <v>36</v>
      </c>
      <c r="S2662" t="s">
        <v>36</v>
      </c>
      <c r="T2662" t="s">
        <v>36</v>
      </c>
      <c r="U2662" t="s">
        <v>36</v>
      </c>
      <c r="V2662" t="s">
        <v>36</v>
      </c>
      <c r="W2662" t="s">
        <v>36</v>
      </c>
      <c r="X2662" t="s">
        <v>36</v>
      </c>
      <c r="Y2662" t="s">
        <v>36</v>
      </c>
      <c r="Z2662" t="s">
        <v>36</v>
      </c>
      <c r="AA2662" t="s">
        <v>36</v>
      </c>
      <c r="AB2662" t="s">
        <v>36</v>
      </c>
      <c r="AC2662" t="s">
        <v>36</v>
      </c>
      <c r="AD2662" t="s">
        <v>36</v>
      </c>
      <c r="AE2662" t="s">
        <v>36</v>
      </c>
      <c r="AF2662" t="s">
        <v>36</v>
      </c>
      <c r="AG2662" t="s">
        <v>36</v>
      </c>
    </row>
    <row r="2663" spans="1:33" hidden="1" x14ac:dyDescent="0.2">
      <c r="A2663">
        <v>2662</v>
      </c>
      <c r="B2663" t="s">
        <v>722</v>
      </c>
      <c r="C2663" t="s">
        <v>33</v>
      </c>
      <c r="D2663">
        <v>28</v>
      </c>
      <c r="E2663" t="s">
        <v>34</v>
      </c>
      <c r="F2663" t="s">
        <v>38</v>
      </c>
      <c r="G2663" t="s">
        <v>39</v>
      </c>
      <c r="H2663">
        <v>10007</v>
      </c>
      <c r="I2663">
        <v>0</v>
      </c>
      <c r="J2663">
        <v>1</v>
      </c>
      <c r="K2663">
        <v>0</v>
      </c>
      <c r="L2663">
        <v>0</v>
      </c>
      <c r="M2663" t="s">
        <v>36</v>
      </c>
      <c r="N2663" t="s">
        <v>36</v>
      </c>
      <c r="O2663" t="s">
        <v>36</v>
      </c>
      <c r="P2663" t="s">
        <v>442</v>
      </c>
      <c r="Q2663" t="s">
        <v>36</v>
      </c>
      <c r="R2663" t="s">
        <v>36</v>
      </c>
      <c r="S2663" t="s">
        <v>36</v>
      </c>
      <c r="T2663" t="s">
        <v>36</v>
      </c>
      <c r="U2663" t="s">
        <v>36</v>
      </c>
      <c r="V2663" t="s">
        <v>36</v>
      </c>
      <c r="W2663" t="s">
        <v>36</v>
      </c>
      <c r="X2663" t="s">
        <v>36</v>
      </c>
      <c r="Y2663" t="s">
        <v>36</v>
      </c>
      <c r="Z2663" t="s">
        <v>36</v>
      </c>
      <c r="AA2663" t="s">
        <v>36</v>
      </c>
      <c r="AB2663" t="s">
        <v>36</v>
      </c>
      <c r="AC2663" t="s">
        <v>36</v>
      </c>
      <c r="AD2663" t="s">
        <v>36</v>
      </c>
      <c r="AE2663" t="s">
        <v>36</v>
      </c>
      <c r="AF2663" t="s">
        <v>36</v>
      </c>
      <c r="AG2663" t="s">
        <v>36</v>
      </c>
    </row>
    <row r="2664" spans="1:33" hidden="1" x14ac:dyDescent="0.2">
      <c r="A2664">
        <v>2663</v>
      </c>
      <c r="B2664" t="s">
        <v>722</v>
      </c>
      <c r="C2664" t="s">
        <v>33</v>
      </c>
      <c r="D2664">
        <v>28</v>
      </c>
      <c r="E2664" t="s">
        <v>34</v>
      </c>
      <c r="F2664" t="s">
        <v>38</v>
      </c>
      <c r="G2664" t="s">
        <v>40</v>
      </c>
      <c r="H2664">
        <v>3179</v>
      </c>
      <c r="I2664">
        <v>1</v>
      </c>
      <c r="J2664">
        <v>0</v>
      </c>
      <c r="K2664">
        <v>0</v>
      </c>
      <c r="L2664">
        <v>0</v>
      </c>
      <c r="M2664" t="s">
        <v>36</v>
      </c>
      <c r="N2664" t="s">
        <v>36</v>
      </c>
      <c r="O2664" t="s">
        <v>36</v>
      </c>
      <c r="P2664" t="s">
        <v>442</v>
      </c>
      <c r="Q2664" t="s">
        <v>36</v>
      </c>
      <c r="R2664" t="s">
        <v>36</v>
      </c>
      <c r="S2664" t="s">
        <v>36</v>
      </c>
      <c r="T2664" t="s">
        <v>36</v>
      </c>
      <c r="U2664" t="s">
        <v>36</v>
      </c>
      <c r="V2664" t="s">
        <v>36</v>
      </c>
      <c r="W2664" t="s">
        <v>36</v>
      </c>
      <c r="X2664" t="s">
        <v>36</v>
      </c>
      <c r="Y2664" t="s">
        <v>36</v>
      </c>
      <c r="Z2664" t="s">
        <v>36</v>
      </c>
      <c r="AA2664" t="s">
        <v>36</v>
      </c>
      <c r="AB2664" t="s">
        <v>36</v>
      </c>
      <c r="AC2664" t="s">
        <v>36</v>
      </c>
      <c r="AD2664" t="s">
        <v>36</v>
      </c>
      <c r="AE2664" t="s">
        <v>36</v>
      </c>
      <c r="AF2664" t="s">
        <v>36</v>
      </c>
      <c r="AG2664" t="s">
        <v>36</v>
      </c>
    </row>
    <row r="2665" spans="1:33" x14ac:dyDescent="0.2">
      <c r="A2665">
        <v>2664</v>
      </c>
      <c r="B2665" t="s">
        <v>722</v>
      </c>
      <c r="C2665" t="s">
        <v>33</v>
      </c>
      <c r="D2665">
        <v>28</v>
      </c>
      <c r="E2665" t="s">
        <v>34</v>
      </c>
      <c r="F2665" t="s">
        <v>41</v>
      </c>
      <c r="G2665" t="s">
        <v>72</v>
      </c>
      <c r="H2665">
        <v>6165</v>
      </c>
      <c r="I2665">
        <v>0</v>
      </c>
      <c r="J2665">
        <v>1</v>
      </c>
      <c r="K2665">
        <v>0</v>
      </c>
      <c r="L2665">
        <v>0</v>
      </c>
      <c r="M2665" t="s">
        <v>74</v>
      </c>
      <c r="N2665" t="s">
        <v>73</v>
      </c>
      <c r="O2665" t="s">
        <v>115</v>
      </c>
      <c r="P2665" t="s">
        <v>442</v>
      </c>
      <c r="Q2665" t="s">
        <v>47</v>
      </c>
      <c r="R2665" t="s">
        <v>48</v>
      </c>
      <c r="S2665" t="s">
        <v>65</v>
      </c>
      <c r="T2665">
        <v>0</v>
      </c>
      <c r="U2665">
        <v>1</v>
      </c>
      <c r="V2665">
        <v>1</v>
      </c>
      <c r="W2665">
        <v>1</v>
      </c>
      <c r="X2665">
        <v>0</v>
      </c>
      <c r="Y2665">
        <v>0</v>
      </c>
      <c r="Z2665">
        <v>1</v>
      </c>
      <c r="AA2665">
        <v>0</v>
      </c>
      <c r="AB2665">
        <v>0</v>
      </c>
      <c r="AC2665">
        <v>1</v>
      </c>
      <c r="AD2665">
        <v>0</v>
      </c>
      <c r="AE2665">
        <v>0</v>
      </c>
      <c r="AF2665">
        <v>0</v>
      </c>
      <c r="AG2665">
        <v>0</v>
      </c>
    </row>
    <row r="2666" spans="1:33" x14ac:dyDescent="0.2">
      <c r="A2666">
        <v>2665</v>
      </c>
      <c r="B2666" t="s">
        <v>722</v>
      </c>
      <c r="C2666" t="s">
        <v>33</v>
      </c>
      <c r="D2666">
        <v>28</v>
      </c>
      <c r="E2666" t="s">
        <v>34</v>
      </c>
      <c r="F2666" t="s">
        <v>41</v>
      </c>
      <c r="G2666" t="s">
        <v>55</v>
      </c>
      <c r="H2666">
        <v>3753</v>
      </c>
      <c r="I2666">
        <v>0</v>
      </c>
      <c r="J2666">
        <v>1</v>
      </c>
      <c r="K2666">
        <v>0</v>
      </c>
      <c r="L2666">
        <v>0</v>
      </c>
      <c r="M2666" t="s">
        <v>56</v>
      </c>
      <c r="N2666" t="s">
        <v>84</v>
      </c>
      <c r="O2666" t="s">
        <v>57</v>
      </c>
      <c r="P2666" t="s">
        <v>442</v>
      </c>
      <c r="Q2666" t="s">
        <v>59</v>
      </c>
      <c r="R2666" t="s">
        <v>46</v>
      </c>
      <c r="S2666" t="s">
        <v>48</v>
      </c>
      <c r="T2666">
        <v>0</v>
      </c>
      <c r="U2666">
        <v>0</v>
      </c>
      <c r="V2666">
        <v>1</v>
      </c>
      <c r="W2666">
        <v>0</v>
      </c>
      <c r="X2666">
        <v>1</v>
      </c>
      <c r="Y2666">
        <v>0</v>
      </c>
      <c r="Z2666">
        <v>1</v>
      </c>
      <c r="AA2666">
        <v>0</v>
      </c>
      <c r="AB2666">
        <v>0</v>
      </c>
      <c r="AC2666">
        <v>0</v>
      </c>
      <c r="AD2666">
        <v>0</v>
      </c>
      <c r="AE2666">
        <v>1</v>
      </c>
      <c r="AF2666">
        <v>0</v>
      </c>
      <c r="AG2666">
        <v>0</v>
      </c>
    </row>
    <row r="2667" spans="1:33" hidden="1" x14ac:dyDescent="0.2">
      <c r="A2667">
        <v>2666</v>
      </c>
      <c r="B2667" t="s">
        <v>722</v>
      </c>
      <c r="C2667" t="s">
        <v>33</v>
      </c>
      <c r="D2667">
        <v>28</v>
      </c>
      <c r="E2667" t="s">
        <v>34</v>
      </c>
      <c r="F2667" t="s">
        <v>53</v>
      </c>
      <c r="G2667" t="s">
        <v>66</v>
      </c>
      <c r="H2667">
        <v>3169</v>
      </c>
      <c r="I2667">
        <v>0</v>
      </c>
      <c r="J2667">
        <v>1</v>
      </c>
      <c r="K2667">
        <v>0</v>
      </c>
      <c r="L2667">
        <v>0</v>
      </c>
      <c r="M2667" t="s">
        <v>36</v>
      </c>
      <c r="N2667" t="s">
        <v>36</v>
      </c>
      <c r="O2667" t="s">
        <v>36</v>
      </c>
      <c r="P2667" t="s">
        <v>442</v>
      </c>
      <c r="Q2667" t="s">
        <v>36</v>
      </c>
      <c r="R2667" t="s">
        <v>36</v>
      </c>
      <c r="S2667" t="s">
        <v>36</v>
      </c>
      <c r="T2667" t="s">
        <v>36</v>
      </c>
      <c r="U2667">
        <v>0</v>
      </c>
      <c r="V2667">
        <v>1</v>
      </c>
      <c r="W2667">
        <v>0</v>
      </c>
      <c r="X2667">
        <v>1</v>
      </c>
      <c r="Y2667">
        <v>0</v>
      </c>
      <c r="Z2667">
        <v>1</v>
      </c>
      <c r="AA2667">
        <v>0</v>
      </c>
      <c r="AB2667">
        <v>0</v>
      </c>
      <c r="AC2667">
        <v>0</v>
      </c>
      <c r="AD2667">
        <v>0</v>
      </c>
      <c r="AE2667">
        <v>1</v>
      </c>
      <c r="AF2667">
        <v>0</v>
      </c>
      <c r="AG2667">
        <v>0</v>
      </c>
    </row>
    <row r="2668" spans="1:33" x14ac:dyDescent="0.2">
      <c r="A2668">
        <v>2667</v>
      </c>
      <c r="B2668" t="s">
        <v>722</v>
      </c>
      <c r="C2668" t="s">
        <v>33</v>
      </c>
      <c r="D2668">
        <v>28</v>
      </c>
      <c r="E2668" t="s">
        <v>34</v>
      </c>
      <c r="F2668" t="s">
        <v>41</v>
      </c>
      <c r="G2668" t="s">
        <v>49</v>
      </c>
      <c r="H2668">
        <v>4389</v>
      </c>
      <c r="I2668">
        <v>0</v>
      </c>
      <c r="J2668">
        <v>1</v>
      </c>
      <c r="K2668">
        <v>0</v>
      </c>
      <c r="L2668">
        <v>0</v>
      </c>
      <c r="M2668" t="s">
        <v>51</v>
      </c>
      <c r="N2668" t="s">
        <v>96</v>
      </c>
      <c r="O2668" t="s">
        <v>83</v>
      </c>
      <c r="P2668" t="s">
        <v>442</v>
      </c>
      <c r="Q2668" t="s">
        <v>47</v>
      </c>
      <c r="R2668" t="s">
        <v>65</v>
      </c>
      <c r="S2668" t="s">
        <v>59</v>
      </c>
      <c r="T2668">
        <v>0</v>
      </c>
      <c r="U2668">
        <v>1</v>
      </c>
      <c r="V2668">
        <v>0</v>
      </c>
      <c r="W2668">
        <v>1</v>
      </c>
      <c r="X2668">
        <v>0</v>
      </c>
      <c r="Y2668">
        <v>0</v>
      </c>
      <c r="Z2668">
        <v>1</v>
      </c>
      <c r="AA2668">
        <v>0</v>
      </c>
      <c r="AB2668">
        <v>1</v>
      </c>
      <c r="AC2668">
        <v>0</v>
      </c>
      <c r="AD2668">
        <v>0</v>
      </c>
      <c r="AE2668">
        <v>0</v>
      </c>
      <c r="AF2668">
        <v>0</v>
      </c>
      <c r="AG2668">
        <v>0</v>
      </c>
    </row>
    <row r="2669" spans="1:33" hidden="1" x14ac:dyDescent="0.2">
      <c r="A2669">
        <v>2668</v>
      </c>
      <c r="B2669" t="s">
        <v>722</v>
      </c>
      <c r="C2669" t="s">
        <v>33</v>
      </c>
      <c r="D2669">
        <v>28</v>
      </c>
      <c r="E2669" t="s">
        <v>34</v>
      </c>
      <c r="F2669" t="s">
        <v>53</v>
      </c>
      <c r="G2669" t="s">
        <v>54</v>
      </c>
      <c r="H2669">
        <v>3595</v>
      </c>
      <c r="I2669">
        <v>0</v>
      </c>
      <c r="J2669">
        <v>1</v>
      </c>
      <c r="K2669">
        <v>0</v>
      </c>
      <c r="L2669">
        <v>0</v>
      </c>
      <c r="M2669" t="s">
        <v>36</v>
      </c>
      <c r="N2669" t="s">
        <v>36</v>
      </c>
      <c r="O2669" t="s">
        <v>36</v>
      </c>
      <c r="P2669" t="s">
        <v>442</v>
      </c>
      <c r="Q2669" t="s">
        <v>36</v>
      </c>
      <c r="R2669" t="s">
        <v>36</v>
      </c>
      <c r="S2669" t="s">
        <v>36</v>
      </c>
      <c r="T2669" t="s">
        <v>36</v>
      </c>
      <c r="U2669">
        <v>1</v>
      </c>
      <c r="V2669">
        <v>0</v>
      </c>
      <c r="W2669">
        <v>1</v>
      </c>
      <c r="X2669">
        <v>0</v>
      </c>
      <c r="Y2669">
        <v>0</v>
      </c>
      <c r="Z2669">
        <v>1</v>
      </c>
      <c r="AA2669">
        <v>0</v>
      </c>
      <c r="AB2669">
        <v>1</v>
      </c>
      <c r="AC2669">
        <v>0</v>
      </c>
      <c r="AD2669">
        <v>0</v>
      </c>
      <c r="AE2669">
        <v>0</v>
      </c>
      <c r="AF2669">
        <v>0</v>
      </c>
      <c r="AG2669">
        <v>0</v>
      </c>
    </row>
    <row r="2670" spans="1:33" x14ac:dyDescent="0.2">
      <c r="A2670">
        <v>2669</v>
      </c>
      <c r="B2670" t="s">
        <v>722</v>
      </c>
      <c r="C2670" t="s">
        <v>33</v>
      </c>
      <c r="D2670">
        <v>28</v>
      </c>
      <c r="E2670" t="s">
        <v>34</v>
      </c>
      <c r="F2670" t="s">
        <v>41</v>
      </c>
      <c r="G2670" t="s">
        <v>42</v>
      </c>
      <c r="H2670">
        <v>4231</v>
      </c>
      <c r="I2670">
        <v>0</v>
      </c>
      <c r="J2670">
        <v>1</v>
      </c>
      <c r="K2670">
        <v>0</v>
      </c>
      <c r="L2670">
        <v>0</v>
      </c>
      <c r="M2670" t="s">
        <v>82</v>
      </c>
      <c r="N2670" t="s">
        <v>44</v>
      </c>
      <c r="O2670" t="s">
        <v>116</v>
      </c>
      <c r="P2670" t="s">
        <v>442</v>
      </c>
      <c r="Q2670" t="s">
        <v>65</v>
      </c>
      <c r="R2670" t="s">
        <v>47</v>
      </c>
      <c r="S2670" t="s">
        <v>60</v>
      </c>
      <c r="T2670">
        <v>1</v>
      </c>
      <c r="U2670">
        <v>1</v>
      </c>
      <c r="V2670">
        <v>0</v>
      </c>
      <c r="W2670">
        <v>1</v>
      </c>
      <c r="X2670">
        <v>0</v>
      </c>
      <c r="Y2670">
        <v>0</v>
      </c>
      <c r="Z2670">
        <v>1</v>
      </c>
      <c r="AA2670">
        <v>0</v>
      </c>
      <c r="AB2670">
        <v>0</v>
      </c>
      <c r="AC2670">
        <v>0</v>
      </c>
      <c r="AD2670">
        <v>1</v>
      </c>
      <c r="AE2670">
        <v>0</v>
      </c>
      <c r="AF2670">
        <v>0</v>
      </c>
      <c r="AG2670">
        <v>0</v>
      </c>
    </row>
    <row r="2671" spans="1:33" x14ac:dyDescent="0.2">
      <c r="A2671">
        <v>2670</v>
      </c>
      <c r="B2671" t="s">
        <v>722</v>
      </c>
      <c r="C2671" t="s">
        <v>33</v>
      </c>
      <c r="D2671">
        <v>28</v>
      </c>
      <c r="E2671" t="s">
        <v>34</v>
      </c>
      <c r="F2671" t="s">
        <v>41</v>
      </c>
      <c r="G2671" t="s">
        <v>61</v>
      </c>
      <c r="H2671">
        <v>2920</v>
      </c>
      <c r="I2671">
        <v>0</v>
      </c>
      <c r="J2671">
        <v>1</v>
      </c>
      <c r="K2671">
        <v>0</v>
      </c>
      <c r="L2671">
        <v>0</v>
      </c>
      <c r="M2671" t="s">
        <v>63</v>
      </c>
      <c r="N2671" t="s">
        <v>125</v>
      </c>
      <c r="O2671" t="s">
        <v>62</v>
      </c>
      <c r="P2671" t="s">
        <v>442</v>
      </c>
      <c r="Q2671" t="s">
        <v>46</v>
      </c>
      <c r="R2671" t="s">
        <v>60</v>
      </c>
      <c r="S2671" t="s">
        <v>65</v>
      </c>
      <c r="T2671">
        <v>1</v>
      </c>
      <c r="U2671">
        <v>1</v>
      </c>
      <c r="V2671">
        <v>0</v>
      </c>
      <c r="W2671">
        <v>0</v>
      </c>
      <c r="X2671">
        <v>1</v>
      </c>
      <c r="Y2671">
        <v>0</v>
      </c>
      <c r="Z2671">
        <v>1</v>
      </c>
      <c r="AA2671">
        <v>1</v>
      </c>
      <c r="AB2671">
        <v>0</v>
      </c>
      <c r="AC2671">
        <v>0</v>
      </c>
      <c r="AD2671">
        <v>0</v>
      </c>
      <c r="AE2671">
        <v>0</v>
      </c>
      <c r="AF2671">
        <v>0</v>
      </c>
      <c r="AG2671">
        <v>0</v>
      </c>
    </row>
    <row r="2672" spans="1:33" hidden="1" x14ac:dyDescent="0.2">
      <c r="A2672">
        <v>2671</v>
      </c>
      <c r="B2672" t="s">
        <v>722</v>
      </c>
      <c r="C2672" t="s">
        <v>33</v>
      </c>
      <c r="D2672">
        <v>28</v>
      </c>
      <c r="E2672" t="s">
        <v>34</v>
      </c>
      <c r="F2672" t="s">
        <v>53</v>
      </c>
      <c r="G2672" t="s">
        <v>76</v>
      </c>
      <c r="H2672">
        <v>3488</v>
      </c>
      <c r="I2672">
        <v>0</v>
      </c>
      <c r="J2672">
        <v>1</v>
      </c>
      <c r="K2672">
        <v>0</v>
      </c>
      <c r="L2672">
        <v>0</v>
      </c>
      <c r="M2672" t="s">
        <v>36</v>
      </c>
      <c r="N2672" t="s">
        <v>36</v>
      </c>
      <c r="O2672" t="s">
        <v>36</v>
      </c>
      <c r="P2672" t="s">
        <v>442</v>
      </c>
      <c r="Q2672" t="s">
        <v>36</v>
      </c>
      <c r="R2672" t="s">
        <v>36</v>
      </c>
      <c r="S2672" t="s">
        <v>36</v>
      </c>
      <c r="T2672" t="s">
        <v>36</v>
      </c>
      <c r="U2672">
        <v>1</v>
      </c>
      <c r="V2672">
        <v>0</v>
      </c>
      <c r="W2672">
        <v>0</v>
      </c>
      <c r="X2672">
        <v>1</v>
      </c>
      <c r="Y2672">
        <v>0</v>
      </c>
      <c r="Z2672">
        <v>1</v>
      </c>
      <c r="AA2672">
        <v>1</v>
      </c>
      <c r="AB2672">
        <v>0</v>
      </c>
      <c r="AC2672">
        <v>0</v>
      </c>
      <c r="AD2672">
        <v>0</v>
      </c>
      <c r="AE2672">
        <v>0</v>
      </c>
      <c r="AF2672">
        <v>0</v>
      </c>
      <c r="AG2672">
        <v>0</v>
      </c>
    </row>
    <row r="2673" spans="1:33" x14ac:dyDescent="0.2">
      <c r="A2673">
        <v>2672</v>
      </c>
      <c r="B2673" t="s">
        <v>722</v>
      </c>
      <c r="C2673" t="s">
        <v>33</v>
      </c>
      <c r="D2673">
        <v>28</v>
      </c>
      <c r="E2673" t="s">
        <v>34</v>
      </c>
      <c r="F2673" t="s">
        <v>41</v>
      </c>
      <c r="G2673" t="s">
        <v>67</v>
      </c>
      <c r="H2673">
        <v>6068</v>
      </c>
      <c r="I2673">
        <v>1</v>
      </c>
      <c r="J2673">
        <v>0</v>
      </c>
      <c r="K2673">
        <v>0</v>
      </c>
      <c r="L2673">
        <v>0</v>
      </c>
      <c r="M2673" t="s">
        <v>109</v>
      </c>
      <c r="N2673" t="s">
        <v>68</v>
      </c>
      <c r="O2673" t="s">
        <v>70</v>
      </c>
      <c r="P2673" t="s">
        <v>442</v>
      </c>
      <c r="Q2673" t="s">
        <v>59</v>
      </c>
      <c r="R2673" t="s">
        <v>65</v>
      </c>
      <c r="S2673" t="s">
        <v>47</v>
      </c>
      <c r="T2673">
        <v>0</v>
      </c>
      <c r="U2673">
        <v>1</v>
      </c>
      <c r="V2673">
        <v>0</v>
      </c>
      <c r="W2673">
        <v>1</v>
      </c>
      <c r="X2673">
        <v>0</v>
      </c>
      <c r="Y2673">
        <v>0</v>
      </c>
      <c r="Z2673">
        <v>1</v>
      </c>
      <c r="AA2673">
        <v>0</v>
      </c>
      <c r="AB2673">
        <v>0</v>
      </c>
      <c r="AC2673">
        <v>0</v>
      </c>
      <c r="AD2673">
        <v>0</v>
      </c>
      <c r="AE2673">
        <v>0</v>
      </c>
      <c r="AF2673">
        <v>0</v>
      </c>
      <c r="AG2673">
        <v>0</v>
      </c>
    </row>
    <row r="2674" spans="1:33" hidden="1" x14ac:dyDescent="0.2">
      <c r="A2674">
        <v>2673</v>
      </c>
      <c r="B2674" t="s">
        <v>722</v>
      </c>
      <c r="C2674" t="s">
        <v>33</v>
      </c>
      <c r="D2674">
        <v>28</v>
      </c>
      <c r="E2674" t="s">
        <v>34</v>
      </c>
      <c r="F2674" t="s">
        <v>53</v>
      </c>
      <c r="G2674" t="s">
        <v>71</v>
      </c>
      <c r="H2674">
        <v>3947</v>
      </c>
      <c r="I2674">
        <v>1</v>
      </c>
      <c r="J2674">
        <v>0</v>
      </c>
      <c r="K2674">
        <v>0</v>
      </c>
      <c r="L2674">
        <v>0</v>
      </c>
      <c r="M2674" t="s">
        <v>36</v>
      </c>
      <c r="N2674" t="s">
        <v>36</v>
      </c>
      <c r="O2674" t="s">
        <v>36</v>
      </c>
      <c r="P2674" t="s">
        <v>442</v>
      </c>
      <c r="Q2674" t="s">
        <v>36</v>
      </c>
      <c r="R2674" t="s">
        <v>36</v>
      </c>
      <c r="S2674" t="s">
        <v>36</v>
      </c>
      <c r="T2674" t="s">
        <v>36</v>
      </c>
      <c r="U2674">
        <v>1</v>
      </c>
      <c r="V2674">
        <v>0</v>
      </c>
      <c r="W2674">
        <v>1</v>
      </c>
      <c r="X2674">
        <v>0</v>
      </c>
      <c r="Y2674">
        <v>0</v>
      </c>
      <c r="Z2674">
        <v>1</v>
      </c>
      <c r="AA2674">
        <v>0</v>
      </c>
      <c r="AB2674">
        <v>0</v>
      </c>
      <c r="AC2674">
        <v>0</v>
      </c>
      <c r="AD2674">
        <v>0</v>
      </c>
      <c r="AE2674">
        <v>0</v>
      </c>
      <c r="AF2674">
        <v>0</v>
      </c>
      <c r="AG2674">
        <v>0</v>
      </c>
    </row>
    <row r="2675" spans="1:33" hidden="1" x14ac:dyDescent="0.2">
      <c r="A2675">
        <v>2674</v>
      </c>
      <c r="B2675" t="s">
        <v>722</v>
      </c>
      <c r="C2675" t="s">
        <v>33</v>
      </c>
      <c r="D2675">
        <v>28</v>
      </c>
      <c r="E2675" t="s">
        <v>34</v>
      </c>
      <c r="F2675" t="s">
        <v>77</v>
      </c>
      <c r="G2675" t="s">
        <v>36</v>
      </c>
      <c r="H2675">
        <v>7591</v>
      </c>
      <c r="I2675" t="s">
        <v>166</v>
      </c>
      <c r="J2675" t="s">
        <v>166</v>
      </c>
      <c r="K2675" t="s">
        <v>166</v>
      </c>
      <c r="L2675" t="s">
        <v>36</v>
      </c>
      <c r="M2675" t="s">
        <v>36</v>
      </c>
      <c r="N2675" t="s">
        <v>36</v>
      </c>
      <c r="O2675" t="s">
        <v>36</v>
      </c>
      <c r="P2675" t="s">
        <v>442</v>
      </c>
      <c r="Q2675" t="s">
        <v>36</v>
      </c>
      <c r="R2675" t="s">
        <v>36</v>
      </c>
      <c r="S2675" t="s">
        <v>36</v>
      </c>
      <c r="T2675" t="s">
        <v>36</v>
      </c>
      <c r="U2675" t="s">
        <v>36</v>
      </c>
      <c r="V2675" t="s">
        <v>36</v>
      </c>
      <c r="W2675" t="s">
        <v>36</v>
      </c>
      <c r="X2675" t="s">
        <v>36</v>
      </c>
      <c r="Y2675" t="s">
        <v>36</v>
      </c>
      <c r="Z2675" t="s">
        <v>36</v>
      </c>
      <c r="AA2675" t="s">
        <v>36</v>
      </c>
      <c r="AB2675" t="s">
        <v>36</v>
      </c>
      <c r="AC2675" t="s">
        <v>36</v>
      </c>
      <c r="AD2675" t="s">
        <v>36</v>
      </c>
      <c r="AE2675" t="s">
        <v>36</v>
      </c>
      <c r="AF2675" t="s">
        <v>36</v>
      </c>
      <c r="AG2675" t="s">
        <v>36</v>
      </c>
    </row>
    <row r="2676" spans="1:33" hidden="1" x14ac:dyDescent="0.2">
      <c r="A2676">
        <v>2675</v>
      </c>
      <c r="B2676" t="s">
        <v>723</v>
      </c>
      <c r="C2676" t="s">
        <v>33</v>
      </c>
      <c r="D2676">
        <v>27</v>
      </c>
      <c r="E2676" t="s">
        <v>114</v>
      </c>
      <c r="F2676" t="s">
        <v>35</v>
      </c>
      <c r="G2676" t="s">
        <v>36</v>
      </c>
      <c r="H2676">
        <v>20849</v>
      </c>
      <c r="I2676" t="s">
        <v>36</v>
      </c>
      <c r="J2676" t="s">
        <v>36</v>
      </c>
      <c r="K2676" t="s">
        <v>36</v>
      </c>
      <c r="L2676" t="s">
        <v>36</v>
      </c>
      <c r="M2676" t="s">
        <v>36</v>
      </c>
      <c r="N2676" t="s">
        <v>36</v>
      </c>
      <c r="O2676" t="s">
        <v>36</v>
      </c>
      <c r="P2676" t="s">
        <v>442</v>
      </c>
      <c r="Q2676" t="s">
        <v>36</v>
      </c>
      <c r="R2676" t="s">
        <v>36</v>
      </c>
      <c r="S2676" t="s">
        <v>36</v>
      </c>
      <c r="T2676" t="s">
        <v>36</v>
      </c>
      <c r="U2676" t="s">
        <v>36</v>
      </c>
      <c r="V2676" t="s">
        <v>36</v>
      </c>
      <c r="W2676" t="s">
        <v>36</v>
      </c>
      <c r="X2676" t="s">
        <v>36</v>
      </c>
      <c r="Y2676" t="s">
        <v>36</v>
      </c>
      <c r="Z2676" t="s">
        <v>36</v>
      </c>
      <c r="AA2676" t="s">
        <v>36</v>
      </c>
      <c r="AB2676" t="s">
        <v>36</v>
      </c>
      <c r="AC2676" t="s">
        <v>36</v>
      </c>
      <c r="AD2676" t="s">
        <v>36</v>
      </c>
      <c r="AE2676" t="s">
        <v>36</v>
      </c>
      <c r="AF2676" t="s">
        <v>36</v>
      </c>
      <c r="AG2676" t="s">
        <v>36</v>
      </c>
    </row>
    <row r="2677" spans="1:33" hidden="1" x14ac:dyDescent="0.2">
      <c r="A2677">
        <v>2676</v>
      </c>
      <c r="B2677" t="s">
        <v>723</v>
      </c>
      <c r="C2677" t="s">
        <v>33</v>
      </c>
      <c r="D2677">
        <v>27</v>
      </c>
      <c r="E2677" t="s">
        <v>114</v>
      </c>
      <c r="F2677" t="s">
        <v>38</v>
      </c>
      <c r="G2677" t="s">
        <v>40</v>
      </c>
      <c r="H2677">
        <v>28215</v>
      </c>
      <c r="I2677">
        <v>1</v>
      </c>
      <c r="J2677">
        <v>1</v>
      </c>
      <c r="K2677">
        <v>1</v>
      </c>
      <c r="L2677">
        <v>0</v>
      </c>
      <c r="M2677" t="s">
        <v>36</v>
      </c>
      <c r="N2677" t="s">
        <v>36</v>
      </c>
      <c r="O2677" t="s">
        <v>36</v>
      </c>
      <c r="P2677" t="s">
        <v>442</v>
      </c>
      <c r="Q2677" t="s">
        <v>36</v>
      </c>
      <c r="R2677" t="s">
        <v>36</v>
      </c>
      <c r="S2677" t="s">
        <v>36</v>
      </c>
      <c r="T2677" t="s">
        <v>36</v>
      </c>
      <c r="U2677" t="s">
        <v>36</v>
      </c>
      <c r="V2677" t="s">
        <v>36</v>
      </c>
      <c r="W2677" t="s">
        <v>36</v>
      </c>
      <c r="X2677" t="s">
        <v>36</v>
      </c>
      <c r="Y2677" t="s">
        <v>36</v>
      </c>
      <c r="Z2677" t="s">
        <v>36</v>
      </c>
      <c r="AA2677" t="s">
        <v>36</v>
      </c>
      <c r="AB2677" t="s">
        <v>36</v>
      </c>
      <c r="AC2677" t="s">
        <v>36</v>
      </c>
      <c r="AD2677" t="s">
        <v>36</v>
      </c>
      <c r="AE2677" t="s">
        <v>36</v>
      </c>
      <c r="AF2677" t="s">
        <v>36</v>
      </c>
      <c r="AG2677" t="s">
        <v>36</v>
      </c>
    </row>
    <row r="2678" spans="1:33" hidden="1" x14ac:dyDescent="0.2">
      <c r="A2678">
        <v>2677</v>
      </c>
      <c r="B2678" t="s">
        <v>723</v>
      </c>
      <c r="C2678" t="s">
        <v>33</v>
      </c>
      <c r="D2678">
        <v>27</v>
      </c>
      <c r="E2678" t="s">
        <v>114</v>
      </c>
      <c r="F2678" t="s">
        <v>38</v>
      </c>
      <c r="G2678" t="s">
        <v>39</v>
      </c>
      <c r="H2678">
        <v>10524</v>
      </c>
      <c r="I2678">
        <v>1</v>
      </c>
      <c r="J2678">
        <v>1</v>
      </c>
      <c r="K2678">
        <v>1</v>
      </c>
      <c r="L2678">
        <v>0</v>
      </c>
      <c r="M2678" t="s">
        <v>36</v>
      </c>
      <c r="N2678" t="s">
        <v>36</v>
      </c>
      <c r="O2678" t="s">
        <v>36</v>
      </c>
      <c r="P2678" t="s">
        <v>442</v>
      </c>
      <c r="Q2678" t="s">
        <v>36</v>
      </c>
      <c r="R2678" t="s">
        <v>36</v>
      </c>
      <c r="S2678" t="s">
        <v>36</v>
      </c>
      <c r="T2678" t="s">
        <v>36</v>
      </c>
      <c r="U2678" t="s">
        <v>36</v>
      </c>
      <c r="V2678" t="s">
        <v>36</v>
      </c>
      <c r="W2678" t="s">
        <v>36</v>
      </c>
      <c r="X2678" t="s">
        <v>36</v>
      </c>
      <c r="Y2678" t="s">
        <v>36</v>
      </c>
      <c r="Z2678" t="s">
        <v>36</v>
      </c>
      <c r="AA2678" t="s">
        <v>36</v>
      </c>
      <c r="AB2678" t="s">
        <v>36</v>
      </c>
      <c r="AC2678" t="s">
        <v>36</v>
      </c>
      <c r="AD2678" t="s">
        <v>36</v>
      </c>
      <c r="AE2678" t="s">
        <v>36</v>
      </c>
      <c r="AF2678" t="s">
        <v>36</v>
      </c>
      <c r="AG2678" t="s">
        <v>36</v>
      </c>
    </row>
    <row r="2679" spans="1:33" x14ac:dyDescent="0.2">
      <c r="A2679">
        <v>2678</v>
      </c>
      <c r="B2679" t="s">
        <v>723</v>
      </c>
      <c r="C2679" t="s">
        <v>33</v>
      </c>
      <c r="D2679">
        <v>27</v>
      </c>
      <c r="E2679" t="s">
        <v>114</v>
      </c>
      <c r="F2679" t="s">
        <v>41</v>
      </c>
      <c r="G2679" t="s">
        <v>55</v>
      </c>
      <c r="H2679">
        <v>7973</v>
      </c>
      <c r="I2679">
        <v>1</v>
      </c>
      <c r="J2679">
        <v>1</v>
      </c>
      <c r="K2679">
        <v>1</v>
      </c>
      <c r="L2679">
        <v>0</v>
      </c>
      <c r="M2679" t="s">
        <v>56</v>
      </c>
      <c r="N2679" t="s">
        <v>57</v>
      </c>
      <c r="O2679" t="s">
        <v>94</v>
      </c>
      <c r="P2679" t="s">
        <v>442</v>
      </c>
      <c r="Q2679" t="s">
        <v>59</v>
      </c>
      <c r="R2679" t="s">
        <v>48</v>
      </c>
      <c r="S2679" t="s">
        <v>47</v>
      </c>
      <c r="T2679">
        <v>0</v>
      </c>
      <c r="U2679">
        <v>0</v>
      </c>
      <c r="V2679">
        <v>1</v>
      </c>
      <c r="W2679">
        <v>1</v>
      </c>
      <c r="X2679">
        <v>0</v>
      </c>
      <c r="Y2679">
        <v>0</v>
      </c>
      <c r="Z2679">
        <v>1</v>
      </c>
      <c r="AA2679">
        <v>0</v>
      </c>
      <c r="AB2679">
        <v>0</v>
      </c>
      <c r="AC2679">
        <v>1</v>
      </c>
      <c r="AD2679">
        <v>1</v>
      </c>
      <c r="AE2679">
        <v>0</v>
      </c>
      <c r="AF2679">
        <v>0</v>
      </c>
      <c r="AG2679">
        <v>0</v>
      </c>
    </row>
    <row r="2680" spans="1:33" hidden="1" x14ac:dyDescent="0.2">
      <c r="A2680">
        <v>2679</v>
      </c>
      <c r="B2680" t="s">
        <v>723</v>
      </c>
      <c r="C2680" t="s">
        <v>33</v>
      </c>
      <c r="D2680">
        <v>27</v>
      </c>
      <c r="E2680" t="s">
        <v>114</v>
      </c>
      <c r="F2680" t="s">
        <v>53</v>
      </c>
      <c r="G2680" t="s">
        <v>76</v>
      </c>
      <c r="H2680">
        <v>5460</v>
      </c>
      <c r="I2680">
        <v>1</v>
      </c>
      <c r="J2680">
        <v>1</v>
      </c>
      <c r="K2680">
        <v>1</v>
      </c>
      <c r="L2680">
        <v>0</v>
      </c>
      <c r="M2680" t="s">
        <v>36</v>
      </c>
      <c r="N2680" t="s">
        <v>36</v>
      </c>
      <c r="O2680" t="s">
        <v>36</v>
      </c>
      <c r="P2680" t="s">
        <v>442</v>
      </c>
      <c r="Q2680" t="s">
        <v>36</v>
      </c>
      <c r="R2680" t="s">
        <v>36</v>
      </c>
      <c r="S2680" t="s">
        <v>36</v>
      </c>
      <c r="T2680" t="s">
        <v>36</v>
      </c>
      <c r="U2680">
        <v>0</v>
      </c>
      <c r="V2680">
        <v>1</v>
      </c>
      <c r="W2680">
        <v>1</v>
      </c>
      <c r="X2680">
        <v>0</v>
      </c>
      <c r="Y2680">
        <v>0</v>
      </c>
      <c r="Z2680">
        <v>1</v>
      </c>
      <c r="AA2680">
        <v>0</v>
      </c>
      <c r="AB2680">
        <v>0</v>
      </c>
      <c r="AC2680">
        <v>1</v>
      </c>
      <c r="AD2680">
        <v>1</v>
      </c>
      <c r="AE2680">
        <v>0</v>
      </c>
      <c r="AF2680">
        <v>0</v>
      </c>
      <c r="AG2680">
        <v>0</v>
      </c>
    </row>
    <row r="2681" spans="1:33" x14ac:dyDescent="0.2">
      <c r="A2681">
        <v>2680</v>
      </c>
      <c r="B2681" t="s">
        <v>723</v>
      </c>
      <c r="C2681" t="s">
        <v>33</v>
      </c>
      <c r="D2681">
        <v>27</v>
      </c>
      <c r="E2681" t="s">
        <v>114</v>
      </c>
      <c r="F2681" t="s">
        <v>41</v>
      </c>
      <c r="G2681" t="s">
        <v>67</v>
      </c>
      <c r="H2681">
        <v>5149</v>
      </c>
      <c r="I2681">
        <v>1</v>
      </c>
      <c r="J2681">
        <v>1</v>
      </c>
      <c r="K2681">
        <v>1</v>
      </c>
      <c r="L2681">
        <v>0</v>
      </c>
      <c r="M2681" t="s">
        <v>70</v>
      </c>
      <c r="N2681" t="s">
        <v>68</v>
      </c>
      <c r="O2681" t="s">
        <v>69</v>
      </c>
      <c r="P2681" t="s">
        <v>442</v>
      </c>
      <c r="Q2681" t="s">
        <v>47</v>
      </c>
      <c r="R2681" t="s">
        <v>65</v>
      </c>
      <c r="S2681" t="s">
        <v>48</v>
      </c>
      <c r="T2681">
        <v>0</v>
      </c>
      <c r="U2681">
        <v>1</v>
      </c>
      <c r="V2681">
        <v>1</v>
      </c>
      <c r="W2681">
        <v>1</v>
      </c>
      <c r="X2681">
        <v>0</v>
      </c>
      <c r="Y2681">
        <v>0</v>
      </c>
      <c r="Z2681">
        <v>1</v>
      </c>
      <c r="AA2681">
        <v>0</v>
      </c>
      <c r="AB2681">
        <v>1</v>
      </c>
      <c r="AC2681">
        <v>1</v>
      </c>
      <c r="AD2681">
        <v>1</v>
      </c>
      <c r="AE2681">
        <v>0</v>
      </c>
      <c r="AF2681">
        <v>0</v>
      </c>
      <c r="AG2681">
        <v>0</v>
      </c>
    </row>
    <row r="2682" spans="1:33" x14ac:dyDescent="0.2">
      <c r="A2682">
        <v>2681</v>
      </c>
      <c r="B2682" t="s">
        <v>723</v>
      </c>
      <c r="C2682" t="s">
        <v>33</v>
      </c>
      <c r="D2682">
        <v>27</v>
      </c>
      <c r="E2682" t="s">
        <v>114</v>
      </c>
      <c r="F2682" t="s">
        <v>41</v>
      </c>
      <c r="G2682" t="s">
        <v>72</v>
      </c>
      <c r="H2682">
        <v>3059</v>
      </c>
      <c r="I2682">
        <v>1</v>
      </c>
      <c r="J2682">
        <v>1</v>
      </c>
      <c r="K2682">
        <v>0</v>
      </c>
      <c r="L2682">
        <v>0</v>
      </c>
      <c r="M2682" t="s">
        <v>74</v>
      </c>
      <c r="N2682" t="s">
        <v>75</v>
      </c>
      <c r="O2682" t="s">
        <v>115</v>
      </c>
      <c r="P2682" t="s">
        <v>442</v>
      </c>
      <c r="Q2682" t="s">
        <v>47</v>
      </c>
      <c r="R2682" t="s">
        <v>46</v>
      </c>
      <c r="S2682" t="s">
        <v>65</v>
      </c>
      <c r="T2682">
        <v>0</v>
      </c>
      <c r="U2682">
        <v>1</v>
      </c>
      <c r="V2682">
        <v>0</v>
      </c>
      <c r="W2682">
        <v>1</v>
      </c>
      <c r="X2682">
        <v>1</v>
      </c>
      <c r="Y2682">
        <v>0</v>
      </c>
      <c r="Z2682">
        <v>1</v>
      </c>
      <c r="AA2682">
        <v>0</v>
      </c>
      <c r="AB2682">
        <v>0</v>
      </c>
      <c r="AC2682">
        <v>0</v>
      </c>
      <c r="AD2682">
        <v>1</v>
      </c>
      <c r="AE2682">
        <v>1</v>
      </c>
      <c r="AF2682">
        <v>0</v>
      </c>
      <c r="AG2682">
        <v>0</v>
      </c>
    </row>
    <row r="2683" spans="1:33" hidden="1" x14ac:dyDescent="0.2">
      <c r="A2683">
        <v>2682</v>
      </c>
      <c r="B2683" t="s">
        <v>723</v>
      </c>
      <c r="C2683" t="s">
        <v>33</v>
      </c>
      <c r="D2683">
        <v>27</v>
      </c>
      <c r="E2683" t="s">
        <v>114</v>
      </c>
      <c r="F2683" t="s">
        <v>53</v>
      </c>
      <c r="G2683" t="s">
        <v>66</v>
      </c>
      <c r="H2683">
        <v>4822</v>
      </c>
      <c r="I2683">
        <v>1</v>
      </c>
      <c r="J2683">
        <v>1</v>
      </c>
      <c r="K2683">
        <v>1</v>
      </c>
      <c r="L2683">
        <v>0</v>
      </c>
      <c r="M2683" t="s">
        <v>36</v>
      </c>
      <c r="N2683" t="s">
        <v>36</v>
      </c>
      <c r="O2683" t="s">
        <v>36</v>
      </c>
      <c r="P2683" t="s">
        <v>442</v>
      </c>
      <c r="Q2683" t="s">
        <v>36</v>
      </c>
      <c r="R2683" t="s">
        <v>36</v>
      </c>
      <c r="S2683" t="s">
        <v>36</v>
      </c>
      <c r="T2683" t="s">
        <v>36</v>
      </c>
      <c r="U2683">
        <v>1</v>
      </c>
      <c r="V2683">
        <v>0</v>
      </c>
      <c r="W2683">
        <v>1</v>
      </c>
      <c r="X2683">
        <v>1</v>
      </c>
      <c r="Y2683">
        <v>0</v>
      </c>
      <c r="Z2683">
        <v>1</v>
      </c>
      <c r="AA2683">
        <v>0</v>
      </c>
      <c r="AB2683">
        <v>0</v>
      </c>
      <c r="AC2683">
        <v>0</v>
      </c>
      <c r="AD2683">
        <v>1</v>
      </c>
      <c r="AE2683">
        <v>1</v>
      </c>
      <c r="AF2683">
        <v>0</v>
      </c>
      <c r="AG2683">
        <v>0</v>
      </c>
    </row>
    <row r="2684" spans="1:33" x14ac:dyDescent="0.2">
      <c r="A2684">
        <v>2683</v>
      </c>
      <c r="B2684" t="s">
        <v>723</v>
      </c>
      <c r="C2684" t="s">
        <v>33</v>
      </c>
      <c r="D2684">
        <v>27</v>
      </c>
      <c r="E2684" t="s">
        <v>114</v>
      </c>
      <c r="F2684" t="s">
        <v>41</v>
      </c>
      <c r="G2684" t="s">
        <v>61</v>
      </c>
      <c r="H2684">
        <v>5180</v>
      </c>
      <c r="I2684">
        <v>1</v>
      </c>
      <c r="J2684">
        <v>1</v>
      </c>
      <c r="K2684">
        <v>0</v>
      </c>
      <c r="L2684">
        <v>0</v>
      </c>
      <c r="M2684" t="s">
        <v>62</v>
      </c>
      <c r="N2684" t="s">
        <v>63</v>
      </c>
      <c r="O2684" t="s">
        <v>125</v>
      </c>
      <c r="P2684" t="s">
        <v>442</v>
      </c>
      <c r="Q2684" t="s">
        <v>65</v>
      </c>
      <c r="R2684" t="s">
        <v>46</v>
      </c>
      <c r="S2684" t="s">
        <v>60</v>
      </c>
      <c r="T2684">
        <v>1</v>
      </c>
      <c r="U2684">
        <v>1</v>
      </c>
      <c r="V2684">
        <v>0</v>
      </c>
      <c r="W2684">
        <v>0</v>
      </c>
      <c r="X2684">
        <v>1</v>
      </c>
      <c r="Y2684">
        <v>0</v>
      </c>
      <c r="Z2684">
        <v>1</v>
      </c>
      <c r="AA2684">
        <v>0</v>
      </c>
      <c r="AB2684">
        <v>1</v>
      </c>
      <c r="AC2684">
        <v>0</v>
      </c>
      <c r="AD2684">
        <v>0</v>
      </c>
      <c r="AE2684">
        <v>1</v>
      </c>
      <c r="AF2684">
        <v>0</v>
      </c>
      <c r="AG2684">
        <v>0</v>
      </c>
    </row>
    <row r="2685" spans="1:33" hidden="1" x14ac:dyDescent="0.2">
      <c r="A2685">
        <v>2684</v>
      </c>
      <c r="B2685" t="s">
        <v>723</v>
      </c>
      <c r="C2685" t="s">
        <v>33</v>
      </c>
      <c r="D2685">
        <v>27</v>
      </c>
      <c r="E2685" t="s">
        <v>114</v>
      </c>
      <c r="F2685" t="s">
        <v>53</v>
      </c>
      <c r="G2685" t="s">
        <v>54</v>
      </c>
      <c r="H2685">
        <v>5439</v>
      </c>
      <c r="I2685">
        <v>1</v>
      </c>
      <c r="J2685">
        <v>0</v>
      </c>
      <c r="K2685">
        <v>1</v>
      </c>
      <c r="L2685">
        <v>0</v>
      </c>
      <c r="M2685" t="s">
        <v>36</v>
      </c>
      <c r="N2685" t="s">
        <v>36</v>
      </c>
      <c r="O2685" t="s">
        <v>36</v>
      </c>
      <c r="P2685" t="s">
        <v>442</v>
      </c>
      <c r="Q2685" t="s">
        <v>36</v>
      </c>
      <c r="R2685" t="s">
        <v>36</v>
      </c>
      <c r="S2685" t="s">
        <v>36</v>
      </c>
      <c r="T2685" t="s">
        <v>36</v>
      </c>
      <c r="U2685">
        <v>1</v>
      </c>
      <c r="V2685">
        <v>0</v>
      </c>
      <c r="W2685">
        <v>0</v>
      </c>
      <c r="X2685">
        <v>1</v>
      </c>
      <c r="Y2685">
        <v>0</v>
      </c>
      <c r="Z2685">
        <v>1</v>
      </c>
      <c r="AA2685">
        <v>0</v>
      </c>
      <c r="AB2685">
        <v>1</v>
      </c>
      <c r="AC2685">
        <v>0</v>
      </c>
      <c r="AD2685">
        <v>0</v>
      </c>
      <c r="AE2685">
        <v>1</v>
      </c>
      <c r="AF2685">
        <v>0</v>
      </c>
      <c r="AG2685">
        <v>0</v>
      </c>
    </row>
    <row r="2686" spans="1:33" x14ac:dyDescent="0.2">
      <c r="A2686">
        <v>2685</v>
      </c>
      <c r="B2686" t="s">
        <v>723</v>
      </c>
      <c r="C2686" t="s">
        <v>33</v>
      </c>
      <c r="D2686">
        <v>27</v>
      </c>
      <c r="E2686" t="s">
        <v>114</v>
      </c>
      <c r="F2686" t="s">
        <v>41</v>
      </c>
      <c r="G2686" t="s">
        <v>42</v>
      </c>
      <c r="H2686">
        <v>4777</v>
      </c>
      <c r="I2686">
        <v>1</v>
      </c>
      <c r="J2686">
        <v>1</v>
      </c>
      <c r="K2686">
        <v>1</v>
      </c>
      <c r="L2686">
        <v>0</v>
      </c>
      <c r="M2686" t="s">
        <v>44</v>
      </c>
      <c r="N2686" t="s">
        <v>82</v>
      </c>
      <c r="O2686" t="s">
        <v>45</v>
      </c>
      <c r="P2686" t="s">
        <v>442</v>
      </c>
      <c r="Q2686" t="s">
        <v>47</v>
      </c>
      <c r="R2686" t="s">
        <v>65</v>
      </c>
      <c r="S2686" t="s">
        <v>48</v>
      </c>
      <c r="T2686">
        <v>0</v>
      </c>
      <c r="U2686">
        <v>1</v>
      </c>
      <c r="V2686">
        <v>1</v>
      </c>
      <c r="W2686">
        <v>1</v>
      </c>
      <c r="X2686">
        <v>0</v>
      </c>
      <c r="Y2686">
        <v>0</v>
      </c>
      <c r="Z2686">
        <v>1</v>
      </c>
      <c r="AA2686">
        <v>0</v>
      </c>
      <c r="AB2686">
        <v>1</v>
      </c>
      <c r="AC2686">
        <v>1</v>
      </c>
      <c r="AD2686">
        <v>1</v>
      </c>
      <c r="AE2686">
        <v>0</v>
      </c>
      <c r="AF2686">
        <v>0</v>
      </c>
      <c r="AG2686">
        <v>0</v>
      </c>
    </row>
    <row r="2687" spans="1:33" x14ac:dyDescent="0.2">
      <c r="A2687">
        <v>2686</v>
      </c>
      <c r="B2687" t="s">
        <v>723</v>
      </c>
      <c r="C2687" t="s">
        <v>33</v>
      </c>
      <c r="D2687">
        <v>27</v>
      </c>
      <c r="E2687" t="s">
        <v>114</v>
      </c>
      <c r="F2687" t="s">
        <v>41</v>
      </c>
      <c r="G2687" t="s">
        <v>49</v>
      </c>
      <c r="H2687">
        <v>5007</v>
      </c>
      <c r="I2687">
        <v>1</v>
      </c>
      <c r="J2687">
        <v>1</v>
      </c>
      <c r="K2687">
        <v>1</v>
      </c>
      <c r="L2687">
        <v>0</v>
      </c>
      <c r="M2687" t="s">
        <v>50</v>
      </c>
      <c r="N2687" t="s">
        <v>52</v>
      </c>
      <c r="O2687" t="s">
        <v>96</v>
      </c>
      <c r="P2687" t="s">
        <v>442</v>
      </c>
      <c r="Q2687" t="s">
        <v>48</v>
      </c>
      <c r="R2687" t="s">
        <v>46</v>
      </c>
      <c r="S2687" t="s">
        <v>65</v>
      </c>
      <c r="T2687">
        <v>0</v>
      </c>
      <c r="U2687">
        <v>1</v>
      </c>
      <c r="V2687">
        <v>1</v>
      </c>
      <c r="W2687">
        <v>0</v>
      </c>
      <c r="X2687">
        <v>1</v>
      </c>
      <c r="Y2687">
        <v>0</v>
      </c>
      <c r="Z2687">
        <v>1</v>
      </c>
      <c r="AA2687">
        <v>0</v>
      </c>
      <c r="AB2687">
        <v>1</v>
      </c>
      <c r="AC2687">
        <v>1</v>
      </c>
      <c r="AD2687">
        <v>0</v>
      </c>
      <c r="AE2687">
        <v>1</v>
      </c>
      <c r="AF2687">
        <v>0</v>
      </c>
      <c r="AG2687">
        <v>0</v>
      </c>
    </row>
    <row r="2688" spans="1:33" hidden="1" x14ac:dyDescent="0.2">
      <c r="A2688">
        <v>2687</v>
      </c>
      <c r="B2688" t="s">
        <v>723</v>
      </c>
      <c r="C2688" t="s">
        <v>33</v>
      </c>
      <c r="D2688">
        <v>27</v>
      </c>
      <c r="E2688" t="s">
        <v>114</v>
      </c>
      <c r="F2688" t="s">
        <v>53</v>
      </c>
      <c r="G2688" t="s">
        <v>71</v>
      </c>
      <c r="H2688">
        <v>4298</v>
      </c>
      <c r="I2688">
        <v>1</v>
      </c>
      <c r="J2688">
        <v>1</v>
      </c>
      <c r="K2688">
        <v>1</v>
      </c>
      <c r="L2688">
        <v>0</v>
      </c>
      <c r="M2688" t="s">
        <v>36</v>
      </c>
      <c r="N2688" t="s">
        <v>36</v>
      </c>
      <c r="O2688" t="s">
        <v>36</v>
      </c>
      <c r="P2688" t="s">
        <v>442</v>
      </c>
      <c r="Q2688" t="s">
        <v>36</v>
      </c>
      <c r="R2688" t="s">
        <v>36</v>
      </c>
      <c r="S2688" t="s">
        <v>36</v>
      </c>
      <c r="T2688" t="s">
        <v>36</v>
      </c>
      <c r="U2688">
        <v>1</v>
      </c>
      <c r="V2688">
        <v>1</v>
      </c>
      <c r="W2688">
        <v>0</v>
      </c>
      <c r="X2688">
        <v>1</v>
      </c>
      <c r="Y2688">
        <v>0</v>
      </c>
      <c r="Z2688">
        <v>1</v>
      </c>
      <c r="AA2688">
        <v>0</v>
      </c>
      <c r="AB2688">
        <v>1</v>
      </c>
      <c r="AC2688">
        <v>1</v>
      </c>
      <c r="AD2688">
        <v>0</v>
      </c>
      <c r="AE2688">
        <v>1</v>
      </c>
      <c r="AF2688">
        <v>0</v>
      </c>
      <c r="AG2688">
        <v>0</v>
      </c>
    </row>
    <row r="2689" spans="1:33" hidden="1" x14ac:dyDescent="0.2">
      <c r="A2689">
        <v>2688</v>
      </c>
      <c r="B2689" t="s">
        <v>723</v>
      </c>
      <c r="C2689" t="s">
        <v>33</v>
      </c>
      <c r="D2689">
        <v>27</v>
      </c>
      <c r="E2689" t="s">
        <v>114</v>
      </c>
      <c r="F2689" t="s">
        <v>77</v>
      </c>
      <c r="G2689" t="s">
        <v>36</v>
      </c>
      <c r="H2689">
        <v>24951</v>
      </c>
      <c r="I2689" t="s">
        <v>724</v>
      </c>
      <c r="J2689" t="s">
        <v>522</v>
      </c>
      <c r="K2689" t="s">
        <v>128</v>
      </c>
      <c r="L2689" t="s">
        <v>36</v>
      </c>
      <c r="M2689" t="s">
        <v>36</v>
      </c>
      <c r="N2689" t="s">
        <v>36</v>
      </c>
      <c r="O2689" t="s">
        <v>36</v>
      </c>
      <c r="P2689" t="s">
        <v>442</v>
      </c>
      <c r="Q2689" t="s">
        <v>36</v>
      </c>
      <c r="R2689" t="s">
        <v>36</v>
      </c>
      <c r="S2689" t="s">
        <v>36</v>
      </c>
      <c r="T2689" t="s">
        <v>36</v>
      </c>
      <c r="U2689" t="s">
        <v>36</v>
      </c>
      <c r="V2689" t="s">
        <v>36</v>
      </c>
      <c r="W2689" t="s">
        <v>36</v>
      </c>
      <c r="X2689" t="s">
        <v>36</v>
      </c>
      <c r="Y2689" t="s">
        <v>36</v>
      </c>
      <c r="Z2689" t="s">
        <v>36</v>
      </c>
      <c r="AA2689" t="s">
        <v>36</v>
      </c>
      <c r="AB2689" t="s">
        <v>36</v>
      </c>
      <c r="AC2689" t="s">
        <v>36</v>
      </c>
      <c r="AD2689" t="s">
        <v>36</v>
      </c>
      <c r="AE2689" t="s">
        <v>36</v>
      </c>
      <c r="AF2689" t="s">
        <v>36</v>
      </c>
      <c r="AG2689" t="s">
        <v>36</v>
      </c>
    </row>
    <row r="2690" spans="1:33" hidden="1" x14ac:dyDescent="0.2">
      <c r="A2690">
        <v>2689</v>
      </c>
      <c r="B2690" t="s">
        <v>725</v>
      </c>
      <c r="C2690" t="s">
        <v>108</v>
      </c>
      <c r="D2690">
        <v>42</v>
      </c>
      <c r="E2690" t="s">
        <v>114</v>
      </c>
      <c r="F2690" t="s">
        <v>35</v>
      </c>
      <c r="G2690" t="s">
        <v>36</v>
      </c>
      <c r="H2690">
        <v>35913</v>
      </c>
      <c r="I2690" t="s">
        <v>36</v>
      </c>
      <c r="J2690" t="s">
        <v>36</v>
      </c>
      <c r="K2690" t="s">
        <v>36</v>
      </c>
      <c r="L2690" t="s">
        <v>36</v>
      </c>
      <c r="M2690" t="s">
        <v>36</v>
      </c>
      <c r="N2690" t="s">
        <v>36</v>
      </c>
      <c r="O2690" t="s">
        <v>36</v>
      </c>
      <c r="P2690" t="s">
        <v>442</v>
      </c>
      <c r="Q2690" t="s">
        <v>36</v>
      </c>
      <c r="R2690" t="s">
        <v>36</v>
      </c>
      <c r="S2690" t="s">
        <v>36</v>
      </c>
      <c r="T2690" t="s">
        <v>36</v>
      </c>
      <c r="U2690" t="s">
        <v>36</v>
      </c>
      <c r="V2690" t="s">
        <v>36</v>
      </c>
      <c r="W2690" t="s">
        <v>36</v>
      </c>
      <c r="X2690" t="s">
        <v>36</v>
      </c>
      <c r="Y2690" t="s">
        <v>36</v>
      </c>
      <c r="Z2690" t="s">
        <v>36</v>
      </c>
      <c r="AA2690" t="s">
        <v>36</v>
      </c>
      <c r="AB2690" t="s">
        <v>36</v>
      </c>
      <c r="AC2690" t="s">
        <v>36</v>
      </c>
      <c r="AD2690" t="s">
        <v>36</v>
      </c>
      <c r="AE2690" t="s">
        <v>36</v>
      </c>
      <c r="AF2690" t="s">
        <v>36</v>
      </c>
      <c r="AG2690" t="s">
        <v>36</v>
      </c>
    </row>
    <row r="2691" spans="1:33" hidden="1" x14ac:dyDescent="0.2">
      <c r="A2691">
        <v>2690</v>
      </c>
      <c r="B2691" t="s">
        <v>725</v>
      </c>
      <c r="C2691" t="s">
        <v>108</v>
      </c>
      <c r="D2691">
        <v>42</v>
      </c>
      <c r="E2691" t="s">
        <v>114</v>
      </c>
      <c r="F2691" t="s">
        <v>38</v>
      </c>
      <c r="G2691" t="s">
        <v>40</v>
      </c>
      <c r="H2691">
        <v>66815</v>
      </c>
      <c r="I2691">
        <v>0</v>
      </c>
      <c r="J2691">
        <v>0</v>
      </c>
      <c r="K2691">
        <v>1</v>
      </c>
      <c r="L2691">
        <v>0</v>
      </c>
      <c r="M2691" t="s">
        <v>36</v>
      </c>
      <c r="N2691" t="s">
        <v>36</v>
      </c>
      <c r="O2691" t="s">
        <v>36</v>
      </c>
      <c r="P2691" t="s">
        <v>442</v>
      </c>
      <c r="Q2691" t="s">
        <v>36</v>
      </c>
      <c r="R2691" t="s">
        <v>36</v>
      </c>
      <c r="S2691" t="s">
        <v>36</v>
      </c>
      <c r="T2691" t="s">
        <v>36</v>
      </c>
      <c r="U2691" t="s">
        <v>36</v>
      </c>
      <c r="V2691" t="s">
        <v>36</v>
      </c>
      <c r="W2691" t="s">
        <v>36</v>
      </c>
      <c r="X2691" t="s">
        <v>36</v>
      </c>
      <c r="Y2691" t="s">
        <v>36</v>
      </c>
      <c r="Z2691" t="s">
        <v>36</v>
      </c>
      <c r="AA2691" t="s">
        <v>36</v>
      </c>
      <c r="AB2691" t="s">
        <v>36</v>
      </c>
      <c r="AC2691" t="s">
        <v>36</v>
      </c>
      <c r="AD2691" t="s">
        <v>36</v>
      </c>
      <c r="AE2691" t="s">
        <v>36</v>
      </c>
      <c r="AF2691" t="s">
        <v>36</v>
      </c>
      <c r="AG2691" t="s">
        <v>36</v>
      </c>
    </row>
    <row r="2692" spans="1:33" hidden="1" x14ac:dyDescent="0.2">
      <c r="A2692">
        <v>2691</v>
      </c>
      <c r="B2692" t="s">
        <v>725</v>
      </c>
      <c r="C2692" t="s">
        <v>108</v>
      </c>
      <c r="D2692">
        <v>42</v>
      </c>
      <c r="E2692" t="s">
        <v>114</v>
      </c>
      <c r="F2692" t="s">
        <v>38</v>
      </c>
      <c r="G2692" t="s">
        <v>39</v>
      </c>
      <c r="H2692">
        <v>40182</v>
      </c>
      <c r="I2692">
        <v>0</v>
      </c>
      <c r="J2692">
        <v>0</v>
      </c>
      <c r="K2692">
        <v>0</v>
      </c>
      <c r="L2692">
        <v>1</v>
      </c>
      <c r="M2692" t="s">
        <v>36</v>
      </c>
      <c r="N2692" t="s">
        <v>36</v>
      </c>
      <c r="O2692" t="s">
        <v>36</v>
      </c>
      <c r="P2692" t="s">
        <v>442</v>
      </c>
      <c r="Q2692" t="s">
        <v>36</v>
      </c>
      <c r="R2692" t="s">
        <v>36</v>
      </c>
      <c r="S2692" t="s">
        <v>36</v>
      </c>
      <c r="T2692" t="s">
        <v>36</v>
      </c>
      <c r="U2692" t="s">
        <v>36</v>
      </c>
      <c r="V2692" t="s">
        <v>36</v>
      </c>
      <c r="W2692" t="s">
        <v>36</v>
      </c>
      <c r="X2692" t="s">
        <v>36</v>
      </c>
      <c r="Y2692" t="s">
        <v>36</v>
      </c>
      <c r="Z2692" t="s">
        <v>36</v>
      </c>
      <c r="AA2692" t="s">
        <v>36</v>
      </c>
      <c r="AB2692" t="s">
        <v>36</v>
      </c>
      <c r="AC2692" t="s">
        <v>36</v>
      </c>
      <c r="AD2692" t="s">
        <v>36</v>
      </c>
      <c r="AE2692" t="s">
        <v>36</v>
      </c>
      <c r="AF2692" t="s">
        <v>36</v>
      </c>
      <c r="AG2692" t="s">
        <v>36</v>
      </c>
    </row>
    <row r="2693" spans="1:33" x14ac:dyDescent="0.2">
      <c r="A2693">
        <v>2692</v>
      </c>
      <c r="B2693" t="s">
        <v>725</v>
      </c>
      <c r="C2693" t="s">
        <v>108</v>
      </c>
      <c r="D2693">
        <v>42</v>
      </c>
      <c r="E2693" t="s">
        <v>114</v>
      </c>
      <c r="F2693" t="s">
        <v>41</v>
      </c>
      <c r="G2693" t="s">
        <v>72</v>
      </c>
      <c r="H2693">
        <v>84955</v>
      </c>
      <c r="I2693">
        <v>0</v>
      </c>
      <c r="J2693">
        <v>0</v>
      </c>
      <c r="K2693">
        <v>1</v>
      </c>
      <c r="L2693">
        <v>0</v>
      </c>
      <c r="M2693" t="s">
        <v>74</v>
      </c>
      <c r="N2693" t="s">
        <v>75</v>
      </c>
      <c r="O2693" t="s">
        <v>115</v>
      </c>
      <c r="P2693" t="s">
        <v>442</v>
      </c>
      <c r="Q2693" t="s">
        <v>47</v>
      </c>
      <c r="R2693" t="s">
        <v>46</v>
      </c>
      <c r="S2693" t="s">
        <v>65</v>
      </c>
      <c r="T2693">
        <v>0</v>
      </c>
      <c r="U2693">
        <v>1</v>
      </c>
      <c r="V2693">
        <v>0</v>
      </c>
      <c r="W2693">
        <v>1</v>
      </c>
      <c r="X2693">
        <v>1</v>
      </c>
      <c r="Y2693">
        <v>0</v>
      </c>
      <c r="Z2693">
        <v>1</v>
      </c>
      <c r="AA2693">
        <v>0</v>
      </c>
      <c r="AB2693">
        <v>1</v>
      </c>
      <c r="AC2693">
        <v>0</v>
      </c>
      <c r="AD2693">
        <v>0</v>
      </c>
      <c r="AE2693">
        <v>0</v>
      </c>
      <c r="AF2693">
        <v>0</v>
      </c>
      <c r="AG2693">
        <v>0</v>
      </c>
    </row>
    <row r="2694" spans="1:33" x14ac:dyDescent="0.2">
      <c r="A2694">
        <v>2693</v>
      </c>
      <c r="B2694" t="s">
        <v>725</v>
      </c>
      <c r="C2694" t="s">
        <v>108</v>
      </c>
      <c r="D2694">
        <v>42</v>
      </c>
      <c r="E2694" t="s">
        <v>114</v>
      </c>
      <c r="F2694" t="s">
        <v>41</v>
      </c>
      <c r="G2694" t="s">
        <v>55</v>
      </c>
      <c r="H2694">
        <v>35554</v>
      </c>
      <c r="I2694">
        <v>1</v>
      </c>
      <c r="J2694">
        <v>0</v>
      </c>
      <c r="K2694">
        <v>0</v>
      </c>
      <c r="L2694">
        <v>0</v>
      </c>
      <c r="M2694" t="s">
        <v>85</v>
      </c>
      <c r="N2694" t="s">
        <v>57</v>
      </c>
      <c r="O2694" t="s">
        <v>58</v>
      </c>
      <c r="P2694" t="s">
        <v>442</v>
      </c>
      <c r="Q2694" t="s">
        <v>65</v>
      </c>
      <c r="R2694" t="s">
        <v>48</v>
      </c>
      <c r="S2694" t="s">
        <v>60</v>
      </c>
      <c r="T2694">
        <v>1</v>
      </c>
      <c r="U2694">
        <v>1</v>
      </c>
      <c r="V2694">
        <v>1</v>
      </c>
      <c r="W2694">
        <v>0</v>
      </c>
      <c r="X2694">
        <v>0</v>
      </c>
      <c r="Y2694">
        <v>0</v>
      </c>
      <c r="Z2694">
        <v>1</v>
      </c>
      <c r="AA2694">
        <v>0</v>
      </c>
      <c r="AB2694">
        <v>1</v>
      </c>
      <c r="AC2694">
        <v>0</v>
      </c>
      <c r="AD2694">
        <v>0</v>
      </c>
      <c r="AE2694">
        <v>0</v>
      </c>
      <c r="AF2694">
        <v>0</v>
      </c>
      <c r="AG2694">
        <v>0</v>
      </c>
    </row>
    <row r="2695" spans="1:33" hidden="1" x14ac:dyDescent="0.2">
      <c r="A2695">
        <v>2694</v>
      </c>
      <c r="B2695" t="s">
        <v>725</v>
      </c>
      <c r="C2695" t="s">
        <v>108</v>
      </c>
      <c r="D2695">
        <v>42</v>
      </c>
      <c r="E2695" t="s">
        <v>114</v>
      </c>
      <c r="F2695" t="s">
        <v>53</v>
      </c>
      <c r="G2695" t="s">
        <v>71</v>
      </c>
      <c r="H2695">
        <v>57646</v>
      </c>
      <c r="I2695">
        <v>0</v>
      </c>
      <c r="J2695">
        <v>1</v>
      </c>
      <c r="K2695">
        <v>0</v>
      </c>
      <c r="L2695">
        <v>0</v>
      </c>
      <c r="M2695" t="s">
        <v>36</v>
      </c>
      <c r="N2695" t="s">
        <v>36</v>
      </c>
      <c r="O2695" t="s">
        <v>36</v>
      </c>
      <c r="P2695" t="s">
        <v>442</v>
      </c>
      <c r="Q2695" t="s">
        <v>36</v>
      </c>
      <c r="R2695" t="s">
        <v>36</v>
      </c>
      <c r="S2695" t="s">
        <v>36</v>
      </c>
      <c r="T2695" t="s">
        <v>36</v>
      </c>
      <c r="U2695">
        <v>1</v>
      </c>
      <c r="V2695">
        <v>1</v>
      </c>
      <c r="W2695">
        <v>0</v>
      </c>
      <c r="X2695">
        <v>0</v>
      </c>
      <c r="Y2695">
        <v>0</v>
      </c>
      <c r="Z2695">
        <v>1</v>
      </c>
      <c r="AA2695">
        <v>0</v>
      </c>
      <c r="AB2695">
        <v>1</v>
      </c>
      <c r="AC2695">
        <v>0</v>
      </c>
      <c r="AD2695">
        <v>0</v>
      </c>
      <c r="AE2695">
        <v>0</v>
      </c>
      <c r="AF2695">
        <v>0</v>
      </c>
      <c r="AG2695">
        <v>0</v>
      </c>
    </row>
    <row r="2696" spans="1:33" x14ac:dyDescent="0.2">
      <c r="A2696">
        <v>2695</v>
      </c>
      <c r="B2696" t="s">
        <v>725</v>
      </c>
      <c r="C2696" t="s">
        <v>108</v>
      </c>
      <c r="D2696">
        <v>42</v>
      </c>
      <c r="E2696" t="s">
        <v>114</v>
      </c>
      <c r="F2696" t="s">
        <v>41</v>
      </c>
      <c r="G2696" t="s">
        <v>42</v>
      </c>
      <c r="H2696">
        <v>55757</v>
      </c>
      <c r="I2696">
        <v>1</v>
      </c>
      <c r="J2696">
        <v>1</v>
      </c>
      <c r="K2696">
        <v>1</v>
      </c>
      <c r="L2696">
        <v>0</v>
      </c>
      <c r="M2696" t="s">
        <v>82</v>
      </c>
      <c r="N2696" t="s">
        <v>44</v>
      </c>
      <c r="O2696" t="s">
        <v>116</v>
      </c>
      <c r="P2696" t="s">
        <v>442</v>
      </c>
      <c r="Q2696" t="s">
        <v>65</v>
      </c>
      <c r="R2696" t="s">
        <v>47</v>
      </c>
      <c r="S2696" t="s">
        <v>60</v>
      </c>
      <c r="T2696">
        <v>1</v>
      </c>
      <c r="U2696">
        <v>1</v>
      </c>
      <c r="V2696">
        <v>0</v>
      </c>
      <c r="W2696">
        <v>1</v>
      </c>
      <c r="X2696">
        <v>0</v>
      </c>
      <c r="Y2696">
        <v>0</v>
      </c>
      <c r="Z2696">
        <v>1</v>
      </c>
      <c r="AA2696">
        <v>1</v>
      </c>
      <c r="AB2696">
        <v>1</v>
      </c>
      <c r="AC2696">
        <v>0</v>
      </c>
      <c r="AD2696">
        <v>1</v>
      </c>
      <c r="AE2696">
        <v>0</v>
      </c>
      <c r="AF2696">
        <v>0</v>
      </c>
      <c r="AG2696">
        <v>0</v>
      </c>
    </row>
    <row r="2697" spans="1:33" hidden="1" x14ac:dyDescent="0.2">
      <c r="A2697">
        <v>2696</v>
      </c>
      <c r="B2697" t="s">
        <v>725</v>
      </c>
      <c r="C2697" t="s">
        <v>108</v>
      </c>
      <c r="D2697">
        <v>42</v>
      </c>
      <c r="E2697" t="s">
        <v>114</v>
      </c>
      <c r="F2697" t="s">
        <v>53</v>
      </c>
      <c r="G2697" t="s">
        <v>76</v>
      </c>
      <c r="H2697">
        <v>31505</v>
      </c>
      <c r="I2697">
        <v>1</v>
      </c>
      <c r="J2697">
        <v>0</v>
      </c>
      <c r="K2697">
        <v>0</v>
      </c>
      <c r="L2697">
        <v>0</v>
      </c>
      <c r="M2697" t="s">
        <v>36</v>
      </c>
      <c r="N2697" t="s">
        <v>36</v>
      </c>
      <c r="O2697" t="s">
        <v>36</v>
      </c>
      <c r="P2697" t="s">
        <v>442</v>
      </c>
      <c r="Q2697" t="s">
        <v>36</v>
      </c>
      <c r="R2697" t="s">
        <v>36</v>
      </c>
      <c r="S2697" t="s">
        <v>36</v>
      </c>
      <c r="T2697" t="s">
        <v>36</v>
      </c>
      <c r="U2697">
        <v>1</v>
      </c>
      <c r="V2697">
        <v>0</v>
      </c>
      <c r="W2697">
        <v>1</v>
      </c>
      <c r="X2697">
        <v>0</v>
      </c>
      <c r="Y2697">
        <v>0</v>
      </c>
      <c r="Z2697">
        <v>1</v>
      </c>
      <c r="AA2697">
        <v>1</v>
      </c>
      <c r="AB2697">
        <v>1</v>
      </c>
      <c r="AC2697">
        <v>0</v>
      </c>
      <c r="AD2697">
        <v>1</v>
      </c>
      <c r="AE2697">
        <v>0</v>
      </c>
      <c r="AF2697">
        <v>0</v>
      </c>
      <c r="AG2697">
        <v>0</v>
      </c>
    </row>
    <row r="2698" spans="1:33" x14ac:dyDescent="0.2">
      <c r="A2698">
        <v>2697</v>
      </c>
      <c r="B2698" t="s">
        <v>725</v>
      </c>
      <c r="C2698" t="s">
        <v>108</v>
      </c>
      <c r="D2698">
        <v>42</v>
      </c>
      <c r="E2698" t="s">
        <v>114</v>
      </c>
      <c r="F2698" t="s">
        <v>41</v>
      </c>
      <c r="G2698" t="s">
        <v>61</v>
      </c>
      <c r="H2698">
        <v>22466</v>
      </c>
      <c r="I2698">
        <v>0</v>
      </c>
      <c r="J2698">
        <v>0</v>
      </c>
      <c r="K2698">
        <v>0</v>
      </c>
      <c r="L2698">
        <v>1</v>
      </c>
      <c r="M2698" t="s">
        <v>64</v>
      </c>
      <c r="N2698" t="s">
        <v>97</v>
      </c>
      <c r="O2698" t="s">
        <v>63</v>
      </c>
      <c r="P2698" t="s">
        <v>442</v>
      </c>
      <c r="Q2698" t="s">
        <v>48</v>
      </c>
      <c r="R2698" t="s">
        <v>59</v>
      </c>
      <c r="S2698" t="s">
        <v>46</v>
      </c>
      <c r="T2698">
        <v>0</v>
      </c>
      <c r="U2698">
        <v>0</v>
      </c>
      <c r="V2698">
        <v>1</v>
      </c>
      <c r="W2698">
        <v>0</v>
      </c>
      <c r="X2698">
        <v>1</v>
      </c>
      <c r="Y2698">
        <v>0</v>
      </c>
      <c r="Z2698">
        <v>1</v>
      </c>
      <c r="AA2698">
        <v>0</v>
      </c>
      <c r="AB2698">
        <v>0</v>
      </c>
      <c r="AC2698">
        <v>0</v>
      </c>
      <c r="AD2698">
        <v>0</v>
      </c>
      <c r="AE2698">
        <v>0</v>
      </c>
      <c r="AF2698">
        <v>0</v>
      </c>
      <c r="AG2698">
        <v>1</v>
      </c>
    </row>
    <row r="2699" spans="1:33" x14ac:dyDescent="0.2">
      <c r="A2699">
        <v>2698</v>
      </c>
      <c r="B2699" t="s">
        <v>725</v>
      </c>
      <c r="C2699" t="s">
        <v>108</v>
      </c>
      <c r="D2699">
        <v>42</v>
      </c>
      <c r="E2699" t="s">
        <v>114</v>
      </c>
      <c r="F2699" t="s">
        <v>41</v>
      </c>
      <c r="G2699" t="s">
        <v>49</v>
      </c>
      <c r="H2699">
        <v>15165</v>
      </c>
      <c r="I2699">
        <v>1</v>
      </c>
      <c r="J2699">
        <v>0</v>
      </c>
      <c r="K2699">
        <v>0</v>
      </c>
      <c r="L2699">
        <v>0</v>
      </c>
      <c r="M2699" t="s">
        <v>95</v>
      </c>
      <c r="N2699" t="s">
        <v>50</v>
      </c>
      <c r="O2699" t="s">
        <v>52</v>
      </c>
      <c r="P2699" t="s">
        <v>442</v>
      </c>
      <c r="Q2699" t="s">
        <v>60</v>
      </c>
      <c r="R2699" t="s">
        <v>48</v>
      </c>
      <c r="S2699" t="s">
        <v>46</v>
      </c>
      <c r="T2699">
        <v>1</v>
      </c>
      <c r="U2699">
        <v>0</v>
      </c>
      <c r="V2699">
        <v>1</v>
      </c>
      <c r="W2699">
        <v>0</v>
      </c>
      <c r="X2699">
        <v>1</v>
      </c>
      <c r="Y2699">
        <v>0</v>
      </c>
      <c r="Z2699">
        <v>1</v>
      </c>
      <c r="AA2699">
        <v>1</v>
      </c>
      <c r="AB2699">
        <v>0</v>
      </c>
      <c r="AC2699">
        <v>0</v>
      </c>
      <c r="AD2699">
        <v>0</v>
      </c>
      <c r="AE2699">
        <v>0</v>
      </c>
      <c r="AF2699">
        <v>0</v>
      </c>
      <c r="AG2699">
        <v>0</v>
      </c>
    </row>
    <row r="2700" spans="1:33" hidden="1" x14ac:dyDescent="0.2">
      <c r="A2700">
        <v>2699</v>
      </c>
      <c r="B2700" t="s">
        <v>725</v>
      </c>
      <c r="C2700" t="s">
        <v>108</v>
      </c>
      <c r="D2700">
        <v>42</v>
      </c>
      <c r="E2700" t="s">
        <v>114</v>
      </c>
      <c r="F2700" t="s">
        <v>53</v>
      </c>
      <c r="G2700" t="s">
        <v>66</v>
      </c>
      <c r="H2700">
        <v>25788</v>
      </c>
      <c r="I2700">
        <v>1</v>
      </c>
      <c r="J2700">
        <v>1</v>
      </c>
      <c r="K2700">
        <v>0</v>
      </c>
      <c r="L2700">
        <v>0</v>
      </c>
      <c r="M2700" t="s">
        <v>36</v>
      </c>
      <c r="N2700" t="s">
        <v>36</v>
      </c>
      <c r="O2700" t="s">
        <v>36</v>
      </c>
      <c r="P2700" t="s">
        <v>442</v>
      </c>
      <c r="Q2700" t="s">
        <v>36</v>
      </c>
      <c r="R2700" t="s">
        <v>36</v>
      </c>
      <c r="S2700" t="s">
        <v>36</v>
      </c>
      <c r="T2700" t="s">
        <v>36</v>
      </c>
      <c r="U2700">
        <v>0</v>
      </c>
      <c r="V2700">
        <v>1</v>
      </c>
      <c r="W2700">
        <v>0</v>
      </c>
      <c r="X2700">
        <v>1</v>
      </c>
      <c r="Y2700">
        <v>0</v>
      </c>
      <c r="Z2700">
        <v>1</v>
      </c>
      <c r="AA2700">
        <v>1</v>
      </c>
      <c r="AB2700">
        <v>0</v>
      </c>
      <c r="AC2700">
        <v>0</v>
      </c>
      <c r="AD2700">
        <v>0</v>
      </c>
      <c r="AE2700">
        <v>0</v>
      </c>
      <c r="AF2700">
        <v>0</v>
      </c>
      <c r="AG2700">
        <v>0</v>
      </c>
    </row>
    <row r="2701" spans="1:33" x14ac:dyDescent="0.2">
      <c r="A2701">
        <v>2700</v>
      </c>
      <c r="B2701" t="s">
        <v>725</v>
      </c>
      <c r="C2701" t="s">
        <v>108</v>
      </c>
      <c r="D2701">
        <v>42</v>
      </c>
      <c r="E2701" t="s">
        <v>114</v>
      </c>
      <c r="F2701" t="s">
        <v>41</v>
      </c>
      <c r="G2701" t="s">
        <v>67</v>
      </c>
      <c r="H2701">
        <v>10231</v>
      </c>
      <c r="I2701">
        <v>0</v>
      </c>
      <c r="J2701">
        <v>1</v>
      </c>
      <c r="K2701">
        <v>0</v>
      </c>
      <c r="L2701">
        <v>0</v>
      </c>
      <c r="M2701" t="s">
        <v>86</v>
      </c>
      <c r="N2701" t="s">
        <v>70</v>
      </c>
      <c r="O2701" t="s">
        <v>103</v>
      </c>
      <c r="P2701" t="s">
        <v>442</v>
      </c>
      <c r="Q2701" t="s">
        <v>46</v>
      </c>
      <c r="R2701" t="s">
        <v>47</v>
      </c>
      <c r="S2701" t="s">
        <v>60</v>
      </c>
      <c r="T2701">
        <v>1</v>
      </c>
      <c r="U2701">
        <v>0</v>
      </c>
      <c r="V2701">
        <v>0</v>
      </c>
      <c r="W2701">
        <v>1</v>
      </c>
      <c r="X2701">
        <v>1</v>
      </c>
      <c r="Y2701">
        <v>0</v>
      </c>
      <c r="Z2701">
        <v>1</v>
      </c>
      <c r="AA2701">
        <v>0</v>
      </c>
      <c r="AB2701">
        <v>0</v>
      </c>
      <c r="AC2701">
        <v>0</v>
      </c>
      <c r="AD2701">
        <v>1</v>
      </c>
      <c r="AE2701">
        <v>0</v>
      </c>
      <c r="AF2701">
        <v>0</v>
      </c>
      <c r="AG2701">
        <v>0</v>
      </c>
    </row>
    <row r="2702" spans="1:33" hidden="1" x14ac:dyDescent="0.2">
      <c r="A2702">
        <v>2701</v>
      </c>
      <c r="B2702" t="s">
        <v>725</v>
      </c>
      <c r="C2702" t="s">
        <v>108</v>
      </c>
      <c r="D2702">
        <v>42</v>
      </c>
      <c r="E2702" t="s">
        <v>114</v>
      </c>
      <c r="F2702" t="s">
        <v>53</v>
      </c>
      <c r="G2702" t="s">
        <v>54</v>
      </c>
      <c r="H2702">
        <v>38442</v>
      </c>
      <c r="I2702">
        <v>0</v>
      </c>
      <c r="J2702">
        <v>0</v>
      </c>
      <c r="K2702">
        <v>1</v>
      </c>
      <c r="L2702">
        <v>0</v>
      </c>
      <c r="M2702" t="s">
        <v>36</v>
      </c>
      <c r="N2702" t="s">
        <v>36</v>
      </c>
      <c r="O2702" t="s">
        <v>36</v>
      </c>
      <c r="P2702" t="s">
        <v>442</v>
      </c>
      <c r="Q2702" t="s">
        <v>36</v>
      </c>
      <c r="R2702" t="s">
        <v>36</v>
      </c>
      <c r="S2702" t="s">
        <v>36</v>
      </c>
      <c r="T2702" t="s">
        <v>36</v>
      </c>
      <c r="U2702">
        <v>0</v>
      </c>
      <c r="V2702">
        <v>0</v>
      </c>
      <c r="W2702">
        <v>1</v>
      </c>
      <c r="X2702">
        <v>1</v>
      </c>
      <c r="Y2702">
        <v>0</v>
      </c>
      <c r="Z2702">
        <v>1</v>
      </c>
      <c r="AA2702">
        <v>0</v>
      </c>
      <c r="AB2702">
        <v>0</v>
      </c>
      <c r="AC2702">
        <v>0</v>
      </c>
      <c r="AD2702">
        <v>1</v>
      </c>
      <c r="AE2702">
        <v>0</v>
      </c>
      <c r="AF2702">
        <v>0</v>
      </c>
      <c r="AG2702">
        <v>0</v>
      </c>
    </row>
    <row r="2703" spans="1:33" hidden="1" x14ac:dyDescent="0.2">
      <c r="A2703">
        <v>2702</v>
      </c>
      <c r="B2703" t="s">
        <v>725</v>
      </c>
      <c r="C2703" t="s">
        <v>108</v>
      </c>
      <c r="D2703">
        <v>42</v>
      </c>
      <c r="E2703" t="s">
        <v>114</v>
      </c>
      <c r="F2703" t="s">
        <v>77</v>
      </c>
      <c r="G2703" t="s">
        <v>36</v>
      </c>
      <c r="H2703">
        <v>52553</v>
      </c>
      <c r="I2703" t="s">
        <v>726</v>
      </c>
      <c r="J2703" t="s">
        <v>727</v>
      </c>
      <c r="K2703" t="s">
        <v>728</v>
      </c>
      <c r="L2703" t="s">
        <v>36</v>
      </c>
      <c r="M2703" t="s">
        <v>36</v>
      </c>
      <c r="N2703" t="s">
        <v>36</v>
      </c>
      <c r="O2703" t="s">
        <v>36</v>
      </c>
      <c r="P2703" t="s">
        <v>442</v>
      </c>
      <c r="Q2703" t="s">
        <v>36</v>
      </c>
      <c r="R2703" t="s">
        <v>36</v>
      </c>
      <c r="S2703" t="s">
        <v>36</v>
      </c>
      <c r="T2703" t="s">
        <v>36</v>
      </c>
      <c r="U2703" t="s">
        <v>36</v>
      </c>
      <c r="V2703" t="s">
        <v>36</v>
      </c>
      <c r="W2703" t="s">
        <v>36</v>
      </c>
      <c r="X2703" t="s">
        <v>36</v>
      </c>
      <c r="Y2703" t="s">
        <v>36</v>
      </c>
      <c r="Z2703" t="s">
        <v>36</v>
      </c>
      <c r="AA2703" t="s">
        <v>36</v>
      </c>
      <c r="AB2703" t="s">
        <v>36</v>
      </c>
      <c r="AC2703" t="s">
        <v>36</v>
      </c>
      <c r="AD2703" t="s">
        <v>36</v>
      </c>
      <c r="AE2703" t="s">
        <v>36</v>
      </c>
      <c r="AF2703" t="s">
        <v>36</v>
      </c>
      <c r="AG2703" t="s">
        <v>36</v>
      </c>
    </row>
    <row r="2704" spans="1:33" hidden="1" x14ac:dyDescent="0.2">
      <c r="A2704">
        <v>2703</v>
      </c>
      <c r="B2704" t="s">
        <v>729</v>
      </c>
      <c r="C2704" t="s">
        <v>108</v>
      </c>
      <c r="D2704">
        <v>50</v>
      </c>
      <c r="E2704" t="s">
        <v>114</v>
      </c>
      <c r="F2704" t="s">
        <v>35</v>
      </c>
      <c r="G2704" t="s">
        <v>36</v>
      </c>
      <c r="H2704">
        <v>111334</v>
      </c>
      <c r="I2704" t="s">
        <v>36</v>
      </c>
      <c r="J2704" t="s">
        <v>36</v>
      </c>
      <c r="K2704" t="s">
        <v>36</v>
      </c>
      <c r="L2704" t="s">
        <v>36</v>
      </c>
      <c r="M2704" t="s">
        <v>36</v>
      </c>
      <c r="N2704" t="s">
        <v>36</v>
      </c>
      <c r="O2704" t="s">
        <v>36</v>
      </c>
      <c r="P2704" t="s">
        <v>442</v>
      </c>
      <c r="Q2704" t="s">
        <v>36</v>
      </c>
      <c r="R2704" t="s">
        <v>36</v>
      </c>
      <c r="S2704" t="s">
        <v>36</v>
      </c>
      <c r="T2704" t="s">
        <v>36</v>
      </c>
      <c r="U2704" t="s">
        <v>36</v>
      </c>
      <c r="V2704" t="s">
        <v>36</v>
      </c>
      <c r="W2704" t="s">
        <v>36</v>
      </c>
      <c r="X2704" t="s">
        <v>36</v>
      </c>
      <c r="Y2704" t="s">
        <v>36</v>
      </c>
      <c r="Z2704" t="s">
        <v>36</v>
      </c>
      <c r="AA2704" t="s">
        <v>36</v>
      </c>
      <c r="AB2704" t="s">
        <v>36</v>
      </c>
      <c r="AC2704" t="s">
        <v>36</v>
      </c>
      <c r="AD2704" t="s">
        <v>36</v>
      </c>
      <c r="AE2704" t="s">
        <v>36</v>
      </c>
      <c r="AF2704" t="s">
        <v>36</v>
      </c>
      <c r="AG2704" t="s">
        <v>36</v>
      </c>
    </row>
    <row r="2705" spans="1:33" hidden="1" x14ac:dyDescent="0.2">
      <c r="A2705">
        <v>2704</v>
      </c>
      <c r="B2705" t="s">
        <v>729</v>
      </c>
      <c r="C2705" t="s">
        <v>108</v>
      </c>
      <c r="D2705">
        <v>50</v>
      </c>
      <c r="E2705" t="s">
        <v>114</v>
      </c>
      <c r="F2705" t="s">
        <v>38</v>
      </c>
      <c r="G2705" t="s">
        <v>39</v>
      </c>
      <c r="H2705">
        <v>35642</v>
      </c>
      <c r="I2705">
        <v>0</v>
      </c>
      <c r="J2705">
        <v>0</v>
      </c>
      <c r="K2705">
        <v>0</v>
      </c>
      <c r="L2705">
        <v>1</v>
      </c>
      <c r="M2705" t="s">
        <v>36</v>
      </c>
      <c r="N2705" t="s">
        <v>36</v>
      </c>
      <c r="O2705" t="s">
        <v>36</v>
      </c>
      <c r="P2705" t="s">
        <v>442</v>
      </c>
      <c r="Q2705" t="s">
        <v>36</v>
      </c>
      <c r="R2705" t="s">
        <v>36</v>
      </c>
      <c r="S2705" t="s">
        <v>36</v>
      </c>
      <c r="T2705" t="s">
        <v>36</v>
      </c>
      <c r="U2705" t="s">
        <v>36</v>
      </c>
      <c r="V2705" t="s">
        <v>36</v>
      </c>
      <c r="W2705" t="s">
        <v>36</v>
      </c>
      <c r="X2705" t="s">
        <v>36</v>
      </c>
      <c r="Y2705" t="s">
        <v>36</v>
      </c>
      <c r="Z2705" t="s">
        <v>36</v>
      </c>
      <c r="AA2705" t="s">
        <v>36</v>
      </c>
      <c r="AB2705" t="s">
        <v>36</v>
      </c>
      <c r="AC2705" t="s">
        <v>36</v>
      </c>
      <c r="AD2705" t="s">
        <v>36</v>
      </c>
      <c r="AE2705" t="s">
        <v>36</v>
      </c>
      <c r="AF2705" t="s">
        <v>36</v>
      </c>
      <c r="AG2705" t="s">
        <v>36</v>
      </c>
    </row>
    <row r="2706" spans="1:33" hidden="1" x14ac:dyDescent="0.2">
      <c r="A2706">
        <v>2705</v>
      </c>
      <c r="B2706" t="s">
        <v>729</v>
      </c>
      <c r="C2706" t="s">
        <v>108</v>
      </c>
      <c r="D2706">
        <v>50</v>
      </c>
      <c r="E2706" t="s">
        <v>114</v>
      </c>
      <c r="F2706" t="s">
        <v>38</v>
      </c>
      <c r="G2706" t="s">
        <v>40</v>
      </c>
      <c r="H2706">
        <v>36793</v>
      </c>
      <c r="I2706">
        <v>0</v>
      </c>
      <c r="J2706">
        <v>0</v>
      </c>
      <c r="K2706">
        <v>1</v>
      </c>
      <c r="L2706">
        <v>0</v>
      </c>
      <c r="M2706" t="s">
        <v>36</v>
      </c>
      <c r="N2706" t="s">
        <v>36</v>
      </c>
      <c r="O2706" t="s">
        <v>36</v>
      </c>
      <c r="P2706" t="s">
        <v>442</v>
      </c>
      <c r="Q2706" t="s">
        <v>36</v>
      </c>
      <c r="R2706" t="s">
        <v>36</v>
      </c>
      <c r="S2706" t="s">
        <v>36</v>
      </c>
      <c r="T2706" t="s">
        <v>36</v>
      </c>
      <c r="U2706" t="s">
        <v>36</v>
      </c>
      <c r="V2706" t="s">
        <v>36</v>
      </c>
      <c r="W2706" t="s">
        <v>36</v>
      </c>
      <c r="X2706" t="s">
        <v>36</v>
      </c>
      <c r="Y2706" t="s">
        <v>36</v>
      </c>
      <c r="Z2706" t="s">
        <v>36</v>
      </c>
      <c r="AA2706" t="s">
        <v>36</v>
      </c>
      <c r="AB2706" t="s">
        <v>36</v>
      </c>
      <c r="AC2706" t="s">
        <v>36</v>
      </c>
      <c r="AD2706" t="s">
        <v>36</v>
      </c>
      <c r="AE2706" t="s">
        <v>36</v>
      </c>
      <c r="AF2706" t="s">
        <v>36</v>
      </c>
      <c r="AG2706" t="s">
        <v>36</v>
      </c>
    </row>
    <row r="2707" spans="1:33" x14ac:dyDescent="0.2">
      <c r="A2707">
        <v>2706</v>
      </c>
      <c r="B2707" t="s">
        <v>729</v>
      </c>
      <c r="C2707" t="s">
        <v>108</v>
      </c>
      <c r="D2707">
        <v>50</v>
      </c>
      <c r="E2707" t="s">
        <v>114</v>
      </c>
      <c r="F2707" t="s">
        <v>41</v>
      </c>
      <c r="G2707" t="s">
        <v>61</v>
      </c>
      <c r="H2707">
        <v>221678</v>
      </c>
      <c r="I2707">
        <v>1</v>
      </c>
      <c r="J2707">
        <v>1</v>
      </c>
      <c r="K2707">
        <v>1</v>
      </c>
      <c r="L2707">
        <v>0</v>
      </c>
      <c r="M2707" t="s">
        <v>64</v>
      </c>
      <c r="N2707" t="s">
        <v>63</v>
      </c>
      <c r="O2707" t="s">
        <v>62</v>
      </c>
      <c r="P2707" t="s">
        <v>442</v>
      </c>
      <c r="Q2707" t="s">
        <v>48</v>
      </c>
      <c r="R2707" t="s">
        <v>46</v>
      </c>
      <c r="S2707" t="s">
        <v>65</v>
      </c>
      <c r="T2707">
        <v>0</v>
      </c>
      <c r="U2707">
        <v>1</v>
      </c>
      <c r="V2707">
        <v>1</v>
      </c>
      <c r="W2707">
        <v>0</v>
      </c>
      <c r="X2707">
        <v>1</v>
      </c>
      <c r="Y2707">
        <v>0</v>
      </c>
      <c r="Z2707">
        <v>1</v>
      </c>
      <c r="AA2707">
        <v>0</v>
      </c>
      <c r="AB2707">
        <v>1</v>
      </c>
      <c r="AC2707">
        <v>1</v>
      </c>
      <c r="AD2707">
        <v>0</v>
      </c>
      <c r="AE2707">
        <v>1</v>
      </c>
      <c r="AF2707">
        <v>0</v>
      </c>
      <c r="AG2707">
        <v>0</v>
      </c>
    </row>
    <row r="2708" spans="1:33" x14ac:dyDescent="0.2">
      <c r="A2708">
        <v>2707</v>
      </c>
      <c r="B2708" t="s">
        <v>729</v>
      </c>
      <c r="C2708" t="s">
        <v>108</v>
      </c>
      <c r="D2708">
        <v>50</v>
      </c>
      <c r="E2708" t="s">
        <v>114</v>
      </c>
      <c r="F2708" t="s">
        <v>41</v>
      </c>
      <c r="G2708" t="s">
        <v>42</v>
      </c>
      <c r="H2708">
        <v>25194</v>
      </c>
      <c r="I2708">
        <v>0</v>
      </c>
      <c r="J2708">
        <v>1</v>
      </c>
      <c r="K2708">
        <v>1</v>
      </c>
      <c r="L2708">
        <v>0</v>
      </c>
      <c r="M2708" t="s">
        <v>102</v>
      </c>
      <c r="N2708" t="s">
        <v>44</v>
      </c>
      <c r="O2708" t="s">
        <v>82</v>
      </c>
      <c r="P2708" t="s">
        <v>442</v>
      </c>
      <c r="Q2708" t="s">
        <v>59</v>
      </c>
      <c r="R2708" t="s">
        <v>47</v>
      </c>
      <c r="S2708" t="s">
        <v>65</v>
      </c>
      <c r="T2708">
        <v>0</v>
      </c>
      <c r="U2708">
        <v>1</v>
      </c>
      <c r="V2708">
        <v>0</v>
      </c>
      <c r="W2708">
        <v>1</v>
      </c>
      <c r="X2708">
        <v>0</v>
      </c>
      <c r="Y2708">
        <v>0</v>
      </c>
      <c r="Z2708">
        <v>1</v>
      </c>
      <c r="AA2708">
        <v>0</v>
      </c>
      <c r="AB2708">
        <v>1</v>
      </c>
      <c r="AC2708">
        <v>0</v>
      </c>
      <c r="AD2708">
        <v>1</v>
      </c>
      <c r="AE2708">
        <v>0</v>
      </c>
      <c r="AF2708">
        <v>0</v>
      </c>
      <c r="AG2708">
        <v>0</v>
      </c>
    </row>
    <row r="2709" spans="1:33" hidden="1" x14ac:dyDescent="0.2">
      <c r="A2709">
        <v>2708</v>
      </c>
      <c r="B2709" t="s">
        <v>729</v>
      </c>
      <c r="C2709" t="s">
        <v>108</v>
      </c>
      <c r="D2709">
        <v>50</v>
      </c>
      <c r="E2709" t="s">
        <v>114</v>
      </c>
      <c r="F2709" t="s">
        <v>53</v>
      </c>
      <c r="G2709" t="s">
        <v>71</v>
      </c>
      <c r="H2709">
        <v>96625</v>
      </c>
      <c r="I2709">
        <v>0</v>
      </c>
      <c r="J2709">
        <v>0</v>
      </c>
      <c r="K2709">
        <v>0</v>
      </c>
      <c r="L2709">
        <v>1</v>
      </c>
      <c r="M2709" t="s">
        <v>36</v>
      </c>
      <c r="N2709" t="s">
        <v>36</v>
      </c>
      <c r="O2709" t="s">
        <v>36</v>
      </c>
      <c r="P2709" t="s">
        <v>442</v>
      </c>
      <c r="Q2709" t="s">
        <v>36</v>
      </c>
      <c r="R2709" t="s">
        <v>36</v>
      </c>
      <c r="S2709" t="s">
        <v>36</v>
      </c>
      <c r="T2709" t="s">
        <v>36</v>
      </c>
      <c r="U2709">
        <v>1</v>
      </c>
      <c r="V2709">
        <v>0</v>
      </c>
      <c r="W2709">
        <v>1</v>
      </c>
      <c r="X2709">
        <v>0</v>
      </c>
      <c r="Y2709">
        <v>0</v>
      </c>
      <c r="Z2709">
        <v>1</v>
      </c>
      <c r="AA2709">
        <v>0</v>
      </c>
      <c r="AB2709">
        <v>1</v>
      </c>
      <c r="AC2709">
        <v>0</v>
      </c>
      <c r="AD2709">
        <v>1</v>
      </c>
      <c r="AE2709">
        <v>0</v>
      </c>
      <c r="AF2709">
        <v>0</v>
      </c>
      <c r="AG2709">
        <v>0</v>
      </c>
    </row>
    <row r="2710" spans="1:33" x14ac:dyDescent="0.2">
      <c r="A2710">
        <v>2709</v>
      </c>
      <c r="B2710" t="s">
        <v>729</v>
      </c>
      <c r="C2710" t="s">
        <v>108</v>
      </c>
      <c r="D2710">
        <v>50</v>
      </c>
      <c r="E2710" t="s">
        <v>114</v>
      </c>
      <c r="F2710" t="s">
        <v>41</v>
      </c>
      <c r="G2710" t="s">
        <v>67</v>
      </c>
      <c r="H2710">
        <v>20552</v>
      </c>
      <c r="I2710">
        <v>0</v>
      </c>
      <c r="J2710">
        <v>1</v>
      </c>
      <c r="K2710">
        <v>0</v>
      </c>
      <c r="L2710">
        <v>0</v>
      </c>
      <c r="M2710" t="s">
        <v>69</v>
      </c>
      <c r="N2710" t="s">
        <v>68</v>
      </c>
      <c r="O2710" t="s">
        <v>86</v>
      </c>
      <c r="P2710" t="s">
        <v>442</v>
      </c>
      <c r="Q2710" t="s">
        <v>48</v>
      </c>
      <c r="R2710" t="s">
        <v>65</v>
      </c>
      <c r="S2710" t="s">
        <v>46</v>
      </c>
      <c r="T2710">
        <v>0</v>
      </c>
      <c r="U2710">
        <v>1</v>
      </c>
      <c r="V2710">
        <v>1</v>
      </c>
      <c r="W2710">
        <v>0</v>
      </c>
      <c r="X2710">
        <v>1</v>
      </c>
      <c r="Y2710">
        <v>0</v>
      </c>
      <c r="Z2710">
        <v>1</v>
      </c>
      <c r="AA2710">
        <v>0</v>
      </c>
      <c r="AB2710">
        <v>1</v>
      </c>
      <c r="AC2710">
        <v>0</v>
      </c>
      <c r="AD2710">
        <v>0</v>
      </c>
      <c r="AE2710">
        <v>0</v>
      </c>
      <c r="AF2710">
        <v>0</v>
      </c>
      <c r="AG2710">
        <v>0</v>
      </c>
    </row>
    <row r="2711" spans="1:33" x14ac:dyDescent="0.2">
      <c r="A2711">
        <v>2710</v>
      </c>
      <c r="B2711" t="s">
        <v>729</v>
      </c>
      <c r="C2711" t="s">
        <v>108</v>
      </c>
      <c r="D2711">
        <v>50</v>
      </c>
      <c r="E2711" t="s">
        <v>114</v>
      </c>
      <c r="F2711" t="s">
        <v>41</v>
      </c>
      <c r="G2711" t="s">
        <v>72</v>
      </c>
      <c r="H2711">
        <v>27240</v>
      </c>
      <c r="I2711">
        <v>0</v>
      </c>
      <c r="J2711">
        <v>0</v>
      </c>
      <c r="K2711">
        <v>0</v>
      </c>
      <c r="L2711">
        <v>1</v>
      </c>
      <c r="M2711" t="s">
        <v>75</v>
      </c>
      <c r="N2711" t="s">
        <v>73</v>
      </c>
      <c r="O2711" t="s">
        <v>104</v>
      </c>
      <c r="P2711" t="s">
        <v>442</v>
      </c>
      <c r="Q2711" t="s">
        <v>46</v>
      </c>
      <c r="R2711" t="s">
        <v>48</v>
      </c>
      <c r="S2711" t="s">
        <v>60</v>
      </c>
      <c r="T2711">
        <v>1</v>
      </c>
      <c r="U2711">
        <v>0</v>
      </c>
      <c r="V2711">
        <v>1</v>
      </c>
      <c r="W2711">
        <v>0</v>
      </c>
      <c r="X2711">
        <v>1</v>
      </c>
      <c r="Y2711">
        <v>0</v>
      </c>
      <c r="Z2711">
        <v>1</v>
      </c>
      <c r="AA2711">
        <v>0</v>
      </c>
      <c r="AB2711">
        <v>0</v>
      </c>
      <c r="AC2711">
        <v>0</v>
      </c>
      <c r="AD2711">
        <v>0</v>
      </c>
      <c r="AE2711">
        <v>0</v>
      </c>
      <c r="AF2711">
        <v>0</v>
      </c>
      <c r="AG2711">
        <v>1</v>
      </c>
    </row>
    <row r="2712" spans="1:33" hidden="1" x14ac:dyDescent="0.2">
      <c r="A2712">
        <v>2711</v>
      </c>
      <c r="B2712" t="s">
        <v>729</v>
      </c>
      <c r="C2712" t="s">
        <v>108</v>
      </c>
      <c r="D2712">
        <v>50</v>
      </c>
      <c r="E2712" t="s">
        <v>114</v>
      </c>
      <c r="F2712" t="s">
        <v>53</v>
      </c>
      <c r="G2712" t="s">
        <v>76</v>
      </c>
      <c r="H2712">
        <v>15157</v>
      </c>
      <c r="I2712">
        <v>1</v>
      </c>
      <c r="J2712">
        <v>1</v>
      </c>
      <c r="K2712">
        <v>0</v>
      </c>
      <c r="L2712">
        <v>0</v>
      </c>
      <c r="M2712" t="s">
        <v>36</v>
      </c>
      <c r="N2712" t="s">
        <v>36</v>
      </c>
      <c r="O2712" t="s">
        <v>36</v>
      </c>
      <c r="P2712" t="s">
        <v>442</v>
      </c>
      <c r="Q2712" t="s">
        <v>36</v>
      </c>
      <c r="R2712" t="s">
        <v>36</v>
      </c>
      <c r="S2712" t="s">
        <v>36</v>
      </c>
      <c r="T2712" t="s">
        <v>36</v>
      </c>
      <c r="U2712">
        <v>0</v>
      </c>
      <c r="V2712">
        <v>1</v>
      </c>
      <c r="W2712">
        <v>0</v>
      </c>
      <c r="X2712">
        <v>1</v>
      </c>
      <c r="Y2712">
        <v>0</v>
      </c>
      <c r="Z2712">
        <v>1</v>
      </c>
      <c r="AA2712">
        <v>0</v>
      </c>
      <c r="AB2712">
        <v>0</v>
      </c>
      <c r="AC2712">
        <v>0</v>
      </c>
      <c r="AD2712">
        <v>0</v>
      </c>
      <c r="AE2712">
        <v>0</v>
      </c>
      <c r="AF2712">
        <v>0</v>
      </c>
      <c r="AG2712">
        <v>1</v>
      </c>
    </row>
    <row r="2713" spans="1:33" x14ac:dyDescent="0.2">
      <c r="A2713">
        <v>2712</v>
      </c>
      <c r="B2713" t="s">
        <v>729</v>
      </c>
      <c r="C2713" t="s">
        <v>108</v>
      </c>
      <c r="D2713">
        <v>50</v>
      </c>
      <c r="E2713" t="s">
        <v>114</v>
      </c>
      <c r="F2713" t="s">
        <v>41</v>
      </c>
      <c r="G2713" t="s">
        <v>55</v>
      </c>
      <c r="H2713">
        <v>35189</v>
      </c>
      <c r="I2713">
        <v>0</v>
      </c>
      <c r="J2713">
        <v>0</v>
      </c>
      <c r="K2713">
        <v>1</v>
      </c>
      <c r="L2713">
        <v>0</v>
      </c>
      <c r="M2713" t="s">
        <v>57</v>
      </c>
      <c r="N2713" t="s">
        <v>56</v>
      </c>
      <c r="O2713" t="s">
        <v>85</v>
      </c>
      <c r="P2713" t="s">
        <v>442</v>
      </c>
      <c r="Q2713" t="s">
        <v>48</v>
      </c>
      <c r="R2713" t="s">
        <v>59</v>
      </c>
      <c r="S2713" t="s">
        <v>65</v>
      </c>
      <c r="T2713">
        <v>0</v>
      </c>
      <c r="U2713">
        <v>1</v>
      </c>
      <c r="V2713">
        <v>1</v>
      </c>
      <c r="W2713">
        <v>0</v>
      </c>
      <c r="X2713">
        <v>0</v>
      </c>
      <c r="Y2713">
        <v>0</v>
      </c>
      <c r="Z2713">
        <v>1</v>
      </c>
      <c r="AA2713">
        <v>0</v>
      </c>
      <c r="AB2713">
        <v>1</v>
      </c>
      <c r="AC2713">
        <v>0</v>
      </c>
      <c r="AD2713">
        <v>0</v>
      </c>
      <c r="AE2713">
        <v>0</v>
      </c>
      <c r="AF2713">
        <v>0</v>
      </c>
      <c r="AG2713">
        <v>0</v>
      </c>
    </row>
    <row r="2714" spans="1:33" hidden="1" x14ac:dyDescent="0.2">
      <c r="A2714">
        <v>2713</v>
      </c>
      <c r="B2714" t="s">
        <v>729</v>
      </c>
      <c r="C2714" t="s">
        <v>108</v>
      </c>
      <c r="D2714">
        <v>50</v>
      </c>
      <c r="E2714" t="s">
        <v>114</v>
      </c>
      <c r="F2714" t="s">
        <v>53</v>
      </c>
      <c r="G2714" t="s">
        <v>66</v>
      </c>
      <c r="H2714">
        <v>26484</v>
      </c>
      <c r="I2714">
        <v>1</v>
      </c>
      <c r="J2714">
        <v>1</v>
      </c>
      <c r="K2714">
        <v>0</v>
      </c>
      <c r="L2714">
        <v>0</v>
      </c>
      <c r="M2714" t="s">
        <v>36</v>
      </c>
      <c r="N2714" t="s">
        <v>36</v>
      </c>
      <c r="O2714" t="s">
        <v>36</v>
      </c>
      <c r="P2714" t="s">
        <v>442</v>
      </c>
      <c r="Q2714" t="s">
        <v>36</v>
      </c>
      <c r="R2714" t="s">
        <v>36</v>
      </c>
      <c r="S2714" t="s">
        <v>36</v>
      </c>
      <c r="T2714" t="s">
        <v>36</v>
      </c>
      <c r="U2714">
        <v>1</v>
      </c>
      <c r="V2714">
        <v>1</v>
      </c>
      <c r="W2714">
        <v>0</v>
      </c>
      <c r="X2714">
        <v>0</v>
      </c>
      <c r="Y2714">
        <v>0</v>
      </c>
      <c r="Z2714">
        <v>1</v>
      </c>
      <c r="AA2714">
        <v>0</v>
      </c>
      <c r="AB2714">
        <v>1</v>
      </c>
      <c r="AC2714">
        <v>0</v>
      </c>
      <c r="AD2714">
        <v>0</v>
      </c>
      <c r="AE2714">
        <v>0</v>
      </c>
      <c r="AF2714">
        <v>0</v>
      </c>
      <c r="AG2714">
        <v>0</v>
      </c>
    </row>
    <row r="2715" spans="1:33" x14ac:dyDescent="0.2">
      <c r="A2715">
        <v>2714</v>
      </c>
      <c r="B2715" t="s">
        <v>729</v>
      </c>
      <c r="C2715" t="s">
        <v>108</v>
      </c>
      <c r="D2715">
        <v>50</v>
      </c>
      <c r="E2715" t="s">
        <v>114</v>
      </c>
      <c r="F2715" t="s">
        <v>41</v>
      </c>
      <c r="G2715" t="s">
        <v>49</v>
      </c>
      <c r="H2715">
        <v>20754</v>
      </c>
      <c r="I2715">
        <v>0</v>
      </c>
      <c r="J2715">
        <v>0</v>
      </c>
      <c r="K2715">
        <v>1</v>
      </c>
      <c r="L2715">
        <v>0</v>
      </c>
      <c r="M2715" t="s">
        <v>50</v>
      </c>
      <c r="N2715" t="s">
        <v>52</v>
      </c>
      <c r="O2715" t="s">
        <v>96</v>
      </c>
      <c r="P2715" t="s">
        <v>442</v>
      </c>
      <c r="Q2715" t="s">
        <v>48</v>
      </c>
      <c r="R2715" t="s">
        <v>46</v>
      </c>
      <c r="S2715" t="s">
        <v>65</v>
      </c>
      <c r="T2715">
        <v>0</v>
      </c>
      <c r="U2715">
        <v>1</v>
      </c>
      <c r="V2715">
        <v>1</v>
      </c>
      <c r="W2715">
        <v>0</v>
      </c>
      <c r="X2715">
        <v>1</v>
      </c>
      <c r="Y2715">
        <v>0</v>
      </c>
      <c r="Z2715">
        <v>1</v>
      </c>
      <c r="AA2715">
        <v>0</v>
      </c>
      <c r="AB2715">
        <v>1</v>
      </c>
      <c r="AC2715">
        <v>0</v>
      </c>
      <c r="AD2715">
        <v>0</v>
      </c>
      <c r="AE2715">
        <v>0</v>
      </c>
      <c r="AF2715">
        <v>0</v>
      </c>
      <c r="AG2715">
        <v>0</v>
      </c>
    </row>
    <row r="2716" spans="1:33" hidden="1" x14ac:dyDescent="0.2">
      <c r="A2716">
        <v>2715</v>
      </c>
      <c r="B2716" t="s">
        <v>729</v>
      </c>
      <c r="C2716" t="s">
        <v>108</v>
      </c>
      <c r="D2716">
        <v>50</v>
      </c>
      <c r="E2716" t="s">
        <v>114</v>
      </c>
      <c r="F2716" t="s">
        <v>53</v>
      </c>
      <c r="G2716" t="s">
        <v>54</v>
      </c>
      <c r="H2716">
        <v>30325</v>
      </c>
      <c r="I2716">
        <v>0</v>
      </c>
      <c r="J2716">
        <v>1</v>
      </c>
      <c r="K2716">
        <v>1</v>
      </c>
      <c r="L2716">
        <v>0</v>
      </c>
      <c r="M2716" t="s">
        <v>36</v>
      </c>
      <c r="N2716" t="s">
        <v>36</v>
      </c>
      <c r="O2716" t="s">
        <v>36</v>
      </c>
      <c r="P2716" t="s">
        <v>442</v>
      </c>
      <c r="Q2716" t="s">
        <v>36</v>
      </c>
      <c r="R2716" t="s">
        <v>36</v>
      </c>
      <c r="S2716" t="s">
        <v>36</v>
      </c>
      <c r="T2716" t="s">
        <v>36</v>
      </c>
      <c r="U2716">
        <v>1</v>
      </c>
      <c r="V2716">
        <v>1</v>
      </c>
      <c r="W2716">
        <v>0</v>
      </c>
      <c r="X2716">
        <v>1</v>
      </c>
      <c r="Y2716">
        <v>0</v>
      </c>
      <c r="Z2716">
        <v>1</v>
      </c>
      <c r="AA2716">
        <v>0</v>
      </c>
      <c r="AB2716">
        <v>1</v>
      </c>
      <c r="AC2716">
        <v>0</v>
      </c>
      <c r="AD2716">
        <v>0</v>
      </c>
      <c r="AE2716">
        <v>0</v>
      </c>
      <c r="AF2716">
        <v>0</v>
      </c>
      <c r="AG2716">
        <v>0</v>
      </c>
    </row>
    <row r="2717" spans="1:33" hidden="1" x14ac:dyDescent="0.2">
      <c r="A2717">
        <v>2716</v>
      </c>
      <c r="B2717" t="s">
        <v>729</v>
      </c>
      <c r="C2717" t="s">
        <v>108</v>
      </c>
      <c r="D2717">
        <v>50</v>
      </c>
      <c r="E2717" t="s">
        <v>114</v>
      </c>
      <c r="F2717" t="s">
        <v>77</v>
      </c>
      <c r="G2717" t="s">
        <v>36</v>
      </c>
      <c r="H2717">
        <v>50821</v>
      </c>
      <c r="I2717" t="s">
        <v>730</v>
      </c>
      <c r="J2717" t="s">
        <v>731</v>
      </c>
      <c r="L2717" t="s">
        <v>36</v>
      </c>
      <c r="M2717" t="s">
        <v>36</v>
      </c>
      <c r="N2717" t="s">
        <v>36</v>
      </c>
      <c r="O2717" t="s">
        <v>36</v>
      </c>
      <c r="P2717" t="s">
        <v>442</v>
      </c>
      <c r="Q2717" t="s">
        <v>36</v>
      </c>
      <c r="R2717" t="s">
        <v>36</v>
      </c>
      <c r="S2717" t="s">
        <v>36</v>
      </c>
      <c r="T2717" t="s">
        <v>36</v>
      </c>
      <c r="U2717" t="s">
        <v>36</v>
      </c>
      <c r="V2717" t="s">
        <v>36</v>
      </c>
      <c r="W2717" t="s">
        <v>36</v>
      </c>
      <c r="X2717" t="s">
        <v>36</v>
      </c>
      <c r="Y2717" t="s">
        <v>36</v>
      </c>
      <c r="Z2717" t="s">
        <v>36</v>
      </c>
      <c r="AA2717" t="s">
        <v>36</v>
      </c>
      <c r="AB2717" t="s">
        <v>36</v>
      </c>
      <c r="AC2717" t="s">
        <v>36</v>
      </c>
      <c r="AD2717" t="s">
        <v>36</v>
      </c>
      <c r="AE2717" t="s">
        <v>36</v>
      </c>
      <c r="AF2717" t="s">
        <v>36</v>
      </c>
      <c r="AG2717" t="s">
        <v>36</v>
      </c>
    </row>
    <row r="2718" spans="1:33" hidden="1" x14ac:dyDescent="0.2">
      <c r="A2718">
        <v>2717</v>
      </c>
      <c r="B2718" t="s">
        <v>732</v>
      </c>
      <c r="C2718" t="s">
        <v>108</v>
      </c>
      <c r="D2718">
        <v>28</v>
      </c>
      <c r="E2718" t="s">
        <v>34</v>
      </c>
      <c r="F2718" t="s">
        <v>35</v>
      </c>
      <c r="G2718" t="s">
        <v>36</v>
      </c>
      <c r="H2718">
        <v>895280</v>
      </c>
      <c r="I2718" t="s">
        <v>36</v>
      </c>
      <c r="J2718" t="s">
        <v>36</v>
      </c>
      <c r="K2718" t="s">
        <v>36</v>
      </c>
      <c r="L2718" t="s">
        <v>36</v>
      </c>
      <c r="M2718" t="s">
        <v>36</v>
      </c>
      <c r="N2718" t="s">
        <v>36</v>
      </c>
      <c r="O2718" t="s">
        <v>36</v>
      </c>
      <c r="P2718" t="s">
        <v>442</v>
      </c>
      <c r="Q2718" t="s">
        <v>36</v>
      </c>
      <c r="R2718" t="s">
        <v>36</v>
      </c>
      <c r="S2718" t="s">
        <v>36</v>
      </c>
      <c r="T2718" t="s">
        <v>36</v>
      </c>
      <c r="U2718" t="s">
        <v>36</v>
      </c>
      <c r="V2718" t="s">
        <v>36</v>
      </c>
      <c r="W2718" t="s">
        <v>36</v>
      </c>
      <c r="X2718" t="s">
        <v>36</v>
      </c>
      <c r="Y2718" t="s">
        <v>36</v>
      </c>
      <c r="Z2718" t="s">
        <v>36</v>
      </c>
      <c r="AA2718" t="s">
        <v>36</v>
      </c>
      <c r="AB2718" t="s">
        <v>36</v>
      </c>
      <c r="AC2718" t="s">
        <v>36</v>
      </c>
      <c r="AD2718" t="s">
        <v>36</v>
      </c>
      <c r="AE2718" t="s">
        <v>36</v>
      </c>
      <c r="AF2718" t="s">
        <v>36</v>
      </c>
      <c r="AG2718" t="s">
        <v>36</v>
      </c>
    </row>
    <row r="2719" spans="1:33" hidden="1" x14ac:dyDescent="0.2">
      <c r="A2719">
        <v>2718</v>
      </c>
      <c r="B2719" t="s">
        <v>732</v>
      </c>
      <c r="C2719" t="s">
        <v>108</v>
      </c>
      <c r="D2719">
        <v>28</v>
      </c>
      <c r="E2719" t="s">
        <v>34</v>
      </c>
      <c r="F2719" t="s">
        <v>38</v>
      </c>
      <c r="G2719" t="s">
        <v>40</v>
      </c>
      <c r="H2719">
        <v>625734</v>
      </c>
      <c r="I2719">
        <v>0</v>
      </c>
      <c r="J2719">
        <v>0</v>
      </c>
      <c r="K2719">
        <v>1</v>
      </c>
      <c r="L2719">
        <v>0</v>
      </c>
      <c r="M2719" t="s">
        <v>36</v>
      </c>
      <c r="N2719" t="s">
        <v>36</v>
      </c>
      <c r="O2719" t="s">
        <v>36</v>
      </c>
      <c r="P2719" t="s">
        <v>442</v>
      </c>
      <c r="Q2719" t="s">
        <v>36</v>
      </c>
      <c r="R2719" t="s">
        <v>36</v>
      </c>
      <c r="S2719" t="s">
        <v>36</v>
      </c>
      <c r="T2719" t="s">
        <v>36</v>
      </c>
      <c r="U2719" t="s">
        <v>36</v>
      </c>
      <c r="V2719" t="s">
        <v>36</v>
      </c>
      <c r="W2719" t="s">
        <v>36</v>
      </c>
      <c r="X2719" t="s">
        <v>36</v>
      </c>
      <c r="Y2719" t="s">
        <v>36</v>
      </c>
      <c r="Z2719" t="s">
        <v>36</v>
      </c>
      <c r="AA2719" t="s">
        <v>36</v>
      </c>
      <c r="AB2719" t="s">
        <v>36</v>
      </c>
      <c r="AC2719" t="s">
        <v>36</v>
      </c>
      <c r="AD2719" t="s">
        <v>36</v>
      </c>
      <c r="AE2719" t="s">
        <v>36</v>
      </c>
      <c r="AF2719" t="s">
        <v>36</v>
      </c>
      <c r="AG2719" t="s">
        <v>36</v>
      </c>
    </row>
    <row r="2720" spans="1:33" hidden="1" x14ac:dyDescent="0.2">
      <c r="A2720">
        <v>2719</v>
      </c>
      <c r="B2720" t="s">
        <v>732</v>
      </c>
      <c r="C2720" t="s">
        <v>108</v>
      </c>
      <c r="D2720">
        <v>28</v>
      </c>
      <c r="E2720" t="s">
        <v>34</v>
      </c>
      <c r="F2720" t="s">
        <v>38</v>
      </c>
      <c r="G2720" t="s">
        <v>39</v>
      </c>
      <c r="H2720">
        <v>812656</v>
      </c>
      <c r="I2720">
        <v>0</v>
      </c>
      <c r="J2720">
        <v>0</v>
      </c>
      <c r="K2720">
        <v>0</v>
      </c>
      <c r="L2720">
        <v>1</v>
      </c>
      <c r="M2720" t="s">
        <v>36</v>
      </c>
      <c r="N2720" t="s">
        <v>36</v>
      </c>
      <c r="O2720" t="s">
        <v>36</v>
      </c>
      <c r="P2720" t="s">
        <v>442</v>
      </c>
      <c r="Q2720" t="s">
        <v>36</v>
      </c>
      <c r="R2720" t="s">
        <v>36</v>
      </c>
      <c r="S2720" t="s">
        <v>36</v>
      </c>
      <c r="T2720" t="s">
        <v>36</v>
      </c>
      <c r="U2720" t="s">
        <v>36</v>
      </c>
      <c r="V2720" t="s">
        <v>36</v>
      </c>
      <c r="W2720" t="s">
        <v>36</v>
      </c>
      <c r="X2720" t="s">
        <v>36</v>
      </c>
      <c r="Y2720" t="s">
        <v>36</v>
      </c>
      <c r="Z2720" t="s">
        <v>36</v>
      </c>
      <c r="AA2720" t="s">
        <v>36</v>
      </c>
      <c r="AB2720" t="s">
        <v>36</v>
      </c>
      <c r="AC2720" t="s">
        <v>36</v>
      </c>
      <c r="AD2720" t="s">
        <v>36</v>
      </c>
      <c r="AE2720" t="s">
        <v>36</v>
      </c>
      <c r="AF2720" t="s">
        <v>36</v>
      </c>
      <c r="AG2720" t="s">
        <v>36</v>
      </c>
    </row>
    <row r="2721" spans="1:33" x14ac:dyDescent="0.2">
      <c r="A2721">
        <v>2720</v>
      </c>
      <c r="B2721" t="s">
        <v>732</v>
      </c>
      <c r="C2721" t="s">
        <v>108</v>
      </c>
      <c r="D2721">
        <v>28</v>
      </c>
      <c r="E2721" t="s">
        <v>34</v>
      </c>
      <c r="F2721" t="s">
        <v>41</v>
      </c>
      <c r="G2721" t="s">
        <v>49</v>
      </c>
      <c r="H2721">
        <v>180353</v>
      </c>
      <c r="I2721">
        <v>0</v>
      </c>
      <c r="J2721">
        <v>0</v>
      </c>
      <c r="K2721">
        <v>0</v>
      </c>
      <c r="L2721">
        <v>1</v>
      </c>
      <c r="M2721" t="s">
        <v>96</v>
      </c>
      <c r="N2721" t="s">
        <v>83</v>
      </c>
      <c r="O2721" t="s">
        <v>95</v>
      </c>
      <c r="P2721" t="s">
        <v>442</v>
      </c>
      <c r="Q2721" t="s">
        <v>65</v>
      </c>
      <c r="R2721" t="s">
        <v>59</v>
      </c>
      <c r="S2721" t="s">
        <v>60</v>
      </c>
      <c r="T2721">
        <v>1</v>
      </c>
      <c r="U2721">
        <v>1</v>
      </c>
      <c r="V2721">
        <v>0</v>
      </c>
      <c r="W2721">
        <v>0</v>
      </c>
      <c r="X2721">
        <v>0</v>
      </c>
      <c r="Y2721">
        <v>0</v>
      </c>
      <c r="Z2721">
        <v>1</v>
      </c>
      <c r="AA2721">
        <v>0</v>
      </c>
      <c r="AB2721">
        <v>0</v>
      </c>
      <c r="AC2721">
        <v>0</v>
      </c>
      <c r="AD2721">
        <v>0</v>
      </c>
      <c r="AE2721">
        <v>0</v>
      </c>
      <c r="AF2721">
        <v>0</v>
      </c>
      <c r="AG2721">
        <v>1</v>
      </c>
    </row>
    <row r="2722" spans="1:33" hidden="1" x14ac:dyDescent="0.2">
      <c r="A2722">
        <v>2721</v>
      </c>
      <c r="B2722" t="s">
        <v>732</v>
      </c>
      <c r="C2722" t="s">
        <v>108</v>
      </c>
      <c r="D2722">
        <v>28</v>
      </c>
      <c r="E2722" t="s">
        <v>34</v>
      </c>
      <c r="F2722" t="s">
        <v>53</v>
      </c>
      <c r="G2722" t="s">
        <v>54</v>
      </c>
      <c r="H2722">
        <v>51870</v>
      </c>
      <c r="I2722">
        <v>0</v>
      </c>
      <c r="J2722">
        <v>0</v>
      </c>
      <c r="K2722">
        <v>1</v>
      </c>
      <c r="L2722">
        <v>0</v>
      </c>
      <c r="M2722" t="s">
        <v>36</v>
      </c>
      <c r="N2722" t="s">
        <v>36</v>
      </c>
      <c r="O2722" t="s">
        <v>36</v>
      </c>
      <c r="P2722" t="s">
        <v>442</v>
      </c>
      <c r="Q2722" t="s">
        <v>36</v>
      </c>
      <c r="R2722" t="s">
        <v>36</v>
      </c>
      <c r="S2722" t="s">
        <v>36</v>
      </c>
      <c r="T2722" t="s">
        <v>36</v>
      </c>
      <c r="U2722">
        <v>1</v>
      </c>
      <c r="V2722">
        <v>0</v>
      </c>
      <c r="W2722">
        <v>0</v>
      </c>
      <c r="X2722">
        <v>0</v>
      </c>
      <c r="Y2722">
        <v>0</v>
      </c>
      <c r="Z2722">
        <v>1</v>
      </c>
      <c r="AA2722">
        <v>0</v>
      </c>
      <c r="AB2722">
        <v>0</v>
      </c>
      <c r="AC2722">
        <v>0</v>
      </c>
      <c r="AD2722">
        <v>0</v>
      </c>
      <c r="AE2722">
        <v>0</v>
      </c>
      <c r="AF2722">
        <v>0</v>
      </c>
      <c r="AG2722">
        <v>1</v>
      </c>
    </row>
    <row r="2723" spans="1:33" x14ac:dyDescent="0.2">
      <c r="A2723">
        <v>2722</v>
      </c>
      <c r="B2723" t="s">
        <v>732</v>
      </c>
      <c r="C2723" t="s">
        <v>108</v>
      </c>
      <c r="D2723">
        <v>28</v>
      </c>
      <c r="E2723" t="s">
        <v>34</v>
      </c>
      <c r="F2723" t="s">
        <v>41</v>
      </c>
      <c r="G2723" t="s">
        <v>72</v>
      </c>
      <c r="H2723">
        <v>23543</v>
      </c>
      <c r="I2723">
        <v>1</v>
      </c>
      <c r="J2723">
        <v>0</v>
      </c>
      <c r="K2723">
        <v>0</v>
      </c>
      <c r="L2723">
        <v>0</v>
      </c>
      <c r="M2723" t="s">
        <v>104</v>
      </c>
      <c r="N2723" t="s">
        <v>73</v>
      </c>
      <c r="O2723" t="s">
        <v>75</v>
      </c>
      <c r="P2723" t="s">
        <v>442</v>
      </c>
      <c r="Q2723" t="s">
        <v>60</v>
      </c>
      <c r="R2723" t="s">
        <v>48</v>
      </c>
      <c r="S2723" t="s">
        <v>46</v>
      </c>
      <c r="T2723">
        <v>1</v>
      </c>
      <c r="U2723">
        <v>0</v>
      </c>
      <c r="V2723">
        <v>1</v>
      </c>
      <c r="W2723">
        <v>0</v>
      </c>
      <c r="X2723">
        <v>1</v>
      </c>
      <c r="Y2723">
        <v>0</v>
      </c>
      <c r="Z2723">
        <v>1</v>
      </c>
      <c r="AA2723">
        <v>1</v>
      </c>
      <c r="AB2723">
        <v>0</v>
      </c>
      <c r="AC2723">
        <v>0</v>
      </c>
      <c r="AD2723">
        <v>0</v>
      </c>
      <c r="AE2723">
        <v>0</v>
      </c>
      <c r="AF2723">
        <v>0</v>
      </c>
      <c r="AG2723">
        <v>0</v>
      </c>
    </row>
    <row r="2724" spans="1:33" x14ac:dyDescent="0.2">
      <c r="A2724">
        <v>2723</v>
      </c>
      <c r="B2724" t="s">
        <v>732</v>
      </c>
      <c r="C2724" t="s">
        <v>108</v>
      </c>
      <c r="D2724">
        <v>28</v>
      </c>
      <c r="E2724" t="s">
        <v>34</v>
      </c>
      <c r="F2724" t="s">
        <v>41</v>
      </c>
      <c r="G2724" t="s">
        <v>61</v>
      </c>
      <c r="H2724">
        <v>29816</v>
      </c>
      <c r="I2724">
        <v>0</v>
      </c>
      <c r="J2724">
        <v>0</v>
      </c>
      <c r="K2724">
        <v>1</v>
      </c>
      <c r="L2724">
        <v>0</v>
      </c>
      <c r="M2724" t="s">
        <v>63</v>
      </c>
      <c r="N2724" t="s">
        <v>87</v>
      </c>
      <c r="O2724" t="s">
        <v>62</v>
      </c>
      <c r="P2724" t="s">
        <v>442</v>
      </c>
      <c r="Q2724" t="s">
        <v>46</v>
      </c>
      <c r="R2724" t="s">
        <v>47</v>
      </c>
      <c r="S2724" t="s">
        <v>65</v>
      </c>
      <c r="T2724">
        <v>0</v>
      </c>
      <c r="U2724">
        <v>1</v>
      </c>
      <c r="V2724">
        <v>0</v>
      </c>
      <c r="W2724">
        <v>1</v>
      </c>
      <c r="X2724">
        <v>1</v>
      </c>
      <c r="Y2724">
        <v>0</v>
      </c>
      <c r="Z2724">
        <v>1</v>
      </c>
      <c r="AA2724">
        <v>0</v>
      </c>
      <c r="AB2724">
        <v>1</v>
      </c>
      <c r="AC2724">
        <v>0</v>
      </c>
      <c r="AD2724">
        <v>0</v>
      </c>
      <c r="AE2724">
        <v>0</v>
      </c>
      <c r="AF2724">
        <v>0</v>
      </c>
      <c r="AG2724">
        <v>0</v>
      </c>
    </row>
    <row r="2725" spans="1:33" hidden="1" x14ac:dyDescent="0.2">
      <c r="A2725">
        <v>2724</v>
      </c>
      <c r="B2725" t="s">
        <v>732</v>
      </c>
      <c r="C2725" t="s">
        <v>108</v>
      </c>
      <c r="D2725">
        <v>28</v>
      </c>
      <c r="E2725" t="s">
        <v>34</v>
      </c>
      <c r="F2725" t="s">
        <v>53</v>
      </c>
      <c r="G2725" t="s">
        <v>76</v>
      </c>
      <c r="H2725">
        <v>25947</v>
      </c>
      <c r="I2725">
        <v>1</v>
      </c>
      <c r="J2725">
        <v>0</v>
      </c>
      <c r="K2725">
        <v>0</v>
      </c>
      <c r="L2725">
        <v>0</v>
      </c>
      <c r="M2725" t="s">
        <v>36</v>
      </c>
      <c r="N2725" t="s">
        <v>36</v>
      </c>
      <c r="O2725" t="s">
        <v>36</v>
      </c>
      <c r="P2725" t="s">
        <v>442</v>
      </c>
      <c r="Q2725" t="s">
        <v>36</v>
      </c>
      <c r="R2725" t="s">
        <v>36</v>
      </c>
      <c r="S2725" t="s">
        <v>36</v>
      </c>
      <c r="T2725" t="s">
        <v>36</v>
      </c>
      <c r="U2725">
        <v>1</v>
      </c>
      <c r="V2725">
        <v>0</v>
      </c>
      <c r="W2725">
        <v>1</v>
      </c>
      <c r="X2725">
        <v>1</v>
      </c>
      <c r="Y2725">
        <v>0</v>
      </c>
      <c r="Z2725">
        <v>1</v>
      </c>
      <c r="AA2725">
        <v>0</v>
      </c>
      <c r="AB2725">
        <v>1</v>
      </c>
      <c r="AC2725">
        <v>0</v>
      </c>
      <c r="AD2725">
        <v>0</v>
      </c>
      <c r="AE2725">
        <v>0</v>
      </c>
      <c r="AF2725">
        <v>0</v>
      </c>
      <c r="AG2725">
        <v>0</v>
      </c>
    </row>
    <row r="2726" spans="1:33" x14ac:dyDescent="0.2">
      <c r="A2726">
        <v>2725</v>
      </c>
      <c r="B2726" t="s">
        <v>732</v>
      </c>
      <c r="C2726" t="s">
        <v>108</v>
      </c>
      <c r="D2726">
        <v>28</v>
      </c>
      <c r="E2726" t="s">
        <v>34</v>
      </c>
      <c r="F2726" t="s">
        <v>41</v>
      </c>
      <c r="G2726" t="s">
        <v>55</v>
      </c>
      <c r="H2726">
        <v>23777</v>
      </c>
      <c r="I2726">
        <v>0</v>
      </c>
      <c r="J2726">
        <v>0</v>
      </c>
      <c r="K2726">
        <v>1</v>
      </c>
      <c r="L2726">
        <v>0</v>
      </c>
      <c r="M2726" t="s">
        <v>84</v>
      </c>
      <c r="N2726" t="s">
        <v>94</v>
      </c>
      <c r="O2726" t="s">
        <v>85</v>
      </c>
      <c r="P2726" t="s">
        <v>442</v>
      </c>
      <c r="Q2726" t="s">
        <v>46</v>
      </c>
      <c r="R2726" t="s">
        <v>47</v>
      </c>
      <c r="S2726" t="s">
        <v>65</v>
      </c>
      <c r="T2726">
        <v>0</v>
      </c>
      <c r="U2726">
        <v>1</v>
      </c>
      <c r="V2726">
        <v>0</v>
      </c>
      <c r="W2726">
        <v>1</v>
      </c>
      <c r="X2726">
        <v>1</v>
      </c>
      <c r="Y2726">
        <v>0</v>
      </c>
      <c r="Z2726">
        <v>1</v>
      </c>
      <c r="AA2726">
        <v>0</v>
      </c>
      <c r="AB2726">
        <v>1</v>
      </c>
      <c r="AC2726">
        <v>0</v>
      </c>
      <c r="AD2726">
        <v>0</v>
      </c>
      <c r="AE2726">
        <v>0</v>
      </c>
      <c r="AF2726">
        <v>0</v>
      </c>
      <c r="AG2726">
        <v>0</v>
      </c>
    </row>
    <row r="2727" spans="1:33" hidden="1" x14ac:dyDescent="0.2">
      <c r="A2727">
        <v>2726</v>
      </c>
      <c r="B2727" t="s">
        <v>732</v>
      </c>
      <c r="C2727" t="s">
        <v>108</v>
      </c>
      <c r="D2727">
        <v>28</v>
      </c>
      <c r="E2727" t="s">
        <v>34</v>
      </c>
      <c r="F2727" t="s">
        <v>53</v>
      </c>
      <c r="G2727" t="s">
        <v>66</v>
      </c>
      <c r="H2727">
        <v>34369</v>
      </c>
      <c r="I2727">
        <v>1</v>
      </c>
      <c r="J2727">
        <v>1</v>
      </c>
      <c r="K2727">
        <v>0</v>
      </c>
      <c r="L2727">
        <v>0</v>
      </c>
      <c r="M2727" t="s">
        <v>36</v>
      </c>
      <c r="N2727" t="s">
        <v>36</v>
      </c>
      <c r="O2727" t="s">
        <v>36</v>
      </c>
      <c r="P2727" t="s">
        <v>442</v>
      </c>
      <c r="Q2727" t="s">
        <v>36</v>
      </c>
      <c r="R2727" t="s">
        <v>36</v>
      </c>
      <c r="S2727" t="s">
        <v>36</v>
      </c>
      <c r="T2727" t="s">
        <v>36</v>
      </c>
      <c r="U2727">
        <v>1</v>
      </c>
      <c r="V2727">
        <v>0</v>
      </c>
      <c r="W2727">
        <v>1</v>
      </c>
      <c r="X2727">
        <v>1</v>
      </c>
      <c r="Y2727">
        <v>0</v>
      </c>
      <c r="Z2727">
        <v>1</v>
      </c>
      <c r="AA2727">
        <v>0</v>
      </c>
      <c r="AB2727">
        <v>1</v>
      </c>
      <c r="AC2727">
        <v>0</v>
      </c>
      <c r="AD2727">
        <v>0</v>
      </c>
      <c r="AE2727">
        <v>0</v>
      </c>
      <c r="AF2727">
        <v>0</v>
      </c>
      <c r="AG2727">
        <v>0</v>
      </c>
    </row>
    <row r="2728" spans="1:33" x14ac:dyDescent="0.2">
      <c r="A2728">
        <v>2727</v>
      </c>
      <c r="B2728" t="s">
        <v>732</v>
      </c>
      <c r="C2728" t="s">
        <v>108</v>
      </c>
      <c r="D2728">
        <v>28</v>
      </c>
      <c r="E2728" t="s">
        <v>34</v>
      </c>
      <c r="F2728" t="s">
        <v>41</v>
      </c>
      <c r="G2728" t="s">
        <v>67</v>
      </c>
      <c r="H2728">
        <v>10589</v>
      </c>
      <c r="I2728">
        <v>0</v>
      </c>
      <c r="J2728">
        <v>1</v>
      </c>
      <c r="K2728">
        <v>0</v>
      </c>
      <c r="L2728">
        <v>0</v>
      </c>
      <c r="M2728" t="s">
        <v>69</v>
      </c>
      <c r="N2728" t="s">
        <v>68</v>
      </c>
      <c r="O2728" t="s">
        <v>70</v>
      </c>
      <c r="P2728" t="s">
        <v>442</v>
      </c>
      <c r="Q2728" t="s">
        <v>48</v>
      </c>
      <c r="R2728" t="s">
        <v>65</v>
      </c>
      <c r="S2728" t="s">
        <v>47</v>
      </c>
      <c r="T2728">
        <v>0</v>
      </c>
      <c r="U2728">
        <v>1</v>
      </c>
      <c r="V2728">
        <v>1</v>
      </c>
      <c r="W2728">
        <v>1</v>
      </c>
      <c r="X2728">
        <v>0</v>
      </c>
      <c r="Y2728">
        <v>0</v>
      </c>
      <c r="Z2728">
        <v>1</v>
      </c>
      <c r="AA2728">
        <v>0</v>
      </c>
      <c r="AB2728">
        <v>1</v>
      </c>
      <c r="AC2728">
        <v>0</v>
      </c>
      <c r="AD2728">
        <v>0</v>
      </c>
      <c r="AE2728">
        <v>0</v>
      </c>
      <c r="AF2728">
        <v>0</v>
      </c>
      <c r="AG2728">
        <v>0</v>
      </c>
    </row>
    <row r="2729" spans="1:33" x14ac:dyDescent="0.2">
      <c r="A2729">
        <v>2728</v>
      </c>
      <c r="B2729" t="s">
        <v>732</v>
      </c>
      <c r="C2729" t="s">
        <v>108</v>
      </c>
      <c r="D2729">
        <v>28</v>
      </c>
      <c r="E2729" t="s">
        <v>34</v>
      </c>
      <c r="F2729" t="s">
        <v>41</v>
      </c>
      <c r="G2729" t="s">
        <v>42</v>
      </c>
      <c r="H2729">
        <v>5689</v>
      </c>
      <c r="I2729">
        <v>1</v>
      </c>
      <c r="J2729">
        <v>0</v>
      </c>
      <c r="K2729">
        <v>0</v>
      </c>
      <c r="L2729">
        <v>0</v>
      </c>
      <c r="M2729" t="s">
        <v>82</v>
      </c>
      <c r="N2729" t="s">
        <v>43</v>
      </c>
      <c r="O2729" t="s">
        <v>45</v>
      </c>
      <c r="P2729" t="s">
        <v>442</v>
      </c>
      <c r="Q2729" t="s">
        <v>65</v>
      </c>
      <c r="R2729" t="s">
        <v>46</v>
      </c>
      <c r="S2729" t="s">
        <v>48</v>
      </c>
      <c r="T2729">
        <v>0</v>
      </c>
      <c r="U2729">
        <v>1</v>
      </c>
      <c r="V2729">
        <v>1</v>
      </c>
      <c r="W2729">
        <v>0</v>
      </c>
      <c r="X2729">
        <v>1</v>
      </c>
      <c r="Y2729">
        <v>0</v>
      </c>
      <c r="Z2729">
        <v>1</v>
      </c>
      <c r="AA2729">
        <v>0</v>
      </c>
      <c r="AB2729">
        <v>1</v>
      </c>
      <c r="AC2729">
        <v>0</v>
      </c>
      <c r="AD2729">
        <v>0</v>
      </c>
      <c r="AE2729">
        <v>0</v>
      </c>
      <c r="AF2729">
        <v>0</v>
      </c>
      <c r="AG2729">
        <v>0</v>
      </c>
    </row>
    <row r="2730" spans="1:33" hidden="1" x14ac:dyDescent="0.2">
      <c r="A2730">
        <v>2729</v>
      </c>
      <c r="B2730" t="s">
        <v>732</v>
      </c>
      <c r="C2730" t="s">
        <v>108</v>
      </c>
      <c r="D2730">
        <v>28</v>
      </c>
      <c r="E2730" t="s">
        <v>34</v>
      </c>
      <c r="F2730" t="s">
        <v>53</v>
      </c>
      <c r="G2730" t="s">
        <v>71</v>
      </c>
      <c r="H2730">
        <v>18293</v>
      </c>
      <c r="I2730">
        <v>1</v>
      </c>
      <c r="J2730">
        <v>0</v>
      </c>
      <c r="K2730">
        <v>0</v>
      </c>
      <c r="L2730">
        <v>0</v>
      </c>
      <c r="M2730" t="s">
        <v>36</v>
      </c>
      <c r="N2730" t="s">
        <v>36</v>
      </c>
      <c r="O2730" t="s">
        <v>36</v>
      </c>
      <c r="P2730" t="s">
        <v>442</v>
      </c>
      <c r="Q2730" t="s">
        <v>36</v>
      </c>
      <c r="R2730" t="s">
        <v>36</v>
      </c>
      <c r="S2730" t="s">
        <v>36</v>
      </c>
      <c r="T2730" t="s">
        <v>36</v>
      </c>
      <c r="U2730">
        <v>1</v>
      </c>
      <c r="V2730">
        <v>1</v>
      </c>
      <c r="W2730">
        <v>0</v>
      </c>
      <c r="X2730">
        <v>1</v>
      </c>
      <c r="Y2730">
        <v>0</v>
      </c>
      <c r="Z2730">
        <v>1</v>
      </c>
      <c r="AA2730">
        <v>0</v>
      </c>
      <c r="AB2730">
        <v>1</v>
      </c>
      <c r="AC2730">
        <v>0</v>
      </c>
      <c r="AD2730">
        <v>0</v>
      </c>
      <c r="AE2730">
        <v>0</v>
      </c>
      <c r="AF2730">
        <v>0</v>
      </c>
      <c r="AG2730">
        <v>0</v>
      </c>
    </row>
    <row r="2731" spans="1:33" hidden="1" x14ac:dyDescent="0.2">
      <c r="A2731">
        <v>2730</v>
      </c>
      <c r="B2731" t="s">
        <v>732</v>
      </c>
      <c r="C2731" t="s">
        <v>108</v>
      </c>
      <c r="D2731">
        <v>28</v>
      </c>
      <c r="E2731" t="s">
        <v>34</v>
      </c>
      <c r="F2731" t="s">
        <v>77</v>
      </c>
      <c r="G2731" t="s">
        <v>36</v>
      </c>
      <c r="H2731">
        <v>44745</v>
      </c>
      <c r="I2731" t="s">
        <v>733</v>
      </c>
      <c r="J2731" t="s">
        <v>734</v>
      </c>
      <c r="L2731" t="s">
        <v>36</v>
      </c>
      <c r="M2731" t="s">
        <v>36</v>
      </c>
      <c r="N2731" t="s">
        <v>36</v>
      </c>
      <c r="O2731" t="s">
        <v>36</v>
      </c>
      <c r="P2731" t="s">
        <v>442</v>
      </c>
      <c r="Q2731" t="s">
        <v>36</v>
      </c>
      <c r="R2731" t="s">
        <v>36</v>
      </c>
      <c r="S2731" t="s">
        <v>36</v>
      </c>
      <c r="T2731" t="s">
        <v>36</v>
      </c>
      <c r="U2731" t="s">
        <v>36</v>
      </c>
      <c r="V2731" t="s">
        <v>36</v>
      </c>
      <c r="W2731" t="s">
        <v>36</v>
      </c>
      <c r="X2731" t="s">
        <v>36</v>
      </c>
      <c r="Y2731" t="s">
        <v>36</v>
      </c>
      <c r="Z2731" t="s">
        <v>36</v>
      </c>
      <c r="AA2731" t="s">
        <v>36</v>
      </c>
      <c r="AB2731" t="s">
        <v>36</v>
      </c>
      <c r="AC2731" t="s">
        <v>36</v>
      </c>
      <c r="AD2731" t="s">
        <v>36</v>
      </c>
      <c r="AE2731" t="s">
        <v>36</v>
      </c>
      <c r="AF2731" t="s">
        <v>36</v>
      </c>
      <c r="AG2731" t="s">
        <v>36</v>
      </c>
    </row>
    <row r="2732" spans="1:33" hidden="1" x14ac:dyDescent="0.2">
      <c r="A2732">
        <v>2731</v>
      </c>
      <c r="B2732" t="s">
        <v>735</v>
      </c>
      <c r="C2732" t="s">
        <v>108</v>
      </c>
      <c r="D2732">
        <v>36</v>
      </c>
      <c r="E2732" t="s">
        <v>114</v>
      </c>
      <c r="F2732" t="s">
        <v>35</v>
      </c>
      <c r="G2732" t="s">
        <v>36</v>
      </c>
      <c r="H2732">
        <v>28631</v>
      </c>
      <c r="I2732" t="s">
        <v>36</v>
      </c>
      <c r="J2732" t="s">
        <v>36</v>
      </c>
      <c r="K2732" t="s">
        <v>36</v>
      </c>
      <c r="L2732" t="s">
        <v>36</v>
      </c>
      <c r="M2732" t="s">
        <v>36</v>
      </c>
      <c r="N2732" t="s">
        <v>36</v>
      </c>
      <c r="O2732" t="s">
        <v>36</v>
      </c>
      <c r="P2732" t="s">
        <v>442</v>
      </c>
      <c r="Q2732" t="s">
        <v>36</v>
      </c>
      <c r="R2732" t="s">
        <v>36</v>
      </c>
      <c r="S2732" t="s">
        <v>36</v>
      </c>
      <c r="T2732" t="s">
        <v>36</v>
      </c>
      <c r="U2732" t="s">
        <v>36</v>
      </c>
      <c r="V2732" t="s">
        <v>36</v>
      </c>
      <c r="W2732" t="s">
        <v>36</v>
      </c>
      <c r="X2732" t="s">
        <v>36</v>
      </c>
      <c r="Y2732" t="s">
        <v>36</v>
      </c>
      <c r="Z2732" t="s">
        <v>36</v>
      </c>
      <c r="AA2732" t="s">
        <v>36</v>
      </c>
      <c r="AB2732" t="s">
        <v>36</v>
      </c>
      <c r="AC2732" t="s">
        <v>36</v>
      </c>
      <c r="AD2732" t="s">
        <v>36</v>
      </c>
      <c r="AE2732" t="s">
        <v>36</v>
      </c>
      <c r="AF2732" t="s">
        <v>36</v>
      </c>
      <c r="AG2732" t="s">
        <v>36</v>
      </c>
    </row>
    <row r="2733" spans="1:33" hidden="1" x14ac:dyDescent="0.2">
      <c r="A2733">
        <v>2732</v>
      </c>
      <c r="B2733" t="s">
        <v>735</v>
      </c>
      <c r="C2733" t="s">
        <v>108</v>
      </c>
      <c r="D2733">
        <v>36</v>
      </c>
      <c r="E2733" t="s">
        <v>114</v>
      </c>
      <c r="F2733" t="s">
        <v>38</v>
      </c>
      <c r="G2733" t="s">
        <v>39</v>
      </c>
      <c r="H2733">
        <v>25645</v>
      </c>
      <c r="I2733">
        <v>0</v>
      </c>
      <c r="J2733">
        <v>0</v>
      </c>
      <c r="K2733">
        <v>0</v>
      </c>
      <c r="L2733">
        <v>1</v>
      </c>
      <c r="M2733" t="s">
        <v>36</v>
      </c>
      <c r="N2733" t="s">
        <v>36</v>
      </c>
      <c r="O2733" t="s">
        <v>36</v>
      </c>
      <c r="P2733" t="s">
        <v>442</v>
      </c>
      <c r="Q2733" t="s">
        <v>36</v>
      </c>
      <c r="R2733" t="s">
        <v>36</v>
      </c>
      <c r="S2733" t="s">
        <v>36</v>
      </c>
      <c r="T2733" t="s">
        <v>36</v>
      </c>
      <c r="U2733" t="s">
        <v>36</v>
      </c>
      <c r="V2733" t="s">
        <v>36</v>
      </c>
      <c r="W2733" t="s">
        <v>36</v>
      </c>
      <c r="X2733" t="s">
        <v>36</v>
      </c>
      <c r="Y2733" t="s">
        <v>36</v>
      </c>
      <c r="Z2733" t="s">
        <v>36</v>
      </c>
      <c r="AA2733" t="s">
        <v>36</v>
      </c>
      <c r="AB2733" t="s">
        <v>36</v>
      </c>
      <c r="AC2733" t="s">
        <v>36</v>
      </c>
      <c r="AD2733" t="s">
        <v>36</v>
      </c>
      <c r="AE2733" t="s">
        <v>36</v>
      </c>
      <c r="AF2733" t="s">
        <v>36</v>
      </c>
      <c r="AG2733" t="s">
        <v>36</v>
      </c>
    </row>
    <row r="2734" spans="1:33" hidden="1" x14ac:dyDescent="0.2">
      <c r="A2734">
        <v>2733</v>
      </c>
      <c r="B2734" t="s">
        <v>735</v>
      </c>
      <c r="C2734" t="s">
        <v>108</v>
      </c>
      <c r="D2734">
        <v>36</v>
      </c>
      <c r="E2734" t="s">
        <v>114</v>
      </c>
      <c r="F2734" t="s">
        <v>38</v>
      </c>
      <c r="G2734" t="s">
        <v>40</v>
      </c>
      <c r="H2734">
        <v>38557</v>
      </c>
      <c r="I2734">
        <v>0</v>
      </c>
      <c r="J2734">
        <v>0</v>
      </c>
      <c r="K2734">
        <v>1</v>
      </c>
      <c r="L2734">
        <v>0</v>
      </c>
      <c r="M2734" t="s">
        <v>36</v>
      </c>
      <c r="N2734" t="s">
        <v>36</v>
      </c>
      <c r="O2734" t="s">
        <v>36</v>
      </c>
      <c r="P2734" t="s">
        <v>442</v>
      </c>
      <c r="Q2734" t="s">
        <v>36</v>
      </c>
      <c r="R2734" t="s">
        <v>36</v>
      </c>
      <c r="S2734" t="s">
        <v>36</v>
      </c>
      <c r="T2734" t="s">
        <v>36</v>
      </c>
      <c r="U2734" t="s">
        <v>36</v>
      </c>
      <c r="V2734" t="s">
        <v>36</v>
      </c>
      <c r="W2734" t="s">
        <v>36</v>
      </c>
      <c r="X2734" t="s">
        <v>36</v>
      </c>
      <c r="Y2734" t="s">
        <v>36</v>
      </c>
      <c r="Z2734" t="s">
        <v>36</v>
      </c>
      <c r="AA2734" t="s">
        <v>36</v>
      </c>
      <c r="AB2734" t="s">
        <v>36</v>
      </c>
      <c r="AC2734" t="s">
        <v>36</v>
      </c>
      <c r="AD2734" t="s">
        <v>36</v>
      </c>
      <c r="AE2734" t="s">
        <v>36</v>
      </c>
      <c r="AF2734" t="s">
        <v>36</v>
      </c>
      <c r="AG2734" t="s">
        <v>36</v>
      </c>
    </row>
    <row r="2735" spans="1:33" x14ac:dyDescent="0.2">
      <c r="A2735">
        <v>2734</v>
      </c>
      <c r="B2735" t="s">
        <v>735</v>
      </c>
      <c r="C2735" t="s">
        <v>108</v>
      </c>
      <c r="D2735">
        <v>36</v>
      </c>
      <c r="E2735" t="s">
        <v>114</v>
      </c>
      <c r="F2735" t="s">
        <v>41</v>
      </c>
      <c r="G2735" t="s">
        <v>67</v>
      </c>
      <c r="H2735">
        <v>44004</v>
      </c>
      <c r="I2735">
        <v>0</v>
      </c>
      <c r="J2735">
        <v>0</v>
      </c>
      <c r="K2735">
        <v>0</v>
      </c>
      <c r="L2735">
        <v>1</v>
      </c>
      <c r="M2735" t="s">
        <v>70</v>
      </c>
      <c r="N2735" t="s">
        <v>86</v>
      </c>
      <c r="O2735" t="s">
        <v>68</v>
      </c>
      <c r="P2735" t="s">
        <v>442</v>
      </c>
      <c r="Q2735" t="s">
        <v>47</v>
      </c>
      <c r="R2735" t="s">
        <v>46</v>
      </c>
      <c r="S2735" t="s">
        <v>65</v>
      </c>
      <c r="T2735">
        <v>0</v>
      </c>
      <c r="U2735">
        <v>1</v>
      </c>
      <c r="V2735">
        <v>0</v>
      </c>
      <c r="W2735">
        <v>1</v>
      </c>
      <c r="X2735">
        <v>1</v>
      </c>
      <c r="Y2735">
        <v>0</v>
      </c>
      <c r="Z2735">
        <v>1</v>
      </c>
      <c r="AA2735">
        <v>0</v>
      </c>
      <c r="AB2735">
        <v>0</v>
      </c>
      <c r="AC2735">
        <v>0</v>
      </c>
      <c r="AD2735">
        <v>0</v>
      </c>
      <c r="AE2735">
        <v>0</v>
      </c>
      <c r="AF2735">
        <v>0</v>
      </c>
      <c r="AG2735">
        <v>1</v>
      </c>
    </row>
    <row r="2736" spans="1:33" x14ac:dyDescent="0.2">
      <c r="A2736">
        <v>2735</v>
      </c>
      <c r="B2736" t="s">
        <v>735</v>
      </c>
      <c r="C2736" t="s">
        <v>108</v>
      </c>
      <c r="D2736">
        <v>36</v>
      </c>
      <c r="E2736" t="s">
        <v>114</v>
      </c>
      <c r="F2736" t="s">
        <v>41</v>
      </c>
      <c r="G2736" t="s">
        <v>42</v>
      </c>
      <c r="H2736">
        <v>17380</v>
      </c>
      <c r="I2736">
        <v>0</v>
      </c>
      <c r="J2736">
        <v>0</v>
      </c>
      <c r="K2736">
        <v>0</v>
      </c>
      <c r="L2736">
        <v>1</v>
      </c>
      <c r="M2736" t="s">
        <v>45</v>
      </c>
      <c r="N2736" t="s">
        <v>116</v>
      </c>
      <c r="O2736" t="s">
        <v>43</v>
      </c>
      <c r="P2736" t="s">
        <v>442</v>
      </c>
      <c r="Q2736" t="s">
        <v>48</v>
      </c>
      <c r="R2736" t="s">
        <v>60</v>
      </c>
      <c r="S2736" t="s">
        <v>46</v>
      </c>
      <c r="T2736">
        <v>1</v>
      </c>
      <c r="U2736">
        <v>0</v>
      </c>
      <c r="V2736">
        <v>1</v>
      </c>
      <c r="W2736">
        <v>0</v>
      </c>
      <c r="X2736">
        <v>1</v>
      </c>
      <c r="Y2736">
        <v>0</v>
      </c>
      <c r="Z2736">
        <v>1</v>
      </c>
      <c r="AA2736">
        <v>0</v>
      </c>
      <c r="AB2736">
        <v>0</v>
      </c>
      <c r="AC2736">
        <v>0</v>
      </c>
      <c r="AD2736">
        <v>0</v>
      </c>
      <c r="AE2736">
        <v>0</v>
      </c>
      <c r="AF2736">
        <v>0</v>
      </c>
      <c r="AG2736">
        <v>1</v>
      </c>
    </row>
    <row r="2737" spans="1:33" hidden="1" x14ac:dyDescent="0.2">
      <c r="A2737">
        <v>2736</v>
      </c>
      <c r="B2737" t="s">
        <v>735</v>
      </c>
      <c r="C2737" t="s">
        <v>108</v>
      </c>
      <c r="D2737">
        <v>36</v>
      </c>
      <c r="E2737" t="s">
        <v>114</v>
      </c>
      <c r="F2737" t="s">
        <v>53</v>
      </c>
      <c r="G2737" t="s">
        <v>76</v>
      </c>
      <c r="H2737">
        <v>18670</v>
      </c>
      <c r="I2737">
        <v>1</v>
      </c>
      <c r="J2737">
        <v>0</v>
      </c>
      <c r="K2737">
        <v>0</v>
      </c>
      <c r="L2737">
        <v>0</v>
      </c>
      <c r="M2737" t="s">
        <v>36</v>
      </c>
      <c r="N2737" t="s">
        <v>36</v>
      </c>
      <c r="O2737" t="s">
        <v>36</v>
      </c>
      <c r="P2737" t="s">
        <v>442</v>
      </c>
      <c r="Q2737" t="s">
        <v>36</v>
      </c>
      <c r="R2737" t="s">
        <v>36</v>
      </c>
      <c r="S2737" t="s">
        <v>36</v>
      </c>
      <c r="T2737" t="s">
        <v>36</v>
      </c>
      <c r="U2737">
        <v>0</v>
      </c>
      <c r="V2737">
        <v>1</v>
      </c>
      <c r="W2737">
        <v>0</v>
      </c>
      <c r="X2737">
        <v>1</v>
      </c>
      <c r="Y2737">
        <v>0</v>
      </c>
      <c r="Z2737">
        <v>1</v>
      </c>
      <c r="AA2737">
        <v>0</v>
      </c>
      <c r="AB2737">
        <v>0</v>
      </c>
      <c r="AC2737">
        <v>0</v>
      </c>
      <c r="AD2737">
        <v>0</v>
      </c>
      <c r="AE2737">
        <v>0</v>
      </c>
      <c r="AF2737">
        <v>0</v>
      </c>
      <c r="AG2737">
        <v>1</v>
      </c>
    </row>
    <row r="2738" spans="1:33" x14ac:dyDescent="0.2">
      <c r="A2738">
        <v>2737</v>
      </c>
      <c r="B2738" t="s">
        <v>735</v>
      </c>
      <c r="C2738" t="s">
        <v>108</v>
      </c>
      <c r="D2738">
        <v>36</v>
      </c>
      <c r="E2738" t="s">
        <v>114</v>
      </c>
      <c r="F2738" t="s">
        <v>41</v>
      </c>
      <c r="G2738" t="s">
        <v>61</v>
      </c>
      <c r="H2738">
        <v>21860</v>
      </c>
      <c r="I2738">
        <v>0</v>
      </c>
      <c r="J2738">
        <v>0</v>
      </c>
      <c r="K2738">
        <v>0</v>
      </c>
      <c r="L2738">
        <v>1</v>
      </c>
      <c r="M2738" t="s">
        <v>62</v>
      </c>
      <c r="N2738" t="s">
        <v>64</v>
      </c>
      <c r="O2738" t="s">
        <v>125</v>
      </c>
      <c r="P2738" t="s">
        <v>442</v>
      </c>
      <c r="Q2738" t="s">
        <v>65</v>
      </c>
      <c r="R2738" t="s">
        <v>48</v>
      </c>
      <c r="S2738" t="s">
        <v>60</v>
      </c>
      <c r="T2738">
        <v>1</v>
      </c>
      <c r="U2738">
        <v>1</v>
      </c>
      <c r="V2738">
        <v>1</v>
      </c>
      <c r="W2738">
        <v>0</v>
      </c>
      <c r="X2738">
        <v>0</v>
      </c>
      <c r="Y2738">
        <v>0</v>
      </c>
      <c r="Z2738">
        <v>1</v>
      </c>
      <c r="AA2738">
        <v>0</v>
      </c>
      <c r="AB2738">
        <v>0</v>
      </c>
      <c r="AC2738">
        <v>0</v>
      </c>
      <c r="AD2738">
        <v>0</v>
      </c>
      <c r="AE2738">
        <v>0</v>
      </c>
      <c r="AF2738">
        <v>0</v>
      </c>
      <c r="AG2738">
        <v>1</v>
      </c>
    </row>
    <row r="2739" spans="1:33" hidden="1" x14ac:dyDescent="0.2">
      <c r="A2739">
        <v>2738</v>
      </c>
      <c r="B2739" t="s">
        <v>735</v>
      </c>
      <c r="C2739" t="s">
        <v>108</v>
      </c>
      <c r="D2739">
        <v>36</v>
      </c>
      <c r="E2739" t="s">
        <v>114</v>
      </c>
      <c r="F2739" t="s">
        <v>53</v>
      </c>
      <c r="G2739" t="s">
        <v>54</v>
      </c>
      <c r="H2739">
        <v>34494</v>
      </c>
      <c r="I2739">
        <v>0</v>
      </c>
      <c r="J2739">
        <v>1</v>
      </c>
      <c r="K2739">
        <v>1</v>
      </c>
      <c r="L2739">
        <v>0</v>
      </c>
      <c r="M2739" t="s">
        <v>36</v>
      </c>
      <c r="N2739" t="s">
        <v>36</v>
      </c>
      <c r="O2739" t="s">
        <v>36</v>
      </c>
      <c r="P2739" t="s">
        <v>442</v>
      </c>
      <c r="Q2739" t="s">
        <v>36</v>
      </c>
      <c r="R2739" t="s">
        <v>36</v>
      </c>
      <c r="S2739" t="s">
        <v>36</v>
      </c>
      <c r="T2739" t="s">
        <v>36</v>
      </c>
      <c r="U2739">
        <v>1</v>
      </c>
      <c r="V2739">
        <v>1</v>
      </c>
      <c r="W2739">
        <v>0</v>
      </c>
      <c r="X2739">
        <v>0</v>
      </c>
      <c r="Y2739">
        <v>0</v>
      </c>
      <c r="Z2739">
        <v>1</v>
      </c>
      <c r="AA2739">
        <v>0</v>
      </c>
      <c r="AB2739">
        <v>0</v>
      </c>
      <c r="AC2739">
        <v>0</v>
      </c>
      <c r="AD2739">
        <v>0</v>
      </c>
      <c r="AE2739">
        <v>0</v>
      </c>
      <c r="AF2739">
        <v>0</v>
      </c>
      <c r="AG2739">
        <v>1</v>
      </c>
    </row>
    <row r="2740" spans="1:33" x14ac:dyDescent="0.2">
      <c r="A2740">
        <v>2739</v>
      </c>
      <c r="B2740" t="s">
        <v>735</v>
      </c>
      <c r="C2740" t="s">
        <v>108</v>
      </c>
      <c r="D2740">
        <v>36</v>
      </c>
      <c r="E2740" t="s">
        <v>114</v>
      </c>
      <c r="F2740" t="s">
        <v>41</v>
      </c>
      <c r="G2740" t="s">
        <v>55</v>
      </c>
      <c r="H2740">
        <v>18901</v>
      </c>
      <c r="I2740">
        <v>0</v>
      </c>
      <c r="J2740">
        <v>0</v>
      </c>
      <c r="K2740">
        <v>0</v>
      </c>
      <c r="L2740">
        <v>1</v>
      </c>
      <c r="M2740" t="s">
        <v>85</v>
      </c>
      <c r="N2740" t="s">
        <v>84</v>
      </c>
      <c r="O2740" t="s">
        <v>58</v>
      </c>
      <c r="P2740" t="s">
        <v>442</v>
      </c>
      <c r="Q2740" t="s">
        <v>65</v>
      </c>
      <c r="R2740" t="s">
        <v>46</v>
      </c>
      <c r="S2740" t="s">
        <v>60</v>
      </c>
      <c r="T2740">
        <v>1</v>
      </c>
      <c r="U2740">
        <v>1</v>
      </c>
      <c r="V2740">
        <v>0</v>
      </c>
      <c r="W2740">
        <v>0</v>
      </c>
      <c r="X2740">
        <v>1</v>
      </c>
      <c r="Y2740">
        <v>0</v>
      </c>
      <c r="Z2740">
        <v>1</v>
      </c>
      <c r="AA2740">
        <v>0</v>
      </c>
      <c r="AB2740">
        <v>0</v>
      </c>
      <c r="AC2740">
        <v>0</v>
      </c>
      <c r="AD2740">
        <v>0</v>
      </c>
      <c r="AE2740">
        <v>0</v>
      </c>
      <c r="AF2740">
        <v>0</v>
      </c>
      <c r="AG2740">
        <v>1</v>
      </c>
    </row>
    <row r="2741" spans="1:33" x14ac:dyDescent="0.2">
      <c r="A2741">
        <v>2740</v>
      </c>
      <c r="B2741" t="s">
        <v>735</v>
      </c>
      <c r="C2741" t="s">
        <v>108</v>
      </c>
      <c r="D2741">
        <v>36</v>
      </c>
      <c r="E2741" t="s">
        <v>114</v>
      </c>
      <c r="F2741" t="s">
        <v>41</v>
      </c>
      <c r="G2741" t="s">
        <v>72</v>
      </c>
      <c r="H2741">
        <v>13732</v>
      </c>
      <c r="I2741">
        <v>0</v>
      </c>
      <c r="J2741">
        <v>0</v>
      </c>
      <c r="K2741">
        <v>0</v>
      </c>
      <c r="L2741">
        <v>1</v>
      </c>
      <c r="M2741" t="s">
        <v>74</v>
      </c>
      <c r="N2741" t="s">
        <v>73</v>
      </c>
      <c r="O2741" t="s">
        <v>115</v>
      </c>
      <c r="P2741" t="s">
        <v>442</v>
      </c>
      <c r="Q2741" t="s">
        <v>47</v>
      </c>
      <c r="R2741" t="s">
        <v>48</v>
      </c>
      <c r="S2741" t="s">
        <v>65</v>
      </c>
      <c r="T2741">
        <v>0</v>
      </c>
      <c r="U2741">
        <v>1</v>
      </c>
      <c r="V2741">
        <v>1</v>
      </c>
      <c r="W2741">
        <v>1</v>
      </c>
      <c r="X2741">
        <v>0</v>
      </c>
      <c r="Y2741">
        <v>0</v>
      </c>
      <c r="Z2741">
        <v>1</v>
      </c>
      <c r="AA2741">
        <v>0</v>
      </c>
      <c r="AB2741">
        <v>0</v>
      </c>
      <c r="AC2741">
        <v>0</v>
      </c>
      <c r="AD2741">
        <v>0</v>
      </c>
      <c r="AE2741">
        <v>0</v>
      </c>
      <c r="AF2741">
        <v>0</v>
      </c>
      <c r="AG2741">
        <v>1</v>
      </c>
    </row>
    <row r="2742" spans="1:33" hidden="1" x14ac:dyDescent="0.2">
      <c r="A2742">
        <v>2741</v>
      </c>
      <c r="B2742" t="s">
        <v>735</v>
      </c>
      <c r="C2742" t="s">
        <v>108</v>
      </c>
      <c r="D2742">
        <v>36</v>
      </c>
      <c r="E2742" t="s">
        <v>114</v>
      </c>
      <c r="F2742" t="s">
        <v>53</v>
      </c>
      <c r="G2742" t="s">
        <v>66</v>
      </c>
      <c r="H2742">
        <v>19679</v>
      </c>
      <c r="I2742">
        <v>1</v>
      </c>
      <c r="J2742">
        <v>1</v>
      </c>
      <c r="K2742">
        <v>0</v>
      </c>
      <c r="L2742">
        <v>0</v>
      </c>
      <c r="M2742" t="s">
        <v>36</v>
      </c>
      <c r="N2742" t="s">
        <v>36</v>
      </c>
      <c r="O2742" t="s">
        <v>36</v>
      </c>
      <c r="P2742" t="s">
        <v>442</v>
      </c>
      <c r="Q2742" t="s">
        <v>36</v>
      </c>
      <c r="R2742" t="s">
        <v>36</v>
      </c>
      <c r="S2742" t="s">
        <v>36</v>
      </c>
      <c r="T2742" t="s">
        <v>36</v>
      </c>
      <c r="U2742">
        <v>1</v>
      </c>
      <c r="V2742">
        <v>1</v>
      </c>
      <c r="W2742">
        <v>1</v>
      </c>
      <c r="X2742">
        <v>0</v>
      </c>
      <c r="Y2742">
        <v>0</v>
      </c>
      <c r="Z2742">
        <v>1</v>
      </c>
      <c r="AA2742">
        <v>0</v>
      </c>
      <c r="AB2742">
        <v>0</v>
      </c>
      <c r="AC2742">
        <v>0</v>
      </c>
      <c r="AD2742">
        <v>0</v>
      </c>
      <c r="AE2742">
        <v>0</v>
      </c>
      <c r="AF2742">
        <v>0</v>
      </c>
      <c r="AG2742">
        <v>1</v>
      </c>
    </row>
    <row r="2743" spans="1:33" x14ac:dyDescent="0.2">
      <c r="A2743">
        <v>2742</v>
      </c>
      <c r="B2743" t="s">
        <v>735</v>
      </c>
      <c r="C2743" t="s">
        <v>108</v>
      </c>
      <c r="D2743">
        <v>36</v>
      </c>
      <c r="E2743" t="s">
        <v>114</v>
      </c>
      <c r="F2743" t="s">
        <v>41</v>
      </c>
      <c r="G2743" t="s">
        <v>49</v>
      </c>
      <c r="H2743">
        <v>17857</v>
      </c>
      <c r="I2743">
        <v>0</v>
      </c>
      <c r="J2743">
        <v>0</v>
      </c>
      <c r="K2743">
        <v>0</v>
      </c>
      <c r="L2743">
        <v>1</v>
      </c>
      <c r="M2743" t="s">
        <v>83</v>
      </c>
      <c r="N2743" t="s">
        <v>52</v>
      </c>
      <c r="O2743" t="s">
        <v>96</v>
      </c>
      <c r="P2743" t="s">
        <v>442</v>
      </c>
      <c r="Q2743" t="s">
        <v>59</v>
      </c>
      <c r="R2743" t="s">
        <v>46</v>
      </c>
      <c r="S2743" t="s">
        <v>65</v>
      </c>
      <c r="T2743">
        <v>0</v>
      </c>
      <c r="U2743">
        <v>1</v>
      </c>
      <c r="V2743">
        <v>0</v>
      </c>
      <c r="W2743">
        <v>0</v>
      </c>
      <c r="X2743">
        <v>1</v>
      </c>
      <c r="Y2743">
        <v>0</v>
      </c>
      <c r="Z2743">
        <v>1</v>
      </c>
      <c r="AA2743">
        <v>0</v>
      </c>
      <c r="AB2743">
        <v>0</v>
      </c>
      <c r="AC2743">
        <v>0</v>
      </c>
      <c r="AD2743">
        <v>0</v>
      </c>
      <c r="AE2743">
        <v>0</v>
      </c>
      <c r="AF2743">
        <v>0</v>
      </c>
      <c r="AG2743">
        <v>1</v>
      </c>
    </row>
    <row r="2744" spans="1:33" hidden="1" x14ac:dyDescent="0.2">
      <c r="A2744">
        <v>2743</v>
      </c>
      <c r="B2744" t="s">
        <v>735</v>
      </c>
      <c r="C2744" t="s">
        <v>108</v>
      </c>
      <c r="D2744">
        <v>36</v>
      </c>
      <c r="E2744" t="s">
        <v>114</v>
      </c>
      <c r="F2744" t="s">
        <v>53</v>
      </c>
      <c r="G2744" t="s">
        <v>71</v>
      </c>
      <c r="H2744">
        <v>23998</v>
      </c>
      <c r="I2744">
        <v>0</v>
      </c>
      <c r="J2744">
        <v>0</v>
      </c>
      <c r="K2744">
        <v>1</v>
      </c>
      <c r="L2744">
        <v>0</v>
      </c>
      <c r="M2744" t="s">
        <v>36</v>
      </c>
      <c r="N2744" t="s">
        <v>36</v>
      </c>
      <c r="O2744" t="s">
        <v>36</v>
      </c>
      <c r="P2744" t="s">
        <v>442</v>
      </c>
      <c r="Q2744" t="s">
        <v>36</v>
      </c>
      <c r="R2744" t="s">
        <v>36</v>
      </c>
      <c r="S2744" t="s">
        <v>36</v>
      </c>
      <c r="T2744" t="s">
        <v>36</v>
      </c>
      <c r="U2744">
        <v>1</v>
      </c>
      <c r="V2744">
        <v>0</v>
      </c>
      <c r="W2744">
        <v>0</v>
      </c>
      <c r="X2744">
        <v>1</v>
      </c>
      <c r="Y2744">
        <v>0</v>
      </c>
      <c r="Z2744">
        <v>1</v>
      </c>
      <c r="AA2744">
        <v>0</v>
      </c>
      <c r="AB2744">
        <v>0</v>
      </c>
      <c r="AC2744">
        <v>0</v>
      </c>
      <c r="AD2744">
        <v>0</v>
      </c>
      <c r="AE2744">
        <v>0</v>
      </c>
      <c r="AF2744">
        <v>0</v>
      </c>
      <c r="AG2744">
        <v>1</v>
      </c>
    </row>
    <row r="2745" spans="1:33" hidden="1" x14ac:dyDescent="0.2">
      <c r="A2745">
        <v>2744</v>
      </c>
      <c r="B2745" t="s">
        <v>735</v>
      </c>
      <c r="C2745" t="s">
        <v>108</v>
      </c>
      <c r="D2745">
        <v>36</v>
      </c>
      <c r="E2745" t="s">
        <v>114</v>
      </c>
      <c r="F2745" t="s">
        <v>77</v>
      </c>
      <c r="G2745" t="s">
        <v>36</v>
      </c>
      <c r="H2745">
        <v>60709</v>
      </c>
      <c r="I2745" t="s">
        <v>736</v>
      </c>
      <c r="J2745" t="s">
        <v>737</v>
      </c>
      <c r="K2745" t="s">
        <v>166</v>
      </c>
      <c r="L2745" t="s">
        <v>36</v>
      </c>
      <c r="M2745" t="s">
        <v>36</v>
      </c>
      <c r="N2745" t="s">
        <v>36</v>
      </c>
      <c r="O2745" t="s">
        <v>36</v>
      </c>
      <c r="P2745" t="s">
        <v>442</v>
      </c>
      <c r="Q2745" t="s">
        <v>36</v>
      </c>
      <c r="R2745" t="s">
        <v>36</v>
      </c>
      <c r="S2745" t="s">
        <v>36</v>
      </c>
      <c r="T2745" t="s">
        <v>36</v>
      </c>
      <c r="U2745" t="s">
        <v>36</v>
      </c>
      <c r="V2745" t="s">
        <v>36</v>
      </c>
      <c r="W2745" t="s">
        <v>36</v>
      </c>
      <c r="X2745" t="s">
        <v>36</v>
      </c>
      <c r="Y2745" t="s">
        <v>36</v>
      </c>
      <c r="Z2745" t="s">
        <v>36</v>
      </c>
      <c r="AA2745" t="s">
        <v>36</v>
      </c>
      <c r="AB2745" t="s">
        <v>36</v>
      </c>
      <c r="AC2745" t="s">
        <v>36</v>
      </c>
      <c r="AD2745" t="s">
        <v>36</v>
      </c>
      <c r="AE2745" t="s">
        <v>36</v>
      </c>
      <c r="AF2745" t="s">
        <v>36</v>
      </c>
      <c r="AG2745" t="s">
        <v>36</v>
      </c>
    </row>
    <row r="2746" spans="1:33" hidden="1" x14ac:dyDescent="0.2">
      <c r="A2746">
        <v>2745</v>
      </c>
      <c r="B2746" t="s">
        <v>738</v>
      </c>
      <c r="C2746" t="s">
        <v>108</v>
      </c>
      <c r="D2746">
        <v>24</v>
      </c>
      <c r="E2746" t="s">
        <v>114</v>
      </c>
      <c r="F2746" t="s">
        <v>35</v>
      </c>
      <c r="G2746" t="s">
        <v>36</v>
      </c>
      <c r="H2746">
        <v>25316</v>
      </c>
      <c r="I2746" t="s">
        <v>36</v>
      </c>
      <c r="J2746" t="s">
        <v>36</v>
      </c>
      <c r="K2746" t="s">
        <v>36</v>
      </c>
      <c r="L2746" t="s">
        <v>36</v>
      </c>
      <c r="M2746" t="s">
        <v>36</v>
      </c>
      <c r="N2746" t="s">
        <v>36</v>
      </c>
      <c r="O2746" t="s">
        <v>36</v>
      </c>
      <c r="P2746" t="s">
        <v>442</v>
      </c>
      <c r="Q2746" t="s">
        <v>36</v>
      </c>
      <c r="R2746" t="s">
        <v>36</v>
      </c>
      <c r="S2746" t="s">
        <v>36</v>
      </c>
      <c r="T2746" t="s">
        <v>36</v>
      </c>
      <c r="U2746" t="s">
        <v>36</v>
      </c>
      <c r="V2746" t="s">
        <v>36</v>
      </c>
      <c r="W2746" t="s">
        <v>36</v>
      </c>
      <c r="X2746" t="s">
        <v>36</v>
      </c>
      <c r="Y2746" t="s">
        <v>36</v>
      </c>
      <c r="Z2746" t="s">
        <v>36</v>
      </c>
      <c r="AA2746" t="s">
        <v>36</v>
      </c>
      <c r="AB2746" t="s">
        <v>36</v>
      </c>
      <c r="AC2746" t="s">
        <v>36</v>
      </c>
      <c r="AD2746" t="s">
        <v>36</v>
      </c>
      <c r="AE2746" t="s">
        <v>36</v>
      </c>
      <c r="AF2746" t="s">
        <v>36</v>
      </c>
      <c r="AG2746" t="s">
        <v>36</v>
      </c>
    </row>
    <row r="2747" spans="1:33" hidden="1" x14ac:dyDescent="0.2">
      <c r="A2747">
        <v>2746</v>
      </c>
      <c r="B2747" t="s">
        <v>738</v>
      </c>
      <c r="C2747" t="s">
        <v>108</v>
      </c>
      <c r="D2747">
        <v>24</v>
      </c>
      <c r="E2747" t="s">
        <v>114</v>
      </c>
      <c r="F2747" t="s">
        <v>38</v>
      </c>
      <c r="G2747" t="s">
        <v>40</v>
      </c>
      <c r="H2747">
        <v>33578</v>
      </c>
      <c r="I2747">
        <v>0</v>
      </c>
      <c r="J2747">
        <v>0</v>
      </c>
      <c r="K2747">
        <v>1</v>
      </c>
      <c r="L2747">
        <v>0</v>
      </c>
      <c r="M2747" t="s">
        <v>36</v>
      </c>
      <c r="N2747" t="s">
        <v>36</v>
      </c>
      <c r="O2747" t="s">
        <v>36</v>
      </c>
      <c r="P2747" t="s">
        <v>442</v>
      </c>
      <c r="Q2747" t="s">
        <v>36</v>
      </c>
      <c r="R2747" t="s">
        <v>36</v>
      </c>
      <c r="S2747" t="s">
        <v>36</v>
      </c>
      <c r="T2747" t="s">
        <v>36</v>
      </c>
      <c r="U2747" t="s">
        <v>36</v>
      </c>
      <c r="V2747" t="s">
        <v>36</v>
      </c>
      <c r="W2747" t="s">
        <v>36</v>
      </c>
      <c r="X2747" t="s">
        <v>36</v>
      </c>
      <c r="Y2747" t="s">
        <v>36</v>
      </c>
      <c r="Z2747" t="s">
        <v>36</v>
      </c>
      <c r="AA2747" t="s">
        <v>36</v>
      </c>
      <c r="AB2747" t="s">
        <v>36</v>
      </c>
      <c r="AC2747" t="s">
        <v>36</v>
      </c>
      <c r="AD2747" t="s">
        <v>36</v>
      </c>
      <c r="AE2747" t="s">
        <v>36</v>
      </c>
      <c r="AF2747" t="s">
        <v>36</v>
      </c>
      <c r="AG2747" t="s">
        <v>36</v>
      </c>
    </row>
    <row r="2748" spans="1:33" hidden="1" x14ac:dyDescent="0.2">
      <c r="A2748">
        <v>2747</v>
      </c>
      <c r="B2748" t="s">
        <v>738</v>
      </c>
      <c r="C2748" t="s">
        <v>108</v>
      </c>
      <c r="D2748">
        <v>24</v>
      </c>
      <c r="E2748" t="s">
        <v>114</v>
      </c>
      <c r="F2748" t="s">
        <v>38</v>
      </c>
      <c r="G2748" t="s">
        <v>39</v>
      </c>
      <c r="H2748">
        <v>29929</v>
      </c>
      <c r="I2748">
        <v>0</v>
      </c>
      <c r="J2748">
        <v>0</v>
      </c>
      <c r="K2748">
        <v>0</v>
      </c>
      <c r="L2748">
        <v>1</v>
      </c>
      <c r="M2748" t="s">
        <v>36</v>
      </c>
      <c r="N2748" t="s">
        <v>36</v>
      </c>
      <c r="O2748" t="s">
        <v>36</v>
      </c>
      <c r="P2748" t="s">
        <v>442</v>
      </c>
      <c r="Q2748" t="s">
        <v>36</v>
      </c>
      <c r="R2748" t="s">
        <v>36</v>
      </c>
      <c r="S2748" t="s">
        <v>36</v>
      </c>
      <c r="T2748" t="s">
        <v>36</v>
      </c>
      <c r="U2748" t="s">
        <v>36</v>
      </c>
      <c r="V2748" t="s">
        <v>36</v>
      </c>
      <c r="W2748" t="s">
        <v>36</v>
      </c>
      <c r="X2748" t="s">
        <v>36</v>
      </c>
      <c r="Y2748" t="s">
        <v>36</v>
      </c>
      <c r="Z2748" t="s">
        <v>36</v>
      </c>
      <c r="AA2748" t="s">
        <v>36</v>
      </c>
      <c r="AB2748" t="s">
        <v>36</v>
      </c>
      <c r="AC2748" t="s">
        <v>36</v>
      </c>
      <c r="AD2748" t="s">
        <v>36</v>
      </c>
      <c r="AE2748" t="s">
        <v>36</v>
      </c>
      <c r="AF2748" t="s">
        <v>36</v>
      </c>
      <c r="AG2748" t="s">
        <v>36</v>
      </c>
    </row>
    <row r="2749" spans="1:33" x14ac:dyDescent="0.2">
      <c r="A2749">
        <v>2748</v>
      </c>
      <c r="B2749" t="s">
        <v>738</v>
      </c>
      <c r="C2749" t="s">
        <v>108</v>
      </c>
      <c r="D2749">
        <v>24</v>
      </c>
      <c r="E2749" t="s">
        <v>114</v>
      </c>
      <c r="F2749" t="s">
        <v>41</v>
      </c>
      <c r="G2749" t="s">
        <v>42</v>
      </c>
      <c r="H2749">
        <v>56081</v>
      </c>
      <c r="I2749">
        <v>1</v>
      </c>
      <c r="J2749">
        <v>1</v>
      </c>
      <c r="K2749">
        <v>1</v>
      </c>
      <c r="L2749">
        <v>0</v>
      </c>
      <c r="M2749" t="s">
        <v>44</v>
      </c>
      <c r="N2749" t="s">
        <v>43</v>
      </c>
      <c r="O2749" t="s">
        <v>82</v>
      </c>
      <c r="P2749" t="s">
        <v>442</v>
      </c>
      <c r="Q2749" t="s">
        <v>47</v>
      </c>
      <c r="R2749" t="s">
        <v>46</v>
      </c>
      <c r="S2749" t="s">
        <v>65</v>
      </c>
      <c r="T2749">
        <v>0</v>
      </c>
      <c r="U2749">
        <v>1</v>
      </c>
      <c r="V2749">
        <v>0</v>
      </c>
      <c r="W2749">
        <v>1</v>
      </c>
      <c r="X2749">
        <v>1</v>
      </c>
      <c r="Y2749">
        <v>0</v>
      </c>
      <c r="Z2749">
        <v>1</v>
      </c>
      <c r="AA2749">
        <v>0</v>
      </c>
      <c r="AB2749">
        <v>1</v>
      </c>
      <c r="AC2749">
        <v>0</v>
      </c>
      <c r="AD2749">
        <v>1</v>
      </c>
      <c r="AE2749">
        <v>1</v>
      </c>
      <c r="AF2749">
        <v>0</v>
      </c>
      <c r="AG2749">
        <v>0</v>
      </c>
    </row>
    <row r="2750" spans="1:33" x14ac:dyDescent="0.2">
      <c r="A2750">
        <v>2749</v>
      </c>
      <c r="B2750" t="s">
        <v>738</v>
      </c>
      <c r="C2750" t="s">
        <v>108</v>
      </c>
      <c r="D2750">
        <v>24</v>
      </c>
      <c r="E2750" t="s">
        <v>114</v>
      </c>
      <c r="F2750" t="s">
        <v>41</v>
      </c>
      <c r="G2750" t="s">
        <v>49</v>
      </c>
      <c r="H2750">
        <v>25844</v>
      </c>
      <c r="I2750">
        <v>0</v>
      </c>
      <c r="J2750">
        <v>1</v>
      </c>
      <c r="K2750">
        <v>0</v>
      </c>
      <c r="L2750">
        <v>0</v>
      </c>
      <c r="M2750" t="s">
        <v>83</v>
      </c>
      <c r="N2750" t="s">
        <v>96</v>
      </c>
      <c r="O2750" t="s">
        <v>52</v>
      </c>
      <c r="P2750" t="s">
        <v>442</v>
      </c>
      <c r="Q2750" t="s">
        <v>59</v>
      </c>
      <c r="R2750" t="s">
        <v>65</v>
      </c>
      <c r="S2750" t="s">
        <v>46</v>
      </c>
      <c r="T2750">
        <v>0</v>
      </c>
      <c r="U2750">
        <v>1</v>
      </c>
      <c r="V2750">
        <v>0</v>
      </c>
      <c r="W2750">
        <v>0</v>
      </c>
      <c r="X2750">
        <v>1</v>
      </c>
      <c r="Y2750">
        <v>0</v>
      </c>
      <c r="Z2750">
        <v>1</v>
      </c>
      <c r="AA2750">
        <v>0</v>
      </c>
      <c r="AB2750">
        <v>1</v>
      </c>
      <c r="AC2750">
        <v>0</v>
      </c>
      <c r="AD2750">
        <v>0</v>
      </c>
      <c r="AE2750">
        <v>0</v>
      </c>
      <c r="AF2750">
        <v>0</v>
      </c>
      <c r="AG2750">
        <v>0</v>
      </c>
    </row>
    <row r="2751" spans="1:33" hidden="1" x14ac:dyDescent="0.2">
      <c r="A2751">
        <v>2750</v>
      </c>
      <c r="B2751" t="s">
        <v>738</v>
      </c>
      <c r="C2751" t="s">
        <v>108</v>
      </c>
      <c r="D2751">
        <v>24</v>
      </c>
      <c r="E2751" t="s">
        <v>114</v>
      </c>
      <c r="F2751" t="s">
        <v>53</v>
      </c>
      <c r="G2751" t="s">
        <v>66</v>
      </c>
      <c r="H2751">
        <v>19141</v>
      </c>
      <c r="I2751">
        <v>1</v>
      </c>
      <c r="J2751">
        <v>1</v>
      </c>
      <c r="K2751">
        <v>0</v>
      </c>
      <c r="L2751">
        <v>0</v>
      </c>
      <c r="M2751" t="s">
        <v>36</v>
      </c>
      <c r="N2751" t="s">
        <v>36</v>
      </c>
      <c r="O2751" t="s">
        <v>36</v>
      </c>
      <c r="P2751" t="s">
        <v>442</v>
      </c>
      <c r="Q2751" t="s">
        <v>36</v>
      </c>
      <c r="R2751" t="s">
        <v>36</v>
      </c>
      <c r="S2751" t="s">
        <v>36</v>
      </c>
      <c r="T2751" t="s">
        <v>36</v>
      </c>
      <c r="U2751">
        <v>1</v>
      </c>
      <c r="V2751">
        <v>0</v>
      </c>
      <c r="W2751">
        <v>0</v>
      </c>
      <c r="X2751">
        <v>1</v>
      </c>
      <c r="Y2751">
        <v>0</v>
      </c>
      <c r="Z2751">
        <v>1</v>
      </c>
      <c r="AA2751">
        <v>0</v>
      </c>
      <c r="AB2751">
        <v>1</v>
      </c>
      <c r="AC2751">
        <v>0</v>
      </c>
      <c r="AD2751">
        <v>0</v>
      </c>
      <c r="AE2751">
        <v>0</v>
      </c>
      <c r="AF2751">
        <v>0</v>
      </c>
      <c r="AG2751">
        <v>0</v>
      </c>
    </row>
    <row r="2752" spans="1:33" x14ac:dyDescent="0.2">
      <c r="A2752">
        <v>2751</v>
      </c>
      <c r="B2752" t="s">
        <v>738</v>
      </c>
      <c r="C2752" t="s">
        <v>108</v>
      </c>
      <c r="D2752">
        <v>24</v>
      </c>
      <c r="E2752" t="s">
        <v>114</v>
      </c>
      <c r="F2752" t="s">
        <v>41</v>
      </c>
      <c r="G2752" t="s">
        <v>67</v>
      </c>
      <c r="H2752">
        <v>22659</v>
      </c>
      <c r="I2752">
        <v>0</v>
      </c>
      <c r="J2752">
        <v>1</v>
      </c>
      <c r="K2752">
        <v>0</v>
      </c>
      <c r="L2752">
        <v>0</v>
      </c>
      <c r="M2752" t="s">
        <v>86</v>
      </c>
      <c r="N2752" t="s">
        <v>68</v>
      </c>
      <c r="O2752" t="s">
        <v>109</v>
      </c>
      <c r="P2752" t="s">
        <v>442</v>
      </c>
      <c r="Q2752" t="s">
        <v>46</v>
      </c>
      <c r="R2752" t="s">
        <v>65</v>
      </c>
      <c r="S2752" t="s">
        <v>59</v>
      </c>
      <c r="T2752">
        <v>0</v>
      </c>
      <c r="U2752">
        <v>1</v>
      </c>
      <c r="V2752">
        <v>0</v>
      </c>
      <c r="W2752">
        <v>0</v>
      </c>
      <c r="X2752">
        <v>1</v>
      </c>
      <c r="Y2752">
        <v>0</v>
      </c>
      <c r="Z2752">
        <v>1</v>
      </c>
      <c r="AA2752">
        <v>0</v>
      </c>
      <c r="AB2752">
        <v>1</v>
      </c>
      <c r="AC2752">
        <v>0</v>
      </c>
      <c r="AD2752">
        <v>0</v>
      </c>
      <c r="AE2752">
        <v>0</v>
      </c>
      <c r="AF2752">
        <v>0</v>
      </c>
      <c r="AG2752">
        <v>0</v>
      </c>
    </row>
    <row r="2753" spans="1:33" x14ac:dyDescent="0.2">
      <c r="A2753">
        <v>2752</v>
      </c>
      <c r="B2753" t="s">
        <v>738</v>
      </c>
      <c r="C2753" t="s">
        <v>108</v>
      </c>
      <c r="D2753">
        <v>24</v>
      </c>
      <c r="E2753" t="s">
        <v>114</v>
      </c>
      <c r="F2753" t="s">
        <v>41</v>
      </c>
      <c r="G2753" t="s">
        <v>55</v>
      </c>
      <c r="H2753">
        <v>21627</v>
      </c>
      <c r="I2753">
        <v>1</v>
      </c>
      <c r="J2753">
        <v>1</v>
      </c>
      <c r="K2753">
        <v>1</v>
      </c>
      <c r="L2753">
        <v>0</v>
      </c>
      <c r="M2753" t="s">
        <v>57</v>
      </c>
      <c r="N2753" t="s">
        <v>56</v>
      </c>
      <c r="O2753" t="s">
        <v>58</v>
      </c>
      <c r="P2753" t="s">
        <v>442</v>
      </c>
      <c r="Q2753" t="s">
        <v>48</v>
      </c>
      <c r="R2753" t="s">
        <v>59</v>
      </c>
      <c r="S2753" t="s">
        <v>60</v>
      </c>
      <c r="T2753">
        <v>1</v>
      </c>
      <c r="U2753">
        <v>0</v>
      </c>
      <c r="V2753">
        <v>1</v>
      </c>
      <c r="W2753">
        <v>0</v>
      </c>
      <c r="X2753">
        <v>0</v>
      </c>
      <c r="Y2753">
        <v>0</v>
      </c>
      <c r="Z2753">
        <v>1</v>
      </c>
      <c r="AA2753">
        <v>1</v>
      </c>
      <c r="AB2753">
        <v>0</v>
      </c>
      <c r="AC2753">
        <v>1</v>
      </c>
      <c r="AD2753">
        <v>0</v>
      </c>
      <c r="AE2753">
        <v>0</v>
      </c>
      <c r="AF2753">
        <v>0</v>
      </c>
      <c r="AG2753">
        <v>0</v>
      </c>
    </row>
    <row r="2754" spans="1:33" hidden="1" x14ac:dyDescent="0.2">
      <c r="A2754">
        <v>2753</v>
      </c>
      <c r="B2754" t="s">
        <v>738</v>
      </c>
      <c r="C2754" t="s">
        <v>108</v>
      </c>
      <c r="D2754">
        <v>24</v>
      </c>
      <c r="E2754" t="s">
        <v>114</v>
      </c>
      <c r="F2754" t="s">
        <v>53</v>
      </c>
      <c r="G2754" t="s">
        <v>76</v>
      </c>
      <c r="H2754">
        <v>19715</v>
      </c>
      <c r="I2754">
        <v>1</v>
      </c>
      <c r="J2754">
        <v>0</v>
      </c>
      <c r="K2754">
        <v>0</v>
      </c>
      <c r="L2754">
        <v>0</v>
      </c>
      <c r="M2754" t="s">
        <v>36</v>
      </c>
      <c r="N2754" t="s">
        <v>36</v>
      </c>
      <c r="O2754" t="s">
        <v>36</v>
      </c>
      <c r="P2754" t="s">
        <v>442</v>
      </c>
      <c r="Q2754" t="s">
        <v>36</v>
      </c>
      <c r="R2754" t="s">
        <v>36</v>
      </c>
      <c r="S2754" t="s">
        <v>36</v>
      </c>
      <c r="T2754" t="s">
        <v>36</v>
      </c>
      <c r="U2754">
        <v>0</v>
      </c>
      <c r="V2754">
        <v>1</v>
      </c>
      <c r="W2754">
        <v>0</v>
      </c>
      <c r="X2754">
        <v>0</v>
      </c>
      <c r="Y2754">
        <v>0</v>
      </c>
      <c r="Z2754">
        <v>1</v>
      </c>
      <c r="AA2754">
        <v>1</v>
      </c>
      <c r="AB2754">
        <v>0</v>
      </c>
      <c r="AC2754">
        <v>1</v>
      </c>
      <c r="AD2754">
        <v>0</v>
      </c>
      <c r="AE2754">
        <v>0</v>
      </c>
      <c r="AF2754">
        <v>0</v>
      </c>
      <c r="AG2754">
        <v>0</v>
      </c>
    </row>
    <row r="2755" spans="1:33" x14ac:dyDescent="0.2">
      <c r="A2755">
        <v>2754</v>
      </c>
      <c r="B2755" t="s">
        <v>738</v>
      </c>
      <c r="C2755" t="s">
        <v>108</v>
      </c>
      <c r="D2755">
        <v>24</v>
      </c>
      <c r="E2755" t="s">
        <v>114</v>
      </c>
      <c r="F2755" t="s">
        <v>41</v>
      </c>
      <c r="G2755" t="s">
        <v>61</v>
      </c>
      <c r="H2755">
        <v>14741</v>
      </c>
      <c r="I2755">
        <v>0</v>
      </c>
      <c r="J2755">
        <v>0</v>
      </c>
      <c r="K2755">
        <v>0</v>
      </c>
      <c r="L2755">
        <v>1</v>
      </c>
      <c r="M2755" t="s">
        <v>64</v>
      </c>
      <c r="N2755" t="s">
        <v>87</v>
      </c>
      <c r="O2755" t="s">
        <v>63</v>
      </c>
      <c r="P2755" t="s">
        <v>442</v>
      </c>
      <c r="Q2755" t="s">
        <v>48</v>
      </c>
      <c r="R2755" t="s">
        <v>47</v>
      </c>
      <c r="S2755" t="s">
        <v>46</v>
      </c>
      <c r="T2755">
        <v>0</v>
      </c>
      <c r="U2755">
        <v>0</v>
      </c>
      <c r="V2755">
        <v>1</v>
      </c>
      <c r="W2755">
        <v>1</v>
      </c>
      <c r="X2755">
        <v>1</v>
      </c>
      <c r="Y2755">
        <v>0</v>
      </c>
      <c r="Z2755">
        <v>1</v>
      </c>
      <c r="AA2755">
        <v>0</v>
      </c>
      <c r="AB2755">
        <v>0</v>
      </c>
      <c r="AC2755">
        <v>0</v>
      </c>
      <c r="AD2755">
        <v>0</v>
      </c>
      <c r="AE2755">
        <v>0</v>
      </c>
      <c r="AF2755">
        <v>0</v>
      </c>
      <c r="AG2755">
        <v>1</v>
      </c>
    </row>
    <row r="2756" spans="1:33" hidden="1" x14ac:dyDescent="0.2">
      <c r="A2756">
        <v>2755</v>
      </c>
      <c r="B2756" t="s">
        <v>738</v>
      </c>
      <c r="C2756" t="s">
        <v>108</v>
      </c>
      <c r="D2756">
        <v>24</v>
      </c>
      <c r="E2756" t="s">
        <v>114</v>
      </c>
      <c r="F2756" t="s">
        <v>53</v>
      </c>
      <c r="G2756" t="s">
        <v>54</v>
      </c>
      <c r="H2756">
        <v>28636</v>
      </c>
      <c r="I2756">
        <v>0</v>
      </c>
      <c r="J2756">
        <v>0</v>
      </c>
      <c r="K2756">
        <v>1</v>
      </c>
      <c r="L2756">
        <v>0</v>
      </c>
      <c r="M2756" t="s">
        <v>36</v>
      </c>
      <c r="N2756" t="s">
        <v>36</v>
      </c>
      <c r="O2756" t="s">
        <v>36</v>
      </c>
      <c r="P2756" t="s">
        <v>442</v>
      </c>
      <c r="Q2756" t="s">
        <v>36</v>
      </c>
      <c r="R2756" t="s">
        <v>36</v>
      </c>
      <c r="S2756" t="s">
        <v>36</v>
      </c>
      <c r="T2756" t="s">
        <v>36</v>
      </c>
      <c r="U2756">
        <v>0</v>
      </c>
      <c r="V2756">
        <v>1</v>
      </c>
      <c r="W2756">
        <v>1</v>
      </c>
      <c r="X2756">
        <v>1</v>
      </c>
      <c r="Y2756">
        <v>0</v>
      </c>
      <c r="Z2756">
        <v>1</v>
      </c>
      <c r="AA2756">
        <v>0</v>
      </c>
      <c r="AB2756">
        <v>0</v>
      </c>
      <c r="AC2756">
        <v>0</v>
      </c>
      <c r="AD2756">
        <v>0</v>
      </c>
      <c r="AE2756">
        <v>0</v>
      </c>
      <c r="AF2756">
        <v>0</v>
      </c>
      <c r="AG2756">
        <v>1</v>
      </c>
    </row>
    <row r="2757" spans="1:33" x14ac:dyDescent="0.2">
      <c r="A2757">
        <v>2756</v>
      </c>
      <c r="B2757" t="s">
        <v>738</v>
      </c>
      <c r="C2757" t="s">
        <v>108</v>
      </c>
      <c r="D2757">
        <v>24</v>
      </c>
      <c r="E2757" t="s">
        <v>114</v>
      </c>
      <c r="F2757" t="s">
        <v>41</v>
      </c>
      <c r="G2757" t="s">
        <v>72</v>
      </c>
      <c r="H2757">
        <v>14282</v>
      </c>
      <c r="I2757">
        <v>0</v>
      </c>
      <c r="J2757">
        <v>0</v>
      </c>
      <c r="K2757">
        <v>0</v>
      </c>
      <c r="L2757">
        <v>1</v>
      </c>
      <c r="M2757" t="s">
        <v>115</v>
      </c>
      <c r="N2757" t="s">
        <v>104</v>
      </c>
      <c r="O2757" t="s">
        <v>75</v>
      </c>
      <c r="P2757" t="s">
        <v>442</v>
      </c>
      <c r="Q2757" t="s">
        <v>65</v>
      </c>
      <c r="R2757" t="s">
        <v>60</v>
      </c>
      <c r="S2757" t="s">
        <v>46</v>
      </c>
      <c r="T2757">
        <v>1</v>
      </c>
      <c r="U2757">
        <v>1</v>
      </c>
      <c r="V2757">
        <v>0</v>
      </c>
      <c r="W2757">
        <v>0</v>
      </c>
      <c r="X2757">
        <v>1</v>
      </c>
      <c r="Y2757">
        <v>0</v>
      </c>
      <c r="Z2757">
        <v>1</v>
      </c>
      <c r="AA2757">
        <v>0</v>
      </c>
      <c r="AB2757">
        <v>0</v>
      </c>
      <c r="AC2757">
        <v>0</v>
      </c>
      <c r="AD2757">
        <v>0</v>
      </c>
      <c r="AE2757">
        <v>0</v>
      </c>
      <c r="AF2757">
        <v>0</v>
      </c>
      <c r="AG2757">
        <v>1</v>
      </c>
    </row>
    <row r="2758" spans="1:33" hidden="1" x14ac:dyDescent="0.2">
      <c r="A2758">
        <v>2757</v>
      </c>
      <c r="B2758" t="s">
        <v>738</v>
      </c>
      <c r="C2758" t="s">
        <v>108</v>
      </c>
      <c r="D2758">
        <v>24</v>
      </c>
      <c r="E2758" t="s">
        <v>114</v>
      </c>
      <c r="F2758" t="s">
        <v>53</v>
      </c>
      <c r="G2758" t="s">
        <v>71</v>
      </c>
      <c r="H2758">
        <v>30800</v>
      </c>
      <c r="I2758">
        <v>0</v>
      </c>
      <c r="J2758">
        <v>1</v>
      </c>
      <c r="K2758">
        <v>0</v>
      </c>
      <c r="L2758">
        <v>0</v>
      </c>
      <c r="M2758" t="s">
        <v>36</v>
      </c>
      <c r="N2758" t="s">
        <v>36</v>
      </c>
      <c r="O2758" t="s">
        <v>36</v>
      </c>
      <c r="P2758" t="s">
        <v>442</v>
      </c>
      <c r="Q2758" t="s">
        <v>36</v>
      </c>
      <c r="R2758" t="s">
        <v>36</v>
      </c>
      <c r="S2758" t="s">
        <v>36</v>
      </c>
      <c r="T2758" t="s">
        <v>36</v>
      </c>
      <c r="U2758">
        <v>1</v>
      </c>
      <c r="V2758">
        <v>0</v>
      </c>
      <c r="W2758">
        <v>0</v>
      </c>
      <c r="X2758">
        <v>1</v>
      </c>
      <c r="Y2758">
        <v>0</v>
      </c>
      <c r="Z2758">
        <v>1</v>
      </c>
      <c r="AA2758">
        <v>0</v>
      </c>
      <c r="AB2758">
        <v>0</v>
      </c>
      <c r="AC2758">
        <v>0</v>
      </c>
      <c r="AD2758">
        <v>0</v>
      </c>
      <c r="AE2758">
        <v>0</v>
      </c>
      <c r="AF2758">
        <v>0</v>
      </c>
      <c r="AG2758">
        <v>1</v>
      </c>
    </row>
    <row r="2759" spans="1:33" hidden="1" x14ac:dyDescent="0.2">
      <c r="A2759">
        <v>2758</v>
      </c>
      <c r="B2759" t="s">
        <v>738</v>
      </c>
      <c r="C2759" t="s">
        <v>108</v>
      </c>
      <c r="D2759">
        <v>24</v>
      </c>
      <c r="E2759" t="s">
        <v>114</v>
      </c>
      <c r="F2759" t="s">
        <v>77</v>
      </c>
      <c r="G2759" t="s">
        <v>36</v>
      </c>
      <c r="H2759">
        <v>46578</v>
      </c>
      <c r="I2759" t="s">
        <v>739</v>
      </c>
      <c r="J2759" t="s">
        <v>162</v>
      </c>
      <c r="K2759" t="s">
        <v>162</v>
      </c>
      <c r="L2759" t="s">
        <v>36</v>
      </c>
      <c r="M2759" t="s">
        <v>36</v>
      </c>
      <c r="N2759" t="s">
        <v>36</v>
      </c>
      <c r="O2759" t="s">
        <v>36</v>
      </c>
      <c r="P2759" t="s">
        <v>442</v>
      </c>
      <c r="Q2759" t="s">
        <v>36</v>
      </c>
      <c r="R2759" t="s">
        <v>36</v>
      </c>
      <c r="S2759" t="s">
        <v>36</v>
      </c>
      <c r="T2759" t="s">
        <v>36</v>
      </c>
      <c r="U2759" t="s">
        <v>36</v>
      </c>
      <c r="V2759" t="s">
        <v>36</v>
      </c>
      <c r="W2759" t="s">
        <v>36</v>
      </c>
      <c r="X2759" t="s">
        <v>36</v>
      </c>
      <c r="Y2759" t="s">
        <v>36</v>
      </c>
      <c r="Z2759" t="s">
        <v>36</v>
      </c>
      <c r="AA2759" t="s">
        <v>36</v>
      </c>
      <c r="AB2759" t="s">
        <v>36</v>
      </c>
      <c r="AC2759" t="s">
        <v>36</v>
      </c>
      <c r="AD2759" t="s">
        <v>36</v>
      </c>
      <c r="AE2759" t="s">
        <v>36</v>
      </c>
      <c r="AF2759" t="s">
        <v>36</v>
      </c>
      <c r="AG2759" t="s">
        <v>36</v>
      </c>
    </row>
  </sheetData>
  <autoFilter ref="A1:AG2759">
    <filterColumn colId="2">
      <filters>
        <filter val="American English"/>
        <filter val="english"/>
      </filters>
    </filterColumn>
    <filterColumn colId="5">
      <filters>
        <filter val="test"/>
      </filters>
    </filterColumn>
  </autoFilter>
  <pageMargins left="0.75" right="0.75" top="1" bottom="1" header="0.5" footer="0.5"/>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T19"/>
  <sheetViews>
    <sheetView workbookViewId="0">
      <selection activeCell="D40" sqref="D40"/>
    </sheetView>
  </sheetViews>
  <sheetFormatPr baseColWidth="10" defaultRowHeight="16" x14ac:dyDescent="0.2"/>
  <cols>
    <col min="1" max="1" width="31.5" bestFit="1" customWidth="1"/>
    <col min="2" max="2" width="15.5" bestFit="1" customWidth="1"/>
    <col min="3" max="3" width="7.33203125" bestFit="1" customWidth="1"/>
    <col min="4" max="4" width="14.83203125" bestFit="1" customWidth="1"/>
    <col min="5" max="5" width="12.6640625" bestFit="1" customWidth="1"/>
    <col min="6" max="6" width="7.33203125" bestFit="1" customWidth="1"/>
    <col min="7" max="7" width="15.1640625" bestFit="1" customWidth="1"/>
    <col min="8" max="8" width="13.1640625" bestFit="1" customWidth="1"/>
    <col min="9" max="9" width="7.33203125" bestFit="1" customWidth="1"/>
    <col min="10" max="10" width="15.6640625" bestFit="1" customWidth="1"/>
    <col min="11" max="11" width="10.6640625" bestFit="1" customWidth="1"/>
    <col min="12" max="12" width="7.33203125" bestFit="1" customWidth="1"/>
    <col min="13" max="13" width="13.1640625" bestFit="1" customWidth="1"/>
    <col min="14" max="14" width="12.1640625" bestFit="1" customWidth="1"/>
    <col min="15" max="15" width="7.33203125" bestFit="1" customWidth="1"/>
    <col min="16" max="16" width="14.6640625" bestFit="1" customWidth="1"/>
    <col min="17" max="17" width="11.1640625" bestFit="1" customWidth="1"/>
    <col min="18" max="18" width="7.33203125" bestFit="1" customWidth="1"/>
    <col min="19" max="19" width="13.6640625" bestFit="1" customWidth="1"/>
    <col min="20" max="20" width="10.83203125" bestFit="1" customWidth="1"/>
    <col min="21" max="21" width="12" bestFit="1" customWidth="1"/>
    <col min="22" max="22" width="15.6640625" bestFit="1" customWidth="1"/>
    <col min="23" max="23" width="10.6640625" bestFit="1" customWidth="1"/>
    <col min="24" max="24" width="3.1640625" bestFit="1" customWidth="1"/>
    <col min="25" max="25" width="9.33203125" bestFit="1" customWidth="1"/>
    <col min="26" max="26" width="9.5" bestFit="1" customWidth="1"/>
    <col min="27" max="27" width="3.1640625" bestFit="1" customWidth="1"/>
    <col min="28" max="28" width="12" bestFit="1" customWidth="1"/>
    <col min="29" max="29" width="13.1640625" bestFit="1" customWidth="1"/>
    <col min="30" max="30" width="12.1640625" bestFit="1" customWidth="1"/>
    <col min="31" max="31" width="3.1640625" bestFit="1" customWidth="1"/>
    <col min="32" max="32" width="9.33203125" bestFit="1" customWidth="1"/>
    <col min="33" max="33" width="9.5" bestFit="1" customWidth="1"/>
    <col min="34" max="34" width="3.1640625" bestFit="1" customWidth="1"/>
    <col min="35" max="35" width="12" bestFit="1" customWidth="1"/>
    <col min="36" max="36" width="14.6640625" bestFit="1" customWidth="1"/>
    <col min="37" max="37" width="11.1640625" bestFit="1" customWidth="1"/>
    <col min="38" max="38" width="3.1640625" bestFit="1" customWidth="1"/>
    <col min="39" max="39" width="9.33203125" bestFit="1" customWidth="1"/>
    <col min="40" max="40" width="9.5" bestFit="1" customWidth="1"/>
    <col min="41" max="41" width="3.1640625" bestFit="1" customWidth="1"/>
    <col min="42" max="42" width="12" bestFit="1" customWidth="1"/>
    <col min="43" max="43" width="13.6640625" bestFit="1" customWidth="1"/>
  </cols>
  <sheetData>
    <row r="1" spans="1:20" x14ac:dyDescent="0.2">
      <c r="A1" s="1" t="s">
        <v>4</v>
      </c>
      <c r="B1" t="s">
        <v>41</v>
      </c>
    </row>
    <row r="2" spans="1:20" x14ac:dyDescent="0.2">
      <c r="A2" s="1" t="s">
        <v>19</v>
      </c>
      <c r="B2" t="s">
        <v>741</v>
      </c>
    </row>
    <row r="4" spans="1:20" x14ac:dyDescent="0.2">
      <c r="B4" s="1" t="s">
        <v>742</v>
      </c>
    </row>
    <row r="5" spans="1:20" x14ac:dyDescent="0.2">
      <c r="B5" t="s">
        <v>55</v>
      </c>
      <c r="D5" t="s">
        <v>758</v>
      </c>
      <c r="E5" t="s">
        <v>42</v>
      </c>
      <c r="G5" t="s">
        <v>759</v>
      </c>
      <c r="H5" t="s">
        <v>72</v>
      </c>
      <c r="J5" t="s">
        <v>760</v>
      </c>
      <c r="K5" t="s">
        <v>61</v>
      </c>
      <c r="M5" t="s">
        <v>761</v>
      </c>
      <c r="N5" t="s">
        <v>67</v>
      </c>
      <c r="P5" t="s">
        <v>762</v>
      </c>
      <c r="Q5" t="s">
        <v>49</v>
      </c>
      <c r="S5" t="s">
        <v>763</v>
      </c>
      <c r="T5" t="s">
        <v>740</v>
      </c>
    </row>
    <row r="6" spans="1:20" x14ac:dyDescent="0.2">
      <c r="A6" s="1" t="s">
        <v>743</v>
      </c>
      <c r="B6" t="s">
        <v>37</v>
      </c>
      <c r="C6" t="s">
        <v>442</v>
      </c>
      <c r="E6" t="s">
        <v>37</v>
      </c>
      <c r="F6" t="s">
        <v>442</v>
      </c>
      <c r="H6" t="s">
        <v>37</v>
      </c>
      <c r="I6" t="s">
        <v>442</v>
      </c>
      <c r="K6" t="s">
        <v>37</v>
      </c>
      <c r="L6" t="s">
        <v>442</v>
      </c>
      <c r="N6" t="s">
        <v>37</v>
      </c>
      <c r="O6" t="s">
        <v>442</v>
      </c>
      <c r="Q6" t="s">
        <v>37</v>
      </c>
      <c r="R6" t="s">
        <v>442</v>
      </c>
    </row>
    <row r="7" spans="1:20" x14ac:dyDescent="0.2">
      <c r="A7" s="2" t="s">
        <v>751</v>
      </c>
      <c r="B7" s="3">
        <v>9</v>
      </c>
      <c r="C7" s="3">
        <v>19</v>
      </c>
      <c r="D7" s="3">
        <v>28</v>
      </c>
      <c r="E7" s="3">
        <v>15</v>
      </c>
      <c r="F7" s="3">
        <v>15</v>
      </c>
      <c r="G7" s="3">
        <v>30</v>
      </c>
      <c r="H7" s="3">
        <v>9</v>
      </c>
      <c r="I7" s="3">
        <v>12</v>
      </c>
      <c r="J7" s="3">
        <v>21</v>
      </c>
      <c r="K7" s="3">
        <v>16</v>
      </c>
      <c r="L7" s="3">
        <v>19</v>
      </c>
      <c r="M7" s="3">
        <v>35</v>
      </c>
      <c r="N7" s="3">
        <v>13</v>
      </c>
      <c r="O7" s="3">
        <v>20</v>
      </c>
      <c r="P7" s="3">
        <v>33</v>
      </c>
      <c r="Q7" s="3">
        <v>14</v>
      </c>
      <c r="R7" s="3">
        <v>18</v>
      </c>
      <c r="S7" s="3">
        <v>32</v>
      </c>
      <c r="T7" s="3">
        <v>179</v>
      </c>
    </row>
    <row r="8" spans="1:20" x14ac:dyDescent="0.2">
      <c r="A8" s="2" t="s">
        <v>752</v>
      </c>
      <c r="B8" s="3">
        <v>39</v>
      </c>
      <c r="C8" s="3">
        <v>36</v>
      </c>
      <c r="D8" s="3">
        <v>75</v>
      </c>
      <c r="E8" s="3">
        <v>42</v>
      </c>
      <c r="F8" s="3">
        <v>46</v>
      </c>
      <c r="G8" s="3">
        <v>88</v>
      </c>
      <c r="H8" s="3">
        <v>19</v>
      </c>
      <c r="I8" s="3">
        <v>29</v>
      </c>
      <c r="J8" s="3">
        <v>48</v>
      </c>
      <c r="K8" s="3">
        <v>41</v>
      </c>
      <c r="L8" s="3">
        <v>38</v>
      </c>
      <c r="M8" s="3">
        <v>79</v>
      </c>
      <c r="N8" s="3">
        <v>41</v>
      </c>
      <c r="O8" s="3">
        <v>35</v>
      </c>
      <c r="P8" s="3">
        <v>76</v>
      </c>
      <c r="Q8" s="3">
        <v>34</v>
      </c>
      <c r="R8" s="3">
        <v>32</v>
      </c>
      <c r="S8" s="3">
        <v>66</v>
      </c>
      <c r="T8" s="3">
        <v>432</v>
      </c>
    </row>
    <row r="9" spans="1:20" x14ac:dyDescent="0.2">
      <c r="A9" s="2" t="s">
        <v>754</v>
      </c>
      <c r="B9" s="3">
        <v>30</v>
      </c>
      <c r="C9" s="3">
        <v>33</v>
      </c>
      <c r="D9" s="3">
        <v>63</v>
      </c>
      <c r="E9" s="3">
        <v>32</v>
      </c>
      <c r="F9" s="3">
        <v>39</v>
      </c>
      <c r="G9" s="3">
        <v>71</v>
      </c>
      <c r="H9" s="3">
        <v>16</v>
      </c>
      <c r="I9" s="3">
        <v>22</v>
      </c>
      <c r="J9" s="3">
        <v>38</v>
      </c>
      <c r="K9" s="3">
        <v>27</v>
      </c>
      <c r="L9" s="3">
        <v>26</v>
      </c>
      <c r="M9" s="3">
        <v>53</v>
      </c>
      <c r="N9" s="3">
        <v>26</v>
      </c>
      <c r="O9" s="3">
        <v>37</v>
      </c>
      <c r="P9" s="3">
        <v>63</v>
      </c>
      <c r="Q9" s="3">
        <v>31</v>
      </c>
      <c r="R9" s="3">
        <v>20</v>
      </c>
      <c r="S9" s="3">
        <v>51</v>
      </c>
      <c r="T9" s="3">
        <v>339</v>
      </c>
    </row>
    <row r="10" spans="1:20" x14ac:dyDescent="0.2">
      <c r="A10" s="2" t="s">
        <v>755</v>
      </c>
      <c r="B10" s="3">
        <v>12</v>
      </c>
      <c r="C10" s="3">
        <v>27</v>
      </c>
      <c r="D10" s="3">
        <v>39</v>
      </c>
      <c r="E10" s="3">
        <v>20</v>
      </c>
      <c r="F10" s="3">
        <v>17</v>
      </c>
      <c r="G10" s="3">
        <v>37</v>
      </c>
      <c r="H10" s="3">
        <v>16</v>
      </c>
      <c r="I10" s="3">
        <v>19</v>
      </c>
      <c r="J10" s="3">
        <v>35</v>
      </c>
      <c r="K10" s="3">
        <v>26</v>
      </c>
      <c r="L10" s="3">
        <v>23</v>
      </c>
      <c r="M10" s="3">
        <v>49</v>
      </c>
      <c r="N10" s="3">
        <v>17</v>
      </c>
      <c r="O10" s="3">
        <v>23</v>
      </c>
      <c r="P10" s="3">
        <v>40</v>
      </c>
      <c r="Q10" s="3">
        <v>17</v>
      </c>
      <c r="R10" s="3">
        <v>24</v>
      </c>
      <c r="S10" s="3">
        <v>41</v>
      </c>
      <c r="T10" s="3">
        <v>241</v>
      </c>
    </row>
    <row r="11" spans="1:20" x14ac:dyDescent="0.2">
      <c r="A11" s="2" t="s">
        <v>756</v>
      </c>
      <c r="B11" s="3">
        <v>0</v>
      </c>
      <c r="C11" s="3">
        <v>0</v>
      </c>
      <c r="D11" s="3">
        <v>0</v>
      </c>
      <c r="E11" s="3">
        <v>0</v>
      </c>
      <c r="F11" s="3">
        <v>0</v>
      </c>
      <c r="G11" s="3">
        <v>0</v>
      </c>
      <c r="H11" s="3">
        <v>0</v>
      </c>
      <c r="I11" s="3">
        <v>0</v>
      </c>
      <c r="J11" s="3">
        <v>0</v>
      </c>
      <c r="K11" s="3">
        <v>0</v>
      </c>
      <c r="L11" s="3">
        <v>0</v>
      </c>
      <c r="M11" s="3">
        <v>0</v>
      </c>
      <c r="N11" s="3">
        <v>0</v>
      </c>
      <c r="O11" s="3">
        <v>0</v>
      </c>
      <c r="P11" s="3">
        <v>0</v>
      </c>
      <c r="Q11" s="3">
        <v>0</v>
      </c>
      <c r="R11" s="3">
        <v>0</v>
      </c>
      <c r="S11" s="3">
        <v>0</v>
      </c>
      <c r="T11" s="3">
        <v>0</v>
      </c>
    </row>
    <row r="12" spans="1:20" x14ac:dyDescent="0.2">
      <c r="A12" s="2" t="s">
        <v>757</v>
      </c>
      <c r="B12" s="3">
        <v>30</v>
      </c>
      <c r="C12" s="3">
        <v>18</v>
      </c>
      <c r="D12" s="3">
        <v>48</v>
      </c>
      <c r="E12" s="3">
        <v>24</v>
      </c>
      <c r="F12" s="3">
        <v>14</v>
      </c>
      <c r="G12" s="3">
        <v>38</v>
      </c>
      <c r="H12" s="3">
        <v>51</v>
      </c>
      <c r="I12" s="3">
        <v>39</v>
      </c>
      <c r="J12" s="3">
        <v>90</v>
      </c>
      <c r="K12" s="3">
        <v>24</v>
      </c>
      <c r="L12" s="3">
        <v>22</v>
      </c>
      <c r="M12" s="3">
        <v>46</v>
      </c>
      <c r="N12" s="3">
        <v>31</v>
      </c>
      <c r="O12" s="3">
        <v>15</v>
      </c>
      <c r="P12" s="3">
        <v>46</v>
      </c>
      <c r="Q12" s="3">
        <v>31</v>
      </c>
      <c r="R12" s="3">
        <v>18</v>
      </c>
      <c r="S12" s="3">
        <v>49</v>
      </c>
      <c r="T12" s="3">
        <v>317</v>
      </c>
    </row>
    <row r="13" spans="1:20" x14ac:dyDescent="0.2">
      <c r="A13" s="2" t="s">
        <v>750</v>
      </c>
      <c r="B13" s="3">
        <v>99</v>
      </c>
      <c r="C13" s="3">
        <v>98</v>
      </c>
      <c r="D13" s="3">
        <v>197</v>
      </c>
      <c r="E13" s="3">
        <v>99</v>
      </c>
      <c r="F13" s="3">
        <v>98</v>
      </c>
      <c r="G13" s="3">
        <v>197</v>
      </c>
      <c r="H13" s="3">
        <v>99</v>
      </c>
      <c r="I13" s="3">
        <v>98</v>
      </c>
      <c r="J13" s="3">
        <v>197</v>
      </c>
      <c r="K13" s="3">
        <v>99</v>
      </c>
      <c r="L13" s="3">
        <v>98</v>
      </c>
      <c r="M13" s="3">
        <v>197</v>
      </c>
      <c r="N13" s="3">
        <v>99</v>
      </c>
      <c r="O13" s="3">
        <v>98</v>
      </c>
      <c r="P13" s="3">
        <v>197</v>
      </c>
      <c r="Q13" s="3">
        <v>99</v>
      </c>
      <c r="R13" s="3">
        <v>98</v>
      </c>
      <c r="S13" s="3">
        <v>197</v>
      </c>
      <c r="T13" s="3">
        <v>1182</v>
      </c>
    </row>
    <row r="14" spans="1:20" x14ac:dyDescent="0.2">
      <c r="A14" s="2" t="s">
        <v>749</v>
      </c>
      <c r="B14" s="3">
        <v>0</v>
      </c>
      <c r="C14" s="3">
        <v>0</v>
      </c>
      <c r="D14" s="3">
        <v>0</v>
      </c>
      <c r="E14" s="3">
        <v>0</v>
      </c>
      <c r="F14" s="3">
        <v>0</v>
      </c>
      <c r="G14" s="3">
        <v>0</v>
      </c>
      <c r="H14" s="3">
        <v>0</v>
      </c>
      <c r="I14" s="3">
        <v>0</v>
      </c>
      <c r="J14" s="3">
        <v>0</v>
      </c>
      <c r="K14" s="3">
        <v>0</v>
      </c>
      <c r="L14" s="3">
        <v>0</v>
      </c>
      <c r="M14" s="3">
        <v>0</v>
      </c>
      <c r="N14" s="3">
        <v>0</v>
      </c>
      <c r="O14" s="3">
        <v>0</v>
      </c>
      <c r="P14" s="3">
        <v>0</v>
      </c>
      <c r="Q14" s="3">
        <v>0</v>
      </c>
      <c r="R14" s="3">
        <v>0</v>
      </c>
      <c r="S14" s="3">
        <v>0</v>
      </c>
      <c r="T14" s="3">
        <v>0</v>
      </c>
    </row>
    <row r="15" spans="1:20" x14ac:dyDescent="0.2">
      <c r="A15" s="2" t="s">
        <v>745</v>
      </c>
      <c r="B15" s="3">
        <v>58</v>
      </c>
      <c r="C15" s="3">
        <v>54</v>
      </c>
      <c r="D15" s="3">
        <v>112</v>
      </c>
      <c r="E15" s="3">
        <v>56</v>
      </c>
      <c r="F15" s="3">
        <v>66</v>
      </c>
      <c r="G15" s="3">
        <v>122</v>
      </c>
      <c r="H15" s="3">
        <v>46</v>
      </c>
      <c r="I15" s="3">
        <v>63</v>
      </c>
      <c r="J15" s="3">
        <v>109</v>
      </c>
      <c r="K15" s="3">
        <v>61</v>
      </c>
      <c r="L15" s="3">
        <v>62</v>
      </c>
      <c r="M15" s="3">
        <v>123</v>
      </c>
      <c r="N15" s="3">
        <v>66</v>
      </c>
      <c r="O15" s="3">
        <v>58</v>
      </c>
      <c r="P15" s="3">
        <v>124</v>
      </c>
      <c r="Q15" s="3">
        <v>53</v>
      </c>
      <c r="R15" s="3">
        <v>52</v>
      </c>
      <c r="S15" s="3">
        <v>105</v>
      </c>
      <c r="T15" s="3">
        <v>695</v>
      </c>
    </row>
    <row r="16" spans="1:20" x14ac:dyDescent="0.2">
      <c r="A16" s="2" t="s">
        <v>748</v>
      </c>
      <c r="B16" s="3">
        <v>57</v>
      </c>
      <c r="C16" s="3">
        <v>53</v>
      </c>
      <c r="D16" s="3">
        <v>110</v>
      </c>
      <c r="E16" s="3">
        <v>61</v>
      </c>
      <c r="F16" s="3">
        <v>58</v>
      </c>
      <c r="G16" s="3">
        <v>119</v>
      </c>
      <c r="H16" s="3">
        <v>66</v>
      </c>
      <c r="I16" s="3">
        <v>63</v>
      </c>
      <c r="J16" s="3">
        <v>129</v>
      </c>
      <c r="K16" s="3">
        <v>63</v>
      </c>
      <c r="L16" s="3">
        <v>61</v>
      </c>
      <c r="M16" s="3">
        <v>124</v>
      </c>
      <c r="N16" s="3">
        <v>52</v>
      </c>
      <c r="O16" s="3">
        <v>57</v>
      </c>
      <c r="P16" s="3">
        <v>109</v>
      </c>
      <c r="Q16" s="3">
        <v>55</v>
      </c>
      <c r="R16" s="3">
        <v>63</v>
      </c>
      <c r="S16" s="3">
        <v>118</v>
      </c>
      <c r="T16" s="3">
        <v>709</v>
      </c>
    </row>
    <row r="17" spans="1:20" x14ac:dyDescent="0.2">
      <c r="A17" s="2" t="s">
        <v>747</v>
      </c>
      <c r="B17" s="3">
        <v>53</v>
      </c>
      <c r="C17" s="3">
        <v>57</v>
      </c>
      <c r="D17" s="3">
        <v>110</v>
      </c>
      <c r="E17" s="3">
        <v>56</v>
      </c>
      <c r="F17" s="3">
        <v>52</v>
      </c>
      <c r="G17" s="3">
        <v>108</v>
      </c>
      <c r="H17" s="3">
        <v>59</v>
      </c>
      <c r="I17" s="3">
        <v>55</v>
      </c>
      <c r="J17" s="3">
        <v>114</v>
      </c>
      <c r="K17" s="3">
        <v>48</v>
      </c>
      <c r="L17" s="3">
        <v>53</v>
      </c>
      <c r="M17" s="3">
        <v>101</v>
      </c>
      <c r="N17" s="3">
        <v>58</v>
      </c>
      <c r="O17" s="3">
        <v>60</v>
      </c>
      <c r="P17" s="3">
        <v>118</v>
      </c>
      <c r="Q17" s="3">
        <v>64</v>
      </c>
      <c r="R17" s="3">
        <v>45</v>
      </c>
      <c r="S17" s="3">
        <v>109</v>
      </c>
      <c r="T17" s="3">
        <v>660</v>
      </c>
    </row>
    <row r="18" spans="1:20" x14ac:dyDescent="0.2">
      <c r="A18" s="2" t="s">
        <v>744</v>
      </c>
      <c r="B18" s="3">
        <v>27</v>
      </c>
      <c r="C18" s="3">
        <v>35</v>
      </c>
      <c r="D18" s="3">
        <v>62</v>
      </c>
      <c r="E18" s="3">
        <v>28</v>
      </c>
      <c r="F18" s="3">
        <v>27</v>
      </c>
      <c r="G18" s="3">
        <v>55</v>
      </c>
      <c r="H18" s="3">
        <v>24</v>
      </c>
      <c r="I18" s="3">
        <v>33</v>
      </c>
      <c r="J18" s="3">
        <v>57</v>
      </c>
      <c r="K18" s="3">
        <v>35</v>
      </c>
      <c r="L18" s="3">
        <v>33</v>
      </c>
      <c r="M18" s="3">
        <v>68</v>
      </c>
      <c r="N18" s="3">
        <v>31</v>
      </c>
      <c r="O18" s="3">
        <v>31</v>
      </c>
      <c r="P18" s="3">
        <v>62</v>
      </c>
      <c r="Q18" s="3">
        <v>29</v>
      </c>
      <c r="R18" s="3">
        <v>33</v>
      </c>
      <c r="S18" s="3">
        <v>62</v>
      </c>
      <c r="T18" s="3">
        <v>366</v>
      </c>
    </row>
    <row r="19" spans="1:20" x14ac:dyDescent="0.2">
      <c r="A19" s="2" t="s">
        <v>753</v>
      </c>
      <c r="B19" s="3">
        <v>16</v>
      </c>
      <c r="C19" s="3">
        <v>21</v>
      </c>
      <c r="D19" s="3">
        <v>37</v>
      </c>
      <c r="E19" s="3">
        <v>23</v>
      </c>
      <c r="F19" s="3">
        <v>26</v>
      </c>
      <c r="G19" s="3">
        <v>49</v>
      </c>
      <c r="H19" s="3">
        <v>17</v>
      </c>
      <c r="I19" s="3">
        <v>15</v>
      </c>
      <c r="J19" s="3">
        <v>32</v>
      </c>
      <c r="K19" s="3">
        <v>19</v>
      </c>
      <c r="L19" s="3">
        <v>18</v>
      </c>
      <c r="M19" s="3">
        <v>37</v>
      </c>
      <c r="N19" s="3">
        <v>17</v>
      </c>
      <c r="O19" s="3">
        <v>20</v>
      </c>
      <c r="P19" s="3">
        <v>37</v>
      </c>
      <c r="Q19" s="3">
        <v>12</v>
      </c>
      <c r="R19" s="3">
        <v>24</v>
      </c>
      <c r="S19" s="3">
        <v>36</v>
      </c>
      <c r="T19" s="3">
        <v>228</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V344"/>
  <sheetViews>
    <sheetView topLeftCell="J230" workbookViewId="0">
      <selection activeCell="E239" sqref="E239"/>
    </sheetView>
  </sheetViews>
  <sheetFormatPr baseColWidth="10" defaultRowHeight="16" x14ac:dyDescent="0.2"/>
  <cols>
    <col min="2" max="3" width="0" hidden="1" customWidth="1"/>
    <col min="6" max="8" width="0" hidden="1" customWidth="1"/>
    <col min="17" max="17" width="20.33203125" customWidth="1"/>
    <col min="18" max="18" width="19" customWidth="1"/>
  </cols>
  <sheetData>
    <row r="1" spans="1:22" x14ac:dyDescent="0.2">
      <c r="A1" t="s">
        <v>0</v>
      </c>
      <c r="B1" t="s">
        <v>1</v>
      </c>
      <c r="C1" t="s">
        <v>4</v>
      </c>
      <c r="D1" t="s">
        <v>5</v>
      </c>
      <c r="E1" t="s">
        <v>31</v>
      </c>
      <c r="F1" t="s">
        <v>14</v>
      </c>
      <c r="G1" t="s">
        <v>15</v>
      </c>
      <c r="H1" t="s">
        <v>16</v>
      </c>
      <c r="I1" t="s">
        <v>17</v>
      </c>
      <c r="J1" t="s">
        <v>18</v>
      </c>
      <c r="K1" t="s">
        <v>19</v>
      </c>
      <c r="L1" t="s">
        <v>20</v>
      </c>
      <c r="M1" t="s">
        <v>21</v>
      </c>
      <c r="N1" t="s">
        <v>22</v>
      </c>
      <c r="O1" t="s">
        <v>23</v>
      </c>
      <c r="P1" t="s">
        <v>24</v>
      </c>
      <c r="Q1" t="s">
        <v>25</v>
      </c>
      <c r="R1" t="s">
        <v>26</v>
      </c>
      <c r="S1" t="s">
        <v>27</v>
      </c>
      <c r="T1" t="s">
        <v>28</v>
      </c>
      <c r="U1" t="s">
        <v>29</v>
      </c>
      <c r="V1" t="s">
        <v>30</v>
      </c>
    </row>
    <row r="2" spans="1:22" x14ac:dyDescent="0.2">
      <c r="A2" t="s">
        <v>32</v>
      </c>
      <c r="B2" t="s">
        <v>33</v>
      </c>
      <c r="C2" t="s">
        <v>41</v>
      </c>
      <c r="D2" t="s">
        <v>61</v>
      </c>
      <c r="E2" t="s">
        <v>37</v>
      </c>
      <c r="F2" t="s">
        <v>65</v>
      </c>
      <c r="G2" t="s">
        <v>46</v>
      </c>
      <c r="H2" t="s">
        <v>48</v>
      </c>
      <c r="I2">
        <v>0</v>
      </c>
      <c r="J2">
        <v>1</v>
      </c>
      <c r="K2">
        <v>1</v>
      </c>
      <c r="L2">
        <v>0</v>
      </c>
      <c r="M2">
        <v>1</v>
      </c>
      <c r="N2">
        <v>0</v>
      </c>
      <c r="O2">
        <v>1</v>
      </c>
      <c r="P2">
        <v>0</v>
      </c>
      <c r="Q2">
        <v>0</v>
      </c>
      <c r="R2">
        <v>0</v>
      </c>
      <c r="S2">
        <v>0</v>
      </c>
      <c r="T2">
        <v>1</v>
      </c>
      <c r="U2">
        <v>0</v>
      </c>
      <c r="V2">
        <v>0</v>
      </c>
    </row>
    <row r="3" spans="1:22" x14ac:dyDescent="0.2">
      <c r="A3" t="s">
        <v>32</v>
      </c>
      <c r="B3" t="s">
        <v>33</v>
      </c>
      <c r="C3" t="s">
        <v>41</v>
      </c>
      <c r="D3" t="s">
        <v>67</v>
      </c>
      <c r="E3" t="s">
        <v>37</v>
      </c>
      <c r="F3" t="s">
        <v>65</v>
      </c>
      <c r="G3" t="s">
        <v>48</v>
      </c>
      <c r="H3" t="s">
        <v>47</v>
      </c>
      <c r="I3">
        <v>0</v>
      </c>
      <c r="J3">
        <v>1</v>
      </c>
      <c r="K3">
        <v>1</v>
      </c>
      <c r="L3">
        <v>1</v>
      </c>
      <c r="M3">
        <v>0</v>
      </c>
      <c r="N3">
        <v>0</v>
      </c>
      <c r="O3">
        <v>1</v>
      </c>
      <c r="P3">
        <v>0</v>
      </c>
      <c r="Q3">
        <v>1</v>
      </c>
      <c r="R3">
        <v>0</v>
      </c>
      <c r="S3">
        <v>0</v>
      </c>
      <c r="T3">
        <v>0</v>
      </c>
      <c r="U3">
        <v>0</v>
      </c>
      <c r="V3">
        <v>0</v>
      </c>
    </row>
    <row r="4" spans="1:22" x14ac:dyDescent="0.2">
      <c r="A4" t="s">
        <v>81</v>
      </c>
      <c r="B4" t="s">
        <v>33</v>
      </c>
      <c r="C4" t="s">
        <v>41</v>
      </c>
      <c r="D4" t="s">
        <v>42</v>
      </c>
      <c r="E4" t="s">
        <v>37</v>
      </c>
      <c r="F4" t="s">
        <v>48</v>
      </c>
      <c r="G4" t="s">
        <v>47</v>
      </c>
      <c r="H4" t="s">
        <v>65</v>
      </c>
      <c r="I4">
        <v>0</v>
      </c>
      <c r="J4">
        <v>1</v>
      </c>
      <c r="K4">
        <v>1</v>
      </c>
      <c r="L4">
        <v>1</v>
      </c>
      <c r="M4">
        <v>0</v>
      </c>
      <c r="N4">
        <v>0</v>
      </c>
      <c r="O4">
        <v>1</v>
      </c>
      <c r="P4">
        <v>0</v>
      </c>
      <c r="Q4">
        <v>1</v>
      </c>
      <c r="R4">
        <v>0</v>
      </c>
      <c r="S4">
        <v>1</v>
      </c>
      <c r="T4">
        <v>0</v>
      </c>
      <c r="U4">
        <v>0</v>
      </c>
      <c r="V4">
        <v>0</v>
      </c>
    </row>
    <row r="5" spans="1:22" x14ac:dyDescent="0.2">
      <c r="A5" t="s">
        <v>81</v>
      </c>
      <c r="B5" t="s">
        <v>33</v>
      </c>
      <c r="C5" t="s">
        <v>41</v>
      </c>
      <c r="D5" t="s">
        <v>61</v>
      </c>
      <c r="E5" t="s">
        <v>37</v>
      </c>
      <c r="F5" t="s">
        <v>47</v>
      </c>
      <c r="G5" t="s">
        <v>48</v>
      </c>
      <c r="H5" t="s">
        <v>65</v>
      </c>
      <c r="I5">
        <v>0</v>
      </c>
      <c r="J5">
        <v>1</v>
      </c>
      <c r="K5">
        <v>1</v>
      </c>
      <c r="L5">
        <v>1</v>
      </c>
      <c r="M5">
        <v>0</v>
      </c>
      <c r="N5">
        <v>0</v>
      </c>
      <c r="O5">
        <v>1</v>
      </c>
      <c r="P5">
        <v>0</v>
      </c>
      <c r="Q5">
        <v>1</v>
      </c>
      <c r="R5">
        <v>0</v>
      </c>
      <c r="S5">
        <v>1</v>
      </c>
      <c r="T5">
        <v>0</v>
      </c>
      <c r="U5">
        <v>0</v>
      </c>
      <c r="V5">
        <v>0</v>
      </c>
    </row>
    <row r="6" spans="1:22" x14ac:dyDescent="0.2">
      <c r="A6" t="s">
        <v>91</v>
      </c>
      <c r="B6" t="s">
        <v>92</v>
      </c>
      <c r="C6" t="s">
        <v>41</v>
      </c>
      <c r="D6" t="s">
        <v>55</v>
      </c>
      <c r="E6" t="s">
        <v>37</v>
      </c>
      <c r="F6" t="s">
        <v>47</v>
      </c>
      <c r="G6" t="s">
        <v>48</v>
      </c>
      <c r="H6" t="s">
        <v>65</v>
      </c>
      <c r="I6">
        <v>0</v>
      </c>
      <c r="J6">
        <v>1</v>
      </c>
      <c r="K6">
        <v>1</v>
      </c>
      <c r="L6">
        <v>1</v>
      </c>
      <c r="M6">
        <v>0</v>
      </c>
      <c r="N6">
        <v>0</v>
      </c>
      <c r="O6">
        <v>1</v>
      </c>
      <c r="P6">
        <v>0</v>
      </c>
      <c r="Q6">
        <v>0</v>
      </c>
      <c r="R6">
        <v>1</v>
      </c>
      <c r="S6">
        <v>0</v>
      </c>
      <c r="T6">
        <v>0</v>
      </c>
      <c r="U6">
        <v>0</v>
      </c>
      <c r="V6">
        <v>0</v>
      </c>
    </row>
    <row r="7" spans="1:22" x14ac:dyDescent="0.2">
      <c r="A7" t="s">
        <v>91</v>
      </c>
      <c r="B7" t="s">
        <v>92</v>
      </c>
      <c r="C7" t="s">
        <v>41</v>
      </c>
      <c r="D7" t="s">
        <v>67</v>
      </c>
      <c r="E7" t="s">
        <v>37</v>
      </c>
      <c r="F7" t="s">
        <v>65</v>
      </c>
      <c r="G7" t="s">
        <v>46</v>
      </c>
      <c r="H7" t="s">
        <v>48</v>
      </c>
      <c r="I7">
        <v>0</v>
      </c>
      <c r="J7">
        <v>1</v>
      </c>
      <c r="K7">
        <v>1</v>
      </c>
      <c r="L7">
        <v>0</v>
      </c>
      <c r="M7">
        <v>1</v>
      </c>
      <c r="N7">
        <v>0</v>
      </c>
      <c r="O7">
        <v>1</v>
      </c>
      <c r="P7">
        <v>0</v>
      </c>
      <c r="Q7">
        <v>0</v>
      </c>
      <c r="R7">
        <v>0</v>
      </c>
      <c r="S7">
        <v>0</v>
      </c>
      <c r="T7">
        <v>1</v>
      </c>
      <c r="U7">
        <v>0</v>
      </c>
      <c r="V7">
        <v>0</v>
      </c>
    </row>
    <row r="8" spans="1:22" x14ac:dyDescent="0.2">
      <c r="A8" t="s">
        <v>101</v>
      </c>
      <c r="B8" t="s">
        <v>33</v>
      </c>
      <c r="C8" t="s">
        <v>41</v>
      </c>
      <c r="D8" t="s">
        <v>49</v>
      </c>
      <c r="E8" t="s">
        <v>37</v>
      </c>
      <c r="F8" t="s">
        <v>65</v>
      </c>
      <c r="G8" t="s">
        <v>48</v>
      </c>
      <c r="H8" t="s">
        <v>47</v>
      </c>
      <c r="I8">
        <v>0</v>
      </c>
      <c r="J8">
        <v>1</v>
      </c>
      <c r="K8">
        <v>1</v>
      </c>
      <c r="L8">
        <v>1</v>
      </c>
      <c r="M8">
        <v>0</v>
      </c>
      <c r="N8">
        <v>0</v>
      </c>
      <c r="O8">
        <v>1</v>
      </c>
      <c r="P8">
        <v>0</v>
      </c>
      <c r="Q8">
        <v>0</v>
      </c>
      <c r="R8">
        <v>0</v>
      </c>
      <c r="S8">
        <v>1</v>
      </c>
      <c r="T8">
        <v>0</v>
      </c>
      <c r="U8">
        <v>0</v>
      </c>
      <c r="V8">
        <v>0</v>
      </c>
    </row>
    <row r="9" spans="1:22" x14ac:dyDescent="0.2">
      <c r="A9" t="s">
        <v>113</v>
      </c>
      <c r="B9" t="s">
        <v>108</v>
      </c>
      <c r="C9" t="s">
        <v>41</v>
      </c>
      <c r="D9" t="s">
        <v>55</v>
      </c>
      <c r="E9" t="s">
        <v>37</v>
      </c>
      <c r="F9" t="s">
        <v>65</v>
      </c>
      <c r="G9" t="s">
        <v>48</v>
      </c>
      <c r="H9" t="s">
        <v>46</v>
      </c>
      <c r="I9">
        <v>0</v>
      </c>
      <c r="J9">
        <v>1</v>
      </c>
      <c r="K9">
        <v>1</v>
      </c>
      <c r="L9">
        <v>0</v>
      </c>
      <c r="M9">
        <v>1</v>
      </c>
      <c r="N9">
        <v>0</v>
      </c>
      <c r="O9">
        <v>1</v>
      </c>
      <c r="P9">
        <v>0</v>
      </c>
      <c r="Q9">
        <v>0</v>
      </c>
      <c r="R9">
        <v>0</v>
      </c>
      <c r="S9">
        <v>0</v>
      </c>
      <c r="T9">
        <v>0</v>
      </c>
      <c r="U9">
        <v>0</v>
      </c>
      <c r="V9">
        <v>1</v>
      </c>
    </row>
    <row r="10" spans="1:22" x14ac:dyDescent="0.2">
      <c r="A10" t="s">
        <v>113</v>
      </c>
      <c r="B10" t="s">
        <v>108</v>
      </c>
      <c r="C10" t="s">
        <v>41</v>
      </c>
      <c r="D10" t="s">
        <v>72</v>
      </c>
      <c r="E10" t="s">
        <v>37</v>
      </c>
      <c r="F10" t="s">
        <v>48</v>
      </c>
      <c r="G10" t="s">
        <v>47</v>
      </c>
      <c r="H10" t="s">
        <v>65</v>
      </c>
      <c r="I10">
        <v>0</v>
      </c>
      <c r="J10">
        <v>1</v>
      </c>
      <c r="K10">
        <v>1</v>
      </c>
      <c r="L10">
        <v>1</v>
      </c>
      <c r="M10">
        <v>0</v>
      </c>
      <c r="N10">
        <v>0</v>
      </c>
      <c r="O10">
        <v>1</v>
      </c>
      <c r="P10">
        <v>0</v>
      </c>
      <c r="Q10">
        <v>0</v>
      </c>
      <c r="R10">
        <v>0</v>
      </c>
      <c r="S10">
        <v>0</v>
      </c>
      <c r="T10">
        <v>0</v>
      </c>
      <c r="U10">
        <v>0</v>
      </c>
      <c r="V10">
        <v>1</v>
      </c>
    </row>
    <row r="11" spans="1:22" x14ac:dyDescent="0.2">
      <c r="A11" t="s">
        <v>113</v>
      </c>
      <c r="B11" t="s">
        <v>108</v>
      </c>
      <c r="C11" t="s">
        <v>41</v>
      </c>
      <c r="D11" t="s">
        <v>42</v>
      </c>
      <c r="E11" t="s">
        <v>37</v>
      </c>
      <c r="F11" t="s">
        <v>48</v>
      </c>
      <c r="G11" t="s">
        <v>65</v>
      </c>
      <c r="H11" t="s">
        <v>60</v>
      </c>
      <c r="I11">
        <v>1</v>
      </c>
      <c r="J11">
        <v>1</v>
      </c>
      <c r="K11">
        <v>1</v>
      </c>
      <c r="L11">
        <v>0</v>
      </c>
      <c r="M11">
        <v>0</v>
      </c>
      <c r="N11">
        <v>0</v>
      </c>
      <c r="O11">
        <v>1</v>
      </c>
      <c r="P11">
        <v>0</v>
      </c>
      <c r="Q11">
        <v>0</v>
      </c>
      <c r="R11">
        <v>0</v>
      </c>
      <c r="S11">
        <v>0</v>
      </c>
      <c r="T11">
        <v>0</v>
      </c>
      <c r="U11">
        <v>0</v>
      </c>
      <c r="V11">
        <v>1</v>
      </c>
    </row>
    <row r="12" spans="1:22" x14ac:dyDescent="0.2">
      <c r="A12" t="s">
        <v>120</v>
      </c>
      <c r="B12" t="s">
        <v>108</v>
      </c>
      <c r="C12" t="s">
        <v>41</v>
      </c>
      <c r="D12" t="s">
        <v>72</v>
      </c>
      <c r="E12" t="s">
        <v>37</v>
      </c>
      <c r="F12" t="s">
        <v>48</v>
      </c>
      <c r="G12" t="s">
        <v>59</v>
      </c>
      <c r="H12" t="s">
        <v>65</v>
      </c>
      <c r="I12">
        <v>0</v>
      </c>
      <c r="J12">
        <v>1</v>
      </c>
      <c r="K12">
        <v>1</v>
      </c>
      <c r="L12">
        <v>0</v>
      </c>
      <c r="M12">
        <v>0</v>
      </c>
      <c r="N12">
        <v>0</v>
      </c>
      <c r="O12">
        <v>1</v>
      </c>
      <c r="P12">
        <v>0</v>
      </c>
      <c r="Q12">
        <v>0</v>
      </c>
      <c r="R12">
        <v>0</v>
      </c>
      <c r="S12">
        <v>0</v>
      </c>
      <c r="T12">
        <v>0</v>
      </c>
      <c r="U12">
        <v>0</v>
      </c>
      <c r="V12">
        <v>1</v>
      </c>
    </row>
    <row r="13" spans="1:22" x14ac:dyDescent="0.2">
      <c r="A13" t="s">
        <v>120</v>
      </c>
      <c r="B13" t="s">
        <v>108</v>
      </c>
      <c r="C13" t="s">
        <v>41</v>
      </c>
      <c r="D13" t="s">
        <v>67</v>
      </c>
      <c r="E13" t="s">
        <v>37</v>
      </c>
      <c r="F13" t="s">
        <v>46</v>
      </c>
      <c r="G13" t="s">
        <v>48</v>
      </c>
      <c r="H13" t="s">
        <v>65</v>
      </c>
      <c r="I13">
        <v>0</v>
      </c>
      <c r="J13">
        <v>1</v>
      </c>
      <c r="K13">
        <v>1</v>
      </c>
      <c r="L13">
        <v>0</v>
      </c>
      <c r="M13">
        <v>1</v>
      </c>
      <c r="N13">
        <v>0</v>
      </c>
      <c r="O13">
        <v>1</v>
      </c>
      <c r="P13">
        <v>0</v>
      </c>
      <c r="Q13">
        <v>0</v>
      </c>
      <c r="R13">
        <v>0</v>
      </c>
      <c r="S13">
        <v>0</v>
      </c>
      <c r="T13">
        <v>0</v>
      </c>
      <c r="U13">
        <v>0</v>
      </c>
      <c r="V13">
        <v>1</v>
      </c>
    </row>
    <row r="14" spans="1:22" x14ac:dyDescent="0.2">
      <c r="A14" t="s">
        <v>120</v>
      </c>
      <c r="B14" t="s">
        <v>108</v>
      </c>
      <c r="C14" t="s">
        <v>41</v>
      </c>
      <c r="D14" t="s">
        <v>61</v>
      </c>
      <c r="E14" t="s">
        <v>37</v>
      </c>
      <c r="F14" t="s">
        <v>46</v>
      </c>
      <c r="G14" t="s">
        <v>65</v>
      </c>
      <c r="H14" t="s">
        <v>48</v>
      </c>
      <c r="I14">
        <v>0</v>
      </c>
      <c r="J14">
        <v>1</v>
      </c>
      <c r="K14">
        <v>1</v>
      </c>
      <c r="L14">
        <v>0</v>
      </c>
      <c r="M14">
        <v>1</v>
      </c>
      <c r="N14">
        <v>0</v>
      </c>
      <c r="O14">
        <v>1</v>
      </c>
      <c r="P14">
        <v>0</v>
      </c>
      <c r="Q14">
        <v>0</v>
      </c>
      <c r="R14">
        <v>0</v>
      </c>
      <c r="S14">
        <v>0</v>
      </c>
      <c r="T14">
        <v>0</v>
      </c>
      <c r="U14">
        <v>0</v>
      </c>
      <c r="V14">
        <v>1</v>
      </c>
    </row>
    <row r="15" spans="1:22" x14ac:dyDescent="0.2">
      <c r="A15" t="s">
        <v>124</v>
      </c>
      <c r="B15" t="s">
        <v>33</v>
      </c>
      <c r="C15" t="s">
        <v>41</v>
      </c>
      <c r="D15" t="s">
        <v>42</v>
      </c>
      <c r="E15" t="s">
        <v>37</v>
      </c>
      <c r="F15" t="s">
        <v>48</v>
      </c>
      <c r="G15" t="s">
        <v>46</v>
      </c>
      <c r="H15" t="s">
        <v>65</v>
      </c>
      <c r="I15">
        <v>0</v>
      </c>
      <c r="J15">
        <v>1</v>
      </c>
      <c r="K15">
        <v>1</v>
      </c>
      <c r="L15">
        <v>0</v>
      </c>
      <c r="M15">
        <v>1</v>
      </c>
      <c r="N15">
        <v>0</v>
      </c>
      <c r="O15">
        <v>1</v>
      </c>
      <c r="P15">
        <v>0</v>
      </c>
      <c r="Q15">
        <v>1</v>
      </c>
      <c r="R15">
        <v>0</v>
      </c>
      <c r="S15">
        <v>0</v>
      </c>
      <c r="T15">
        <v>0</v>
      </c>
      <c r="U15">
        <v>0</v>
      </c>
      <c r="V15">
        <v>0</v>
      </c>
    </row>
    <row r="16" spans="1:22" x14ac:dyDescent="0.2">
      <c r="A16" t="s">
        <v>133</v>
      </c>
      <c r="B16" t="s">
        <v>108</v>
      </c>
      <c r="C16" t="s">
        <v>41</v>
      </c>
      <c r="D16" t="s">
        <v>42</v>
      </c>
      <c r="E16" t="s">
        <v>37</v>
      </c>
      <c r="F16" t="s">
        <v>48</v>
      </c>
      <c r="G16" t="s">
        <v>65</v>
      </c>
      <c r="H16" t="s">
        <v>60</v>
      </c>
      <c r="I16">
        <v>1</v>
      </c>
      <c r="J16">
        <v>1</v>
      </c>
      <c r="K16">
        <v>1</v>
      </c>
      <c r="L16">
        <v>0</v>
      </c>
      <c r="M16">
        <v>0</v>
      </c>
      <c r="N16">
        <v>0</v>
      </c>
      <c r="O16">
        <v>1</v>
      </c>
      <c r="P16">
        <v>1</v>
      </c>
      <c r="Q16">
        <v>1</v>
      </c>
      <c r="R16">
        <v>1</v>
      </c>
      <c r="S16">
        <v>0</v>
      </c>
      <c r="T16">
        <v>0</v>
      </c>
      <c r="U16">
        <v>0</v>
      </c>
      <c r="V16">
        <v>0</v>
      </c>
    </row>
    <row r="17" spans="1:22" x14ac:dyDescent="0.2">
      <c r="A17" t="s">
        <v>133</v>
      </c>
      <c r="B17" t="s">
        <v>108</v>
      </c>
      <c r="C17" t="s">
        <v>41</v>
      </c>
      <c r="D17" t="s">
        <v>67</v>
      </c>
      <c r="E17" t="s">
        <v>37</v>
      </c>
      <c r="F17" t="s">
        <v>48</v>
      </c>
      <c r="G17" t="s">
        <v>47</v>
      </c>
      <c r="H17" t="s">
        <v>65</v>
      </c>
      <c r="I17">
        <v>0</v>
      </c>
      <c r="J17">
        <v>1</v>
      </c>
      <c r="K17">
        <v>1</v>
      </c>
      <c r="L17">
        <v>1</v>
      </c>
      <c r="M17">
        <v>0</v>
      </c>
      <c r="N17">
        <v>0</v>
      </c>
      <c r="O17">
        <v>1</v>
      </c>
      <c r="P17">
        <v>0</v>
      </c>
      <c r="Q17">
        <v>1</v>
      </c>
      <c r="R17">
        <v>0</v>
      </c>
      <c r="S17">
        <v>0</v>
      </c>
      <c r="T17">
        <v>0</v>
      </c>
      <c r="U17">
        <v>0</v>
      </c>
      <c r="V17">
        <v>0</v>
      </c>
    </row>
    <row r="18" spans="1:22" x14ac:dyDescent="0.2">
      <c r="A18" t="s">
        <v>137</v>
      </c>
      <c r="B18" t="s">
        <v>108</v>
      </c>
      <c r="C18" t="s">
        <v>41</v>
      </c>
      <c r="D18" t="s">
        <v>49</v>
      </c>
      <c r="E18" t="s">
        <v>37</v>
      </c>
      <c r="F18" t="s">
        <v>65</v>
      </c>
      <c r="G18" t="s">
        <v>48</v>
      </c>
      <c r="H18" t="s">
        <v>47</v>
      </c>
      <c r="I18">
        <v>0</v>
      </c>
      <c r="J18">
        <v>1</v>
      </c>
      <c r="K18">
        <v>1</v>
      </c>
      <c r="L18">
        <v>1</v>
      </c>
      <c r="M18">
        <v>0</v>
      </c>
      <c r="N18">
        <v>0</v>
      </c>
      <c r="O18">
        <v>1</v>
      </c>
      <c r="P18">
        <v>0</v>
      </c>
      <c r="Q18">
        <v>1</v>
      </c>
      <c r="R18">
        <v>0</v>
      </c>
      <c r="S18">
        <v>0</v>
      </c>
      <c r="T18">
        <v>0</v>
      </c>
      <c r="U18">
        <v>0</v>
      </c>
      <c r="V18">
        <v>0</v>
      </c>
    </row>
    <row r="19" spans="1:22" x14ac:dyDescent="0.2">
      <c r="A19" t="s">
        <v>137</v>
      </c>
      <c r="B19" t="s">
        <v>108</v>
      </c>
      <c r="C19" t="s">
        <v>41</v>
      </c>
      <c r="D19" t="s">
        <v>72</v>
      </c>
      <c r="E19" t="s">
        <v>37</v>
      </c>
      <c r="F19" t="s">
        <v>47</v>
      </c>
      <c r="G19" t="s">
        <v>48</v>
      </c>
      <c r="H19" t="s">
        <v>65</v>
      </c>
      <c r="I19">
        <v>0</v>
      </c>
      <c r="J19">
        <v>1</v>
      </c>
      <c r="K19">
        <v>1</v>
      </c>
      <c r="L19">
        <v>1</v>
      </c>
      <c r="M19">
        <v>0</v>
      </c>
      <c r="N19">
        <v>0</v>
      </c>
      <c r="O19">
        <v>1</v>
      </c>
      <c r="P19">
        <v>0</v>
      </c>
      <c r="Q19">
        <v>0</v>
      </c>
      <c r="R19">
        <v>0</v>
      </c>
      <c r="S19">
        <v>0</v>
      </c>
      <c r="T19">
        <v>0</v>
      </c>
      <c r="U19">
        <v>0</v>
      </c>
      <c r="V19">
        <v>1</v>
      </c>
    </row>
    <row r="20" spans="1:22" x14ac:dyDescent="0.2">
      <c r="A20" t="s">
        <v>141</v>
      </c>
      <c r="B20" t="s">
        <v>108</v>
      </c>
      <c r="C20" t="s">
        <v>41</v>
      </c>
      <c r="D20" t="s">
        <v>55</v>
      </c>
      <c r="E20" t="s">
        <v>37</v>
      </c>
      <c r="F20" t="s">
        <v>65</v>
      </c>
      <c r="G20" t="s">
        <v>46</v>
      </c>
      <c r="H20" t="s">
        <v>48</v>
      </c>
      <c r="I20">
        <v>0</v>
      </c>
      <c r="J20">
        <v>1</v>
      </c>
      <c r="K20">
        <v>1</v>
      </c>
      <c r="L20">
        <v>0</v>
      </c>
      <c r="M20">
        <v>1</v>
      </c>
      <c r="N20">
        <v>0</v>
      </c>
      <c r="O20">
        <v>1</v>
      </c>
      <c r="P20">
        <v>0</v>
      </c>
      <c r="Q20">
        <v>0</v>
      </c>
      <c r="R20">
        <v>0</v>
      </c>
      <c r="S20">
        <v>0</v>
      </c>
      <c r="T20">
        <v>0</v>
      </c>
      <c r="U20">
        <v>0</v>
      </c>
      <c r="V20">
        <v>1</v>
      </c>
    </row>
    <row r="21" spans="1:22" x14ac:dyDescent="0.2">
      <c r="A21" t="s">
        <v>143</v>
      </c>
      <c r="B21" t="s">
        <v>108</v>
      </c>
      <c r="C21" t="s">
        <v>41</v>
      </c>
      <c r="D21" t="s">
        <v>61</v>
      </c>
      <c r="E21" t="s">
        <v>37</v>
      </c>
      <c r="F21" t="s">
        <v>65</v>
      </c>
      <c r="G21" t="s">
        <v>48</v>
      </c>
      <c r="H21" t="s">
        <v>60</v>
      </c>
      <c r="I21">
        <v>1</v>
      </c>
      <c r="J21">
        <v>1</v>
      </c>
      <c r="K21">
        <v>1</v>
      </c>
      <c r="L21">
        <v>0</v>
      </c>
      <c r="M21">
        <v>0</v>
      </c>
      <c r="N21">
        <v>0</v>
      </c>
      <c r="O21">
        <v>1</v>
      </c>
      <c r="P21">
        <v>0</v>
      </c>
      <c r="Q21">
        <v>1</v>
      </c>
      <c r="R21">
        <v>0</v>
      </c>
      <c r="S21">
        <v>0</v>
      </c>
      <c r="T21">
        <v>0</v>
      </c>
      <c r="U21">
        <v>0</v>
      </c>
      <c r="V21">
        <v>0</v>
      </c>
    </row>
    <row r="22" spans="1:22" x14ac:dyDescent="0.2">
      <c r="A22" t="s">
        <v>147</v>
      </c>
      <c r="B22" t="s">
        <v>108</v>
      </c>
      <c r="C22" t="s">
        <v>41</v>
      </c>
      <c r="D22" t="s">
        <v>72</v>
      </c>
      <c r="E22" t="s">
        <v>37</v>
      </c>
      <c r="F22" t="s">
        <v>47</v>
      </c>
      <c r="G22" t="s">
        <v>65</v>
      </c>
      <c r="H22" t="s">
        <v>48</v>
      </c>
      <c r="I22">
        <v>0</v>
      </c>
      <c r="J22">
        <v>1</v>
      </c>
      <c r="K22">
        <v>1</v>
      </c>
      <c r="L22">
        <v>1</v>
      </c>
      <c r="M22">
        <v>0</v>
      </c>
      <c r="N22">
        <v>0</v>
      </c>
      <c r="O22">
        <v>1</v>
      </c>
      <c r="P22">
        <v>0</v>
      </c>
      <c r="Q22">
        <v>1</v>
      </c>
      <c r="R22">
        <v>0</v>
      </c>
      <c r="S22">
        <v>0</v>
      </c>
      <c r="T22">
        <v>0</v>
      </c>
      <c r="U22">
        <v>0</v>
      </c>
      <c r="V22">
        <v>0</v>
      </c>
    </row>
    <row r="23" spans="1:22" x14ac:dyDescent="0.2">
      <c r="A23" t="s">
        <v>151</v>
      </c>
      <c r="B23" t="s">
        <v>108</v>
      </c>
      <c r="C23" t="s">
        <v>41</v>
      </c>
      <c r="D23" t="s">
        <v>55</v>
      </c>
      <c r="E23" t="s">
        <v>37</v>
      </c>
      <c r="F23" t="s">
        <v>60</v>
      </c>
      <c r="G23" t="s">
        <v>65</v>
      </c>
      <c r="H23" t="s">
        <v>48</v>
      </c>
      <c r="I23">
        <v>1</v>
      </c>
      <c r="J23">
        <v>1</v>
      </c>
      <c r="K23">
        <v>1</v>
      </c>
      <c r="L23">
        <v>0</v>
      </c>
      <c r="M23">
        <v>0</v>
      </c>
      <c r="N23">
        <v>0</v>
      </c>
      <c r="O23">
        <v>1</v>
      </c>
      <c r="P23">
        <v>0</v>
      </c>
      <c r="Q23">
        <v>1</v>
      </c>
      <c r="R23">
        <v>0</v>
      </c>
      <c r="S23">
        <v>0</v>
      </c>
      <c r="T23">
        <v>0</v>
      </c>
      <c r="U23">
        <v>0</v>
      </c>
      <c r="V23">
        <v>0</v>
      </c>
    </row>
    <row r="24" spans="1:22" x14ac:dyDescent="0.2">
      <c r="A24" t="s">
        <v>155</v>
      </c>
      <c r="B24" t="s">
        <v>108</v>
      </c>
      <c r="C24" t="s">
        <v>41</v>
      </c>
      <c r="D24" t="s">
        <v>67</v>
      </c>
      <c r="E24" t="s">
        <v>37</v>
      </c>
      <c r="F24" t="s">
        <v>65</v>
      </c>
      <c r="G24" t="s">
        <v>48</v>
      </c>
      <c r="H24" t="s">
        <v>46</v>
      </c>
      <c r="I24">
        <v>0</v>
      </c>
      <c r="J24">
        <v>1</v>
      </c>
      <c r="K24">
        <v>1</v>
      </c>
      <c r="L24">
        <v>0</v>
      </c>
      <c r="M24">
        <v>1</v>
      </c>
      <c r="N24">
        <v>0</v>
      </c>
      <c r="O24">
        <v>1</v>
      </c>
      <c r="P24">
        <v>0</v>
      </c>
      <c r="Q24">
        <v>0</v>
      </c>
      <c r="R24">
        <v>0</v>
      </c>
      <c r="S24">
        <v>0</v>
      </c>
      <c r="T24">
        <v>0</v>
      </c>
      <c r="U24">
        <v>0</v>
      </c>
      <c r="V24">
        <v>1</v>
      </c>
    </row>
    <row r="25" spans="1:22" x14ac:dyDescent="0.2">
      <c r="A25" t="s">
        <v>155</v>
      </c>
      <c r="B25" t="s">
        <v>108</v>
      </c>
      <c r="C25" t="s">
        <v>41</v>
      </c>
      <c r="D25" t="s">
        <v>49</v>
      </c>
      <c r="E25" t="s">
        <v>37</v>
      </c>
      <c r="F25" t="s">
        <v>65</v>
      </c>
      <c r="G25" t="s">
        <v>48</v>
      </c>
      <c r="H25" t="s">
        <v>60</v>
      </c>
      <c r="I25">
        <v>1</v>
      </c>
      <c r="J25">
        <v>1</v>
      </c>
      <c r="K25">
        <v>1</v>
      </c>
      <c r="L25">
        <v>0</v>
      </c>
      <c r="M25">
        <v>0</v>
      </c>
      <c r="N25">
        <v>0</v>
      </c>
      <c r="O25">
        <v>1</v>
      </c>
      <c r="P25">
        <v>0</v>
      </c>
      <c r="Q25">
        <v>0</v>
      </c>
      <c r="R25">
        <v>0</v>
      </c>
      <c r="S25">
        <v>0</v>
      </c>
      <c r="T25">
        <v>0</v>
      </c>
      <c r="U25">
        <v>0</v>
      </c>
      <c r="V25">
        <v>1</v>
      </c>
    </row>
    <row r="26" spans="1:22" x14ac:dyDescent="0.2">
      <c r="A26" t="s">
        <v>159</v>
      </c>
      <c r="B26" t="s">
        <v>108</v>
      </c>
      <c r="C26" t="s">
        <v>41</v>
      </c>
      <c r="D26" t="s">
        <v>55</v>
      </c>
      <c r="E26" t="s">
        <v>37</v>
      </c>
      <c r="F26" t="s">
        <v>47</v>
      </c>
      <c r="G26" t="s">
        <v>48</v>
      </c>
      <c r="H26" t="s">
        <v>65</v>
      </c>
      <c r="I26">
        <v>0</v>
      </c>
      <c r="J26">
        <v>1</v>
      </c>
      <c r="K26">
        <v>1</v>
      </c>
      <c r="L26">
        <v>1</v>
      </c>
      <c r="M26">
        <v>0</v>
      </c>
      <c r="N26">
        <v>0</v>
      </c>
      <c r="O26">
        <v>1</v>
      </c>
      <c r="P26">
        <v>0</v>
      </c>
      <c r="Q26">
        <v>1</v>
      </c>
      <c r="R26">
        <v>1</v>
      </c>
      <c r="S26">
        <v>1</v>
      </c>
      <c r="T26">
        <v>0</v>
      </c>
      <c r="U26">
        <v>0</v>
      </c>
      <c r="V26">
        <v>0</v>
      </c>
    </row>
    <row r="27" spans="1:22" x14ac:dyDescent="0.2">
      <c r="A27" t="s">
        <v>159</v>
      </c>
      <c r="B27" t="s">
        <v>108</v>
      </c>
      <c r="C27" t="s">
        <v>41</v>
      </c>
      <c r="D27" t="s">
        <v>67</v>
      </c>
      <c r="E27" t="s">
        <v>37</v>
      </c>
      <c r="F27" t="s">
        <v>47</v>
      </c>
      <c r="G27" t="s">
        <v>65</v>
      </c>
      <c r="H27" t="s">
        <v>48</v>
      </c>
      <c r="I27">
        <v>0</v>
      </c>
      <c r="J27">
        <v>1</v>
      </c>
      <c r="K27">
        <v>1</v>
      </c>
      <c r="L27">
        <v>1</v>
      </c>
      <c r="M27">
        <v>0</v>
      </c>
      <c r="N27">
        <v>0</v>
      </c>
      <c r="O27">
        <v>1</v>
      </c>
      <c r="P27">
        <v>0</v>
      </c>
      <c r="Q27">
        <v>1</v>
      </c>
      <c r="R27">
        <v>1</v>
      </c>
      <c r="S27">
        <v>1</v>
      </c>
      <c r="T27">
        <v>0</v>
      </c>
      <c r="U27">
        <v>0</v>
      </c>
      <c r="V27">
        <v>0</v>
      </c>
    </row>
    <row r="28" spans="1:22" x14ac:dyDescent="0.2">
      <c r="A28" t="s">
        <v>167</v>
      </c>
      <c r="B28" t="s">
        <v>33</v>
      </c>
      <c r="C28" t="s">
        <v>41</v>
      </c>
      <c r="D28" t="s">
        <v>67</v>
      </c>
      <c r="E28" t="s">
        <v>37</v>
      </c>
      <c r="F28" t="s">
        <v>48</v>
      </c>
      <c r="G28" t="s">
        <v>60</v>
      </c>
      <c r="H28" t="s">
        <v>65</v>
      </c>
      <c r="I28">
        <v>1</v>
      </c>
      <c r="J28">
        <v>1</v>
      </c>
      <c r="K28">
        <v>1</v>
      </c>
      <c r="L28">
        <v>0</v>
      </c>
      <c r="M28">
        <v>0</v>
      </c>
      <c r="N28">
        <v>0</v>
      </c>
      <c r="O28">
        <v>1</v>
      </c>
      <c r="P28">
        <v>0</v>
      </c>
      <c r="Q28">
        <v>0</v>
      </c>
      <c r="R28">
        <v>0</v>
      </c>
      <c r="S28">
        <v>0</v>
      </c>
      <c r="T28">
        <v>0</v>
      </c>
      <c r="U28">
        <v>0</v>
      </c>
      <c r="V28">
        <v>1</v>
      </c>
    </row>
    <row r="29" spans="1:22" x14ac:dyDescent="0.2">
      <c r="A29" t="s">
        <v>170</v>
      </c>
      <c r="B29" t="s">
        <v>108</v>
      </c>
      <c r="C29" t="s">
        <v>41</v>
      </c>
      <c r="D29" t="s">
        <v>49</v>
      </c>
      <c r="E29" t="s">
        <v>37</v>
      </c>
      <c r="F29" t="s">
        <v>46</v>
      </c>
      <c r="G29" t="s">
        <v>65</v>
      </c>
      <c r="H29" t="s">
        <v>48</v>
      </c>
      <c r="I29">
        <v>0</v>
      </c>
      <c r="J29">
        <v>1</v>
      </c>
      <c r="K29">
        <v>1</v>
      </c>
      <c r="L29">
        <v>0</v>
      </c>
      <c r="M29">
        <v>1</v>
      </c>
      <c r="N29">
        <v>0</v>
      </c>
      <c r="O29">
        <v>1</v>
      </c>
      <c r="P29">
        <v>0</v>
      </c>
      <c r="Q29">
        <v>1</v>
      </c>
      <c r="R29">
        <v>1</v>
      </c>
      <c r="S29">
        <v>0</v>
      </c>
      <c r="T29">
        <v>1</v>
      </c>
      <c r="U29">
        <v>0</v>
      </c>
      <c r="V29">
        <v>0</v>
      </c>
    </row>
    <row r="30" spans="1:22" x14ac:dyDescent="0.2">
      <c r="A30" t="s">
        <v>170</v>
      </c>
      <c r="B30" t="s">
        <v>108</v>
      </c>
      <c r="C30" t="s">
        <v>41</v>
      </c>
      <c r="D30" t="s">
        <v>42</v>
      </c>
      <c r="E30" t="s">
        <v>37</v>
      </c>
      <c r="F30" t="s">
        <v>46</v>
      </c>
      <c r="G30" t="s">
        <v>65</v>
      </c>
      <c r="H30" t="s">
        <v>48</v>
      </c>
      <c r="I30">
        <v>0</v>
      </c>
      <c r="J30">
        <v>1</v>
      </c>
      <c r="K30">
        <v>1</v>
      </c>
      <c r="L30">
        <v>0</v>
      </c>
      <c r="M30">
        <v>1</v>
      </c>
      <c r="N30">
        <v>0</v>
      </c>
      <c r="O30">
        <v>1</v>
      </c>
      <c r="P30">
        <v>0</v>
      </c>
      <c r="Q30">
        <v>1</v>
      </c>
      <c r="R30">
        <v>1</v>
      </c>
      <c r="S30">
        <v>0</v>
      </c>
      <c r="T30">
        <v>1</v>
      </c>
      <c r="U30">
        <v>0</v>
      </c>
      <c r="V30">
        <v>0</v>
      </c>
    </row>
    <row r="31" spans="1:22" x14ac:dyDescent="0.2">
      <c r="A31" t="s">
        <v>170</v>
      </c>
      <c r="B31" t="s">
        <v>108</v>
      </c>
      <c r="C31" t="s">
        <v>41</v>
      </c>
      <c r="D31" t="s">
        <v>55</v>
      </c>
      <c r="E31" t="s">
        <v>37</v>
      </c>
      <c r="F31" t="s">
        <v>48</v>
      </c>
      <c r="G31" t="s">
        <v>65</v>
      </c>
      <c r="H31" t="s">
        <v>59</v>
      </c>
      <c r="I31">
        <v>0</v>
      </c>
      <c r="J31">
        <v>1</v>
      </c>
      <c r="K31">
        <v>1</v>
      </c>
      <c r="L31">
        <v>0</v>
      </c>
      <c r="M31">
        <v>0</v>
      </c>
      <c r="N31">
        <v>0</v>
      </c>
      <c r="O31">
        <v>1</v>
      </c>
      <c r="P31">
        <v>0</v>
      </c>
      <c r="Q31">
        <v>1</v>
      </c>
      <c r="R31">
        <v>1</v>
      </c>
      <c r="S31">
        <v>0</v>
      </c>
      <c r="T31">
        <v>0</v>
      </c>
      <c r="U31">
        <v>0</v>
      </c>
      <c r="V31">
        <v>0</v>
      </c>
    </row>
    <row r="32" spans="1:22" x14ac:dyDescent="0.2">
      <c r="A32" t="s">
        <v>173</v>
      </c>
      <c r="B32" t="s">
        <v>174</v>
      </c>
      <c r="C32" t="s">
        <v>41</v>
      </c>
      <c r="D32" t="s">
        <v>61</v>
      </c>
      <c r="E32" t="s">
        <v>37</v>
      </c>
      <c r="F32" t="s">
        <v>46</v>
      </c>
      <c r="G32" t="s">
        <v>48</v>
      </c>
      <c r="H32" t="s">
        <v>65</v>
      </c>
      <c r="I32">
        <v>0</v>
      </c>
      <c r="J32">
        <v>1</v>
      </c>
      <c r="K32">
        <v>1</v>
      </c>
      <c r="L32">
        <v>0</v>
      </c>
      <c r="M32">
        <v>1</v>
      </c>
      <c r="N32">
        <v>0</v>
      </c>
      <c r="O32">
        <v>1</v>
      </c>
      <c r="P32">
        <v>0</v>
      </c>
      <c r="Q32">
        <v>1</v>
      </c>
      <c r="R32">
        <v>0</v>
      </c>
      <c r="S32">
        <v>0</v>
      </c>
      <c r="T32">
        <v>0</v>
      </c>
      <c r="U32">
        <v>0</v>
      </c>
      <c r="V32">
        <v>0</v>
      </c>
    </row>
    <row r="33" spans="1:22" x14ac:dyDescent="0.2">
      <c r="A33" t="s">
        <v>180</v>
      </c>
      <c r="B33" t="s">
        <v>108</v>
      </c>
      <c r="C33" t="s">
        <v>41</v>
      </c>
      <c r="D33" t="s">
        <v>72</v>
      </c>
      <c r="E33" t="s">
        <v>37</v>
      </c>
      <c r="F33" t="s">
        <v>46</v>
      </c>
      <c r="G33" t="s">
        <v>48</v>
      </c>
      <c r="H33" t="s">
        <v>65</v>
      </c>
      <c r="I33">
        <v>0</v>
      </c>
      <c r="J33">
        <v>1</v>
      </c>
      <c r="K33">
        <v>1</v>
      </c>
      <c r="L33">
        <v>0</v>
      </c>
      <c r="M33">
        <v>1</v>
      </c>
      <c r="N33">
        <v>0</v>
      </c>
      <c r="O33">
        <v>1</v>
      </c>
      <c r="P33">
        <v>0</v>
      </c>
      <c r="Q33">
        <v>1</v>
      </c>
      <c r="R33">
        <v>1</v>
      </c>
      <c r="S33">
        <v>0</v>
      </c>
      <c r="T33">
        <v>1</v>
      </c>
      <c r="U33">
        <v>0</v>
      </c>
      <c r="V33">
        <v>0</v>
      </c>
    </row>
    <row r="34" spans="1:22" x14ac:dyDescent="0.2">
      <c r="A34" t="s">
        <v>180</v>
      </c>
      <c r="B34" t="s">
        <v>108</v>
      </c>
      <c r="C34" t="s">
        <v>41</v>
      </c>
      <c r="D34" t="s">
        <v>61</v>
      </c>
      <c r="E34" t="s">
        <v>37</v>
      </c>
      <c r="F34" t="s">
        <v>48</v>
      </c>
      <c r="G34" t="s">
        <v>65</v>
      </c>
      <c r="H34" t="s">
        <v>46</v>
      </c>
      <c r="I34">
        <v>0</v>
      </c>
      <c r="J34">
        <v>1</v>
      </c>
      <c r="K34">
        <v>1</v>
      </c>
      <c r="L34">
        <v>0</v>
      </c>
      <c r="M34">
        <v>1</v>
      </c>
      <c r="N34">
        <v>0</v>
      </c>
      <c r="O34">
        <v>1</v>
      </c>
      <c r="P34">
        <v>0</v>
      </c>
      <c r="Q34">
        <v>1</v>
      </c>
      <c r="R34">
        <v>1</v>
      </c>
      <c r="S34">
        <v>0</v>
      </c>
      <c r="T34">
        <v>1</v>
      </c>
      <c r="U34">
        <v>0</v>
      </c>
      <c r="V34">
        <v>0</v>
      </c>
    </row>
    <row r="35" spans="1:22" x14ac:dyDescent="0.2">
      <c r="A35" t="s">
        <v>180</v>
      </c>
      <c r="B35" t="s">
        <v>108</v>
      </c>
      <c r="C35" t="s">
        <v>41</v>
      </c>
      <c r="D35" t="s">
        <v>67</v>
      </c>
      <c r="E35" t="s">
        <v>37</v>
      </c>
      <c r="F35" t="s">
        <v>65</v>
      </c>
      <c r="G35" t="s">
        <v>48</v>
      </c>
      <c r="H35" t="s">
        <v>46</v>
      </c>
      <c r="I35">
        <v>0</v>
      </c>
      <c r="J35">
        <v>1</v>
      </c>
      <c r="K35">
        <v>1</v>
      </c>
      <c r="L35">
        <v>0</v>
      </c>
      <c r="M35">
        <v>1</v>
      </c>
      <c r="N35">
        <v>0</v>
      </c>
      <c r="O35">
        <v>1</v>
      </c>
      <c r="P35">
        <v>0</v>
      </c>
      <c r="Q35">
        <v>0</v>
      </c>
      <c r="R35">
        <v>0</v>
      </c>
      <c r="S35">
        <v>0</v>
      </c>
      <c r="T35">
        <v>0</v>
      </c>
      <c r="U35">
        <v>0</v>
      </c>
      <c r="V35">
        <v>1</v>
      </c>
    </row>
    <row r="36" spans="1:22" x14ac:dyDescent="0.2">
      <c r="A36" t="s">
        <v>183</v>
      </c>
      <c r="B36" t="s">
        <v>108</v>
      </c>
      <c r="C36" t="s">
        <v>41</v>
      </c>
      <c r="D36" t="s">
        <v>61</v>
      </c>
      <c r="E36" t="s">
        <v>37</v>
      </c>
      <c r="F36" t="s">
        <v>65</v>
      </c>
      <c r="G36" t="s">
        <v>47</v>
      </c>
      <c r="H36" t="s">
        <v>48</v>
      </c>
      <c r="I36">
        <v>0</v>
      </c>
      <c r="J36">
        <v>1</v>
      </c>
      <c r="K36">
        <v>1</v>
      </c>
      <c r="L36">
        <v>1</v>
      </c>
      <c r="M36">
        <v>0</v>
      </c>
      <c r="N36">
        <v>0</v>
      </c>
      <c r="O36">
        <v>1</v>
      </c>
      <c r="P36">
        <v>0</v>
      </c>
      <c r="Q36">
        <v>0</v>
      </c>
      <c r="R36">
        <v>0</v>
      </c>
      <c r="S36">
        <v>0</v>
      </c>
      <c r="T36">
        <v>0</v>
      </c>
      <c r="U36">
        <v>0</v>
      </c>
      <c r="V36">
        <v>1</v>
      </c>
    </row>
    <row r="37" spans="1:22" x14ac:dyDescent="0.2">
      <c r="A37" t="s">
        <v>187</v>
      </c>
      <c r="B37" t="s">
        <v>188</v>
      </c>
      <c r="C37" t="s">
        <v>41</v>
      </c>
      <c r="D37" t="s">
        <v>72</v>
      </c>
      <c r="E37" t="s">
        <v>37</v>
      </c>
      <c r="F37" t="s">
        <v>47</v>
      </c>
      <c r="G37" t="s">
        <v>65</v>
      </c>
      <c r="H37" t="s">
        <v>48</v>
      </c>
      <c r="I37">
        <v>0</v>
      </c>
      <c r="J37">
        <v>1</v>
      </c>
      <c r="K37">
        <v>1</v>
      </c>
      <c r="L37">
        <v>1</v>
      </c>
      <c r="M37">
        <v>0</v>
      </c>
      <c r="N37">
        <v>0</v>
      </c>
      <c r="O37">
        <v>1</v>
      </c>
      <c r="P37">
        <v>0</v>
      </c>
      <c r="Q37">
        <v>0</v>
      </c>
      <c r="R37">
        <v>1</v>
      </c>
      <c r="S37">
        <v>0</v>
      </c>
      <c r="T37">
        <v>0</v>
      </c>
      <c r="U37">
        <v>0</v>
      </c>
      <c r="V37">
        <v>0</v>
      </c>
    </row>
    <row r="38" spans="1:22" x14ac:dyDescent="0.2">
      <c r="A38" t="s">
        <v>192</v>
      </c>
      <c r="B38" t="s">
        <v>108</v>
      </c>
      <c r="C38" t="s">
        <v>41</v>
      </c>
      <c r="D38" t="s">
        <v>42</v>
      </c>
      <c r="E38" t="s">
        <v>37</v>
      </c>
      <c r="F38" t="s">
        <v>46</v>
      </c>
      <c r="G38" t="s">
        <v>48</v>
      </c>
      <c r="H38" t="s">
        <v>65</v>
      </c>
      <c r="I38">
        <v>0</v>
      </c>
      <c r="J38">
        <v>1</v>
      </c>
      <c r="K38">
        <v>1</v>
      </c>
      <c r="L38">
        <v>0</v>
      </c>
      <c r="M38">
        <v>1</v>
      </c>
      <c r="N38">
        <v>0</v>
      </c>
      <c r="O38">
        <v>1</v>
      </c>
      <c r="P38">
        <v>0</v>
      </c>
      <c r="Q38">
        <v>0</v>
      </c>
      <c r="R38">
        <v>0</v>
      </c>
      <c r="S38">
        <v>0</v>
      </c>
      <c r="T38">
        <v>0</v>
      </c>
      <c r="U38">
        <v>0</v>
      </c>
      <c r="V38">
        <v>1</v>
      </c>
    </row>
    <row r="39" spans="1:22" x14ac:dyDescent="0.2">
      <c r="A39" t="s">
        <v>195</v>
      </c>
      <c r="B39" t="s">
        <v>108</v>
      </c>
      <c r="C39" t="s">
        <v>41</v>
      </c>
      <c r="D39" t="s">
        <v>42</v>
      </c>
      <c r="E39" t="s">
        <v>37</v>
      </c>
      <c r="F39" t="s">
        <v>46</v>
      </c>
      <c r="G39" t="s">
        <v>65</v>
      </c>
      <c r="H39" t="s">
        <v>48</v>
      </c>
      <c r="I39">
        <v>0</v>
      </c>
      <c r="J39">
        <v>1</v>
      </c>
      <c r="K39">
        <v>1</v>
      </c>
      <c r="L39">
        <v>0</v>
      </c>
      <c r="M39">
        <v>1</v>
      </c>
      <c r="N39">
        <v>0</v>
      </c>
      <c r="O39">
        <v>1</v>
      </c>
      <c r="P39">
        <v>0</v>
      </c>
      <c r="Q39">
        <v>1</v>
      </c>
      <c r="R39">
        <v>0</v>
      </c>
      <c r="S39">
        <v>0</v>
      </c>
      <c r="T39">
        <v>0</v>
      </c>
      <c r="U39">
        <v>0</v>
      </c>
      <c r="V39">
        <v>0</v>
      </c>
    </row>
    <row r="40" spans="1:22" x14ac:dyDescent="0.2">
      <c r="A40" t="s">
        <v>202</v>
      </c>
      <c r="B40" t="s">
        <v>108</v>
      </c>
      <c r="C40" t="s">
        <v>41</v>
      </c>
      <c r="D40" t="s">
        <v>67</v>
      </c>
      <c r="E40" t="s">
        <v>37</v>
      </c>
      <c r="F40" t="s">
        <v>48</v>
      </c>
      <c r="G40" t="s">
        <v>65</v>
      </c>
      <c r="H40" t="s">
        <v>59</v>
      </c>
      <c r="I40">
        <v>0</v>
      </c>
      <c r="J40">
        <v>1</v>
      </c>
      <c r="K40">
        <v>1</v>
      </c>
      <c r="L40">
        <v>0</v>
      </c>
      <c r="M40">
        <v>0</v>
      </c>
      <c r="N40">
        <v>0</v>
      </c>
      <c r="O40">
        <v>1</v>
      </c>
      <c r="P40">
        <v>0</v>
      </c>
      <c r="Q40">
        <v>1</v>
      </c>
      <c r="R40">
        <v>1</v>
      </c>
      <c r="S40">
        <v>0</v>
      </c>
      <c r="T40">
        <v>0</v>
      </c>
      <c r="U40">
        <v>0</v>
      </c>
      <c r="V40">
        <v>0</v>
      </c>
    </row>
    <row r="41" spans="1:22" x14ac:dyDescent="0.2">
      <c r="A41" t="s">
        <v>202</v>
      </c>
      <c r="B41" t="s">
        <v>108</v>
      </c>
      <c r="C41" t="s">
        <v>41</v>
      </c>
      <c r="D41" t="s">
        <v>61</v>
      </c>
      <c r="E41" t="s">
        <v>37</v>
      </c>
      <c r="F41" t="s">
        <v>60</v>
      </c>
      <c r="G41" t="s">
        <v>48</v>
      </c>
      <c r="H41" t="s">
        <v>65</v>
      </c>
      <c r="I41">
        <v>1</v>
      </c>
      <c r="J41">
        <v>1</v>
      </c>
      <c r="K41">
        <v>1</v>
      </c>
      <c r="L41">
        <v>0</v>
      </c>
      <c r="M41">
        <v>0</v>
      </c>
      <c r="N41">
        <v>0</v>
      </c>
      <c r="O41">
        <v>1</v>
      </c>
      <c r="P41">
        <v>1</v>
      </c>
      <c r="Q41">
        <v>1</v>
      </c>
      <c r="R41">
        <v>1</v>
      </c>
      <c r="S41">
        <v>0</v>
      </c>
      <c r="T41">
        <v>0</v>
      </c>
      <c r="U41">
        <v>0</v>
      </c>
      <c r="V41">
        <v>0</v>
      </c>
    </row>
    <row r="42" spans="1:22" x14ac:dyDescent="0.2">
      <c r="A42" t="s">
        <v>206</v>
      </c>
      <c r="B42" t="s">
        <v>33</v>
      </c>
      <c r="C42" t="s">
        <v>41</v>
      </c>
      <c r="D42" t="s">
        <v>67</v>
      </c>
      <c r="E42" t="s">
        <v>37</v>
      </c>
      <c r="F42" t="s">
        <v>48</v>
      </c>
      <c r="G42" t="s">
        <v>65</v>
      </c>
      <c r="H42" t="s">
        <v>47</v>
      </c>
      <c r="I42">
        <v>0</v>
      </c>
      <c r="J42">
        <v>1</v>
      </c>
      <c r="K42">
        <v>1</v>
      </c>
      <c r="L42">
        <v>1</v>
      </c>
      <c r="M42">
        <v>0</v>
      </c>
      <c r="N42">
        <v>0</v>
      </c>
      <c r="O42">
        <v>1</v>
      </c>
      <c r="P42">
        <v>0</v>
      </c>
      <c r="Q42">
        <v>1</v>
      </c>
      <c r="R42">
        <v>0</v>
      </c>
      <c r="S42">
        <v>0</v>
      </c>
      <c r="T42">
        <v>0</v>
      </c>
      <c r="U42">
        <v>0</v>
      </c>
      <c r="V42">
        <v>0</v>
      </c>
    </row>
    <row r="43" spans="1:22" x14ac:dyDescent="0.2">
      <c r="A43" t="s">
        <v>210</v>
      </c>
      <c r="B43" t="s">
        <v>108</v>
      </c>
      <c r="C43" t="s">
        <v>41</v>
      </c>
      <c r="D43" t="s">
        <v>42</v>
      </c>
      <c r="E43" t="s">
        <v>37</v>
      </c>
      <c r="F43" t="s">
        <v>46</v>
      </c>
      <c r="G43" t="s">
        <v>48</v>
      </c>
      <c r="H43" t="s">
        <v>65</v>
      </c>
      <c r="I43">
        <v>0</v>
      </c>
      <c r="J43">
        <v>1</v>
      </c>
      <c r="K43">
        <v>1</v>
      </c>
      <c r="L43">
        <v>0</v>
      </c>
      <c r="M43">
        <v>1</v>
      </c>
      <c r="N43">
        <v>0</v>
      </c>
      <c r="O43">
        <v>1</v>
      </c>
      <c r="P43">
        <v>0</v>
      </c>
      <c r="Q43">
        <v>1</v>
      </c>
      <c r="R43">
        <v>1</v>
      </c>
      <c r="S43">
        <v>0</v>
      </c>
      <c r="T43">
        <v>1</v>
      </c>
      <c r="U43">
        <v>0</v>
      </c>
      <c r="V43">
        <v>0</v>
      </c>
    </row>
    <row r="44" spans="1:22" x14ac:dyDescent="0.2">
      <c r="A44" t="s">
        <v>210</v>
      </c>
      <c r="B44" t="s">
        <v>108</v>
      </c>
      <c r="C44" t="s">
        <v>41</v>
      </c>
      <c r="D44" t="s">
        <v>67</v>
      </c>
      <c r="E44" t="s">
        <v>37</v>
      </c>
      <c r="F44" t="s">
        <v>65</v>
      </c>
      <c r="G44" t="s">
        <v>48</v>
      </c>
      <c r="H44" t="s">
        <v>47</v>
      </c>
      <c r="I44">
        <v>0</v>
      </c>
      <c r="J44">
        <v>1</v>
      </c>
      <c r="K44">
        <v>1</v>
      </c>
      <c r="L44">
        <v>1</v>
      </c>
      <c r="M44">
        <v>0</v>
      </c>
      <c r="N44">
        <v>0</v>
      </c>
      <c r="O44">
        <v>1</v>
      </c>
      <c r="P44">
        <v>0</v>
      </c>
      <c r="Q44">
        <v>1</v>
      </c>
      <c r="R44">
        <v>1</v>
      </c>
      <c r="S44">
        <v>1</v>
      </c>
      <c r="T44">
        <v>0</v>
      </c>
      <c r="U44">
        <v>0</v>
      </c>
      <c r="V44">
        <v>0</v>
      </c>
    </row>
    <row r="45" spans="1:22" x14ac:dyDescent="0.2">
      <c r="A45" t="s">
        <v>214</v>
      </c>
      <c r="B45" t="s">
        <v>108</v>
      </c>
      <c r="C45" t="s">
        <v>41</v>
      </c>
      <c r="D45" t="s">
        <v>49</v>
      </c>
      <c r="E45" t="s">
        <v>37</v>
      </c>
      <c r="F45" t="s">
        <v>65</v>
      </c>
      <c r="G45" t="s">
        <v>60</v>
      </c>
      <c r="H45" t="s">
        <v>48</v>
      </c>
      <c r="I45">
        <v>1</v>
      </c>
      <c r="J45">
        <v>1</v>
      </c>
      <c r="K45">
        <v>1</v>
      </c>
      <c r="L45">
        <v>0</v>
      </c>
      <c r="M45">
        <v>0</v>
      </c>
      <c r="N45">
        <v>0</v>
      </c>
      <c r="O45">
        <v>1</v>
      </c>
      <c r="P45">
        <v>1</v>
      </c>
      <c r="Q45">
        <v>1</v>
      </c>
      <c r="R45">
        <v>1</v>
      </c>
      <c r="S45">
        <v>0</v>
      </c>
      <c r="T45">
        <v>0</v>
      </c>
      <c r="U45">
        <v>0</v>
      </c>
      <c r="V45">
        <v>0</v>
      </c>
    </row>
    <row r="46" spans="1:22" x14ac:dyDescent="0.2">
      <c r="A46" t="s">
        <v>214</v>
      </c>
      <c r="B46" t="s">
        <v>108</v>
      </c>
      <c r="C46" t="s">
        <v>41</v>
      </c>
      <c r="D46" t="s">
        <v>61</v>
      </c>
      <c r="E46" t="s">
        <v>37</v>
      </c>
      <c r="F46" t="s">
        <v>48</v>
      </c>
      <c r="G46" t="s">
        <v>65</v>
      </c>
      <c r="H46" t="s">
        <v>60</v>
      </c>
      <c r="I46">
        <v>1</v>
      </c>
      <c r="J46">
        <v>1</v>
      </c>
      <c r="K46">
        <v>1</v>
      </c>
      <c r="L46">
        <v>0</v>
      </c>
      <c r="M46">
        <v>0</v>
      </c>
      <c r="N46">
        <v>0</v>
      </c>
      <c r="O46">
        <v>1</v>
      </c>
      <c r="P46">
        <v>1</v>
      </c>
      <c r="Q46">
        <v>1</v>
      </c>
      <c r="R46">
        <v>1</v>
      </c>
      <c r="S46">
        <v>0</v>
      </c>
      <c r="T46">
        <v>0</v>
      </c>
      <c r="U46">
        <v>0</v>
      </c>
      <c r="V46">
        <v>0</v>
      </c>
    </row>
    <row r="47" spans="1:22" x14ac:dyDescent="0.2">
      <c r="A47" t="s">
        <v>217</v>
      </c>
      <c r="B47" t="s">
        <v>108</v>
      </c>
      <c r="C47" t="s">
        <v>41</v>
      </c>
      <c r="D47" t="s">
        <v>55</v>
      </c>
      <c r="E47" t="s">
        <v>37</v>
      </c>
      <c r="F47" t="s">
        <v>65</v>
      </c>
      <c r="G47" t="s">
        <v>59</v>
      </c>
      <c r="H47" t="s">
        <v>48</v>
      </c>
      <c r="I47">
        <v>0</v>
      </c>
      <c r="J47">
        <v>1</v>
      </c>
      <c r="K47">
        <v>1</v>
      </c>
      <c r="L47">
        <v>0</v>
      </c>
      <c r="M47">
        <v>0</v>
      </c>
      <c r="N47">
        <v>0</v>
      </c>
      <c r="O47">
        <v>1</v>
      </c>
      <c r="P47">
        <v>0</v>
      </c>
      <c r="Q47">
        <v>0</v>
      </c>
      <c r="R47">
        <v>0</v>
      </c>
      <c r="S47">
        <v>0</v>
      </c>
      <c r="T47">
        <v>0</v>
      </c>
      <c r="U47">
        <v>0</v>
      </c>
      <c r="V47">
        <v>1</v>
      </c>
    </row>
    <row r="48" spans="1:22" x14ac:dyDescent="0.2">
      <c r="A48" t="s">
        <v>217</v>
      </c>
      <c r="B48" t="s">
        <v>108</v>
      </c>
      <c r="C48" t="s">
        <v>41</v>
      </c>
      <c r="D48" t="s">
        <v>67</v>
      </c>
      <c r="E48" t="s">
        <v>37</v>
      </c>
      <c r="F48" t="s">
        <v>59</v>
      </c>
      <c r="G48" t="s">
        <v>48</v>
      </c>
      <c r="H48" t="s">
        <v>65</v>
      </c>
      <c r="I48">
        <v>0</v>
      </c>
      <c r="J48">
        <v>1</v>
      </c>
      <c r="K48">
        <v>1</v>
      </c>
      <c r="L48">
        <v>0</v>
      </c>
      <c r="M48">
        <v>0</v>
      </c>
      <c r="N48">
        <v>0</v>
      </c>
      <c r="O48">
        <v>1</v>
      </c>
      <c r="P48">
        <v>0</v>
      </c>
      <c r="Q48">
        <v>0</v>
      </c>
      <c r="R48">
        <v>0</v>
      </c>
      <c r="S48">
        <v>0</v>
      </c>
      <c r="T48">
        <v>0</v>
      </c>
      <c r="U48">
        <v>0</v>
      </c>
      <c r="V48">
        <v>1</v>
      </c>
    </row>
    <row r="49" spans="1:22" x14ac:dyDescent="0.2">
      <c r="A49" t="s">
        <v>217</v>
      </c>
      <c r="B49" t="s">
        <v>108</v>
      </c>
      <c r="C49" t="s">
        <v>41</v>
      </c>
      <c r="D49" t="s">
        <v>49</v>
      </c>
      <c r="E49" t="s">
        <v>37</v>
      </c>
      <c r="F49" t="s">
        <v>46</v>
      </c>
      <c r="G49" t="s">
        <v>48</v>
      </c>
      <c r="H49" t="s">
        <v>65</v>
      </c>
      <c r="I49">
        <v>0</v>
      </c>
      <c r="J49">
        <v>1</v>
      </c>
      <c r="K49">
        <v>1</v>
      </c>
      <c r="L49">
        <v>0</v>
      </c>
      <c r="M49">
        <v>1</v>
      </c>
      <c r="N49">
        <v>0</v>
      </c>
      <c r="O49">
        <v>1</v>
      </c>
      <c r="P49">
        <v>0</v>
      </c>
      <c r="Q49">
        <v>0</v>
      </c>
      <c r="R49">
        <v>0</v>
      </c>
      <c r="S49">
        <v>0</v>
      </c>
      <c r="T49">
        <v>0</v>
      </c>
      <c r="U49">
        <v>0</v>
      </c>
      <c r="V49">
        <v>1</v>
      </c>
    </row>
    <row r="50" spans="1:22" x14ac:dyDescent="0.2">
      <c r="A50" t="s">
        <v>220</v>
      </c>
      <c r="B50" t="s">
        <v>33</v>
      </c>
      <c r="C50" t="s">
        <v>41</v>
      </c>
      <c r="D50" t="s">
        <v>42</v>
      </c>
      <c r="E50" t="s">
        <v>37</v>
      </c>
      <c r="F50" t="s">
        <v>65</v>
      </c>
      <c r="G50" t="s">
        <v>59</v>
      </c>
      <c r="H50" t="s">
        <v>48</v>
      </c>
      <c r="I50">
        <v>0</v>
      </c>
      <c r="J50">
        <v>1</v>
      </c>
      <c r="K50">
        <v>1</v>
      </c>
      <c r="L50">
        <v>0</v>
      </c>
      <c r="M50">
        <v>0</v>
      </c>
      <c r="N50">
        <v>0</v>
      </c>
      <c r="O50">
        <v>1</v>
      </c>
      <c r="P50">
        <v>0</v>
      </c>
      <c r="Q50">
        <v>1</v>
      </c>
      <c r="R50">
        <v>0</v>
      </c>
      <c r="S50">
        <v>0</v>
      </c>
      <c r="T50">
        <v>0</v>
      </c>
      <c r="U50">
        <v>0</v>
      </c>
      <c r="V50">
        <v>0</v>
      </c>
    </row>
    <row r="51" spans="1:22" x14ac:dyDescent="0.2">
      <c r="A51" t="s">
        <v>220</v>
      </c>
      <c r="B51" t="s">
        <v>33</v>
      </c>
      <c r="C51" t="s">
        <v>41</v>
      </c>
      <c r="D51" t="s">
        <v>67</v>
      </c>
      <c r="E51" t="s">
        <v>37</v>
      </c>
      <c r="F51" t="s">
        <v>65</v>
      </c>
      <c r="G51" t="s">
        <v>47</v>
      </c>
      <c r="H51" t="s">
        <v>48</v>
      </c>
      <c r="I51">
        <v>0</v>
      </c>
      <c r="J51">
        <v>1</v>
      </c>
      <c r="K51">
        <v>1</v>
      </c>
      <c r="L51">
        <v>1</v>
      </c>
      <c r="M51">
        <v>0</v>
      </c>
      <c r="N51">
        <v>0</v>
      </c>
      <c r="O51">
        <v>1</v>
      </c>
      <c r="P51">
        <v>0</v>
      </c>
      <c r="Q51">
        <v>1</v>
      </c>
      <c r="R51">
        <v>0</v>
      </c>
      <c r="S51">
        <v>1</v>
      </c>
      <c r="T51">
        <v>0</v>
      </c>
      <c r="U51">
        <v>0</v>
      </c>
      <c r="V51">
        <v>0</v>
      </c>
    </row>
    <row r="52" spans="1:22" x14ac:dyDescent="0.2">
      <c r="A52" t="s">
        <v>224</v>
      </c>
      <c r="B52" t="s">
        <v>108</v>
      </c>
      <c r="C52" t="s">
        <v>41</v>
      </c>
      <c r="D52" t="s">
        <v>72</v>
      </c>
      <c r="E52" t="s">
        <v>37</v>
      </c>
      <c r="F52" t="s">
        <v>65</v>
      </c>
      <c r="G52" t="s">
        <v>46</v>
      </c>
      <c r="H52" t="s">
        <v>48</v>
      </c>
      <c r="I52">
        <v>0</v>
      </c>
      <c r="J52">
        <v>1</v>
      </c>
      <c r="K52">
        <v>1</v>
      </c>
      <c r="L52">
        <v>0</v>
      </c>
      <c r="M52">
        <v>1</v>
      </c>
      <c r="N52">
        <v>0</v>
      </c>
      <c r="O52">
        <v>1</v>
      </c>
      <c r="P52">
        <v>0</v>
      </c>
      <c r="Q52">
        <v>1</v>
      </c>
      <c r="R52">
        <v>1</v>
      </c>
      <c r="S52">
        <v>0</v>
      </c>
      <c r="T52">
        <v>1</v>
      </c>
      <c r="U52">
        <v>0</v>
      </c>
      <c r="V52">
        <v>0</v>
      </c>
    </row>
    <row r="53" spans="1:22" x14ac:dyDescent="0.2">
      <c r="A53" t="s">
        <v>224</v>
      </c>
      <c r="B53" t="s">
        <v>108</v>
      </c>
      <c r="C53" t="s">
        <v>41</v>
      </c>
      <c r="D53" t="s">
        <v>42</v>
      </c>
      <c r="E53" t="s">
        <v>37</v>
      </c>
      <c r="F53" t="s">
        <v>65</v>
      </c>
      <c r="G53" t="s">
        <v>60</v>
      </c>
      <c r="H53" t="s">
        <v>48</v>
      </c>
      <c r="I53">
        <v>1</v>
      </c>
      <c r="J53">
        <v>1</v>
      </c>
      <c r="K53">
        <v>1</v>
      </c>
      <c r="L53">
        <v>0</v>
      </c>
      <c r="M53">
        <v>0</v>
      </c>
      <c r="N53">
        <v>0</v>
      </c>
      <c r="O53">
        <v>1</v>
      </c>
      <c r="P53">
        <v>1</v>
      </c>
      <c r="Q53">
        <v>1</v>
      </c>
      <c r="R53">
        <v>1</v>
      </c>
      <c r="S53">
        <v>0</v>
      </c>
      <c r="T53">
        <v>0</v>
      </c>
      <c r="U53">
        <v>0</v>
      </c>
      <c r="V53">
        <v>0</v>
      </c>
    </row>
    <row r="54" spans="1:22" x14ac:dyDescent="0.2">
      <c r="A54" t="s">
        <v>227</v>
      </c>
      <c r="B54" t="s">
        <v>108</v>
      </c>
      <c r="C54" t="s">
        <v>41</v>
      </c>
      <c r="D54" t="s">
        <v>67</v>
      </c>
      <c r="E54" t="s">
        <v>37</v>
      </c>
      <c r="F54" t="s">
        <v>46</v>
      </c>
      <c r="G54" t="s">
        <v>65</v>
      </c>
      <c r="H54" t="s">
        <v>48</v>
      </c>
      <c r="I54">
        <v>0</v>
      </c>
      <c r="J54">
        <v>1</v>
      </c>
      <c r="K54">
        <v>1</v>
      </c>
      <c r="L54">
        <v>0</v>
      </c>
      <c r="M54">
        <v>1</v>
      </c>
      <c r="N54">
        <v>0</v>
      </c>
      <c r="O54">
        <v>1</v>
      </c>
      <c r="P54">
        <v>0</v>
      </c>
      <c r="Q54">
        <v>1</v>
      </c>
      <c r="R54">
        <v>1</v>
      </c>
      <c r="S54">
        <v>0</v>
      </c>
      <c r="T54">
        <v>1</v>
      </c>
      <c r="U54">
        <v>0</v>
      </c>
      <c r="V54">
        <v>0</v>
      </c>
    </row>
    <row r="55" spans="1:22" x14ac:dyDescent="0.2">
      <c r="A55" t="s">
        <v>227</v>
      </c>
      <c r="B55" t="s">
        <v>108</v>
      </c>
      <c r="C55" t="s">
        <v>41</v>
      </c>
      <c r="D55" t="s">
        <v>42</v>
      </c>
      <c r="E55" t="s">
        <v>37</v>
      </c>
      <c r="F55" t="s">
        <v>60</v>
      </c>
      <c r="G55" t="s">
        <v>65</v>
      </c>
      <c r="H55" t="s">
        <v>48</v>
      </c>
      <c r="I55">
        <v>1</v>
      </c>
      <c r="J55">
        <v>1</v>
      </c>
      <c r="K55">
        <v>1</v>
      </c>
      <c r="L55">
        <v>0</v>
      </c>
      <c r="M55">
        <v>0</v>
      </c>
      <c r="N55">
        <v>0</v>
      </c>
      <c r="O55">
        <v>1</v>
      </c>
      <c r="P55">
        <v>0</v>
      </c>
      <c r="Q55">
        <v>1</v>
      </c>
      <c r="R55">
        <v>0</v>
      </c>
      <c r="S55">
        <v>0</v>
      </c>
      <c r="T55">
        <v>0</v>
      </c>
      <c r="U55">
        <v>0</v>
      </c>
      <c r="V55">
        <v>0</v>
      </c>
    </row>
    <row r="56" spans="1:22" x14ac:dyDescent="0.2">
      <c r="A56" t="s">
        <v>231</v>
      </c>
      <c r="B56" t="s">
        <v>108</v>
      </c>
      <c r="C56" t="s">
        <v>41</v>
      </c>
      <c r="D56" t="s">
        <v>67</v>
      </c>
      <c r="E56" t="s">
        <v>37</v>
      </c>
      <c r="F56" t="s">
        <v>48</v>
      </c>
      <c r="G56" t="s">
        <v>60</v>
      </c>
      <c r="H56" t="s">
        <v>65</v>
      </c>
      <c r="I56">
        <v>1</v>
      </c>
      <c r="J56">
        <v>1</v>
      </c>
      <c r="K56">
        <v>1</v>
      </c>
      <c r="L56">
        <v>0</v>
      </c>
      <c r="M56">
        <v>0</v>
      </c>
      <c r="N56">
        <v>0</v>
      </c>
      <c r="O56">
        <v>1</v>
      </c>
      <c r="P56">
        <v>0</v>
      </c>
      <c r="Q56">
        <v>1</v>
      </c>
      <c r="R56">
        <v>0</v>
      </c>
      <c r="S56">
        <v>0</v>
      </c>
      <c r="T56">
        <v>0</v>
      </c>
      <c r="U56">
        <v>0</v>
      </c>
      <c r="V56">
        <v>0</v>
      </c>
    </row>
    <row r="57" spans="1:22" x14ac:dyDescent="0.2">
      <c r="A57" t="s">
        <v>235</v>
      </c>
      <c r="B57" t="s">
        <v>33</v>
      </c>
      <c r="C57" t="s">
        <v>41</v>
      </c>
      <c r="D57" t="s">
        <v>55</v>
      </c>
      <c r="E57" t="s">
        <v>37</v>
      </c>
      <c r="F57" t="s">
        <v>48</v>
      </c>
      <c r="G57" t="s">
        <v>65</v>
      </c>
      <c r="H57" t="s">
        <v>47</v>
      </c>
      <c r="I57">
        <v>0</v>
      </c>
      <c r="J57">
        <v>1</v>
      </c>
      <c r="K57">
        <v>1</v>
      </c>
      <c r="L57">
        <v>1</v>
      </c>
      <c r="M57">
        <v>0</v>
      </c>
      <c r="N57">
        <v>0</v>
      </c>
      <c r="O57">
        <v>1</v>
      </c>
      <c r="P57">
        <v>0</v>
      </c>
      <c r="Q57">
        <v>1</v>
      </c>
      <c r="R57">
        <v>0</v>
      </c>
      <c r="S57">
        <v>1</v>
      </c>
      <c r="T57">
        <v>0</v>
      </c>
      <c r="U57">
        <v>0</v>
      </c>
      <c r="V57">
        <v>0</v>
      </c>
    </row>
    <row r="58" spans="1:22" x14ac:dyDescent="0.2">
      <c r="A58" t="s">
        <v>238</v>
      </c>
      <c r="B58" t="s">
        <v>108</v>
      </c>
      <c r="C58" t="s">
        <v>41</v>
      </c>
      <c r="D58" t="s">
        <v>72</v>
      </c>
      <c r="E58" t="s">
        <v>37</v>
      </c>
      <c r="F58" t="s">
        <v>48</v>
      </c>
      <c r="G58" t="s">
        <v>47</v>
      </c>
      <c r="H58" t="s">
        <v>65</v>
      </c>
      <c r="I58">
        <v>0</v>
      </c>
      <c r="J58">
        <v>1</v>
      </c>
      <c r="K58">
        <v>1</v>
      </c>
      <c r="L58">
        <v>1</v>
      </c>
      <c r="M58">
        <v>0</v>
      </c>
      <c r="N58">
        <v>0</v>
      </c>
      <c r="O58">
        <v>1</v>
      </c>
      <c r="P58">
        <v>0</v>
      </c>
      <c r="Q58">
        <v>1</v>
      </c>
      <c r="R58">
        <v>1</v>
      </c>
      <c r="S58">
        <v>1</v>
      </c>
      <c r="T58">
        <v>0</v>
      </c>
      <c r="U58">
        <v>0</v>
      </c>
      <c r="V58">
        <v>0</v>
      </c>
    </row>
    <row r="59" spans="1:22" x14ac:dyDescent="0.2">
      <c r="A59" t="s">
        <v>241</v>
      </c>
      <c r="B59" t="s">
        <v>33</v>
      </c>
      <c r="C59" t="s">
        <v>41</v>
      </c>
      <c r="D59" t="s">
        <v>67</v>
      </c>
      <c r="E59" t="s">
        <v>37</v>
      </c>
      <c r="F59" t="s">
        <v>59</v>
      </c>
      <c r="G59" t="s">
        <v>48</v>
      </c>
      <c r="H59" t="s">
        <v>65</v>
      </c>
      <c r="I59">
        <v>0</v>
      </c>
      <c r="J59">
        <v>1</v>
      </c>
      <c r="K59">
        <v>1</v>
      </c>
      <c r="L59">
        <v>0</v>
      </c>
      <c r="M59">
        <v>0</v>
      </c>
      <c r="N59">
        <v>0</v>
      </c>
      <c r="O59">
        <v>1</v>
      </c>
      <c r="P59">
        <v>0</v>
      </c>
      <c r="Q59">
        <v>1</v>
      </c>
      <c r="R59">
        <v>0</v>
      </c>
      <c r="S59">
        <v>0</v>
      </c>
      <c r="T59">
        <v>0</v>
      </c>
      <c r="U59">
        <v>0</v>
      </c>
      <c r="V59">
        <v>0</v>
      </c>
    </row>
    <row r="60" spans="1:22" x14ac:dyDescent="0.2">
      <c r="A60" t="s">
        <v>241</v>
      </c>
      <c r="B60" t="s">
        <v>33</v>
      </c>
      <c r="C60" t="s">
        <v>41</v>
      </c>
      <c r="D60" t="s">
        <v>55</v>
      </c>
      <c r="E60" t="s">
        <v>37</v>
      </c>
      <c r="F60" t="s">
        <v>48</v>
      </c>
      <c r="G60" t="s">
        <v>46</v>
      </c>
      <c r="H60" t="s">
        <v>65</v>
      </c>
      <c r="I60">
        <v>0</v>
      </c>
      <c r="J60">
        <v>1</v>
      </c>
      <c r="K60">
        <v>1</v>
      </c>
      <c r="L60">
        <v>0</v>
      </c>
      <c r="M60">
        <v>1</v>
      </c>
      <c r="N60">
        <v>0</v>
      </c>
      <c r="O60">
        <v>1</v>
      </c>
      <c r="P60">
        <v>0</v>
      </c>
      <c r="Q60">
        <v>1</v>
      </c>
      <c r="R60">
        <v>0</v>
      </c>
      <c r="S60">
        <v>0</v>
      </c>
      <c r="T60">
        <v>0</v>
      </c>
      <c r="U60">
        <v>0</v>
      </c>
      <c r="V60">
        <v>0</v>
      </c>
    </row>
    <row r="61" spans="1:22" x14ac:dyDescent="0.2">
      <c r="A61" t="s">
        <v>245</v>
      </c>
      <c r="B61" t="s">
        <v>108</v>
      </c>
      <c r="C61" t="s">
        <v>41</v>
      </c>
      <c r="D61" t="s">
        <v>61</v>
      </c>
      <c r="E61" t="s">
        <v>37</v>
      </c>
      <c r="F61" t="s">
        <v>65</v>
      </c>
      <c r="G61" t="s">
        <v>60</v>
      </c>
      <c r="H61" t="s">
        <v>48</v>
      </c>
      <c r="I61">
        <v>1</v>
      </c>
      <c r="J61">
        <v>1</v>
      </c>
      <c r="K61">
        <v>1</v>
      </c>
      <c r="L61">
        <v>0</v>
      </c>
      <c r="M61">
        <v>0</v>
      </c>
      <c r="N61">
        <v>0</v>
      </c>
      <c r="O61">
        <v>1</v>
      </c>
      <c r="P61">
        <v>1</v>
      </c>
      <c r="Q61">
        <v>0</v>
      </c>
      <c r="R61">
        <v>0</v>
      </c>
      <c r="S61">
        <v>0</v>
      </c>
      <c r="T61">
        <v>0</v>
      </c>
      <c r="U61">
        <v>0</v>
      </c>
      <c r="V61">
        <v>0</v>
      </c>
    </row>
    <row r="62" spans="1:22" x14ac:dyDescent="0.2">
      <c r="A62" t="s">
        <v>252</v>
      </c>
      <c r="B62" t="s">
        <v>108</v>
      </c>
      <c r="C62" t="s">
        <v>41</v>
      </c>
      <c r="D62" t="s">
        <v>67</v>
      </c>
      <c r="E62" t="s">
        <v>37</v>
      </c>
      <c r="F62" t="s">
        <v>46</v>
      </c>
      <c r="G62" t="s">
        <v>65</v>
      </c>
      <c r="H62" t="s">
        <v>48</v>
      </c>
      <c r="I62">
        <v>0</v>
      </c>
      <c r="J62">
        <v>1</v>
      </c>
      <c r="K62">
        <v>1</v>
      </c>
      <c r="L62">
        <v>0</v>
      </c>
      <c r="M62">
        <v>1</v>
      </c>
      <c r="N62">
        <v>0</v>
      </c>
      <c r="O62">
        <v>1</v>
      </c>
      <c r="P62">
        <v>0</v>
      </c>
      <c r="Q62">
        <v>0</v>
      </c>
      <c r="R62">
        <v>0</v>
      </c>
      <c r="S62">
        <v>0</v>
      </c>
      <c r="T62">
        <v>0</v>
      </c>
      <c r="U62">
        <v>0</v>
      </c>
      <c r="V62">
        <v>1</v>
      </c>
    </row>
    <row r="63" spans="1:22" x14ac:dyDescent="0.2">
      <c r="A63" t="s">
        <v>252</v>
      </c>
      <c r="B63" t="s">
        <v>108</v>
      </c>
      <c r="C63" t="s">
        <v>41</v>
      </c>
      <c r="D63" t="s">
        <v>61</v>
      </c>
      <c r="E63" t="s">
        <v>37</v>
      </c>
      <c r="F63" t="s">
        <v>47</v>
      </c>
      <c r="G63" t="s">
        <v>65</v>
      </c>
      <c r="H63" t="s">
        <v>48</v>
      </c>
      <c r="I63">
        <v>0</v>
      </c>
      <c r="J63">
        <v>1</v>
      </c>
      <c r="K63">
        <v>1</v>
      </c>
      <c r="L63">
        <v>1</v>
      </c>
      <c r="M63">
        <v>0</v>
      </c>
      <c r="N63">
        <v>0</v>
      </c>
      <c r="O63">
        <v>1</v>
      </c>
      <c r="P63">
        <v>0</v>
      </c>
      <c r="Q63">
        <v>0</v>
      </c>
      <c r="R63">
        <v>0</v>
      </c>
      <c r="S63">
        <v>0</v>
      </c>
      <c r="T63">
        <v>0</v>
      </c>
      <c r="U63">
        <v>0</v>
      </c>
      <c r="V63">
        <v>1</v>
      </c>
    </row>
    <row r="64" spans="1:22" x14ac:dyDescent="0.2">
      <c r="A64" t="s">
        <v>254</v>
      </c>
      <c r="B64" t="s">
        <v>108</v>
      </c>
      <c r="C64" t="s">
        <v>41</v>
      </c>
      <c r="D64" t="s">
        <v>67</v>
      </c>
      <c r="E64" t="s">
        <v>37</v>
      </c>
      <c r="F64" t="s">
        <v>48</v>
      </c>
      <c r="G64" t="s">
        <v>47</v>
      </c>
      <c r="H64" t="s">
        <v>65</v>
      </c>
      <c r="I64">
        <v>0</v>
      </c>
      <c r="J64">
        <v>1</v>
      </c>
      <c r="K64">
        <v>1</v>
      </c>
      <c r="L64">
        <v>1</v>
      </c>
      <c r="M64">
        <v>0</v>
      </c>
      <c r="N64">
        <v>0</v>
      </c>
      <c r="O64">
        <v>1</v>
      </c>
      <c r="P64">
        <v>0</v>
      </c>
      <c r="Q64">
        <v>1</v>
      </c>
      <c r="R64">
        <v>0</v>
      </c>
      <c r="S64">
        <v>1</v>
      </c>
      <c r="T64">
        <v>0</v>
      </c>
      <c r="U64">
        <v>0</v>
      </c>
      <c r="V64">
        <v>0</v>
      </c>
    </row>
    <row r="65" spans="1:22" x14ac:dyDescent="0.2">
      <c r="A65" t="s">
        <v>254</v>
      </c>
      <c r="B65" t="s">
        <v>108</v>
      </c>
      <c r="C65" t="s">
        <v>41</v>
      </c>
      <c r="D65" t="s">
        <v>42</v>
      </c>
      <c r="E65" t="s">
        <v>37</v>
      </c>
      <c r="F65" t="s">
        <v>46</v>
      </c>
      <c r="G65" t="s">
        <v>48</v>
      </c>
      <c r="H65" t="s">
        <v>65</v>
      </c>
      <c r="I65">
        <v>0</v>
      </c>
      <c r="J65">
        <v>1</v>
      </c>
      <c r="K65">
        <v>1</v>
      </c>
      <c r="L65">
        <v>0</v>
      </c>
      <c r="M65">
        <v>1</v>
      </c>
      <c r="N65">
        <v>0</v>
      </c>
      <c r="O65">
        <v>1</v>
      </c>
      <c r="P65">
        <v>0</v>
      </c>
      <c r="Q65">
        <v>1</v>
      </c>
      <c r="R65">
        <v>0</v>
      </c>
      <c r="S65">
        <v>0</v>
      </c>
      <c r="T65">
        <v>0</v>
      </c>
      <c r="U65">
        <v>0</v>
      </c>
      <c r="V65">
        <v>0</v>
      </c>
    </row>
    <row r="66" spans="1:22" x14ac:dyDescent="0.2">
      <c r="A66" t="s">
        <v>254</v>
      </c>
      <c r="B66" t="s">
        <v>108</v>
      </c>
      <c r="C66" t="s">
        <v>41</v>
      </c>
      <c r="D66" t="s">
        <v>49</v>
      </c>
      <c r="E66" t="s">
        <v>37</v>
      </c>
      <c r="F66" t="s">
        <v>48</v>
      </c>
      <c r="G66" t="s">
        <v>65</v>
      </c>
      <c r="H66" t="s">
        <v>47</v>
      </c>
      <c r="I66">
        <v>0</v>
      </c>
      <c r="J66">
        <v>1</v>
      </c>
      <c r="K66">
        <v>1</v>
      </c>
      <c r="L66">
        <v>1</v>
      </c>
      <c r="M66">
        <v>0</v>
      </c>
      <c r="N66">
        <v>0</v>
      </c>
      <c r="O66">
        <v>1</v>
      </c>
      <c r="P66">
        <v>0</v>
      </c>
      <c r="Q66">
        <v>0</v>
      </c>
      <c r="R66">
        <v>0</v>
      </c>
      <c r="S66">
        <v>0</v>
      </c>
      <c r="T66">
        <v>0</v>
      </c>
      <c r="U66">
        <v>0</v>
      </c>
      <c r="V66">
        <v>1</v>
      </c>
    </row>
    <row r="67" spans="1:22" x14ac:dyDescent="0.2">
      <c r="A67" t="s">
        <v>261</v>
      </c>
      <c r="B67" t="s">
        <v>108</v>
      </c>
      <c r="C67" t="s">
        <v>41</v>
      </c>
      <c r="D67" t="s">
        <v>61</v>
      </c>
      <c r="E67" t="s">
        <v>37</v>
      </c>
      <c r="F67" t="s">
        <v>48</v>
      </c>
      <c r="G67" t="s">
        <v>46</v>
      </c>
      <c r="H67" t="s">
        <v>65</v>
      </c>
      <c r="I67">
        <v>0</v>
      </c>
      <c r="J67">
        <v>1</v>
      </c>
      <c r="K67">
        <v>1</v>
      </c>
      <c r="L67">
        <v>0</v>
      </c>
      <c r="M67">
        <v>1</v>
      </c>
      <c r="N67">
        <v>0</v>
      </c>
      <c r="O67">
        <v>1</v>
      </c>
      <c r="P67">
        <v>0</v>
      </c>
      <c r="Q67">
        <v>1</v>
      </c>
      <c r="R67">
        <v>0</v>
      </c>
      <c r="S67">
        <v>0</v>
      </c>
      <c r="T67">
        <v>0</v>
      </c>
      <c r="U67">
        <v>0</v>
      </c>
      <c r="V67">
        <v>0</v>
      </c>
    </row>
    <row r="68" spans="1:22" x14ac:dyDescent="0.2">
      <c r="A68" t="s">
        <v>261</v>
      </c>
      <c r="B68" t="s">
        <v>108</v>
      </c>
      <c r="C68" t="s">
        <v>41</v>
      </c>
      <c r="D68" t="s">
        <v>42</v>
      </c>
      <c r="E68" t="s">
        <v>37</v>
      </c>
      <c r="F68" t="s">
        <v>65</v>
      </c>
      <c r="G68" t="s">
        <v>47</v>
      </c>
      <c r="H68" t="s">
        <v>48</v>
      </c>
      <c r="I68">
        <v>0</v>
      </c>
      <c r="J68">
        <v>1</v>
      </c>
      <c r="K68">
        <v>1</v>
      </c>
      <c r="L68">
        <v>1</v>
      </c>
      <c r="M68">
        <v>0</v>
      </c>
      <c r="N68">
        <v>0</v>
      </c>
      <c r="O68">
        <v>1</v>
      </c>
      <c r="P68">
        <v>0</v>
      </c>
      <c r="Q68">
        <v>1</v>
      </c>
      <c r="R68">
        <v>0</v>
      </c>
      <c r="S68">
        <v>0</v>
      </c>
      <c r="T68">
        <v>0</v>
      </c>
      <c r="U68">
        <v>0</v>
      </c>
      <c r="V68">
        <v>0</v>
      </c>
    </row>
    <row r="69" spans="1:22" x14ac:dyDescent="0.2">
      <c r="A69" t="s">
        <v>264</v>
      </c>
      <c r="B69" t="s">
        <v>108</v>
      </c>
      <c r="C69" t="s">
        <v>41</v>
      </c>
      <c r="D69" t="s">
        <v>55</v>
      </c>
      <c r="E69" t="s">
        <v>37</v>
      </c>
      <c r="F69" t="s">
        <v>48</v>
      </c>
      <c r="G69" t="s">
        <v>65</v>
      </c>
      <c r="H69" t="s">
        <v>46</v>
      </c>
      <c r="I69">
        <v>0</v>
      </c>
      <c r="J69">
        <v>1</v>
      </c>
      <c r="K69">
        <v>1</v>
      </c>
      <c r="L69">
        <v>0</v>
      </c>
      <c r="M69">
        <v>1</v>
      </c>
      <c r="N69">
        <v>0</v>
      </c>
      <c r="O69">
        <v>1</v>
      </c>
      <c r="P69">
        <v>0</v>
      </c>
      <c r="Q69">
        <v>0</v>
      </c>
      <c r="R69">
        <v>0</v>
      </c>
      <c r="S69">
        <v>0</v>
      </c>
      <c r="T69">
        <v>0</v>
      </c>
      <c r="U69">
        <v>0</v>
      </c>
      <c r="V69">
        <v>1</v>
      </c>
    </row>
    <row r="70" spans="1:22" x14ac:dyDescent="0.2">
      <c r="A70" t="s">
        <v>264</v>
      </c>
      <c r="B70" t="s">
        <v>108</v>
      </c>
      <c r="C70" t="s">
        <v>41</v>
      </c>
      <c r="D70" t="s">
        <v>49</v>
      </c>
      <c r="E70" t="s">
        <v>37</v>
      </c>
      <c r="F70" t="s">
        <v>65</v>
      </c>
      <c r="G70" t="s">
        <v>46</v>
      </c>
      <c r="H70" t="s">
        <v>48</v>
      </c>
      <c r="I70">
        <v>0</v>
      </c>
      <c r="J70">
        <v>1</v>
      </c>
      <c r="K70">
        <v>1</v>
      </c>
      <c r="L70">
        <v>0</v>
      </c>
      <c r="M70">
        <v>1</v>
      </c>
      <c r="N70">
        <v>0</v>
      </c>
      <c r="O70">
        <v>1</v>
      </c>
      <c r="P70">
        <v>0</v>
      </c>
      <c r="Q70">
        <v>1</v>
      </c>
      <c r="R70">
        <v>0</v>
      </c>
      <c r="S70">
        <v>0</v>
      </c>
      <c r="T70">
        <v>0</v>
      </c>
      <c r="U70">
        <v>0</v>
      </c>
      <c r="V70">
        <v>0</v>
      </c>
    </row>
    <row r="71" spans="1:22" x14ac:dyDescent="0.2">
      <c r="A71" t="s">
        <v>264</v>
      </c>
      <c r="B71" t="s">
        <v>108</v>
      </c>
      <c r="C71" t="s">
        <v>41</v>
      </c>
      <c r="D71" t="s">
        <v>42</v>
      </c>
      <c r="E71" t="s">
        <v>37</v>
      </c>
      <c r="F71" t="s">
        <v>48</v>
      </c>
      <c r="G71" t="s">
        <v>59</v>
      </c>
      <c r="H71" t="s">
        <v>65</v>
      </c>
      <c r="I71">
        <v>0</v>
      </c>
      <c r="J71">
        <v>1</v>
      </c>
      <c r="K71">
        <v>1</v>
      </c>
      <c r="L71">
        <v>0</v>
      </c>
      <c r="M71">
        <v>0</v>
      </c>
      <c r="N71">
        <v>0</v>
      </c>
      <c r="O71">
        <v>1</v>
      </c>
      <c r="P71">
        <v>0</v>
      </c>
      <c r="Q71">
        <v>1</v>
      </c>
      <c r="R71">
        <v>1</v>
      </c>
      <c r="S71">
        <v>0</v>
      </c>
      <c r="T71">
        <v>0</v>
      </c>
      <c r="U71">
        <v>0</v>
      </c>
      <c r="V71">
        <v>0</v>
      </c>
    </row>
    <row r="72" spans="1:22" x14ac:dyDescent="0.2">
      <c r="A72" t="s">
        <v>267</v>
      </c>
      <c r="B72" t="s">
        <v>108</v>
      </c>
      <c r="C72" t="s">
        <v>41</v>
      </c>
      <c r="D72" t="s">
        <v>61</v>
      </c>
      <c r="E72" t="s">
        <v>37</v>
      </c>
      <c r="F72" t="s">
        <v>65</v>
      </c>
      <c r="G72" t="s">
        <v>59</v>
      </c>
      <c r="H72" t="s">
        <v>48</v>
      </c>
      <c r="I72">
        <v>0</v>
      </c>
      <c r="J72">
        <v>1</v>
      </c>
      <c r="K72">
        <v>1</v>
      </c>
      <c r="L72">
        <v>0</v>
      </c>
      <c r="M72">
        <v>0</v>
      </c>
      <c r="N72">
        <v>0</v>
      </c>
      <c r="O72">
        <v>1</v>
      </c>
      <c r="P72">
        <v>0</v>
      </c>
      <c r="Q72">
        <v>0</v>
      </c>
      <c r="R72">
        <v>0</v>
      </c>
      <c r="S72">
        <v>0</v>
      </c>
      <c r="T72">
        <v>0</v>
      </c>
      <c r="U72">
        <v>0</v>
      </c>
      <c r="V72">
        <v>1</v>
      </c>
    </row>
    <row r="73" spans="1:22" x14ac:dyDescent="0.2">
      <c r="A73" t="s">
        <v>267</v>
      </c>
      <c r="B73" t="s">
        <v>108</v>
      </c>
      <c r="C73" t="s">
        <v>41</v>
      </c>
      <c r="D73" t="s">
        <v>55</v>
      </c>
      <c r="E73" t="s">
        <v>37</v>
      </c>
      <c r="F73" t="s">
        <v>48</v>
      </c>
      <c r="G73" t="s">
        <v>65</v>
      </c>
      <c r="H73" t="s">
        <v>46</v>
      </c>
      <c r="I73">
        <v>0</v>
      </c>
      <c r="J73">
        <v>1</v>
      </c>
      <c r="K73">
        <v>1</v>
      </c>
      <c r="L73">
        <v>0</v>
      </c>
      <c r="M73">
        <v>1</v>
      </c>
      <c r="N73">
        <v>0</v>
      </c>
      <c r="O73">
        <v>1</v>
      </c>
      <c r="P73">
        <v>0</v>
      </c>
      <c r="Q73">
        <v>0</v>
      </c>
      <c r="R73">
        <v>0</v>
      </c>
      <c r="S73">
        <v>0</v>
      </c>
      <c r="T73">
        <v>0</v>
      </c>
      <c r="U73">
        <v>0</v>
      </c>
      <c r="V73">
        <v>1</v>
      </c>
    </row>
    <row r="74" spans="1:22" x14ac:dyDescent="0.2">
      <c r="A74" t="s">
        <v>271</v>
      </c>
      <c r="B74" t="s">
        <v>33</v>
      </c>
      <c r="C74" t="s">
        <v>41</v>
      </c>
      <c r="D74" t="s">
        <v>55</v>
      </c>
      <c r="E74" t="s">
        <v>37</v>
      </c>
      <c r="F74" t="s">
        <v>65</v>
      </c>
      <c r="G74" t="s">
        <v>48</v>
      </c>
      <c r="H74" t="s">
        <v>59</v>
      </c>
      <c r="I74">
        <v>0</v>
      </c>
      <c r="J74">
        <v>1</v>
      </c>
      <c r="K74">
        <v>1</v>
      </c>
      <c r="L74">
        <v>0</v>
      </c>
      <c r="M74">
        <v>0</v>
      </c>
      <c r="N74">
        <v>0</v>
      </c>
      <c r="O74">
        <v>1</v>
      </c>
      <c r="P74">
        <v>0</v>
      </c>
      <c r="Q74">
        <v>0</v>
      </c>
      <c r="R74">
        <v>0</v>
      </c>
      <c r="S74">
        <v>0</v>
      </c>
      <c r="T74">
        <v>0</v>
      </c>
      <c r="U74">
        <v>0</v>
      </c>
      <c r="V74">
        <v>1</v>
      </c>
    </row>
    <row r="75" spans="1:22" x14ac:dyDescent="0.2">
      <c r="A75" t="s">
        <v>271</v>
      </c>
      <c r="B75" t="s">
        <v>33</v>
      </c>
      <c r="C75" t="s">
        <v>41</v>
      </c>
      <c r="D75" t="s">
        <v>42</v>
      </c>
      <c r="E75" t="s">
        <v>37</v>
      </c>
      <c r="F75" t="s">
        <v>48</v>
      </c>
      <c r="G75" t="s">
        <v>47</v>
      </c>
      <c r="H75" t="s">
        <v>65</v>
      </c>
      <c r="I75">
        <v>0</v>
      </c>
      <c r="J75">
        <v>1</v>
      </c>
      <c r="K75">
        <v>1</v>
      </c>
      <c r="L75">
        <v>1</v>
      </c>
      <c r="M75">
        <v>0</v>
      </c>
      <c r="N75">
        <v>0</v>
      </c>
      <c r="O75">
        <v>1</v>
      </c>
      <c r="P75">
        <v>0</v>
      </c>
      <c r="Q75">
        <v>1</v>
      </c>
      <c r="R75">
        <v>0</v>
      </c>
      <c r="S75">
        <v>1</v>
      </c>
      <c r="T75">
        <v>0</v>
      </c>
      <c r="U75">
        <v>0</v>
      </c>
      <c r="V75">
        <v>0</v>
      </c>
    </row>
    <row r="76" spans="1:22" x14ac:dyDescent="0.2">
      <c r="A76" t="s">
        <v>271</v>
      </c>
      <c r="B76" t="s">
        <v>33</v>
      </c>
      <c r="C76" t="s">
        <v>41</v>
      </c>
      <c r="D76" t="s">
        <v>61</v>
      </c>
      <c r="E76" t="s">
        <v>37</v>
      </c>
      <c r="F76" t="s">
        <v>46</v>
      </c>
      <c r="G76" t="s">
        <v>65</v>
      </c>
      <c r="H76" t="s">
        <v>48</v>
      </c>
      <c r="I76">
        <v>0</v>
      </c>
      <c r="J76">
        <v>1</v>
      </c>
      <c r="K76">
        <v>1</v>
      </c>
      <c r="L76">
        <v>0</v>
      </c>
      <c r="M76">
        <v>1</v>
      </c>
      <c r="N76">
        <v>0</v>
      </c>
      <c r="O76">
        <v>1</v>
      </c>
      <c r="P76">
        <v>0</v>
      </c>
      <c r="Q76">
        <v>1</v>
      </c>
      <c r="R76">
        <v>1</v>
      </c>
      <c r="S76">
        <v>0</v>
      </c>
      <c r="T76">
        <v>1</v>
      </c>
      <c r="U76">
        <v>0</v>
      </c>
      <c r="V76">
        <v>0</v>
      </c>
    </row>
    <row r="77" spans="1:22" x14ac:dyDescent="0.2">
      <c r="A77" t="s">
        <v>282</v>
      </c>
      <c r="B77" t="s">
        <v>108</v>
      </c>
      <c r="C77" t="s">
        <v>41</v>
      </c>
      <c r="D77" t="s">
        <v>67</v>
      </c>
      <c r="E77" t="s">
        <v>37</v>
      </c>
      <c r="F77" t="s">
        <v>48</v>
      </c>
      <c r="G77" t="s">
        <v>59</v>
      </c>
      <c r="H77" t="s">
        <v>65</v>
      </c>
      <c r="I77">
        <v>0</v>
      </c>
      <c r="J77">
        <v>1</v>
      </c>
      <c r="K77">
        <v>1</v>
      </c>
      <c r="L77">
        <v>0</v>
      </c>
      <c r="M77">
        <v>0</v>
      </c>
      <c r="N77">
        <v>0</v>
      </c>
      <c r="O77">
        <v>1</v>
      </c>
      <c r="P77">
        <v>0</v>
      </c>
      <c r="Q77">
        <v>1</v>
      </c>
      <c r="R77">
        <v>0</v>
      </c>
      <c r="S77">
        <v>0</v>
      </c>
      <c r="T77">
        <v>0</v>
      </c>
      <c r="U77">
        <v>0</v>
      </c>
      <c r="V77">
        <v>0</v>
      </c>
    </row>
    <row r="78" spans="1:22" x14ac:dyDescent="0.2">
      <c r="A78" t="s">
        <v>282</v>
      </c>
      <c r="B78" t="s">
        <v>108</v>
      </c>
      <c r="C78" t="s">
        <v>41</v>
      </c>
      <c r="D78" t="s">
        <v>55</v>
      </c>
      <c r="E78" t="s">
        <v>37</v>
      </c>
      <c r="F78" t="s">
        <v>60</v>
      </c>
      <c r="G78" t="s">
        <v>48</v>
      </c>
      <c r="H78" t="s">
        <v>65</v>
      </c>
      <c r="I78">
        <v>1</v>
      </c>
      <c r="J78">
        <v>1</v>
      </c>
      <c r="K78">
        <v>1</v>
      </c>
      <c r="L78">
        <v>0</v>
      </c>
      <c r="M78">
        <v>0</v>
      </c>
      <c r="N78">
        <v>0</v>
      </c>
      <c r="O78">
        <v>1</v>
      </c>
      <c r="P78">
        <v>1</v>
      </c>
      <c r="Q78">
        <v>0</v>
      </c>
      <c r="R78">
        <v>0</v>
      </c>
      <c r="S78">
        <v>0</v>
      </c>
      <c r="T78">
        <v>0</v>
      </c>
      <c r="U78">
        <v>0</v>
      </c>
      <c r="V78">
        <v>0</v>
      </c>
    </row>
    <row r="79" spans="1:22" x14ac:dyDescent="0.2">
      <c r="A79" t="s">
        <v>282</v>
      </c>
      <c r="B79" t="s">
        <v>108</v>
      </c>
      <c r="C79" t="s">
        <v>41</v>
      </c>
      <c r="D79" t="s">
        <v>61</v>
      </c>
      <c r="E79" t="s">
        <v>37</v>
      </c>
      <c r="F79" t="s">
        <v>46</v>
      </c>
      <c r="G79" t="s">
        <v>65</v>
      </c>
      <c r="H79" t="s">
        <v>48</v>
      </c>
      <c r="I79">
        <v>0</v>
      </c>
      <c r="J79">
        <v>1</v>
      </c>
      <c r="K79">
        <v>1</v>
      </c>
      <c r="L79">
        <v>0</v>
      </c>
      <c r="M79">
        <v>1</v>
      </c>
      <c r="N79">
        <v>0</v>
      </c>
      <c r="O79">
        <v>1</v>
      </c>
      <c r="P79">
        <v>0</v>
      </c>
      <c r="Q79">
        <v>1</v>
      </c>
      <c r="R79">
        <v>0</v>
      </c>
      <c r="S79">
        <v>0</v>
      </c>
      <c r="T79">
        <v>0</v>
      </c>
      <c r="U79">
        <v>0</v>
      </c>
      <c r="V79">
        <v>0</v>
      </c>
    </row>
    <row r="80" spans="1:22" x14ac:dyDescent="0.2">
      <c r="A80" t="s">
        <v>282</v>
      </c>
      <c r="B80" t="s">
        <v>108</v>
      </c>
      <c r="C80" t="s">
        <v>41</v>
      </c>
      <c r="D80" t="s">
        <v>49</v>
      </c>
      <c r="E80" t="s">
        <v>37</v>
      </c>
      <c r="F80" t="s">
        <v>65</v>
      </c>
      <c r="G80" t="s">
        <v>48</v>
      </c>
      <c r="H80" t="s">
        <v>59</v>
      </c>
      <c r="I80">
        <v>0</v>
      </c>
      <c r="J80">
        <v>1</v>
      </c>
      <c r="K80">
        <v>1</v>
      </c>
      <c r="L80">
        <v>0</v>
      </c>
      <c r="M80">
        <v>0</v>
      </c>
      <c r="N80">
        <v>0</v>
      </c>
      <c r="O80">
        <v>1</v>
      </c>
      <c r="P80">
        <v>0</v>
      </c>
      <c r="Q80">
        <v>1</v>
      </c>
      <c r="R80">
        <v>0</v>
      </c>
      <c r="S80">
        <v>0</v>
      </c>
      <c r="T80">
        <v>0</v>
      </c>
      <c r="U80">
        <v>0</v>
      </c>
      <c r="V80">
        <v>0</v>
      </c>
    </row>
    <row r="81" spans="1:22" x14ac:dyDescent="0.2">
      <c r="A81" t="s">
        <v>285</v>
      </c>
      <c r="B81" t="s">
        <v>188</v>
      </c>
      <c r="C81" t="s">
        <v>41</v>
      </c>
      <c r="D81" t="s">
        <v>67</v>
      </c>
      <c r="E81" t="s">
        <v>37</v>
      </c>
      <c r="F81" t="s">
        <v>47</v>
      </c>
      <c r="G81" t="s">
        <v>65</v>
      </c>
      <c r="H81" t="s">
        <v>48</v>
      </c>
      <c r="I81">
        <v>0</v>
      </c>
      <c r="J81">
        <v>1</v>
      </c>
      <c r="K81">
        <v>1</v>
      </c>
      <c r="L81">
        <v>1</v>
      </c>
      <c r="M81">
        <v>0</v>
      </c>
      <c r="N81">
        <v>0</v>
      </c>
      <c r="O81">
        <v>1</v>
      </c>
      <c r="P81">
        <v>0</v>
      </c>
      <c r="Q81">
        <v>0</v>
      </c>
      <c r="R81">
        <v>0</v>
      </c>
      <c r="S81">
        <v>0</v>
      </c>
      <c r="T81">
        <v>0</v>
      </c>
      <c r="U81">
        <v>0</v>
      </c>
      <c r="V81">
        <v>1</v>
      </c>
    </row>
    <row r="82" spans="1:22" x14ac:dyDescent="0.2">
      <c r="A82" t="s">
        <v>285</v>
      </c>
      <c r="B82" t="s">
        <v>188</v>
      </c>
      <c r="C82" t="s">
        <v>41</v>
      </c>
      <c r="D82" t="s">
        <v>42</v>
      </c>
      <c r="E82" t="s">
        <v>37</v>
      </c>
      <c r="F82" t="s">
        <v>48</v>
      </c>
      <c r="G82" t="s">
        <v>59</v>
      </c>
      <c r="H82" t="s">
        <v>65</v>
      </c>
      <c r="I82">
        <v>0</v>
      </c>
      <c r="J82">
        <v>1</v>
      </c>
      <c r="K82">
        <v>1</v>
      </c>
      <c r="L82">
        <v>0</v>
      </c>
      <c r="M82">
        <v>0</v>
      </c>
      <c r="N82">
        <v>0</v>
      </c>
      <c r="O82">
        <v>1</v>
      </c>
      <c r="P82">
        <v>0</v>
      </c>
      <c r="Q82">
        <v>1</v>
      </c>
      <c r="R82">
        <v>0</v>
      </c>
      <c r="S82">
        <v>0</v>
      </c>
      <c r="T82">
        <v>0</v>
      </c>
      <c r="U82">
        <v>0</v>
      </c>
      <c r="V82">
        <v>0</v>
      </c>
    </row>
    <row r="83" spans="1:22" x14ac:dyDescent="0.2">
      <c r="A83" t="s">
        <v>285</v>
      </c>
      <c r="B83" t="s">
        <v>188</v>
      </c>
      <c r="C83" t="s">
        <v>41</v>
      </c>
      <c r="D83" t="s">
        <v>61</v>
      </c>
      <c r="E83" t="s">
        <v>37</v>
      </c>
      <c r="F83" t="s">
        <v>65</v>
      </c>
      <c r="G83" t="s">
        <v>48</v>
      </c>
      <c r="H83" t="s">
        <v>59</v>
      </c>
      <c r="I83">
        <v>0</v>
      </c>
      <c r="J83">
        <v>1</v>
      </c>
      <c r="K83">
        <v>1</v>
      </c>
      <c r="L83">
        <v>0</v>
      </c>
      <c r="M83">
        <v>0</v>
      </c>
      <c r="N83">
        <v>0</v>
      </c>
      <c r="O83">
        <v>1</v>
      </c>
      <c r="P83">
        <v>0</v>
      </c>
      <c r="Q83">
        <v>1</v>
      </c>
      <c r="R83">
        <v>0</v>
      </c>
      <c r="S83">
        <v>0</v>
      </c>
      <c r="T83">
        <v>0</v>
      </c>
      <c r="U83">
        <v>0</v>
      </c>
      <c r="V83">
        <v>0</v>
      </c>
    </row>
    <row r="84" spans="1:22" x14ac:dyDescent="0.2">
      <c r="A84" t="s">
        <v>288</v>
      </c>
      <c r="B84" t="s">
        <v>33</v>
      </c>
      <c r="C84" t="s">
        <v>41</v>
      </c>
      <c r="D84" t="s">
        <v>61</v>
      </c>
      <c r="E84" t="s">
        <v>37</v>
      </c>
      <c r="F84" t="s">
        <v>65</v>
      </c>
      <c r="G84" t="s">
        <v>46</v>
      </c>
      <c r="H84" t="s">
        <v>48</v>
      </c>
      <c r="I84">
        <v>0</v>
      </c>
      <c r="J84">
        <v>1</v>
      </c>
      <c r="K84">
        <v>1</v>
      </c>
      <c r="L84">
        <v>0</v>
      </c>
      <c r="M84">
        <v>1</v>
      </c>
      <c r="N84">
        <v>0</v>
      </c>
      <c r="O84">
        <v>1</v>
      </c>
      <c r="P84">
        <v>0</v>
      </c>
      <c r="Q84">
        <v>1</v>
      </c>
      <c r="R84">
        <v>0</v>
      </c>
      <c r="S84">
        <v>0</v>
      </c>
      <c r="T84">
        <v>0</v>
      </c>
      <c r="U84">
        <v>0</v>
      </c>
      <c r="V84">
        <v>1</v>
      </c>
    </row>
    <row r="85" spans="1:22" x14ac:dyDescent="0.2">
      <c r="A85" t="s">
        <v>288</v>
      </c>
      <c r="B85" t="s">
        <v>33</v>
      </c>
      <c r="C85" t="s">
        <v>41</v>
      </c>
      <c r="D85" t="s">
        <v>49</v>
      </c>
      <c r="E85" t="s">
        <v>37</v>
      </c>
      <c r="F85" t="s">
        <v>65</v>
      </c>
      <c r="G85" t="s">
        <v>47</v>
      </c>
      <c r="H85" t="s">
        <v>48</v>
      </c>
      <c r="I85">
        <v>0</v>
      </c>
      <c r="J85">
        <v>1</v>
      </c>
      <c r="K85">
        <v>1</v>
      </c>
      <c r="L85">
        <v>1</v>
      </c>
      <c r="M85">
        <v>0</v>
      </c>
      <c r="N85">
        <v>0</v>
      </c>
      <c r="O85">
        <v>1</v>
      </c>
      <c r="P85">
        <v>0</v>
      </c>
      <c r="Q85">
        <v>1</v>
      </c>
      <c r="R85">
        <v>0</v>
      </c>
      <c r="S85">
        <v>1</v>
      </c>
      <c r="T85">
        <v>0</v>
      </c>
      <c r="U85">
        <v>0</v>
      </c>
      <c r="V85">
        <v>0</v>
      </c>
    </row>
    <row r="86" spans="1:22" x14ac:dyDescent="0.2">
      <c r="A86" t="s">
        <v>292</v>
      </c>
      <c r="B86" t="s">
        <v>108</v>
      </c>
      <c r="C86" t="s">
        <v>41</v>
      </c>
      <c r="D86" t="s">
        <v>42</v>
      </c>
      <c r="E86" t="s">
        <v>37</v>
      </c>
      <c r="F86" t="s">
        <v>48</v>
      </c>
      <c r="G86" t="s">
        <v>59</v>
      </c>
      <c r="H86" t="s">
        <v>65</v>
      </c>
      <c r="I86">
        <v>0</v>
      </c>
      <c r="J86">
        <v>1</v>
      </c>
      <c r="K86">
        <v>1</v>
      </c>
      <c r="L86">
        <v>0</v>
      </c>
      <c r="M86">
        <v>0</v>
      </c>
      <c r="N86">
        <v>0</v>
      </c>
      <c r="O86">
        <v>1</v>
      </c>
      <c r="P86">
        <v>0</v>
      </c>
      <c r="Q86">
        <v>1</v>
      </c>
      <c r="R86">
        <v>1</v>
      </c>
      <c r="S86">
        <v>0</v>
      </c>
      <c r="T86">
        <v>0</v>
      </c>
      <c r="U86">
        <v>0</v>
      </c>
      <c r="V86">
        <v>0</v>
      </c>
    </row>
    <row r="87" spans="1:22" x14ac:dyDescent="0.2">
      <c r="A87" t="s">
        <v>292</v>
      </c>
      <c r="B87" t="s">
        <v>108</v>
      </c>
      <c r="C87" t="s">
        <v>41</v>
      </c>
      <c r="D87" t="s">
        <v>72</v>
      </c>
      <c r="E87" t="s">
        <v>37</v>
      </c>
      <c r="F87" t="s">
        <v>48</v>
      </c>
      <c r="G87" t="s">
        <v>46</v>
      </c>
      <c r="H87" t="s">
        <v>65</v>
      </c>
      <c r="I87">
        <v>0</v>
      </c>
      <c r="J87">
        <v>1</v>
      </c>
      <c r="K87">
        <v>1</v>
      </c>
      <c r="L87">
        <v>0</v>
      </c>
      <c r="M87">
        <v>1</v>
      </c>
      <c r="N87">
        <v>0</v>
      </c>
      <c r="O87">
        <v>1</v>
      </c>
      <c r="P87">
        <v>0</v>
      </c>
      <c r="Q87">
        <v>1</v>
      </c>
      <c r="R87">
        <v>1</v>
      </c>
      <c r="S87">
        <v>0</v>
      </c>
      <c r="T87">
        <v>1</v>
      </c>
      <c r="U87">
        <v>0</v>
      </c>
      <c r="V87">
        <v>0</v>
      </c>
    </row>
    <row r="88" spans="1:22" x14ac:dyDescent="0.2">
      <c r="A88" t="s">
        <v>292</v>
      </c>
      <c r="B88" t="s">
        <v>108</v>
      </c>
      <c r="C88" t="s">
        <v>41</v>
      </c>
      <c r="D88" t="s">
        <v>55</v>
      </c>
      <c r="E88" t="s">
        <v>37</v>
      </c>
      <c r="F88" t="s">
        <v>48</v>
      </c>
      <c r="G88" t="s">
        <v>65</v>
      </c>
      <c r="H88" t="s">
        <v>60</v>
      </c>
      <c r="I88">
        <v>1</v>
      </c>
      <c r="J88">
        <v>1</v>
      </c>
      <c r="K88">
        <v>1</v>
      </c>
      <c r="L88">
        <v>0</v>
      </c>
      <c r="M88">
        <v>0</v>
      </c>
      <c r="N88">
        <v>0</v>
      </c>
      <c r="O88">
        <v>1</v>
      </c>
      <c r="P88">
        <v>1</v>
      </c>
      <c r="Q88">
        <v>1</v>
      </c>
      <c r="R88">
        <v>1</v>
      </c>
      <c r="S88">
        <v>0</v>
      </c>
      <c r="T88">
        <v>0</v>
      </c>
      <c r="U88">
        <v>0</v>
      </c>
      <c r="V88">
        <v>0</v>
      </c>
    </row>
    <row r="89" spans="1:22" x14ac:dyDescent="0.2">
      <c r="A89" t="s">
        <v>295</v>
      </c>
      <c r="B89" t="s">
        <v>33</v>
      </c>
      <c r="C89" t="s">
        <v>41</v>
      </c>
      <c r="D89" t="s">
        <v>49</v>
      </c>
      <c r="E89" t="s">
        <v>37</v>
      </c>
      <c r="F89" t="s">
        <v>48</v>
      </c>
      <c r="G89" t="s">
        <v>65</v>
      </c>
      <c r="H89" t="s">
        <v>46</v>
      </c>
      <c r="I89">
        <v>0</v>
      </c>
      <c r="J89">
        <v>1</v>
      </c>
      <c r="K89">
        <v>1</v>
      </c>
      <c r="L89">
        <v>0</v>
      </c>
      <c r="M89">
        <v>1</v>
      </c>
      <c r="N89">
        <v>0</v>
      </c>
      <c r="O89">
        <v>1</v>
      </c>
      <c r="P89">
        <v>0</v>
      </c>
      <c r="Q89">
        <v>0</v>
      </c>
      <c r="R89">
        <v>0</v>
      </c>
      <c r="S89">
        <v>0</v>
      </c>
      <c r="T89">
        <v>0</v>
      </c>
      <c r="U89">
        <v>0</v>
      </c>
      <c r="V89">
        <v>1</v>
      </c>
    </row>
    <row r="90" spans="1:22" x14ac:dyDescent="0.2">
      <c r="A90" t="s">
        <v>295</v>
      </c>
      <c r="B90" t="s">
        <v>33</v>
      </c>
      <c r="C90" t="s">
        <v>41</v>
      </c>
      <c r="D90" t="s">
        <v>55</v>
      </c>
      <c r="E90" t="s">
        <v>37</v>
      </c>
      <c r="F90" t="s">
        <v>48</v>
      </c>
      <c r="G90" t="s">
        <v>65</v>
      </c>
      <c r="H90" t="s">
        <v>59</v>
      </c>
      <c r="I90">
        <v>0</v>
      </c>
      <c r="J90">
        <v>1</v>
      </c>
      <c r="K90">
        <v>1</v>
      </c>
      <c r="L90">
        <v>0</v>
      </c>
      <c r="M90">
        <v>0</v>
      </c>
      <c r="N90">
        <v>0</v>
      </c>
      <c r="O90">
        <v>1</v>
      </c>
      <c r="P90">
        <v>0</v>
      </c>
      <c r="Q90">
        <v>1</v>
      </c>
      <c r="R90">
        <v>0</v>
      </c>
      <c r="S90">
        <v>0</v>
      </c>
      <c r="T90">
        <v>0</v>
      </c>
      <c r="U90">
        <v>0</v>
      </c>
      <c r="V90">
        <v>0</v>
      </c>
    </row>
    <row r="91" spans="1:22" x14ac:dyDescent="0.2">
      <c r="A91" t="s">
        <v>302</v>
      </c>
      <c r="B91" t="s">
        <v>33</v>
      </c>
      <c r="C91" t="s">
        <v>41</v>
      </c>
      <c r="D91" t="s">
        <v>55</v>
      </c>
      <c r="E91" t="s">
        <v>37</v>
      </c>
      <c r="F91" t="s">
        <v>59</v>
      </c>
      <c r="G91" t="s">
        <v>65</v>
      </c>
      <c r="H91" t="s">
        <v>48</v>
      </c>
      <c r="I91">
        <v>0</v>
      </c>
      <c r="J91">
        <v>1</v>
      </c>
      <c r="K91">
        <v>1</v>
      </c>
      <c r="L91">
        <v>0</v>
      </c>
      <c r="M91">
        <v>0</v>
      </c>
      <c r="N91">
        <v>0</v>
      </c>
      <c r="O91">
        <v>1</v>
      </c>
      <c r="P91">
        <v>0</v>
      </c>
      <c r="Q91">
        <v>1</v>
      </c>
      <c r="R91">
        <v>0</v>
      </c>
      <c r="S91">
        <v>0</v>
      </c>
      <c r="T91">
        <v>0</v>
      </c>
      <c r="U91">
        <v>0</v>
      </c>
      <c r="V91">
        <v>0</v>
      </c>
    </row>
    <row r="92" spans="1:22" x14ac:dyDescent="0.2">
      <c r="A92" t="s">
        <v>302</v>
      </c>
      <c r="B92" t="s">
        <v>33</v>
      </c>
      <c r="C92" t="s">
        <v>41</v>
      </c>
      <c r="D92" t="s">
        <v>72</v>
      </c>
      <c r="E92" t="s">
        <v>37</v>
      </c>
      <c r="F92" t="s">
        <v>48</v>
      </c>
      <c r="G92" t="s">
        <v>65</v>
      </c>
      <c r="H92" t="s">
        <v>46</v>
      </c>
      <c r="I92">
        <v>0</v>
      </c>
      <c r="J92">
        <v>1</v>
      </c>
      <c r="K92">
        <v>1</v>
      </c>
      <c r="L92">
        <v>0</v>
      </c>
      <c r="M92">
        <v>1</v>
      </c>
      <c r="N92">
        <v>0</v>
      </c>
      <c r="O92">
        <v>1</v>
      </c>
      <c r="P92">
        <v>0</v>
      </c>
      <c r="Q92">
        <v>0</v>
      </c>
      <c r="R92">
        <v>0</v>
      </c>
      <c r="S92">
        <v>0</v>
      </c>
      <c r="T92">
        <v>0</v>
      </c>
      <c r="U92">
        <v>0</v>
      </c>
      <c r="V92">
        <v>1</v>
      </c>
    </row>
    <row r="93" spans="1:22" x14ac:dyDescent="0.2">
      <c r="A93" t="s">
        <v>305</v>
      </c>
      <c r="B93" t="s">
        <v>108</v>
      </c>
      <c r="C93" t="s">
        <v>41</v>
      </c>
      <c r="D93" t="s">
        <v>55</v>
      </c>
      <c r="E93" t="s">
        <v>37</v>
      </c>
      <c r="F93" t="s">
        <v>60</v>
      </c>
      <c r="G93" t="s">
        <v>65</v>
      </c>
      <c r="H93" t="s">
        <v>48</v>
      </c>
      <c r="I93">
        <v>1</v>
      </c>
      <c r="J93">
        <v>1</v>
      </c>
      <c r="K93">
        <v>1</v>
      </c>
      <c r="L93">
        <v>0</v>
      </c>
      <c r="M93">
        <v>0</v>
      </c>
      <c r="N93">
        <v>0</v>
      </c>
      <c r="O93">
        <v>1</v>
      </c>
      <c r="P93">
        <v>0</v>
      </c>
      <c r="Q93">
        <v>1</v>
      </c>
      <c r="R93">
        <v>0</v>
      </c>
      <c r="S93">
        <v>0</v>
      </c>
      <c r="T93">
        <v>0</v>
      </c>
      <c r="U93">
        <v>0</v>
      </c>
      <c r="V93">
        <v>0</v>
      </c>
    </row>
    <row r="94" spans="1:22" x14ac:dyDescent="0.2">
      <c r="A94" t="s">
        <v>305</v>
      </c>
      <c r="B94" t="s">
        <v>108</v>
      </c>
      <c r="C94" t="s">
        <v>41</v>
      </c>
      <c r="D94" t="s">
        <v>72</v>
      </c>
      <c r="E94" t="s">
        <v>37</v>
      </c>
      <c r="F94" t="s">
        <v>47</v>
      </c>
      <c r="G94" t="s">
        <v>48</v>
      </c>
      <c r="H94" t="s">
        <v>65</v>
      </c>
      <c r="I94">
        <v>0</v>
      </c>
      <c r="J94">
        <v>1</v>
      </c>
      <c r="K94">
        <v>1</v>
      </c>
      <c r="L94">
        <v>1</v>
      </c>
      <c r="M94">
        <v>0</v>
      </c>
      <c r="N94">
        <v>0</v>
      </c>
      <c r="O94">
        <v>1</v>
      </c>
      <c r="P94">
        <v>0</v>
      </c>
      <c r="Q94">
        <v>1</v>
      </c>
      <c r="R94">
        <v>0</v>
      </c>
      <c r="S94">
        <v>0</v>
      </c>
      <c r="T94">
        <v>0</v>
      </c>
      <c r="U94">
        <v>0</v>
      </c>
      <c r="V94">
        <v>0</v>
      </c>
    </row>
    <row r="95" spans="1:22" x14ac:dyDescent="0.2">
      <c r="A95" t="s">
        <v>305</v>
      </c>
      <c r="B95" t="s">
        <v>108</v>
      </c>
      <c r="C95" t="s">
        <v>41</v>
      </c>
      <c r="D95" t="s">
        <v>42</v>
      </c>
      <c r="E95" t="s">
        <v>37</v>
      </c>
      <c r="F95" t="s">
        <v>65</v>
      </c>
      <c r="G95" t="s">
        <v>47</v>
      </c>
      <c r="H95" t="s">
        <v>48</v>
      </c>
      <c r="I95">
        <v>0</v>
      </c>
      <c r="J95">
        <v>1</v>
      </c>
      <c r="K95">
        <v>1</v>
      </c>
      <c r="L95">
        <v>1</v>
      </c>
      <c r="M95">
        <v>0</v>
      </c>
      <c r="N95">
        <v>0</v>
      </c>
      <c r="O95">
        <v>1</v>
      </c>
      <c r="P95">
        <v>0</v>
      </c>
      <c r="Q95">
        <v>1</v>
      </c>
      <c r="R95">
        <v>0</v>
      </c>
      <c r="S95">
        <v>0</v>
      </c>
      <c r="T95">
        <v>0</v>
      </c>
      <c r="U95">
        <v>0</v>
      </c>
      <c r="V95">
        <v>0</v>
      </c>
    </row>
    <row r="96" spans="1:22" x14ac:dyDescent="0.2">
      <c r="A96" t="s">
        <v>313</v>
      </c>
      <c r="B96" t="s">
        <v>108</v>
      </c>
      <c r="C96" t="s">
        <v>41</v>
      </c>
      <c r="D96" t="s">
        <v>49</v>
      </c>
      <c r="E96" t="s">
        <v>37</v>
      </c>
      <c r="F96" t="s">
        <v>65</v>
      </c>
      <c r="G96" t="s">
        <v>48</v>
      </c>
      <c r="H96" t="s">
        <v>60</v>
      </c>
      <c r="I96">
        <v>1</v>
      </c>
      <c r="J96">
        <v>1</v>
      </c>
      <c r="K96">
        <v>1</v>
      </c>
      <c r="L96">
        <v>0</v>
      </c>
      <c r="M96">
        <v>0</v>
      </c>
      <c r="N96">
        <v>0</v>
      </c>
      <c r="O96">
        <v>1</v>
      </c>
      <c r="P96">
        <v>0</v>
      </c>
      <c r="Q96">
        <v>1</v>
      </c>
      <c r="R96">
        <v>0</v>
      </c>
      <c r="S96">
        <v>0</v>
      </c>
      <c r="T96">
        <v>0</v>
      </c>
      <c r="U96">
        <v>0</v>
      </c>
      <c r="V96">
        <v>0</v>
      </c>
    </row>
    <row r="97" spans="1:22" x14ac:dyDescent="0.2">
      <c r="A97" t="s">
        <v>317</v>
      </c>
      <c r="B97" t="s">
        <v>108</v>
      </c>
      <c r="C97" t="s">
        <v>41</v>
      </c>
      <c r="D97" t="s">
        <v>42</v>
      </c>
      <c r="E97" t="s">
        <v>37</v>
      </c>
      <c r="F97" t="s">
        <v>65</v>
      </c>
      <c r="G97" t="s">
        <v>48</v>
      </c>
      <c r="H97" t="s">
        <v>47</v>
      </c>
      <c r="I97">
        <v>0</v>
      </c>
      <c r="J97">
        <v>1</v>
      </c>
      <c r="K97">
        <v>1</v>
      </c>
      <c r="L97">
        <v>1</v>
      </c>
      <c r="M97">
        <v>0</v>
      </c>
      <c r="N97">
        <v>0</v>
      </c>
      <c r="O97">
        <v>1</v>
      </c>
      <c r="P97">
        <v>0</v>
      </c>
      <c r="Q97">
        <v>1</v>
      </c>
      <c r="R97">
        <v>1</v>
      </c>
      <c r="S97">
        <v>1</v>
      </c>
      <c r="T97">
        <v>0</v>
      </c>
      <c r="U97">
        <v>0</v>
      </c>
      <c r="V97">
        <v>0</v>
      </c>
    </row>
    <row r="98" spans="1:22" x14ac:dyDescent="0.2">
      <c r="A98" t="s">
        <v>317</v>
      </c>
      <c r="B98" t="s">
        <v>108</v>
      </c>
      <c r="C98" t="s">
        <v>41</v>
      </c>
      <c r="D98" t="s">
        <v>49</v>
      </c>
      <c r="E98" t="s">
        <v>37</v>
      </c>
      <c r="F98" t="s">
        <v>47</v>
      </c>
      <c r="G98" t="s">
        <v>48</v>
      </c>
      <c r="H98" t="s">
        <v>65</v>
      </c>
      <c r="I98">
        <v>0</v>
      </c>
      <c r="J98">
        <v>1</v>
      </c>
      <c r="K98">
        <v>1</v>
      </c>
      <c r="L98">
        <v>1</v>
      </c>
      <c r="M98">
        <v>0</v>
      </c>
      <c r="N98">
        <v>0</v>
      </c>
      <c r="O98">
        <v>1</v>
      </c>
      <c r="P98">
        <v>0</v>
      </c>
      <c r="Q98">
        <v>0</v>
      </c>
      <c r="R98">
        <v>0</v>
      </c>
      <c r="S98">
        <v>0</v>
      </c>
      <c r="T98">
        <v>0</v>
      </c>
      <c r="U98">
        <v>0</v>
      </c>
      <c r="V98">
        <v>1</v>
      </c>
    </row>
    <row r="99" spans="1:22" x14ac:dyDescent="0.2">
      <c r="A99" t="s">
        <v>320</v>
      </c>
      <c r="B99" t="s">
        <v>108</v>
      </c>
      <c r="C99" t="s">
        <v>41</v>
      </c>
      <c r="D99" t="s">
        <v>61</v>
      </c>
      <c r="E99" t="s">
        <v>37</v>
      </c>
      <c r="F99" t="s">
        <v>60</v>
      </c>
      <c r="G99" t="s">
        <v>48</v>
      </c>
      <c r="H99" t="s">
        <v>65</v>
      </c>
      <c r="I99">
        <v>1</v>
      </c>
      <c r="J99">
        <v>1</v>
      </c>
      <c r="K99">
        <v>1</v>
      </c>
      <c r="L99">
        <v>0</v>
      </c>
      <c r="M99">
        <v>0</v>
      </c>
      <c r="N99">
        <v>0</v>
      </c>
      <c r="O99">
        <v>1</v>
      </c>
      <c r="P99">
        <v>0</v>
      </c>
      <c r="Q99">
        <v>1</v>
      </c>
      <c r="R99">
        <v>0</v>
      </c>
      <c r="S99">
        <v>0</v>
      </c>
      <c r="T99">
        <v>0</v>
      </c>
      <c r="U99">
        <v>0</v>
      </c>
      <c r="V99">
        <v>0</v>
      </c>
    </row>
    <row r="100" spans="1:22" x14ac:dyDescent="0.2">
      <c r="A100" t="s">
        <v>323</v>
      </c>
      <c r="B100" t="s">
        <v>108</v>
      </c>
      <c r="C100" t="s">
        <v>41</v>
      </c>
      <c r="D100" t="s">
        <v>55</v>
      </c>
      <c r="E100" t="s">
        <v>37</v>
      </c>
      <c r="F100" t="s">
        <v>47</v>
      </c>
      <c r="G100" t="s">
        <v>48</v>
      </c>
      <c r="H100" t="s">
        <v>65</v>
      </c>
      <c r="I100">
        <v>0</v>
      </c>
      <c r="J100">
        <v>1</v>
      </c>
      <c r="K100">
        <v>1</v>
      </c>
      <c r="L100">
        <v>1</v>
      </c>
      <c r="M100">
        <v>0</v>
      </c>
      <c r="N100">
        <v>0</v>
      </c>
      <c r="O100">
        <v>1</v>
      </c>
      <c r="P100">
        <v>0</v>
      </c>
      <c r="Q100">
        <v>0</v>
      </c>
      <c r="R100">
        <v>0</v>
      </c>
      <c r="S100">
        <v>1</v>
      </c>
      <c r="T100">
        <v>0</v>
      </c>
      <c r="U100">
        <v>0</v>
      </c>
      <c r="V100">
        <v>0</v>
      </c>
    </row>
    <row r="101" spans="1:22" x14ac:dyDescent="0.2">
      <c r="A101" t="s">
        <v>326</v>
      </c>
      <c r="B101" t="s">
        <v>33</v>
      </c>
      <c r="C101" t="s">
        <v>41</v>
      </c>
      <c r="D101" t="s">
        <v>67</v>
      </c>
      <c r="E101" t="s">
        <v>37</v>
      </c>
      <c r="F101" t="s">
        <v>48</v>
      </c>
      <c r="G101" t="s">
        <v>65</v>
      </c>
      <c r="H101" t="s">
        <v>60</v>
      </c>
      <c r="I101">
        <v>1</v>
      </c>
      <c r="J101">
        <v>1</v>
      </c>
      <c r="K101">
        <v>1</v>
      </c>
      <c r="L101">
        <v>0</v>
      </c>
      <c r="M101">
        <v>0</v>
      </c>
      <c r="N101">
        <v>0</v>
      </c>
      <c r="O101">
        <v>1</v>
      </c>
      <c r="P101">
        <v>0</v>
      </c>
      <c r="Q101">
        <v>1</v>
      </c>
      <c r="R101">
        <v>0</v>
      </c>
      <c r="S101">
        <v>0</v>
      </c>
      <c r="T101">
        <v>0</v>
      </c>
      <c r="U101">
        <v>0</v>
      </c>
      <c r="V101">
        <v>0</v>
      </c>
    </row>
    <row r="102" spans="1:22" x14ac:dyDescent="0.2">
      <c r="A102" t="s">
        <v>326</v>
      </c>
      <c r="B102" t="s">
        <v>33</v>
      </c>
      <c r="C102" t="s">
        <v>41</v>
      </c>
      <c r="D102" t="s">
        <v>61</v>
      </c>
      <c r="E102" t="s">
        <v>37</v>
      </c>
      <c r="F102" t="s">
        <v>48</v>
      </c>
      <c r="G102" t="s">
        <v>59</v>
      </c>
      <c r="H102" t="s">
        <v>65</v>
      </c>
      <c r="I102">
        <v>0</v>
      </c>
      <c r="J102">
        <v>1</v>
      </c>
      <c r="K102">
        <v>1</v>
      </c>
      <c r="L102">
        <v>0</v>
      </c>
      <c r="M102">
        <v>0</v>
      </c>
      <c r="N102">
        <v>0</v>
      </c>
      <c r="O102">
        <v>1</v>
      </c>
      <c r="P102">
        <v>0</v>
      </c>
      <c r="Q102">
        <v>1</v>
      </c>
      <c r="R102">
        <v>1</v>
      </c>
      <c r="S102">
        <v>0</v>
      </c>
      <c r="T102">
        <v>0</v>
      </c>
      <c r="U102">
        <v>0</v>
      </c>
      <c r="V102">
        <v>0</v>
      </c>
    </row>
    <row r="103" spans="1:22" x14ac:dyDescent="0.2">
      <c r="A103" t="s">
        <v>326</v>
      </c>
      <c r="B103" t="s">
        <v>33</v>
      </c>
      <c r="C103" t="s">
        <v>41</v>
      </c>
      <c r="D103" t="s">
        <v>42</v>
      </c>
      <c r="E103" t="s">
        <v>37</v>
      </c>
      <c r="F103" t="s">
        <v>47</v>
      </c>
      <c r="G103" t="s">
        <v>48</v>
      </c>
      <c r="H103" t="s">
        <v>65</v>
      </c>
      <c r="I103">
        <v>0</v>
      </c>
      <c r="J103">
        <v>1</v>
      </c>
      <c r="K103">
        <v>1</v>
      </c>
      <c r="L103">
        <v>1</v>
      </c>
      <c r="M103">
        <v>0</v>
      </c>
      <c r="N103">
        <v>0</v>
      </c>
      <c r="O103">
        <v>1</v>
      </c>
      <c r="P103">
        <v>0</v>
      </c>
      <c r="Q103">
        <v>1</v>
      </c>
      <c r="R103">
        <v>1</v>
      </c>
      <c r="S103">
        <v>1</v>
      </c>
      <c r="T103">
        <v>0</v>
      </c>
      <c r="U103">
        <v>0</v>
      </c>
      <c r="V103">
        <v>0</v>
      </c>
    </row>
    <row r="104" spans="1:22" x14ac:dyDescent="0.2">
      <c r="A104" t="s">
        <v>334</v>
      </c>
      <c r="B104" t="s">
        <v>33</v>
      </c>
      <c r="C104" t="s">
        <v>41</v>
      </c>
      <c r="D104" t="s">
        <v>72</v>
      </c>
      <c r="E104" t="s">
        <v>37</v>
      </c>
      <c r="F104" t="s">
        <v>48</v>
      </c>
      <c r="G104" t="s">
        <v>46</v>
      </c>
      <c r="H104" t="s">
        <v>65</v>
      </c>
      <c r="I104">
        <v>0</v>
      </c>
      <c r="J104">
        <v>1</v>
      </c>
      <c r="K104">
        <v>1</v>
      </c>
      <c r="L104">
        <v>0</v>
      </c>
      <c r="M104">
        <v>1</v>
      </c>
      <c r="N104">
        <v>0</v>
      </c>
      <c r="O104">
        <v>1</v>
      </c>
      <c r="P104">
        <v>0</v>
      </c>
      <c r="Q104">
        <v>1</v>
      </c>
      <c r="R104">
        <v>0</v>
      </c>
      <c r="S104">
        <v>0</v>
      </c>
      <c r="T104">
        <v>0</v>
      </c>
      <c r="U104">
        <v>0</v>
      </c>
      <c r="V104">
        <v>0</v>
      </c>
    </row>
    <row r="105" spans="1:22" x14ac:dyDescent="0.2">
      <c r="A105" t="s">
        <v>341</v>
      </c>
      <c r="B105" t="s">
        <v>108</v>
      </c>
      <c r="C105" t="s">
        <v>41</v>
      </c>
      <c r="D105" t="s">
        <v>49</v>
      </c>
      <c r="E105" t="s">
        <v>37</v>
      </c>
      <c r="F105" t="s">
        <v>48</v>
      </c>
      <c r="G105" t="s">
        <v>65</v>
      </c>
      <c r="H105" t="s">
        <v>47</v>
      </c>
      <c r="I105">
        <v>0</v>
      </c>
      <c r="J105">
        <v>1</v>
      </c>
      <c r="K105">
        <v>1</v>
      </c>
      <c r="L105">
        <v>1</v>
      </c>
      <c r="M105">
        <v>0</v>
      </c>
      <c r="N105">
        <v>0</v>
      </c>
      <c r="O105">
        <v>1</v>
      </c>
      <c r="P105">
        <v>0</v>
      </c>
      <c r="Q105">
        <v>0</v>
      </c>
      <c r="R105">
        <v>0</v>
      </c>
      <c r="S105">
        <v>0</v>
      </c>
      <c r="T105">
        <v>0</v>
      </c>
      <c r="U105">
        <v>0</v>
      </c>
      <c r="V105">
        <v>1</v>
      </c>
    </row>
    <row r="106" spans="1:22" x14ac:dyDescent="0.2">
      <c r="A106" t="s">
        <v>345</v>
      </c>
      <c r="B106" t="s">
        <v>33</v>
      </c>
      <c r="C106" t="s">
        <v>41</v>
      </c>
      <c r="D106" t="s">
        <v>67</v>
      </c>
      <c r="E106" t="s">
        <v>37</v>
      </c>
      <c r="F106" t="s">
        <v>48</v>
      </c>
      <c r="G106" t="s">
        <v>60</v>
      </c>
      <c r="H106" t="s">
        <v>65</v>
      </c>
      <c r="I106">
        <v>1</v>
      </c>
      <c r="J106">
        <v>1</v>
      </c>
      <c r="K106">
        <v>1</v>
      </c>
      <c r="L106">
        <v>0</v>
      </c>
      <c r="M106">
        <v>0</v>
      </c>
      <c r="N106">
        <v>0</v>
      </c>
      <c r="O106">
        <v>1</v>
      </c>
      <c r="P106">
        <v>1</v>
      </c>
      <c r="Q106">
        <v>0</v>
      </c>
      <c r="R106">
        <v>0</v>
      </c>
      <c r="S106">
        <v>0</v>
      </c>
      <c r="T106">
        <v>0</v>
      </c>
      <c r="U106">
        <v>0</v>
      </c>
      <c r="V106">
        <v>0</v>
      </c>
    </row>
    <row r="107" spans="1:22" x14ac:dyDescent="0.2">
      <c r="A107" t="s">
        <v>345</v>
      </c>
      <c r="B107" t="s">
        <v>33</v>
      </c>
      <c r="C107" t="s">
        <v>41</v>
      </c>
      <c r="D107" t="s">
        <v>61</v>
      </c>
      <c r="E107" t="s">
        <v>37</v>
      </c>
      <c r="F107" t="s">
        <v>47</v>
      </c>
      <c r="G107" t="s">
        <v>48</v>
      </c>
      <c r="H107" t="s">
        <v>65</v>
      </c>
      <c r="I107">
        <v>0</v>
      </c>
      <c r="J107">
        <v>1</v>
      </c>
      <c r="K107">
        <v>1</v>
      </c>
      <c r="L107">
        <v>1</v>
      </c>
      <c r="M107">
        <v>0</v>
      </c>
      <c r="N107">
        <v>0</v>
      </c>
      <c r="O107">
        <v>1</v>
      </c>
      <c r="P107">
        <v>0</v>
      </c>
      <c r="Q107">
        <v>1</v>
      </c>
      <c r="R107">
        <v>0</v>
      </c>
      <c r="S107">
        <v>0</v>
      </c>
      <c r="T107">
        <v>0</v>
      </c>
      <c r="U107">
        <v>0</v>
      </c>
      <c r="V107">
        <v>0</v>
      </c>
    </row>
    <row r="108" spans="1:22" x14ac:dyDescent="0.2">
      <c r="A108" t="s">
        <v>346</v>
      </c>
      <c r="B108" t="s">
        <v>108</v>
      </c>
      <c r="C108" t="s">
        <v>41</v>
      </c>
      <c r="D108" t="s">
        <v>72</v>
      </c>
      <c r="E108" t="s">
        <v>37</v>
      </c>
      <c r="F108" t="s">
        <v>48</v>
      </c>
      <c r="G108" t="s">
        <v>65</v>
      </c>
      <c r="H108" t="s">
        <v>46</v>
      </c>
      <c r="I108">
        <v>0</v>
      </c>
      <c r="J108">
        <v>1</v>
      </c>
      <c r="K108">
        <v>1</v>
      </c>
      <c r="L108">
        <v>0</v>
      </c>
      <c r="M108">
        <v>1</v>
      </c>
      <c r="N108">
        <v>0</v>
      </c>
      <c r="O108">
        <v>1</v>
      </c>
      <c r="P108">
        <v>0</v>
      </c>
      <c r="Q108">
        <v>0</v>
      </c>
      <c r="R108">
        <v>0</v>
      </c>
      <c r="S108">
        <v>0</v>
      </c>
      <c r="T108">
        <v>0</v>
      </c>
      <c r="U108">
        <v>0</v>
      </c>
      <c r="V108">
        <v>1</v>
      </c>
    </row>
    <row r="109" spans="1:22" x14ac:dyDescent="0.2">
      <c r="A109" t="s">
        <v>346</v>
      </c>
      <c r="B109" t="s">
        <v>108</v>
      </c>
      <c r="C109" t="s">
        <v>41</v>
      </c>
      <c r="D109" t="s">
        <v>55</v>
      </c>
      <c r="E109" t="s">
        <v>37</v>
      </c>
      <c r="F109" t="s">
        <v>65</v>
      </c>
      <c r="G109" t="s">
        <v>48</v>
      </c>
      <c r="H109" t="s">
        <v>59</v>
      </c>
      <c r="I109">
        <v>0</v>
      </c>
      <c r="J109">
        <v>1</v>
      </c>
      <c r="K109">
        <v>1</v>
      </c>
      <c r="L109">
        <v>0</v>
      </c>
      <c r="M109">
        <v>0</v>
      </c>
      <c r="N109">
        <v>0</v>
      </c>
      <c r="O109">
        <v>1</v>
      </c>
      <c r="P109">
        <v>0</v>
      </c>
      <c r="Q109">
        <v>1</v>
      </c>
      <c r="R109">
        <v>0</v>
      </c>
      <c r="S109">
        <v>0</v>
      </c>
      <c r="T109">
        <v>0</v>
      </c>
      <c r="U109">
        <v>0</v>
      </c>
      <c r="V109">
        <v>0</v>
      </c>
    </row>
    <row r="110" spans="1:22" x14ac:dyDescent="0.2">
      <c r="A110" t="s">
        <v>350</v>
      </c>
      <c r="B110" t="s">
        <v>33</v>
      </c>
      <c r="C110" t="s">
        <v>41</v>
      </c>
      <c r="D110" t="s">
        <v>67</v>
      </c>
      <c r="E110" t="s">
        <v>37</v>
      </c>
      <c r="F110" t="s">
        <v>47</v>
      </c>
      <c r="G110" t="s">
        <v>65</v>
      </c>
      <c r="H110" t="s">
        <v>48</v>
      </c>
      <c r="I110">
        <v>0</v>
      </c>
      <c r="J110">
        <v>1</v>
      </c>
      <c r="K110">
        <v>1</v>
      </c>
      <c r="L110">
        <v>1</v>
      </c>
      <c r="M110">
        <v>0</v>
      </c>
      <c r="N110">
        <v>0</v>
      </c>
      <c r="O110">
        <v>1</v>
      </c>
      <c r="P110">
        <v>0</v>
      </c>
      <c r="Q110">
        <v>0</v>
      </c>
      <c r="R110">
        <v>1</v>
      </c>
      <c r="S110">
        <v>0</v>
      </c>
      <c r="T110">
        <v>0</v>
      </c>
      <c r="U110">
        <v>0</v>
      </c>
      <c r="V110">
        <v>0</v>
      </c>
    </row>
    <row r="111" spans="1:22" x14ac:dyDescent="0.2">
      <c r="A111" t="s">
        <v>351</v>
      </c>
      <c r="B111" t="s">
        <v>108</v>
      </c>
      <c r="C111" t="s">
        <v>41</v>
      </c>
      <c r="D111" t="s">
        <v>61</v>
      </c>
      <c r="E111" t="s">
        <v>37</v>
      </c>
      <c r="F111" t="s">
        <v>65</v>
      </c>
      <c r="G111" t="s">
        <v>48</v>
      </c>
      <c r="H111" t="s">
        <v>47</v>
      </c>
      <c r="I111">
        <v>0</v>
      </c>
      <c r="J111">
        <v>1</v>
      </c>
      <c r="K111">
        <v>1</v>
      </c>
      <c r="L111">
        <v>1</v>
      </c>
      <c r="M111">
        <v>0</v>
      </c>
      <c r="N111">
        <v>0</v>
      </c>
      <c r="O111">
        <v>1</v>
      </c>
      <c r="P111">
        <v>0</v>
      </c>
      <c r="Q111">
        <v>1</v>
      </c>
      <c r="R111">
        <v>1</v>
      </c>
      <c r="S111">
        <v>1</v>
      </c>
      <c r="T111">
        <v>0</v>
      </c>
      <c r="U111">
        <v>0</v>
      </c>
      <c r="V111">
        <v>0</v>
      </c>
    </row>
    <row r="112" spans="1:22" x14ac:dyDescent="0.2">
      <c r="A112" t="s">
        <v>351</v>
      </c>
      <c r="B112" t="s">
        <v>108</v>
      </c>
      <c r="C112" t="s">
        <v>41</v>
      </c>
      <c r="D112" t="s">
        <v>42</v>
      </c>
      <c r="E112" t="s">
        <v>37</v>
      </c>
      <c r="F112" t="s">
        <v>48</v>
      </c>
      <c r="G112" t="s">
        <v>65</v>
      </c>
      <c r="H112" t="s">
        <v>46</v>
      </c>
      <c r="I112">
        <v>0</v>
      </c>
      <c r="J112">
        <v>1</v>
      </c>
      <c r="K112">
        <v>1</v>
      </c>
      <c r="L112">
        <v>0</v>
      </c>
      <c r="M112">
        <v>1</v>
      </c>
      <c r="N112">
        <v>0</v>
      </c>
      <c r="O112">
        <v>1</v>
      </c>
      <c r="P112">
        <v>0</v>
      </c>
      <c r="Q112">
        <v>1</v>
      </c>
      <c r="R112">
        <v>1</v>
      </c>
      <c r="S112">
        <v>0</v>
      </c>
      <c r="T112">
        <v>1</v>
      </c>
      <c r="U112">
        <v>0</v>
      </c>
      <c r="V112">
        <v>0</v>
      </c>
    </row>
    <row r="113" spans="1:22" x14ac:dyDescent="0.2">
      <c r="A113" t="s">
        <v>354</v>
      </c>
      <c r="B113" t="s">
        <v>33</v>
      </c>
      <c r="C113" t="s">
        <v>41</v>
      </c>
      <c r="D113" t="s">
        <v>61</v>
      </c>
      <c r="E113" t="s">
        <v>37</v>
      </c>
      <c r="F113" t="s">
        <v>59</v>
      </c>
      <c r="G113" t="s">
        <v>48</v>
      </c>
      <c r="H113" t="s">
        <v>65</v>
      </c>
      <c r="I113">
        <v>0</v>
      </c>
      <c r="J113">
        <v>1</v>
      </c>
      <c r="K113">
        <v>1</v>
      </c>
      <c r="L113">
        <v>0</v>
      </c>
      <c r="M113">
        <v>0</v>
      </c>
      <c r="N113">
        <v>0</v>
      </c>
      <c r="O113">
        <v>1</v>
      </c>
      <c r="P113">
        <v>0</v>
      </c>
      <c r="Q113">
        <v>0</v>
      </c>
      <c r="R113">
        <v>0</v>
      </c>
      <c r="S113">
        <v>0</v>
      </c>
      <c r="T113">
        <v>0</v>
      </c>
      <c r="U113">
        <v>0</v>
      </c>
      <c r="V113">
        <v>1</v>
      </c>
    </row>
    <row r="114" spans="1:22" x14ac:dyDescent="0.2">
      <c r="A114" t="s">
        <v>354</v>
      </c>
      <c r="B114" t="s">
        <v>33</v>
      </c>
      <c r="C114" t="s">
        <v>41</v>
      </c>
      <c r="D114" t="s">
        <v>42</v>
      </c>
      <c r="E114" t="s">
        <v>37</v>
      </c>
      <c r="F114" t="s">
        <v>65</v>
      </c>
      <c r="G114" t="s">
        <v>48</v>
      </c>
      <c r="H114" t="s">
        <v>46</v>
      </c>
      <c r="I114">
        <v>0</v>
      </c>
      <c r="J114">
        <v>1</v>
      </c>
      <c r="K114">
        <v>1</v>
      </c>
      <c r="L114">
        <v>0</v>
      </c>
      <c r="M114">
        <v>1</v>
      </c>
      <c r="N114">
        <v>0</v>
      </c>
      <c r="O114">
        <v>1</v>
      </c>
      <c r="P114">
        <v>0</v>
      </c>
      <c r="Q114">
        <v>1</v>
      </c>
      <c r="R114">
        <v>0</v>
      </c>
      <c r="S114">
        <v>0</v>
      </c>
      <c r="T114">
        <v>0</v>
      </c>
      <c r="U114">
        <v>0</v>
      </c>
      <c r="V114">
        <v>0</v>
      </c>
    </row>
    <row r="115" spans="1:22" x14ac:dyDescent="0.2">
      <c r="A115" t="s">
        <v>354</v>
      </c>
      <c r="B115" t="s">
        <v>33</v>
      </c>
      <c r="C115" t="s">
        <v>41</v>
      </c>
      <c r="D115" t="s">
        <v>55</v>
      </c>
      <c r="E115" t="s">
        <v>37</v>
      </c>
      <c r="F115" t="s">
        <v>48</v>
      </c>
      <c r="G115" t="s">
        <v>65</v>
      </c>
      <c r="H115" t="s">
        <v>46</v>
      </c>
      <c r="I115">
        <v>0</v>
      </c>
      <c r="J115">
        <v>1</v>
      </c>
      <c r="K115">
        <v>1</v>
      </c>
      <c r="L115">
        <v>0</v>
      </c>
      <c r="M115">
        <v>1</v>
      </c>
      <c r="N115">
        <v>0</v>
      </c>
      <c r="O115">
        <v>1</v>
      </c>
      <c r="P115">
        <v>0</v>
      </c>
      <c r="Q115">
        <v>1</v>
      </c>
      <c r="R115">
        <v>0</v>
      </c>
      <c r="S115">
        <v>0</v>
      </c>
      <c r="T115">
        <v>0</v>
      </c>
      <c r="U115">
        <v>0</v>
      </c>
      <c r="V115">
        <v>0</v>
      </c>
    </row>
    <row r="116" spans="1:22" x14ac:dyDescent="0.2">
      <c r="A116" t="s">
        <v>354</v>
      </c>
      <c r="B116" t="s">
        <v>33</v>
      </c>
      <c r="C116" t="s">
        <v>41</v>
      </c>
      <c r="D116" t="s">
        <v>49</v>
      </c>
      <c r="E116" t="s">
        <v>37</v>
      </c>
      <c r="F116" t="s">
        <v>48</v>
      </c>
      <c r="G116" t="s">
        <v>65</v>
      </c>
      <c r="H116" t="s">
        <v>60</v>
      </c>
      <c r="I116">
        <v>1</v>
      </c>
      <c r="J116">
        <v>1</v>
      </c>
      <c r="K116">
        <v>1</v>
      </c>
      <c r="L116">
        <v>0</v>
      </c>
      <c r="M116">
        <v>0</v>
      </c>
      <c r="N116">
        <v>0</v>
      </c>
      <c r="O116">
        <v>1</v>
      </c>
      <c r="P116">
        <v>1</v>
      </c>
      <c r="Q116">
        <v>1</v>
      </c>
      <c r="R116">
        <v>1</v>
      </c>
      <c r="S116">
        <v>0</v>
      </c>
      <c r="T116">
        <v>0</v>
      </c>
      <c r="U116">
        <v>0</v>
      </c>
      <c r="V116">
        <v>0</v>
      </c>
    </row>
    <row r="117" spans="1:22" x14ac:dyDescent="0.2">
      <c r="A117" t="s">
        <v>358</v>
      </c>
      <c r="B117" t="s">
        <v>108</v>
      </c>
      <c r="C117" t="s">
        <v>41</v>
      </c>
      <c r="D117" t="s">
        <v>61</v>
      </c>
      <c r="E117" t="s">
        <v>37</v>
      </c>
      <c r="F117" t="s">
        <v>65</v>
      </c>
      <c r="G117" t="s">
        <v>47</v>
      </c>
      <c r="H117" t="s">
        <v>48</v>
      </c>
      <c r="I117">
        <v>0</v>
      </c>
      <c r="J117">
        <v>1</v>
      </c>
      <c r="K117">
        <v>1</v>
      </c>
      <c r="L117">
        <v>1</v>
      </c>
      <c r="M117">
        <v>0</v>
      </c>
      <c r="N117">
        <v>0</v>
      </c>
      <c r="O117">
        <v>1</v>
      </c>
      <c r="P117">
        <v>0</v>
      </c>
      <c r="Q117">
        <v>1</v>
      </c>
      <c r="R117">
        <v>0</v>
      </c>
      <c r="S117">
        <v>0</v>
      </c>
      <c r="T117">
        <v>0</v>
      </c>
      <c r="U117">
        <v>0</v>
      </c>
      <c r="V117">
        <v>0</v>
      </c>
    </row>
    <row r="118" spans="1:22" x14ac:dyDescent="0.2">
      <c r="A118" t="s">
        <v>358</v>
      </c>
      <c r="B118" t="s">
        <v>108</v>
      </c>
      <c r="C118" t="s">
        <v>41</v>
      </c>
      <c r="D118" t="s">
        <v>67</v>
      </c>
      <c r="E118" t="s">
        <v>37</v>
      </c>
      <c r="F118" t="s">
        <v>48</v>
      </c>
      <c r="G118" t="s">
        <v>46</v>
      </c>
      <c r="H118" t="s">
        <v>65</v>
      </c>
      <c r="I118">
        <v>0</v>
      </c>
      <c r="J118">
        <v>1</v>
      </c>
      <c r="K118">
        <v>1</v>
      </c>
      <c r="L118">
        <v>0</v>
      </c>
      <c r="M118">
        <v>1</v>
      </c>
      <c r="N118">
        <v>0</v>
      </c>
      <c r="O118">
        <v>1</v>
      </c>
      <c r="P118">
        <v>0</v>
      </c>
      <c r="Q118">
        <v>1</v>
      </c>
      <c r="R118">
        <v>0</v>
      </c>
      <c r="S118">
        <v>0</v>
      </c>
      <c r="T118">
        <v>0</v>
      </c>
      <c r="U118">
        <v>0</v>
      </c>
      <c r="V118">
        <v>0</v>
      </c>
    </row>
    <row r="119" spans="1:22" x14ac:dyDescent="0.2">
      <c r="A119" t="s">
        <v>362</v>
      </c>
      <c r="B119" t="s">
        <v>108</v>
      </c>
      <c r="C119" t="s">
        <v>41</v>
      </c>
      <c r="D119" t="s">
        <v>67</v>
      </c>
      <c r="E119" t="s">
        <v>37</v>
      </c>
      <c r="F119" t="s">
        <v>48</v>
      </c>
      <c r="G119" t="s">
        <v>46</v>
      </c>
      <c r="H119" t="s">
        <v>65</v>
      </c>
      <c r="I119">
        <v>0</v>
      </c>
      <c r="J119">
        <v>1</v>
      </c>
      <c r="K119">
        <v>1</v>
      </c>
      <c r="L119">
        <v>0</v>
      </c>
      <c r="M119">
        <v>1</v>
      </c>
      <c r="N119">
        <v>0</v>
      </c>
      <c r="O119">
        <v>1</v>
      </c>
      <c r="P119">
        <v>0</v>
      </c>
      <c r="Q119">
        <v>1</v>
      </c>
      <c r="R119">
        <v>0</v>
      </c>
      <c r="S119">
        <v>0</v>
      </c>
      <c r="T119">
        <v>0</v>
      </c>
      <c r="U119">
        <v>0</v>
      </c>
      <c r="V119">
        <v>0</v>
      </c>
    </row>
    <row r="120" spans="1:22" x14ac:dyDescent="0.2">
      <c r="A120" t="s">
        <v>366</v>
      </c>
      <c r="B120" t="s">
        <v>108</v>
      </c>
      <c r="C120" t="s">
        <v>41</v>
      </c>
      <c r="D120" t="s">
        <v>72</v>
      </c>
      <c r="E120" t="s">
        <v>37</v>
      </c>
      <c r="F120" t="s">
        <v>48</v>
      </c>
      <c r="G120" t="s">
        <v>65</v>
      </c>
      <c r="H120" t="s">
        <v>60</v>
      </c>
      <c r="I120">
        <v>1</v>
      </c>
      <c r="J120">
        <v>1</v>
      </c>
      <c r="K120">
        <v>1</v>
      </c>
      <c r="L120">
        <v>0</v>
      </c>
      <c r="M120">
        <v>0</v>
      </c>
      <c r="N120">
        <v>0</v>
      </c>
      <c r="O120">
        <v>1</v>
      </c>
      <c r="P120">
        <v>0</v>
      </c>
      <c r="Q120">
        <v>0</v>
      </c>
      <c r="R120">
        <v>0</v>
      </c>
      <c r="S120">
        <v>0</v>
      </c>
      <c r="T120">
        <v>0</v>
      </c>
      <c r="U120">
        <v>0</v>
      </c>
      <c r="V120">
        <v>1</v>
      </c>
    </row>
    <row r="121" spans="1:22" x14ac:dyDescent="0.2">
      <c r="A121" t="s">
        <v>370</v>
      </c>
      <c r="B121" t="s">
        <v>33</v>
      </c>
      <c r="C121" t="s">
        <v>41</v>
      </c>
      <c r="D121" t="s">
        <v>42</v>
      </c>
      <c r="E121" t="s">
        <v>37</v>
      </c>
      <c r="F121" t="s">
        <v>65</v>
      </c>
      <c r="G121" t="s">
        <v>48</v>
      </c>
      <c r="H121" t="s">
        <v>59</v>
      </c>
      <c r="I121">
        <v>0</v>
      </c>
      <c r="J121">
        <v>1</v>
      </c>
      <c r="K121">
        <v>1</v>
      </c>
      <c r="L121">
        <v>0</v>
      </c>
      <c r="M121">
        <v>0</v>
      </c>
      <c r="N121">
        <v>0</v>
      </c>
      <c r="O121">
        <v>1</v>
      </c>
      <c r="P121">
        <v>0</v>
      </c>
      <c r="Q121">
        <v>0</v>
      </c>
      <c r="R121">
        <v>0</v>
      </c>
      <c r="S121">
        <v>0</v>
      </c>
      <c r="T121">
        <v>0</v>
      </c>
      <c r="U121">
        <v>0</v>
      </c>
      <c r="V121">
        <v>1</v>
      </c>
    </row>
    <row r="122" spans="1:22" x14ac:dyDescent="0.2">
      <c r="A122" t="s">
        <v>370</v>
      </c>
      <c r="B122" t="s">
        <v>33</v>
      </c>
      <c r="C122" t="s">
        <v>41</v>
      </c>
      <c r="D122" t="s">
        <v>61</v>
      </c>
      <c r="E122" t="s">
        <v>37</v>
      </c>
      <c r="F122" t="s">
        <v>48</v>
      </c>
      <c r="G122" t="s">
        <v>65</v>
      </c>
      <c r="H122" t="s">
        <v>46</v>
      </c>
      <c r="I122">
        <v>0</v>
      </c>
      <c r="J122">
        <v>1</v>
      </c>
      <c r="K122">
        <v>1</v>
      </c>
      <c r="L122">
        <v>0</v>
      </c>
      <c r="M122">
        <v>1</v>
      </c>
      <c r="N122">
        <v>0</v>
      </c>
      <c r="O122">
        <v>1</v>
      </c>
      <c r="P122">
        <v>0</v>
      </c>
      <c r="Q122">
        <v>0</v>
      </c>
      <c r="R122">
        <v>0</v>
      </c>
      <c r="S122">
        <v>0</v>
      </c>
      <c r="T122">
        <v>0</v>
      </c>
      <c r="U122">
        <v>0</v>
      </c>
      <c r="V122">
        <v>1</v>
      </c>
    </row>
    <row r="123" spans="1:22" x14ac:dyDescent="0.2">
      <c r="A123" t="s">
        <v>374</v>
      </c>
      <c r="B123" t="s">
        <v>108</v>
      </c>
      <c r="C123" t="s">
        <v>41</v>
      </c>
      <c r="D123" t="s">
        <v>55</v>
      </c>
      <c r="E123" t="s">
        <v>37</v>
      </c>
      <c r="F123" t="s">
        <v>65</v>
      </c>
      <c r="G123" t="s">
        <v>59</v>
      </c>
      <c r="H123" t="s">
        <v>48</v>
      </c>
      <c r="I123">
        <v>0</v>
      </c>
      <c r="J123">
        <v>1</v>
      </c>
      <c r="K123">
        <v>1</v>
      </c>
      <c r="L123">
        <v>0</v>
      </c>
      <c r="M123">
        <v>0</v>
      </c>
      <c r="N123">
        <v>0</v>
      </c>
      <c r="O123">
        <v>1</v>
      </c>
      <c r="P123">
        <v>0</v>
      </c>
      <c r="Q123">
        <v>0</v>
      </c>
      <c r="R123">
        <v>0</v>
      </c>
      <c r="S123">
        <v>0</v>
      </c>
      <c r="T123">
        <v>0</v>
      </c>
      <c r="U123">
        <v>0</v>
      </c>
      <c r="V123">
        <v>1</v>
      </c>
    </row>
    <row r="124" spans="1:22" x14ac:dyDescent="0.2">
      <c r="A124" t="s">
        <v>374</v>
      </c>
      <c r="B124" t="s">
        <v>108</v>
      </c>
      <c r="C124" t="s">
        <v>41</v>
      </c>
      <c r="D124" t="s">
        <v>72</v>
      </c>
      <c r="E124" t="s">
        <v>37</v>
      </c>
      <c r="F124" t="s">
        <v>65</v>
      </c>
      <c r="G124" t="s">
        <v>46</v>
      </c>
      <c r="H124" t="s">
        <v>48</v>
      </c>
      <c r="I124">
        <v>0</v>
      </c>
      <c r="J124">
        <v>1</v>
      </c>
      <c r="K124">
        <v>1</v>
      </c>
      <c r="L124">
        <v>0</v>
      </c>
      <c r="M124">
        <v>1</v>
      </c>
      <c r="N124">
        <v>0</v>
      </c>
      <c r="O124">
        <v>1</v>
      </c>
      <c r="P124">
        <v>0</v>
      </c>
      <c r="Q124">
        <v>0</v>
      </c>
      <c r="R124">
        <v>0</v>
      </c>
      <c r="S124">
        <v>0</v>
      </c>
      <c r="T124">
        <v>0</v>
      </c>
      <c r="U124">
        <v>0</v>
      </c>
      <c r="V124">
        <v>1</v>
      </c>
    </row>
    <row r="125" spans="1:22" x14ac:dyDescent="0.2">
      <c r="A125" t="s">
        <v>374</v>
      </c>
      <c r="B125" t="s">
        <v>108</v>
      </c>
      <c r="C125" t="s">
        <v>41</v>
      </c>
      <c r="D125" t="s">
        <v>42</v>
      </c>
      <c r="E125" t="s">
        <v>37</v>
      </c>
      <c r="F125" t="s">
        <v>48</v>
      </c>
      <c r="G125" t="s">
        <v>46</v>
      </c>
      <c r="H125" t="s">
        <v>65</v>
      </c>
      <c r="I125">
        <v>0</v>
      </c>
      <c r="J125">
        <v>1</v>
      </c>
      <c r="K125">
        <v>1</v>
      </c>
      <c r="L125">
        <v>0</v>
      </c>
      <c r="M125">
        <v>1</v>
      </c>
      <c r="N125">
        <v>0</v>
      </c>
      <c r="O125">
        <v>1</v>
      </c>
      <c r="P125">
        <v>0</v>
      </c>
      <c r="Q125">
        <v>1</v>
      </c>
      <c r="R125">
        <v>0</v>
      </c>
      <c r="S125">
        <v>0</v>
      </c>
      <c r="T125">
        <v>0</v>
      </c>
      <c r="U125">
        <v>0</v>
      </c>
      <c r="V125">
        <v>0</v>
      </c>
    </row>
    <row r="126" spans="1:22" x14ac:dyDescent="0.2">
      <c r="A126" t="s">
        <v>374</v>
      </c>
      <c r="B126" t="s">
        <v>108</v>
      </c>
      <c r="C126" t="s">
        <v>41</v>
      </c>
      <c r="D126" t="s">
        <v>49</v>
      </c>
      <c r="E126" t="s">
        <v>37</v>
      </c>
      <c r="F126" t="s">
        <v>65</v>
      </c>
      <c r="G126" t="s">
        <v>59</v>
      </c>
      <c r="H126" t="s">
        <v>48</v>
      </c>
      <c r="I126">
        <v>0</v>
      </c>
      <c r="J126">
        <v>1</v>
      </c>
      <c r="K126">
        <v>1</v>
      </c>
      <c r="L126">
        <v>0</v>
      </c>
      <c r="M126">
        <v>0</v>
      </c>
      <c r="N126">
        <v>0</v>
      </c>
      <c r="O126">
        <v>1</v>
      </c>
      <c r="P126">
        <v>0</v>
      </c>
      <c r="Q126">
        <v>1</v>
      </c>
      <c r="R126">
        <v>0</v>
      </c>
      <c r="S126">
        <v>0</v>
      </c>
      <c r="T126">
        <v>0</v>
      </c>
      <c r="U126">
        <v>0</v>
      </c>
      <c r="V126">
        <v>0</v>
      </c>
    </row>
    <row r="127" spans="1:22" x14ac:dyDescent="0.2">
      <c r="A127" t="s">
        <v>377</v>
      </c>
      <c r="B127" t="s">
        <v>108</v>
      </c>
      <c r="C127" t="s">
        <v>41</v>
      </c>
      <c r="D127" t="s">
        <v>55</v>
      </c>
      <c r="E127" t="s">
        <v>37</v>
      </c>
      <c r="F127" t="s">
        <v>48</v>
      </c>
      <c r="G127" t="s">
        <v>65</v>
      </c>
      <c r="H127" t="s">
        <v>59</v>
      </c>
      <c r="I127">
        <v>0</v>
      </c>
      <c r="J127">
        <v>1</v>
      </c>
      <c r="K127">
        <v>1</v>
      </c>
      <c r="L127">
        <v>0</v>
      </c>
      <c r="M127">
        <v>0</v>
      </c>
      <c r="N127">
        <v>0</v>
      </c>
      <c r="O127">
        <v>1</v>
      </c>
      <c r="P127">
        <v>0</v>
      </c>
      <c r="Q127">
        <v>1</v>
      </c>
      <c r="R127">
        <v>1</v>
      </c>
      <c r="S127">
        <v>0</v>
      </c>
      <c r="T127">
        <v>0</v>
      </c>
      <c r="U127">
        <v>0</v>
      </c>
      <c r="V127">
        <v>0</v>
      </c>
    </row>
    <row r="128" spans="1:22" x14ac:dyDescent="0.2">
      <c r="A128" t="s">
        <v>377</v>
      </c>
      <c r="B128" t="s">
        <v>108</v>
      </c>
      <c r="C128" t="s">
        <v>41</v>
      </c>
      <c r="D128" t="s">
        <v>61</v>
      </c>
      <c r="E128" t="s">
        <v>37</v>
      </c>
      <c r="F128" t="s">
        <v>65</v>
      </c>
      <c r="G128" t="s">
        <v>47</v>
      </c>
      <c r="H128" t="s">
        <v>48</v>
      </c>
      <c r="I128">
        <v>0</v>
      </c>
      <c r="J128">
        <v>1</v>
      </c>
      <c r="K128">
        <v>1</v>
      </c>
      <c r="L128">
        <v>1</v>
      </c>
      <c r="M128">
        <v>0</v>
      </c>
      <c r="N128">
        <v>0</v>
      </c>
      <c r="O128">
        <v>1</v>
      </c>
      <c r="P128">
        <v>0</v>
      </c>
      <c r="Q128">
        <v>1</v>
      </c>
      <c r="R128">
        <v>1</v>
      </c>
      <c r="S128">
        <v>1</v>
      </c>
      <c r="T128">
        <v>0</v>
      </c>
      <c r="U128">
        <v>0</v>
      </c>
      <c r="V128">
        <v>0</v>
      </c>
    </row>
    <row r="129" spans="1:22" x14ac:dyDescent="0.2">
      <c r="A129" t="s">
        <v>380</v>
      </c>
      <c r="B129" t="s">
        <v>33</v>
      </c>
      <c r="C129" t="s">
        <v>41</v>
      </c>
      <c r="D129" t="s">
        <v>55</v>
      </c>
      <c r="E129" t="s">
        <v>37</v>
      </c>
      <c r="F129" t="s">
        <v>48</v>
      </c>
      <c r="G129" t="s">
        <v>59</v>
      </c>
      <c r="H129" t="s">
        <v>65</v>
      </c>
      <c r="I129">
        <v>0</v>
      </c>
      <c r="J129">
        <v>1</v>
      </c>
      <c r="K129">
        <v>1</v>
      </c>
      <c r="L129">
        <v>0</v>
      </c>
      <c r="M129">
        <v>0</v>
      </c>
      <c r="N129">
        <v>0</v>
      </c>
      <c r="O129">
        <v>1</v>
      </c>
      <c r="P129">
        <v>0</v>
      </c>
      <c r="Q129">
        <v>1</v>
      </c>
      <c r="R129">
        <v>1</v>
      </c>
      <c r="S129">
        <v>0</v>
      </c>
      <c r="T129">
        <v>0</v>
      </c>
      <c r="U129">
        <v>0</v>
      </c>
      <c r="V129">
        <v>0</v>
      </c>
    </row>
    <row r="130" spans="1:22" x14ac:dyDescent="0.2">
      <c r="A130" t="s">
        <v>380</v>
      </c>
      <c r="B130" t="s">
        <v>33</v>
      </c>
      <c r="C130" t="s">
        <v>41</v>
      </c>
      <c r="D130" t="s">
        <v>42</v>
      </c>
      <c r="E130" t="s">
        <v>37</v>
      </c>
      <c r="F130" t="s">
        <v>65</v>
      </c>
      <c r="G130" t="s">
        <v>47</v>
      </c>
      <c r="H130" t="s">
        <v>48</v>
      </c>
      <c r="I130">
        <v>0</v>
      </c>
      <c r="J130">
        <v>1</v>
      </c>
      <c r="K130">
        <v>1</v>
      </c>
      <c r="L130">
        <v>1</v>
      </c>
      <c r="M130">
        <v>0</v>
      </c>
      <c r="N130">
        <v>0</v>
      </c>
      <c r="O130">
        <v>1</v>
      </c>
      <c r="P130">
        <v>0</v>
      </c>
      <c r="Q130">
        <v>1</v>
      </c>
      <c r="R130">
        <v>1</v>
      </c>
      <c r="S130">
        <v>1</v>
      </c>
      <c r="T130">
        <v>0</v>
      </c>
      <c r="U130">
        <v>0</v>
      </c>
      <c r="V130">
        <v>0</v>
      </c>
    </row>
    <row r="131" spans="1:22" x14ac:dyDescent="0.2">
      <c r="A131" t="s">
        <v>383</v>
      </c>
      <c r="B131" t="s">
        <v>108</v>
      </c>
      <c r="C131" t="s">
        <v>41</v>
      </c>
      <c r="D131" t="s">
        <v>67</v>
      </c>
      <c r="E131" t="s">
        <v>37</v>
      </c>
      <c r="F131" t="s">
        <v>65</v>
      </c>
      <c r="G131" t="s">
        <v>59</v>
      </c>
      <c r="H131" t="s">
        <v>48</v>
      </c>
      <c r="I131">
        <v>0</v>
      </c>
      <c r="J131">
        <v>1</v>
      </c>
      <c r="K131">
        <v>1</v>
      </c>
      <c r="L131">
        <v>0</v>
      </c>
      <c r="M131">
        <v>0</v>
      </c>
      <c r="N131">
        <v>0</v>
      </c>
      <c r="O131">
        <v>1</v>
      </c>
      <c r="P131">
        <v>0</v>
      </c>
      <c r="Q131">
        <v>0</v>
      </c>
      <c r="R131">
        <v>0</v>
      </c>
      <c r="S131">
        <v>0</v>
      </c>
      <c r="T131">
        <v>0</v>
      </c>
      <c r="U131">
        <v>0</v>
      </c>
      <c r="V131">
        <v>1</v>
      </c>
    </row>
    <row r="132" spans="1:22" x14ac:dyDescent="0.2">
      <c r="A132" t="s">
        <v>383</v>
      </c>
      <c r="B132" t="s">
        <v>108</v>
      </c>
      <c r="C132" t="s">
        <v>41</v>
      </c>
      <c r="D132" t="s">
        <v>55</v>
      </c>
      <c r="E132" t="s">
        <v>37</v>
      </c>
      <c r="F132" t="s">
        <v>48</v>
      </c>
      <c r="G132" t="s">
        <v>65</v>
      </c>
      <c r="H132" t="s">
        <v>46</v>
      </c>
      <c r="I132">
        <v>0</v>
      </c>
      <c r="J132">
        <v>1</v>
      </c>
      <c r="K132">
        <v>1</v>
      </c>
      <c r="L132">
        <v>0</v>
      </c>
      <c r="M132">
        <v>1</v>
      </c>
      <c r="N132">
        <v>0</v>
      </c>
      <c r="O132">
        <v>1</v>
      </c>
      <c r="P132">
        <v>0</v>
      </c>
      <c r="Q132">
        <v>1</v>
      </c>
      <c r="R132">
        <v>1</v>
      </c>
      <c r="S132">
        <v>0</v>
      </c>
      <c r="T132">
        <v>1</v>
      </c>
      <c r="U132">
        <v>0</v>
      </c>
      <c r="V132">
        <v>0</v>
      </c>
    </row>
    <row r="133" spans="1:22" x14ac:dyDescent="0.2">
      <c r="A133" t="s">
        <v>390</v>
      </c>
      <c r="B133" t="s">
        <v>188</v>
      </c>
      <c r="C133" t="s">
        <v>41</v>
      </c>
      <c r="D133" t="s">
        <v>49</v>
      </c>
      <c r="E133" t="s">
        <v>37</v>
      </c>
      <c r="F133" t="s">
        <v>47</v>
      </c>
      <c r="G133" t="s">
        <v>48</v>
      </c>
      <c r="H133" t="s">
        <v>65</v>
      </c>
      <c r="I133">
        <v>0</v>
      </c>
      <c r="J133">
        <v>1</v>
      </c>
      <c r="K133">
        <v>1</v>
      </c>
      <c r="L133">
        <v>1</v>
      </c>
      <c r="M133">
        <v>0</v>
      </c>
      <c r="N133">
        <v>0</v>
      </c>
      <c r="O133">
        <v>1</v>
      </c>
      <c r="P133">
        <v>0</v>
      </c>
      <c r="Q133">
        <v>1</v>
      </c>
      <c r="R133">
        <v>1</v>
      </c>
      <c r="S133">
        <v>1</v>
      </c>
      <c r="T133">
        <v>0</v>
      </c>
      <c r="U133">
        <v>0</v>
      </c>
      <c r="V133">
        <v>0</v>
      </c>
    </row>
    <row r="134" spans="1:22" x14ac:dyDescent="0.2">
      <c r="A134" t="s">
        <v>390</v>
      </c>
      <c r="B134" t="s">
        <v>188</v>
      </c>
      <c r="C134" t="s">
        <v>41</v>
      </c>
      <c r="D134" t="s">
        <v>72</v>
      </c>
      <c r="E134" t="s">
        <v>37</v>
      </c>
      <c r="F134" t="s">
        <v>46</v>
      </c>
      <c r="G134" t="s">
        <v>48</v>
      </c>
      <c r="H134" t="s">
        <v>65</v>
      </c>
      <c r="I134">
        <v>0</v>
      </c>
      <c r="J134">
        <v>1</v>
      </c>
      <c r="K134">
        <v>1</v>
      </c>
      <c r="L134">
        <v>0</v>
      </c>
      <c r="M134">
        <v>1</v>
      </c>
      <c r="N134">
        <v>0</v>
      </c>
      <c r="O134">
        <v>1</v>
      </c>
      <c r="P134">
        <v>0</v>
      </c>
      <c r="Q134">
        <v>0</v>
      </c>
      <c r="R134">
        <v>0</v>
      </c>
      <c r="S134">
        <v>0</v>
      </c>
      <c r="T134">
        <v>0</v>
      </c>
      <c r="U134">
        <v>0</v>
      </c>
      <c r="V134">
        <v>1</v>
      </c>
    </row>
    <row r="135" spans="1:22" x14ac:dyDescent="0.2">
      <c r="A135" t="s">
        <v>390</v>
      </c>
      <c r="B135" t="s">
        <v>188</v>
      </c>
      <c r="C135" t="s">
        <v>41</v>
      </c>
      <c r="D135" t="s">
        <v>55</v>
      </c>
      <c r="E135" t="s">
        <v>37</v>
      </c>
      <c r="F135" t="s">
        <v>65</v>
      </c>
      <c r="G135" t="s">
        <v>48</v>
      </c>
      <c r="H135" t="s">
        <v>47</v>
      </c>
      <c r="I135">
        <v>0</v>
      </c>
      <c r="J135">
        <v>1</v>
      </c>
      <c r="K135">
        <v>1</v>
      </c>
      <c r="L135">
        <v>1</v>
      </c>
      <c r="M135">
        <v>0</v>
      </c>
      <c r="N135">
        <v>0</v>
      </c>
      <c r="O135">
        <v>1</v>
      </c>
      <c r="P135">
        <v>0</v>
      </c>
      <c r="Q135">
        <v>1</v>
      </c>
      <c r="R135">
        <v>1</v>
      </c>
      <c r="S135">
        <v>1</v>
      </c>
      <c r="T135">
        <v>0</v>
      </c>
      <c r="U135">
        <v>0</v>
      </c>
      <c r="V135">
        <v>0</v>
      </c>
    </row>
    <row r="136" spans="1:22" x14ac:dyDescent="0.2">
      <c r="A136" t="s">
        <v>394</v>
      </c>
      <c r="B136" t="s">
        <v>108</v>
      </c>
      <c r="C136" t="s">
        <v>41</v>
      </c>
      <c r="D136" t="s">
        <v>67</v>
      </c>
      <c r="E136" t="s">
        <v>37</v>
      </c>
      <c r="F136" t="s">
        <v>60</v>
      </c>
      <c r="G136" t="s">
        <v>48</v>
      </c>
      <c r="H136" t="s">
        <v>65</v>
      </c>
      <c r="I136">
        <v>1</v>
      </c>
      <c r="J136">
        <v>1</v>
      </c>
      <c r="K136">
        <v>1</v>
      </c>
      <c r="L136">
        <v>0</v>
      </c>
      <c r="M136">
        <v>0</v>
      </c>
      <c r="N136">
        <v>0</v>
      </c>
      <c r="O136">
        <v>1</v>
      </c>
      <c r="P136">
        <v>0</v>
      </c>
      <c r="Q136">
        <v>1</v>
      </c>
      <c r="R136">
        <v>0</v>
      </c>
      <c r="S136">
        <v>0</v>
      </c>
      <c r="T136">
        <v>0</v>
      </c>
      <c r="U136">
        <v>0</v>
      </c>
      <c r="V136">
        <v>0</v>
      </c>
    </row>
    <row r="137" spans="1:22" x14ac:dyDescent="0.2">
      <c r="A137" t="s">
        <v>394</v>
      </c>
      <c r="B137" t="s">
        <v>108</v>
      </c>
      <c r="C137" t="s">
        <v>41</v>
      </c>
      <c r="D137" t="s">
        <v>61</v>
      </c>
      <c r="E137" t="s">
        <v>37</v>
      </c>
      <c r="F137" t="s">
        <v>48</v>
      </c>
      <c r="G137" t="s">
        <v>47</v>
      </c>
      <c r="H137" t="s">
        <v>65</v>
      </c>
      <c r="I137">
        <v>0</v>
      </c>
      <c r="J137">
        <v>1</v>
      </c>
      <c r="K137">
        <v>1</v>
      </c>
      <c r="L137">
        <v>1</v>
      </c>
      <c r="M137">
        <v>0</v>
      </c>
      <c r="N137">
        <v>0</v>
      </c>
      <c r="O137">
        <v>1</v>
      </c>
      <c r="P137">
        <v>0</v>
      </c>
      <c r="Q137">
        <v>1</v>
      </c>
      <c r="R137">
        <v>0</v>
      </c>
      <c r="S137">
        <v>1</v>
      </c>
      <c r="T137">
        <v>0</v>
      </c>
      <c r="U137">
        <v>0</v>
      </c>
      <c r="V137">
        <v>0</v>
      </c>
    </row>
    <row r="138" spans="1:22" x14ac:dyDescent="0.2">
      <c r="A138" t="s">
        <v>394</v>
      </c>
      <c r="B138" t="s">
        <v>108</v>
      </c>
      <c r="C138" t="s">
        <v>41</v>
      </c>
      <c r="D138" t="s">
        <v>72</v>
      </c>
      <c r="E138" t="s">
        <v>37</v>
      </c>
      <c r="F138" t="s">
        <v>65</v>
      </c>
      <c r="G138" t="s">
        <v>46</v>
      </c>
      <c r="H138" t="s">
        <v>48</v>
      </c>
      <c r="I138">
        <v>0</v>
      </c>
      <c r="J138">
        <v>1</v>
      </c>
      <c r="K138">
        <v>1</v>
      </c>
      <c r="L138">
        <v>0</v>
      </c>
      <c r="M138">
        <v>1</v>
      </c>
      <c r="N138">
        <v>0</v>
      </c>
      <c r="O138">
        <v>1</v>
      </c>
      <c r="P138">
        <v>0</v>
      </c>
      <c r="Q138">
        <v>1</v>
      </c>
      <c r="R138">
        <v>0</v>
      </c>
      <c r="S138">
        <v>0</v>
      </c>
      <c r="T138">
        <v>0</v>
      </c>
      <c r="U138">
        <v>0</v>
      </c>
      <c r="V138">
        <v>0</v>
      </c>
    </row>
    <row r="139" spans="1:22" x14ac:dyDescent="0.2">
      <c r="A139" t="s">
        <v>394</v>
      </c>
      <c r="B139" t="s">
        <v>108</v>
      </c>
      <c r="C139" t="s">
        <v>41</v>
      </c>
      <c r="D139" t="s">
        <v>42</v>
      </c>
      <c r="E139" t="s">
        <v>37</v>
      </c>
      <c r="F139" t="s">
        <v>46</v>
      </c>
      <c r="G139" t="s">
        <v>48</v>
      </c>
      <c r="H139" t="s">
        <v>65</v>
      </c>
      <c r="I139">
        <v>0</v>
      </c>
      <c r="J139">
        <v>1</v>
      </c>
      <c r="K139">
        <v>1</v>
      </c>
      <c r="L139">
        <v>0</v>
      </c>
      <c r="M139">
        <v>1</v>
      </c>
      <c r="N139">
        <v>0</v>
      </c>
      <c r="O139">
        <v>1</v>
      </c>
      <c r="P139">
        <v>0</v>
      </c>
      <c r="Q139">
        <v>1</v>
      </c>
      <c r="R139">
        <v>0</v>
      </c>
      <c r="S139">
        <v>0</v>
      </c>
      <c r="T139">
        <v>0</v>
      </c>
      <c r="U139">
        <v>0</v>
      </c>
      <c r="V139">
        <v>0</v>
      </c>
    </row>
    <row r="140" spans="1:22" x14ac:dyDescent="0.2">
      <c r="A140" t="s">
        <v>396</v>
      </c>
      <c r="B140" t="s">
        <v>397</v>
      </c>
      <c r="C140" t="s">
        <v>41</v>
      </c>
      <c r="D140" t="s">
        <v>49</v>
      </c>
      <c r="E140" t="s">
        <v>37</v>
      </c>
      <c r="F140" t="s">
        <v>65</v>
      </c>
      <c r="G140" t="s">
        <v>47</v>
      </c>
      <c r="H140" t="s">
        <v>48</v>
      </c>
      <c r="I140">
        <v>0</v>
      </c>
      <c r="J140">
        <v>1</v>
      </c>
      <c r="K140">
        <v>1</v>
      </c>
      <c r="L140">
        <v>1</v>
      </c>
      <c r="M140">
        <v>0</v>
      </c>
      <c r="N140">
        <v>0</v>
      </c>
      <c r="O140">
        <v>1</v>
      </c>
      <c r="P140">
        <v>0</v>
      </c>
      <c r="Q140">
        <v>0</v>
      </c>
      <c r="R140">
        <v>0</v>
      </c>
      <c r="S140">
        <v>0</v>
      </c>
      <c r="T140">
        <v>0</v>
      </c>
      <c r="U140">
        <v>0</v>
      </c>
      <c r="V140">
        <v>1</v>
      </c>
    </row>
    <row r="141" spans="1:22" x14ac:dyDescent="0.2">
      <c r="A141" t="s">
        <v>396</v>
      </c>
      <c r="B141" t="s">
        <v>397</v>
      </c>
      <c r="C141" t="s">
        <v>41</v>
      </c>
      <c r="D141" t="s">
        <v>42</v>
      </c>
      <c r="E141" t="s">
        <v>37</v>
      </c>
      <c r="F141" t="s">
        <v>48</v>
      </c>
      <c r="G141" t="s">
        <v>60</v>
      </c>
      <c r="H141" t="s">
        <v>65</v>
      </c>
      <c r="I141">
        <v>1</v>
      </c>
      <c r="J141">
        <v>1</v>
      </c>
      <c r="K141">
        <v>1</v>
      </c>
      <c r="L141">
        <v>0</v>
      </c>
      <c r="M141">
        <v>0</v>
      </c>
      <c r="N141">
        <v>0</v>
      </c>
      <c r="O141">
        <v>1</v>
      </c>
      <c r="P141">
        <v>1</v>
      </c>
      <c r="Q141">
        <v>0</v>
      </c>
      <c r="R141">
        <v>0</v>
      </c>
      <c r="S141">
        <v>0</v>
      </c>
      <c r="T141">
        <v>0</v>
      </c>
      <c r="U141">
        <v>0</v>
      </c>
      <c r="V141">
        <v>0</v>
      </c>
    </row>
    <row r="142" spans="1:22" x14ac:dyDescent="0.2">
      <c r="A142" t="s">
        <v>396</v>
      </c>
      <c r="B142" t="s">
        <v>397</v>
      </c>
      <c r="C142" t="s">
        <v>41</v>
      </c>
      <c r="D142" t="s">
        <v>61</v>
      </c>
      <c r="E142" t="s">
        <v>37</v>
      </c>
      <c r="F142" t="s">
        <v>60</v>
      </c>
      <c r="G142" t="s">
        <v>48</v>
      </c>
      <c r="H142" t="s">
        <v>65</v>
      </c>
      <c r="I142">
        <v>1</v>
      </c>
      <c r="J142">
        <v>1</v>
      </c>
      <c r="K142">
        <v>1</v>
      </c>
      <c r="L142">
        <v>0</v>
      </c>
      <c r="M142">
        <v>0</v>
      </c>
      <c r="N142">
        <v>0</v>
      </c>
      <c r="O142">
        <v>1</v>
      </c>
      <c r="P142">
        <v>1</v>
      </c>
      <c r="Q142">
        <v>0</v>
      </c>
      <c r="R142">
        <v>0</v>
      </c>
      <c r="S142">
        <v>0</v>
      </c>
      <c r="T142">
        <v>0</v>
      </c>
      <c r="U142">
        <v>0</v>
      </c>
      <c r="V142">
        <v>0</v>
      </c>
    </row>
    <row r="143" spans="1:22" x14ac:dyDescent="0.2">
      <c r="A143" t="s">
        <v>399</v>
      </c>
      <c r="B143" t="s">
        <v>108</v>
      </c>
      <c r="C143" t="s">
        <v>41</v>
      </c>
      <c r="D143" t="s">
        <v>42</v>
      </c>
      <c r="E143" t="s">
        <v>37</v>
      </c>
      <c r="F143" t="s">
        <v>48</v>
      </c>
      <c r="G143" t="s">
        <v>59</v>
      </c>
      <c r="H143" t="s">
        <v>65</v>
      </c>
      <c r="I143">
        <v>0</v>
      </c>
      <c r="J143">
        <v>1</v>
      </c>
      <c r="K143">
        <v>1</v>
      </c>
      <c r="L143">
        <v>0</v>
      </c>
      <c r="M143">
        <v>0</v>
      </c>
      <c r="N143">
        <v>0</v>
      </c>
      <c r="O143">
        <v>1</v>
      </c>
      <c r="P143">
        <v>0</v>
      </c>
      <c r="Q143">
        <v>1</v>
      </c>
      <c r="R143">
        <v>1</v>
      </c>
      <c r="S143">
        <v>0</v>
      </c>
      <c r="T143">
        <v>0</v>
      </c>
      <c r="U143">
        <v>0</v>
      </c>
      <c r="V143">
        <v>0</v>
      </c>
    </row>
    <row r="144" spans="1:22" x14ac:dyDescent="0.2">
      <c r="A144" t="s">
        <v>399</v>
      </c>
      <c r="B144" t="s">
        <v>108</v>
      </c>
      <c r="C144" t="s">
        <v>41</v>
      </c>
      <c r="D144" t="s">
        <v>55</v>
      </c>
      <c r="E144" t="s">
        <v>37</v>
      </c>
      <c r="F144" t="s">
        <v>65</v>
      </c>
      <c r="G144" t="s">
        <v>48</v>
      </c>
      <c r="H144" t="s">
        <v>46</v>
      </c>
      <c r="I144">
        <v>0</v>
      </c>
      <c r="J144">
        <v>1</v>
      </c>
      <c r="K144">
        <v>1</v>
      </c>
      <c r="L144">
        <v>0</v>
      </c>
      <c r="M144">
        <v>1</v>
      </c>
      <c r="N144">
        <v>0</v>
      </c>
      <c r="O144">
        <v>1</v>
      </c>
      <c r="P144">
        <v>0</v>
      </c>
      <c r="Q144">
        <v>1</v>
      </c>
      <c r="R144">
        <v>1</v>
      </c>
      <c r="S144">
        <v>0</v>
      </c>
      <c r="T144">
        <v>1</v>
      </c>
      <c r="U144">
        <v>0</v>
      </c>
      <c r="V144">
        <v>0</v>
      </c>
    </row>
    <row r="145" spans="1:22" x14ac:dyDescent="0.2">
      <c r="A145" t="s">
        <v>402</v>
      </c>
      <c r="B145" t="s">
        <v>108</v>
      </c>
      <c r="C145" t="s">
        <v>41</v>
      </c>
      <c r="D145" t="s">
        <v>55</v>
      </c>
      <c r="E145" t="s">
        <v>37</v>
      </c>
      <c r="F145" t="s">
        <v>65</v>
      </c>
      <c r="G145" t="s">
        <v>48</v>
      </c>
      <c r="H145" t="s">
        <v>46</v>
      </c>
      <c r="I145">
        <v>0</v>
      </c>
      <c r="J145">
        <v>1</v>
      </c>
      <c r="K145">
        <v>1</v>
      </c>
      <c r="L145">
        <v>0</v>
      </c>
      <c r="M145">
        <v>1</v>
      </c>
      <c r="N145">
        <v>0</v>
      </c>
      <c r="O145">
        <v>1</v>
      </c>
      <c r="P145">
        <v>0</v>
      </c>
      <c r="Q145">
        <v>1</v>
      </c>
      <c r="R145">
        <v>1</v>
      </c>
      <c r="S145">
        <v>0</v>
      </c>
      <c r="T145">
        <v>1</v>
      </c>
      <c r="U145">
        <v>0</v>
      </c>
      <c r="V145">
        <v>0</v>
      </c>
    </row>
    <row r="146" spans="1:22" x14ac:dyDescent="0.2">
      <c r="A146" t="s">
        <v>402</v>
      </c>
      <c r="B146" t="s">
        <v>108</v>
      </c>
      <c r="C146" t="s">
        <v>41</v>
      </c>
      <c r="D146" t="s">
        <v>67</v>
      </c>
      <c r="E146" t="s">
        <v>37</v>
      </c>
      <c r="F146" t="s">
        <v>48</v>
      </c>
      <c r="G146" t="s">
        <v>46</v>
      </c>
      <c r="H146" t="s">
        <v>65</v>
      </c>
      <c r="I146">
        <v>0</v>
      </c>
      <c r="J146">
        <v>1</v>
      </c>
      <c r="K146">
        <v>1</v>
      </c>
      <c r="L146">
        <v>0</v>
      </c>
      <c r="M146">
        <v>1</v>
      </c>
      <c r="N146">
        <v>0</v>
      </c>
      <c r="O146">
        <v>1</v>
      </c>
      <c r="P146">
        <v>0</v>
      </c>
      <c r="Q146">
        <v>1</v>
      </c>
      <c r="R146">
        <v>1</v>
      </c>
      <c r="S146">
        <v>0</v>
      </c>
      <c r="T146">
        <v>1</v>
      </c>
      <c r="U146">
        <v>0</v>
      </c>
      <c r="V146">
        <v>0</v>
      </c>
    </row>
    <row r="147" spans="1:22" x14ac:dyDescent="0.2">
      <c r="A147" t="s">
        <v>405</v>
      </c>
      <c r="B147" t="s">
        <v>108</v>
      </c>
      <c r="C147" t="s">
        <v>41</v>
      </c>
      <c r="D147" t="s">
        <v>72</v>
      </c>
      <c r="E147" t="s">
        <v>37</v>
      </c>
      <c r="F147" t="s">
        <v>48</v>
      </c>
      <c r="G147" t="s">
        <v>65</v>
      </c>
      <c r="H147" t="s">
        <v>47</v>
      </c>
      <c r="I147">
        <v>0</v>
      </c>
      <c r="J147">
        <v>1</v>
      </c>
      <c r="K147">
        <v>1</v>
      </c>
      <c r="L147">
        <v>1</v>
      </c>
      <c r="M147">
        <v>0</v>
      </c>
      <c r="N147">
        <v>0</v>
      </c>
      <c r="O147">
        <v>1</v>
      </c>
      <c r="P147">
        <v>0</v>
      </c>
      <c r="Q147">
        <v>0</v>
      </c>
      <c r="R147">
        <v>0</v>
      </c>
      <c r="S147">
        <v>0</v>
      </c>
      <c r="T147">
        <v>0</v>
      </c>
      <c r="U147">
        <v>0</v>
      </c>
      <c r="V147">
        <v>1</v>
      </c>
    </row>
    <row r="148" spans="1:22" x14ac:dyDescent="0.2">
      <c r="A148" t="s">
        <v>408</v>
      </c>
      <c r="B148" t="s">
        <v>108</v>
      </c>
      <c r="C148" t="s">
        <v>41</v>
      </c>
      <c r="D148" t="s">
        <v>42</v>
      </c>
      <c r="E148" t="s">
        <v>37</v>
      </c>
      <c r="F148" t="s">
        <v>65</v>
      </c>
      <c r="G148" t="s">
        <v>48</v>
      </c>
      <c r="H148" t="s">
        <v>47</v>
      </c>
      <c r="I148">
        <v>0</v>
      </c>
      <c r="J148">
        <v>1</v>
      </c>
      <c r="K148">
        <v>1</v>
      </c>
      <c r="L148">
        <v>1</v>
      </c>
      <c r="M148">
        <v>0</v>
      </c>
      <c r="N148">
        <v>0</v>
      </c>
      <c r="O148">
        <v>1</v>
      </c>
      <c r="P148">
        <v>0</v>
      </c>
      <c r="Q148">
        <v>1</v>
      </c>
      <c r="R148">
        <v>1</v>
      </c>
      <c r="S148">
        <v>1</v>
      </c>
      <c r="T148">
        <v>0</v>
      </c>
      <c r="U148">
        <v>0</v>
      </c>
      <c r="V148">
        <v>0</v>
      </c>
    </row>
    <row r="149" spans="1:22" x14ac:dyDescent="0.2">
      <c r="A149" t="s">
        <v>408</v>
      </c>
      <c r="B149" t="s">
        <v>108</v>
      </c>
      <c r="C149" t="s">
        <v>41</v>
      </c>
      <c r="D149" t="s">
        <v>67</v>
      </c>
      <c r="E149" t="s">
        <v>37</v>
      </c>
      <c r="F149" t="s">
        <v>48</v>
      </c>
      <c r="G149" t="s">
        <v>60</v>
      </c>
      <c r="H149" t="s">
        <v>65</v>
      </c>
      <c r="I149">
        <v>1</v>
      </c>
      <c r="J149">
        <v>1</v>
      </c>
      <c r="K149">
        <v>1</v>
      </c>
      <c r="L149">
        <v>0</v>
      </c>
      <c r="M149">
        <v>0</v>
      </c>
      <c r="N149">
        <v>0</v>
      </c>
      <c r="O149">
        <v>1</v>
      </c>
      <c r="P149">
        <v>1</v>
      </c>
      <c r="Q149">
        <v>1</v>
      </c>
      <c r="R149">
        <v>1</v>
      </c>
      <c r="S149">
        <v>0</v>
      </c>
      <c r="T149">
        <v>0</v>
      </c>
      <c r="U149">
        <v>0</v>
      </c>
      <c r="V149">
        <v>0</v>
      </c>
    </row>
    <row r="150" spans="1:22" x14ac:dyDescent="0.2">
      <c r="A150" t="s">
        <v>408</v>
      </c>
      <c r="B150" t="s">
        <v>108</v>
      </c>
      <c r="C150" t="s">
        <v>41</v>
      </c>
      <c r="D150" t="s">
        <v>49</v>
      </c>
      <c r="E150" t="s">
        <v>37</v>
      </c>
      <c r="F150" t="s">
        <v>48</v>
      </c>
      <c r="G150" t="s">
        <v>46</v>
      </c>
      <c r="H150" t="s">
        <v>65</v>
      </c>
      <c r="I150">
        <v>0</v>
      </c>
      <c r="J150">
        <v>1</v>
      </c>
      <c r="K150">
        <v>1</v>
      </c>
      <c r="L150">
        <v>0</v>
      </c>
      <c r="M150">
        <v>1</v>
      </c>
      <c r="N150">
        <v>0</v>
      </c>
      <c r="O150">
        <v>1</v>
      </c>
      <c r="P150">
        <v>0</v>
      </c>
      <c r="Q150">
        <v>1</v>
      </c>
      <c r="R150">
        <v>0</v>
      </c>
      <c r="S150">
        <v>0</v>
      </c>
      <c r="T150">
        <v>0</v>
      </c>
      <c r="U150">
        <v>0</v>
      </c>
      <c r="V150">
        <v>0</v>
      </c>
    </row>
    <row r="151" spans="1:22" x14ac:dyDescent="0.2">
      <c r="A151" t="s">
        <v>411</v>
      </c>
      <c r="B151" t="s">
        <v>33</v>
      </c>
      <c r="C151" t="s">
        <v>41</v>
      </c>
      <c r="D151" t="s">
        <v>49</v>
      </c>
      <c r="E151" t="s">
        <v>37</v>
      </c>
      <c r="F151" t="s">
        <v>65</v>
      </c>
      <c r="G151" t="s">
        <v>48</v>
      </c>
      <c r="H151" t="s">
        <v>59</v>
      </c>
      <c r="I151">
        <v>0</v>
      </c>
      <c r="J151">
        <v>1</v>
      </c>
      <c r="K151">
        <v>1</v>
      </c>
      <c r="L151">
        <v>0</v>
      </c>
      <c r="M151">
        <v>0</v>
      </c>
      <c r="N151">
        <v>0</v>
      </c>
      <c r="O151">
        <v>1</v>
      </c>
      <c r="P151">
        <v>0</v>
      </c>
      <c r="Q151">
        <v>0</v>
      </c>
      <c r="R151">
        <v>0</v>
      </c>
      <c r="S151">
        <v>0</v>
      </c>
      <c r="T151">
        <v>0</v>
      </c>
      <c r="U151">
        <v>0</v>
      </c>
      <c r="V151">
        <v>1</v>
      </c>
    </row>
    <row r="152" spans="1:22" x14ac:dyDescent="0.2">
      <c r="A152" t="s">
        <v>411</v>
      </c>
      <c r="B152" t="s">
        <v>33</v>
      </c>
      <c r="C152" t="s">
        <v>41</v>
      </c>
      <c r="D152" t="s">
        <v>55</v>
      </c>
      <c r="E152" t="s">
        <v>37</v>
      </c>
      <c r="F152" t="s">
        <v>48</v>
      </c>
      <c r="G152" t="s">
        <v>47</v>
      </c>
      <c r="H152" t="s">
        <v>65</v>
      </c>
      <c r="I152">
        <v>0</v>
      </c>
      <c r="J152">
        <v>1</v>
      </c>
      <c r="K152">
        <v>1</v>
      </c>
      <c r="L152">
        <v>1</v>
      </c>
      <c r="M152">
        <v>0</v>
      </c>
      <c r="N152">
        <v>0</v>
      </c>
      <c r="O152">
        <v>1</v>
      </c>
      <c r="P152">
        <v>0</v>
      </c>
      <c r="Q152">
        <v>1</v>
      </c>
      <c r="R152">
        <v>1</v>
      </c>
      <c r="S152">
        <v>1</v>
      </c>
      <c r="T152">
        <v>0</v>
      </c>
      <c r="U152">
        <v>0</v>
      </c>
      <c r="V152">
        <v>0</v>
      </c>
    </row>
    <row r="153" spans="1:22" x14ac:dyDescent="0.2">
      <c r="A153" t="s">
        <v>415</v>
      </c>
      <c r="B153" t="s">
        <v>108</v>
      </c>
      <c r="C153" t="s">
        <v>41</v>
      </c>
      <c r="D153" t="s">
        <v>49</v>
      </c>
      <c r="E153" t="s">
        <v>37</v>
      </c>
      <c r="F153" t="s">
        <v>48</v>
      </c>
      <c r="G153" t="s">
        <v>46</v>
      </c>
      <c r="H153" t="s">
        <v>65</v>
      </c>
      <c r="I153">
        <v>0</v>
      </c>
      <c r="J153">
        <v>1</v>
      </c>
      <c r="K153">
        <v>1</v>
      </c>
      <c r="L153">
        <v>0</v>
      </c>
      <c r="M153">
        <v>1</v>
      </c>
      <c r="N153">
        <v>0</v>
      </c>
      <c r="O153">
        <v>1</v>
      </c>
      <c r="P153">
        <v>0</v>
      </c>
      <c r="Q153">
        <v>1</v>
      </c>
      <c r="R153">
        <v>0</v>
      </c>
      <c r="S153">
        <v>0</v>
      </c>
      <c r="T153">
        <v>0</v>
      </c>
      <c r="U153">
        <v>0</v>
      </c>
      <c r="V153">
        <v>0</v>
      </c>
    </row>
    <row r="154" spans="1:22" x14ac:dyDescent="0.2">
      <c r="A154" t="s">
        <v>415</v>
      </c>
      <c r="B154" t="s">
        <v>108</v>
      </c>
      <c r="C154" t="s">
        <v>41</v>
      </c>
      <c r="D154" t="s">
        <v>42</v>
      </c>
      <c r="E154" t="s">
        <v>37</v>
      </c>
      <c r="F154" t="s">
        <v>65</v>
      </c>
      <c r="G154" t="s">
        <v>48</v>
      </c>
      <c r="H154" t="s">
        <v>59</v>
      </c>
      <c r="I154">
        <v>0</v>
      </c>
      <c r="J154">
        <v>1</v>
      </c>
      <c r="K154">
        <v>1</v>
      </c>
      <c r="L154">
        <v>0</v>
      </c>
      <c r="M154">
        <v>0</v>
      </c>
      <c r="N154">
        <v>0</v>
      </c>
      <c r="O154">
        <v>1</v>
      </c>
      <c r="P154">
        <v>0</v>
      </c>
      <c r="Q154">
        <v>1</v>
      </c>
      <c r="R154">
        <v>1</v>
      </c>
      <c r="S154">
        <v>0</v>
      </c>
      <c r="T154">
        <v>0</v>
      </c>
      <c r="U154">
        <v>0</v>
      </c>
      <c r="V154">
        <v>0</v>
      </c>
    </row>
    <row r="155" spans="1:22" x14ac:dyDescent="0.2">
      <c r="A155" t="s">
        <v>415</v>
      </c>
      <c r="B155" t="s">
        <v>108</v>
      </c>
      <c r="C155" t="s">
        <v>41</v>
      </c>
      <c r="D155" t="s">
        <v>61</v>
      </c>
      <c r="E155" t="s">
        <v>37</v>
      </c>
      <c r="F155" t="s">
        <v>48</v>
      </c>
      <c r="G155" t="s">
        <v>65</v>
      </c>
      <c r="H155" t="s">
        <v>47</v>
      </c>
      <c r="I155">
        <v>0</v>
      </c>
      <c r="J155">
        <v>1</v>
      </c>
      <c r="K155">
        <v>1</v>
      </c>
      <c r="L155">
        <v>1</v>
      </c>
      <c r="M155">
        <v>0</v>
      </c>
      <c r="N155">
        <v>0</v>
      </c>
      <c r="O155">
        <v>1</v>
      </c>
      <c r="P155">
        <v>0</v>
      </c>
      <c r="Q155">
        <v>1</v>
      </c>
      <c r="R155">
        <v>1</v>
      </c>
      <c r="S155">
        <v>1</v>
      </c>
      <c r="T155">
        <v>0</v>
      </c>
      <c r="U155">
        <v>0</v>
      </c>
      <c r="V155">
        <v>0</v>
      </c>
    </row>
    <row r="156" spans="1:22" x14ac:dyDescent="0.2">
      <c r="A156" t="s">
        <v>415</v>
      </c>
      <c r="B156" t="s">
        <v>108</v>
      </c>
      <c r="C156" t="s">
        <v>41</v>
      </c>
      <c r="D156" t="s">
        <v>67</v>
      </c>
      <c r="E156" t="s">
        <v>37</v>
      </c>
      <c r="F156" t="s">
        <v>48</v>
      </c>
      <c r="G156" t="s">
        <v>47</v>
      </c>
      <c r="H156" t="s">
        <v>65</v>
      </c>
      <c r="I156">
        <v>0</v>
      </c>
      <c r="J156">
        <v>1</v>
      </c>
      <c r="K156">
        <v>1</v>
      </c>
      <c r="L156">
        <v>1</v>
      </c>
      <c r="M156">
        <v>0</v>
      </c>
      <c r="N156">
        <v>0</v>
      </c>
      <c r="O156">
        <v>1</v>
      </c>
      <c r="P156">
        <v>0</v>
      </c>
      <c r="Q156">
        <v>1</v>
      </c>
      <c r="R156">
        <v>1</v>
      </c>
      <c r="S156">
        <v>1</v>
      </c>
      <c r="T156">
        <v>0</v>
      </c>
      <c r="U156">
        <v>0</v>
      </c>
      <c r="V156">
        <v>0</v>
      </c>
    </row>
    <row r="157" spans="1:22" x14ac:dyDescent="0.2">
      <c r="A157" t="s">
        <v>415</v>
      </c>
      <c r="B157" t="s">
        <v>108</v>
      </c>
      <c r="C157" t="s">
        <v>41</v>
      </c>
      <c r="D157" t="s">
        <v>72</v>
      </c>
      <c r="E157" t="s">
        <v>37</v>
      </c>
      <c r="F157" t="s">
        <v>47</v>
      </c>
      <c r="G157" t="s">
        <v>65</v>
      </c>
      <c r="H157" t="s">
        <v>48</v>
      </c>
      <c r="I157">
        <v>0</v>
      </c>
      <c r="J157">
        <v>1</v>
      </c>
      <c r="K157">
        <v>1</v>
      </c>
      <c r="L157">
        <v>1</v>
      </c>
      <c r="M157">
        <v>0</v>
      </c>
      <c r="N157">
        <v>0</v>
      </c>
      <c r="O157">
        <v>1</v>
      </c>
      <c r="P157">
        <v>0</v>
      </c>
      <c r="Q157">
        <v>1</v>
      </c>
      <c r="R157">
        <v>1</v>
      </c>
      <c r="S157">
        <v>1</v>
      </c>
      <c r="T157">
        <v>0</v>
      </c>
      <c r="U157">
        <v>0</v>
      </c>
      <c r="V157">
        <v>0</v>
      </c>
    </row>
    <row r="158" spans="1:22" x14ac:dyDescent="0.2">
      <c r="A158" t="s">
        <v>415</v>
      </c>
      <c r="B158" t="s">
        <v>108</v>
      </c>
      <c r="C158" t="s">
        <v>41</v>
      </c>
      <c r="D158" t="s">
        <v>55</v>
      </c>
      <c r="E158" t="s">
        <v>37</v>
      </c>
      <c r="F158" t="s">
        <v>59</v>
      </c>
      <c r="G158" t="s">
        <v>48</v>
      </c>
      <c r="H158" t="s">
        <v>65</v>
      </c>
      <c r="I158">
        <v>0</v>
      </c>
      <c r="J158">
        <v>1</v>
      </c>
      <c r="K158">
        <v>1</v>
      </c>
      <c r="L158">
        <v>0</v>
      </c>
      <c r="M158">
        <v>0</v>
      </c>
      <c r="N158">
        <v>0</v>
      </c>
      <c r="O158">
        <v>1</v>
      </c>
      <c r="P158">
        <v>0</v>
      </c>
      <c r="Q158">
        <v>1</v>
      </c>
      <c r="R158">
        <v>1</v>
      </c>
      <c r="S158">
        <v>0</v>
      </c>
      <c r="T158">
        <v>0</v>
      </c>
      <c r="U158">
        <v>0</v>
      </c>
      <c r="V158">
        <v>0</v>
      </c>
    </row>
    <row r="159" spans="1:22" x14ac:dyDescent="0.2">
      <c r="A159" t="s">
        <v>418</v>
      </c>
      <c r="B159" t="s">
        <v>33</v>
      </c>
      <c r="C159" t="s">
        <v>41</v>
      </c>
      <c r="D159" t="s">
        <v>72</v>
      </c>
      <c r="E159" t="s">
        <v>37</v>
      </c>
      <c r="F159" t="s">
        <v>65</v>
      </c>
      <c r="G159" t="s">
        <v>48</v>
      </c>
      <c r="H159" t="s">
        <v>60</v>
      </c>
      <c r="I159">
        <v>1</v>
      </c>
      <c r="J159">
        <v>1</v>
      </c>
      <c r="K159">
        <v>1</v>
      </c>
      <c r="L159">
        <v>0</v>
      </c>
      <c r="M159">
        <v>0</v>
      </c>
      <c r="N159">
        <v>0</v>
      </c>
      <c r="O159">
        <v>1</v>
      </c>
      <c r="P159">
        <v>1</v>
      </c>
      <c r="Q159">
        <v>1</v>
      </c>
      <c r="R159">
        <v>1</v>
      </c>
      <c r="S159">
        <v>0</v>
      </c>
      <c r="T159">
        <v>0</v>
      </c>
      <c r="U159">
        <v>0</v>
      </c>
      <c r="V159">
        <v>0</v>
      </c>
    </row>
    <row r="160" spans="1:22" x14ac:dyDescent="0.2">
      <c r="A160" t="s">
        <v>418</v>
      </c>
      <c r="B160" t="s">
        <v>33</v>
      </c>
      <c r="C160" t="s">
        <v>41</v>
      </c>
      <c r="D160" t="s">
        <v>55</v>
      </c>
      <c r="E160" t="s">
        <v>37</v>
      </c>
      <c r="F160" t="s">
        <v>46</v>
      </c>
      <c r="G160" t="s">
        <v>65</v>
      </c>
      <c r="H160" t="s">
        <v>48</v>
      </c>
      <c r="I160">
        <v>0</v>
      </c>
      <c r="J160">
        <v>1</v>
      </c>
      <c r="K160">
        <v>1</v>
      </c>
      <c r="L160">
        <v>0</v>
      </c>
      <c r="M160">
        <v>1</v>
      </c>
      <c r="N160">
        <v>0</v>
      </c>
      <c r="O160">
        <v>1</v>
      </c>
      <c r="P160">
        <v>0</v>
      </c>
      <c r="Q160">
        <v>1</v>
      </c>
      <c r="R160">
        <v>0</v>
      </c>
      <c r="S160">
        <v>0</v>
      </c>
      <c r="T160">
        <v>0</v>
      </c>
      <c r="U160">
        <v>0</v>
      </c>
      <c r="V160">
        <v>0</v>
      </c>
    </row>
    <row r="161" spans="1:22" x14ac:dyDescent="0.2">
      <c r="A161" t="s">
        <v>418</v>
      </c>
      <c r="B161" t="s">
        <v>33</v>
      </c>
      <c r="C161" t="s">
        <v>41</v>
      </c>
      <c r="D161" t="s">
        <v>42</v>
      </c>
      <c r="E161" t="s">
        <v>37</v>
      </c>
      <c r="F161" t="s">
        <v>48</v>
      </c>
      <c r="G161" t="s">
        <v>65</v>
      </c>
      <c r="H161" t="s">
        <v>46</v>
      </c>
      <c r="I161">
        <v>0</v>
      </c>
      <c r="J161">
        <v>1</v>
      </c>
      <c r="K161">
        <v>1</v>
      </c>
      <c r="L161">
        <v>0</v>
      </c>
      <c r="M161">
        <v>1</v>
      </c>
      <c r="N161">
        <v>0</v>
      </c>
      <c r="O161">
        <v>1</v>
      </c>
      <c r="P161">
        <v>0</v>
      </c>
      <c r="Q161">
        <v>0</v>
      </c>
      <c r="R161">
        <v>0</v>
      </c>
      <c r="S161">
        <v>0</v>
      </c>
      <c r="T161">
        <v>0</v>
      </c>
      <c r="U161">
        <v>0</v>
      </c>
      <c r="V161">
        <v>1</v>
      </c>
    </row>
    <row r="162" spans="1:22" x14ac:dyDescent="0.2">
      <c r="A162" t="s">
        <v>422</v>
      </c>
      <c r="B162" t="s">
        <v>108</v>
      </c>
      <c r="C162" t="s">
        <v>41</v>
      </c>
      <c r="D162" t="s">
        <v>61</v>
      </c>
      <c r="E162" t="s">
        <v>37</v>
      </c>
      <c r="F162" t="s">
        <v>48</v>
      </c>
      <c r="G162" t="s">
        <v>60</v>
      </c>
      <c r="H162" t="s">
        <v>65</v>
      </c>
      <c r="I162">
        <v>1</v>
      </c>
      <c r="J162">
        <v>1</v>
      </c>
      <c r="K162">
        <v>1</v>
      </c>
      <c r="L162">
        <v>0</v>
      </c>
      <c r="M162">
        <v>0</v>
      </c>
      <c r="N162">
        <v>0</v>
      </c>
      <c r="O162">
        <v>1</v>
      </c>
      <c r="P162">
        <v>0</v>
      </c>
      <c r="Q162">
        <v>0</v>
      </c>
      <c r="R162">
        <v>1</v>
      </c>
      <c r="S162">
        <v>0</v>
      </c>
      <c r="T162">
        <v>0</v>
      </c>
      <c r="U162">
        <v>0</v>
      </c>
      <c r="V162">
        <v>0</v>
      </c>
    </row>
    <row r="163" spans="1:22" x14ac:dyDescent="0.2">
      <c r="A163" t="s">
        <v>422</v>
      </c>
      <c r="B163" t="s">
        <v>108</v>
      </c>
      <c r="C163" t="s">
        <v>41</v>
      </c>
      <c r="D163" t="s">
        <v>67</v>
      </c>
      <c r="E163" t="s">
        <v>37</v>
      </c>
      <c r="F163" t="s">
        <v>48</v>
      </c>
      <c r="G163" t="s">
        <v>65</v>
      </c>
      <c r="H163" t="s">
        <v>46</v>
      </c>
      <c r="I163">
        <v>0</v>
      </c>
      <c r="J163">
        <v>1</v>
      </c>
      <c r="K163">
        <v>1</v>
      </c>
      <c r="L163">
        <v>0</v>
      </c>
      <c r="M163">
        <v>1</v>
      </c>
      <c r="N163">
        <v>0</v>
      </c>
      <c r="O163">
        <v>1</v>
      </c>
      <c r="P163">
        <v>0</v>
      </c>
      <c r="Q163">
        <v>1</v>
      </c>
      <c r="R163">
        <v>0</v>
      </c>
      <c r="S163">
        <v>0</v>
      </c>
      <c r="T163">
        <v>0</v>
      </c>
      <c r="U163">
        <v>0</v>
      </c>
      <c r="V163">
        <v>0</v>
      </c>
    </row>
    <row r="164" spans="1:22" x14ac:dyDescent="0.2">
      <c r="A164" t="s">
        <v>422</v>
      </c>
      <c r="B164" t="s">
        <v>108</v>
      </c>
      <c r="C164" t="s">
        <v>41</v>
      </c>
      <c r="D164" t="s">
        <v>49</v>
      </c>
      <c r="E164" t="s">
        <v>37</v>
      </c>
      <c r="F164" t="s">
        <v>48</v>
      </c>
      <c r="G164" t="s">
        <v>47</v>
      </c>
      <c r="H164" t="s">
        <v>65</v>
      </c>
      <c r="I164">
        <v>0</v>
      </c>
      <c r="J164">
        <v>1</v>
      </c>
      <c r="K164">
        <v>1</v>
      </c>
      <c r="L164">
        <v>1</v>
      </c>
      <c r="M164">
        <v>0</v>
      </c>
      <c r="N164">
        <v>0</v>
      </c>
      <c r="O164">
        <v>1</v>
      </c>
      <c r="P164">
        <v>0</v>
      </c>
      <c r="Q164">
        <v>1</v>
      </c>
      <c r="R164">
        <v>0</v>
      </c>
      <c r="S164">
        <v>0</v>
      </c>
      <c r="T164">
        <v>0</v>
      </c>
      <c r="U164">
        <v>0</v>
      </c>
      <c r="V164">
        <v>0</v>
      </c>
    </row>
    <row r="165" spans="1:22" x14ac:dyDescent="0.2">
      <c r="A165" t="s">
        <v>426</v>
      </c>
      <c r="B165" t="s">
        <v>108</v>
      </c>
      <c r="C165" t="s">
        <v>41</v>
      </c>
      <c r="D165" t="s">
        <v>49</v>
      </c>
      <c r="E165" t="s">
        <v>37</v>
      </c>
      <c r="F165" t="s">
        <v>48</v>
      </c>
      <c r="G165" t="s">
        <v>65</v>
      </c>
      <c r="H165" t="s">
        <v>47</v>
      </c>
      <c r="I165">
        <v>0</v>
      </c>
      <c r="J165">
        <v>1</v>
      </c>
      <c r="K165">
        <v>1</v>
      </c>
      <c r="L165">
        <v>1</v>
      </c>
      <c r="M165">
        <v>0</v>
      </c>
      <c r="N165">
        <v>0</v>
      </c>
      <c r="O165">
        <v>1</v>
      </c>
      <c r="P165">
        <v>0</v>
      </c>
      <c r="Q165">
        <v>1</v>
      </c>
      <c r="R165">
        <v>0</v>
      </c>
      <c r="S165">
        <v>0</v>
      </c>
      <c r="T165">
        <v>0</v>
      </c>
      <c r="U165">
        <v>0</v>
      </c>
      <c r="V165">
        <v>0</v>
      </c>
    </row>
    <row r="166" spans="1:22" x14ac:dyDescent="0.2">
      <c r="A166" t="s">
        <v>426</v>
      </c>
      <c r="B166" t="s">
        <v>108</v>
      </c>
      <c r="C166" t="s">
        <v>41</v>
      </c>
      <c r="D166" t="s">
        <v>55</v>
      </c>
      <c r="E166" t="s">
        <v>37</v>
      </c>
      <c r="F166" t="s">
        <v>48</v>
      </c>
      <c r="G166" t="s">
        <v>65</v>
      </c>
      <c r="H166" t="s">
        <v>47</v>
      </c>
      <c r="I166">
        <v>0</v>
      </c>
      <c r="J166">
        <v>1</v>
      </c>
      <c r="K166">
        <v>1</v>
      </c>
      <c r="L166">
        <v>1</v>
      </c>
      <c r="M166">
        <v>0</v>
      </c>
      <c r="N166">
        <v>0</v>
      </c>
      <c r="O166">
        <v>1</v>
      </c>
      <c r="P166">
        <v>0</v>
      </c>
      <c r="Q166">
        <v>1</v>
      </c>
      <c r="R166">
        <v>0</v>
      </c>
      <c r="S166">
        <v>0</v>
      </c>
      <c r="T166">
        <v>0</v>
      </c>
      <c r="U166">
        <v>0</v>
      </c>
      <c r="V166">
        <v>0</v>
      </c>
    </row>
    <row r="167" spans="1:22" x14ac:dyDescent="0.2">
      <c r="A167" t="s">
        <v>426</v>
      </c>
      <c r="B167" t="s">
        <v>108</v>
      </c>
      <c r="C167" t="s">
        <v>41</v>
      </c>
      <c r="D167" t="s">
        <v>72</v>
      </c>
      <c r="E167" t="s">
        <v>37</v>
      </c>
      <c r="F167" t="s">
        <v>47</v>
      </c>
      <c r="G167" t="s">
        <v>65</v>
      </c>
      <c r="H167" t="s">
        <v>48</v>
      </c>
      <c r="I167">
        <v>0</v>
      </c>
      <c r="J167">
        <v>1</v>
      </c>
      <c r="K167">
        <v>1</v>
      </c>
      <c r="L167">
        <v>1</v>
      </c>
      <c r="M167">
        <v>0</v>
      </c>
      <c r="N167">
        <v>0</v>
      </c>
      <c r="O167">
        <v>1</v>
      </c>
      <c r="P167">
        <v>0</v>
      </c>
      <c r="Q167">
        <v>1</v>
      </c>
      <c r="R167">
        <v>0</v>
      </c>
      <c r="S167">
        <v>0</v>
      </c>
      <c r="T167">
        <v>0</v>
      </c>
      <c r="U167">
        <v>0</v>
      </c>
      <c r="V167">
        <v>0</v>
      </c>
    </row>
    <row r="168" spans="1:22" x14ac:dyDescent="0.2">
      <c r="A168" t="s">
        <v>429</v>
      </c>
      <c r="B168" t="s">
        <v>430</v>
      </c>
      <c r="C168" t="s">
        <v>41</v>
      </c>
      <c r="D168" t="s">
        <v>49</v>
      </c>
      <c r="E168" t="s">
        <v>37</v>
      </c>
      <c r="F168" t="s">
        <v>65</v>
      </c>
      <c r="G168" t="s">
        <v>47</v>
      </c>
      <c r="H168" t="s">
        <v>48</v>
      </c>
      <c r="I168">
        <v>0</v>
      </c>
      <c r="J168">
        <v>1</v>
      </c>
      <c r="K168">
        <v>1</v>
      </c>
      <c r="L168">
        <v>1</v>
      </c>
      <c r="M168">
        <v>0</v>
      </c>
      <c r="N168">
        <v>0</v>
      </c>
      <c r="O168">
        <v>1</v>
      </c>
      <c r="P168">
        <v>0</v>
      </c>
      <c r="Q168">
        <v>1</v>
      </c>
      <c r="R168">
        <v>0</v>
      </c>
      <c r="S168">
        <v>1</v>
      </c>
      <c r="T168">
        <v>0</v>
      </c>
      <c r="U168">
        <v>0</v>
      </c>
      <c r="V168">
        <v>0</v>
      </c>
    </row>
    <row r="169" spans="1:22" x14ac:dyDescent="0.2">
      <c r="A169" t="s">
        <v>429</v>
      </c>
      <c r="B169" t="s">
        <v>430</v>
      </c>
      <c r="C169" t="s">
        <v>41</v>
      </c>
      <c r="D169" t="s">
        <v>61</v>
      </c>
      <c r="E169" t="s">
        <v>37</v>
      </c>
      <c r="F169" t="s">
        <v>65</v>
      </c>
      <c r="G169" t="s">
        <v>46</v>
      </c>
      <c r="H169" t="s">
        <v>48</v>
      </c>
      <c r="I169">
        <v>0</v>
      </c>
      <c r="J169">
        <v>1</v>
      </c>
      <c r="K169">
        <v>1</v>
      </c>
      <c r="L169">
        <v>0</v>
      </c>
      <c r="M169">
        <v>1</v>
      </c>
      <c r="N169">
        <v>0</v>
      </c>
      <c r="O169">
        <v>1</v>
      </c>
      <c r="P169">
        <v>0</v>
      </c>
      <c r="Q169">
        <v>1</v>
      </c>
      <c r="R169">
        <v>0</v>
      </c>
      <c r="S169">
        <v>0</v>
      </c>
      <c r="T169">
        <v>0</v>
      </c>
      <c r="U169">
        <v>0</v>
      </c>
      <c r="V169">
        <v>0</v>
      </c>
    </row>
    <row r="170" spans="1:22" x14ac:dyDescent="0.2">
      <c r="A170" t="s">
        <v>434</v>
      </c>
      <c r="B170" t="s">
        <v>108</v>
      </c>
      <c r="C170" t="s">
        <v>41</v>
      </c>
      <c r="D170" t="s">
        <v>55</v>
      </c>
      <c r="E170" t="s">
        <v>37</v>
      </c>
      <c r="F170" t="s">
        <v>46</v>
      </c>
      <c r="G170" t="s">
        <v>65</v>
      </c>
      <c r="H170" t="s">
        <v>48</v>
      </c>
      <c r="I170">
        <v>0</v>
      </c>
      <c r="J170">
        <v>1</v>
      </c>
      <c r="K170">
        <v>1</v>
      </c>
      <c r="L170">
        <v>0</v>
      </c>
      <c r="M170">
        <v>1</v>
      </c>
      <c r="N170">
        <v>0</v>
      </c>
      <c r="O170">
        <v>1</v>
      </c>
      <c r="P170">
        <v>0</v>
      </c>
      <c r="Q170">
        <v>1</v>
      </c>
      <c r="R170">
        <v>1</v>
      </c>
      <c r="S170">
        <v>0</v>
      </c>
      <c r="T170">
        <v>1</v>
      </c>
      <c r="U170">
        <v>0</v>
      </c>
      <c r="V170">
        <v>0</v>
      </c>
    </row>
    <row r="171" spans="1:22" x14ac:dyDescent="0.2">
      <c r="A171" t="s">
        <v>437</v>
      </c>
      <c r="B171" t="s">
        <v>108</v>
      </c>
      <c r="C171" t="s">
        <v>41</v>
      </c>
      <c r="D171" t="s">
        <v>72</v>
      </c>
      <c r="E171" t="s">
        <v>37</v>
      </c>
      <c r="F171" t="s">
        <v>48</v>
      </c>
      <c r="G171" t="s">
        <v>65</v>
      </c>
      <c r="H171" t="s">
        <v>47</v>
      </c>
      <c r="I171">
        <v>0</v>
      </c>
      <c r="J171">
        <v>1</v>
      </c>
      <c r="K171">
        <v>1</v>
      </c>
      <c r="L171">
        <v>1</v>
      </c>
      <c r="M171">
        <v>0</v>
      </c>
      <c r="N171">
        <v>0</v>
      </c>
      <c r="O171">
        <v>1</v>
      </c>
      <c r="P171">
        <v>0</v>
      </c>
      <c r="Q171">
        <v>0</v>
      </c>
      <c r="R171">
        <v>0</v>
      </c>
      <c r="S171">
        <v>0</v>
      </c>
      <c r="T171">
        <v>0</v>
      </c>
      <c r="U171">
        <v>0</v>
      </c>
      <c r="V171">
        <v>1</v>
      </c>
    </row>
    <row r="172" spans="1:22" x14ac:dyDescent="0.2">
      <c r="A172" t="s">
        <v>437</v>
      </c>
      <c r="B172" t="s">
        <v>108</v>
      </c>
      <c r="C172" t="s">
        <v>41</v>
      </c>
      <c r="D172" t="s">
        <v>61</v>
      </c>
      <c r="E172" t="s">
        <v>37</v>
      </c>
      <c r="F172" t="s">
        <v>48</v>
      </c>
      <c r="G172" t="s">
        <v>59</v>
      </c>
      <c r="H172" t="s">
        <v>65</v>
      </c>
      <c r="I172">
        <v>0</v>
      </c>
      <c r="J172">
        <v>1</v>
      </c>
      <c r="K172">
        <v>1</v>
      </c>
      <c r="L172">
        <v>0</v>
      </c>
      <c r="M172">
        <v>0</v>
      </c>
      <c r="N172">
        <v>0</v>
      </c>
      <c r="O172">
        <v>1</v>
      </c>
      <c r="P172">
        <v>0</v>
      </c>
      <c r="Q172">
        <v>0</v>
      </c>
      <c r="R172">
        <v>0</v>
      </c>
      <c r="S172">
        <v>0</v>
      </c>
      <c r="T172">
        <v>0</v>
      </c>
      <c r="U172">
        <v>0</v>
      </c>
      <c r="V172">
        <v>1</v>
      </c>
    </row>
    <row r="173" spans="1:22" x14ac:dyDescent="0.2">
      <c r="A173" t="s">
        <v>437</v>
      </c>
      <c r="B173" t="s">
        <v>108</v>
      </c>
      <c r="C173" t="s">
        <v>41</v>
      </c>
      <c r="D173" t="s">
        <v>42</v>
      </c>
      <c r="E173" t="s">
        <v>37</v>
      </c>
      <c r="F173" t="s">
        <v>47</v>
      </c>
      <c r="G173" t="s">
        <v>65</v>
      </c>
      <c r="H173" t="s">
        <v>48</v>
      </c>
      <c r="I173">
        <v>0</v>
      </c>
      <c r="J173">
        <v>1</v>
      </c>
      <c r="K173">
        <v>1</v>
      </c>
      <c r="L173">
        <v>1</v>
      </c>
      <c r="M173">
        <v>0</v>
      </c>
      <c r="N173">
        <v>0</v>
      </c>
      <c r="O173">
        <v>1</v>
      </c>
      <c r="P173">
        <v>0</v>
      </c>
      <c r="Q173">
        <v>0</v>
      </c>
      <c r="R173">
        <v>0</v>
      </c>
      <c r="S173">
        <v>0</v>
      </c>
      <c r="T173">
        <v>0</v>
      </c>
      <c r="U173">
        <v>0</v>
      </c>
      <c r="V173">
        <v>1</v>
      </c>
    </row>
    <row r="174" spans="1:22" x14ac:dyDescent="0.2">
      <c r="A174" t="s">
        <v>441</v>
      </c>
      <c r="B174" t="s">
        <v>33</v>
      </c>
      <c r="C174" t="s">
        <v>41</v>
      </c>
      <c r="D174" t="s">
        <v>55</v>
      </c>
      <c r="E174" t="s">
        <v>442</v>
      </c>
      <c r="F174" t="s">
        <v>65</v>
      </c>
      <c r="G174" t="s">
        <v>46</v>
      </c>
      <c r="H174" t="s">
        <v>48</v>
      </c>
      <c r="I174">
        <v>0</v>
      </c>
      <c r="J174">
        <v>1</v>
      </c>
      <c r="K174">
        <v>1</v>
      </c>
      <c r="L174">
        <v>0</v>
      </c>
      <c r="M174">
        <v>1</v>
      </c>
      <c r="N174">
        <v>0</v>
      </c>
      <c r="O174">
        <v>1</v>
      </c>
      <c r="P174">
        <v>0</v>
      </c>
      <c r="Q174">
        <v>1</v>
      </c>
      <c r="R174">
        <v>0</v>
      </c>
      <c r="S174">
        <v>0</v>
      </c>
      <c r="T174">
        <v>0</v>
      </c>
      <c r="U174">
        <v>0</v>
      </c>
      <c r="V174">
        <v>0</v>
      </c>
    </row>
    <row r="175" spans="1:22" x14ac:dyDescent="0.2">
      <c r="A175" t="s">
        <v>441</v>
      </c>
      <c r="B175" t="s">
        <v>33</v>
      </c>
      <c r="C175" t="s">
        <v>41</v>
      </c>
      <c r="D175" t="s">
        <v>72</v>
      </c>
      <c r="E175" t="s">
        <v>442</v>
      </c>
      <c r="F175" t="s">
        <v>48</v>
      </c>
      <c r="G175" t="s">
        <v>65</v>
      </c>
      <c r="H175" t="s">
        <v>59</v>
      </c>
      <c r="I175">
        <v>0</v>
      </c>
      <c r="J175">
        <v>1</v>
      </c>
      <c r="K175">
        <v>1</v>
      </c>
      <c r="L175">
        <v>0</v>
      </c>
      <c r="M175">
        <v>0</v>
      </c>
      <c r="N175">
        <v>0</v>
      </c>
      <c r="O175">
        <v>1</v>
      </c>
      <c r="P175">
        <v>0</v>
      </c>
      <c r="Q175">
        <v>0</v>
      </c>
      <c r="R175">
        <v>1</v>
      </c>
      <c r="S175">
        <v>0</v>
      </c>
      <c r="T175">
        <v>0</v>
      </c>
      <c r="U175">
        <v>0</v>
      </c>
      <c r="V175">
        <v>0</v>
      </c>
    </row>
    <row r="176" spans="1:22" x14ac:dyDescent="0.2">
      <c r="A176" t="s">
        <v>441</v>
      </c>
      <c r="B176" t="s">
        <v>33</v>
      </c>
      <c r="C176" t="s">
        <v>41</v>
      </c>
      <c r="D176" t="s">
        <v>42</v>
      </c>
      <c r="E176" t="s">
        <v>442</v>
      </c>
      <c r="F176" t="s">
        <v>65</v>
      </c>
      <c r="G176" t="s">
        <v>46</v>
      </c>
      <c r="H176" t="s">
        <v>48</v>
      </c>
      <c r="I176">
        <v>0</v>
      </c>
      <c r="J176">
        <v>1</v>
      </c>
      <c r="K176">
        <v>1</v>
      </c>
      <c r="L176">
        <v>0</v>
      </c>
      <c r="M176">
        <v>1</v>
      </c>
      <c r="N176">
        <v>0</v>
      </c>
      <c r="O176">
        <v>1</v>
      </c>
      <c r="P176">
        <v>0</v>
      </c>
      <c r="Q176">
        <v>1</v>
      </c>
      <c r="R176">
        <v>0</v>
      </c>
      <c r="S176">
        <v>0</v>
      </c>
      <c r="T176">
        <v>0</v>
      </c>
      <c r="U176">
        <v>0</v>
      </c>
      <c r="V176">
        <v>0</v>
      </c>
    </row>
    <row r="177" spans="1:22" x14ac:dyDescent="0.2">
      <c r="A177" t="s">
        <v>441</v>
      </c>
      <c r="B177" t="s">
        <v>33</v>
      </c>
      <c r="C177" t="s">
        <v>41</v>
      </c>
      <c r="D177" t="s">
        <v>61</v>
      </c>
      <c r="E177" t="s">
        <v>442</v>
      </c>
      <c r="F177" t="s">
        <v>65</v>
      </c>
      <c r="G177" t="s">
        <v>48</v>
      </c>
      <c r="H177" t="s">
        <v>46</v>
      </c>
      <c r="I177">
        <v>0</v>
      </c>
      <c r="J177">
        <v>1</v>
      </c>
      <c r="K177">
        <v>1</v>
      </c>
      <c r="L177">
        <v>0</v>
      </c>
      <c r="M177">
        <v>1</v>
      </c>
      <c r="N177">
        <v>0</v>
      </c>
      <c r="O177">
        <v>1</v>
      </c>
      <c r="P177">
        <v>0</v>
      </c>
      <c r="Q177">
        <v>0</v>
      </c>
      <c r="R177">
        <v>1</v>
      </c>
      <c r="S177">
        <v>0</v>
      </c>
      <c r="T177">
        <v>0</v>
      </c>
      <c r="U177">
        <v>0</v>
      </c>
      <c r="V177">
        <v>0</v>
      </c>
    </row>
    <row r="178" spans="1:22" x14ac:dyDescent="0.2">
      <c r="A178" t="s">
        <v>444</v>
      </c>
      <c r="B178" t="s">
        <v>33</v>
      </c>
      <c r="C178" t="s">
        <v>41</v>
      </c>
      <c r="D178" t="s">
        <v>61</v>
      </c>
      <c r="E178" t="s">
        <v>442</v>
      </c>
      <c r="F178" t="s">
        <v>59</v>
      </c>
      <c r="G178" t="s">
        <v>48</v>
      </c>
      <c r="H178" t="s">
        <v>65</v>
      </c>
      <c r="I178">
        <v>0</v>
      </c>
      <c r="J178">
        <v>1</v>
      </c>
      <c r="K178">
        <v>1</v>
      </c>
      <c r="L178">
        <v>0</v>
      </c>
      <c r="M178">
        <v>0</v>
      </c>
      <c r="N178">
        <v>0</v>
      </c>
      <c r="O178">
        <v>1</v>
      </c>
      <c r="P178">
        <v>0</v>
      </c>
      <c r="Q178">
        <v>1</v>
      </c>
      <c r="R178">
        <v>0</v>
      </c>
      <c r="S178">
        <v>0</v>
      </c>
      <c r="T178">
        <v>0</v>
      </c>
      <c r="U178">
        <v>0</v>
      </c>
      <c r="V178">
        <v>0</v>
      </c>
    </row>
    <row r="179" spans="1:22" x14ac:dyDescent="0.2">
      <c r="A179" t="s">
        <v>444</v>
      </c>
      <c r="B179" t="s">
        <v>33</v>
      </c>
      <c r="C179" t="s">
        <v>41</v>
      </c>
      <c r="D179" t="s">
        <v>67</v>
      </c>
      <c r="E179" t="s">
        <v>442</v>
      </c>
      <c r="F179" t="s">
        <v>46</v>
      </c>
      <c r="G179" t="s">
        <v>65</v>
      </c>
      <c r="H179" t="s">
        <v>48</v>
      </c>
      <c r="I179">
        <v>0</v>
      </c>
      <c r="J179">
        <v>1</v>
      </c>
      <c r="K179">
        <v>1</v>
      </c>
      <c r="L179">
        <v>0</v>
      </c>
      <c r="M179">
        <v>1</v>
      </c>
      <c r="N179">
        <v>0</v>
      </c>
      <c r="O179">
        <v>1</v>
      </c>
      <c r="P179">
        <v>0</v>
      </c>
      <c r="Q179">
        <v>0</v>
      </c>
      <c r="R179">
        <v>1</v>
      </c>
      <c r="S179">
        <v>0</v>
      </c>
      <c r="T179">
        <v>0</v>
      </c>
      <c r="U179">
        <v>0</v>
      </c>
      <c r="V179">
        <v>0</v>
      </c>
    </row>
    <row r="180" spans="1:22" x14ac:dyDescent="0.2">
      <c r="A180" t="s">
        <v>444</v>
      </c>
      <c r="B180" t="s">
        <v>33</v>
      </c>
      <c r="C180" t="s">
        <v>41</v>
      </c>
      <c r="D180" t="s">
        <v>42</v>
      </c>
      <c r="E180" t="s">
        <v>442</v>
      </c>
      <c r="F180" t="s">
        <v>46</v>
      </c>
      <c r="G180" t="s">
        <v>65</v>
      </c>
      <c r="H180" t="s">
        <v>48</v>
      </c>
      <c r="I180">
        <v>0</v>
      </c>
      <c r="J180">
        <v>1</v>
      </c>
      <c r="K180">
        <v>1</v>
      </c>
      <c r="L180">
        <v>0</v>
      </c>
      <c r="M180">
        <v>1</v>
      </c>
      <c r="N180">
        <v>0</v>
      </c>
      <c r="O180">
        <v>1</v>
      </c>
      <c r="P180">
        <v>0</v>
      </c>
      <c r="Q180">
        <v>0</v>
      </c>
      <c r="R180">
        <v>0</v>
      </c>
      <c r="S180">
        <v>0</v>
      </c>
      <c r="T180">
        <v>1</v>
      </c>
      <c r="U180">
        <v>0</v>
      </c>
      <c r="V180">
        <v>0</v>
      </c>
    </row>
    <row r="181" spans="1:22" x14ac:dyDescent="0.2">
      <c r="A181" t="s">
        <v>445</v>
      </c>
      <c r="B181" t="s">
        <v>33</v>
      </c>
      <c r="C181" t="s">
        <v>41</v>
      </c>
      <c r="D181" t="s">
        <v>49</v>
      </c>
      <c r="E181" t="s">
        <v>442</v>
      </c>
      <c r="F181" t="s">
        <v>48</v>
      </c>
      <c r="G181" t="s">
        <v>65</v>
      </c>
      <c r="H181" t="s">
        <v>59</v>
      </c>
      <c r="I181">
        <v>0</v>
      </c>
      <c r="J181">
        <v>1</v>
      </c>
      <c r="K181">
        <v>1</v>
      </c>
      <c r="L181">
        <v>0</v>
      </c>
      <c r="M181">
        <v>0</v>
      </c>
      <c r="N181">
        <v>0</v>
      </c>
      <c r="O181">
        <v>1</v>
      </c>
      <c r="P181">
        <v>0</v>
      </c>
      <c r="Q181">
        <v>0</v>
      </c>
      <c r="R181">
        <v>0</v>
      </c>
      <c r="S181">
        <v>0</v>
      </c>
      <c r="T181">
        <v>0</v>
      </c>
      <c r="U181">
        <v>0</v>
      </c>
      <c r="V181">
        <v>0</v>
      </c>
    </row>
    <row r="182" spans="1:22" x14ac:dyDescent="0.2">
      <c r="A182" t="s">
        <v>445</v>
      </c>
      <c r="B182" t="s">
        <v>33</v>
      </c>
      <c r="C182" t="s">
        <v>41</v>
      </c>
      <c r="D182" t="s">
        <v>61</v>
      </c>
      <c r="E182" t="s">
        <v>442</v>
      </c>
      <c r="F182" t="s">
        <v>48</v>
      </c>
      <c r="G182" t="s">
        <v>65</v>
      </c>
      <c r="H182" t="s">
        <v>60</v>
      </c>
      <c r="I182">
        <v>1</v>
      </c>
      <c r="J182">
        <v>1</v>
      </c>
      <c r="K182">
        <v>1</v>
      </c>
      <c r="L182">
        <v>0</v>
      </c>
      <c r="M182">
        <v>0</v>
      </c>
      <c r="N182">
        <v>0</v>
      </c>
      <c r="O182">
        <v>1</v>
      </c>
      <c r="P182">
        <v>0</v>
      </c>
      <c r="Q182">
        <v>1</v>
      </c>
      <c r="R182">
        <v>0</v>
      </c>
      <c r="S182">
        <v>0</v>
      </c>
      <c r="T182">
        <v>0</v>
      </c>
      <c r="U182">
        <v>0</v>
      </c>
      <c r="V182">
        <v>0</v>
      </c>
    </row>
    <row r="183" spans="1:22" x14ac:dyDescent="0.2">
      <c r="A183" t="s">
        <v>448</v>
      </c>
      <c r="B183" t="s">
        <v>33</v>
      </c>
      <c r="C183" t="s">
        <v>41</v>
      </c>
      <c r="D183" t="s">
        <v>72</v>
      </c>
      <c r="E183" t="s">
        <v>442</v>
      </c>
      <c r="F183" t="s">
        <v>47</v>
      </c>
      <c r="G183" t="s">
        <v>48</v>
      </c>
      <c r="H183" t="s">
        <v>65</v>
      </c>
      <c r="I183">
        <v>0</v>
      </c>
      <c r="J183">
        <v>1</v>
      </c>
      <c r="K183">
        <v>1</v>
      </c>
      <c r="L183">
        <v>1</v>
      </c>
      <c r="M183">
        <v>0</v>
      </c>
      <c r="N183">
        <v>0</v>
      </c>
      <c r="O183">
        <v>1</v>
      </c>
      <c r="P183">
        <v>0</v>
      </c>
      <c r="Q183">
        <v>0</v>
      </c>
      <c r="R183">
        <v>1</v>
      </c>
      <c r="S183">
        <v>0</v>
      </c>
      <c r="T183">
        <v>0</v>
      </c>
      <c r="U183">
        <v>0</v>
      </c>
      <c r="V183">
        <v>0</v>
      </c>
    </row>
    <row r="184" spans="1:22" x14ac:dyDescent="0.2">
      <c r="A184" t="s">
        <v>449</v>
      </c>
      <c r="B184" t="s">
        <v>108</v>
      </c>
      <c r="C184" t="s">
        <v>41</v>
      </c>
      <c r="D184" t="s">
        <v>67</v>
      </c>
      <c r="E184" t="s">
        <v>442</v>
      </c>
      <c r="F184" t="s">
        <v>65</v>
      </c>
      <c r="G184" t="s">
        <v>48</v>
      </c>
      <c r="H184" t="s">
        <v>59</v>
      </c>
      <c r="I184">
        <v>0</v>
      </c>
      <c r="J184">
        <v>1</v>
      </c>
      <c r="K184">
        <v>1</v>
      </c>
      <c r="L184">
        <v>0</v>
      </c>
      <c r="M184">
        <v>0</v>
      </c>
      <c r="N184">
        <v>0</v>
      </c>
      <c r="O184">
        <v>1</v>
      </c>
      <c r="P184">
        <v>0</v>
      </c>
      <c r="Q184">
        <v>1</v>
      </c>
      <c r="R184">
        <v>1</v>
      </c>
      <c r="S184">
        <v>0</v>
      </c>
      <c r="T184">
        <v>0</v>
      </c>
      <c r="U184">
        <v>0</v>
      </c>
      <c r="V184">
        <v>0</v>
      </c>
    </row>
    <row r="185" spans="1:22" x14ac:dyDescent="0.2">
      <c r="A185" t="s">
        <v>449</v>
      </c>
      <c r="B185" t="s">
        <v>108</v>
      </c>
      <c r="C185" t="s">
        <v>41</v>
      </c>
      <c r="D185" t="s">
        <v>55</v>
      </c>
      <c r="E185" t="s">
        <v>442</v>
      </c>
      <c r="F185" t="s">
        <v>46</v>
      </c>
      <c r="G185" t="s">
        <v>48</v>
      </c>
      <c r="H185" t="s">
        <v>65</v>
      </c>
      <c r="I185">
        <v>0</v>
      </c>
      <c r="J185">
        <v>1</v>
      </c>
      <c r="K185">
        <v>1</v>
      </c>
      <c r="L185">
        <v>0</v>
      </c>
      <c r="M185">
        <v>1</v>
      </c>
      <c r="N185">
        <v>0</v>
      </c>
      <c r="O185">
        <v>1</v>
      </c>
      <c r="P185">
        <v>0</v>
      </c>
      <c r="Q185">
        <v>1</v>
      </c>
      <c r="R185">
        <v>0</v>
      </c>
      <c r="S185">
        <v>0</v>
      </c>
      <c r="T185">
        <v>0</v>
      </c>
      <c r="U185">
        <v>0</v>
      </c>
      <c r="V185">
        <v>0</v>
      </c>
    </row>
    <row r="186" spans="1:22" x14ac:dyDescent="0.2">
      <c r="A186" t="s">
        <v>452</v>
      </c>
      <c r="B186" t="s">
        <v>188</v>
      </c>
      <c r="C186" t="s">
        <v>41</v>
      </c>
      <c r="D186" t="s">
        <v>67</v>
      </c>
      <c r="E186" t="s">
        <v>442</v>
      </c>
      <c r="F186" t="s">
        <v>65</v>
      </c>
      <c r="G186" t="s">
        <v>59</v>
      </c>
      <c r="H186" t="s">
        <v>48</v>
      </c>
      <c r="I186">
        <v>0</v>
      </c>
      <c r="J186">
        <v>1</v>
      </c>
      <c r="K186">
        <v>1</v>
      </c>
      <c r="L186">
        <v>0</v>
      </c>
      <c r="M186">
        <v>0</v>
      </c>
      <c r="N186">
        <v>0</v>
      </c>
      <c r="O186">
        <v>1</v>
      </c>
      <c r="P186">
        <v>0</v>
      </c>
      <c r="Q186">
        <v>1</v>
      </c>
      <c r="R186">
        <v>0</v>
      </c>
      <c r="S186">
        <v>0</v>
      </c>
      <c r="T186">
        <v>0</v>
      </c>
      <c r="U186">
        <v>0</v>
      </c>
      <c r="V186">
        <v>0</v>
      </c>
    </row>
    <row r="187" spans="1:22" x14ac:dyDescent="0.2">
      <c r="A187" t="s">
        <v>456</v>
      </c>
      <c r="B187" t="s">
        <v>33</v>
      </c>
      <c r="C187" t="s">
        <v>41</v>
      </c>
      <c r="D187" t="s">
        <v>67</v>
      </c>
      <c r="E187" t="s">
        <v>442</v>
      </c>
      <c r="F187" t="s">
        <v>60</v>
      </c>
      <c r="G187" t="s">
        <v>65</v>
      </c>
      <c r="H187" t="s">
        <v>48</v>
      </c>
      <c r="I187">
        <v>1</v>
      </c>
      <c r="J187">
        <v>1</v>
      </c>
      <c r="K187">
        <v>1</v>
      </c>
      <c r="L187">
        <v>0</v>
      </c>
      <c r="M187">
        <v>0</v>
      </c>
      <c r="N187">
        <v>0</v>
      </c>
      <c r="O187">
        <v>1</v>
      </c>
      <c r="P187">
        <v>0</v>
      </c>
      <c r="Q187">
        <v>1</v>
      </c>
      <c r="R187">
        <v>0</v>
      </c>
      <c r="S187">
        <v>0</v>
      </c>
      <c r="T187">
        <v>0</v>
      </c>
      <c r="U187">
        <v>0</v>
      </c>
      <c r="V187">
        <v>0</v>
      </c>
    </row>
    <row r="188" spans="1:22" x14ac:dyDescent="0.2">
      <c r="A188" t="s">
        <v>456</v>
      </c>
      <c r="B188" t="s">
        <v>33</v>
      </c>
      <c r="C188" t="s">
        <v>41</v>
      </c>
      <c r="D188" t="s">
        <v>42</v>
      </c>
      <c r="E188" t="s">
        <v>442</v>
      </c>
      <c r="F188" t="s">
        <v>46</v>
      </c>
      <c r="G188" t="s">
        <v>65</v>
      </c>
      <c r="H188" t="s">
        <v>48</v>
      </c>
      <c r="I188">
        <v>0</v>
      </c>
      <c r="J188">
        <v>1</v>
      </c>
      <c r="K188">
        <v>1</v>
      </c>
      <c r="L188">
        <v>0</v>
      </c>
      <c r="M188">
        <v>1</v>
      </c>
      <c r="N188">
        <v>0</v>
      </c>
      <c r="O188">
        <v>1</v>
      </c>
      <c r="P188">
        <v>0</v>
      </c>
      <c r="Q188">
        <v>0</v>
      </c>
      <c r="R188">
        <v>0</v>
      </c>
      <c r="S188">
        <v>0</v>
      </c>
      <c r="T188">
        <v>0</v>
      </c>
      <c r="U188">
        <v>0</v>
      </c>
      <c r="V188">
        <v>0</v>
      </c>
    </row>
    <row r="189" spans="1:22" x14ac:dyDescent="0.2">
      <c r="A189" t="s">
        <v>456</v>
      </c>
      <c r="B189" t="s">
        <v>33</v>
      </c>
      <c r="C189" t="s">
        <v>41</v>
      </c>
      <c r="D189" t="s">
        <v>55</v>
      </c>
      <c r="E189" t="s">
        <v>442</v>
      </c>
      <c r="F189" t="s">
        <v>47</v>
      </c>
      <c r="G189" t="s">
        <v>48</v>
      </c>
      <c r="H189" t="s">
        <v>65</v>
      </c>
      <c r="I189">
        <v>0</v>
      </c>
      <c r="J189">
        <v>1</v>
      </c>
      <c r="K189">
        <v>1</v>
      </c>
      <c r="L189">
        <v>1</v>
      </c>
      <c r="M189">
        <v>0</v>
      </c>
      <c r="N189">
        <v>0</v>
      </c>
      <c r="O189">
        <v>1</v>
      </c>
      <c r="P189">
        <v>0</v>
      </c>
      <c r="Q189">
        <v>0</v>
      </c>
      <c r="R189">
        <v>1</v>
      </c>
      <c r="S189">
        <v>0</v>
      </c>
      <c r="T189">
        <v>0</v>
      </c>
      <c r="U189">
        <v>0</v>
      </c>
      <c r="V189">
        <v>0</v>
      </c>
    </row>
    <row r="190" spans="1:22" x14ac:dyDescent="0.2">
      <c r="A190" t="s">
        <v>459</v>
      </c>
      <c r="B190" t="s">
        <v>188</v>
      </c>
      <c r="C190" t="s">
        <v>41</v>
      </c>
      <c r="D190" t="s">
        <v>42</v>
      </c>
      <c r="E190" t="s">
        <v>442</v>
      </c>
      <c r="F190" t="s">
        <v>65</v>
      </c>
      <c r="G190" t="s">
        <v>48</v>
      </c>
      <c r="H190" t="s">
        <v>46</v>
      </c>
      <c r="I190">
        <v>0</v>
      </c>
      <c r="J190">
        <v>1</v>
      </c>
      <c r="K190">
        <v>1</v>
      </c>
      <c r="L190">
        <v>0</v>
      </c>
      <c r="M190">
        <v>1</v>
      </c>
      <c r="N190">
        <v>0</v>
      </c>
      <c r="O190">
        <v>1</v>
      </c>
      <c r="P190">
        <v>0</v>
      </c>
      <c r="Q190">
        <v>1</v>
      </c>
      <c r="R190">
        <v>1</v>
      </c>
      <c r="S190">
        <v>0</v>
      </c>
      <c r="T190">
        <v>1</v>
      </c>
      <c r="U190">
        <v>0</v>
      </c>
      <c r="V190">
        <v>0</v>
      </c>
    </row>
    <row r="191" spans="1:22" x14ac:dyDescent="0.2">
      <c r="A191" t="s">
        <v>462</v>
      </c>
      <c r="B191" t="s">
        <v>108</v>
      </c>
      <c r="C191" t="s">
        <v>41</v>
      </c>
      <c r="D191" t="s">
        <v>61</v>
      </c>
      <c r="E191" t="s">
        <v>442</v>
      </c>
      <c r="F191" t="s">
        <v>65</v>
      </c>
      <c r="G191" t="s">
        <v>46</v>
      </c>
      <c r="H191" t="s">
        <v>48</v>
      </c>
      <c r="I191">
        <v>0</v>
      </c>
      <c r="J191">
        <v>1</v>
      </c>
      <c r="K191">
        <v>1</v>
      </c>
      <c r="L191">
        <v>0</v>
      </c>
      <c r="M191">
        <v>1</v>
      </c>
      <c r="N191">
        <v>0</v>
      </c>
      <c r="O191">
        <v>1</v>
      </c>
      <c r="P191">
        <v>0</v>
      </c>
      <c r="Q191">
        <v>0</v>
      </c>
      <c r="R191">
        <v>1</v>
      </c>
      <c r="S191">
        <v>0</v>
      </c>
      <c r="T191">
        <v>1</v>
      </c>
      <c r="U191">
        <v>0</v>
      </c>
      <c r="V191">
        <v>0</v>
      </c>
    </row>
    <row r="192" spans="1:22" x14ac:dyDescent="0.2">
      <c r="A192" t="s">
        <v>462</v>
      </c>
      <c r="B192" t="s">
        <v>108</v>
      </c>
      <c r="C192" t="s">
        <v>41</v>
      </c>
      <c r="D192" t="s">
        <v>42</v>
      </c>
      <c r="E192" t="s">
        <v>442</v>
      </c>
      <c r="F192" t="s">
        <v>48</v>
      </c>
      <c r="G192" t="s">
        <v>59</v>
      </c>
      <c r="H192" t="s">
        <v>65</v>
      </c>
      <c r="I192">
        <v>0</v>
      </c>
      <c r="J192">
        <v>1</v>
      </c>
      <c r="K192">
        <v>1</v>
      </c>
      <c r="L192">
        <v>0</v>
      </c>
      <c r="M192">
        <v>0</v>
      </c>
      <c r="N192">
        <v>0</v>
      </c>
      <c r="O192">
        <v>1</v>
      </c>
      <c r="P192">
        <v>0</v>
      </c>
      <c r="Q192">
        <v>0</v>
      </c>
      <c r="R192">
        <v>1</v>
      </c>
      <c r="S192">
        <v>0</v>
      </c>
      <c r="T192">
        <v>0</v>
      </c>
      <c r="U192">
        <v>0</v>
      </c>
      <c r="V192">
        <v>0</v>
      </c>
    </row>
    <row r="193" spans="1:22" x14ac:dyDescent="0.2">
      <c r="A193" t="s">
        <v>462</v>
      </c>
      <c r="B193" t="s">
        <v>108</v>
      </c>
      <c r="C193" t="s">
        <v>41</v>
      </c>
      <c r="D193" t="s">
        <v>55</v>
      </c>
      <c r="E193" t="s">
        <v>442</v>
      </c>
      <c r="F193" t="s">
        <v>65</v>
      </c>
      <c r="G193" t="s">
        <v>46</v>
      </c>
      <c r="H193" t="s">
        <v>48</v>
      </c>
      <c r="I193">
        <v>0</v>
      </c>
      <c r="J193">
        <v>1</v>
      </c>
      <c r="K193">
        <v>1</v>
      </c>
      <c r="L193">
        <v>0</v>
      </c>
      <c r="M193">
        <v>1</v>
      </c>
      <c r="N193">
        <v>0</v>
      </c>
      <c r="O193">
        <v>1</v>
      </c>
      <c r="P193">
        <v>0</v>
      </c>
      <c r="Q193">
        <v>0</v>
      </c>
      <c r="R193">
        <v>1</v>
      </c>
      <c r="S193">
        <v>0</v>
      </c>
      <c r="T193">
        <v>1</v>
      </c>
      <c r="U193">
        <v>0</v>
      </c>
      <c r="V193">
        <v>0</v>
      </c>
    </row>
    <row r="194" spans="1:22" x14ac:dyDescent="0.2">
      <c r="A194" t="s">
        <v>465</v>
      </c>
      <c r="B194" t="s">
        <v>33</v>
      </c>
      <c r="C194" t="s">
        <v>41</v>
      </c>
      <c r="D194" t="s">
        <v>42</v>
      </c>
      <c r="E194" t="s">
        <v>442</v>
      </c>
      <c r="F194" t="s">
        <v>48</v>
      </c>
      <c r="G194" t="s">
        <v>60</v>
      </c>
      <c r="H194" t="s">
        <v>65</v>
      </c>
      <c r="I194">
        <v>1</v>
      </c>
      <c r="J194">
        <v>1</v>
      </c>
      <c r="K194">
        <v>1</v>
      </c>
      <c r="L194">
        <v>0</v>
      </c>
      <c r="M194">
        <v>0</v>
      </c>
      <c r="N194">
        <v>0</v>
      </c>
      <c r="O194">
        <v>1</v>
      </c>
      <c r="P194">
        <v>1</v>
      </c>
      <c r="Q194">
        <v>1</v>
      </c>
      <c r="R194">
        <v>1</v>
      </c>
      <c r="S194">
        <v>0</v>
      </c>
      <c r="T194">
        <v>0</v>
      </c>
      <c r="U194">
        <v>0</v>
      </c>
      <c r="V194">
        <v>0</v>
      </c>
    </row>
    <row r="195" spans="1:22" x14ac:dyDescent="0.2">
      <c r="A195" t="s">
        <v>465</v>
      </c>
      <c r="B195" t="s">
        <v>33</v>
      </c>
      <c r="C195" t="s">
        <v>41</v>
      </c>
      <c r="D195" t="s">
        <v>49</v>
      </c>
      <c r="E195" t="s">
        <v>442</v>
      </c>
      <c r="F195" t="s">
        <v>65</v>
      </c>
      <c r="G195" t="s">
        <v>47</v>
      </c>
      <c r="H195" t="s">
        <v>48</v>
      </c>
      <c r="I195">
        <v>0</v>
      </c>
      <c r="J195">
        <v>1</v>
      </c>
      <c r="K195">
        <v>1</v>
      </c>
      <c r="L195">
        <v>1</v>
      </c>
      <c r="M195">
        <v>0</v>
      </c>
      <c r="N195">
        <v>0</v>
      </c>
      <c r="O195">
        <v>1</v>
      </c>
      <c r="P195">
        <v>0</v>
      </c>
      <c r="Q195">
        <v>1</v>
      </c>
      <c r="R195">
        <v>1</v>
      </c>
      <c r="S195">
        <v>1</v>
      </c>
      <c r="T195">
        <v>0</v>
      </c>
      <c r="U195">
        <v>0</v>
      </c>
      <c r="V195">
        <v>0</v>
      </c>
    </row>
    <row r="196" spans="1:22" x14ac:dyDescent="0.2">
      <c r="A196" t="s">
        <v>471</v>
      </c>
      <c r="B196" t="s">
        <v>108</v>
      </c>
      <c r="C196" t="s">
        <v>41</v>
      </c>
      <c r="D196" t="s">
        <v>49</v>
      </c>
      <c r="E196" t="s">
        <v>442</v>
      </c>
      <c r="F196" t="s">
        <v>65</v>
      </c>
      <c r="G196" t="s">
        <v>48</v>
      </c>
      <c r="H196" t="s">
        <v>46</v>
      </c>
      <c r="I196">
        <v>0</v>
      </c>
      <c r="J196">
        <v>1</v>
      </c>
      <c r="K196">
        <v>1</v>
      </c>
      <c r="L196">
        <v>0</v>
      </c>
      <c r="M196">
        <v>1</v>
      </c>
      <c r="N196">
        <v>0</v>
      </c>
      <c r="O196">
        <v>1</v>
      </c>
      <c r="P196">
        <v>0</v>
      </c>
      <c r="Q196">
        <v>1</v>
      </c>
      <c r="R196">
        <v>0</v>
      </c>
      <c r="S196">
        <v>0</v>
      </c>
      <c r="T196">
        <v>0</v>
      </c>
      <c r="U196">
        <v>0</v>
      </c>
      <c r="V196">
        <v>0</v>
      </c>
    </row>
    <row r="197" spans="1:22" x14ac:dyDescent="0.2">
      <c r="A197" t="s">
        <v>471</v>
      </c>
      <c r="B197" t="s">
        <v>108</v>
      </c>
      <c r="C197" t="s">
        <v>41</v>
      </c>
      <c r="D197" t="s">
        <v>42</v>
      </c>
      <c r="E197" t="s">
        <v>442</v>
      </c>
      <c r="F197" t="s">
        <v>48</v>
      </c>
      <c r="G197" t="s">
        <v>46</v>
      </c>
      <c r="H197" t="s">
        <v>65</v>
      </c>
      <c r="I197">
        <v>0</v>
      </c>
      <c r="J197">
        <v>1</v>
      </c>
      <c r="K197">
        <v>1</v>
      </c>
      <c r="L197">
        <v>0</v>
      </c>
      <c r="M197">
        <v>1</v>
      </c>
      <c r="N197">
        <v>0</v>
      </c>
      <c r="O197">
        <v>1</v>
      </c>
      <c r="P197">
        <v>0</v>
      </c>
      <c r="Q197">
        <v>1</v>
      </c>
      <c r="R197">
        <v>0</v>
      </c>
      <c r="S197">
        <v>0</v>
      </c>
      <c r="T197">
        <v>0</v>
      </c>
      <c r="U197">
        <v>0</v>
      </c>
      <c r="V197">
        <v>0</v>
      </c>
    </row>
    <row r="198" spans="1:22" x14ac:dyDescent="0.2">
      <c r="A198" t="s">
        <v>475</v>
      </c>
      <c r="B198" t="s">
        <v>188</v>
      </c>
      <c r="C198" t="s">
        <v>41</v>
      </c>
      <c r="D198" t="s">
        <v>72</v>
      </c>
      <c r="E198" t="s">
        <v>442</v>
      </c>
      <c r="F198" t="s">
        <v>65</v>
      </c>
      <c r="G198" t="s">
        <v>46</v>
      </c>
      <c r="H198" t="s">
        <v>48</v>
      </c>
      <c r="I198">
        <v>0</v>
      </c>
      <c r="J198">
        <v>1</v>
      </c>
      <c r="K198">
        <v>1</v>
      </c>
      <c r="L198">
        <v>0</v>
      </c>
      <c r="M198">
        <v>1</v>
      </c>
      <c r="N198">
        <v>0</v>
      </c>
      <c r="O198">
        <v>1</v>
      </c>
      <c r="P198">
        <v>0</v>
      </c>
      <c r="Q198">
        <v>0</v>
      </c>
      <c r="R198">
        <v>0</v>
      </c>
      <c r="S198">
        <v>0</v>
      </c>
      <c r="T198">
        <v>0</v>
      </c>
      <c r="U198">
        <v>0</v>
      </c>
      <c r="V198">
        <v>1</v>
      </c>
    </row>
    <row r="199" spans="1:22" x14ac:dyDescent="0.2">
      <c r="A199" t="s">
        <v>475</v>
      </c>
      <c r="B199" t="s">
        <v>188</v>
      </c>
      <c r="C199" t="s">
        <v>41</v>
      </c>
      <c r="D199" t="s">
        <v>67</v>
      </c>
      <c r="E199" t="s">
        <v>442</v>
      </c>
      <c r="F199" t="s">
        <v>65</v>
      </c>
      <c r="G199" t="s">
        <v>48</v>
      </c>
      <c r="H199" t="s">
        <v>47</v>
      </c>
      <c r="I199">
        <v>0</v>
      </c>
      <c r="J199">
        <v>1</v>
      </c>
      <c r="K199">
        <v>1</v>
      </c>
      <c r="L199">
        <v>1</v>
      </c>
      <c r="M199">
        <v>0</v>
      </c>
      <c r="N199">
        <v>0</v>
      </c>
      <c r="O199">
        <v>1</v>
      </c>
      <c r="P199">
        <v>0</v>
      </c>
      <c r="Q199">
        <v>0</v>
      </c>
      <c r="R199">
        <v>0</v>
      </c>
      <c r="S199">
        <v>0</v>
      </c>
      <c r="T199">
        <v>0</v>
      </c>
      <c r="U199">
        <v>0</v>
      </c>
      <c r="V199">
        <v>1</v>
      </c>
    </row>
    <row r="200" spans="1:22" x14ac:dyDescent="0.2">
      <c r="A200" t="s">
        <v>478</v>
      </c>
      <c r="B200" t="s">
        <v>108</v>
      </c>
      <c r="C200" t="s">
        <v>41</v>
      </c>
      <c r="D200" t="s">
        <v>55</v>
      </c>
      <c r="E200" t="s">
        <v>442</v>
      </c>
      <c r="F200" t="s">
        <v>65</v>
      </c>
      <c r="G200" t="s">
        <v>59</v>
      </c>
      <c r="H200" t="s">
        <v>48</v>
      </c>
      <c r="I200">
        <v>0</v>
      </c>
      <c r="J200">
        <v>1</v>
      </c>
      <c r="K200">
        <v>1</v>
      </c>
      <c r="L200">
        <v>0</v>
      </c>
      <c r="M200">
        <v>0</v>
      </c>
      <c r="N200">
        <v>0</v>
      </c>
      <c r="O200">
        <v>1</v>
      </c>
      <c r="P200">
        <v>0</v>
      </c>
      <c r="Q200">
        <v>1</v>
      </c>
      <c r="R200">
        <v>0</v>
      </c>
      <c r="S200">
        <v>0</v>
      </c>
      <c r="T200">
        <v>0</v>
      </c>
      <c r="U200">
        <v>0</v>
      </c>
      <c r="V200">
        <v>0</v>
      </c>
    </row>
    <row r="201" spans="1:22" x14ac:dyDescent="0.2">
      <c r="A201" t="s">
        <v>478</v>
      </c>
      <c r="B201" t="s">
        <v>108</v>
      </c>
      <c r="C201" t="s">
        <v>41</v>
      </c>
      <c r="D201" t="s">
        <v>49</v>
      </c>
      <c r="E201" t="s">
        <v>442</v>
      </c>
      <c r="F201" t="s">
        <v>48</v>
      </c>
      <c r="G201" t="s">
        <v>60</v>
      </c>
      <c r="H201" t="s">
        <v>65</v>
      </c>
      <c r="I201">
        <v>1</v>
      </c>
      <c r="J201">
        <v>1</v>
      </c>
      <c r="K201">
        <v>1</v>
      </c>
      <c r="L201">
        <v>0</v>
      </c>
      <c r="M201">
        <v>0</v>
      </c>
      <c r="N201">
        <v>0</v>
      </c>
      <c r="O201">
        <v>1</v>
      </c>
      <c r="P201">
        <v>0</v>
      </c>
      <c r="Q201">
        <v>1</v>
      </c>
      <c r="R201">
        <v>0</v>
      </c>
      <c r="S201">
        <v>0</v>
      </c>
      <c r="T201">
        <v>0</v>
      </c>
      <c r="U201">
        <v>0</v>
      </c>
      <c r="V201">
        <v>0</v>
      </c>
    </row>
    <row r="202" spans="1:22" x14ac:dyDescent="0.2">
      <c r="A202" t="s">
        <v>481</v>
      </c>
      <c r="B202" t="s">
        <v>108</v>
      </c>
      <c r="C202" t="s">
        <v>41</v>
      </c>
      <c r="D202" t="s">
        <v>67</v>
      </c>
      <c r="E202" t="s">
        <v>442</v>
      </c>
      <c r="F202" t="s">
        <v>46</v>
      </c>
      <c r="G202" t="s">
        <v>65</v>
      </c>
      <c r="H202" t="s">
        <v>48</v>
      </c>
      <c r="I202">
        <v>0</v>
      </c>
      <c r="J202">
        <v>1</v>
      </c>
      <c r="K202">
        <v>1</v>
      </c>
      <c r="L202">
        <v>0</v>
      </c>
      <c r="M202">
        <v>1</v>
      </c>
      <c r="N202">
        <v>0</v>
      </c>
      <c r="O202">
        <v>1</v>
      </c>
      <c r="P202">
        <v>0</v>
      </c>
      <c r="Q202">
        <v>0</v>
      </c>
      <c r="R202">
        <v>0</v>
      </c>
      <c r="S202">
        <v>0</v>
      </c>
      <c r="T202">
        <v>0</v>
      </c>
      <c r="U202">
        <v>0</v>
      </c>
      <c r="V202">
        <v>1</v>
      </c>
    </row>
    <row r="203" spans="1:22" x14ac:dyDescent="0.2">
      <c r="A203" t="s">
        <v>484</v>
      </c>
      <c r="B203" t="s">
        <v>108</v>
      </c>
      <c r="C203" t="s">
        <v>41</v>
      </c>
      <c r="D203" t="s">
        <v>72</v>
      </c>
      <c r="E203" t="s">
        <v>442</v>
      </c>
      <c r="F203" t="s">
        <v>65</v>
      </c>
      <c r="G203" t="s">
        <v>48</v>
      </c>
      <c r="H203" t="s">
        <v>46</v>
      </c>
      <c r="I203">
        <v>0</v>
      </c>
      <c r="J203">
        <v>1</v>
      </c>
      <c r="K203">
        <v>1</v>
      </c>
      <c r="L203">
        <v>0</v>
      </c>
      <c r="M203">
        <v>1</v>
      </c>
      <c r="N203">
        <v>0</v>
      </c>
      <c r="O203">
        <v>1</v>
      </c>
      <c r="P203">
        <v>0</v>
      </c>
      <c r="Q203">
        <v>0</v>
      </c>
      <c r="R203">
        <v>0</v>
      </c>
      <c r="S203">
        <v>0</v>
      </c>
      <c r="T203">
        <v>0</v>
      </c>
      <c r="U203">
        <v>0</v>
      </c>
      <c r="V203">
        <v>1</v>
      </c>
    </row>
    <row r="204" spans="1:22" x14ac:dyDescent="0.2">
      <c r="A204" t="s">
        <v>488</v>
      </c>
      <c r="B204" t="s">
        <v>108</v>
      </c>
      <c r="C204" t="s">
        <v>41</v>
      </c>
      <c r="D204" t="s">
        <v>49</v>
      </c>
      <c r="E204" t="s">
        <v>442</v>
      </c>
      <c r="F204" t="s">
        <v>59</v>
      </c>
      <c r="G204" t="s">
        <v>48</v>
      </c>
      <c r="H204" t="s">
        <v>65</v>
      </c>
      <c r="I204">
        <v>0</v>
      </c>
      <c r="J204">
        <v>1</v>
      </c>
      <c r="K204">
        <v>1</v>
      </c>
      <c r="L204">
        <v>0</v>
      </c>
      <c r="M204">
        <v>0</v>
      </c>
      <c r="N204">
        <v>0</v>
      </c>
      <c r="O204">
        <v>1</v>
      </c>
      <c r="P204">
        <v>0</v>
      </c>
      <c r="Q204">
        <v>0</v>
      </c>
      <c r="R204">
        <v>0</v>
      </c>
      <c r="S204">
        <v>0</v>
      </c>
      <c r="T204">
        <v>0</v>
      </c>
      <c r="U204">
        <v>0</v>
      </c>
      <c r="V204">
        <v>0</v>
      </c>
    </row>
    <row r="205" spans="1:22" x14ac:dyDescent="0.2">
      <c r="A205" t="s">
        <v>488</v>
      </c>
      <c r="B205" t="s">
        <v>108</v>
      </c>
      <c r="C205" t="s">
        <v>41</v>
      </c>
      <c r="D205" t="s">
        <v>67</v>
      </c>
      <c r="E205" t="s">
        <v>442</v>
      </c>
      <c r="F205" t="s">
        <v>65</v>
      </c>
      <c r="G205" t="s">
        <v>48</v>
      </c>
      <c r="H205" t="s">
        <v>60</v>
      </c>
      <c r="I205">
        <v>1</v>
      </c>
      <c r="J205">
        <v>1</v>
      </c>
      <c r="K205">
        <v>1</v>
      </c>
      <c r="L205">
        <v>0</v>
      </c>
      <c r="M205">
        <v>0</v>
      </c>
      <c r="N205">
        <v>0</v>
      </c>
      <c r="O205">
        <v>1</v>
      </c>
      <c r="P205">
        <v>1</v>
      </c>
      <c r="Q205">
        <v>0</v>
      </c>
      <c r="R205">
        <v>0</v>
      </c>
      <c r="S205">
        <v>0</v>
      </c>
      <c r="T205">
        <v>0</v>
      </c>
      <c r="U205">
        <v>0</v>
      </c>
      <c r="V205">
        <v>0</v>
      </c>
    </row>
    <row r="206" spans="1:22" x14ac:dyDescent="0.2">
      <c r="A206" t="s">
        <v>491</v>
      </c>
      <c r="B206" t="s">
        <v>33</v>
      </c>
      <c r="C206" t="s">
        <v>41</v>
      </c>
      <c r="D206" t="s">
        <v>61</v>
      </c>
      <c r="E206" t="s">
        <v>442</v>
      </c>
      <c r="F206" t="s">
        <v>48</v>
      </c>
      <c r="G206" t="s">
        <v>65</v>
      </c>
      <c r="H206" t="s">
        <v>46</v>
      </c>
      <c r="I206">
        <v>0</v>
      </c>
      <c r="J206">
        <v>1</v>
      </c>
      <c r="K206">
        <v>1</v>
      </c>
      <c r="L206">
        <v>0</v>
      </c>
      <c r="M206">
        <v>1</v>
      </c>
      <c r="N206">
        <v>0</v>
      </c>
      <c r="O206">
        <v>1</v>
      </c>
      <c r="P206">
        <v>0</v>
      </c>
      <c r="Q206">
        <v>0</v>
      </c>
      <c r="R206">
        <v>1</v>
      </c>
      <c r="S206">
        <v>0</v>
      </c>
      <c r="T206">
        <v>0</v>
      </c>
      <c r="U206">
        <v>0</v>
      </c>
      <c r="V206">
        <v>0</v>
      </c>
    </row>
    <row r="207" spans="1:22" x14ac:dyDescent="0.2">
      <c r="A207" t="s">
        <v>494</v>
      </c>
      <c r="B207" t="s">
        <v>33</v>
      </c>
      <c r="C207" t="s">
        <v>41</v>
      </c>
      <c r="D207" t="s">
        <v>55</v>
      </c>
      <c r="E207" t="s">
        <v>442</v>
      </c>
      <c r="F207" t="s">
        <v>65</v>
      </c>
      <c r="G207" t="s">
        <v>47</v>
      </c>
      <c r="H207" t="s">
        <v>48</v>
      </c>
      <c r="I207">
        <v>0</v>
      </c>
      <c r="J207">
        <v>1</v>
      </c>
      <c r="K207">
        <v>1</v>
      </c>
      <c r="L207">
        <v>1</v>
      </c>
      <c r="M207">
        <v>0</v>
      </c>
      <c r="N207">
        <v>0</v>
      </c>
      <c r="O207">
        <v>1</v>
      </c>
      <c r="P207">
        <v>0</v>
      </c>
      <c r="Q207">
        <v>1</v>
      </c>
      <c r="R207">
        <v>0</v>
      </c>
      <c r="S207">
        <v>0</v>
      </c>
      <c r="T207">
        <v>0</v>
      </c>
      <c r="U207">
        <v>0</v>
      </c>
      <c r="V207">
        <v>0</v>
      </c>
    </row>
    <row r="208" spans="1:22" x14ac:dyDescent="0.2">
      <c r="A208" t="s">
        <v>498</v>
      </c>
      <c r="B208" t="s">
        <v>33</v>
      </c>
      <c r="C208" t="s">
        <v>41</v>
      </c>
      <c r="D208" t="s">
        <v>42</v>
      </c>
      <c r="E208" t="s">
        <v>442</v>
      </c>
      <c r="F208" t="s">
        <v>65</v>
      </c>
      <c r="G208" t="s">
        <v>47</v>
      </c>
      <c r="H208" t="s">
        <v>48</v>
      </c>
      <c r="I208">
        <v>0</v>
      </c>
      <c r="J208">
        <v>1</v>
      </c>
      <c r="K208">
        <v>1</v>
      </c>
      <c r="L208">
        <v>1</v>
      </c>
      <c r="M208">
        <v>0</v>
      </c>
      <c r="N208">
        <v>0</v>
      </c>
      <c r="O208">
        <v>1</v>
      </c>
      <c r="P208">
        <v>0</v>
      </c>
      <c r="Q208">
        <v>1</v>
      </c>
      <c r="R208">
        <v>1</v>
      </c>
      <c r="S208">
        <v>1</v>
      </c>
      <c r="T208">
        <v>0</v>
      </c>
      <c r="U208">
        <v>0</v>
      </c>
      <c r="V208">
        <v>0</v>
      </c>
    </row>
    <row r="209" spans="1:22" x14ac:dyDescent="0.2">
      <c r="A209" t="s">
        <v>498</v>
      </c>
      <c r="B209" t="s">
        <v>33</v>
      </c>
      <c r="C209" t="s">
        <v>41</v>
      </c>
      <c r="D209" t="s">
        <v>61</v>
      </c>
      <c r="E209" t="s">
        <v>442</v>
      </c>
      <c r="F209" t="s">
        <v>46</v>
      </c>
      <c r="G209" t="s">
        <v>48</v>
      </c>
      <c r="H209" t="s">
        <v>65</v>
      </c>
      <c r="I209">
        <v>0</v>
      </c>
      <c r="J209">
        <v>1</v>
      </c>
      <c r="K209">
        <v>1</v>
      </c>
      <c r="L209">
        <v>0</v>
      </c>
      <c r="M209">
        <v>1</v>
      </c>
      <c r="N209">
        <v>0</v>
      </c>
      <c r="O209">
        <v>1</v>
      </c>
      <c r="P209">
        <v>0</v>
      </c>
      <c r="Q209">
        <v>1</v>
      </c>
      <c r="R209">
        <v>1</v>
      </c>
      <c r="S209">
        <v>0</v>
      </c>
      <c r="T209">
        <v>1</v>
      </c>
      <c r="U209">
        <v>0</v>
      </c>
      <c r="V209">
        <v>0</v>
      </c>
    </row>
    <row r="210" spans="1:22" x14ac:dyDescent="0.2">
      <c r="A210" t="s">
        <v>502</v>
      </c>
      <c r="B210" t="s">
        <v>33</v>
      </c>
      <c r="C210" t="s">
        <v>41</v>
      </c>
      <c r="D210" t="s">
        <v>67</v>
      </c>
      <c r="E210" t="s">
        <v>442</v>
      </c>
      <c r="F210" t="s">
        <v>46</v>
      </c>
      <c r="G210" t="s">
        <v>65</v>
      </c>
      <c r="H210" t="s">
        <v>48</v>
      </c>
      <c r="I210">
        <v>0</v>
      </c>
      <c r="J210">
        <v>1</v>
      </c>
      <c r="K210">
        <v>1</v>
      </c>
      <c r="L210">
        <v>0</v>
      </c>
      <c r="M210">
        <v>1</v>
      </c>
      <c r="N210">
        <v>0</v>
      </c>
      <c r="O210">
        <v>1</v>
      </c>
      <c r="P210">
        <v>0</v>
      </c>
      <c r="Q210">
        <v>0</v>
      </c>
      <c r="R210">
        <v>1</v>
      </c>
      <c r="S210">
        <v>0</v>
      </c>
      <c r="T210">
        <v>1</v>
      </c>
      <c r="U210">
        <v>0</v>
      </c>
      <c r="V210">
        <v>0</v>
      </c>
    </row>
    <row r="211" spans="1:22" x14ac:dyDescent="0.2">
      <c r="A211" t="s">
        <v>506</v>
      </c>
      <c r="B211" t="s">
        <v>108</v>
      </c>
      <c r="C211" t="s">
        <v>41</v>
      </c>
      <c r="D211" t="s">
        <v>67</v>
      </c>
      <c r="E211" t="s">
        <v>442</v>
      </c>
      <c r="F211" t="s">
        <v>48</v>
      </c>
      <c r="G211" t="s">
        <v>47</v>
      </c>
      <c r="H211" t="s">
        <v>65</v>
      </c>
      <c r="I211">
        <v>0</v>
      </c>
      <c r="J211">
        <v>1</v>
      </c>
      <c r="K211">
        <v>1</v>
      </c>
      <c r="L211">
        <v>1</v>
      </c>
      <c r="M211">
        <v>0</v>
      </c>
      <c r="N211">
        <v>0</v>
      </c>
      <c r="O211">
        <v>1</v>
      </c>
      <c r="P211">
        <v>0</v>
      </c>
      <c r="Q211">
        <v>1</v>
      </c>
      <c r="R211">
        <v>0</v>
      </c>
      <c r="S211">
        <v>1</v>
      </c>
      <c r="T211">
        <v>0</v>
      </c>
      <c r="U211">
        <v>0</v>
      </c>
      <c r="V211">
        <v>0</v>
      </c>
    </row>
    <row r="212" spans="1:22" x14ac:dyDescent="0.2">
      <c r="A212" t="s">
        <v>506</v>
      </c>
      <c r="B212" t="s">
        <v>108</v>
      </c>
      <c r="C212" t="s">
        <v>41</v>
      </c>
      <c r="D212" t="s">
        <v>55</v>
      </c>
      <c r="E212" t="s">
        <v>442</v>
      </c>
      <c r="F212" t="s">
        <v>48</v>
      </c>
      <c r="G212" t="s">
        <v>60</v>
      </c>
      <c r="H212" t="s">
        <v>65</v>
      </c>
      <c r="I212">
        <v>1</v>
      </c>
      <c r="J212">
        <v>1</v>
      </c>
      <c r="K212">
        <v>1</v>
      </c>
      <c r="L212">
        <v>0</v>
      </c>
      <c r="M212">
        <v>0</v>
      </c>
      <c r="N212">
        <v>0</v>
      </c>
      <c r="O212">
        <v>1</v>
      </c>
      <c r="P212">
        <v>0</v>
      </c>
      <c r="Q212">
        <v>1</v>
      </c>
      <c r="R212">
        <v>0</v>
      </c>
      <c r="S212">
        <v>0</v>
      </c>
      <c r="T212">
        <v>0</v>
      </c>
      <c r="U212">
        <v>0</v>
      </c>
      <c r="V212">
        <v>0</v>
      </c>
    </row>
    <row r="213" spans="1:22" x14ac:dyDescent="0.2">
      <c r="A213" t="s">
        <v>506</v>
      </c>
      <c r="B213" t="s">
        <v>108</v>
      </c>
      <c r="C213" t="s">
        <v>41</v>
      </c>
      <c r="D213" t="s">
        <v>61</v>
      </c>
      <c r="E213" t="s">
        <v>442</v>
      </c>
      <c r="F213" t="s">
        <v>47</v>
      </c>
      <c r="G213" t="s">
        <v>65</v>
      </c>
      <c r="H213" t="s">
        <v>48</v>
      </c>
      <c r="I213">
        <v>0</v>
      </c>
      <c r="J213">
        <v>1</v>
      </c>
      <c r="K213">
        <v>1</v>
      </c>
      <c r="L213">
        <v>1</v>
      </c>
      <c r="M213">
        <v>0</v>
      </c>
      <c r="N213">
        <v>0</v>
      </c>
      <c r="O213">
        <v>1</v>
      </c>
      <c r="P213">
        <v>0</v>
      </c>
      <c r="Q213">
        <v>1</v>
      </c>
      <c r="R213">
        <v>0</v>
      </c>
      <c r="S213">
        <v>1</v>
      </c>
      <c r="T213">
        <v>0</v>
      </c>
      <c r="U213">
        <v>0</v>
      </c>
      <c r="V213">
        <v>0</v>
      </c>
    </row>
    <row r="214" spans="1:22" x14ac:dyDescent="0.2">
      <c r="A214" t="s">
        <v>509</v>
      </c>
      <c r="B214" t="s">
        <v>188</v>
      </c>
      <c r="C214" t="s">
        <v>41</v>
      </c>
      <c r="D214" t="s">
        <v>55</v>
      </c>
      <c r="E214" t="s">
        <v>442</v>
      </c>
      <c r="F214" t="s">
        <v>48</v>
      </c>
      <c r="G214" t="s">
        <v>46</v>
      </c>
      <c r="H214" t="s">
        <v>65</v>
      </c>
      <c r="I214">
        <v>0</v>
      </c>
      <c r="J214">
        <v>1</v>
      </c>
      <c r="K214">
        <v>1</v>
      </c>
      <c r="L214">
        <v>0</v>
      </c>
      <c r="M214">
        <v>1</v>
      </c>
      <c r="N214">
        <v>0</v>
      </c>
      <c r="O214">
        <v>1</v>
      </c>
      <c r="P214">
        <v>0</v>
      </c>
      <c r="Q214">
        <v>1</v>
      </c>
      <c r="R214">
        <v>0</v>
      </c>
      <c r="S214">
        <v>0</v>
      </c>
      <c r="T214">
        <v>0</v>
      </c>
      <c r="U214">
        <v>0</v>
      </c>
      <c r="V214">
        <v>0</v>
      </c>
    </row>
    <row r="215" spans="1:22" x14ac:dyDescent="0.2">
      <c r="A215" t="s">
        <v>512</v>
      </c>
      <c r="B215" t="s">
        <v>108</v>
      </c>
      <c r="C215" t="s">
        <v>41</v>
      </c>
      <c r="D215" t="s">
        <v>49</v>
      </c>
      <c r="E215" t="s">
        <v>442</v>
      </c>
      <c r="F215" t="s">
        <v>65</v>
      </c>
      <c r="G215" t="s">
        <v>46</v>
      </c>
      <c r="H215" t="s">
        <v>48</v>
      </c>
      <c r="I215">
        <v>0</v>
      </c>
      <c r="J215">
        <v>1</v>
      </c>
      <c r="K215">
        <v>1</v>
      </c>
      <c r="L215">
        <v>0</v>
      </c>
      <c r="M215">
        <v>1</v>
      </c>
      <c r="N215">
        <v>0</v>
      </c>
      <c r="O215">
        <v>1</v>
      </c>
      <c r="P215">
        <v>0</v>
      </c>
      <c r="Q215">
        <v>0</v>
      </c>
      <c r="R215">
        <v>0</v>
      </c>
      <c r="S215">
        <v>0</v>
      </c>
      <c r="T215">
        <v>0</v>
      </c>
      <c r="U215">
        <v>0</v>
      </c>
      <c r="V215">
        <v>1</v>
      </c>
    </row>
    <row r="216" spans="1:22" x14ac:dyDescent="0.2">
      <c r="A216" t="s">
        <v>512</v>
      </c>
      <c r="B216" t="s">
        <v>108</v>
      </c>
      <c r="C216" t="s">
        <v>41</v>
      </c>
      <c r="D216" t="s">
        <v>42</v>
      </c>
      <c r="E216" t="s">
        <v>442</v>
      </c>
      <c r="F216" t="s">
        <v>47</v>
      </c>
      <c r="G216" t="s">
        <v>65</v>
      </c>
      <c r="H216" t="s">
        <v>48</v>
      </c>
      <c r="I216">
        <v>0</v>
      </c>
      <c r="J216">
        <v>1</v>
      </c>
      <c r="K216">
        <v>1</v>
      </c>
      <c r="L216">
        <v>1</v>
      </c>
      <c r="M216">
        <v>0</v>
      </c>
      <c r="N216">
        <v>0</v>
      </c>
      <c r="O216">
        <v>1</v>
      </c>
      <c r="P216">
        <v>0</v>
      </c>
      <c r="Q216">
        <v>0</v>
      </c>
      <c r="R216">
        <v>0</v>
      </c>
      <c r="S216">
        <v>0</v>
      </c>
      <c r="T216">
        <v>0</v>
      </c>
      <c r="U216">
        <v>0</v>
      </c>
      <c r="V216">
        <v>1</v>
      </c>
    </row>
    <row r="217" spans="1:22" x14ac:dyDescent="0.2">
      <c r="A217" t="s">
        <v>515</v>
      </c>
      <c r="B217" t="s">
        <v>108</v>
      </c>
      <c r="C217" t="s">
        <v>41</v>
      </c>
      <c r="D217" t="s">
        <v>55</v>
      </c>
      <c r="E217" t="s">
        <v>442</v>
      </c>
      <c r="F217" t="s">
        <v>59</v>
      </c>
      <c r="G217" t="s">
        <v>48</v>
      </c>
      <c r="H217" t="s">
        <v>65</v>
      </c>
      <c r="I217">
        <v>0</v>
      </c>
      <c r="J217">
        <v>1</v>
      </c>
      <c r="K217">
        <v>1</v>
      </c>
      <c r="L217">
        <v>0</v>
      </c>
      <c r="M217">
        <v>0</v>
      </c>
      <c r="N217">
        <v>0</v>
      </c>
      <c r="O217">
        <v>1</v>
      </c>
      <c r="P217">
        <v>0</v>
      </c>
      <c r="Q217">
        <v>1</v>
      </c>
      <c r="R217">
        <v>1</v>
      </c>
      <c r="S217">
        <v>0</v>
      </c>
      <c r="T217">
        <v>0</v>
      </c>
      <c r="U217">
        <v>0</v>
      </c>
      <c r="V217">
        <v>0</v>
      </c>
    </row>
    <row r="218" spans="1:22" x14ac:dyDescent="0.2">
      <c r="A218" t="s">
        <v>515</v>
      </c>
      <c r="B218" t="s">
        <v>108</v>
      </c>
      <c r="C218" t="s">
        <v>41</v>
      </c>
      <c r="D218" t="s">
        <v>42</v>
      </c>
      <c r="E218" t="s">
        <v>442</v>
      </c>
      <c r="F218" t="s">
        <v>46</v>
      </c>
      <c r="G218" t="s">
        <v>48</v>
      </c>
      <c r="H218" t="s">
        <v>65</v>
      </c>
      <c r="I218">
        <v>0</v>
      </c>
      <c r="J218">
        <v>1</v>
      </c>
      <c r="K218">
        <v>1</v>
      </c>
      <c r="L218">
        <v>0</v>
      </c>
      <c r="M218">
        <v>1</v>
      </c>
      <c r="N218">
        <v>0</v>
      </c>
      <c r="O218">
        <v>1</v>
      </c>
      <c r="P218">
        <v>0</v>
      </c>
      <c r="Q218">
        <v>1</v>
      </c>
      <c r="R218">
        <v>1</v>
      </c>
      <c r="S218">
        <v>0</v>
      </c>
      <c r="T218">
        <v>1</v>
      </c>
      <c r="U218">
        <v>0</v>
      </c>
      <c r="V218">
        <v>0</v>
      </c>
    </row>
    <row r="219" spans="1:22" x14ac:dyDescent="0.2">
      <c r="A219" t="s">
        <v>515</v>
      </c>
      <c r="B219" t="s">
        <v>108</v>
      </c>
      <c r="C219" t="s">
        <v>41</v>
      </c>
      <c r="D219" t="s">
        <v>49</v>
      </c>
      <c r="E219" t="s">
        <v>442</v>
      </c>
      <c r="F219" t="s">
        <v>46</v>
      </c>
      <c r="G219" t="s">
        <v>48</v>
      </c>
      <c r="H219" t="s">
        <v>65</v>
      </c>
      <c r="I219">
        <v>0</v>
      </c>
      <c r="J219">
        <v>1</v>
      </c>
      <c r="K219">
        <v>1</v>
      </c>
      <c r="L219">
        <v>0</v>
      </c>
      <c r="M219">
        <v>1</v>
      </c>
      <c r="N219">
        <v>0</v>
      </c>
      <c r="O219">
        <v>1</v>
      </c>
      <c r="P219">
        <v>0</v>
      </c>
      <c r="Q219">
        <v>1</v>
      </c>
      <c r="R219">
        <v>0</v>
      </c>
      <c r="S219">
        <v>0</v>
      </c>
      <c r="T219">
        <v>0</v>
      </c>
      <c r="U219">
        <v>0</v>
      </c>
      <c r="V219">
        <v>0</v>
      </c>
    </row>
    <row r="220" spans="1:22" x14ac:dyDescent="0.2">
      <c r="A220" t="s">
        <v>518</v>
      </c>
      <c r="B220" t="s">
        <v>108</v>
      </c>
      <c r="C220" t="s">
        <v>41</v>
      </c>
      <c r="D220" t="s">
        <v>42</v>
      </c>
      <c r="E220" t="s">
        <v>442</v>
      </c>
      <c r="F220" t="s">
        <v>60</v>
      </c>
      <c r="G220" t="s">
        <v>48</v>
      </c>
      <c r="H220" t="s">
        <v>65</v>
      </c>
      <c r="I220">
        <v>1</v>
      </c>
      <c r="J220">
        <v>1</v>
      </c>
      <c r="K220">
        <v>1</v>
      </c>
      <c r="L220">
        <v>0</v>
      </c>
      <c r="M220">
        <v>0</v>
      </c>
      <c r="N220">
        <v>0</v>
      </c>
      <c r="O220">
        <v>1</v>
      </c>
      <c r="P220">
        <v>1</v>
      </c>
      <c r="Q220">
        <v>1</v>
      </c>
      <c r="R220">
        <v>1</v>
      </c>
      <c r="S220">
        <v>0</v>
      </c>
      <c r="T220">
        <v>0</v>
      </c>
      <c r="U220">
        <v>0</v>
      </c>
      <c r="V220">
        <v>0</v>
      </c>
    </row>
    <row r="221" spans="1:22" x14ac:dyDescent="0.2">
      <c r="A221" t="s">
        <v>518</v>
      </c>
      <c r="B221" t="s">
        <v>108</v>
      </c>
      <c r="C221" t="s">
        <v>41</v>
      </c>
      <c r="D221" t="s">
        <v>72</v>
      </c>
      <c r="E221" t="s">
        <v>442</v>
      </c>
      <c r="F221" t="s">
        <v>65</v>
      </c>
      <c r="G221" t="s">
        <v>48</v>
      </c>
      <c r="H221" t="s">
        <v>46</v>
      </c>
      <c r="I221">
        <v>0</v>
      </c>
      <c r="J221">
        <v>1</v>
      </c>
      <c r="K221">
        <v>1</v>
      </c>
      <c r="L221">
        <v>0</v>
      </c>
      <c r="M221">
        <v>1</v>
      </c>
      <c r="N221">
        <v>0</v>
      </c>
      <c r="O221">
        <v>1</v>
      </c>
      <c r="P221">
        <v>0</v>
      </c>
      <c r="Q221">
        <v>0</v>
      </c>
      <c r="R221">
        <v>0</v>
      </c>
      <c r="S221">
        <v>0</v>
      </c>
      <c r="T221">
        <v>0</v>
      </c>
      <c r="U221">
        <v>0</v>
      </c>
      <c r="V221">
        <v>1</v>
      </c>
    </row>
    <row r="222" spans="1:22" x14ac:dyDescent="0.2">
      <c r="A222" t="s">
        <v>521</v>
      </c>
      <c r="B222" t="s">
        <v>33</v>
      </c>
      <c r="C222" t="s">
        <v>41</v>
      </c>
      <c r="D222" t="s">
        <v>55</v>
      </c>
      <c r="E222" t="s">
        <v>442</v>
      </c>
      <c r="F222" t="s">
        <v>65</v>
      </c>
      <c r="G222" t="s">
        <v>48</v>
      </c>
      <c r="H222" t="s">
        <v>47</v>
      </c>
      <c r="I222">
        <v>0</v>
      </c>
      <c r="J222">
        <v>1</v>
      </c>
      <c r="K222">
        <v>1</v>
      </c>
      <c r="L222">
        <v>1</v>
      </c>
      <c r="M222">
        <v>0</v>
      </c>
      <c r="N222">
        <v>0</v>
      </c>
      <c r="O222">
        <v>1</v>
      </c>
      <c r="P222">
        <v>0</v>
      </c>
      <c r="Q222">
        <v>1</v>
      </c>
      <c r="R222">
        <v>0</v>
      </c>
      <c r="S222">
        <v>0</v>
      </c>
      <c r="T222">
        <v>0</v>
      </c>
      <c r="U222">
        <v>0</v>
      </c>
      <c r="V222">
        <v>0</v>
      </c>
    </row>
    <row r="223" spans="1:22" x14ac:dyDescent="0.2">
      <c r="A223" t="s">
        <v>521</v>
      </c>
      <c r="B223" t="s">
        <v>33</v>
      </c>
      <c r="C223" t="s">
        <v>41</v>
      </c>
      <c r="D223" t="s">
        <v>42</v>
      </c>
      <c r="E223" t="s">
        <v>442</v>
      </c>
      <c r="F223" t="s">
        <v>47</v>
      </c>
      <c r="G223" t="s">
        <v>48</v>
      </c>
      <c r="H223" t="s">
        <v>65</v>
      </c>
      <c r="I223">
        <v>0</v>
      </c>
      <c r="J223">
        <v>1</v>
      </c>
      <c r="K223">
        <v>1</v>
      </c>
      <c r="L223">
        <v>1</v>
      </c>
      <c r="M223">
        <v>0</v>
      </c>
      <c r="N223">
        <v>0</v>
      </c>
      <c r="O223">
        <v>1</v>
      </c>
      <c r="P223">
        <v>0</v>
      </c>
      <c r="Q223">
        <v>0</v>
      </c>
      <c r="R223">
        <v>1</v>
      </c>
      <c r="S223">
        <v>0</v>
      </c>
      <c r="T223">
        <v>0</v>
      </c>
      <c r="U223">
        <v>0</v>
      </c>
      <c r="V223">
        <v>0</v>
      </c>
    </row>
    <row r="224" spans="1:22" x14ac:dyDescent="0.2">
      <c r="A224" t="s">
        <v>521</v>
      </c>
      <c r="B224" t="s">
        <v>33</v>
      </c>
      <c r="C224" t="s">
        <v>41</v>
      </c>
      <c r="D224" t="s">
        <v>72</v>
      </c>
      <c r="E224" t="s">
        <v>442</v>
      </c>
      <c r="F224" t="s">
        <v>65</v>
      </c>
      <c r="G224" t="s">
        <v>48</v>
      </c>
      <c r="H224" t="s">
        <v>47</v>
      </c>
      <c r="I224">
        <v>0</v>
      </c>
      <c r="J224">
        <v>1</v>
      </c>
      <c r="K224">
        <v>1</v>
      </c>
      <c r="L224">
        <v>1</v>
      </c>
      <c r="M224">
        <v>0</v>
      </c>
      <c r="N224">
        <v>0</v>
      </c>
      <c r="O224">
        <v>1</v>
      </c>
      <c r="P224">
        <v>0</v>
      </c>
      <c r="Q224">
        <v>0</v>
      </c>
      <c r="R224">
        <v>1</v>
      </c>
      <c r="S224">
        <v>0</v>
      </c>
      <c r="T224">
        <v>0</v>
      </c>
      <c r="U224">
        <v>0</v>
      </c>
      <c r="V224">
        <v>0</v>
      </c>
    </row>
    <row r="225" spans="1:22" x14ac:dyDescent="0.2">
      <c r="A225" t="s">
        <v>524</v>
      </c>
      <c r="B225" t="s">
        <v>108</v>
      </c>
      <c r="C225" t="s">
        <v>41</v>
      </c>
      <c r="D225" t="s">
        <v>72</v>
      </c>
      <c r="E225" t="s">
        <v>442</v>
      </c>
      <c r="F225" t="s">
        <v>59</v>
      </c>
      <c r="G225" t="s">
        <v>48</v>
      </c>
      <c r="H225" t="s">
        <v>65</v>
      </c>
      <c r="I225">
        <v>0</v>
      </c>
      <c r="J225">
        <v>1</v>
      </c>
      <c r="K225">
        <v>1</v>
      </c>
      <c r="L225">
        <v>0</v>
      </c>
      <c r="M225">
        <v>0</v>
      </c>
      <c r="N225">
        <v>0</v>
      </c>
      <c r="O225">
        <v>1</v>
      </c>
      <c r="P225">
        <v>0</v>
      </c>
      <c r="Q225">
        <v>1</v>
      </c>
      <c r="R225">
        <v>0</v>
      </c>
      <c r="S225">
        <v>0</v>
      </c>
      <c r="T225">
        <v>0</v>
      </c>
      <c r="U225">
        <v>0</v>
      </c>
      <c r="V225">
        <v>0</v>
      </c>
    </row>
    <row r="226" spans="1:22" x14ac:dyDescent="0.2">
      <c r="A226" t="s">
        <v>527</v>
      </c>
      <c r="B226" t="s">
        <v>108</v>
      </c>
      <c r="C226" t="s">
        <v>41</v>
      </c>
      <c r="D226" t="s">
        <v>67</v>
      </c>
      <c r="E226" t="s">
        <v>442</v>
      </c>
      <c r="F226" t="s">
        <v>48</v>
      </c>
      <c r="G226" t="s">
        <v>65</v>
      </c>
      <c r="H226" t="s">
        <v>60</v>
      </c>
      <c r="I226">
        <v>1</v>
      </c>
      <c r="J226">
        <v>1</v>
      </c>
      <c r="K226">
        <v>1</v>
      </c>
      <c r="L226">
        <v>0</v>
      </c>
      <c r="M226">
        <v>0</v>
      </c>
      <c r="N226">
        <v>0</v>
      </c>
      <c r="O226">
        <v>1</v>
      </c>
      <c r="P226">
        <v>0</v>
      </c>
      <c r="Q226">
        <v>1</v>
      </c>
      <c r="R226">
        <v>0</v>
      </c>
      <c r="S226">
        <v>0</v>
      </c>
      <c r="T226">
        <v>0</v>
      </c>
      <c r="U226">
        <v>0</v>
      </c>
      <c r="V226">
        <v>0</v>
      </c>
    </row>
    <row r="227" spans="1:22" x14ac:dyDescent="0.2">
      <c r="A227" t="s">
        <v>527</v>
      </c>
      <c r="B227" t="s">
        <v>108</v>
      </c>
      <c r="C227" t="s">
        <v>41</v>
      </c>
      <c r="D227" t="s">
        <v>42</v>
      </c>
      <c r="E227" t="s">
        <v>442</v>
      </c>
      <c r="F227" t="s">
        <v>47</v>
      </c>
      <c r="G227" t="s">
        <v>48</v>
      </c>
      <c r="H227" t="s">
        <v>65</v>
      </c>
      <c r="I227">
        <v>0</v>
      </c>
      <c r="J227">
        <v>1</v>
      </c>
      <c r="K227">
        <v>1</v>
      </c>
      <c r="L227">
        <v>1</v>
      </c>
      <c r="M227">
        <v>0</v>
      </c>
      <c r="N227">
        <v>0</v>
      </c>
      <c r="O227">
        <v>1</v>
      </c>
      <c r="P227">
        <v>0</v>
      </c>
      <c r="Q227">
        <v>1</v>
      </c>
      <c r="R227">
        <v>1</v>
      </c>
      <c r="S227">
        <v>1</v>
      </c>
      <c r="T227">
        <v>0</v>
      </c>
      <c r="U227">
        <v>0</v>
      </c>
      <c r="V227">
        <v>0</v>
      </c>
    </row>
    <row r="228" spans="1:22" x14ac:dyDescent="0.2">
      <c r="A228" t="s">
        <v>531</v>
      </c>
      <c r="B228" t="s">
        <v>108</v>
      </c>
      <c r="C228" t="s">
        <v>41</v>
      </c>
      <c r="D228" t="s">
        <v>55</v>
      </c>
      <c r="E228" t="s">
        <v>442</v>
      </c>
      <c r="F228" t="s">
        <v>60</v>
      </c>
      <c r="G228" t="s">
        <v>48</v>
      </c>
      <c r="H228" t="s">
        <v>65</v>
      </c>
      <c r="I228">
        <v>1</v>
      </c>
      <c r="J228">
        <v>1</v>
      </c>
      <c r="K228">
        <v>1</v>
      </c>
      <c r="L228">
        <v>0</v>
      </c>
      <c r="M228">
        <v>0</v>
      </c>
      <c r="N228">
        <v>0</v>
      </c>
      <c r="O228">
        <v>1</v>
      </c>
      <c r="P228">
        <v>1</v>
      </c>
      <c r="Q228">
        <v>1</v>
      </c>
      <c r="R228">
        <v>0</v>
      </c>
      <c r="S228">
        <v>0</v>
      </c>
      <c r="T228">
        <v>0</v>
      </c>
      <c r="U228">
        <v>0</v>
      </c>
      <c r="V228">
        <v>0</v>
      </c>
    </row>
    <row r="229" spans="1:22" x14ac:dyDescent="0.2">
      <c r="A229" t="s">
        <v>534</v>
      </c>
      <c r="B229" t="s">
        <v>108</v>
      </c>
      <c r="C229" t="s">
        <v>41</v>
      </c>
      <c r="D229" t="s">
        <v>49</v>
      </c>
      <c r="E229" t="s">
        <v>442</v>
      </c>
      <c r="F229" t="s">
        <v>65</v>
      </c>
      <c r="G229" t="s">
        <v>48</v>
      </c>
      <c r="H229" t="s">
        <v>47</v>
      </c>
      <c r="I229">
        <v>0</v>
      </c>
      <c r="J229">
        <v>1</v>
      </c>
      <c r="K229">
        <v>1</v>
      </c>
      <c r="L229">
        <v>1</v>
      </c>
      <c r="M229">
        <v>0</v>
      </c>
      <c r="N229">
        <v>0</v>
      </c>
      <c r="O229">
        <v>1</v>
      </c>
      <c r="P229">
        <v>0</v>
      </c>
      <c r="Q229">
        <v>0</v>
      </c>
      <c r="R229">
        <v>0</v>
      </c>
      <c r="S229">
        <v>0</v>
      </c>
      <c r="T229">
        <v>0</v>
      </c>
      <c r="U229">
        <v>0</v>
      </c>
      <c r="V229">
        <v>1</v>
      </c>
    </row>
    <row r="230" spans="1:22" x14ac:dyDescent="0.2">
      <c r="A230" t="s">
        <v>534</v>
      </c>
      <c r="B230" t="s">
        <v>108</v>
      </c>
      <c r="C230" t="s">
        <v>41</v>
      </c>
      <c r="D230" t="s">
        <v>72</v>
      </c>
      <c r="E230" t="s">
        <v>442</v>
      </c>
      <c r="F230" t="s">
        <v>48</v>
      </c>
      <c r="G230" t="s">
        <v>65</v>
      </c>
      <c r="H230" t="s">
        <v>47</v>
      </c>
      <c r="I230">
        <v>0</v>
      </c>
      <c r="J230">
        <v>1</v>
      </c>
      <c r="K230">
        <v>1</v>
      </c>
      <c r="L230">
        <v>1</v>
      </c>
      <c r="M230">
        <v>0</v>
      </c>
      <c r="N230">
        <v>0</v>
      </c>
      <c r="O230">
        <v>1</v>
      </c>
      <c r="P230">
        <v>0</v>
      </c>
      <c r="Q230">
        <v>0</v>
      </c>
      <c r="R230">
        <v>0</v>
      </c>
      <c r="S230">
        <v>0</v>
      </c>
      <c r="T230">
        <v>0</v>
      </c>
      <c r="U230">
        <v>0</v>
      </c>
      <c r="V230">
        <v>1</v>
      </c>
    </row>
    <row r="231" spans="1:22" x14ac:dyDescent="0.2">
      <c r="A231" t="s">
        <v>534</v>
      </c>
      <c r="B231" t="s">
        <v>108</v>
      </c>
      <c r="C231" t="s">
        <v>41</v>
      </c>
      <c r="D231" t="s">
        <v>42</v>
      </c>
      <c r="E231" t="s">
        <v>442</v>
      </c>
      <c r="F231" t="s">
        <v>48</v>
      </c>
      <c r="G231" t="s">
        <v>46</v>
      </c>
      <c r="H231" t="s">
        <v>65</v>
      </c>
      <c r="I231">
        <v>0</v>
      </c>
      <c r="J231">
        <v>1</v>
      </c>
      <c r="K231">
        <v>1</v>
      </c>
      <c r="L231">
        <v>0</v>
      </c>
      <c r="M231">
        <v>1</v>
      </c>
      <c r="N231">
        <v>0</v>
      </c>
      <c r="O231">
        <v>1</v>
      </c>
      <c r="P231">
        <v>0</v>
      </c>
      <c r="Q231">
        <v>1</v>
      </c>
      <c r="R231">
        <v>1</v>
      </c>
      <c r="S231">
        <v>0</v>
      </c>
      <c r="T231">
        <v>1</v>
      </c>
      <c r="U231">
        <v>0</v>
      </c>
      <c r="V231">
        <v>0</v>
      </c>
    </row>
    <row r="232" spans="1:22" x14ac:dyDescent="0.2">
      <c r="A232" t="s">
        <v>537</v>
      </c>
      <c r="B232" t="s">
        <v>33</v>
      </c>
      <c r="C232" t="s">
        <v>41</v>
      </c>
      <c r="D232" t="s">
        <v>55</v>
      </c>
      <c r="E232" t="s">
        <v>442</v>
      </c>
      <c r="F232" t="s">
        <v>48</v>
      </c>
      <c r="G232" t="s">
        <v>47</v>
      </c>
      <c r="H232" t="s">
        <v>65</v>
      </c>
      <c r="I232">
        <v>0</v>
      </c>
      <c r="J232">
        <v>1</v>
      </c>
      <c r="K232">
        <v>1</v>
      </c>
      <c r="L232">
        <v>1</v>
      </c>
      <c r="M232">
        <v>0</v>
      </c>
      <c r="N232">
        <v>0</v>
      </c>
      <c r="O232">
        <v>1</v>
      </c>
      <c r="P232">
        <v>0</v>
      </c>
      <c r="Q232">
        <v>0</v>
      </c>
      <c r="R232">
        <v>0</v>
      </c>
      <c r="S232">
        <v>0</v>
      </c>
      <c r="T232">
        <v>0</v>
      </c>
      <c r="U232">
        <v>0</v>
      </c>
      <c r="V232">
        <v>1</v>
      </c>
    </row>
    <row r="233" spans="1:22" x14ac:dyDescent="0.2">
      <c r="A233" t="s">
        <v>537</v>
      </c>
      <c r="B233" t="s">
        <v>33</v>
      </c>
      <c r="C233" t="s">
        <v>41</v>
      </c>
      <c r="D233" t="s">
        <v>67</v>
      </c>
      <c r="E233" t="s">
        <v>442</v>
      </c>
      <c r="F233" t="s">
        <v>48</v>
      </c>
      <c r="G233" t="s">
        <v>59</v>
      </c>
      <c r="H233" t="s">
        <v>65</v>
      </c>
      <c r="I233">
        <v>0</v>
      </c>
      <c r="J233">
        <v>1</v>
      </c>
      <c r="K233">
        <v>1</v>
      </c>
      <c r="L233">
        <v>0</v>
      </c>
      <c r="M233">
        <v>0</v>
      </c>
      <c r="N233">
        <v>0</v>
      </c>
      <c r="O233">
        <v>1</v>
      </c>
      <c r="P233">
        <v>0</v>
      </c>
      <c r="Q233">
        <v>1</v>
      </c>
      <c r="R233">
        <v>0</v>
      </c>
      <c r="S233">
        <v>0</v>
      </c>
      <c r="T233">
        <v>0</v>
      </c>
      <c r="U233">
        <v>0</v>
      </c>
      <c r="V233">
        <v>0</v>
      </c>
    </row>
    <row r="234" spans="1:22" x14ac:dyDescent="0.2">
      <c r="A234" t="s">
        <v>537</v>
      </c>
      <c r="B234" t="s">
        <v>33</v>
      </c>
      <c r="C234" t="s">
        <v>41</v>
      </c>
      <c r="D234" t="s">
        <v>72</v>
      </c>
      <c r="E234" t="s">
        <v>442</v>
      </c>
      <c r="F234" t="s">
        <v>48</v>
      </c>
      <c r="G234" t="s">
        <v>47</v>
      </c>
      <c r="H234" t="s">
        <v>65</v>
      </c>
      <c r="I234">
        <v>0</v>
      </c>
      <c r="J234">
        <v>1</v>
      </c>
      <c r="K234">
        <v>1</v>
      </c>
      <c r="L234">
        <v>1</v>
      </c>
      <c r="M234">
        <v>0</v>
      </c>
      <c r="N234">
        <v>0</v>
      </c>
      <c r="O234">
        <v>1</v>
      </c>
      <c r="P234">
        <v>0</v>
      </c>
      <c r="Q234">
        <v>1</v>
      </c>
      <c r="R234">
        <v>0</v>
      </c>
      <c r="S234">
        <v>1</v>
      </c>
      <c r="T234">
        <v>0</v>
      </c>
      <c r="U234">
        <v>0</v>
      </c>
      <c r="V234">
        <v>0</v>
      </c>
    </row>
    <row r="235" spans="1:22" x14ac:dyDescent="0.2">
      <c r="A235" t="s">
        <v>540</v>
      </c>
      <c r="B235" t="s">
        <v>108</v>
      </c>
      <c r="C235" t="s">
        <v>41</v>
      </c>
      <c r="D235" t="s">
        <v>55</v>
      </c>
      <c r="E235" t="s">
        <v>442</v>
      </c>
      <c r="F235" t="s">
        <v>65</v>
      </c>
      <c r="G235" t="s">
        <v>59</v>
      </c>
      <c r="H235" t="s">
        <v>48</v>
      </c>
      <c r="I235">
        <v>0</v>
      </c>
      <c r="J235">
        <v>1</v>
      </c>
      <c r="K235">
        <v>1</v>
      </c>
      <c r="L235">
        <v>0</v>
      </c>
      <c r="M235">
        <v>0</v>
      </c>
      <c r="N235">
        <v>0</v>
      </c>
      <c r="O235">
        <v>1</v>
      </c>
      <c r="P235">
        <v>0</v>
      </c>
      <c r="Q235">
        <v>1</v>
      </c>
      <c r="R235">
        <v>1</v>
      </c>
      <c r="S235">
        <v>0</v>
      </c>
      <c r="T235">
        <v>0</v>
      </c>
      <c r="U235">
        <v>0</v>
      </c>
      <c r="V235">
        <v>0</v>
      </c>
    </row>
    <row r="236" spans="1:22" x14ac:dyDescent="0.2">
      <c r="A236" t="s">
        <v>540</v>
      </c>
      <c r="B236" t="s">
        <v>108</v>
      </c>
      <c r="C236" t="s">
        <v>41</v>
      </c>
      <c r="D236" t="s">
        <v>42</v>
      </c>
      <c r="E236" t="s">
        <v>442</v>
      </c>
      <c r="F236" t="s">
        <v>48</v>
      </c>
      <c r="G236" t="s">
        <v>46</v>
      </c>
      <c r="H236" t="s">
        <v>65</v>
      </c>
      <c r="I236">
        <v>0</v>
      </c>
      <c r="J236">
        <v>1</v>
      </c>
      <c r="K236">
        <v>1</v>
      </c>
      <c r="L236">
        <v>0</v>
      </c>
      <c r="M236">
        <v>1</v>
      </c>
      <c r="N236">
        <v>0</v>
      </c>
      <c r="O236">
        <v>1</v>
      </c>
      <c r="P236">
        <v>0</v>
      </c>
      <c r="Q236">
        <v>1</v>
      </c>
      <c r="R236">
        <v>1</v>
      </c>
      <c r="S236">
        <v>0</v>
      </c>
      <c r="T236">
        <v>1</v>
      </c>
      <c r="U236">
        <v>0</v>
      </c>
      <c r="V236">
        <v>0</v>
      </c>
    </row>
    <row r="237" spans="1:22" x14ac:dyDescent="0.2">
      <c r="A237" t="s">
        <v>547</v>
      </c>
      <c r="B237" t="s">
        <v>548</v>
      </c>
      <c r="C237" t="s">
        <v>41</v>
      </c>
      <c r="D237" t="s">
        <v>67</v>
      </c>
      <c r="E237" t="s">
        <v>442</v>
      </c>
      <c r="F237" t="s">
        <v>65</v>
      </c>
      <c r="G237" t="s">
        <v>46</v>
      </c>
      <c r="H237" t="s">
        <v>48</v>
      </c>
      <c r="I237">
        <v>0</v>
      </c>
      <c r="J237">
        <v>1</v>
      </c>
      <c r="K237">
        <v>1</v>
      </c>
      <c r="L237">
        <v>0</v>
      </c>
      <c r="M237">
        <v>1</v>
      </c>
      <c r="N237">
        <v>0</v>
      </c>
      <c r="O237">
        <v>1</v>
      </c>
      <c r="P237">
        <v>0</v>
      </c>
      <c r="Q237">
        <v>0</v>
      </c>
      <c r="R237">
        <v>0</v>
      </c>
      <c r="S237">
        <v>0</v>
      </c>
      <c r="T237">
        <v>1</v>
      </c>
      <c r="U237">
        <v>0</v>
      </c>
      <c r="V237">
        <v>0</v>
      </c>
    </row>
    <row r="238" spans="1:22" x14ac:dyDescent="0.2">
      <c r="A238" t="s">
        <v>547</v>
      </c>
      <c r="B238" t="s">
        <v>548</v>
      </c>
      <c r="C238" t="s">
        <v>41</v>
      </c>
      <c r="D238" t="s">
        <v>61</v>
      </c>
      <c r="E238" t="s">
        <v>442</v>
      </c>
      <c r="F238" t="s">
        <v>48</v>
      </c>
      <c r="G238" t="s">
        <v>65</v>
      </c>
      <c r="H238" t="s">
        <v>59</v>
      </c>
      <c r="I238">
        <v>0</v>
      </c>
      <c r="J238">
        <v>1</v>
      </c>
      <c r="K238">
        <v>1</v>
      </c>
      <c r="L238">
        <v>0</v>
      </c>
      <c r="M238">
        <v>0</v>
      </c>
      <c r="N238">
        <v>0</v>
      </c>
      <c r="O238">
        <v>1</v>
      </c>
      <c r="P238">
        <v>0</v>
      </c>
      <c r="Q238">
        <v>1</v>
      </c>
      <c r="R238">
        <v>0</v>
      </c>
      <c r="S238">
        <v>0</v>
      </c>
      <c r="T238">
        <v>0</v>
      </c>
      <c r="U238">
        <v>0</v>
      </c>
      <c r="V238">
        <v>0</v>
      </c>
    </row>
    <row r="239" spans="1:22" x14ac:dyDescent="0.2">
      <c r="A239" t="s">
        <v>547</v>
      </c>
      <c r="B239" t="s">
        <v>548</v>
      </c>
      <c r="C239" t="s">
        <v>41</v>
      </c>
      <c r="D239" t="s">
        <v>49</v>
      </c>
      <c r="E239" t="s">
        <v>442</v>
      </c>
      <c r="F239" t="s">
        <v>65</v>
      </c>
      <c r="G239" t="s">
        <v>46</v>
      </c>
      <c r="H239" t="s">
        <v>48</v>
      </c>
      <c r="I239">
        <v>0</v>
      </c>
      <c r="J239">
        <v>1</v>
      </c>
      <c r="K239">
        <v>1</v>
      </c>
      <c r="L239">
        <v>0</v>
      </c>
      <c r="M239">
        <v>1</v>
      </c>
      <c r="N239">
        <v>0</v>
      </c>
      <c r="O239">
        <v>1</v>
      </c>
      <c r="P239">
        <v>0</v>
      </c>
      <c r="Q239">
        <v>0</v>
      </c>
      <c r="R239">
        <v>1</v>
      </c>
      <c r="S239">
        <v>0</v>
      </c>
      <c r="T239">
        <v>0</v>
      </c>
      <c r="U239">
        <v>0</v>
      </c>
      <c r="V239">
        <v>0</v>
      </c>
    </row>
    <row r="240" spans="1:22" x14ac:dyDescent="0.2">
      <c r="A240" t="s">
        <v>549</v>
      </c>
      <c r="B240" t="s">
        <v>108</v>
      </c>
      <c r="C240" t="s">
        <v>41</v>
      </c>
      <c r="D240" t="s">
        <v>61</v>
      </c>
      <c r="E240" t="s">
        <v>442</v>
      </c>
      <c r="F240" t="s">
        <v>47</v>
      </c>
      <c r="G240" t="s">
        <v>48</v>
      </c>
      <c r="H240" t="s">
        <v>65</v>
      </c>
      <c r="I240">
        <v>0</v>
      </c>
      <c r="J240">
        <v>1</v>
      </c>
      <c r="K240">
        <v>1</v>
      </c>
      <c r="L240">
        <v>1</v>
      </c>
      <c r="M240">
        <v>0</v>
      </c>
      <c r="N240">
        <v>0</v>
      </c>
      <c r="O240">
        <v>1</v>
      </c>
      <c r="P240">
        <v>0</v>
      </c>
      <c r="Q240">
        <v>0</v>
      </c>
      <c r="R240">
        <v>0</v>
      </c>
      <c r="S240">
        <v>1</v>
      </c>
      <c r="T240">
        <v>0</v>
      </c>
      <c r="U240">
        <v>0</v>
      </c>
      <c r="V240">
        <v>0</v>
      </c>
    </row>
    <row r="241" spans="1:22" x14ac:dyDescent="0.2">
      <c r="A241" t="s">
        <v>553</v>
      </c>
      <c r="B241" t="s">
        <v>108</v>
      </c>
      <c r="C241" t="s">
        <v>41</v>
      </c>
      <c r="D241" t="s">
        <v>55</v>
      </c>
      <c r="E241" t="s">
        <v>442</v>
      </c>
      <c r="F241" t="s">
        <v>46</v>
      </c>
      <c r="G241" t="s">
        <v>48</v>
      </c>
      <c r="H241" t="s">
        <v>65</v>
      </c>
      <c r="I241">
        <v>0</v>
      </c>
      <c r="J241">
        <v>1</v>
      </c>
      <c r="K241">
        <v>1</v>
      </c>
      <c r="L241">
        <v>0</v>
      </c>
      <c r="M241">
        <v>1</v>
      </c>
      <c r="N241">
        <v>0</v>
      </c>
      <c r="O241">
        <v>1</v>
      </c>
      <c r="P241">
        <v>0</v>
      </c>
      <c r="Q241">
        <v>1</v>
      </c>
      <c r="R241">
        <v>0</v>
      </c>
      <c r="S241">
        <v>0</v>
      </c>
      <c r="T241">
        <v>0</v>
      </c>
      <c r="U241">
        <v>0</v>
      </c>
      <c r="V241">
        <v>0</v>
      </c>
    </row>
    <row r="242" spans="1:22" x14ac:dyDescent="0.2">
      <c r="A242" t="s">
        <v>560</v>
      </c>
      <c r="B242" t="s">
        <v>108</v>
      </c>
      <c r="C242" t="s">
        <v>41</v>
      </c>
      <c r="D242" t="s">
        <v>67</v>
      </c>
      <c r="E242" t="s">
        <v>442</v>
      </c>
      <c r="F242" t="s">
        <v>48</v>
      </c>
      <c r="G242" t="s">
        <v>65</v>
      </c>
      <c r="H242" t="s">
        <v>46</v>
      </c>
      <c r="I242">
        <v>0</v>
      </c>
      <c r="J242">
        <v>1</v>
      </c>
      <c r="K242">
        <v>1</v>
      </c>
      <c r="L242">
        <v>0</v>
      </c>
      <c r="M242">
        <v>1</v>
      </c>
      <c r="N242">
        <v>0</v>
      </c>
      <c r="O242">
        <v>1</v>
      </c>
      <c r="P242">
        <v>0</v>
      </c>
      <c r="Q242">
        <v>1</v>
      </c>
      <c r="R242">
        <v>1</v>
      </c>
      <c r="S242">
        <v>0</v>
      </c>
      <c r="T242">
        <v>1</v>
      </c>
      <c r="U242">
        <v>0</v>
      </c>
      <c r="V242">
        <v>0</v>
      </c>
    </row>
    <row r="243" spans="1:22" x14ac:dyDescent="0.2">
      <c r="A243" t="s">
        <v>560</v>
      </c>
      <c r="B243" t="s">
        <v>108</v>
      </c>
      <c r="C243" t="s">
        <v>41</v>
      </c>
      <c r="D243" t="s">
        <v>42</v>
      </c>
      <c r="E243" t="s">
        <v>442</v>
      </c>
      <c r="F243" t="s">
        <v>47</v>
      </c>
      <c r="G243" t="s">
        <v>48</v>
      </c>
      <c r="H243" t="s">
        <v>65</v>
      </c>
      <c r="I243">
        <v>0</v>
      </c>
      <c r="J243">
        <v>1</v>
      </c>
      <c r="K243">
        <v>1</v>
      </c>
      <c r="L243">
        <v>1</v>
      </c>
      <c r="M243">
        <v>0</v>
      </c>
      <c r="N243">
        <v>0</v>
      </c>
      <c r="O243">
        <v>1</v>
      </c>
      <c r="P243">
        <v>0</v>
      </c>
      <c r="Q243">
        <v>1</v>
      </c>
      <c r="R243">
        <v>1</v>
      </c>
      <c r="S243">
        <v>1</v>
      </c>
      <c r="T243">
        <v>0</v>
      </c>
      <c r="U243">
        <v>0</v>
      </c>
      <c r="V243">
        <v>0</v>
      </c>
    </row>
    <row r="244" spans="1:22" x14ac:dyDescent="0.2">
      <c r="A244" t="s">
        <v>562</v>
      </c>
      <c r="B244" t="s">
        <v>108</v>
      </c>
      <c r="C244" t="s">
        <v>41</v>
      </c>
      <c r="D244" t="s">
        <v>72</v>
      </c>
      <c r="E244" t="s">
        <v>442</v>
      </c>
      <c r="F244" t="s">
        <v>47</v>
      </c>
      <c r="G244" t="s">
        <v>48</v>
      </c>
      <c r="H244" t="s">
        <v>65</v>
      </c>
      <c r="I244">
        <v>0</v>
      </c>
      <c r="J244">
        <v>1</v>
      </c>
      <c r="K244">
        <v>1</v>
      </c>
      <c r="L244">
        <v>1</v>
      </c>
      <c r="M244">
        <v>0</v>
      </c>
      <c r="N244">
        <v>0</v>
      </c>
      <c r="O244">
        <v>1</v>
      </c>
      <c r="P244">
        <v>0</v>
      </c>
      <c r="Q244">
        <v>1</v>
      </c>
      <c r="R244">
        <v>1</v>
      </c>
      <c r="S244">
        <v>0</v>
      </c>
      <c r="T244">
        <v>0</v>
      </c>
      <c r="U244">
        <v>0</v>
      </c>
      <c r="V244">
        <v>0</v>
      </c>
    </row>
    <row r="245" spans="1:22" x14ac:dyDescent="0.2">
      <c r="A245" t="s">
        <v>562</v>
      </c>
      <c r="B245" t="s">
        <v>108</v>
      </c>
      <c r="C245" t="s">
        <v>41</v>
      </c>
      <c r="D245" t="s">
        <v>42</v>
      </c>
      <c r="E245" t="s">
        <v>442</v>
      </c>
      <c r="F245" t="s">
        <v>48</v>
      </c>
      <c r="G245" t="s">
        <v>65</v>
      </c>
      <c r="H245" t="s">
        <v>47</v>
      </c>
      <c r="I245">
        <v>0</v>
      </c>
      <c r="J245">
        <v>1</v>
      </c>
      <c r="K245">
        <v>1</v>
      </c>
      <c r="L245">
        <v>1</v>
      </c>
      <c r="M245">
        <v>0</v>
      </c>
      <c r="N245">
        <v>0</v>
      </c>
      <c r="O245">
        <v>1</v>
      </c>
      <c r="P245">
        <v>0</v>
      </c>
      <c r="Q245">
        <v>1</v>
      </c>
      <c r="R245">
        <v>1</v>
      </c>
      <c r="S245">
        <v>0</v>
      </c>
      <c r="T245">
        <v>0</v>
      </c>
      <c r="U245">
        <v>0</v>
      </c>
      <c r="V245">
        <v>0</v>
      </c>
    </row>
    <row r="246" spans="1:22" x14ac:dyDescent="0.2">
      <c r="A246" t="s">
        <v>562</v>
      </c>
      <c r="B246" t="s">
        <v>108</v>
      </c>
      <c r="C246" t="s">
        <v>41</v>
      </c>
      <c r="D246" t="s">
        <v>49</v>
      </c>
      <c r="E246" t="s">
        <v>442</v>
      </c>
      <c r="F246" t="s">
        <v>48</v>
      </c>
      <c r="G246" t="s">
        <v>65</v>
      </c>
      <c r="H246" t="s">
        <v>46</v>
      </c>
      <c r="I246">
        <v>0</v>
      </c>
      <c r="J246">
        <v>1</v>
      </c>
      <c r="K246">
        <v>1</v>
      </c>
      <c r="L246">
        <v>0</v>
      </c>
      <c r="M246">
        <v>1</v>
      </c>
      <c r="N246">
        <v>0</v>
      </c>
      <c r="O246">
        <v>1</v>
      </c>
      <c r="P246">
        <v>0</v>
      </c>
      <c r="Q246">
        <v>1</v>
      </c>
      <c r="R246">
        <v>1</v>
      </c>
      <c r="S246">
        <v>0</v>
      </c>
      <c r="T246">
        <v>1</v>
      </c>
      <c r="U246">
        <v>0</v>
      </c>
      <c r="V246">
        <v>0</v>
      </c>
    </row>
    <row r="247" spans="1:22" x14ac:dyDescent="0.2">
      <c r="A247" t="s">
        <v>565</v>
      </c>
      <c r="B247" t="s">
        <v>33</v>
      </c>
      <c r="C247" t="s">
        <v>41</v>
      </c>
      <c r="D247" t="s">
        <v>61</v>
      </c>
      <c r="E247" t="s">
        <v>442</v>
      </c>
      <c r="F247" t="s">
        <v>46</v>
      </c>
      <c r="G247" t="s">
        <v>48</v>
      </c>
      <c r="H247" t="s">
        <v>65</v>
      </c>
      <c r="I247">
        <v>0</v>
      </c>
      <c r="J247">
        <v>1</v>
      </c>
      <c r="K247">
        <v>1</v>
      </c>
      <c r="L247">
        <v>0</v>
      </c>
      <c r="M247">
        <v>1</v>
      </c>
      <c r="N247">
        <v>0</v>
      </c>
      <c r="O247">
        <v>1</v>
      </c>
      <c r="P247">
        <v>0</v>
      </c>
      <c r="Q247">
        <v>0</v>
      </c>
      <c r="R247">
        <v>1</v>
      </c>
      <c r="S247">
        <v>0</v>
      </c>
      <c r="T247">
        <v>0</v>
      </c>
      <c r="U247">
        <v>0</v>
      </c>
      <c r="V247">
        <v>0</v>
      </c>
    </row>
    <row r="248" spans="1:22" x14ac:dyDescent="0.2">
      <c r="A248" t="s">
        <v>568</v>
      </c>
      <c r="B248" t="s">
        <v>33</v>
      </c>
      <c r="C248" t="s">
        <v>41</v>
      </c>
      <c r="D248" t="s">
        <v>72</v>
      </c>
      <c r="E248" t="s">
        <v>442</v>
      </c>
      <c r="F248" t="s">
        <v>65</v>
      </c>
      <c r="G248" t="s">
        <v>48</v>
      </c>
      <c r="H248" t="s">
        <v>46</v>
      </c>
      <c r="I248">
        <v>0</v>
      </c>
      <c r="J248">
        <v>1</v>
      </c>
      <c r="K248">
        <v>1</v>
      </c>
      <c r="L248">
        <v>0</v>
      </c>
      <c r="M248">
        <v>1</v>
      </c>
      <c r="N248">
        <v>0</v>
      </c>
      <c r="O248">
        <v>1</v>
      </c>
      <c r="P248">
        <v>0</v>
      </c>
      <c r="Q248">
        <v>0</v>
      </c>
      <c r="R248">
        <v>0</v>
      </c>
      <c r="S248">
        <v>0</v>
      </c>
      <c r="T248">
        <v>1</v>
      </c>
      <c r="U248">
        <v>0</v>
      </c>
      <c r="V248">
        <v>0</v>
      </c>
    </row>
    <row r="249" spans="1:22" x14ac:dyDescent="0.2">
      <c r="A249" t="s">
        <v>572</v>
      </c>
      <c r="B249" t="s">
        <v>174</v>
      </c>
      <c r="C249" t="s">
        <v>41</v>
      </c>
      <c r="D249" t="s">
        <v>67</v>
      </c>
      <c r="E249" t="s">
        <v>442</v>
      </c>
      <c r="F249" t="s">
        <v>48</v>
      </c>
      <c r="G249" t="s">
        <v>65</v>
      </c>
      <c r="H249" t="s">
        <v>47</v>
      </c>
      <c r="I249">
        <v>0</v>
      </c>
      <c r="J249">
        <v>1</v>
      </c>
      <c r="K249">
        <v>1</v>
      </c>
      <c r="L249">
        <v>1</v>
      </c>
      <c r="M249">
        <v>0</v>
      </c>
      <c r="N249">
        <v>0</v>
      </c>
      <c r="O249">
        <v>1</v>
      </c>
      <c r="P249">
        <v>0</v>
      </c>
      <c r="Q249">
        <v>1</v>
      </c>
      <c r="R249">
        <v>1</v>
      </c>
      <c r="S249">
        <v>1</v>
      </c>
      <c r="T249">
        <v>0</v>
      </c>
      <c r="U249">
        <v>0</v>
      </c>
      <c r="V249">
        <v>0</v>
      </c>
    </row>
    <row r="250" spans="1:22" x14ac:dyDescent="0.2">
      <c r="A250" t="s">
        <v>572</v>
      </c>
      <c r="B250" t="s">
        <v>174</v>
      </c>
      <c r="C250" t="s">
        <v>41</v>
      </c>
      <c r="D250" t="s">
        <v>49</v>
      </c>
      <c r="E250" t="s">
        <v>442</v>
      </c>
      <c r="F250" t="s">
        <v>65</v>
      </c>
      <c r="G250" t="s">
        <v>48</v>
      </c>
      <c r="H250" t="s">
        <v>46</v>
      </c>
      <c r="I250">
        <v>0</v>
      </c>
      <c r="J250">
        <v>1</v>
      </c>
      <c r="K250">
        <v>1</v>
      </c>
      <c r="L250">
        <v>0</v>
      </c>
      <c r="M250">
        <v>1</v>
      </c>
      <c r="N250">
        <v>0</v>
      </c>
      <c r="O250">
        <v>1</v>
      </c>
      <c r="P250">
        <v>0</v>
      </c>
      <c r="Q250">
        <v>1</v>
      </c>
      <c r="R250">
        <v>1</v>
      </c>
      <c r="S250">
        <v>0</v>
      </c>
      <c r="T250">
        <v>1</v>
      </c>
      <c r="U250">
        <v>0</v>
      </c>
      <c r="V250">
        <v>0</v>
      </c>
    </row>
    <row r="251" spans="1:22" x14ac:dyDescent="0.2">
      <c r="A251" t="s">
        <v>572</v>
      </c>
      <c r="B251" t="s">
        <v>174</v>
      </c>
      <c r="C251" t="s">
        <v>41</v>
      </c>
      <c r="D251" t="s">
        <v>42</v>
      </c>
      <c r="E251" t="s">
        <v>442</v>
      </c>
      <c r="F251" t="s">
        <v>48</v>
      </c>
      <c r="G251" t="s">
        <v>65</v>
      </c>
      <c r="H251" t="s">
        <v>47</v>
      </c>
      <c r="I251">
        <v>0</v>
      </c>
      <c r="J251">
        <v>1</v>
      </c>
      <c r="K251">
        <v>1</v>
      </c>
      <c r="L251">
        <v>1</v>
      </c>
      <c r="M251">
        <v>0</v>
      </c>
      <c r="N251">
        <v>0</v>
      </c>
      <c r="O251">
        <v>1</v>
      </c>
      <c r="P251">
        <v>0</v>
      </c>
      <c r="Q251">
        <v>1</v>
      </c>
      <c r="R251">
        <v>1</v>
      </c>
      <c r="S251">
        <v>1</v>
      </c>
      <c r="T251">
        <v>0</v>
      </c>
      <c r="U251">
        <v>0</v>
      </c>
      <c r="V251">
        <v>0</v>
      </c>
    </row>
    <row r="252" spans="1:22" x14ac:dyDescent="0.2">
      <c r="A252" t="s">
        <v>575</v>
      </c>
      <c r="B252" t="s">
        <v>188</v>
      </c>
      <c r="C252" t="s">
        <v>41</v>
      </c>
      <c r="D252" t="s">
        <v>49</v>
      </c>
      <c r="E252" t="s">
        <v>442</v>
      </c>
      <c r="F252" t="s">
        <v>65</v>
      </c>
      <c r="G252" t="s">
        <v>48</v>
      </c>
      <c r="H252" t="s">
        <v>60</v>
      </c>
      <c r="I252">
        <v>1</v>
      </c>
      <c r="J252">
        <v>1</v>
      </c>
      <c r="K252">
        <v>1</v>
      </c>
      <c r="L252">
        <v>0</v>
      </c>
      <c r="M252">
        <v>0</v>
      </c>
      <c r="N252">
        <v>0</v>
      </c>
      <c r="O252">
        <v>1</v>
      </c>
      <c r="P252">
        <v>0</v>
      </c>
      <c r="Q252">
        <v>1</v>
      </c>
      <c r="R252">
        <v>0</v>
      </c>
      <c r="S252">
        <v>0</v>
      </c>
      <c r="T252">
        <v>0</v>
      </c>
      <c r="U252">
        <v>0</v>
      </c>
      <c r="V252">
        <v>0</v>
      </c>
    </row>
    <row r="253" spans="1:22" x14ac:dyDescent="0.2">
      <c r="A253" t="s">
        <v>577</v>
      </c>
      <c r="B253" t="s">
        <v>108</v>
      </c>
      <c r="C253" t="s">
        <v>41</v>
      </c>
      <c r="D253" t="s">
        <v>55</v>
      </c>
      <c r="E253" t="s">
        <v>442</v>
      </c>
      <c r="F253" t="s">
        <v>48</v>
      </c>
      <c r="G253" t="s">
        <v>65</v>
      </c>
      <c r="H253" t="s">
        <v>59</v>
      </c>
      <c r="I253">
        <v>0</v>
      </c>
      <c r="J253">
        <v>1</v>
      </c>
      <c r="K253">
        <v>1</v>
      </c>
      <c r="L253">
        <v>0</v>
      </c>
      <c r="M253">
        <v>0</v>
      </c>
      <c r="N253">
        <v>0</v>
      </c>
      <c r="O253">
        <v>1</v>
      </c>
      <c r="P253">
        <v>0</v>
      </c>
      <c r="Q253">
        <v>1</v>
      </c>
      <c r="R253">
        <v>0</v>
      </c>
      <c r="S253">
        <v>0</v>
      </c>
      <c r="T253">
        <v>0</v>
      </c>
      <c r="U253">
        <v>0</v>
      </c>
      <c r="V253">
        <v>0</v>
      </c>
    </row>
    <row r="254" spans="1:22" x14ac:dyDescent="0.2">
      <c r="A254" t="s">
        <v>577</v>
      </c>
      <c r="B254" t="s">
        <v>108</v>
      </c>
      <c r="C254" t="s">
        <v>41</v>
      </c>
      <c r="D254" t="s">
        <v>72</v>
      </c>
      <c r="E254" t="s">
        <v>442</v>
      </c>
      <c r="F254" t="s">
        <v>47</v>
      </c>
      <c r="G254" t="s">
        <v>65</v>
      </c>
      <c r="H254" t="s">
        <v>48</v>
      </c>
      <c r="I254">
        <v>0</v>
      </c>
      <c r="J254">
        <v>1</v>
      </c>
      <c r="K254">
        <v>1</v>
      </c>
      <c r="L254">
        <v>1</v>
      </c>
      <c r="M254">
        <v>0</v>
      </c>
      <c r="N254">
        <v>0</v>
      </c>
      <c r="O254">
        <v>1</v>
      </c>
      <c r="P254">
        <v>0</v>
      </c>
      <c r="Q254">
        <v>0</v>
      </c>
      <c r="R254">
        <v>0</v>
      </c>
      <c r="S254">
        <v>0</v>
      </c>
      <c r="T254">
        <v>0</v>
      </c>
      <c r="U254">
        <v>0</v>
      </c>
      <c r="V254">
        <v>1</v>
      </c>
    </row>
    <row r="255" spans="1:22" x14ac:dyDescent="0.2">
      <c r="A255" t="s">
        <v>577</v>
      </c>
      <c r="B255" t="s">
        <v>108</v>
      </c>
      <c r="C255" t="s">
        <v>41</v>
      </c>
      <c r="D255" t="s">
        <v>49</v>
      </c>
      <c r="E255" t="s">
        <v>442</v>
      </c>
      <c r="F255" t="s">
        <v>48</v>
      </c>
      <c r="G255" t="s">
        <v>47</v>
      </c>
      <c r="H255" t="s">
        <v>65</v>
      </c>
      <c r="I255">
        <v>0</v>
      </c>
      <c r="J255">
        <v>1</v>
      </c>
      <c r="K255">
        <v>1</v>
      </c>
      <c r="L255">
        <v>1</v>
      </c>
      <c r="M255">
        <v>0</v>
      </c>
      <c r="N255">
        <v>0</v>
      </c>
      <c r="O255">
        <v>1</v>
      </c>
      <c r="P255">
        <v>0</v>
      </c>
      <c r="Q255">
        <v>0</v>
      </c>
      <c r="R255">
        <v>0</v>
      </c>
      <c r="S255">
        <v>0</v>
      </c>
      <c r="T255">
        <v>0</v>
      </c>
      <c r="U255">
        <v>0</v>
      </c>
      <c r="V255">
        <v>1</v>
      </c>
    </row>
    <row r="256" spans="1:22" x14ac:dyDescent="0.2">
      <c r="A256" t="s">
        <v>580</v>
      </c>
      <c r="B256" t="s">
        <v>108</v>
      </c>
      <c r="C256" t="s">
        <v>41</v>
      </c>
      <c r="D256" t="s">
        <v>72</v>
      </c>
      <c r="E256" t="s">
        <v>442</v>
      </c>
      <c r="F256" t="s">
        <v>48</v>
      </c>
      <c r="G256" t="s">
        <v>65</v>
      </c>
      <c r="H256" t="s">
        <v>46</v>
      </c>
      <c r="I256">
        <v>0</v>
      </c>
      <c r="J256">
        <v>1</v>
      </c>
      <c r="K256">
        <v>1</v>
      </c>
      <c r="L256">
        <v>0</v>
      </c>
      <c r="M256">
        <v>1</v>
      </c>
      <c r="N256">
        <v>0</v>
      </c>
      <c r="O256">
        <v>1</v>
      </c>
      <c r="P256">
        <v>0</v>
      </c>
      <c r="Q256">
        <v>0</v>
      </c>
      <c r="R256">
        <v>0</v>
      </c>
      <c r="S256">
        <v>0</v>
      </c>
      <c r="T256">
        <v>0</v>
      </c>
      <c r="U256">
        <v>0</v>
      </c>
      <c r="V256">
        <v>1</v>
      </c>
    </row>
    <row r="257" spans="1:22" x14ac:dyDescent="0.2">
      <c r="A257" t="s">
        <v>583</v>
      </c>
      <c r="B257" t="s">
        <v>33</v>
      </c>
      <c r="C257" t="s">
        <v>41</v>
      </c>
      <c r="D257" t="s">
        <v>72</v>
      </c>
      <c r="E257" t="s">
        <v>442</v>
      </c>
      <c r="F257" t="s">
        <v>48</v>
      </c>
      <c r="G257" t="s">
        <v>46</v>
      </c>
      <c r="H257" t="s">
        <v>65</v>
      </c>
      <c r="I257">
        <v>0</v>
      </c>
      <c r="J257">
        <v>1</v>
      </c>
      <c r="K257">
        <v>1</v>
      </c>
      <c r="L257">
        <v>0</v>
      </c>
      <c r="M257">
        <v>1</v>
      </c>
      <c r="N257">
        <v>0</v>
      </c>
      <c r="O257">
        <v>1</v>
      </c>
      <c r="P257">
        <v>0</v>
      </c>
      <c r="Q257">
        <v>0</v>
      </c>
      <c r="R257">
        <v>1</v>
      </c>
      <c r="S257">
        <v>0</v>
      </c>
      <c r="T257">
        <v>0</v>
      </c>
      <c r="U257">
        <v>0</v>
      </c>
      <c r="V257">
        <v>0</v>
      </c>
    </row>
    <row r="258" spans="1:22" x14ac:dyDescent="0.2">
      <c r="A258" t="s">
        <v>583</v>
      </c>
      <c r="B258" t="s">
        <v>33</v>
      </c>
      <c r="C258" t="s">
        <v>41</v>
      </c>
      <c r="D258" t="s">
        <v>61</v>
      </c>
      <c r="E258" t="s">
        <v>442</v>
      </c>
      <c r="F258" t="s">
        <v>60</v>
      </c>
      <c r="G258" t="s">
        <v>65</v>
      </c>
      <c r="H258" t="s">
        <v>48</v>
      </c>
      <c r="I258">
        <v>1</v>
      </c>
      <c r="J258">
        <v>1</v>
      </c>
      <c r="K258">
        <v>1</v>
      </c>
      <c r="L258">
        <v>0</v>
      </c>
      <c r="M258">
        <v>0</v>
      </c>
      <c r="N258">
        <v>0</v>
      </c>
      <c r="O258">
        <v>1</v>
      </c>
      <c r="P258">
        <v>0</v>
      </c>
      <c r="Q258">
        <v>1</v>
      </c>
      <c r="R258">
        <v>0</v>
      </c>
      <c r="S258">
        <v>0</v>
      </c>
      <c r="T258">
        <v>0</v>
      </c>
      <c r="U258">
        <v>0</v>
      </c>
      <c r="V258">
        <v>0</v>
      </c>
    </row>
    <row r="259" spans="1:22" x14ac:dyDescent="0.2">
      <c r="A259" t="s">
        <v>586</v>
      </c>
      <c r="B259" t="s">
        <v>188</v>
      </c>
      <c r="C259" t="s">
        <v>41</v>
      </c>
      <c r="D259" t="s">
        <v>61</v>
      </c>
      <c r="E259" t="s">
        <v>442</v>
      </c>
      <c r="F259" t="s">
        <v>47</v>
      </c>
      <c r="G259" t="s">
        <v>65</v>
      </c>
      <c r="H259" t="s">
        <v>48</v>
      </c>
      <c r="I259">
        <v>0</v>
      </c>
      <c r="J259">
        <v>1</v>
      </c>
      <c r="K259">
        <v>1</v>
      </c>
      <c r="L259">
        <v>1</v>
      </c>
      <c r="M259">
        <v>0</v>
      </c>
      <c r="N259">
        <v>0</v>
      </c>
      <c r="O259">
        <v>1</v>
      </c>
      <c r="P259">
        <v>0</v>
      </c>
      <c r="Q259">
        <v>1</v>
      </c>
      <c r="R259">
        <v>0</v>
      </c>
      <c r="S259">
        <v>1</v>
      </c>
      <c r="T259">
        <v>0</v>
      </c>
      <c r="U259">
        <v>0</v>
      </c>
      <c r="V259">
        <v>0</v>
      </c>
    </row>
    <row r="260" spans="1:22" x14ac:dyDescent="0.2">
      <c r="A260" t="s">
        <v>586</v>
      </c>
      <c r="B260" t="s">
        <v>188</v>
      </c>
      <c r="C260" t="s">
        <v>41</v>
      </c>
      <c r="D260" t="s">
        <v>55</v>
      </c>
      <c r="E260" t="s">
        <v>442</v>
      </c>
      <c r="F260" t="s">
        <v>65</v>
      </c>
      <c r="G260" t="s">
        <v>48</v>
      </c>
      <c r="H260" t="s">
        <v>59</v>
      </c>
      <c r="I260">
        <v>0</v>
      </c>
      <c r="J260">
        <v>1</v>
      </c>
      <c r="K260">
        <v>1</v>
      </c>
      <c r="L260">
        <v>0</v>
      </c>
      <c r="M260">
        <v>0</v>
      </c>
      <c r="N260">
        <v>0</v>
      </c>
      <c r="O260">
        <v>1</v>
      </c>
      <c r="P260">
        <v>0</v>
      </c>
      <c r="Q260">
        <v>1</v>
      </c>
      <c r="R260">
        <v>0</v>
      </c>
      <c r="S260">
        <v>0</v>
      </c>
      <c r="T260">
        <v>0</v>
      </c>
      <c r="U260">
        <v>0</v>
      </c>
      <c r="V260">
        <v>0</v>
      </c>
    </row>
    <row r="261" spans="1:22" x14ac:dyDescent="0.2">
      <c r="A261" t="s">
        <v>589</v>
      </c>
      <c r="B261" t="s">
        <v>188</v>
      </c>
      <c r="C261" t="s">
        <v>41</v>
      </c>
      <c r="D261" t="s">
        <v>67</v>
      </c>
      <c r="E261" t="s">
        <v>442</v>
      </c>
      <c r="F261" t="s">
        <v>48</v>
      </c>
      <c r="G261" t="s">
        <v>65</v>
      </c>
      <c r="H261" t="s">
        <v>47</v>
      </c>
      <c r="I261">
        <v>0</v>
      </c>
      <c r="J261">
        <v>1</v>
      </c>
      <c r="K261">
        <v>1</v>
      </c>
      <c r="L261">
        <v>1</v>
      </c>
      <c r="M261">
        <v>0</v>
      </c>
      <c r="N261">
        <v>0</v>
      </c>
      <c r="O261">
        <v>1</v>
      </c>
      <c r="P261">
        <v>0</v>
      </c>
      <c r="Q261">
        <v>0</v>
      </c>
      <c r="R261">
        <v>0</v>
      </c>
      <c r="S261">
        <v>1</v>
      </c>
      <c r="T261">
        <v>0</v>
      </c>
      <c r="U261">
        <v>0</v>
      </c>
      <c r="V261">
        <v>0</v>
      </c>
    </row>
    <row r="262" spans="1:22" x14ac:dyDescent="0.2">
      <c r="A262" t="s">
        <v>593</v>
      </c>
      <c r="B262" t="s">
        <v>108</v>
      </c>
      <c r="C262" t="s">
        <v>41</v>
      </c>
      <c r="D262" t="s">
        <v>42</v>
      </c>
      <c r="E262" t="s">
        <v>442</v>
      </c>
      <c r="F262" t="s">
        <v>46</v>
      </c>
      <c r="G262" t="s">
        <v>65</v>
      </c>
      <c r="H262" t="s">
        <v>48</v>
      </c>
      <c r="I262">
        <v>0</v>
      </c>
      <c r="J262">
        <v>1</v>
      </c>
      <c r="K262">
        <v>1</v>
      </c>
      <c r="L262">
        <v>0</v>
      </c>
      <c r="M262">
        <v>1</v>
      </c>
      <c r="N262">
        <v>0</v>
      </c>
      <c r="O262">
        <v>1</v>
      </c>
      <c r="P262">
        <v>0</v>
      </c>
      <c r="Q262">
        <v>0</v>
      </c>
      <c r="R262">
        <v>0</v>
      </c>
      <c r="S262">
        <v>0</v>
      </c>
      <c r="T262">
        <v>0</v>
      </c>
      <c r="U262">
        <v>0</v>
      </c>
      <c r="V262">
        <v>1</v>
      </c>
    </row>
    <row r="263" spans="1:22" x14ac:dyDescent="0.2">
      <c r="A263" t="s">
        <v>593</v>
      </c>
      <c r="B263" t="s">
        <v>108</v>
      </c>
      <c r="C263" t="s">
        <v>41</v>
      </c>
      <c r="D263" t="s">
        <v>61</v>
      </c>
      <c r="E263" t="s">
        <v>442</v>
      </c>
      <c r="F263" t="s">
        <v>48</v>
      </c>
      <c r="G263" t="s">
        <v>65</v>
      </c>
      <c r="H263" t="s">
        <v>46</v>
      </c>
      <c r="I263">
        <v>0</v>
      </c>
      <c r="J263">
        <v>1</v>
      </c>
      <c r="K263">
        <v>1</v>
      </c>
      <c r="L263">
        <v>0</v>
      </c>
      <c r="M263">
        <v>1</v>
      </c>
      <c r="N263">
        <v>0</v>
      </c>
      <c r="O263">
        <v>1</v>
      </c>
      <c r="P263">
        <v>0</v>
      </c>
      <c r="Q263">
        <v>0</v>
      </c>
      <c r="R263">
        <v>1</v>
      </c>
      <c r="S263">
        <v>0</v>
      </c>
      <c r="T263">
        <v>0</v>
      </c>
      <c r="U263">
        <v>0</v>
      </c>
      <c r="V263">
        <v>0</v>
      </c>
    </row>
    <row r="264" spans="1:22" x14ac:dyDescent="0.2">
      <c r="A264" t="s">
        <v>597</v>
      </c>
      <c r="B264" t="s">
        <v>188</v>
      </c>
      <c r="C264" t="s">
        <v>41</v>
      </c>
      <c r="D264" t="s">
        <v>61</v>
      </c>
      <c r="E264" t="s">
        <v>442</v>
      </c>
      <c r="F264" t="s">
        <v>48</v>
      </c>
      <c r="G264" t="s">
        <v>59</v>
      </c>
      <c r="H264" t="s">
        <v>65</v>
      </c>
      <c r="I264">
        <v>0</v>
      </c>
      <c r="J264">
        <v>1</v>
      </c>
      <c r="K264">
        <v>1</v>
      </c>
      <c r="L264">
        <v>0</v>
      </c>
      <c r="M264">
        <v>0</v>
      </c>
      <c r="N264">
        <v>0</v>
      </c>
      <c r="O264">
        <v>1</v>
      </c>
      <c r="P264">
        <v>0</v>
      </c>
      <c r="Q264">
        <v>0</v>
      </c>
      <c r="R264">
        <v>1</v>
      </c>
      <c r="S264">
        <v>0</v>
      </c>
      <c r="T264">
        <v>0</v>
      </c>
      <c r="U264">
        <v>0</v>
      </c>
      <c r="V264">
        <v>0</v>
      </c>
    </row>
    <row r="265" spans="1:22" x14ac:dyDescent="0.2">
      <c r="A265" t="s">
        <v>597</v>
      </c>
      <c r="B265" t="s">
        <v>188</v>
      </c>
      <c r="C265" t="s">
        <v>41</v>
      </c>
      <c r="D265" t="s">
        <v>42</v>
      </c>
      <c r="E265" t="s">
        <v>442</v>
      </c>
      <c r="F265" t="s">
        <v>48</v>
      </c>
      <c r="G265" t="s">
        <v>65</v>
      </c>
      <c r="H265" t="s">
        <v>46</v>
      </c>
      <c r="I265">
        <v>0</v>
      </c>
      <c r="J265">
        <v>1</v>
      </c>
      <c r="K265">
        <v>1</v>
      </c>
      <c r="L265">
        <v>0</v>
      </c>
      <c r="M265">
        <v>1</v>
      </c>
      <c r="N265">
        <v>0</v>
      </c>
      <c r="O265">
        <v>1</v>
      </c>
      <c r="P265">
        <v>0</v>
      </c>
      <c r="Q265">
        <v>1</v>
      </c>
      <c r="R265">
        <v>0</v>
      </c>
      <c r="S265">
        <v>0</v>
      </c>
      <c r="T265">
        <v>1</v>
      </c>
      <c r="U265">
        <v>0</v>
      </c>
      <c r="V265">
        <v>0</v>
      </c>
    </row>
    <row r="266" spans="1:22" x14ac:dyDescent="0.2">
      <c r="A266" t="s">
        <v>597</v>
      </c>
      <c r="B266" t="s">
        <v>188</v>
      </c>
      <c r="C266" t="s">
        <v>41</v>
      </c>
      <c r="D266" t="s">
        <v>49</v>
      </c>
      <c r="E266" t="s">
        <v>442</v>
      </c>
      <c r="F266" t="s">
        <v>65</v>
      </c>
      <c r="G266" t="s">
        <v>48</v>
      </c>
      <c r="H266" t="s">
        <v>46</v>
      </c>
      <c r="I266">
        <v>0</v>
      </c>
      <c r="J266">
        <v>1</v>
      </c>
      <c r="K266">
        <v>1</v>
      </c>
      <c r="L266">
        <v>0</v>
      </c>
      <c r="M266">
        <v>1</v>
      </c>
      <c r="N266">
        <v>0</v>
      </c>
      <c r="O266">
        <v>1</v>
      </c>
      <c r="P266">
        <v>0</v>
      </c>
      <c r="Q266">
        <v>0</v>
      </c>
      <c r="R266">
        <v>1</v>
      </c>
      <c r="S266">
        <v>0</v>
      </c>
      <c r="T266">
        <v>1</v>
      </c>
      <c r="U266">
        <v>0</v>
      </c>
      <c r="V266">
        <v>0</v>
      </c>
    </row>
    <row r="267" spans="1:22" x14ac:dyDescent="0.2">
      <c r="A267" t="s">
        <v>603</v>
      </c>
      <c r="B267" t="s">
        <v>188</v>
      </c>
      <c r="C267" t="s">
        <v>41</v>
      </c>
      <c r="D267" t="s">
        <v>42</v>
      </c>
      <c r="E267" t="s">
        <v>442</v>
      </c>
      <c r="F267" t="s">
        <v>48</v>
      </c>
      <c r="G267" t="s">
        <v>60</v>
      </c>
      <c r="H267" t="s">
        <v>65</v>
      </c>
      <c r="I267">
        <v>1</v>
      </c>
      <c r="J267">
        <v>1</v>
      </c>
      <c r="K267">
        <v>1</v>
      </c>
      <c r="L267">
        <v>0</v>
      </c>
      <c r="M267">
        <v>0</v>
      </c>
      <c r="N267">
        <v>0</v>
      </c>
      <c r="O267">
        <v>1</v>
      </c>
      <c r="P267">
        <v>1</v>
      </c>
      <c r="Q267">
        <v>0</v>
      </c>
      <c r="R267">
        <v>0</v>
      </c>
      <c r="S267">
        <v>0</v>
      </c>
      <c r="T267">
        <v>0</v>
      </c>
      <c r="U267">
        <v>0</v>
      </c>
      <c r="V267">
        <v>0</v>
      </c>
    </row>
    <row r="268" spans="1:22" x14ac:dyDescent="0.2">
      <c r="A268" t="s">
        <v>603</v>
      </c>
      <c r="B268" t="s">
        <v>188</v>
      </c>
      <c r="C268" t="s">
        <v>41</v>
      </c>
      <c r="D268" t="s">
        <v>49</v>
      </c>
      <c r="E268" t="s">
        <v>442</v>
      </c>
      <c r="F268" t="s">
        <v>65</v>
      </c>
      <c r="G268" t="s">
        <v>46</v>
      </c>
      <c r="H268" t="s">
        <v>48</v>
      </c>
      <c r="I268">
        <v>0</v>
      </c>
      <c r="J268">
        <v>1</v>
      </c>
      <c r="K268">
        <v>1</v>
      </c>
      <c r="L268">
        <v>0</v>
      </c>
      <c r="M268">
        <v>1</v>
      </c>
      <c r="N268">
        <v>0</v>
      </c>
      <c r="O268">
        <v>1</v>
      </c>
      <c r="P268">
        <v>0</v>
      </c>
      <c r="Q268">
        <v>1</v>
      </c>
      <c r="R268">
        <v>0</v>
      </c>
      <c r="S268">
        <v>0</v>
      </c>
      <c r="T268">
        <v>0</v>
      </c>
      <c r="U268">
        <v>0</v>
      </c>
      <c r="V268">
        <v>0</v>
      </c>
    </row>
    <row r="269" spans="1:22" x14ac:dyDescent="0.2">
      <c r="A269" t="s">
        <v>605</v>
      </c>
      <c r="B269" t="s">
        <v>108</v>
      </c>
      <c r="C269" t="s">
        <v>41</v>
      </c>
      <c r="D269" t="s">
        <v>72</v>
      </c>
      <c r="E269" t="s">
        <v>442</v>
      </c>
      <c r="F269" t="s">
        <v>48</v>
      </c>
      <c r="G269" t="s">
        <v>46</v>
      </c>
      <c r="H269" t="s">
        <v>65</v>
      </c>
      <c r="I269">
        <v>0</v>
      </c>
      <c r="J269">
        <v>1</v>
      </c>
      <c r="K269">
        <v>1</v>
      </c>
      <c r="L269">
        <v>0</v>
      </c>
      <c r="M269">
        <v>1</v>
      </c>
      <c r="N269">
        <v>0</v>
      </c>
      <c r="O269">
        <v>1</v>
      </c>
      <c r="P269">
        <v>0</v>
      </c>
      <c r="Q269">
        <v>1</v>
      </c>
      <c r="R269">
        <v>1</v>
      </c>
      <c r="S269">
        <v>0</v>
      </c>
      <c r="T269">
        <v>1</v>
      </c>
      <c r="U269">
        <v>0</v>
      </c>
      <c r="V269">
        <v>0</v>
      </c>
    </row>
    <row r="270" spans="1:22" x14ac:dyDescent="0.2">
      <c r="A270" t="s">
        <v>605</v>
      </c>
      <c r="B270" t="s">
        <v>108</v>
      </c>
      <c r="C270" t="s">
        <v>41</v>
      </c>
      <c r="D270" t="s">
        <v>49</v>
      </c>
      <c r="E270" t="s">
        <v>442</v>
      </c>
      <c r="F270" t="s">
        <v>65</v>
      </c>
      <c r="G270" t="s">
        <v>47</v>
      </c>
      <c r="H270" t="s">
        <v>48</v>
      </c>
      <c r="I270">
        <v>0</v>
      </c>
      <c r="J270">
        <v>1</v>
      </c>
      <c r="K270">
        <v>1</v>
      </c>
      <c r="L270">
        <v>1</v>
      </c>
      <c r="M270">
        <v>0</v>
      </c>
      <c r="N270">
        <v>0</v>
      </c>
      <c r="O270">
        <v>1</v>
      </c>
      <c r="P270">
        <v>0</v>
      </c>
      <c r="Q270">
        <v>1</v>
      </c>
      <c r="R270">
        <v>1</v>
      </c>
      <c r="S270">
        <v>1</v>
      </c>
      <c r="T270">
        <v>0</v>
      </c>
      <c r="U270">
        <v>0</v>
      </c>
      <c r="V270">
        <v>0</v>
      </c>
    </row>
    <row r="271" spans="1:22" x14ac:dyDescent="0.2">
      <c r="A271" t="s">
        <v>608</v>
      </c>
      <c r="B271" t="s">
        <v>108</v>
      </c>
      <c r="C271" t="s">
        <v>41</v>
      </c>
      <c r="D271" t="s">
        <v>42</v>
      </c>
      <c r="E271" t="s">
        <v>442</v>
      </c>
      <c r="F271" t="s">
        <v>65</v>
      </c>
      <c r="G271" t="s">
        <v>60</v>
      </c>
      <c r="H271" t="s">
        <v>48</v>
      </c>
      <c r="I271">
        <v>1</v>
      </c>
      <c r="J271">
        <v>1</v>
      </c>
      <c r="K271">
        <v>1</v>
      </c>
      <c r="L271">
        <v>0</v>
      </c>
      <c r="M271">
        <v>0</v>
      </c>
      <c r="N271">
        <v>0</v>
      </c>
      <c r="O271">
        <v>1</v>
      </c>
      <c r="P271">
        <v>1</v>
      </c>
      <c r="Q271">
        <v>1</v>
      </c>
      <c r="R271">
        <v>1</v>
      </c>
      <c r="S271">
        <v>0</v>
      </c>
      <c r="T271">
        <v>0</v>
      </c>
      <c r="U271">
        <v>0</v>
      </c>
      <c r="V271">
        <v>0</v>
      </c>
    </row>
    <row r="272" spans="1:22" x14ac:dyDescent="0.2">
      <c r="A272" t="s">
        <v>611</v>
      </c>
      <c r="B272" t="s">
        <v>188</v>
      </c>
      <c r="C272" t="s">
        <v>41</v>
      </c>
      <c r="D272" t="s">
        <v>42</v>
      </c>
      <c r="E272" t="s">
        <v>442</v>
      </c>
      <c r="F272" t="s">
        <v>48</v>
      </c>
      <c r="G272" t="s">
        <v>65</v>
      </c>
      <c r="H272" t="s">
        <v>47</v>
      </c>
      <c r="I272">
        <v>0</v>
      </c>
      <c r="J272">
        <v>1</v>
      </c>
      <c r="K272">
        <v>1</v>
      </c>
      <c r="L272">
        <v>1</v>
      </c>
      <c r="M272">
        <v>0</v>
      </c>
      <c r="N272">
        <v>0</v>
      </c>
      <c r="O272">
        <v>1</v>
      </c>
      <c r="P272">
        <v>0</v>
      </c>
      <c r="Q272">
        <v>1</v>
      </c>
      <c r="R272">
        <v>1</v>
      </c>
      <c r="S272">
        <v>1</v>
      </c>
      <c r="T272">
        <v>0</v>
      </c>
      <c r="U272">
        <v>0</v>
      </c>
      <c r="V272">
        <v>0</v>
      </c>
    </row>
    <row r="273" spans="1:22" x14ac:dyDescent="0.2">
      <c r="A273" t="s">
        <v>614</v>
      </c>
      <c r="B273" t="s">
        <v>108</v>
      </c>
      <c r="C273" t="s">
        <v>41</v>
      </c>
      <c r="D273" t="s">
        <v>49</v>
      </c>
      <c r="E273" t="s">
        <v>442</v>
      </c>
      <c r="F273" t="s">
        <v>46</v>
      </c>
      <c r="G273" t="s">
        <v>65</v>
      </c>
      <c r="H273" t="s">
        <v>48</v>
      </c>
      <c r="I273">
        <v>0</v>
      </c>
      <c r="J273">
        <v>1</v>
      </c>
      <c r="K273">
        <v>1</v>
      </c>
      <c r="L273">
        <v>0</v>
      </c>
      <c r="M273">
        <v>1</v>
      </c>
      <c r="N273">
        <v>0</v>
      </c>
      <c r="O273">
        <v>1</v>
      </c>
      <c r="P273">
        <v>0</v>
      </c>
      <c r="Q273">
        <v>1</v>
      </c>
      <c r="R273">
        <v>1</v>
      </c>
      <c r="S273">
        <v>0</v>
      </c>
      <c r="T273">
        <v>1</v>
      </c>
      <c r="U273">
        <v>0</v>
      </c>
      <c r="V273">
        <v>0</v>
      </c>
    </row>
    <row r="274" spans="1:22" x14ac:dyDescent="0.2">
      <c r="A274" t="s">
        <v>614</v>
      </c>
      <c r="B274" t="s">
        <v>108</v>
      </c>
      <c r="C274" t="s">
        <v>41</v>
      </c>
      <c r="D274" t="s">
        <v>67</v>
      </c>
      <c r="E274" t="s">
        <v>442</v>
      </c>
      <c r="F274" t="s">
        <v>59</v>
      </c>
      <c r="G274" t="s">
        <v>48</v>
      </c>
      <c r="H274" t="s">
        <v>65</v>
      </c>
      <c r="I274">
        <v>0</v>
      </c>
      <c r="J274">
        <v>1</v>
      </c>
      <c r="K274">
        <v>1</v>
      </c>
      <c r="L274">
        <v>0</v>
      </c>
      <c r="M274">
        <v>0</v>
      </c>
      <c r="N274">
        <v>0</v>
      </c>
      <c r="O274">
        <v>1</v>
      </c>
      <c r="P274">
        <v>0</v>
      </c>
      <c r="Q274">
        <v>0</v>
      </c>
      <c r="R274">
        <v>0</v>
      </c>
      <c r="S274">
        <v>0</v>
      </c>
      <c r="T274">
        <v>0</v>
      </c>
      <c r="U274">
        <v>0</v>
      </c>
      <c r="V274">
        <v>0</v>
      </c>
    </row>
    <row r="275" spans="1:22" x14ac:dyDescent="0.2">
      <c r="A275" t="s">
        <v>617</v>
      </c>
      <c r="B275" t="s">
        <v>33</v>
      </c>
      <c r="C275" t="s">
        <v>41</v>
      </c>
      <c r="D275" t="s">
        <v>49</v>
      </c>
      <c r="E275" t="s">
        <v>442</v>
      </c>
      <c r="F275" t="s">
        <v>65</v>
      </c>
      <c r="G275" t="s">
        <v>60</v>
      </c>
      <c r="H275" t="s">
        <v>48</v>
      </c>
      <c r="I275">
        <v>1</v>
      </c>
      <c r="J275">
        <v>1</v>
      </c>
      <c r="K275">
        <v>1</v>
      </c>
      <c r="L275">
        <v>0</v>
      </c>
      <c r="M275">
        <v>0</v>
      </c>
      <c r="N275">
        <v>0</v>
      </c>
      <c r="O275">
        <v>1</v>
      </c>
      <c r="P275">
        <v>1</v>
      </c>
      <c r="Q275">
        <v>0</v>
      </c>
      <c r="R275">
        <v>0</v>
      </c>
      <c r="S275">
        <v>0</v>
      </c>
      <c r="T275">
        <v>0</v>
      </c>
      <c r="U275">
        <v>0</v>
      </c>
      <c r="V275">
        <v>0</v>
      </c>
    </row>
    <row r="276" spans="1:22" x14ac:dyDescent="0.2">
      <c r="A276" t="s">
        <v>617</v>
      </c>
      <c r="B276" t="s">
        <v>33</v>
      </c>
      <c r="C276" t="s">
        <v>41</v>
      </c>
      <c r="D276" t="s">
        <v>55</v>
      </c>
      <c r="E276" t="s">
        <v>442</v>
      </c>
      <c r="F276" t="s">
        <v>46</v>
      </c>
      <c r="G276" t="s">
        <v>65</v>
      </c>
      <c r="H276" t="s">
        <v>48</v>
      </c>
      <c r="I276">
        <v>0</v>
      </c>
      <c r="J276">
        <v>1</v>
      </c>
      <c r="K276">
        <v>1</v>
      </c>
      <c r="L276">
        <v>0</v>
      </c>
      <c r="M276">
        <v>1</v>
      </c>
      <c r="N276">
        <v>0</v>
      </c>
      <c r="O276">
        <v>1</v>
      </c>
      <c r="P276">
        <v>0</v>
      </c>
      <c r="Q276">
        <v>1</v>
      </c>
      <c r="R276">
        <v>0</v>
      </c>
      <c r="S276">
        <v>0</v>
      </c>
      <c r="T276">
        <v>0</v>
      </c>
      <c r="U276">
        <v>0</v>
      </c>
      <c r="V276">
        <v>0</v>
      </c>
    </row>
    <row r="277" spans="1:22" x14ac:dyDescent="0.2">
      <c r="A277" t="s">
        <v>620</v>
      </c>
      <c r="B277" t="s">
        <v>188</v>
      </c>
      <c r="C277" t="s">
        <v>41</v>
      </c>
      <c r="D277" t="s">
        <v>55</v>
      </c>
      <c r="E277" t="s">
        <v>442</v>
      </c>
      <c r="F277" t="s">
        <v>65</v>
      </c>
      <c r="G277" t="s">
        <v>46</v>
      </c>
      <c r="H277" t="s">
        <v>48</v>
      </c>
      <c r="I277">
        <v>0</v>
      </c>
      <c r="J277">
        <v>1</v>
      </c>
      <c r="K277">
        <v>1</v>
      </c>
      <c r="L277">
        <v>0</v>
      </c>
      <c r="M277">
        <v>1</v>
      </c>
      <c r="N277">
        <v>0</v>
      </c>
      <c r="O277">
        <v>1</v>
      </c>
      <c r="P277">
        <v>0</v>
      </c>
      <c r="Q277">
        <v>1</v>
      </c>
      <c r="R277">
        <v>1</v>
      </c>
      <c r="S277">
        <v>0</v>
      </c>
      <c r="T277">
        <v>1</v>
      </c>
      <c r="U277">
        <v>0</v>
      </c>
      <c r="V277">
        <v>0</v>
      </c>
    </row>
    <row r="278" spans="1:22" x14ac:dyDescent="0.2">
      <c r="A278" t="s">
        <v>620</v>
      </c>
      <c r="B278" t="s">
        <v>188</v>
      </c>
      <c r="C278" t="s">
        <v>41</v>
      </c>
      <c r="D278" t="s">
        <v>61</v>
      </c>
      <c r="E278" t="s">
        <v>442</v>
      </c>
      <c r="F278" t="s">
        <v>46</v>
      </c>
      <c r="G278" t="s">
        <v>65</v>
      </c>
      <c r="H278" t="s">
        <v>48</v>
      </c>
      <c r="I278">
        <v>0</v>
      </c>
      <c r="J278">
        <v>1</v>
      </c>
      <c r="K278">
        <v>1</v>
      </c>
      <c r="L278">
        <v>0</v>
      </c>
      <c r="M278">
        <v>1</v>
      </c>
      <c r="N278">
        <v>0</v>
      </c>
      <c r="O278">
        <v>1</v>
      </c>
      <c r="P278">
        <v>0</v>
      </c>
      <c r="Q278">
        <v>1</v>
      </c>
      <c r="R278">
        <v>1</v>
      </c>
      <c r="S278">
        <v>0</v>
      </c>
      <c r="T278">
        <v>1</v>
      </c>
      <c r="U278">
        <v>0</v>
      </c>
      <c r="V278">
        <v>0</v>
      </c>
    </row>
    <row r="279" spans="1:22" x14ac:dyDescent="0.2">
      <c r="A279" t="s">
        <v>623</v>
      </c>
      <c r="B279" t="s">
        <v>188</v>
      </c>
      <c r="C279" t="s">
        <v>41</v>
      </c>
      <c r="D279" t="s">
        <v>61</v>
      </c>
      <c r="E279" t="s">
        <v>442</v>
      </c>
      <c r="F279" t="s">
        <v>47</v>
      </c>
      <c r="G279" t="s">
        <v>48</v>
      </c>
      <c r="H279" t="s">
        <v>65</v>
      </c>
      <c r="I279">
        <v>0</v>
      </c>
      <c r="J279">
        <v>1</v>
      </c>
      <c r="K279">
        <v>1</v>
      </c>
      <c r="L279">
        <v>1</v>
      </c>
      <c r="M279">
        <v>0</v>
      </c>
      <c r="N279">
        <v>0</v>
      </c>
      <c r="O279">
        <v>1</v>
      </c>
      <c r="P279">
        <v>0</v>
      </c>
      <c r="Q279">
        <v>0</v>
      </c>
      <c r="R279">
        <v>1</v>
      </c>
      <c r="S279">
        <v>1</v>
      </c>
      <c r="T279">
        <v>0</v>
      </c>
      <c r="U279">
        <v>0</v>
      </c>
      <c r="V279">
        <v>0</v>
      </c>
    </row>
    <row r="280" spans="1:22" x14ac:dyDescent="0.2">
      <c r="A280" t="s">
        <v>626</v>
      </c>
      <c r="B280" t="s">
        <v>188</v>
      </c>
      <c r="C280" t="s">
        <v>41</v>
      </c>
      <c r="D280" t="s">
        <v>55</v>
      </c>
      <c r="E280" t="s">
        <v>442</v>
      </c>
      <c r="F280" t="s">
        <v>48</v>
      </c>
      <c r="G280" t="s">
        <v>65</v>
      </c>
      <c r="H280" t="s">
        <v>60</v>
      </c>
      <c r="I280">
        <v>1</v>
      </c>
      <c r="J280">
        <v>1</v>
      </c>
      <c r="K280">
        <v>1</v>
      </c>
      <c r="L280">
        <v>0</v>
      </c>
      <c r="M280">
        <v>0</v>
      </c>
      <c r="N280">
        <v>0</v>
      </c>
      <c r="O280">
        <v>1</v>
      </c>
      <c r="P280">
        <v>0</v>
      </c>
      <c r="Q280">
        <v>1</v>
      </c>
      <c r="R280">
        <v>0</v>
      </c>
      <c r="S280">
        <v>0</v>
      </c>
      <c r="T280">
        <v>0</v>
      </c>
      <c r="U280">
        <v>0</v>
      </c>
      <c r="V280">
        <v>0</v>
      </c>
    </row>
    <row r="281" spans="1:22" x14ac:dyDescent="0.2">
      <c r="A281" t="s">
        <v>626</v>
      </c>
      <c r="B281" t="s">
        <v>188</v>
      </c>
      <c r="C281" t="s">
        <v>41</v>
      </c>
      <c r="D281" t="s">
        <v>61</v>
      </c>
      <c r="E281" t="s">
        <v>442</v>
      </c>
      <c r="F281" t="s">
        <v>65</v>
      </c>
      <c r="G281" t="s">
        <v>59</v>
      </c>
      <c r="H281" t="s">
        <v>48</v>
      </c>
      <c r="I281">
        <v>0</v>
      </c>
      <c r="J281">
        <v>1</v>
      </c>
      <c r="K281">
        <v>1</v>
      </c>
      <c r="L281">
        <v>0</v>
      </c>
      <c r="M281">
        <v>0</v>
      </c>
      <c r="N281">
        <v>0</v>
      </c>
      <c r="O281">
        <v>1</v>
      </c>
      <c r="P281">
        <v>0</v>
      </c>
      <c r="Q281">
        <v>0</v>
      </c>
      <c r="R281">
        <v>1</v>
      </c>
      <c r="S281">
        <v>0</v>
      </c>
      <c r="T281">
        <v>0</v>
      </c>
      <c r="U281">
        <v>0</v>
      </c>
      <c r="V281">
        <v>0</v>
      </c>
    </row>
    <row r="282" spans="1:22" x14ac:dyDescent="0.2">
      <c r="A282" t="s">
        <v>627</v>
      </c>
      <c r="B282" t="s">
        <v>33</v>
      </c>
      <c r="C282" t="s">
        <v>41</v>
      </c>
      <c r="D282" t="s">
        <v>49</v>
      </c>
      <c r="E282" t="s">
        <v>442</v>
      </c>
      <c r="F282" t="s">
        <v>47</v>
      </c>
      <c r="G282" t="s">
        <v>48</v>
      </c>
      <c r="H282" t="s">
        <v>65</v>
      </c>
      <c r="I282">
        <v>0</v>
      </c>
      <c r="J282">
        <v>1</v>
      </c>
      <c r="K282">
        <v>1</v>
      </c>
      <c r="L282">
        <v>1</v>
      </c>
      <c r="M282">
        <v>0</v>
      </c>
      <c r="N282">
        <v>0</v>
      </c>
      <c r="O282">
        <v>1</v>
      </c>
      <c r="P282">
        <v>0</v>
      </c>
      <c r="Q282">
        <v>1</v>
      </c>
      <c r="R282">
        <v>0</v>
      </c>
      <c r="S282">
        <v>1</v>
      </c>
      <c r="T282">
        <v>0</v>
      </c>
      <c r="U282">
        <v>0</v>
      </c>
      <c r="V282">
        <v>0</v>
      </c>
    </row>
    <row r="283" spans="1:22" x14ac:dyDescent="0.2">
      <c r="A283" t="s">
        <v>631</v>
      </c>
      <c r="B283" t="s">
        <v>108</v>
      </c>
      <c r="C283" t="s">
        <v>41</v>
      </c>
      <c r="D283" t="s">
        <v>61</v>
      </c>
      <c r="E283" t="s">
        <v>442</v>
      </c>
      <c r="F283" t="s">
        <v>65</v>
      </c>
      <c r="G283" t="s">
        <v>48</v>
      </c>
      <c r="H283" t="s">
        <v>47</v>
      </c>
      <c r="I283">
        <v>0</v>
      </c>
      <c r="J283">
        <v>1</v>
      </c>
      <c r="K283">
        <v>1</v>
      </c>
      <c r="L283">
        <v>1</v>
      </c>
      <c r="M283">
        <v>0</v>
      </c>
      <c r="N283">
        <v>0</v>
      </c>
      <c r="O283">
        <v>1</v>
      </c>
      <c r="P283">
        <v>0</v>
      </c>
      <c r="Q283">
        <v>1</v>
      </c>
      <c r="R283">
        <v>0</v>
      </c>
      <c r="S283">
        <v>0</v>
      </c>
      <c r="T283">
        <v>0</v>
      </c>
      <c r="U283">
        <v>0</v>
      </c>
      <c r="V283">
        <v>0</v>
      </c>
    </row>
    <row r="284" spans="1:22" x14ac:dyDescent="0.2">
      <c r="A284" t="s">
        <v>634</v>
      </c>
      <c r="B284" t="s">
        <v>33</v>
      </c>
      <c r="C284" t="s">
        <v>41</v>
      </c>
      <c r="D284" t="s">
        <v>55</v>
      </c>
      <c r="E284" t="s">
        <v>442</v>
      </c>
      <c r="F284" t="s">
        <v>48</v>
      </c>
      <c r="G284" t="s">
        <v>60</v>
      </c>
      <c r="H284" t="s">
        <v>65</v>
      </c>
      <c r="I284">
        <v>1</v>
      </c>
      <c r="J284">
        <v>1</v>
      </c>
      <c r="K284">
        <v>1</v>
      </c>
      <c r="L284">
        <v>0</v>
      </c>
      <c r="M284">
        <v>0</v>
      </c>
      <c r="N284">
        <v>0</v>
      </c>
      <c r="O284">
        <v>1</v>
      </c>
      <c r="P284">
        <v>1</v>
      </c>
      <c r="Q284">
        <v>1</v>
      </c>
      <c r="R284">
        <v>0</v>
      </c>
      <c r="S284">
        <v>0</v>
      </c>
      <c r="T284">
        <v>0</v>
      </c>
      <c r="U284">
        <v>0</v>
      </c>
      <c r="V284">
        <v>0</v>
      </c>
    </row>
    <row r="285" spans="1:22" x14ac:dyDescent="0.2">
      <c r="A285" t="s">
        <v>634</v>
      </c>
      <c r="B285" t="s">
        <v>33</v>
      </c>
      <c r="C285" t="s">
        <v>41</v>
      </c>
      <c r="D285" t="s">
        <v>49</v>
      </c>
      <c r="E285" t="s">
        <v>442</v>
      </c>
      <c r="F285" t="s">
        <v>46</v>
      </c>
      <c r="G285" t="s">
        <v>65</v>
      </c>
      <c r="H285" t="s">
        <v>48</v>
      </c>
      <c r="I285">
        <v>0</v>
      </c>
      <c r="J285">
        <v>1</v>
      </c>
      <c r="K285">
        <v>1</v>
      </c>
      <c r="L285">
        <v>0</v>
      </c>
      <c r="M285">
        <v>1</v>
      </c>
      <c r="N285">
        <v>0</v>
      </c>
      <c r="O285">
        <v>1</v>
      </c>
      <c r="P285">
        <v>0</v>
      </c>
      <c r="Q285">
        <v>1</v>
      </c>
      <c r="R285">
        <v>1</v>
      </c>
      <c r="S285">
        <v>0</v>
      </c>
      <c r="T285">
        <v>0</v>
      </c>
      <c r="U285">
        <v>0</v>
      </c>
      <c r="V285">
        <v>0</v>
      </c>
    </row>
    <row r="286" spans="1:22" x14ac:dyDescent="0.2">
      <c r="A286" t="s">
        <v>637</v>
      </c>
      <c r="B286" t="s">
        <v>33</v>
      </c>
      <c r="C286" t="s">
        <v>41</v>
      </c>
      <c r="D286" t="s">
        <v>49</v>
      </c>
      <c r="E286" t="s">
        <v>442</v>
      </c>
      <c r="F286" t="s">
        <v>60</v>
      </c>
      <c r="G286" t="s">
        <v>65</v>
      </c>
      <c r="H286" t="s">
        <v>48</v>
      </c>
      <c r="I286">
        <v>1</v>
      </c>
      <c r="J286">
        <v>1</v>
      </c>
      <c r="K286">
        <v>1</v>
      </c>
      <c r="L286">
        <v>0</v>
      </c>
      <c r="M286">
        <v>0</v>
      </c>
      <c r="N286">
        <v>0</v>
      </c>
      <c r="O286">
        <v>1</v>
      </c>
      <c r="P286">
        <v>1</v>
      </c>
      <c r="Q286">
        <v>1</v>
      </c>
      <c r="R286">
        <v>0</v>
      </c>
      <c r="S286">
        <v>0</v>
      </c>
      <c r="T286">
        <v>0</v>
      </c>
      <c r="U286">
        <v>0</v>
      </c>
      <c r="V286">
        <v>0</v>
      </c>
    </row>
    <row r="287" spans="1:22" x14ac:dyDescent="0.2">
      <c r="A287" t="s">
        <v>640</v>
      </c>
      <c r="B287" t="s">
        <v>108</v>
      </c>
      <c r="C287" t="s">
        <v>41</v>
      </c>
      <c r="D287" t="s">
        <v>55</v>
      </c>
      <c r="E287" t="s">
        <v>442</v>
      </c>
      <c r="F287" t="s">
        <v>65</v>
      </c>
      <c r="G287" t="s">
        <v>59</v>
      </c>
      <c r="H287" t="s">
        <v>48</v>
      </c>
      <c r="I287">
        <v>0</v>
      </c>
      <c r="J287">
        <v>1</v>
      </c>
      <c r="K287">
        <v>1</v>
      </c>
      <c r="L287">
        <v>0</v>
      </c>
      <c r="M287">
        <v>0</v>
      </c>
      <c r="N287">
        <v>0</v>
      </c>
      <c r="O287">
        <v>1</v>
      </c>
      <c r="P287">
        <v>0</v>
      </c>
      <c r="Q287">
        <v>0</v>
      </c>
      <c r="R287">
        <v>0</v>
      </c>
      <c r="S287">
        <v>0</v>
      </c>
      <c r="T287">
        <v>0</v>
      </c>
      <c r="U287">
        <v>0</v>
      </c>
      <c r="V287">
        <v>1</v>
      </c>
    </row>
    <row r="288" spans="1:22" x14ac:dyDescent="0.2">
      <c r="A288" t="s">
        <v>644</v>
      </c>
      <c r="B288" t="s">
        <v>108</v>
      </c>
      <c r="C288" t="s">
        <v>41</v>
      </c>
      <c r="D288" t="s">
        <v>42</v>
      </c>
      <c r="E288" t="s">
        <v>442</v>
      </c>
      <c r="F288" t="s">
        <v>65</v>
      </c>
      <c r="G288" t="s">
        <v>48</v>
      </c>
      <c r="H288" t="s">
        <v>47</v>
      </c>
      <c r="I288">
        <v>0</v>
      </c>
      <c r="J288">
        <v>1</v>
      </c>
      <c r="K288">
        <v>1</v>
      </c>
      <c r="L288">
        <v>1</v>
      </c>
      <c r="M288">
        <v>0</v>
      </c>
      <c r="N288">
        <v>0</v>
      </c>
      <c r="O288">
        <v>1</v>
      </c>
      <c r="P288">
        <v>0</v>
      </c>
      <c r="Q288">
        <v>1</v>
      </c>
      <c r="R288">
        <v>0</v>
      </c>
      <c r="S288">
        <v>1</v>
      </c>
      <c r="T288">
        <v>0</v>
      </c>
      <c r="U288">
        <v>0</v>
      </c>
      <c r="V288">
        <v>0</v>
      </c>
    </row>
    <row r="289" spans="1:22" x14ac:dyDescent="0.2">
      <c r="A289" t="s">
        <v>649</v>
      </c>
      <c r="B289" t="s">
        <v>188</v>
      </c>
      <c r="C289" t="s">
        <v>41</v>
      </c>
      <c r="D289" t="s">
        <v>55</v>
      </c>
      <c r="E289" t="s">
        <v>442</v>
      </c>
      <c r="F289" t="s">
        <v>65</v>
      </c>
      <c r="G289" t="s">
        <v>48</v>
      </c>
      <c r="H289" t="s">
        <v>46</v>
      </c>
      <c r="I289">
        <v>0</v>
      </c>
      <c r="J289">
        <v>1</v>
      </c>
      <c r="K289">
        <v>1</v>
      </c>
      <c r="L289">
        <v>0</v>
      </c>
      <c r="M289">
        <v>1</v>
      </c>
      <c r="N289">
        <v>0</v>
      </c>
      <c r="O289">
        <v>1</v>
      </c>
      <c r="P289">
        <v>0</v>
      </c>
      <c r="Q289">
        <v>0</v>
      </c>
      <c r="R289">
        <v>0</v>
      </c>
      <c r="S289">
        <v>0</v>
      </c>
      <c r="T289">
        <v>1</v>
      </c>
      <c r="U289">
        <v>0</v>
      </c>
      <c r="V289">
        <v>0</v>
      </c>
    </row>
    <row r="290" spans="1:22" x14ac:dyDescent="0.2">
      <c r="A290" t="s">
        <v>652</v>
      </c>
      <c r="B290" t="s">
        <v>108</v>
      </c>
      <c r="C290" t="s">
        <v>41</v>
      </c>
      <c r="D290" t="s">
        <v>72</v>
      </c>
      <c r="E290" t="s">
        <v>442</v>
      </c>
      <c r="F290" t="s">
        <v>65</v>
      </c>
      <c r="G290" t="s">
        <v>48</v>
      </c>
      <c r="H290" t="s">
        <v>60</v>
      </c>
      <c r="I290">
        <v>1</v>
      </c>
      <c r="J290">
        <v>1</v>
      </c>
      <c r="K290">
        <v>1</v>
      </c>
      <c r="L290">
        <v>0</v>
      </c>
      <c r="M290">
        <v>0</v>
      </c>
      <c r="N290">
        <v>0</v>
      </c>
      <c r="O290">
        <v>1</v>
      </c>
      <c r="P290">
        <v>0</v>
      </c>
      <c r="Q290">
        <v>0</v>
      </c>
      <c r="R290">
        <v>0</v>
      </c>
      <c r="S290">
        <v>0</v>
      </c>
      <c r="T290">
        <v>0</v>
      </c>
      <c r="U290">
        <v>0</v>
      </c>
      <c r="V290">
        <v>1</v>
      </c>
    </row>
    <row r="291" spans="1:22" x14ac:dyDescent="0.2">
      <c r="A291" t="s">
        <v>656</v>
      </c>
      <c r="B291" t="s">
        <v>33</v>
      </c>
      <c r="C291" t="s">
        <v>41</v>
      </c>
      <c r="D291" t="s">
        <v>42</v>
      </c>
      <c r="E291" t="s">
        <v>442</v>
      </c>
      <c r="F291" t="s">
        <v>65</v>
      </c>
      <c r="G291" t="s">
        <v>46</v>
      </c>
      <c r="H291" t="s">
        <v>48</v>
      </c>
      <c r="I291">
        <v>0</v>
      </c>
      <c r="J291">
        <v>1</v>
      </c>
      <c r="K291">
        <v>1</v>
      </c>
      <c r="L291">
        <v>0</v>
      </c>
      <c r="M291">
        <v>1</v>
      </c>
      <c r="N291">
        <v>0</v>
      </c>
      <c r="O291">
        <v>1</v>
      </c>
      <c r="P291">
        <v>0</v>
      </c>
      <c r="Q291">
        <v>1</v>
      </c>
      <c r="R291">
        <v>0</v>
      </c>
      <c r="S291">
        <v>0</v>
      </c>
      <c r="T291">
        <v>0</v>
      </c>
      <c r="U291">
        <v>0</v>
      </c>
      <c r="V291">
        <v>0</v>
      </c>
    </row>
    <row r="292" spans="1:22" x14ac:dyDescent="0.2">
      <c r="A292" t="s">
        <v>659</v>
      </c>
      <c r="B292" t="s">
        <v>108</v>
      </c>
      <c r="C292" t="s">
        <v>41</v>
      </c>
      <c r="D292" t="s">
        <v>49</v>
      </c>
      <c r="E292" t="s">
        <v>442</v>
      </c>
      <c r="F292" t="s">
        <v>48</v>
      </c>
      <c r="G292" t="s">
        <v>65</v>
      </c>
      <c r="H292" t="s">
        <v>47</v>
      </c>
      <c r="I292">
        <v>0</v>
      </c>
      <c r="J292">
        <v>1</v>
      </c>
      <c r="K292">
        <v>1</v>
      </c>
      <c r="L292">
        <v>1</v>
      </c>
      <c r="M292">
        <v>0</v>
      </c>
      <c r="N292">
        <v>0</v>
      </c>
      <c r="O292">
        <v>1</v>
      </c>
      <c r="P292">
        <v>0</v>
      </c>
      <c r="Q292">
        <v>0</v>
      </c>
      <c r="R292">
        <v>1</v>
      </c>
      <c r="S292">
        <v>0</v>
      </c>
      <c r="T292">
        <v>0</v>
      </c>
      <c r="U292">
        <v>0</v>
      </c>
      <c r="V292">
        <v>0</v>
      </c>
    </row>
    <row r="293" spans="1:22" x14ac:dyDescent="0.2">
      <c r="A293" t="s">
        <v>659</v>
      </c>
      <c r="B293" t="s">
        <v>108</v>
      </c>
      <c r="C293" t="s">
        <v>41</v>
      </c>
      <c r="D293" t="s">
        <v>55</v>
      </c>
      <c r="E293" t="s">
        <v>442</v>
      </c>
      <c r="F293" t="s">
        <v>65</v>
      </c>
      <c r="G293" t="s">
        <v>48</v>
      </c>
      <c r="H293" t="s">
        <v>60</v>
      </c>
      <c r="I293">
        <v>1</v>
      </c>
      <c r="J293">
        <v>1</v>
      </c>
      <c r="K293">
        <v>1</v>
      </c>
      <c r="L293">
        <v>0</v>
      </c>
      <c r="M293">
        <v>0</v>
      </c>
      <c r="N293">
        <v>0</v>
      </c>
      <c r="O293">
        <v>1</v>
      </c>
      <c r="P293">
        <v>0</v>
      </c>
      <c r="Q293">
        <v>0</v>
      </c>
      <c r="R293">
        <v>1</v>
      </c>
      <c r="S293">
        <v>0</v>
      </c>
      <c r="T293">
        <v>0</v>
      </c>
      <c r="U293">
        <v>0</v>
      </c>
      <c r="V293">
        <v>0</v>
      </c>
    </row>
    <row r="294" spans="1:22" x14ac:dyDescent="0.2">
      <c r="A294" t="s">
        <v>662</v>
      </c>
      <c r="B294" t="s">
        <v>108</v>
      </c>
      <c r="C294" t="s">
        <v>41</v>
      </c>
      <c r="D294" t="s">
        <v>72</v>
      </c>
      <c r="E294" t="s">
        <v>442</v>
      </c>
      <c r="F294" t="s">
        <v>48</v>
      </c>
      <c r="G294" t="s">
        <v>65</v>
      </c>
      <c r="H294" t="s">
        <v>59</v>
      </c>
      <c r="I294">
        <v>0</v>
      </c>
      <c r="J294">
        <v>1</v>
      </c>
      <c r="K294">
        <v>1</v>
      </c>
      <c r="L294">
        <v>0</v>
      </c>
      <c r="M294">
        <v>0</v>
      </c>
      <c r="N294">
        <v>0</v>
      </c>
      <c r="O294">
        <v>1</v>
      </c>
      <c r="P294">
        <v>0</v>
      </c>
      <c r="Q294">
        <v>0</v>
      </c>
      <c r="R294">
        <v>0</v>
      </c>
      <c r="S294">
        <v>0</v>
      </c>
      <c r="T294">
        <v>0</v>
      </c>
      <c r="U294">
        <v>0</v>
      </c>
      <c r="V294">
        <v>1</v>
      </c>
    </row>
    <row r="295" spans="1:22" x14ac:dyDescent="0.2">
      <c r="A295" t="s">
        <v>662</v>
      </c>
      <c r="B295" t="s">
        <v>108</v>
      </c>
      <c r="C295" t="s">
        <v>41</v>
      </c>
      <c r="D295" t="s">
        <v>55</v>
      </c>
      <c r="E295" t="s">
        <v>442</v>
      </c>
      <c r="F295" t="s">
        <v>48</v>
      </c>
      <c r="G295" t="s">
        <v>65</v>
      </c>
      <c r="H295" t="s">
        <v>59</v>
      </c>
      <c r="I295">
        <v>0</v>
      </c>
      <c r="J295">
        <v>1</v>
      </c>
      <c r="K295">
        <v>1</v>
      </c>
      <c r="L295">
        <v>0</v>
      </c>
      <c r="M295">
        <v>0</v>
      </c>
      <c r="N295">
        <v>0</v>
      </c>
      <c r="O295">
        <v>1</v>
      </c>
      <c r="P295">
        <v>0</v>
      </c>
      <c r="Q295">
        <v>0</v>
      </c>
      <c r="R295">
        <v>0</v>
      </c>
      <c r="S295">
        <v>0</v>
      </c>
      <c r="T295">
        <v>0</v>
      </c>
      <c r="U295">
        <v>0</v>
      </c>
      <c r="V295">
        <v>1</v>
      </c>
    </row>
    <row r="296" spans="1:22" x14ac:dyDescent="0.2">
      <c r="A296" t="s">
        <v>662</v>
      </c>
      <c r="B296" t="s">
        <v>108</v>
      </c>
      <c r="C296" t="s">
        <v>41</v>
      </c>
      <c r="D296" t="s">
        <v>42</v>
      </c>
      <c r="E296" t="s">
        <v>442</v>
      </c>
      <c r="F296" t="s">
        <v>46</v>
      </c>
      <c r="G296" t="s">
        <v>48</v>
      </c>
      <c r="H296" t="s">
        <v>65</v>
      </c>
      <c r="I296">
        <v>0</v>
      </c>
      <c r="J296">
        <v>1</v>
      </c>
      <c r="K296">
        <v>1</v>
      </c>
      <c r="L296">
        <v>0</v>
      </c>
      <c r="M296">
        <v>1</v>
      </c>
      <c r="N296">
        <v>0</v>
      </c>
      <c r="O296">
        <v>1</v>
      </c>
      <c r="P296">
        <v>0</v>
      </c>
      <c r="Q296">
        <v>0</v>
      </c>
      <c r="R296">
        <v>0</v>
      </c>
      <c r="S296">
        <v>0</v>
      </c>
      <c r="T296">
        <v>0</v>
      </c>
      <c r="U296">
        <v>0</v>
      </c>
      <c r="V296">
        <v>1</v>
      </c>
    </row>
    <row r="297" spans="1:22" x14ac:dyDescent="0.2">
      <c r="A297" t="s">
        <v>666</v>
      </c>
      <c r="B297" t="s">
        <v>667</v>
      </c>
      <c r="C297" t="s">
        <v>41</v>
      </c>
      <c r="D297" t="s">
        <v>67</v>
      </c>
      <c r="E297" t="s">
        <v>442</v>
      </c>
      <c r="F297" t="s">
        <v>65</v>
      </c>
      <c r="G297" t="s">
        <v>47</v>
      </c>
      <c r="H297" t="s">
        <v>48</v>
      </c>
      <c r="I297">
        <v>0</v>
      </c>
      <c r="J297">
        <v>1</v>
      </c>
      <c r="K297">
        <v>1</v>
      </c>
      <c r="L297">
        <v>1</v>
      </c>
      <c r="M297">
        <v>0</v>
      </c>
      <c r="N297">
        <v>0</v>
      </c>
      <c r="O297">
        <v>1</v>
      </c>
      <c r="P297">
        <v>0</v>
      </c>
      <c r="Q297">
        <v>1</v>
      </c>
      <c r="R297">
        <v>0</v>
      </c>
      <c r="S297">
        <v>1</v>
      </c>
      <c r="T297">
        <v>0</v>
      </c>
      <c r="U297">
        <v>0</v>
      </c>
      <c r="V297">
        <v>0</v>
      </c>
    </row>
    <row r="298" spans="1:22" x14ac:dyDescent="0.2">
      <c r="A298" t="s">
        <v>666</v>
      </c>
      <c r="B298" t="s">
        <v>667</v>
      </c>
      <c r="C298" t="s">
        <v>41</v>
      </c>
      <c r="D298" t="s">
        <v>61</v>
      </c>
      <c r="E298" t="s">
        <v>442</v>
      </c>
      <c r="F298" t="s">
        <v>48</v>
      </c>
      <c r="G298" t="s">
        <v>65</v>
      </c>
      <c r="H298" t="s">
        <v>46</v>
      </c>
      <c r="I298">
        <v>0</v>
      </c>
      <c r="J298">
        <v>1</v>
      </c>
      <c r="K298">
        <v>1</v>
      </c>
      <c r="L298">
        <v>0</v>
      </c>
      <c r="M298">
        <v>1</v>
      </c>
      <c r="N298">
        <v>0</v>
      </c>
      <c r="O298">
        <v>1</v>
      </c>
      <c r="P298">
        <v>0</v>
      </c>
      <c r="Q298">
        <v>1</v>
      </c>
      <c r="R298">
        <v>0</v>
      </c>
      <c r="S298">
        <v>0</v>
      </c>
      <c r="T298">
        <v>0</v>
      </c>
      <c r="U298">
        <v>0</v>
      </c>
      <c r="V298">
        <v>0</v>
      </c>
    </row>
    <row r="299" spans="1:22" x14ac:dyDescent="0.2">
      <c r="A299" t="s">
        <v>666</v>
      </c>
      <c r="B299" t="s">
        <v>667</v>
      </c>
      <c r="C299" t="s">
        <v>41</v>
      </c>
      <c r="D299" t="s">
        <v>55</v>
      </c>
      <c r="E299" t="s">
        <v>442</v>
      </c>
      <c r="F299" t="s">
        <v>65</v>
      </c>
      <c r="G299" t="s">
        <v>47</v>
      </c>
      <c r="H299" t="s">
        <v>48</v>
      </c>
      <c r="I299">
        <v>0</v>
      </c>
      <c r="J299">
        <v>1</v>
      </c>
      <c r="K299">
        <v>1</v>
      </c>
      <c r="L299">
        <v>1</v>
      </c>
      <c r="M299">
        <v>0</v>
      </c>
      <c r="N299">
        <v>0</v>
      </c>
      <c r="O299">
        <v>1</v>
      </c>
      <c r="P299">
        <v>0</v>
      </c>
      <c r="Q299">
        <v>1</v>
      </c>
      <c r="R299">
        <v>0</v>
      </c>
      <c r="S299">
        <v>1</v>
      </c>
      <c r="T299">
        <v>0</v>
      </c>
      <c r="U299">
        <v>0</v>
      </c>
      <c r="V299">
        <v>0</v>
      </c>
    </row>
    <row r="300" spans="1:22" x14ac:dyDescent="0.2">
      <c r="A300" t="s">
        <v>671</v>
      </c>
      <c r="B300" t="s">
        <v>33</v>
      </c>
      <c r="C300" t="s">
        <v>41</v>
      </c>
      <c r="D300" t="s">
        <v>67</v>
      </c>
      <c r="E300" t="s">
        <v>442</v>
      </c>
      <c r="F300" t="s">
        <v>65</v>
      </c>
      <c r="G300" t="s">
        <v>47</v>
      </c>
      <c r="H300" t="s">
        <v>48</v>
      </c>
      <c r="I300">
        <v>0</v>
      </c>
      <c r="J300">
        <v>1</v>
      </c>
      <c r="K300">
        <v>1</v>
      </c>
      <c r="L300">
        <v>1</v>
      </c>
      <c r="M300">
        <v>0</v>
      </c>
      <c r="N300">
        <v>0</v>
      </c>
      <c r="O300">
        <v>1</v>
      </c>
      <c r="P300">
        <v>0</v>
      </c>
      <c r="Q300">
        <v>0</v>
      </c>
      <c r="R300">
        <v>0</v>
      </c>
      <c r="S300">
        <v>0</v>
      </c>
      <c r="T300">
        <v>0</v>
      </c>
      <c r="U300">
        <v>0</v>
      </c>
      <c r="V300">
        <v>1</v>
      </c>
    </row>
    <row r="301" spans="1:22" x14ac:dyDescent="0.2">
      <c r="A301" t="s">
        <v>679</v>
      </c>
      <c r="B301" t="s">
        <v>108</v>
      </c>
      <c r="C301" t="s">
        <v>41</v>
      </c>
      <c r="D301" t="s">
        <v>49</v>
      </c>
      <c r="E301" t="s">
        <v>442</v>
      </c>
      <c r="F301" t="s">
        <v>46</v>
      </c>
      <c r="G301" t="s">
        <v>48</v>
      </c>
      <c r="H301" t="s">
        <v>65</v>
      </c>
      <c r="I301">
        <v>0</v>
      </c>
      <c r="J301">
        <v>1</v>
      </c>
      <c r="K301">
        <v>1</v>
      </c>
      <c r="L301">
        <v>0</v>
      </c>
      <c r="M301">
        <v>1</v>
      </c>
      <c r="N301">
        <v>0</v>
      </c>
      <c r="O301">
        <v>1</v>
      </c>
      <c r="P301">
        <v>0</v>
      </c>
      <c r="Q301">
        <v>1</v>
      </c>
      <c r="R301">
        <v>0</v>
      </c>
      <c r="S301">
        <v>0</v>
      </c>
      <c r="T301">
        <v>0</v>
      </c>
      <c r="U301">
        <v>0</v>
      </c>
      <c r="V301">
        <v>0</v>
      </c>
    </row>
    <row r="302" spans="1:22" x14ac:dyDescent="0.2">
      <c r="A302" t="s">
        <v>685</v>
      </c>
      <c r="B302" t="s">
        <v>108</v>
      </c>
      <c r="C302" t="s">
        <v>41</v>
      </c>
      <c r="D302" t="s">
        <v>42</v>
      </c>
      <c r="E302" t="s">
        <v>442</v>
      </c>
      <c r="F302" t="s">
        <v>48</v>
      </c>
      <c r="G302" t="s">
        <v>65</v>
      </c>
      <c r="H302" t="s">
        <v>59</v>
      </c>
      <c r="I302">
        <v>0</v>
      </c>
      <c r="J302">
        <v>1</v>
      </c>
      <c r="K302">
        <v>1</v>
      </c>
      <c r="L302">
        <v>0</v>
      </c>
      <c r="M302">
        <v>0</v>
      </c>
      <c r="N302">
        <v>0</v>
      </c>
      <c r="O302">
        <v>1</v>
      </c>
      <c r="P302">
        <v>0</v>
      </c>
      <c r="Q302">
        <v>1</v>
      </c>
      <c r="R302">
        <v>0</v>
      </c>
      <c r="S302">
        <v>0</v>
      </c>
      <c r="T302">
        <v>0</v>
      </c>
      <c r="U302">
        <v>0</v>
      </c>
      <c r="V302">
        <v>0</v>
      </c>
    </row>
    <row r="303" spans="1:22" x14ac:dyDescent="0.2">
      <c r="A303" t="s">
        <v>685</v>
      </c>
      <c r="B303" t="s">
        <v>108</v>
      </c>
      <c r="C303" t="s">
        <v>41</v>
      </c>
      <c r="D303" t="s">
        <v>72</v>
      </c>
      <c r="E303" t="s">
        <v>442</v>
      </c>
      <c r="F303" t="s">
        <v>48</v>
      </c>
      <c r="G303" t="s">
        <v>65</v>
      </c>
      <c r="H303" t="s">
        <v>59</v>
      </c>
      <c r="I303">
        <v>0</v>
      </c>
      <c r="J303">
        <v>1</v>
      </c>
      <c r="K303">
        <v>1</v>
      </c>
      <c r="L303">
        <v>0</v>
      </c>
      <c r="M303">
        <v>0</v>
      </c>
      <c r="N303">
        <v>0</v>
      </c>
      <c r="O303">
        <v>1</v>
      </c>
      <c r="P303">
        <v>0</v>
      </c>
      <c r="Q303">
        <v>1</v>
      </c>
      <c r="R303">
        <v>0</v>
      </c>
      <c r="S303">
        <v>0</v>
      </c>
      <c r="T303">
        <v>0</v>
      </c>
      <c r="U303">
        <v>0</v>
      </c>
      <c r="V303">
        <v>0</v>
      </c>
    </row>
    <row r="304" spans="1:22" x14ac:dyDescent="0.2">
      <c r="A304" t="s">
        <v>685</v>
      </c>
      <c r="B304" t="s">
        <v>108</v>
      </c>
      <c r="C304" t="s">
        <v>41</v>
      </c>
      <c r="D304" t="s">
        <v>67</v>
      </c>
      <c r="E304" t="s">
        <v>442</v>
      </c>
      <c r="F304" t="s">
        <v>48</v>
      </c>
      <c r="G304" t="s">
        <v>65</v>
      </c>
      <c r="H304" t="s">
        <v>60</v>
      </c>
      <c r="I304">
        <v>1</v>
      </c>
      <c r="J304">
        <v>1</v>
      </c>
      <c r="K304">
        <v>1</v>
      </c>
      <c r="L304">
        <v>0</v>
      </c>
      <c r="M304">
        <v>0</v>
      </c>
      <c r="N304">
        <v>0</v>
      </c>
      <c r="O304">
        <v>1</v>
      </c>
      <c r="P304">
        <v>1</v>
      </c>
      <c r="Q304">
        <v>1</v>
      </c>
      <c r="R304">
        <v>0</v>
      </c>
      <c r="S304">
        <v>0</v>
      </c>
      <c r="T304">
        <v>0</v>
      </c>
      <c r="U304">
        <v>0</v>
      </c>
      <c r="V304">
        <v>0</v>
      </c>
    </row>
    <row r="305" spans="1:22" x14ac:dyDescent="0.2">
      <c r="A305" t="s">
        <v>688</v>
      </c>
      <c r="B305" t="s">
        <v>188</v>
      </c>
      <c r="C305" t="s">
        <v>41</v>
      </c>
      <c r="D305" t="s">
        <v>42</v>
      </c>
      <c r="E305" t="s">
        <v>442</v>
      </c>
      <c r="F305" t="s">
        <v>60</v>
      </c>
      <c r="G305" t="s">
        <v>65</v>
      </c>
      <c r="H305" t="s">
        <v>48</v>
      </c>
      <c r="I305">
        <v>1</v>
      </c>
      <c r="J305">
        <v>1</v>
      </c>
      <c r="K305">
        <v>1</v>
      </c>
      <c r="L305">
        <v>0</v>
      </c>
      <c r="M305">
        <v>0</v>
      </c>
      <c r="N305">
        <v>0</v>
      </c>
      <c r="O305">
        <v>1</v>
      </c>
      <c r="P305">
        <v>0</v>
      </c>
      <c r="Q305">
        <v>1</v>
      </c>
      <c r="R305">
        <v>0</v>
      </c>
      <c r="S305">
        <v>0</v>
      </c>
      <c r="T305">
        <v>0</v>
      </c>
      <c r="U305">
        <v>0</v>
      </c>
      <c r="V305">
        <v>0</v>
      </c>
    </row>
    <row r="306" spans="1:22" x14ac:dyDescent="0.2">
      <c r="A306" t="s">
        <v>688</v>
      </c>
      <c r="B306" t="s">
        <v>188</v>
      </c>
      <c r="C306" t="s">
        <v>41</v>
      </c>
      <c r="D306" t="s">
        <v>67</v>
      </c>
      <c r="E306" t="s">
        <v>442</v>
      </c>
      <c r="F306" t="s">
        <v>48</v>
      </c>
      <c r="G306" t="s">
        <v>65</v>
      </c>
      <c r="H306" t="s">
        <v>60</v>
      </c>
      <c r="I306">
        <v>1</v>
      </c>
      <c r="J306">
        <v>1</v>
      </c>
      <c r="K306">
        <v>1</v>
      </c>
      <c r="L306">
        <v>0</v>
      </c>
      <c r="M306">
        <v>0</v>
      </c>
      <c r="N306">
        <v>0</v>
      </c>
      <c r="O306">
        <v>1</v>
      </c>
      <c r="P306">
        <v>0</v>
      </c>
      <c r="Q306">
        <v>1</v>
      </c>
      <c r="R306">
        <v>0</v>
      </c>
      <c r="S306">
        <v>0</v>
      </c>
      <c r="T306">
        <v>0</v>
      </c>
      <c r="U306">
        <v>0</v>
      </c>
      <c r="V306">
        <v>0</v>
      </c>
    </row>
    <row r="307" spans="1:22" x14ac:dyDescent="0.2">
      <c r="A307" t="s">
        <v>691</v>
      </c>
      <c r="B307" t="s">
        <v>108</v>
      </c>
      <c r="C307" t="s">
        <v>41</v>
      </c>
      <c r="D307" t="s">
        <v>42</v>
      </c>
      <c r="E307" t="s">
        <v>442</v>
      </c>
      <c r="F307" t="s">
        <v>48</v>
      </c>
      <c r="G307" t="s">
        <v>47</v>
      </c>
      <c r="H307" t="s">
        <v>65</v>
      </c>
      <c r="I307">
        <v>0</v>
      </c>
      <c r="J307">
        <v>1</v>
      </c>
      <c r="K307">
        <v>1</v>
      </c>
      <c r="L307">
        <v>1</v>
      </c>
      <c r="M307">
        <v>0</v>
      </c>
      <c r="N307">
        <v>0</v>
      </c>
      <c r="O307">
        <v>1</v>
      </c>
      <c r="P307">
        <v>0</v>
      </c>
      <c r="Q307">
        <v>1</v>
      </c>
      <c r="R307">
        <v>1</v>
      </c>
      <c r="S307">
        <v>1</v>
      </c>
      <c r="T307">
        <v>0</v>
      </c>
      <c r="U307">
        <v>0</v>
      </c>
      <c r="V307">
        <v>0</v>
      </c>
    </row>
    <row r="308" spans="1:22" x14ac:dyDescent="0.2">
      <c r="A308" t="s">
        <v>691</v>
      </c>
      <c r="B308" t="s">
        <v>108</v>
      </c>
      <c r="C308" t="s">
        <v>41</v>
      </c>
      <c r="D308" t="s">
        <v>72</v>
      </c>
      <c r="E308" t="s">
        <v>442</v>
      </c>
      <c r="F308" t="s">
        <v>47</v>
      </c>
      <c r="G308" t="s">
        <v>48</v>
      </c>
      <c r="H308" t="s">
        <v>65</v>
      </c>
      <c r="I308">
        <v>0</v>
      </c>
      <c r="J308">
        <v>1</v>
      </c>
      <c r="K308">
        <v>1</v>
      </c>
      <c r="L308">
        <v>1</v>
      </c>
      <c r="M308">
        <v>0</v>
      </c>
      <c r="N308">
        <v>0</v>
      </c>
      <c r="O308">
        <v>1</v>
      </c>
      <c r="P308">
        <v>0</v>
      </c>
      <c r="Q308">
        <v>0</v>
      </c>
      <c r="R308">
        <v>0</v>
      </c>
      <c r="S308">
        <v>0</v>
      </c>
      <c r="T308">
        <v>0</v>
      </c>
      <c r="U308">
        <v>0</v>
      </c>
      <c r="V308">
        <v>1</v>
      </c>
    </row>
    <row r="309" spans="1:22" x14ac:dyDescent="0.2">
      <c r="A309" t="s">
        <v>691</v>
      </c>
      <c r="B309" t="s">
        <v>108</v>
      </c>
      <c r="C309" t="s">
        <v>41</v>
      </c>
      <c r="D309" t="s">
        <v>55</v>
      </c>
      <c r="E309" t="s">
        <v>442</v>
      </c>
      <c r="F309" t="s">
        <v>65</v>
      </c>
      <c r="G309" t="s">
        <v>60</v>
      </c>
      <c r="H309" t="s">
        <v>48</v>
      </c>
      <c r="I309">
        <v>1</v>
      </c>
      <c r="J309">
        <v>1</v>
      </c>
      <c r="K309">
        <v>1</v>
      </c>
      <c r="L309">
        <v>0</v>
      </c>
      <c r="M309">
        <v>0</v>
      </c>
      <c r="N309">
        <v>0</v>
      </c>
      <c r="O309">
        <v>1</v>
      </c>
      <c r="P309">
        <v>1</v>
      </c>
      <c r="Q309">
        <v>1</v>
      </c>
      <c r="R309">
        <v>1</v>
      </c>
      <c r="S309">
        <v>0</v>
      </c>
      <c r="T309">
        <v>0</v>
      </c>
      <c r="U309">
        <v>0</v>
      </c>
      <c r="V309">
        <v>0</v>
      </c>
    </row>
    <row r="310" spans="1:22" x14ac:dyDescent="0.2">
      <c r="A310" t="s">
        <v>694</v>
      </c>
      <c r="B310" t="s">
        <v>188</v>
      </c>
      <c r="C310" t="s">
        <v>41</v>
      </c>
      <c r="D310" t="s">
        <v>61</v>
      </c>
      <c r="E310" t="s">
        <v>442</v>
      </c>
      <c r="F310" t="s">
        <v>48</v>
      </c>
      <c r="G310" t="s">
        <v>47</v>
      </c>
      <c r="H310" t="s">
        <v>65</v>
      </c>
      <c r="I310">
        <v>0</v>
      </c>
      <c r="J310">
        <v>1</v>
      </c>
      <c r="K310">
        <v>1</v>
      </c>
      <c r="L310">
        <v>1</v>
      </c>
      <c r="M310">
        <v>0</v>
      </c>
      <c r="N310">
        <v>0</v>
      </c>
      <c r="O310">
        <v>1</v>
      </c>
      <c r="P310">
        <v>0</v>
      </c>
      <c r="Q310">
        <v>0</v>
      </c>
      <c r="R310">
        <v>0</v>
      </c>
      <c r="S310">
        <v>0</v>
      </c>
      <c r="T310">
        <v>0</v>
      </c>
      <c r="U310">
        <v>0</v>
      </c>
      <c r="V310">
        <v>1</v>
      </c>
    </row>
    <row r="311" spans="1:22" x14ac:dyDescent="0.2">
      <c r="A311" t="s">
        <v>694</v>
      </c>
      <c r="B311" t="s">
        <v>188</v>
      </c>
      <c r="C311" t="s">
        <v>41</v>
      </c>
      <c r="D311" t="s">
        <v>72</v>
      </c>
      <c r="E311" t="s">
        <v>442</v>
      </c>
      <c r="F311" t="s">
        <v>47</v>
      </c>
      <c r="G311" t="s">
        <v>48</v>
      </c>
      <c r="H311" t="s">
        <v>65</v>
      </c>
      <c r="I311">
        <v>0</v>
      </c>
      <c r="J311">
        <v>1</v>
      </c>
      <c r="K311">
        <v>1</v>
      </c>
      <c r="L311">
        <v>1</v>
      </c>
      <c r="M311">
        <v>0</v>
      </c>
      <c r="N311">
        <v>0</v>
      </c>
      <c r="O311">
        <v>1</v>
      </c>
      <c r="P311">
        <v>0</v>
      </c>
      <c r="Q311">
        <v>0</v>
      </c>
      <c r="R311">
        <v>0</v>
      </c>
      <c r="S311">
        <v>0</v>
      </c>
      <c r="T311">
        <v>0</v>
      </c>
      <c r="U311">
        <v>0</v>
      </c>
      <c r="V311">
        <v>1</v>
      </c>
    </row>
    <row r="312" spans="1:22" x14ac:dyDescent="0.2">
      <c r="A312" t="s">
        <v>694</v>
      </c>
      <c r="B312" t="s">
        <v>188</v>
      </c>
      <c r="C312" t="s">
        <v>41</v>
      </c>
      <c r="D312" t="s">
        <v>49</v>
      </c>
      <c r="E312" t="s">
        <v>442</v>
      </c>
      <c r="F312" t="s">
        <v>60</v>
      </c>
      <c r="G312" t="s">
        <v>65</v>
      </c>
      <c r="H312" t="s">
        <v>48</v>
      </c>
      <c r="I312">
        <v>1</v>
      </c>
      <c r="J312">
        <v>1</v>
      </c>
      <c r="K312">
        <v>1</v>
      </c>
      <c r="L312">
        <v>0</v>
      </c>
      <c r="M312">
        <v>0</v>
      </c>
      <c r="N312">
        <v>0</v>
      </c>
      <c r="O312">
        <v>1</v>
      </c>
      <c r="P312">
        <v>0</v>
      </c>
      <c r="Q312">
        <v>1</v>
      </c>
      <c r="R312">
        <v>0</v>
      </c>
      <c r="S312">
        <v>0</v>
      </c>
      <c r="T312">
        <v>0</v>
      </c>
      <c r="U312">
        <v>0</v>
      </c>
      <c r="V312">
        <v>0</v>
      </c>
    </row>
    <row r="313" spans="1:22" x14ac:dyDescent="0.2">
      <c r="A313" t="s">
        <v>694</v>
      </c>
      <c r="B313" t="s">
        <v>188</v>
      </c>
      <c r="C313" t="s">
        <v>41</v>
      </c>
      <c r="D313" t="s">
        <v>42</v>
      </c>
      <c r="E313" t="s">
        <v>442</v>
      </c>
      <c r="F313" t="s">
        <v>46</v>
      </c>
      <c r="G313" t="s">
        <v>48</v>
      </c>
      <c r="H313" t="s">
        <v>65</v>
      </c>
      <c r="I313">
        <v>0</v>
      </c>
      <c r="J313">
        <v>1</v>
      </c>
      <c r="K313">
        <v>1</v>
      </c>
      <c r="L313">
        <v>0</v>
      </c>
      <c r="M313">
        <v>1</v>
      </c>
      <c r="N313">
        <v>0</v>
      </c>
      <c r="O313">
        <v>1</v>
      </c>
      <c r="P313">
        <v>0</v>
      </c>
      <c r="Q313">
        <v>1</v>
      </c>
      <c r="R313">
        <v>0</v>
      </c>
      <c r="S313">
        <v>0</v>
      </c>
      <c r="T313">
        <v>0</v>
      </c>
      <c r="U313">
        <v>0</v>
      </c>
      <c r="V313">
        <v>0</v>
      </c>
    </row>
    <row r="314" spans="1:22" x14ac:dyDescent="0.2">
      <c r="A314" t="s">
        <v>695</v>
      </c>
      <c r="B314" t="s">
        <v>188</v>
      </c>
      <c r="C314" t="s">
        <v>41</v>
      </c>
      <c r="D314" t="s">
        <v>49</v>
      </c>
      <c r="E314" t="s">
        <v>442</v>
      </c>
      <c r="F314" t="s">
        <v>65</v>
      </c>
      <c r="G314" t="s">
        <v>48</v>
      </c>
      <c r="H314" t="s">
        <v>46</v>
      </c>
      <c r="I314">
        <v>0</v>
      </c>
      <c r="J314">
        <v>1</v>
      </c>
      <c r="K314">
        <v>1</v>
      </c>
      <c r="L314">
        <v>0</v>
      </c>
      <c r="M314">
        <v>1</v>
      </c>
      <c r="N314">
        <v>0</v>
      </c>
      <c r="O314">
        <v>1</v>
      </c>
      <c r="P314">
        <v>0</v>
      </c>
      <c r="Q314">
        <v>0</v>
      </c>
      <c r="R314">
        <v>0</v>
      </c>
      <c r="S314">
        <v>0</v>
      </c>
      <c r="T314">
        <v>0</v>
      </c>
      <c r="U314">
        <v>0</v>
      </c>
      <c r="V314">
        <v>1</v>
      </c>
    </row>
    <row r="315" spans="1:22" x14ac:dyDescent="0.2">
      <c r="A315" t="s">
        <v>695</v>
      </c>
      <c r="B315" t="s">
        <v>188</v>
      </c>
      <c r="C315" t="s">
        <v>41</v>
      </c>
      <c r="D315" t="s">
        <v>42</v>
      </c>
      <c r="E315" t="s">
        <v>442</v>
      </c>
      <c r="F315" t="s">
        <v>46</v>
      </c>
      <c r="G315" t="s">
        <v>65</v>
      </c>
      <c r="H315" t="s">
        <v>48</v>
      </c>
      <c r="I315">
        <v>0</v>
      </c>
      <c r="J315">
        <v>1</v>
      </c>
      <c r="K315">
        <v>1</v>
      </c>
      <c r="L315">
        <v>0</v>
      </c>
      <c r="M315">
        <v>1</v>
      </c>
      <c r="N315">
        <v>0</v>
      </c>
      <c r="O315">
        <v>1</v>
      </c>
      <c r="P315">
        <v>0</v>
      </c>
      <c r="Q315">
        <v>0</v>
      </c>
      <c r="R315">
        <v>0</v>
      </c>
      <c r="S315">
        <v>0</v>
      </c>
      <c r="T315">
        <v>0</v>
      </c>
      <c r="U315">
        <v>0</v>
      </c>
      <c r="V315">
        <v>1</v>
      </c>
    </row>
    <row r="316" spans="1:22" x14ac:dyDescent="0.2">
      <c r="A316" t="s">
        <v>699</v>
      </c>
      <c r="B316" t="s">
        <v>108</v>
      </c>
      <c r="C316" t="s">
        <v>41</v>
      </c>
      <c r="D316" t="s">
        <v>55</v>
      </c>
      <c r="E316" t="s">
        <v>442</v>
      </c>
      <c r="F316" t="s">
        <v>65</v>
      </c>
      <c r="G316" t="s">
        <v>48</v>
      </c>
      <c r="H316" t="s">
        <v>47</v>
      </c>
      <c r="I316">
        <v>0</v>
      </c>
      <c r="J316">
        <v>1</v>
      </c>
      <c r="K316">
        <v>1</v>
      </c>
      <c r="L316">
        <v>1</v>
      </c>
      <c r="M316">
        <v>0</v>
      </c>
      <c r="N316">
        <v>0</v>
      </c>
      <c r="O316">
        <v>1</v>
      </c>
      <c r="P316">
        <v>0</v>
      </c>
      <c r="Q316">
        <v>0</v>
      </c>
      <c r="R316">
        <v>0</v>
      </c>
      <c r="S316">
        <v>1</v>
      </c>
      <c r="T316">
        <v>0</v>
      </c>
      <c r="U316">
        <v>0</v>
      </c>
      <c r="V316">
        <v>0</v>
      </c>
    </row>
    <row r="317" spans="1:22" x14ac:dyDescent="0.2">
      <c r="A317" t="s">
        <v>699</v>
      </c>
      <c r="B317" t="s">
        <v>108</v>
      </c>
      <c r="C317" t="s">
        <v>41</v>
      </c>
      <c r="D317" t="s">
        <v>42</v>
      </c>
      <c r="E317" t="s">
        <v>442</v>
      </c>
      <c r="F317" t="s">
        <v>48</v>
      </c>
      <c r="G317" t="s">
        <v>59</v>
      </c>
      <c r="H317" t="s">
        <v>65</v>
      </c>
      <c r="I317">
        <v>0</v>
      </c>
      <c r="J317">
        <v>1</v>
      </c>
      <c r="K317">
        <v>1</v>
      </c>
      <c r="L317">
        <v>0</v>
      </c>
      <c r="M317">
        <v>0</v>
      </c>
      <c r="N317">
        <v>0</v>
      </c>
      <c r="O317">
        <v>1</v>
      </c>
      <c r="P317">
        <v>0</v>
      </c>
      <c r="Q317">
        <v>1</v>
      </c>
      <c r="R317">
        <v>0</v>
      </c>
      <c r="S317">
        <v>0</v>
      </c>
      <c r="T317">
        <v>0</v>
      </c>
      <c r="U317">
        <v>0</v>
      </c>
      <c r="V317">
        <v>0</v>
      </c>
    </row>
    <row r="318" spans="1:22" x14ac:dyDescent="0.2">
      <c r="A318" t="s">
        <v>701</v>
      </c>
      <c r="B318" t="s">
        <v>188</v>
      </c>
      <c r="C318" t="s">
        <v>41</v>
      </c>
      <c r="D318" t="s">
        <v>42</v>
      </c>
      <c r="E318" t="s">
        <v>442</v>
      </c>
      <c r="F318" t="s">
        <v>46</v>
      </c>
      <c r="G318" t="s">
        <v>48</v>
      </c>
      <c r="H318" t="s">
        <v>65</v>
      </c>
      <c r="I318">
        <v>0</v>
      </c>
      <c r="J318">
        <v>1</v>
      </c>
      <c r="K318">
        <v>1</v>
      </c>
      <c r="L318">
        <v>0</v>
      </c>
      <c r="M318">
        <v>1</v>
      </c>
      <c r="N318">
        <v>0</v>
      </c>
      <c r="O318">
        <v>1</v>
      </c>
      <c r="P318">
        <v>0</v>
      </c>
      <c r="Q318">
        <v>1</v>
      </c>
      <c r="R318">
        <v>0</v>
      </c>
      <c r="S318">
        <v>0</v>
      </c>
      <c r="T318">
        <v>0</v>
      </c>
      <c r="U318">
        <v>0</v>
      </c>
      <c r="V318">
        <v>0</v>
      </c>
    </row>
    <row r="319" spans="1:22" x14ac:dyDescent="0.2">
      <c r="A319" t="s">
        <v>703</v>
      </c>
      <c r="B319" t="s">
        <v>108</v>
      </c>
      <c r="C319" t="s">
        <v>41</v>
      </c>
      <c r="D319" t="s">
        <v>72</v>
      </c>
      <c r="E319" t="s">
        <v>442</v>
      </c>
      <c r="F319" t="s">
        <v>47</v>
      </c>
      <c r="G319" t="s">
        <v>65</v>
      </c>
      <c r="H319" t="s">
        <v>48</v>
      </c>
      <c r="I319">
        <v>0</v>
      </c>
      <c r="J319">
        <v>1</v>
      </c>
      <c r="K319">
        <v>1</v>
      </c>
      <c r="L319">
        <v>1</v>
      </c>
      <c r="M319">
        <v>0</v>
      </c>
      <c r="N319">
        <v>0</v>
      </c>
      <c r="O319">
        <v>1</v>
      </c>
      <c r="P319">
        <v>0</v>
      </c>
      <c r="Q319">
        <v>0</v>
      </c>
      <c r="R319">
        <v>0</v>
      </c>
      <c r="S319">
        <v>1</v>
      </c>
      <c r="T319">
        <v>0</v>
      </c>
      <c r="U319">
        <v>0</v>
      </c>
      <c r="V319">
        <v>0</v>
      </c>
    </row>
    <row r="320" spans="1:22" x14ac:dyDescent="0.2">
      <c r="A320" t="s">
        <v>703</v>
      </c>
      <c r="B320" t="s">
        <v>108</v>
      </c>
      <c r="C320" t="s">
        <v>41</v>
      </c>
      <c r="D320" t="s">
        <v>49</v>
      </c>
      <c r="E320" t="s">
        <v>442</v>
      </c>
      <c r="F320" t="s">
        <v>47</v>
      </c>
      <c r="G320" t="s">
        <v>65</v>
      </c>
      <c r="H320" t="s">
        <v>48</v>
      </c>
      <c r="I320">
        <v>0</v>
      </c>
      <c r="J320">
        <v>1</v>
      </c>
      <c r="K320">
        <v>1</v>
      </c>
      <c r="L320">
        <v>1</v>
      </c>
      <c r="M320">
        <v>0</v>
      </c>
      <c r="N320">
        <v>0</v>
      </c>
      <c r="O320">
        <v>1</v>
      </c>
      <c r="P320">
        <v>0</v>
      </c>
      <c r="Q320">
        <v>1</v>
      </c>
      <c r="R320">
        <v>1</v>
      </c>
      <c r="S320">
        <v>1</v>
      </c>
      <c r="T320">
        <v>0</v>
      </c>
      <c r="U320">
        <v>0</v>
      </c>
      <c r="V320">
        <v>0</v>
      </c>
    </row>
    <row r="321" spans="1:22" x14ac:dyDescent="0.2">
      <c r="A321" t="s">
        <v>703</v>
      </c>
      <c r="B321" t="s">
        <v>108</v>
      </c>
      <c r="C321" t="s">
        <v>41</v>
      </c>
      <c r="D321" t="s">
        <v>55</v>
      </c>
      <c r="E321" t="s">
        <v>442</v>
      </c>
      <c r="F321" t="s">
        <v>48</v>
      </c>
      <c r="G321" t="s">
        <v>46</v>
      </c>
      <c r="H321" t="s">
        <v>65</v>
      </c>
      <c r="I321">
        <v>0</v>
      </c>
      <c r="J321">
        <v>1</v>
      </c>
      <c r="K321">
        <v>1</v>
      </c>
      <c r="L321">
        <v>0</v>
      </c>
      <c r="M321">
        <v>1</v>
      </c>
      <c r="N321">
        <v>0</v>
      </c>
      <c r="O321">
        <v>1</v>
      </c>
      <c r="P321">
        <v>0</v>
      </c>
      <c r="Q321">
        <v>0</v>
      </c>
      <c r="R321">
        <v>0</v>
      </c>
      <c r="S321">
        <v>0</v>
      </c>
      <c r="T321">
        <v>0</v>
      </c>
      <c r="U321">
        <v>0</v>
      </c>
      <c r="V321">
        <v>1</v>
      </c>
    </row>
    <row r="322" spans="1:22" x14ac:dyDescent="0.2">
      <c r="A322" t="s">
        <v>703</v>
      </c>
      <c r="B322" t="s">
        <v>108</v>
      </c>
      <c r="C322" t="s">
        <v>41</v>
      </c>
      <c r="D322" t="s">
        <v>67</v>
      </c>
      <c r="E322" t="s">
        <v>442</v>
      </c>
      <c r="F322" t="s">
        <v>65</v>
      </c>
      <c r="G322" t="s">
        <v>47</v>
      </c>
      <c r="H322" t="s">
        <v>48</v>
      </c>
      <c r="I322">
        <v>0</v>
      </c>
      <c r="J322">
        <v>1</v>
      </c>
      <c r="K322">
        <v>1</v>
      </c>
      <c r="L322">
        <v>1</v>
      </c>
      <c r="M322">
        <v>0</v>
      </c>
      <c r="N322">
        <v>0</v>
      </c>
      <c r="O322">
        <v>1</v>
      </c>
      <c r="P322">
        <v>0</v>
      </c>
      <c r="Q322">
        <v>0</v>
      </c>
      <c r="R322">
        <v>0</v>
      </c>
      <c r="S322">
        <v>0</v>
      </c>
      <c r="T322">
        <v>0</v>
      </c>
      <c r="U322">
        <v>0</v>
      </c>
      <c r="V322">
        <v>1</v>
      </c>
    </row>
    <row r="323" spans="1:22" x14ac:dyDescent="0.2">
      <c r="A323" t="s">
        <v>703</v>
      </c>
      <c r="B323" t="s">
        <v>108</v>
      </c>
      <c r="C323" t="s">
        <v>41</v>
      </c>
      <c r="D323" t="s">
        <v>61</v>
      </c>
      <c r="E323" t="s">
        <v>442</v>
      </c>
      <c r="F323" t="s">
        <v>48</v>
      </c>
      <c r="G323" t="s">
        <v>65</v>
      </c>
      <c r="H323" t="s">
        <v>60</v>
      </c>
      <c r="I323">
        <v>1</v>
      </c>
      <c r="J323">
        <v>1</v>
      </c>
      <c r="K323">
        <v>1</v>
      </c>
      <c r="L323">
        <v>0</v>
      </c>
      <c r="M323">
        <v>0</v>
      </c>
      <c r="N323">
        <v>0</v>
      </c>
      <c r="O323">
        <v>1</v>
      </c>
      <c r="P323">
        <v>1</v>
      </c>
      <c r="Q323">
        <v>0</v>
      </c>
      <c r="R323">
        <v>0</v>
      </c>
      <c r="S323">
        <v>0</v>
      </c>
      <c r="T323">
        <v>0</v>
      </c>
      <c r="U323">
        <v>0</v>
      </c>
      <c r="V323">
        <v>0</v>
      </c>
    </row>
    <row r="324" spans="1:22" x14ac:dyDescent="0.2">
      <c r="A324" t="s">
        <v>706</v>
      </c>
      <c r="B324" t="s">
        <v>108</v>
      </c>
      <c r="C324" t="s">
        <v>41</v>
      </c>
      <c r="D324" t="s">
        <v>55</v>
      </c>
      <c r="E324" t="s">
        <v>442</v>
      </c>
      <c r="F324" t="s">
        <v>47</v>
      </c>
      <c r="G324" t="s">
        <v>65</v>
      </c>
      <c r="H324" t="s">
        <v>48</v>
      </c>
      <c r="I324">
        <v>0</v>
      </c>
      <c r="J324">
        <v>1</v>
      </c>
      <c r="K324">
        <v>1</v>
      </c>
      <c r="L324">
        <v>1</v>
      </c>
      <c r="M324">
        <v>0</v>
      </c>
      <c r="N324">
        <v>0</v>
      </c>
      <c r="O324">
        <v>1</v>
      </c>
      <c r="P324">
        <v>0</v>
      </c>
      <c r="Q324">
        <v>1</v>
      </c>
      <c r="R324">
        <v>1</v>
      </c>
      <c r="S324">
        <v>1</v>
      </c>
      <c r="T324">
        <v>0</v>
      </c>
      <c r="U324">
        <v>0</v>
      </c>
      <c r="V324">
        <v>0</v>
      </c>
    </row>
    <row r="325" spans="1:22" x14ac:dyDescent="0.2">
      <c r="A325" t="s">
        <v>713</v>
      </c>
      <c r="B325" t="s">
        <v>108</v>
      </c>
      <c r="C325" t="s">
        <v>41</v>
      </c>
      <c r="D325" t="s">
        <v>67</v>
      </c>
      <c r="E325" t="s">
        <v>442</v>
      </c>
      <c r="F325" t="s">
        <v>48</v>
      </c>
      <c r="G325" t="s">
        <v>65</v>
      </c>
      <c r="H325" t="s">
        <v>59</v>
      </c>
      <c r="I325">
        <v>0</v>
      </c>
      <c r="J325">
        <v>1</v>
      </c>
      <c r="K325">
        <v>1</v>
      </c>
      <c r="L325">
        <v>0</v>
      </c>
      <c r="M325">
        <v>0</v>
      </c>
      <c r="N325">
        <v>0</v>
      </c>
      <c r="O325">
        <v>1</v>
      </c>
      <c r="P325">
        <v>0</v>
      </c>
      <c r="Q325">
        <v>1</v>
      </c>
      <c r="R325">
        <v>1</v>
      </c>
      <c r="S325">
        <v>0</v>
      </c>
      <c r="T325">
        <v>0</v>
      </c>
      <c r="U325">
        <v>0</v>
      </c>
      <c r="V325">
        <v>0</v>
      </c>
    </row>
    <row r="326" spans="1:22" x14ac:dyDescent="0.2">
      <c r="A326" t="s">
        <v>713</v>
      </c>
      <c r="B326" t="s">
        <v>108</v>
      </c>
      <c r="C326" t="s">
        <v>41</v>
      </c>
      <c r="D326" t="s">
        <v>55</v>
      </c>
      <c r="E326" t="s">
        <v>442</v>
      </c>
      <c r="F326" t="s">
        <v>46</v>
      </c>
      <c r="G326" t="s">
        <v>48</v>
      </c>
      <c r="H326" t="s">
        <v>65</v>
      </c>
      <c r="I326">
        <v>0</v>
      </c>
      <c r="J326">
        <v>1</v>
      </c>
      <c r="K326">
        <v>1</v>
      </c>
      <c r="L326">
        <v>0</v>
      </c>
      <c r="M326">
        <v>1</v>
      </c>
      <c r="N326">
        <v>0</v>
      </c>
      <c r="O326">
        <v>1</v>
      </c>
      <c r="P326">
        <v>0</v>
      </c>
      <c r="Q326">
        <v>1</v>
      </c>
      <c r="R326">
        <v>1</v>
      </c>
      <c r="S326">
        <v>0</v>
      </c>
      <c r="T326">
        <v>1</v>
      </c>
      <c r="U326">
        <v>0</v>
      </c>
      <c r="V326">
        <v>0</v>
      </c>
    </row>
    <row r="327" spans="1:22" x14ac:dyDescent="0.2">
      <c r="A327" t="s">
        <v>716</v>
      </c>
      <c r="B327" t="s">
        <v>108</v>
      </c>
      <c r="C327" t="s">
        <v>41</v>
      </c>
      <c r="D327" t="s">
        <v>42</v>
      </c>
      <c r="E327" t="s">
        <v>442</v>
      </c>
      <c r="F327" t="s">
        <v>65</v>
      </c>
      <c r="G327" t="s">
        <v>48</v>
      </c>
      <c r="H327" t="s">
        <v>59</v>
      </c>
      <c r="I327">
        <v>0</v>
      </c>
      <c r="J327">
        <v>1</v>
      </c>
      <c r="K327">
        <v>1</v>
      </c>
      <c r="L327">
        <v>0</v>
      </c>
      <c r="M327">
        <v>0</v>
      </c>
      <c r="N327">
        <v>0</v>
      </c>
      <c r="O327">
        <v>1</v>
      </c>
      <c r="P327">
        <v>0</v>
      </c>
      <c r="Q327">
        <v>0</v>
      </c>
      <c r="R327">
        <v>0</v>
      </c>
      <c r="S327">
        <v>0</v>
      </c>
      <c r="T327">
        <v>0</v>
      </c>
      <c r="U327">
        <v>0</v>
      </c>
      <c r="V327">
        <v>1</v>
      </c>
    </row>
    <row r="328" spans="1:22" x14ac:dyDescent="0.2">
      <c r="A328" t="s">
        <v>716</v>
      </c>
      <c r="B328" t="s">
        <v>108</v>
      </c>
      <c r="C328" t="s">
        <v>41</v>
      </c>
      <c r="D328" t="s">
        <v>61</v>
      </c>
      <c r="E328" t="s">
        <v>442</v>
      </c>
      <c r="F328" t="s">
        <v>65</v>
      </c>
      <c r="G328" t="s">
        <v>46</v>
      </c>
      <c r="H328" t="s">
        <v>48</v>
      </c>
      <c r="I328">
        <v>0</v>
      </c>
      <c r="J328">
        <v>1</v>
      </c>
      <c r="K328">
        <v>1</v>
      </c>
      <c r="L328">
        <v>0</v>
      </c>
      <c r="M328">
        <v>1</v>
      </c>
      <c r="N328">
        <v>0</v>
      </c>
      <c r="O328">
        <v>1</v>
      </c>
      <c r="P328">
        <v>0</v>
      </c>
      <c r="Q328">
        <v>1</v>
      </c>
      <c r="R328">
        <v>1</v>
      </c>
      <c r="S328">
        <v>0</v>
      </c>
      <c r="T328">
        <v>1</v>
      </c>
      <c r="U328">
        <v>0</v>
      </c>
      <c r="V328">
        <v>0</v>
      </c>
    </row>
    <row r="329" spans="1:22" x14ac:dyDescent="0.2">
      <c r="A329" t="s">
        <v>719</v>
      </c>
      <c r="B329" t="s">
        <v>108</v>
      </c>
      <c r="C329" t="s">
        <v>41</v>
      </c>
      <c r="D329" t="s">
        <v>67</v>
      </c>
      <c r="E329" t="s">
        <v>442</v>
      </c>
      <c r="F329" t="s">
        <v>48</v>
      </c>
      <c r="G329" t="s">
        <v>46</v>
      </c>
      <c r="H329" t="s">
        <v>65</v>
      </c>
      <c r="I329">
        <v>0</v>
      </c>
      <c r="J329">
        <v>1</v>
      </c>
      <c r="K329">
        <v>1</v>
      </c>
      <c r="L329">
        <v>0</v>
      </c>
      <c r="M329">
        <v>1</v>
      </c>
      <c r="N329">
        <v>0</v>
      </c>
      <c r="O329">
        <v>1</v>
      </c>
      <c r="P329">
        <v>0</v>
      </c>
      <c r="Q329">
        <v>1</v>
      </c>
      <c r="R329">
        <v>0</v>
      </c>
      <c r="S329">
        <v>0</v>
      </c>
      <c r="T329">
        <v>0</v>
      </c>
      <c r="U329">
        <v>0</v>
      </c>
      <c r="V329">
        <v>0</v>
      </c>
    </row>
    <row r="330" spans="1:22" x14ac:dyDescent="0.2">
      <c r="A330" t="s">
        <v>719</v>
      </c>
      <c r="B330" t="s">
        <v>108</v>
      </c>
      <c r="C330" t="s">
        <v>41</v>
      </c>
      <c r="D330" t="s">
        <v>61</v>
      </c>
      <c r="E330" t="s">
        <v>442</v>
      </c>
      <c r="F330" t="s">
        <v>65</v>
      </c>
      <c r="G330" t="s">
        <v>47</v>
      </c>
      <c r="H330" t="s">
        <v>48</v>
      </c>
      <c r="I330">
        <v>0</v>
      </c>
      <c r="J330">
        <v>1</v>
      </c>
      <c r="K330">
        <v>1</v>
      </c>
      <c r="L330">
        <v>1</v>
      </c>
      <c r="M330">
        <v>0</v>
      </c>
      <c r="N330">
        <v>0</v>
      </c>
      <c r="O330">
        <v>1</v>
      </c>
      <c r="P330">
        <v>0</v>
      </c>
      <c r="Q330">
        <v>1</v>
      </c>
      <c r="R330">
        <v>0</v>
      </c>
      <c r="S330">
        <v>0</v>
      </c>
      <c r="T330">
        <v>0</v>
      </c>
      <c r="U330">
        <v>0</v>
      </c>
      <c r="V330">
        <v>0</v>
      </c>
    </row>
    <row r="331" spans="1:22" x14ac:dyDescent="0.2">
      <c r="A331" t="s">
        <v>719</v>
      </c>
      <c r="B331" t="s">
        <v>108</v>
      </c>
      <c r="C331" t="s">
        <v>41</v>
      </c>
      <c r="D331" t="s">
        <v>42</v>
      </c>
      <c r="E331" t="s">
        <v>442</v>
      </c>
      <c r="F331" t="s">
        <v>47</v>
      </c>
      <c r="G331" t="s">
        <v>65</v>
      </c>
      <c r="H331" t="s">
        <v>48</v>
      </c>
      <c r="I331">
        <v>0</v>
      </c>
      <c r="J331">
        <v>1</v>
      </c>
      <c r="K331">
        <v>1</v>
      </c>
      <c r="L331">
        <v>1</v>
      </c>
      <c r="M331">
        <v>0</v>
      </c>
      <c r="N331">
        <v>0</v>
      </c>
      <c r="O331">
        <v>1</v>
      </c>
      <c r="P331">
        <v>0</v>
      </c>
      <c r="Q331">
        <v>1</v>
      </c>
      <c r="R331">
        <v>0</v>
      </c>
      <c r="S331">
        <v>1</v>
      </c>
      <c r="T331">
        <v>0</v>
      </c>
      <c r="U331">
        <v>0</v>
      </c>
      <c r="V331">
        <v>0</v>
      </c>
    </row>
    <row r="332" spans="1:22" x14ac:dyDescent="0.2">
      <c r="A332" t="s">
        <v>722</v>
      </c>
      <c r="B332" t="s">
        <v>33</v>
      </c>
      <c r="C332" t="s">
        <v>41</v>
      </c>
      <c r="D332" t="s">
        <v>72</v>
      </c>
      <c r="E332" t="s">
        <v>442</v>
      </c>
      <c r="F332" t="s">
        <v>47</v>
      </c>
      <c r="G332" t="s">
        <v>48</v>
      </c>
      <c r="H332" t="s">
        <v>65</v>
      </c>
      <c r="I332">
        <v>0</v>
      </c>
      <c r="J332">
        <v>1</v>
      </c>
      <c r="K332">
        <v>1</v>
      </c>
      <c r="L332">
        <v>1</v>
      </c>
      <c r="M332">
        <v>0</v>
      </c>
      <c r="N332">
        <v>0</v>
      </c>
      <c r="O332">
        <v>1</v>
      </c>
      <c r="P332">
        <v>0</v>
      </c>
      <c r="Q332">
        <v>0</v>
      </c>
      <c r="R332">
        <v>1</v>
      </c>
      <c r="S332">
        <v>0</v>
      </c>
      <c r="T332">
        <v>0</v>
      </c>
      <c r="U332">
        <v>0</v>
      </c>
      <c r="V332">
        <v>0</v>
      </c>
    </row>
    <row r="333" spans="1:22" x14ac:dyDescent="0.2">
      <c r="A333" t="s">
        <v>723</v>
      </c>
      <c r="B333" t="s">
        <v>33</v>
      </c>
      <c r="C333" t="s">
        <v>41</v>
      </c>
      <c r="D333" t="s">
        <v>67</v>
      </c>
      <c r="E333" t="s">
        <v>442</v>
      </c>
      <c r="F333" t="s">
        <v>47</v>
      </c>
      <c r="G333" t="s">
        <v>65</v>
      </c>
      <c r="H333" t="s">
        <v>48</v>
      </c>
      <c r="I333">
        <v>0</v>
      </c>
      <c r="J333">
        <v>1</v>
      </c>
      <c r="K333">
        <v>1</v>
      </c>
      <c r="L333">
        <v>1</v>
      </c>
      <c r="M333">
        <v>0</v>
      </c>
      <c r="N333">
        <v>0</v>
      </c>
      <c r="O333">
        <v>1</v>
      </c>
      <c r="P333">
        <v>0</v>
      </c>
      <c r="Q333">
        <v>1</v>
      </c>
      <c r="R333">
        <v>1</v>
      </c>
      <c r="S333">
        <v>1</v>
      </c>
      <c r="T333">
        <v>0</v>
      </c>
      <c r="U333">
        <v>0</v>
      </c>
      <c r="V333">
        <v>0</v>
      </c>
    </row>
    <row r="334" spans="1:22" x14ac:dyDescent="0.2">
      <c r="A334" t="s">
        <v>723</v>
      </c>
      <c r="B334" t="s">
        <v>33</v>
      </c>
      <c r="C334" t="s">
        <v>41</v>
      </c>
      <c r="D334" t="s">
        <v>42</v>
      </c>
      <c r="E334" t="s">
        <v>442</v>
      </c>
      <c r="F334" t="s">
        <v>47</v>
      </c>
      <c r="G334" t="s">
        <v>65</v>
      </c>
      <c r="H334" t="s">
        <v>48</v>
      </c>
      <c r="I334">
        <v>0</v>
      </c>
      <c r="J334">
        <v>1</v>
      </c>
      <c r="K334">
        <v>1</v>
      </c>
      <c r="L334">
        <v>1</v>
      </c>
      <c r="M334">
        <v>0</v>
      </c>
      <c r="N334">
        <v>0</v>
      </c>
      <c r="O334">
        <v>1</v>
      </c>
      <c r="P334">
        <v>0</v>
      </c>
      <c r="Q334">
        <v>1</v>
      </c>
      <c r="R334">
        <v>1</v>
      </c>
      <c r="S334">
        <v>1</v>
      </c>
      <c r="T334">
        <v>0</v>
      </c>
      <c r="U334">
        <v>0</v>
      </c>
      <c r="V334">
        <v>0</v>
      </c>
    </row>
    <row r="335" spans="1:22" x14ac:dyDescent="0.2">
      <c r="A335" t="s">
        <v>723</v>
      </c>
      <c r="B335" t="s">
        <v>33</v>
      </c>
      <c r="C335" t="s">
        <v>41</v>
      </c>
      <c r="D335" t="s">
        <v>49</v>
      </c>
      <c r="E335" t="s">
        <v>442</v>
      </c>
      <c r="F335" t="s">
        <v>48</v>
      </c>
      <c r="G335" t="s">
        <v>46</v>
      </c>
      <c r="H335" t="s">
        <v>65</v>
      </c>
      <c r="I335">
        <v>0</v>
      </c>
      <c r="J335">
        <v>1</v>
      </c>
      <c r="K335">
        <v>1</v>
      </c>
      <c r="L335">
        <v>0</v>
      </c>
      <c r="M335">
        <v>1</v>
      </c>
      <c r="N335">
        <v>0</v>
      </c>
      <c r="O335">
        <v>1</v>
      </c>
      <c r="P335">
        <v>0</v>
      </c>
      <c r="Q335">
        <v>1</v>
      </c>
      <c r="R335">
        <v>1</v>
      </c>
      <c r="S335">
        <v>0</v>
      </c>
      <c r="T335">
        <v>1</v>
      </c>
      <c r="U335">
        <v>0</v>
      </c>
      <c r="V335">
        <v>0</v>
      </c>
    </row>
    <row r="336" spans="1:22" x14ac:dyDescent="0.2">
      <c r="A336" t="s">
        <v>725</v>
      </c>
      <c r="B336" t="s">
        <v>108</v>
      </c>
      <c r="C336" t="s">
        <v>41</v>
      </c>
      <c r="D336" t="s">
        <v>55</v>
      </c>
      <c r="E336" t="s">
        <v>442</v>
      </c>
      <c r="F336" t="s">
        <v>65</v>
      </c>
      <c r="G336" t="s">
        <v>48</v>
      </c>
      <c r="H336" t="s">
        <v>60</v>
      </c>
      <c r="I336">
        <v>1</v>
      </c>
      <c r="J336">
        <v>1</v>
      </c>
      <c r="K336">
        <v>1</v>
      </c>
      <c r="L336">
        <v>0</v>
      </c>
      <c r="M336">
        <v>0</v>
      </c>
      <c r="N336">
        <v>0</v>
      </c>
      <c r="O336">
        <v>1</v>
      </c>
      <c r="P336">
        <v>0</v>
      </c>
      <c r="Q336">
        <v>1</v>
      </c>
      <c r="R336">
        <v>0</v>
      </c>
      <c r="S336">
        <v>0</v>
      </c>
      <c r="T336">
        <v>0</v>
      </c>
      <c r="U336">
        <v>0</v>
      </c>
      <c r="V336">
        <v>0</v>
      </c>
    </row>
    <row r="337" spans="1:22" x14ac:dyDescent="0.2">
      <c r="A337" t="s">
        <v>729</v>
      </c>
      <c r="B337" t="s">
        <v>108</v>
      </c>
      <c r="C337" t="s">
        <v>41</v>
      </c>
      <c r="D337" t="s">
        <v>61</v>
      </c>
      <c r="E337" t="s">
        <v>442</v>
      </c>
      <c r="F337" t="s">
        <v>48</v>
      </c>
      <c r="G337" t="s">
        <v>46</v>
      </c>
      <c r="H337" t="s">
        <v>65</v>
      </c>
      <c r="I337">
        <v>0</v>
      </c>
      <c r="J337">
        <v>1</v>
      </c>
      <c r="K337">
        <v>1</v>
      </c>
      <c r="L337">
        <v>0</v>
      </c>
      <c r="M337">
        <v>1</v>
      </c>
      <c r="N337">
        <v>0</v>
      </c>
      <c r="O337">
        <v>1</v>
      </c>
      <c r="P337">
        <v>0</v>
      </c>
      <c r="Q337">
        <v>1</v>
      </c>
      <c r="R337">
        <v>1</v>
      </c>
      <c r="S337">
        <v>0</v>
      </c>
      <c r="T337">
        <v>1</v>
      </c>
      <c r="U337">
        <v>0</v>
      </c>
      <c r="V337">
        <v>0</v>
      </c>
    </row>
    <row r="338" spans="1:22" x14ac:dyDescent="0.2">
      <c r="A338" t="s">
        <v>729</v>
      </c>
      <c r="B338" t="s">
        <v>108</v>
      </c>
      <c r="C338" t="s">
        <v>41</v>
      </c>
      <c r="D338" t="s">
        <v>67</v>
      </c>
      <c r="E338" t="s">
        <v>442</v>
      </c>
      <c r="F338" t="s">
        <v>48</v>
      </c>
      <c r="G338" t="s">
        <v>65</v>
      </c>
      <c r="H338" t="s">
        <v>46</v>
      </c>
      <c r="I338">
        <v>0</v>
      </c>
      <c r="J338">
        <v>1</v>
      </c>
      <c r="K338">
        <v>1</v>
      </c>
      <c r="L338">
        <v>0</v>
      </c>
      <c r="M338">
        <v>1</v>
      </c>
      <c r="N338">
        <v>0</v>
      </c>
      <c r="O338">
        <v>1</v>
      </c>
      <c r="P338">
        <v>0</v>
      </c>
      <c r="Q338">
        <v>1</v>
      </c>
      <c r="R338">
        <v>0</v>
      </c>
      <c r="S338">
        <v>0</v>
      </c>
      <c r="T338">
        <v>0</v>
      </c>
      <c r="U338">
        <v>0</v>
      </c>
      <c r="V338">
        <v>0</v>
      </c>
    </row>
    <row r="339" spans="1:22" x14ac:dyDescent="0.2">
      <c r="A339" t="s">
        <v>729</v>
      </c>
      <c r="B339" t="s">
        <v>108</v>
      </c>
      <c r="C339" t="s">
        <v>41</v>
      </c>
      <c r="D339" t="s">
        <v>55</v>
      </c>
      <c r="E339" t="s">
        <v>442</v>
      </c>
      <c r="F339" t="s">
        <v>48</v>
      </c>
      <c r="G339" t="s">
        <v>59</v>
      </c>
      <c r="H339" t="s">
        <v>65</v>
      </c>
      <c r="I339">
        <v>0</v>
      </c>
      <c r="J339">
        <v>1</v>
      </c>
      <c r="K339">
        <v>1</v>
      </c>
      <c r="L339">
        <v>0</v>
      </c>
      <c r="M339">
        <v>0</v>
      </c>
      <c r="N339">
        <v>0</v>
      </c>
      <c r="O339">
        <v>1</v>
      </c>
      <c r="P339">
        <v>0</v>
      </c>
      <c r="Q339">
        <v>1</v>
      </c>
      <c r="R339">
        <v>0</v>
      </c>
      <c r="S339">
        <v>0</v>
      </c>
      <c r="T339">
        <v>0</v>
      </c>
      <c r="U339">
        <v>0</v>
      </c>
      <c r="V339">
        <v>0</v>
      </c>
    </row>
    <row r="340" spans="1:22" x14ac:dyDescent="0.2">
      <c r="A340" t="s">
        <v>729</v>
      </c>
      <c r="B340" t="s">
        <v>108</v>
      </c>
      <c r="C340" t="s">
        <v>41</v>
      </c>
      <c r="D340" t="s">
        <v>49</v>
      </c>
      <c r="E340" t="s">
        <v>442</v>
      </c>
      <c r="F340" t="s">
        <v>48</v>
      </c>
      <c r="G340" t="s">
        <v>46</v>
      </c>
      <c r="H340" t="s">
        <v>65</v>
      </c>
      <c r="I340">
        <v>0</v>
      </c>
      <c r="J340">
        <v>1</v>
      </c>
      <c r="K340">
        <v>1</v>
      </c>
      <c r="L340">
        <v>0</v>
      </c>
      <c r="M340">
        <v>1</v>
      </c>
      <c r="N340">
        <v>0</v>
      </c>
      <c r="O340">
        <v>1</v>
      </c>
      <c r="P340">
        <v>0</v>
      </c>
      <c r="Q340">
        <v>1</v>
      </c>
      <c r="R340">
        <v>0</v>
      </c>
      <c r="S340">
        <v>0</v>
      </c>
      <c r="T340">
        <v>0</v>
      </c>
      <c r="U340">
        <v>0</v>
      </c>
      <c r="V340">
        <v>0</v>
      </c>
    </row>
    <row r="341" spans="1:22" x14ac:dyDescent="0.2">
      <c r="A341" t="s">
        <v>732</v>
      </c>
      <c r="B341" t="s">
        <v>108</v>
      </c>
      <c r="C341" t="s">
        <v>41</v>
      </c>
      <c r="D341" t="s">
        <v>67</v>
      </c>
      <c r="E341" t="s">
        <v>442</v>
      </c>
      <c r="F341" t="s">
        <v>48</v>
      </c>
      <c r="G341" t="s">
        <v>65</v>
      </c>
      <c r="H341" t="s">
        <v>47</v>
      </c>
      <c r="I341">
        <v>0</v>
      </c>
      <c r="J341">
        <v>1</v>
      </c>
      <c r="K341">
        <v>1</v>
      </c>
      <c r="L341">
        <v>1</v>
      </c>
      <c r="M341">
        <v>0</v>
      </c>
      <c r="N341">
        <v>0</v>
      </c>
      <c r="O341">
        <v>1</v>
      </c>
      <c r="P341">
        <v>0</v>
      </c>
      <c r="Q341">
        <v>1</v>
      </c>
      <c r="R341">
        <v>0</v>
      </c>
      <c r="S341">
        <v>0</v>
      </c>
      <c r="T341">
        <v>0</v>
      </c>
      <c r="U341">
        <v>0</v>
      </c>
      <c r="V341">
        <v>0</v>
      </c>
    </row>
    <row r="342" spans="1:22" x14ac:dyDescent="0.2">
      <c r="A342" t="s">
        <v>732</v>
      </c>
      <c r="B342" t="s">
        <v>108</v>
      </c>
      <c r="C342" t="s">
        <v>41</v>
      </c>
      <c r="D342" t="s">
        <v>42</v>
      </c>
      <c r="E342" t="s">
        <v>442</v>
      </c>
      <c r="F342" t="s">
        <v>65</v>
      </c>
      <c r="G342" t="s">
        <v>46</v>
      </c>
      <c r="H342" t="s">
        <v>48</v>
      </c>
      <c r="I342">
        <v>0</v>
      </c>
      <c r="J342">
        <v>1</v>
      </c>
      <c r="K342">
        <v>1</v>
      </c>
      <c r="L342">
        <v>0</v>
      </c>
      <c r="M342">
        <v>1</v>
      </c>
      <c r="N342">
        <v>0</v>
      </c>
      <c r="O342">
        <v>1</v>
      </c>
      <c r="P342">
        <v>0</v>
      </c>
      <c r="Q342">
        <v>1</v>
      </c>
      <c r="R342">
        <v>0</v>
      </c>
      <c r="S342">
        <v>0</v>
      </c>
      <c r="T342">
        <v>0</v>
      </c>
      <c r="U342">
        <v>0</v>
      </c>
      <c r="V342">
        <v>0</v>
      </c>
    </row>
    <row r="343" spans="1:22" x14ac:dyDescent="0.2">
      <c r="A343" t="s">
        <v>735</v>
      </c>
      <c r="B343" t="s">
        <v>108</v>
      </c>
      <c r="C343" t="s">
        <v>41</v>
      </c>
      <c r="D343" t="s">
        <v>61</v>
      </c>
      <c r="E343" t="s">
        <v>442</v>
      </c>
      <c r="F343" t="s">
        <v>65</v>
      </c>
      <c r="G343" t="s">
        <v>48</v>
      </c>
      <c r="H343" t="s">
        <v>60</v>
      </c>
      <c r="I343">
        <v>1</v>
      </c>
      <c r="J343">
        <v>1</v>
      </c>
      <c r="K343">
        <v>1</v>
      </c>
      <c r="L343">
        <v>0</v>
      </c>
      <c r="M343">
        <v>0</v>
      </c>
      <c r="N343">
        <v>0</v>
      </c>
      <c r="O343">
        <v>1</v>
      </c>
      <c r="P343">
        <v>0</v>
      </c>
      <c r="Q343">
        <v>0</v>
      </c>
      <c r="R343">
        <v>0</v>
      </c>
      <c r="S343">
        <v>0</v>
      </c>
      <c r="T343">
        <v>0</v>
      </c>
      <c r="U343">
        <v>0</v>
      </c>
      <c r="V343">
        <v>1</v>
      </c>
    </row>
    <row r="344" spans="1:22" x14ac:dyDescent="0.2">
      <c r="A344" t="s">
        <v>735</v>
      </c>
      <c r="B344" t="s">
        <v>108</v>
      </c>
      <c r="C344" t="s">
        <v>41</v>
      </c>
      <c r="D344" t="s">
        <v>72</v>
      </c>
      <c r="E344" t="s">
        <v>442</v>
      </c>
      <c r="F344" t="s">
        <v>47</v>
      </c>
      <c r="G344" t="s">
        <v>48</v>
      </c>
      <c r="H344" t="s">
        <v>65</v>
      </c>
      <c r="I344">
        <v>0</v>
      </c>
      <c r="J344">
        <v>1</v>
      </c>
      <c r="K344">
        <v>1</v>
      </c>
      <c r="L344">
        <v>1</v>
      </c>
      <c r="M344">
        <v>0</v>
      </c>
      <c r="N344">
        <v>0</v>
      </c>
      <c r="O344">
        <v>1</v>
      </c>
      <c r="P344">
        <v>0</v>
      </c>
      <c r="Q344">
        <v>0</v>
      </c>
      <c r="R344">
        <v>0</v>
      </c>
      <c r="S344">
        <v>0</v>
      </c>
      <c r="T344">
        <v>0</v>
      </c>
      <c r="U344">
        <v>0</v>
      </c>
      <c r="V344">
        <v>1</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B3:I25"/>
  <sheetViews>
    <sheetView workbookViewId="0">
      <selection activeCell="O22" sqref="O22"/>
    </sheetView>
  </sheetViews>
  <sheetFormatPr baseColWidth="10" defaultRowHeight="16" x14ac:dyDescent="0.2"/>
  <sheetData>
    <row r="3" spans="2:9" x14ac:dyDescent="0.2">
      <c r="C3" s="12" t="s">
        <v>778</v>
      </c>
      <c r="D3" s="12"/>
      <c r="E3" s="11"/>
      <c r="H3" s="12" t="s">
        <v>779</v>
      </c>
      <c r="I3" s="12"/>
    </row>
    <row r="4" spans="2:9" x14ac:dyDescent="0.2">
      <c r="C4" t="s">
        <v>65</v>
      </c>
      <c r="D4" t="s">
        <v>48</v>
      </c>
      <c r="F4" t="s">
        <v>777</v>
      </c>
      <c r="H4" t="s">
        <v>65</v>
      </c>
      <c r="I4" t="s">
        <v>48</v>
      </c>
    </row>
    <row r="5" spans="2:9" x14ac:dyDescent="0.2">
      <c r="B5" s="10" t="s">
        <v>773</v>
      </c>
      <c r="C5">
        <f>COUNTIF('messing with hists'!Q:Q, "0")</f>
        <v>127</v>
      </c>
      <c r="D5">
        <f>COUNTIF('messing with hists'!R:R, "0")</f>
        <v>226</v>
      </c>
      <c r="E5">
        <f>COUNTIF('messing with hists'!J:J,"1")</f>
        <v>343</v>
      </c>
      <c r="F5">
        <f>COUNTIF('messing with hists'!K:K,"1")</f>
        <v>343</v>
      </c>
      <c r="G5" s="10" t="s">
        <v>773</v>
      </c>
      <c r="H5">
        <f>C5/F5</f>
        <v>0.37026239067055394</v>
      </c>
      <c r="I5">
        <f>D5/F5</f>
        <v>0.65889212827988342</v>
      </c>
    </row>
    <row r="6" spans="2:9" x14ac:dyDescent="0.2">
      <c r="B6" s="10" t="s">
        <v>774</v>
      </c>
      <c r="C6">
        <f>COUNTIF('messing with hists'!Q:Q, "0")</f>
        <v>127</v>
      </c>
      <c r="D6">
        <f>COUNTIF('messing with hists'!R:R, "0")</f>
        <v>226</v>
      </c>
      <c r="E6">
        <f>COUNTIF('messing with hists'!J:J,"1")</f>
        <v>343</v>
      </c>
      <c r="F6">
        <f>COUNTIF('messing with hists'!K:K,"1")</f>
        <v>343</v>
      </c>
      <c r="G6" s="10" t="s">
        <v>774</v>
      </c>
      <c r="H6">
        <f t="shared" ref="H6:H8" si="0">C6/F6</f>
        <v>0.37026239067055394</v>
      </c>
      <c r="I6">
        <f t="shared" ref="I6:I8" si="1">D6/F6</f>
        <v>0.65889212827988342</v>
      </c>
    </row>
    <row r="7" spans="2:9" x14ac:dyDescent="0.2">
      <c r="B7" s="10" t="s">
        <v>775</v>
      </c>
      <c r="C7">
        <f>COUNTIF('messing with hists'!Q:Q,"1")</f>
        <v>216</v>
      </c>
      <c r="D7">
        <f>COUNTIF('messing with hists'!R:R,"1")</f>
        <v>117</v>
      </c>
      <c r="E7">
        <f>COUNTIF('messing with hists'!J:J,"1")</f>
        <v>343</v>
      </c>
      <c r="F7">
        <f>COUNTIF('messing with hists'!K:K,"1")</f>
        <v>343</v>
      </c>
      <c r="G7" s="10" t="s">
        <v>775</v>
      </c>
      <c r="H7">
        <f t="shared" si="0"/>
        <v>0.62973760932944611</v>
      </c>
      <c r="I7">
        <f t="shared" si="1"/>
        <v>0.34110787172011664</v>
      </c>
    </row>
    <row r="8" spans="2:9" x14ac:dyDescent="0.2">
      <c r="B8" s="10" t="s">
        <v>776</v>
      </c>
      <c r="C8">
        <f>COUNTIF('messing with hists'!Q:Q,"1")</f>
        <v>216</v>
      </c>
      <c r="D8">
        <f>COUNTIF('messing with hists'!R:R,"1")</f>
        <v>117</v>
      </c>
      <c r="E8">
        <f>COUNTIF('messing with hists'!J:J,"1")</f>
        <v>343</v>
      </c>
      <c r="F8">
        <f>COUNTIF('messing with hists'!K:K,"1")</f>
        <v>343</v>
      </c>
      <c r="G8" s="10" t="s">
        <v>776</v>
      </c>
      <c r="H8">
        <f t="shared" si="0"/>
        <v>0.62973760932944611</v>
      </c>
      <c r="I8">
        <f t="shared" si="1"/>
        <v>0.34110787172011664</v>
      </c>
    </row>
    <row r="9" spans="2:9" x14ac:dyDescent="0.2">
      <c r="B9" s="10"/>
    </row>
    <row r="12" spans="2:9" x14ac:dyDescent="0.2">
      <c r="B12" t="s">
        <v>778</v>
      </c>
      <c r="C12" s="12" t="s">
        <v>65</v>
      </c>
      <c r="D12" s="12"/>
      <c r="E12" s="12" t="s">
        <v>48</v>
      </c>
      <c r="F12" s="12"/>
    </row>
    <row r="13" spans="2:9" x14ac:dyDescent="0.2">
      <c r="C13" t="s">
        <v>37</v>
      </c>
      <c r="D13" t="s">
        <v>442</v>
      </c>
      <c r="E13" t="s">
        <v>37</v>
      </c>
      <c r="F13" t="s">
        <v>442</v>
      </c>
    </row>
    <row r="14" spans="2:9" x14ac:dyDescent="0.2">
      <c r="B14" s="10" t="s">
        <v>773</v>
      </c>
      <c r="C14">
        <f>COUNTIFS('messing with hists'!Q:Q,"0",'messing with hists'!E:E,"past")</f>
        <v>58</v>
      </c>
      <c r="D14">
        <f>COUNTIFS('messing with hists'!Q:Q,"0",'messing with hists'!E:E,"present")</f>
        <v>69</v>
      </c>
      <c r="E14">
        <f>COUNTIFS('messing with hists'!R:R,"0",'messing with hists'!E:E,"past")</f>
        <v>118</v>
      </c>
      <c r="F14">
        <f>COUNTIFS('messing with hists'!R:R,"0",'messing with hists'!E:E,"present")</f>
        <v>108</v>
      </c>
    </row>
    <row r="15" spans="2:9" x14ac:dyDescent="0.2">
      <c r="B15" s="10" t="s">
        <v>774</v>
      </c>
      <c r="C15">
        <f>COUNTIFS('messing with hists'!Q:Q,"0",'messing with hists'!E:E,"past")</f>
        <v>58</v>
      </c>
      <c r="D15">
        <f>COUNTIFS('messing with hists'!Q:Q,"0",'messing with hists'!E:E,"present")</f>
        <v>69</v>
      </c>
      <c r="E15">
        <f>COUNTIFS('messing with hists'!R:R,"0",'messing with hists'!E:E,"past")</f>
        <v>118</v>
      </c>
      <c r="F15">
        <f>COUNTIFS('messing with hists'!R:R,"0",'messing with hists'!E:E,"present")</f>
        <v>108</v>
      </c>
    </row>
    <row r="16" spans="2:9" x14ac:dyDescent="0.2">
      <c r="B16" s="10" t="s">
        <v>775</v>
      </c>
      <c r="C16">
        <f>COUNTIFS('messing with hists'!Q:Q,"1",'messing with hists'!E:E,"past")</f>
        <v>114</v>
      </c>
      <c r="D16">
        <f>COUNTIFS('messing with hists'!Q:Q,"1",'messing with hists'!E:E,"present")</f>
        <v>102</v>
      </c>
      <c r="E16">
        <f>COUNTIFS('messing with hists'!R:R,"1",'messing with hists'!E:E,"past")</f>
        <v>54</v>
      </c>
      <c r="F16">
        <f>COUNTIFS('messing with hists'!R:R,"1",'messing with hists'!E:E,"present")</f>
        <v>63</v>
      </c>
    </row>
    <row r="17" spans="2:6" x14ac:dyDescent="0.2">
      <c r="B17" s="10" t="s">
        <v>776</v>
      </c>
      <c r="C17">
        <f>COUNTIFS('messing with hists'!Q:Q,"1",'messing with hists'!E:E,"past")</f>
        <v>114</v>
      </c>
      <c r="D17">
        <f>COUNTIFS('messing with hists'!Q:Q,"1",'messing with hists'!E:E,"present")</f>
        <v>102</v>
      </c>
      <c r="E17">
        <f>COUNTIFS('messing with hists'!R:R,"1",'messing with hists'!E:E,"past")</f>
        <v>54</v>
      </c>
      <c r="F17">
        <f>COUNTIFS('messing with hists'!R:R,"1",'messing with hists'!E:E,"present")</f>
        <v>63</v>
      </c>
    </row>
    <row r="20" spans="2:6" x14ac:dyDescent="0.2">
      <c r="B20" t="s">
        <v>779</v>
      </c>
      <c r="C20" s="12" t="s">
        <v>37</v>
      </c>
      <c r="D20" s="12"/>
      <c r="E20" s="12" t="s">
        <v>442</v>
      </c>
      <c r="F20" s="12"/>
    </row>
    <row r="21" spans="2:6" x14ac:dyDescent="0.2">
      <c r="C21" t="s">
        <v>65</v>
      </c>
      <c r="D21" t="s">
        <v>48</v>
      </c>
      <c r="E21" t="s">
        <v>65</v>
      </c>
      <c r="F21" t="s">
        <v>48</v>
      </c>
    </row>
    <row r="22" spans="2:6" x14ac:dyDescent="0.2">
      <c r="B22" s="10" t="s">
        <v>773</v>
      </c>
      <c r="C22">
        <f>C14/F5</f>
        <v>0.16909620991253643</v>
      </c>
      <c r="D22">
        <f>E14/343</f>
        <v>0.34402332361516036</v>
      </c>
      <c r="E22">
        <f>D14/343</f>
        <v>0.20116618075801748</v>
      </c>
      <c r="F22">
        <f>F14/343</f>
        <v>0.31486880466472306</v>
      </c>
    </row>
    <row r="23" spans="2:6" x14ac:dyDescent="0.2">
      <c r="B23" s="10" t="s">
        <v>774</v>
      </c>
      <c r="C23">
        <f>C15/343</f>
        <v>0.16909620991253643</v>
      </c>
      <c r="D23">
        <f>E15/343</f>
        <v>0.34402332361516036</v>
      </c>
      <c r="E23">
        <f>D15/343</f>
        <v>0.20116618075801748</v>
      </c>
      <c r="F23">
        <f>F15/343</f>
        <v>0.31486880466472306</v>
      </c>
    </row>
    <row r="24" spans="2:6" x14ac:dyDescent="0.2">
      <c r="B24" s="10" t="s">
        <v>775</v>
      </c>
      <c r="C24">
        <f>C16/343</f>
        <v>0.33236151603498543</v>
      </c>
      <c r="D24">
        <f>E16/343</f>
        <v>0.15743440233236153</v>
      </c>
      <c r="E24">
        <f>D16/343</f>
        <v>0.29737609329446063</v>
      </c>
      <c r="F24">
        <f>F16/343</f>
        <v>0.18367346938775511</v>
      </c>
    </row>
    <row r="25" spans="2:6" x14ac:dyDescent="0.2">
      <c r="B25" s="10" t="s">
        <v>776</v>
      </c>
      <c r="C25">
        <f t="shared" ref="C24:D25" si="2">C17/343</f>
        <v>0.33236151603498543</v>
      </c>
      <c r="D25">
        <f>E17/343</f>
        <v>0.15743440233236153</v>
      </c>
      <c r="E25">
        <f>D17/343</f>
        <v>0.29737609329446063</v>
      </c>
      <c r="F25">
        <f>F17/343</f>
        <v>0.18367346938775511</v>
      </c>
    </row>
  </sheetData>
  <mergeCells count="6">
    <mergeCell ref="C3:D3"/>
    <mergeCell ref="H3:I3"/>
    <mergeCell ref="E12:F12"/>
    <mergeCell ref="C12:D12"/>
    <mergeCell ref="C20:D20"/>
    <mergeCell ref="E20:F20"/>
  </mergeCells>
  <pageMargins left="0.7" right="0.7" top="0.75" bottom="0.75" header="0.3" footer="0.3"/>
  <drawing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
  <sheetViews>
    <sheetView tabSelected="1" workbookViewId="0">
      <selection activeCell="E5" sqref="E5"/>
    </sheetView>
  </sheetViews>
  <sheetFormatPr baseColWidth="10" defaultRowHeight="16" x14ac:dyDescent="0.2"/>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V697"/>
  <sheetViews>
    <sheetView workbookViewId="0">
      <selection activeCell="B23" sqref="A1:V697"/>
    </sheetView>
  </sheetViews>
  <sheetFormatPr baseColWidth="10" defaultRowHeight="16" x14ac:dyDescent="0.2"/>
  <sheetData>
    <row r="1" spans="1:22" x14ac:dyDescent="0.2">
      <c r="A1" t="s">
        <v>0</v>
      </c>
      <c r="B1" t="s">
        <v>1</v>
      </c>
      <c r="C1" t="s">
        <v>4</v>
      </c>
      <c r="D1" t="s">
        <v>5</v>
      </c>
      <c r="E1" t="s">
        <v>31</v>
      </c>
      <c r="F1" t="s">
        <v>14</v>
      </c>
      <c r="G1" t="s">
        <v>15</v>
      </c>
      <c r="H1" t="s">
        <v>16</v>
      </c>
      <c r="I1" t="s">
        <v>17</v>
      </c>
      <c r="J1" t="s">
        <v>18</v>
      </c>
      <c r="K1" t="s">
        <v>19</v>
      </c>
      <c r="L1" t="s">
        <v>20</v>
      </c>
      <c r="M1" t="s">
        <v>21</v>
      </c>
      <c r="N1" t="s">
        <v>22</v>
      </c>
      <c r="O1" t="s">
        <v>23</v>
      </c>
      <c r="P1" t="s">
        <v>24</v>
      </c>
      <c r="Q1" t="s">
        <v>25</v>
      </c>
      <c r="R1" t="s">
        <v>26</v>
      </c>
      <c r="S1" t="s">
        <v>27</v>
      </c>
      <c r="T1" t="s">
        <v>28</v>
      </c>
      <c r="U1" t="s">
        <v>29</v>
      </c>
      <c r="V1" t="s">
        <v>30</v>
      </c>
    </row>
    <row r="2" spans="1:22" x14ac:dyDescent="0.2">
      <c r="A2" t="s">
        <v>32</v>
      </c>
      <c r="B2" t="s">
        <v>33</v>
      </c>
      <c r="C2" t="s">
        <v>41</v>
      </c>
      <c r="D2" t="s">
        <v>42</v>
      </c>
      <c r="E2" t="s">
        <v>37</v>
      </c>
      <c r="F2" t="s">
        <v>46</v>
      </c>
      <c r="G2" t="s">
        <v>47</v>
      </c>
      <c r="H2" t="s">
        <v>48</v>
      </c>
      <c r="I2">
        <v>0</v>
      </c>
      <c r="J2">
        <v>0</v>
      </c>
      <c r="K2">
        <v>1</v>
      </c>
      <c r="L2">
        <v>1</v>
      </c>
      <c r="M2">
        <v>1</v>
      </c>
      <c r="N2">
        <v>0</v>
      </c>
      <c r="O2">
        <v>1</v>
      </c>
      <c r="P2">
        <v>0</v>
      </c>
      <c r="Q2">
        <v>0</v>
      </c>
      <c r="R2">
        <v>1</v>
      </c>
      <c r="S2">
        <v>0</v>
      </c>
      <c r="T2">
        <v>0</v>
      </c>
      <c r="U2">
        <v>0</v>
      </c>
      <c r="V2">
        <v>0</v>
      </c>
    </row>
    <row r="3" spans="1:22" x14ac:dyDescent="0.2">
      <c r="A3" t="s">
        <v>32</v>
      </c>
      <c r="B3" t="s">
        <v>33</v>
      </c>
      <c r="C3" t="s">
        <v>41</v>
      </c>
      <c r="D3" t="s">
        <v>49</v>
      </c>
      <c r="E3" t="s">
        <v>37</v>
      </c>
      <c r="F3" t="s">
        <v>48</v>
      </c>
      <c r="G3" t="s">
        <v>47</v>
      </c>
      <c r="H3" t="s">
        <v>46</v>
      </c>
      <c r="I3">
        <v>0</v>
      </c>
      <c r="J3">
        <v>0</v>
      </c>
      <c r="K3">
        <v>1</v>
      </c>
      <c r="L3">
        <v>1</v>
      </c>
      <c r="M3">
        <v>1</v>
      </c>
      <c r="N3">
        <v>0</v>
      </c>
      <c r="O3">
        <v>1</v>
      </c>
      <c r="P3">
        <v>0</v>
      </c>
      <c r="Q3">
        <v>0</v>
      </c>
      <c r="R3">
        <v>0</v>
      </c>
      <c r="S3">
        <v>1</v>
      </c>
      <c r="T3">
        <v>0</v>
      </c>
      <c r="U3">
        <v>0</v>
      </c>
      <c r="V3">
        <v>0</v>
      </c>
    </row>
    <row r="4" spans="1:22" x14ac:dyDescent="0.2">
      <c r="A4" t="s">
        <v>32</v>
      </c>
      <c r="B4" t="s">
        <v>33</v>
      </c>
      <c r="C4" t="s">
        <v>41</v>
      </c>
      <c r="D4" t="s">
        <v>55</v>
      </c>
      <c r="E4" t="s">
        <v>37</v>
      </c>
      <c r="F4" t="s">
        <v>59</v>
      </c>
      <c r="G4" t="s">
        <v>48</v>
      </c>
      <c r="H4" t="s">
        <v>60</v>
      </c>
      <c r="I4">
        <v>1</v>
      </c>
      <c r="J4">
        <v>0</v>
      </c>
      <c r="K4">
        <v>1</v>
      </c>
      <c r="L4">
        <v>0</v>
      </c>
      <c r="M4">
        <v>0</v>
      </c>
      <c r="N4">
        <v>0</v>
      </c>
      <c r="O4">
        <v>1</v>
      </c>
      <c r="P4">
        <v>1</v>
      </c>
      <c r="Q4">
        <v>0</v>
      </c>
      <c r="R4">
        <v>0</v>
      </c>
      <c r="S4">
        <v>0</v>
      </c>
      <c r="T4">
        <v>0</v>
      </c>
      <c r="U4">
        <v>0</v>
      </c>
      <c r="V4">
        <v>0</v>
      </c>
    </row>
    <row r="5" spans="1:22" x14ac:dyDescent="0.2">
      <c r="A5" t="s">
        <v>32</v>
      </c>
      <c r="B5" t="s">
        <v>33</v>
      </c>
      <c r="C5" t="s">
        <v>41</v>
      </c>
      <c r="D5" t="s">
        <v>61</v>
      </c>
      <c r="E5" t="s">
        <v>37</v>
      </c>
      <c r="F5" t="s">
        <v>65</v>
      </c>
      <c r="G5" t="s">
        <v>46</v>
      </c>
      <c r="H5" t="s">
        <v>48</v>
      </c>
      <c r="I5">
        <v>0</v>
      </c>
      <c r="J5">
        <v>1</v>
      </c>
      <c r="K5">
        <v>1</v>
      </c>
      <c r="L5">
        <v>0</v>
      </c>
      <c r="M5">
        <v>1</v>
      </c>
      <c r="N5">
        <v>0</v>
      </c>
      <c r="O5">
        <v>1</v>
      </c>
      <c r="P5">
        <v>0</v>
      </c>
      <c r="Q5">
        <v>0</v>
      </c>
      <c r="R5">
        <v>0</v>
      </c>
      <c r="S5">
        <v>0</v>
      </c>
      <c r="T5">
        <v>1</v>
      </c>
      <c r="U5">
        <v>0</v>
      </c>
      <c r="V5">
        <v>0</v>
      </c>
    </row>
    <row r="6" spans="1:22" x14ac:dyDescent="0.2">
      <c r="A6" t="s">
        <v>32</v>
      </c>
      <c r="B6" t="s">
        <v>33</v>
      </c>
      <c r="C6" t="s">
        <v>41</v>
      </c>
      <c r="D6" t="s">
        <v>67</v>
      </c>
      <c r="E6" t="s">
        <v>37</v>
      </c>
      <c r="F6" t="s">
        <v>65</v>
      </c>
      <c r="G6" t="s">
        <v>48</v>
      </c>
      <c r="H6" t="s">
        <v>47</v>
      </c>
      <c r="I6">
        <v>0</v>
      </c>
      <c r="J6">
        <v>1</v>
      </c>
      <c r="K6">
        <v>1</v>
      </c>
      <c r="L6">
        <v>1</v>
      </c>
      <c r="M6">
        <v>0</v>
      </c>
      <c r="N6">
        <v>0</v>
      </c>
      <c r="O6">
        <v>1</v>
      </c>
      <c r="P6">
        <v>0</v>
      </c>
      <c r="Q6">
        <v>1</v>
      </c>
      <c r="R6">
        <v>0</v>
      </c>
      <c r="S6">
        <v>0</v>
      </c>
      <c r="T6">
        <v>0</v>
      </c>
      <c r="U6">
        <v>0</v>
      </c>
      <c r="V6">
        <v>0</v>
      </c>
    </row>
    <row r="7" spans="1:22" x14ac:dyDescent="0.2">
      <c r="A7" t="s">
        <v>32</v>
      </c>
      <c r="B7" t="s">
        <v>33</v>
      </c>
      <c r="C7" t="s">
        <v>41</v>
      </c>
      <c r="D7" t="s">
        <v>72</v>
      </c>
      <c r="E7" t="s">
        <v>37</v>
      </c>
      <c r="F7" t="s">
        <v>48</v>
      </c>
      <c r="G7" t="s">
        <v>47</v>
      </c>
      <c r="H7" t="s">
        <v>46</v>
      </c>
      <c r="I7">
        <v>0</v>
      </c>
      <c r="J7">
        <v>0</v>
      </c>
      <c r="K7">
        <v>1</v>
      </c>
      <c r="L7">
        <v>1</v>
      </c>
      <c r="M7">
        <v>1</v>
      </c>
      <c r="N7">
        <v>0</v>
      </c>
      <c r="O7">
        <v>1</v>
      </c>
      <c r="P7">
        <v>0</v>
      </c>
      <c r="Q7">
        <v>0</v>
      </c>
      <c r="R7">
        <v>0</v>
      </c>
      <c r="S7">
        <v>0</v>
      </c>
      <c r="T7">
        <v>1</v>
      </c>
      <c r="U7">
        <v>0</v>
      </c>
      <c r="V7">
        <v>0</v>
      </c>
    </row>
    <row r="8" spans="1:22" x14ac:dyDescent="0.2">
      <c r="A8" t="s">
        <v>81</v>
      </c>
      <c r="B8" t="s">
        <v>33</v>
      </c>
      <c r="C8" t="s">
        <v>41</v>
      </c>
      <c r="D8" t="s">
        <v>42</v>
      </c>
      <c r="E8" t="s">
        <v>37</v>
      </c>
      <c r="F8" t="s">
        <v>48</v>
      </c>
      <c r="G8" t="s">
        <v>47</v>
      </c>
      <c r="H8" t="s">
        <v>65</v>
      </c>
      <c r="I8">
        <v>0</v>
      </c>
      <c r="J8">
        <v>1</v>
      </c>
      <c r="K8">
        <v>1</v>
      </c>
      <c r="L8">
        <v>1</v>
      </c>
      <c r="M8">
        <v>0</v>
      </c>
      <c r="N8">
        <v>0</v>
      </c>
      <c r="O8">
        <v>1</v>
      </c>
      <c r="P8">
        <v>0</v>
      </c>
      <c r="Q8">
        <v>1</v>
      </c>
      <c r="R8">
        <v>0</v>
      </c>
      <c r="S8">
        <v>1</v>
      </c>
      <c r="T8">
        <v>0</v>
      </c>
      <c r="U8">
        <v>0</v>
      </c>
      <c r="V8">
        <v>0</v>
      </c>
    </row>
    <row r="9" spans="1:22" x14ac:dyDescent="0.2">
      <c r="A9" t="s">
        <v>81</v>
      </c>
      <c r="B9" t="s">
        <v>33</v>
      </c>
      <c r="C9" t="s">
        <v>41</v>
      </c>
      <c r="D9" t="s">
        <v>49</v>
      </c>
      <c r="E9" t="s">
        <v>37</v>
      </c>
      <c r="F9" t="s">
        <v>59</v>
      </c>
      <c r="G9" t="s">
        <v>47</v>
      </c>
      <c r="H9" t="s">
        <v>48</v>
      </c>
      <c r="I9">
        <v>0</v>
      </c>
      <c r="J9">
        <v>0</v>
      </c>
      <c r="K9">
        <v>1</v>
      </c>
      <c r="L9">
        <v>1</v>
      </c>
      <c r="M9">
        <v>0</v>
      </c>
      <c r="N9">
        <v>0</v>
      </c>
      <c r="O9">
        <v>1</v>
      </c>
      <c r="P9">
        <v>0</v>
      </c>
      <c r="Q9">
        <v>0</v>
      </c>
      <c r="R9">
        <v>0</v>
      </c>
      <c r="S9">
        <v>1</v>
      </c>
      <c r="T9">
        <v>0</v>
      </c>
      <c r="U9">
        <v>0</v>
      </c>
      <c r="V9">
        <v>0</v>
      </c>
    </row>
    <row r="10" spans="1:22" x14ac:dyDescent="0.2">
      <c r="A10" t="s">
        <v>81</v>
      </c>
      <c r="B10" t="s">
        <v>33</v>
      </c>
      <c r="C10" t="s">
        <v>41</v>
      </c>
      <c r="D10" t="s">
        <v>72</v>
      </c>
      <c r="E10" t="s">
        <v>37</v>
      </c>
      <c r="F10" t="s">
        <v>47</v>
      </c>
      <c r="G10" t="s">
        <v>46</v>
      </c>
      <c r="H10" t="s">
        <v>48</v>
      </c>
      <c r="I10">
        <v>0</v>
      </c>
      <c r="J10">
        <v>0</v>
      </c>
      <c r="K10">
        <v>1</v>
      </c>
      <c r="L10">
        <v>1</v>
      </c>
      <c r="M10">
        <v>1</v>
      </c>
      <c r="N10">
        <v>0</v>
      </c>
      <c r="O10">
        <v>1</v>
      </c>
      <c r="P10">
        <v>0</v>
      </c>
      <c r="Q10">
        <v>0</v>
      </c>
      <c r="R10">
        <v>0</v>
      </c>
      <c r="S10">
        <v>0</v>
      </c>
      <c r="T10">
        <v>1</v>
      </c>
      <c r="U10">
        <v>0</v>
      </c>
      <c r="V10">
        <v>0</v>
      </c>
    </row>
    <row r="11" spans="1:22" x14ac:dyDescent="0.2">
      <c r="A11" t="s">
        <v>81</v>
      </c>
      <c r="B11" t="s">
        <v>33</v>
      </c>
      <c r="C11" t="s">
        <v>41</v>
      </c>
      <c r="D11" t="s">
        <v>67</v>
      </c>
      <c r="E11" t="s">
        <v>37</v>
      </c>
      <c r="F11" t="s">
        <v>47</v>
      </c>
      <c r="G11" t="s">
        <v>48</v>
      </c>
      <c r="H11" t="s">
        <v>46</v>
      </c>
      <c r="I11">
        <v>0</v>
      </c>
      <c r="J11">
        <v>0</v>
      </c>
      <c r="K11">
        <v>1</v>
      </c>
      <c r="L11">
        <v>1</v>
      </c>
      <c r="M11">
        <v>1</v>
      </c>
      <c r="N11">
        <v>0</v>
      </c>
      <c r="O11">
        <v>1</v>
      </c>
      <c r="P11">
        <v>0</v>
      </c>
      <c r="Q11">
        <v>0</v>
      </c>
      <c r="R11">
        <v>1</v>
      </c>
      <c r="S11">
        <v>0</v>
      </c>
      <c r="T11">
        <v>0</v>
      </c>
      <c r="U11">
        <v>0</v>
      </c>
      <c r="V11">
        <v>0</v>
      </c>
    </row>
    <row r="12" spans="1:22" x14ac:dyDescent="0.2">
      <c r="A12" t="s">
        <v>81</v>
      </c>
      <c r="B12" t="s">
        <v>33</v>
      </c>
      <c r="C12" t="s">
        <v>41</v>
      </c>
      <c r="D12" t="s">
        <v>61</v>
      </c>
      <c r="E12" t="s">
        <v>37</v>
      </c>
      <c r="F12" t="s">
        <v>47</v>
      </c>
      <c r="G12" t="s">
        <v>48</v>
      </c>
      <c r="H12" t="s">
        <v>65</v>
      </c>
      <c r="I12">
        <v>0</v>
      </c>
      <c r="J12">
        <v>1</v>
      </c>
      <c r="K12">
        <v>1</v>
      </c>
      <c r="L12">
        <v>1</v>
      </c>
      <c r="M12">
        <v>0</v>
      </c>
      <c r="N12">
        <v>0</v>
      </c>
      <c r="O12">
        <v>1</v>
      </c>
      <c r="P12">
        <v>0</v>
      </c>
      <c r="Q12">
        <v>1</v>
      </c>
      <c r="R12">
        <v>0</v>
      </c>
      <c r="S12">
        <v>1</v>
      </c>
      <c r="T12">
        <v>0</v>
      </c>
      <c r="U12">
        <v>0</v>
      </c>
      <c r="V12">
        <v>0</v>
      </c>
    </row>
    <row r="13" spans="1:22" x14ac:dyDescent="0.2">
      <c r="A13" t="s">
        <v>91</v>
      </c>
      <c r="B13" t="s">
        <v>92</v>
      </c>
      <c r="C13" t="s">
        <v>41</v>
      </c>
      <c r="D13" t="s">
        <v>72</v>
      </c>
      <c r="E13" t="s">
        <v>37</v>
      </c>
      <c r="F13" t="s">
        <v>46</v>
      </c>
      <c r="G13" t="s">
        <v>48</v>
      </c>
      <c r="H13" t="s">
        <v>59</v>
      </c>
      <c r="I13">
        <v>0</v>
      </c>
      <c r="J13">
        <v>0</v>
      </c>
      <c r="K13">
        <v>1</v>
      </c>
      <c r="L13">
        <v>0</v>
      </c>
      <c r="M13">
        <v>1</v>
      </c>
      <c r="N13">
        <v>0</v>
      </c>
      <c r="O13">
        <v>1</v>
      </c>
      <c r="P13">
        <v>0</v>
      </c>
      <c r="Q13">
        <v>0</v>
      </c>
      <c r="R13">
        <v>1</v>
      </c>
      <c r="S13">
        <v>0</v>
      </c>
      <c r="T13">
        <v>0</v>
      </c>
      <c r="U13">
        <v>0</v>
      </c>
      <c r="V13">
        <v>0</v>
      </c>
    </row>
    <row r="14" spans="1:22" x14ac:dyDescent="0.2">
      <c r="A14" t="s">
        <v>91</v>
      </c>
      <c r="B14" t="s">
        <v>92</v>
      </c>
      <c r="C14" t="s">
        <v>41</v>
      </c>
      <c r="D14" t="s">
        <v>55</v>
      </c>
      <c r="E14" t="s">
        <v>37</v>
      </c>
      <c r="F14" t="s">
        <v>47</v>
      </c>
      <c r="G14" t="s">
        <v>48</v>
      </c>
      <c r="H14" t="s">
        <v>65</v>
      </c>
      <c r="I14">
        <v>0</v>
      </c>
      <c r="J14">
        <v>1</v>
      </c>
      <c r="K14">
        <v>1</v>
      </c>
      <c r="L14">
        <v>1</v>
      </c>
      <c r="M14">
        <v>0</v>
      </c>
      <c r="N14">
        <v>0</v>
      </c>
      <c r="O14">
        <v>1</v>
      </c>
      <c r="P14">
        <v>0</v>
      </c>
      <c r="Q14">
        <v>0</v>
      </c>
      <c r="R14">
        <v>1</v>
      </c>
      <c r="S14">
        <v>0</v>
      </c>
      <c r="T14">
        <v>0</v>
      </c>
      <c r="U14">
        <v>0</v>
      </c>
      <c r="V14">
        <v>0</v>
      </c>
    </row>
    <row r="15" spans="1:22" x14ac:dyDescent="0.2">
      <c r="A15" t="s">
        <v>91</v>
      </c>
      <c r="B15" t="s">
        <v>92</v>
      </c>
      <c r="C15" t="s">
        <v>41</v>
      </c>
      <c r="D15" t="s">
        <v>61</v>
      </c>
      <c r="E15" t="s">
        <v>37</v>
      </c>
      <c r="F15" t="s">
        <v>48</v>
      </c>
      <c r="G15" t="s">
        <v>59</v>
      </c>
      <c r="H15" t="s">
        <v>46</v>
      </c>
      <c r="I15">
        <v>0</v>
      </c>
      <c r="J15">
        <v>0</v>
      </c>
      <c r="K15">
        <v>1</v>
      </c>
      <c r="L15">
        <v>0</v>
      </c>
      <c r="M15">
        <v>1</v>
      </c>
      <c r="N15">
        <v>0</v>
      </c>
      <c r="O15">
        <v>1</v>
      </c>
      <c r="P15">
        <v>0</v>
      </c>
      <c r="Q15">
        <v>0</v>
      </c>
      <c r="R15">
        <v>0</v>
      </c>
      <c r="S15">
        <v>0</v>
      </c>
      <c r="T15">
        <v>1</v>
      </c>
      <c r="U15">
        <v>0</v>
      </c>
      <c r="V15">
        <v>0</v>
      </c>
    </row>
    <row r="16" spans="1:22" x14ac:dyDescent="0.2">
      <c r="A16" t="s">
        <v>91</v>
      </c>
      <c r="B16" t="s">
        <v>92</v>
      </c>
      <c r="C16" t="s">
        <v>41</v>
      </c>
      <c r="D16" t="s">
        <v>67</v>
      </c>
      <c r="E16" t="s">
        <v>37</v>
      </c>
      <c r="F16" t="s">
        <v>65</v>
      </c>
      <c r="G16" t="s">
        <v>46</v>
      </c>
      <c r="H16" t="s">
        <v>48</v>
      </c>
      <c r="I16">
        <v>0</v>
      </c>
      <c r="J16">
        <v>1</v>
      </c>
      <c r="K16">
        <v>1</v>
      </c>
      <c r="L16">
        <v>0</v>
      </c>
      <c r="M16">
        <v>1</v>
      </c>
      <c r="N16">
        <v>0</v>
      </c>
      <c r="O16">
        <v>1</v>
      </c>
      <c r="P16">
        <v>0</v>
      </c>
      <c r="Q16">
        <v>0</v>
      </c>
      <c r="R16">
        <v>0</v>
      </c>
      <c r="S16">
        <v>0</v>
      </c>
      <c r="T16">
        <v>1</v>
      </c>
      <c r="U16">
        <v>0</v>
      </c>
      <c r="V16">
        <v>0</v>
      </c>
    </row>
    <row r="17" spans="1:22" x14ac:dyDescent="0.2">
      <c r="A17" t="s">
        <v>91</v>
      </c>
      <c r="B17" t="s">
        <v>92</v>
      </c>
      <c r="C17" t="s">
        <v>41</v>
      </c>
      <c r="D17" t="s">
        <v>42</v>
      </c>
      <c r="E17" t="s">
        <v>37</v>
      </c>
      <c r="F17" t="s">
        <v>47</v>
      </c>
      <c r="G17" t="s">
        <v>48</v>
      </c>
      <c r="H17" t="s">
        <v>46</v>
      </c>
      <c r="I17">
        <v>0</v>
      </c>
      <c r="J17">
        <v>0</v>
      </c>
      <c r="K17">
        <v>1</v>
      </c>
      <c r="L17">
        <v>1</v>
      </c>
      <c r="M17">
        <v>1</v>
      </c>
      <c r="N17">
        <v>0</v>
      </c>
      <c r="O17">
        <v>1</v>
      </c>
      <c r="P17">
        <v>0</v>
      </c>
      <c r="Q17">
        <v>0</v>
      </c>
      <c r="R17">
        <v>0</v>
      </c>
      <c r="S17">
        <v>0</v>
      </c>
      <c r="T17">
        <v>1</v>
      </c>
      <c r="U17">
        <v>0</v>
      </c>
      <c r="V17">
        <v>0</v>
      </c>
    </row>
    <row r="18" spans="1:22" x14ac:dyDescent="0.2">
      <c r="A18" t="s">
        <v>101</v>
      </c>
      <c r="B18" t="s">
        <v>33</v>
      </c>
      <c r="C18" t="s">
        <v>41</v>
      </c>
      <c r="D18" t="s">
        <v>42</v>
      </c>
      <c r="E18" t="s">
        <v>37</v>
      </c>
      <c r="F18" t="s">
        <v>48</v>
      </c>
      <c r="G18" t="s">
        <v>59</v>
      </c>
      <c r="H18" t="s">
        <v>47</v>
      </c>
      <c r="I18">
        <v>0</v>
      </c>
      <c r="J18">
        <v>0</v>
      </c>
      <c r="K18">
        <v>1</v>
      </c>
      <c r="L18">
        <v>1</v>
      </c>
      <c r="M18">
        <v>0</v>
      </c>
      <c r="N18">
        <v>0</v>
      </c>
      <c r="O18">
        <v>1</v>
      </c>
      <c r="P18">
        <v>0</v>
      </c>
      <c r="Q18">
        <v>0</v>
      </c>
      <c r="R18">
        <v>0</v>
      </c>
      <c r="S18">
        <v>1</v>
      </c>
      <c r="T18">
        <v>0</v>
      </c>
      <c r="U18">
        <v>0</v>
      </c>
      <c r="V18">
        <v>0</v>
      </c>
    </row>
    <row r="19" spans="1:22" x14ac:dyDescent="0.2">
      <c r="A19" t="s">
        <v>101</v>
      </c>
      <c r="B19" t="s">
        <v>33</v>
      </c>
      <c r="C19" t="s">
        <v>41</v>
      </c>
      <c r="D19" t="s">
        <v>49</v>
      </c>
      <c r="E19" t="s">
        <v>37</v>
      </c>
      <c r="F19" t="s">
        <v>65</v>
      </c>
      <c r="G19" t="s">
        <v>48</v>
      </c>
      <c r="H19" t="s">
        <v>47</v>
      </c>
      <c r="I19">
        <v>0</v>
      </c>
      <c r="J19">
        <v>1</v>
      </c>
      <c r="K19">
        <v>1</v>
      </c>
      <c r="L19">
        <v>1</v>
      </c>
      <c r="M19">
        <v>0</v>
      </c>
      <c r="N19">
        <v>0</v>
      </c>
      <c r="O19">
        <v>1</v>
      </c>
      <c r="P19">
        <v>0</v>
      </c>
      <c r="Q19">
        <v>0</v>
      </c>
      <c r="R19">
        <v>0</v>
      </c>
      <c r="S19">
        <v>1</v>
      </c>
      <c r="T19">
        <v>0</v>
      </c>
      <c r="U19">
        <v>0</v>
      </c>
      <c r="V19">
        <v>0</v>
      </c>
    </row>
    <row r="20" spans="1:22" x14ac:dyDescent="0.2">
      <c r="A20" t="s">
        <v>101</v>
      </c>
      <c r="B20" t="s">
        <v>33</v>
      </c>
      <c r="C20" t="s">
        <v>41</v>
      </c>
      <c r="D20" t="s">
        <v>55</v>
      </c>
      <c r="E20" t="s">
        <v>37</v>
      </c>
      <c r="F20" t="s">
        <v>48</v>
      </c>
      <c r="G20" t="s">
        <v>59</v>
      </c>
      <c r="H20" t="s">
        <v>46</v>
      </c>
      <c r="I20">
        <v>0</v>
      </c>
      <c r="J20">
        <v>0</v>
      </c>
      <c r="K20">
        <v>1</v>
      </c>
      <c r="L20">
        <v>0</v>
      </c>
      <c r="M20">
        <v>1</v>
      </c>
      <c r="N20">
        <v>0</v>
      </c>
      <c r="O20">
        <v>1</v>
      </c>
      <c r="P20">
        <v>0</v>
      </c>
      <c r="Q20">
        <v>0</v>
      </c>
      <c r="R20">
        <v>0</v>
      </c>
      <c r="S20">
        <v>0</v>
      </c>
      <c r="T20">
        <v>0</v>
      </c>
      <c r="U20">
        <v>0</v>
      </c>
      <c r="V20">
        <v>0</v>
      </c>
    </row>
    <row r="21" spans="1:22" x14ac:dyDescent="0.2">
      <c r="A21" t="s">
        <v>101</v>
      </c>
      <c r="B21" t="s">
        <v>33</v>
      </c>
      <c r="C21" t="s">
        <v>41</v>
      </c>
      <c r="D21" t="s">
        <v>72</v>
      </c>
      <c r="E21" t="s">
        <v>37</v>
      </c>
      <c r="F21" t="s">
        <v>60</v>
      </c>
      <c r="G21" t="s">
        <v>59</v>
      </c>
      <c r="H21" t="s">
        <v>48</v>
      </c>
      <c r="I21">
        <v>1</v>
      </c>
      <c r="J21">
        <v>0</v>
      </c>
      <c r="K21">
        <v>1</v>
      </c>
      <c r="L21">
        <v>0</v>
      </c>
      <c r="M21">
        <v>0</v>
      </c>
      <c r="N21">
        <v>0</v>
      </c>
      <c r="O21">
        <v>1</v>
      </c>
      <c r="P21">
        <v>0</v>
      </c>
      <c r="Q21">
        <v>0</v>
      </c>
      <c r="R21">
        <v>1</v>
      </c>
      <c r="S21">
        <v>0</v>
      </c>
      <c r="T21">
        <v>0</v>
      </c>
      <c r="U21">
        <v>0</v>
      </c>
      <c r="V21">
        <v>0</v>
      </c>
    </row>
    <row r="22" spans="1:22" x14ac:dyDescent="0.2">
      <c r="A22" t="s">
        <v>107</v>
      </c>
      <c r="B22" t="s">
        <v>108</v>
      </c>
      <c r="C22" t="s">
        <v>41</v>
      </c>
      <c r="D22" t="s">
        <v>55</v>
      </c>
      <c r="E22" t="s">
        <v>37</v>
      </c>
      <c r="F22" t="s">
        <v>60</v>
      </c>
      <c r="G22" t="s">
        <v>47</v>
      </c>
      <c r="H22" t="s">
        <v>48</v>
      </c>
      <c r="I22">
        <v>1</v>
      </c>
      <c r="J22">
        <v>0</v>
      </c>
      <c r="K22">
        <v>1</v>
      </c>
      <c r="L22">
        <v>1</v>
      </c>
      <c r="M22">
        <v>0</v>
      </c>
      <c r="N22">
        <v>0</v>
      </c>
      <c r="O22">
        <v>1</v>
      </c>
      <c r="P22">
        <v>0</v>
      </c>
      <c r="Q22">
        <v>0</v>
      </c>
      <c r="R22">
        <v>0</v>
      </c>
      <c r="S22">
        <v>0</v>
      </c>
      <c r="T22">
        <v>0</v>
      </c>
      <c r="U22">
        <v>0</v>
      </c>
      <c r="V22">
        <v>1</v>
      </c>
    </row>
    <row r="23" spans="1:22" x14ac:dyDescent="0.2">
      <c r="A23" t="s">
        <v>107</v>
      </c>
      <c r="B23" t="s">
        <v>108</v>
      </c>
      <c r="C23" t="s">
        <v>41</v>
      </c>
      <c r="D23" t="s">
        <v>42</v>
      </c>
      <c r="E23" t="s">
        <v>37</v>
      </c>
      <c r="F23" t="s">
        <v>47</v>
      </c>
      <c r="G23" t="s">
        <v>46</v>
      </c>
      <c r="H23" t="s">
        <v>48</v>
      </c>
      <c r="I23">
        <v>0</v>
      </c>
      <c r="J23">
        <v>0</v>
      </c>
      <c r="K23">
        <v>1</v>
      </c>
      <c r="L23">
        <v>1</v>
      </c>
      <c r="M23">
        <v>1</v>
      </c>
      <c r="N23">
        <v>0</v>
      </c>
      <c r="O23">
        <v>1</v>
      </c>
      <c r="P23">
        <v>0</v>
      </c>
      <c r="Q23">
        <v>0</v>
      </c>
      <c r="R23">
        <v>0</v>
      </c>
      <c r="S23">
        <v>1</v>
      </c>
      <c r="T23">
        <v>0</v>
      </c>
      <c r="U23">
        <v>0</v>
      </c>
      <c r="V23">
        <v>0</v>
      </c>
    </row>
    <row r="24" spans="1:22" x14ac:dyDescent="0.2">
      <c r="A24" t="s">
        <v>107</v>
      </c>
      <c r="B24" t="s">
        <v>108</v>
      </c>
      <c r="C24" t="s">
        <v>41</v>
      </c>
      <c r="D24" t="s">
        <v>72</v>
      </c>
      <c r="E24" t="s">
        <v>37</v>
      </c>
      <c r="F24" t="s">
        <v>60</v>
      </c>
      <c r="G24" t="s">
        <v>48</v>
      </c>
      <c r="H24" t="s">
        <v>46</v>
      </c>
      <c r="I24">
        <v>1</v>
      </c>
      <c r="J24">
        <v>0</v>
      </c>
      <c r="K24">
        <v>1</v>
      </c>
      <c r="L24">
        <v>0</v>
      </c>
      <c r="M24">
        <v>1</v>
      </c>
      <c r="N24">
        <v>0</v>
      </c>
      <c r="O24">
        <v>1</v>
      </c>
      <c r="P24">
        <v>0</v>
      </c>
      <c r="Q24">
        <v>0</v>
      </c>
      <c r="R24">
        <v>0</v>
      </c>
      <c r="S24">
        <v>0</v>
      </c>
      <c r="T24">
        <v>0</v>
      </c>
      <c r="U24">
        <v>0</v>
      </c>
      <c r="V24">
        <v>1</v>
      </c>
    </row>
    <row r="25" spans="1:22" x14ac:dyDescent="0.2">
      <c r="A25" t="s">
        <v>113</v>
      </c>
      <c r="B25" t="s">
        <v>108</v>
      </c>
      <c r="C25" t="s">
        <v>41</v>
      </c>
      <c r="D25" t="s">
        <v>55</v>
      </c>
      <c r="E25" t="s">
        <v>37</v>
      </c>
      <c r="F25" t="s">
        <v>65</v>
      </c>
      <c r="G25" t="s">
        <v>48</v>
      </c>
      <c r="H25" t="s">
        <v>46</v>
      </c>
      <c r="I25">
        <v>0</v>
      </c>
      <c r="J25">
        <v>1</v>
      </c>
      <c r="K25">
        <v>1</v>
      </c>
      <c r="L25">
        <v>0</v>
      </c>
      <c r="M25">
        <v>1</v>
      </c>
      <c r="N25">
        <v>0</v>
      </c>
      <c r="O25">
        <v>1</v>
      </c>
      <c r="P25">
        <v>0</v>
      </c>
      <c r="Q25">
        <v>0</v>
      </c>
      <c r="R25">
        <v>0</v>
      </c>
      <c r="S25">
        <v>0</v>
      </c>
      <c r="T25">
        <v>0</v>
      </c>
      <c r="U25">
        <v>0</v>
      </c>
      <c r="V25">
        <v>1</v>
      </c>
    </row>
    <row r="26" spans="1:22" x14ac:dyDescent="0.2">
      <c r="A26" t="s">
        <v>113</v>
      </c>
      <c r="B26" t="s">
        <v>108</v>
      </c>
      <c r="C26" t="s">
        <v>41</v>
      </c>
      <c r="D26" t="s">
        <v>72</v>
      </c>
      <c r="E26" t="s">
        <v>37</v>
      </c>
      <c r="F26" t="s">
        <v>48</v>
      </c>
      <c r="G26" t="s">
        <v>47</v>
      </c>
      <c r="H26" t="s">
        <v>65</v>
      </c>
      <c r="I26">
        <v>0</v>
      </c>
      <c r="J26">
        <v>1</v>
      </c>
      <c r="K26">
        <v>1</v>
      </c>
      <c r="L26">
        <v>1</v>
      </c>
      <c r="M26">
        <v>0</v>
      </c>
      <c r="N26">
        <v>0</v>
      </c>
      <c r="O26">
        <v>1</v>
      </c>
      <c r="P26">
        <v>0</v>
      </c>
      <c r="Q26">
        <v>0</v>
      </c>
      <c r="R26">
        <v>0</v>
      </c>
      <c r="S26">
        <v>0</v>
      </c>
      <c r="T26">
        <v>0</v>
      </c>
      <c r="U26">
        <v>0</v>
      </c>
      <c r="V26">
        <v>1</v>
      </c>
    </row>
    <row r="27" spans="1:22" x14ac:dyDescent="0.2">
      <c r="A27" t="s">
        <v>113</v>
      </c>
      <c r="B27" t="s">
        <v>108</v>
      </c>
      <c r="C27" t="s">
        <v>41</v>
      </c>
      <c r="D27" t="s">
        <v>42</v>
      </c>
      <c r="E27" t="s">
        <v>37</v>
      </c>
      <c r="F27" t="s">
        <v>48</v>
      </c>
      <c r="G27" t="s">
        <v>65</v>
      </c>
      <c r="H27" t="s">
        <v>60</v>
      </c>
      <c r="I27">
        <v>1</v>
      </c>
      <c r="J27">
        <v>1</v>
      </c>
      <c r="K27">
        <v>1</v>
      </c>
      <c r="L27">
        <v>0</v>
      </c>
      <c r="M27">
        <v>0</v>
      </c>
      <c r="N27">
        <v>0</v>
      </c>
      <c r="O27">
        <v>1</v>
      </c>
      <c r="P27">
        <v>0</v>
      </c>
      <c r="Q27">
        <v>0</v>
      </c>
      <c r="R27">
        <v>0</v>
      </c>
      <c r="S27">
        <v>0</v>
      </c>
      <c r="T27">
        <v>0</v>
      </c>
      <c r="U27">
        <v>0</v>
      </c>
      <c r="V27">
        <v>1</v>
      </c>
    </row>
    <row r="28" spans="1:22" x14ac:dyDescent="0.2">
      <c r="A28" t="s">
        <v>113</v>
      </c>
      <c r="B28" t="s">
        <v>108</v>
      </c>
      <c r="C28" t="s">
        <v>41</v>
      </c>
      <c r="D28" t="s">
        <v>67</v>
      </c>
      <c r="E28" t="s">
        <v>37</v>
      </c>
      <c r="F28" t="s">
        <v>48</v>
      </c>
      <c r="G28" t="s">
        <v>46</v>
      </c>
      <c r="H28" t="s">
        <v>47</v>
      </c>
      <c r="I28">
        <v>0</v>
      </c>
      <c r="J28">
        <v>0</v>
      </c>
      <c r="K28">
        <v>1</v>
      </c>
      <c r="L28">
        <v>1</v>
      </c>
      <c r="M28">
        <v>1</v>
      </c>
      <c r="N28">
        <v>0</v>
      </c>
      <c r="O28">
        <v>1</v>
      </c>
      <c r="P28">
        <v>0</v>
      </c>
      <c r="Q28">
        <v>0</v>
      </c>
      <c r="R28">
        <v>0</v>
      </c>
      <c r="S28">
        <v>0</v>
      </c>
      <c r="T28">
        <v>1</v>
      </c>
      <c r="U28">
        <v>0</v>
      </c>
      <c r="V28">
        <v>0</v>
      </c>
    </row>
    <row r="29" spans="1:22" x14ac:dyDescent="0.2">
      <c r="A29" t="s">
        <v>120</v>
      </c>
      <c r="B29" t="s">
        <v>108</v>
      </c>
      <c r="C29" t="s">
        <v>41</v>
      </c>
      <c r="D29" t="s">
        <v>72</v>
      </c>
      <c r="E29" t="s">
        <v>37</v>
      </c>
      <c r="F29" t="s">
        <v>48</v>
      </c>
      <c r="G29" t="s">
        <v>59</v>
      </c>
      <c r="H29" t="s">
        <v>65</v>
      </c>
      <c r="I29">
        <v>0</v>
      </c>
      <c r="J29">
        <v>1</v>
      </c>
      <c r="K29">
        <v>1</v>
      </c>
      <c r="L29">
        <v>0</v>
      </c>
      <c r="M29">
        <v>0</v>
      </c>
      <c r="N29">
        <v>0</v>
      </c>
      <c r="O29">
        <v>1</v>
      </c>
      <c r="P29">
        <v>0</v>
      </c>
      <c r="Q29">
        <v>0</v>
      </c>
      <c r="R29">
        <v>0</v>
      </c>
      <c r="S29">
        <v>0</v>
      </c>
      <c r="T29">
        <v>0</v>
      </c>
      <c r="U29">
        <v>0</v>
      </c>
      <c r="V29">
        <v>1</v>
      </c>
    </row>
    <row r="30" spans="1:22" x14ac:dyDescent="0.2">
      <c r="A30" t="s">
        <v>120</v>
      </c>
      <c r="B30" t="s">
        <v>108</v>
      </c>
      <c r="C30" t="s">
        <v>41</v>
      </c>
      <c r="D30" t="s">
        <v>67</v>
      </c>
      <c r="E30" t="s">
        <v>37</v>
      </c>
      <c r="F30" t="s">
        <v>46</v>
      </c>
      <c r="G30" t="s">
        <v>48</v>
      </c>
      <c r="H30" t="s">
        <v>65</v>
      </c>
      <c r="I30">
        <v>0</v>
      </c>
      <c r="J30">
        <v>1</v>
      </c>
      <c r="K30">
        <v>1</v>
      </c>
      <c r="L30">
        <v>0</v>
      </c>
      <c r="M30">
        <v>1</v>
      </c>
      <c r="N30">
        <v>0</v>
      </c>
      <c r="O30">
        <v>1</v>
      </c>
      <c r="P30">
        <v>0</v>
      </c>
      <c r="Q30">
        <v>0</v>
      </c>
      <c r="R30">
        <v>0</v>
      </c>
      <c r="S30">
        <v>0</v>
      </c>
      <c r="T30">
        <v>0</v>
      </c>
      <c r="U30">
        <v>0</v>
      </c>
      <c r="V30">
        <v>1</v>
      </c>
    </row>
    <row r="31" spans="1:22" x14ac:dyDescent="0.2">
      <c r="A31" t="s">
        <v>120</v>
      </c>
      <c r="B31" t="s">
        <v>108</v>
      </c>
      <c r="C31" t="s">
        <v>41</v>
      </c>
      <c r="D31" t="s">
        <v>61</v>
      </c>
      <c r="E31" t="s">
        <v>37</v>
      </c>
      <c r="F31" t="s">
        <v>46</v>
      </c>
      <c r="G31" t="s">
        <v>65</v>
      </c>
      <c r="H31" t="s">
        <v>48</v>
      </c>
      <c r="I31">
        <v>0</v>
      </c>
      <c r="J31">
        <v>1</v>
      </c>
      <c r="K31">
        <v>1</v>
      </c>
      <c r="L31">
        <v>0</v>
      </c>
      <c r="M31">
        <v>1</v>
      </c>
      <c r="N31">
        <v>0</v>
      </c>
      <c r="O31">
        <v>1</v>
      </c>
      <c r="P31">
        <v>0</v>
      </c>
      <c r="Q31">
        <v>0</v>
      </c>
      <c r="R31">
        <v>0</v>
      </c>
      <c r="S31">
        <v>0</v>
      </c>
      <c r="T31">
        <v>0</v>
      </c>
      <c r="U31">
        <v>0</v>
      </c>
      <c r="V31">
        <v>1</v>
      </c>
    </row>
    <row r="32" spans="1:22" x14ac:dyDescent="0.2">
      <c r="A32" t="s">
        <v>124</v>
      </c>
      <c r="B32" t="s">
        <v>33</v>
      </c>
      <c r="C32" t="s">
        <v>41</v>
      </c>
      <c r="D32" t="s">
        <v>42</v>
      </c>
      <c r="E32" t="s">
        <v>37</v>
      </c>
      <c r="F32" t="s">
        <v>48</v>
      </c>
      <c r="G32" t="s">
        <v>46</v>
      </c>
      <c r="H32" t="s">
        <v>65</v>
      </c>
      <c r="I32">
        <v>0</v>
      </c>
      <c r="J32">
        <v>1</v>
      </c>
      <c r="K32">
        <v>1</v>
      </c>
      <c r="L32">
        <v>0</v>
      </c>
      <c r="M32">
        <v>1</v>
      </c>
      <c r="N32">
        <v>0</v>
      </c>
      <c r="O32">
        <v>1</v>
      </c>
      <c r="P32">
        <v>0</v>
      </c>
      <c r="Q32">
        <v>1</v>
      </c>
      <c r="R32">
        <v>0</v>
      </c>
      <c r="S32">
        <v>0</v>
      </c>
      <c r="T32">
        <v>0</v>
      </c>
      <c r="U32">
        <v>0</v>
      </c>
      <c r="V32">
        <v>0</v>
      </c>
    </row>
    <row r="33" spans="1:22" x14ac:dyDescent="0.2">
      <c r="A33" t="s">
        <v>129</v>
      </c>
      <c r="B33" t="s">
        <v>33</v>
      </c>
      <c r="C33" t="s">
        <v>41</v>
      </c>
      <c r="D33" t="s">
        <v>72</v>
      </c>
      <c r="E33" t="s">
        <v>37</v>
      </c>
      <c r="F33" t="s">
        <v>59</v>
      </c>
      <c r="G33" t="s">
        <v>46</v>
      </c>
      <c r="H33" t="s">
        <v>48</v>
      </c>
      <c r="I33">
        <v>0</v>
      </c>
      <c r="J33">
        <v>0</v>
      </c>
      <c r="K33">
        <v>1</v>
      </c>
      <c r="L33">
        <v>0</v>
      </c>
      <c r="M33">
        <v>1</v>
      </c>
      <c r="N33">
        <v>0</v>
      </c>
      <c r="O33">
        <v>1</v>
      </c>
      <c r="P33">
        <v>0</v>
      </c>
      <c r="Q33">
        <v>0</v>
      </c>
      <c r="R33">
        <v>1</v>
      </c>
      <c r="S33">
        <v>0</v>
      </c>
      <c r="T33">
        <v>0</v>
      </c>
      <c r="U33">
        <v>0</v>
      </c>
      <c r="V33">
        <v>0</v>
      </c>
    </row>
    <row r="34" spans="1:22" x14ac:dyDescent="0.2">
      <c r="A34" t="s">
        <v>129</v>
      </c>
      <c r="B34" t="s">
        <v>33</v>
      </c>
      <c r="C34" t="s">
        <v>41</v>
      </c>
      <c r="D34" t="s">
        <v>55</v>
      </c>
      <c r="E34" t="s">
        <v>37</v>
      </c>
      <c r="F34" t="s">
        <v>47</v>
      </c>
      <c r="G34" t="s">
        <v>46</v>
      </c>
      <c r="H34" t="s">
        <v>48</v>
      </c>
      <c r="I34">
        <v>0</v>
      </c>
      <c r="J34">
        <v>0</v>
      </c>
      <c r="K34">
        <v>1</v>
      </c>
      <c r="L34">
        <v>1</v>
      </c>
      <c r="M34">
        <v>1</v>
      </c>
      <c r="N34">
        <v>0</v>
      </c>
      <c r="O34">
        <v>1</v>
      </c>
      <c r="P34">
        <v>0</v>
      </c>
      <c r="Q34">
        <v>0</v>
      </c>
      <c r="R34">
        <v>1</v>
      </c>
      <c r="S34">
        <v>1</v>
      </c>
      <c r="T34">
        <v>1</v>
      </c>
      <c r="U34">
        <v>0</v>
      </c>
      <c r="V34">
        <v>0</v>
      </c>
    </row>
    <row r="35" spans="1:22" x14ac:dyDescent="0.2">
      <c r="A35" t="s">
        <v>129</v>
      </c>
      <c r="B35" t="s">
        <v>33</v>
      </c>
      <c r="C35" t="s">
        <v>41</v>
      </c>
      <c r="D35" t="s">
        <v>67</v>
      </c>
      <c r="E35" t="s">
        <v>37</v>
      </c>
      <c r="F35" t="s">
        <v>47</v>
      </c>
      <c r="G35" t="s">
        <v>48</v>
      </c>
      <c r="H35" t="s">
        <v>46</v>
      </c>
      <c r="I35">
        <v>0</v>
      </c>
      <c r="J35">
        <v>0</v>
      </c>
      <c r="K35">
        <v>1</v>
      </c>
      <c r="L35">
        <v>1</v>
      </c>
      <c r="M35">
        <v>1</v>
      </c>
      <c r="N35">
        <v>0</v>
      </c>
      <c r="O35">
        <v>1</v>
      </c>
      <c r="P35">
        <v>0</v>
      </c>
      <c r="Q35">
        <v>0</v>
      </c>
      <c r="R35">
        <v>1</v>
      </c>
      <c r="S35">
        <v>1</v>
      </c>
      <c r="T35">
        <v>1</v>
      </c>
      <c r="U35">
        <v>0</v>
      </c>
      <c r="V35">
        <v>0</v>
      </c>
    </row>
    <row r="36" spans="1:22" x14ac:dyDescent="0.2">
      <c r="A36" t="s">
        <v>129</v>
      </c>
      <c r="B36" t="s">
        <v>33</v>
      </c>
      <c r="C36" t="s">
        <v>41</v>
      </c>
      <c r="D36" t="s">
        <v>61</v>
      </c>
      <c r="E36" t="s">
        <v>37</v>
      </c>
      <c r="F36" t="s">
        <v>46</v>
      </c>
      <c r="G36" t="s">
        <v>48</v>
      </c>
      <c r="H36" t="s">
        <v>47</v>
      </c>
      <c r="I36">
        <v>0</v>
      </c>
      <c r="J36">
        <v>0</v>
      </c>
      <c r="K36">
        <v>1</v>
      </c>
      <c r="L36">
        <v>1</v>
      </c>
      <c r="M36">
        <v>1</v>
      </c>
      <c r="N36">
        <v>0</v>
      </c>
      <c r="O36">
        <v>1</v>
      </c>
      <c r="P36">
        <v>0</v>
      </c>
      <c r="Q36">
        <v>0</v>
      </c>
      <c r="R36">
        <v>1</v>
      </c>
      <c r="S36">
        <v>1</v>
      </c>
      <c r="T36">
        <v>1</v>
      </c>
      <c r="U36">
        <v>0</v>
      </c>
      <c r="V36">
        <v>0</v>
      </c>
    </row>
    <row r="37" spans="1:22" x14ac:dyDescent="0.2">
      <c r="A37" t="s">
        <v>133</v>
      </c>
      <c r="B37" t="s">
        <v>108</v>
      </c>
      <c r="C37" t="s">
        <v>41</v>
      </c>
      <c r="D37" t="s">
        <v>55</v>
      </c>
      <c r="E37" t="s">
        <v>37</v>
      </c>
      <c r="F37" t="s">
        <v>59</v>
      </c>
      <c r="G37" t="s">
        <v>48</v>
      </c>
      <c r="H37" t="s">
        <v>46</v>
      </c>
      <c r="I37">
        <v>0</v>
      </c>
      <c r="J37">
        <v>0</v>
      </c>
      <c r="K37">
        <v>1</v>
      </c>
      <c r="L37">
        <v>0</v>
      </c>
      <c r="M37">
        <v>1</v>
      </c>
      <c r="N37">
        <v>0</v>
      </c>
      <c r="O37">
        <v>1</v>
      </c>
      <c r="P37">
        <v>0</v>
      </c>
      <c r="Q37">
        <v>0</v>
      </c>
      <c r="R37">
        <v>0</v>
      </c>
      <c r="S37">
        <v>0</v>
      </c>
      <c r="T37">
        <v>0</v>
      </c>
      <c r="U37">
        <v>0</v>
      </c>
      <c r="V37">
        <v>1</v>
      </c>
    </row>
    <row r="38" spans="1:22" x14ac:dyDescent="0.2">
      <c r="A38" t="s">
        <v>133</v>
      </c>
      <c r="B38" t="s">
        <v>108</v>
      </c>
      <c r="C38" t="s">
        <v>41</v>
      </c>
      <c r="D38" t="s">
        <v>42</v>
      </c>
      <c r="E38" t="s">
        <v>37</v>
      </c>
      <c r="F38" t="s">
        <v>48</v>
      </c>
      <c r="G38" t="s">
        <v>65</v>
      </c>
      <c r="H38" t="s">
        <v>60</v>
      </c>
      <c r="I38">
        <v>1</v>
      </c>
      <c r="J38">
        <v>1</v>
      </c>
      <c r="K38">
        <v>1</v>
      </c>
      <c r="L38">
        <v>0</v>
      </c>
      <c r="M38">
        <v>0</v>
      </c>
      <c r="N38">
        <v>0</v>
      </c>
      <c r="O38">
        <v>1</v>
      </c>
      <c r="P38">
        <v>1</v>
      </c>
      <c r="Q38">
        <v>1</v>
      </c>
      <c r="R38">
        <v>1</v>
      </c>
      <c r="S38">
        <v>0</v>
      </c>
      <c r="T38">
        <v>0</v>
      </c>
      <c r="U38">
        <v>0</v>
      </c>
      <c r="V38">
        <v>0</v>
      </c>
    </row>
    <row r="39" spans="1:22" x14ac:dyDescent="0.2">
      <c r="A39" t="s">
        <v>133</v>
      </c>
      <c r="B39" t="s">
        <v>108</v>
      </c>
      <c r="C39" t="s">
        <v>41</v>
      </c>
      <c r="D39" t="s">
        <v>67</v>
      </c>
      <c r="E39" t="s">
        <v>37</v>
      </c>
      <c r="F39" t="s">
        <v>48</v>
      </c>
      <c r="G39" t="s">
        <v>47</v>
      </c>
      <c r="H39" t="s">
        <v>65</v>
      </c>
      <c r="I39">
        <v>0</v>
      </c>
      <c r="J39">
        <v>1</v>
      </c>
      <c r="K39">
        <v>1</v>
      </c>
      <c r="L39">
        <v>1</v>
      </c>
      <c r="M39">
        <v>0</v>
      </c>
      <c r="N39">
        <v>0</v>
      </c>
      <c r="O39">
        <v>1</v>
      </c>
      <c r="P39">
        <v>0</v>
      </c>
      <c r="Q39">
        <v>1</v>
      </c>
      <c r="R39">
        <v>0</v>
      </c>
      <c r="S39">
        <v>0</v>
      </c>
      <c r="T39">
        <v>0</v>
      </c>
      <c r="U39">
        <v>0</v>
      </c>
      <c r="V39">
        <v>0</v>
      </c>
    </row>
    <row r="40" spans="1:22" x14ac:dyDescent="0.2">
      <c r="A40" t="s">
        <v>137</v>
      </c>
      <c r="B40" t="s">
        <v>108</v>
      </c>
      <c r="C40" t="s">
        <v>41</v>
      </c>
      <c r="D40" t="s">
        <v>49</v>
      </c>
      <c r="E40" t="s">
        <v>37</v>
      </c>
      <c r="F40" t="s">
        <v>65</v>
      </c>
      <c r="G40" t="s">
        <v>48</v>
      </c>
      <c r="H40" t="s">
        <v>47</v>
      </c>
      <c r="I40">
        <v>0</v>
      </c>
      <c r="J40">
        <v>1</v>
      </c>
      <c r="K40">
        <v>1</v>
      </c>
      <c r="L40">
        <v>1</v>
      </c>
      <c r="M40">
        <v>0</v>
      </c>
      <c r="N40">
        <v>0</v>
      </c>
      <c r="O40">
        <v>1</v>
      </c>
      <c r="P40">
        <v>0</v>
      </c>
      <c r="Q40">
        <v>1</v>
      </c>
      <c r="R40">
        <v>0</v>
      </c>
      <c r="S40">
        <v>0</v>
      </c>
      <c r="T40">
        <v>0</v>
      </c>
      <c r="U40">
        <v>0</v>
      </c>
      <c r="V40">
        <v>0</v>
      </c>
    </row>
    <row r="41" spans="1:22" x14ac:dyDescent="0.2">
      <c r="A41" t="s">
        <v>137</v>
      </c>
      <c r="B41" t="s">
        <v>108</v>
      </c>
      <c r="C41" t="s">
        <v>41</v>
      </c>
      <c r="D41" t="s">
        <v>72</v>
      </c>
      <c r="E41" t="s">
        <v>37</v>
      </c>
      <c r="F41" t="s">
        <v>47</v>
      </c>
      <c r="G41" t="s">
        <v>48</v>
      </c>
      <c r="H41" t="s">
        <v>65</v>
      </c>
      <c r="I41">
        <v>0</v>
      </c>
      <c r="J41">
        <v>1</v>
      </c>
      <c r="K41">
        <v>1</v>
      </c>
      <c r="L41">
        <v>1</v>
      </c>
      <c r="M41">
        <v>0</v>
      </c>
      <c r="N41">
        <v>0</v>
      </c>
      <c r="O41">
        <v>1</v>
      </c>
      <c r="P41">
        <v>0</v>
      </c>
      <c r="Q41">
        <v>0</v>
      </c>
      <c r="R41">
        <v>0</v>
      </c>
      <c r="S41">
        <v>0</v>
      </c>
      <c r="T41">
        <v>0</v>
      </c>
      <c r="U41">
        <v>0</v>
      </c>
      <c r="V41">
        <v>1</v>
      </c>
    </row>
    <row r="42" spans="1:22" x14ac:dyDescent="0.2">
      <c r="A42" t="s">
        <v>137</v>
      </c>
      <c r="B42" t="s">
        <v>108</v>
      </c>
      <c r="C42" t="s">
        <v>41</v>
      </c>
      <c r="D42" t="s">
        <v>67</v>
      </c>
      <c r="E42" t="s">
        <v>37</v>
      </c>
      <c r="F42" t="s">
        <v>60</v>
      </c>
      <c r="G42" t="s">
        <v>48</v>
      </c>
      <c r="H42" t="s">
        <v>46</v>
      </c>
      <c r="I42">
        <v>1</v>
      </c>
      <c r="J42">
        <v>0</v>
      </c>
      <c r="K42">
        <v>1</v>
      </c>
      <c r="L42">
        <v>0</v>
      </c>
      <c r="M42">
        <v>1</v>
      </c>
      <c r="N42">
        <v>0</v>
      </c>
      <c r="O42">
        <v>1</v>
      </c>
      <c r="P42">
        <v>0</v>
      </c>
      <c r="Q42">
        <v>0</v>
      </c>
      <c r="R42">
        <v>0</v>
      </c>
      <c r="S42">
        <v>0</v>
      </c>
      <c r="T42">
        <v>0</v>
      </c>
      <c r="U42">
        <v>0</v>
      </c>
      <c r="V42">
        <v>1</v>
      </c>
    </row>
    <row r="43" spans="1:22" x14ac:dyDescent="0.2">
      <c r="A43" t="s">
        <v>141</v>
      </c>
      <c r="B43" t="s">
        <v>108</v>
      </c>
      <c r="C43" t="s">
        <v>41</v>
      </c>
      <c r="D43" t="s">
        <v>67</v>
      </c>
      <c r="E43" t="s">
        <v>37</v>
      </c>
      <c r="F43" t="s">
        <v>47</v>
      </c>
      <c r="G43" t="s">
        <v>48</v>
      </c>
      <c r="H43" t="s">
        <v>60</v>
      </c>
      <c r="I43">
        <v>1</v>
      </c>
      <c r="J43">
        <v>0</v>
      </c>
      <c r="K43">
        <v>1</v>
      </c>
      <c r="L43">
        <v>1</v>
      </c>
      <c r="M43">
        <v>0</v>
      </c>
      <c r="N43">
        <v>0</v>
      </c>
      <c r="O43">
        <v>1</v>
      </c>
      <c r="P43">
        <v>0</v>
      </c>
      <c r="Q43">
        <v>0</v>
      </c>
      <c r="R43">
        <v>0</v>
      </c>
      <c r="S43">
        <v>0</v>
      </c>
      <c r="T43">
        <v>0</v>
      </c>
      <c r="U43">
        <v>0</v>
      </c>
      <c r="V43">
        <v>1</v>
      </c>
    </row>
    <row r="44" spans="1:22" x14ac:dyDescent="0.2">
      <c r="A44" t="s">
        <v>141</v>
      </c>
      <c r="B44" t="s">
        <v>108</v>
      </c>
      <c r="C44" t="s">
        <v>41</v>
      </c>
      <c r="D44" t="s">
        <v>49</v>
      </c>
      <c r="E44" t="s">
        <v>37</v>
      </c>
      <c r="F44" t="s">
        <v>48</v>
      </c>
      <c r="G44" t="s">
        <v>47</v>
      </c>
      <c r="H44" t="s">
        <v>46</v>
      </c>
      <c r="I44">
        <v>0</v>
      </c>
      <c r="J44">
        <v>0</v>
      </c>
      <c r="K44">
        <v>1</v>
      </c>
      <c r="L44">
        <v>1</v>
      </c>
      <c r="M44">
        <v>1</v>
      </c>
      <c r="N44">
        <v>0</v>
      </c>
      <c r="O44">
        <v>1</v>
      </c>
      <c r="P44">
        <v>0</v>
      </c>
      <c r="Q44">
        <v>0</v>
      </c>
      <c r="R44">
        <v>0</v>
      </c>
      <c r="S44">
        <v>0</v>
      </c>
      <c r="T44">
        <v>0</v>
      </c>
      <c r="U44">
        <v>0</v>
      </c>
      <c r="V44">
        <v>1</v>
      </c>
    </row>
    <row r="45" spans="1:22" x14ac:dyDescent="0.2">
      <c r="A45" t="s">
        <v>141</v>
      </c>
      <c r="B45" t="s">
        <v>108</v>
      </c>
      <c r="C45" t="s">
        <v>41</v>
      </c>
      <c r="D45" t="s">
        <v>72</v>
      </c>
      <c r="E45" t="s">
        <v>37</v>
      </c>
      <c r="F45" t="s">
        <v>47</v>
      </c>
      <c r="G45" t="s">
        <v>46</v>
      </c>
      <c r="H45" t="s">
        <v>48</v>
      </c>
      <c r="I45">
        <v>0</v>
      </c>
      <c r="J45">
        <v>0</v>
      </c>
      <c r="K45">
        <v>1</v>
      </c>
      <c r="L45">
        <v>1</v>
      </c>
      <c r="M45">
        <v>1</v>
      </c>
      <c r="N45">
        <v>0</v>
      </c>
      <c r="O45">
        <v>1</v>
      </c>
      <c r="P45">
        <v>0</v>
      </c>
      <c r="Q45">
        <v>0</v>
      </c>
      <c r="R45">
        <v>0</v>
      </c>
      <c r="S45">
        <v>0</v>
      </c>
      <c r="T45">
        <v>0</v>
      </c>
      <c r="U45">
        <v>0</v>
      </c>
      <c r="V45">
        <v>1</v>
      </c>
    </row>
    <row r="46" spans="1:22" x14ac:dyDescent="0.2">
      <c r="A46" t="s">
        <v>141</v>
      </c>
      <c r="B46" t="s">
        <v>108</v>
      </c>
      <c r="C46" t="s">
        <v>41</v>
      </c>
      <c r="D46" t="s">
        <v>55</v>
      </c>
      <c r="E46" t="s">
        <v>37</v>
      </c>
      <c r="F46" t="s">
        <v>65</v>
      </c>
      <c r="G46" t="s">
        <v>46</v>
      </c>
      <c r="H46" t="s">
        <v>48</v>
      </c>
      <c r="I46">
        <v>0</v>
      </c>
      <c r="J46">
        <v>1</v>
      </c>
      <c r="K46">
        <v>1</v>
      </c>
      <c r="L46">
        <v>0</v>
      </c>
      <c r="M46">
        <v>1</v>
      </c>
      <c r="N46">
        <v>0</v>
      </c>
      <c r="O46">
        <v>1</v>
      </c>
      <c r="P46">
        <v>0</v>
      </c>
      <c r="Q46">
        <v>0</v>
      </c>
      <c r="R46">
        <v>0</v>
      </c>
      <c r="S46">
        <v>0</v>
      </c>
      <c r="T46">
        <v>0</v>
      </c>
      <c r="U46">
        <v>0</v>
      </c>
      <c r="V46">
        <v>1</v>
      </c>
    </row>
    <row r="47" spans="1:22" x14ac:dyDescent="0.2">
      <c r="A47" t="s">
        <v>143</v>
      </c>
      <c r="B47" t="s">
        <v>108</v>
      </c>
      <c r="C47" t="s">
        <v>41</v>
      </c>
      <c r="D47" t="s">
        <v>42</v>
      </c>
      <c r="E47" t="s">
        <v>37</v>
      </c>
      <c r="F47" t="s">
        <v>47</v>
      </c>
      <c r="G47" t="s">
        <v>59</v>
      </c>
      <c r="H47" t="s">
        <v>48</v>
      </c>
      <c r="I47">
        <v>0</v>
      </c>
      <c r="J47">
        <v>0</v>
      </c>
      <c r="K47">
        <v>1</v>
      </c>
      <c r="L47">
        <v>1</v>
      </c>
      <c r="M47">
        <v>0</v>
      </c>
      <c r="N47">
        <v>0</v>
      </c>
      <c r="O47">
        <v>1</v>
      </c>
      <c r="P47">
        <v>0</v>
      </c>
      <c r="Q47">
        <v>0</v>
      </c>
      <c r="R47">
        <v>1</v>
      </c>
      <c r="S47">
        <v>1</v>
      </c>
      <c r="T47">
        <v>0</v>
      </c>
      <c r="U47">
        <v>0</v>
      </c>
      <c r="V47">
        <v>0</v>
      </c>
    </row>
    <row r="48" spans="1:22" x14ac:dyDescent="0.2">
      <c r="A48" t="s">
        <v>143</v>
      </c>
      <c r="B48" t="s">
        <v>108</v>
      </c>
      <c r="C48" t="s">
        <v>41</v>
      </c>
      <c r="D48" t="s">
        <v>61</v>
      </c>
      <c r="E48" t="s">
        <v>37</v>
      </c>
      <c r="F48" t="s">
        <v>65</v>
      </c>
      <c r="G48" t="s">
        <v>48</v>
      </c>
      <c r="H48" t="s">
        <v>60</v>
      </c>
      <c r="I48">
        <v>1</v>
      </c>
      <c r="J48">
        <v>1</v>
      </c>
      <c r="K48">
        <v>1</v>
      </c>
      <c r="L48">
        <v>0</v>
      </c>
      <c r="M48">
        <v>0</v>
      </c>
      <c r="N48">
        <v>0</v>
      </c>
      <c r="O48">
        <v>1</v>
      </c>
      <c r="P48">
        <v>0</v>
      </c>
      <c r="Q48">
        <v>1</v>
      </c>
      <c r="R48">
        <v>0</v>
      </c>
      <c r="S48">
        <v>0</v>
      </c>
      <c r="T48">
        <v>0</v>
      </c>
      <c r="U48">
        <v>0</v>
      </c>
      <c r="V48">
        <v>0</v>
      </c>
    </row>
    <row r="49" spans="1:22" x14ac:dyDescent="0.2">
      <c r="A49" t="s">
        <v>143</v>
      </c>
      <c r="B49" t="s">
        <v>108</v>
      </c>
      <c r="C49" t="s">
        <v>41</v>
      </c>
      <c r="D49" t="s">
        <v>55</v>
      </c>
      <c r="E49" t="s">
        <v>37</v>
      </c>
      <c r="F49" t="s">
        <v>46</v>
      </c>
      <c r="G49" t="s">
        <v>48</v>
      </c>
      <c r="H49" t="s">
        <v>47</v>
      </c>
      <c r="I49">
        <v>0</v>
      </c>
      <c r="J49">
        <v>0</v>
      </c>
      <c r="K49">
        <v>1</v>
      </c>
      <c r="L49">
        <v>1</v>
      </c>
      <c r="M49">
        <v>1</v>
      </c>
      <c r="N49">
        <v>0</v>
      </c>
      <c r="O49">
        <v>1</v>
      </c>
      <c r="P49">
        <v>0</v>
      </c>
      <c r="Q49">
        <v>0</v>
      </c>
      <c r="R49">
        <v>0</v>
      </c>
      <c r="S49">
        <v>1</v>
      </c>
      <c r="T49">
        <v>0</v>
      </c>
      <c r="U49">
        <v>0</v>
      </c>
      <c r="V49">
        <v>0</v>
      </c>
    </row>
    <row r="50" spans="1:22" x14ac:dyDescent="0.2">
      <c r="A50" t="s">
        <v>147</v>
      </c>
      <c r="B50" t="s">
        <v>108</v>
      </c>
      <c r="C50" t="s">
        <v>41</v>
      </c>
      <c r="D50" t="s">
        <v>72</v>
      </c>
      <c r="E50" t="s">
        <v>37</v>
      </c>
      <c r="F50" t="s">
        <v>47</v>
      </c>
      <c r="G50" t="s">
        <v>65</v>
      </c>
      <c r="H50" t="s">
        <v>48</v>
      </c>
      <c r="I50">
        <v>0</v>
      </c>
      <c r="J50">
        <v>1</v>
      </c>
      <c r="K50">
        <v>1</v>
      </c>
      <c r="L50">
        <v>1</v>
      </c>
      <c r="M50">
        <v>0</v>
      </c>
      <c r="N50">
        <v>0</v>
      </c>
      <c r="O50">
        <v>1</v>
      </c>
      <c r="P50">
        <v>0</v>
      </c>
      <c r="Q50">
        <v>1</v>
      </c>
      <c r="R50">
        <v>0</v>
      </c>
      <c r="S50">
        <v>0</v>
      </c>
      <c r="T50">
        <v>0</v>
      </c>
      <c r="U50">
        <v>0</v>
      </c>
      <c r="V50">
        <v>0</v>
      </c>
    </row>
    <row r="51" spans="1:22" x14ac:dyDescent="0.2">
      <c r="A51" t="s">
        <v>147</v>
      </c>
      <c r="B51" t="s">
        <v>108</v>
      </c>
      <c r="C51" t="s">
        <v>41</v>
      </c>
      <c r="D51" t="s">
        <v>42</v>
      </c>
      <c r="E51" t="s">
        <v>37</v>
      </c>
      <c r="F51" t="s">
        <v>48</v>
      </c>
      <c r="G51" t="s">
        <v>47</v>
      </c>
      <c r="H51" t="s">
        <v>46</v>
      </c>
      <c r="I51">
        <v>0</v>
      </c>
      <c r="J51">
        <v>0</v>
      </c>
      <c r="K51">
        <v>1</v>
      </c>
      <c r="L51">
        <v>1</v>
      </c>
      <c r="M51">
        <v>1</v>
      </c>
      <c r="N51">
        <v>0</v>
      </c>
      <c r="O51">
        <v>1</v>
      </c>
      <c r="P51">
        <v>0</v>
      </c>
      <c r="Q51">
        <v>0</v>
      </c>
      <c r="R51">
        <v>0</v>
      </c>
      <c r="S51">
        <v>0</v>
      </c>
      <c r="T51">
        <v>0</v>
      </c>
      <c r="U51">
        <v>0</v>
      </c>
      <c r="V51">
        <v>1</v>
      </c>
    </row>
    <row r="52" spans="1:22" x14ac:dyDescent="0.2">
      <c r="A52" t="s">
        <v>151</v>
      </c>
      <c r="B52" t="s">
        <v>108</v>
      </c>
      <c r="C52" t="s">
        <v>41</v>
      </c>
      <c r="D52" t="s">
        <v>55</v>
      </c>
      <c r="E52" t="s">
        <v>37</v>
      </c>
      <c r="F52" t="s">
        <v>60</v>
      </c>
      <c r="G52" t="s">
        <v>65</v>
      </c>
      <c r="H52" t="s">
        <v>48</v>
      </c>
      <c r="I52">
        <v>1</v>
      </c>
      <c r="J52">
        <v>1</v>
      </c>
      <c r="K52">
        <v>1</v>
      </c>
      <c r="L52">
        <v>0</v>
      </c>
      <c r="M52">
        <v>0</v>
      </c>
      <c r="N52">
        <v>0</v>
      </c>
      <c r="O52">
        <v>1</v>
      </c>
      <c r="P52">
        <v>0</v>
      </c>
      <c r="Q52">
        <v>1</v>
      </c>
      <c r="R52">
        <v>0</v>
      </c>
      <c r="S52">
        <v>0</v>
      </c>
      <c r="T52">
        <v>0</v>
      </c>
      <c r="U52">
        <v>0</v>
      </c>
      <c r="V52">
        <v>0</v>
      </c>
    </row>
    <row r="53" spans="1:22" x14ac:dyDescent="0.2">
      <c r="A53" t="s">
        <v>155</v>
      </c>
      <c r="B53" t="s">
        <v>108</v>
      </c>
      <c r="C53" t="s">
        <v>41</v>
      </c>
      <c r="D53" t="s">
        <v>67</v>
      </c>
      <c r="E53" t="s">
        <v>37</v>
      </c>
      <c r="F53" t="s">
        <v>65</v>
      </c>
      <c r="G53" t="s">
        <v>48</v>
      </c>
      <c r="H53" t="s">
        <v>46</v>
      </c>
      <c r="I53">
        <v>0</v>
      </c>
      <c r="J53">
        <v>1</v>
      </c>
      <c r="K53">
        <v>1</v>
      </c>
      <c r="L53">
        <v>0</v>
      </c>
      <c r="M53">
        <v>1</v>
      </c>
      <c r="N53">
        <v>0</v>
      </c>
      <c r="O53">
        <v>1</v>
      </c>
      <c r="P53">
        <v>0</v>
      </c>
      <c r="Q53">
        <v>0</v>
      </c>
      <c r="R53">
        <v>0</v>
      </c>
      <c r="S53">
        <v>0</v>
      </c>
      <c r="T53">
        <v>0</v>
      </c>
      <c r="U53">
        <v>0</v>
      </c>
      <c r="V53">
        <v>1</v>
      </c>
    </row>
    <row r="54" spans="1:22" x14ac:dyDescent="0.2">
      <c r="A54" t="s">
        <v>155</v>
      </c>
      <c r="B54" t="s">
        <v>108</v>
      </c>
      <c r="C54" t="s">
        <v>41</v>
      </c>
      <c r="D54" t="s">
        <v>42</v>
      </c>
      <c r="E54" t="s">
        <v>37</v>
      </c>
      <c r="F54" t="s">
        <v>46</v>
      </c>
      <c r="G54" t="s">
        <v>60</v>
      </c>
      <c r="H54" t="s">
        <v>48</v>
      </c>
      <c r="I54">
        <v>1</v>
      </c>
      <c r="J54">
        <v>0</v>
      </c>
      <c r="K54">
        <v>1</v>
      </c>
      <c r="L54">
        <v>0</v>
      </c>
      <c r="M54">
        <v>1</v>
      </c>
      <c r="N54">
        <v>0</v>
      </c>
      <c r="O54">
        <v>1</v>
      </c>
      <c r="P54">
        <v>0</v>
      </c>
      <c r="Q54">
        <v>0</v>
      </c>
      <c r="R54">
        <v>0</v>
      </c>
      <c r="S54">
        <v>0</v>
      </c>
      <c r="T54">
        <v>0</v>
      </c>
      <c r="U54">
        <v>0</v>
      </c>
      <c r="V54">
        <v>1</v>
      </c>
    </row>
    <row r="55" spans="1:22" x14ac:dyDescent="0.2">
      <c r="A55" t="s">
        <v>155</v>
      </c>
      <c r="B55" t="s">
        <v>108</v>
      </c>
      <c r="C55" t="s">
        <v>41</v>
      </c>
      <c r="D55" t="s">
        <v>55</v>
      </c>
      <c r="E55" t="s">
        <v>37</v>
      </c>
      <c r="F55" t="s">
        <v>47</v>
      </c>
      <c r="G55" t="s">
        <v>46</v>
      </c>
      <c r="H55" t="s">
        <v>48</v>
      </c>
      <c r="I55">
        <v>0</v>
      </c>
      <c r="J55">
        <v>0</v>
      </c>
      <c r="K55">
        <v>1</v>
      </c>
      <c r="L55">
        <v>1</v>
      </c>
      <c r="M55">
        <v>1</v>
      </c>
      <c r="N55">
        <v>0</v>
      </c>
      <c r="O55">
        <v>1</v>
      </c>
      <c r="P55">
        <v>0</v>
      </c>
      <c r="Q55">
        <v>0</v>
      </c>
      <c r="R55">
        <v>0</v>
      </c>
      <c r="S55">
        <v>0</v>
      </c>
      <c r="T55">
        <v>0</v>
      </c>
      <c r="U55">
        <v>0</v>
      </c>
      <c r="V55">
        <v>1</v>
      </c>
    </row>
    <row r="56" spans="1:22" x14ac:dyDescent="0.2">
      <c r="A56" t="s">
        <v>155</v>
      </c>
      <c r="B56" t="s">
        <v>108</v>
      </c>
      <c r="C56" t="s">
        <v>41</v>
      </c>
      <c r="D56" t="s">
        <v>49</v>
      </c>
      <c r="E56" t="s">
        <v>37</v>
      </c>
      <c r="F56" t="s">
        <v>65</v>
      </c>
      <c r="G56" t="s">
        <v>48</v>
      </c>
      <c r="H56" t="s">
        <v>60</v>
      </c>
      <c r="I56">
        <v>1</v>
      </c>
      <c r="J56">
        <v>1</v>
      </c>
      <c r="K56">
        <v>1</v>
      </c>
      <c r="L56">
        <v>0</v>
      </c>
      <c r="M56">
        <v>0</v>
      </c>
      <c r="N56">
        <v>0</v>
      </c>
      <c r="O56">
        <v>1</v>
      </c>
      <c r="P56">
        <v>0</v>
      </c>
      <c r="Q56">
        <v>0</v>
      </c>
      <c r="R56">
        <v>0</v>
      </c>
      <c r="S56">
        <v>0</v>
      </c>
      <c r="T56">
        <v>0</v>
      </c>
      <c r="U56">
        <v>0</v>
      </c>
      <c r="V56">
        <v>1</v>
      </c>
    </row>
    <row r="57" spans="1:22" x14ac:dyDescent="0.2">
      <c r="A57" t="s">
        <v>155</v>
      </c>
      <c r="B57" t="s">
        <v>108</v>
      </c>
      <c r="C57" t="s">
        <v>41</v>
      </c>
      <c r="D57" t="s">
        <v>72</v>
      </c>
      <c r="E57" t="s">
        <v>37</v>
      </c>
      <c r="F57" t="s">
        <v>48</v>
      </c>
      <c r="G57" t="s">
        <v>59</v>
      </c>
      <c r="H57" t="s">
        <v>47</v>
      </c>
      <c r="I57">
        <v>0</v>
      </c>
      <c r="J57">
        <v>0</v>
      </c>
      <c r="K57">
        <v>1</v>
      </c>
      <c r="L57">
        <v>1</v>
      </c>
      <c r="M57">
        <v>0</v>
      </c>
      <c r="N57">
        <v>0</v>
      </c>
      <c r="O57">
        <v>1</v>
      </c>
      <c r="P57">
        <v>0</v>
      </c>
      <c r="Q57">
        <v>0</v>
      </c>
      <c r="R57">
        <v>0</v>
      </c>
      <c r="S57">
        <v>0</v>
      </c>
      <c r="T57">
        <v>0</v>
      </c>
      <c r="U57">
        <v>0</v>
      </c>
      <c r="V57">
        <v>1</v>
      </c>
    </row>
    <row r="58" spans="1:22" x14ac:dyDescent="0.2">
      <c r="A58" t="s">
        <v>155</v>
      </c>
      <c r="B58" t="s">
        <v>108</v>
      </c>
      <c r="C58" t="s">
        <v>41</v>
      </c>
      <c r="D58" t="s">
        <v>61</v>
      </c>
      <c r="E58" t="s">
        <v>37</v>
      </c>
      <c r="F58" t="s">
        <v>46</v>
      </c>
      <c r="G58" t="s">
        <v>48</v>
      </c>
      <c r="H58" t="s">
        <v>47</v>
      </c>
      <c r="I58">
        <v>0</v>
      </c>
      <c r="J58">
        <v>0</v>
      </c>
      <c r="K58">
        <v>1</v>
      </c>
      <c r="L58">
        <v>1</v>
      </c>
      <c r="M58">
        <v>1</v>
      </c>
      <c r="N58">
        <v>0</v>
      </c>
      <c r="O58">
        <v>1</v>
      </c>
      <c r="P58">
        <v>0</v>
      </c>
      <c r="Q58">
        <v>0</v>
      </c>
      <c r="R58">
        <v>0</v>
      </c>
      <c r="S58">
        <v>0</v>
      </c>
      <c r="T58">
        <v>0</v>
      </c>
      <c r="U58">
        <v>0</v>
      </c>
      <c r="V58">
        <v>1</v>
      </c>
    </row>
    <row r="59" spans="1:22" x14ac:dyDescent="0.2">
      <c r="A59" t="s">
        <v>159</v>
      </c>
      <c r="B59" t="s">
        <v>108</v>
      </c>
      <c r="C59" t="s">
        <v>41</v>
      </c>
      <c r="D59" t="s">
        <v>42</v>
      </c>
      <c r="E59" t="s">
        <v>37</v>
      </c>
      <c r="F59" t="s">
        <v>60</v>
      </c>
      <c r="G59" t="s">
        <v>47</v>
      </c>
      <c r="H59" t="s">
        <v>48</v>
      </c>
      <c r="I59">
        <v>1</v>
      </c>
      <c r="J59">
        <v>0</v>
      </c>
      <c r="K59">
        <v>1</v>
      </c>
      <c r="L59">
        <v>1</v>
      </c>
      <c r="M59">
        <v>0</v>
      </c>
      <c r="N59">
        <v>0</v>
      </c>
      <c r="O59">
        <v>1</v>
      </c>
      <c r="P59">
        <v>1</v>
      </c>
      <c r="Q59">
        <v>0</v>
      </c>
      <c r="R59">
        <v>1</v>
      </c>
      <c r="S59">
        <v>1</v>
      </c>
      <c r="T59">
        <v>0</v>
      </c>
      <c r="U59">
        <v>0</v>
      </c>
      <c r="V59">
        <v>0</v>
      </c>
    </row>
    <row r="60" spans="1:22" x14ac:dyDescent="0.2">
      <c r="A60" t="s">
        <v>159</v>
      </c>
      <c r="B60" t="s">
        <v>108</v>
      </c>
      <c r="C60" t="s">
        <v>41</v>
      </c>
      <c r="D60" t="s">
        <v>72</v>
      </c>
      <c r="E60" t="s">
        <v>37</v>
      </c>
      <c r="F60" t="s">
        <v>47</v>
      </c>
      <c r="G60" t="s">
        <v>59</v>
      </c>
      <c r="H60" t="s">
        <v>48</v>
      </c>
      <c r="I60">
        <v>0</v>
      </c>
      <c r="J60">
        <v>0</v>
      </c>
      <c r="K60">
        <v>1</v>
      </c>
      <c r="L60">
        <v>1</v>
      </c>
      <c r="M60">
        <v>0</v>
      </c>
      <c r="N60">
        <v>0</v>
      </c>
      <c r="O60">
        <v>1</v>
      </c>
      <c r="P60">
        <v>0</v>
      </c>
      <c r="Q60">
        <v>0</v>
      </c>
      <c r="R60">
        <v>1</v>
      </c>
      <c r="S60">
        <v>1</v>
      </c>
      <c r="T60">
        <v>0</v>
      </c>
      <c r="U60">
        <v>0</v>
      </c>
      <c r="V60">
        <v>0</v>
      </c>
    </row>
    <row r="61" spans="1:22" x14ac:dyDescent="0.2">
      <c r="A61" t="s">
        <v>159</v>
      </c>
      <c r="B61" t="s">
        <v>108</v>
      </c>
      <c r="C61" t="s">
        <v>41</v>
      </c>
      <c r="D61" t="s">
        <v>55</v>
      </c>
      <c r="E61" t="s">
        <v>37</v>
      </c>
      <c r="F61" t="s">
        <v>47</v>
      </c>
      <c r="G61" t="s">
        <v>48</v>
      </c>
      <c r="H61" t="s">
        <v>65</v>
      </c>
      <c r="I61">
        <v>0</v>
      </c>
      <c r="J61">
        <v>1</v>
      </c>
      <c r="K61">
        <v>1</v>
      </c>
      <c r="L61">
        <v>1</v>
      </c>
      <c r="M61">
        <v>0</v>
      </c>
      <c r="N61">
        <v>0</v>
      </c>
      <c r="O61">
        <v>1</v>
      </c>
      <c r="P61">
        <v>0</v>
      </c>
      <c r="Q61">
        <v>1</v>
      </c>
      <c r="R61">
        <v>1</v>
      </c>
      <c r="S61">
        <v>1</v>
      </c>
      <c r="T61">
        <v>0</v>
      </c>
      <c r="U61">
        <v>0</v>
      </c>
      <c r="V61">
        <v>0</v>
      </c>
    </row>
    <row r="62" spans="1:22" x14ac:dyDescent="0.2">
      <c r="A62" t="s">
        <v>159</v>
      </c>
      <c r="B62" t="s">
        <v>108</v>
      </c>
      <c r="C62" t="s">
        <v>41</v>
      </c>
      <c r="D62" t="s">
        <v>67</v>
      </c>
      <c r="E62" t="s">
        <v>37</v>
      </c>
      <c r="F62" t="s">
        <v>47</v>
      </c>
      <c r="G62" t="s">
        <v>65</v>
      </c>
      <c r="H62" t="s">
        <v>48</v>
      </c>
      <c r="I62">
        <v>0</v>
      </c>
      <c r="J62">
        <v>1</v>
      </c>
      <c r="K62">
        <v>1</v>
      </c>
      <c r="L62">
        <v>1</v>
      </c>
      <c r="M62">
        <v>0</v>
      </c>
      <c r="N62">
        <v>0</v>
      </c>
      <c r="O62">
        <v>1</v>
      </c>
      <c r="P62">
        <v>0</v>
      </c>
      <c r="Q62">
        <v>1</v>
      </c>
      <c r="R62">
        <v>1</v>
      </c>
      <c r="S62">
        <v>1</v>
      </c>
      <c r="T62">
        <v>0</v>
      </c>
      <c r="U62">
        <v>0</v>
      </c>
      <c r="V62">
        <v>0</v>
      </c>
    </row>
    <row r="63" spans="1:22" x14ac:dyDescent="0.2">
      <c r="A63" t="s">
        <v>163</v>
      </c>
      <c r="B63" t="s">
        <v>33</v>
      </c>
      <c r="C63" t="s">
        <v>41</v>
      </c>
      <c r="D63" t="s">
        <v>49</v>
      </c>
      <c r="E63" t="s">
        <v>37</v>
      </c>
      <c r="F63" t="s">
        <v>48</v>
      </c>
      <c r="G63" t="s">
        <v>60</v>
      </c>
      <c r="H63" t="s">
        <v>46</v>
      </c>
      <c r="I63">
        <v>1</v>
      </c>
      <c r="J63">
        <v>0</v>
      </c>
      <c r="K63">
        <v>1</v>
      </c>
      <c r="L63">
        <v>0</v>
      </c>
      <c r="M63">
        <v>1</v>
      </c>
      <c r="N63">
        <v>0</v>
      </c>
      <c r="O63">
        <v>1</v>
      </c>
      <c r="P63">
        <v>1</v>
      </c>
      <c r="Q63">
        <v>0</v>
      </c>
      <c r="R63">
        <v>1</v>
      </c>
      <c r="S63">
        <v>0</v>
      </c>
      <c r="T63">
        <v>1</v>
      </c>
      <c r="U63">
        <v>0</v>
      </c>
      <c r="V63">
        <v>0</v>
      </c>
    </row>
    <row r="64" spans="1:22" x14ac:dyDescent="0.2">
      <c r="A64" t="s">
        <v>163</v>
      </c>
      <c r="B64" t="s">
        <v>33</v>
      </c>
      <c r="C64" t="s">
        <v>41</v>
      </c>
      <c r="D64" t="s">
        <v>55</v>
      </c>
      <c r="E64" t="s">
        <v>37</v>
      </c>
      <c r="F64" t="s">
        <v>48</v>
      </c>
      <c r="G64" t="s">
        <v>59</v>
      </c>
      <c r="H64" t="s">
        <v>46</v>
      </c>
      <c r="I64">
        <v>0</v>
      </c>
      <c r="J64">
        <v>0</v>
      </c>
      <c r="K64">
        <v>1</v>
      </c>
      <c r="L64">
        <v>0</v>
      </c>
      <c r="M64">
        <v>1</v>
      </c>
      <c r="N64">
        <v>0</v>
      </c>
      <c r="O64">
        <v>1</v>
      </c>
      <c r="P64">
        <v>0</v>
      </c>
      <c r="Q64">
        <v>0</v>
      </c>
      <c r="R64">
        <v>1</v>
      </c>
      <c r="S64">
        <v>0</v>
      </c>
      <c r="T64">
        <v>1</v>
      </c>
      <c r="U64">
        <v>0</v>
      </c>
      <c r="V64">
        <v>0</v>
      </c>
    </row>
    <row r="65" spans="1:22" x14ac:dyDescent="0.2">
      <c r="A65" t="s">
        <v>163</v>
      </c>
      <c r="B65" t="s">
        <v>33</v>
      </c>
      <c r="C65" t="s">
        <v>41</v>
      </c>
      <c r="D65" t="s">
        <v>67</v>
      </c>
      <c r="E65" t="s">
        <v>37</v>
      </c>
      <c r="F65" t="s">
        <v>60</v>
      </c>
      <c r="G65" t="s">
        <v>48</v>
      </c>
      <c r="H65" t="s">
        <v>47</v>
      </c>
      <c r="I65">
        <v>1</v>
      </c>
      <c r="J65">
        <v>0</v>
      </c>
      <c r="K65">
        <v>1</v>
      </c>
      <c r="L65">
        <v>1</v>
      </c>
      <c r="M65">
        <v>0</v>
      </c>
      <c r="N65">
        <v>0</v>
      </c>
      <c r="O65">
        <v>1</v>
      </c>
      <c r="P65">
        <v>1</v>
      </c>
      <c r="Q65">
        <v>0</v>
      </c>
      <c r="R65">
        <v>1</v>
      </c>
      <c r="S65">
        <v>1</v>
      </c>
      <c r="T65">
        <v>0</v>
      </c>
      <c r="U65">
        <v>0</v>
      </c>
      <c r="V65">
        <v>0</v>
      </c>
    </row>
    <row r="66" spans="1:22" x14ac:dyDescent="0.2">
      <c r="A66" t="s">
        <v>163</v>
      </c>
      <c r="B66" t="s">
        <v>33</v>
      </c>
      <c r="C66" t="s">
        <v>41</v>
      </c>
      <c r="D66" t="s">
        <v>61</v>
      </c>
      <c r="E66" t="s">
        <v>37</v>
      </c>
      <c r="F66" t="s">
        <v>46</v>
      </c>
      <c r="G66" t="s">
        <v>47</v>
      </c>
      <c r="H66" t="s">
        <v>48</v>
      </c>
      <c r="I66">
        <v>0</v>
      </c>
      <c r="J66">
        <v>0</v>
      </c>
      <c r="K66">
        <v>1</v>
      </c>
      <c r="L66">
        <v>1</v>
      </c>
      <c r="M66">
        <v>1</v>
      </c>
      <c r="N66">
        <v>0</v>
      </c>
      <c r="O66">
        <v>1</v>
      </c>
      <c r="P66">
        <v>0</v>
      </c>
      <c r="Q66">
        <v>0</v>
      </c>
      <c r="R66">
        <v>1</v>
      </c>
      <c r="S66">
        <v>1</v>
      </c>
      <c r="T66">
        <v>1</v>
      </c>
      <c r="U66">
        <v>0</v>
      </c>
      <c r="V66">
        <v>0</v>
      </c>
    </row>
    <row r="67" spans="1:22" x14ac:dyDescent="0.2">
      <c r="A67" t="s">
        <v>167</v>
      </c>
      <c r="B67" t="s">
        <v>33</v>
      </c>
      <c r="C67" t="s">
        <v>41</v>
      </c>
      <c r="D67" t="s">
        <v>55</v>
      </c>
      <c r="E67" t="s">
        <v>37</v>
      </c>
      <c r="F67" t="s">
        <v>47</v>
      </c>
      <c r="G67" t="s">
        <v>46</v>
      </c>
      <c r="H67" t="s">
        <v>48</v>
      </c>
      <c r="I67">
        <v>0</v>
      </c>
      <c r="J67">
        <v>0</v>
      </c>
      <c r="K67">
        <v>1</v>
      </c>
      <c r="L67">
        <v>1</v>
      </c>
      <c r="M67">
        <v>1</v>
      </c>
      <c r="N67">
        <v>0</v>
      </c>
      <c r="O67">
        <v>1</v>
      </c>
      <c r="P67">
        <v>0</v>
      </c>
      <c r="Q67">
        <v>0</v>
      </c>
      <c r="R67">
        <v>0</v>
      </c>
      <c r="S67">
        <v>0</v>
      </c>
      <c r="T67">
        <v>0</v>
      </c>
      <c r="U67">
        <v>0</v>
      </c>
      <c r="V67">
        <v>1</v>
      </c>
    </row>
    <row r="68" spans="1:22" x14ac:dyDescent="0.2">
      <c r="A68" t="s">
        <v>167</v>
      </c>
      <c r="B68" t="s">
        <v>33</v>
      </c>
      <c r="C68" t="s">
        <v>41</v>
      </c>
      <c r="D68" t="s">
        <v>72</v>
      </c>
      <c r="E68" t="s">
        <v>37</v>
      </c>
      <c r="F68" t="s">
        <v>47</v>
      </c>
      <c r="G68" t="s">
        <v>48</v>
      </c>
      <c r="H68" t="s">
        <v>46</v>
      </c>
      <c r="I68">
        <v>0</v>
      </c>
      <c r="J68">
        <v>0</v>
      </c>
      <c r="K68">
        <v>1</v>
      </c>
      <c r="L68">
        <v>1</v>
      </c>
      <c r="M68">
        <v>1</v>
      </c>
      <c r="N68">
        <v>0</v>
      </c>
      <c r="O68">
        <v>1</v>
      </c>
      <c r="P68">
        <v>0</v>
      </c>
      <c r="Q68">
        <v>0</v>
      </c>
      <c r="R68">
        <v>0</v>
      </c>
      <c r="S68">
        <v>0</v>
      </c>
      <c r="T68">
        <v>0</v>
      </c>
      <c r="U68">
        <v>0</v>
      </c>
      <c r="V68">
        <v>1</v>
      </c>
    </row>
    <row r="69" spans="1:22" x14ac:dyDescent="0.2">
      <c r="A69" t="s">
        <v>167</v>
      </c>
      <c r="B69" t="s">
        <v>33</v>
      </c>
      <c r="C69" t="s">
        <v>41</v>
      </c>
      <c r="D69" t="s">
        <v>61</v>
      </c>
      <c r="E69" t="s">
        <v>37</v>
      </c>
      <c r="F69" t="s">
        <v>59</v>
      </c>
      <c r="G69" t="s">
        <v>48</v>
      </c>
      <c r="H69" t="s">
        <v>46</v>
      </c>
      <c r="I69">
        <v>0</v>
      </c>
      <c r="J69">
        <v>0</v>
      </c>
      <c r="K69">
        <v>1</v>
      </c>
      <c r="L69">
        <v>0</v>
      </c>
      <c r="M69">
        <v>1</v>
      </c>
      <c r="N69">
        <v>0</v>
      </c>
      <c r="O69">
        <v>1</v>
      </c>
      <c r="P69">
        <v>0</v>
      </c>
      <c r="Q69">
        <v>0</v>
      </c>
      <c r="R69">
        <v>0</v>
      </c>
      <c r="S69">
        <v>0</v>
      </c>
      <c r="T69">
        <v>0</v>
      </c>
      <c r="U69">
        <v>0</v>
      </c>
      <c r="V69">
        <v>1</v>
      </c>
    </row>
    <row r="70" spans="1:22" x14ac:dyDescent="0.2">
      <c r="A70" t="s">
        <v>167</v>
      </c>
      <c r="B70" t="s">
        <v>33</v>
      </c>
      <c r="C70" t="s">
        <v>41</v>
      </c>
      <c r="D70" t="s">
        <v>67</v>
      </c>
      <c r="E70" t="s">
        <v>37</v>
      </c>
      <c r="F70" t="s">
        <v>48</v>
      </c>
      <c r="G70" t="s">
        <v>60</v>
      </c>
      <c r="H70" t="s">
        <v>65</v>
      </c>
      <c r="I70">
        <v>1</v>
      </c>
      <c r="J70">
        <v>1</v>
      </c>
      <c r="K70">
        <v>1</v>
      </c>
      <c r="L70">
        <v>0</v>
      </c>
      <c r="M70">
        <v>0</v>
      </c>
      <c r="N70">
        <v>0</v>
      </c>
      <c r="O70">
        <v>1</v>
      </c>
      <c r="P70">
        <v>0</v>
      </c>
      <c r="Q70">
        <v>0</v>
      </c>
      <c r="R70">
        <v>0</v>
      </c>
      <c r="S70">
        <v>0</v>
      </c>
      <c r="T70">
        <v>0</v>
      </c>
      <c r="U70">
        <v>0</v>
      </c>
      <c r="V70">
        <v>1</v>
      </c>
    </row>
    <row r="71" spans="1:22" x14ac:dyDescent="0.2">
      <c r="A71" t="s">
        <v>170</v>
      </c>
      <c r="B71" t="s">
        <v>108</v>
      </c>
      <c r="C71" t="s">
        <v>41</v>
      </c>
      <c r="D71" t="s">
        <v>67</v>
      </c>
      <c r="E71" t="s">
        <v>37</v>
      </c>
      <c r="F71" t="s">
        <v>47</v>
      </c>
      <c r="G71" t="s">
        <v>46</v>
      </c>
      <c r="H71" t="s">
        <v>48</v>
      </c>
      <c r="I71">
        <v>0</v>
      </c>
      <c r="J71">
        <v>0</v>
      </c>
      <c r="K71">
        <v>1</v>
      </c>
      <c r="L71">
        <v>1</v>
      </c>
      <c r="M71">
        <v>1</v>
      </c>
      <c r="N71">
        <v>0</v>
      </c>
      <c r="O71">
        <v>1</v>
      </c>
      <c r="P71">
        <v>0</v>
      </c>
      <c r="Q71">
        <v>0</v>
      </c>
      <c r="R71">
        <v>1</v>
      </c>
      <c r="S71">
        <v>1</v>
      </c>
      <c r="T71">
        <v>1</v>
      </c>
      <c r="U71">
        <v>0</v>
      </c>
      <c r="V71">
        <v>0</v>
      </c>
    </row>
    <row r="72" spans="1:22" x14ac:dyDescent="0.2">
      <c r="A72" t="s">
        <v>170</v>
      </c>
      <c r="B72" t="s">
        <v>108</v>
      </c>
      <c r="C72" t="s">
        <v>41</v>
      </c>
      <c r="D72" t="s">
        <v>49</v>
      </c>
      <c r="E72" t="s">
        <v>37</v>
      </c>
      <c r="F72" t="s">
        <v>46</v>
      </c>
      <c r="G72" t="s">
        <v>65</v>
      </c>
      <c r="H72" t="s">
        <v>48</v>
      </c>
      <c r="I72">
        <v>0</v>
      </c>
      <c r="J72">
        <v>1</v>
      </c>
      <c r="K72">
        <v>1</v>
      </c>
      <c r="L72">
        <v>0</v>
      </c>
      <c r="M72">
        <v>1</v>
      </c>
      <c r="N72">
        <v>0</v>
      </c>
      <c r="O72">
        <v>1</v>
      </c>
      <c r="P72">
        <v>0</v>
      </c>
      <c r="Q72">
        <v>1</v>
      </c>
      <c r="R72">
        <v>1</v>
      </c>
      <c r="S72">
        <v>0</v>
      </c>
      <c r="T72">
        <v>1</v>
      </c>
      <c r="U72">
        <v>0</v>
      </c>
      <c r="V72">
        <v>0</v>
      </c>
    </row>
    <row r="73" spans="1:22" x14ac:dyDescent="0.2">
      <c r="A73" t="s">
        <v>170</v>
      </c>
      <c r="B73" t="s">
        <v>108</v>
      </c>
      <c r="C73" t="s">
        <v>41</v>
      </c>
      <c r="D73" t="s">
        <v>42</v>
      </c>
      <c r="E73" t="s">
        <v>37</v>
      </c>
      <c r="F73" t="s">
        <v>46</v>
      </c>
      <c r="G73" t="s">
        <v>65</v>
      </c>
      <c r="H73" t="s">
        <v>48</v>
      </c>
      <c r="I73">
        <v>0</v>
      </c>
      <c r="J73">
        <v>1</v>
      </c>
      <c r="K73">
        <v>1</v>
      </c>
      <c r="L73">
        <v>0</v>
      </c>
      <c r="M73">
        <v>1</v>
      </c>
      <c r="N73">
        <v>0</v>
      </c>
      <c r="O73">
        <v>1</v>
      </c>
      <c r="P73">
        <v>0</v>
      </c>
      <c r="Q73">
        <v>1</v>
      </c>
      <c r="R73">
        <v>1</v>
      </c>
      <c r="S73">
        <v>0</v>
      </c>
      <c r="T73">
        <v>1</v>
      </c>
      <c r="U73">
        <v>0</v>
      </c>
      <c r="V73">
        <v>0</v>
      </c>
    </row>
    <row r="74" spans="1:22" x14ac:dyDescent="0.2">
      <c r="A74" t="s">
        <v>170</v>
      </c>
      <c r="B74" t="s">
        <v>108</v>
      </c>
      <c r="C74" t="s">
        <v>41</v>
      </c>
      <c r="D74" t="s">
        <v>55</v>
      </c>
      <c r="E74" t="s">
        <v>37</v>
      </c>
      <c r="F74" t="s">
        <v>48</v>
      </c>
      <c r="G74" t="s">
        <v>65</v>
      </c>
      <c r="H74" t="s">
        <v>59</v>
      </c>
      <c r="I74">
        <v>0</v>
      </c>
      <c r="J74">
        <v>1</v>
      </c>
      <c r="K74">
        <v>1</v>
      </c>
      <c r="L74">
        <v>0</v>
      </c>
      <c r="M74">
        <v>0</v>
      </c>
      <c r="N74">
        <v>0</v>
      </c>
      <c r="O74">
        <v>1</v>
      </c>
      <c r="P74">
        <v>0</v>
      </c>
      <c r="Q74">
        <v>1</v>
      </c>
      <c r="R74">
        <v>1</v>
      </c>
      <c r="S74">
        <v>0</v>
      </c>
      <c r="T74">
        <v>0</v>
      </c>
      <c r="U74">
        <v>0</v>
      </c>
      <c r="V74">
        <v>0</v>
      </c>
    </row>
    <row r="75" spans="1:22" x14ac:dyDescent="0.2">
      <c r="A75" t="s">
        <v>170</v>
      </c>
      <c r="B75" t="s">
        <v>108</v>
      </c>
      <c r="C75" t="s">
        <v>41</v>
      </c>
      <c r="D75" t="s">
        <v>72</v>
      </c>
      <c r="E75" t="s">
        <v>37</v>
      </c>
      <c r="F75" t="s">
        <v>48</v>
      </c>
      <c r="G75" t="s">
        <v>47</v>
      </c>
      <c r="H75" t="s">
        <v>46</v>
      </c>
      <c r="I75">
        <v>0</v>
      </c>
      <c r="J75">
        <v>0</v>
      </c>
      <c r="K75">
        <v>1</v>
      </c>
      <c r="L75">
        <v>1</v>
      </c>
      <c r="M75">
        <v>1</v>
      </c>
      <c r="N75">
        <v>0</v>
      </c>
      <c r="O75">
        <v>1</v>
      </c>
      <c r="P75">
        <v>0</v>
      </c>
      <c r="Q75">
        <v>0</v>
      </c>
      <c r="R75">
        <v>0</v>
      </c>
      <c r="S75">
        <v>0</v>
      </c>
      <c r="T75">
        <v>0</v>
      </c>
      <c r="U75">
        <v>0</v>
      </c>
      <c r="V75">
        <v>1</v>
      </c>
    </row>
    <row r="76" spans="1:22" x14ac:dyDescent="0.2">
      <c r="A76" t="s">
        <v>170</v>
      </c>
      <c r="B76" t="s">
        <v>108</v>
      </c>
      <c r="C76" t="s">
        <v>41</v>
      </c>
      <c r="D76" t="s">
        <v>61</v>
      </c>
      <c r="E76" t="s">
        <v>37</v>
      </c>
      <c r="F76" t="s">
        <v>48</v>
      </c>
      <c r="G76" t="s">
        <v>60</v>
      </c>
      <c r="H76" t="s">
        <v>46</v>
      </c>
      <c r="I76">
        <v>1</v>
      </c>
      <c r="J76">
        <v>0</v>
      </c>
      <c r="K76">
        <v>1</v>
      </c>
      <c r="L76">
        <v>0</v>
      </c>
      <c r="M76">
        <v>1</v>
      </c>
      <c r="N76">
        <v>0</v>
      </c>
      <c r="O76">
        <v>1</v>
      </c>
      <c r="P76">
        <v>1</v>
      </c>
      <c r="Q76">
        <v>0</v>
      </c>
      <c r="R76">
        <v>1</v>
      </c>
      <c r="S76">
        <v>0</v>
      </c>
      <c r="T76">
        <v>1</v>
      </c>
      <c r="U76">
        <v>0</v>
      </c>
      <c r="V76">
        <v>0</v>
      </c>
    </row>
    <row r="77" spans="1:22" x14ac:dyDescent="0.2">
      <c r="A77" t="s">
        <v>173</v>
      </c>
      <c r="B77" t="s">
        <v>174</v>
      </c>
      <c r="C77" t="s">
        <v>41</v>
      </c>
      <c r="D77" t="s">
        <v>49</v>
      </c>
      <c r="E77" t="s">
        <v>37</v>
      </c>
      <c r="F77" t="s">
        <v>59</v>
      </c>
      <c r="G77" t="s">
        <v>46</v>
      </c>
      <c r="H77" t="s">
        <v>48</v>
      </c>
      <c r="I77">
        <v>0</v>
      </c>
      <c r="J77">
        <v>0</v>
      </c>
      <c r="K77">
        <v>1</v>
      </c>
      <c r="L77">
        <v>0</v>
      </c>
      <c r="M77">
        <v>1</v>
      </c>
      <c r="N77">
        <v>0</v>
      </c>
      <c r="O77">
        <v>1</v>
      </c>
      <c r="P77">
        <v>0</v>
      </c>
      <c r="Q77">
        <v>0</v>
      </c>
      <c r="R77">
        <v>0</v>
      </c>
      <c r="S77">
        <v>0</v>
      </c>
      <c r="T77">
        <v>0</v>
      </c>
      <c r="U77">
        <v>0</v>
      </c>
      <c r="V77">
        <v>1</v>
      </c>
    </row>
    <row r="78" spans="1:22" x14ac:dyDescent="0.2">
      <c r="A78" t="s">
        <v>173</v>
      </c>
      <c r="B78" t="s">
        <v>174</v>
      </c>
      <c r="C78" t="s">
        <v>41</v>
      </c>
      <c r="D78" t="s">
        <v>61</v>
      </c>
      <c r="E78" t="s">
        <v>37</v>
      </c>
      <c r="F78" t="s">
        <v>46</v>
      </c>
      <c r="G78" t="s">
        <v>48</v>
      </c>
      <c r="H78" t="s">
        <v>65</v>
      </c>
      <c r="I78">
        <v>0</v>
      </c>
      <c r="J78">
        <v>1</v>
      </c>
      <c r="K78">
        <v>1</v>
      </c>
      <c r="L78">
        <v>0</v>
      </c>
      <c r="M78">
        <v>1</v>
      </c>
      <c r="N78">
        <v>0</v>
      </c>
      <c r="O78">
        <v>1</v>
      </c>
      <c r="P78">
        <v>0</v>
      </c>
      <c r="Q78">
        <v>1</v>
      </c>
      <c r="R78">
        <v>0</v>
      </c>
      <c r="S78">
        <v>0</v>
      </c>
      <c r="T78">
        <v>0</v>
      </c>
      <c r="U78">
        <v>0</v>
      </c>
      <c r="V78">
        <v>0</v>
      </c>
    </row>
    <row r="79" spans="1:22" x14ac:dyDescent="0.2">
      <c r="A79" t="s">
        <v>173</v>
      </c>
      <c r="B79" t="s">
        <v>174</v>
      </c>
      <c r="C79" t="s">
        <v>41</v>
      </c>
      <c r="D79" t="s">
        <v>55</v>
      </c>
      <c r="E79" t="s">
        <v>37</v>
      </c>
      <c r="F79" t="s">
        <v>46</v>
      </c>
      <c r="G79" t="s">
        <v>47</v>
      </c>
      <c r="H79" t="s">
        <v>48</v>
      </c>
      <c r="I79">
        <v>0</v>
      </c>
      <c r="J79">
        <v>0</v>
      </c>
      <c r="K79">
        <v>1</v>
      </c>
      <c r="L79">
        <v>1</v>
      </c>
      <c r="M79">
        <v>1</v>
      </c>
      <c r="N79">
        <v>0</v>
      </c>
      <c r="O79">
        <v>1</v>
      </c>
      <c r="P79">
        <v>0</v>
      </c>
      <c r="Q79">
        <v>0</v>
      </c>
      <c r="R79">
        <v>0</v>
      </c>
      <c r="S79">
        <v>1</v>
      </c>
      <c r="T79">
        <v>0</v>
      </c>
      <c r="U79">
        <v>0</v>
      </c>
      <c r="V79">
        <v>0</v>
      </c>
    </row>
    <row r="80" spans="1:22" x14ac:dyDescent="0.2">
      <c r="A80" t="s">
        <v>178</v>
      </c>
      <c r="B80" t="s">
        <v>108</v>
      </c>
      <c r="C80" t="s">
        <v>41</v>
      </c>
      <c r="D80" t="s">
        <v>72</v>
      </c>
      <c r="E80" t="s">
        <v>37</v>
      </c>
      <c r="F80" t="s">
        <v>48</v>
      </c>
      <c r="G80" t="s">
        <v>47</v>
      </c>
      <c r="H80" t="s">
        <v>46</v>
      </c>
      <c r="I80">
        <v>0</v>
      </c>
      <c r="J80">
        <v>0</v>
      </c>
      <c r="K80">
        <v>1</v>
      </c>
      <c r="L80">
        <v>1</v>
      </c>
      <c r="M80">
        <v>1</v>
      </c>
      <c r="N80">
        <v>0</v>
      </c>
      <c r="O80">
        <v>1</v>
      </c>
      <c r="P80">
        <v>0</v>
      </c>
      <c r="Q80">
        <v>0</v>
      </c>
      <c r="R80">
        <v>0</v>
      </c>
      <c r="S80">
        <v>0</v>
      </c>
      <c r="T80">
        <v>0</v>
      </c>
      <c r="U80">
        <v>0</v>
      </c>
      <c r="V80">
        <v>1</v>
      </c>
    </row>
    <row r="81" spans="1:22" x14ac:dyDescent="0.2">
      <c r="A81" t="s">
        <v>178</v>
      </c>
      <c r="B81" t="s">
        <v>108</v>
      </c>
      <c r="C81" t="s">
        <v>41</v>
      </c>
      <c r="D81" t="s">
        <v>55</v>
      </c>
      <c r="E81" t="s">
        <v>37</v>
      </c>
      <c r="F81" t="s">
        <v>46</v>
      </c>
      <c r="G81" t="s">
        <v>48</v>
      </c>
      <c r="H81" t="s">
        <v>47</v>
      </c>
      <c r="I81">
        <v>0</v>
      </c>
      <c r="J81">
        <v>0</v>
      </c>
      <c r="K81">
        <v>1</v>
      </c>
      <c r="L81">
        <v>1</v>
      </c>
      <c r="M81">
        <v>1</v>
      </c>
      <c r="N81">
        <v>0</v>
      </c>
      <c r="O81">
        <v>1</v>
      </c>
      <c r="P81">
        <v>0</v>
      </c>
      <c r="Q81">
        <v>0</v>
      </c>
      <c r="R81">
        <v>0</v>
      </c>
      <c r="S81">
        <v>0</v>
      </c>
      <c r="T81">
        <v>0</v>
      </c>
      <c r="U81">
        <v>0</v>
      </c>
      <c r="V81">
        <v>1</v>
      </c>
    </row>
    <row r="82" spans="1:22" x14ac:dyDescent="0.2">
      <c r="A82" t="s">
        <v>178</v>
      </c>
      <c r="B82" t="s">
        <v>108</v>
      </c>
      <c r="C82" t="s">
        <v>41</v>
      </c>
      <c r="D82" t="s">
        <v>42</v>
      </c>
      <c r="E82" t="s">
        <v>37</v>
      </c>
      <c r="F82" t="s">
        <v>48</v>
      </c>
      <c r="G82" t="s">
        <v>46</v>
      </c>
      <c r="H82" t="s">
        <v>47</v>
      </c>
      <c r="I82">
        <v>0</v>
      </c>
      <c r="J82">
        <v>0</v>
      </c>
      <c r="K82">
        <v>1</v>
      </c>
      <c r="L82">
        <v>1</v>
      </c>
      <c r="M82">
        <v>1</v>
      </c>
      <c r="N82">
        <v>0</v>
      </c>
      <c r="O82">
        <v>1</v>
      </c>
      <c r="P82">
        <v>0</v>
      </c>
      <c r="Q82">
        <v>0</v>
      </c>
      <c r="R82">
        <v>1</v>
      </c>
      <c r="S82">
        <v>1</v>
      </c>
      <c r="T82">
        <v>1</v>
      </c>
      <c r="U82">
        <v>0</v>
      </c>
      <c r="V82">
        <v>0</v>
      </c>
    </row>
    <row r="83" spans="1:22" x14ac:dyDescent="0.2">
      <c r="A83" t="s">
        <v>180</v>
      </c>
      <c r="B83" t="s">
        <v>108</v>
      </c>
      <c r="C83" t="s">
        <v>41</v>
      </c>
      <c r="D83" t="s">
        <v>49</v>
      </c>
      <c r="E83" t="s">
        <v>37</v>
      </c>
      <c r="F83" t="s">
        <v>48</v>
      </c>
      <c r="G83" t="s">
        <v>47</v>
      </c>
      <c r="H83" t="s">
        <v>60</v>
      </c>
      <c r="I83">
        <v>1</v>
      </c>
      <c r="J83">
        <v>0</v>
      </c>
      <c r="K83">
        <v>1</v>
      </c>
      <c r="L83">
        <v>1</v>
      </c>
      <c r="M83">
        <v>0</v>
      </c>
      <c r="N83">
        <v>0</v>
      </c>
      <c r="O83">
        <v>1</v>
      </c>
      <c r="P83">
        <v>0</v>
      </c>
      <c r="Q83">
        <v>0</v>
      </c>
      <c r="R83">
        <v>0</v>
      </c>
      <c r="S83">
        <v>0</v>
      </c>
      <c r="T83">
        <v>0</v>
      </c>
      <c r="U83">
        <v>0</v>
      </c>
      <c r="V83">
        <v>1</v>
      </c>
    </row>
    <row r="84" spans="1:22" x14ac:dyDescent="0.2">
      <c r="A84" t="s">
        <v>180</v>
      </c>
      <c r="B84" t="s">
        <v>108</v>
      </c>
      <c r="C84" t="s">
        <v>41</v>
      </c>
      <c r="D84" t="s">
        <v>72</v>
      </c>
      <c r="E84" t="s">
        <v>37</v>
      </c>
      <c r="F84" t="s">
        <v>46</v>
      </c>
      <c r="G84" t="s">
        <v>48</v>
      </c>
      <c r="H84" t="s">
        <v>65</v>
      </c>
      <c r="I84">
        <v>0</v>
      </c>
      <c r="J84">
        <v>1</v>
      </c>
      <c r="K84">
        <v>1</v>
      </c>
      <c r="L84">
        <v>0</v>
      </c>
      <c r="M84">
        <v>1</v>
      </c>
      <c r="N84">
        <v>0</v>
      </c>
      <c r="O84">
        <v>1</v>
      </c>
      <c r="P84">
        <v>0</v>
      </c>
      <c r="Q84">
        <v>1</v>
      </c>
      <c r="R84">
        <v>1</v>
      </c>
      <c r="S84">
        <v>0</v>
      </c>
      <c r="T84">
        <v>1</v>
      </c>
      <c r="U84">
        <v>0</v>
      </c>
      <c r="V84">
        <v>0</v>
      </c>
    </row>
    <row r="85" spans="1:22" x14ac:dyDescent="0.2">
      <c r="A85" t="s">
        <v>180</v>
      </c>
      <c r="B85" t="s">
        <v>108</v>
      </c>
      <c r="C85" t="s">
        <v>41</v>
      </c>
      <c r="D85" t="s">
        <v>61</v>
      </c>
      <c r="E85" t="s">
        <v>37</v>
      </c>
      <c r="F85" t="s">
        <v>48</v>
      </c>
      <c r="G85" t="s">
        <v>65</v>
      </c>
      <c r="H85" t="s">
        <v>46</v>
      </c>
      <c r="I85">
        <v>0</v>
      </c>
      <c r="J85">
        <v>1</v>
      </c>
      <c r="K85">
        <v>1</v>
      </c>
      <c r="L85">
        <v>0</v>
      </c>
      <c r="M85">
        <v>1</v>
      </c>
      <c r="N85">
        <v>0</v>
      </c>
      <c r="O85">
        <v>1</v>
      </c>
      <c r="P85">
        <v>0</v>
      </c>
      <c r="Q85">
        <v>1</v>
      </c>
      <c r="R85">
        <v>1</v>
      </c>
      <c r="S85">
        <v>0</v>
      </c>
      <c r="T85">
        <v>1</v>
      </c>
      <c r="U85">
        <v>0</v>
      </c>
      <c r="V85">
        <v>0</v>
      </c>
    </row>
    <row r="86" spans="1:22" x14ac:dyDescent="0.2">
      <c r="A86" t="s">
        <v>180</v>
      </c>
      <c r="B86" t="s">
        <v>108</v>
      </c>
      <c r="C86" t="s">
        <v>41</v>
      </c>
      <c r="D86" t="s">
        <v>55</v>
      </c>
      <c r="E86" t="s">
        <v>37</v>
      </c>
      <c r="F86" t="s">
        <v>46</v>
      </c>
      <c r="G86" t="s">
        <v>59</v>
      </c>
      <c r="H86" t="s">
        <v>48</v>
      </c>
      <c r="I86">
        <v>0</v>
      </c>
      <c r="J86">
        <v>0</v>
      </c>
      <c r="K86">
        <v>1</v>
      </c>
      <c r="L86">
        <v>0</v>
      </c>
      <c r="M86">
        <v>1</v>
      </c>
      <c r="N86">
        <v>0</v>
      </c>
      <c r="O86">
        <v>1</v>
      </c>
      <c r="P86">
        <v>0</v>
      </c>
      <c r="Q86">
        <v>0</v>
      </c>
      <c r="R86">
        <v>0</v>
      </c>
      <c r="S86">
        <v>0</v>
      </c>
      <c r="T86">
        <v>0</v>
      </c>
      <c r="U86">
        <v>0</v>
      </c>
      <c r="V86">
        <v>1</v>
      </c>
    </row>
    <row r="87" spans="1:22" x14ac:dyDescent="0.2">
      <c r="A87" t="s">
        <v>180</v>
      </c>
      <c r="B87" t="s">
        <v>108</v>
      </c>
      <c r="C87" t="s">
        <v>41</v>
      </c>
      <c r="D87" t="s">
        <v>67</v>
      </c>
      <c r="E87" t="s">
        <v>37</v>
      </c>
      <c r="F87" t="s">
        <v>65</v>
      </c>
      <c r="G87" t="s">
        <v>48</v>
      </c>
      <c r="H87" t="s">
        <v>46</v>
      </c>
      <c r="I87">
        <v>0</v>
      </c>
      <c r="J87">
        <v>1</v>
      </c>
      <c r="K87">
        <v>1</v>
      </c>
      <c r="L87">
        <v>0</v>
      </c>
      <c r="M87">
        <v>1</v>
      </c>
      <c r="N87">
        <v>0</v>
      </c>
      <c r="O87">
        <v>1</v>
      </c>
      <c r="P87">
        <v>0</v>
      </c>
      <c r="Q87">
        <v>0</v>
      </c>
      <c r="R87">
        <v>0</v>
      </c>
      <c r="S87">
        <v>0</v>
      </c>
      <c r="T87">
        <v>0</v>
      </c>
      <c r="U87">
        <v>0</v>
      </c>
      <c r="V87">
        <v>1</v>
      </c>
    </row>
    <row r="88" spans="1:22" x14ac:dyDescent="0.2">
      <c r="A88" t="s">
        <v>183</v>
      </c>
      <c r="B88" t="s">
        <v>108</v>
      </c>
      <c r="C88" t="s">
        <v>41</v>
      </c>
      <c r="D88" t="s">
        <v>42</v>
      </c>
      <c r="E88" t="s">
        <v>37</v>
      </c>
      <c r="F88" t="s">
        <v>46</v>
      </c>
      <c r="G88" t="s">
        <v>48</v>
      </c>
      <c r="H88" t="s">
        <v>59</v>
      </c>
      <c r="I88">
        <v>0</v>
      </c>
      <c r="J88">
        <v>0</v>
      </c>
      <c r="K88">
        <v>1</v>
      </c>
      <c r="L88">
        <v>0</v>
      </c>
      <c r="M88">
        <v>1</v>
      </c>
      <c r="N88">
        <v>0</v>
      </c>
      <c r="O88">
        <v>1</v>
      </c>
      <c r="P88">
        <v>0</v>
      </c>
      <c r="Q88">
        <v>0</v>
      </c>
      <c r="R88">
        <v>0</v>
      </c>
      <c r="S88">
        <v>0</v>
      </c>
      <c r="T88">
        <v>0</v>
      </c>
      <c r="U88">
        <v>0</v>
      </c>
      <c r="V88">
        <v>1</v>
      </c>
    </row>
    <row r="89" spans="1:22" x14ac:dyDescent="0.2">
      <c r="A89" t="s">
        <v>183</v>
      </c>
      <c r="B89" t="s">
        <v>108</v>
      </c>
      <c r="C89" t="s">
        <v>41</v>
      </c>
      <c r="D89" t="s">
        <v>61</v>
      </c>
      <c r="E89" t="s">
        <v>37</v>
      </c>
      <c r="F89" t="s">
        <v>65</v>
      </c>
      <c r="G89" t="s">
        <v>47</v>
      </c>
      <c r="H89" t="s">
        <v>48</v>
      </c>
      <c r="I89">
        <v>0</v>
      </c>
      <c r="J89">
        <v>1</v>
      </c>
      <c r="K89">
        <v>1</v>
      </c>
      <c r="L89">
        <v>1</v>
      </c>
      <c r="M89">
        <v>0</v>
      </c>
      <c r="N89">
        <v>0</v>
      </c>
      <c r="O89">
        <v>1</v>
      </c>
      <c r="P89">
        <v>0</v>
      </c>
      <c r="Q89">
        <v>0</v>
      </c>
      <c r="R89">
        <v>0</v>
      </c>
      <c r="S89">
        <v>0</v>
      </c>
      <c r="T89">
        <v>0</v>
      </c>
      <c r="U89">
        <v>0</v>
      </c>
      <c r="V89">
        <v>1</v>
      </c>
    </row>
    <row r="90" spans="1:22" x14ac:dyDescent="0.2">
      <c r="A90" t="s">
        <v>187</v>
      </c>
      <c r="B90" t="s">
        <v>188</v>
      </c>
      <c r="C90" t="s">
        <v>41</v>
      </c>
      <c r="D90" t="s">
        <v>42</v>
      </c>
      <c r="E90" t="s">
        <v>37</v>
      </c>
      <c r="F90" t="s">
        <v>47</v>
      </c>
      <c r="G90" t="s">
        <v>48</v>
      </c>
      <c r="H90" t="s">
        <v>60</v>
      </c>
      <c r="I90">
        <v>1</v>
      </c>
      <c r="J90">
        <v>0</v>
      </c>
      <c r="K90">
        <v>1</v>
      </c>
      <c r="L90">
        <v>1</v>
      </c>
      <c r="M90">
        <v>0</v>
      </c>
      <c r="N90">
        <v>0</v>
      </c>
      <c r="O90">
        <v>1</v>
      </c>
      <c r="P90">
        <v>1</v>
      </c>
      <c r="Q90">
        <v>0</v>
      </c>
      <c r="R90">
        <v>0</v>
      </c>
      <c r="S90">
        <v>0</v>
      </c>
      <c r="T90">
        <v>0</v>
      </c>
      <c r="U90">
        <v>0</v>
      </c>
      <c r="V90">
        <v>0</v>
      </c>
    </row>
    <row r="91" spans="1:22" x14ac:dyDescent="0.2">
      <c r="A91" t="s">
        <v>187</v>
      </c>
      <c r="B91" t="s">
        <v>188</v>
      </c>
      <c r="C91" t="s">
        <v>41</v>
      </c>
      <c r="D91" t="s">
        <v>61</v>
      </c>
      <c r="E91" t="s">
        <v>37</v>
      </c>
      <c r="F91" t="s">
        <v>60</v>
      </c>
      <c r="G91" t="s">
        <v>47</v>
      </c>
      <c r="H91" t="s">
        <v>48</v>
      </c>
      <c r="I91">
        <v>1</v>
      </c>
      <c r="J91">
        <v>0</v>
      </c>
      <c r="K91">
        <v>1</v>
      </c>
      <c r="L91">
        <v>1</v>
      </c>
      <c r="M91">
        <v>0</v>
      </c>
      <c r="N91">
        <v>0</v>
      </c>
      <c r="O91">
        <v>1</v>
      </c>
      <c r="P91">
        <v>0</v>
      </c>
      <c r="Q91">
        <v>0</v>
      </c>
      <c r="R91">
        <v>1</v>
      </c>
      <c r="S91">
        <v>0</v>
      </c>
      <c r="T91">
        <v>0</v>
      </c>
      <c r="U91">
        <v>0</v>
      </c>
      <c r="V91">
        <v>0</v>
      </c>
    </row>
    <row r="92" spans="1:22" x14ac:dyDescent="0.2">
      <c r="A92" t="s">
        <v>187</v>
      </c>
      <c r="B92" t="s">
        <v>188</v>
      </c>
      <c r="C92" t="s">
        <v>41</v>
      </c>
      <c r="D92" t="s">
        <v>72</v>
      </c>
      <c r="E92" t="s">
        <v>37</v>
      </c>
      <c r="F92" t="s">
        <v>47</v>
      </c>
      <c r="G92" t="s">
        <v>65</v>
      </c>
      <c r="H92" t="s">
        <v>48</v>
      </c>
      <c r="I92">
        <v>0</v>
      </c>
      <c r="J92">
        <v>1</v>
      </c>
      <c r="K92">
        <v>1</v>
      </c>
      <c r="L92">
        <v>1</v>
      </c>
      <c r="M92">
        <v>0</v>
      </c>
      <c r="N92">
        <v>0</v>
      </c>
      <c r="O92">
        <v>1</v>
      </c>
      <c r="P92">
        <v>0</v>
      </c>
      <c r="Q92">
        <v>0</v>
      </c>
      <c r="R92">
        <v>1</v>
      </c>
      <c r="S92">
        <v>0</v>
      </c>
      <c r="T92">
        <v>0</v>
      </c>
      <c r="U92">
        <v>0</v>
      </c>
      <c r="V92">
        <v>0</v>
      </c>
    </row>
    <row r="93" spans="1:22" x14ac:dyDescent="0.2">
      <c r="A93" t="s">
        <v>192</v>
      </c>
      <c r="B93" t="s">
        <v>108</v>
      </c>
      <c r="C93" t="s">
        <v>41</v>
      </c>
      <c r="D93" t="s">
        <v>49</v>
      </c>
      <c r="E93" t="s">
        <v>37</v>
      </c>
      <c r="F93" t="s">
        <v>46</v>
      </c>
      <c r="G93" t="s">
        <v>48</v>
      </c>
      <c r="H93" t="s">
        <v>47</v>
      </c>
      <c r="I93">
        <v>0</v>
      </c>
      <c r="J93">
        <v>0</v>
      </c>
      <c r="K93">
        <v>1</v>
      </c>
      <c r="L93">
        <v>1</v>
      </c>
      <c r="M93">
        <v>1</v>
      </c>
      <c r="N93">
        <v>0</v>
      </c>
      <c r="O93">
        <v>1</v>
      </c>
      <c r="P93">
        <v>0</v>
      </c>
      <c r="Q93">
        <v>0</v>
      </c>
      <c r="R93">
        <v>0</v>
      </c>
      <c r="S93">
        <v>0</v>
      </c>
      <c r="T93">
        <v>0</v>
      </c>
      <c r="U93">
        <v>0</v>
      </c>
      <c r="V93">
        <v>1</v>
      </c>
    </row>
    <row r="94" spans="1:22" x14ac:dyDescent="0.2">
      <c r="A94" t="s">
        <v>192</v>
      </c>
      <c r="B94" t="s">
        <v>108</v>
      </c>
      <c r="C94" t="s">
        <v>41</v>
      </c>
      <c r="D94" t="s">
        <v>67</v>
      </c>
      <c r="E94" t="s">
        <v>37</v>
      </c>
      <c r="F94" t="s">
        <v>46</v>
      </c>
      <c r="G94" t="s">
        <v>48</v>
      </c>
      <c r="H94" t="s">
        <v>60</v>
      </c>
      <c r="I94">
        <v>1</v>
      </c>
      <c r="J94">
        <v>0</v>
      </c>
      <c r="K94">
        <v>1</v>
      </c>
      <c r="L94">
        <v>0</v>
      </c>
      <c r="M94">
        <v>1</v>
      </c>
      <c r="N94">
        <v>0</v>
      </c>
      <c r="O94">
        <v>1</v>
      </c>
      <c r="P94">
        <v>0</v>
      </c>
      <c r="Q94">
        <v>0</v>
      </c>
      <c r="R94">
        <v>0</v>
      </c>
      <c r="S94">
        <v>0</v>
      </c>
      <c r="T94">
        <v>0</v>
      </c>
      <c r="U94">
        <v>0</v>
      </c>
      <c r="V94">
        <v>1</v>
      </c>
    </row>
    <row r="95" spans="1:22" x14ac:dyDescent="0.2">
      <c r="A95" t="s">
        <v>192</v>
      </c>
      <c r="B95" t="s">
        <v>108</v>
      </c>
      <c r="C95" t="s">
        <v>41</v>
      </c>
      <c r="D95" t="s">
        <v>42</v>
      </c>
      <c r="E95" t="s">
        <v>37</v>
      </c>
      <c r="F95" t="s">
        <v>46</v>
      </c>
      <c r="G95" t="s">
        <v>48</v>
      </c>
      <c r="H95" t="s">
        <v>65</v>
      </c>
      <c r="I95">
        <v>0</v>
      </c>
      <c r="J95">
        <v>1</v>
      </c>
      <c r="K95">
        <v>1</v>
      </c>
      <c r="L95">
        <v>0</v>
      </c>
      <c r="M95">
        <v>1</v>
      </c>
      <c r="N95">
        <v>0</v>
      </c>
      <c r="O95">
        <v>1</v>
      </c>
      <c r="P95">
        <v>0</v>
      </c>
      <c r="Q95">
        <v>0</v>
      </c>
      <c r="R95">
        <v>0</v>
      </c>
      <c r="S95">
        <v>0</v>
      </c>
      <c r="T95">
        <v>0</v>
      </c>
      <c r="U95">
        <v>0</v>
      </c>
      <c r="V95">
        <v>1</v>
      </c>
    </row>
    <row r="96" spans="1:22" x14ac:dyDescent="0.2">
      <c r="A96" t="s">
        <v>195</v>
      </c>
      <c r="B96" t="s">
        <v>108</v>
      </c>
      <c r="C96" t="s">
        <v>41</v>
      </c>
      <c r="D96" t="s">
        <v>72</v>
      </c>
      <c r="E96" t="s">
        <v>37</v>
      </c>
      <c r="F96" t="s">
        <v>48</v>
      </c>
      <c r="G96" t="s">
        <v>46</v>
      </c>
      <c r="H96" t="s">
        <v>47</v>
      </c>
      <c r="I96">
        <v>0</v>
      </c>
      <c r="J96">
        <v>0</v>
      </c>
      <c r="K96">
        <v>1</v>
      </c>
      <c r="L96">
        <v>1</v>
      </c>
      <c r="M96">
        <v>1</v>
      </c>
      <c r="N96">
        <v>0</v>
      </c>
      <c r="O96">
        <v>1</v>
      </c>
      <c r="P96">
        <v>0</v>
      </c>
      <c r="Q96">
        <v>0</v>
      </c>
      <c r="R96">
        <v>0</v>
      </c>
      <c r="S96">
        <v>0</v>
      </c>
      <c r="T96">
        <v>0</v>
      </c>
      <c r="U96">
        <v>0</v>
      </c>
      <c r="V96">
        <v>1</v>
      </c>
    </row>
    <row r="97" spans="1:22" x14ac:dyDescent="0.2">
      <c r="A97" t="s">
        <v>195</v>
      </c>
      <c r="B97" t="s">
        <v>108</v>
      </c>
      <c r="C97" t="s">
        <v>41</v>
      </c>
      <c r="D97" t="s">
        <v>55</v>
      </c>
      <c r="E97" t="s">
        <v>37</v>
      </c>
      <c r="F97" t="s">
        <v>47</v>
      </c>
      <c r="G97" t="s">
        <v>48</v>
      </c>
      <c r="H97" t="s">
        <v>46</v>
      </c>
      <c r="I97">
        <v>0</v>
      </c>
      <c r="J97">
        <v>0</v>
      </c>
      <c r="K97">
        <v>1</v>
      </c>
      <c r="L97">
        <v>1</v>
      </c>
      <c r="M97">
        <v>1</v>
      </c>
      <c r="N97">
        <v>0</v>
      </c>
      <c r="O97">
        <v>1</v>
      </c>
      <c r="P97">
        <v>0</v>
      </c>
      <c r="Q97">
        <v>0</v>
      </c>
      <c r="R97">
        <v>0</v>
      </c>
      <c r="S97">
        <v>1</v>
      </c>
      <c r="T97">
        <v>0</v>
      </c>
      <c r="U97">
        <v>0</v>
      </c>
      <c r="V97">
        <v>0</v>
      </c>
    </row>
    <row r="98" spans="1:22" x14ac:dyDescent="0.2">
      <c r="A98" t="s">
        <v>195</v>
      </c>
      <c r="B98" t="s">
        <v>108</v>
      </c>
      <c r="C98" t="s">
        <v>41</v>
      </c>
      <c r="D98" t="s">
        <v>42</v>
      </c>
      <c r="E98" t="s">
        <v>37</v>
      </c>
      <c r="F98" t="s">
        <v>46</v>
      </c>
      <c r="G98" t="s">
        <v>65</v>
      </c>
      <c r="H98" t="s">
        <v>48</v>
      </c>
      <c r="I98">
        <v>0</v>
      </c>
      <c r="J98">
        <v>1</v>
      </c>
      <c r="K98">
        <v>1</v>
      </c>
      <c r="L98">
        <v>0</v>
      </c>
      <c r="M98">
        <v>1</v>
      </c>
      <c r="N98">
        <v>0</v>
      </c>
      <c r="O98">
        <v>1</v>
      </c>
      <c r="P98">
        <v>0</v>
      </c>
      <c r="Q98">
        <v>1</v>
      </c>
      <c r="R98">
        <v>0</v>
      </c>
      <c r="S98">
        <v>0</v>
      </c>
      <c r="T98">
        <v>0</v>
      </c>
      <c r="U98">
        <v>0</v>
      </c>
      <c r="V98">
        <v>0</v>
      </c>
    </row>
    <row r="99" spans="1:22" x14ac:dyDescent="0.2">
      <c r="A99" t="s">
        <v>198</v>
      </c>
      <c r="B99" t="s">
        <v>108</v>
      </c>
      <c r="C99" t="s">
        <v>41</v>
      </c>
      <c r="D99" t="s">
        <v>72</v>
      </c>
      <c r="E99" t="s">
        <v>37</v>
      </c>
      <c r="F99" t="s">
        <v>59</v>
      </c>
      <c r="G99" t="s">
        <v>48</v>
      </c>
      <c r="H99" t="s">
        <v>46</v>
      </c>
      <c r="I99">
        <v>0</v>
      </c>
      <c r="J99">
        <v>0</v>
      </c>
      <c r="K99">
        <v>1</v>
      </c>
      <c r="L99">
        <v>0</v>
      </c>
      <c r="M99">
        <v>1</v>
      </c>
      <c r="N99">
        <v>0</v>
      </c>
      <c r="O99">
        <v>1</v>
      </c>
      <c r="P99">
        <v>0</v>
      </c>
      <c r="Q99">
        <v>0</v>
      </c>
      <c r="R99">
        <v>0</v>
      </c>
      <c r="S99">
        <v>0</v>
      </c>
      <c r="T99">
        <v>0</v>
      </c>
      <c r="U99">
        <v>0</v>
      </c>
      <c r="V99">
        <v>1</v>
      </c>
    </row>
    <row r="100" spans="1:22" x14ac:dyDescent="0.2">
      <c r="A100" t="s">
        <v>198</v>
      </c>
      <c r="B100" t="s">
        <v>108</v>
      </c>
      <c r="C100" t="s">
        <v>41</v>
      </c>
      <c r="D100" t="s">
        <v>49</v>
      </c>
      <c r="E100" t="s">
        <v>37</v>
      </c>
      <c r="F100" t="s">
        <v>46</v>
      </c>
      <c r="G100" t="s">
        <v>47</v>
      </c>
      <c r="H100" t="s">
        <v>48</v>
      </c>
      <c r="I100">
        <v>0</v>
      </c>
      <c r="J100">
        <v>0</v>
      </c>
      <c r="K100">
        <v>1</v>
      </c>
      <c r="L100">
        <v>1</v>
      </c>
      <c r="M100">
        <v>1</v>
      </c>
      <c r="N100">
        <v>0</v>
      </c>
      <c r="O100">
        <v>1</v>
      </c>
      <c r="P100">
        <v>0</v>
      </c>
      <c r="Q100">
        <v>0</v>
      </c>
      <c r="R100">
        <v>0</v>
      </c>
      <c r="S100">
        <v>1</v>
      </c>
      <c r="T100">
        <v>0</v>
      </c>
      <c r="U100">
        <v>0</v>
      </c>
      <c r="V100">
        <v>0</v>
      </c>
    </row>
    <row r="101" spans="1:22" x14ac:dyDescent="0.2">
      <c r="A101" t="s">
        <v>198</v>
      </c>
      <c r="B101" t="s">
        <v>108</v>
      </c>
      <c r="C101" t="s">
        <v>41</v>
      </c>
      <c r="D101" t="s">
        <v>42</v>
      </c>
      <c r="E101" t="s">
        <v>37</v>
      </c>
      <c r="F101" t="s">
        <v>48</v>
      </c>
      <c r="G101" t="s">
        <v>46</v>
      </c>
      <c r="H101" t="s">
        <v>47</v>
      </c>
      <c r="I101">
        <v>0</v>
      </c>
      <c r="J101">
        <v>0</v>
      </c>
      <c r="K101">
        <v>1</v>
      </c>
      <c r="L101">
        <v>1</v>
      </c>
      <c r="M101">
        <v>1</v>
      </c>
      <c r="N101">
        <v>0</v>
      </c>
      <c r="O101">
        <v>1</v>
      </c>
      <c r="P101">
        <v>0</v>
      </c>
      <c r="Q101">
        <v>0</v>
      </c>
      <c r="R101">
        <v>0</v>
      </c>
      <c r="S101">
        <v>1</v>
      </c>
      <c r="T101">
        <v>0</v>
      </c>
      <c r="U101">
        <v>0</v>
      </c>
      <c r="V101">
        <v>0</v>
      </c>
    </row>
    <row r="102" spans="1:22" x14ac:dyDescent="0.2">
      <c r="A102" t="s">
        <v>202</v>
      </c>
      <c r="B102" t="s">
        <v>108</v>
      </c>
      <c r="C102" t="s">
        <v>41</v>
      </c>
      <c r="D102" t="s">
        <v>42</v>
      </c>
      <c r="E102" t="s">
        <v>37</v>
      </c>
      <c r="F102" t="s">
        <v>60</v>
      </c>
      <c r="G102" t="s">
        <v>48</v>
      </c>
      <c r="H102" t="s">
        <v>46</v>
      </c>
      <c r="I102">
        <v>1</v>
      </c>
      <c r="J102">
        <v>0</v>
      </c>
      <c r="K102">
        <v>1</v>
      </c>
      <c r="L102">
        <v>0</v>
      </c>
      <c r="M102">
        <v>1</v>
      </c>
      <c r="N102">
        <v>0</v>
      </c>
      <c r="O102">
        <v>1</v>
      </c>
      <c r="P102">
        <v>0</v>
      </c>
      <c r="Q102">
        <v>0</v>
      </c>
      <c r="R102">
        <v>0</v>
      </c>
      <c r="S102">
        <v>0</v>
      </c>
      <c r="T102">
        <v>0</v>
      </c>
      <c r="U102">
        <v>0</v>
      </c>
      <c r="V102">
        <v>1</v>
      </c>
    </row>
    <row r="103" spans="1:22" x14ac:dyDescent="0.2">
      <c r="A103" t="s">
        <v>202</v>
      </c>
      <c r="B103" t="s">
        <v>108</v>
      </c>
      <c r="C103" t="s">
        <v>41</v>
      </c>
      <c r="D103" t="s">
        <v>67</v>
      </c>
      <c r="E103" t="s">
        <v>37</v>
      </c>
      <c r="F103" t="s">
        <v>48</v>
      </c>
      <c r="G103" t="s">
        <v>65</v>
      </c>
      <c r="H103" t="s">
        <v>59</v>
      </c>
      <c r="I103">
        <v>0</v>
      </c>
      <c r="J103">
        <v>1</v>
      </c>
      <c r="K103">
        <v>1</v>
      </c>
      <c r="L103">
        <v>0</v>
      </c>
      <c r="M103">
        <v>0</v>
      </c>
      <c r="N103">
        <v>0</v>
      </c>
      <c r="O103">
        <v>1</v>
      </c>
      <c r="P103">
        <v>0</v>
      </c>
      <c r="Q103">
        <v>1</v>
      </c>
      <c r="R103">
        <v>1</v>
      </c>
      <c r="S103">
        <v>0</v>
      </c>
      <c r="T103">
        <v>0</v>
      </c>
      <c r="U103">
        <v>0</v>
      </c>
      <c r="V103">
        <v>0</v>
      </c>
    </row>
    <row r="104" spans="1:22" x14ac:dyDescent="0.2">
      <c r="A104" t="s">
        <v>202</v>
      </c>
      <c r="B104" t="s">
        <v>108</v>
      </c>
      <c r="C104" t="s">
        <v>41</v>
      </c>
      <c r="D104" t="s">
        <v>61</v>
      </c>
      <c r="E104" t="s">
        <v>37</v>
      </c>
      <c r="F104" t="s">
        <v>60</v>
      </c>
      <c r="G104" t="s">
        <v>48</v>
      </c>
      <c r="H104" t="s">
        <v>65</v>
      </c>
      <c r="I104">
        <v>1</v>
      </c>
      <c r="J104">
        <v>1</v>
      </c>
      <c r="K104">
        <v>1</v>
      </c>
      <c r="L104">
        <v>0</v>
      </c>
      <c r="M104">
        <v>0</v>
      </c>
      <c r="N104">
        <v>0</v>
      </c>
      <c r="O104">
        <v>1</v>
      </c>
      <c r="P104">
        <v>1</v>
      </c>
      <c r="Q104">
        <v>1</v>
      </c>
      <c r="R104">
        <v>1</v>
      </c>
      <c r="S104">
        <v>0</v>
      </c>
      <c r="T104">
        <v>0</v>
      </c>
      <c r="U104">
        <v>0</v>
      </c>
      <c r="V104">
        <v>0</v>
      </c>
    </row>
    <row r="105" spans="1:22" x14ac:dyDescent="0.2">
      <c r="A105" t="s">
        <v>206</v>
      </c>
      <c r="B105" t="s">
        <v>33</v>
      </c>
      <c r="C105" t="s">
        <v>41</v>
      </c>
      <c r="D105" t="s">
        <v>72</v>
      </c>
      <c r="E105" t="s">
        <v>37</v>
      </c>
      <c r="F105" t="s">
        <v>46</v>
      </c>
      <c r="G105" t="s">
        <v>48</v>
      </c>
      <c r="H105" t="s">
        <v>59</v>
      </c>
      <c r="I105">
        <v>0</v>
      </c>
      <c r="J105">
        <v>0</v>
      </c>
      <c r="K105">
        <v>1</v>
      </c>
      <c r="L105">
        <v>0</v>
      </c>
      <c r="M105">
        <v>1</v>
      </c>
      <c r="N105">
        <v>0</v>
      </c>
      <c r="O105">
        <v>1</v>
      </c>
      <c r="P105">
        <v>0</v>
      </c>
      <c r="Q105">
        <v>0</v>
      </c>
      <c r="R105">
        <v>1</v>
      </c>
      <c r="S105">
        <v>0</v>
      </c>
      <c r="T105">
        <v>1</v>
      </c>
      <c r="U105">
        <v>0</v>
      </c>
      <c r="V105">
        <v>0</v>
      </c>
    </row>
    <row r="106" spans="1:22" x14ac:dyDescent="0.2">
      <c r="A106" t="s">
        <v>206</v>
      </c>
      <c r="B106" t="s">
        <v>33</v>
      </c>
      <c r="C106" t="s">
        <v>41</v>
      </c>
      <c r="D106" t="s">
        <v>67</v>
      </c>
      <c r="E106" t="s">
        <v>37</v>
      </c>
      <c r="F106" t="s">
        <v>48</v>
      </c>
      <c r="G106" t="s">
        <v>65</v>
      </c>
      <c r="H106" t="s">
        <v>47</v>
      </c>
      <c r="I106">
        <v>0</v>
      </c>
      <c r="J106">
        <v>1</v>
      </c>
      <c r="K106">
        <v>1</v>
      </c>
      <c r="L106">
        <v>1</v>
      </c>
      <c r="M106">
        <v>0</v>
      </c>
      <c r="N106">
        <v>0</v>
      </c>
      <c r="O106">
        <v>1</v>
      </c>
      <c r="P106">
        <v>0</v>
      </c>
      <c r="Q106">
        <v>1</v>
      </c>
      <c r="R106">
        <v>0</v>
      </c>
      <c r="S106">
        <v>0</v>
      </c>
      <c r="T106">
        <v>0</v>
      </c>
      <c r="U106">
        <v>0</v>
      </c>
      <c r="V106">
        <v>0</v>
      </c>
    </row>
    <row r="107" spans="1:22" x14ac:dyDescent="0.2">
      <c r="A107" t="s">
        <v>207</v>
      </c>
      <c r="B107" t="s">
        <v>33</v>
      </c>
      <c r="C107" t="s">
        <v>41</v>
      </c>
      <c r="D107" t="s">
        <v>72</v>
      </c>
      <c r="E107" t="s">
        <v>37</v>
      </c>
      <c r="F107" t="s">
        <v>47</v>
      </c>
      <c r="G107" t="s">
        <v>48</v>
      </c>
      <c r="H107" t="s">
        <v>59</v>
      </c>
      <c r="I107">
        <v>0</v>
      </c>
      <c r="J107">
        <v>0</v>
      </c>
      <c r="K107">
        <v>1</v>
      </c>
      <c r="L107">
        <v>1</v>
      </c>
      <c r="M107">
        <v>0</v>
      </c>
      <c r="N107">
        <v>0</v>
      </c>
      <c r="O107">
        <v>1</v>
      </c>
      <c r="P107">
        <v>0</v>
      </c>
      <c r="Q107">
        <v>0</v>
      </c>
      <c r="R107">
        <v>0</v>
      </c>
      <c r="S107">
        <v>0</v>
      </c>
      <c r="T107">
        <v>0</v>
      </c>
      <c r="U107">
        <v>0</v>
      </c>
      <c r="V107">
        <v>1</v>
      </c>
    </row>
    <row r="108" spans="1:22" x14ac:dyDescent="0.2">
      <c r="A108" t="s">
        <v>207</v>
      </c>
      <c r="B108" t="s">
        <v>33</v>
      </c>
      <c r="C108" t="s">
        <v>41</v>
      </c>
      <c r="D108" t="s">
        <v>42</v>
      </c>
      <c r="E108" t="s">
        <v>37</v>
      </c>
      <c r="F108" t="s">
        <v>46</v>
      </c>
      <c r="G108" t="s">
        <v>48</v>
      </c>
      <c r="H108" t="s">
        <v>59</v>
      </c>
      <c r="I108">
        <v>0</v>
      </c>
      <c r="J108">
        <v>0</v>
      </c>
      <c r="K108">
        <v>1</v>
      </c>
      <c r="L108">
        <v>0</v>
      </c>
      <c r="M108">
        <v>1</v>
      </c>
      <c r="N108">
        <v>0</v>
      </c>
      <c r="O108">
        <v>1</v>
      </c>
      <c r="P108">
        <v>0</v>
      </c>
      <c r="Q108">
        <v>0</v>
      </c>
      <c r="R108">
        <v>1</v>
      </c>
      <c r="S108">
        <v>0</v>
      </c>
      <c r="T108">
        <v>1</v>
      </c>
      <c r="U108">
        <v>0</v>
      </c>
      <c r="V108">
        <v>0</v>
      </c>
    </row>
    <row r="109" spans="1:22" x14ac:dyDescent="0.2">
      <c r="A109" t="s">
        <v>210</v>
      </c>
      <c r="B109" t="s">
        <v>108</v>
      </c>
      <c r="C109" t="s">
        <v>41</v>
      </c>
      <c r="D109" t="s">
        <v>42</v>
      </c>
      <c r="E109" t="s">
        <v>37</v>
      </c>
      <c r="F109" t="s">
        <v>46</v>
      </c>
      <c r="G109" t="s">
        <v>48</v>
      </c>
      <c r="H109" t="s">
        <v>65</v>
      </c>
      <c r="I109">
        <v>0</v>
      </c>
      <c r="J109">
        <v>1</v>
      </c>
      <c r="K109">
        <v>1</v>
      </c>
      <c r="L109">
        <v>0</v>
      </c>
      <c r="M109">
        <v>1</v>
      </c>
      <c r="N109">
        <v>0</v>
      </c>
      <c r="O109">
        <v>1</v>
      </c>
      <c r="P109">
        <v>0</v>
      </c>
      <c r="Q109">
        <v>1</v>
      </c>
      <c r="R109">
        <v>1</v>
      </c>
      <c r="S109">
        <v>0</v>
      </c>
      <c r="T109">
        <v>1</v>
      </c>
      <c r="U109">
        <v>0</v>
      </c>
      <c r="V109">
        <v>0</v>
      </c>
    </row>
    <row r="110" spans="1:22" x14ac:dyDescent="0.2">
      <c r="A110" t="s">
        <v>210</v>
      </c>
      <c r="B110" t="s">
        <v>108</v>
      </c>
      <c r="C110" t="s">
        <v>41</v>
      </c>
      <c r="D110" t="s">
        <v>55</v>
      </c>
      <c r="E110" t="s">
        <v>37</v>
      </c>
      <c r="F110" t="s">
        <v>48</v>
      </c>
      <c r="G110" t="s">
        <v>47</v>
      </c>
      <c r="H110" t="s">
        <v>60</v>
      </c>
      <c r="I110">
        <v>1</v>
      </c>
      <c r="J110">
        <v>0</v>
      </c>
      <c r="K110">
        <v>1</v>
      </c>
      <c r="L110">
        <v>1</v>
      </c>
      <c r="M110">
        <v>0</v>
      </c>
      <c r="N110">
        <v>0</v>
      </c>
      <c r="O110">
        <v>1</v>
      </c>
      <c r="P110">
        <v>0</v>
      </c>
      <c r="Q110">
        <v>0</v>
      </c>
      <c r="R110">
        <v>0</v>
      </c>
      <c r="S110">
        <v>0</v>
      </c>
      <c r="T110">
        <v>0</v>
      </c>
      <c r="U110">
        <v>0</v>
      </c>
      <c r="V110">
        <v>1</v>
      </c>
    </row>
    <row r="111" spans="1:22" x14ac:dyDescent="0.2">
      <c r="A111" t="s">
        <v>210</v>
      </c>
      <c r="B111" t="s">
        <v>108</v>
      </c>
      <c r="C111" t="s">
        <v>41</v>
      </c>
      <c r="D111" t="s">
        <v>67</v>
      </c>
      <c r="E111" t="s">
        <v>37</v>
      </c>
      <c r="F111" t="s">
        <v>65</v>
      </c>
      <c r="G111" t="s">
        <v>48</v>
      </c>
      <c r="H111" t="s">
        <v>47</v>
      </c>
      <c r="I111">
        <v>0</v>
      </c>
      <c r="J111">
        <v>1</v>
      </c>
      <c r="K111">
        <v>1</v>
      </c>
      <c r="L111">
        <v>1</v>
      </c>
      <c r="M111">
        <v>0</v>
      </c>
      <c r="N111">
        <v>0</v>
      </c>
      <c r="O111">
        <v>1</v>
      </c>
      <c r="P111">
        <v>0</v>
      </c>
      <c r="Q111">
        <v>1</v>
      </c>
      <c r="R111">
        <v>1</v>
      </c>
      <c r="S111">
        <v>1</v>
      </c>
      <c r="T111">
        <v>0</v>
      </c>
      <c r="U111">
        <v>0</v>
      </c>
      <c r="V111">
        <v>0</v>
      </c>
    </row>
    <row r="112" spans="1:22" x14ac:dyDescent="0.2">
      <c r="A112" t="s">
        <v>214</v>
      </c>
      <c r="B112" t="s">
        <v>108</v>
      </c>
      <c r="C112" t="s">
        <v>41</v>
      </c>
      <c r="D112" t="s">
        <v>72</v>
      </c>
      <c r="E112" t="s">
        <v>37</v>
      </c>
      <c r="F112" t="s">
        <v>47</v>
      </c>
      <c r="G112" t="s">
        <v>48</v>
      </c>
      <c r="H112" t="s">
        <v>46</v>
      </c>
      <c r="I112">
        <v>0</v>
      </c>
      <c r="J112">
        <v>0</v>
      </c>
      <c r="K112">
        <v>1</v>
      </c>
      <c r="L112">
        <v>1</v>
      </c>
      <c r="M112">
        <v>1</v>
      </c>
      <c r="N112">
        <v>0</v>
      </c>
      <c r="O112">
        <v>1</v>
      </c>
      <c r="P112">
        <v>0</v>
      </c>
      <c r="Q112">
        <v>0</v>
      </c>
      <c r="R112">
        <v>0</v>
      </c>
      <c r="S112">
        <v>0</v>
      </c>
      <c r="T112">
        <v>0</v>
      </c>
      <c r="U112">
        <v>0</v>
      </c>
      <c r="V112">
        <v>1</v>
      </c>
    </row>
    <row r="113" spans="1:22" x14ac:dyDescent="0.2">
      <c r="A113" t="s">
        <v>214</v>
      </c>
      <c r="B113" t="s">
        <v>108</v>
      </c>
      <c r="C113" t="s">
        <v>41</v>
      </c>
      <c r="D113" t="s">
        <v>49</v>
      </c>
      <c r="E113" t="s">
        <v>37</v>
      </c>
      <c r="F113" t="s">
        <v>65</v>
      </c>
      <c r="G113" t="s">
        <v>60</v>
      </c>
      <c r="H113" t="s">
        <v>48</v>
      </c>
      <c r="I113">
        <v>1</v>
      </c>
      <c r="J113">
        <v>1</v>
      </c>
      <c r="K113">
        <v>1</v>
      </c>
      <c r="L113">
        <v>0</v>
      </c>
      <c r="M113">
        <v>0</v>
      </c>
      <c r="N113">
        <v>0</v>
      </c>
      <c r="O113">
        <v>1</v>
      </c>
      <c r="P113">
        <v>1</v>
      </c>
      <c r="Q113">
        <v>1</v>
      </c>
      <c r="R113">
        <v>1</v>
      </c>
      <c r="S113">
        <v>0</v>
      </c>
      <c r="T113">
        <v>0</v>
      </c>
      <c r="U113">
        <v>0</v>
      </c>
      <c r="V113">
        <v>0</v>
      </c>
    </row>
    <row r="114" spans="1:22" x14ac:dyDescent="0.2">
      <c r="A114" t="s">
        <v>214</v>
      </c>
      <c r="B114" t="s">
        <v>108</v>
      </c>
      <c r="C114" t="s">
        <v>41</v>
      </c>
      <c r="D114" t="s">
        <v>55</v>
      </c>
      <c r="E114" t="s">
        <v>37</v>
      </c>
      <c r="F114" t="s">
        <v>48</v>
      </c>
      <c r="G114" t="s">
        <v>60</v>
      </c>
      <c r="H114" t="s">
        <v>46</v>
      </c>
      <c r="I114">
        <v>1</v>
      </c>
      <c r="J114">
        <v>0</v>
      </c>
      <c r="K114">
        <v>1</v>
      </c>
      <c r="L114">
        <v>0</v>
      </c>
      <c r="M114">
        <v>1</v>
      </c>
      <c r="N114">
        <v>0</v>
      </c>
      <c r="O114">
        <v>1</v>
      </c>
      <c r="P114">
        <v>0</v>
      </c>
      <c r="Q114">
        <v>0</v>
      </c>
      <c r="R114">
        <v>0</v>
      </c>
      <c r="S114">
        <v>0</v>
      </c>
      <c r="T114">
        <v>0</v>
      </c>
      <c r="U114">
        <v>0</v>
      </c>
      <c r="V114">
        <v>1</v>
      </c>
    </row>
    <row r="115" spans="1:22" x14ac:dyDescent="0.2">
      <c r="A115" t="s">
        <v>214</v>
      </c>
      <c r="B115" t="s">
        <v>108</v>
      </c>
      <c r="C115" t="s">
        <v>41</v>
      </c>
      <c r="D115" t="s">
        <v>61</v>
      </c>
      <c r="E115" t="s">
        <v>37</v>
      </c>
      <c r="F115" t="s">
        <v>48</v>
      </c>
      <c r="G115" t="s">
        <v>65</v>
      </c>
      <c r="H115" t="s">
        <v>60</v>
      </c>
      <c r="I115">
        <v>1</v>
      </c>
      <c r="J115">
        <v>1</v>
      </c>
      <c r="K115">
        <v>1</v>
      </c>
      <c r="L115">
        <v>0</v>
      </c>
      <c r="M115">
        <v>0</v>
      </c>
      <c r="N115">
        <v>0</v>
      </c>
      <c r="O115">
        <v>1</v>
      </c>
      <c r="P115">
        <v>1</v>
      </c>
      <c r="Q115">
        <v>1</v>
      </c>
      <c r="R115">
        <v>1</v>
      </c>
      <c r="S115">
        <v>0</v>
      </c>
      <c r="T115">
        <v>0</v>
      </c>
      <c r="U115">
        <v>0</v>
      </c>
      <c r="V115">
        <v>0</v>
      </c>
    </row>
    <row r="116" spans="1:22" x14ac:dyDescent="0.2">
      <c r="A116" t="s">
        <v>217</v>
      </c>
      <c r="B116" t="s">
        <v>108</v>
      </c>
      <c r="C116" t="s">
        <v>41</v>
      </c>
      <c r="D116" t="s">
        <v>42</v>
      </c>
      <c r="E116" t="s">
        <v>37</v>
      </c>
      <c r="F116" t="s">
        <v>47</v>
      </c>
      <c r="G116" t="s">
        <v>48</v>
      </c>
      <c r="H116" t="s">
        <v>46</v>
      </c>
      <c r="I116">
        <v>0</v>
      </c>
      <c r="J116">
        <v>0</v>
      </c>
      <c r="K116">
        <v>1</v>
      </c>
      <c r="L116">
        <v>1</v>
      </c>
      <c r="M116">
        <v>1</v>
      </c>
      <c r="N116">
        <v>0</v>
      </c>
      <c r="O116">
        <v>1</v>
      </c>
      <c r="P116">
        <v>0</v>
      </c>
      <c r="Q116">
        <v>0</v>
      </c>
      <c r="R116">
        <v>0</v>
      </c>
      <c r="S116">
        <v>0</v>
      </c>
      <c r="T116">
        <v>0</v>
      </c>
      <c r="U116">
        <v>0</v>
      </c>
      <c r="V116">
        <v>1</v>
      </c>
    </row>
    <row r="117" spans="1:22" x14ac:dyDescent="0.2">
      <c r="A117" t="s">
        <v>217</v>
      </c>
      <c r="B117" t="s">
        <v>108</v>
      </c>
      <c r="C117" t="s">
        <v>41</v>
      </c>
      <c r="D117" t="s">
        <v>55</v>
      </c>
      <c r="E117" t="s">
        <v>37</v>
      </c>
      <c r="F117" t="s">
        <v>65</v>
      </c>
      <c r="G117" t="s">
        <v>59</v>
      </c>
      <c r="H117" t="s">
        <v>48</v>
      </c>
      <c r="I117">
        <v>0</v>
      </c>
      <c r="J117">
        <v>1</v>
      </c>
      <c r="K117">
        <v>1</v>
      </c>
      <c r="L117">
        <v>0</v>
      </c>
      <c r="M117">
        <v>0</v>
      </c>
      <c r="N117">
        <v>0</v>
      </c>
      <c r="O117">
        <v>1</v>
      </c>
      <c r="P117">
        <v>0</v>
      </c>
      <c r="Q117">
        <v>0</v>
      </c>
      <c r="R117">
        <v>0</v>
      </c>
      <c r="S117">
        <v>0</v>
      </c>
      <c r="T117">
        <v>0</v>
      </c>
      <c r="U117">
        <v>0</v>
      </c>
      <c r="V117">
        <v>1</v>
      </c>
    </row>
    <row r="118" spans="1:22" x14ac:dyDescent="0.2">
      <c r="A118" t="s">
        <v>217</v>
      </c>
      <c r="B118" t="s">
        <v>108</v>
      </c>
      <c r="C118" t="s">
        <v>41</v>
      </c>
      <c r="D118" t="s">
        <v>67</v>
      </c>
      <c r="E118" t="s">
        <v>37</v>
      </c>
      <c r="F118" t="s">
        <v>59</v>
      </c>
      <c r="G118" t="s">
        <v>48</v>
      </c>
      <c r="H118" t="s">
        <v>65</v>
      </c>
      <c r="I118">
        <v>0</v>
      </c>
      <c r="J118">
        <v>1</v>
      </c>
      <c r="K118">
        <v>1</v>
      </c>
      <c r="L118">
        <v>0</v>
      </c>
      <c r="M118">
        <v>0</v>
      </c>
      <c r="N118">
        <v>0</v>
      </c>
      <c r="O118">
        <v>1</v>
      </c>
      <c r="P118">
        <v>0</v>
      </c>
      <c r="Q118">
        <v>0</v>
      </c>
      <c r="R118">
        <v>0</v>
      </c>
      <c r="S118">
        <v>0</v>
      </c>
      <c r="T118">
        <v>0</v>
      </c>
      <c r="U118">
        <v>0</v>
      </c>
      <c r="V118">
        <v>1</v>
      </c>
    </row>
    <row r="119" spans="1:22" x14ac:dyDescent="0.2">
      <c r="A119" t="s">
        <v>217</v>
      </c>
      <c r="B119" t="s">
        <v>108</v>
      </c>
      <c r="C119" t="s">
        <v>41</v>
      </c>
      <c r="D119" t="s">
        <v>49</v>
      </c>
      <c r="E119" t="s">
        <v>37</v>
      </c>
      <c r="F119" t="s">
        <v>46</v>
      </c>
      <c r="G119" t="s">
        <v>48</v>
      </c>
      <c r="H119" t="s">
        <v>65</v>
      </c>
      <c r="I119">
        <v>0</v>
      </c>
      <c r="J119">
        <v>1</v>
      </c>
      <c r="K119">
        <v>1</v>
      </c>
      <c r="L119">
        <v>0</v>
      </c>
      <c r="M119">
        <v>1</v>
      </c>
      <c r="N119">
        <v>0</v>
      </c>
      <c r="O119">
        <v>1</v>
      </c>
      <c r="P119">
        <v>0</v>
      </c>
      <c r="Q119">
        <v>0</v>
      </c>
      <c r="R119">
        <v>0</v>
      </c>
      <c r="S119">
        <v>0</v>
      </c>
      <c r="T119">
        <v>0</v>
      </c>
      <c r="U119">
        <v>0</v>
      </c>
      <c r="V119">
        <v>1</v>
      </c>
    </row>
    <row r="120" spans="1:22" x14ac:dyDescent="0.2">
      <c r="A120" t="s">
        <v>220</v>
      </c>
      <c r="B120" t="s">
        <v>33</v>
      </c>
      <c r="C120" t="s">
        <v>41</v>
      </c>
      <c r="D120" t="s">
        <v>42</v>
      </c>
      <c r="E120" t="s">
        <v>37</v>
      </c>
      <c r="F120" t="s">
        <v>65</v>
      </c>
      <c r="G120" t="s">
        <v>59</v>
      </c>
      <c r="H120" t="s">
        <v>48</v>
      </c>
      <c r="I120">
        <v>0</v>
      </c>
      <c r="J120">
        <v>1</v>
      </c>
      <c r="K120">
        <v>1</v>
      </c>
      <c r="L120">
        <v>0</v>
      </c>
      <c r="M120">
        <v>0</v>
      </c>
      <c r="N120">
        <v>0</v>
      </c>
      <c r="O120">
        <v>1</v>
      </c>
      <c r="P120">
        <v>0</v>
      </c>
      <c r="Q120">
        <v>1</v>
      </c>
      <c r="R120">
        <v>0</v>
      </c>
      <c r="S120">
        <v>0</v>
      </c>
      <c r="T120">
        <v>0</v>
      </c>
      <c r="U120">
        <v>0</v>
      </c>
      <c r="V120">
        <v>0</v>
      </c>
    </row>
    <row r="121" spans="1:22" x14ac:dyDescent="0.2">
      <c r="A121" t="s">
        <v>220</v>
      </c>
      <c r="B121" t="s">
        <v>33</v>
      </c>
      <c r="C121" t="s">
        <v>41</v>
      </c>
      <c r="D121" t="s">
        <v>72</v>
      </c>
      <c r="E121" t="s">
        <v>37</v>
      </c>
      <c r="F121" t="s">
        <v>46</v>
      </c>
      <c r="G121" t="s">
        <v>48</v>
      </c>
      <c r="H121" t="s">
        <v>59</v>
      </c>
      <c r="I121">
        <v>0</v>
      </c>
      <c r="J121">
        <v>0</v>
      </c>
      <c r="K121">
        <v>1</v>
      </c>
      <c r="L121">
        <v>0</v>
      </c>
      <c r="M121">
        <v>1</v>
      </c>
      <c r="N121">
        <v>0</v>
      </c>
      <c r="O121">
        <v>1</v>
      </c>
      <c r="P121">
        <v>0</v>
      </c>
      <c r="Q121">
        <v>0</v>
      </c>
      <c r="R121">
        <v>0</v>
      </c>
      <c r="S121">
        <v>0</v>
      </c>
      <c r="T121">
        <v>0</v>
      </c>
      <c r="U121">
        <v>0</v>
      </c>
      <c r="V121">
        <v>1</v>
      </c>
    </row>
    <row r="122" spans="1:22" x14ac:dyDescent="0.2">
      <c r="A122" t="s">
        <v>220</v>
      </c>
      <c r="B122" t="s">
        <v>33</v>
      </c>
      <c r="C122" t="s">
        <v>41</v>
      </c>
      <c r="D122" t="s">
        <v>49</v>
      </c>
      <c r="E122" t="s">
        <v>37</v>
      </c>
      <c r="F122" t="s">
        <v>47</v>
      </c>
      <c r="G122" t="s">
        <v>48</v>
      </c>
      <c r="H122" t="s">
        <v>46</v>
      </c>
      <c r="I122">
        <v>0</v>
      </c>
      <c r="J122">
        <v>0</v>
      </c>
      <c r="K122">
        <v>1</v>
      </c>
      <c r="L122">
        <v>1</v>
      </c>
      <c r="M122">
        <v>1</v>
      </c>
      <c r="N122">
        <v>0</v>
      </c>
      <c r="O122">
        <v>1</v>
      </c>
      <c r="P122">
        <v>0</v>
      </c>
      <c r="Q122">
        <v>0</v>
      </c>
      <c r="R122">
        <v>0</v>
      </c>
      <c r="S122">
        <v>1</v>
      </c>
      <c r="T122">
        <v>0</v>
      </c>
      <c r="U122">
        <v>0</v>
      </c>
      <c r="V122">
        <v>0</v>
      </c>
    </row>
    <row r="123" spans="1:22" x14ac:dyDescent="0.2">
      <c r="A123" t="s">
        <v>220</v>
      </c>
      <c r="B123" t="s">
        <v>33</v>
      </c>
      <c r="C123" t="s">
        <v>41</v>
      </c>
      <c r="D123" t="s">
        <v>67</v>
      </c>
      <c r="E123" t="s">
        <v>37</v>
      </c>
      <c r="F123" t="s">
        <v>65</v>
      </c>
      <c r="G123" t="s">
        <v>47</v>
      </c>
      <c r="H123" t="s">
        <v>48</v>
      </c>
      <c r="I123">
        <v>0</v>
      </c>
      <c r="J123">
        <v>1</v>
      </c>
      <c r="K123">
        <v>1</v>
      </c>
      <c r="L123">
        <v>1</v>
      </c>
      <c r="M123">
        <v>0</v>
      </c>
      <c r="N123">
        <v>0</v>
      </c>
      <c r="O123">
        <v>1</v>
      </c>
      <c r="P123">
        <v>0</v>
      </c>
      <c r="Q123">
        <v>1</v>
      </c>
      <c r="R123">
        <v>0</v>
      </c>
      <c r="S123">
        <v>1</v>
      </c>
      <c r="T123">
        <v>0</v>
      </c>
      <c r="U123">
        <v>0</v>
      </c>
      <c r="V123">
        <v>0</v>
      </c>
    </row>
    <row r="124" spans="1:22" x14ac:dyDescent="0.2">
      <c r="A124" t="s">
        <v>224</v>
      </c>
      <c r="B124" t="s">
        <v>108</v>
      </c>
      <c r="C124" t="s">
        <v>41</v>
      </c>
      <c r="D124" t="s">
        <v>72</v>
      </c>
      <c r="E124" t="s">
        <v>37</v>
      </c>
      <c r="F124" t="s">
        <v>65</v>
      </c>
      <c r="G124" t="s">
        <v>46</v>
      </c>
      <c r="H124" t="s">
        <v>48</v>
      </c>
      <c r="I124">
        <v>0</v>
      </c>
      <c r="J124">
        <v>1</v>
      </c>
      <c r="K124">
        <v>1</v>
      </c>
      <c r="L124">
        <v>0</v>
      </c>
      <c r="M124">
        <v>1</v>
      </c>
      <c r="N124">
        <v>0</v>
      </c>
      <c r="O124">
        <v>1</v>
      </c>
      <c r="P124">
        <v>0</v>
      </c>
      <c r="Q124">
        <v>1</v>
      </c>
      <c r="R124">
        <v>1</v>
      </c>
      <c r="S124">
        <v>0</v>
      </c>
      <c r="T124">
        <v>1</v>
      </c>
      <c r="U124">
        <v>0</v>
      </c>
      <c r="V124">
        <v>0</v>
      </c>
    </row>
    <row r="125" spans="1:22" x14ac:dyDescent="0.2">
      <c r="A125" t="s">
        <v>224</v>
      </c>
      <c r="B125" t="s">
        <v>108</v>
      </c>
      <c r="C125" t="s">
        <v>41</v>
      </c>
      <c r="D125" t="s">
        <v>42</v>
      </c>
      <c r="E125" t="s">
        <v>37</v>
      </c>
      <c r="F125" t="s">
        <v>65</v>
      </c>
      <c r="G125" t="s">
        <v>60</v>
      </c>
      <c r="H125" t="s">
        <v>48</v>
      </c>
      <c r="I125">
        <v>1</v>
      </c>
      <c r="J125">
        <v>1</v>
      </c>
      <c r="K125">
        <v>1</v>
      </c>
      <c r="L125">
        <v>0</v>
      </c>
      <c r="M125">
        <v>0</v>
      </c>
      <c r="N125">
        <v>0</v>
      </c>
      <c r="O125">
        <v>1</v>
      </c>
      <c r="P125">
        <v>1</v>
      </c>
      <c r="Q125">
        <v>1</v>
      </c>
      <c r="R125">
        <v>1</v>
      </c>
      <c r="S125">
        <v>0</v>
      </c>
      <c r="T125">
        <v>0</v>
      </c>
      <c r="U125">
        <v>0</v>
      </c>
      <c r="V125">
        <v>0</v>
      </c>
    </row>
    <row r="126" spans="1:22" x14ac:dyDescent="0.2">
      <c r="A126" t="s">
        <v>224</v>
      </c>
      <c r="B126" t="s">
        <v>108</v>
      </c>
      <c r="C126" t="s">
        <v>41</v>
      </c>
      <c r="D126" t="s">
        <v>55</v>
      </c>
      <c r="E126" t="s">
        <v>37</v>
      </c>
      <c r="F126" t="s">
        <v>48</v>
      </c>
      <c r="G126" t="s">
        <v>46</v>
      </c>
      <c r="H126" t="s">
        <v>47</v>
      </c>
      <c r="I126">
        <v>0</v>
      </c>
      <c r="J126">
        <v>0</v>
      </c>
      <c r="K126">
        <v>1</v>
      </c>
      <c r="L126">
        <v>1</v>
      </c>
      <c r="M126">
        <v>1</v>
      </c>
      <c r="N126">
        <v>0</v>
      </c>
      <c r="O126">
        <v>1</v>
      </c>
      <c r="P126">
        <v>0</v>
      </c>
      <c r="Q126">
        <v>0</v>
      </c>
      <c r="R126">
        <v>0</v>
      </c>
      <c r="S126">
        <v>0</v>
      </c>
      <c r="T126">
        <v>0</v>
      </c>
      <c r="U126">
        <v>0</v>
      </c>
      <c r="V126">
        <v>1</v>
      </c>
    </row>
    <row r="127" spans="1:22" x14ac:dyDescent="0.2">
      <c r="A127" t="s">
        <v>227</v>
      </c>
      <c r="B127" t="s">
        <v>108</v>
      </c>
      <c r="C127" t="s">
        <v>41</v>
      </c>
      <c r="D127" t="s">
        <v>67</v>
      </c>
      <c r="E127" t="s">
        <v>37</v>
      </c>
      <c r="F127" t="s">
        <v>46</v>
      </c>
      <c r="G127" t="s">
        <v>65</v>
      </c>
      <c r="H127" t="s">
        <v>48</v>
      </c>
      <c r="I127">
        <v>0</v>
      </c>
      <c r="J127">
        <v>1</v>
      </c>
      <c r="K127">
        <v>1</v>
      </c>
      <c r="L127">
        <v>0</v>
      </c>
      <c r="M127">
        <v>1</v>
      </c>
      <c r="N127">
        <v>0</v>
      </c>
      <c r="O127">
        <v>1</v>
      </c>
      <c r="P127">
        <v>0</v>
      </c>
      <c r="Q127">
        <v>1</v>
      </c>
      <c r="R127">
        <v>1</v>
      </c>
      <c r="S127">
        <v>0</v>
      </c>
      <c r="T127">
        <v>1</v>
      </c>
      <c r="U127">
        <v>0</v>
      </c>
      <c r="V127">
        <v>0</v>
      </c>
    </row>
    <row r="128" spans="1:22" x14ac:dyDescent="0.2">
      <c r="A128" t="s">
        <v>227</v>
      </c>
      <c r="B128" t="s">
        <v>108</v>
      </c>
      <c r="C128" t="s">
        <v>41</v>
      </c>
      <c r="D128" t="s">
        <v>42</v>
      </c>
      <c r="E128" t="s">
        <v>37</v>
      </c>
      <c r="F128" t="s">
        <v>60</v>
      </c>
      <c r="G128" t="s">
        <v>65</v>
      </c>
      <c r="H128" t="s">
        <v>48</v>
      </c>
      <c r="I128">
        <v>1</v>
      </c>
      <c r="J128">
        <v>1</v>
      </c>
      <c r="K128">
        <v>1</v>
      </c>
      <c r="L128">
        <v>0</v>
      </c>
      <c r="M128">
        <v>0</v>
      </c>
      <c r="N128">
        <v>0</v>
      </c>
      <c r="O128">
        <v>1</v>
      </c>
      <c r="P128">
        <v>0</v>
      </c>
      <c r="Q128">
        <v>1</v>
      </c>
      <c r="R128">
        <v>0</v>
      </c>
      <c r="S128">
        <v>0</v>
      </c>
      <c r="T128">
        <v>0</v>
      </c>
      <c r="U128">
        <v>0</v>
      </c>
      <c r="V128">
        <v>0</v>
      </c>
    </row>
    <row r="129" spans="1:22" x14ac:dyDescent="0.2">
      <c r="A129" t="s">
        <v>231</v>
      </c>
      <c r="B129" t="s">
        <v>108</v>
      </c>
      <c r="C129" t="s">
        <v>41</v>
      </c>
      <c r="D129" t="s">
        <v>72</v>
      </c>
      <c r="E129" t="s">
        <v>37</v>
      </c>
      <c r="F129" t="s">
        <v>46</v>
      </c>
      <c r="G129" t="s">
        <v>48</v>
      </c>
      <c r="H129" t="s">
        <v>59</v>
      </c>
      <c r="I129">
        <v>0</v>
      </c>
      <c r="J129">
        <v>0</v>
      </c>
      <c r="K129">
        <v>1</v>
      </c>
      <c r="L129">
        <v>0</v>
      </c>
      <c r="M129">
        <v>1</v>
      </c>
      <c r="N129">
        <v>0</v>
      </c>
      <c r="O129">
        <v>1</v>
      </c>
      <c r="P129">
        <v>0</v>
      </c>
      <c r="Q129">
        <v>0</v>
      </c>
      <c r="R129">
        <v>1</v>
      </c>
      <c r="S129">
        <v>0</v>
      </c>
      <c r="T129">
        <v>0</v>
      </c>
      <c r="U129">
        <v>0</v>
      </c>
      <c r="V129">
        <v>0</v>
      </c>
    </row>
    <row r="130" spans="1:22" x14ac:dyDescent="0.2">
      <c r="A130" t="s">
        <v>231</v>
      </c>
      <c r="B130" t="s">
        <v>108</v>
      </c>
      <c r="C130" t="s">
        <v>41</v>
      </c>
      <c r="D130" t="s">
        <v>67</v>
      </c>
      <c r="E130" t="s">
        <v>37</v>
      </c>
      <c r="F130" t="s">
        <v>48</v>
      </c>
      <c r="G130" t="s">
        <v>60</v>
      </c>
      <c r="H130" t="s">
        <v>65</v>
      </c>
      <c r="I130">
        <v>1</v>
      </c>
      <c r="J130">
        <v>1</v>
      </c>
      <c r="K130">
        <v>1</v>
      </c>
      <c r="L130">
        <v>0</v>
      </c>
      <c r="M130">
        <v>0</v>
      </c>
      <c r="N130">
        <v>0</v>
      </c>
      <c r="O130">
        <v>1</v>
      </c>
      <c r="P130">
        <v>0</v>
      </c>
      <c r="Q130">
        <v>1</v>
      </c>
      <c r="R130">
        <v>0</v>
      </c>
      <c r="S130">
        <v>0</v>
      </c>
      <c r="T130">
        <v>0</v>
      </c>
      <c r="U130">
        <v>0</v>
      </c>
      <c r="V130">
        <v>0</v>
      </c>
    </row>
    <row r="131" spans="1:22" x14ac:dyDescent="0.2">
      <c r="A131" t="s">
        <v>231</v>
      </c>
      <c r="B131" t="s">
        <v>108</v>
      </c>
      <c r="C131" t="s">
        <v>41</v>
      </c>
      <c r="D131" t="s">
        <v>42</v>
      </c>
      <c r="E131" t="s">
        <v>37</v>
      </c>
      <c r="F131" t="s">
        <v>46</v>
      </c>
      <c r="G131" t="s">
        <v>47</v>
      </c>
      <c r="H131" t="s">
        <v>48</v>
      </c>
      <c r="I131">
        <v>0</v>
      </c>
      <c r="J131">
        <v>0</v>
      </c>
      <c r="K131">
        <v>1</v>
      </c>
      <c r="L131">
        <v>1</v>
      </c>
      <c r="M131">
        <v>1</v>
      </c>
      <c r="N131">
        <v>0</v>
      </c>
      <c r="O131">
        <v>1</v>
      </c>
      <c r="P131">
        <v>0</v>
      </c>
      <c r="Q131">
        <v>0</v>
      </c>
      <c r="R131">
        <v>0</v>
      </c>
      <c r="S131">
        <v>0</v>
      </c>
      <c r="T131">
        <v>1</v>
      </c>
      <c r="U131">
        <v>0</v>
      </c>
      <c r="V131">
        <v>0</v>
      </c>
    </row>
    <row r="132" spans="1:22" x14ac:dyDescent="0.2">
      <c r="A132" t="s">
        <v>235</v>
      </c>
      <c r="B132" t="s">
        <v>33</v>
      </c>
      <c r="C132" t="s">
        <v>41</v>
      </c>
      <c r="D132" t="s">
        <v>55</v>
      </c>
      <c r="E132" t="s">
        <v>37</v>
      </c>
      <c r="F132" t="s">
        <v>48</v>
      </c>
      <c r="G132" t="s">
        <v>65</v>
      </c>
      <c r="H132" t="s">
        <v>47</v>
      </c>
      <c r="I132">
        <v>0</v>
      </c>
      <c r="J132">
        <v>1</v>
      </c>
      <c r="K132">
        <v>1</v>
      </c>
      <c r="L132">
        <v>1</v>
      </c>
      <c r="M132">
        <v>0</v>
      </c>
      <c r="N132">
        <v>0</v>
      </c>
      <c r="O132">
        <v>1</v>
      </c>
      <c r="P132">
        <v>0</v>
      </c>
      <c r="Q132">
        <v>1</v>
      </c>
      <c r="R132">
        <v>0</v>
      </c>
      <c r="S132">
        <v>1</v>
      </c>
      <c r="T132">
        <v>0</v>
      </c>
      <c r="U132">
        <v>0</v>
      </c>
      <c r="V132">
        <v>0</v>
      </c>
    </row>
    <row r="133" spans="1:22" x14ac:dyDescent="0.2">
      <c r="A133" t="s">
        <v>235</v>
      </c>
      <c r="B133" t="s">
        <v>33</v>
      </c>
      <c r="C133" t="s">
        <v>41</v>
      </c>
      <c r="D133" t="s">
        <v>49</v>
      </c>
      <c r="E133" t="s">
        <v>37</v>
      </c>
      <c r="F133" t="s">
        <v>46</v>
      </c>
      <c r="G133" t="s">
        <v>59</v>
      </c>
      <c r="H133" t="s">
        <v>48</v>
      </c>
      <c r="I133">
        <v>0</v>
      </c>
      <c r="J133">
        <v>0</v>
      </c>
      <c r="K133">
        <v>1</v>
      </c>
      <c r="L133">
        <v>0</v>
      </c>
      <c r="M133">
        <v>1</v>
      </c>
      <c r="N133">
        <v>0</v>
      </c>
      <c r="O133">
        <v>1</v>
      </c>
      <c r="P133">
        <v>0</v>
      </c>
      <c r="Q133">
        <v>0</v>
      </c>
      <c r="R133">
        <v>0</v>
      </c>
      <c r="S133">
        <v>0</v>
      </c>
      <c r="T133">
        <v>0</v>
      </c>
      <c r="U133">
        <v>0</v>
      </c>
      <c r="V133">
        <v>1</v>
      </c>
    </row>
    <row r="134" spans="1:22" x14ac:dyDescent="0.2">
      <c r="A134" t="s">
        <v>238</v>
      </c>
      <c r="B134" t="s">
        <v>108</v>
      </c>
      <c r="C134" t="s">
        <v>41</v>
      </c>
      <c r="D134" t="s">
        <v>72</v>
      </c>
      <c r="E134" t="s">
        <v>37</v>
      </c>
      <c r="F134" t="s">
        <v>48</v>
      </c>
      <c r="G134" t="s">
        <v>47</v>
      </c>
      <c r="H134" t="s">
        <v>65</v>
      </c>
      <c r="I134">
        <v>0</v>
      </c>
      <c r="J134">
        <v>1</v>
      </c>
      <c r="K134">
        <v>1</v>
      </c>
      <c r="L134">
        <v>1</v>
      </c>
      <c r="M134">
        <v>0</v>
      </c>
      <c r="N134">
        <v>0</v>
      </c>
      <c r="O134">
        <v>1</v>
      </c>
      <c r="P134">
        <v>0</v>
      </c>
      <c r="Q134">
        <v>1</v>
      </c>
      <c r="R134">
        <v>1</v>
      </c>
      <c r="S134">
        <v>1</v>
      </c>
      <c r="T134">
        <v>0</v>
      </c>
      <c r="U134">
        <v>0</v>
      </c>
      <c r="V134">
        <v>0</v>
      </c>
    </row>
    <row r="135" spans="1:22" x14ac:dyDescent="0.2">
      <c r="A135" t="s">
        <v>238</v>
      </c>
      <c r="B135" t="s">
        <v>108</v>
      </c>
      <c r="C135" t="s">
        <v>41</v>
      </c>
      <c r="D135" t="s">
        <v>49</v>
      </c>
      <c r="E135" t="s">
        <v>37</v>
      </c>
      <c r="F135" t="s">
        <v>46</v>
      </c>
      <c r="G135" t="s">
        <v>60</v>
      </c>
      <c r="H135" t="s">
        <v>48</v>
      </c>
      <c r="I135">
        <v>1</v>
      </c>
      <c r="J135">
        <v>0</v>
      </c>
      <c r="K135">
        <v>1</v>
      </c>
      <c r="L135">
        <v>0</v>
      </c>
      <c r="M135">
        <v>1</v>
      </c>
      <c r="N135">
        <v>0</v>
      </c>
      <c r="O135">
        <v>1</v>
      </c>
      <c r="P135">
        <v>1</v>
      </c>
      <c r="Q135">
        <v>0</v>
      </c>
      <c r="R135">
        <v>1</v>
      </c>
      <c r="S135">
        <v>0</v>
      </c>
      <c r="T135">
        <v>1</v>
      </c>
      <c r="U135">
        <v>0</v>
      </c>
      <c r="V135">
        <v>0</v>
      </c>
    </row>
    <row r="136" spans="1:22" x14ac:dyDescent="0.2">
      <c r="A136" t="s">
        <v>241</v>
      </c>
      <c r="B136" t="s">
        <v>33</v>
      </c>
      <c r="C136" t="s">
        <v>41</v>
      </c>
      <c r="D136" t="s">
        <v>61</v>
      </c>
      <c r="E136" t="s">
        <v>37</v>
      </c>
      <c r="F136" t="s">
        <v>60</v>
      </c>
      <c r="G136" t="s">
        <v>47</v>
      </c>
      <c r="H136" t="s">
        <v>48</v>
      </c>
      <c r="I136">
        <v>1</v>
      </c>
      <c r="J136">
        <v>0</v>
      </c>
      <c r="K136">
        <v>1</v>
      </c>
      <c r="L136">
        <v>1</v>
      </c>
      <c r="M136">
        <v>0</v>
      </c>
      <c r="N136">
        <v>0</v>
      </c>
      <c r="O136">
        <v>1</v>
      </c>
      <c r="P136">
        <v>0</v>
      </c>
      <c r="Q136">
        <v>0</v>
      </c>
      <c r="R136">
        <v>0</v>
      </c>
      <c r="S136">
        <v>1</v>
      </c>
      <c r="T136">
        <v>0</v>
      </c>
      <c r="U136">
        <v>0</v>
      </c>
      <c r="V136">
        <v>0</v>
      </c>
    </row>
    <row r="137" spans="1:22" x14ac:dyDescent="0.2">
      <c r="A137" t="s">
        <v>241</v>
      </c>
      <c r="B137" t="s">
        <v>33</v>
      </c>
      <c r="C137" t="s">
        <v>41</v>
      </c>
      <c r="D137" t="s">
        <v>67</v>
      </c>
      <c r="E137" t="s">
        <v>37</v>
      </c>
      <c r="F137" t="s">
        <v>59</v>
      </c>
      <c r="G137" t="s">
        <v>48</v>
      </c>
      <c r="H137" t="s">
        <v>65</v>
      </c>
      <c r="I137">
        <v>0</v>
      </c>
      <c r="J137">
        <v>1</v>
      </c>
      <c r="K137">
        <v>1</v>
      </c>
      <c r="L137">
        <v>0</v>
      </c>
      <c r="M137">
        <v>0</v>
      </c>
      <c r="N137">
        <v>0</v>
      </c>
      <c r="O137">
        <v>1</v>
      </c>
      <c r="P137">
        <v>0</v>
      </c>
      <c r="Q137">
        <v>1</v>
      </c>
      <c r="R137">
        <v>0</v>
      </c>
      <c r="S137">
        <v>0</v>
      </c>
      <c r="T137">
        <v>0</v>
      </c>
      <c r="U137">
        <v>0</v>
      </c>
      <c r="V137">
        <v>0</v>
      </c>
    </row>
    <row r="138" spans="1:22" x14ac:dyDescent="0.2">
      <c r="A138" t="s">
        <v>241</v>
      </c>
      <c r="B138" t="s">
        <v>33</v>
      </c>
      <c r="C138" t="s">
        <v>41</v>
      </c>
      <c r="D138" t="s">
        <v>42</v>
      </c>
      <c r="E138" t="s">
        <v>37</v>
      </c>
      <c r="F138" t="s">
        <v>46</v>
      </c>
      <c r="G138" t="s">
        <v>48</v>
      </c>
      <c r="H138" t="s">
        <v>47</v>
      </c>
      <c r="I138">
        <v>0</v>
      </c>
      <c r="J138">
        <v>0</v>
      </c>
      <c r="K138">
        <v>1</v>
      </c>
      <c r="L138">
        <v>1</v>
      </c>
      <c r="M138">
        <v>1</v>
      </c>
      <c r="N138">
        <v>0</v>
      </c>
      <c r="O138">
        <v>1</v>
      </c>
      <c r="P138">
        <v>0</v>
      </c>
      <c r="Q138">
        <v>0</v>
      </c>
      <c r="R138">
        <v>0</v>
      </c>
      <c r="S138">
        <v>1</v>
      </c>
      <c r="T138">
        <v>0</v>
      </c>
      <c r="U138">
        <v>0</v>
      </c>
      <c r="V138">
        <v>0</v>
      </c>
    </row>
    <row r="139" spans="1:22" x14ac:dyDescent="0.2">
      <c r="A139" t="s">
        <v>241</v>
      </c>
      <c r="B139" t="s">
        <v>33</v>
      </c>
      <c r="C139" t="s">
        <v>41</v>
      </c>
      <c r="D139" t="s">
        <v>72</v>
      </c>
      <c r="E139" t="s">
        <v>37</v>
      </c>
      <c r="F139" t="s">
        <v>47</v>
      </c>
      <c r="G139" t="s">
        <v>48</v>
      </c>
      <c r="H139" t="s">
        <v>46</v>
      </c>
      <c r="I139">
        <v>0</v>
      </c>
      <c r="J139">
        <v>0</v>
      </c>
      <c r="K139">
        <v>1</v>
      </c>
      <c r="L139">
        <v>1</v>
      </c>
      <c r="M139">
        <v>1</v>
      </c>
      <c r="N139">
        <v>0</v>
      </c>
      <c r="O139">
        <v>1</v>
      </c>
      <c r="P139">
        <v>0</v>
      </c>
      <c r="Q139">
        <v>0</v>
      </c>
      <c r="R139">
        <v>1</v>
      </c>
      <c r="S139">
        <v>0</v>
      </c>
      <c r="T139">
        <v>0</v>
      </c>
      <c r="U139">
        <v>0</v>
      </c>
      <c r="V139">
        <v>0</v>
      </c>
    </row>
    <row r="140" spans="1:22" x14ac:dyDescent="0.2">
      <c r="A140" t="s">
        <v>241</v>
      </c>
      <c r="B140" t="s">
        <v>33</v>
      </c>
      <c r="C140" t="s">
        <v>41</v>
      </c>
      <c r="D140" t="s">
        <v>55</v>
      </c>
      <c r="E140" t="s">
        <v>37</v>
      </c>
      <c r="F140" t="s">
        <v>48</v>
      </c>
      <c r="G140" t="s">
        <v>46</v>
      </c>
      <c r="H140" t="s">
        <v>65</v>
      </c>
      <c r="I140">
        <v>0</v>
      </c>
      <c r="J140">
        <v>1</v>
      </c>
      <c r="K140">
        <v>1</v>
      </c>
      <c r="L140">
        <v>0</v>
      </c>
      <c r="M140">
        <v>1</v>
      </c>
      <c r="N140">
        <v>0</v>
      </c>
      <c r="O140">
        <v>1</v>
      </c>
      <c r="P140">
        <v>0</v>
      </c>
      <c r="Q140">
        <v>1</v>
      </c>
      <c r="R140">
        <v>0</v>
      </c>
      <c r="S140">
        <v>0</v>
      </c>
      <c r="T140">
        <v>0</v>
      </c>
      <c r="U140">
        <v>0</v>
      </c>
      <c r="V140">
        <v>0</v>
      </c>
    </row>
    <row r="141" spans="1:22" x14ac:dyDescent="0.2">
      <c r="A141" t="s">
        <v>245</v>
      </c>
      <c r="B141" t="s">
        <v>108</v>
      </c>
      <c r="C141" t="s">
        <v>41</v>
      </c>
      <c r="D141" t="s">
        <v>61</v>
      </c>
      <c r="E141" t="s">
        <v>37</v>
      </c>
      <c r="F141" t="s">
        <v>65</v>
      </c>
      <c r="G141" t="s">
        <v>60</v>
      </c>
      <c r="H141" t="s">
        <v>48</v>
      </c>
      <c r="I141">
        <v>1</v>
      </c>
      <c r="J141">
        <v>1</v>
      </c>
      <c r="K141">
        <v>1</v>
      </c>
      <c r="L141">
        <v>0</v>
      </c>
      <c r="M141">
        <v>0</v>
      </c>
      <c r="N141">
        <v>0</v>
      </c>
      <c r="O141">
        <v>1</v>
      </c>
      <c r="P141">
        <v>1</v>
      </c>
      <c r="Q141">
        <v>0</v>
      </c>
      <c r="R141">
        <v>0</v>
      </c>
      <c r="S141">
        <v>0</v>
      </c>
      <c r="T141">
        <v>0</v>
      </c>
      <c r="U141">
        <v>0</v>
      </c>
      <c r="V141">
        <v>0</v>
      </c>
    </row>
    <row r="142" spans="1:22" x14ac:dyDescent="0.2">
      <c r="A142" t="s">
        <v>245</v>
      </c>
      <c r="B142" t="s">
        <v>108</v>
      </c>
      <c r="C142" t="s">
        <v>41</v>
      </c>
      <c r="D142" t="s">
        <v>55</v>
      </c>
      <c r="E142" t="s">
        <v>37</v>
      </c>
      <c r="F142" t="s">
        <v>46</v>
      </c>
      <c r="G142" t="s">
        <v>48</v>
      </c>
      <c r="H142" t="s">
        <v>60</v>
      </c>
      <c r="I142">
        <v>1</v>
      </c>
      <c r="J142">
        <v>0</v>
      </c>
      <c r="K142">
        <v>1</v>
      </c>
      <c r="L142">
        <v>0</v>
      </c>
      <c r="M142">
        <v>1</v>
      </c>
      <c r="N142">
        <v>0</v>
      </c>
      <c r="O142">
        <v>1</v>
      </c>
      <c r="P142">
        <v>0</v>
      </c>
      <c r="Q142">
        <v>0</v>
      </c>
      <c r="R142">
        <v>0</v>
      </c>
      <c r="S142">
        <v>0</v>
      </c>
      <c r="T142">
        <v>0</v>
      </c>
      <c r="U142">
        <v>0</v>
      </c>
      <c r="V142">
        <v>1</v>
      </c>
    </row>
    <row r="143" spans="1:22" x14ac:dyDescent="0.2">
      <c r="A143" t="s">
        <v>245</v>
      </c>
      <c r="B143" t="s">
        <v>108</v>
      </c>
      <c r="C143" t="s">
        <v>41</v>
      </c>
      <c r="D143" t="s">
        <v>67</v>
      </c>
      <c r="E143" t="s">
        <v>37</v>
      </c>
      <c r="F143" t="s">
        <v>48</v>
      </c>
      <c r="G143" t="s">
        <v>47</v>
      </c>
      <c r="H143" t="s">
        <v>59</v>
      </c>
      <c r="I143">
        <v>0</v>
      </c>
      <c r="J143">
        <v>0</v>
      </c>
      <c r="K143">
        <v>1</v>
      </c>
      <c r="L143">
        <v>1</v>
      </c>
      <c r="M143">
        <v>0</v>
      </c>
      <c r="N143">
        <v>0</v>
      </c>
      <c r="O143">
        <v>1</v>
      </c>
      <c r="P143">
        <v>0</v>
      </c>
      <c r="Q143">
        <v>0</v>
      </c>
      <c r="R143">
        <v>0</v>
      </c>
      <c r="S143">
        <v>0</v>
      </c>
      <c r="T143">
        <v>0</v>
      </c>
      <c r="U143">
        <v>0</v>
      </c>
      <c r="V143">
        <v>1</v>
      </c>
    </row>
    <row r="144" spans="1:22" x14ac:dyDescent="0.2">
      <c r="A144" t="s">
        <v>249</v>
      </c>
      <c r="B144" t="s">
        <v>33</v>
      </c>
      <c r="C144" t="s">
        <v>41</v>
      </c>
      <c r="D144" t="s">
        <v>55</v>
      </c>
      <c r="E144" t="s">
        <v>37</v>
      </c>
      <c r="F144" t="s">
        <v>46</v>
      </c>
      <c r="G144" t="s">
        <v>48</v>
      </c>
      <c r="H144" t="s">
        <v>47</v>
      </c>
      <c r="I144">
        <v>0</v>
      </c>
      <c r="J144">
        <v>0</v>
      </c>
      <c r="K144">
        <v>1</v>
      </c>
      <c r="L144">
        <v>1</v>
      </c>
      <c r="M144">
        <v>1</v>
      </c>
      <c r="N144">
        <v>0</v>
      </c>
      <c r="O144">
        <v>1</v>
      </c>
      <c r="P144">
        <v>0</v>
      </c>
      <c r="Q144">
        <v>0</v>
      </c>
      <c r="R144">
        <v>0</v>
      </c>
      <c r="S144">
        <v>1</v>
      </c>
      <c r="T144">
        <v>0</v>
      </c>
      <c r="U144">
        <v>0</v>
      </c>
      <c r="V144">
        <v>0</v>
      </c>
    </row>
    <row r="145" spans="1:22" x14ac:dyDescent="0.2">
      <c r="A145" t="s">
        <v>249</v>
      </c>
      <c r="B145" t="s">
        <v>33</v>
      </c>
      <c r="C145" t="s">
        <v>41</v>
      </c>
      <c r="D145" t="s">
        <v>49</v>
      </c>
      <c r="E145" t="s">
        <v>37</v>
      </c>
      <c r="F145" t="s">
        <v>47</v>
      </c>
      <c r="G145" t="s">
        <v>48</v>
      </c>
      <c r="H145" t="s">
        <v>46</v>
      </c>
      <c r="I145">
        <v>0</v>
      </c>
      <c r="J145">
        <v>0</v>
      </c>
      <c r="K145">
        <v>1</v>
      </c>
      <c r="L145">
        <v>1</v>
      </c>
      <c r="M145">
        <v>1</v>
      </c>
      <c r="N145">
        <v>0</v>
      </c>
      <c r="O145">
        <v>1</v>
      </c>
      <c r="P145">
        <v>0</v>
      </c>
      <c r="Q145">
        <v>0</v>
      </c>
      <c r="R145">
        <v>0</v>
      </c>
      <c r="S145">
        <v>1</v>
      </c>
      <c r="T145">
        <v>0</v>
      </c>
      <c r="U145">
        <v>0</v>
      </c>
      <c r="V145">
        <v>0</v>
      </c>
    </row>
    <row r="146" spans="1:22" x14ac:dyDescent="0.2">
      <c r="A146" t="s">
        <v>249</v>
      </c>
      <c r="B146" t="s">
        <v>33</v>
      </c>
      <c r="C146" t="s">
        <v>41</v>
      </c>
      <c r="D146" t="s">
        <v>42</v>
      </c>
      <c r="E146" t="s">
        <v>37</v>
      </c>
      <c r="F146" t="s">
        <v>48</v>
      </c>
      <c r="G146" t="s">
        <v>47</v>
      </c>
      <c r="H146" t="s">
        <v>46</v>
      </c>
      <c r="I146">
        <v>0</v>
      </c>
      <c r="J146">
        <v>0</v>
      </c>
      <c r="K146">
        <v>1</v>
      </c>
      <c r="L146">
        <v>1</v>
      </c>
      <c r="M146">
        <v>1</v>
      </c>
      <c r="N146">
        <v>0</v>
      </c>
      <c r="O146">
        <v>1</v>
      </c>
      <c r="P146">
        <v>0</v>
      </c>
      <c r="Q146">
        <v>0</v>
      </c>
      <c r="R146">
        <v>0</v>
      </c>
      <c r="S146">
        <v>1</v>
      </c>
      <c r="T146">
        <v>0</v>
      </c>
      <c r="U146">
        <v>0</v>
      </c>
      <c r="V146">
        <v>0</v>
      </c>
    </row>
    <row r="147" spans="1:22" x14ac:dyDescent="0.2">
      <c r="A147" t="s">
        <v>249</v>
      </c>
      <c r="B147" t="s">
        <v>33</v>
      </c>
      <c r="C147" t="s">
        <v>41</v>
      </c>
      <c r="D147" t="s">
        <v>67</v>
      </c>
      <c r="E147" t="s">
        <v>37</v>
      </c>
      <c r="F147" t="s">
        <v>46</v>
      </c>
      <c r="G147" t="s">
        <v>48</v>
      </c>
      <c r="H147" t="s">
        <v>59</v>
      </c>
      <c r="I147">
        <v>0</v>
      </c>
      <c r="J147">
        <v>0</v>
      </c>
      <c r="K147">
        <v>1</v>
      </c>
      <c r="L147">
        <v>0</v>
      </c>
      <c r="M147">
        <v>1</v>
      </c>
      <c r="N147">
        <v>0</v>
      </c>
      <c r="O147">
        <v>1</v>
      </c>
      <c r="P147">
        <v>0</v>
      </c>
      <c r="Q147">
        <v>0</v>
      </c>
      <c r="R147">
        <v>0</v>
      </c>
      <c r="S147">
        <v>0</v>
      </c>
      <c r="T147">
        <v>0</v>
      </c>
      <c r="U147">
        <v>0</v>
      </c>
      <c r="V147">
        <v>1</v>
      </c>
    </row>
    <row r="148" spans="1:22" x14ac:dyDescent="0.2">
      <c r="A148" t="s">
        <v>252</v>
      </c>
      <c r="B148" t="s">
        <v>108</v>
      </c>
      <c r="C148" t="s">
        <v>41</v>
      </c>
      <c r="D148" t="s">
        <v>72</v>
      </c>
      <c r="E148" t="s">
        <v>37</v>
      </c>
      <c r="F148" t="s">
        <v>48</v>
      </c>
      <c r="G148" t="s">
        <v>47</v>
      </c>
      <c r="H148" t="s">
        <v>46</v>
      </c>
      <c r="I148">
        <v>0</v>
      </c>
      <c r="J148">
        <v>0</v>
      </c>
      <c r="K148">
        <v>1</v>
      </c>
      <c r="L148">
        <v>1</v>
      </c>
      <c r="M148">
        <v>1</v>
      </c>
      <c r="N148">
        <v>0</v>
      </c>
      <c r="O148">
        <v>1</v>
      </c>
      <c r="P148">
        <v>0</v>
      </c>
      <c r="Q148">
        <v>0</v>
      </c>
      <c r="R148">
        <v>0</v>
      </c>
      <c r="S148">
        <v>0</v>
      </c>
      <c r="T148">
        <v>0</v>
      </c>
      <c r="U148">
        <v>0</v>
      </c>
      <c r="V148">
        <v>1</v>
      </c>
    </row>
    <row r="149" spans="1:22" x14ac:dyDescent="0.2">
      <c r="A149" t="s">
        <v>252</v>
      </c>
      <c r="B149" t="s">
        <v>108</v>
      </c>
      <c r="C149" t="s">
        <v>41</v>
      </c>
      <c r="D149" t="s">
        <v>67</v>
      </c>
      <c r="E149" t="s">
        <v>37</v>
      </c>
      <c r="F149" t="s">
        <v>46</v>
      </c>
      <c r="G149" t="s">
        <v>65</v>
      </c>
      <c r="H149" t="s">
        <v>48</v>
      </c>
      <c r="I149">
        <v>0</v>
      </c>
      <c r="J149">
        <v>1</v>
      </c>
      <c r="K149">
        <v>1</v>
      </c>
      <c r="L149">
        <v>0</v>
      </c>
      <c r="M149">
        <v>1</v>
      </c>
      <c r="N149">
        <v>0</v>
      </c>
      <c r="O149">
        <v>1</v>
      </c>
      <c r="P149">
        <v>0</v>
      </c>
      <c r="Q149">
        <v>0</v>
      </c>
      <c r="R149">
        <v>0</v>
      </c>
      <c r="S149">
        <v>0</v>
      </c>
      <c r="T149">
        <v>0</v>
      </c>
      <c r="U149">
        <v>0</v>
      </c>
      <c r="V149">
        <v>1</v>
      </c>
    </row>
    <row r="150" spans="1:22" x14ac:dyDescent="0.2">
      <c r="A150" t="s">
        <v>252</v>
      </c>
      <c r="B150" t="s">
        <v>108</v>
      </c>
      <c r="C150" t="s">
        <v>41</v>
      </c>
      <c r="D150" t="s">
        <v>61</v>
      </c>
      <c r="E150" t="s">
        <v>37</v>
      </c>
      <c r="F150" t="s">
        <v>47</v>
      </c>
      <c r="G150" t="s">
        <v>65</v>
      </c>
      <c r="H150" t="s">
        <v>48</v>
      </c>
      <c r="I150">
        <v>0</v>
      </c>
      <c r="J150">
        <v>1</v>
      </c>
      <c r="K150">
        <v>1</v>
      </c>
      <c r="L150">
        <v>1</v>
      </c>
      <c r="M150">
        <v>0</v>
      </c>
      <c r="N150">
        <v>0</v>
      </c>
      <c r="O150">
        <v>1</v>
      </c>
      <c r="P150">
        <v>0</v>
      </c>
      <c r="Q150">
        <v>0</v>
      </c>
      <c r="R150">
        <v>0</v>
      </c>
      <c r="S150">
        <v>0</v>
      </c>
      <c r="T150">
        <v>0</v>
      </c>
      <c r="U150">
        <v>0</v>
      </c>
      <c r="V150">
        <v>1</v>
      </c>
    </row>
    <row r="151" spans="1:22" x14ac:dyDescent="0.2">
      <c r="A151" t="s">
        <v>254</v>
      </c>
      <c r="B151" t="s">
        <v>108</v>
      </c>
      <c r="C151" t="s">
        <v>41</v>
      </c>
      <c r="D151" t="s">
        <v>61</v>
      </c>
      <c r="E151" t="s">
        <v>37</v>
      </c>
      <c r="F151" t="s">
        <v>47</v>
      </c>
      <c r="G151" t="s">
        <v>60</v>
      </c>
      <c r="H151" t="s">
        <v>48</v>
      </c>
      <c r="I151">
        <v>1</v>
      </c>
      <c r="J151">
        <v>0</v>
      </c>
      <c r="K151">
        <v>1</v>
      </c>
      <c r="L151">
        <v>1</v>
      </c>
      <c r="M151">
        <v>0</v>
      </c>
      <c r="N151">
        <v>0</v>
      </c>
      <c r="O151">
        <v>1</v>
      </c>
      <c r="P151">
        <v>1</v>
      </c>
      <c r="Q151">
        <v>0</v>
      </c>
      <c r="R151">
        <v>1</v>
      </c>
      <c r="S151">
        <v>1</v>
      </c>
      <c r="T151">
        <v>0</v>
      </c>
      <c r="U151">
        <v>0</v>
      </c>
      <c r="V151">
        <v>0</v>
      </c>
    </row>
    <row r="152" spans="1:22" x14ac:dyDescent="0.2">
      <c r="A152" t="s">
        <v>254</v>
      </c>
      <c r="B152" t="s">
        <v>108</v>
      </c>
      <c r="C152" t="s">
        <v>41</v>
      </c>
      <c r="D152" t="s">
        <v>67</v>
      </c>
      <c r="E152" t="s">
        <v>37</v>
      </c>
      <c r="F152" t="s">
        <v>48</v>
      </c>
      <c r="G152" t="s">
        <v>47</v>
      </c>
      <c r="H152" t="s">
        <v>65</v>
      </c>
      <c r="I152">
        <v>0</v>
      </c>
      <c r="J152">
        <v>1</v>
      </c>
      <c r="K152">
        <v>1</v>
      </c>
      <c r="L152">
        <v>1</v>
      </c>
      <c r="M152">
        <v>0</v>
      </c>
      <c r="N152">
        <v>0</v>
      </c>
      <c r="O152">
        <v>1</v>
      </c>
      <c r="P152">
        <v>0</v>
      </c>
      <c r="Q152">
        <v>1</v>
      </c>
      <c r="R152">
        <v>0</v>
      </c>
      <c r="S152">
        <v>1</v>
      </c>
      <c r="T152">
        <v>0</v>
      </c>
      <c r="U152">
        <v>0</v>
      </c>
      <c r="V152">
        <v>0</v>
      </c>
    </row>
    <row r="153" spans="1:22" x14ac:dyDescent="0.2">
      <c r="A153" t="s">
        <v>254</v>
      </c>
      <c r="B153" t="s">
        <v>108</v>
      </c>
      <c r="C153" t="s">
        <v>41</v>
      </c>
      <c r="D153" t="s">
        <v>42</v>
      </c>
      <c r="E153" t="s">
        <v>37</v>
      </c>
      <c r="F153" t="s">
        <v>46</v>
      </c>
      <c r="G153" t="s">
        <v>48</v>
      </c>
      <c r="H153" t="s">
        <v>65</v>
      </c>
      <c r="I153">
        <v>0</v>
      </c>
      <c r="J153">
        <v>1</v>
      </c>
      <c r="K153">
        <v>1</v>
      </c>
      <c r="L153">
        <v>0</v>
      </c>
      <c r="M153">
        <v>1</v>
      </c>
      <c r="N153">
        <v>0</v>
      </c>
      <c r="O153">
        <v>1</v>
      </c>
      <c r="P153">
        <v>0</v>
      </c>
      <c r="Q153">
        <v>1</v>
      </c>
      <c r="R153">
        <v>0</v>
      </c>
      <c r="S153">
        <v>0</v>
      </c>
      <c r="T153">
        <v>0</v>
      </c>
      <c r="U153">
        <v>0</v>
      </c>
      <c r="V153">
        <v>0</v>
      </c>
    </row>
    <row r="154" spans="1:22" x14ac:dyDescent="0.2">
      <c r="A154" t="s">
        <v>254</v>
      </c>
      <c r="B154" t="s">
        <v>108</v>
      </c>
      <c r="C154" t="s">
        <v>41</v>
      </c>
      <c r="D154" t="s">
        <v>49</v>
      </c>
      <c r="E154" t="s">
        <v>37</v>
      </c>
      <c r="F154" t="s">
        <v>48</v>
      </c>
      <c r="G154" t="s">
        <v>65</v>
      </c>
      <c r="H154" t="s">
        <v>47</v>
      </c>
      <c r="I154">
        <v>0</v>
      </c>
      <c r="J154">
        <v>1</v>
      </c>
      <c r="K154">
        <v>1</v>
      </c>
      <c r="L154">
        <v>1</v>
      </c>
      <c r="M154">
        <v>0</v>
      </c>
      <c r="N154">
        <v>0</v>
      </c>
      <c r="O154">
        <v>1</v>
      </c>
      <c r="P154">
        <v>0</v>
      </c>
      <c r="Q154">
        <v>0</v>
      </c>
      <c r="R154">
        <v>0</v>
      </c>
      <c r="S154">
        <v>0</v>
      </c>
      <c r="T154">
        <v>0</v>
      </c>
      <c r="U154">
        <v>0</v>
      </c>
      <c r="V154">
        <v>1</v>
      </c>
    </row>
    <row r="155" spans="1:22" x14ac:dyDescent="0.2">
      <c r="A155" t="s">
        <v>254</v>
      </c>
      <c r="B155" t="s">
        <v>108</v>
      </c>
      <c r="C155" t="s">
        <v>41</v>
      </c>
      <c r="D155" t="s">
        <v>55</v>
      </c>
      <c r="E155" t="s">
        <v>37</v>
      </c>
      <c r="F155" t="s">
        <v>47</v>
      </c>
      <c r="G155" t="s">
        <v>46</v>
      </c>
      <c r="H155" t="s">
        <v>48</v>
      </c>
      <c r="I155">
        <v>0</v>
      </c>
      <c r="J155">
        <v>0</v>
      </c>
      <c r="K155">
        <v>1</v>
      </c>
      <c r="L155">
        <v>1</v>
      </c>
      <c r="M155">
        <v>1</v>
      </c>
      <c r="N155">
        <v>0</v>
      </c>
      <c r="O155">
        <v>1</v>
      </c>
      <c r="P155">
        <v>0</v>
      </c>
      <c r="Q155">
        <v>0</v>
      </c>
      <c r="R155">
        <v>0</v>
      </c>
      <c r="S155">
        <v>0</v>
      </c>
      <c r="T155">
        <v>0</v>
      </c>
      <c r="U155">
        <v>0</v>
      </c>
      <c r="V155">
        <v>1</v>
      </c>
    </row>
    <row r="156" spans="1:22" x14ac:dyDescent="0.2">
      <c r="A156" t="s">
        <v>257</v>
      </c>
      <c r="B156" t="s">
        <v>108</v>
      </c>
      <c r="C156" t="s">
        <v>41</v>
      </c>
      <c r="D156" t="s">
        <v>72</v>
      </c>
      <c r="E156" t="s">
        <v>37</v>
      </c>
      <c r="F156" t="s">
        <v>48</v>
      </c>
      <c r="G156" t="s">
        <v>60</v>
      </c>
      <c r="H156" t="s">
        <v>59</v>
      </c>
      <c r="I156">
        <v>1</v>
      </c>
      <c r="J156">
        <v>0</v>
      </c>
      <c r="K156">
        <v>1</v>
      </c>
      <c r="L156">
        <v>0</v>
      </c>
      <c r="M156">
        <v>0</v>
      </c>
      <c r="N156">
        <v>0</v>
      </c>
      <c r="O156">
        <v>1</v>
      </c>
      <c r="P156">
        <v>0</v>
      </c>
      <c r="Q156">
        <v>0</v>
      </c>
      <c r="R156">
        <v>0</v>
      </c>
      <c r="S156">
        <v>0</v>
      </c>
      <c r="T156">
        <v>0</v>
      </c>
      <c r="U156">
        <v>0</v>
      </c>
      <c r="V156">
        <v>1</v>
      </c>
    </row>
    <row r="157" spans="1:22" x14ac:dyDescent="0.2">
      <c r="A157" t="s">
        <v>257</v>
      </c>
      <c r="B157" t="s">
        <v>108</v>
      </c>
      <c r="C157" t="s">
        <v>41</v>
      </c>
      <c r="D157" t="s">
        <v>42</v>
      </c>
      <c r="E157" t="s">
        <v>37</v>
      </c>
      <c r="F157" t="s">
        <v>47</v>
      </c>
      <c r="G157" t="s">
        <v>48</v>
      </c>
      <c r="H157" t="s">
        <v>59</v>
      </c>
      <c r="I157">
        <v>0</v>
      </c>
      <c r="J157">
        <v>0</v>
      </c>
      <c r="K157">
        <v>1</v>
      </c>
      <c r="L157">
        <v>1</v>
      </c>
      <c r="M157">
        <v>0</v>
      </c>
      <c r="N157">
        <v>0</v>
      </c>
      <c r="O157">
        <v>1</v>
      </c>
      <c r="P157">
        <v>0</v>
      </c>
      <c r="Q157">
        <v>0</v>
      </c>
      <c r="R157">
        <v>1</v>
      </c>
      <c r="S157">
        <v>1</v>
      </c>
      <c r="T157">
        <v>0</v>
      </c>
      <c r="U157">
        <v>0</v>
      </c>
      <c r="V157">
        <v>0</v>
      </c>
    </row>
    <row r="158" spans="1:22" x14ac:dyDescent="0.2">
      <c r="A158" t="s">
        <v>257</v>
      </c>
      <c r="B158" t="s">
        <v>108</v>
      </c>
      <c r="C158" t="s">
        <v>41</v>
      </c>
      <c r="D158" t="s">
        <v>55</v>
      </c>
      <c r="E158" t="s">
        <v>37</v>
      </c>
      <c r="F158" t="s">
        <v>59</v>
      </c>
      <c r="G158" t="s">
        <v>47</v>
      </c>
      <c r="H158" t="s">
        <v>48</v>
      </c>
      <c r="I158">
        <v>0</v>
      </c>
      <c r="J158">
        <v>0</v>
      </c>
      <c r="K158">
        <v>1</v>
      </c>
      <c r="L158">
        <v>1</v>
      </c>
      <c r="M158">
        <v>0</v>
      </c>
      <c r="N158">
        <v>0</v>
      </c>
      <c r="O158">
        <v>1</v>
      </c>
      <c r="P158">
        <v>0</v>
      </c>
      <c r="Q158">
        <v>0</v>
      </c>
      <c r="R158">
        <v>0</v>
      </c>
      <c r="S158">
        <v>0</v>
      </c>
      <c r="T158">
        <v>0</v>
      </c>
      <c r="U158">
        <v>0</v>
      </c>
      <c r="V158">
        <v>1</v>
      </c>
    </row>
    <row r="159" spans="1:22" x14ac:dyDescent="0.2">
      <c r="A159" t="s">
        <v>261</v>
      </c>
      <c r="B159" t="s">
        <v>108</v>
      </c>
      <c r="C159" t="s">
        <v>41</v>
      </c>
      <c r="D159" t="s">
        <v>67</v>
      </c>
      <c r="E159" t="s">
        <v>37</v>
      </c>
      <c r="F159" t="s">
        <v>46</v>
      </c>
      <c r="G159" t="s">
        <v>48</v>
      </c>
      <c r="H159" t="s">
        <v>59</v>
      </c>
      <c r="I159">
        <v>0</v>
      </c>
      <c r="J159">
        <v>0</v>
      </c>
      <c r="K159">
        <v>1</v>
      </c>
      <c r="L159">
        <v>0</v>
      </c>
      <c r="M159">
        <v>1</v>
      </c>
      <c r="N159">
        <v>0</v>
      </c>
      <c r="O159">
        <v>1</v>
      </c>
      <c r="P159">
        <v>0</v>
      </c>
      <c r="Q159">
        <v>0</v>
      </c>
      <c r="R159">
        <v>0</v>
      </c>
      <c r="S159">
        <v>0</v>
      </c>
      <c r="T159">
        <v>0</v>
      </c>
      <c r="U159">
        <v>0</v>
      </c>
      <c r="V159">
        <v>1</v>
      </c>
    </row>
    <row r="160" spans="1:22" x14ac:dyDescent="0.2">
      <c r="A160" t="s">
        <v>261</v>
      </c>
      <c r="B160" t="s">
        <v>108</v>
      </c>
      <c r="C160" t="s">
        <v>41</v>
      </c>
      <c r="D160" t="s">
        <v>72</v>
      </c>
      <c r="E160" t="s">
        <v>37</v>
      </c>
      <c r="F160" t="s">
        <v>48</v>
      </c>
      <c r="G160" t="s">
        <v>46</v>
      </c>
      <c r="H160" t="s">
        <v>47</v>
      </c>
      <c r="I160">
        <v>0</v>
      </c>
      <c r="J160">
        <v>0</v>
      </c>
      <c r="K160">
        <v>1</v>
      </c>
      <c r="L160">
        <v>1</v>
      </c>
      <c r="M160">
        <v>1</v>
      </c>
      <c r="N160">
        <v>0</v>
      </c>
      <c r="O160">
        <v>1</v>
      </c>
      <c r="P160">
        <v>0</v>
      </c>
      <c r="Q160">
        <v>0</v>
      </c>
      <c r="R160">
        <v>0</v>
      </c>
      <c r="S160">
        <v>0</v>
      </c>
      <c r="T160">
        <v>0</v>
      </c>
      <c r="U160">
        <v>0</v>
      </c>
      <c r="V160">
        <v>1</v>
      </c>
    </row>
    <row r="161" spans="1:22" x14ac:dyDescent="0.2">
      <c r="A161" t="s">
        <v>261</v>
      </c>
      <c r="B161" t="s">
        <v>108</v>
      </c>
      <c r="C161" t="s">
        <v>41</v>
      </c>
      <c r="D161" t="s">
        <v>61</v>
      </c>
      <c r="E161" t="s">
        <v>37</v>
      </c>
      <c r="F161" t="s">
        <v>48</v>
      </c>
      <c r="G161" t="s">
        <v>46</v>
      </c>
      <c r="H161" t="s">
        <v>65</v>
      </c>
      <c r="I161">
        <v>0</v>
      </c>
      <c r="J161">
        <v>1</v>
      </c>
      <c r="K161">
        <v>1</v>
      </c>
      <c r="L161">
        <v>0</v>
      </c>
      <c r="M161">
        <v>1</v>
      </c>
      <c r="N161">
        <v>0</v>
      </c>
      <c r="O161">
        <v>1</v>
      </c>
      <c r="P161">
        <v>0</v>
      </c>
      <c r="Q161">
        <v>1</v>
      </c>
      <c r="R161">
        <v>0</v>
      </c>
      <c r="S161">
        <v>0</v>
      </c>
      <c r="T161">
        <v>0</v>
      </c>
      <c r="U161">
        <v>0</v>
      </c>
      <c r="V161">
        <v>0</v>
      </c>
    </row>
    <row r="162" spans="1:22" x14ac:dyDescent="0.2">
      <c r="A162" t="s">
        <v>261</v>
      </c>
      <c r="B162" t="s">
        <v>108</v>
      </c>
      <c r="C162" t="s">
        <v>41</v>
      </c>
      <c r="D162" t="s">
        <v>42</v>
      </c>
      <c r="E162" t="s">
        <v>37</v>
      </c>
      <c r="F162" t="s">
        <v>65</v>
      </c>
      <c r="G162" t="s">
        <v>47</v>
      </c>
      <c r="H162" t="s">
        <v>48</v>
      </c>
      <c r="I162">
        <v>0</v>
      </c>
      <c r="J162">
        <v>1</v>
      </c>
      <c r="K162">
        <v>1</v>
      </c>
      <c r="L162">
        <v>1</v>
      </c>
      <c r="M162">
        <v>0</v>
      </c>
      <c r="N162">
        <v>0</v>
      </c>
      <c r="O162">
        <v>1</v>
      </c>
      <c r="P162">
        <v>0</v>
      </c>
      <c r="Q162">
        <v>1</v>
      </c>
      <c r="R162">
        <v>0</v>
      </c>
      <c r="S162">
        <v>0</v>
      </c>
      <c r="T162">
        <v>0</v>
      </c>
      <c r="U162">
        <v>0</v>
      </c>
      <c r="V162">
        <v>0</v>
      </c>
    </row>
    <row r="163" spans="1:22" x14ac:dyDescent="0.2">
      <c r="A163" t="s">
        <v>264</v>
      </c>
      <c r="B163" t="s">
        <v>108</v>
      </c>
      <c r="C163" t="s">
        <v>41</v>
      </c>
      <c r="D163" t="s">
        <v>55</v>
      </c>
      <c r="E163" t="s">
        <v>37</v>
      </c>
      <c r="F163" t="s">
        <v>48</v>
      </c>
      <c r="G163" t="s">
        <v>65</v>
      </c>
      <c r="H163" t="s">
        <v>46</v>
      </c>
      <c r="I163">
        <v>0</v>
      </c>
      <c r="J163">
        <v>1</v>
      </c>
      <c r="K163">
        <v>1</v>
      </c>
      <c r="L163">
        <v>0</v>
      </c>
      <c r="M163">
        <v>1</v>
      </c>
      <c r="N163">
        <v>0</v>
      </c>
      <c r="O163">
        <v>1</v>
      </c>
      <c r="P163">
        <v>0</v>
      </c>
      <c r="Q163">
        <v>0</v>
      </c>
      <c r="R163">
        <v>0</v>
      </c>
      <c r="S163">
        <v>0</v>
      </c>
      <c r="T163">
        <v>0</v>
      </c>
      <c r="U163">
        <v>0</v>
      </c>
      <c r="V163">
        <v>1</v>
      </c>
    </row>
    <row r="164" spans="1:22" x14ac:dyDescent="0.2">
      <c r="A164" t="s">
        <v>264</v>
      </c>
      <c r="B164" t="s">
        <v>108</v>
      </c>
      <c r="C164" t="s">
        <v>41</v>
      </c>
      <c r="D164" t="s">
        <v>49</v>
      </c>
      <c r="E164" t="s">
        <v>37</v>
      </c>
      <c r="F164" t="s">
        <v>65</v>
      </c>
      <c r="G164" t="s">
        <v>46</v>
      </c>
      <c r="H164" t="s">
        <v>48</v>
      </c>
      <c r="I164">
        <v>0</v>
      </c>
      <c r="J164">
        <v>1</v>
      </c>
      <c r="K164">
        <v>1</v>
      </c>
      <c r="L164">
        <v>0</v>
      </c>
      <c r="M164">
        <v>1</v>
      </c>
      <c r="N164">
        <v>0</v>
      </c>
      <c r="O164">
        <v>1</v>
      </c>
      <c r="P164">
        <v>0</v>
      </c>
      <c r="Q164">
        <v>1</v>
      </c>
      <c r="R164">
        <v>0</v>
      </c>
      <c r="S164">
        <v>0</v>
      </c>
      <c r="T164">
        <v>0</v>
      </c>
      <c r="U164">
        <v>0</v>
      </c>
      <c r="V164">
        <v>0</v>
      </c>
    </row>
    <row r="165" spans="1:22" x14ac:dyDescent="0.2">
      <c r="A165" t="s">
        <v>264</v>
      </c>
      <c r="B165" t="s">
        <v>108</v>
      </c>
      <c r="C165" t="s">
        <v>41</v>
      </c>
      <c r="D165" t="s">
        <v>72</v>
      </c>
      <c r="E165" t="s">
        <v>37</v>
      </c>
      <c r="F165" t="s">
        <v>59</v>
      </c>
      <c r="G165" t="s">
        <v>48</v>
      </c>
      <c r="H165" t="s">
        <v>47</v>
      </c>
      <c r="I165">
        <v>0</v>
      </c>
      <c r="J165">
        <v>0</v>
      </c>
      <c r="K165">
        <v>1</v>
      </c>
      <c r="L165">
        <v>1</v>
      </c>
      <c r="M165">
        <v>0</v>
      </c>
      <c r="N165">
        <v>0</v>
      </c>
      <c r="O165">
        <v>1</v>
      </c>
      <c r="P165">
        <v>0</v>
      </c>
      <c r="Q165">
        <v>0</v>
      </c>
      <c r="R165">
        <v>0</v>
      </c>
      <c r="S165">
        <v>1</v>
      </c>
      <c r="T165">
        <v>0</v>
      </c>
      <c r="U165">
        <v>0</v>
      </c>
      <c r="V165">
        <v>0</v>
      </c>
    </row>
    <row r="166" spans="1:22" x14ac:dyDescent="0.2">
      <c r="A166" t="s">
        <v>264</v>
      </c>
      <c r="B166" t="s">
        <v>108</v>
      </c>
      <c r="C166" t="s">
        <v>41</v>
      </c>
      <c r="D166" t="s">
        <v>42</v>
      </c>
      <c r="E166" t="s">
        <v>37</v>
      </c>
      <c r="F166" t="s">
        <v>48</v>
      </c>
      <c r="G166" t="s">
        <v>59</v>
      </c>
      <c r="H166" t="s">
        <v>65</v>
      </c>
      <c r="I166">
        <v>0</v>
      </c>
      <c r="J166">
        <v>1</v>
      </c>
      <c r="K166">
        <v>1</v>
      </c>
      <c r="L166">
        <v>0</v>
      </c>
      <c r="M166">
        <v>0</v>
      </c>
      <c r="N166">
        <v>0</v>
      </c>
      <c r="O166">
        <v>1</v>
      </c>
      <c r="P166">
        <v>0</v>
      </c>
      <c r="Q166">
        <v>1</v>
      </c>
      <c r="R166">
        <v>1</v>
      </c>
      <c r="S166">
        <v>0</v>
      </c>
      <c r="T166">
        <v>0</v>
      </c>
      <c r="U166">
        <v>0</v>
      </c>
      <c r="V166">
        <v>0</v>
      </c>
    </row>
    <row r="167" spans="1:22" x14ac:dyDescent="0.2">
      <c r="A167" t="s">
        <v>264</v>
      </c>
      <c r="B167" t="s">
        <v>108</v>
      </c>
      <c r="C167" t="s">
        <v>41</v>
      </c>
      <c r="D167" t="s">
        <v>67</v>
      </c>
      <c r="E167" t="s">
        <v>37</v>
      </c>
      <c r="F167" t="s">
        <v>47</v>
      </c>
      <c r="G167" t="s">
        <v>48</v>
      </c>
      <c r="H167" t="s">
        <v>60</v>
      </c>
      <c r="I167">
        <v>1</v>
      </c>
      <c r="J167">
        <v>0</v>
      </c>
      <c r="K167">
        <v>1</v>
      </c>
      <c r="L167">
        <v>1</v>
      </c>
      <c r="M167">
        <v>0</v>
      </c>
      <c r="N167">
        <v>0</v>
      </c>
      <c r="O167">
        <v>1</v>
      </c>
      <c r="P167">
        <v>1</v>
      </c>
      <c r="Q167">
        <v>0</v>
      </c>
      <c r="R167">
        <v>1</v>
      </c>
      <c r="S167">
        <v>1</v>
      </c>
      <c r="T167">
        <v>0</v>
      </c>
      <c r="U167">
        <v>0</v>
      </c>
      <c r="V167">
        <v>0</v>
      </c>
    </row>
    <row r="168" spans="1:22" x14ac:dyDescent="0.2">
      <c r="A168" t="s">
        <v>267</v>
      </c>
      <c r="B168" t="s">
        <v>108</v>
      </c>
      <c r="C168" t="s">
        <v>41</v>
      </c>
      <c r="D168" t="s">
        <v>49</v>
      </c>
      <c r="E168" t="s">
        <v>37</v>
      </c>
      <c r="F168" t="s">
        <v>48</v>
      </c>
      <c r="G168" t="s">
        <v>46</v>
      </c>
      <c r="H168" t="s">
        <v>59</v>
      </c>
      <c r="I168">
        <v>0</v>
      </c>
      <c r="J168">
        <v>0</v>
      </c>
      <c r="K168">
        <v>1</v>
      </c>
      <c r="L168">
        <v>0</v>
      </c>
      <c r="M168">
        <v>1</v>
      </c>
      <c r="N168">
        <v>0</v>
      </c>
      <c r="O168">
        <v>1</v>
      </c>
      <c r="P168">
        <v>0</v>
      </c>
      <c r="Q168">
        <v>0</v>
      </c>
      <c r="R168">
        <v>0</v>
      </c>
      <c r="S168">
        <v>0</v>
      </c>
      <c r="T168">
        <v>0</v>
      </c>
      <c r="U168">
        <v>0</v>
      </c>
      <c r="V168">
        <v>1</v>
      </c>
    </row>
    <row r="169" spans="1:22" x14ac:dyDescent="0.2">
      <c r="A169" t="s">
        <v>267</v>
      </c>
      <c r="B169" t="s">
        <v>108</v>
      </c>
      <c r="C169" t="s">
        <v>41</v>
      </c>
      <c r="D169" t="s">
        <v>61</v>
      </c>
      <c r="E169" t="s">
        <v>37</v>
      </c>
      <c r="F169" t="s">
        <v>65</v>
      </c>
      <c r="G169" t="s">
        <v>59</v>
      </c>
      <c r="H169" t="s">
        <v>48</v>
      </c>
      <c r="I169">
        <v>0</v>
      </c>
      <c r="J169">
        <v>1</v>
      </c>
      <c r="K169">
        <v>1</v>
      </c>
      <c r="L169">
        <v>0</v>
      </c>
      <c r="M169">
        <v>0</v>
      </c>
      <c r="N169">
        <v>0</v>
      </c>
      <c r="O169">
        <v>1</v>
      </c>
      <c r="P169">
        <v>0</v>
      </c>
      <c r="Q169">
        <v>0</v>
      </c>
      <c r="R169">
        <v>0</v>
      </c>
      <c r="S169">
        <v>0</v>
      </c>
      <c r="T169">
        <v>0</v>
      </c>
      <c r="U169">
        <v>0</v>
      </c>
      <c r="V169">
        <v>1</v>
      </c>
    </row>
    <row r="170" spans="1:22" x14ac:dyDescent="0.2">
      <c r="A170" t="s">
        <v>267</v>
      </c>
      <c r="B170" t="s">
        <v>108</v>
      </c>
      <c r="C170" t="s">
        <v>41</v>
      </c>
      <c r="D170" t="s">
        <v>67</v>
      </c>
      <c r="E170" t="s">
        <v>37</v>
      </c>
      <c r="F170" t="s">
        <v>59</v>
      </c>
      <c r="G170" t="s">
        <v>48</v>
      </c>
      <c r="H170" t="s">
        <v>46</v>
      </c>
      <c r="I170">
        <v>0</v>
      </c>
      <c r="J170">
        <v>0</v>
      </c>
      <c r="K170">
        <v>1</v>
      </c>
      <c r="L170">
        <v>0</v>
      </c>
      <c r="M170">
        <v>1</v>
      </c>
      <c r="N170">
        <v>0</v>
      </c>
      <c r="O170">
        <v>1</v>
      </c>
      <c r="P170">
        <v>0</v>
      </c>
      <c r="Q170">
        <v>0</v>
      </c>
      <c r="R170">
        <v>0</v>
      </c>
      <c r="S170">
        <v>0</v>
      </c>
      <c r="T170">
        <v>0</v>
      </c>
      <c r="U170">
        <v>0</v>
      </c>
      <c r="V170">
        <v>1</v>
      </c>
    </row>
    <row r="171" spans="1:22" x14ac:dyDescent="0.2">
      <c r="A171" t="s">
        <v>267</v>
      </c>
      <c r="B171" t="s">
        <v>108</v>
      </c>
      <c r="C171" t="s">
        <v>41</v>
      </c>
      <c r="D171" t="s">
        <v>55</v>
      </c>
      <c r="E171" t="s">
        <v>37</v>
      </c>
      <c r="F171" t="s">
        <v>48</v>
      </c>
      <c r="G171" t="s">
        <v>65</v>
      </c>
      <c r="H171" t="s">
        <v>46</v>
      </c>
      <c r="I171">
        <v>0</v>
      </c>
      <c r="J171">
        <v>1</v>
      </c>
      <c r="K171">
        <v>1</v>
      </c>
      <c r="L171">
        <v>0</v>
      </c>
      <c r="M171">
        <v>1</v>
      </c>
      <c r="N171">
        <v>0</v>
      </c>
      <c r="O171">
        <v>1</v>
      </c>
      <c r="P171">
        <v>0</v>
      </c>
      <c r="Q171">
        <v>0</v>
      </c>
      <c r="R171">
        <v>0</v>
      </c>
      <c r="S171">
        <v>0</v>
      </c>
      <c r="T171">
        <v>0</v>
      </c>
      <c r="U171">
        <v>0</v>
      </c>
      <c r="V171">
        <v>1</v>
      </c>
    </row>
    <row r="172" spans="1:22" x14ac:dyDescent="0.2">
      <c r="A172" t="s">
        <v>271</v>
      </c>
      <c r="B172" t="s">
        <v>33</v>
      </c>
      <c r="C172" t="s">
        <v>41</v>
      </c>
      <c r="D172" t="s">
        <v>55</v>
      </c>
      <c r="E172" t="s">
        <v>37</v>
      </c>
      <c r="F172" t="s">
        <v>65</v>
      </c>
      <c r="G172" t="s">
        <v>48</v>
      </c>
      <c r="H172" t="s">
        <v>59</v>
      </c>
      <c r="I172">
        <v>0</v>
      </c>
      <c r="J172">
        <v>1</v>
      </c>
      <c r="K172">
        <v>1</v>
      </c>
      <c r="L172">
        <v>0</v>
      </c>
      <c r="M172">
        <v>0</v>
      </c>
      <c r="N172">
        <v>0</v>
      </c>
      <c r="O172">
        <v>1</v>
      </c>
      <c r="P172">
        <v>0</v>
      </c>
      <c r="Q172">
        <v>0</v>
      </c>
      <c r="R172">
        <v>0</v>
      </c>
      <c r="S172">
        <v>0</v>
      </c>
      <c r="T172">
        <v>0</v>
      </c>
      <c r="U172">
        <v>0</v>
      </c>
      <c r="V172">
        <v>1</v>
      </c>
    </row>
    <row r="173" spans="1:22" x14ac:dyDescent="0.2">
      <c r="A173" t="s">
        <v>271</v>
      </c>
      <c r="B173" t="s">
        <v>33</v>
      </c>
      <c r="C173" t="s">
        <v>41</v>
      </c>
      <c r="D173" t="s">
        <v>42</v>
      </c>
      <c r="E173" t="s">
        <v>37</v>
      </c>
      <c r="F173" t="s">
        <v>48</v>
      </c>
      <c r="G173" t="s">
        <v>47</v>
      </c>
      <c r="H173" t="s">
        <v>65</v>
      </c>
      <c r="I173">
        <v>0</v>
      </c>
      <c r="J173">
        <v>1</v>
      </c>
      <c r="K173">
        <v>1</v>
      </c>
      <c r="L173">
        <v>1</v>
      </c>
      <c r="M173">
        <v>0</v>
      </c>
      <c r="N173">
        <v>0</v>
      </c>
      <c r="O173">
        <v>1</v>
      </c>
      <c r="P173">
        <v>0</v>
      </c>
      <c r="Q173">
        <v>1</v>
      </c>
      <c r="R173">
        <v>0</v>
      </c>
      <c r="S173">
        <v>1</v>
      </c>
      <c r="T173">
        <v>0</v>
      </c>
      <c r="U173">
        <v>0</v>
      </c>
      <c r="V173">
        <v>0</v>
      </c>
    </row>
    <row r="174" spans="1:22" x14ac:dyDescent="0.2">
      <c r="A174" t="s">
        <v>271</v>
      </c>
      <c r="B174" t="s">
        <v>33</v>
      </c>
      <c r="C174" t="s">
        <v>41</v>
      </c>
      <c r="D174" t="s">
        <v>61</v>
      </c>
      <c r="E174" t="s">
        <v>37</v>
      </c>
      <c r="F174" t="s">
        <v>46</v>
      </c>
      <c r="G174" t="s">
        <v>65</v>
      </c>
      <c r="H174" t="s">
        <v>48</v>
      </c>
      <c r="I174">
        <v>0</v>
      </c>
      <c r="J174">
        <v>1</v>
      </c>
      <c r="K174">
        <v>1</v>
      </c>
      <c r="L174">
        <v>0</v>
      </c>
      <c r="M174">
        <v>1</v>
      </c>
      <c r="N174">
        <v>0</v>
      </c>
      <c r="O174">
        <v>1</v>
      </c>
      <c r="P174">
        <v>0</v>
      </c>
      <c r="Q174">
        <v>1</v>
      </c>
      <c r="R174">
        <v>1</v>
      </c>
      <c r="S174">
        <v>0</v>
      </c>
      <c r="T174">
        <v>1</v>
      </c>
      <c r="U174">
        <v>0</v>
      </c>
      <c r="V174">
        <v>0</v>
      </c>
    </row>
    <row r="175" spans="1:22" x14ac:dyDescent="0.2">
      <c r="A175" t="s">
        <v>274</v>
      </c>
      <c r="B175" t="s">
        <v>108</v>
      </c>
      <c r="C175" t="s">
        <v>41</v>
      </c>
      <c r="D175" t="s">
        <v>72</v>
      </c>
      <c r="E175" t="s">
        <v>37</v>
      </c>
      <c r="F175" t="s">
        <v>46</v>
      </c>
      <c r="G175" t="s">
        <v>48</v>
      </c>
      <c r="H175" t="s">
        <v>47</v>
      </c>
      <c r="I175">
        <v>0</v>
      </c>
      <c r="J175">
        <v>0</v>
      </c>
      <c r="K175">
        <v>1</v>
      </c>
      <c r="L175">
        <v>1</v>
      </c>
      <c r="M175">
        <v>1</v>
      </c>
      <c r="N175">
        <v>0</v>
      </c>
      <c r="O175">
        <v>1</v>
      </c>
      <c r="P175">
        <v>0</v>
      </c>
      <c r="Q175">
        <v>0</v>
      </c>
      <c r="R175">
        <v>0</v>
      </c>
      <c r="S175">
        <v>0</v>
      </c>
      <c r="T175">
        <v>0</v>
      </c>
      <c r="U175">
        <v>0</v>
      </c>
      <c r="V175">
        <v>1</v>
      </c>
    </row>
    <row r="176" spans="1:22" x14ac:dyDescent="0.2">
      <c r="A176" t="s">
        <v>274</v>
      </c>
      <c r="B176" t="s">
        <v>108</v>
      </c>
      <c r="C176" t="s">
        <v>41</v>
      </c>
      <c r="D176" t="s">
        <v>49</v>
      </c>
      <c r="E176" t="s">
        <v>37</v>
      </c>
      <c r="F176" t="s">
        <v>48</v>
      </c>
      <c r="G176" t="s">
        <v>59</v>
      </c>
      <c r="H176" t="s">
        <v>46</v>
      </c>
      <c r="I176">
        <v>0</v>
      </c>
      <c r="J176">
        <v>0</v>
      </c>
      <c r="K176">
        <v>1</v>
      </c>
      <c r="L176">
        <v>0</v>
      </c>
      <c r="M176">
        <v>1</v>
      </c>
      <c r="N176">
        <v>0</v>
      </c>
      <c r="O176">
        <v>1</v>
      </c>
      <c r="P176">
        <v>0</v>
      </c>
      <c r="Q176">
        <v>0</v>
      </c>
      <c r="R176">
        <v>0</v>
      </c>
      <c r="S176">
        <v>0</v>
      </c>
      <c r="T176">
        <v>0</v>
      </c>
      <c r="U176">
        <v>0</v>
      </c>
      <c r="V176">
        <v>1</v>
      </c>
    </row>
    <row r="177" spans="1:22" x14ac:dyDescent="0.2">
      <c r="A177" t="s">
        <v>274</v>
      </c>
      <c r="B177" t="s">
        <v>108</v>
      </c>
      <c r="C177" t="s">
        <v>41</v>
      </c>
      <c r="D177" t="s">
        <v>61</v>
      </c>
      <c r="E177" t="s">
        <v>37</v>
      </c>
      <c r="F177" t="s">
        <v>48</v>
      </c>
      <c r="G177" t="s">
        <v>47</v>
      </c>
      <c r="H177" t="s">
        <v>46</v>
      </c>
      <c r="I177">
        <v>0</v>
      </c>
      <c r="J177">
        <v>0</v>
      </c>
      <c r="K177">
        <v>1</v>
      </c>
      <c r="L177">
        <v>1</v>
      </c>
      <c r="M177">
        <v>1</v>
      </c>
      <c r="N177">
        <v>0</v>
      </c>
      <c r="O177">
        <v>1</v>
      </c>
      <c r="P177">
        <v>0</v>
      </c>
      <c r="Q177">
        <v>0</v>
      </c>
      <c r="R177">
        <v>0</v>
      </c>
      <c r="S177">
        <v>1</v>
      </c>
      <c r="T177">
        <v>0</v>
      </c>
      <c r="U177">
        <v>0</v>
      </c>
      <c r="V177">
        <v>0</v>
      </c>
    </row>
    <row r="178" spans="1:22" x14ac:dyDescent="0.2">
      <c r="A178" t="s">
        <v>278</v>
      </c>
      <c r="B178" t="s">
        <v>108</v>
      </c>
      <c r="C178" t="s">
        <v>41</v>
      </c>
      <c r="D178" t="s">
        <v>49</v>
      </c>
      <c r="E178" t="s">
        <v>37</v>
      </c>
      <c r="F178" t="s">
        <v>47</v>
      </c>
      <c r="G178" t="s">
        <v>48</v>
      </c>
      <c r="H178" t="s">
        <v>60</v>
      </c>
      <c r="I178">
        <v>1</v>
      </c>
      <c r="J178">
        <v>0</v>
      </c>
      <c r="K178">
        <v>1</v>
      </c>
      <c r="L178">
        <v>1</v>
      </c>
      <c r="M178">
        <v>0</v>
      </c>
      <c r="N178">
        <v>0</v>
      </c>
      <c r="O178">
        <v>1</v>
      </c>
      <c r="P178">
        <v>1</v>
      </c>
      <c r="Q178">
        <v>0</v>
      </c>
      <c r="R178">
        <v>0</v>
      </c>
      <c r="S178">
        <v>0</v>
      </c>
      <c r="T178">
        <v>0</v>
      </c>
      <c r="U178">
        <v>0</v>
      </c>
      <c r="V178">
        <v>0</v>
      </c>
    </row>
    <row r="179" spans="1:22" x14ac:dyDescent="0.2">
      <c r="A179" t="s">
        <v>278</v>
      </c>
      <c r="B179" t="s">
        <v>108</v>
      </c>
      <c r="C179" t="s">
        <v>41</v>
      </c>
      <c r="D179" t="s">
        <v>55</v>
      </c>
      <c r="E179" t="s">
        <v>37</v>
      </c>
      <c r="F179" t="s">
        <v>46</v>
      </c>
      <c r="G179" t="s">
        <v>48</v>
      </c>
      <c r="H179" t="s">
        <v>60</v>
      </c>
      <c r="I179">
        <v>1</v>
      </c>
      <c r="J179">
        <v>0</v>
      </c>
      <c r="K179">
        <v>1</v>
      </c>
      <c r="L179">
        <v>0</v>
      </c>
      <c r="M179">
        <v>1</v>
      </c>
      <c r="N179">
        <v>0</v>
      </c>
      <c r="O179">
        <v>1</v>
      </c>
      <c r="P179">
        <v>1</v>
      </c>
      <c r="Q179">
        <v>0</v>
      </c>
      <c r="R179">
        <v>0</v>
      </c>
      <c r="S179">
        <v>0</v>
      </c>
      <c r="T179">
        <v>0</v>
      </c>
      <c r="U179">
        <v>0</v>
      </c>
      <c r="V179">
        <v>0</v>
      </c>
    </row>
    <row r="180" spans="1:22" x14ac:dyDescent="0.2">
      <c r="A180" t="s">
        <v>282</v>
      </c>
      <c r="B180" t="s">
        <v>108</v>
      </c>
      <c r="C180" t="s">
        <v>41</v>
      </c>
      <c r="D180" t="s">
        <v>67</v>
      </c>
      <c r="E180" t="s">
        <v>37</v>
      </c>
      <c r="F180" t="s">
        <v>48</v>
      </c>
      <c r="G180" t="s">
        <v>59</v>
      </c>
      <c r="H180" t="s">
        <v>65</v>
      </c>
      <c r="I180">
        <v>0</v>
      </c>
      <c r="J180">
        <v>1</v>
      </c>
      <c r="K180">
        <v>1</v>
      </c>
      <c r="L180">
        <v>0</v>
      </c>
      <c r="M180">
        <v>0</v>
      </c>
      <c r="N180">
        <v>0</v>
      </c>
      <c r="O180">
        <v>1</v>
      </c>
      <c r="P180">
        <v>0</v>
      </c>
      <c r="Q180">
        <v>1</v>
      </c>
      <c r="R180">
        <v>0</v>
      </c>
      <c r="S180">
        <v>0</v>
      </c>
      <c r="T180">
        <v>0</v>
      </c>
      <c r="U180">
        <v>0</v>
      </c>
      <c r="V180">
        <v>0</v>
      </c>
    </row>
    <row r="181" spans="1:22" x14ac:dyDescent="0.2">
      <c r="A181" t="s">
        <v>282</v>
      </c>
      <c r="B181" t="s">
        <v>108</v>
      </c>
      <c r="C181" t="s">
        <v>41</v>
      </c>
      <c r="D181" t="s">
        <v>55</v>
      </c>
      <c r="E181" t="s">
        <v>37</v>
      </c>
      <c r="F181" t="s">
        <v>60</v>
      </c>
      <c r="G181" t="s">
        <v>48</v>
      </c>
      <c r="H181" t="s">
        <v>65</v>
      </c>
      <c r="I181">
        <v>1</v>
      </c>
      <c r="J181">
        <v>1</v>
      </c>
      <c r="K181">
        <v>1</v>
      </c>
      <c r="L181">
        <v>0</v>
      </c>
      <c r="M181">
        <v>0</v>
      </c>
      <c r="N181">
        <v>0</v>
      </c>
      <c r="O181">
        <v>1</v>
      </c>
      <c r="P181">
        <v>1</v>
      </c>
      <c r="Q181">
        <v>0</v>
      </c>
      <c r="R181">
        <v>0</v>
      </c>
      <c r="S181">
        <v>0</v>
      </c>
      <c r="T181">
        <v>0</v>
      </c>
      <c r="U181">
        <v>0</v>
      </c>
      <c r="V181">
        <v>0</v>
      </c>
    </row>
    <row r="182" spans="1:22" x14ac:dyDescent="0.2">
      <c r="A182" t="s">
        <v>282</v>
      </c>
      <c r="B182" t="s">
        <v>108</v>
      </c>
      <c r="C182" t="s">
        <v>41</v>
      </c>
      <c r="D182" t="s">
        <v>61</v>
      </c>
      <c r="E182" t="s">
        <v>37</v>
      </c>
      <c r="F182" t="s">
        <v>46</v>
      </c>
      <c r="G182" t="s">
        <v>65</v>
      </c>
      <c r="H182" t="s">
        <v>48</v>
      </c>
      <c r="I182">
        <v>0</v>
      </c>
      <c r="J182">
        <v>1</v>
      </c>
      <c r="K182">
        <v>1</v>
      </c>
      <c r="L182">
        <v>0</v>
      </c>
      <c r="M182">
        <v>1</v>
      </c>
      <c r="N182">
        <v>0</v>
      </c>
      <c r="O182">
        <v>1</v>
      </c>
      <c r="P182">
        <v>0</v>
      </c>
      <c r="Q182">
        <v>1</v>
      </c>
      <c r="R182">
        <v>0</v>
      </c>
      <c r="S182">
        <v>0</v>
      </c>
      <c r="T182">
        <v>0</v>
      </c>
      <c r="U182">
        <v>0</v>
      </c>
      <c r="V182">
        <v>0</v>
      </c>
    </row>
    <row r="183" spans="1:22" x14ac:dyDescent="0.2">
      <c r="A183" t="s">
        <v>282</v>
      </c>
      <c r="B183" t="s">
        <v>108</v>
      </c>
      <c r="C183" t="s">
        <v>41</v>
      </c>
      <c r="D183" t="s">
        <v>49</v>
      </c>
      <c r="E183" t="s">
        <v>37</v>
      </c>
      <c r="F183" t="s">
        <v>65</v>
      </c>
      <c r="G183" t="s">
        <v>48</v>
      </c>
      <c r="H183" t="s">
        <v>59</v>
      </c>
      <c r="I183">
        <v>0</v>
      </c>
      <c r="J183">
        <v>1</v>
      </c>
      <c r="K183">
        <v>1</v>
      </c>
      <c r="L183">
        <v>0</v>
      </c>
      <c r="M183">
        <v>0</v>
      </c>
      <c r="N183">
        <v>0</v>
      </c>
      <c r="O183">
        <v>1</v>
      </c>
      <c r="P183">
        <v>0</v>
      </c>
      <c r="Q183">
        <v>1</v>
      </c>
      <c r="R183">
        <v>0</v>
      </c>
      <c r="S183">
        <v>0</v>
      </c>
      <c r="T183">
        <v>0</v>
      </c>
      <c r="U183">
        <v>0</v>
      </c>
      <c r="V183">
        <v>0</v>
      </c>
    </row>
    <row r="184" spans="1:22" x14ac:dyDescent="0.2">
      <c r="A184" t="s">
        <v>282</v>
      </c>
      <c r="B184" t="s">
        <v>108</v>
      </c>
      <c r="C184" t="s">
        <v>41</v>
      </c>
      <c r="D184" t="s">
        <v>72</v>
      </c>
      <c r="E184" t="s">
        <v>37</v>
      </c>
      <c r="F184" t="s">
        <v>59</v>
      </c>
      <c r="G184" t="s">
        <v>48</v>
      </c>
      <c r="H184" t="s">
        <v>46</v>
      </c>
      <c r="I184">
        <v>0</v>
      </c>
      <c r="J184">
        <v>0</v>
      </c>
      <c r="K184">
        <v>1</v>
      </c>
      <c r="L184">
        <v>0</v>
      </c>
      <c r="M184">
        <v>1</v>
      </c>
      <c r="N184">
        <v>0</v>
      </c>
      <c r="O184">
        <v>1</v>
      </c>
      <c r="P184">
        <v>0</v>
      </c>
      <c r="Q184">
        <v>0</v>
      </c>
      <c r="R184">
        <v>0</v>
      </c>
      <c r="S184">
        <v>0</v>
      </c>
      <c r="T184">
        <v>0</v>
      </c>
      <c r="U184">
        <v>0</v>
      </c>
      <c r="V184">
        <v>1</v>
      </c>
    </row>
    <row r="185" spans="1:22" x14ac:dyDescent="0.2">
      <c r="A185" t="s">
        <v>285</v>
      </c>
      <c r="B185" t="s">
        <v>188</v>
      </c>
      <c r="C185" t="s">
        <v>41</v>
      </c>
      <c r="D185" t="s">
        <v>55</v>
      </c>
      <c r="E185" t="s">
        <v>37</v>
      </c>
      <c r="F185" t="s">
        <v>48</v>
      </c>
      <c r="G185" t="s">
        <v>60</v>
      </c>
      <c r="H185" t="s">
        <v>47</v>
      </c>
      <c r="I185">
        <v>1</v>
      </c>
      <c r="J185">
        <v>0</v>
      </c>
      <c r="K185">
        <v>1</v>
      </c>
      <c r="L185">
        <v>1</v>
      </c>
      <c r="M185">
        <v>0</v>
      </c>
      <c r="N185">
        <v>0</v>
      </c>
      <c r="O185">
        <v>1</v>
      </c>
      <c r="P185">
        <v>0</v>
      </c>
      <c r="Q185">
        <v>0</v>
      </c>
      <c r="R185">
        <v>0</v>
      </c>
      <c r="S185">
        <v>1</v>
      </c>
      <c r="T185">
        <v>0</v>
      </c>
      <c r="U185">
        <v>0</v>
      </c>
      <c r="V185">
        <v>0</v>
      </c>
    </row>
    <row r="186" spans="1:22" x14ac:dyDescent="0.2">
      <c r="A186" t="s">
        <v>285</v>
      </c>
      <c r="B186" t="s">
        <v>188</v>
      </c>
      <c r="C186" t="s">
        <v>41</v>
      </c>
      <c r="D186" t="s">
        <v>49</v>
      </c>
      <c r="E186" t="s">
        <v>37</v>
      </c>
      <c r="F186" t="s">
        <v>59</v>
      </c>
      <c r="G186" t="s">
        <v>46</v>
      </c>
      <c r="H186" t="s">
        <v>48</v>
      </c>
      <c r="I186">
        <v>0</v>
      </c>
      <c r="J186">
        <v>0</v>
      </c>
      <c r="K186">
        <v>1</v>
      </c>
      <c r="L186">
        <v>0</v>
      </c>
      <c r="M186">
        <v>1</v>
      </c>
      <c r="N186">
        <v>0</v>
      </c>
      <c r="O186">
        <v>1</v>
      </c>
      <c r="P186">
        <v>0</v>
      </c>
      <c r="Q186">
        <v>0</v>
      </c>
      <c r="R186">
        <v>1</v>
      </c>
      <c r="S186">
        <v>0</v>
      </c>
      <c r="T186">
        <v>0</v>
      </c>
      <c r="U186">
        <v>0</v>
      </c>
      <c r="V186">
        <v>0</v>
      </c>
    </row>
    <row r="187" spans="1:22" x14ac:dyDescent="0.2">
      <c r="A187" t="s">
        <v>285</v>
      </c>
      <c r="B187" t="s">
        <v>188</v>
      </c>
      <c r="C187" t="s">
        <v>41</v>
      </c>
      <c r="D187" t="s">
        <v>67</v>
      </c>
      <c r="E187" t="s">
        <v>37</v>
      </c>
      <c r="F187" t="s">
        <v>47</v>
      </c>
      <c r="G187" t="s">
        <v>65</v>
      </c>
      <c r="H187" t="s">
        <v>48</v>
      </c>
      <c r="I187">
        <v>0</v>
      </c>
      <c r="J187">
        <v>1</v>
      </c>
      <c r="K187">
        <v>1</v>
      </c>
      <c r="L187">
        <v>1</v>
      </c>
      <c r="M187">
        <v>0</v>
      </c>
      <c r="N187">
        <v>0</v>
      </c>
      <c r="O187">
        <v>1</v>
      </c>
      <c r="P187">
        <v>0</v>
      </c>
      <c r="Q187">
        <v>0</v>
      </c>
      <c r="R187">
        <v>0</v>
      </c>
      <c r="S187">
        <v>0</v>
      </c>
      <c r="T187">
        <v>0</v>
      </c>
      <c r="U187">
        <v>0</v>
      </c>
      <c r="V187">
        <v>1</v>
      </c>
    </row>
    <row r="188" spans="1:22" x14ac:dyDescent="0.2">
      <c r="A188" t="s">
        <v>285</v>
      </c>
      <c r="B188" t="s">
        <v>188</v>
      </c>
      <c r="C188" t="s">
        <v>41</v>
      </c>
      <c r="D188" t="s">
        <v>42</v>
      </c>
      <c r="E188" t="s">
        <v>37</v>
      </c>
      <c r="F188" t="s">
        <v>48</v>
      </c>
      <c r="G188" t="s">
        <v>59</v>
      </c>
      <c r="H188" t="s">
        <v>65</v>
      </c>
      <c r="I188">
        <v>0</v>
      </c>
      <c r="J188">
        <v>1</v>
      </c>
      <c r="K188">
        <v>1</v>
      </c>
      <c r="L188">
        <v>0</v>
      </c>
      <c r="M188">
        <v>0</v>
      </c>
      <c r="N188">
        <v>0</v>
      </c>
      <c r="O188">
        <v>1</v>
      </c>
      <c r="P188">
        <v>0</v>
      </c>
      <c r="Q188">
        <v>1</v>
      </c>
      <c r="R188">
        <v>0</v>
      </c>
      <c r="S188">
        <v>0</v>
      </c>
      <c r="T188">
        <v>0</v>
      </c>
      <c r="U188">
        <v>0</v>
      </c>
      <c r="V188">
        <v>0</v>
      </c>
    </row>
    <row r="189" spans="1:22" x14ac:dyDescent="0.2">
      <c r="A189" t="s">
        <v>285</v>
      </c>
      <c r="B189" t="s">
        <v>188</v>
      </c>
      <c r="C189" t="s">
        <v>41</v>
      </c>
      <c r="D189" t="s">
        <v>61</v>
      </c>
      <c r="E189" t="s">
        <v>37</v>
      </c>
      <c r="F189" t="s">
        <v>65</v>
      </c>
      <c r="G189" t="s">
        <v>48</v>
      </c>
      <c r="H189" t="s">
        <v>59</v>
      </c>
      <c r="I189">
        <v>0</v>
      </c>
      <c r="J189">
        <v>1</v>
      </c>
      <c r="K189">
        <v>1</v>
      </c>
      <c r="L189">
        <v>0</v>
      </c>
      <c r="M189">
        <v>0</v>
      </c>
      <c r="N189">
        <v>0</v>
      </c>
      <c r="O189">
        <v>1</v>
      </c>
      <c r="P189">
        <v>0</v>
      </c>
      <c r="Q189">
        <v>1</v>
      </c>
      <c r="R189">
        <v>0</v>
      </c>
      <c r="S189">
        <v>0</v>
      </c>
      <c r="T189">
        <v>0</v>
      </c>
      <c r="U189">
        <v>0</v>
      </c>
      <c r="V189">
        <v>0</v>
      </c>
    </row>
    <row r="190" spans="1:22" x14ac:dyDescent="0.2">
      <c r="A190" t="s">
        <v>288</v>
      </c>
      <c r="B190" t="s">
        <v>33</v>
      </c>
      <c r="C190" t="s">
        <v>41</v>
      </c>
      <c r="D190" t="s">
        <v>61</v>
      </c>
      <c r="E190" t="s">
        <v>37</v>
      </c>
      <c r="F190" t="s">
        <v>65</v>
      </c>
      <c r="G190" t="s">
        <v>46</v>
      </c>
      <c r="H190" t="s">
        <v>48</v>
      </c>
      <c r="I190">
        <v>0</v>
      </c>
      <c r="J190">
        <v>1</v>
      </c>
      <c r="K190">
        <v>1</v>
      </c>
      <c r="L190">
        <v>0</v>
      </c>
      <c r="M190">
        <v>1</v>
      </c>
      <c r="N190">
        <v>0</v>
      </c>
      <c r="O190">
        <v>1</v>
      </c>
      <c r="P190">
        <v>0</v>
      </c>
      <c r="Q190">
        <v>1</v>
      </c>
      <c r="R190">
        <v>0</v>
      </c>
      <c r="S190">
        <v>0</v>
      </c>
      <c r="T190">
        <v>0</v>
      </c>
      <c r="U190">
        <v>0</v>
      </c>
      <c r="V190">
        <v>1</v>
      </c>
    </row>
    <row r="191" spans="1:22" x14ac:dyDescent="0.2">
      <c r="A191" t="s">
        <v>288</v>
      </c>
      <c r="B191" t="s">
        <v>33</v>
      </c>
      <c r="C191" t="s">
        <v>41</v>
      </c>
      <c r="D191" t="s">
        <v>49</v>
      </c>
      <c r="E191" t="s">
        <v>37</v>
      </c>
      <c r="F191" t="s">
        <v>65</v>
      </c>
      <c r="G191" t="s">
        <v>47</v>
      </c>
      <c r="H191" t="s">
        <v>48</v>
      </c>
      <c r="I191">
        <v>0</v>
      </c>
      <c r="J191">
        <v>1</v>
      </c>
      <c r="K191">
        <v>1</v>
      </c>
      <c r="L191">
        <v>1</v>
      </c>
      <c r="M191">
        <v>0</v>
      </c>
      <c r="N191">
        <v>0</v>
      </c>
      <c r="O191">
        <v>1</v>
      </c>
      <c r="P191">
        <v>0</v>
      </c>
      <c r="Q191">
        <v>1</v>
      </c>
      <c r="R191">
        <v>0</v>
      </c>
      <c r="S191">
        <v>1</v>
      </c>
      <c r="T191">
        <v>0</v>
      </c>
      <c r="U191">
        <v>0</v>
      </c>
      <c r="V191">
        <v>0</v>
      </c>
    </row>
    <row r="192" spans="1:22" x14ac:dyDescent="0.2">
      <c r="A192" t="s">
        <v>288</v>
      </c>
      <c r="B192" t="s">
        <v>33</v>
      </c>
      <c r="C192" t="s">
        <v>41</v>
      </c>
      <c r="D192" t="s">
        <v>55</v>
      </c>
      <c r="E192" t="s">
        <v>37</v>
      </c>
      <c r="F192" t="s">
        <v>46</v>
      </c>
      <c r="G192" t="s">
        <v>48</v>
      </c>
      <c r="H192" t="s">
        <v>47</v>
      </c>
      <c r="I192">
        <v>0</v>
      </c>
      <c r="J192">
        <v>0</v>
      </c>
      <c r="K192">
        <v>1</v>
      </c>
      <c r="L192">
        <v>1</v>
      </c>
      <c r="M192">
        <v>1</v>
      </c>
      <c r="N192">
        <v>0</v>
      </c>
      <c r="O192">
        <v>1</v>
      </c>
      <c r="P192">
        <v>0</v>
      </c>
      <c r="Q192">
        <v>0</v>
      </c>
      <c r="R192">
        <v>0</v>
      </c>
      <c r="S192">
        <v>1</v>
      </c>
      <c r="T192">
        <v>0</v>
      </c>
      <c r="U192">
        <v>0</v>
      </c>
      <c r="V192">
        <v>0</v>
      </c>
    </row>
    <row r="193" spans="1:22" x14ac:dyDescent="0.2">
      <c r="A193" t="s">
        <v>292</v>
      </c>
      <c r="B193" t="s">
        <v>108</v>
      </c>
      <c r="C193" t="s">
        <v>41</v>
      </c>
      <c r="D193" t="s">
        <v>61</v>
      </c>
      <c r="E193" t="s">
        <v>37</v>
      </c>
      <c r="F193" t="s">
        <v>60</v>
      </c>
      <c r="G193" t="s">
        <v>48</v>
      </c>
      <c r="H193" t="s">
        <v>47</v>
      </c>
      <c r="I193">
        <v>1</v>
      </c>
      <c r="J193">
        <v>0</v>
      </c>
      <c r="K193">
        <v>1</v>
      </c>
      <c r="L193">
        <v>1</v>
      </c>
      <c r="M193">
        <v>0</v>
      </c>
      <c r="N193">
        <v>0</v>
      </c>
      <c r="O193">
        <v>1</v>
      </c>
      <c r="P193">
        <v>0</v>
      </c>
      <c r="Q193">
        <v>0</v>
      </c>
      <c r="R193">
        <v>0</v>
      </c>
      <c r="S193">
        <v>0</v>
      </c>
      <c r="T193">
        <v>0</v>
      </c>
      <c r="U193">
        <v>0</v>
      </c>
      <c r="V193">
        <v>1</v>
      </c>
    </row>
    <row r="194" spans="1:22" x14ac:dyDescent="0.2">
      <c r="A194" t="s">
        <v>292</v>
      </c>
      <c r="B194" t="s">
        <v>108</v>
      </c>
      <c r="C194" t="s">
        <v>41</v>
      </c>
      <c r="D194" t="s">
        <v>42</v>
      </c>
      <c r="E194" t="s">
        <v>37</v>
      </c>
      <c r="F194" t="s">
        <v>48</v>
      </c>
      <c r="G194" t="s">
        <v>59</v>
      </c>
      <c r="H194" t="s">
        <v>65</v>
      </c>
      <c r="I194">
        <v>0</v>
      </c>
      <c r="J194">
        <v>1</v>
      </c>
      <c r="K194">
        <v>1</v>
      </c>
      <c r="L194">
        <v>0</v>
      </c>
      <c r="M194">
        <v>0</v>
      </c>
      <c r="N194">
        <v>0</v>
      </c>
      <c r="O194">
        <v>1</v>
      </c>
      <c r="P194">
        <v>0</v>
      </c>
      <c r="Q194">
        <v>1</v>
      </c>
      <c r="R194">
        <v>1</v>
      </c>
      <c r="S194">
        <v>0</v>
      </c>
      <c r="T194">
        <v>0</v>
      </c>
      <c r="U194">
        <v>0</v>
      </c>
      <c r="V194">
        <v>0</v>
      </c>
    </row>
    <row r="195" spans="1:22" x14ac:dyDescent="0.2">
      <c r="A195" t="s">
        <v>292</v>
      </c>
      <c r="B195" t="s">
        <v>108</v>
      </c>
      <c r="C195" t="s">
        <v>41</v>
      </c>
      <c r="D195" t="s">
        <v>72</v>
      </c>
      <c r="E195" t="s">
        <v>37</v>
      </c>
      <c r="F195" t="s">
        <v>48</v>
      </c>
      <c r="G195" t="s">
        <v>46</v>
      </c>
      <c r="H195" t="s">
        <v>65</v>
      </c>
      <c r="I195">
        <v>0</v>
      </c>
      <c r="J195">
        <v>1</v>
      </c>
      <c r="K195">
        <v>1</v>
      </c>
      <c r="L195">
        <v>0</v>
      </c>
      <c r="M195">
        <v>1</v>
      </c>
      <c r="N195">
        <v>0</v>
      </c>
      <c r="O195">
        <v>1</v>
      </c>
      <c r="P195">
        <v>0</v>
      </c>
      <c r="Q195">
        <v>1</v>
      </c>
      <c r="R195">
        <v>1</v>
      </c>
      <c r="S195">
        <v>0</v>
      </c>
      <c r="T195">
        <v>1</v>
      </c>
      <c r="U195">
        <v>0</v>
      </c>
      <c r="V195">
        <v>0</v>
      </c>
    </row>
    <row r="196" spans="1:22" x14ac:dyDescent="0.2">
      <c r="A196" t="s">
        <v>292</v>
      </c>
      <c r="B196" t="s">
        <v>108</v>
      </c>
      <c r="C196" t="s">
        <v>41</v>
      </c>
      <c r="D196" t="s">
        <v>55</v>
      </c>
      <c r="E196" t="s">
        <v>37</v>
      </c>
      <c r="F196" t="s">
        <v>48</v>
      </c>
      <c r="G196" t="s">
        <v>65</v>
      </c>
      <c r="H196" t="s">
        <v>60</v>
      </c>
      <c r="I196">
        <v>1</v>
      </c>
      <c r="J196">
        <v>1</v>
      </c>
      <c r="K196">
        <v>1</v>
      </c>
      <c r="L196">
        <v>0</v>
      </c>
      <c r="M196">
        <v>0</v>
      </c>
      <c r="N196">
        <v>0</v>
      </c>
      <c r="O196">
        <v>1</v>
      </c>
      <c r="P196">
        <v>1</v>
      </c>
      <c r="Q196">
        <v>1</v>
      </c>
      <c r="R196">
        <v>1</v>
      </c>
      <c r="S196">
        <v>0</v>
      </c>
      <c r="T196">
        <v>0</v>
      </c>
      <c r="U196">
        <v>0</v>
      </c>
      <c r="V196">
        <v>0</v>
      </c>
    </row>
    <row r="197" spans="1:22" x14ac:dyDescent="0.2">
      <c r="A197" t="s">
        <v>295</v>
      </c>
      <c r="B197" t="s">
        <v>33</v>
      </c>
      <c r="C197" t="s">
        <v>41</v>
      </c>
      <c r="D197" t="s">
        <v>72</v>
      </c>
      <c r="E197" t="s">
        <v>37</v>
      </c>
      <c r="F197" t="s">
        <v>46</v>
      </c>
      <c r="G197" t="s">
        <v>47</v>
      </c>
      <c r="H197" t="s">
        <v>48</v>
      </c>
      <c r="I197">
        <v>0</v>
      </c>
      <c r="J197">
        <v>0</v>
      </c>
      <c r="K197">
        <v>1</v>
      </c>
      <c r="L197">
        <v>1</v>
      </c>
      <c r="M197">
        <v>1</v>
      </c>
      <c r="N197">
        <v>0</v>
      </c>
      <c r="O197">
        <v>1</v>
      </c>
      <c r="P197">
        <v>0</v>
      </c>
      <c r="Q197">
        <v>0</v>
      </c>
      <c r="R197">
        <v>1</v>
      </c>
      <c r="S197">
        <v>1</v>
      </c>
      <c r="T197">
        <v>1</v>
      </c>
      <c r="U197">
        <v>0</v>
      </c>
      <c r="V197">
        <v>0</v>
      </c>
    </row>
    <row r="198" spans="1:22" x14ac:dyDescent="0.2">
      <c r="A198" t="s">
        <v>295</v>
      </c>
      <c r="B198" t="s">
        <v>33</v>
      </c>
      <c r="C198" t="s">
        <v>41</v>
      </c>
      <c r="D198" t="s">
        <v>61</v>
      </c>
      <c r="E198" t="s">
        <v>37</v>
      </c>
      <c r="F198" t="s">
        <v>46</v>
      </c>
      <c r="G198" t="s">
        <v>59</v>
      </c>
      <c r="H198" t="s">
        <v>48</v>
      </c>
      <c r="I198">
        <v>0</v>
      </c>
      <c r="J198">
        <v>0</v>
      </c>
      <c r="K198">
        <v>1</v>
      </c>
      <c r="L198">
        <v>0</v>
      </c>
      <c r="M198">
        <v>1</v>
      </c>
      <c r="N198">
        <v>0</v>
      </c>
      <c r="O198">
        <v>1</v>
      </c>
      <c r="P198">
        <v>0</v>
      </c>
      <c r="Q198">
        <v>0</v>
      </c>
      <c r="R198">
        <v>1</v>
      </c>
      <c r="S198">
        <v>0</v>
      </c>
      <c r="T198">
        <v>1</v>
      </c>
      <c r="U198">
        <v>0</v>
      </c>
      <c r="V198">
        <v>0</v>
      </c>
    </row>
    <row r="199" spans="1:22" x14ac:dyDescent="0.2">
      <c r="A199" t="s">
        <v>295</v>
      </c>
      <c r="B199" t="s">
        <v>33</v>
      </c>
      <c r="C199" t="s">
        <v>41</v>
      </c>
      <c r="D199" t="s">
        <v>49</v>
      </c>
      <c r="E199" t="s">
        <v>37</v>
      </c>
      <c r="F199" t="s">
        <v>48</v>
      </c>
      <c r="G199" t="s">
        <v>65</v>
      </c>
      <c r="H199" t="s">
        <v>46</v>
      </c>
      <c r="I199">
        <v>0</v>
      </c>
      <c r="J199">
        <v>1</v>
      </c>
      <c r="K199">
        <v>1</v>
      </c>
      <c r="L199">
        <v>0</v>
      </c>
      <c r="M199">
        <v>1</v>
      </c>
      <c r="N199">
        <v>0</v>
      </c>
      <c r="O199">
        <v>1</v>
      </c>
      <c r="P199">
        <v>0</v>
      </c>
      <c r="Q199">
        <v>0</v>
      </c>
      <c r="R199">
        <v>0</v>
      </c>
      <c r="S199">
        <v>0</v>
      </c>
      <c r="T199">
        <v>0</v>
      </c>
      <c r="U199">
        <v>0</v>
      </c>
      <c r="V199">
        <v>1</v>
      </c>
    </row>
    <row r="200" spans="1:22" x14ac:dyDescent="0.2">
      <c r="A200" t="s">
        <v>295</v>
      </c>
      <c r="B200" t="s">
        <v>33</v>
      </c>
      <c r="C200" t="s">
        <v>41</v>
      </c>
      <c r="D200" t="s">
        <v>55</v>
      </c>
      <c r="E200" t="s">
        <v>37</v>
      </c>
      <c r="F200" t="s">
        <v>48</v>
      </c>
      <c r="G200" t="s">
        <v>65</v>
      </c>
      <c r="H200" t="s">
        <v>59</v>
      </c>
      <c r="I200">
        <v>0</v>
      </c>
      <c r="J200">
        <v>1</v>
      </c>
      <c r="K200">
        <v>1</v>
      </c>
      <c r="L200">
        <v>0</v>
      </c>
      <c r="M200">
        <v>0</v>
      </c>
      <c r="N200">
        <v>0</v>
      </c>
      <c r="O200">
        <v>1</v>
      </c>
      <c r="P200">
        <v>0</v>
      </c>
      <c r="Q200">
        <v>1</v>
      </c>
      <c r="R200">
        <v>0</v>
      </c>
      <c r="S200">
        <v>0</v>
      </c>
      <c r="T200">
        <v>0</v>
      </c>
      <c r="U200">
        <v>0</v>
      </c>
      <c r="V200">
        <v>0</v>
      </c>
    </row>
    <row r="201" spans="1:22" x14ac:dyDescent="0.2">
      <c r="A201" t="s">
        <v>298</v>
      </c>
      <c r="B201" t="s">
        <v>108</v>
      </c>
      <c r="C201" t="s">
        <v>41</v>
      </c>
      <c r="D201" t="s">
        <v>42</v>
      </c>
      <c r="E201" t="s">
        <v>37</v>
      </c>
      <c r="F201" t="s">
        <v>48</v>
      </c>
      <c r="G201" t="s">
        <v>60</v>
      </c>
      <c r="H201" t="s">
        <v>47</v>
      </c>
      <c r="I201">
        <v>1</v>
      </c>
      <c r="J201">
        <v>0</v>
      </c>
      <c r="K201">
        <v>1</v>
      </c>
      <c r="L201">
        <v>1</v>
      </c>
      <c r="M201">
        <v>0</v>
      </c>
      <c r="N201">
        <v>0</v>
      </c>
      <c r="O201">
        <v>1</v>
      </c>
      <c r="P201">
        <v>1</v>
      </c>
      <c r="Q201">
        <v>0</v>
      </c>
      <c r="R201">
        <v>0</v>
      </c>
      <c r="S201">
        <v>1</v>
      </c>
      <c r="T201">
        <v>0</v>
      </c>
      <c r="U201">
        <v>0</v>
      </c>
      <c r="V201">
        <v>0</v>
      </c>
    </row>
    <row r="202" spans="1:22" x14ac:dyDescent="0.2">
      <c r="A202" t="s">
        <v>298</v>
      </c>
      <c r="B202" t="s">
        <v>108</v>
      </c>
      <c r="C202" t="s">
        <v>41</v>
      </c>
      <c r="D202" t="s">
        <v>72</v>
      </c>
      <c r="E202" t="s">
        <v>37</v>
      </c>
      <c r="F202" t="s">
        <v>60</v>
      </c>
      <c r="G202" t="s">
        <v>59</v>
      </c>
      <c r="H202" t="s">
        <v>48</v>
      </c>
      <c r="I202">
        <v>1</v>
      </c>
      <c r="J202">
        <v>0</v>
      </c>
      <c r="K202">
        <v>1</v>
      </c>
      <c r="L202">
        <v>0</v>
      </c>
      <c r="M202">
        <v>0</v>
      </c>
      <c r="N202">
        <v>0</v>
      </c>
      <c r="O202">
        <v>1</v>
      </c>
      <c r="P202">
        <v>1</v>
      </c>
      <c r="Q202">
        <v>0</v>
      </c>
      <c r="R202">
        <v>0</v>
      </c>
      <c r="S202">
        <v>0</v>
      </c>
      <c r="T202">
        <v>0</v>
      </c>
      <c r="U202">
        <v>0</v>
      </c>
      <c r="V202">
        <v>0</v>
      </c>
    </row>
    <row r="203" spans="1:22" x14ac:dyDescent="0.2">
      <c r="A203" t="s">
        <v>302</v>
      </c>
      <c r="B203" t="s">
        <v>33</v>
      </c>
      <c r="C203" t="s">
        <v>41</v>
      </c>
      <c r="D203" t="s">
        <v>55</v>
      </c>
      <c r="E203" t="s">
        <v>37</v>
      </c>
      <c r="F203" t="s">
        <v>59</v>
      </c>
      <c r="G203" t="s">
        <v>65</v>
      </c>
      <c r="H203" t="s">
        <v>48</v>
      </c>
      <c r="I203">
        <v>0</v>
      </c>
      <c r="J203">
        <v>1</v>
      </c>
      <c r="K203">
        <v>1</v>
      </c>
      <c r="L203">
        <v>0</v>
      </c>
      <c r="M203">
        <v>0</v>
      </c>
      <c r="N203">
        <v>0</v>
      </c>
      <c r="O203">
        <v>1</v>
      </c>
      <c r="P203">
        <v>0</v>
      </c>
      <c r="Q203">
        <v>1</v>
      </c>
      <c r="R203">
        <v>0</v>
      </c>
      <c r="S203">
        <v>0</v>
      </c>
      <c r="T203">
        <v>0</v>
      </c>
      <c r="U203">
        <v>0</v>
      </c>
      <c r="V203">
        <v>0</v>
      </c>
    </row>
    <row r="204" spans="1:22" x14ac:dyDescent="0.2">
      <c r="A204" t="s">
        <v>302</v>
      </c>
      <c r="B204" t="s">
        <v>33</v>
      </c>
      <c r="C204" t="s">
        <v>41</v>
      </c>
      <c r="D204" t="s">
        <v>72</v>
      </c>
      <c r="E204" t="s">
        <v>37</v>
      </c>
      <c r="F204" t="s">
        <v>48</v>
      </c>
      <c r="G204" t="s">
        <v>65</v>
      </c>
      <c r="H204" t="s">
        <v>46</v>
      </c>
      <c r="I204">
        <v>0</v>
      </c>
      <c r="J204">
        <v>1</v>
      </c>
      <c r="K204">
        <v>1</v>
      </c>
      <c r="L204">
        <v>0</v>
      </c>
      <c r="M204">
        <v>1</v>
      </c>
      <c r="N204">
        <v>0</v>
      </c>
      <c r="O204">
        <v>1</v>
      </c>
      <c r="P204">
        <v>0</v>
      </c>
      <c r="Q204">
        <v>0</v>
      </c>
      <c r="R204">
        <v>0</v>
      </c>
      <c r="S204">
        <v>0</v>
      </c>
      <c r="T204">
        <v>0</v>
      </c>
      <c r="U204">
        <v>0</v>
      </c>
      <c r="V204">
        <v>1</v>
      </c>
    </row>
    <row r="205" spans="1:22" x14ac:dyDescent="0.2">
      <c r="A205" t="s">
        <v>302</v>
      </c>
      <c r="B205" t="s">
        <v>33</v>
      </c>
      <c r="C205" t="s">
        <v>41</v>
      </c>
      <c r="D205" t="s">
        <v>49</v>
      </c>
      <c r="E205" t="s">
        <v>37</v>
      </c>
      <c r="F205" t="s">
        <v>47</v>
      </c>
      <c r="G205" t="s">
        <v>59</v>
      </c>
      <c r="H205" t="s">
        <v>48</v>
      </c>
      <c r="I205">
        <v>0</v>
      </c>
      <c r="J205">
        <v>0</v>
      </c>
      <c r="K205">
        <v>1</v>
      </c>
      <c r="L205">
        <v>1</v>
      </c>
      <c r="M205">
        <v>0</v>
      </c>
      <c r="N205">
        <v>0</v>
      </c>
      <c r="O205">
        <v>1</v>
      </c>
      <c r="P205">
        <v>0</v>
      </c>
      <c r="Q205">
        <v>0</v>
      </c>
      <c r="R205">
        <v>1</v>
      </c>
      <c r="S205">
        <v>1</v>
      </c>
      <c r="T205">
        <v>0</v>
      </c>
      <c r="U205">
        <v>0</v>
      </c>
      <c r="V205">
        <v>0</v>
      </c>
    </row>
    <row r="206" spans="1:22" x14ac:dyDescent="0.2">
      <c r="A206" t="s">
        <v>302</v>
      </c>
      <c r="B206" t="s">
        <v>33</v>
      </c>
      <c r="C206" t="s">
        <v>41</v>
      </c>
      <c r="D206" t="s">
        <v>67</v>
      </c>
      <c r="E206" t="s">
        <v>37</v>
      </c>
      <c r="F206" t="s">
        <v>48</v>
      </c>
      <c r="G206" t="s">
        <v>47</v>
      </c>
      <c r="H206" t="s">
        <v>46</v>
      </c>
      <c r="I206">
        <v>0</v>
      </c>
      <c r="J206">
        <v>0</v>
      </c>
      <c r="K206">
        <v>1</v>
      </c>
      <c r="L206">
        <v>1</v>
      </c>
      <c r="M206">
        <v>1</v>
      </c>
      <c r="N206">
        <v>0</v>
      </c>
      <c r="O206">
        <v>1</v>
      </c>
      <c r="P206">
        <v>0</v>
      </c>
      <c r="Q206">
        <v>0</v>
      </c>
      <c r="R206">
        <v>1</v>
      </c>
      <c r="S206">
        <v>1</v>
      </c>
      <c r="T206">
        <v>1</v>
      </c>
      <c r="U206">
        <v>0</v>
      </c>
      <c r="V206">
        <v>0</v>
      </c>
    </row>
    <row r="207" spans="1:22" x14ac:dyDescent="0.2">
      <c r="A207" t="s">
        <v>305</v>
      </c>
      <c r="B207" t="s">
        <v>108</v>
      </c>
      <c r="C207" t="s">
        <v>41</v>
      </c>
      <c r="D207" t="s">
        <v>55</v>
      </c>
      <c r="E207" t="s">
        <v>37</v>
      </c>
      <c r="F207" t="s">
        <v>60</v>
      </c>
      <c r="G207" t="s">
        <v>65</v>
      </c>
      <c r="H207" t="s">
        <v>48</v>
      </c>
      <c r="I207">
        <v>1</v>
      </c>
      <c r="J207">
        <v>1</v>
      </c>
      <c r="K207">
        <v>1</v>
      </c>
      <c r="L207">
        <v>0</v>
      </c>
      <c r="M207">
        <v>0</v>
      </c>
      <c r="N207">
        <v>0</v>
      </c>
      <c r="O207">
        <v>1</v>
      </c>
      <c r="P207">
        <v>0</v>
      </c>
      <c r="Q207">
        <v>1</v>
      </c>
      <c r="R207">
        <v>0</v>
      </c>
      <c r="S207">
        <v>0</v>
      </c>
      <c r="T207">
        <v>0</v>
      </c>
      <c r="U207">
        <v>0</v>
      </c>
      <c r="V207">
        <v>0</v>
      </c>
    </row>
    <row r="208" spans="1:22" x14ac:dyDescent="0.2">
      <c r="A208" t="s">
        <v>305</v>
      </c>
      <c r="B208" t="s">
        <v>108</v>
      </c>
      <c r="C208" t="s">
        <v>41</v>
      </c>
      <c r="D208" t="s">
        <v>67</v>
      </c>
      <c r="E208" t="s">
        <v>37</v>
      </c>
      <c r="F208" t="s">
        <v>47</v>
      </c>
      <c r="G208" t="s">
        <v>48</v>
      </c>
      <c r="H208" t="s">
        <v>59</v>
      </c>
      <c r="I208">
        <v>0</v>
      </c>
      <c r="J208">
        <v>0</v>
      </c>
      <c r="K208">
        <v>1</v>
      </c>
      <c r="L208">
        <v>1</v>
      </c>
      <c r="M208">
        <v>0</v>
      </c>
      <c r="N208">
        <v>0</v>
      </c>
      <c r="O208">
        <v>1</v>
      </c>
      <c r="P208">
        <v>0</v>
      </c>
      <c r="Q208">
        <v>0</v>
      </c>
      <c r="R208">
        <v>0</v>
      </c>
      <c r="S208">
        <v>1</v>
      </c>
      <c r="T208">
        <v>0</v>
      </c>
      <c r="U208">
        <v>0</v>
      </c>
      <c r="V208">
        <v>0</v>
      </c>
    </row>
    <row r="209" spans="1:22" x14ac:dyDescent="0.2">
      <c r="A209" t="s">
        <v>305</v>
      </c>
      <c r="B209" t="s">
        <v>108</v>
      </c>
      <c r="C209" t="s">
        <v>41</v>
      </c>
      <c r="D209" t="s">
        <v>72</v>
      </c>
      <c r="E209" t="s">
        <v>37</v>
      </c>
      <c r="F209" t="s">
        <v>47</v>
      </c>
      <c r="G209" t="s">
        <v>48</v>
      </c>
      <c r="H209" t="s">
        <v>65</v>
      </c>
      <c r="I209">
        <v>0</v>
      </c>
      <c r="J209">
        <v>1</v>
      </c>
      <c r="K209">
        <v>1</v>
      </c>
      <c r="L209">
        <v>1</v>
      </c>
      <c r="M209">
        <v>0</v>
      </c>
      <c r="N209">
        <v>0</v>
      </c>
      <c r="O209">
        <v>1</v>
      </c>
      <c r="P209">
        <v>0</v>
      </c>
      <c r="Q209">
        <v>1</v>
      </c>
      <c r="R209">
        <v>0</v>
      </c>
      <c r="S209">
        <v>0</v>
      </c>
      <c r="T209">
        <v>0</v>
      </c>
      <c r="U209">
        <v>0</v>
      </c>
      <c r="V209">
        <v>0</v>
      </c>
    </row>
    <row r="210" spans="1:22" x14ac:dyDescent="0.2">
      <c r="A210" t="s">
        <v>305</v>
      </c>
      <c r="B210" t="s">
        <v>108</v>
      </c>
      <c r="C210" t="s">
        <v>41</v>
      </c>
      <c r="D210" t="s">
        <v>42</v>
      </c>
      <c r="E210" t="s">
        <v>37</v>
      </c>
      <c r="F210" t="s">
        <v>65</v>
      </c>
      <c r="G210" t="s">
        <v>47</v>
      </c>
      <c r="H210" t="s">
        <v>48</v>
      </c>
      <c r="I210">
        <v>0</v>
      </c>
      <c r="J210">
        <v>1</v>
      </c>
      <c r="K210">
        <v>1</v>
      </c>
      <c r="L210">
        <v>1</v>
      </c>
      <c r="M210">
        <v>0</v>
      </c>
      <c r="N210">
        <v>0</v>
      </c>
      <c r="O210">
        <v>1</v>
      </c>
      <c r="P210">
        <v>0</v>
      </c>
      <c r="Q210">
        <v>1</v>
      </c>
      <c r="R210">
        <v>0</v>
      </c>
      <c r="S210">
        <v>0</v>
      </c>
      <c r="T210">
        <v>0</v>
      </c>
      <c r="U210">
        <v>0</v>
      </c>
      <c r="V210">
        <v>0</v>
      </c>
    </row>
    <row r="211" spans="1:22" x14ac:dyDescent="0.2">
      <c r="A211" t="s">
        <v>309</v>
      </c>
      <c r="B211" t="s">
        <v>33</v>
      </c>
      <c r="C211" t="s">
        <v>41</v>
      </c>
      <c r="D211" t="s">
        <v>49</v>
      </c>
      <c r="E211" t="s">
        <v>37</v>
      </c>
      <c r="F211" t="s">
        <v>59</v>
      </c>
      <c r="G211" t="s">
        <v>46</v>
      </c>
      <c r="H211" t="s">
        <v>48</v>
      </c>
      <c r="I211">
        <v>0</v>
      </c>
      <c r="J211">
        <v>0</v>
      </c>
      <c r="K211">
        <v>1</v>
      </c>
      <c r="L211">
        <v>0</v>
      </c>
      <c r="M211">
        <v>1</v>
      </c>
      <c r="N211">
        <v>0</v>
      </c>
      <c r="O211">
        <v>1</v>
      </c>
      <c r="P211">
        <v>0</v>
      </c>
      <c r="Q211">
        <v>0</v>
      </c>
      <c r="R211">
        <v>0</v>
      </c>
      <c r="S211">
        <v>0</v>
      </c>
      <c r="T211">
        <v>0</v>
      </c>
      <c r="U211">
        <v>0</v>
      </c>
      <c r="V211">
        <v>1</v>
      </c>
    </row>
    <row r="212" spans="1:22" x14ac:dyDescent="0.2">
      <c r="A212" t="s">
        <v>309</v>
      </c>
      <c r="B212" t="s">
        <v>33</v>
      </c>
      <c r="C212" t="s">
        <v>41</v>
      </c>
      <c r="D212" t="s">
        <v>42</v>
      </c>
      <c r="E212" t="s">
        <v>37</v>
      </c>
      <c r="F212" t="s">
        <v>48</v>
      </c>
      <c r="G212" t="s">
        <v>46</v>
      </c>
      <c r="H212" t="s">
        <v>60</v>
      </c>
      <c r="I212">
        <v>1</v>
      </c>
      <c r="J212">
        <v>0</v>
      </c>
      <c r="K212">
        <v>1</v>
      </c>
      <c r="L212">
        <v>0</v>
      </c>
      <c r="M212">
        <v>1</v>
      </c>
      <c r="N212">
        <v>0</v>
      </c>
      <c r="O212">
        <v>1</v>
      </c>
      <c r="P212">
        <v>0</v>
      </c>
      <c r="Q212">
        <v>0</v>
      </c>
      <c r="R212">
        <v>0</v>
      </c>
      <c r="S212">
        <v>0</v>
      </c>
      <c r="T212">
        <v>0</v>
      </c>
      <c r="U212">
        <v>0</v>
      </c>
      <c r="V212">
        <v>1</v>
      </c>
    </row>
    <row r="213" spans="1:22" x14ac:dyDescent="0.2">
      <c r="A213" t="s">
        <v>309</v>
      </c>
      <c r="B213" t="s">
        <v>33</v>
      </c>
      <c r="C213" t="s">
        <v>41</v>
      </c>
      <c r="D213" t="s">
        <v>61</v>
      </c>
      <c r="E213" t="s">
        <v>37</v>
      </c>
      <c r="F213" t="s">
        <v>48</v>
      </c>
      <c r="G213" t="s">
        <v>60</v>
      </c>
      <c r="H213" t="s">
        <v>46</v>
      </c>
      <c r="I213">
        <v>1</v>
      </c>
      <c r="J213">
        <v>0</v>
      </c>
      <c r="K213">
        <v>1</v>
      </c>
      <c r="L213">
        <v>0</v>
      </c>
      <c r="M213">
        <v>1</v>
      </c>
      <c r="N213">
        <v>0</v>
      </c>
      <c r="O213">
        <v>1</v>
      </c>
      <c r="P213">
        <v>0</v>
      </c>
      <c r="Q213">
        <v>0</v>
      </c>
      <c r="R213">
        <v>0</v>
      </c>
      <c r="S213">
        <v>0</v>
      </c>
      <c r="T213">
        <v>0</v>
      </c>
      <c r="U213">
        <v>0</v>
      </c>
      <c r="V213">
        <v>1</v>
      </c>
    </row>
    <row r="214" spans="1:22" x14ac:dyDescent="0.2">
      <c r="A214" t="s">
        <v>313</v>
      </c>
      <c r="B214" t="s">
        <v>108</v>
      </c>
      <c r="C214" t="s">
        <v>41</v>
      </c>
      <c r="D214" t="s">
        <v>72</v>
      </c>
      <c r="E214" t="s">
        <v>37</v>
      </c>
      <c r="F214" t="s">
        <v>48</v>
      </c>
      <c r="G214" t="s">
        <v>46</v>
      </c>
      <c r="H214" t="s">
        <v>47</v>
      </c>
      <c r="I214">
        <v>0</v>
      </c>
      <c r="J214">
        <v>0</v>
      </c>
      <c r="K214">
        <v>1</v>
      </c>
      <c r="L214">
        <v>1</v>
      </c>
      <c r="M214">
        <v>1</v>
      </c>
      <c r="N214">
        <v>0</v>
      </c>
      <c r="O214">
        <v>1</v>
      </c>
      <c r="P214">
        <v>0</v>
      </c>
      <c r="Q214">
        <v>0</v>
      </c>
      <c r="R214">
        <v>0</v>
      </c>
      <c r="S214">
        <v>0</v>
      </c>
      <c r="T214">
        <v>1</v>
      </c>
      <c r="U214">
        <v>0</v>
      </c>
      <c r="V214">
        <v>0</v>
      </c>
    </row>
    <row r="215" spans="1:22" x14ac:dyDescent="0.2">
      <c r="A215" t="s">
        <v>313</v>
      </c>
      <c r="B215" t="s">
        <v>108</v>
      </c>
      <c r="C215" t="s">
        <v>41</v>
      </c>
      <c r="D215" t="s">
        <v>49</v>
      </c>
      <c r="E215" t="s">
        <v>37</v>
      </c>
      <c r="F215" t="s">
        <v>65</v>
      </c>
      <c r="G215" t="s">
        <v>48</v>
      </c>
      <c r="H215" t="s">
        <v>60</v>
      </c>
      <c r="I215">
        <v>1</v>
      </c>
      <c r="J215">
        <v>1</v>
      </c>
      <c r="K215">
        <v>1</v>
      </c>
      <c r="L215">
        <v>0</v>
      </c>
      <c r="M215">
        <v>0</v>
      </c>
      <c r="N215">
        <v>0</v>
      </c>
      <c r="O215">
        <v>1</v>
      </c>
      <c r="P215">
        <v>0</v>
      </c>
      <c r="Q215">
        <v>1</v>
      </c>
      <c r="R215">
        <v>0</v>
      </c>
      <c r="S215">
        <v>0</v>
      </c>
      <c r="T215">
        <v>0</v>
      </c>
      <c r="U215">
        <v>0</v>
      </c>
      <c r="V215">
        <v>0</v>
      </c>
    </row>
    <row r="216" spans="1:22" x14ac:dyDescent="0.2">
      <c r="A216" t="s">
        <v>313</v>
      </c>
      <c r="B216" t="s">
        <v>108</v>
      </c>
      <c r="C216" t="s">
        <v>41</v>
      </c>
      <c r="D216" t="s">
        <v>61</v>
      </c>
      <c r="E216" t="s">
        <v>37</v>
      </c>
      <c r="F216" t="s">
        <v>48</v>
      </c>
      <c r="G216" t="s">
        <v>46</v>
      </c>
      <c r="H216" t="s">
        <v>59</v>
      </c>
      <c r="I216">
        <v>0</v>
      </c>
      <c r="J216">
        <v>0</v>
      </c>
      <c r="K216">
        <v>1</v>
      </c>
      <c r="L216">
        <v>0</v>
      </c>
      <c r="M216">
        <v>1</v>
      </c>
      <c r="N216">
        <v>0</v>
      </c>
      <c r="O216">
        <v>1</v>
      </c>
      <c r="P216">
        <v>0</v>
      </c>
      <c r="Q216">
        <v>0</v>
      </c>
      <c r="R216">
        <v>0</v>
      </c>
      <c r="S216">
        <v>0</v>
      </c>
      <c r="T216">
        <v>0</v>
      </c>
      <c r="U216">
        <v>0</v>
      </c>
      <c r="V216">
        <v>1</v>
      </c>
    </row>
    <row r="217" spans="1:22" x14ac:dyDescent="0.2">
      <c r="A217" t="s">
        <v>313</v>
      </c>
      <c r="B217" t="s">
        <v>108</v>
      </c>
      <c r="C217" t="s">
        <v>41</v>
      </c>
      <c r="D217" t="s">
        <v>67</v>
      </c>
      <c r="E217" t="s">
        <v>37</v>
      </c>
      <c r="F217" t="s">
        <v>48</v>
      </c>
      <c r="G217" t="s">
        <v>46</v>
      </c>
      <c r="H217" t="s">
        <v>47</v>
      </c>
      <c r="I217">
        <v>0</v>
      </c>
      <c r="J217">
        <v>0</v>
      </c>
      <c r="K217">
        <v>1</v>
      </c>
      <c r="L217">
        <v>1</v>
      </c>
      <c r="M217">
        <v>1</v>
      </c>
      <c r="N217">
        <v>0</v>
      </c>
      <c r="O217">
        <v>1</v>
      </c>
      <c r="P217">
        <v>0</v>
      </c>
      <c r="Q217">
        <v>0</v>
      </c>
      <c r="R217">
        <v>0</v>
      </c>
      <c r="S217">
        <v>1</v>
      </c>
      <c r="T217">
        <v>0</v>
      </c>
      <c r="U217">
        <v>0</v>
      </c>
      <c r="V217">
        <v>0</v>
      </c>
    </row>
    <row r="218" spans="1:22" x14ac:dyDescent="0.2">
      <c r="A218" t="s">
        <v>317</v>
      </c>
      <c r="B218" t="s">
        <v>108</v>
      </c>
      <c r="C218" t="s">
        <v>41</v>
      </c>
      <c r="D218" t="s">
        <v>55</v>
      </c>
      <c r="E218" t="s">
        <v>37</v>
      </c>
      <c r="F218" t="s">
        <v>48</v>
      </c>
      <c r="G218" t="s">
        <v>59</v>
      </c>
      <c r="H218" t="s">
        <v>47</v>
      </c>
      <c r="I218">
        <v>0</v>
      </c>
      <c r="J218">
        <v>0</v>
      </c>
      <c r="K218">
        <v>1</v>
      </c>
      <c r="L218">
        <v>1</v>
      </c>
      <c r="M218">
        <v>0</v>
      </c>
      <c r="N218">
        <v>0</v>
      </c>
      <c r="O218">
        <v>1</v>
      </c>
      <c r="P218">
        <v>0</v>
      </c>
      <c r="Q218">
        <v>0</v>
      </c>
      <c r="R218">
        <v>0</v>
      </c>
      <c r="S218">
        <v>0</v>
      </c>
      <c r="T218">
        <v>0</v>
      </c>
      <c r="U218">
        <v>0</v>
      </c>
      <c r="V218">
        <v>1</v>
      </c>
    </row>
    <row r="219" spans="1:22" x14ac:dyDescent="0.2">
      <c r="A219" t="s">
        <v>317</v>
      </c>
      <c r="B219" t="s">
        <v>108</v>
      </c>
      <c r="C219" t="s">
        <v>41</v>
      </c>
      <c r="D219" t="s">
        <v>42</v>
      </c>
      <c r="E219" t="s">
        <v>37</v>
      </c>
      <c r="F219" t="s">
        <v>65</v>
      </c>
      <c r="G219" t="s">
        <v>48</v>
      </c>
      <c r="H219" t="s">
        <v>47</v>
      </c>
      <c r="I219">
        <v>0</v>
      </c>
      <c r="J219">
        <v>1</v>
      </c>
      <c r="K219">
        <v>1</v>
      </c>
      <c r="L219">
        <v>1</v>
      </c>
      <c r="M219">
        <v>0</v>
      </c>
      <c r="N219">
        <v>0</v>
      </c>
      <c r="O219">
        <v>1</v>
      </c>
      <c r="P219">
        <v>0</v>
      </c>
      <c r="Q219">
        <v>1</v>
      </c>
      <c r="R219">
        <v>1</v>
      </c>
      <c r="S219">
        <v>1</v>
      </c>
      <c r="T219">
        <v>0</v>
      </c>
      <c r="U219">
        <v>0</v>
      </c>
      <c r="V219">
        <v>0</v>
      </c>
    </row>
    <row r="220" spans="1:22" x14ac:dyDescent="0.2">
      <c r="A220" t="s">
        <v>317</v>
      </c>
      <c r="B220" t="s">
        <v>108</v>
      </c>
      <c r="C220" t="s">
        <v>41</v>
      </c>
      <c r="D220" t="s">
        <v>61</v>
      </c>
      <c r="E220" t="s">
        <v>37</v>
      </c>
      <c r="F220" t="s">
        <v>48</v>
      </c>
      <c r="G220" t="s">
        <v>60</v>
      </c>
      <c r="H220" t="s">
        <v>46</v>
      </c>
      <c r="I220">
        <v>1</v>
      </c>
      <c r="J220">
        <v>0</v>
      </c>
      <c r="K220">
        <v>1</v>
      </c>
      <c r="L220">
        <v>0</v>
      </c>
      <c r="M220">
        <v>1</v>
      </c>
      <c r="N220">
        <v>0</v>
      </c>
      <c r="O220">
        <v>1</v>
      </c>
      <c r="P220">
        <v>1</v>
      </c>
      <c r="Q220">
        <v>0</v>
      </c>
      <c r="R220">
        <v>0</v>
      </c>
      <c r="S220">
        <v>0</v>
      </c>
      <c r="T220">
        <v>0</v>
      </c>
      <c r="U220">
        <v>0</v>
      </c>
      <c r="V220">
        <v>0</v>
      </c>
    </row>
    <row r="221" spans="1:22" x14ac:dyDescent="0.2">
      <c r="A221" t="s">
        <v>317</v>
      </c>
      <c r="B221" t="s">
        <v>108</v>
      </c>
      <c r="C221" t="s">
        <v>41</v>
      </c>
      <c r="D221" t="s">
        <v>67</v>
      </c>
      <c r="E221" t="s">
        <v>37</v>
      </c>
      <c r="F221" t="s">
        <v>47</v>
      </c>
      <c r="G221" t="s">
        <v>46</v>
      </c>
      <c r="H221" t="s">
        <v>48</v>
      </c>
      <c r="I221">
        <v>0</v>
      </c>
      <c r="J221">
        <v>0</v>
      </c>
      <c r="K221">
        <v>1</v>
      </c>
      <c r="L221">
        <v>1</v>
      </c>
      <c r="M221">
        <v>1</v>
      </c>
      <c r="N221">
        <v>0</v>
      </c>
      <c r="O221">
        <v>1</v>
      </c>
      <c r="P221">
        <v>0</v>
      </c>
      <c r="Q221">
        <v>0</v>
      </c>
      <c r="R221">
        <v>0</v>
      </c>
      <c r="S221">
        <v>0</v>
      </c>
      <c r="T221">
        <v>0</v>
      </c>
      <c r="U221">
        <v>0</v>
      </c>
      <c r="V221">
        <v>1</v>
      </c>
    </row>
    <row r="222" spans="1:22" x14ac:dyDescent="0.2">
      <c r="A222" t="s">
        <v>317</v>
      </c>
      <c r="B222" t="s">
        <v>108</v>
      </c>
      <c r="C222" t="s">
        <v>41</v>
      </c>
      <c r="D222" t="s">
        <v>49</v>
      </c>
      <c r="E222" t="s">
        <v>37</v>
      </c>
      <c r="F222" t="s">
        <v>47</v>
      </c>
      <c r="G222" t="s">
        <v>48</v>
      </c>
      <c r="H222" t="s">
        <v>65</v>
      </c>
      <c r="I222">
        <v>0</v>
      </c>
      <c r="J222">
        <v>1</v>
      </c>
      <c r="K222">
        <v>1</v>
      </c>
      <c r="L222">
        <v>1</v>
      </c>
      <c r="M222">
        <v>0</v>
      </c>
      <c r="N222">
        <v>0</v>
      </c>
      <c r="O222">
        <v>1</v>
      </c>
      <c r="P222">
        <v>0</v>
      </c>
      <c r="Q222">
        <v>0</v>
      </c>
      <c r="R222">
        <v>0</v>
      </c>
      <c r="S222">
        <v>0</v>
      </c>
      <c r="T222">
        <v>0</v>
      </c>
      <c r="U222">
        <v>0</v>
      </c>
      <c r="V222">
        <v>1</v>
      </c>
    </row>
    <row r="223" spans="1:22" x14ac:dyDescent="0.2">
      <c r="A223" t="s">
        <v>320</v>
      </c>
      <c r="B223" t="s">
        <v>108</v>
      </c>
      <c r="C223" t="s">
        <v>41</v>
      </c>
      <c r="D223" t="s">
        <v>49</v>
      </c>
      <c r="E223" t="s">
        <v>37</v>
      </c>
      <c r="F223" t="s">
        <v>59</v>
      </c>
      <c r="G223" t="s">
        <v>48</v>
      </c>
      <c r="H223" t="s">
        <v>46</v>
      </c>
      <c r="I223">
        <v>0</v>
      </c>
      <c r="J223">
        <v>0</v>
      </c>
      <c r="K223">
        <v>1</v>
      </c>
      <c r="L223">
        <v>0</v>
      </c>
      <c r="M223">
        <v>1</v>
      </c>
      <c r="N223">
        <v>0</v>
      </c>
      <c r="O223">
        <v>1</v>
      </c>
      <c r="P223">
        <v>0</v>
      </c>
      <c r="Q223">
        <v>0</v>
      </c>
      <c r="R223">
        <v>0</v>
      </c>
      <c r="S223">
        <v>0</v>
      </c>
      <c r="T223">
        <v>0</v>
      </c>
      <c r="U223">
        <v>0</v>
      </c>
      <c r="V223">
        <v>1</v>
      </c>
    </row>
    <row r="224" spans="1:22" x14ac:dyDescent="0.2">
      <c r="A224" t="s">
        <v>320</v>
      </c>
      <c r="B224" t="s">
        <v>108</v>
      </c>
      <c r="C224" t="s">
        <v>41</v>
      </c>
      <c r="D224" t="s">
        <v>61</v>
      </c>
      <c r="E224" t="s">
        <v>37</v>
      </c>
      <c r="F224" t="s">
        <v>60</v>
      </c>
      <c r="G224" t="s">
        <v>48</v>
      </c>
      <c r="H224" t="s">
        <v>65</v>
      </c>
      <c r="I224">
        <v>1</v>
      </c>
      <c r="J224">
        <v>1</v>
      </c>
      <c r="K224">
        <v>1</v>
      </c>
      <c r="L224">
        <v>0</v>
      </c>
      <c r="M224">
        <v>0</v>
      </c>
      <c r="N224">
        <v>0</v>
      </c>
      <c r="O224">
        <v>1</v>
      </c>
      <c r="P224">
        <v>0</v>
      </c>
      <c r="Q224">
        <v>1</v>
      </c>
      <c r="R224">
        <v>0</v>
      </c>
      <c r="S224">
        <v>0</v>
      </c>
      <c r="T224">
        <v>0</v>
      </c>
      <c r="U224">
        <v>0</v>
      </c>
      <c r="V224">
        <v>0</v>
      </c>
    </row>
    <row r="225" spans="1:22" x14ac:dyDescent="0.2">
      <c r="A225" t="s">
        <v>323</v>
      </c>
      <c r="B225" t="s">
        <v>108</v>
      </c>
      <c r="C225" t="s">
        <v>41</v>
      </c>
      <c r="D225" t="s">
        <v>72</v>
      </c>
      <c r="E225" t="s">
        <v>37</v>
      </c>
      <c r="F225" t="s">
        <v>59</v>
      </c>
      <c r="G225" t="s">
        <v>48</v>
      </c>
      <c r="H225" t="s">
        <v>46</v>
      </c>
      <c r="I225">
        <v>0</v>
      </c>
      <c r="J225">
        <v>0</v>
      </c>
      <c r="K225">
        <v>1</v>
      </c>
      <c r="L225">
        <v>0</v>
      </c>
      <c r="M225">
        <v>1</v>
      </c>
      <c r="N225">
        <v>0</v>
      </c>
      <c r="O225">
        <v>1</v>
      </c>
      <c r="P225">
        <v>0</v>
      </c>
      <c r="Q225">
        <v>0</v>
      </c>
      <c r="R225">
        <v>1</v>
      </c>
      <c r="S225">
        <v>0</v>
      </c>
      <c r="T225">
        <v>0</v>
      </c>
      <c r="U225">
        <v>0</v>
      </c>
      <c r="V225">
        <v>0</v>
      </c>
    </row>
    <row r="226" spans="1:22" x14ac:dyDescent="0.2">
      <c r="A226" t="s">
        <v>323</v>
      </c>
      <c r="B226" t="s">
        <v>108</v>
      </c>
      <c r="C226" t="s">
        <v>41</v>
      </c>
      <c r="D226" t="s">
        <v>42</v>
      </c>
      <c r="E226" t="s">
        <v>37</v>
      </c>
      <c r="F226" t="s">
        <v>59</v>
      </c>
      <c r="G226" t="s">
        <v>48</v>
      </c>
      <c r="H226" t="s">
        <v>46</v>
      </c>
      <c r="I226">
        <v>0</v>
      </c>
      <c r="J226">
        <v>0</v>
      </c>
      <c r="K226">
        <v>1</v>
      </c>
      <c r="L226">
        <v>0</v>
      </c>
      <c r="M226">
        <v>1</v>
      </c>
      <c r="N226">
        <v>0</v>
      </c>
      <c r="O226">
        <v>1</v>
      </c>
      <c r="P226">
        <v>0</v>
      </c>
      <c r="Q226">
        <v>0</v>
      </c>
      <c r="R226">
        <v>0</v>
      </c>
      <c r="S226">
        <v>0</v>
      </c>
      <c r="T226">
        <v>1</v>
      </c>
      <c r="U226">
        <v>0</v>
      </c>
      <c r="V226">
        <v>0</v>
      </c>
    </row>
    <row r="227" spans="1:22" x14ac:dyDescent="0.2">
      <c r="A227" t="s">
        <v>323</v>
      </c>
      <c r="B227" t="s">
        <v>108</v>
      </c>
      <c r="C227" t="s">
        <v>41</v>
      </c>
      <c r="D227" t="s">
        <v>55</v>
      </c>
      <c r="E227" t="s">
        <v>37</v>
      </c>
      <c r="F227" t="s">
        <v>47</v>
      </c>
      <c r="G227" t="s">
        <v>48</v>
      </c>
      <c r="H227" t="s">
        <v>65</v>
      </c>
      <c r="I227">
        <v>0</v>
      </c>
      <c r="J227">
        <v>1</v>
      </c>
      <c r="K227">
        <v>1</v>
      </c>
      <c r="L227">
        <v>1</v>
      </c>
      <c r="M227">
        <v>0</v>
      </c>
      <c r="N227">
        <v>0</v>
      </c>
      <c r="O227">
        <v>1</v>
      </c>
      <c r="P227">
        <v>0</v>
      </c>
      <c r="Q227">
        <v>0</v>
      </c>
      <c r="R227">
        <v>0</v>
      </c>
      <c r="S227">
        <v>1</v>
      </c>
      <c r="T227">
        <v>0</v>
      </c>
      <c r="U227">
        <v>0</v>
      </c>
      <c r="V227">
        <v>0</v>
      </c>
    </row>
    <row r="228" spans="1:22" x14ac:dyDescent="0.2">
      <c r="A228" t="s">
        <v>323</v>
      </c>
      <c r="B228" t="s">
        <v>108</v>
      </c>
      <c r="C228" t="s">
        <v>41</v>
      </c>
      <c r="D228" t="s">
        <v>67</v>
      </c>
      <c r="E228" t="s">
        <v>37</v>
      </c>
      <c r="F228" t="s">
        <v>59</v>
      </c>
      <c r="G228" t="s">
        <v>46</v>
      </c>
      <c r="H228" t="s">
        <v>48</v>
      </c>
      <c r="I228">
        <v>0</v>
      </c>
      <c r="J228">
        <v>0</v>
      </c>
      <c r="K228">
        <v>1</v>
      </c>
      <c r="L228">
        <v>0</v>
      </c>
      <c r="M228">
        <v>1</v>
      </c>
      <c r="N228">
        <v>0</v>
      </c>
      <c r="O228">
        <v>1</v>
      </c>
      <c r="P228">
        <v>0</v>
      </c>
      <c r="Q228">
        <v>0</v>
      </c>
      <c r="R228">
        <v>0</v>
      </c>
      <c r="S228">
        <v>0</v>
      </c>
      <c r="T228">
        <v>1</v>
      </c>
      <c r="U228">
        <v>0</v>
      </c>
      <c r="V228">
        <v>0</v>
      </c>
    </row>
    <row r="229" spans="1:22" x14ac:dyDescent="0.2">
      <c r="A229" t="s">
        <v>323</v>
      </c>
      <c r="B229" t="s">
        <v>108</v>
      </c>
      <c r="C229" t="s">
        <v>41</v>
      </c>
      <c r="D229" t="s">
        <v>49</v>
      </c>
      <c r="E229" t="s">
        <v>37</v>
      </c>
      <c r="F229" t="s">
        <v>47</v>
      </c>
      <c r="G229" t="s">
        <v>48</v>
      </c>
      <c r="H229" t="s">
        <v>46</v>
      </c>
      <c r="I229">
        <v>0</v>
      </c>
      <c r="J229">
        <v>0</v>
      </c>
      <c r="K229">
        <v>1</v>
      </c>
      <c r="L229">
        <v>1</v>
      </c>
      <c r="M229">
        <v>1</v>
      </c>
      <c r="N229">
        <v>0</v>
      </c>
      <c r="O229">
        <v>1</v>
      </c>
      <c r="P229">
        <v>0</v>
      </c>
      <c r="Q229">
        <v>0</v>
      </c>
      <c r="R229">
        <v>0</v>
      </c>
      <c r="S229">
        <v>1</v>
      </c>
      <c r="T229">
        <v>0</v>
      </c>
      <c r="U229">
        <v>0</v>
      </c>
      <c r="V229">
        <v>0</v>
      </c>
    </row>
    <row r="230" spans="1:22" x14ac:dyDescent="0.2">
      <c r="A230" t="s">
        <v>326</v>
      </c>
      <c r="B230" t="s">
        <v>33</v>
      </c>
      <c r="C230" t="s">
        <v>41</v>
      </c>
      <c r="D230" t="s">
        <v>67</v>
      </c>
      <c r="E230" t="s">
        <v>37</v>
      </c>
      <c r="F230" t="s">
        <v>48</v>
      </c>
      <c r="G230" t="s">
        <v>65</v>
      </c>
      <c r="H230" t="s">
        <v>60</v>
      </c>
      <c r="I230">
        <v>1</v>
      </c>
      <c r="J230">
        <v>1</v>
      </c>
      <c r="K230">
        <v>1</v>
      </c>
      <c r="L230">
        <v>0</v>
      </c>
      <c r="M230">
        <v>0</v>
      </c>
      <c r="N230">
        <v>0</v>
      </c>
      <c r="O230">
        <v>1</v>
      </c>
      <c r="P230">
        <v>0</v>
      </c>
      <c r="Q230">
        <v>1</v>
      </c>
      <c r="R230">
        <v>0</v>
      </c>
      <c r="S230">
        <v>0</v>
      </c>
      <c r="T230">
        <v>0</v>
      </c>
      <c r="U230">
        <v>0</v>
      </c>
      <c r="V230">
        <v>0</v>
      </c>
    </row>
    <row r="231" spans="1:22" x14ac:dyDescent="0.2">
      <c r="A231" t="s">
        <v>326</v>
      </c>
      <c r="B231" t="s">
        <v>33</v>
      </c>
      <c r="C231" t="s">
        <v>41</v>
      </c>
      <c r="D231" t="s">
        <v>49</v>
      </c>
      <c r="E231" t="s">
        <v>37</v>
      </c>
      <c r="F231" t="s">
        <v>60</v>
      </c>
      <c r="G231" t="s">
        <v>48</v>
      </c>
      <c r="H231" t="s">
        <v>59</v>
      </c>
      <c r="I231">
        <v>1</v>
      </c>
      <c r="J231">
        <v>0</v>
      </c>
      <c r="K231">
        <v>1</v>
      </c>
      <c r="L231">
        <v>0</v>
      </c>
      <c r="M231">
        <v>0</v>
      </c>
      <c r="N231">
        <v>0</v>
      </c>
      <c r="O231">
        <v>1</v>
      </c>
      <c r="P231">
        <v>1</v>
      </c>
      <c r="Q231">
        <v>0</v>
      </c>
      <c r="R231">
        <v>0</v>
      </c>
      <c r="S231">
        <v>0</v>
      </c>
      <c r="T231">
        <v>0</v>
      </c>
      <c r="U231">
        <v>0</v>
      </c>
      <c r="V231">
        <v>0</v>
      </c>
    </row>
    <row r="232" spans="1:22" x14ac:dyDescent="0.2">
      <c r="A232" t="s">
        <v>326</v>
      </c>
      <c r="B232" t="s">
        <v>33</v>
      </c>
      <c r="C232" t="s">
        <v>41</v>
      </c>
      <c r="D232" t="s">
        <v>61</v>
      </c>
      <c r="E232" t="s">
        <v>37</v>
      </c>
      <c r="F232" t="s">
        <v>48</v>
      </c>
      <c r="G232" t="s">
        <v>59</v>
      </c>
      <c r="H232" t="s">
        <v>65</v>
      </c>
      <c r="I232">
        <v>0</v>
      </c>
      <c r="J232">
        <v>1</v>
      </c>
      <c r="K232">
        <v>1</v>
      </c>
      <c r="L232">
        <v>0</v>
      </c>
      <c r="M232">
        <v>0</v>
      </c>
      <c r="N232">
        <v>0</v>
      </c>
      <c r="O232">
        <v>1</v>
      </c>
      <c r="P232">
        <v>0</v>
      </c>
      <c r="Q232">
        <v>1</v>
      </c>
      <c r="R232">
        <v>1</v>
      </c>
      <c r="S232">
        <v>0</v>
      </c>
      <c r="T232">
        <v>0</v>
      </c>
      <c r="U232">
        <v>0</v>
      </c>
      <c r="V232">
        <v>0</v>
      </c>
    </row>
    <row r="233" spans="1:22" x14ac:dyDescent="0.2">
      <c r="A233" t="s">
        <v>326</v>
      </c>
      <c r="B233" t="s">
        <v>33</v>
      </c>
      <c r="C233" t="s">
        <v>41</v>
      </c>
      <c r="D233" t="s">
        <v>42</v>
      </c>
      <c r="E233" t="s">
        <v>37</v>
      </c>
      <c r="F233" t="s">
        <v>47</v>
      </c>
      <c r="G233" t="s">
        <v>48</v>
      </c>
      <c r="H233" t="s">
        <v>65</v>
      </c>
      <c r="I233">
        <v>0</v>
      </c>
      <c r="J233">
        <v>1</v>
      </c>
      <c r="K233">
        <v>1</v>
      </c>
      <c r="L233">
        <v>1</v>
      </c>
      <c r="M233">
        <v>0</v>
      </c>
      <c r="N233">
        <v>0</v>
      </c>
      <c r="O233">
        <v>1</v>
      </c>
      <c r="P233">
        <v>0</v>
      </c>
      <c r="Q233">
        <v>1</v>
      </c>
      <c r="R233">
        <v>1</v>
      </c>
      <c r="S233">
        <v>1</v>
      </c>
      <c r="T233">
        <v>0</v>
      </c>
      <c r="U233">
        <v>0</v>
      </c>
      <c r="V233">
        <v>0</v>
      </c>
    </row>
    <row r="234" spans="1:22" x14ac:dyDescent="0.2">
      <c r="A234" t="s">
        <v>330</v>
      </c>
      <c r="B234" t="s">
        <v>108</v>
      </c>
      <c r="C234" t="s">
        <v>41</v>
      </c>
      <c r="D234" t="s">
        <v>61</v>
      </c>
      <c r="E234" t="s">
        <v>37</v>
      </c>
      <c r="F234" t="s">
        <v>46</v>
      </c>
      <c r="G234" t="s">
        <v>48</v>
      </c>
      <c r="H234" t="s">
        <v>59</v>
      </c>
      <c r="I234">
        <v>0</v>
      </c>
      <c r="J234">
        <v>0</v>
      </c>
      <c r="K234">
        <v>1</v>
      </c>
      <c r="L234">
        <v>0</v>
      </c>
      <c r="M234">
        <v>1</v>
      </c>
      <c r="N234">
        <v>0</v>
      </c>
      <c r="O234">
        <v>1</v>
      </c>
      <c r="P234">
        <v>0</v>
      </c>
      <c r="Q234">
        <v>0</v>
      </c>
      <c r="R234">
        <v>1</v>
      </c>
      <c r="S234">
        <v>0</v>
      </c>
      <c r="T234">
        <v>1</v>
      </c>
      <c r="U234">
        <v>0</v>
      </c>
      <c r="V234">
        <v>0</v>
      </c>
    </row>
    <row r="235" spans="1:22" x14ac:dyDescent="0.2">
      <c r="A235" t="s">
        <v>330</v>
      </c>
      <c r="B235" t="s">
        <v>108</v>
      </c>
      <c r="C235" t="s">
        <v>41</v>
      </c>
      <c r="D235" t="s">
        <v>42</v>
      </c>
      <c r="E235" t="s">
        <v>37</v>
      </c>
      <c r="F235" t="s">
        <v>46</v>
      </c>
      <c r="G235" t="s">
        <v>48</v>
      </c>
      <c r="H235" t="s">
        <v>60</v>
      </c>
      <c r="I235">
        <v>1</v>
      </c>
      <c r="J235">
        <v>0</v>
      </c>
      <c r="K235">
        <v>1</v>
      </c>
      <c r="L235">
        <v>0</v>
      </c>
      <c r="M235">
        <v>1</v>
      </c>
      <c r="N235">
        <v>0</v>
      </c>
      <c r="O235">
        <v>1</v>
      </c>
      <c r="P235">
        <v>1</v>
      </c>
      <c r="Q235">
        <v>0</v>
      </c>
      <c r="R235">
        <v>0</v>
      </c>
      <c r="S235">
        <v>0</v>
      </c>
      <c r="T235">
        <v>0</v>
      </c>
      <c r="U235">
        <v>0</v>
      </c>
      <c r="V235">
        <v>0</v>
      </c>
    </row>
    <row r="236" spans="1:22" x14ac:dyDescent="0.2">
      <c r="A236" t="s">
        <v>330</v>
      </c>
      <c r="B236" t="s">
        <v>108</v>
      </c>
      <c r="C236" t="s">
        <v>41</v>
      </c>
      <c r="D236" t="s">
        <v>49</v>
      </c>
      <c r="E236" t="s">
        <v>37</v>
      </c>
      <c r="F236" t="s">
        <v>46</v>
      </c>
      <c r="G236" t="s">
        <v>47</v>
      </c>
      <c r="H236" t="s">
        <v>48</v>
      </c>
      <c r="I236">
        <v>0</v>
      </c>
      <c r="J236">
        <v>0</v>
      </c>
      <c r="K236">
        <v>1</v>
      </c>
      <c r="L236">
        <v>1</v>
      </c>
      <c r="M236">
        <v>1</v>
      </c>
      <c r="N236">
        <v>0</v>
      </c>
      <c r="O236">
        <v>1</v>
      </c>
      <c r="P236">
        <v>0</v>
      </c>
      <c r="Q236">
        <v>0</v>
      </c>
      <c r="R236">
        <v>1</v>
      </c>
      <c r="S236">
        <v>0</v>
      </c>
      <c r="T236">
        <v>0</v>
      </c>
      <c r="U236">
        <v>0</v>
      </c>
      <c r="V236">
        <v>0</v>
      </c>
    </row>
    <row r="237" spans="1:22" x14ac:dyDescent="0.2">
      <c r="A237" t="s">
        <v>330</v>
      </c>
      <c r="B237" t="s">
        <v>108</v>
      </c>
      <c r="C237" t="s">
        <v>41</v>
      </c>
      <c r="D237" t="s">
        <v>67</v>
      </c>
      <c r="E237" t="s">
        <v>37</v>
      </c>
      <c r="F237" t="s">
        <v>48</v>
      </c>
      <c r="G237" t="s">
        <v>60</v>
      </c>
      <c r="H237" t="s">
        <v>46</v>
      </c>
      <c r="I237">
        <v>1</v>
      </c>
      <c r="J237">
        <v>0</v>
      </c>
      <c r="K237">
        <v>1</v>
      </c>
      <c r="L237">
        <v>0</v>
      </c>
      <c r="M237">
        <v>1</v>
      </c>
      <c r="N237">
        <v>0</v>
      </c>
      <c r="O237">
        <v>1</v>
      </c>
      <c r="P237">
        <v>0</v>
      </c>
      <c r="Q237">
        <v>0</v>
      </c>
      <c r="R237">
        <v>0</v>
      </c>
      <c r="S237">
        <v>0</v>
      </c>
      <c r="T237">
        <v>1</v>
      </c>
      <c r="U237">
        <v>0</v>
      </c>
      <c r="V237">
        <v>0</v>
      </c>
    </row>
    <row r="238" spans="1:22" x14ac:dyDescent="0.2">
      <c r="A238" t="s">
        <v>330</v>
      </c>
      <c r="B238" t="s">
        <v>108</v>
      </c>
      <c r="C238" t="s">
        <v>41</v>
      </c>
      <c r="D238" t="s">
        <v>72</v>
      </c>
      <c r="E238" t="s">
        <v>37</v>
      </c>
      <c r="F238" t="s">
        <v>47</v>
      </c>
      <c r="G238" t="s">
        <v>59</v>
      </c>
      <c r="H238" t="s">
        <v>48</v>
      </c>
      <c r="I238">
        <v>0</v>
      </c>
      <c r="J238">
        <v>0</v>
      </c>
      <c r="K238">
        <v>1</v>
      </c>
      <c r="L238">
        <v>1</v>
      </c>
      <c r="M238">
        <v>0</v>
      </c>
      <c r="N238">
        <v>0</v>
      </c>
      <c r="O238">
        <v>1</v>
      </c>
      <c r="P238">
        <v>0</v>
      </c>
      <c r="Q238">
        <v>0</v>
      </c>
      <c r="R238">
        <v>0</v>
      </c>
      <c r="S238">
        <v>1</v>
      </c>
      <c r="T238">
        <v>0</v>
      </c>
      <c r="U238">
        <v>0</v>
      </c>
      <c r="V238">
        <v>0</v>
      </c>
    </row>
    <row r="239" spans="1:22" x14ac:dyDescent="0.2">
      <c r="A239" t="s">
        <v>334</v>
      </c>
      <c r="B239" t="s">
        <v>33</v>
      </c>
      <c r="C239" t="s">
        <v>41</v>
      </c>
      <c r="D239" t="s">
        <v>61</v>
      </c>
      <c r="E239" t="s">
        <v>37</v>
      </c>
      <c r="F239" t="s">
        <v>46</v>
      </c>
      <c r="G239" t="s">
        <v>47</v>
      </c>
      <c r="H239" t="s">
        <v>48</v>
      </c>
      <c r="I239">
        <v>0</v>
      </c>
      <c r="J239">
        <v>0</v>
      </c>
      <c r="K239">
        <v>1</v>
      </c>
      <c r="L239">
        <v>1</v>
      </c>
      <c r="M239">
        <v>1</v>
      </c>
      <c r="N239">
        <v>0</v>
      </c>
      <c r="O239">
        <v>1</v>
      </c>
      <c r="P239">
        <v>0</v>
      </c>
      <c r="Q239">
        <v>0</v>
      </c>
      <c r="R239">
        <v>0</v>
      </c>
      <c r="S239">
        <v>1</v>
      </c>
      <c r="T239">
        <v>0</v>
      </c>
      <c r="U239">
        <v>0</v>
      </c>
      <c r="V239">
        <v>0</v>
      </c>
    </row>
    <row r="240" spans="1:22" x14ac:dyDescent="0.2">
      <c r="A240" t="s">
        <v>334</v>
      </c>
      <c r="B240" t="s">
        <v>33</v>
      </c>
      <c r="C240" t="s">
        <v>41</v>
      </c>
      <c r="D240" t="s">
        <v>72</v>
      </c>
      <c r="E240" t="s">
        <v>37</v>
      </c>
      <c r="F240" t="s">
        <v>48</v>
      </c>
      <c r="G240" t="s">
        <v>46</v>
      </c>
      <c r="H240" t="s">
        <v>65</v>
      </c>
      <c r="I240">
        <v>0</v>
      </c>
      <c r="J240">
        <v>1</v>
      </c>
      <c r="K240">
        <v>1</v>
      </c>
      <c r="L240">
        <v>0</v>
      </c>
      <c r="M240">
        <v>1</v>
      </c>
      <c r="N240">
        <v>0</v>
      </c>
      <c r="O240">
        <v>1</v>
      </c>
      <c r="P240">
        <v>0</v>
      </c>
      <c r="Q240">
        <v>1</v>
      </c>
      <c r="R240">
        <v>0</v>
      </c>
      <c r="S240">
        <v>0</v>
      </c>
      <c r="T240">
        <v>0</v>
      </c>
      <c r="U240">
        <v>0</v>
      </c>
      <c r="V240">
        <v>0</v>
      </c>
    </row>
    <row r="241" spans="1:22" x14ac:dyDescent="0.2">
      <c r="A241" t="s">
        <v>334</v>
      </c>
      <c r="B241" t="s">
        <v>33</v>
      </c>
      <c r="C241" t="s">
        <v>41</v>
      </c>
      <c r="D241" t="s">
        <v>49</v>
      </c>
      <c r="E241" t="s">
        <v>37</v>
      </c>
      <c r="F241" t="s">
        <v>47</v>
      </c>
      <c r="G241" t="s">
        <v>59</v>
      </c>
      <c r="H241" t="s">
        <v>48</v>
      </c>
      <c r="I241">
        <v>0</v>
      </c>
      <c r="J241">
        <v>0</v>
      </c>
      <c r="K241">
        <v>1</v>
      </c>
      <c r="L241">
        <v>1</v>
      </c>
      <c r="M241">
        <v>0</v>
      </c>
      <c r="N241">
        <v>0</v>
      </c>
      <c r="O241">
        <v>1</v>
      </c>
      <c r="P241">
        <v>0</v>
      </c>
      <c r="Q241">
        <v>0</v>
      </c>
      <c r="R241">
        <v>0</v>
      </c>
      <c r="S241">
        <v>1</v>
      </c>
      <c r="T241">
        <v>0</v>
      </c>
      <c r="U241">
        <v>0</v>
      </c>
      <c r="V241">
        <v>0</v>
      </c>
    </row>
    <row r="242" spans="1:22" x14ac:dyDescent="0.2">
      <c r="A242" t="s">
        <v>338</v>
      </c>
      <c r="B242" t="s">
        <v>33</v>
      </c>
      <c r="C242" t="s">
        <v>41</v>
      </c>
      <c r="D242" t="s">
        <v>55</v>
      </c>
      <c r="E242" t="s">
        <v>37</v>
      </c>
      <c r="F242" t="s">
        <v>48</v>
      </c>
      <c r="G242" t="s">
        <v>47</v>
      </c>
      <c r="H242" t="s">
        <v>46</v>
      </c>
      <c r="I242">
        <v>0</v>
      </c>
      <c r="J242">
        <v>0</v>
      </c>
      <c r="K242">
        <v>1</v>
      </c>
      <c r="L242">
        <v>1</v>
      </c>
      <c r="M242">
        <v>1</v>
      </c>
      <c r="N242">
        <v>0</v>
      </c>
      <c r="O242">
        <v>1</v>
      </c>
      <c r="P242">
        <v>0</v>
      </c>
      <c r="Q242">
        <v>0</v>
      </c>
      <c r="R242">
        <v>0</v>
      </c>
      <c r="S242">
        <v>0</v>
      </c>
      <c r="T242">
        <v>1</v>
      </c>
      <c r="U242">
        <v>0</v>
      </c>
      <c r="V242">
        <v>0</v>
      </c>
    </row>
    <row r="243" spans="1:22" x14ac:dyDescent="0.2">
      <c r="A243" t="s">
        <v>338</v>
      </c>
      <c r="B243" t="s">
        <v>33</v>
      </c>
      <c r="C243" t="s">
        <v>41</v>
      </c>
      <c r="D243" t="s">
        <v>49</v>
      </c>
      <c r="E243" t="s">
        <v>37</v>
      </c>
      <c r="F243" t="s">
        <v>47</v>
      </c>
      <c r="G243" t="s">
        <v>59</v>
      </c>
      <c r="H243" t="s">
        <v>48</v>
      </c>
      <c r="I243">
        <v>0</v>
      </c>
      <c r="J243">
        <v>0</v>
      </c>
      <c r="K243">
        <v>1</v>
      </c>
      <c r="L243">
        <v>1</v>
      </c>
      <c r="M243">
        <v>0</v>
      </c>
      <c r="N243">
        <v>0</v>
      </c>
      <c r="O243">
        <v>1</v>
      </c>
      <c r="P243">
        <v>0</v>
      </c>
      <c r="Q243">
        <v>0</v>
      </c>
      <c r="R243">
        <v>0</v>
      </c>
      <c r="S243">
        <v>1</v>
      </c>
      <c r="T243">
        <v>0</v>
      </c>
      <c r="U243">
        <v>0</v>
      </c>
      <c r="V243">
        <v>0</v>
      </c>
    </row>
    <row r="244" spans="1:22" x14ac:dyDescent="0.2">
      <c r="A244" t="s">
        <v>338</v>
      </c>
      <c r="B244" t="s">
        <v>33</v>
      </c>
      <c r="C244" t="s">
        <v>41</v>
      </c>
      <c r="D244" t="s">
        <v>67</v>
      </c>
      <c r="E244" t="s">
        <v>37</v>
      </c>
      <c r="F244" t="s">
        <v>60</v>
      </c>
      <c r="G244" t="s">
        <v>47</v>
      </c>
      <c r="H244" t="s">
        <v>48</v>
      </c>
      <c r="I244">
        <v>1</v>
      </c>
      <c r="J244">
        <v>0</v>
      </c>
      <c r="K244">
        <v>1</v>
      </c>
      <c r="L244">
        <v>1</v>
      </c>
      <c r="M244">
        <v>0</v>
      </c>
      <c r="N244">
        <v>0</v>
      </c>
      <c r="O244">
        <v>1</v>
      </c>
      <c r="P244">
        <v>0</v>
      </c>
      <c r="Q244">
        <v>0</v>
      </c>
      <c r="R244">
        <v>1</v>
      </c>
      <c r="S244">
        <v>0</v>
      </c>
      <c r="T244">
        <v>0</v>
      </c>
      <c r="U244">
        <v>0</v>
      </c>
      <c r="V244">
        <v>0</v>
      </c>
    </row>
    <row r="245" spans="1:22" x14ac:dyDescent="0.2">
      <c r="A245" t="s">
        <v>341</v>
      </c>
      <c r="B245" t="s">
        <v>108</v>
      </c>
      <c r="C245" t="s">
        <v>41</v>
      </c>
      <c r="D245" t="s">
        <v>42</v>
      </c>
      <c r="E245" t="s">
        <v>37</v>
      </c>
      <c r="F245" t="s">
        <v>48</v>
      </c>
      <c r="G245" t="s">
        <v>60</v>
      </c>
      <c r="H245" t="s">
        <v>59</v>
      </c>
      <c r="I245">
        <v>1</v>
      </c>
      <c r="J245">
        <v>0</v>
      </c>
      <c r="K245">
        <v>1</v>
      </c>
      <c r="L245">
        <v>0</v>
      </c>
      <c r="M245">
        <v>0</v>
      </c>
      <c r="N245">
        <v>0</v>
      </c>
      <c r="O245">
        <v>1</v>
      </c>
      <c r="P245">
        <v>0</v>
      </c>
      <c r="Q245">
        <v>0</v>
      </c>
      <c r="R245">
        <v>0</v>
      </c>
      <c r="S245">
        <v>0</v>
      </c>
      <c r="T245">
        <v>0</v>
      </c>
      <c r="U245">
        <v>0</v>
      </c>
      <c r="V245">
        <v>1</v>
      </c>
    </row>
    <row r="246" spans="1:22" x14ac:dyDescent="0.2">
      <c r="A246" t="s">
        <v>341</v>
      </c>
      <c r="B246" t="s">
        <v>108</v>
      </c>
      <c r="C246" t="s">
        <v>41</v>
      </c>
      <c r="D246" t="s">
        <v>55</v>
      </c>
      <c r="E246" t="s">
        <v>37</v>
      </c>
      <c r="F246" t="s">
        <v>48</v>
      </c>
      <c r="G246" t="s">
        <v>46</v>
      </c>
      <c r="H246" t="s">
        <v>59</v>
      </c>
      <c r="I246">
        <v>0</v>
      </c>
      <c r="J246">
        <v>0</v>
      </c>
      <c r="K246">
        <v>1</v>
      </c>
      <c r="L246">
        <v>0</v>
      </c>
      <c r="M246">
        <v>1</v>
      </c>
      <c r="N246">
        <v>0</v>
      </c>
      <c r="O246">
        <v>1</v>
      </c>
      <c r="P246">
        <v>0</v>
      </c>
      <c r="Q246">
        <v>0</v>
      </c>
      <c r="R246">
        <v>1</v>
      </c>
      <c r="S246">
        <v>0</v>
      </c>
      <c r="T246">
        <v>1</v>
      </c>
      <c r="U246">
        <v>0</v>
      </c>
      <c r="V246">
        <v>0</v>
      </c>
    </row>
    <row r="247" spans="1:22" x14ac:dyDescent="0.2">
      <c r="A247" t="s">
        <v>341</v>
      </c>
      <c r="B247" t="s">
        <v>108</v>
      </c>
      <c r="C247" t="s">
        <v>41</v>
      </c>
      <c r="D247" t="s">
        <v>49</v>
      </c>
      <c r="E247" t="s">
        <v>37</v>
      </c>
      <c r="F247" t="s">
        <v>48</v>
      </c>
      <c r="G247" t="s">
        <v>65</v>
      </c>
      <c r="H247" t="s">
        <v>47</v>
      </c>
      <c r="I247">
        <v>0</v>
      </c>
      <c r="J247">
        <v>1</v>
      </c>
      <c r="K247">
        <v>1</v>
      </c>
      <c r="L247">
        <v>1</v>
      </c>
      <c r="M247">
        <v>0</v>
      </c>
      <c r="N247">
        <v>0</v>
      </c>
      <c r="O247">
        <v>1</v>
      </c>
      <c r="P247">
        <v>0</v>
      </c>
      <c r="Q247">
        <v>0</v>
      </c>
      <c r="R247">
        <v>0</v>
      </c>
      <c r="S247">
        <v>0</v>
      </c>
      <c r="T247">
        <v>0</v>
      </c>
      <c r="U247">
        <v>0</v>
      </c>
      <c r="V247">
        <v>1</v>
      </c>
    </row>
    <row r="248" spans="1:22" x14ac:dyDescent="0.2">
      <c r="A248" t="s">
        <v>345</v>
      </c>
      <c r="B248" t="s">
        <v>33</v>
      </c>
      <c r="C248" t="s">
        <v>41</v>
      </c>
      <c r="D248" t="s">
        <v>67</v>
      </c>
      <c r="E248" t="s">
        <v>37</v>
      </c>
      <c r="F248" t="s">
        <v>48</v>
      </c>
      <c r="G248" t="s">
        <v>60</v>
      </c>
      <c r="H248" t="s">
        <v>65</v>
      </c>
      <c r="I248">
        <v>1</v>
      </c>
      <c r="J248">
        <v>1</v>
      </c>
      <c r="K248">
        <v>1</v>
      </c>
      <c r="L248">
        <v>0</v>
      </c>
      <c r="M248">
        <v>0</v>
      </c>
      <c r="N248">
        <v>0</v>
      </c>
      <c r="O248">
        <v>1</v>
      </c>
      <c r="P248">
        <v>1</v>
      </c>
      <c r="Q248">
        <v>0</v>
      </c>
      <c r="R248">
        <v>0</v>
      </c>
      <c r="S248">
        <v>0</v>
      </c>
      <c r="T248">
        <v>0</v>
      </c>
      <c r="U248">
        <v>0</v>
      </c>
      <c r="V248">
        <v>0</v>
      </c>
    </row>
    <row r="249" spans="1:22" x14ac:dyDescent="0.2">
      <c r="A249" t="s">
        <v>345</v>
      </c>
      <c r="B249" t="s">
        <v>33</v>
      </c>
      <c r="C249" t="s">
        <v>41</v>
      </c>
      <c r="D249" t="s">
        <v>61</v>
      </c>
      <c r="E249" t="s">
        <v>37</v>
      </c>
      <c r="F249" t="s">
        <v>47</v>
      </c>
      <c r="G249" t="s">
        <v>48</v>
      </c>
      <c r="H249" t="s">
        <v>65</v>
      </c>
      <c r="I249">
        <v>0</v>
      </c>
      <c r="J249">
        <v>1</v>
      </c>
      <c r="K249">
        <v>1</v>
      </c>
      <c r="L249">
        <v>1</v>
      </c>
      <c r="M249">
        <v>0</v>
      </c>
      <c r="N249">
        <v>0</v>
      </c>
      <c r="O249">
        <v>1</v>
      </c>
      <c r="P249">
        <v>0</v>
      </c>
      <c r="Q249">
        <v>1</v>
      </c>
      <c r="R249">
        <v>0</v>
      </c>
      <c r="S249">
        <v>0</v>
      </c>
      <c r="T249">
        <v>0</v>
      </c>
      <c r="U249">
        <v>0</v>
      </c>
      <c r="V249">
        <v>0</v>
      </c>
    </row>
    <row r="250" spans="1:22" x14ac:dyDescent="0.2">
      <c r="A250" t="s">
        <v>345</v>
      </c>
      <c r="B250" t="s">
        <v>33</v>
      </c>
      <c r="C250" t="s">
        <v>41</v>
      </c>
      <c r="D250" t="s">
        <v>55</v>
      </c>
      <c r="E250" t="s">
        <v>37</v>
      </c>
      <c r="F250" t="s">
        <v>48</v>
      </c>
      <c r="G250" t="s">
        <v>60</v>
      </c>
      <c r="H250" t="s">
        <v>47</v>
      </c>
      <c r="I250">
        <v>1</v>
      </c>
      <c r="J250">
        <v>0</v>
      </c>
      <c r="K250">
        <v>1</v>
      </c>
      <c r="L250">
        <v>1</v>
      </c>
      <c r="M250">
        <v>0</v>
      </c>
      <c r="N250">
        <v>0</v>
      </c>
      <c r="O250">
        <v>1</v>
      </c>
      <c r="P250">
        <v>0</v>
      </c>
      <c r="Q250">
        <v>0</v>
      </c>
      <c r="R250">
        <v>0</v>
      </c>
      <c r="S250">
        <v>1</v>
      </c>
      <c r="T250">
        <v>0</v>
      </c>
      <c r="U250">
        <v>0</v>
      </c>
      <c r="V250">
        <v>0</v>
      </c>
    </row>
    <row r="251" spans="1:22" x14ac:dyDescent="0.2">
      <c r="A251" t="s">
        <v>345</v>
      </c>
      <c r="B251" t="s">
        <v>33</v>
      </c>
      <c r="C251" t="s">
        <v>41</v>
      </c>
      <c r="D251" t="s">
        <v>72</v>
      </c>
      <c r="E251" t="s">
        <v>37</v>
      </c>
      <c r="F251" t="s">
        <v>47</v>
      </c>
      <c r="G251" t="s">
        <v>46</v>
      </c>
      <c r="H251" t="s">
        <v>48</v>
      </c>
      <c r="I251">
        <v>0</v>
      </c>
      <c r="J251">
        <v>0</v>
      </c>
      <c r="K251">
        <v>1</v>
      </c>
      <c r="L251">
        <v>1</v>
      </c>
      <c r="M251">
        <v>1</v>
      </c>
      <c r="N251">
        <v>0</v>
      </c>
      <c r="O251">
        <v>1</v>
      </c>
      <c r="P251">
        <v>0</v>
      </c>
      <c r="Q251">
        <v>0</v>
      </c>
      <c r="R251">
        <v>0</v>
      </c>
      <c r="S251">
        <v>0</v>
      </c>
      <c r="T251">
        <v>1</v>
      </c>
      <c r="U251">
        <v>0</v>
      </c>
      <c r="V251">
        <v>0</v>
      </c>
    </row>
    <row r="252" spans="1:22" x14ac:dyDescent="0.2">
      <c r="A252" t="s">
        <v>346</v>
      </c>
      <c r="B252" t="s">
        <v>108</v>
      </c>
      <c r="C252" t="s">
        <v>41</v>
      </c>
      <c r="D252" t="s">
        <v>42</v>
      </c>
      <c r="E252" t="s">
        <v>37</v>
      </c>
      <c r="F252" t="s">
        <v>48</v>
      </c>
      <c r="G252" t="s">
        <v>47</v>
      </c>
      <c r="H252" t="s">
        <v>46</v>
      </c>
      <c r="I252">
        <v>0</v>
      </c>
      <c r="J252">
        <v>0</v>
      </c>
      <c r="K252">
        <v>1</v>
      </c>
      <c r="L252">
        <v>1</v>
      </c>
      <c r="M252">
        <v>1</v>
      </c>
      <c r="N252">
        <v>0</v>
      </c>
      <c r="O252">
        <v>1</v>
      </c>
      <c r="P252">
        <v>0</v>
      </c>
      <c r="Q252">
        <v>0</v>
      </c>
      <c r="R252">
        <v>0</v>
      </c>
      <c r="S252">
        <v>1</v>
      </c>
      <c r="T252">
        <v>0</v>
      </c>
      <c r="U252">
        <v>0</v>
      </c>
      <c r="V252">
        <v>0</v>
      </c>
    </row>
    <row r="253" spans="1:22" x14ac:dyDescent="0.2">
      <c r="A253" t="s">
        <v>346</v>
      </c>
      <c r="B253" t="s">
        <v>108</v>
      </c>
      <c r="C253" t="s">
        <v>41</v>
      </c>
      <c r="D253" t="s">
        <v>72</v>
      </c>
      <c r="E253" t="s">
        <v>37</v>
      </c>
      <c r="F253" t="s">
        <v>48</v>
      </c>
      <c r="G253" t="s">
        <v>65</v>
      </c>
      <c r="H253" t="s">
        <v>46</v>
      </c>
      <c r="I253">
        <v>0</v>
      </c>
      <c r="J253">
        <v>1</v>
      </c>
      <c r="K253">
        <v>1</v>
      </c>
      <c r="L253">
        <v>0</v>
      </c>
      <c r="M253">
        <v>1</v>
      </c>
      <c r="N253">
        <v>0</v>
      </c>
      <c r="O253">
        <v>1</v>
      </c>
      <c r="P253">
        <v>0</v>
      </c>
      <c r="Q253">
        <v>0</v>
      </c>
      <c r="R253">
        <v>0</v>
      </c>
      <c r="S253">
        <v>0</v>
      </c>
      <c r="T253">
        <v>0</v>
      </c>
      <c r="U253">
        <v>0</v>
      </c>
      <c r="V253">
        <v>1</v>
      </c>
    </row>
    <row r="254" spans="1:22" x14ac:dyDescent="0.2">
      <c r="A254" t="s">
        <v>346</v>
      </c>
      <c r="B254" t="s">
        <v>108</v>
      </c>
      <c r="C254" t="s">
        <v>41</v>
      </c>
      <c r="D254" t="s">
        <v>55</v>
      </c>
      <c r="E254" t="s">
        <v>37</v>
      </c>
      <c r="F254" t="s">
        <v>65</v>
      </c>
      <c r="G254" t="s">
        <v>48</v>
      </c>
      <c r="H254" t="s">
        <v>59</v>
      </c>
      <c r="I254">
        <v>0</v>
      </c>
      <c r="J254">
        <v>1</v>
      </c>
      <c r="K254">
        <v>1</v>
      </c>
      <c r="L254">
        <v>0</v>
      </c>
      <c r="M254">
        <v>0</v>
      </c>
      <c r="N254">
        <v>0</v>
      </c>
      <c r="O254">
        <v>1</v>
      </c>
      <c r="P254">
        <v>0</v>
      </c>
      <c r="Q254">
        <v>1</v>
      </c>
      <c r="R254">
        <v>0</v>
      </c>
      <c r="S254">
        <v>0</v>
      </c>
      <c r="T254">
        <v>0</v>
      </c>
      <c r="U254">
        <v>0</v>
      </c>
      <c r="V254">
        <v>0</v>
      </c>
    </row>
    <row r="255" spans="1:22" x14ac:dyDescent="0.2">
      <c r="A255" t="s">
        <v>350</v>
      </c>
      <c r="B255" t="s">
        <v>33</v>
      </c>
      <c r="C255" t="s">
        <v>41</v>
      </c>
      <c r="D255" t="s">
        <v>61</v>
      </c>
      <c r="E255" t="s">
        <v>37</v>
      </c>
      <c r="F255" t="s">
        <v>48</v>
      </c>
      <c r="G255" t="s">
        <v>60</v>
      </c>
      <c r="H255" t="s">
        <v>46</v>
      </c>
      <c r="I255">
        <v>1</v>
      </c>
      <c r="J255">
        <v>0</v>
      </c>
      <c r="K255">
        <v>1</v>
      </c>
      <c r="L255">
        <v>0</v>
      </c>
      <c r="M255">
        <v>1</v>
      </c>
      <c r="N255">
        <v>0</v>
      </c>
      <c r="O255">
        <v>1</v>
      </c>
      <c r="P255">
        <v>0</v>
      </c>
      <c r="Q255">
        <v>0</v>
      </c>
      <c r="R255">
        <v>0</v>
      </c>
      <c r="S255">
        <v>0</v>
      </c>
      <c r="T255">
        <v>1</v>
      </c>
      <c r="U255">
        <v>0</v>
      </c>
      <c r="V255">
        <v>0</v>
      </c>
    </row>
    <row r="256" spans="1:22" x14ac:dyDescent="0.2">
      <c r="A256" t="s">
        <v>350</v>
      </c>
      <c r="B256" t="s">
        <v>33</v>
      </c>
      <c r="C256" t="s">
        <v>41</v>
      </c>
      <c r="D256" t="s">
        <v>67</v>
      </c>
      <c r="E256" t="s">
        <v>37</v>
      </c>
      <c r="F256" t="s">
        <v>47</v>
      </c>
      <c r="G256" t="s">
        <v>65</v>
      </c>
      <c r="H256" t="s">
        <v>48</v>
      </c>
      <c r="I256">
        <v>0</v>
      </c>
      <c r="J256">
        <v>1</v>
      </c>
      <c r="K256">
        <v>1</v>
      </c>
      <c r="L256">
        <v>1</v>
      </c>
      <c r="M256">
        <v>0</v>
      </c>
      <c r="N256">
        <v>0</v>
      </c>
      <c r="O256">
        <v>1</v>
      </c>
      <c r="P256">
        <v>0</v>
      </c>
      <c r="Q256">
        <v>0</v>
      </c>
      <c r="R256">
        <v>1</v>
      </c>
      <c r="S256">
        <v>0</v>
      </c>
      <c r="T256">
        <v>0</v>
      </c>
      <c r="U256">
        <v>0</v>
      </c>
      <c r="V256">
        <v>0</v>
      </c>
    </row>
    <row r="257" spans="1:22" x14ac:dyDescent="0.2">
      <c r="A257" t="s">
        <v>350</v>
      </c>
      <c r="B257" t="s">
        <v>33</v>
      </c>
      <c r="C257" t="s">
        <v>41</v>
      </c>
      <c r="D257" t="s">
        <v>49</v>
      </c>
      <c r="E257" t="s">
        <v>37</v>
      </c>
      <c r="F257" t="s">
        <v>46</v>
      </c>
      <c r="G257" t="s">
        <v>48</v>
      </c>
      <c r="H257" t="s">
        <v>59</v>
      </c>
      <c r="I257">
        <v>0</v>
      </c>
      <c r="J257">
        <v>0</v>
      </c>
      <c r="K257">
        <v>1</v>
      </c>
      <c r="L257">
        <v>0</v>
      </c>
      <c r="M257">
        <v>1</v>
      </c>
      <c r="N257">
        <v>0</v>
      </c>
      <c r="O257">
        <v>1</v>
      </c>
      <c r="P257">
        <v>0</v>
      </c>
      <c r="Q257">
        <v>0</v>
      </c>
      <c r="R257">
        <v>0</v>
      </c>
      <c r="S257">
        <v>0</v>
      </c>
      <c r="T257">
        <v>1</v>
      </c>
      <c r="U257">
        <v>0</v>
      </c>
      <c r="V257">
        <v>0</v>
      </c>
    </row>
    <row r="258" spans="1:22" x14ac:dyDescent="0.2">
      <c r="A258" t="s">
        <v>351</v>
      </c>
      <c r="B258" t="s">
        <v>108</v>
      </c>
      <c r="C258" t="s">
        <v>41</v>
      </c>
      <c r="D258" t="s">
        <v>61</v>
      </c>
      <c r="E258" t="s">
        <v>37</v>
      </c>
      <c r="F258" t="s">
        <v>65</v>
      </c>
      <c r="G258" t="s">
        <v>48</v>
      </c>
      <c r="H258" t="s">
        <v>47</v>
      </c>
      <c r="I258">
        <v>0</v>
      </c>
      <c r="J258">
        <v>1</v>
      </c>
      <c r="K258">
        <v>1</v>
      </c>
      <c r="L258">
        <v>1</v>
      </c>
      <c r="M258">
        <v>0</v>
      </c>
      <c r="N258">
        <v>0</v>
      </c>
      <c r="O258">
        <v>1</v>
      </c>
      <c r="P258">
        <v>0</v>
      </c>
      <c r="Q258">
        <v>1</v>
      </c>
      <c r="R258">
        <v>1</v>
      </c>
      <c r="S258">
        <v>1</v>
      </c>
      <c r="T258">
        <v>0</v>
      </c>
      <c r="U258">
        <v>0</v>
      </c>
      <c r="V258">
        <v>0</v>
      </c>
    </row>
    <row r="259" spans="1:22" x14ac:dyDescent="0.2">
      <c r="A259" t="s">
        <v>351</v>
      </c>
      <c r="B259" t="s">
        <v>108</v>
      </c>
      <c r="C259" t="s">
        <v>41</v>
      </c>
      <c r="D259" t="s">
        <v>72</v>
      </c>
      <c r="E259" t="s">
        <v>37</v>
      </c>
      <c r="F259" t="s">
        <v>47</v>
      </c>
      <c r="G259" t="s">
        <v>48</v>
      </c>
      <c r="H259" t="s">
        <v>59</v>
      </c>
      <c r="I259">
        <v>0</v>
      </c>
      <c r="J259">
        <v>0</v>
      </c>
      <c r="K259">
        <v>1</v>
      </c>
      <c r="L259">
        <v>1</v>
      </c>
      <c r="M259">
        <v>0</v>
      </c>
      <c r="N259">
        <v>0</v>
      </c>
      <c r="O259">
        <v>1</v>
      </c>
      <c r="P259">
        <v>0</v>
      </c>
      <c r="Q259">
        <v>0</v>
      </c>
      <c r="R259">
        <v>1</v>
      </c>
      <c r="S259">
        <v>1</v>
      </c>
      <c r="T259">
        <v>0</v>
      </c>
      <c r="U259">
        <v>0</v>
      </c>
      <c r="V259">
        <v>0</v>
      </c>
    </row>
    <row r="260" spans="1:22" x14ac:dyDescent="0.2">
      <c r="A260" t="s">
        <v>351</v>
      </c>
      <c r="B260" t="s">
        <v>108</v>
      </c>
      <c r="C260" t="s">
        <v>41</v>
      </c>
      <c r="D260" t="s">
        <v>42</v>
      </c>
      <c r="E260" t="s">
        <v>37</v>
      </c>
      <c r="F260" t="s">
        <v>48</v>
      </c>
      <c r="G260" t="s">
        <v>65</v>
      </c>
      <c r="H260" t="s">
        <v>46</v>
      </c>
      <c r="I260">
        <v>0</v>
      </c>
      <c r="J260">
        <v>1</v>
      </c>
      <c r="K260">
        <v>1</v>
      </c>
      <c r="L260">
        <v>0</v>
      </c>
      <c r="M260">
        <v>1</v>
      </c>
      <c r="N260">
        <v>0</v>
      </c>
      <c r="O260">
        <v>1</v>
      </c>
      <c r="P260">
        <v>0</v>
      </c>
      <c r="Q260">
        <v>1</v>
      </c>
      <c r="R260">
        <v>1</v>
      </c>
      <c r="S260">
        <v>0</v>
      </c>
      <c r="T260">
        <v>1</v>
      </c>
      <c r="U260">
        <v>0</v>
      </c>
      <c r="V260">
        <v>0</v>
      </c>
    </row>
    <row r="261" spans="1:22" x14ac:dyDescent="0.2">
      <c r="A261" t="s">
        <v>354</v>
      </c>
      <c r="B261" t="s">
        <v>33</v>
      </c>
      <c r="C261" t="s">
        <v>41</v>
      </c>
      <c r="D261" t="s">
        <v>61</v>
      </c>
      <c r="E261" t="s">
        <v>37</v>
      </c>
      <c r="F261" t="s">
        <v>59</v>
      </c>
      <c r="G261" t="s">
        <v>48</v>
      </c>
      <c r="H261" t="s">
        <v>65</v>
      </c>
      <c r="I261">
        <v>0</v>
      </c>
      <c r="J261">
        <v>1</v>
      </c>
      <c r="K261">
        <v>1</v>
      </c>
      <c r="L261">
        <v>0</v>
      </c>
      <c r="M261">
        <v>0</v>
      </c>
      <c r="N261">
        <v>0</v>
      </c>
      <c r="O261">
        <v>1</v>
      </c>
      <c r="P261">
        <v>0</v>
      </c>
      <c r="Q261">
        <v>0</v>
      </c>
      <c r="R261">
        <v>0</v>
      </c>
      <c r="S261">
        <v>0</v>
      </c>
      <c r="T261">
        <v>0</v>
      </c>
      <c r="U261">
        <v>0</v>
      </c>
      <c r="V261">
        <v>1</v>
      </c>
    </row>
    <row r="262" spans="1:22" x14ac:dyDescent="0.2">
      <c r="A262" t="s">
        <v>354</v>
      </c>
      <c r="B262" t="s">
        <v>33</v>
      </c>
      <c r="C262" t="s">
        <v>41</v>
      </c>
      <c r="D262" t="s">
        <v>42</v>
      </c>
      <c r="E262" t="s">
        <v>37</v>
      </c>
      <c r="F262" t="s">
        <v>65</v>
      </c>
      <c r="G262" t="s">
        <v>48</v>
      </c>
      <c r="H262" t="s">
        <v>46</v>
      </c>
      <c r="I262">
        <v>0</v>
      </c>
      <c r="J262">
        <v>1</v>
      </c>
      <c r="K262">
        <v>1</v>
      </c>
      <c r="L262">
        <v>0</v>
      </c>
      <c r="M262">
        <v>1</v>
      </c>
      <c r="N262">
        <v>0</v>
      </c>
      <c r="O262">
        <v>1</v>
      </c>
      <c r="P262">
        <v>0</v>
      </c>
      <c r="Q262">
        <v>1</v>
      </c>
      <c r="R262">
        <v>0</v>
      </c>
      <c r="S262">
        <v>0</v>
      </c>
      <c r="T262">
        <v>0</v>
      </c>
      <c r="U262">
        <v>0</v>
      </c>
      <c r="V262">
        <v>0</v>
      </c>
    </row>
    <row r="263" spans="1:22" x14ac:dyDescent="0.2">
      <c r="A263" t="s">
        <v>354</v>
      </c>
      <c r="B263" t="s">
        <v>33</v>
      </c>
      <c r="C263" t="s">
        <v>41</v>
      </c>
      <c r="D263" t="s">
        <v>55</v>
      </c>
      <c r="E263" t="s">
        <v>37</v>
      </c>
      <c r="F263" t="s">
        <v>48</v>
      </c>
      <c r="G263" t="s">
        <v>65</v>
      </c>
      <c r="H263" t="s">
        <v>46</v>
      </c>
      <c r="I263">
        <v>0</v>
      </c>
      <c r="J263">
        <v>1</v>
      </c>
      <c r="K263">
        <v>1</v>
      </c>
      <c r="L263">
        <v>0</v>
      </c>
      <c r="M263">
        <v>1</v>
      </c>
      <c r="N263">
        <v>0</v>
      </c>
      <c r="O263">
        <v>1</v>
      </c>
      <c r="P263">
        <v>0</v>
      </c>
      <c r="Q263">
        <v>1</v>
      </c>
      <c r="R263">
        <v>0</v>
      </c>
      <c r="S263">
        <v>0</v>
      </c>
      <c r="T263">
        <v>0</v>
      </c>
      <c r="U263">
        <v>0</v>
      </c>
      <c r="V263">
        <v>0</v>
      </c>
    </row>
    <row r="264" spans="1:22" x14ac:dyDescent="0.2">
      <c r="A264" t="s">
        <v>354</v>
      </c>
      <c r="B264" t="s">
        <v>33</v>
      </c>
      <c r="C264" t="s">
        <v>41</v>
      </c>
      <c r="D264" t="s">
        <v>67</v>
      </c>
      <c r="E264" t="s">
        <v>37</v>
      </c>
      <c r="F264" t="s">
        <v>48</v>
      </c>
      <c r="G264" t="s">
        <v>46</v>
      </c>
      <c r="H264" t="s">
        <v>47</v>
      </c>
      <c r="I264">
        <v>0</v>
      </c>
      <c r="J264">
        <v>0</v>
      </c>
      <c r="K264">
        <v>1</v>
      </c>
      <c r="L264">
        <v>1</v>
      </c>
      <c r="M264">
        <v>1</v>
      </c>
      <c r="N264">
        <v>0</v>
      </c>
      <c r="O264">
        <v>1</v>
      </c>
      <c r="P264">
        <v>0</v>
      </c>
      <c r="Q264">
        <v>0</v>
      </c>
      <c r="R264">
        <v>0</v>
      </c>
      <c r="S264">
        <v>1</v>
      </c>
      <c r="T264">
        <v>0</v>
      </c>
      <c r="U264">
        <v>0</v>
      </c>
      <c r="V264">
        <v>0</v>
      </c>
    </row>
    <row r="265" spans="1:22" x14ac:dyDescent="0.2">
      <c r="A265" t="s">
        <v>354</v>
      </c>
      <c r="B265" t="s">
        <v>33</v>
      </c>
      <c r="C265" t="s">
        <v>41</v>
      </c>
      <c r="D265" t="s">
        <v>72</v>
      </c>
      <c r="E265" t="s">
        <v>37</v>
      </c>
      <c r="F265" t="s">
        <v>48</v>
      </c>
      <c r="G265" t="s">
        <v>46</v>
      </c>
      <c r="H265" t="s">
        <v>60</v>
      </c>
      <c r="I265">
        <v>1</v>
      </c>
      <c r="J265">
        <v>0</v>
      </c>
      <c r="K265">
        <v>1</v>
      </c>
      <c r="L265">
        <v>0</v>
      </c>
      <c r="M265">
        <v>1</v>
      </c>
      <c r="N265">
        <v>0</v>
      </c>
      <c r="O265">
        <v>1</v>
      </c>
      <c r="P265">
        <v>1</v>
      </c>
      <c r="Q265">
        <v>0</v>
      </c>
      <c r="R265">
        <v>0</v>
      </c>
      <c r="S265">
        <v>0</v>
      </c>
      <c r="T265">
        <v>0</v>
      </c>
      <c r="U265">
        <v>0</v>
      </c>
      <c r="V265">
        <v>0</v>
      </c>
    </row>
    <row r="266" spans="1:22" x14ac:dyDescent="0.2">
      <c r="A266" t="s">
        <v>354</v>
      </c>
      <c r="B266" t="s">
        <v>33</v>
      </c>
      <c r="C266" t="s">
        <v>41</v>
      </c>
      <c r="D266" t="s">
        <v>49</v>
      </c>
      <c r="E266" t="s">
        <v>37</v>
      </c>
      <c r="F266" t="s">
        <v>48</v>
      </c>
      <c r="G266" t="s">
        <v>65</v>
      </c>
      <c r="H266" t="s">
        <v>60</v>
      </c>
      <c r="I266">
        <v>1</v>
      </c>
      <c r="J266">
        <v>1</v>
      </c>
      <c r="K266">
        <v>1</v>
      </c>
      <c r="L266">
        <v>0</v>
      </c>
      <c r="M266">
        <v>0</v>
      </c>
      <c r="N266">
        <v>0</v>
      </c>
      <c r="O266">
        <v>1</v>
      </c>
      <c r="P266">
        <v>1</v>
      </c>
      <c r="Q266">
        <v>1</v>
      </c>
      <c r="R266">
        <v>1</v>
      </c>
      <c r="S266">
        <v>0</v>
      </c>
      <c r="T266">
        <v>0</v>
      </c>
      <c r="U266">
        <v>0</v>
      </c>
      <c r="V266">
        <v>0</v>
      </c>
    </row>
    <row r="267" spans="1:22" x14ac:dyDescent="0.2">
      <c r="A267" t="s">
        <v>358</v>
      </c>
      <c r="B267" t="s">
        <v>108</v>
      </c>
      <c r="C267" t="s">
        <v>41</v>
      </c>
      <c r="D267" t="s">
        <v>72</v>
      </c>
      <c r="E267" t="s">
        <v>37</v>
      </c>
      <c r="F267" t="s">
        <v>46</v>
      </c>
      <c r="G267" t="s">
        <v>48</v>
      </c>
      <c r="H267" t="s">
        <v>59</v>
      </c>
      <c r="I267">
        <v>0</v>
      </c>
      <c r="J267">
        <v>0</v>
      </c>
      <c r="K267">
        <v>1</v>
      </c>
      <c r="L267">
        <v>0</v>
      </c>
      <c r="M267">
        <v>1</v>
      </c>
      <c r="N267">
        <v>0</v>
      </c>
      <c r="O267">
        <v>1</v>
      </c>
      <c r="P267">
        <v>0</v>
      </c>
      <c r="Q267">
        <v>0</v>
      </c>
      <c r="R267">
        <v>0</v>
      </c>
      <c r="S267">
        <v>0</v>
      </c>
      <c r="T267">
        <v>0</v>
      </c>
      <c r="U267">
        <v>0</v>
      </c>
      <c r="V267">
        <v>1</v>
      </c>
    </row>
    <row r="268" spans="1:22" x14ac:dyDescent="0.2">
      <c r="A268" t="s">
        <v>358</v>
      </c>
      <c r="B268" t="s">
        <v>108</v>
      </c>
      <c r="C268" t="s">
        <v>41</v>
      </c>
      <c r="D268" t="s">
        <v>61</v>
      </c>
      <c r="E268" t="s">
        <v>37</v>
      </c>
      <c r="F268" t="s">
        <v>65</v>
      </c>
      <c r="G268" t="s">
        <v>47</v>
      </c>
      <c r="H268" t="s">
        <v>48</v>
      </c>
      <c r="I268">
        <v>0</v>
      </c>
      <c r="J268">
        <v>1</v>
      </c>
      <c r="K268">
        <v>1</v>
      </c>
      <c r="L268">
        <v>1</v>
      </c>
      <c r="M268">
        <v>0</v>
      </c>
      <c r="N268">
        <v>0</v>
      </c>
      <c r="O268">
        <v>1</v>
      </c>
      <c r="P268">
        <v>0</v>
      </c>
      <c r="Q268">
        <v>1</v>
      </c>
      <c r="R268">
        <v>0</v>
      </c>
      <c r="S268">
        <v>0</v>
      </c>
      <c r="T268">
        <v>0</v>
      </c>
      <c r="U268">
        <v>0</v>
      </c>
      <c r="V268">
        <v>0</v>
      </c>
    </row>
    <row r="269" spans="1:22" x14ac:dyDescent="0.2">
      <c r="A269" t="s">
        <v>358</v>
      </c>
      <c r="B269" t="s">
        <v>108</v>
      </c>
      <c r="C269" t="s">
        <v>41</v>
      </c>
      <c r="D269" t="s">
        <v>67</v>
      </c>
      <c r="E269" t="s">
        <v>37</v>
      </c>
      <c r="F269" t="s">
        <v>48</v>
      </c>
      <c r="G269" t="s">
        <v>46</v>
      </c>
      <c r="H269" t="s">
        <v>65</v>
      </c>
      <c r="I269">
        <v>0</v>
      </c>
      <c r="J269">
        <v>1</v>
      </c>
      <c r="K269">
        <v>1</v>
      </c>
      <c r="L269">
        <v>0</v>
      </c>
      <c r="M269">
        <v>1</v>
      </c>
      <c r="N269">
        <v>0</v>
      </c>
      <c r="O269">
        <v>1</v>
      </c>
      <c r="P269">
        <v>0</v>
      </c>
      <c r="Q269">
        <v>1</v>
      </c>
      <c r="R269">
        <v>0</v>
      </c>
      <c r="S269">
        <v>0</v>
      </c>
      <c r="T269">
        <v>0</v>
      </c>
      <c r="U269">
        <v>0</v>
      </c>
      <c r="V269">
        <v>0</v>
      </c>
    </row>
    <row r="270" spans="1:22" x14ac:dyDescent="0.2">
      <c r="A270" t="s">
        <v>362</v>
      </c>
      <c r="B270" t="s">
        <v>108</v>
      </c>
      <c r="C270" t="s">
        <v>41</v>
      </c>
      <c r="D270" t="s">
        <v>49</v>
      </c>
      <c r="E270" t="s">
        <v>37</v>
      </c>
      <c r="F270" t="s">
        <v>46</v>
      </c>
      <c r="G270" t="s">
        <v>47</v>
      </c>
      <c r="H270" t="s">
        <v>48</v>
      </c>
      <c r="I270">
        <v>0</v>
      </c>
      <c r="J270">
        <v>0</v>
      </c>
      <c r="K270">
        <v>1</v>
      </c>
      <c r="L270">
        <v>1</v>
      </c>
      <c r="M270">
        <v>1</v>
      </c>
      <c r="N270">
        <v>0</v>
      </c>
      <c r="O270">
        <v>1</v>
      </c>
      <c r="P270">
        <v>0</v>
      </c>
      <c r="Q270">
        <v>0</v>
      </c>
      <c r="R270">
        <v>0</v>
      </c>
      <c r="S270">
        <v>1</v>
      </c>
      <c r="T270">
        <v>0</v>
      </c>
      <c r="U270">
        <v>0</v>
      </c>
      <c r="V270">
        <v>0</v>
      </c>
    </row>
    <row r="271" spans="1:22" x14ac:dyDescent="0.2">
      <c r="A271" t="s">
        <v>362</v>
      </c>
      <c r="B271" t="s">
        <v>108</v>
      </c>
      <c r="C271" t="s">
        <v>41</v>
      </c>
      <c r="D271" t="s">
        <v>55</v>
      </c>
      <c r="E271" t="s">
        <v>37</v>
      </c>
      <c r="F271" t="s">
        <v>59</v>
      </c>
      <c r="G271" t="s">
        <v>46</v>
      </c>
      <c r="H271" t="s">
        <v>48</v>
      </c>
      <c r="I271">
        <v>0</v>
      </c>
      <c r="J271">
        <v>0</v>
      </c>
      <c r="K271">
        <v>1</v>
      </c>
      <c r="L271">
        <v>0</v>
      </c>
      <c r="M271">
        <v>1</v>
      </c>
      <c r="N271">
        <v>0</v>
      </c>
      <c r="O271">
        <v>1</v>
      </c>
      <c r="P271">
        <v>0</v>
      </c>
      <c r="Q271">
        <v>0</v>
      </c>
      <c r="R271">
        <v>0</v>
      </c>
      <c r="S271">
        <v>0</v>
      </c>
      <c r="T271">
        <v>0</v>
      </c>
      <c r="U271">
        <v>0</v>
      </c>
      <c r="V271">
        <v>1</v>
      </c>
    </row>
    <row r="272" spans="1:22" x14ac:dyDescent="0.2">
      <c r="A272" t="s">
        <v>362</v>
      </c>
      <c r="B272" t="s">
        <v>108</v>
      </c>
      <c r="C272" t="s">
        <v>41</v>
      </c>
      <c r="D272" t="s">
        <v>61</v>
      </c>
      <c r="E272" t="s">
        <v>37</v>
      </c>
      <c r="F272" t="s">
        <v>59</v>
      </c>
      <c r="G272" t="s">
        <v>48</v>
      </c>
      <c r="H272" t="s">
        <v>46</v>
      </c>
      <c r="I272">
        <v>0</v>
      </c>
      <c r="J272">
        <v>0</v>
      </c>
      <c r="K272">
        <v>1</v>
      </c>
      <c r="L272">
        <v>0</v>
      </c>
      <c r="M272">
        <v>1</v>
      </c>
      <c r="N272">
        <v>0</v>
      </c>
      <c r="O272">
        <v>1</v>
      </c>
      <c r="P272">
        <v>0</v>
      </c>
      <c r="Q272">
        <v>0</v>
      </c>
      <c r="R272">
        <v>0</v>
      </c>
      <c r="S272">
        <v>0</v>
      </c>
      <c r="T272">
        <v>0</v>
      </c>
      <c r="U272">
        <v>0</v>
      </c>
      <c r="V272">
        <v>1</v>
      </c>
    </row>
    <row r="273" spans="1:22" x14ac:dyDescent="0.2">
      <c r="A273" t="s">
        <v>362</v>
      </c>
      <c r="B273" t="s">
        <v>108</v>
      </c>
      <c r="C273" t="s">
        <v>41</v>
      </c>
      <c r="D273" t="s">
        <v>67</v>
      </c>
      <c r="E273" t="s">
        <v>37</v>
      </c>
      <c r="F273" t="s">
        <v>48</v>
      </c>
      <c r="G273" t="s">
        <v>46</v>
      </c>
      <c r="H273" t="s">
        <v>65</v>
      </c>
      <c r="I273">
        <v>0</v>
      </c>
      <c r="J273">
        <v>1</v>
      </c>
      <c r="K273">
        <v>1</v>
      </c>
      <c r="L273">
        <v>0</v>
      </c>
      <c r="M273">
        <v>1</v>
      </c>
      <c r="N273">
        <v>0</v>
      </c>
      <c r="O273">
        <v>1</v>
      </c>
      <c r="P273">
        <v>0</v>
      </c>
      <c r="Q273">
        <v>1</v>
      </c>
      <c r="R273">
        <v>0</v>
      </c>
      <c r="S273">
        <v>0</v>
      </c>
      <c r="T273">
        <v>0</v>
      </c>
      <c r="U273">
        <v>0</v>
      </c>
      <c r="V273">
        <v>0</v>
      </c>
    </row>
    <row r="274" spans="1:22" x14ac:dyDescent="0.2">
      <c r="A274" t="s">
        <v>366</v>
      </c>
      <c r="B274" t="s">
        <v>108</v>
      </c>
      <c r="C274" t="s">
        <v>41</v>
      </c>
      <c r="D274" t="s">
        <v>72</v>
      </c>
      <c r="E274" t="s">
        <v>37</v>
      </c>
      <c r="F274" t="s">
        <v>48</v>
      </c>
      <c r="G274" t="s">
        <v>65</v>
      </c>
      <c r="H274" t="s">
        <v>60</v>
      </c>
      <c r="I274">
        <v>1</v>
      </c>
      <c r="J274">
        <v>1</v>
      </c>
      <c r="K274">
        <v>1</v>
      </c>
      <c r="L274">
        <v>0</v>
      </c>
      <c r="M274">
        <v>0</v>
      </c>
      <c r="N274">
        <v>0</v>
      </c>
      <c r="O274">
        <v>1</v>
      </c>
      <c r="P274">
        <v>0</v>
      </c>
      <c r="Q274">
        <v>0</v>
      </c>
      <c r="R274">
        <v>0</v>
      </c>
      <c r="S274">
        <v>0</v>
      </c>
      <c r="T274">
        <v>0</v>
      </c>
      <c r="U274">
        <v>0</v>
      </c>
      <c r="V274">
        <v>1</v>
      </c>
    </row>
    <row r="275" spans="1:22" x14ac:dyDescent="0.2">
      <c r="A275" t="s">
        <v>366</v>
      </c>
      <c r="B275" t="s">
        <v>108</v>
      </c>
      <c r="C275" t="s">
        <v>41</v>
      </c>
      <c r="D275" t="s">
        <v>42</v>
      </c>
      <c r="E275" t="s">
        <v>37</v>
      </c>
      <c r="F275" t="s">
        <v>47</v>
      </c>
      <c r="G275" t="s">
        <v>60</v>
      </c>
      <c r="H275" t="s">
        <v>48</v>
      </c>
      <c r="I275">
        <v>1</v>
      </c>
      <c r="J275">
        <v>0</v>
      </c>
      <c r="K275">
        <v>1</v>
      </c>
      <c r="L275">
        <v>1</v>
      </c>
      <c r="M275">
        <v>0</v>
      </c>
      <c r="N275">
        <v>0</v>
      </c>
      <c r="O275">
        <v>1</v>
      </c>
      <c r="P275">
        <v>1</v>
      </c>
      <c r="Q275">
        <v>0</v>
      </c>
      <c r="R275">
        <v>1</v>
      </c>
      <c r="S275">
        <v>1</v>
      </c>
      <c r="T275">
        <v>0</v>
      </c>
      <c r="U275">
        <v>0</v>
      </c>
      <c r="V275">
        <v>0</v>
      </c>
    </row>
    <row r="276" spans="1:22" x14ac:dyDescent="0.2">
      <c r="A276" t="s">
        <v>366</v>
      </c>
      <c r="B276" t="s">
        <v>108</v>
      </c>
      <c r="C276" t="s">
        <v>41</v>
      </c>
      <c r="D276" t="s">
        <v>61</v>
      </c>
      <c r="E276" t="s">
        <v>37</v>
      </c>
      <c r="F276" t="s">
        <v>47</v>
      </c>
      <c r="G276" t="s">
        <v>48</v>
      </c>
      <c r="H276" t="s">
        <v>46</v>
      </c>
      <c r="I276">
        <v>0</v>
      </c>
      <c r="J276">
        <v>0</v>
      </c>
      <c r="K276">
        <v>1</v>
      </c>
      <c r="L276">
        <v>1</v>
      </c>
      <c r="M276">
        <v>1</v>
      </c>
      <c r="N276">
        <v>0</v>
      </c>
      <c r="O276">
        <v>1</v>
      </c>
      <c r="P276">
        <v>0</v>
      </c>
      <c r="Q276">
        <v>0</v>
      </c>
      <c r="R276">
        <v>1</v>
      </c>
      <c r="S276">
        <v>1</v>
      </c>
      <c r="T276">
        <v>1</v>
      </c>
      <c r="U276">
        <v>0</v>
      </c>
      <c r="V276">
        <v>0</v>
      </c>
    </row>
    <row r="277" spans="1:22" x14ac:dyDescent="0.2">
      <c r="A277" t="s">
        <v>370</v>
      </c>
      <c r="B277" t="s">
        <v>33</v>
      </c>
      <c r="C277" t="s">
        <v>41</v>
      </c>
      <c r="D277" t="s">
        <v>72</v>
      </c>
      <c r="E277" t="s">
        <v>37</v>
      </c>
      <c r="F277" t="s">
        <v>47</v>
      </c>
      <c r="G277" t="s">
        <v>46</v>
      </c>
      <c r="H277" t="s">
        <v>48</v>
      </c>
      <c r="I277">
        <v>0</v>
      </c>
      <c r="J277">
        <v>0</v>
      </c>
      <c r="K277">
        <v>1</v>
      </c>
      <c r="L277">
        <v>1</v>
      </c>
      <c r="M277">
        <v>1</v>
      </c>
      <c r="N277">
        <v>0</v>
      </c>
      <c r="O277">
        <v>1</v>
      </c>
      <c r="P277">
        <v>0</v>
      </c>
      <c r="Q277">
        <v>0</v>
      </c>
      <c r="R277">
        <v>0</v>
      </c>
      <c r="S277">
        <v>0</v>
      </c>
      <c r="T277">
        <v>0</v>
      </c>
      <c r="U277">
        <v>0</v>
      </c>
      <c r="V277">
        <v>1</v>
      </c>
    </row>
    <row r="278" spans="1:22" x14ac:dyDescent="0.2">
      <c r="A278" t="s">
        <v>370</v>
      </c>
      <c r="B278" t="s">
        <v>33</v>
      </c>
      <c r="C278" t="s">
        <v>41</v>
      </c>
      <c r="D278" t="s">
        <v>42</v>
      </c>
      <c r="E278" t="s">
        <v>37</v>
      </c>
      <c r="F278" t="s">
        <v>65</v>
      </c>
      <c r="G278" t="s">
        <v>48</v>
      </c>
      <c r="H278" t="s">
        <v>59</v>
      </c>
      <c r="I278">
        <v>0</v>
      </c>
      <c r="J278">
        <v>1</v>
      </c>
      <c r="K278">
        <v>1</v>
      </c>
      <c r="L278">
        <v>0</v>
      </c>
      <c r="M278">
        <v>0</v>
      </c>
      <c r="N278">
        <v>0</v>
      </c>
      <c r="O278">
        <v>1</v>
      </c>
      <c r="P278">
        <v>0</v>
      </c>
      <c r="Q278">
        <v>0</v>
      </c>
      <c r="R278">
        <v>0</v>
      </c>
      <c r="S278">
        <v>0</v>
      </c>
      <c r="T278">
        <v>0</v>
      </c>
      <c r="U278">
        <v>0</v>
      </c>
      <c r="V278">
        <v>1</v>
      </c>
    </row>
    <row r="279" spans="1:22" x14ac:dyDescent="0.2">
      <c r="A279" t="s">
        <v>370</v>
      </c>
      <c r="B279" t="s">
        <v>33</v>
      </c>
      <c r="C279" t="s">
        <v>41</v>
      </c>
      <c r="D279" t="s">
        <v>61</v>
      </c>
      <c r="E279" t="s">
        <v>37</v>
      </c>
      <c r="F279" t="s">
        <v>48</v>
      </c>
      <c r="G279" t="s">
        <v>65</v>
      </c>
      <c r="H279" t="s">
        <v>46</v>
      </c>
      <c r="I279">
        <v>0</v>
      </c>
      <c r="J279">
        <v>1</v>
      </c>
      <c r="K279">
        <v>1</v>
      </c>
      <c r="L279">
        <v>0</v>
      </c>
      <c r="M279">
        <v>1</v>
      </c>
      <c r="N279">
        <v>0</v>
      </c>
      <c r="O279">
        <v>1</v>
      </c>
      <c r="P279">
        <v>0</v>
      </c>
      <c r="Q279">
        <v>0</v>
      </c>
      <c r="R279">
        <v>0</v>
      </c>
      <c r="S279">
        <v>0</v>
      </c>
      <c r="T279">
        <v>0</v>
      </c>
      <c r="U279">
        <v>0</v>
      </c>
      <c r="V279">
        <v>1</v>
      </c>
    </row>
    <row r="280" spans="1:22" x14ac:dyDescent="0.2">
      <c r="A280" t="s">
        <v>374</v>
      </c>
      <c r="B280" t="s">
        <v>108</v>
      </c>
      <c r="C280" t="s">
        <v>41</v>
      </c>
      <c r="D280" t="s">
        <v>55</v>
      </c>
      <c r="E280" t="s">
        <v>37</v>
      </c>
      <c r="F280" t="s">
        <v>65</v>
      </c>
      <c r="G280" t="s">
        <v>59</v>
      </c>
      <c r="H280" t="s">
        <v>48</v>
      </c>
      <c r="I280">
        <v>0</v>
      </c>
      <c r="J280">
        <v>1</v>
      </c>
      <c r="K280">
        <v>1</v>
      </c>
      <c r="L280">
        <v>0</v>
      </c>
      <c r="M280">
        <v>0</v>
      </c>
      <c r="N280">
        <v>0</v>
      </c>
      <c r="O280">
        <v>1</v>
      </c>
      <c r="P280">
        <v>0</v>
      </c>
      <c r="Q280">
        <v>0</v>
      </c>
      <c r="R280">
        <v>0</v>
      </c>
      <c r="S280">
        <v>0</v>
      </c>
      <c r="T280">
        <v>0</v>
      </c>
      <c r="U280">
        <v>0</v>
      </c>
      <c r="V280">
        <v>1</v>
      </c>
    </row>
    <row r="281" spans="1:22" x14ac:dyDescent="0.2">
      <c r="A281" t="s">
        <v>374</v>
      </c>
      <c r="B281" t="s">
        <v>108</v>
      </c>
      <c r="C281" t="s">
        <v>41</v>
      </c>
      <c r="D281" t="s">
        <v>72</v>
      </c>
      <c r="E281" t="s">
        <v>37</v>
      </c>
      <c r="F281" t="s">
        <v>65</v>
      </c>
      <c r="G281" t="s">
        <v>46</v>
      </c>
      <c r="H281" t="s">
        <v>48</v>
      </c>
      <c r="I281">
        <v>0</v>
      </c>
      <c r="J281">
        <v>1</v>
      </c>
      <c r="K281">
        <v>1</v>
      </c>
      <c r="L281">
        <v>0</v>
      </c>
      <c r="M281">
        <v>1</v>
      </c>
      <c r="N281">
        <v>0</v>
      </c>
      <c r="O281">
        <v>1</v>
      </c>
      <c r="P281">
        <v>0</v>
      </c>
      <c r="Q281">
        <v>0</v>
      </c>
      <c r="R281">
        <v>0</v>
      </c>
      <c r="S281">
        <v>0</v>
      </c>
      <c r="T281">
        <v>0</v>
      </c>
      <c r="U281">
        <v>0</v>
      </c>
      <c r="V281">
        <v>1</v>
      </c>
    </row>
    <row r="282" spans="1:22" x14ac:dyDescent="0.2">
      <c r="A282" t="s">
        <v>374</v>
      </c>
      <c r="B282" t="s">
        <v>108</v>
      </c>
      <c r="C282" t="s">
        <v>41</v>
      </c>
      <c r="D282" t="s">
        <v>61</v>
      </c>
      <c r="E282" t="s">
        <v>37</v>
      </c>
      <c r="F282" t="s">
        <v>48</v>
      </c>
      <c r="G282" t="s">
        <v>46</v>
      </c>
      <c r="H282" t="s">
        <v>47</v>
      </c>
      <c r="I282">
        <v>0</v>
      </c>
      <c r="J282">
        <v>0</v>
      </c>
      <c r="K282">
        <v>1</v>
      </c>
      <c r="L282">
        <v>1</v>
      </c>
      <c r="M282">
        <v>1</v>
      </c>
      <c r="N282">
        <v>0</v>
      </c>
      <c r="O282">
        <v>1</v>
      </c>
      <c r="P282">
        <v>0</v>
      </c>
      <c r="Q282">
        <v>0</v>
      </c>
      <c r="R282">
        <v>0</v>
      </c>
      <c r="S282">
        <v>1</v>
      </c>
      <c r="T282">
        <v>0</v>
      </c>
      <c r="U282">
        <v>0</v>
      </c>
      <c r="V282">
        <v>0</v>
      </c>
    </row>
    <row r="283" spans="1:22" x14ac:dyDescent="0.2">
      <c r="A283" t="s">
        <v>374</v>
      </c>
      <c r="B283" t="s">
        <v>108</v>
      </c>
      <c r="C283" t="s">
        <v>41</v>
      </c>
      <c r="D283" t="s">
        <v>42</v>
      </c>
      <c r="E283" t="s">
        <v>37</v>
      </c>
      <c r="F283" t="s">
        <v>48</v>
      </c>
      <c r="G283" t="s">
        <v>46</v>
      </c>
      <c r="H283" t="s">
        <v>65</v>
      </c>
      <c r="I283">
        <v>0</v>
      </c>
      <c r="J283">
        <v>1</v>
      </c>
      <c r="K283">
        <v>1</v>
      </c>
      <c r="L283">
        <v>0</v>
      </c>
      <c r="M283">
        <v>1</v>
      </c>
      <c r="N283">
        <v>0</v>
      </c>
      <c r="O283">
        <v>1</v>
      </c>
      <c r="P283">
        <v>0</v>
      </c>
      <c r="Q283">
        <v>1</v>
      </c>
      <c r="R283">
        <v>0</v>
      </c>
      <c r="S283">
        <v>0</v>
      </c>
      <c r="T283">
        <v>0</v>
      </c>
      <c r="U283">
        <v>0</v>
      </c>
      <c r="V283">
        <v>0</v>
      </c>
    </row>
    <row r="284" spans="1:22" x14ac:dyDescent="0.2">
      <c r="A284" t="s">
        <v>374</v>
      </c>
      <c r="B284" t="s">
        <v>108</v>
      </c>
      <c r="C284" t="s">
        <v>41</v>
      </c>
      <c r="D284" t="s">
        <v>49</v>
      </c>
      <c r="E284" t="s">
        <v>37</v>
      </c>
      <c r="F284" t="s">
        <v>65</v>
      </c>
      <c r="G284" t="s">
        <v>59</v>
      </c>
      <c r="H284" t="s">
        <v>48</v>
      </c>
      <c r="I284">
        <v>0</v>
      </c>
      <c r="J284">
        <v>1</v>
      </c>
      <c r="K284">
        <v>1</v>
      </c>
      <c r="L284">
        <v>0</v>
      </c>
      <c r="M284">
        <v>0</v>
      </c>
      <c r="N284">
        <v>0</v>
      </c>
      <c r="O284">
        <v>1</v>
      </c>
      <c r="P284">
        <v>0</v>
      </c>
      <c r="Q284">
        <v>1</v>
      </c>
      <c r="R284">
        <v>0</v>
      </c>
      <c r="S284">
        <v>0</v>
      </c>
      <c r="T284">
        <v>0</v>
      </c>
      <c r="U284">
        <v>0</v>
      </c>
      <c r="V284">
        <v>0</v>
      </c>
    </row>
    <row r="285" spans="1:22" x14ac:dyDescent="0.2">
      <c r="A285" t="s">
        <v>374</v>
      </c>
      <c r="B285" t="s">
        <v>108</v>
      </c>
      <c r="C285" t="s">
        <v>41</v>
      </c>
      <c r="D285" t="s">
        <v>67</v>
      </c>
      <c r="E285" t="s">
        <v>37</v>
      </c>
      <c r="F285" t="s">
        <v>47</v>
      </c>
      <c r="G285" t="s">
        <v>46</v>
      </c>
      <c r="H285" t="s">
        <v>48</v>
      </c>
      <c r="I285">
        <v>0</v>
      </c>
      <c r="J285">
        <v>0</v>
      </c>
      <c r="K285">
        <v>1</v>
      </c>
      <c r="L285">
        <v>1</v>
      </c>
      <c r="M285">
        <v>1</v>
      </c>
      <c r="N285">
        <v>0</v>
      </c>
      <c r="O285">
        <v>1</v>
      </c>
      <c r="P285">
        <v>0</v>
      </c>
      <c r="Q285">
        <v>0</v>
      </c>
      <c r="R285">
        <v>0</v>
      </c>
      <c r="S285">
        <v>1</v>
      </c>
      <c r="T285">
        <v>0</v>
      </c>
      <c r="U285">
        <v>0</v>
      </c>
      <c r="V285">
        <v>0</v>
      </c>
    </row>
    <row r="286" spans="1:22" x14ac:dyDescent="0.2">
      <c r="A286" t="s">
        <v>377</v>
      </c>
      <c r="B286" t="s">
        <v>108</v>
      </c>
      <c r="C286" t="s">
        <v>41</v>
      </c>
      <c r="D286" t="s">
        <v>55</v>
      </c>
      <c r="E286" t="s">
        <v>37</v>
      </c>
      <c r="F286" t="s">
        <v>48</v>
      </c>
      <c r="G286" t="s">
        <v>65</v>
      </c>
      <c r="H286" t="s">
        <v>59</v>
      </c>
      <c r="I286">
        <v>0</v>
      </c>
      <c r="J286">
        <v>1</v>
      </c>
      <c r="K286">
        <v>1</v>
      </c>
      <c r="L286">
        <v>0</v>
      </c>
      <c r="M286">
        <v>0</v>
      </c>
      <c r="N286">
        <v>0</v>
      </c>
      <c r="O286">
        <v>1</v>
      </c>
      <c r="P286">
        <v>0</v>
      </c>
      <c r="Q286">
        <v>1</v>
      </c>
      <c r="R286">
        <v>1</v>
      </c>
      <c r="S286">
        <v>0</v>
      </c>
      <c r="T286">
        <v>0</v>
      </c>
      <c r="U286">
        <v>0</v>
      </c>
      <c r="V286">
        <v>0</v>
      </c>
    </row>
    <row r="287" spans="1:22" x14ac:dyDescent="0.2">
      <c r="A287" t="s">
        <v>377</v>
      </c>
      <c r="B287" t="s">
        <v>108</v>
      </c>
      <c r="C287" t="s">
        <v>41</v>
      </c>
      <c r="D287" t="s">
        <v>61</v>
      </c>
      <c r="E287" t="s">
        <v>37</v>
      </c>
      <c r="F287" t="s">
        <v>65</v>
      </c>
      <c r="G287" t="s">
        <v>47</v>
      </c>
      <c r="H287" t="s">
        <v>48</v>
      </c>
      <c r="I287">
        <v>0</v>
      </c>
      <c r="J287">
        <v>1</v>
      </c>
      <c r="K287">
        <v>1</v>
      </c>
      <c r="L287">
        <v>1</v>
      </c>
      <c r="M287">
        <v>0</v>
      </c>
      <c r="N287">
        <v>0</v>
      </c>
      <c r="O287">
        <v>1</v>
      </c>
      <c r="P287">
        <v>0</v>
      </c>
      <c r="Q287">
        <v>1</v>
      </c>
      <c r="R287">
        <v>1</v>
      </c>
      <c r="S287">
        <v>1</v>
      </c>
      <c r="T287">
        <v>0</v>
      </c>
      <c r="U287">
        <v>0</v>
      </c>
      <c r="V287">
        <v>0</v>
      </c>
    </row>
    <row r="288" spans="1:22" x14ac:dyDescent="0.2">
      <c r="A288" t="s">
        <v>380</v>
      </c>
      <c r="B288" t="s">
        <v>33</v>
      </c>
      <c r="C288" t="s">
        <v>41</v>
      </c>
      <c r="D288" t="s">
        <v>72</v>
      </c>
      <c r="E288" t="s">
        <v>37</v>
      </c>
      <c r="F288" t="s">
        <v>59</v>
      </c>
      <c r="G288" t="s">
        <v>46</v>
      </c>
      <c r="H288" t="s">
        <v>48</v>
      </c>
      <c r="I288">
        <v>0</v>
      </c>
      <c r="J288">
        <v>0</v>
      </c>
      <c r="K288">
        <v>1</v>
      </c>
      <c r="L288">
        <v>0</v>
      </c>
      <c r="M288">
        <v>1</v>
      </c>
      <c r="N288">
        <v>0</v>
      </c>
      <c r="O288">
        <v>1</v>
      </c>
      <c r="P288">
        <v>0</v>
      </c>
      <c r="Q288">
        <v>0</v>
      </c>
      <c r="R288">
        <v>0</v>
      </c>
      <c r="S288">
        <v>0</v>
      </c>
      <c r="T288">
        <v>0</v>
      </c>
      <c r="U288">
        <v>0</v>
      </c>
      <c r="V288">
        <v>1</v>
      </c>
    </row>
    <row r="289" spans="1:22" x14ac:dyDescent="0.2">
      <c r="A289" t="s">
        <v>380</v>
      </c>
      <c r="B289" t="s">
        <v>33</v>
      </c>
      <c r="C289" t="s">
        <v>41</v>
      </c>
      <c r="D289" t="s">
        <v>55</v>
      </c>
      <c r="E289" t="s">
        <v>37</v>
      </c>
      <c r="F289" t="s">
        <v>48</v>
      </c>
      <c r="G289" t="s">
        <v>59</v>
      </c>
      <c r="H289" t="s">
        <v>65</v>
      </c>
      <c r="I289">
        <v>0</v>
      </c>
      <c r="J289">
        <v>1</v>
      </c>
      <c r="K289">
        <v>1</v>
      </c>
      <c r="L289">
        <v>0</v>
      </c>
      <c r="M289">
        <v>0</v>
      </c>
      <c r="N289">
        <v>0</v>
      </c>
      <c r="O289">
        <v>1</v>
      </c>
      <c r="P289">
        <v>0</v>
      </c>
      <c r="Q289">
        <v>1</v>
      </c>
      <c r="R289">
        <v>1</v>
      </c>
      <c r="S289">
        <v>0</v>
      </c>
      <c r="T289">
        <v>0</v>
      </c>
      <c r="U289">
        <v>0</v>
      </c>
      <c r="V289">
        <v>0</v>
      </c>
    </row>
    <row r="290" spans="1:22" x14ac:dyDescent="0.2">
      <c r="A290" t="s">
        <v>380</v>
      </c>
      <c r="B290" t="s">
        <v>33</v>
      </c>
      <c r="C290" t="s">
        <v>41</v>
      </c>
      <c r="D290" t="s">
        <v>42</v>
      </c>
      <c r="E290" t="s">
        <v>37</v>
      </c>
      <c r="F290" t="s">
        <v>65</v>
      </c>
      <c r="G290" t="s">
        <v>47</v>
      </c>
      <c r="H290" t="s">
        <v>48</v>
      </c>
      <c r="I290">
        <v>0</v>
      </c>
      <c r="J290">
        <v>1</v>
      </c>
      <c r="K290">
        <v>1</v>
      </c>
      <c r="L290">
        <v>1</v>
      </c>
      <c r="M290">
        <v>0</v>
      </c>
      <c r="N290">
        <v>0</v>
      </c>
      <c r="O290">
        <v>1</v>
      </c>
      <c r="P290">
        <v>0</v>
      </c>
      <c r="Q290">
        <v>1</v>
      </c>
      <c r="R290">
        <v>1</v>
      </c>
      <c r="S290">
        <v>1</v>
      </c>
      <c r="T290">
        <v>0</v>
      </c>
      <c r="U290">
        <v>0</v>
      </c>
      <c r="V290">
        <v>0</v>
      </c>
    </row>
    <row r="291" spans="1:22" x14ac:dyDescent="0.2">
      <c r="A291" t="s">
        <v>380</v>
      </c>
      <c r="B291" t="s">
        <v>33</v>
      </c>
      <c r="C291" t="s">
        <v>41</v>
      </c>
      <c r="D291" t="s">
        <v>49</v>
      </c>
      <c r="E291" t="s">
        <v>37</v>
      </c>
      <c r="F291" t="s">
        <v>59</v>
      </c>
      <c r="G291" t="s">
        <v>48</v>
      </c>
      <c r="H291" t="s">
        <v>47</v>
      </c>
      <c r="I291">
        <v>0</v>
      </c>
      <c r="J291">
        <v>0</v>
      </c>
      <c r="K291">
        <v>1</v>
      </c>
      <c r="L291">
        <v>1</v>
      </c>
      <c r="M291">
        <v>0</v>
      </c>
      <c r="N291">
        <v>0</v>
      </c>
      <c r="O291">
        <v>1</v>
      </c>
      <c r="P291">
        <v>0</v>
      </c>
      <c r="Q291">
        <v>0</v>
      </c>
      <c r="R291">
        <v>0</v>
      </c>
      <c r="S291">
        <v>0</v>
      </c>
      <c r="T291">
        <v>0</v>
      </c>
      <c r="U291">
        <v>0</v>
      </c>
      <c r="V291">
        <v>1</v>
      </c>
    </row>
    <row r="292" spans="1:22" x14ac:dyDescent="0.2">
      <c r="A292" t="s">
        <v>383</v>
      </c>
      <c r="B292" t="s">
        <v>108</v>
      </c>
      <c r="C292" t="s">
        <v>41</v>
      </c>
      <c r="D292" t="s">
        <v>67</v>
      </c>
      <c r="E292" t="s">
        <v>37</v>
      </c>
      <c r="F292" t="s">
        <v>65</v>
      </c>
      <c r="G292" t="s">
        <v>59</v>
      </c>
      <c r="H292" t="s">
        <v>48</v>
      </c>
      <c r="I292">
        <v>0</v>
      </c>
      <c r="J292">
        <v>1</v>
      </c>
      <c r="K292">
        <v>1</v>
      </c>
      <c r="L292">
        <v>0</v>
      </c>
      <c r="M292">
        <v>0</v>
      </c>
      <c r="N292">
        <v>0</v>
      </c>
      <c r="O292">
        <v>1</v>
      </c>
      <c r="P292">
        <v>0</v>
      </c>
      <c r="Q292">
        <v>0</v>
      </c>
      <c r="R292">
        <v>0</v>
      </c>
      <c r="S292">
        <v>0</v>
      </c>
      <c r="T292">
        <v>0</v>
      </c>
      <c r="U292">
        <v>0</v>
      </c>
      <c r="V292">
        <v>1</v>
      </c>
    </row>
    <row r="293" spans="1:22" x14ac:dyDescent="0.2">
      <c r="A293" t="s">
        <v>383</v>
      </c>
      <c r="B293" t="s">
        <v>108</v>
      </c>
      <c r="C293" t="s">
        <v>41</v>
      </c>
      <c r="D293" t="s">
        <v>42</v>
      </c>
      <c r="E293" t="s">
        <v>37</v>
      </c>
      <c r="F293" t="s">
        <v>47</v>
      </c>
      <c r="G293" t="s">
        <v>48</v>
      </c>
      <c r="H293" t="s">
        <v>60</v>
      </c>
      <c r="I293">
        <v>1</v>
      </c>
      <c r="J293">
        <v>0</v>
      </c>
      <c r="K293">
        <v>1</v>
      </c>
      <c r="L293">
        <v>1</v>
      </c>
      <c r="M293">
        <v>0</v>
      </c>
      <c r="N293">
        <v>0</v>
      </c>
      <c r="O293">
        <v>1</v>
      </c>
      <c r="P293">
        <v>1</v>
      </c>
      <c r="Q293">
        <v>0</v>
      </c>
      <c r="R293">
        <v>1</v>
      </c>
      <c r="S293">
        <v>1</v>
      </c>
      <c r="T293">
        <v>0</v>
      </c>
      <c r="U293">
        <v>0</v>
      </c>
      <c r="V293">
        <v>0</v>
      </c>
    </row>
    <row r="294" spans="1:22" x14ac:dyDescent="0.2">
      <c r="A294" t="s">
        <v>383</v>
      </c>
      <c r="B294" t="s">
        <v>108</v>
      </c>
      <c r="C294" t="s">
        <v>41</v>
      </c>
      <c r="D294" t="s">
        <v>55</v>
      </c>
      <c r="E294" t="s">
        <v>37</v>
      </c>
      <c r="F294" t="s">
        <v>48</v>
      </c>
      <c r="G294" t="s">
        <v>65</v>
      </c>
      <c r="H294" t="s">
        <v>46</v>
      </c>
      <c r="I294">
        <v>0</v>
      </c>
      <c r="J294">
        <v>1</v>
      </c>
      <c r="K294">
        <v>1</v>
      </c>
      <c r="L294">
        <v>0</v>
      </c>
      <c r="M294">
        <v>1</v>
      </c>
      <c r="N294">
        <v>0</v>
      </c>
      <c r="O294">
        <v>1</v>
      </c>
      <c r="P294">
        <v>0</v>
      </c>
      <c r="Q294">
        <v>1</v>
      </c>
      <c r="R294">
        <v>1</v>
      </c>
      <c r="S294">
        <v>0</v>
      </c>
      <c r="T294">
        <v>1</v>
      </c>
      <c r="U294">
        <v>0</v>
      </c>
      <c r="V294">
        <v>0</v>
      </c>
    </row>
    <row r="295" spans="1:22" x14ac:dyDescent="0.2">
      <c r="A295" t="s">
        <v>387</v>
      </c>
      <c r="B295" t="s">
        <v>108</v>
      </c>
      <c r="C295" t="s">
        <v>41</v>
      </c>
      <c r="D295" t="s">
        <v>49</v>
      </c>
      <c r="E295" t="s">
        <v>37</v>
      </c>
      <c r="F295" t="s">
        <v>47</v>
      </c>
      <c r="G295" t="s">
        <v>46</v>
      </c>
      <c r="H295" t="s">
        <v>48</v>
      </c>
      <c r="I295">
        <v>0</v>
      </c>
      <c r="J295">
        <v>0</v>
      </c>
      <c r="K295">
        <v>1</v>
      </c>
      <c r="L295">
        <v>1</v>
      </c>
      <c r="M295">
        <v>1</v>
      </c>
      <c r="N295">
        <v>0</v>
      </c>
      <c r="O295">
        <v>1</v>
      </c>
      <c r="P295">
        <v>0</v>
      </c>
      <c r="Q295">
        <v>0</v>
      </c>
      <c r="R295">
        <v>1</v>
      </c>
      <c r="S295">
        <v>0</v>
      </c>
      <c r="T295">
        <v>1</v>
      </c>
      <c r="U295">
        <v>0</v>
      </c>
      <c r="V295">
        <v>0</v>
      </c>
    </row>
    <row r="296" spans="1:22" x14ac:dyDescent="0.2">
      <c r="A296" t="s">
        <v>387</v>
      </c>
      <c r="B296" t="s">
        <v>108</v>
      </c>
      <c r="C296" t="s">
        <v>41</v>
      </c>
      <c r="D296" t="s">
        <v>61</v>
      </c>
      <c r="E296" t="s">
        <v>37</v>
      </c>
      <c r="F296" t="s">
        <v>46</v>
      </c>
      <c r="G296" t="s">
        <v>48</v>
      </c>
      <c r="H296" t="s">
        <v>59</v>
      </c>
      <c r="I296">
        <v>0</v>
      </c>
      <c r="J296">
        <v>0</v>
      </c>
      <c r="K296">
        <v>1</v>
      </c>
      <c r="L296">
        <v>0</v>
      </c>
      <c r="M296">
        <v>1</v>
      </c>
      <c r="N296">
        <v>0</v>
      </c>
      <c r="O296">
        <v>1</v>
      </c>
      <c r="P296">
        <v>0</v>
      </c>
      <c r="Q296">
        <v>0</v>
      </c>
      <c r="R296">
        <v>1</v>
      </c>
      <c r="S296">
        <v>0</v>
      </c>
      <c r="T296">
        <v>0</v>
      </c>
      <c r="U296">
        <v>0</v>
      </c>
      <c r="V296">
        <v>0</v>
      </c>
    </row>
    <row r="297" spans="1:22" x14ac:dyDescent="0.2">
      <c r="A297" t="s">
        <v>387</v>
      </c>
      <c r="B297" t="s">
        <v>108</v>
      </c>
      <c r="C297" t="s">
        <v>41</v>
      </c>
      <c r="D297" t="s">
        <v>67</v>
      </c>
      <c r="E297" t="s">
        <v>37</v>
      </c>
      <c r="F297" t="s">
        <v>46</v>
      </c>
      <c r="G297" t="s">
        <v>60</v>
      </c>
      <c r="H297" t="s">
        <v>48</v>
      </c>
      <c r="I297">
        <v>1</v>
      </c>
      <c r="J297">
        <v>0</v>
      </c>
      <c r="K297">
        <v>1</v>
      </c>
      <c r="L297">
        <v>0</v>
      </c>
      <c r="M297">
        <v>1</v>
      </c>
      <c r="N297">
        <v>0</v>
      </c>
      <c r="O297">
        <v>1</v>
      </c>
      <c r="P297">
        <v>0</v>
      </c>
      <c r="Q297">
        <v>0</v>
      </c>
      <c r="R297">
        <v>1</v>
      </c>
      <c r="S297">
        <v>0</v>
      </c>
      <c r="T297">
        <v>1</v>
      </c>
      <c r="U297">
        <v>0</v>
      </c>
      <c r="V297">
        <v>0</v>
      </c>
    </row>
    <row r="298" spans="1:22" x14ac:dyDescent="0.2">
      <c r="A298" t="s">
        <v>390</v>
      </c>
      <c r="B298" t="s">
        <v>188</v>
      </c>
      <c r="C298" t="s">
        <v>41</v>
      </c>
      <c r="D298" t="s">
        <v>49</v>
      </c>
      <c r="E298" t="s">
        <v>37</v>
      </c>
      <c r="F298" t="s">
        <v>47</v>
      </c>
      <c r="G298" t="s">
        <v>48</v>
      </c>
      <c r="H298" t="s">
        <v>65</v>
      </c>
      <c r="I298">
        <v>0</v>
      </c>
      <c r="J298">
        <v>1</v>
      </c>
      <c r="K298">
        <v>1</v>
      </c>
      <c r="L298">
        <v>1</v>
      </c>
      <c r="M298">
        <v>0</v>
      </c>
      <c r="N298">
        <v>0</v>
      </c>
      <c r="O298">
        <v>1</v>
      </c>
      <c r="P298">
        <v>0</v>
      </c>
      <c r="Q298">
        <v>1</v>
      </c>
      <c r="R298">
        <v>1</v>
      </c>
      <c r="S298">
        <v>1</v>
      </c>
      <c r="T298">
        <v>0</v>
      </c>
      <c r="U298">
        <v>0</v>
      </c>
      <c r="V298">
        <v>0</v>
      </c>
    </row>
    <row r="299" spans="1:22" x14ac:dyDescent="0.2">
      <c r="A299" t="s">
        <v>390</v>
      </c>
      <c r="B299" t="s">
        <v>188</v>
      </c>
      <c r="C299" t="s">
        <v>41</v>
      </c>
      <c r="D299" t="s">
        <v>72</v>
      </c>
      <c r="E299" t="s">
        <v>37</v>
      </c>
      <c r="F299" t="s">
        <v>46</v>
      </c>
      <c r="G299" t="s">
        <v>48</v>
      </c>
      <c r="H299" t="s">
        <v>65</v>
      </c>
      <c r="I299">
        <v>0</v>
      </c>
      <c r="J299">
        <v>1</v>
      </c>
      <c r="K299">
        <v>1</v>
      </c>
      <c r="L299">
        <v>0</v>
      </c>
      <c r="M299">
        <v>1</v>
      </c>
      <c r="N299">
        <v>0</v>
      </c>
      <c r="O299">
        <v>1</v>
      </c>
      <c r="P299">
        <v>0</v>
      </c>
      <c r="Q299">
        <v>0</v>
      </c>
      <c r="R299">
        <v>0</v>
      </c>
      <c r="S299">
        <v>0</v>
      </c>
      <c r="T299">
        <v>0</v>
      </c>
      <c r="U299">
        <v>0</v>
      </c>
      <c r="V299">
        <v>1</v>
      </c>
    </row>
    <row r="300" spans="1:22" x14ac:dyDescent="0.2">
      <c r="A300" t="s">
        <v>390</v>
      </c>
      <c r="B300" t="s">
        <v>188</v>
      </c>
      <c r="C300" t="s">
        <v>41</v>
      </c>
      <c r="D300" t="s">
        <v>67</v>
      </c>
      <c r="E300" t="s">
        <v>37</v>
      </c>
      <c r="F300" t="s">
        <v>59</v>
      </c>
      <c r="G300" t="s">
        <v>48</v>
      </c>
      <c r="H300" t="s">
        <v>47</v>
      </c>
      <c r="I300">
        <v>0</v>
      </c>
      <c r="J300">
        <v>0</v>
      </c>
      <c r="K300">
        <v>1</v>
      </c>
      <c r="L300">
        <v>1</v>
      </c>
      <c r="M300">
        <v>0</v>
      </c>
      <c r="N300">
        <v>0</v>
      </c>
      <c r="O300">
        <v>1</v>
      </c>
      <c r="P300">
        <v>0</v>
      </c>
      <c r="Q300">
        <v>0</v>
      </c>
      <c r="R300">
        <v>0</v>
      </c>
      <c r="S300">
        <v>1</v>
      </c>
      <c r="T300">
        <v>0</v>
      </c>
      <c r="U300">
        <v>0</v>
      </c>
      <c r="V300">
        <v>0</v>
      </c>
    </row>
    <row r="301" spans="1:22" x14ac:dyDescent="0.2">
      <c r="A301" t="s">
        <v>390</v>
      </c>
      <c r="B301" t="s">
        <v>188</v>
      </c>
      <c r="C301" t="s">
        <v>41</v>
      </c>
      <c r="D301" t="s">
        <v>55</v>
      </c>
      <c r="E301" t="s">
        <v>37</v>
      </c>
      <c r="F301" t="s">
        <v>65</v>
      </c>
      <c r="G301" t="s">
        <v>48</v>
      </c>
      <c r="H301" t="s">
        <v>47</v>
      </c>
      <c r="I301">
        <v>0</v>
      </c>
      <c r="J301">
        <v>1</v>
      </c>
      <c r="K301">
        <v>1</v>
      </c>
      <c r="L301">
        <v>1</v>
      </c>
      <c r="M301">
        <v>0</v>
      </c>
      <c r="N301">
        <v>0</v>
      </c>
      <c r="O301">
        <v>1</v>
      </c>
      <c r="P301">
        <v>0</v>
      </c>
      <c r="Q301">
        <v>1</v>
      </c>
      <c r="R301">
        <v>1</v>
      </c>
      <c r="S301">
        <v>1</v>
      </c>
      <c r="T301">
        <v>0</v>
      </c>
      <c r="U301">
        <v>0</v>
      </c>
      <c r="V301">
        <v>0</v>
      </c>
    </row>
    <row r="302" spans="1:22" x14ac:dyDescent="0.2">
      <c r="A302" t="s">
        <v>390</v>
      </c>
      <c r="B302" t="s">
        <v>188</v>
      </c>
      <c r="C302" t="s">
        <v>41</v>
      </c>
      <c r="D302" t="s">
        <v>42</v>
      </c>
      <c r="E302" t="s">
        <v>37</v>
      </c>
      <c r="F302" t="s">
        <v>48</v>
      </c>
      <c r="G302" t="s">
        <v>47</v>
      </c>
      <c r="H302" t="s">
        <v>46</v>
      </c>
      <c r="I302">
        <v>0</v>
      </c>
      <c r="J302">
        <v>0</v>
      </c>
      <c r="K302">
        <v>1</v>
      </c>
      <c r="L302">
        <v>1</v>
      </c>
      <c r="M302">
        <v>1</v>
      </c>
      <c r="N302">
        <v>0</v>
      </c>
      <c r="O302">
        <v>1</v>
      </c>
      <c r="P302">
        <v>0</v>
      </c>
      <c r="Q302">
        <v>0</v>
      </c>
      <c r="R302">
        <v>0</v>
      </c>
      <c r="S302">
        <v>0</v>
      </c>
      <c r="T302">
        <v>1</v>
      </c>
      <c r="U302">
        <v>0</v>
      </c>
      <c r="V302">
        <v>0</v>
      </c>
    </row>
    <row r="303" spans="1:22" x14ac:dyDescent="0.2">
      <c r="A303" t="s">
        <v>394</v>
      </c>
      <c r="B303" t="s">
        <v>108</v>
      </c>
      <c r="C303" t="s">
        <v>41</v>
      </c>
      <c r="D303" t="s">
        <v>49</v>
      </c>
      <c r="E303" t="s">
        <v>37</v>
      </c>
      <c r="F303" t="s">
        <v>48</v>
      </c>
      <c r="G303" t="s">
        <v>46</v>
      </c>
      <c r="H303" t="s">
        <v>47</v>
      </c>
      <c r="I303">
        <v>0</v>
      </c>
      <c r="J303">
        <v>0</v>
      </c>
      <c r="K303">
        <v>1</v>
      </c>
      <c r="L303">
        <v>1</v>
      </c>
      <c r="M303">
        <v>1</v>
      </c>
      <c r="N303">
        <v>0</v>
      </c>
      <c r="O303">
        <v>1</v>
      </c>
      <c r="P303">
        <v>0</v>
      </c>
      <c r="Q303">
        <v>0</v>
      </c>
      <c r="R303">
        <v>0</v>
      </c>
      <c r="S303">
        <v>1</v>
      </c>
      <c r="T303">
        <v>0</v>
      </c>
      <c r="U303">
        <v>0</v>
      </c>
      <c r="V303">
        <v>0</v>
      </c>
    </row>
    <row r="304" spans="1:22" x14ac:dyDescent="0.2">
      <c r="A304" t="s">
        <v>394</v>
      </c>
      <c r="B304" t="s">
        <v>108</v>
      </c>
      <c r="C304" t="s">
        <v>41</v>
      </c>
      <c r="D304" t="s">
        <v>67</v>
      </c>
      <c r="E304" t="s">
        <v>37</v>
      </c>
      <c r="F304" t="s">
        <v>60</v>
      </c>
      <c r="G304" t="s">
        <v>48</v>
      </c>
      <c r="H304" t="s">
        <v>65</v>
      </c>
      <c r="I304">
        <v>1</v>
      </c>
      <c r="J304">
        <v>1</v>
      </c>
      <c r="K304">
        <v>1</v>
      </c>
      <c r="L304">
        <v>0</v>
      </c>
      <c r="M304">
        <v>0</v>
      </c>
      <c r="N304">
        <v>0</v>
      </c>
      <c r="O304">
        <v>1</v>
      </c>
      <c r="P304">
        <v>0</v>
      </c>
      <c r="Q304">
        <v>1</v>
      </c>
      <c r="R304">
        <v>0</v>
      </c>
      <c r="S304">
        <v>0</v>
      </c>
      <c r="T304">
        <v>0</v>
      </c>
      <c r="U304">
        <v>0</v>
      </c>
      <c r="V304">
        <v>0</v>
      </c>
    </row>
    <row r="305" spans="1:22" x14ac:dyDescent="0.2">
      <c r="A305" t="s">
        <v>394</v>
      </c>
      <c r="B305" t="s">
        <v>108</v>
      </c>
      <c r="C305" t="s">
        <v>41</v>
      </c>
      <c r="D305" t="s">
        <v>61</v>
      </c>
      <c r="E305" t="s">
        <v>37</v>
      </c>
      <c r="F305" t="s">
        <v>48</v>
      </c>
      <c r="G305" t="s">
        <v>47</v>
      </c>
      <c r="H305" t="s">
        <v>65</v>
      </c>
      <c r="I305">
        <v>0</v>
      </c>
      <c r="J305">
        <v>1</v>
      </c>
      <c r="K305">
        <v>1</v>
      </c>
      <c r="L305">
        <v>1</v>
      </c>
      <c r="M305">
        <v>0</v>
      </c>
      <c r="N305">
        <v>0</v>
      </c>
      <c r="O305">
        <v>1</v>
      </c>
      <c r="P305">
        <v>0</v>
      </c>
      <c r="Q305">
        <v>1</v>
      </c>
      <c r="R305">
        <v>0</v>
      </c>
      <c r="S305">
        <v>1</v>
      </c>
      <c r="T305">
        <v>0</v>
      </c>
      <c r="U305">
        <v>0</v>
      </c>
      <c r="V305">
        <v>0</v>
      </c>
    </row>
    <row r="306" spans="1:22" x14ac:dyDescent="0.2">
      <c r="A306" t="s">
        <v>394</v>
      </c>
      <c r="B306" t="s">
        <v>108</v>
      </c>
      <c r="C306" t="s">
        <v>41</v>
      </c>
      <c r="D306" t="s">
        <v>72</v>
      </c>
      <c r="E306" t="s">
        <v>37</v>
      </c>
      <c r="F306" t="s">
        <v>65</v>
      </c>
      <c r="G306" t="s">
        <v>46</v>
      </c>
      <c r="H306" t="s">
        <v>48</v>
      </c>
      <c r="I306">
        <v>0</v>
      </c>
      <c r="J306">
        <v>1</v>
      </c>
      <c r="K306">
        <v>1</v>
      </c>
      <c r="L306">
        <v>0</v>
      </c>
      <c r="M306">
        <v>1</v>
      </c>
      <c r="N306">
        <v>0</v>
      </c>
      <c r="O306">
        <v>1</v>
      </c>
      <c r="P306">
        <v>0</v>
      </c>
      <c r="Q306">
        <v>1</v>
      </c>
      <c r="R306">
        <v>0</v>
      </c>
      <c r="S306">
        <v>0</v>
      </c>
      <c r="T306">
        <v>0</v>
      </c>
      <c r="U306">
        <v>0</v>
      </c>
      <c r="V306">
        <v>0</v>
      </c>
    </row>
    <row r="307" spans="1:22" x14ac:dyDescent="0.2">
      <c r="A307" t="s">
        <v>394</v>
      </c>
      <c r="B307" t="s">
        <v>108</v>
      </c>
      <c r="C307" t="s">
        <v>41</v>
      </c>
      <c r="D307" t="s">
        <v>42</v>
      </c>
      <c r="E307" t="s">
        <v>37</v>
      </c>
      <c r="F307" t="s">
        <v>46</v>
      </c>
      <c r="G307" t="s">
        <v>48</v>
      </c>
      <c r="H307" t="s">
        <v>65</v>
      </c>
      <c r="I307">
        <v>0</v>
      </c>
      <c r="J307">
        <v>1</v>
      </c>
      <c r="K307">
        <v>1</v>
      </c>
      <c r="L307">
        <v>0</v>
      </c>
      <c r="M307">
        <v>1</v>
      </c>
      <c r="N307">
        <v>0</v>
      </c>
      <c r="O307">
        <v>1</v>
      </c>
      <c r="P307">
        <v>0</v>
      </c>
      <c r="Q307">
        <v>1</v>
      </c>
      <c r="R307">
        <v>0</v>
      </c>
      <c r="S307">
        <v>0</v>
      </c>
      <c r="T307">
        <v>0</v>
      </c>
      <c r="U307">
        <v>0</v>
      </c>
      <c r="V307">
        <v>0</v>
      </c>
    </row>
    <row r="308" spans="1:22" x14ac:dyDescent="0.2">
      <c r="A308" t="s">
        <v>396</v>
      </c>
      <c r="B308" t="s">
        <v>397</v>
      </c>
      <c r="C308" t="s">
        <v>41</v>
      </c>
      <c r="D308" t="s">
        <v>49</v>
      </c>
      <c r="E308" t="s">
        <v>37</v>
      </c>
      <c r="F308" t="s">
        <v>65</v>
      </c>
      <c r="G308" t="s">
        <v>47</v>
      </c>
      <c r="H308" t="s">
        <v>48</v>
      </c>
      <c r="I308">
        <v>0</v>
      </c>
      <c r="J308">
        <v>1</v>
      </c>
      <c r="K308">
        <v>1</v>
      </c>
      <c r="L308">
        <v>1</v>
      </c>
      <c r="M308">
        <v>0</v>
      </c>
      <c r="N308">
        <v>0</v>
      </c>
      <c r="O308">
        <v>1</v>
      </c>
      <c r="P308">
        <v>0</v>
      </c>
      <c r="Q308">
        <v>0</v>
      </c>
      <c r="R308">
        <v>0</v>
      </c>
      <c r="S308">
        <v>0</v>
      </c>
      <c r="T308">
        <v>0</v>
      </c>
      <c r="U308">
        <v>0</v>
      </c>
      <c r="V308">
        <v>1</v>
      </c>
    </row>
    <row r="309" spans="1:22" x14ac:dyDescent="0.2">
      <c r="A309" t="s">
        <v>396</v>
      </c>
      <c r="B309" t="s">
        <v>397</v>
      </c>
      <c r="C309" t="s">
        <v>41</v>
      </c>
      <c r="D309" t="s">
        <v>42</v>
      </c>
      <c r="E309" t="s">
        <v>37</v>
      </c>
      <c r="F309" t="s">
        <v>48</v>
      </c>
      <c r="G309" t="s">
        <v>60</v>
      </c>
      <c r="H309" t="s">
        <v>65</v>
      </c>
      <c r="I309">
        <v>1</v>
      </c>
      <c r="J309">
        <v>1</v>
      </c>
      <c r="K309">
        <v>1</v>
      </c>
      <c r="L309">
        <v>0</v>
      </c>
      <c r="M309">
        <v>0</v>
      </c>
      <c r="N309">
        <v>0</v>
      </c>
      <c r="O309">
        <v>1</v>
      </c>
      <c r="P309">
        <v>1</v>
      </c>
      <c r="Q309">
        <v>0</v>
      </c>
      <c r="R309">
        <v>0</v>
      </c>
      <c r="S309">
        <v>0</v>
      </c>
      <c r="T309">
        <v>0</v>
      </c>
      <c r="U309">
        <v>0</v>
      </c>
      <c r="V309">
        <v>0</v>
      </c>
    </row>
    <row r="310" spans="1:22" x14ac:dyDescent="0.2">
      <c r="A310" t="s">
        <v>396</v>
      </c>
      <c r="B310" t="s">
        <v>397</v>
      </c>
      <c r="C310" t="s">
        <v>41</v>
      </c>
      <c r="D310" t="s">
        <v>61</v>
      </c>
      <c r="E310" t="s">
        <v>37</v>
      </c>
      <c r="F310" t="s">
        <v>60</v>
      </c>
      <c r="G310" t="s">
        <v>48</v>
      </c>
      <c r="H310" t="s">
        <v>65</v>
      </c>
      <c r="I310">
        <v>1</v>
      </c>
      <c r="J310">
        <v>1</v>
      </c>
      <c r="K310">
        <v>1</v>
      </c>
      <c r="L310">
        <v>0</v>
      </c>
      <c r="M310">
        <v>0</v>
      </c>
      <c r="N310">
        <v>0</v>
      </c>
      <c r="O310">
        <v>1</v>
      </c>
      <c r="P310">
        <v>1</v>
      </c>
      <c r="Q310">
        <v>0</v>
      </c>
      <c r="R310">
        <v>0</v>
      </c>
      <c r="S310">
        <v>0</v>
      </c>
      <c r="T310">
        <v>0</v>
      </c>
      <c r="U310">
        <v>0</v>
      </c>
      <c r="V310">
        <v>0</v>
      </c>
    </row>
    <row r="311" spans="1:22" x14ac:dyDescent="0.2">
      <c r="A311" t="s">
        <v>399</v>
      </c>
      <c r="B311" t="s">
        <v>108</v>
      </c>
      <c r="C311" t="s">
        <v>41</v>
      </c>
      <c r="D311" t="s">
        <v>42</v>
      </c>
      <c r="E311" t="s">
        <v>37</v>
      </c>
      <c r="F311" t="s">
        <v>48</v>
      </c>
      <c r="G311" t="s">
        <v>59</v>
      </c>
      <c r="H311" t="s">
        <v>65</v>
      </c>
      <c r="I311">
        <v>0</v>
      </c>
      <c r="J311">
        <v>1</v>
      </c>
      <c r="K311">
        <v>1</v>
      </c>
      <c r="L311">
        <v>0</v>
      </c>
      <c r="M311">
        <v>0</v>
      </c>
      <c r="N311">
        <v>0</v>
      </c>
      <c r="O311">
        <v>1</v>
      </c>
      <c r="P311">
        <v>0</v>
      </c>
      <c r="Q311">
        <v>1</v>
      </c>
      <c r="R311">
        <v>1</v>
      </c>
      <c r="S311">
        <v>0</v>
      </c>
      <c r="T311">
        <v>0</v>
      </c>
      <c r="U311">
        <v>0</v>
      </c>
      <c r="V311">
        <v>0</v>
      </c>
    </row>
    <row r="312" spans="1:22" x14ac:dyDescent="0.2">
      <c r="A312" t="s">
        <v>399</v>
      </c>
      <c r="B312" t="s">
        <v>108</v>
      </c>
      <c r="C312" t="s">
        <v>41</v>
      </c>
      <c r="D312" t="s">
        <v>55</v>
      </c>
      <c r="E312" t="s">
        <v>37</v>
      </c>
      <c r="F312" t="s">
        <v>65</v>
      </c>
      <c r="G312" t="s">
        <v>48</v>
      </c>
      <c r="H312" t="s">
        <v>46</v>
      </c>
      <c r="I312">
        <v>0</v>
      </c>
      <c r="J312">
        <v>1</v>
      </c>
      <c r="K312">
        <v>1</v>
      </c>
      <c r="L312">
        <v>0</v>
      </c>
      <c r="M312">
        <v>1</v>
      </c>
      <c r="N312">
        <v>0</v>
      </c>
      <c r="O312">
        <v>1</v>
      </c>
      <c r="P312">
        <v>0</v>
      </c>
      <c r="Q312">
        <v>1</v>
      </c>
      <c r="R312">
        <v>1</v>
      </c>
      <c r="S312">
        <v>0</v>
      </c>
      <c r="T312">
        <v>1</v>
      </c>
      <c r="U312">
        <v>0</v>
      </c>
      <c r="V312">
        <v>0</v>
      </c>
    </row>
    <row r="313" spans="1:22" x14ac:dyDescent="0.2">
      <c r="A313" t="s">
        <v>399</v>
      </c>
      <c r="B313" t="s">
        <v>108</v>
      </c>
      <c r="C313" t="s">
        <v>41</v>
      </c>
      <c r="D313" t="s">
        <v>49</v>
      </c>
      <c r="E313" t="s">
        <v>37</v>
      </c>
      <c r="F313" t="s">
        <v>48</v>
      </c>
      <c r="G313" t="s">
        <v>46</v>
      </c>
      <c r="H313" t="s">
        <v>47</v>
      </c>
      <c r="I313">
        <v>0</v>
      </c>
      <c r="J313">
        <v>0</v>
      </c>
      <c r="K313">
        <v>1</v>
      </c>
      <c r="L313">
        <v>1</v>
      </c>
      <c r="M313">
        <v>1</v>
      </c>
      <c r="N313">
        <v>0</v>
      </c>
      <c r="O313">
        <v>1</v>
      </c>
      <c r="P313">
        <v>0</v>
      </c>
      <c r="Q313">
        <v>0</v>
      </c>
      <c r="R313">
        <v>1</v>
      </c>
      <c r="S313">
        <v>1</v>
      </c>
      <c r="T313">
        <v>1</v>
      </c>
      <c r="U313">
        <v>0</v>
      </c>
      <c r="V313">
        <v>0</v>
      </c>
    </row>
    <row r="314" spans="1:22" x14ac:dyDescent="0.2">
      <c r="A314" t="s">
        <v>402</v>
      </c>
      <c r="B314" t="s">
        <v>108</v>
      </c>
      <c r="C314" t="s">
        <v>41</v>
      </c>
      <c r="D314" t="s">
        <v>55</v>
      </c>
      <c r="E314" t="s">
        <v>37</v>
      </c>
      <c r="F314" t="s">
        <v>65</v>
      </c>
      <c r="G314" t="s">
        <v>48</v>
      </c>
      <c r="H314" t="s">
        <v>46</v>
      </c>
      <c r="I314">
        <v>0</v>
      </c>
      <c r="J314">
        <v>1</v>
      </c>
      <c r="K314">
        <v>1</v>
      </c>
      <c r="L314">
        <v>0</v>
      </c>
      <c r="M314">
        <v>1</v>
      </c>
      <c r="N314">
        <v>0</v>
      </c>
      <c r="O314">
        <v>1</v>
      </c>
      <c r="P314">
        <v>0</v>
      </c>
      <c r="Q314">
        <v>1</v>
      </c>
      <c r="R314">
        <v>1</v>
      </c>
      <c r="S314">
        <v>0</v>
      </c>
      <c r="T314">
        <v>1</v>
      </c>
      <c r="U314">
        <v>0</v>
      </c>
      <c r="V314">
        <v>0</v>
      </c>
    </row>
    <row r="315" spans="1:22" x14ac:dyDescent="0.2">
      <c r="A315" t="s">
        <v>402</v>
      </c>
      <c r="B315" t="s">
        <v>108</v>
      </c>
      <c r="C315" t="s">
        <v>41</v>
      </c>
      <c r="D315" t="s">
        <v>49</v>
      </c>
      <c r="E315" t="s">
        <v>37</v>
      </c>
      <c r="F315" t="s">
        <v>46</v>
      </c>
      <c r="G315" t="s">
        <v>47</v>
      </c>
      <c r="H315" t="s">
        <v>48</v>
      </c>
      <c r="I315">
        <v>0</v>
      </c>
      <c r="J315">
        <v>0</v>
      </c>
      <c r="K315">
        <v>1</v>
      </c>
      <c r="L315">
        <v>1</v>
      </c>
      <c r="M315">
        <v>1</v>
      </c>
      <c r="N315">
        <v>0</v>
      </c>
      <c r="O315">
        <v>1</v>
      </c>
      <c r="P315">
        <v>0</v>
      </c>
      <c r="Q315">
        <v>0</v>
      </c>
      <c r="R315">
        <v>1</v>
      </c>
      <c r="S315">
        <v>1</v>
      </c>
      <c r="T315">
        <v>1</v>
      </c>
      <c r="U315">
        <v>0</v>
      </c>
      <c r="V315">
        <v>0</v>
      </c>
    </row>
    <row r="316" spans="1:22" x14ac:dyDescent="0.2">
      <c r="A316" t="s">
        <v>402</v>
      </c>
      <c r="B316" t="s">
        <v>108</v>
      </c>
      <c r="C316" t="s">
        <v>41</v>
      </c>
      <c r="D316" t="s">
        <v>61</v>
      </c>
      <c r="E316" t="s">
        <v>37</v>
      </c>
      <c r="F316" t="s">
        <v>46</v>
      </c>
      <c r="G316" t="s">
        <v>60</v>
      </c>
      <c r="H316" t="s">
        <v>48</v>
      </c>
      <c r="I316">
        <v>1</v>
      </c>
      <c r="J316">
        <v>0</v>
      </c>
      <c r="K316">
        <v>1</v>
      </c>
      <c r="L316">
        <v>0</v>
      </c>
      <c r="M316">
        <v>1</v>
      </c>
      <c r="N316">
        <v>0</v>
      </c>
      <c r="O316">
        <v>1</v>
      </c>
      <c r="P316">
        <v>1</v>
      </c>
      <c r="Q316">
        <v>0</v>
      </c>
      <c r="R316">
        <v>1</v>
      </c>
      <c r="S316">
        <v>0</v>
      </c>
      <c r="T316">
        <v>1</v>
      </c>
      <c r="U316">
        <v>0</v>
      </c>
      <c r="V316">
        <v>0</v>
      </c>
    </row>
    <row r="317" spans="1:22" x14ac:dyDescent="0.2">
      <c r="A317" t="s">
        <v>402</v>
      </c>
      <c r="B317" t="s">
        <v>108</v>
      </c>
      <c r="C317" t="s">
        <v>41</v>
      </c>
      <c r="D317" t="s">
        <v>67</v>
      </c>
      <c r="E317" t="s">
        <v>37</v>
      </c>
      <c r="F317" t="s">
        <v>48</v>
      </c>
      <c r="G317" t="s">
        <v>46</v>
      </c>
      <c r="H317" t="s">
        <v>65</v>
      </c>
      <c r="I317">
        <v>0</v>
      </c>
      <c r="J317">
        <v>1</v>
      </c>
      <c r="K317">
        <v>1</v>
      </c>
      <c r="L317">
        <v>0</v>
      </c>
      <c r="M317">
        <v>1</v>
      </c>
      <c r="N317">
        <v>0</v>
      </c>
      <c r="O317">
        <v>1</v>
      </c>
      <c r="P317">
        <v>0</v>
      </c>
      <c r="Q317">
        <v>1</v>
      </c>
      <c r="R317">
        <v>1</v>
      </c>
      <c r="S317">
        <v>0</v>
      </c>
      <c r="T317">
        <v>1</v>
      </c>
      <c r="U317">
        <v>0</v>
      </c>
      <c r="V317">
        <v>0</v>
      </c>
    </row>
    <row r="318" spans="1:22" x14ac:dyDescent="0.2">
      <c r="A318" t="s">
        <v>405</v>
      </c>
      <c r="B318" t="s">
        <v>108</v>
      </c>
      <c r="C318" t="s">
        <v>41</v>
      </c>
      <c r="D318" t="s">
        <v>72</v>
      </c>
      <c r="E318" t="s">
        <v>37</v>
      </c>
      <c r="F318" t="s">
        <v>48</v>
      </c>
      <c r="G318" t="s">
        <v>65</v>
      </c>
      <c r="H318" t="s">
        <v>47</v>
      </c>
      <c r="I318">
        <v>0</v>
      </c>
      <c r="J318">
        <v>1</v>
      </c>
      <c r="K318">
        <v>1</v>
      </c>
      <c r="L318">
        <v>1</v>
      </c>
      <c r="M318">
        <v>0</v>
      </c>
      <c r="N318">
        <v>0</v>
      </c>
      <c r="O318">
        <v>1</v>
      </c>
      <c r="P318">
        <v>0</v>
      </c>
      <c r="Q318">
        <v>0</v>
      </c>
      <c r="R318">
        <v>0</v>
      </c>
      <c r="S318">
        <v>0</v>
      </c>
      <c r="T318">
        <v>0</v>
      </c>
      <c r="U318">
        <v>0</v>
      </c>
      <c r="V318">
        <v>1</v>
      </c>
    </row>
    <row r="319" spans="1:22" x14ac:dyDescent="0.2">
      <c r="A319" t="s">
        <v>405</v>
      </c>
      <c r="B319" t="s">
        <v>108</v>
      </c>
      <c r="C319" t="s">
        <v>41</v>
      </c>
      <c r="D319" t="s">
        <v>42</v>
      </c>
      <c r="E319" t="s">
        <v>37</v>
      </c>
      <c r="F319" t="s">
        <v>59</v>
      </c>
      <c r="G319" t="s">
        <v>46</v>
      </c>
      <c r="H319" t="s">
        <v>48</v>
      </c>
      <c r="I319">
        <v>0</v>
      </c>
      <c r="J319">
        <v>0</v>
      </c>
      <c r="K319">
        <v>1</v>
      </c>
      <c r="L319">
        <v>0</v>
      </c>
      <c r="M319">
        <v>1</v>
      </c>
      <c r="N319">
        <v>0</v>
      </c>
      <c r="O319">
        <v>1</v>
      </c>
      <c r="P319">
        <v>0</v>
      </c>
      <c r="Q319">
        <v>0</v>
      </c>
      <c r="R319">
        <v>0</v>
      </c>
      <c r="S319">
        <v>0</v>
      </c>
      <c r="T319">
        <v>0</v>
      </c>
      <c r="U319">
        <v>0</v>
      </c>
      <c r="V319">
        <v>1</v>
      </c>
    </row>
    <row r="320" spans="1:22" x14ac:dyDescent="0.2">
      <c r="A320" t="s">
        <v>405</v>
      </c>
      <c r="B320" t="s">
        <v>108</v>
      </c>
      <c r="C320" t="s">
        <v>41</v>
      </c>
      <c r="D320" t="s">
        <v>61</v>
      </c>
      <c r="E320" t="s">
        <v>37</v>
      </c>
      <c r="F320" t="s">
        <v>47</v>
      </c>
      <c r="G320" t="s">
        <v>48</v>
      </c>
      <c r="H320" t="s">
        <v>46</v>
      </c>
      <c r="I320">
        <v>0</v>
      </c>
      <c r="J320">
        <v>0</v>
      </c>
      <c r="K320">
        <v>1</v>
      </c>
      <c r="L320">
        <v>1</v>
      </c>
      <c r="M320">
        <v>1</v>
      </c>
      <c r="N320">
        <v>0</v>
      </c>
      <c r="O320">
        <v>1</v>
      </c>
      <c r="P320">
        <v>0</v>
      </c>
      <c r="Q320">
        <v>0</v>
      </c>
      <c r="R320">
        <v>0</v>
      </c>
      <c r="S320">
        <v>1</v>
      </c>
      <c r="T320">
        <v>0</v>
      </c>
      <c r="U320">
        <v>0</v>
      </c>
      <c r="V320">
        <v>0</v>
      </c>
    </row>
    <row r="321" spans="1:22" x14ac:dyDescent="0.2">
      <c r="A321" t="s">
        <v>405</v>
      </c>
      <c r="B321" t="s">
        <v>108</v>
      </c>
      <c r="C321" t="s">
        <v>41</v>
      </c>
      <c r="D321" t="s">
        <v>55</v>
      </c>
      <c r="E321" t="s">
        <v>37</v>
      </c>
      <c r="F321" t="s">
        <v>46</v>
      </c>
      <c r="G321" t="s">
        <v>47</v>
      </c>
      <c r="H321" t="s">
        <v>48</v>
      </c>
      <c r="I321">
        <v>0</v>
      </c>
      <c r="J321">
        <v>0</v>
      </c>
      <c r="K321">
        <v>1</v>
      </c>
      <c r="L321">
        <v>1</v>
      </c>
      <c r="M321">
        <v>1</v>
      </c>
      <c r="N321">
        <v>0</v>
      </c>
      <c r="O321">
        <v>1</v>
      </c>
      <c r="P321">
        <v>0</v>
      </c>
      <c r="Q321">
        <v>0</v>
      </c>
      <c r="R321">
        <v>0</v>
      </c>
      <c r="S321">
        <v>1</v>
      </c>
      <c r="T321">
        <v>0</v>
      </c>
      <c r="U321">
        <v>0</v>
      </c>
      <c r="V321">
        <v>0</v>
      </c>
    </row>
    <row r="322" spans="1:22" x14ac:dyDescent="0.2">
      <c r="A322" t="s">
        <v>405</v>
      </c>
      <c r="B322" t="s">
        <v>108</v>
      </c>
      <c r="C322" t="s">
        <v>41</v>
      </c>
      <c r="D322" t="s">
        <v>49</v>
      </c>
      <c r="E322" t="s">
        <v>37</v>
      </c>
      <c r="F322" t="s">
        <v>47</v>
      </c>
      <c r="G322" t="s">
        <v>48</v>
      </c>
      <c r="H322" t="s">
        <v>46</v>
      </c>
      <c r="I322">
        <v>0</v>
      </c>
      <c r="J322">
        <v>0</v>
      </c>
      <c r="K322">
        <v>1</v>
      </c>
      <c r="L322">
        <v>1</v>
      </c>
      <c r="M322">
        <v>1</v>
      </c>
      <c r="N322">
        <v>0</v>
      </c>
      <c r="O322">
        <v>1</v>
      </c>
      <c r="P322">
        <v>0</v>
      </c>
      <c r="Q322">
        <v>0</v>
      </c>
      <c r="R322">
        <v>0</v>
      </c>
      <c r="S322">
        <v>0</v>
      </c>
      <c r="T322">
        <v>0</v>
      </c>
      <c r="U322">
        <v>0</v>
      </c>
      <c r="V322">
        <v>1</v>
      </c>
    </row>
    <row r="323" spans="1:22" x14ac:dyDescent="0.2">
      <c r="A323" t="s">
        <v>408</v>
      </c>
      <c r="B323" t="s">
        <v>108</v>
      </c>
      <c r="C323" t="s">
        <v>41</v>
      </c>
      <c r="D323" t="s">
        <v>42</v>
      </c>
      <c r="E323" t="s">
        <v>37</v>
      </c>
      <c r="F323" t="s">
        <v>65</v>
      </c>
      <c r="G323" t="s">
        <v>48</v>
      </c>
      <c r="H323" t="s">
        <v>47</v>
      </c>
      <c r="I323">
        <v>0</v>
      </c>
      <c r="J323">
        <v>1</v>
      </c>
      <c r="K323">
        <v>1</v>
      </c>
      <c r="L323">
        <v>1</v>
      </c>
      <c r="M323">
        <v>0</v>
      </c>
      <c r="N323">
        <v>0</v>
      </c>
      <c r="O323">
        <v>1</v>
      </c>
      <c r="P323">
        <v>0</v>
      </c>
      <c r="Q323">
        <v>1</v>
      </c>
      <c r="R323">
        <v>1</v>
      </c>
      <c r="S323">
        <v>1</v>
      </c>
      <c r="T323">
        <v>0</v>
      </c>
      <c r="U323">
        <v>0</v>
      </c>
      <c r="V323">
        <v>0</v>
      </c>
    </row>
    <row r="324" spans="1:22" x14ac:dyDescent="0.2">
      <c r="A324" t="s">
        <v>408</v>
      </c>
      <c r="B324" t="s">
        <v>108</v>
      </c>
      <c r="C324" t="s">
        <v>41</v>
      </c>
      <c r="D324" t="s">
        <v>67</v>
      </c>
      <c r="E324" t="s">
        <v>37</v>
      </c>
      <c r="F324" t="s">
        <v>48</v>
      </c>
      <c r="G324" t="s">
        <v>60</v>
      </c>
      <c r="H324" t="s">
        <v>65</v>
      </c>
      <c r="I324">
        <v>1</v>
      </c>
      <c r="J324">
        <v>1</v>
      </c>
      <c r="K324">
        <v>1</v>
      </c>
      <c r="L324">
        <v>0</v>
      </c>
      <c r="M324">
        <v>0</v>
      </c>
      <c r="N324">
        <v>0</v>
      </c>
      <c r="O324">
        <v>1</v>
      </c>
      <c r="P324">
        <v>1</v>
      </c>
      <c r="Q324">
        <v>1</v>
      </c>
      <c r="R324">
        <v>1</v>
      </c>
      <c r="S324">
        <v>0</v>
      </c>
      <c r="T324">
        <v>0</v>
      </c>
      <c r="U324">
        <v>0</v>
      </c>
      <c r="V324">
        <v>0</v>
      </c>
    </row>
    <row r="325" spans="1:22" x14ac:dyDescent="0.2">
      <c r="A325" t="s">
        <v>408</v>
      </c>
      <c r="B325" t="s">
        <v>108</v>
      </c>
      <c r="C325" t="s">
        <v>41</v>
      </c>
      <c r="D325" t="s">
        <v>49</v>
      </c>
      <c r="E325" t="s">
        <v>37</v>
      </c>
      <c r="F325" t="s">
        <v>48</v>
      </c>
      <c r="G325" t="s">
        <v>46</v>
      </c>
      <c r="H325" t="s">
        <v>65</v>
      </c>
      <c r="I325">
        <v>0</v>
      </c>
      <c r="J325">
        <v>1</v>
      </c>
      <c r="K325">
        <v>1</v>
      </c>
      <c r="L325">
        <v>0</v>
      </c>
      <c r="M325">
        <v>1</v>
      </c>
      <c r="N325">
        <v>0</v>
      </c>
      <c r="O325">
        <v>1</v>
      </c>
      <c r="P325">
        <v>0</v>
      </c>
      <c r="Q325">
        <v>1</v>
      </c>
      <c r="R325">
        <v>0</v>
      </c>
      <c r="S325">
        <v>0</v>
      </c>
      <c r="T325">
        <v>0</v>
      </c>
      <c r="U325">
        <v>0</v>
      </c>
      <c r="V325">
        <v>0</v>
      </c>
    </row>
    <row r="326" spans="1:22" x14ac:dyDescent="0.2">
      <c r="A326" t="s">
        <v>408</v>
      </c>
      <c r="B326" t="s">
        <v>108</v>
      </c>
      <c r="C326" t="s">
        <v>41</v>
      </c>
      <c r="D326" t="s">
        <v>55</v>
      </c>
      <c r="E326" t="s">
        <v>37</v>
      </c>
      <c r="F326" t="s">
        <v>46</v>
      </c>
      <c r="G326" t="s">
        <v>48</v>
      </c>
      <c r="H326" t="s">
        <v>60</v>
      </c>
      <c r="I326">
        <v>1</v>
      </c>
      <c r="J326">
        <v>0</v>
      </c>
      <c r="K326">
        <v>1</v>
      </c>
      <c r="L326">
        <v>0</v>
      </c>
      <c r="M326">
        <v>1</v>
      </c>
      <c r="N326">
        <v>0</v>
      </c>
      <c r="O326">
        <v>1</v>
      </c>
      <c r="P326">
        <v>1</v>
      </c>
      <c r="Q326">
        <v>0</v>
      </c>
      <c r="R326">
        <v>0</v>
      </c>
      <c r="S326">
        <v>0</v>
      </c>
      <c r="T326">
        <v>0</v>
      </c>
      <c r="U326">
        <v>0</v>
      </c>
      <c r="V326">
        <v>0</v>
      </c>
    </row>
    <row r="327" spans="1:22" x14ac:dyDescent="0.2">
      <c r="A327" t="s">
        <v>411</v>
      </c>
      <c r="B327" t="s">
        <v>33</v>
      </c>
      <c r="C327" t="s">
        <v>41</v>
      </c>
      <c r="D327" t="s">
        <v>72</v>
      </c>
      <c r="E327" t="s">
        <v>37</v>
      </c>
      <c r="F327" t="s">
        <v>48</v>
      </c>
      <c r="G327" t="s">
        <v>46</v>
      </c>
      <c r="H327" t="s">
        <v>59</v>
      </c>
      <c r="I327">
        <v>0</v>
      </c>
      <c r="J327">
        <v>0</v>
      </c>
      <c r="K327">
        <v>1</v>
      </c>
      <c r="L327">
        <v>0</v>
      </c>
      <c r="M327">
        <v>1</v>
      </c>
      <c r="N327">
        <v>0</v>
      </c>
      <c r="O327">
        <v>1</v>
      </c>
      <c r="P327">
        <v>0</v>
      </c>
      <c r="Q327">
        <v>0</v>
      </c>
      <c r="R327">
        <v>0</v>
      </c>
      <c r="S327">
        <v>0</v>
      </c>
      <c r="T327">
        <v>0</v>
      </c>
      <c r="U327">
        <v>0</v>
      </c>
      <c r="V327">
        <v>1</v>
      </c>
    </row>
    <row r="328" spans="1:22" x14ac:dyDescent="0.2">
      <c r="A328" t="s">
        <v>411</v>
      </c>
      <c r="B328" t="s">
        <v>33</v>
      </c>
      <c r="C328" t="s">
        <v>41</v>
      </c>
      <c r="D328" t="s">
        <v>49</v>
      </c>
      <c r="E328" t="s">
        <v>37</v>
      </c>
      <c r="F328" t="s">
        <v>65</v>
      </c>
      <c r="G328" t="s">
        <v>48</v>
      </c>
      <c r="H328" t="s">
        <v>59</v>
      </c>
      <c r="I328">
        <v>0</v>
      </c>
      <c r="J328">
        <v>1</v>
      </c>
      <c r="K328">
        <v>1</v>
      </c>
      <c r="L328">
        <v>0</v>
      </c>
      <c r="M328">
        <v>0</v>
      </c>
      <c r="N328">
        <v>0</v>
      </c>
      <c r="O328">
        <v>1</v>
      </c>
      <c r="P328">
        <v>0</v>
      </c>
      <c r="Q328">
        <v>0</v>
      </c>
      <c r="R328">
        <v>0</v>
      </c>
      <c r="S328">
        <v>0</v>
      </c>
      <c r="T328">
        <v>0</v>
      </c>
      <c r="U328">
        <v>0</v>
      </c>
      <c r="V328">
        <v>1</v>
      </c>
    </row>
    <row r="329" spans="1:22" x14ac:dyDescent="0.2">
      <c r="A329" t="s">
        <v>411</v>
      </c>
      <c r="B329" t="s">
        <v>33</v>
      </c>
      <c r="C329" t="s">
        <v>41</v>
      </c>
      <c r="D329" t="s">
        <v>55</v>
      </c>
      <c r="E329" t="s">
        <v>37</v>
      </c>
      <c r="F329" t="s">
        <v>48</v>
      </c>
      <c r="G329" t="s">
        <v>47</v>
      </c>
      <c r="H329" t="s">
        <v>65</v>
      </c>
      <c r="I329">
        <v>0</v>
      </c>
      <c r="J329">
        <v>1</v>
      </c>
      <c r="K329">
        <v>1</v>
      </c>
      <c r="L329">
        <v>1</v>
      </c>
      <c r="M329">
        <v>0</v>
      </c>
      <c r="N329">
        <v>0</v>
      </c>
      <c r="O329">
        <v>1</v>
      </c>
      <c r="P329">
        <v>0</v>
      </c>
      <c r="Q329">
        <v>1</v>
      </c>
      <c r="R329">
        <v>1</v>
      </c>
      <c r="S329">
        <v>1</v>
      </c>
      <c r="T329">
        <v>0</v>
      </c>
      <c r="U329">
        <v>0</v>
      </c>
      <c r="V329">
        <v>0</v>
      </c>
    </row>
    <row r="330" spans="1:22" x14ac:dyDescent="0.2">
      <c r="A330" t="s">
        <v>415</v>
      </c>
      <c r="B330" t="s">
        <v>108</v>
      </c>
      <c r="C330" t="s">
        <v>41</v>
      </c>
      <c r="D330" t="s">
        <v>49</v>
      </c>
      <c r="E330" t="s">
        <v>37</v>
      </c>
      <c r="F330" t="s">
        <v>48</v>
      </c>
      <c r="G330" t="s">
        <v>46</v>
      </c>
      <c r="H330" t="s">
        <v>65</v>
      </c>
      <c r="I330">
        <v>0</v>
      </c>
      <c r="J330">
        <v>1</v>
      </c>
      <c r="K330">
        <v>1</v>
      </c>
      <c r="L330">
        <v>0</v>
      </c>
      <c r="M330">
        <v>1</v>
      </c>
      <c r="N330">
        <v>0</v>
      </c>
      <c r="O330">
        <v>1</v>
      </c>
      <c r="P330">
        <v>0</v>
      </c>
      <c r="Q330">
        <v>1</v>
      </c>
      <c r="R330">
        <v>0</v>
      </c>
      <c r="S330">
        <v>0</v>
      </c>
      <c r="T330">
        <v>0</v>
      </c>
      <c r="U330">
        <v>0</v>
      </c>
      <c r="V330">
        <v>0</v>
      </c>
    </row>
    <row r="331" spans="1:22" x14ac:dyDescent="0.2">
      <c r="A331" t="s">
        <v>415</v>
      </c>
      <c r="B331" t="s">
        <v>108</v>
      </c>
      <c r="C331" t="s">
        <v>41</v>
      </c>
      <c r="D331" t="s">
        <v>42</v>
      </c>
      <c r="E331" t="s">
        <v>37</v>
      </c>
      <c r="F331" t="s">
        <v>65</v>
      </c>
      <c r="G331" t="s">
        <v>48</v>
      </c>
      <c r="H331" t="s">
        <v>59</v>
      </c>
      <c r="I331">
        <v>0</v>
      </c>
      <c r="J331">
        <v>1</v>
      </c>
      <c r="K331">
        <v>1</v>
      </c>
      <c r="L331">
        <v>0</v>
      </c>
      <c r="M331">
        <v>0</v>
      </c>
      <c r="N331">
        <v>0</v>
      </c>
      <c r="O331">
        <v>1</v>
      </c>
      <c r="P331">
        <v>0</v>
      </c>
      <c r="Q331">
        <v>1</v>
      </c>
      <c r="R331">
        <v>1</v>
      </c>
      <c r="S331">
        <v>0</v>
      </c>
      <c r="T331">
        <v>0</v>
      </c>
      <c r="U331">
        <v>0</v>
      </c>
      <c r="V331">
        <v>0</v>
      </c>
    </row>
    <row r="332" spans="1:22" x14ac:dyDescent="0.2">
      <c r="A332" t="s">
        <v>415</v>
      </c>
      <c r="B332" t="s">
        <v>108</v>
      </c>
      <c r="C332" t="s">
        <v>41</v>
      </c>
      <c r="D332" t="s">
        <v>61</v>
      </c>
      <c r="E332" t="s">
        <v>37</v>
      </c>
      <c r="F332" t="s">
        <v>48</v>
      </c>
      <c r="G332" t="s">
        <v>65</v>
      </c>
      <c r="H332" t="s">
        <v>47</v>
      </c>
      <c r="I332">
        <v>0</v>
      </c>
      <c r="J332">
        <v>1</v>
      </c>
      <c r="K332">
        <v>1</v>
      </c>
      <c r="L332">
        <v>1</v>
      </c>
      <c r="M332">
        <v>0</v>
      </c>
      <c r="N332">
        <v>0</v>
      </c>
      <c r="O332">
        <v>1</v>
      </c>
      <c r="P332">
        <v>0</v>
      </c>
      <c r="Q332">
        <v>1</v>
      </c>
      <c r="R332">
        <v>1</v>
      </c>
      <c r="S332">
        <v>1</v>
      </c>
      <c r="T332">
        <v>0</v>
      </c>
      <c r="U332">
        <v>0</v>
      </c>
      <c r="V332">
        <v>0</v>
      </c>
    </row>
    <row r="333" spans="1:22" x14ac:dyDescent="0.2">
      <c r="A333" t="s">
        <v>415</v>
      </c>
      <c r="B333" t="s">
        <v>108</v>
      </c>
      <c r="C333" t="s">
        <v>41</v>
      </c>
      <c r="D333" t="s">
        <v>67</v>
      </c>
      <c r="E333" t="s">
        <v>37</v>
      </c>
      <c r="F333" t="s">
        <v>48</v>
      </c>
      <c r="G333" t="s">
        <v>47</v>
      </c>
      <c r="H333" t="s">
        <v>65</v>
      </c>
      <c r="I333">
        <v>0</v>
      </c>
      <c r="J333">
        <v>1</v>
      </c>
      <c r="K333">
        <v>1</v>
      </c>
      <c r="L333">
        <v>1</v>
      </c>
      <c r="M333">
        <v>0</v>
      </c>
      <c r="N333">
        <v>0</v>
      </c>
      <c r="O333">
        <v>1</v>
      </c>
      <c r="P333">
        <v>0</v>
      </c>
      <c r="Q333">
        <v>1</v>
      </c>
      <c r="R333">
        <v>1</v>
      </c>
      <c r="S333">
        <v>1</v>
      </c>
      <c r="T333">
        <v>0</v>
      </c>
      <c r="U333">
        <v>0</v>
      </c>
      <c r="V333">
        <v>0</v>
      </c>
    </row>
    <row r="334" spans="1:22" x14ac:dyDescent="0.2">
      <c r="A334" t="s">
        <v>415</v>
      </c>
      <c r="B334" t="s">
        <v>108</v>
      </c>
      <c r="C334" t="s">
        <v>41</v>
      </c>
      <c r="D334" t="s">
        <v>72</v>
      </c>
      <c r="E334" t="s">
        <v>37</v>
      </c>
      <c r="F334" t="s">
        <v>47</v>
      </c>
      <c r="G334" t="s">
        <v>65</v>
      </c>
      <c r="H334" t="s">
        <v>48</v>
      </c>
      <c r="I334">
        <v>0</v>
      </c>
      <c r="J334">
        <v>1</v>
      </c>
      <c r="K334">
        <v>1</v>
      </c>
      <c r="L334">
        <v>1</v>
      </c>
      <c r="M334">
        <v>0</v>
      </c>
      <c r="N334">
        <v>0</v>
      </c>
      <c r="O334">
        <v>1</v>
      </c>
      <c r="P334">
        <v>0</v>
      </c>
      <c r="Q334">
        <v>1</v>
      </c>
      <c r="R334">
        <v>1</v>
      </c>
      <c r="S334">
        <v>1</v>
      </c>
      <c r="T334">
        <v>0</v>
      </c>
      <c r="U334">
        <v>0</v>
      </c>
      <c r="V334">
        <v>0</v>
      </c>
    </row>
    <row r="335" spans="1:22" x14ac:dyDescent="0.2">
      <c r="A335" t="s">
        <v>415</v>
      </c>
      <c r="B335" t="s">
        <v>108</v>
      </c>
      <c r="C335" t="s">
        <v>41</v>
      </c>
      <c r="D335" t="s">
        <v>55</v>
      </c>
      <c r="E335" t="s">
        <v>37</v>
      </c>
      <c r="F335" t="s">
        <v>59</v>
      </c>
      <c r="G335" t="s">
        <v>48</v>
      </c>
      <c r="H335" t="s">
        <v>65</v>
      </c>
      <c r="I335">
        <v>0</v>
      </c>
      <c r="J335">
        <v>1</v>
      </c>
      <c r="K335">
        <v>1</v>
      </c>
      <c r="L335">
        <v>0</v>
      </c>
      <c r="M335">
        <v>0</v>
      </c>
      <c r="N335">
        <v>0</v>
      </c>
      <c r="O335">
        <v>1</v>
      </c>
      <c r="P335">
        <v>0</v>
      </c>
      <c r="Q335">
        <v>1</v>
      </c>
      <c r="R335">
        <v>1</v>
      </c>
      <c r="S335">
        <v>0</v>
      </c>
      <c r="T335">
        <v>0</v>
      </c>
      <c r="U335">
        <v>0</v>
      </c>
      <c r="V335">
        <v>0</v>
      </c>
    </row>
    <row r="336" spans="1:22" x14ac:dyDescent="0.2">
      <c r="A336" t="s">
        <v>418</v>
      </c>
      <c r="B336" t="s">
        <v>33</v>
      </c>
      <c r="C336" t="s">
        <v>41</v>
      </c>
      <c r="D336" t="s">
        <v>61</v>
      </c>
      <c r="E336" t="s">
        <v>37</v>
      </c>
      <c r="F336" t="s">
        <v>47</v>
      </c>
      <c r="G336" t="s">
        <v>60</v>
      </c>
      <c r="H336" t="s">
        <v>48</v>
      </c>
      <c r="I336">
        <v>1</v>
      </c>
      <c r="J336">
        <v>0</v>
      </c>
      <c r="K336">
        <v>1</v>
      </c>
      <c r="L336">
        <v>1</v>
      </c>
      <c r="M336">
        <v>0</v>
      </c>
      <c r="N336">
        <v>0</v>
      </c>
      <c r="O336">
        <v>1</v>
      </c>
      <c r="P336">
        <v>0</v>
      </c>
      <c r="Q336">
        <v>0</v>
      </c>
      <c r="R336">
        <v>0</v>
      </c>
      <c r="S336">
        <v>0</v>
      </c>
      <c r="T336">
        <v>0</v>
      </c>
      <c r="U336">
        <v>0</v>
      </c>
      <c r="V336">
        <v>1</v>
      </c>
    </row>
    <row r="337" spans="1:22" x14ac:dyDescent="0.2">
      <c r="A337" t="s">
        <v>418</v>
      </c>
      <c r="B337" t="s">
        <v>33</v>
      </c>
      <c r="C337" t="s">
        <v>41</v>
      </c>
      <c r="D337" t="s">
        <v>72</v>
      </c>
      <c r="E337" t="s">
        <v>37</v>
      </c>
      <c r="F337" t="s">
        <v>65</v>
      </c>
      <c r="G337" t="s">
        <v>48</v>
      </c>
      <c r="H337" t="s">
        <v>60</v>
      </c>
      <c r="I337">
        <v>1</v>
      </c>
      <c r="J337">
        <v>1</v>
      </c>
      <c r="K337">
        <v>1</v>
      </c>
      <c r="L337">
        <v>0</v>
      </c>
      <c r="M337">
        <v>0</v>
      </c>
      <c r="N337">
        <v>0</v>
      </c>
      <c r="O337">
        <v>1</v>
      </c>
      <c r="P337">
        <v>1</v>
      </c>
      <c r="Q337">
        <v>1</v>
      </c>
      <c r="R337">
        <v>1</v>
      </c>
      <c r="S337">
        <v>0</v>
      </c>
      <c r="T337">
        <v>0</v>
      </c>
      <c r="U337">
        <v>0</v>
      </c>
      <c r="V337">
        <v>0</v>
      </c>
    </row>
    <row r="338" spans="1:22" x14ac:dyDescent="0.2">
      <c r="A338" t="s">
        <v>418</v>
      </c>
      <c r="B338" t="s">
        <v>33</v>
      </c>
      <c r="C338" t="s">
        <v>41</v>
      </c>
      <c r="D338" t="s">
        <v>55</v>
      </c>
      <c r="E338" t="s">
        <v>37</v>
      </c>
      <c r="F338" t="s">
        <v>46</v>
      </c>
      <c r="G338" t="s">
        <v>65</v>
      </c>
      <c r="H338" t="s">
        <v>48</v>
      </c>
      <c r="I338">
        <v>0</v>
      </c>
      <c r="J338">
        <v>1</v>
      </c>
      <c r="K338">
        <v>1</v>
      </c>
      <c r="L338">
        <v>0</v>
      </c>
      <c r="M338">
        <v>1</v>
      </c>
      <c r="N338">
        <v>0</v>
      </c>
      <c r="O338">
        <v>1</v>
      </c>
      <c r="P338">
        <v>0</v>
      </c>
      <c r="Q338">
        <v>1</v>
      </c>
      <c r="R338">
        <v>0</v>
      </c>
      <c r="S338">
        <v>0</v>
      </c>
      <c r="T338">
        <v>0</v>
      </c>
      <c r="U338">
        <v>0</v>
      </c>
      <c r="V338">
        <v>0</v>
      </c>
    </row>
    <row r="339" spans="1:22" x14ac:dyDescent="0.2">
      <c r="A339" t="s">
        <v>418</v>
      </c>
      <c r="B339" t="s">
        <v>33</v>
      </c>
      <c r="C339" t="s">
        <v>41</v>
      </c>
      <c r="D339" t="s">
        <v>42</v>
      </c>
      <c r="E339" t="s">
        <v>37</v>
      </c>
      <c r="F339" t="s">
        <v>48</v>
      </c>
      <c r="G339" t="s">
        <v>65</v>
      </c>
      <c r="H339" t="s">
        <v>46</v>
      </c>
      <c r="I339">
        <v>0</v>
      </c>
      <c r="J339">
        <v>1</v>
      </c>
      <c r="K339">
        <v>1</v>
      </c>
      <c r="L339">
        <v>0</v>
      </c>
      <c r="M339">
        <v>1</v>
      </c>
      <c r="N339">
        <v>0</v>
      </c>
      <c r="O339">
        <v>1</v>
      </c>
      <c r="P339">
        <v>0</v>
      </c>
      <c r="Q339">
        <v>0</v>
      </c>
      <c r="R339">
        <v>0</v>
      </c>
      <c r="S339">
        <v>0</v>
      </c>
      <c r="T339">
        <v>0</v>
      </c>
      <c r="U339">
        <v>0</v>
      </c>
      <c r="V339">
        <v>1</v>
      </c>
    </row>
    <row r="340" spans="1:22" x14ac:dyDescent="0.2">
      <c r="A340" t="s">
        <v>422</v>
      </c>
      <c r="B340" t="s">
        <v>108</v>
      </c>
      <c r="C340" t="s">
        <v>41</v>
      </c>
      <c r="D340" t="s">
        <v>61</v>
      </c>
      <c r="E340" t="s">
        <v>37</v>
      </c>
      <c r="F340" t="s">
        <v>48</v>
      </c>
      <c r="G340" t="s">
        <v>60</v>
      </c>
      <c r="H340" t="s">
        <v>65</v>
      </c>
      <c r="I340">
        <v>1</v>
      </c>
      <c r="J340">
        <v>1</v>
      </c>
      <c r="K340">
        <v>1</v>
      </c>
      <c r="L340">
        <v>0</v>
      </c>
      <c r="M340">
        <v>0</v>
      </c>
      <c r="N340">
        <v>0</v>
      </c>
      <c r="O340">
        <v>1</v>
      </c>
      <c r="P340">
        <v>0</v>
      </c>
      <c r="Q340">
        <v>0</v>
      </c>
      <c r="R340">
        <v>1</v>
      </c>
      <c r="S340">
        <v>0</v>
      </c>
      <c r="T340">
        <v>0</v>
      </c>
      <c r="U340">
        <v>0</v>
      </c>
      <c r="V340">
        <v>0</v>
      </c>
    </row>
    <row r="341" spans="1:22" x14ac:dyDescent="0.2">
      <c r="A341" t="s">
        <v>422</v>
      </c>
      <c r="B341" t="s">
        <v>108</v>
      </c>
      <c r="C341" t="s">
        <v>41</v>
      </c>
      <c r="D341" t="s">
        <v>67</v>
      </c>
      <c r="E341" t="s">
        <v>37</v>
      </c>
      <c r="F341" t="s">
        <v>48</v>
      </c>
      <c r="G341" t="s">
        <v>65</v>
      </c>
      <c r="H341" t="s">
        <v>46</v>
      </c>
      <c r="I341">
        <v>0</v>
      </c>
      <c r="J341">
        <v>1</v>
      </c>
      <c r="K341">
        <v>1</v>
      </c>
      <c r="L341">
        <v>0</v>
      </c>
      <c r="M341">
        <v>1</v>
      </c>
      <c r="N341">
        <v>0</v>
      </c>
      <c r="O341">
        <v>1</v>
      </c>
      <c r="P341">
        <v>0</v>
      </c>
      <c r="Q341">
        <v>1</v>
      </c>
      <c r="R341">
        <v>0</v>
      </c>
      <c r="S341">
        <v>0</v>
      </c>
      <c r="T341">
        <v>0</v>
      </c>
      <c r="U341">
        <v>0</v>
      </c>
      <c r="V341">
        <v>0</v>
      </c>
    </row>
    <row r="342" spans="1:22" x14ac:dyDescent="0.2">
      <c r="A342" t="s">
        <v>422</v>
      </c>
      <c r="B342" t="s">
        <v>108</v>
      </c>
      <c r="C342" t="s">
        <v>41</v>
      </c>
      <c r="D342" t="s">
        <v>49</v>
      </c>
      <c r="E342" t="s">
        <v>37</v>
      </c>
      <c r="F342" t="s">
        <v>48</v>
      </c>
      <c r="G342" t="s">
        <v>47</v>
      </c>
      <c r="H342" t="s">
        <v>65</v>
      </c>
      <c r="I342">
        <v>0</v>
      </c>
      <c r="J342">
        <v>1</v>
      </c>
      <c r="K342">
        <v>1</v>
      </c>
      <c r="L342">
        <v>1</v>
      </c>
      <c r="M342">
        <v>0</v>
      </c>
      <c r="N342">
        <v>0</v>
      </c>
      <c r="O342">
        <v>1</v>
      </c>
      <c r="P342">
        <v>0</v>
      </c>
      <c r="Q342">
        <v>1</v>
      </c>
      <c r="R342">
        <v>0</v>
      </c>
      <c r="S342">
        <v>0</v>
      </c>
      <c r="T342">
        <v>0</v>
      </c>
      <c r="U342">
        <v>0</v>
      </c>
      <c r="V342">
        <v>0</v>
      </c>
    </row>
    <row r="343" spans="1:22" x14ac:dyDescent="0.2">
      <c r="A343" t="s">
        <v>422</v>
      </c>
      <c r="B343" t="s">
        <v>108</v>
      </c>
      <c r="C343" t="s">
        <v>41</v>
      </c>
      <c r="D343" t="s">
        <v>42</v>
      </c>
      <c r="E343" t="s">
        <v>37</v>
      </c>
      <c r="F343" t="s">
        <v>48</v>
      </c>
      <c r="G343" t="s">
        <v>59</v>
      </c>
      <c r="H343" t="s">
        <v>60</v>
      </c>
      <c r="I343">
        <v>1</v>
      </c>
      <c r="J343">
        <v>0</v>
      </c>
      <c r="K343">
        <v>1</v>
      </c>
      <c r="L343">
        <v>0</v>
      </c>
      <c r="M343">
        <v>0</v>
      </c>
      <c r="N343">
        <v>0</v>
      </c>
      <c r="O343">
        <v>1</v>
      </c>
      <c r="P343">
        <v>0</v>
      </c>
      <c r="Q343">
        <v>0</v>
      </c>
      <c r="R343">
        <v>1</v>
      </c>
      <c r="S343">
        <v>0</v>
      </c>
      <c r="T343">
        <v>0</v>
      </c>
      <c r="U343">
        <v>0</v>
      </c>
      <c r="V343">
        <v>0</v>
      </c>
    </row>
    <row r="344" spans="1:22" x14ac:dyDescent="0.2">
      <c r="A344" t="s">
        <v>426</v>
      </c>
      <c r="B344" t="s">
        <v>108</v>
      </c>
      <c r="C344" t="s">
        <v>41</v>
      </c>
      <c r="D344" t="s">
        <v>49</v>
      </c>
      <c r="E344" t="s">
        <v>37</v>
      </c>
      <c r="F344" t="s">
        <v>48</v>
      </c>
      <c r="G344" t="s">
        <v>65</v>
      </c>
      <c r="H344" t="s">
        <v>47</v>
      </c>
      <c r="I344">
        <v>0</v>
      </c>
      <c r="J344">
        <v>1</v>
      </c>
      <c r="K344">
        <v>1</v>
      </c>
      <c r="L344">
        <v>1</v>
      </c>
      <c r="M344">
        <v>0</v>
      </c>
      <c r="N344">
        <v>0</v>
      </c>
      <c r="O344">
        <v>1</v>
      </c>
      <c r="P344">
        <v>0</v>
      </c>
      <c r="Q344">
        <v>1</v>
      </c>
      <c r="R344">
        <v>0</v>
      </c>
      <c r="S344">
        <v>0</v>
      </c>
      <c r="T344">
        <v>0</v>
      </c>
      <c r="U344">
        <v>0</v>
      </c>
      <c r="V344">
        <v>0</v>
      </c>
    </row>
    <row r="345" spans="1:22" x14ac:dyDescent="0.2">
      <c r="A345" t="s">
        <v>426</v>
      </c>
      <c r="B345" t="s">
        <v>108</v>
      </c>
      <c r="C345" t="s">
        <v>41</v>
      </c>
      <c r="D345" t="s">
        <v>55</v>
      </c>
      <c r="E345" t="s">
        <v>37</v>
      </c>
      <c r="F345" t="s">
        <v>48</v>
      </c>
      <c r="G345" t="s">
        <v>65</v>
      </c>
      <c r="H345" t="s">
        <v>47</v>
      </c>
      <c r="I345">
        <v>0</v>
      </c>
      <c r="J345">
        <v>1</v>
      </c>
      <c r="K345">
        <v>1</v>
      </c>
      <c r="L345">
        <v>1</v>
      </c>
      <c r="M345">
        <v>0</v>
      </c>
      <c r="N345">
        <v>0</v>
      </c>
      <c r="O345">
        <v>1</v>
      </c>
      <c r="P345">
        <v>0</v>
      </c>
      <c r="Q345">
        <v>1</v>
      </c>
      <c r="R345">
        <v>0</v>
      </c>
      <c r="S345">
        <v>0</v>
      </c>
      <c r="T345">
        <v>0</v>
      </c>
      <c r="U345">
        <v>0</v>
      </c>
      <c r="V345">
        <v>0</v>
      </c>
    </row>
    <row r="346" spans="1:22" x14ac:dyDescent="0.2">
      <c r="A346" t="s">
        <v>426</v>
      </c>
      <c r="B346" t="s">
        <v>108</v>
      </c>
      <c r="C346" t="s">
        <v>41</v>
      </c>
      <c r="D346" t="s">
        <v>72</v>
      </c>
      <c r="E346" t="s">
        <v>37</v>
      </c>
      <c r="F346" t="s">
        <v>47</v>
      </c>
      <c r="G346" t="s">
        <v>65</v>
      </c>
      <c r="H346" t="s">
        <v>48</v>
      </c>
      <c r="I346">
        <v>0</v>
      </c>
      <c r="J346">
        <v>1</v>
      </c>
      <c r="K346">
        <v>1</v>
      </c>
      <c r="L346">
        <v>1</v>
      </c>
      <c r="M346">
        <v>0</v>
      </c>
      <c r="N346">
        <v>0</v>
      </c>
      <c r="O346">
        <v>1</v>
      </c>
      <c r="P346">
        <v>0</v>
      </c>
      <c r="Q346">
        <v>1</v>
      </c>
      <c r="R346">
        <v>0</v>
      </c>
      <c r="S346">
        <v>0</v>
      </c>
      <c r="T346">
        <v>0</v>
      </c>
      <c r="U346">
        <v>0</v>
      </c>
      <c r="V346">
        <v>0</v>
      </c>
    </row>
    <row r="347" spans="1:22" x14ac:dyDescent="0.2">
      <c r="A347" t="s">
        <v>426</v>
      </c>
      <c r="B347" t="s">
        <v>108</v>
      </c>
      <c r="C347" t="s">
        <v>41</v>
      </c>
      <c r="D347" t="s">
        <v>42</v>
      </c>
      <c r="E347" t="s">
        <v>37</v>
      </c>
      <c r="F347" t="s">
        <v>47</v>
      </c>
      <c r="G347" t="s">
        <v>48</v>
      </c>
      <c r="H347" t="s">
        <v>46</v>
      </c>
      <c r="I347">
        <v>0</v>
      </c>
      <c r="J347">
        <v>0</v>
      </c>
      <c r="K347">
        <v>1</v>
      </c>
      <c r="L347">
        <v>1</v>
      </c>
      <c r="M347">
        <v>1</v>
      </c>
      <c r="N347">
        <v>0</v>
      </c>
      <c r="O347">
        <v>1</v>
      </c>
      <c r="P347">
        <v>0</v>
      </c>
      <c r="Q347">
        <v>0</v>
      </c>
      <c r="R347">
        <v>0</v>
      </c>
      <c r="S347">
        <v>0</v>
      </c>
      <c r="T347">
        <v>0</v>
      </c>
      <c r="U347">
        <v>0</v>
      </c>
      <c r="V347">
        <v>1</v>
      </c>
    </row>
    <row r="348" spans="1:22" x14ac:dyDescent="0.2">
      <c r="A348" t="s">
        <v>429</v>
      </c>
      <c r="B348" t="s">
        <v>430</v>
      </c>
      <c r="C348" t="s">
        <v>41</v>
      </c>
      <c r="D348" t="s">
        <v>55</v>
      </c>
      <c r="E348" t="s">
        <v>37</v>
      </c>
      <c r="F348" t="s">
        <v>47</v>
      </c>
      <c r="G348" t="s">
        <v>59</v>
      </c>
      <c r="H348" t="s">
        <v>48</v>
      </c>
      <c r="I348">
        <v>0</v>
      </c>
      <c r="J348">
        <v>0</v>
      </c>
      <c r="K348">
        <v>1</v>
      </c>
      <c r="L348">
        <v>1</v>
      </c>
      <c r="M348">
        <v>0</v>
      </c>
      <c r="N348">
        <v>0</v>
      </c>
      <c r="O348">
        <v>1</v>
      </c>
      <c r="P348">
        <v>0</v>
      </c>
      <c r="Q348">
        <v>0</v>
      </c>
      <c r="R348">
        <v>0</v>
      </c>
      <c r="S348">
        <v>1</v>
      </c>
      <c r="T348">
        <v>0</v>
      </c>
      <c r="U348">
        <v>0</v>
      </c>
      <c r="V348">
        <v>0</v>
      </c>
    </row>
    <row r="349" spans="1:22" x14ac:dyDescent="0.2">
      <c r="A349" t="s">
        <v>429</v>
      </c>
      <c r="B349" t="s">
        <v>430</v>
      </c>
      <c r="C349" t="s">
        <v>41</v>
      </c>
      <c r="D349" t="s">
        <v>67</v>
      </c>
      <c r="E349" t="s">
        <v>37</v>
      </c>
      <c r="F349" t="s">
        <v>46</v>
      </c>
      <c r="G349" t="s">
        <v>60</v>
      </c>
      <c r="H349" t="s">
        <v>48</v>
      </c>
      <c r="I349">
        <v>1</v>
      </c>
      <c r="J349">
        <v>0</v>
      </c>
      <c r="K349">
        <v>1</v>
      </c>
      <c r="L349">
        <v>0</v>
      </c>
      <c r="M349">
        <v>1</v>
      </c>
      <c r="N349">
        <v>0</v>
      </c>
      <c r="O349">
        <v>1</v>
      </c>
      <c r="P349">
        <v>0</v>
      </c>
      <c r="Q349">
        <v>0</v>
      </c>
      <c r="R349">
        <v>1</v>
      </c>
      <c r="S349">
        <v>0</v>
      </c>
      <c r="T349">
        <v>1</v>
      </c>
      <c r="U349">
        <v>0</v>
      </c>
      <c r="V349">
        <v>0</v>
      </c>
    </row>
    <row r="350" spans="1:22" x14ac:dyDescent="0.2">
      <c r="A350" t="s">
        <v>429</v>
      </c>
      <c r="B350" t="s">
        <v>430</v>
      </c>
      <c r="C350" t="s">
        <v>41</v>
      </c>
      <c r="D350" t="s">
        <v>49</v>
      </c>
      <c r="E350" t="s">
        <v>37</v>
      </c>
      <c r="F350" t="s">
        <v>65</v>
      </c>
      <c r="G350" t="s">
        <v>47</v>
      </c>
      <c r="H350" t="s">
        <v>48</v>
      </c>
      <c r="I350">
        <v>0</v>
      </c>
      <c r="J350">
        <v>1</v>
      </c>
      <c r="K350">
        <v>1</v>
      </c>
      <c r="L350">
        <v>1</v>
      </c>
      <c r="M350">
        <v>0</v>
      </c>
      <c r="N350">
        <v>0</v>
      </c>
      <c r="O350">
        <v>1</v>
      </c>
      <c r="P350">
        <v>0</v>
      </c>
      <c r="Q350">
        <v>1</v>
      </c>
      <c r="R350">
        <v>0</v>
      </c>
      <c r="S350">
        <v>1</v>
      </c>
      <c r="T350">
        <v>0</v>
      </c>
      <c r="U350">
        <v>0</v>
      </c>
      <c r="V350">
        <v>0</v>
      </c>
    </row>
    <row r="351" spans="1:22" x14ac:dyDescent="0.2">
      <c r="A351" t="s">
        <v>429</v>
      </c>
      <c r="B351" t="s">
        <v>430</v>
      </c>
      <c r="C351" t="s">
        <v>41</v>
      </c>
      <c r="D351" t="s">
        <v>61</v>
      </c>
      <c r="E351" t="s">
        <v>37</v>
      </c>
      <c r="F351" t="s">
        <v>65</v>
      </c>
      <c r="G351" t="s">
        <v>46</v>
      </c>
      <c r="H351" t="s">
        <v>48</v>
      </c>
      <c r="I351">
        <v>0</v>
      </c>
      <c r="J351">
        <v>1</v>
      </c>
      <c r="K351">
        <v>1</v>
      </c>
      <c r="L351">
        <v>0</v>
      </c>
      <c r="M351">
        <v>1</v>
      </c>
      <c r="N351">
        <v>0</v>
      </c>
      <c r="O351">
        <v>1</v>
      </c>
      <c r="P351">
        <v>0</v>
      </c>
      <c r="Q351">
        <v>1</v>
      </c>
      <c r="R351">
        <v>0</v>
      </c>
      <c r="S351">
        <v>0</v>
      </c>
      <c r="T351">
        <v>0</v>
      </c>
      <c r="U351">
        <v>0</v>
      </c>
      <c r="V351">
        <v>0</v>
      </c>
    </row>
    <row r="352" spans="1:22" x14ac:dyDescent="0.2">
      <c r="A352" t="s">
        <v>429</v>
      </c>
      <c r="B352" t="s">
        <v>430</v>
      </c>
      <c r="C352" t="s">
        <v>41</v>
      </c>
      <c r="D352" t="s">
        <v>72</v>
      </c>
      <c r="E352" t="s">
        <v>37</v>
      </c>
      <c r="F352" t="s">
        <v>60</v>
      </c>
      <c r="G352" t="s">
        <v>48</v>
      </c>
      <c r="H352" t="s">
        <v>47</v>
      </c>
      <c r="I352">
        <v>1</v>
      </c>
      <c r="J352">
        <v>0</v>
      </c>
      <c r="K352">
        <v>1</v>
      </c>
      <c r="L352">
        <v>1</v>
      </c>
      <c r="M352">
        <v>0</v>
      </c>
      <c r="N352">
        <v>0</v>
      </c>
      <c r="O352">
        <v>1</v>
      </c>
      <c r="P352">
        <v>0</v>
      </c>
      <c r="Q352">
        <v>0</v>
      </c>
      <c r="R352">
        <v>0</v>
      </c>
      <c r="S352">
        <v>1</v>
      </c>
      <c r="T352">
        <v>0</v>
      </c>
      <c r="U352">
        <v>0</v>
      </c>
      <c r="V352">
        <v>0</v>
      </c>
    </row>
    <row r="353" spans="1:22" x14ac:dyDescent="0.2">
      <c r="A353" t="s">
        <v>434</v>
      </c>
      <c r="B353" t="s">
        <v>108</v>
      </c>
      <c r="C353" t="s">
        <v>41</v>
      </c>
      <c r="D353" t="s">
        <v>55</v>
      </c>
      <c r="E353" t="s">
        <v>37</v>
      </c>
      <c r="F353" t="s">
        <v>46</v>
      </c>
      <c r="G353" t="s">
        <v>65</v>
      </c>
      <c r="H353" t="s">
        <v>48</v>
      </c>
      <c r="I353">
        <v>0</v>
      </c>
      <c r="J353">
        <v>1</v>
      </c>
      <c r="K353">
        <v>1</v>
      </c>
      <c r="L353">
        <v>0</v>
      </c>
      <c r="M353">
        <v>1</v>
      </c>
      <c r="N353">
        <v>0</v>
      </c>
      <c r="O353">
        <v>1</v>
      </c>
      <c r="P353">
        <v>0</v>
      </c>
      <c r="Q353">
        <v>1</v>
      </c>
      <c r="R353">
        <v>1</v>
      </c>
      <c r="S353">
        <v>0</v>
      </c>
      <c r="T353">
        <v>1</v>
      </c>
      <c r="U353">
        <v>0</v>
      </c>
      <c r="V353">
        <v>0</v>
      </c>
    </row>
    <row r="354" spans="1:22" x14ac:dyDescent="0.2">
      <c r="A354" t="s">
        <v>434</v>
      </c>
      <c r="B354" t="s">
        <v>108</v>
      </c>
      <c r="C354" t="s">
        <v>41</v>
      </c>
      <c r="D354" t="s">
        <v>42</v>
      </c>
      <c r="E354" t="s">
        <v>37</v>
      </c>
      <c r="F354" t="s">
        <v>46</v>
      </c>
      <c r="G354" t="s">
        <v>48</v>
      </c>
      <c r="H354" t="s">
        <v>60</v>
      </c>
      <c r="I354">
        <v>1</v>
      </c>
      <c r="J354">
        <v>0</v>
      </c>
      <c r="K354">
        <v>1</v>
      </c>
      <c r="L354">
        <v>0</v>
      </c>
      <c r="M354">
        <v>1</v>
      </c>
      <c r="N354">
        <v>0</v>
      </c>
      <c r="O354">
        <v>1</v>
      </c>
      <c r="P354">
        <v>1</v>
      </c>
      <c r="Q354">
        <v>0</v>
      </c>
      <c r="R354">
        <v>1</v>
      </c>
      <c r="S354">
        <v>0</v>
      </c>
      <c r="T354">
        <v>1</v>
      </c>
      <c r="U354">
        <v>0</v>
      </c>
      <c r="V354">
        <v>0</v>
      </c>
    </row>
    <row r="355" spans="1:22" x14ac:dyDescent="0.2">
      <c r="A355" t="s">
        <v>434</v>
      </c>
      <c r="B355" t="s">
        <v>108</v>
      </c>
      <c r="C355" t="s">
        <v>41</v>
      </c>
      <c r="D355" t="s">
        <v>49</v>
      </c>
      <c r="E355" t="s">
        <v>37</v>
      </c>
      <c r="F355" t="s">
        <v>48</v>
      </c>
      <c r="G355" t="s">
        <v>59</v>
      </c>
      <c r="H355" t="s">
        <v>47</v>
      </c>
      <c r="I355">
        <v>0</v>
      </c>
      <c r="J355">
        <v>0</v>
      </c>
      <c r="K355">
        <v>1</v>
      </c>
      <c r="L355">
        <v>1</v>
      </c>
      <c r="M355">
        <v>0</v>
      </c>
      <c r="N355">
        <v>0</v>
      </c>
      <c r="O355">
        <v>1</v>
      </c>
      <c r="P355">
        <v>0</v>
      </c>
      <c r="Q355">
        <v>0</v>
      </c>
      <c r="R355">
        <v>0</v>
      </c>
      <c r="S355">
        <v>0</v>
      </c>
      <c r="T355">
        <v>0</v>
      </c>
      <c r="U355">
        <v>0</v>
      </c>
      <c r="V355">
        <v>1</v>
      </c>
    </row>
    <row r="356" spans="1:22" x14ac:dyDescent="0.2">
      <c r="A356" t="s">
        <v>437</v>
      </c>
      <c r="B356" t="s">
        <v>108</v>
      </c>
      <c r="C356" t="s">
        <v>41</v>
      </c>
      <c r="D356" t="s">
        <v>72</v>
      </c>
      <c r="E356" t="s">
        <v>37</v>
      </c>
      <c r="F356" t="s">
        <v>48</v>
      </c>
      <c r="G356" t="s">
        <v>65</v>
      </c>
      <c r="H356" t="s">
        <v>47</v>
      </c>
      <c r="I356">
        <v>0</v>
      </c>
      <c r="J356">
        <v>1</v>
      </c>
      <c r="K356">
        <v>1</v>
      </c>
      <c r="L356">
        <v>1</v>
      </c>
      <c r="M356">
        <v>0</v>
      </c>
      <c r="N356">
        <v>0</v>
      </c>
      <c r="O356">
        <v>1</v>
      </c>
      <c r="P356">
        <v>0</v>
      </c>
      <c r="Q356">
        <v>0</v>
      </c>
      <c r="R356">
        <v>0</v>
      </c>
      <c r="S356">
        <v>0</v>
      </c>
      <c r="T356">
        <v>0</v>
      </c>
      <c r="U356">
        <v>0</v>
      </c>
      <c r="V356">
        <v>1</v>
      </c>
    </row>
    <row r="357" spans="1:22" x14ac:dyDescent="0.2">
      <c r="A357" t="s">
        <v>437</v>
      </c>
      <c r="B357" t="s">
        <v>108</v>
      </c>
      <c r="C357" t="s">
        <v>41</v>
      </c>
      <c r="D357" t="s">
        <v>61</v>
      </c>
      <c r="E357" t="s">
        <v>37</v>
      </c>
      <c r="F357" t="s">
        <v>48</v>
      </c>
      <c r="G357" t="s">
        <v>59</v>
      </c>
      <c r="H357" t="s">
        <v>65</v>
      </c>
      <c r="I357">
        <v>0</v>
      </c>
      <c r="J357">
        <v>1</v>
      </c>
      <c r="K357">
        <v>1</v>
      </c>
      <c r="L357">
        <v>0</v>
      </c>
      <c r="M357">
        <v>0</v>
      </c>
      <c r="N357">
        <v>0</v>
      </c>
      <c r="O357">
        <v>1</v>
      </c>
      <c r="P357">
        <v>0</v>
      </c>
      <c r="Q357">
        <v>0</v>
      </c>
      <c r="R357">
        <v>0</v>
      </c>
      <c r="S357">
        <v>0</v>
      </c>
      <c r="T357">
        <v>0</v>
      </c>
      <c r="U357">
        <v>0</v>
      </c>
      <c r="V357">
        <v>1</v>
      </c>
    </row>
    <row r="358" spans="1:22" x14ac:dyDescent="0.2">
      <c r="A358" t="s">
        <v>437</v>
      </c>
      <c r="B358" t="s">
        <v>108</v>
      </c>
      <c r="C358" t="s">
        <v>41</v>
      </c>
      <c r="D358" t="s">
        <v>42</v>
      </c>
      <c r="E358" t="s">
        <v>37</v>
      </c>
      <c r="F358" t="s">
        <v>47</v>
      </c>
      <c r="G358" t="s">
        <v>65</v>
      </c>
      <c r="H358" t="s">
        <v>48</v>
      </c>
      <c r="I358">
        <v>0</v>
      </c>
      <c r="J358">
        <v>1</v>
      </c>
      <c r="K358">
        <v>1</v>
      </c>
      <c r="L358">
        <v>1</v>
      </c>
      <c r="M358">
        <v>0</v>
      </c>
      <c r="N358">
        <v>0</v>
      </c>
      <c r="O358">
        <v>1</v>
      </c>
      <c r="P358">
        <v>0</v>
      </c>
      <c r="Q358">
        <v>0</v>
      </c>
      <c r="R358">
        <v>0</v>
      </c>
      <c r="S358">
        <v>0</v>
      </c>
      <c r="T358">
        <v>0</v>
      </c>
      <c r="U358">
        <v>0</v>
      </c>
      <c r="V358">
        <v>1</v>
      </c>
    </row>
    <row r="359" spans="1:22" x14ac:dyDescent="0.2">
      <c r="A359" t="s">
        <v>441</v>
      </c>
      <c r="B359" t="s">
        <v>33</v>
      </c>
      <c r="C359" t="s">
        <v>41</v>
      </c>
      <c r="D359" t="s">
        <v>55</v>
      </c>
      <c r="E359" t="s">
        <v>442</v>
      </c>
      <c r="F359" t="s">
        <v>65</v>
      </c>
      <c r="G359" t="s">
        <v>46</v>
      </c>
      <c r="H359" t="s">
        <v>48</v>
      </c>
      <c r="I359">
        <v>0</v>
      </c>
      <c r="J359">
        <v>1</v>
      </c>
      <c r="K359">
        <v>1</v>
      </c>
      <c r="L359">
        <v>0</v>
      </c>
      <c r="M359">
        <v>1</v>
      </c>
      <c r="N359">
        <v>0</v>
      </c>
      <c r="O359">
        <v>1</v>
      </c>
      <c r="P359">
        <v>0</v>
      </c>
      <c r="Q359">
        <v>1</v>
      </c>
      <c r="R359">
        <v>0</v>
      </c>
      <c r="S359">
        <v>0</v>
      </c>
      <c r="T359">
        <v>0</v>
      </c>
      <c r="U359">
        <v>0</v>
      </c>
      <c r="V359">
        <v>0</v>
      </c>
    </row>
    <row r="360" spans="1:22" x14ac:dyDescent="0.2">
      <c r="A360" t="s">
        <v>441</v>
      </c>
      <c r="B360" t="s">
        <v>33</v>
      </c>
      <c r="C360" t="s">
        <v>41</v>
      </c>
      <c r="D360" t="s">
        <v>72</v>
      </c>
      <c r="E360" t="s">
        <v>442</v>
      </c>
      <c r="F360" t="s">
        <v>48</v>
      </c>
      <c r="G360" t="s">
        <v>65</v>
      </c>
      <c r="H360" t="s">
        <v>59</v>
      </c>
      <c r="I360">
        <v>0</v>
      </c>
      <c r="J360">
        <v>1</v>
      </c>
      <c r="K360">
        <v>1</v>
      </c>
      <c r="L360">
        <v>0</v>
      </c>
      <c r="M360">
        <v>0</v>
      </c>
      <c r="N360">
        <v>0</v>
      </c>
      <c r="O360">
        <v>1</v>
      </c>
      <c r="P360">
        <v>0</v>
      </c>
      <c r="Q360">
        <v>0</v>
      </c>
      <c r="R360">
        <v>1</v>
      </c>
      <c r="S360">
        <v>0</v>
      </c>
      <c r="T360">
        <v>0</v>
      </c>
      <c r="U360">
        <v>0</v>
      </c>
      <c r="V360">
        <v>0</v>
      </c>
    </row>
    <row r="361" spans="1:22" x14ac:dyDescent="0.2">
      <c r="A361" t="s">
        <v>441</v>
      </c>
      <c r="B361" t="s">
        <v>33</v>
      </c>
      <c r="C361" t="s">
        <v>41</v>
      </c>
      <c r="D361" t="s">
        <v>42</v>
      </c>
      <c r="E361" t="s">
        <v>442</v>
      </c>
      <c r="F361" t="s">
        <v>65</v>
      </c>
      <c r="G361" t="s">
        <v>46</v>
      </c>
      <c r="H361" t="s">
        <v>48</v>
      </c>
      <c r="I361">
        <v>0</v>
      </c>
      <c r="J361">
        <v>1</v>
      </c>
      <c r="K361">
        <v>1</v>
      </c>
      <c r="L361">
        <v>0</v>
      </c>
      <c r="M361">
        <v>1</v>
      </c>
      <c r="N361">
        <v>0</v>
      </c>
      <c r="O361">
        <v>1</v>
      </c>
      <c r="P361">
        <v>0</v>
      </c>
      <c r="Q361">
        <v>1</v>
      </c>
      <c r="R361">
        <v>0</v>
      </c>
      <c r="S361">
        <v>0</v>
      </c>
      <c r="T361">
        <v>0</v>
      </c>
      <c r="U361">
        <v>0</v>
      </c>
      <c r="V361">
        <v>0</v>
      </c>
    </row>
    <row r="362" spans="1:22" x14ac:dyDescent="0.2">
      <c r="A362" t="s">
        <v>441</v>
      </c>
      <c r="B362" t="s">
        <v>33</v>
      </c>
      <c r="C362" t="s">
        <v>41</v>
      </c>
      <c r="D362" t="s">
        <v>61</v>
      </c>
      <c r="E362" t="s">
        <v>442</v>
      </c>
      <c r="F362" t="s">
        <v>65</v>
      </c>
      <c r="G362" t="s">
        <v>48</v>
      </c>
      <c r="H362" t="s">
        <v>46</v>
      </c>
      <c r="I362">
        <v>0</v>
      </c>
      <c r="J362">
        <v>1</v>
      </c>
      <c r="K362">
        <v>1</v>
      </c>
      <c r="L362">
        <v>0</v>
      </c>
      <c r="M362">
        <v>1</v>
      </c>
      <c r="N362">
        <v>0</v>
      </c>
      <c r="O362">
        <v>1</v>
      </c>
      <c r="P362">
        <v>0</v>
      </c>
      <c r="Q362">
        <v>0</v>
      </c>
      <c r="R362">
        <v>1</v>
      </c>
      <c r="S362">
        <v>0</v>
      </c>
      <c r="T362">
        <v>0</v>
      </c>
      <c r="U362">
        <v>0</v>
      </c>
      <c r="V362">
        <v>0</v>
      </c>
    </row>
    <row r="363" spans="1:22" x14ac:dyDescent="0.2">
      <c r="A363" t="s">
        <v>444</v>
      </c>
      <c r="B363" t="s">
        <v>33</v>
      </c>
      <c r="C363" t="s">
        <v>41</v>
      </c>
      <c r="D363" t="s">
        <v>72</v>
      </c>
      <c r="E363" t="s">
        <v>442</v>
      </c>
      <c r="F363" t="s">
        <v>46</v>
      </c>
      <c r="G363" t="s">
        <v>47</v>
      </c>
      <c r="H363" t="s">
        <v>48</v>
      </c>
      <c r="I363">
        <v>0</v>
      </c>
      <c r="J363">
        <v>0</v>
      </c>
      <c r="K363">
        <v>1</v>
      </c>
      <c r="L363">
        <v>1</v>
      </c>
      <c r="M363">
        <v>1</v>
      </c>
      <c r="N363">
        <v>0</v>
      </c>
      <c r="O363">
        <v>1</v>
      </c>
      <c r="P363">
        <v>0</v>
      </c>
      <c r="Q363">
        <v>0</v>
      </c>
      <c r="R363">
        <v>1</v>
      </c>
      <c r="S363">
        <v>0</v>
      </c>
      <c r="T363">
        <v>0</v>
      </c>
      <c r="U363">
        <v>0</v>
      </c>
      <c r="V363">
        <v>0</v>
      </c>
    </row>
    <row r="364" spans="1:22" x14ac:dyDescent="0.2">
      <c r="A364" t="s">
        <v>444</v>
      </c>
      <c r="B364" t="s">
        <v>33</v>
      </c>
      <c r="C364" t="s">
        <v>41</v>
      </c>
      <c r="D364" t="s">
        <v>61</v>
      </c>
      <c r="E364" t="s">
        <v>442</v>
      </c>
      <c r="F364" t="s">
        <v>59</v>
      </c>
      <c r="G364" t="s">
        <v>48</v>
      </c>
      <c r="H364" t="s">
        <v>65</v>
      </c>
      <c r="I364">
        <v>0</v>
      </c>
      <c r="J364">
        <v>1</v>
      </c>
      <c r="K364">
        <v>1</v>
      </c>
      <c r="L364">
        <v>0</v>
      </c>
      <c r="M364">
        <v>0</v>
      </c>
      <c r="N364">
        <v>0</v>
      </c>
      <c r="O364">
        <v>1</v>
      </c>
      <c r="P364">
        <v>0</v>
      </c>
      <c r="Q364">
        <v>1</v>
      </c>
      <c r="R364">
        <v>0</v>
      </c>
      <c r="S364">
        <v>0</v>
      </c>
      <c r="T364">
        <v>0</v>
      </c>
      <c r="U364">
        <v>0</v>
      </c>
      <c r="V364">
        <v>0</v>
      </c>
    </row>
    <row r="365" spans="1:22" x14ac:dyDescent="0.2">
      <c r="A365" t="s">
        <v>444</v>
      </c>
      <c r="B365" t="s">
        <v>33</v>
      </c>
      <c r="C365" t="s">
        <v>41</v>
      </c>
      <c r="D365" t="s">
        <v>49</v>
      </c>
      <c r="E365" t="s">
        <v>442</v>
      </c>
      <c r="F365" t="s">
        <v>47</v>
      </c>
      <c r="G365" t="s">
        <v>48</v>
      </c>
      <c r="H365" t="s">
        <v>59</v>
      </c>
      <c r="I365">
        <v>0</v>
      </c>
      <c r="J365">
        <v>0</v>
      </c>
      <c r="K365">
        <v>1</v>
      </c>
      <c r="L365">
        <v>1</v>
      </c>
      <c r="M365">
        <v>0</v>
      </c>
      <c r="N365">
        <v>0</v>
      </c>
      <c r="O365">
        <v>1</v>
      </c>
      <c r="P365">
        <v>0</v>
      </c>
      <c r="Q365">
        <v>0</v>
      </c>
      <c r="R365">
        <v>0</v>
      </c>
      <c r="S365">
        <v>0</v>
      </c>
      <c r="T365">
        <v>0</v>
      </c>
      <c r="U365">
        <v>0</v>
      </c>
      <c r="V365">
        <v>0</v>
      </c>
    </row>
    <row r="366" spans="1:22" x14ac:dyDescent="0.2">
      <c r="A366" t="s">
        <v>444</v>
      </c>
      <c r="B366" t="s">
        <v>33</v>
      </c>
      <c r="C366" t="s">
        <v>41</v>
      </c>
      <c r="D366" t="s">
        <v>67</v>
      </c>
      <c r="E366" t="s">
        <v>442</v>
      </c>
      <c r="F366" t="s">
        <v>46</v>
      </c>
      <c r="G366" t="s">
        <v>65</v>
      </c>
      <c r="H366" t="s">
        <v>48</v>
      </c>
      <c r="I366">
        <v>0</v>
      </c>
      <c r="J366">
        <v>1</v>
      </c>
      <c r="K366">
        <v>1</v>
      </c>
      <c r="L366">
        <v>0</v>
      </c>
      <c r="M366">
        <v>1</v>
      </c>
      <c r="N366">
        <v>0</v>
      </c>
      <c r="O366">
        <v>1</v>
      </c>
      <c r="P366">
        <v>0</v>
      </c>
      <c r="Q366">
        <v>0</v>
      </c>
      <c r="R366">
        <v>1</v>
      </c>
      <c r="S366">
        <v>0</v>
      </c>
      <c r="T366">
        <v>0</v>
      </c>
      <c r="U366">
        <v>0</v>
      </c>
      <c r="V366">
        <v>0</v>
      </c>
    </row>
    <row r="367" spans="1:22" x14ac:dyDescent="0.2">
      <c r="A367" t="s">
        <v>444</v>
      </c>
      <c r="B367" t="s">
        <v>33</v>
      </c>
      <c r="C367" t="s">
        <v>41</v>
      </c>
      <c r="D367" t="s">
        <v>42</v>
      </c>
      <c r="E367" t="s">
        <v>442</v>
      </c>
      <c r="F367" t="s">
        <v>46</v>
      </c>
      <c r="G367" t="s">
        <v>65</v>
      </c>
      <c r="H367" t="s">
        <v>48</v>
      </c>
      <c r="I367">
        <v>0</v>
      </c>
      <c r="J367">
        <v>1</v>
      </c>
      <c r="K367">
        <v>1</v>
      </c>
      <c r="L367">
        <v>0</v>
      </c>
      <c r="M367">
        <v>1</v>
      </c>
      <c r="N367">
        <v>0</v>
      </c>
      <c r="O367">
        <v>1</v>
      </c>
      <c r="P367">
        <v>0</v>
      </c>
      <c r="Q367">
        <v>0</v>
      </c>
      <c r="R367">
        <v>0</v>
      </c>
      <c r="S367">
        <v>0</v>
      </c>
      <c r="T367">
        <v>1</v>
      </c>
      <c r="U367">
        <v>0</v>
      </c>
      <c r="V367">
        <v>0</v>
      </c>
    </row>
    <row r="368" spans="1:22" x14ac:dyDescent="0.2">
      <c r="A368" t="s">
        <v>445</v>
      </c>
      <c r="B368" t="s">
        <v>33</v>
      </c>
      <c r="C368" t="s">
        <v>41</v>
      </c>
      <c r="D368" t="s">
        <v>42</v>
      </c>
      <c r="E368" t="s">
        <v>442</v>
      </c>
      <c r="F368" t="s">
        <v>59</v>
      </c>
      <c r="G368" t="s">
        <v>48</v>
      </c>
      <c r="H368" t="s">
        <v>47</v>
      </c>
      <c r="I368">
        <v>0</v>
      </c>
      <c r="J368">
        <v>0</v>
      </c>
      <c r="K368">
        <v>1</v>
      </c>
      <c r="L368">
        <v>1</v>
      </c>
      <c r="M368">
        <v>0</v>
      </c>
      <c r="N368">
        <v>0</v>
      </c>
      <c r="O368">
        <v>1</v>
      </c>
      <c r="P368">
        <v>0</v>
      </c>
      <c r="Q368">
        <v>0</v>
      </c>
      <c r="R368">
        <v>1</v>
      </c>
      <c r="S368">
        <v>0</v>
      </c>
      <c r="T368">
        <v>0</v>
      </c>
      <c r="U368">
        <v>0</v>
      </c>
      <c r="V368">
        <v>0</v>
      </c>
    </row>
    <row r="369" spans="1:22" x14ac:dyDescent="0.2">
      <c r="A369" t="s">
        <v>445</v>
      </c>
      <c r="B369" t="s">
        <v>33</v>
      </c>
      <c r="C369" t="s">
        <v>41</v>
      </c>
      <c r="D369" t="s">
        <v>49</v>
      </c>
      <c r="E369" t="s">
        <v>442</v>
      </c>
      <c r="F369" t="s">
        <v>48</v>
      </c>
      <c r="G369" t="s">
        <v>65</v>
      </c>
      <c r="H369" t="s">
        <v>59</v>
      </c>
      <c r="I369">
        <v>0</v>
      </c>
      <c r="J369">
        <v>1</v>
      </c>
      <c r="K369">
        <v>1</v>
      </c>
      <c r="L369">
        <v>0</v>
      </c>
      <c r="M369">
        <v>0</v>
      </c>
      <c r="N369">
        <v>0</v>
      </c>
      <c r="O369">
        <v>1</v>
      </c>
      <c r="P369">
        <v>0</v>
      </c>
      <c r="Q369">
        <v>0</v>
      </c>
      <c r="R369">
        <v>0</v>
      </c>
      <c r="S369">
        <v>0</v>
      </c>
      <c r="T369">
        <v>0</v>
      </c>
      <c r="U369">
        <v>0</v>
      </c>
      <c r="V369">
        <v>0</v>
      </c>
    </row>
    <row r="370" spans="1:22" x14ac:dyDescent="0.2">
      <c r="A370" t="s">
        <v>445</v>
      </c>
      <c r="B370" t="s">
        <v>33</v>
      </c>
      <c r="C370" t="s">
        <v>41</v>
      </c>
      <c r="D370" t="s">
        <v>55</v>
      </c>
      <c r="E370" t="s">
        <v>442</v>
      </c>
      <c r="F370" t="s">
        <v>46</v>
      </c>
      <c r="G370" t="s">
        <v>48</v>
      </c>
      <c r="H370" t="s">
        <v>59</v>
      </c>
      <c r="I370">
        <v>0</v>
      </c>
      <c r="J370">
        <v>0</v>
      </c>
      <c r="K370">
        <v>1</v>
      </c>
      <c r="L370">
        <v>0</v>
      </c>
      <c r="M370">
        <v>1</v>
      </c>
      <c r="N370">
        <v>0</v>
      </c>
      <c r="O370">
        <v>1</v>
      </c>
      <c r="P370">
        <v>0</v>
      </c>
      <c r="Q370">
        <v>0</v>
      </c>
      <c r="R370">
        <v>0</v>
      </c>
      <c r="S370">
        <v>0</v>
      </c>
      <c r="T370">
        <v>0</v>
      </c>
      <c r="U370">
        <v>0</v>
      </c>
      <c r="V370">
        <v>0</v>
      </c>
    </row>
    <row r="371" spans="1:22" x14ac:dyDescent="0.2">
      <c r="A371" t="s">
        <v>445</v>
      </c>
      <c r="B371" t="s">
        <v>33</v>
      </c>
      <c r="C371" t="s">
        <v>41</v>
      </c>
      <c r="D371" t="s">
        <v>61</v>
      </c>
      <c r="E371" t="s">
        <v>442</v>
      </c>
      <c r="F371" t="s">
        <v>48</v>
      </c>
      <c r="G371" t="s">
        <v>65</v>
      </c>
      <c r="H371" t="s">
        <v>60</v>
      </c>
      <c r="I371">
        <v>1</v>
      </c>
      <c r="J371">
        <v>1</v>
      </c>
      <c r="K371">
        <v>1</v>
      </c>
      <c r="L371">
        <v>0</v>
      </c>
      <c r="M371">
        <v>0</v>
      </c>
      <c r="N371">
        <v>0</v>
      </c>
      <c r="O371">
        <v>1</v>
      </c>
      <c r="P371">
        <v>0</v>
      </c>
      <c r="Q371">
        <v>1</v>
      </c>
      <c r="R371">
        <v>0</v>
      </c>
      <c r="S371">
        <v>0</v>
      </c>
      <c r="T371">
        <v>0</v>
      </c>
      <c r="U371">
        <v>0</v>
      </c>
      <c r="V371">
        <v>0</v>
      </c>
    </row>
    <row r="372" spans="1:22" x14ac:dyDescent="0.2">
      <c r="A372" t="s">
        <v>445</v>
      </c>
      <c r="B372" t="s">
        <v>33</v>
      </c>
      <c r="C372" t="s">
        <v>41</v>
      </c>
      <c r="D372" t="s">
        <v>72</v>
      </c>
      <c r="E372" t="s">
        <v>442</v>
      </c>
      <c r="F372" t="s">
        <v>47</v>
      </c>
      <c r="G372" t="s">
        <v>48</v>
      </c>
      <c r="H372" t="s">
        <v>60</v>
      </c>
      <c r="I372">
        <v>1</v>
      </c>
      <c r="J372">
        <v>0</v>
      </c>
      <c r="K372">
        <v>1</v>
      </c>
      <c r="L372">
        <v>1</v>
      </c>
      <c r="M372">
        <v>0</v>
      </c>
      <c r="N372">
        <v>0</v>
      </c>
      <c r="O372">
        <v>1</v>
      </c>
      <c r="P372">
        <v>0</v>
      </c>
      <c r="Q372">
        <v>0</v>
      </c>
      <c r="R372">
        <v>0</v>
      </c>
      <c r="S372">
        <v>1</v>
      </c>
      <c r="T372">
        <v>0</v>
      </c>
      <c r="U372">
        <v>0</v>
      </c>
      <c r="V372">
        <v>0</v>
      </c>
    </row>
    <row r="373" spans="1:22" x14ac:dyDescent="0.2">
      <c r="A373" t="s">
        <v>448</v>
      </c>
      <c r="B373" t="s">
        <v>33</v>
      </c>
      <c r="C373" t="s">
        <v>41</v>
      </c>
      <c r="D373" t="s">
        <v>72</v>
      </c>
      <c r="E373" t="s">
        <v>442</v>
      </c>
      <c r="F373" t="s">
        <v>47</v>
      </c>
      <c r="G373" t="s">
        <v>48</v>
      </c>
      <c r="H373" t="s">
        <v>65</v>
      </c>
      <c r="I373">
        <v>0</v>
      </c>
      <c r="J373">
        <v>1</v>
      </c>
      <c r="K373">
        <v>1</v>
      </c>
      <c r="L373">
        <v>1</v>
      </c>
      <c r="M373">
        <v>0</v>
      </c>
      <c r="N373">
        <v>0</v>
      </c>
      <c r="O373">
        <v>1</v>
      </c>
      <c r="P373">
        <v>0</v>
      </c>
      <c r="Q373">
        <v>0</v>
      </c>
      <c r="R373">
        <v>1</v>
      </c>
      <c r="S373">
        <v>0</v>
      </c>
      <c r="T373">
        <v>0</v>
      </c>
      <c r="U373">
        <v>0</v>
      </c>
      <c r="V373">
        <v>0</v>
      </c>
    </row>
    <row r="374" spans="1:22" x14ac:dyDescent="0.2">
      <c r="A374" t="s">
        <v>448</v>
      </c>
      <c r="B374" t="s">
        <v>33</v>
      </c>
      <c r="C374" t="s">
        <v>41</v>
      </c>
      <c r="D374" t="s">
        <v>55</v>
      </c>
      <c r="E374" t="s">
        <v>442</v>
      </c>
      <c r="F374" t="s">
        <v>48</v>
      </c>
      <c r="G374" t="s">
        <v>47</v>
      </c>
      <c r="H374" t="s">
        <v>46</v>
      </c>
      <c r="I374">
        <v>0</v>
      </c>
      <c r="J374">
        <v>0</v>
      </c>
      <c r="K374">
        <v>1</v>
      </c>
      <c r="L374">
        <v>1</v>
      </c>
      <c r="M374">
        <v>1</v>
      </c>
      <c r="N374">
        <v>0</v>
      </c>
      <c r="O374">
        <v>1</v>
      </c>
      <c r="P374">
        <v>0</v>
      </c>
      <c r="Q374">
        <v>0</v>
      </c>
      <c r="R374">
        <v>0</v>
      </c>
      <c r="S374">
        <v>0</v>
      </c>
      <c r="T374">
        <v>1</v>
      </c>
      <c r="U374">
        <v>0</v>
      </c>
      <c r="V374">
        <v>0</v>
      </c>
    </row>
    <row r="375" spans="1:22" x14ac:dyDescent="0.2">
      <c r="A375" t="s">
        <v>448</v>
      </c>
      <c r="B375" t="s">
        <v>33</v>
      </c>
      <c r="C375" t="s">
        <v>41</v>
      </c>
      <c r="D375" t="s">
        <v>67</v>
      </c>
      <c r="E375" t="s">
        <v>442</v>
      </c>
      <c r="F375" t="s">
        <v>46</v>
      </c>
      <c r="G375" t="s">
        <v>60</v>
      </c>
      <c r="H375" t="s">
        <v>48</v>
      </c>
      <c r="I375">
        <v>1</v>
      </c>
      <c r="J375">
        <v>0</v>
      </c>
      <c r="K375">
        <v>1</v>
      </c>
      <c r="L375">
        <v>0</v>
      </c>
      <c r="M375">
        <v>1</v>
      </c>
      <c r="N375">
        <v>0</v>
      </c>
      <c r="O375">
        <v>1</v>
      </c>
      <c r="P375">
        <v>0</v>
      </c>
      <c r="Q375">
        <v>0</v>
      </c>
      <c r="R375">
        <v>1</v>
      </c>
      <c r="S375">
        <v>0</v>
      </c>
      <c r="T375">
        <v>0</v>
      </c>
      <c r="U375">
        <v>0</v>
      </c>
      <c r="V375">
        <v>0</v>
      </c>
    </row>
    <row r="376" spans="1:22" x14ac:dyDescent="0.2">
      <c r="A376" t="s">
        <v>448</v>
      </c>
      <c r="B376" t="s">
        <v>33</v>
      </c>
      <c r="C376" t="s">
        <v>41</v>
      </c>
      <c r="D376" t="s">
        <v>61</v>
      </c>
      <c r="E376" t="s">
        <v>442</v>
      </c>
      <c r="F376" t="s">
        <v>47</v>
      </c>
      <c r="G376" t="s">
        <v>48</v>
      </c>
      <c r="H376" t="s">
        <v>46</v>
      </c>
      <c r="I376">
        <v>0</v>
      </c>
      <c r="J376">
        <v>0</v>
      </c>
      <c r="K376">
        <v>1</v>
      </c>
      <c r="L376">
        <v>1</v>
      </c>
      <c r="M376">
        <v>1</v>
      </c>
      <c r="N376">
        <v>0</v>
      </c>
      <c r="O376">
        <v>1</v>
      </c>
      <c r="P376">
        <v>0</v>
      </c>
      <c r="Q376">
        <v>0</v>
      </c>
      <c r="R376">
        <v>1</v>
      </c>
      <c r="S376">
        <v>0</v>
      </c>
      <c r="T376">
        <v>0</v>
      </c>
      <c r="U376">
        <v>0</v>
      </c>
      <c r="V376">
        <v>0</v>
      </c>
    </row>
    <row r="377" spans="1:22" x14ac:dyDescent="0.2">
      <c r="A377" t="s">
        <v>448</v>
      </c>
      <c r="B377" t="s">
        <v>33</v>
      </c>
      <c r="C377" t="s">
        <v>41</v>
      </c>
      <c r="D377" t="s">
        <v>42</v>
      </c>
      <c r="E377" t="s">
        <v>442</v>
      </c>
      <c r="F377" t="s">
        <v>48</v>
      </c>
      <c r="G377" t="s">
        <v>46</v>
      </c>
      <c r="H377" t="s">
        <v>47</v>
      </c>
      <c r="I377">
        <v>0</v>
      </c>
      <c r="J377">
        <v>0</v>
      </c>
      <c r="K377">
        <v>1</v>
      </c>
      <c r="L377">
        <v>1</v>
      </c>
      <c r="M377">
        <v>1</v>
      </c>
      <c r="N377">
        <v>0</v>
      </c>
      <c r="O377">
        <v>1</v>
      </c>
      <c r="P377">
        <v>0</v>
      </c>
      <c r="Q377">
        <v>0</v>
      </c>
      <c r="R377">
        <v>1</v>
      </c>
      <c r="S377">
        <v>0</v>
      </c>
      <c r="T377">
        <v>0</v>
      </c>
      <c r="U377">
        <v>0</v>
      </c>
      <c r="V377">
        <v>0</v>
      </c>
    </row>
    <row r="378" spans="1:22" x14ac:dyDescent="0.2">
      <c r="A378" t="s">
        <v>449</v>
      </c>
      <c r="B378" t="s">
        <v>108</v>
      </c>
      <c r="C378" t="s">
        <v>41</v>
      </c>
      <c r="D378" t="s">
        <v>67</v>
      </c>
      <c r="E378" t="s">
        <v>442</v>
      </c>
      <c r="F378" t="s">
        <v>65</v>
      </c>
      <c r="G378" t="s">
        <v>48</v>
      </c>
      <c r="H378" t="s">
        <v>59</v>
      </c>
      <c r="I378">
        <v>0</v>
      </c>
      <c r="J378">
        <v>1</v>
      </c>
      <c r="K378">
        <v>1</v>
      </c>
      <c r="L378">
        <v>0</v>
      </c>
      <c r="M378">
        <v>0</v>
      </c>
      <c r="N378">
        <v>0</v>
      </c>
      <c r="O378">
        <v>1</v>
      </c>
      <c r="P378">
        <v>0</v>
      </c>
      <c r="Q378">
        <v>1</v>
      </c>
      <c r="R378">
        <v>1</v>
      </c>
      <c r="S378">
        <v>0</v>
      </c>
      <c r="T378">
        <v>0</v>
      </c>
      <c r="U378">
        <v>0</v>
      </c>
      <c r="V378">
        <v>0</v>
      </c>
    </row>
    <row r="379" spans="1:22" x14ac:dyDescent="0.2">
      <c r="A379" t="s">
        <v>449</v>
      </c>
      <c r="B379" t="s">
        <v>108</v>
      </c>
      <c r="C379" t="s">
        <v>41</v>
      </c>
      <c r="D379" t="s">
        <v>42</v>
      </c>
      <c r="E379" t="s">
        <v>442</v>
      </c>
      <c r="F379" t="s">
        <v>59</v>
      </c>
      <c r="G379" t="s">
        <v>47</v>
      </c>
      <c r="H379" t="s">
        <v>48</v>
      </c>
      <c r="I379">
        <v>0</v>
      </c>
      <c r="J379">
        <v>0</v>
      </c>
      <c r="K379">
        <v>1</v>
      </c>
      <c r="L379">
        <v>1</v>
      </c>
      <c r="M379">
        <v>0</v>
      </c>
      <c r="N379">
        <v>0</v>
      </c>
      <c r="O379">
        <v>1</v>
      </c>
      <c r="P379">
        <v>0</v>
      </c>
      <c r="Q379">
        <v>0</v>
      </c>
      <c r="R379">
        <v>0</v>
      </c>
      <c r="S379">
        <v>1</v>
      </c>
      <c r="T379">
        <v>0</v>
      </c>
      <c r="U379">
        <v>0</v>
      </c>
      <c r="V379">
        <v>0</v>
      </c>
    </row>
    <row r="380" spans="1:22" x14ac:dyDescent="0.2">
      <c r="A380" t="s">
        <v>449</v>
      </c>
      <c r="B380" t="s">
        <v>108</v>
      </c>
      <c r="C380" t="s">
        <v>41</v>
      </c>
      <c r="D380" t="s">
        <v>55</v>
      </c>
      <c r="E380" t="s">
        <v>442</v>
      </c>
      <c r="F380" t="s">
        <v>46</v>
      </c>
      <c r="G380" t="s">
        <v>48</v>
      </c>
      <c r="H380" t="s">
        <v>65</v>
      </c>
      <c r="I380">
        <v>0</v>
      </c>
      <c r="J380">
        <v>1</v>
      </c>
      <c r="K380">
        <v>1</v>
      </c>
      <c r="L380">
        <v>0</v>
      </c>
      <c r="M380">
        <v>1</v>
      </c>
      <c r="N380">
        <v>0</v>
      </c>
      <c r="O380">
        <v>1</v>
      </c>
      <c r="P380">
        <v>0</v>
      </c>
      <c r="Q380">
        <v>1</v>
      </c>
      <c r="R380">
        <v>0</v>
      </c>
      <c r="S380">
        <v>0</v>
      </c>
      <c r="T380">
        <v>0</v>
      </c>
      <c r="U380">
        <v>0</v>
      </c>
      <c r="V380">
        <v>0</v>
      </c>
    </row>
    <row r="381" spans="1:22" x14ac:dyDescent="0.2">
      <c r="A381" t="s">
        <v>452</v>
      </c>
      <c r="B381" t="s">
        <v>188</v>
      </c>
      <c r="C381" t="s">
        <v>41</v>
      </c>
      <c r="D381" t="s">
        <v>42</v>
      </c>
      <c r="E381" t="s">
        <v>442</v>
      </c>
      <c r="F381" t="s">
        <v>46</v>
      </c>
      <c r="G381" t="s">
        <v>48</v>
      </c>
      <c r="H381" t="s">
        <v>47</v>
      </c>
      <c r="I381">
        <v>0</v>
      </c>
      <c r="J381">
        <v>0</v>
      </c>
      <c r="K381">
        <v>1</v>
      </c>
      <c r="L381">
        <v>1</v>
      </c>
      <c r="M381">
        <v>1</v>
      </c>
      <c r="N381">
        <v>0</v>
      </c>
      <c r="O381">
        <v>1</v>
      </c>
      <c r="P381">
        <v>0</v>
      </c>
      <c r="Q381">
        <v>0</v>
      </c>
      <c r="R381">
        <v>0</v>
      </c>
      <c r="S381">
        <v>0</v>
      </c>
      <c r="T381">
        <v>1</v>
      </c>
      <c r="U381">
        <v>0</v>
      </c>
      <c r="V381">
        <v>0</v>
      </c>
    </row>
    <row r="382" spans="1:22" x14ac:dyDescent="0.2">
      <c r="A382" t="s">
        <v>452</v>
      </c>
      <c r="B382" t="s">
        <v>188</v>
      </c>
      <c r="C382" t="s">
        <v>41</v>
      </c>
      <c r="D382" t="s">
        <v>67</v>
      </c>
      <c r="E382" t="s">
        <v>442</v>
      </c>
      <c r="F382" t="s">
        <v>65</v>
      </c>
      <c r="G382" t="s">
        <v>59</v>
      </c>
      <c r="H382" t="s">
        <v>48</v>
      </c>
      <c r="I382">
        <v>0</v>
      </c>
      <c r="J382">
        <v>1</v>
      </c>
      <c r="K382">
        <v>1</v>
      </c>
      <c r="L382">
        <v>0</v>
      </c>
      <c r="M382">
        <v>0</v>
      </c>
      <c r="N382">
        <v>0</v>
      </c>
      <c r="O382">
        <v>1</v>
      </c>
      <c r="P382">
        <v>0</v>
      </c>
      <c r="Q382">
        <v>1</v>
      </c>
      <c r="R382">
        <v>0</v>
      </c>
      <c r="S382">
        <v>0</v>
      </c>
      <c r="T382">
        <v>0</v>
      </c>
      <c r="U382">
        <v>0</v>
      </c>
      <c r="V382">
        <v>0</v>
      </c>
    </row>
    <row r="383" spans="1:22" x14ac:dyDescent="0.2">
      <c r="A383" t="s">
        <v>452</v>
      </c>
      <c r="B383" t="s">
        <v>188</v>
      </c>
      <c r="C383" t="s">
        <v>41</v>
      </c>
      <c r="D383" t="s">
        <v>49</v>
      </c>
      <c r="E383" t="s">
        <v>442</v>
      </c>
      <c r="F383" t="s">
        <v>46</v>
      </c>
      <c r="G383" t="s">
        <v>48</v>
      </c>
      <c r="H383" t="s">
        <v>60</v>
      </c>
      <c r="I383">
        <v>1</v>
      </c>
      <c r="J383">
        <v>0</v>
      </c>
      <c r="K383">
        <v>1</v>
      </c>
      <c r="L383">
        <v>0</v>
      </c>
      <c r="M383">
        <v>1</v>
      </c>
      <c r="N383">
        <v>0</v>
      </c>
      <c r="O383">
        <v>1</v>
      </c>
      <c r="P383">
        <v>0</v>
      </c>
      <c r="Q383">
        <v>0</v>
      </c>
      <c r="R383">
        <v>0</v>
      </c>
      <c r="S383">
        <v>0</v>
      </c>
      <c r="T383">
        <v>1</v>
      </c>
      <c r="U383">
        <v>0</v>
      </c>
      <c r="V383">
        <v>0</v>
      </c>
    </row>
    <row r="384" spans="1:22" x14ac:dyDescent="0.2">
      <c r="A384" t="s">
        <v>456</v>
      </c>
      <c r="B384" t="s">
        <v>33</v>
      </c>
      <c r="C384" t="s">
        <v>41</v>
      </c>
      <c r="D384" t="s">
        <v>67</v>
      </c>
      <c r="E384" t="s">
        <v>442</v>
      </c>
      <c r="F384" t="s">
        <v>60</v>
      </c>
      <c r="G384" t="s">
        <v>65</v>
      </c>
      <c r="H384" t="s">
        <v>48</v>
      </c>
      <c r="I384">
        <v>1</v>
      </c>
      <c r="J384">
        <v>1</v>
      </c>
      <c r="K384">
        <v>1</v>
      </c>
      <c r="L384">
        <v>0</v>
      </c>
      <c r="M384">
        <v>0</v>
      </c>
      <c r="N384">
        <v>0</v>
      </c>
      <c r="O384">
        <v>1</v>
      </c>
      <c r="P384">
        <v>0</v>
      </c>
      <c r="Q384">
        <v>1</v>
      </c>
      <c r="R384">
        <v>0</v>
      </c>
      <c r="S384">
        <v>0</v>
      </c>
      <c r="T384">
        <v>0</v>
      </c>
      <c r="U384">
        <v>0</v>
      </c>
      <c r="V384">
        <v>0</v>
      </c>
    </row>
    <row r="385" spans="1:22" x14ac:dyDescent="0.2">
      <c r="A385" t="s">
        <v>456</v>
      </c>
      <c r="B385" t="s">
        <v>33</v>
      </c>
      <c r="C385" t="s">
        <v>41</v>
      </c>
      <c r="D385" t="s">
        <v>42</v>
      </c>
      <c r="E385" t="s">
        <v>442</v>
      </c>
      <c r="F385" t="s">
        <v>46</v>
      </c>
      <c r="G385" t="s">
        <v>65</v>
      </c>
      <c r="H385" t="s">
        <v>48</v>
      </c>
      <c r="I385">
        <v>0</v>
      </c>
      <c r="J385">
        <v>1</v>
      </c>
      <c r="K385">
        <v>1</v>
      </c>
      <c r="L385">
        <v>0</v>
      </c>
      <c r="M385">
        <v>1</v>
      </c>
      <c r="N385">
        <v>0</v>
      </c>
      <c r="O385">
        <v>1</v>
      </c>
      <c r="P385">
        <v>0</v>
      </c>
      <c r="Q385">
        <v>0</v>
      </c>
      <c r="R385">
        <v>0</v>
      </c>
      <c r="S385">
        <v>0</v>
      </c>
      <c r="T385">
        <v>0</v>
      </c>
      <c r="U385">
        <v>0</v>
      </c>
      <c r="V385">
        <v>0</v>
      </c>
    </row>
    <row r="386" spans="1:22" x14ac:dyDescent="0.2">
      <c r="A386" t="s">
        <v>456</v>
      </c>
      <c r="B386" t="s">
        <v>33</v>
      </c>
      <c r="C386" t="s">
        <v>41</v>
      </c>
      <c r="D386" t="s">
        <v>72</v>
      </c>
      <c r="E386" t="s">
        <v>442</v>
      </c>
      <c r="F386" t="s">
        <v>47</v>
      </c>
      <c r="G386" t="s">
        <v>48</v>
      </c>
      <c r="H386" t="s">
        <v>46</v>
      </c>
      <c r="I386">
        <v>0</v>
      </c>
      <c r="J386">
        <v>0</v>
      </c>
      <c r="K386">
        <v>1</v>
      </c>
      <c r="L386">
        <v>1</v>
      </c>
      <c r="M386">
        <v>1</v>
      </c>
      <c r="N386">
        <v>0</v>
      </c>
      <c r="O386">
        <v>1</v>
      </c>
      <c r="P386">
        <v>0</v>
      </c>
      <c r="Q386">
        <v>0</v>
      </c>
      <c r="R386">
        <v>0</v>
      </c>
      <c r="S386">
        <v>0</v>
      </c>
      <c r="T386">
        <v>1</v>
      </c>
      <c r="U386">
        <v>0</v>
      </c>
      <c r="V386">
        <v>0</v>
      </c>
    </row>
    <row r="387" spans="1:22" x14ac:dyDescent="0.2">
      <c r="A387" t="s">
        <v>456</v>
      </c>
      <c r="B387" t="s">
        <v>33</v>
      </c>
      <c r="C387" t="s">
        <v>41</v>
      </c>
      <c r="D387" t="s">
        <v>55</v>
      </c>
      <c r="E387" t="s">
        <v>442</v>
      </c>
      <c r="F387" t="s">
        <v>47</v>
      </c>
      <c r="G387" t="s">
        <v>48</v>
      </c>
      <c r="H387" t="s">
        <v>65</v>
      </c>
      <c r="I387">
        <v>0</v>
      </c>
      <c r="J387">
        <v>1</v>
      </c>
      <c r="K387">
        <v>1</v>
      </c>
      <c r="L387">
        <v>1</v>
      </c>
      <c r="M387">
        <v>0</v>
      </c>
      <c r="N387">
        <v>0</v>
      </c>
      <c r="O387">
        <v>1</v>
      </c>
      <c r="P387">
        <v>0</v>
      </c>
      <c r="Q387">
        <v>0</v>
      </c>
      <c r="R387">
        <v>1</v>
      </c>
      <c r="S387">
        <v>0</v>
      </c>
      <c r="T387">
        <v>0</v>
      </c>
      <c r="U387">
        <v>0</v>
      </c>
      <c r="V387">
        <v>0</v>
      </c>
    </row>
    <row r="388" spans="1:22" x14ac:dyDescent="0.2">
      <c r="A388" t="s">
        <v>456</v>
      </c>
      <c r="B388" t="s">
        <v>33</v>
      </c>
      <c r="C388" t="s">
        <v>41</v>
      </c>
      <c r="D388" t="s">
        <v>61</v>
      </c>
      <c r="E388" t="s">
        <v>442</v>
      </c>
      <c r="F388" t="s">
        <v>48</v>
      </c>
      <c r="G388" t="s">
        <v>47</v>
      </c>
      <c r="H388" t="s">
        <v>60</v>
      </c>
      <c r="I388">
        <v>1</v>
      </c>
      <c r="J388">
        <v>0</v>
      </c>
      <c r="K388">
        <v>1</v>
      </c>
      <c r="L388">
        <v>1</v>
      </c>
      <c r="M388">
        <v>0</v>
      </c>
      <c r="N388">
        <v>0</v>
      </c>
      <c r="O388">
        <v>1</v>
      </c>
      <c r="P388">
        <v>1</v>
      </c>
      <c r="Q388">
        <v>0</v>
      </c>
      <c r="R388">
        <v>1</v>
      </c>
      <c r="S388">
        <v>1</v>
      </c>
      <c r="T388">
        <v>0</v>
      </c>
      <c r="U388">
        <v>0</v>
      </c>
      <c r="V388">
        <v>0</v>
      </c>
    </row>
    <row r="389" spans="1:22" x14ac:dyDescent="0.2">
      <c r="A389" t="s">
        <v>459</v>
      </c>
      <c r="B389" t="s">
        <v>188</v>
      </c>
      <c r="C389" t="s">
        <v>41</v>
      </c>
      <c r="D389" t="s">
        <v>67</v>
      </c>
      <c r="E389" t="s">
        <v>442</v>
      </c>
      <c r="F389" t="s">
        <v>48</v>
      </c>
      <c r="G389" t="s">
        <v>46</v>
      </c>
      <c r="H389" t="s">
        <v>60</v>
      </c>
      <c r="I389">
        <v>1</v>
      </c>
      <c r="J389">
        <v>0</v>
      </c>
      <c r="K389">
        <v>1</v>
      </c>
      <c r="L389">
        <v>0</v>
      </c>
      <c r="M389">
        <v>1</v>
      </c>
      <c r="N389">
        <v>0</v>
      </c>
      <c r="O389">
        <v>1</v>
      </c>
      <c r="P389">
        <v>1</v>
      </c>
      <c r="Q389">
        <v>0</v>
      </c>
      <c r="R389">
        <v>1</v>
      </c>
      <c r="S389">
        <v>0</v>
      </c>
      <c r="T389">
        <v>1</v>
      </c>
      <c r="U389">
        <v>0</v>
      </c>
      <c r="V389">
        <v>0</v>
      </c>
    </row>
    <row r="390" spans="1:22" x14ac:dyDescent="0.2">
      <c r="A390" t="s">
        <v>459</v>
      </c>
      <c r="B390" t="s">
        <v>188</v>
      </c>
      <c r="C390" t="s">
        <v>41</v>
      </c>
      <c r="D390" t="s">
        <v>61</v>
      </c>
      <c r="E390" t="s">
        <v>442</v>
      </c>
      <c r="F390" t="s">
        <v>48</v>
      </c>
      <c r="G390" t="s">
        <v>59</v>
      </c>
      <c r="H390" t="s">
        <v>46</v>
      </c>
      <c r="I390">
        <v>0</v>
      </c>
      <c r="J390">
        <v>0</v>
      </c>
      <c r="K390">
        <v>1</v>
      </c>
      <c r="L390">
        <v>0</v>
      </c>
      <c r="M390">
        <v>1</v>
      </c>
      <c r="N390">
        <v>0</v>
      </c>
      <c r="O390">
        <v>1</v>
      </c>
      <c r="P390">
        <v>0</v>
      </c>
      <c r="Q390">
        <v>0</v>
      </c>
      <c r="R390">
        <v>1</v>
      </c>
      <c r="S390">
        <v>0</v>
      </c>
      <c r="T390">
        <v>1</v>
      </c>
      <c r="U390">
        <v>0</v>
      </c>
      <c r="V390">
        <v>0</v>
      </c>
    </row>
    <row r="391" spans="1:22" x14ac:dyDescent="0.2">
      <c r="A391" t="s">
        <v>459</v>
      </c>
      <c r="B391" t="s">
        <v>188</v>
      </c>
      <c r="C391" t="s">
        <v>41</v>
      </c>
      <c r="D391" t="s">
        <v>49</v>
      </c>
      <c r="E391" t="s">
        <v>442</v>
      </c>
      <c r="F391" t="s">
        <v>60</v>
      </c>
      <c r="G391" t="s">
        <v>48</v>
      </c>
      <c r="H391" t="s">
        <v>46</v>
      </c>
      <c r="I391">
        <v>1</v>
      </c>
      <c r="J391">
        <v>0</v>
      </c>
      <c r="K391">
        <v>1</v>
      </c>
      <c r="L391">
        <v>0</v>
      </c>
      <c r="M391">
        <v>1</v>
      </c>
      <c r="N391">
        <v>0</v>
      </c>
      <c r="O391">
        <v>1</v>
      </c>
      <c r="P391">
        <v>1</v>
      </c>
      <c r="Q391">
        <v>0</v>
      </c>
      <c r="R391">
        <v>1</v>
      </c>
      <c r="S391">
        <v>0</v>
      </c>
      <c r="T391">
        <v>1</v>
      </c>
      <c r="U391">
        <v>0</v>
      </c>
      <c r="V391">
        <v>0</v>
      </c>
    </row>
    <row r="392" spans="1:22" x14ac:dyDescent="0.2">
      <c r="A392" t="s">
        <v>459</v>
      </c>
      <c r="B392" t="s">
        <v>188</v>
      </c>
      <c r="C392" t="s">
        <v>41</v>
      </c>
      <c r="D392" t="s">
        <v>55</v>
      </c>
      <c r="E392" t="s">
        <v>442</v>
      </c>
      <c r="F392" t="s">
        <v>47</v>
      </c>
      <c r="G392" t="s">
        <v>46</v>
      </c>
      <c r="H392" t="s">
        <v>48</v>
      </c>
      <c r="I392">
        <v>0</v>
      </c>
      <c r="J392">
        <v>0</v>
      </c>
      <c r="K392">
        <v>1</v>
      </c>
      <c r="L392">
        <v>1</v>
      </c>
      <c r="M392">
        <v>1</v>
      </c>
      <c r="N392">
        <v>0</v>
      </c>
      <c r="O392">
        <v>1</v>
      </c>
      <c r="P392">
        <v>0</v>
      </c>
      <c r="Q392">
        <v>0</v>
      </c>
      <c r="R392">
        <v>1</v>
      </c>
      <c r="S392">
        <v>1</v>
      </c>
      <c r="T392">
        <v>1</v>
      </c>
      <c r="U392">
        <v>0</v>
      </c>
      <c r="V392">
        <v>0</v>
      </c>
    </row>
    <row r="393" spans="1:22" x14ac:dyDescent="0.2">
      <c r="A393" t="s">
        <v>459</v>
      </c>
      <c r="B393" t="s">
        <v>188</v>
      </c>
      <c r="C393" t="s">
        <v>41</v>
      </c>
      <c r="D393" t="s">
        <v>42</v>
      </c>
      <c r="E393" t="s">
        <v>442</v>
      </c>
      <c r="F393" t="s">
        <v>65</v>
      </c>
      <c r="G393" t="s">
        <v>48</v>
      </c>
      <c r="H393" t="s">
        <v>46</v>
      </c>
      <c r="I393">
        <v>0</v>
      </c>
      <c r="J393">
        <v>1</v>
      </c>
      <c r="K393">
        <v>1</v>
      </c>
      <c r="L393">
        <v>0</v>
      </c>
      <c r="M393">
        <v>1</v>
      </c>
      <c r="N393">
        <v>0</v>
      </c>
      <c r="O393">
        <v>1</v>
      </c>
      <c r="P393">
        <v>0</v>
      </c>
      <c r="Q393">
        <v>1</v>
      </c>
      <c r="R393">
        <v>1</v>
      </c>
      <c r="S393">
        <v>0</v>
      </c>
      <c r="T393">
        <v>1</v>
      </c>
      <c r="U393">
        <v>0</v>
      </c>
      <c r="V393">
        <v>0</v>
      </c>
    </row>
    <row r="394" spans="1:22" x14ac:dyDescent="0.2">
      <c r="A394" t="s">
        <v>462</v>
      </c>
      <c r="B394" t="s">
        <v>108</v>
      </c>
      <c r="C394" t="s">
        <v>41</v>
      </c>
      <c r="D394" t="s">
        <v>72</v>
      </c>
      <c r="E394" t="s">
        <v>442</v>
      </c>
      <c r="F394" t="s">
        <v>46</v>
      </c>
      <c r="G394" t="s">
        <v>48</v>
      </c>
      <c r="H394" t="s">
        <v>47</v>
      </c>
      <c r="I394">
        <v>0</v>
      </c>
      <c r="J394">
        <v>0</v>
      </c>
      <c r="K394">
        <v>1</v>
      </c>
      <c r="L394">
        <v>1</v>
      </c>
      <c r="M394">
        <v>1</v>
      </c>
      <c r="N394">
        <v>0</v>
      </c>
      <c r="O394">
        <v>1</v>
      </c>
      <c r="P394">
        <v>0</v>
      </c>
      <c r="Q394">
        <v>0</v>
      </c>
      <c r="R394">
        <v>1</v>
      </c>
      <c r="S394">
        <v>0</v>
      </c>
      <c r="T394">
        <v>1</v>
      </c>
      <c r="U394">
        <v>0</v>
      </c>
      <c r="V394">
        <v>0</v>
      </c>
    </row>
    <row r="395" spans="1:22" x14ac:dyDescent="0.2">
      <c r="A395" t="s">
        <v>462</v>
      </c>
      <c r="B395" t="s">
        <v>108</v>
      </c>
      <c r="C395" t="s">
        <v>41</v>
      </c>
      <c r="D395" t="s">
        <v>61</v>
      </c>
      <c r="E395" t="s">
        <v>442</v>
      </c>
      <c r="F395" t="s">
        <v>65</v>
      </c>
      <c r="G395" t="s">
        <v>46</v>
      </c>
      <c r="H395" t="s">
        <v>48</v>
      </c>
      <c r="I395">
        <v>0</v>
      </c>
      <c r="J395">
        <v>1</v>
      </c>
      <c r="K395">
        <v>1</v>
      </c>
      <c r="L395">
        <v>0</v>
      </c>
      <c r="M395">
        <v>1</v>
      </c>
      <c r="N395">
        <v>0</v>
      </c>
      <c r="O395">
        <v>1</v>
      </c>
      <c r="P395">
        <v>0</v>
      </c>
      <c r="Q395">
        <v>0</v>
      </c>
      <c r="R395">
        <v>1</v>
      </c>
      <c r="S395">
        <v>0</v>
      </c>
      <c r="T395">
        <v>1</v>
      </c>
      <c r="U395">
        <v>0</v>
      </c>
      <c r="V395">
        <v>0</v>
      </c>
    </row>
    <row r="396" spans="1:22" x14ac:dyDescent="0.2">
      <c r="A396" t="s">
        <v>462</v>
      </c>
      <c r="B396" t="s">
        <v>108</v>
      </c>
      <c r="C396" t="s">
        <v>41</v>
      </c>
      <c r="D396" t="s">
        <v>42</v>
      </c>
      <c r="E396" t="s">
        <v>442</v>
      </c>
      <c r="F396" t="s">
        <v>48</v>
      </c>
      <c r="G396" t="s">
        <v>59</v>
      </c>
      <c r="H396" t="s">
        <v>65</v>
      </c>
      <c r="I396">
        <v>0</v>
      </c>
      <c r="J396">
        <v>1</v>
      </c>
      <c r="K396">
        <v>1</v>
      </c>
      <c r="L396">
        <v>0</v>
      </c>
      <c r="M396">
        <v>0</v>
      </c>
      <c r="N396">
        <v>0</v>
      </c>
      <c r="O396">
        <v>1</v>
      </c>
      <c r="P396">
        <v>0</v>
      </c>
      <c r="Q396">
        <v>0</v>
      </c>
      <c r="R396">
        <v>1</v>
      </c>
      <c r="S396">
        <v>0</v>
      </c>
      <c r="T396">
        <v>0</v>
      </c>
      <c r="U396">
        <v>0</v>
      </c>
      <c r="V396">
        <v>0</v>
      </c>
    </row>
    <row r="397" spans="1:22" x14ac:dyDescent="0.2">
      <c r="A397" t="s">
        <v>462</v>
      </c>
      <c r="B397" t="s">
        <v>108</v>
      </c>
      <c r="C397" t="s">
        <v>41</v>
      </c>
      <c r="D397" t="s">
        <v>55</v>
      </c>
      <c r="E397" t="s">
        <v>442</v>
      </c>
      <c r="F397" t="s">
        <v>65</v>
      </c>
      <c r="G397" t="s">
        <v>46</v>
      </c>
      <c r="H397" t="s">
        <v>48</v>
      </c>
      <c r="I397">
        <v>0</v>
      </c>
      <c r="J397">
        <v>1</v>
      </c>
      <c r="K397">
        <v>1</v>
      </c>
      <c r="L397">
        <v>0</v>
      </c>
      <c r="M397">
        <v>1</v>
      </c>
      <c r="N397">
        <v>0</v>
      </c>
      <c r="O397">
        <v>1</v>
      </c>
      <c r="P397">
        <v>0</v>
      </c>
      <c r="Q397">
        <v>0</v>
      </c>
      <c r="R397">
        <v>1</v>
      </c>
      <c r="S397">
        <v>0</v>
      </c>
      <c r="T397">
        <v>1</v>
      </c>
      <c r="U397">
        <v>0</v>
      </c>
      <c r="V397">
        <v>0</v>
      </c>
    </row>
    <row r="398" spans="1:22" x14ac:dyDescent="0.2">
      <c r="A398" t="s">
        <v>465</v>
      </c>
      <c r="B398" t="s">
        <v>33</v>
      </c>
      <c r="C398" t="s">
        <v>41</v>
      </c>
      <c r="D398" t="s">
        <v>67</v>
      </c>
      <c r="E398" t="s">
        <v>442</v>
      </c>
      <c r="F398" t="s">
        <v>60</v>
      </c>
      <c r="G398" t="s">
        <v>47</v>
      </c>
      <c r="H398" t="s">
        <v>48</v>
      </c>
      <c r="I398">
        <v>1</v>
      </c>
      <c r="J398">
        <v>0</v>
      </c>
      <c r="K398">
        <v>1</v>
      </c>
      <c r="L398">
        <v>1</v>
      </c>
      <c r="M398">
        <v>0</v>
      </c>
      <c r="N398">
        <v>0</v>
      </c>
      <c r="O398">
        <v>1</v>
      </c>
      <c r="P398">
        <v>1</v>
      </c>
      <c r="Q398">
        <v>0</v>
      </c>
      <c r="R398">
        <v>1</v>
      </c>
      <c r="S398">
        <v>1</v>
      </c>
      <c r="T398">
        <v>0</v>
      </c>
      <c r="U398">
        <v>0</v>
      </c>
      <c r="V398">
        <v>0</v>
      </c>
    </row>
    <row r="399" spans="1:22" x14ac:dyDescent="0.2">
      <c r="A399" t="s">
        <v>465</v>
      </c>
      <c r="B399" t="s">
        <v>33</v>
      </c>
      <c r="C399" t="s">
        <v>41</v>
      </c>
      <c r="D399" t="s">
        <v>42</v>
      </c>
      <c r="E399" t="s">
        <v>442</v>
      </c>
      <c r="F399" t="s">
        <v>48</v>
      </c>
      <c r="G399" t="s">
        <v>60</v>
      </c>
      <c r="H399" t="s">
        <v>65</v>
      </c>
      <c r="I399">
        <v>1</v>
      </c>
      <c r="J399">
        <v>1</v>
      </c>
      <c r="K399">
        <v>1</v>
      </c>
      <c r="L399">
        <v>0</v>
      </c>
      <c r="M399">
        <v>0</v>
      </c>
      <c r="N399">
        <v>0</v>
      </c>
      <c r="O399">
        <v>1</v>
      </c>
      <c r="P399">
        <v>1</v>
      </c>
      <c r="Q399">
        <v>1</v>
      </c>
      <c r="R399">
        <v>1</v>
      </c>
      <c r="S399">
        <v>0</v>
      </c>
      <c r="T399">
        <v>0</v>
      </c>
      <c r="U399">
        <v>0</v>
      </c>
      <c r="V399">
        <v>0</v>
      </c>
    </row>
    <row r="400" spans="1:22" x14ac:dyDescent="0.2">
      <c r="A400" t="s">
        <v>465</v>
      </c>
      <c r="B400" t="s">
        <v>33</v>
      </c>
      <c r="C400" t="s">
        <v>41</v>
      </c>
      <c r="D400" t="s">
        <v>49</v>
      </c>
      <c r="E400" t="s">
        <v>442</v>
      </c>
      <c r="F400" t="s">
        <v>65</v>
      </c>
      <c r="G400" t="s">
        <v>47</v>
      </c>
      <c r="H400" t="s">
        <v>48</v>
      </c>
      <c r="I400">
        <v>0</v>
      </c>
      <c r="J400">
        <v>1</v>
      </c>
      <c r="K400">
        <v>1</v>
      </c>
      <c r="L400">
        <v>1</v>
      </c>
      <c r="M400">
        <v>0</v>
      </c>
      <c r="N400">
        <v>0</v>
      </c>
      <c r="O400">
        <v>1</v>
      </c>
      <c r="P400">
        <v>0</v>
      </c>
      <c r="Q400">
        <v>1</v>
      </c>
      <c r="R400">
        <v>1</v>
      </c>
      <c r="S400">
        <v>1</v>
      </c>
      <c r="T400">
        <v>0</v>
      </c>
      <c r="U400">
        <v>0</v>
      </c>
      <c r="V400">
        <v>0</v>
      </c>
    </row>
    <row r="401" spans="1:22" x14ac:dyDescent="0.2">
      <c r="A401" t="s">
        <v>465</v>
      </c>
      <c r="B401" t="s">
        <v>33</v>
      </c>
      <c r="C401" t="s">
        <v>41</v>
      </c>
      <c r="D401" t="s">
        <v>72</v>
      </c>
      <c r="E401" t="s">
        <v>442</v>
      </c>
      <c r="F401" t="s">
        <v>59</v>
      </c>
      <c r="G401" t="s">
        <v>46</v>
      </c>
      <c r="H401" t="s">
        <v>48</v>
      </c>
      <c r="I401">
        <v>0</v>
      </c>
      <c r="J401">
        <v>0</v>
      </c>
      <c r="K401">
        <v>1</v>
      </c>
      <c r="L401">
        <v>0</v>
      </c>
      <c r="M401">
        <v>1</v>
      </c>
      <c r="N401">
        <v>0</v>
      </c>
      <c r="O401">
        <v>1</v>
      </c>
      <c r="P401">
        <v>0</v>
      </c>
      <c r="Q401">
        <v>0</v>
      </c>
      <c r="R401">
        <v>0</v>
      </c>
      <c r="S401">
        <v>0</v>
      </c>
      <c r="T401">
        <v>1</v>
      </c>
      <c r="U401">
        <v>0</v>
      </c>
      <c r="V401">
        <v>0</v>
      </c>
    </row>
    <row r="402" spans="1:22" x14ac:dyDescent="0.2">
      <c r="A402" t="s">
        <v>467</v>
      </c>
      <c r="B402" t="s">
        <v>108</v>
      </c>
      <c r="C402" t="s">
        <v>41</v>
      </c>
      <c r="D402" t="s">
        <v>42</v>
      </c>
      <c r="E402" t="s">
        <v>442</v>
      </c>
      <c r="F402" t="s">
        <v>60</v>
      </c>
      <c r="G402" t="s">
        <v>48</v>
      </c>
      <c r="H402" t="s">
        <v>59</v>
      </c>
      <c r="I402">
        <v>1</v>
      </c>
      <c r="J402">
        <v>0</v>
      </c>
      <c r="K402">
        <v>1</v>
      </c>
      <c r="L402">
        <v>0</v>
      </c>
      <c r="M402">
        <v>0</v>
      </c>
      <c r="N402">
        <v>0</v>
      </c>
      <c r="O402">
        <v>1</v>
      </c>
      <c r="P402">
        <v>1</v>
      </c>
      <c r="Q402">
        <v>0</v>
      </c>
      <c r="R402">
        <v>0</v>
      </c>
      <c r="S402">
        <v>0</v>
      </c>
      <c r="T402">
        <v>0</v>
      </c>
      <c r="U402">
        <v>0</v>
      </c>
      <c r="V402">
        <v>0</v>
      </c>
    </row>
    <row r="403" spans="1:22" x14ac:dyDescent="0.2">
      <c r="A403" t="s">
        <v>467</v>
      </c>
      <c r="B403" t="s">
        <v>108</v>
      </c>
      <c r="C403" t="s">
        <v>41</v>
      </c>
      <c r="D403" t="s">
        <v>55</v>
      </c>
      <c r="E403" t="s">
        <v>442</v>
      </c>
      <c r="F403" t="s">
        <v>48</v>
      </c>
      <c r="G403" t="s">
        <v>47</v>
      </c>
      <c r="H403" t="s">
        <v>60</v>
      </c>
      <c r="I403">
        <v>1</v>
      </c>
      <c r="J403">
        <v>0</v>
      </c>
      <c r="K403">
        <v>1</v>
      </c>
      <c r="L403">
        <v>1</v>
      </c>
      <c r="M403">
        <v>0</v>
      </c>
      <c r="N403">
        <v>0</v>
      </c>
      <c r="O403">
        <v>1</v>
      </c>
      <c r="P403">
        <v>0</v>
      </c>
      <c r="Q403">
        <v>0</v>
      </c>
      <c r="R403">
        <v>0</v>
      </c>
      <c r="S403">
        <v>1</v>
      </c>
      <c r="T403">
        <v>0</v>
      </c>
      <c r="U403">
        <v>0</v>
      </c>
      <c r="V403">
        <v>0</v>
      </c>
    </row>
    <row r="404" spans="1:22" x14ac:dyDescent="0.2">
      <c r="A404" t="s">
        <v>471</v>
      </c>
      <c r="B404" t="s">
        <v>108</v>
      </c>
      <c r="C404" t="s">
        <v>41</v>
      </c>
      <c r="D404" t="s">
        <v>67</v>
      </c>
      <c r="E404" t="s">
        <v>442</v>
      </c>
      <c r="F404" t="s">
        <v>47</v>
      </c>
      <c r="G404" t="s">
        <v>48</v>
      </c>
      <c r="H404" t="s">
        <v>46</v>
      </c>
      <c r="I404">
        <v>0</v>
      </c>
      <c r="J404">
        <v>0</v>
      </c>
      <c r="K404">
        <v>1</v>
      </c>
      <c r="L404">
        <v>1</v>
      </c>
      <c r="M404">
        <v>1</v>
      </c>
      <c r="N404">
        <v>0</v>
      </c>
      <c r="O404">
        <v>1</v>
      </c>
      <c r="P404">
        <v>0</v>
      </c>
      <c r="Q404">
        <v>0</v>
      </c>
      <c r="R404">
        <v>0</v>
      </c>
      <c r="S404">
        <v>1</v>
      </c>
      <c r="T404">
        <v>0</v>
      </c>
      <c r="U404">
        <v>0</v>
      </c>
      <c r="V404">
        <v>0</v>
      </c>
    </row>
    <row r="405" spans="1:22" x14ac:dyDescent="0.2">
      <c r="A405" t="s">
        <v>471</v>
      </c>
      <c r="B405" t="s">
        <v>108</v>
      </c>
      <c r="C405" t="s">
        <v>41</v>
      </c>
      <c r="D405" t="s">
        <v>49</v>
      </c>
      <c r="E405" t="s">
        <v>442</v>
      </c>
      <c r="F405" t="s">
        <v>65</v>
      </c>
      <c r="G405" t="s">
        <v>48</v>
      </c>
      <c r="H405" t="s">
        <v>46</v>
      </c>
      <c r="I405">
        <v>0</v>
      </c>
      <c r="J405">
        <v>1</v>
      </c>
      <c r="K405">
        <v>1</v>
      </c>
      <c r="L405">
        <v>0</v>
      </c>
      <c r="M405">
        <v>1</v>
      </c>
      <c r="N405">
        <v>0</v>
      </c>
      <c r="O405">
        <v>1</v>
      </c>
      <c r="P405">
        <v>0</v>
      </c>
      <c r="Q405">
        <v>1</v>
      </c>
      <c r="R405">
        <v>0</v>
      </c>
      <c r="S405">
        <v>0</v>
      </c>
      <c r="T405">
        <v>0</v>
      </c>
      <c r="U405">
        <v>0</v>
      </c>
      <c r="V405">
        <v>0</v>
      </c>
    </row>
    <row r="406" spans="1:22" x14ac:dyDescent="0.2">
      <c r="A406" t="s">
        <v>471</v>
      </c>
      <c r="B406" t="s">
        <v>108</v>
      </c>
      <c r="C406" t="s">
        <v>41</v>
      </c>
      <c r="D406" t="s">
        <v>42</v>
      </c>
      <c r="E406" t="s">
        <v>442</v>
      </c>
      <c r="F406" t="s">
        <v>48</v>
      </c>
      <c r="G406" t="s">
        <v>46</v>
      </c>
      <c r="H406" t="s">
        <v>65</v>
      </c>
      <c r="I406">
        <v>0</v>
      </c>
      <c r="J406">
        <v>1</v>
      </c>
      <c r="K406">
        <v>1</v>
      </c>
      <c r="L406">
        <v>0</v>
      </c>
      <c r="M406">
        <v>1</v>
      </c>
      <c r="N406">
        <v>0</v>
      </c>
      <c r="O406">
        <v>1</v>
      </c>
      <c r="P406">
        <v>0</v>
      </c>
      <c r="Q406">
        <v>1</v>
      </c>
      <c r="R406">
        <v>0</v>
      </c>
      <c r="S406">
        <v>0</v>
      </c>
      <c r="T406">
        <v>0</v>
      </c>
      <c r="U406">
        <v>0</v>
      </c>
      <c r="V406">
        <v>0</v>
      </c>
    </row>
    <row r="407" spans="1:22" x14ac:dyDescent="0.2">
      <c r="A407" t="s">
        <v>471</v>
      </c>
      <c r="B407" t="s">
        <v>108</v>
      </c>
      <c r="C407" t="s">
        <v>41</v>
      </c>
      <c r="D407" t="s">
        <v>61</v>
      </c>
      <c r="E407" t="s">
        <v>442</v>
      </c>
      <c r="F407" t="s">
        <v>48</v>
      </c>
      <c r="G407" t="s">
        <v>60</v>
      </c>
      <c r="H407" t="s">
        <v>59</v>
      </c>
      <c r="I407">
        <v>1</v>
      </c>
      <c r="J407">
        <v>0</v>
      </c>
      <c r="K407">
        <v>1</v>
      </c>
      <c r="L407">
        <v>0</v>
      </c>
      <c r="M407">
        <v>0</v>
      </c>
      <c r="N407">
        <v>0</v>
      </c>
      <c r="O407">
        <v>1</v>
      </c>
      <c r="P407">
        <v>1</v>
      </c>
      <c r="Q407">
        <v>0</v>
      </c>
      <c r="R407">
        <v>0</v>
      </c>
      <c r="S407">
        <v>0</v>
      </c>
      <c r="T407">
        <v>0</v>
      </c>
      <c r="U407">
        <v>0</v>
      </c>
      <c r="V407">
        <v>0</v>
      </c>
    </row>
    <row r="408" spans="1:22" x14ac:dyDescent="0.2">
      <c r="A408" t="s">
        <v>475</v>
      </c>
      <c r="B408" t="s">
        <v>188</v>
      </c>
      <c r="C408" t="s">
        <v>41</v>
      </c>
      <c r="D408" t="s">
        <v>72</v>
      </c>
      <c r="E408" t="s">
        <v>442</v>
      </c>
      <c r="F408" t="s">
        <v>65</v>
      </c>
      <c r="G408" t="s">
        <v>46</v>
      </c>
      <c r="H408" t="s">
        <v>48</v>
      </c>
      <c r="I408">
        <v>0</v>
      </c>
      <c r="J408">
        <v>1</v>
      </c>
      <c r="K408">
        <v>1</v>
      </c>
      <c r="L408">
        <v>0</v>
      </c>
      <c r="M408">
        <v>1</v>
      </c>
      <c r="N408">
        <v>0</v>
      </c>
      <c r="O408">
        <v>1</v>
      </c>
      <c r="P408">
        <v>0</v>
      </c>
      <c r="Q408">
        <v>0</v>
      </c>
      <c r="R408">
        <v>0</v>
      </c>
      <c r="S408">
        <v>0</v>
      </c>
      <c r="T408">
        <v>0</v>
      </c>
      <c r="U408">
        <v>0</v>
      </c>
      <c r="V408">
        <v>1</v>
      </c>
    </row>
    <row r="409" spans="1:22" x14ac:dyDescent="0.2">
      <c r="A409" t="s">
        <v>475</v>
      </c>
      <c r="B409" t="s">
        <v>188</v>
      </c>
      <c r="C409" t="s">
        <v>41</v>
      </c>
      <c r="D409" t="s">
        <v>67</v>
      </c>
      <c r="E409" t="s">
        <v>442</v>
      </c>
      <c r="F409" t="s">
        <v>65</v>
      </c>
      <c r="G409" t="s">
        <v>48</v>
      </c>
      <c r="H409" t="s">
        <v>47</v>
      </c>
      <c r="I409">
        <v>0</v>
      </c>
      <c r="J409">
        <v>1</v>
      </c>
      <c r="K409">
        <v>1</v>
      </c>
      <c r="L409">
        <v>1</v>
      </c>
      <c r="M409">
        <v>0</v>
      </c>
      <c r="N409">
        <v>0</v>
      </c>
      <c r="O409">
        <v>1</v>
      </c>
      <c r="P409">
        <v>0</v>
      </c>
      <c r="Q409">
        <v>0</v>
      </c>
      <c r="R409">
        <v>0</v>
      </c>
      <c r="S409">
        <v>0</v>
      </c>
      <c r="T409">
        <v>0</v>
      </c>
      <c r="U409">
        <v>0</v>
      </c>
      <c r="V409">
        <v>1</v>
      </c>
    </row>
    <row r="410" spans="1:22" x14ac:dyDescent="0.2">
      <c r="A410" t="s">
        <v>475</v>
      </c>
      <c r="B410" t="s">
        <v>188</v>
      </c>
      <c r="C410" t="s">
        <v>41</v>
      </c>
      <c r="D410" t="s">
        <v>55</v>
      </c>
      <c r="E410" t="s">
        <v>442</v>
      </c>
      <c r="F410" t="s">
        <v>46</v>
      </c>
      <c r="G410" t="s">
        <v>48</v>
      </c>
      <c r="H410" t="s">
        <v>47</v>
      </c>
      <c r="I410">
        <v>0</v>
      </c>
      <c r="J410">
        <v>0</v>
      </c>
      <c r="K410">
        <v>1</v>
      </c>
      <c r="L410">
        <v>1</v>
      </c>
      <c r="M410">
        <v>1</v>
      </c>
      <c r="N410">
        <v>0</v>
      </c>
      <c r="O410">
        <v>1</v>
      </c>
      <c r="P410">
        <v>0</v>
      </c>
      <c r="Q410">
        <v>0</v>
      </c>
      <c r="R410">
        <v>0</v>
      </c>
      <c r="S410">
        <v>0</v>
      </c>
      <c r="T410">
        <v>0</v>
      </c>
      <c r="U410">
        <v>0</v>
      </c>
      <c r="V410">
        <v>1</v>
      </c>
    </row>
    <row r="411" spans="1:22" x14ac:dyDescent="0.2">
      <c r="A411" t="s">
        <v>478</v>
      </c>
      <c r="B411" t="s">
        <v>108</v>
      </c>
      <c r="C411" t="s">
        <v>41</v>
      </c>
      <c r="D411" t="s">
        <v>42</v>
      </c>
      <c r="E411" t="s">
        <v>442</v>
      </c>
      <c r="F411" t="s">
        <v>59</v>
      </c>
      <c r="G411" t="s">
        <v>47</v>
      </c>
      <c r="H411" t="s">
        <v>48</v>
      </c>
      <c r="I411">
        <v>0</v>
      </c>
      <c r="J411">
        <v>0</v>
      </c>
      <c r="K411">
        <v>1</v>
      </c>
      <c r="L411">
        <v>1</v>
      </c>
      <c r="M411">
        <v>0</v>
      </c>
      <c r="N411">
        <v>0</v>
      </c>
      <c r="O411">
        <v>1</v>
      </c>
      <c r="P411">
        <v>0</v>
      </c>
      <c r="Q411">
        <v>0</v>
      </c>
      <c r="R411">
        <v>0</v>
      </c>
      <c r="S411">
        <v>1</v>
      </c>
      <c r="T411">
        <v>0</v>
      </c>
      <c r="U411">
        <v>0</v>
      </c>
      <c r="V411">
        <v>0</v>
      </c>
    </row>
    <row r="412" spans="1:22" x14ac:dyDescent="0.2">
      <c r="A412" t="s">
        <v>478</v>
      </c>
      <c r="B412" t="s">
        <v>108</v>
      </c>
      <c r="C412" t="s">
        <v>41</v>
      </c>
      <c r="D412" t="s">
        <v>55</v>
      </c>
      <c r="E412" t="s">
        <v>442</v>
      </c>
      <c r="F412" t="s">
        <v>65</v>
      </c>
      <c r="G412" t="s">
        <v>59</v>
      </c>
      <c r="H412" t="s">
        <v>48</v>
      </c>
      <c r="I412">
        <v>0</v>
      </c>
      <c r="J412">
        <v>1</v>
      </c>
      <c r="K412">
        <v>1</v>
      </c>
      <c r="L412">
        <v>0</v>
      </c>
      <c r="M412">
        <v>0</v>
      </c>
      <c r="N412">
        <v>0</v>
      </c>
      <c r="O412">
        <v>1</v>
      </c>
      <c r="P412">
        <v>0</v>
      </c>
      <c r="Q412">
        <v>1</v>
      </c>
      <c r="R412">
        <v>0</v>
      </c>
      <c r="S412">
        <v>0</v>
      </c>
      <c r="T412">
        <v>0</v>
      </c>
      <c r="U412">
        <v>0</v>
      </c>
      <c r="V412">
        <v>0</v>
      </c>
    </row>
    <row r="413" spans="1:22" x14ac:dyDescent="0.2">
      <c r="A413" t="s">
        <v>478</v>
      </c>
      <c r="B413" t="s">
        <v>108</v>
      </c>
      <c r="C413" t="s">
        <v>41</v>
      </c>
      <c r="D413" t="s">
        <v>67</v>
      </c>
      <c r="E413" t="s">
        <v>442</v>
      </c>
      <c r="F413" t="s">
        <v>59</v>
      </c>
      <c r="G413" t="s">
        <v>47</v>
      </c>
      <c r="H413" t="s">
        <v>48</v>
      </c>
      <c r="I413">
        <v>0</v>
      </c>
      <c r="J413">
        <v>0</v>
      </c>
      <c r="K413">
        <v>1</v>
      </c>
      <c r="L413">
        <v>1</v>
      </c>
      <c r="M413">
        <v>0</v>
      </c>
      <c r="N413">
        <v>0</v>
      </c>
      <c r="O413">
        <v>1</v>
      </c>
      <c r="P413">
        <v>0</v>
      </c>
      <c r="Q413">
        <v>0</v>
      </c>
      <c r="R413">
        <v>0</v>
      </c>
      <c r="S413">
        <v>1</v>
      </c>
      <c r="T413">
        <v>0</v>
      </c>
      <c r="U413">
        <v>0</v>
      </c>
      <c r="V413">
        <v>0</v>
      </c>
    </row>
    <row r="414" spans="1:22" x14ac:dyDescent="0.2">
      <c r="A414" t="s">
        <v>478</v>
      </c>
      <c r="B414" t="s">
        <v>108</v>
      </c>
      <c r="C414" t="s">
        <v>41</v>
      </c>
      <c r="D414" t="s">
        <v>49</v>
      </c>
      <c r="E414" t="s">
        <v>442</v>
      </c>
      <c r="F414" t="s">
        <v>48</v>
      </c>
      <c r="G414" t="s">
        <v>60</v>
      </c>
      <c r="H414" t="s">
        <v>65</v>
      </c>
      <c r="I414">
        <v>1</v>
      </c>
      <c r="J414">
        <v>1</v>
      </c>
      <c r="K414">
        <v>1</v>
      </c>
      <c r="L414">
        <v>0</v>
      </c>
      <c r="M414">
        <v>0</v>
      </c>
      <c r="N414">
        <v>0</v>
      </c>
      <c r="O414">
        <v>1</v>
      </c>
      <c r="P414">
        <v>0</v>
      </c>
      <c r="Q414">
        <v>1</v>
      </c>
      <c r="R414">
        <v>0</v>
      </c>
      <c r="S414">
        <v>0</v>
      </c>
      <c r="T414">
        <v>0</v>
      </c>
      <c r="U414">
        <v>0</v>
      </c>
      <c r="V414">
        <v>0</v>
      </c>
    </row>
    <row r="415" spans="1:22" x14ac:dyDescent="0.2">
      <c r="A415" t="s">
        <v>481</v>
      </c>
      <c r="B415" t="s">
        <v>108</v>
      </c>
      <c r="C415" t="s">
        <v>41</v>
      </c>
      <c r="D415" t="s">
        <v>67</v>
      </c>
      <c r="E415" t="s">
        <v>442</v>
      </c>
      <c r="F415" t="s">
        <v>46</v>
      </c>
      <c r="G415" t="s">
        <v>65</v>
      </c>
      <c r="H415" t="s">
        <v>48</v>
      </c>
      <c r="I415">
        <v>0</v>
      </c>
      <c r="J415">
        <v>1</v>
      </c>
      <c r="K415">
        <v>1</v>
      </c>
      <c r="L415">
        <v>0</v>
      </c>
      <c r="M415">
        <v>1</v>
      </c>
      <c r="N415">
        <v>0</v>
      </c>
      <c r="O415">
        <v>1</v>
      </c>
      <c r="P415">
        <v>0</v>
      </c>
      <c r="Q415">
        <v>0</v>
      </c>
      <c r="R415">
        <v>0</v>
      </c>
      <c r="S415">
        <v>0</v>
      </c>
      <c r="T415">
        <v>0</v>
      </c>
      <c r="U415">
        <v>0</v>
      </c>
      <c r="V415">
        <v>1</v>
      </c>
    </row>
    <row r="416" spans="1:22" x14ac:dyDescent="0.2">
      <c r="A416" t="s">
        <v>484</v>
      </c>
      <c r="B416" t="s">
        <v>108</v>
      </c>
      <c r="C416" t="s">
        <v>41</v>
      </c>
      <c r="D416" t="s">
        <v>49</v>
      </c>
      <c r="E416" t="s">
        <v>442</v>
      </c>
      <c r="F416" t="s">
        <v>46</v>
      </c>
      <c r="G416" t="s">
        <v>59</v>
      </c>
      <c r="H416" t="s">
        <v>48</v>
      </c>
      <c r="I416">
        <v>0</v>
      </c>
      <c r="J416">
        <v>0</v>
      </c>
      <c r="K416">
        <v>1</v>
      </c>
      <c r="L416">
        <v>0</v>
      </c>
      <c r="M416">
        <v>1</v>
      </c>
      <c r="N416">
        <v>0</v>
      </c>
      <c r="O416">
        <v>1</v>
      </c>
      <c r="P416">
        <v>0</v>
      </c>
      <c r="Q416">
        <v>0</v>
      </c>
      <c r="R416">
        <v>1</v>
      </c>
      <c r="S416">
        <v>0</v>
      </c>
      <c r="T416">
        <v>1</v>
      </c>
      <c r="U416">
        <v>0</v>
      </c>
      <c r="V416">
        <v>0</v>
      </c>
    </row>
    <row r="417" spans="1:22" x14ac:dyDescent="0.2">
      <c r="A417" t="s">
        <v>484</v>
      </c>
      <c r="B417" t="s">
        <v>108</v>
      </c>
      <c r="C417" t="s">
        <v>41</v>
      </c>
      <c r="D417" t="s">
        <v>72</v>
      </c>
      <c r="E417" t="s">
        <v>442</v>
      </c>
      <c r="F417" t="s">
        <v>65</v>
      </c>
      <c r="G417" t="s">
        <v>48</v>
      </c>
      <c r="H417" t="s">
        <v>46</v>
      </c>
      <c r="I417">
        <v>0</v>
      </c>
      <c r="J417">
        <v>1</v>
      </c>
      <c r="K417">
        <v>1</v>
      </c>
      <c r="L417">
        <v>0</v>
      </c>
      <c r="M417">
        <v>1</v>
      </c>
      <c r="N417">
        <v>0</v>
      </c>
      <c r="O417">
        <v>1</v>
      </c>
      <c r="P417">
        <v>0</v>
      </c>
      <c r="Q417">
        <v>0</v>
      </c>
      <c r="R417">
        <v>0</v>
      </c>
      <c r="S417">
        <v>0</v>
      </c>
      <c r="T417">
        <v>0</v>
      </c>
      <c r="U417">
        <v>0</v>
      </c>
      <c r="V417">
        <v>1</v>
      </c>
    </row>
    <row r="418" spans="1:22" x14ac:dyDescent="0.2">
      <c r="A418" t="s">
        <v>484</v>
      </c>
      <c r="B418" t="s">
        <v>108</v>
      </c>
      <c r="C418" t="s">
        <v>41</v>
      </c>
      <c r="D418" t="s">
        <v>67</v>
      </c>
      <c r="E418" t="s">
        <v>442</v>
      </c>
      <c r="F418" t="s">
        <v>46</v>
      </c>
      <c r="G418" t="s">
        <v>48</v>
      </c>
      <c r="H418" t="s">
        <v>47</v>
      </c>
      <c r="I418">
        <v>0</v>
      </c>
      <c r="J418">
        <v>0</v>
      </c>
      <c r="K418">
        <v>1</v>
      </c>
      <c r="L418">
        <v>1</v>
      </c>
      <c r="M418">
        <v>1</v>
      </c>
      <c r="N418">
        <v>0</v>
      </c>
      <c r="O418">
        <v>1</v>
      </c>
      <c r="P418">
        <v>0</v>
      </c>
      <c r="Q418">
        <v>0</v>
      </c>
      <c r="R418">
        <v>1</v>
      </c>
      <c r="S418">
        <v>1</v>
      </c>
      <c r="T418">
        <v>1</v>
      </c>
      <c r="U418">
        <v>0</v>
      </c>
      <c r="V418">
        <v>0</v>
      </c>
    </row>
    <row r="419" spans="1:22" x14ac:dyDescent="0.2">
      <c r="A419" t="s">
        <v>488</v>
      </c>
      <c r="B419" t="s">
        <v>108</v>
      </c>
      <c r="C419" t="s">
        <v>41</v>
      </c>
      <c r="D419" t="s">
        <v>72</v>
      </c>
      <c r="E419" t="s">
        <v>442</v>
      </c>
      <c r="F419" t="s">
        <v>47</v>
      </c>
      <c r="G419" t="s">
        <v>48</v>
      </c>
      <c r="H419" t="s">
        <v>60</v>
      </c>
      <c r="I419">
        <v>1</v>
      </c>
      <c r="J419">
        <v>0</v>
      </c>
      <c r="K419">
        <v>1</v>
      </c>
      <c r="L419">
        <v>1</v>
      </c>
      <c r="M419">
        <v>0</v>
      </c>
      <c r="N419">
        <v>0</v>
      </c>
      <c r="O419">
        <v>1</v>
      </c>
      <c r="P419">
        <v>1</v>
      </c>
      <c r="Q419">
        <v>0</v>
      </c>
      <c r="R419">
        <v>0</v>
      </c>
      <c r="S419">
        <v>0</v>
      </c>
      <c r="T419">
        <v>0</v>
      </c>
      <c r="U419">
        <v>0</v>
      </c>
      <c r="V419">
        <v>0</v>
      </c>
    </row>
    <row r="420" spans="1:22" x14ac:dyDescent="0.2">
      <c r="A420" t="s">
        <v>488</v>
      </c>
      <c r="B420" t="s">
        <v>108</v>
      </c>
      <c r="C420" t="s">
        <v>41</v>
      </c>
      <c r="D420" t="s">
        <v>61</v>
      </c>
      <c r="E420" t="s">
        <v>442</v>
      </c>
      <c r="F420" t="s">
        <v>48</v>
      </c>
      <c r="G420" t="s">
        <v>59</v>
      </c>
      <c r="H420" t="s">
        <v>46</v>
      </c>
      <c r="I420">
        <v>0</v>
      </c>
      <c r="J420">
        <v>0</v>
      </c>
      <c r="K420">
        <v>1</v>
      </c>
      <c r="L420">
        <v>0</v>
      </c>
      <c r="M420">
        <v>1</v>
      </c>
      <c r="N420">
        <v>0</v>
      </c>
      <c r="O420">
        <v>1</v>
      </c>
      <c r="P420">
        <v>0</v>
      </c>
      <c r="Q420">
        <v>0</v>
      </c>
      <c r="R420">
        <v>0</v>
      </c>
      <c r="S420">
        <v>0</v>
      </c>
      <c r="T420">
        <v>1</v>
      </c>
      <c r="U420">
        <v>0</v>
      </c>
      <c r="V420">
        <v>0</v>
      </c>
    </row>
    <row r="421" spans="1:22" x14ac:dyDescent="0.2">
      <c r="A421" t="s">
        <v>488</v>
      </c>
      <c r="B421" t="s">
        <v>108</v>
      </c>
      <c r="C421" t="s">
        <v>41</v>
      </c>
      <c r="D421" t="s">
        <v>49</v>
      </c>
      <c r="E421" t="s">
        <v>442</v>
      </c>
      <c r="F421" t="s">
        <v>59</v>
      </c>
      <c r="G421" t="s">
        <v>48</v>
      </c>
      <c r="H421" t="s">
        <v>65</v>
      </c>
      <c r="I421">
        <v>0</v>
      </c>
      <c r="J421">
        <v>1</v>
      </c>
      <c r="K421">
        <v>1</v>
      </c>
      <c r="L421">
        <v>0</v>
      </c>
      <c r="M421">
        <v>0</v>
      </c>
      <c r="N421">
        <v>0</v>
      </c>
      <c r="O421">
        <v>1</v>
      </c>
      <c r="P421">
        <v>0</v>
      </c>
      <c r="Q421">
        <v>0</v>
      </c>
      <c r="R421">
        <v>0</v>
      </c>
      <c r="S421">
        <v>0</v>
      </c>
      <c r="T421">
        <v>0</v>
      </c>
      <c r="U421">
        <v>0</v>
      </c>
      <c r="V421">
        <v>0</v>
      </c>
    </row>
    <row r="422" spans="1:22" x14ac:dyDescent="0.2">
      <c r="A422" t="s">
        <v>488</v>
      </c>
      <c r="B422" t="s">
        <v>108</v>
      </c>
      <c r="C422" t="s">
        <v>41</v>
      </c>
      <c r="D422" t="s">
        <v>42</v>
      </c>
      <c r="E422" t="s">
        <v>442</v>
      </c>
      <c r="F422" t="s">
        <v>48</v>
      </c>
      <c r="G422" t="s">
        <v>47</v>
      </c>
      <c r="H422" t="s">
        <v>59</v>
      </c>
      <c r="I422">
        <v>0</v>
      </c>
      <c r="J422">
        <v>0</v>
      </c>
      <c r="K422">
        <v>1</v>
      </c>
      <c r="L422">
        <v>1</v>
      </c>
      <c r="M422">
        <v>0</v>
      </c>
      <c r="N422">
        <v>0</v>
      </c>
      <c r="O422">
        <v>1</v>
      </c>
      <c r="P422">
        <v>0</v>
      </c>
      <c r="Q422">
        <v>0</v>
      </c>
      <c r="R422">
        <v>1</v>
      </c>
      <c r="S422">
        <v>1</v>
      </c>
      <c r="T422">
        <v>0</v>
      </c>
      <c r="U422">
        <v>0</v>
      </c>
      <c r="V422">
        <v>0</v>
      </c>
    </row>
    <row r="423" spans="1:22" x14ac:dyDescent="0.2">
      <c r="A423" t="s">
        <v>488</v>
      </c>
      <c r="B423" t="s">
        <v>108</v>
      </c>
      <c r="C423" t="s">
        <v>41</v>
      </c>
      <c r="D423" t="s">
        <v>67</v>
      </c>
      <c r="E423" t="s">
        <v>442</v>
      </c>
      <c r="F423" t="s">
        <v>65</v>
      </c>
      <c r="G423" t="s">
        <v>48</v>
      </c>
      <c r="H423" t="s">
        <v>60</v>
      </c>
      <c r="I423">
        <v>1</v>
      </c>
      <c r="J423">
        <v>1</v>
      </c>
      <c r="K423">
        <v>1</v>
      </c>
      <c r="L423">
        <v>0</v>
      </c>
      <c r="M423">
        <v>0</v>
      </c>
      <c r="N423">
        <v>0</v>
      </c>
      <c r="O423">
        <v>1</v>
      </c>
      <c r="P423">
        <v>1</v>
      </c>
      <c r="Q423">
        <v>0</v>
      </c>
      <c r="R423">
        <v>0</v>
      </c>
      <c r="S423">
        <v>0</v>
      </c>
      <c r="T423">
        <v>0</v>
      </c>
      <c r="U423">
        <v>0</v>
      </c>
      <c r="V423">
        <v>0</v>
      </c>
    </row>
    <row r="424" spans="1:22" x14ac:dyDescent="0.2">
      <c r="A424" t="s">
        <v>491</v>
      </c>
      <c r="B424" t="s">
        <v>33</v>
      </c>
      <c r="C424" t="s">
        <v>41</v>
      </c>
      <c r="D424" t="s">
        <v>67</v>
      </c>
      <c r="E424" t="s">
        <v>442</v>
      </c>
      <c r="F424" t="s">
        <v>46</v>
      </c>
      <c r="G424" t="s">
        <v>47</v>
      </c>
      <c r="H424" t="s">
        <v>48</v>
      </c>
      <c r="I424">
        <v>0</v>
      </c>
      <c r="J424">
        <v>0</v>
      </c>
      <c r="K424">
        <v>1</v>
      </c>
      <c r="L424">
        <v>1</v>
      </c>
      <c r="M424">
        <v>1</v>
      </c>
      <c r="N424">
        <v>0</v>
      </c>
      <c r="O424">
        <v>1</v>
      </c>
      <c r="P424">
        <v>0</v>
      </c>
      <c r="Q424">
        <v>0</v>
      </c>
      <c r="R424">
        <v>0</v>
      </c>
      <c r="S424">
        <v>1</v>
      </c>
      <c r="T424">
        <v>0</v>
      </c>
      <c r="U424">
        <v>0</v>
      </c>
      <c r="V424">
        <v>0</v>
      </c>
    </row>
    <row r="425" spans="1:22" x14ac:dyDescent="0.2">
      <c r="A425" t="s">
        <v>491</v>
      </c>
      <c r="B425" t="s">
        <v>33</v>
      </c>
      <c r="C425" t="s">
        <v>41</v>
      </c>
      <c r="D425" t="s">
        <v>61</v>
      </c>
      <c r="E425" t="s">
        <v>442</v>
      </c>
      <c r="F425" t="s">
        <v>48</v>
      </c>
      <c r="G425" t="s">
        <v>65</v>
      </c>
      <c r="H425" t="s">
        <v>46</v>
      </c>
      <c r="I425">
        <v>0</v>
      </c>
      <c r="J425">
        <v>1</v>
      </c>
      <c r="K425">
        <v>1</v>
      </c>
      <c r="L425">
        <v>0</v>
      </c>
      <c r="M425">
        <v>1</v>
      </c>
      <c r="N425">
        <v>0</v>
      </c>
      <c r="O425">
        <v>1</v>
      </c>
      <c r="P425">
        <v>0</v>
      </c>
      <c r="Q425">
        <v>0</v>
      </c>
      <c r="R425">
        <v>1</v>
      </c>
      <c r="S425">
        <v>0</v>
      </c>
      <c r="T425">
        <v>0</v>
      </c>
      <c r="U425">
        <v>0</v>
      </c>
      <c r="V425">
        <v>0</v>
      </c>
    </row>
    <row r="426" spans="1:22" x14ac:dyDescent="0.2">
      <c r="A426" t="s">
        <v>494</v>
      </c>
      <c r="B426" t="s">
        <v>33</v>
      </c>
      <c r="C426" t="s">
        <v>41</v>
      </c>
      <c r="D426" t="s">
        <v>67</v>
      </c>
      <c r="E426" t="s">
        <v>442</v>
      </c>
      <c r="F426" t="s">
        <v>46</v>
      </c>
      <c r="G426" t="s">
        <v>48</v>
      </c>
      <c r="H426" t="s">
        <v>59</v>
      </c>
      <c r="I426">
        <v>0</v>
      </c>
      <c r="J426">
        <v>0</v>
      </c>
      <c r="K426">
        <v>1</v>
      </c>
      <c r="L426">
        <v>0</v>
      </c>
      <c r="M426">
        <v>1</v>
      </c>
      <c r="N426">
        <v>0</v>
      </c>
      <c r="O426">
        <v>1</v>
      </c>
      <c r="P426">
        <v>0</v>
      </c>
      <c r="Q426">
        <v>0</v>
      </c>
      <c r="R426">
        <v>0</v>
      </c>
      <c r="S426">
        <v>0</v>
      </c>
      <c r="T426">
        <v>1</v>
      </c>
      <c r="U426">
        <v>0</v>
      </c>
      <c r="V426">
        <v>1</v>
      </c>
    </row>
    <row r="427" spans="1:22" x14ac:dyDescent="0.2">
      <c r="A427" t="s">
        <v>494</v>
      </c>
      <c r="B427" t="s">
        <v>33</v>
      </c>
      <c r="C427" t="s">
        <v>41</v>
      </c>
      <c r="D427" t="s">
        <v>55</v>
      </c>
      <c r="E427" t="s">
        <v>442</v>
      </c>
      <c r="F427" t="s">
        <v>65</v>
      </c>
      <c r="G427" t="s">
        <v>47</v>
      </c>
      <c r="H427" t="s">
        <v>48</v>
      </c>
      <c r="I427">
        <v>0</v>
      </c>
      <c r="J427">
        <v>1</v>
      </c>
      <c r="K427">
        <v>1</v>
      </c>
      <c r="L427">
        <v>1</v>
      </c>
      <c r="M427">
        <v>0</v>
      </c>
      <c r="N427">
        <v>0</v>
      </c>
      <c r="O427">
        <v>1</v>
      </c>
      <c r="P427">
        <v>0</v>
      </c>
      <c r="Q427">
        <v>1</v>
      </c>
      <c r="R427">
        <v>0</v>
      </c>
      <c r="S427">
        <v>0</v>
      </c>
      <c r="T427">
        <v>0</v>
      </c>
      <c r="U427">
        <v>0</v>
      </c>
      <c r="V427">
        <v>0</v>
      </c>
    </row>
    <row r="428" spans="1:22" x14ac:dyDescent="0.2">
      <c r="A428" t="s">
        <v>498</v>
      </c>
      <c r="B428" t="s">
        <v>33</v>
      </c>
      <c r="C428" t="s">
        <v>41</v>
      </c>
      <c r="D428" t="s">
        <v>42</v>
      </c>
      <c r="E428" t="s">
        <v>442</v>
      </c>
      <c r="F428" t="s">
        <v>65</v>
      </c>
      <c r="G428" t="s">
        <v>47</v>
      </c>
      <c r="H428" t="s">
        <v>48</v>
      </c>
      <c r="I428">
        <v>0</v>
      </c>
      <c r="J428">
        <v>1</v>
      </c>
      <c r="K428">
        <v>1</v>
      </c>
      <c r="L428">
        <v>1</v>
      </c>
      <c r="M428">
        <v>0</v>
      </c>
      <c r="N428">
        <v>0</v>
      </c>
      <c r="O428">
        <v>1</v>
      </c>
      <c r="P428">
        <v>0</v>
      </c>
      <c r="Q428">
        <v>1</v>
      </c>
      <c r="R428">
        <v>1</v>
      </c>
      <c r="S428">
        <v>1</v>
      </c>
      <c r="T428">
        <v>0</v>
      </c>
      <c r="U428">
        <v>0</v>
      </c>
      <c r="V428">
        <v>0</v>
      </c>
    </row>
    <row r="429" spans="1:22" x14ac:dyDescent="0.2">
      <c r="A429" t="s">
        <v>498</v>
      </c>
      <c r="B429" t="s">
        <v>33</v>
      </c>
      <c r="C429" t="s">
        <v>41</v>
      </c>
      <c r="D429" t="s">
        <v>72</v>
      </c>
      <c r="E429" t="s">
        <v>442</v>
      </c>
      <c r="F429" t="s">
        <v>48</v>
      </c>
      <c r="G429" t="s">
        <v>60</v>
      </c>
      <c r="H429" t="s">
        <v>47</v>
      </c>
      <c r="I429">
        <v>1</v>
      </c>
      <c r="J429">
        <v>0</v>
      </c>
      <c r="K429">
        <v>1</v>
      </c>
      <c r="L429">
        <v>1</v>
      </c>
      <c r="M429">
        <v>0</v>
      </c>
      <c r="N429">
        <v>0</v>
      </c>
      <c r="O429">
        <v>1</v>
      </c>
      <c r="P429">
        <v>1</v>
      </c>
      <c r="Q429">
        <v>0</v>
      </c>
      <c r="R429">
        <v>1</v>
      </c>
      <c r="S429">
        <v>1</v>
      </c>
      <c r="T429">
        <v>0</v>
      </c>
      <c r="U429">
        <v>0</v>
      </c>
      <c r="V429">
        <v>0</v>
      </c>
    </row>
    <row r="430" spans="1:22" x14ac:dyDescent="0.2">
      <c r="A430" t="s">
        <v>498</v>
      </c>
      <c r="B430" t="s">
        <v>33</v>
      </c>
      <c r="C430" t="s">
        <v>41</v>
      </c>
      <c r="D430" t="s">
        <v>49</v>
      </c>
      <c r="E430" t="s">
        <v>442</v>
      </c>
      <c r="F430" t="s">
        <v>60</v>
      </c>
      <c r="G430" t="s">
        <v>59</v>
      </c>
      <c r="H430" t="s">
        <v>48</v>
      </c>
      <c r="I430">
        <v>1</v>
      </c>
      <c r="J430">
        <v>0</v>
      </c>
      <c r="K430">
        <v>1</v>
      </c>
      <c r="L430">
        <v>0</v>
      </c>
      <c r="M430">
        <v>0</v>
      </c>
      <c r="N430">
        <v>0</v>
      </c>
      <c r="O430">
        <v>1</v>
      </c>
      <c r="P430">
        <v>1</v>
      </c>
      <c r="Q430">
        <v>0</v>
      </c>
      <c r="R430">
        <v>1</v>
      </c>
      <c r="S430">
        <v>0</v>
      </c>
      <c r="T430">
        <v>0</v>
      </c>
      <c r="U430">
        <v>0</v>
      </c>
      <c r="V430">
        <v>0</v>
      </c>
    </row>
    <row r="431" spans="1:22" x14ac:dyDescent="0.2">
      <c r="A431" t="s">
        <v>498</v>
      </c>
      <c r="B431" t="s">
        <v>33</v>
      </c>
      <c r="C431" t="s">
        <v>41</v>
      </c>
      <c r="D431" t="s">
        <v>61</v>
      </c>
      <c r="E431" t="s">
        <v>442</v>
      </c>
      <c r="F431" t="s">
        <v>46</v>
      </c>
      <c r="G431" t="s">
        <v>48</v>
      </c>
      <c r="H431" t="s">
        <v>65</v>
      </c>
      <c r="I431">
        <v>0</v>
      </c>
      <c r="J431">
        <v>1</v>
      </c>
      <c r="K431">
        <v>1</v>
      </c>
      <c r="L431">
        <v>0</v>
      </c>
      <c r="M431">
        <v>1</v>
      </c>
      <c r="N431">
        <v>0</v>
      </c>
      <c r="O431">
        <v>1</v>
      </c>
      <c r="P431">
        <v>0</v>
      </c>
      <c r="Q431">
        <v>1</v>
      </c>
      <c r="R431">
        <v>1</v>
      </c>
      <c r="S431">
        <v>0</v>
      </c>
      <c r="T431">
        <v>1</v>
      </c>
      <c r="U431">
        <v>0</v>
      </c>
      <c r="V431">
        <v>0</v>
      </c>
    </row>
    <row r="432" spans="1:22" x14ac:dyDescent="0.2">
      <c r="A432" t="s">
        <v>502</v>
      </c>
      <c r="B432" t="s">
        <v>33</v>
      </c>
      <c r="C432" t="s">
        <v>41</v>
      </c>
      <c r="D432" t="s">
        <v>55</v>
      </c>
      <c r="E432" t="s">
        <v>442</v>
      </c>
      <c r="F432" t="s">
        <v>46</v>
      </c>
      <c r="G432" t="s">
        <v>48</v>
      </c>
      <c r="H432" t="s">
        <v>60</v>
      </c>
      <c r="I432">
        <v>1</v>
      </c>
      <c r="J432">
        <v>0</v>
      </c>
      <c r="K432">
        <v>1</v>
      </c>
      <c r="L432">
        <v>0</v>
      </c>
      <c r="M432">
        <v>1</v>
      </c>
      <c r="N432">
        <v>0</v>
      </c>
      <c r="O432">
        <v>1</v>
      </c>
      <c r="P432">
        <v>0</v>
      </c>
      <c r="Q432">
        <v>0</v>
      </c>
      <c r="R432">
        <v>1</v>
      </c>
      <c r="S432">
        <v>0</v>
      </c>
      <c r="T432">
        <v>1</v>
      </c>
      <c r="U432">
        <v>0</v>
      </c>
      <c r="V432">
        <v>0</v>
      </c>
    </row>
    <row r="433" spans="1:22" x14ac:dyDescent="0.2">
      <c r="A433" t="s">
        <v>502</v>
      </c>
      <c r="B433" t="s">
        <v>33</v>
      </c>
      <c r="C433" t="s">
        <v>41</v>
      </c>
      <c r="D433" t="s">
        <v>67</v>
      </c>
      <c r="E433" t="s">
        <v>442</v>
      </c>
      <c r="F433" t="s">
        <v>46</v>
      </c>
      <c r="G433" t="s">
        <v>65</v>
      </c>
      <c r="H433" t="s">
        <v>48</v>
      </c>
      <c r="I433">
        <v>0</v>
      </c>
      <c r="J433">
        <v>1</v>
      </c>
      <c r="K433">
        <v>1</v>
      </c>
      <c r="L433">
        <v>0</v>
      </c>
      <c r="M433">
        <v>1</v>
      </c>
      <c r="N433">
        <v>0</v>
      </c>
      <c r="O433">
        <v>1</v>
      </c>
      <c r="P433">
        <v>0</v>
      </c>
      <c r="Q433">
        <v>0</v>
      </c>
      <c r="R433">
        <v>1</v>
      </c>
      <c r="S433">
        <v>0</v>
      </c>
      <c r="T433">
        <v>1</v>
      </c>
      <c r="U433">
        <v>0</v>
      </c>
      <c r="V433">
        <v>0</v>
      </c>
    </row>
    <row r="434" spans="1:22" x14ac:dyDescent="0.2">
      <c r="A434" t="s">
        <v>502</v>
      </c>
      <c r="B434" t="s">
        <v>33</v>
      </c>
      <c r="C434" t="s">
        <v>41</v>
      </c>
      <c r="D434" t="s">
        <v>72</v>
      </c>
      <c r="E434" t="s">
        <v>442</v>
      </c>
      <c r="F434" t="s">
        <v>46</v>
      </c>
      <c r="G434" t="s">
        <v>48</v>
      </c>
      <c r="H434" t="s">
        <v>47</v>
      </c>
      <c r="I434">
        <v>0</v>
      </c>
      <c r="J434">
        <v>0</v>
      </c>
      <c r="K434">
        <v>1</v>
      </c>
      <c r="L434">
        <v>1</v>
      </c>
      <c r="M434">
        <v>1</v>
      </c>
      <c r="N434">
        <v>0</v>
      </c>
      <c r="O434">
        <v>1</v>
      </c>
      <c r="P434">
        <v>0</v>
      </c>
      <c r="Q434">
        <v>0</v>
      </c>
      <c r="R434">
        <v>0</v>
      </c>
      <c r="S434">
        <v>0</v>
      </c>
      <c r="T434">
        <v>0</v>
      </c>
      <c r="U434">
        <v>0</v>
      </c>
      <c r="V434">
        <v>1</v>
      </c>
    </row>
    <row r="435" spans="1:22" x14ac:dyDescent="0.2">
      <c r="A435" t="s">
        <v>502</v>
      </c>
      <c r="B435" t="s">
        <v>33</v>
      </c>
      <c r="C435" t="s">
        <v>41</v>
      </c>
      <c r="D435" t="s">
        <v>49</v>
      </c>
      <c r="E435" t="s">
        <v>442</v>
      </c>
      <c r="F435" t="s">
        <v>47</v>
      </c>
      <c r="G435" t="s">
        <v>46</v>
      </c>
      <c r="H435" t="s">
        <v>48</v>
      </c>
      <c r="I435">
        <v>0</v>
      </c>
      <c r="J435">
        <v>0</v>
      </c>
      <c r="K435">
        <v>1</v>
      </c>
      <c r="L435">
        <v>1</v>
      </c>
      <c r="M435">
        <v>1</v>
      </c>
      <c r="N435">
        <v>0</v>
      </c>
      <c r="O435">
        <v>1</v>
      </c>
      <c r="P435">
        <v>0</v>
      </c>
      <c r="Q435">
        <v>0</v>
      </c>
      <c r="R435">
        <v>0</v>
      </c>
      <c r="S435">
        <v>1</v>
      </c>
      <c r="T435">
        <v>0</v>
      </c>
      <c r="U435">
        <v>0</v>
      </c>
      <c r="V435">
        <v>0</v>
      </c>
    </row>
    <row r="436" spans="1:22" x14ac:dyDescent="0.2">
      <c r="A436" t="s">
        <v>506</v>
      </c>
      <c r="B436" t="s">
        <v>108</v>
      </c>
      <c r="C436" t="s">
        <v>41</v>
      </c>
      <c r="D436" t="s">
        <v>67</v>
      </c>
      <c r="E436" t="s">
        <v>442</v>
      </c>
      <c r="F436" t="s">
        <v>48</v>
      </c>
      <c r="G436" t="s">
        <v>47</v>
      </c>
      <c r="H436" t="s">
        <v>65</v>
      </c>
      <c r="I436">
        <v>0</v>
      </c>
      <c r="J436">
        <v>1</v>
      </c>
      <c r="K436">
        <v>1</v>
      </c>
      <c r="L436">
        <v>1</v>
      </c>
      <c r="M436">
        <v>0</v>
      </c>
      <c r="N436">
        <v>0</v>
      </c>
      <c r="O436">
        <v>1</v>
      </c>
      <c r="P436">
        <v>0</v>
      </c>
      <c r="Q436">
        <v>1</v>
      </c>
      <c r="R436">
        <v>0</v>
      </c>
      <c r="S436">
        <v>1</v>
      </c>
      <c r="T436">
        <v>0</v>
      </c>
      <c r="U436">
        <v>0</v>
      </c>
      <c r="V436">
        <v>0</v>
      </c>
    </row>
    <row r="437" spans="1:22" x14ac:dyDescent="0.2">
      <c r="A437" t="s">
        <v>506</v>
      </c>
      <c r="B437" t="s">
        <v>108</v>
      </c>
      <c r="C437" t="s">
        <v>41</v>
      </c>
      <c r="D437" t="s">
        <v>55</v>
      </c>
      <c r="E437" t="s">
        <v>442</v>
      </c>
      <c r="F437" t="s">
        <v>48</v>
      </c>
      <c r="G437" t="s">
        <v>60</v>
      </c>
      <c r="H437" t="s">
        <v>65</v>
      </c>
      <c r="I437">
        <v>1</v>
      </c>
      <c r="J437">
        <v>1</v>
      </c>
      <c r="K437">
        <v>1</v>
      </c>
      <c r="L437">
        <v>0</v>
      </c>
      <c r="M437">
        <v>0</v>
      </c>
      <c r="N437">
        <v>0</v>
      </c>
      <c r="O437">
        <v>1</v>
      </c>
      <c r="P437">
        <v>0</v>
      </c>
      <c r="Q437">
        <v>1</v>
      </c>
      <c r="R437">
        <v>0</v>
      </c>
      <c r="S437">
        <v>0</v>
      </c>
      <c r="T437">
        <v>0</v>
      </c>
      <c r="U437">
        <v>0</v>
      </c>
      <c r="V437">
        <v>0</v>
      </c>
    </row>
    <row r="438" spans="1:22" x14ac:dyDescent="0.2">
      <c r="A438" t="s">
        <v>506</v>
      </c>
      <c r="B438" t="s">
        <v>108</v>
      </c>
      <c r="C438" t="s">
        <v>41</v>
      </c>
      <c r="D438" t="s">
        <v>61</v>
      </c>
      <c r="E438" t="s">
        <v>442</v>
      </c>
      <c r="F438" t="s">
        <v>47</v>
      </c>
      <c r="G438" t="s">
        <v>65</v>
      </c>
      <c r="H438" t="s">
        <v>48</v>
      </c>
      <c r="I438">
        <v>0</v>
      </c>
      <c r="J438">
        <v>1</v>
      </c>
      <c r="K438">
        <v>1</v>
      </c>
      <c r="L438">
        <v>1</v>
      </c>
      <c r="M438">
        <v>0</v>
      </c>
      <c r="N438">
        <v>0</v>
      </c>
      <c r="O438">
        <v>1</v>
      </c>
      <c r="P438">
        <v>0</v>
      </c>
      <c r="Q438">
        <v>1</v>
      </c>
      <c r="R438">
        <v>0</v>
      </c>
      <c r="S438">
        <v>1</v>
      </c>
      <c r="T438">
        <v>0</v>
      </c>
      <c r="U438">
        <v>0</v>
      </c>
      <c r="V438">
        <v>0</v>
      </c>
    </row>
    <row r="439" spans="1:22" x14ac:dyDescent="0.2">
      <c r="A439" t="s">
        <v>509</v>
      </c>
      <c r="B439" t="s">
        <v>188</v>
      </c>
      <c r="C439" t="s">
        <v>41</v>
      </c>
      <c r="D439" t="s">
        <v>55</v>
      </c>
      <c r="E439" t="s">
        <v>442</v>
      </c>
      <c r="F439" t="s">
        <v>48</v>
      </c>
      <c r="G439" t="s">
        <v>46</v>
      </c>
      <c r="H439" t="s">
        <v>65</v>
      </c>
      <c r="I439">
        <v>0</v>
      </c>
      <c r="J439">
        <v>1</v>
      </c>
      <c r="K439">
        <v>1</v>
      </c>
      <c r="L439">
        <v>0</v>
      </c>
      <c r="M439">
        <v>1</v>
      </c>
      <c r="N439">
        <v>0</v>
      </c>
      <c r="O439">
        <v>1</v>
      </c>
      <c r="P439">
        <v>0</v>
      </c>
      <c r="Q439">
        <v>1</v>
      </c>
      <c r="R439">
        <v>0</v>
      </c>
      <c r="S439">
        <v>0</v>
      </c>
      <c r="T439">
        <v>0</v>
      </c>
      <c r="U439">
        <v>0</v>
      </c>
      <c r="V439">
        <v>0</v>
      </c>
    </row>
    <row r="440" spans="1:22" x14ac:dyDescent="0.2">
      <c r="A440" t="s">
        <v>509</v>
      </c>
      <c r="B440" t="s">
        <v>188</v>
      </c>
      <c r="C440" t="s">
        <v>41</v>
      </c>
      <c r="D440" t="s">
        <v>67</v>
      </c>
      <c r="E440" t="s">
        <v>442</v>
      </c>
      <c r="F440" t="s">
        <v>48</v>
      </c>
      <c r="G440" t="s">
        <v>46</v>
      </c>
      <c r="H440" t="s">
        <v>47</v>
      </c>
      <c r="I440">
        <v>0</v>
      </c>
      <c r="J440">
        <v>0</v>
      </c>
      <c r="K440">
        <v>1</v>
      </c>
      <c r="L440">
        <v>1</v>
      </c>
      <c r="M440">
        <v>1</v>
      </c>
      <c r="N440">
        <v>0</v>
      </c>
      <c r="O440">
        <v>1</v>
      </c>
      <c r="P440">
        <v>0</v>
      </c>
      <c r="Q440">
        <v>0</v>
      </c>
      <c r="R440">
        <v>0</v>
      </c>
      <c r="S440">
        <v>1</v>
      </c>
      <c r="T440">
        <v>0</v>
      </c>
      <c r="U440">
        <v>0</v>
      </c>
      <c r="V440">
        <v>0</v>
      </c>
    </row>
    <row r="441" spans="1:22" x14ac:dyDescent="0.2">
      <c r="A441" t="s">
        <v>509</v>
      </c>
      <c r="B441" t="s">
        <v>188</v>
      </c>
      <c r="C441" t="s">
        <v>41</v>
      </c>
      <c r="D441" t="s">
        <v>61</v>
      </c>
      <c r="E441" t="s">
        <v>442</v>
      </c>
      <c r="F441" t="s">
        <v>48</v>
      </c>
      <c r="G441" t="s">
        <v>47</v>
      </c>
      <c r="H441" t="s">
        <v>46</v>
      </c>
      <c r="I441">
        <v>0</v>
      </c>
      <c r="J441">
        <v>0</v>
      </c>
      <c r="K441">
        <v>1</v>
      </c>
      <c r="L441">
        <v>1</v>
      </c>
      <c r="M441">
        <v>1</v>
      </c>
      <c r="N441">
        <v>0</v>
      </c>
      <c r="O441">
        <v>1</v>
      </c>
      <c r="P441">
        <v>0</v>
      </c>
      <c r="Q441">
        <v>0</v>
      </c>
      <c r="R441">
        <v>0</v>
      </c>
      <c r="S441">
        <v>0</v>
      </c>
      <c r="T441">
        <v>1</v>
      </c>
      <c r="U441">
        <v>0</v>
      </c>
      <c r="V441">
        <v>0</v>
      </c>
    </row>
    <row r="442" spans="1:22" x14ac:dyDescent="0.2">
      <c r="A442" t="s">
        <v>509</v>
      </c>
      <c r="B442" t="s">
        <v>188</v>
      </c>
      <c r="C442" t="s">
        <v>41</v>
      </c>
      <c r="D442" t="s">
        <v>49</v>
      </c>
      <c r="E442" t="s">
        <v>442</v>
      </c>
      <c r="F442" t="s">
        <v>47</v>
      </c>
      <c r="G442" t="s">
        <v>46</v>
      </c>
      <c r="H442" t="s">
        <v>48</v>
      </c>
      <c r="I442">
        <v>0</v>
      </c>
      <c r="J442">
        <v>0</v>
      </c>
      <c r="K442">
        <v>1</v>
      </c>
      <c r="L442">
        <v>1</v>
      </c>
      <c r="M442">
        <v>1</v>
      </c>
      <c r="N442">
        <v>0</v>
      </c>
      <c r="O442">
        <v>1</v>
      </c>
      <c r="P442">
        <v>0</v>
      </c>
      <c r="Q442">
        <v>0</v>
      </c>
      <c r="R442">
        <v>1</v>
      </c>
      <c r="S442">
        <v>0</v>
      </c>
      <c r="T442">
        <v>0</v>
      </c>
      <c r="U442">
        <v>0</v>
      </c>
      <c r="V442">
        <v>0</v>
      </c>
    </row>
    <row r="443" spans="1:22" x14ac:dyDescent="0.2">
      <c r="A443" t="s">
        <v>512</v>
      </c>
      <c r="B443" t="s">
        <v>108</v>
      </c>
      <c r="C443" t="s">
        <v>41</v>
      </c>
      <c r="D443" t="s">
        <v>49</v>
      </c>
      <c r="E443" t="s">
        <v>442</v>
      </c>
      <c r="F443" t="s">
        <v>65</v>
      </c>
      <c r="G443" t="s">
        <v>46</v>
      </c>
      <c r="H443" t="s">
        <v>48</v>
      </c>
      <c r="I443">
        <v>0</v>
      </c>
      <c r="J443">
        <v>1</v>
      </c>
      <c r="K443">
        <v>1</v>
      </c>
      <c r="L443">
        <v>0</v>
      </c>
      <c r="M443">
        <v>1</v>
      </c>
      <c r="N443">
        <v>0</v>
      </c>
      <c r="O443">
        <v>1</v>
      </c>
      <c r="P443">
        <v>0</v>
      </c>
      <c r="Q443">
        <v>0</v>
      </c>
      <c r="R443">
        <v>0</v>
      </c>
      <c r="S443">
        <v>0</v>
      </c>
      <c r="T443">
        <v>0</v>
      </c>
      <c r="U443">
        <v>0</v>
      </c>
      <c r="V443">
        <v>1</v>
      </c>
    </row>
    <row r="444" spans="1:22" x14ac:dyDescent="0.2">
      <c r="A444" t="s">
        <v>512</v>
      </c>
      <c r="B444" t="s">
        <v>108</v>
      </c>
      <c r="C444" t="s">
        <v>41</v>
      </c>
      <c r="D444" t="s">
        <v>67</v>
      </c>
      <c r="E444" t="s">
        <v>442</v>
      </c>
      <c r="F444" t="s">
        <v>59</v>
      </c>
      <c r="G444" t="s">
        <v>47</v>
      </c>
      <c r="H444" t="s">
        <v>48</v>
      </c>
      <c r="I444">
        <v>0</v>
      </c>
      <c r="J444">
        <v>0</v>
      </c>
      <c r="K444">
        <v>1</v>
      </c>
      <c r="L444">
        <v>1</v>
      </c>
      <c r="M444">
        <v>0</v>
      </c>
      <c r="N444">
        <v>0</v>
      </c>
      <c r="O444">
        <v>1</v>
      </c>
      <c r="P444">
        <v>0</v>
      </c>
      <c r="Q444">
        <v>0</v>
      </c>
      <c r="R444">
        <v>0</v>
      </c>
      <c r="S444">
        <v>0</v>
      </c>
      <c r="T444">
        <v>0</v>
      </c>
      <c r="U444">
        <v>0</v>
      </c>
      <c r="V444">
        <v>1</v>
      </c>
    </row>
    <row r="445" spans="1:22" x14ac:dyDescent="0.2">
      <c r="A445" t="s">
        <v>512</v>
      </c>
      <c r="B445" t="s">
        <v>108</v>
      </c>
      <c r="C445" t="s">
        <v>41</v>
      </c>
      <c r="D445" t="s">
        <v>42</v>
      </c>
      <c r="E445" t="s">
        <v>442</v>
      </c>
      <c r="F445" t="s">
        <v>47</v>
      </c>
      <c r="G445" t="s">
        <v>65</v>
      </c>
      <c r="H445" t="s">
        <v>48</v>
      </c>
      <c r="I445">
        <v>0</v>
      </c>
      <c r="J445">
        <v>1</v>
      </c>
      <c r="K445">
        <v>1</v>
      </c>
      <c r="L445">
        <v>1</v>
      </c>
      <c r="M445">
        <v>0</v>
      </c>
      <c r="N445">
        <v>0</v>
      </c>
      <c r="O445">
        <v>1</v>
      </c>
      <c r="P445">
        <v>0</v>
      </c>
      <c r="Q445">
        <v>0</v>
      </c>
      <c r="R445">
        <v>0</v>
      </c>
      <c r="S445">
        <v>0</v>
      </c>
      <c r="T445">
        <v>0</v>
      </c>
      <c r="U445">
        <v>0</v>
      </c>
      <c r="V445">
        <v>1</v>
      </c>
    </row>
    <row r="446" spans="1:22" x14ac:dyDescent="0.2">
      <c r="A446" t="s">
        <v>515</v>
      </c>
      <c r="B446" t="s">
        <v>108</v>
      </c>
      <c r="C446" t="s">
        <v>41</v>
      </c>
      <c r="D446" t="s">
        <v>55</v>
      </c>
      <c r="E446" t="s">
        <v>442</v>
      </c>
      <c r="F446" t="s">
        <v>59</v>
      </c>
      <c r="G446" t="s">
        <v>48</v>
      </c>
      <c r="H446" t="s">
        <v>65</v>
      </c>
      <c r="I446">
        <v>0</v>
      </c>
      <c r="J446">
        <v>1</v>
      </c>
      <c r="K446">
        <v>1</v>
      </c>
      <c r="L446">
        <v>0</v>
      </c>
      <c r="M446">
        <v>0</v>
      </c>
      <c r="N446">
        <v>0</v>
      </c>
      <c r="O446">
        <v>1</v>
      </c>
      <c r="P446">
        <v>0</v>
      </c>
      <c r="Q446">
        <v>1</v>
      </c>
      <c r="R446">
        <v>1</v>
      </c>
      <c r="S446">
        <v>0</v>
      </c>
      <c r="T446">
        <v>0</v>
      </c>
      <c r="U446">
        <v>0</v>
      </c>
      <c r="V446">
        <v>0</v>
      </c>
    </row>
    <row r="447" spans="1:22" x14ac:dyDescent="0.2">
      <c r="A447" t="s">
        <v>515</v>
      </c>
      <c r="B447" t="s">
        <v>108</v>
      </c>
      <c r="C447" t="s">
        <v>41</v>
      </c>
      <c r="D447" t="s">
        <v>42</v>
      </c>
      <c r="E447" t="s">
        <v>442</v>
      </c>
      <c r="F447" t="s">
        <v>46</v>
      </c>
      <c r="G447" t="s">
        <v>48</v>
      </c>
      <c r="H447" t="s">
        <v>65</v>
      </c>
      <c r="I447">
        <v>0</v>
      </c>
      <c r="J447">
        <v>1</v>
      </c>
      <c r="K447">
        <v>1</v>
      </c>
      <c r="L447">
        <v>0</v>
      </c>
      <c r="M447">
        <v>1</v>
      </c>
      <c r="N447">
        <v>0</v>
      </c>
      <c r="O447">
        <v>1</v>
      </c>
      <c r="P447">
        <v>0</v>
      </c>
      <c r="Q447">
        <v>1</v>
      </c>
      <c r="R447">
        <v>1</v>
      </c>
      <c r="S447">
        <v>0</v>
      </c>
      <c r="T447">
        <v>1</v>
      </c>
      <c r="U447">
        <v>0</v>
      </c>
      <c r="V447">
        <v>0</v>
      </c>
    </row>
    <row r="448" spans="1:22" x14ac:dyDescent="0.2">
      <c r="A448" t="s">
        <v>515</v>
      </c>
      <c r="B448" t="s">
        <v>108</v>
      </c>
      <c r="C448" t="s">
        <v>41</v>
      </c>
      <c r="D448" t="s">
        <v>61</v>
      </c>
      <c r="E448" t="s">
        <v>442</v>
      </c>
      <c r="F448" t="s">
        <v>59</v>
      </c>
      <c r="G448" t="s">
        <v>46</v>
      </c>
      <c r="H448" t="s">
        <v>48</v>
      </c>
      <c r="I448">
        <v>0</v>
      </c>
      <c r="J448">
        <v>0</v>
      </c>
      <c r="K448">
        <v>1</v>
      </c>
      <c r="L448">
        <v>0</v>
      </c>
      <c r="M448">
        <v>1</v>
      </c>
      <c r="N448">
        <v>0</v>
      </c>
      <c r="O448">
        <v>1</v>
      </c>
      <c r="P448">
        <v>0</v>
      </c>
      <c r="Q448">
        <v>0</v>
      </c>
      <c r="R448">
        <v>0</v>
      </c>
      <c r="S448">
        <v>0</v>
      </c>
      <c r="T448">
        <v>0</v>
      </c>
      <c r="U448">
        <v>0</v>
      </c>
      <c r="V448">
        <v>1</v>
      </c>
    </row>
    <row r="449" spans="1:22" x14ac:dyDescent="0.2">
      <c r="A449" t="s">
        <v>515</v>
      </c>
      <c r="B449" t="s">
        <v>108</v>
      </c>
      <c r="C449" t="s">
        <v>41</v>
      </c>
      <c r="D449" t="s">
        <v>67</v>
      </c>
      <c r="E449" t="s">
        <v>442</v>
      </c>
      <c r="F449" t="s">
        <v>48</v>
      </c>
      <c r="G449" t="s">
        <v>46</v>
      </c>
      <c r="H449" t="s">
        <v>59</v>
      </c>
      <c r="I449">
        <v>0</v>
      </c>
      <c r="J449">
        <v>0</v>
      </c>
      <c r="K449">
        <v>1</v>
      </c>
      <c r="L449">
        <v>0</v>
      </c>
      <c r="M449">
        <v>1</v>
      </c>
      <c r="N449">
        <v>0</v>
      </c>
      <c r="O449">
        <v>1</v>
      </c>
      <c r="P449">
        <v>0</v>
      </c>
      <c r="Q449">
        <v>0</v>
      </c>
      <c r="R449">
        <v>0</v>
      </c>
      <c r="S449">
        <v>0</v>
      </c>
      <c r="T449">
        <v>0</v>
      </c>
      <c r="U449">
        <v>0</v>
      </c>
      <c r="V449">
        <v>1</v>
      </c>
    </row>
    <row r="450" spans="1:22" x14ac:dyDescent="0.2">
      <c r="A450" t="s">
        <v>515</v>
      </c>
      <c r="B450" t="s">
        <v>108</v>
      </c>
      <c r="C450" t="s">
        <v>41</v>
      </c>
      <c r="D450" t="s">
        <v>49</v>
      </c>
      <c r="E450" t="s">
        <v>442</v>
      </c>
      <c r="F450" t="s">
        <v>46</v>
      </c>
      <c r="G450" t="s">
        <v>48</v>
      </c>
      <c r="H450" t="s">
        <v>65</v>
      </c>
      <c r="I450">
        <v>0</v>
      </c>
      <c r="J450">
        <v>1</v>
      </c>
      <c r="K450">
        <v>1</v>
      </c>
      <c r="L450">
        <v>0</v>
      </c>
      <c r="M450">
        <v>1</v>
      </c>
      <c r="N450">
        <v>0</v>
      </c>
      <c r="O450">
        <v>1</v>
      </c>
      <c r="P450">
        <v>0</v>
      </c>
      <c r="Q450">
        <v>1</v>
      </c>
      <c r="R450">
        <v>0</v>
      </c>
      <c r="S450">
        <v>0</v>
      </c>
      <c r="T450">
        <v>0</v>
      </c>
      <c r="U450">
        <v>0</v>
      </c>
      <c r="V450">
        <v>0</v>
      </c>
    </row>
    <row r="451" spans="1:22" x14ac:dyDescent="0.2">
      <c r="A451" t="s">
        <v>518</v>
      </c>
      <c r="B451" t="s">
        <v>108</v>
      </c>
      <c r="C451" t="s">
        <v>41</v>
      </c>
      <c r="D451" t="s">
        <v>42</v>
      </c>
      <c r="E451" t="s">
        <v>442</v>
      </c>
      <c r="F451" t="s">
        <v>60</v>
      </c>
      <c r="G451" t="s">
        <v>48</v>
      </c>
      <c r="H451" t="s">
        <v>65</v>
      </c>
      <c r="I451">
        <v>1</v>
      </c>
      <c r="J451">
        <v>1</v>
      </c>
      <c r="K451">
        <v>1</v>
      </c>
      <c r="L451">
        <v>0</v>
      </c>
      <c r="M451">
        <v>0</v>
      </c>
      <c r="N451">
        <v>0</v>
      </c>
      <c r="O451">
        <v>1</v>
      </c>
      <c r="P451">
        <v>1</v>
      </c>
      <c r="Q451">
        <v>1</v>
      </c>
      <c r="R451">
        <v>1</v>
      </c>
      <c r="S451">
        <v>0</v>
      </c>
      <c r="T451">
        <v>0</v>
      </c>
      <c r="U451">
        <v>0</v>
      </c>
      <c r="V451">
        <v>0</v>
      </c>
    </row>
    <row r="452" spans="1:22" x14ac:dyDescent="0.2">
      <c r="A452" t="s">
        <v>518</v>
      </c>
      <c r="B452" t="s">
        <v>108</v>
      </c>
      <c r="C452" t="s">
        <v>41</v>
      </c>
      <c r="D452" t="s">
        <v>72</v>
      </c>
      <c r="E452" t="s">
        <v>442</v>
      </c>
      <c r="F452" t="s">
        <v>65</v>
      </c>
      <c r="G452" t="s">
        <v>48</v>
      </c>
      <c r="H452" t="s">
        <v>46</v>
      </c>
      <c r="I452">
        <v>0</v>
      </c>
      <c r="J452">
        <v>1</v>
      </c>
      <c r="K452">
        <v>1</v>
      </c>
      <c r="L452">
        <v>0</v>
      </c>
      <c r="M452">
        <v>1</v>
      </c>
      <c r="N452">
        <v>0</v>
      </c>
      <c r="O452">
        <v>1</v>
      </c>
      <c r="P452">
        <v>0</v>
      </c>
      <c r="Q452">
        <v>0</v>
      </c>
      <c r="R452">
        <v>0</v>
      </c>
      <c r="S452">
        <v>0</v>
      </c>
      <c r="T452">
        <v>0</v>
      </c>
      <c r="U452">
        <v>0</v>
      </c>
      <c r="V452">
        <v>1</v>
      </c>
    </row>
    <row r="453" spans="1:22" x14ac:dyDescent="0.2">
      <c r="A453" t="s">
        <v>521</v>
      </c>
      <c r="B453" t="s">
        <v>33</v>
      </c>
      <c r="C453" t="s">
        <v>41</v>
      </c>
      <c r="D453" t="s">
        <v>55</v>
      </c>
      <c r="E453" t="s">
        <v>442</v>
      </c>
      <c r="F453" t="s">
        <v>65</v>
      </c>
      <c r="G453" t="s">
        <v>48</v>
      </c>
      <c r="H453" t="s">
        <v>47</v>
      </c>
      <c r="I453">
        <v>0</v>
      </c>
      <c r="J453">
        <v>1</v>
      </c>
      <c r="K453">
        <v>1</v>
      </c>
      <c r="L453">
        <v>1</v>
      </c>
      <c r="M453">
        <v>0</v>
      </c>
      <c r="N453">
        <v>0</v>
      </c>
      <c r="O453">
        <v>1</v>
      </c>
      <c r="P453">
        <v>0</v>
      </c>
      <c r="Q453">
        <v>1</v>
      </c>
      <c r="R453">
        <v>0</v>
      </c>
      <c r="S453">
        <v>0</v>
      </c>
      <c r="T453">
        <v>0</v>
      </c>
      <c r="U453">
        <v>0</v>
      </c>
      <c r="V453">
        <v>0</v>
      </c>
    </row>
    <row r="454" spans="1:22" x14ac:dyDescent="0.2">
      <c r="A454" t="s">
        <v>521</v>
      </c>
      <c r="B454" t="s">
        <v>33</v>
      </c>
      <c r="C454" t="s">
        <v>41</v>
      </c>
      <c r="D454" t="s">
        <v>67</v>
      </c>
      <c r="E454" t="s">
        <v>442</v>
      </c>
      <c r="F454" t="s">
        <v>46</v>
      </c>
      <c r="G454" t="s">
        <v>48</v>
      </c>
      <c r="H454" t="s">
        <v>59</v>
      </c>
      <c r="I454">
        <v>0</v>
      </c>
      <c r="J454">
        <v>0</v>
      </c>
      <c r="K454">
        <v>1</v>
      </c>
      <c r="L454">
        <v>0</v>
      </c>
      <c r="M454">
        <v>1</v>
      </c>
      <c r="N454">
        <v>0</v>
      </c>
      <c r="O454">
        <v>1</v>
      </c>
      <c r="P454">
        <v>0</v>
      </c>
      <c r="Q454">
        <v>0</v>
      </c>
      <c r="R454">
        <v>0</v>
      </c>
      <c r="S454">
        <v>0</v>
      </c>
      <c r="T454">
        <v>1</v>
      </c>
      <c r="U454">
        <v>0</v>
      </c>
      <c r="V454">
        <v>0</v>
      </c>
    </row>
    <row r="455" spans="1:22" x14ac:dyDescent="0.2">
      <c r="A455" t="s">
        <v>521</v>
      </c>
      <c r="B455" t="s">
        <v>33</v>
      </c>
      <c r="C455" t="s">
        <v>41</v>
      </c>
      <c r="D455" t="s">
        <v>42</v>
      </c>
      <c r="E455" t="s">
        <v>442</v>
      </c>
      <c r="F455" t="s">
        <v>47</v>
      </c>
      <c r="G455" t="s">
        <v>48</v>
      </c>
      <c r="H455" t="s">
        <v>65</v>
      </c>
      <c r="I455">
        <v>0</v>
      </c>
      <c r="J455">
        <v>1</v>
      </c>
      <c r="K455">
        <v>1</v>
      </c>
      <c r="L455">
        <v>1</v>
      </c>
      <c r="M455">
        <v>0</v>
      </c>
      <c r="N455">
        <v>0</v>
      </c>
      <c r="O455">
        <v>1</v>
      </c>
      <c r="P455">
        <v>0</v>
      </c>
      <c r="Q455">
        <v>0</v>
      </c>
      <c r="R455">
        <v>1</v>
      </c>
      <c r="S455">
        <v>0</v>
      </c>
      <c r="T455">
        <v>0</v>
      </c>
      <c r="U455">
        <v>0</v>
      </c>
      <c r="V455">
        <v>0</v>
      </c>
    </row>
    <row r="456" spans="1:22" x14ac:dyDescent="0.2">
      <c r="A456" t="s">
        <v>521</v>
      </c>
      <c r="B456" t="s">
        <v>33</v>
      </c>
      <c r="C456" t="s">
        <v>41</v>
      </c>
      <c r="D456" t="s">
        <v>72</v>
      </c>
      <c r="E456" t="s">
        <v>442</v>
      </c>
      <c r="F456" t="s">
        <v>65</v>
      </c>
      <c r="G456" t="s">
        <v>48</v>
      </c>
      <c r="H456" t="s">
        <v>47</v>
      </c>
      <c r="I456">
        <v>0</v>
      </c>
      <c r="J456">
        <v>1</v>
      </c>
      <c r="K456">
        <v>1</v>
      </c>
      <c r="L456">
        <v>1</v>
      </c>
      <c r="M456">
        <v>0</v>
      </c>
      <c r="N456">
        <v>0</v>
      </c>
      <c r="O456">
        <v>1</v>
      </c>
      <c r="P456">
        <v>0</v>
      </c>
      <c r="Q456">
        <v>0</v>
      </c>
      <c r="R456">
        <v>1</v>
      </c>
      <c r="S456">
        <v>0</v>
      </c>
      <c r="T456">
        <v>0</v>
      </c>
      <c r="U456">
        <v>0</v>
      </c>
      <c r="V456">
        <v>0</v>
      </c>
    </row>
    <row r="457" spans="1:22" x14ac:dyDescent="0.2">
      <c r="A457" t="s">
        <v>524</v>
      </c>
      <c r="B457" t="s">
        <v>108</v>
      </c>
      <c r="C457" t="s">
        <v>41</v>
      </c>
      <c r="D457" t="s">
        <v>67</v>
      </c>
      <c r="E457" t="s">
        <v>442</v>
      </c>
      <c r="F457" t="s">
        <v>46</v>
      </c>
      <c r="G457" t="s">
        <v>59</v>
      </c>
      <c r="H457" t="s">
        <v>48</v>
      </c>
      <c r="I457">
        <v>0</v>
      </c>
      <c r="J457">
        <v>0</v>
      </c>
      <c r="K457">
        <v>1</v>
      </c>
      <c r="L457">
        <v>0</v>
      </c>
      <c r="M457">
        <v>1</v>
      </c>
      <c r="N457">
        <v>0</v>
      </c>
      <c r="O457">
        <v>1</v>
      </c>
      <c r="P457">
        <v>0</v>
      </c>
      <c r="Q457">
        <v>0</v>
      </c>
      <c r="R457">
        <v>0</v>
      </c>
      <c r="S457">
        <v>0</v>
      </c>
      <c r="T457">
        <v>0</v>
      </c>
      <c r="U457">
        <v>0</v>
      </c>
      <c r="V457">
        <v>1</v>
      </c>
    </row>
    <row r="458" spans="1:22" x14ac:dyDescent="0.2">
      <c r="A458" t="s">
        <v>524</v>
      </c>
      <c r="B458" t="s">
        <v>108</v>
      </c>
      <c r="C458" t="s">
        <v>41</v>
      </c>
      <c r="D458" t="s">
        <v>55</v>
      </c>
      <c r="E458" t="s">
        <v>442</v>
      </c>
      <c r="F458" t="s">
        <v>48</v>
      </c>
      <c r="G458" t="s">
        <v>47</v>
      </c>
      <c r="H458" t="s">
        <v>59</v>
      </c>
      <c r="I458">
        <v>0</v>
      </c>
      <c r="J458">
        <v>0</v>
      </c>
      <c r="K458">
        <v>1</v>
      </c>
      <c r="L458">
        <v>1</v>
      </c>
      <c r="M458">
        <v>0</v>
      </c>
      <c r="N458">
        <v>0</v>
      </c>
      <c r="O458">
        <v>1</v>
      </c>
      <c r="P458">
        <v>0</v>
      </c>
      <c r="Q458">
        <v>0</v>
      </c>
      <c r="R458">
        <v>0</v>
      </c>
      <c r="S458">
        <v>1</v>
      </c>
      <c r="T458">
        <v>0</v>
      </c>
      <c r="U458">
        <v>0</v>
      </c>
      <c r="V458">
        <v>0</v>
      </c>
    </row>
    <row r="459" spans="1:22" x14ac:dyDescent="0.2">
      <c r="A459" t="s">
        <v>524</v>
      </c>
      <c r="B459" t="s">
        <v>108</v>
      </c>
      <c r="C459" t="s">
        <v>41</v>
      </c>
      <c r="D459" t="s">
        <v>61</v>
      </c>
      <c r="E459" t="s">
        <v>442</v>
      </c>
      <c r="F459" t="s">
        <v>59</v>
      </c>
      <c r="G459" t="s">
        <v>46</v>
      </c>
      <c r="H459" t="s">
        <v>48</v>
      </c>
      <c r="I459">
        <v>0</v>
      </c>
      <c r="J459">
        <v>0</v>
      </c>
      <c r="K459">
        <v>1</v>
      </c>
      <c r="L459">
        <v>0</v>
      </c>
      <c r="M459">
        <v>1</v>
      </c>
      <c r="N459">
        <v>0</v>
      </c>
      <c r="O459">
        <v>1</v>
      </c>
      <c r="P459">
        <v>0</v>
      </c>
      <c r="Q459">
        <v>0</v>
      </c>
      <c r="R459">
        <v>0</v>
      </c>
      <c r="S459">
        <v>0</v>
      </c>
      <c r="T459">
        <v>0</v>
      </c>
      <c r="U459">
        <v>0</v>
      </c>
      <c r="V459">
        <v>1</v>
      </c>
    </row>
    <row r="460" spans="1:22" x14ac:dyDescent="0.2">
      <c r="A460" t="s">
        <v>524</v>
      </c>
      <c r="B460" t="s">
        <v>108</v>
      </c>
      <c r="C460" t="s">
        <v>41</v>
      </c>
      <c r="D460" t="s">
        <v>42</v>
      </c>
      <c r="E460" t="s">
        <v>442</v>
      </c>
      <c r="F460" t="s">
        <v>47</v>
      </c>
      <c r="G460" t="s">
        <v>48</v>
      </c>
      <c r="H460" t="s">
        <v>59</v>
      </c>
      <c r="I460">
        <v>0</v>
      </c>
      <c r="J460">
        <v>0</v>
      </c>
      <c r="K460">
        <v>1</v>
      </c>
      <c r="L460">
        <v>1</v>
      </c>
      <c r="M460">
        <v>0</v>
      </c>
      <c r="N460">
        <v>0</v>
      </c>
      <c r="O460">
        <v>1</v>
      </c>
      <c r="P460">
        <v>0</v>
      </c>
      <c r="Q460">
        <v>0</v>
      </c>
      <c r="R460">
        <v>0</v>
      </c>
      <c r="S460">
        <v>1</v>
      </c>
      <c r="T460">
        <v>0</v>
      </c>
      <c r="U460">
        <v>0</v>
      </c>
      <c r="V460">
        <v>0</v>
      </c>
    </row>
    <row r="461" spans="1:22" x14ac:dyDescent="0.2">
      <c r="A461" t="s">
        <v>524</v>
      </c>
      <c r="B461" t="s">
        <v>108</v>
      </c>
      <c r="C461" t="s">
        <v>41</v>
      </c>
      <c r="D461" t="s">
        <v>72</v>
      </c>
      <c r="E461" t="s">
        <v>442</v>
      </c>
      <c r="F461" t="s">
        <v>59</v>
      </c>
      <c r="G461" t="s">
        <v>48</v>
      </c>
      <c r="H461" t="s">
        <v>65</v>
      </c>
      <c r="I461">
        <v>0</v>
      </c>
      <c r="J461">
        <v>1</v>
      </c>
      <c r="K461">
        <v>1</v>
      </c>
      <c r="L461">
        <v>0</v>
      </c>
      <c r="M461">
        <v>0</v>
      </c>
      <c r="N461">
        <v>0</v>
      </c>
      <c r="O461">
        <v>1</v>
      </c>
      <c r="P461">
        <v>0</v>
      </c>
      <c r="Q461">
        <v>1</v>
      </c>
      <c r="R461">
        <v>0</v>
      </c>
      <c r="S461">
        <v>0</v>
      </c>
      <c r="T461">
        <v>0</v>
      </c>
      <c r="U461">
        <v>0</v>
      </c>
      <c r="V461">
        <v>0</v>
      </c>
    </row>
    <row r="462" spans="1:22" x14ac:dyDescent="0.2">
      <c r="A462" t="s">
        <v>527</v>
      </c>
      <c r="B462" t="s">
        <v>108</v>
      </c>
      <c r="C462" t="s">
        <v>41</v>
      </c>
      <c r="D462" t="s">
        <v>55</v>
      </c>
      <c r="E462" t="s">
        <v>442</v>
      </c>
      <c r="F462" t="s">
        <v>48</v>
      </c>
      <c r="G462" t="s">
        <v>46</v>
      </c>
      <c r="H462" t="s">
        <v>47</v>
      </c>
      <c r="I462">
        <v>0</v>
      </c>
      <c r="J462">
        <v>0</v>
      </c>
      <c r="K462">
        <v>1</v>
      </c>
      <c r="L462">
        <v>1</v>
      </c>
      <c r="M462">
        <v>1</v>
      </c>
      <c r="N462">
        <v>0</v>
      </c>
      <c r="O462">
        <v>1</v>
      </c>
      <c r="P462">
        <v>0</v>
      </c>
      <c r="Q462">
        <v>0</v>
      </c>
      <c r="R462">
        <v>1</v>
      </c>
      <c r="S462">
        <v>1</v>
      </c>
      <c r="T462">
        <v>1</v>
      </c>
      <c r="U462">
        <v>0</v>
      </c>
      <c r="V462">
        <v>0</v>
      </c>
    </row>
    <row r="463" spans="1:22" x14ac:dyDescent="0.2">
      <c r="A463" t="s">
        <v>527</v>
      </c>
      <c r="B463" t="s">
        <v>108</v>
      </c>
      <c r="C463" t="s">
        <v>41</v>
      </c>
      <c r="D463" t="s">
        <v>67</v>
      </c>
      <c r="E463" t="s">
        <v>442</v>
      </c>
      <c r="F463" t="s">
        <v>48</v>
      </c>
      <c r="G463" t="s">
        <v>65</v>
      </c>
      <c r="H463" t="s">
        <v>60</v>
      </c>
      <c r="I463">
        <v>1</v>
      </c>
      <c r="J463">
        <v>1</v>
      </c>
      <c r="K463">
        <v>1</v>
      </c>
      <c r="L463">
        <v>0</v>
      </c>
      <c r="M463">
        <v>0</v>
      </c>
      <c r="N463">
        <v>0</v>
      </c>
      <c r="O463">
        <v>1</v>
      </c>
      <c r="P463">
        <v>0</v>
      </c>
      <c r="Q463">
        <v>1</v>
      </c>
      <c r="R463">
        <v>0</v>
      </c>
      <c r="S463">
        <v>0</v>
      </c>
      <c r="T463">
        <v>0</v>
      </c>
      <c r="U463">
        <v>0</v>
      </c>
      <c r="V463">
        <v>0</v>
      </c>
    </row>
    <row r="464" spans="1:22" x14ac:dyDescent="0.2">
      <c r="A464" t="s">
        <v>527</v>
      </c>
      <c r="B464" t="s">
        <v>108</v>
      </c>
      <c r="C464" t="s">
        <v>41</v>
      </c>
      <c r="D464" t="s">
        <v>42</v>
      </c>
      <c r="E464" t="s">
        <v>442</v>
      </c>
      <c r="F464" t="s">
        <v>47</v>
      </c>
      <c r="G464" t="s">
        <v>48</v>
      </c>
      <c r="H464" t="s">
        <v>65</v>
      </c>
      <c r="I464">
        <v>0</v>
      </c>
      <c r="J464">
        <v>1</v>
      </c>
      <c r="K464">
        <v>1</v>
      </c>
      <c r="L464">
        <v>1</v>
      </c>
      <c r="M464">
        <v>0</v>
      </c>
      <c r="N464">
        <v>0</v>
      </c>
      <c r="O464">
        <v>1</v>
      </c>
      <c r="P464">
        <v>0</v>
      </c>
      <c r="Q464">
        <v>1</v>
      </c>
      <c r="R464">
        <v>1</v>
      </c>
      <c r="S464">
        <v>1</v>
      </c>
      <c r="T464">
        <v>0</v>
      </c>
      <c r="U464">
        <v>0</v>
      </c>
      <c r="V464">
        <v>0</v>
      </c>
    </row>
    <row r="465" spans="1:22" x14ac:dyDescent="0.2">
      <c r="A465" t="s">
        <v>527</v>
      </c>
      <c r="B465" t="s">
        <v>108</v>
      </c>
      <c r="C465" t="s">
        <v>41</v>
      </c>
      <c r="D465" t="s">
        <v>72</v>
      </c>
      <c r="E465" t="s">
        <v>442</v>
      </c>
      <c r="F465" t="s">
        <v>60</v>
      </c>
      <c r="G465" t="s">
        <v>48</v>
      </c>
      <c r="H465" t="s">
        <v>46</v>
      </c>
      <c r="I465">
        <v>1</v>
      </c>
      <c r="J465">
        <v>0</v>
      </c>
      <c r="K465">
        <v>1</v>
      </c>
      <c r="L465">
        <v>0</v>
      </c>
      <c r="M465">
        <v>1</v>
      </c>
      <c r="N465">
        <v>0</v>
      </c>
      <c r="O465">
        <v>1</v>
      </c>
      <c r="P465">
        <v>1</v>
      </c>
      <c r="Q465">
        <v>0</v>
      </c>
      <c r="R465">
        <v>1</v>
      </c>
      <c r="S465">
        <v>0</v>
      </c>
      <c r="T465">
        <v>1</v>
      </c>
      <c r="U465">
        <v>0</v>
      </c>
      <c r="V465">
        <v>0</v>
      </c>
    </row>
    <row r="466" spans="1:22" x14ac:dyDescent="0.2">
      <c r="A466" t="s">
        <v>531</v>
      </c>
      <c r="B466" t="s">
        <v>108</v>
      </c>
      <c r="C466" t="s">
        <v>41</v>
      </c>
      <c r="D466" t="s">
        <v>55</v>
      </c>
      <c r="E466" t="s">
        <v>442</v>
      </c>
      <c r="F466" t="s">
        <v>60</v>
      </c>
      <c r="G466" t="s">
        <v>48</v>
      </c>
      <c r="H466" t="s">
        <v>65</v>
      </c>
      <c r="I466">
        <v>1</v>
      </c>
      <c r="J466">
        <v>1</v>
      </c>
      <c r="K466">
        <v>1</v>
      </c>
      <c r="L466">
        <v>0</v>
      </c>
      <c r="M466">
        <v>0</v>
      </c>
      <c r="N466">
        <v>0</v>
      </c>
      <c r="O466">
        <v>1</v>
      </c>
      <c r="P466">
        <v>1</v>
      </c>
      <c r="Q466">
        <v>1</v>
      </c>
      <c r="R466">
        <v>0</v>
      </c>
      <c r="S466">
        <v>0</v>
      </c>
      <c r="T466">
        <v>0</v>
      </c>
      <c r="U466">
        <v>0</v>
      </c>
      <c r="V466">
        <v>0</v>
      </c>
    </row>
    <row r="467" spans="1:22" x14ac:dyDescent="0.2">
      <c r="A467" t="s">
        <v>534</v>
      </c>
      <c r="B467" t="s">
        <v>108</v>
      </c>
      <c r="C467" t="s">
        <v>41</v>
      </c>
      <c r="D467" t="s">
        <v>55</v>
      </c>
      <c r="E467" t="s">
        <v>442</v>
      </c>
      <c r="F467" t="s">
        <v>48</v>
      </c>
      <c r="G467" t="s">
        <v>46</v>
      </c>
      <c r="H467" t="s">
        <v>47</v>
      </c>
      <c r="I467">
        <v>0</v>
      </c>
      <c r="J467">
        <v>0</v>
      </c>
      <c r="K467">
        <v>1</v>
      </c>
      <c r="L467">
        <v>1</v>
      </c>
      <c r="M467">
        <v>1</v>
      </c>
      <c r="N467">
        <v>0</v>
      </c>
      <c r="O467">
        <v>1</v>
      </c>
      <c r="P467">
        <v>0</v>
      </c>
      <c r="Q467">
        <v>0</v>
      </c>
      <c r="R467">
        <v>1</v>
      </c>
      <c r="S467">
        <v>1</v>
      </c>
      <c r="T467">
        <v>1</v>
      </c>
      <c r="U467">
        <v>0</v>
      </c>
      <c r="V467">
        <v>0</v>
      </c>
    </row>
    <row r="468" spans="1:22" x14ac:dyDescent="0.2">
      <c r="A468" t="s">
        <v>534</v>
      </c>
      <c r="B468" t="s">
        <v>108</v>
      </c>
      <c r="C468" t="s">
        <v>41</v>
      </c>
      <c r="D468" t="s">
        <v>49</v>
      </c>
      <c r="E468" t="s">
        <v>442</v>
      </c>
      <c r="F468" t="s">
        <v>65</v>
      </c>
      <c r="G468" t="s">
        <v>48</v>
      </c>
      <c r="H468" t="s">
        <v>47</v>
      </c>
      <c r="I468">
        <v>0</v>
      </c>
      <c r="J468">
        <v>1</v>
      </c>
      <c r="K468">
        <v>1</v>
      </c>
      <c r="L468">
        <v>1</v>
      </c>
      <c r="M468">
        <v>0</v>
      </c>
      <c r="N468">
        <v>0</v>
      </c>
      <c r="O468">
        <v>1</v>
      </c>
      <c r="P468">
        <v>0</v>
      </c>
      <c r="Q468">
        <v>0</v>
      </c>
      <c r="R468">
        <v>0</v>
      </c>
      <c r="S468">
        <v>0</v>
      </c>
      <c r="T468">
        <v>0</v>
      </c>
      <c r="U468">
        <v>0</v>
      </c>
      <c r="V468">
        <v>1</v>
      </c>
    </row>
    <row r="469" spans="1:22" x14ac:dyDescent="0.2">
      <c r="A469" t="s">
        <v>534</v>
      </c>
      <c r="B469" t="s">
        <v>108</v>
      </c>
      <c r="C469" t="s">
        <v>41</v>
      </c>
      <c r="D469" t="s">
        <v>67</v>
      </c>
      <c r="E469" t="s">
        <v>442</v>
      </c>
      <c r="F469" t="s">
        <v>48</v>
      </c>
      <c r="G469" t="s">
        <v>47</v>
      </c>
      <c r="H469" t="s">
        <v>60</v>
      </c>
      <c r="I469">
        <v>1</v>
      </c>
      <c r="J469">
        <v>0</v>
      </c>
      <c r="K469">
        <v>1</v>
      </c>
      <c r="L469">
        <v>1</v>
      </c>
      <c r="M469">
        <v>0</v>
      </c>
      <c r="N469">
        <v>0</v>
      </c>
      <c r="O469">
        <v>1</v>
      </c>
      <c r="P469">
        <v>1</v>
      </c>
      <c r="Q469">
        <v>0</v>
      </c>
      <c r="R469">
        <v>1</v>
      </c>
      <c r="S469">
        <v>1</v>
      </c>
      <c r="T469">
        <v>0</v>
      </c>
      <c r="U469">
        <v>0</v>
      </c>
      <c r="V469">
        <v>0</v>
      </c>
    </row>
    <row r="470" spans="1:22" x14ac:dyDescent="0.2">
      <c r="A470" t="s">
        <v>534</v>
      </c>
      <c r="B470" t="s">
        <v>108</v>
      </c>
      <c r="C470" t="s">
        <v>41</v>
      </c>
      <c r="D470" t="s">
        <v>72</v>
      </c>
      <c r="E470" t="s">
        <v>442</v>
      </c>
      <c r="F470" t="s">
        <v>48</v>
      </c>
      <c r="G470" t="s">
        <v>65</v>
      </c>
      <c r="H470" t="s">
        <v>47</v>
      </c>
      <c r="I470">
        <v>0</v>
      </c>
      <c r="J470">
        <v>1</v>
      </c>
      <c r="K470">
        <v>1</v>
      </c>
      <c r="L470">
        <v>1</v>
      </c>
      <c r="M470">
        <v>0</v>
      </c>
      <c r="N470">
        <v>0</v>
      </c>
      <c r="O470">
        <v>1</v>
      </c>
      <c r="P470">
        <v>0</v>
      </c>
      <c r="Q470">
        <v>0</v>
      </c>
      <c r="R470">
        <v>0</v>
      </c>
      <c r="S470">
        <v>0</v>
      </c>
      <c r="T470">
        <v>0</v>
      </c>
      <c r="U470">
        <v>0</v>
      </c>
      <c r="V470">
        <v>1</v>
      </c>
    </row>
    <row r="471" spans="1:22" x14ac:dyDescent="0.2">
      <c r="A471" t="s">
        <v>534</v>
      </c>
      <c r="B471" t="s">
        <v>108</v>
      </c>
      <c r="C471" t="s">
        <v>41</v>
      </c>
      <c r="D471" t="s">
        <v>42</v>
      </c>
      <c r="E471" t="s">
        <v>442</v>
      </c>
      <c r="F471" t="s">
        <v>48</v>
      </c>
      <c r="G471" t="s">
        <v>46</v>
      </c>
      <c r="H471" t="s">
        <v>65</v>
      </c>
      <c r="I471">
        <v>0</v>
      </c>
      <c r="J471">
        <v>1</v>
      </c>
      <c r="K471">
        <v>1</v>
      </c>
      <c r="L471">
        <v>0</v>
      </c>
      <c r="M471">
        <v>1</v>
      </c>
      <c r="N471">
        <v>0</v>
      </c>
      <c r="O471">
        <v>1</v>
      </c>
      <c r="P471">
        <v>0</v>
      </c>
      <c r="Q471">
        <v>1</v>
      </c>
      <c r="R471">
        <v>1</v>
      </c>
      <c r="S471">
        <v>0</v>
      </c>
      <c r="T471">
        <v>1</v>
      </c>
      <c r="U471">
        <v>0</v>
      </c>
      <c r="V471">
        <v>0</v>
      </c>
    </row>
    <row r="472" spans="1:22" x14ac:dyDescent="0.2">
      <c r="A472" t="s">
        <v>534</v>
      </c>
      <c r="B472" t="s">
        <v>108</v>
      </c>
      <c r="C472" t="s">
        <v>41</v>
      </c>
      <c r="D472" t="s">
        <v>61</v>
      </c>
      <c r="E472" t="s">
        <v>442</v>
      </c>
      <c r="F472" t="s">
        <v>46</v>
      </c>
      <c r="G472" t="s">
        <v>48</v>
      </c>
      <c r="H472" t="s">
        <v>47</v>
      </c>
      <c r="I472">
        <v>0</v>
      </c>
      <c r="J472">
        <v>0</v>
      </c>
      <c r="K472">
        <v>1</v>
      </c>
      <c r="L472">
        <v>1</v>
      </c>
      <c r="M472">
        <v>1</v>
      </c>
      <c r="N472">
        <v>0</v>
      </c>
      <c r="O472">
        <v>1</v>
      </c>
      <c r="P472">
        <v>0</v>
      </c>
      <c r="Q472">
        <v>0</v>
      </c>
      <c r="R472">
        <v>0</v>
      </c>
      <c r="S472">
        <v>0</v>
      </c>
      <c r="T472">
        <v>0</v>
      </c>
      <c r="U472">
        <v>0</v>
      </c>
      <c r="V472">
        <v>1</v>
      </c>
    </row>
    <row r="473" spans="1:22" x14ac:dyDescent="0.2">
      <c r="A473" t="s">
        <v>537</v>
      </c>
      <c r="B473" t="s">
        <v>33</v>
      </c>
      <c r="C473" t="s">
        <v>41</v>
      </c>
      <c r="D473" t="s">
        <v>55</v>
      </c>
      <c r="E473" t="s">
        <v>442</v>
      </c>
      <c r="F473" t="s">
        <v>48</v>
      </c>
      <c r="G473" t="s">
        <v>47</v>
      </c>
      <c r="H473" t="s">
        <v>65</v>
      </c>
      <c r="I473">
        <v>0</v>
      </c>
      <c r="J473">
        <v>1</v>
      </c>
      <c r="K473">
        <v>1</v>
      </c>
      <c r="L473">
        <v>1</v>
      </c>
      <c r="M473">
        <v>0</v>
      </c>
      <c r="N473">
        <v>0</v>
      </c>
      <c r="O473">
        <v>1</v>
      </c>
      <c r="P473">
        <v>0</v>
      </c>
      <c r="Q473">
        <v>0</v>
      </c>
      <c r="R473">
        <v>0</v>
      </c>
      <c r="S473">
        <v>0</v>
      </c>
      <c r="T473">
        <v>0</v>
      </c>
      <c r="U473">
        <v>0</v>
      </c>
      <c r="V473">
        <v>1</v>
      </c>
    </row>
    <row r="474" spans="1:22" x14ac:dyDescent="0.2">
      <c r="A474" t="s">
        <v>537</v>
      </c>
      <c r="B474" t="s">
        <v>33</v>
      </c>
      <c r="C474" t="s">
        <v>41</v>
      </c>
      <c r="D474" t="s">
        <v>67</v>
      </c>
      <c r="E474" t="s">
        <v>442</v>
      </c>
      <c r="F474" t="s">
        <v>48</v>
      </c>
      <c r="G474" t="s">
        <v>59</v>
      </c>
      <c r="H474" t="s">
        <v>65</v>
      </c>
      <c r="I474">
        <v>0</v>
      </c>
      <c r="J474">
        <v>1</v>
      </c>
      <c r="K474">
        <v>1</v>
      </c>
      <c r="L474">
        <v>0</v>
      </c>
      <c r="M474">
        <v>0</v>
      </c>
      <c r="N474">
        <v>0</v>
      </c>
      <c r="O474">
        <v>1</v>
      </c>
      <c r="P474">
        <v>0</v>
      </c>
      <c r="Q474">
        <v>1</v>
      </c>
      <c r="R474">
        <v>0</v>
      </c>
      <c r="S474">
        <v>0</v>
      </c>
      <c r="T474">
        <v>0</v>
      </c>
      <c r="U474">
        <v>0</v>
      </c>
      <c r="V474">
        <v>0</v>
      </c>
    </row>
    <row r="475" spans="1:22" x14ac:dyDescent="0.2">
      <c r="A475" t="s">
        <v>537</v>
      </c>
      <c r="B475" t="s">
        <v>33</v>
      </c>
      <c r="C475" t="s">
        <v>41</v>
      </c>
      <c r="D475" t="s">
        <v>72</v>
      </c>
      <c r="E475" t="s">
        <v>442</v>
      </c>
      <c r="F475" t="s">
        <v>48</v>
      </c>
      <c r="G475" t="s">
        <v>47</v>
      </c>
      <c r="H475" t="s">
        <v>65</v>
      </c>
      <c r="I475">
        <v>0</v>
      </c>
      <c r="J475">
        <v>1</v>
      </c>
      <c r="K475">
        <v>1</v>
      </c>
      <c r="L475">
        <v>1</v>
      </c>
      <c r="M475">
        <v>0</v>
      </c>
      <c r="N475">
        <v>0</v>
      </c>
      <c r="O475">
        <v>1</v>
      </c>
      <c r="P475">
        <v>0</v>
      </c>
      <c r="Q475">
        <v>1</v>
      </c>
      <c r="R475">
        <v>0</v>
      </c>
      <c r="S475">
        <v>1</v>
      </c>
      <c r="T475">
        <v>0</v>
      </c>
      <c r="U475">
        <v>0</v>
      </c>
      <c r="V475">
        <v>0</v>
      </c>
    </row>
    <row r="476" spans="1:22" x14ac:dyDescent="0.2">
      <c r="A476" t="s">
        <v>537</v>
      </c>
      <c r="B476" t="s">
        <v>33</v>
      </c>
      <c r="C476" t="s">
        <v>41</v>
      </c>
      <c r="D476" t="s">
        <v>42</v>
      </c>
      <c r="E476" t="s">
        <v>442</v>
      </c>
      <c r="F476" t="s">
        <v>60</v>
      </c>
      <c r="G476" t="s">
        <v>48</v>
      </c>
      <c r="H476" t="s">
        <v>47</v>
      </c>
      <c r="I476">
        <v>1</v>
      </c>
      <c r="J476">
        <v>0</v>
      </c>
      <c r="K476">
        <v>1</v>
      </c>
      <c r="L476">
        <v>1</v>
      </c>
      <c r="M476">
        <v>0</v>
      </c>
      <c r="N476">
        <v>0</v>
      </c>
      <c r="O476">
        <v>1</v>
      </c>
      <c r="P476">
        <v>0</v>
      </c>
      <c r="Q476">
        <v>0</v>
      </c>
      <c r="R476">
        <v>0</v>
      </c>
      <c r="S476">
        <v>1</v>
      </c>
      <c r="T476">
        <v>0</v>
      </c>
      <c r="U476">
        <v>0</v>
      </c>
      <c r="V476">
        <v>0</v>
      </c>
    </row>
    <row r="477" spans="1:22" x14ac:dyDescent="0.2">
      <c r="A477" t="s">
        <v>540</v>
      </c>
      <c r="B477" t="s">
        <v>108</v>
      </c>
      <c r="C477" t="s">
        <v>41</v>
      </c>
      <c r="D477" t="s">
        <v>55</v>
      </c>
      <c r="E477" t="s">
        <v>442</v>
      </c>
      <c r="F477" t="s">
        <v>65</v>
      </c>
      <c r="G477" t="s">
        <v>59</v>
      </c>
      <c r="H477" t="s">
        <v>48</v>
      </c>
      <c r="I477">
        <v>0</v>
      </c>
      <c r="J477">
        <v>1</v>
      </c>
      <c r="K477">
        <v>1</v>
      </c>
      <c r="L477">
        <v>0</v>
      </c>
      <c r="M477">
        <v>0</v>
      </c>
      <c r="N477">
        <v>0</v>
      </c>
      <c r="O477">
        <v>1</v>
      </c>
      <c r="P477">
        <v>0</v>
      </c>
      <c r="Q477">
        <v>1</v>
      </c>
      <c r="R477">
        <v>1</v>
      </c>
      <c r="S477">
        <v>0</v>
      </c>
      <c r="T477">
        <v>0</v>
      </c>
      <c r="U477">
        <v>0</v>
      </c>
      <c r="V477">
        <v>0</v>
      </c>
    </row>
    <row r="478" spans="1:22" x14ac:dyDescent="0.2">
      <c r="A478" t="s">
        <v>540</v>
      </c>
      <c r="B478" t="s">
        <v>108</v>
      </c>
      <c r="C478" t="s">
        <v>41</v>
      </c>
      <c r="D478" t="s">
        <v>42</v>
      </c>
      <c r="E478" t="s">
        <v>442</v>
      </c>
      <c r="F478" t="s">
        <v>48</v>
      </c>
      <c r="G478" t="s">
        <v>46</v>
      </c>
      <c r="H478" t="s">
        <v>65</v>
      </c>
      <c r="I478">
        <v>0</v>
      </c>
      <c r="J478">
        <v>1</v>
      </c>
      <c r="K478">
        <v>1</v>
      </c>
      <c r="L478">
        <v>0</v>
      </c>
      <c r="M478">
        <v>1</v>
      </c>
      <c r="N478">
        <v>0</v>
      </c>
      <c r="O478">
        <v>1</v>
      </c>
      <c r="P478">
        <v>0</v>
      </c>
      <c r="Q478">
        <v>1</v>
      </c>
      <c r="R478">
        <v>1</v>
      </c>
      <c r="S478">
        <v>0</v>
      </c>
      <c r="T478">
        <v>1</v>
      </c>
      <c r="U478">
        <v>0</v>
      </c>
      <c r="V478">
        <v>0</v>
      </c>
    </row>
    <row r="479" spans="1:22" x14ac:dyDescent="0.2">
      <c r="A479" t="s">
        <v>540</v>
      </c>
      <c r="B479" t="s">
        <v>108</v>
      </c>
      <c r="C479" t="s">
        <v>41</v>
      </c>
      <c r="D479" t="s">
        <v>67</v>
      </c>
      <c r="E479" t="s">
        <v>442</v>
      </c>
      <c r="F479" t="s">
        <v>47</v>
      </c>
      <c r="G479" t="s">
        <v>46</v>
      </c>
      <c r="H479" t="s">
        <v>48</v>
      </c>
      <c r="I479">
        <v>0</v>
      </c>
      <c r="J479">
        <v>0</v>
      </c>
      <c r="K479">
        <v>1</v>
      </c>
      <c r="L479">
        <v>1</v>
      </c>
      <c r="M479">
        <v>1</v>
      </c>
      <c r="N479">
        <v>0</v>
      </c>
      <c r="O479">
        <v>1</v>
      </c>
      <c r="P479">
        <v>0</v>
      </c>
      <c r="Q479">
        <v>0</v>
      </c>
      <c r="R479">
        <v>1</v>
      </c>
      <c r="S479">
        <v>0</v>
      </c>
      <c r="T479">
        <v>1</v>
      </c>
      <c r="U479">
        <v>0</v>
      </c>
      <c r="V479">
        <v>0</v>
      </c>
    </row>
    <row r="480" spans="1:22" x14ac:dyDescent="0.2">
      <c r="A480" t="s">
        <v>540</v>
      </c>
      <c r="B480" t="s">
        <v>108</v>
      </c>
      <c r="C480" t="s">
        <v>41</v>
      </c>
      <c r="D480" t="s">
        <v>49</v>
      </c>
      <c r="E480" t="s">
        <v>442</v>
      </c>
      <c r="F480" t="s">
        <v>46</v>
      </c>
      <c r="G480" t="s">
        <v>60</v>
      </c>
      <c r="H480" t="s">
        <v>48</v>
      </c>
      <c r="I480">
        <v>1</v>
      </c>
      <c r="J480">
        <v>0</v>
      </c>
      <c r="K480">
        <v>1</v>
      </c>
      <c r="L480">
        <v>0</v>
      </c>
      <c r="M480">
        <v>1</v>
      </c>
      <c r="N480">
        <v>0</v>
      </c>
      <c r="O480">
        <v>1</v>
      </c>
      <c r="P480">
        <v>1</v>
      </c>
      <c r="Q480">
        <v>0</v>
      </c>
      <c r="R480">
        <v>0</v>
      </c>
      <c r="S480">
        <v>0</v>
      </c>
      <c r="T480">
        <v>0</v>
      </c>
      <c r="U480">
        <v>0</v>
      </c>
      <c r="V480">
        <v>0</v>
      </c>
    </row>
    <row r="481" spans="1:22" x14ac:dyDescent="0.2">
      <c r="A481" t="s">
        <v>547</v>
      </c>
      <c r="B481" t="s">
        <v>548</v>
      </c>
      <c r="C481" t="s">
        <v>41</v>
      </c>
      <c r="D481" t="s">
        <v>67</v>
      </c>
      <c r="E481" t="s">
        <v>442</v>
      </c>
      <c r="F481" t="s">
        <v>65</v>
      </c>
      <c r="G481" t="s">
        <v>46</v>
      </c>
      <c r="H481" t="s">
        <v>48</v>
      </c>
      <c r="I481">
        <v>0</v>
      </c>
      <c r="J481">
        <v>1</v>
      </c>
      <c r="K481">
        <v>1</v>
      </c>
      <c r="L481">
        <v>0</v>
      </c>
      <c r="M481">
        <v>1</v>
      </c>
      <c r="N481">
        <v>0</v>
      </c>
      <c r="O481">
        <v>1</v>
      </c>
      <c r="P481">
        <v>0</v>
      </c>
      <c r="Q481">
        <v>0</v>
      </c>
      <c r="R481">
        <v>0</v>
      </c>
      <c r="S481">
        <v>0</v>
      </c>
      <c r="T481">
        <v>1</v>
      </c>
      <c r="U481">
        <v>0</v>
      </c>
      <c r="V481">
        <v>0</v>
      </c>
    </row>
    <row r="482" spans="1:22" x14ac:dyDescent="0.2">
      <c r="A482" t="s">
        <v>547</v>
      </c>
      <c r="B482" t="s">
        <v>548</v>
      </c>
      <c r="C482" t="s">
        <v>41</v>
      </c>
      <c r="D482" t="s">
        <v>61</v>
      </c>
      <c r="E482" t="s">
        <v>442</v>
      </c>
      <c r="F482" t="s">
        <v>48</v>
      </c>
      <c r="G482" t="s">
        <v>65</v>
      </c>
      <c r="H482" t="s">
        <v>59</v>
      </c>
      <c r="I482">
        <v>0</v>
      </c>
      <c r="J482">
        <v>1</v>
      </c>
      <c r="K482">
        <v>1</v>
      </c>
      <c r="L482">
        <v>0</v>
      </c>
      <c r="M482">
        <v>0</v>
      </c>
      <c r="N482">
        <v>0</v>
      </c>
      <c r="O482">
        <v>1</v>
      </c>
      <c r="P482">
        <v>0</v>
      </c>
      <c r="Q482">
        <v>1</v>
      </c>
      <c r="R482">
        <v>0</v>
      </c>
      <c r="S482">
        <v>0</v>
      </c>
      <c r="T482">
        <v>0</v>
      </c>
      <c r="U482">
        <v>0</v>
      </c>
      <c r="V482">
        <v>0</v>
      </c>
    </row>
    <row r="483" spans="1:22" x14ac:dyDescent="0.2">
      <c r="A483" t="s">
        <v>547</v>
      </c>
      <c r="B483" t="s">
        <v>548</v>
      </c>
      <c r="C483" t="s">
        <v>41</v>
      </c>
      <c r="D483" t="s">
        <v>55</v>
      </c>
      <c r="E483" t="s">
        <v>442</v>
      </c>
      <c r="F483" t="s">
        <v>46</v>
      </c>
      <c r="G483" t="s">
        <v>48</v>
      </c>
      <c r="H483" t="s">
        <v>47</v>
      </c>
      <c r="I483">
        <v>0</v>
      </c>
      <c r="J483">
        <v>0</v>
      </c>
      <c r="K483">
        <v>1</v>
      </c>
      <c r="L483">
        <v>1</v>
      </c>
      <c r="M483">
        <v>1</v>
      </c>
      <c r="N483">
        <v>0</v>
      </c>
      <c r="O483">
        <v>1</v>
      </c>
      <c r="P483">
        <v>0</v>
      </c>
      <c r="Q483">
        <v>0</v>
      </c>
      <c r="R483">
        <v>0</v>
      </c>
      <c r="S483">
        <v>0</v>
      </c>
      <c r="T483">
        <v>1</v>
      </c>
      <c r="U483">
        <v>0</v>
      </c>
      <c r="V483">
        <v>1</v>
      </c>
    </row>
    <row r="484" spans="1:22" x14ac:dyDescent="0.2">
      <c r="A484" t="s">
        <v>547</v>
      </c>
      <c r="B484" t="s">
        <v>548</v>
      </c>
      <c r="C484" t="s">
        <v>41</v>
      </c>
      <c r="D484" t="s">
        <v>49</v>
      </c>
      <c r="E484" t="s">
        <v>442</v>
      </c>
      <c r="F484" t="s">
        <v>65</v>
      </c>
      <c r="G484" t="s">
        <v>46</v>
      </c>
      <c r="H484" t="s">
        <v>48</v>
      </c>
      <c r="I484">
        <v>0</v>
      </c>
      <c r="J484">
        <v>1</v>
      </c>
      <c r="K484">
        <v>1</v>
      </c>
      <c r="L484">
        <v>0</v>
      </c>
      <c r="M484">
        <v>1</v>
      </c>
      <c r="N484">
        <v>0</v>
      </c>
      <c r="O484">
        <v>1</v>
      </c>
      <c r="P484">
        <v>0</v>
      </c>
      <c r="Q484">
        <v>0</v>
      </c>
      <c r="R484">
        <v>1</v>
      </c>
      <c r="S484">
        <v>0</v>
      </c>
      <c r="T484">
        <v>0</v>
      </c>
      <c r="U484">
        <v>0</v>
      </c>
      <c r="V484">
        <v>0</v>
      </c>
    </row>
    <row r="485" spans="1:22" x14ac:dyDescent="0.2">
      <c r="A485" t="s">
        <v>549</v>
      </c>
      <c r="B485" t="s">
        <v>108</v>
      </c>
      <c r="C485" t="s">
        <v>41</v>
      </c>
      <c r="D485" t="s">
        <v>61</v>
      </c>
      <c r="E485" t="s">
        <v>442</v>
      </c>
      <c r="F485" t="s">
        <v>47</v>
      </c>
      <c r="G485" t="s">
        <v>48</v>
      </c>
      <c r="H485" t="s">
        <v>65</v>
      </c>
      <c r="I485">
        <v>0</v>
      </c>
      <c r="J485">
        <v>1</v>
      </c>
      <c r="K485">
        <v>1</v>
      </c>
      <c r="L485">
        <v>1</v>
      </c>
      <c r="M485">
        <v>0</v>
      </c>
      <c r="N485">
        <v>0</v>
      </c>
      <c r="O485">
        <v>1</v>
      </c>
      <c r="P485">
        <v>0</v>
      </c>
      <c r="Q485">
        <v>0</v>
      </c>
      <c r="R485">
        <v>0</v>
      </c>
      <c r="S485">
        <v>1</v>
      </c>
      <c r="T485">
        <v>0</v>
      </c>
      <c r="U485">
        <v>0</v>
      </c>
      <c r="V485">
        <v>0</v>
      </c>
    </row>
    <row r="486" spans="1:22" x14ac:dyDescent="0.2">
      <c r="A486" t="s">
        <v>549</v>
      </c>
      <c r="B486" t="s">
        <v>108</v>
      </c>
      <c r="C486" t="s">
        <v>41</v>
      </c>
      <c r="D486" t="s">
        <v>67</v>
      </c>
      <c r="E486" t="s">
        <v>442</v>
      </c>
      <c r="F486" t="s">
        <v>46</v>
      </c>
      <c r="G486" t="s">
        <v>60</v>
      </c>
      <c r="H486" t="s">
        <v>48</v>
      </c>
      <c r="I486">
        <v>1</v>
      </c>
      <c r="J486">
        <v>0</v>
      </c>
      <c r="K486">
        <v>1</v>
      </c>
      <c r="L486">
        <v>0</v>
      </c>
      <c r="M486">
        <v>1</v>
      </c>
      <c r="N486">
        <v>0</v>
      </c>
      <c r="O486">
        <v>1</v>
      </c>
      <c r="P486">
        <v>1</v>
      </c>
      <c r="Q486">
        <v>0</v>
      </c>
      <c r="R486">
        <v>0</v>
      </c>
      <c r="S486">
        <v>0</v>
      </c>
      <c r="T486">
        <v>0</v>
      </c>
      <c r="U486">
        <v>0</v>
      </c>
      <c r="V486">
        <v>0</v>
      </c>
    </row>
    <row r="487" spans="1:22" x14ac:dyDescent="0.2">
      <c r="A487" t="s">
        <v>549</v>
      </c>
      <c r="B487" t="s">
        <v>108</v>
      </c>
      <c r="C487" t="s">
        <v>41</v>
      </c>
      <c r="D487" t="s">
        <v>55</v>
      </c>
      <c r="E487" t="s">
        <v>442</v>
      </c>
      <c r="F487" t="s">
        <v>60</v>
      </c>
      <c r="G487" t="s">
        <v>47</v>
      </c>
      <c r="H487" t="s">
        <v>48</v>
      </c>
      <c r="I487">
        <v>1</v>
      </c>
      <c r="J487">
        <v>0</v>
      </c>
      <c r="K487">
        <v>1</v>
      </c>
      <c r="L487">
        <v>1</v>
      </c>
      <c r="M487">
        <v>0</v>
      </c>
      <c r="N487">
        <v>0</v>
      </c>
      <c r="O487">
        <v>1</v>
      </c>
      <c r="P487">
        <v>1</v>
      </c>
      <c r="Q487">
        <v>0</v>
      </c>
      <c r="R487">
        <v>1</v>
      </c>
      <c r="S487">
        <v>1</v>
      </c>
      <c r="T487">
        <v>0</v>
      </c>
      <c r="U487">
        <v>0</v>
      </c>
      <c r="V487">
        <v>0</v>
      </c>
    </row>
    <row r="488" spans="1:22" x14ac:dyDescent="0.2">
      <c r="A488" t="s">
        <v>549</v>
      </c>
      <c r="B488" t="s">
        <v>108</v>
      </c>
      <c r="C488" t="s">
        <v>41</v>
      </c>
      <c r="D488" t="s">
        <v>42</v>
      </c>
      <c r="E488" t="s">
        <v>442</v>
      </c>
      <c r="F488" t="s">
        <v>48</v>
      </c>
      <c r="G488" t="s">
        <v>47</v>
      </c>
      <c r="H488" t="s">
        <v>46</v>
      </c>
      <c r="I488">
        <v>0</v>
      </c>
      <c r="J488">
        <v>0</v>
      </c>
      <c r="K488">
        <v>1</v>
      </c>
      <c r="L488">
        <v>1</v>
      </c>
      <c r="M488">
        <v>1</v>
      </c>
      <c r="N488">
        <v>0</v>
      </c>
      <c r="O488">
        <v>1</v>
      </c>
      <c r="P488">
        <v>0</v>
      </c>
      <c r="Q488">
        <v>0</v>
      </c>
      <c r="R488">
        <v>0</v>
      </c>
      <c r="S488">
        <v>1</v>
      </c>
      <c r="T488">
        <v>0</v>
      </c>
      <c r="U488">
        <v>0</v>
      </c>
      <c r="V488">
        <v>0</v>
      </c>
    </row>
    <row r="489" spans="1:22" x14ac:dyDescent="0.2">
      <c r="A489" t="s">
        <v>549</v>
      </c>
      <c r="B489" t="s">
        <v>108</v>
      </c>
      <c r="C489" t="s">
        <v>41</v>
      </c>
      <c r="D489" t="s">
        <v>72</v>
      </c>
      <c r="E489" t="s">
        <v>442</v>
      </c>
      <c r="F489" t="s">
        <v>48</v>
      </c>
      <c r="G489" t="s">
        <v>59</v>
      </c>
      <c r="H489" t="s">
        <v>46</v>
      </c>
      <c r="I489">
        <v>0</v>
      </c>
      <c r="J489">
        <v>0</v>
      </c>
      <c r="K489">
        <v>1</v>
      </c>
      <c r="L489">
        <v>0</v>
      </c>
      <c r="M489">
        <v>1</v>
      </c>
      <c r="N489">
        <v>0</v>
      </c>
      <c r="O489">
        <v>1</v>
      </c>
      <c r="P489">
        <v>0</v>
      </c>
      <c r="Q489">
        <v>0</v>
      </c>
      <c r="R489">
        <v>0</v>
      </c>
      <c r="S489">
        <v>0</v>
      </c>
      <c r="T489">
        <v>0</v>
      </c>
      <c r="U489">
        <v>0</v>
      </c>
      <c r="V489">
        <v>1</v>
      </c>
    </row>
    <row r="490" spans="1:22" x14ac:dyDescent="0.2">
      <c r="A490" t="s">
        <v>553</v>
      </c>
      <c r="B490" t="s">
        <v>108</v>
      </c>
      <c r="C490" t="s">
        <v>41</v>
      </c>
      <c r="D490" t="s">
        <v>42</v>
      </c>
      <c r="E490" t="s">
        <v>442</v>
      </c>
      <c r="F490" t="s">
        <v>46</v>
      </c>
      <c r="G490" t="s">
        <v>48</v>
      </c>
      <c r="H490" t="s">
        <v>47</v>
      </c>
      <c r="I490">
        <v>0</v>
      </c>
      <c r="J490">
        <v>0</v>
      </c>
      <c r="K490">
        <v>1</v>
      </c>
      <c r="L490">
        <v>1</v>
      </c>
      <c r="M490">
        <v>1</v>
      </c>
      <c r="N490">
        <v>0</v>
      </c>
      <c r="O490">
        <v>1</v>
      </c>
      <c r="P490">
        <v>0</v>
      </c>
      <c r="Q490">
        <v>0</v>
      </c>
      <c r="R490">
        <v>0</v>
      </c>
      <c r="S490">
        <v>1</v>
      </c>
      <c r="T490">
        <v>0</v>
      </c>
      <c r="U490">
        <v>0</v>
      </c>
      <c r="V490">
        <v>0</v>
      </c>
    </row>
    <row r="491" spans="1:22" x14ac:dyDescent="0.2">
      <c r="A491" t="s">
        <v>553</v>
      </c>
      <c r="B491" t="s">
        <v>108</v>
      </c>
      <c r="C491" t="s">
        <v>41</v>
      </c>
      <c r="D491" t="s">
        <v>72</v>
      </c>
      <c r="E491" t="s">
        <v>442</v>
      </c>
      <c r="F491" t="s">
        <v>60</v>
      </c>
      <c r="G491" t="s">
        <v>59</v>
      </c>
      <c r="H491" t="s">
        <v>48</v>
      </c>
      <c r="I491">
        <v>1</v>
      </c>
      <c r="J491">
        <v>0</v>
      </c>
      <c r="K491">
        <v>1</v>
      </c>
      <c r="L491">
        <v>0</v>
      </c>
      <c r="M491">
        <v>0</v>
      </c>
      <c r="N491">
        <v>0</v>
      </c>
      <c r="O491">
        <v>1</v>
      </c>
      <c r="P491">
        <v>1</v>
      </c>
      <c r="Q491">
        <v>0</v>
      </c>
      <c r="R491">
        <v>1</v>
      </c>
      <c r="S491">
        <v>0</v>
      </c>
      <c r="T491">
        <v>0</v>
      </c>
      <c r="U491">
        <v>0</v>
      </c>
      <c r="V491">
        <v>0</v>
      </c>
    </row>
    <row r="492" spans="1:22" x14ac:dyDescent="0.2">
      <c r="A492" t="s">
        <v>553</v>
      </c>
      <c r="B492" t="s">
        <v>108</v>
      </c>
      <c r="C492" t="s">
        <v>41</v>
      </c>
      <c r="D492" t="s">
        <v>49</v>
      </c>
      <c r="E492" t="s">
        <v>442</v>
      </c>
      <c r="F492" t="s">
        <v>47</v>
      </c>
      <c r="G492" t="s">
        <v>48</v>
      </c>
      <c r="H492" t="s">
        <v>46</v>
      </c>
      <c r="I492">
        <v>0</v>
      </c>
      <c r="J492">
        <v>0</v>
      </c>
      <c r="K492">
        <v>1</v>
      </c>
      <c r="L492">
        <v>1</v>
      </c>
      <c r="M492">
        <v>1</v>
      </c>
      <c r="N492">
        <v>0</v>
      </c>
      <c r="O492">
        <v>1</v>
      </c>
      <c r="P492">
        <v>0</v>
      </c>
      <c r="Q492">
        <v>0</v>
      </c>
      <c r="R492">
        <v>0</v>
      </c>
      <c r="S492">
        <v>1</v>
      </c>
      <c r="T492">
        <v>0</v>
      </c>
      <c r="U492">
        <v>0</v>
      </c>
      <c r="V492">
        <v>0</v>
      </c>
    </row>
    <row r="493" spans="1:22" x14ac:dyDescent="0.2">
      <c r="A493" t="s">
        <v>553</v>
      </c>
      <c r="B493" t="s">
        <v>108</v>
      </c>
      <c r="C493" t="s">
        <v>41</v>
      </c>
      <c r="D493" t="s">
        <v>55</v>
      </c>
      <c r="E493" t="s">
        <v>442</v>
      </c>
      <c r="F493" t="s">
        <v>46</v>
      </c>
      <c r="G493" t="s">
        <v>48</v>
      </c>
      <c r="H493" t="s">
        <v>65</v>
      </c>
      <c r="I493">
        <v>0</v>
      </c>
      <c r="J493">
        <v>1</v>
      </c>
      <c r="K493">
        <v>1</v>
      </c>
      <c r="L493">
        <v>0</v>
      </c>
      <c r="M493">
        <v>1</v>
      </c>
      <c r="N493">
        <v>0</v>
      </c>
      <c r="O493">
        <v>1</v>
      </c>
      <c r="P493">
        <v>0</v>
      </c>
      <c r="Q493">
        <v>1</v>
      </c>
      <c r="R493">
        <v>0</v>
      </c>
      <c r="S493">
        <v>0</v>
      </c>
      <c r="T493">
        <v>0</v>
      </c>
      <c r="U493">
        <v>0</v>
      </c>
      <c r="V493">
        <v>0</v>
      </c>
    </row>
    <row r="494" spans="1:22" x14ac:dyDescent="0.2">
      <c r="A494" t="s">
        <v>553</v>
      </c>
      <c r="B494" t="s">
        <v>108</v>
      </c>
      <c r="C494" t="s">
        <v>41</v>
      </c>
      <c r="D494" t="s">
        <v>61</v>
      </c>
      <c r="E494" t="s">
        <v>442</v>
      </c>
      <c r="F494" t="s">
        <v>59</v>
      </c>
      <c r="G494" t="s">
        <v>48</v>
      </c>
      <c r="H494" t="s">
        <v>60</v>
      </c>
      <c r="I494">
        <v>1</v>
      </c>
      <c r="J494">
        <v>0</v>
      </c>
      <c r="K494">
        <v>1</v>
      </c>
      <c r="L494">
        <v>0</v>
      </c>
      <c r="M494">
        <v>0</v>
      </c>
      <c r="N494">
        <v>0</v>
      </c>
      <c r="O494">
        <v>1</v>
      </c>
      <c r="P494">
        <v>1</v>
      </c>
      <c r="Q494">
        <v>0</v>
      </c>
      <c r="R494">
        <v>0</v>
      </c>
      <c r="S494">
        <v>0</v>
      </c>
      <c r="T494">
        <v>0</v>
      </c>
      <c r="U494">
        <v>0</v>
      </c>
      <c r="V494">
        <v>0</v>
      </c>
    </row>
    <row r="495" spans="1:22" x14ac:dyDescent="0.2">
      <c r="A495" t="s">
        <v>557</v>
      </c>
      <c r="B495" t="s">
        <v>108</v>
      </c>
      <c r="C495" t="s">
        <v>41</v>
      </c>
      <c r="D495" t="s">
        <v>42</v>
      </c>
      <c r="E495" t="s">
        <v>442</v>
      </c>
      <c r="F495" t="s">
        <v>46</v>
      </c>
      <c r="G495" t="s">
        <v>60</v>
      </c>
      <c r="H495" t="s">
        <v>48</v>
      </c>
      <c r="I495">
        <v>1</v>
      </c>
      <c r="J495">
        <v>0</v>
      </c>
      <c r="K495">
        <v>1</v>
      </c>
      <c r="L495">
        <v>0</v>
      </c>
      <c r="M495">
        <v>1</v>
      </c>
      <c r="N495">
        <v>0</v>
      </c>
      <c r="O495">
        <v>1</v>
      </c>
      <c r="P495">
        <v>0</v>
      </c>
      <c r="Q495">
        <v>0</v>
      </c>
      <c r="R495">
        <v>1</v>
      </c>
      <c r="S495">
        <v>0</v>
      </c>
      <c r="T495">
        <v>1</v>
      </c>
      <c r="U495">
        <v>0</v>
      </c>
      <c r="V495">
        <v>0</v>
      </c>
    </row>
    <row r="496" spans="1:22" x14ac:dyDescent="0.2">
      <c r="A496" t="s">
        <v>557</v>
      </c>
      <c r="B496" t="s">
        <v>108</v>
      </c>
      <c r="C496" t="s">
        <v>41</v>
      </c>
      <c r="D496" t="s">
        <v>49</v>
      </c>
      <c r="E496" t="s">
        <v>442</v>
      </c>
      <c r="F496" t="s">
        <v>46</v>
      </c>
      <c r="G496" t="s">
        <v>48</v>
      </c>
      <c r="H496" t="s">
        <v>59</v>
      </c>
      <c r="I496">
        <v>0</v>
      </c>
      <c r="J496">
        <v>0</v>
      </c>
      <c r="K496">
        <v>1</v>
      </c>
      <c r="L496">
        <v>0</v>
      </c>
      <c r="M496">
        <v>1</v>
      </c>
      <c r="N496">
        <v>0</v>
      </c>
      <c r="O496">
        <v>1</v>
      </c>
      <c r="P496">
        <v>0</v>
      </c>
      <c r="Q496">
        <v>0</v>
      </c>
      <c r="R496">
        <v>1</v>
      </c>
      <c r="S496">
        <v>0</v>
      </c>
      <c r="T496">
        <v>1</v>
      </c>
      <c r="U496">
        <v>0</v>
      </c>
      <c r="V496">
        <v>0</v>
      </c>
    </row>
    <row r="497" spans="1:22" x14ac:dyDescent="0.2">
      <c r="A497" t="s">
        <v>560</v>
      </c>
      <c r="B497" t="s">
        <v>108</v>
      </c>
      <c r="C497" t="s">
        <v>41</v>
      </c>
      <c r="D497" t="s">
        <v>55</v>
      </c>
      <c r="E497" t="s">
        <v>442</v>
      </c>
      <c r="F497" t="s">
        <v>60</v>
      </c>
      <c r="G497" t="s">
        <v>47</v>
      </c>
      <c r="H497" t="s">
        <v>48</v>
      </c>
      <c r="I497">
        <v>1</v>
      </c>
      <c r="J497">
        <v>0</v>
      </c>
      <c r="K497">
        <v>1</v>
      </c>
      <c r="L497">
        <v>1</v>
      </c>
      <c r="M497">
        <v>0</v>
      </c>
      <c r="N497">
        <v>0</v>
      </c>
      <c r="O497">
        <v>1</v>
      </c>
      <c r="P497">
        <v>1</v>
      </c>
      <c r="Q497">
        <v>0</v>
      </c>
      <c r="R497">
        <v>1</v>
      </c>
      <c r="S497">
        <v>1</v>
      </c>
      <c r="T497">
        <v>0</v>
      </c>
      <c r="U497">
        <v>0</v>
      </c>
      <c r="V497">
        <v>0</v>
      </c>
    </row>
    <row r="498" spans="1:22" x14ac:dyDescent="0.2">
      <c r="A498" t="s">
        <v>560</v>
      </c>
      <c r="B498" t="s">
        <v>108</v>
      </c>
      <c r="C498" t="s">
        <v>41</v>
      </c>
      <c r="D498" t="s">
        <v>67</v>
      </c>
      <c r="E498" t="s">
        <v>442</v>
      </c>
      <c r="F498" t="s">
        <v>48</v>
      </c>
      <c r="G498" t="s">
        <v>65</v>
      </c>
      <c r="H498" t="s">
        <v>46</v>
      </c>
      <c r="I498">
        <v>0</v>
      </c>
      <c r="J498">
        <v>1</v>
      </c>
      <c r="K498">
        <v>1</v>
      </c>
      <c r="L498">
        <v>0</v>
      </c>
      <c r="M498">
        <v>1</v>
      </c>
      <c r="N498">
        <v>0</v>
      </c>
      <c r="O498">
        <v>1</v>
      </c>
      <c r="P498">
        <v>0</v>
      </c>
      <c r="Q498">
        <v>1</v>
      </c>
      <c r="R498">
        <v>1</v>
      </c>
      <c r="S498">
        <v>0</v>
      </c>
      <c r="T498">
        <v>1</v>
      </c>
      <c r="U498">
        <v>0</v>
      </c>
      <c r="V498">
        <v>0</v>
      </c>
    </row>
    <row r="499" spans="1:22" x14ac:dyDescent="0.2">
      <c r="A499" t="s">
        <v>560</v>
      </c>
      <c r="B499" t="s">
        <v>108</v>
      </c>
      <c r="C499" t="s">
        <v>41</v>
      </c>
      <c r="D499" t="s">
        <v>42</v>
      </c>
      <c r="E499" t="s">
        <v>442</v>
      </c>
      <c r="F499" t="s">
        <v>47</v>
      </c>
      <c r="G499" t="s">
        <v>48</v>
      </c>
      <c r="H499" t="s">
        <v>65</v>
      </c>
      <c r="I499">
        <v>0</v>
      </c>
      <c r="J499">
        <v>1</v>
      </c>
      <c r="K499">
        <v>1</v>
      </c>
      <c r="L499">
        <v>1</v>
      </c>
      <c r="M499">
        <v>0</v>
      </c>
      <c r="N499">
        <v>0</v>
      </c>
      <c r="O499">
        <v>1</v>
      </c>
      <c r="P499">
        <v>0</v>
      </c>
      <c r="Q499">
        <v>1</v>
      </c>
      <c r="R499">
        <v>1</v>
      </c>
      <c r="S499">
        <v>1</v>
      </c>
      <c r="T499">
        <v>0</v>
      </c>
      <c r="U499">
        <v>0</v>
      </c>
      <c r="V499">
        <v>0</v>
      </c>
    </row>
    <row r="500" spans="1:22" x14ac:dyDescent="0.2">
      <c r="A500" t="s">
        <v>562</v>
      </c>
      <c r="B500" t="s">
        <v>108</v>
      </c>
      <c r="C500" t="s">
        <v>41</v>
      </c>
      <c r="D500" t="s">
        <v>72</v>
      </c>
      <c r="E500" t="s">
        <v>442</v>
      </c>
      <c r="F500" t="s">
        <v>47</v>
      </c>
      <c r="G500" t="s">
        <v>48</v>
      </c>
      <c r="H500" t="s">
        <v>65</v>
      </c>
      <c r="I500">
        <v>0</v>
      </c>
      <c r="J500">
        <v>1</v>
      </c>
      <c r="K500">
        <v>1</v>
      </c>
      <c r="L500">
        <v>1</v>
      </c>
      <c r="M500">
        <v>0</v>
      </c>
      <c r="N500">
        <v>0</v>
      </c>
      <c r="O500">
        <v>1</v>
      </c>
      <c r="P500">
        <v>0</v>
      </c>
      <c r="Q500">
        <v>1</v>
      </c>
      <c r="R500">
        <v>1</v>
      </c>
      <c r="S500">
        <v>0</v>
      </c>
      <c r="T500">
        <v>0</v>
      </c>
      <c r="U500">
        <v>0</v>
      </c>
      <c r="V500">
        <v>0</v>
      </c>
    </row>
    <row r="501" spans="1:22" x14ac:dyDescent="0.2">
      <c r="A501" t="s">
        <v>562</v>
      </c>
      <c r="B501" t="s">
        <v>108</v>
      </c>
      <c r="C501" t="s">
        <v>41</v>
      </c>
      <c r="D501" t="s">
        <v>61</v>
      </c>
      <c r="E501" t="s">
        <v>442</v>
      </c>
      <c r="F501" t="s">
        <v>46</v>
      </c>
      <c r="G501" t="s">
        <v>47</v>
      </c>
      <c r="H501" t="s">
        <v>48</v>
      </c>
      <c r="I501">
        <v>0</v>
      </c>
      <c r="J501">
        <v>0</v>
      </c>
      <c r="K501">
        <v>1</v>
      </c>
      <c r="L501">
        <v>1</v>
      </c>
      <c r="M501">
        <v>1</v>
      </c>
      <c r="N501">
        <v>0</v>
      </c>
      <c r="O501">
        <v>1</v>
      </c>
      <c r="P501">
        <v>0</v>
      </c>
      <c r="Q501">
        <v>0</v>
      </c>
      <c r="R501">
        <v>0</v>
      </c>
      <c r="S501">
        <v>1</v>
      </c>
      <c r="T501">
        <v>0</v>
      </c>
      <c r="U501">
        <v>0</v>
      </c>
      <c r="V501">
        <v>0</v>
      </c>
    </row>
    <row r="502" spans="1:22" x14ac:dyDescent="0.2">
      <c r="A502" t="s">
        <v>562</v>
      </c>
      <c r="B502" t="s">
        <v>108</v>
      </c>
      <c r="C502" t="s">
        <v>41</v>
      </c>
      <c r="D502" t="s">
        <v>42</v>
      </c>
      <c r="E502" t="s">
        <v>442</v>
      </c>
      <c r="F502" t="s">
        <v>48</v>
      </c>
      <c r="G502" t="s">
        <v>65</v>
      </c>
      <c r="H502" t="s">
        <v>47</v>
      </c>
      <c r="I502">
        <v>0</v>
      </c>
      <c r="J502">
        <v>1</v>
      </c>
      <c r="K502">
        <v>1</v>
      </c>
      <c r="L502">
        <v>1</v>
      </c>
      <c r="M502">
        <v>0</v>
      </c>
      <c r="N502">
        <v>0</v>
      </c>
      <c r="O502">
        <v>1</v>
      </c>
      <c r="P502">
        <v>0</v>
      </c>
      <c r="Q502">
        <v>1</v>
      </c>
      <c r="R502">
        <v>1</v>
      </c>
      <c r="S502">
        <v>0</v>
      </c>
      <c r="T502">
        <v>0</v>
      </c>
      <c r="U502">
        <v>0</v>
      </c>
      <c r="V502">
        <v>0</v>
      </c>
    </row>
    <row r="503" spans="1:22" x14ac:dyDescent="0.2">
      <c r="A503" t="s">
        <v>562</v>
      </c>
      <c r="B503" t="s">
        <v>108</v>
      </c>
      <c r="C503" t="s">
        <v>41</v>
      </c>
      <c r="D503" t="s">
        <v>49</v>
      </c>
      <c r="E503" t="s">
        <v>442</v>
      </c>
      <c r="F503" t="s">
        <v>48</v>
      </c>
      <c r="G503" t="s">
        <v>65</v>
      </c>
      <c r="H503" t="s">
        <v>46</v>
      </c>
      <c r="I503">
        <v>0</v>
      </c>
      <c r="J503">
        <v>1</v>
      </c>
      <c r="K503">
        <v>1</v>
      </c>
      <c r="L503">
        <v>0</v>
      </c>
      <c r="M503">
        <v>1</v>
      </c>
      <c r="N503">
        <v>0</v>
      </c>
      <c r="O503">
        <v>1</v>
      </c>
      <c r="P503">
        <v>0</v>
      </c>
      <c r="Q503">
        <v>1</v>
      </c>
      <c r="R503">
        <v>1</v>
      </c>
      <c r="S503">
        <v>0</v>
      </c>
      <c r="T503">
        <v>1</v>
      </c>
      <c r="U503">
        <v>0</v>
      </c>
      <c r="V503">
        <v>0</v>
      </c>
    </row>
    <row r="504" spans="1:22" x14ac:dyDescent="0.2">
      <c r="A504" t="s">
        <v>565</v>
      </c>
      <c r="B504" t="s">
        <v>33</v>
      </c>
      <c r="C504" t="s">
        <v>41</v>
      </c>
      <c r="D504" t="s">
        <v>61</v>
      </c>
      <c r="E504" t="s">
        <v>442</v>
      </c>
      <c r="F504" t="s">
        <v>46</v>
      </c>
      <c r="G504" t="s">
        <v>48</v>
      </c>
      <c r="H504" t="s">
        <v>65</v>
      </c>
      <c r="I504">
        <v>0</v>
      </c>
      <c r="J504">
        <v>1</v>
      </c>
      <c r="K504">
        <v>1</v>
      </c>
      <c r="L504">
        <v>0</v>
      </c>
      <c r="M504">
        <v>1</v>
      </c>
      <c r="N504">
        <v>0</v>
      </c>
      <c r="O504">
        <v>1</v>
      </c>
      <c r="P504">
        <v>0</v>
      </c>
      <c r="Q504">
        <v>0</v>
      </c>
      <c r="R504">
        <v>1</v>
      </c>
      <c r="S504">
        <v>0</v>
      </c>
      <c r="T504">
        <v>0</v>
      </c>
      <c r="U504">
        <v>0</v>
      </c>
      <c r="V504">
        <v>0</v>
      </c>
    </row>
    <row r="505" spans="1:22" x14ac:dyDescent="0.2">
      <c r="A505" t="s">
        <v>568</v>
      </c>
      <c r="B505" t="s">
        <v>33</v>
      </c>
      <c r="C505" t="s">
        <v>41</v>
      </c>
      <c r="D505" t="s">
        <v>55</v>
      </c>
      <c r="E505" t="s">
        <v>442</v>
      </c>
      <c r="F505" t="s">
        <v>46</v>
      </c>
      <c r="G505" t="s">
        <v>47</v>
      </c>
      <c r="H505" t="s">
        <v>48</v>
      </c>
      <c r="I505">
        <v>0</v>
      </c>
      <c r="J505">
        <v>0</v>
      </c>
      <c r="K505">
        <v>1</v>
      </c>
      <c r="L505">
        <v>1</v>
      </c>
      <c r="M505">
        <v>1</v>
      </c>
      <c r="N505">
        <v>0</v>
      </c>
      <c r="O505">
        <v>1</v>
      </c>
      <c r="P505">
        <v>0</v>
      </c>
      <c r="Q505">
        <v>0</v>
      </c>
      <c r="R505">
        <v>0</v>
      </c>
      <c r="S505">
        <v>1</v>
      </c>
      <c r="T505">
        <v>1</v>
      </c>
      <c r="U505">
        <v>0</v>
      </c>
      <c r="V505">
        <v>0</v>
      </c>
    </row>
    <row r="506" spans="1:22" x14ac:dyDescent="0.2">
      <c r="A506" t="s">
        <v>568</v>
      </c>
      <c r="B506" t="s">
        <v>33</v>
      </c>
      <c r="C506" t="s">
        <v>41</v>
      </c>
      <c r="D506" t="s">
        <v>61</v>
      </c>
      <c r="E506" t="s">
        <v>442</v>
      </c>
      <c r="F506" t="s">
        <v>48</v>
      </c>
      <c r="G506" t="s">
        <v>46</v>
      </c>
      <c r="H506" t="s">
        <v>59</v>
      </c>
      <c r="I506">
        <v>0</v>
      </c>
      <c r="J506">
        <v>0</v>
      </c>
      <c r="K506">
        <v>1</v>
      </c>
      <c r="L506">
        <v>0</v>
      </c>
      <c r="M506">
        <v>1</v>
      </c>
      <c r="N506">
        <v>0</v>
      </c>
      <c r="O506">
        <v>1</v>
      </c>
      <c r="P506">
        <v>0</v>
      </c>
      <c r="Q506">
        <v>0</v>
      </c>
      <c r="R506">
        <v>0</v>
      </c>
      <c r="S506">
        <v>0</v>
      </c>
      <c r="T506">
        <v>1</v>
      </c>
      <c r="U506">
        <v>0</v>
      </c>
      <c r="V506">
        <v>0</v>
      </c>
    </row>
    <row r="507" spans="1:22" x14ac:dyDescent="0.2">
      <c r="A507" t="s">
        <v>568</v>
      </c>
      <c r="B507" t="s">
        <v>33</v>
      </c>
      <c r="C507" t="s">
        <v>41</v>
      </c>
      <c r="D507" t="s">
        <v>49</v>
      </c>
      <c r="E507" t="s">
        <v>442</v>
      </c>
      <c r="F507" t="s">
        <v>59</v>
      </c>
      <c r="G507" t="s">
        <v>48</v>
      </c>
      <c r="H507" t="s">
        <v>46</v>
      </c>
      <c r="I507">
        <v>0</v>
      </c>
      <c r="J507">
        <v>0</v>
      </c>
      <c r="K507">
        <v>1</v>
      </c>
      <c r="L507">
        <v>0</v>
      </c>
      <c r="M507">
        <v>1</v>
      </c>
      <c r="N507">
        <v>0</v>
      </c>
      <c r="O507">
        <v>1</v>
      </c>
      <c r="P507">
        <v>0</v>
      </c>
      <c r="Q507">
        <v>0</v>
      </c>
      <c r="R507">
        <v>1</v>
      </c>
      <c r="S507">
        <v>0</v>
      </c>
      <c r="T507">
        <v>0</v>
      </c>
      <c r="U507">
        <v>0</v>
      </c>
      <c r="V507">
        <v>0</v>
      </c>
    </row>
    <row r="508" spans="1:22" x14ac:dyDescent="0.2">
      <c r="A508" t="s">
        <v>568</v>
      </c>
      <c r="B508" t="s">
        <v>33</v>
      </c>
      <c r="C508" t="s">
        <v>41</v>
      </c>
      <c r="D508" t="s">
        <v>42</v>
      </c>
      <c r="E508" t="s">
        <v>442</v>
      </c>
      <c r="F508" t="s">
        <v>46</v>
      </c>
      <c r="G508" t="s">
        <v>60</v>
      </c>
      <c r="H508" t="s">
        <v>48</v>
      </c>
      <c r="I508">
        <v>1</v>
      </c>
      <c r="J508">
        <v>0</v>
      </c>
      <c r="K508">
        <v>1</v>
      </c>
      <c r="L508">
        <v>0</v>
      </c>
      <c r="M508">
        <v>1</v>
      </c>
      <c r="N508">
        <v>0</v>
      </c>
      <c r="O508">
        <v>1</v>
      </c>
      <c r="P508">
        <v>1</v>
      </c>
      <c r="Q508">
        <v>0</v>
      </c>
      <c r="R508">
        <v>0</v>
      </c>
      <c r="S508">
        <v>0</v>
      </c>
      <c r="T508">
        <v>0</v>
      </c>
      <c r="U508">
        <v>0</v>
      </c>
      <c r="V508">
        <v>0</v>
      </c>
    </row>
    <row r="509" spans="1:22" x14ac:dyDescent="0.2">
      <c r="A509" t="s">
        <v>568</v>
      </c>
      <c r="B509" t="s">
        <v>33</v>
      </c>
      <c r="C509" t="s">
        <v>41</v>
      </c>
      <c r="D509" t="s">
        <v>72</v>
      </c>
      <c r="E509" t="s">
        <v>442</v>
      </c>
      <c r="F509" t="s">
        <v>65</v>
      </c>
      <c r="G509" t="s">
        <v>48</v>
      </c>
      <c r="H509" t="s">
        <v>46</v>
      </c>
      <c r="I509">
        <v>0</v>
      </c>
      <c r="J509">
        <v>1</v>
      </c>
      <c r="K509">
        <v>1</v>
      </c>
      <c r="L509">
        <v>0</v>
      </c>
      <c r="M509">
        <v>1</v>
      </c>
      <c r="N509">
        <v>0</v>
      </c>
      <c r="O509">
        <v>1</v>
      </c>
      <c r="P509">
        <v>0</v>
      </c>
      <c r="Q509">
        <v>0</v>
      </c>
      <c r="R509">
        <v>0</v>
      </c>
      <c r="S509">
        <v>0</v>
      </c>
      <c r="T509">
        <v>1</v>
      </c>
      <c r="U509">
        <v>0</v>
      </c>
      <c r="V509">
        <v>0</v>
      </c>
    </row>
    <row r="510" spans="1:22" x14ac:dyDescent="0.2">
      <c r="A510" t="s">
        <v>572</v>
      </c>
      <c r="B510" t="s">
        <v>174</v>
      </c>
      <c r="C510" t="s">
        <v>41</v>
      </c>
      <c r="D510" t="s">
        <v>67</v>
      </c>
      <c r="E510" t="s">
        <v>442</v>
      </c>
      <c r="F510" t="s">
        <v>48</v>
      </c>
      <c r="G510" t="s">
        <v>65</v>
      </c>
      <c r="H510" t="s">
        <v>47</v>
      </c>
      <c r="I510">
        <v>0</v>
      </c>
      <c r="J510">
        <v>1</v>
      </c>
      <c r="K510">
        <v>1</v>
      </c>
      <c r="L510">
        <v>1</v>
      </c>
      <c r="M510">
        <v>0</v>
      </c>
      <c r="N510">
        <v>0</v>
      </c>
      <c r="O510">
        <v>1</v>
      </c>
      <c r="P510">
        <v>0</v>
      </c>
      <c r="Q510">
        <v>1</v>
      </c>
      <c r="R510">
        <v>1</v>
      </c>
      <c r="S510">
        <v>1</v>
      </c>
      <c r="T510">
        <v>0</v>
      </c>
      <c r="U510">
        <v>0</v>
      </c>
      <c r="V510">
        <v>0</v>
      </c>
    </row>
    <row r="511" spans="1:22" x14ac:dyDescent="0.2">
      <c r="A511" t="s">
        <v>572</v>
      </c>
      <c r="B511" t="s">
        <v>174</v>
      </c>
      <c r="C511" t="s">
        <v>41</v>
      </c>
      <c r="D511" t="s">
        <v>61</v>
      </c>
      <c r="E511" t="s">
        <v>442</v>
      </c>
      <c r="F511" t="s">
        <v>46</v>
      </c>
      <c r="G511" t="s">
        <v>48</v>
      </c>
      <c r="H511" t="s">
        <v>47</v>
      </c>
      <c r="I511">
        <v>0</v>
      </c>
      <c r="J511">
        <v>0</v>
      </c>
      <c r="K511">
        <v>1</v>
      </c>
      <c r="L511">
        <v>1</v>
      </c>
      <c r="M511">
        <v>1</v>
      </c>
      <c r="N511">
        <v>0</v>
      </c>
      <c r="O511">
        <v>1</v>
      </c>
      <c r="P511">
        <v>0</v>
      </c>
      <c r="Q511">
        <v>0</v>
      </c>
      <c r="R511">
        <v>1</v>
      </c>
      <c r="S511">
        <v>1</v>
      </c>
      <c r="T511">
        <v>1</v>
      </c>
      <c r="U511">
        <v>0</v>
      </c>
      <c r="V511">
        <v>0</v>
      </c>
    </row>
    <row r="512" spans="1:22" x14ac:dyDescent="0.2">
      <c r="A512" t="s">
        <v>572</v>
      </c>
      <c r="B512" t="s">
        <v>174</v>
      </c>
      <c r="C512" t="s">
        <v>41</v>
      </c>
      <c r="D512" t="s">
        <v>49</v>
      </c>
      <c r="E512" t="s">
        <v>442</v>
      </c>
      <c r="F512" t="s">
        <v>65</v>
      </c>
      <c r="G512" t="s">
        <v>48</v>
      </c>
      <c r="H512" t="s">
        <v>46</v>
      </c>
      <c r="I512">
        <v>0</v>
      </c>
      <c r="J512">
        <v>1</v>
      </c>
      <c r="K512">
        <v>1</v>
      </c>
      <c r="L512">
        <v>0</v>
      </c>
      <c r="M512">
        <v>1</v>
      </c>
      <c r="N512">
        <v>0</v>
      </c>
      <c r="O512">
        <v>1</v>
      </c>
      <c r="P512">
        <v>0</v>
      </c>
      <c r="Q512">
        <v>1</v>
      </c>
      <c r="R512">
        <v>1</v>
      </c>
      <c r="S512">
        <v>0</v>
      </c>
      <c r="T512">
        <v>1</v>
      </c>
      <c r="U512">
        <v>0</v>
      </c>
      <c r="V512">
        <v>0</v>
      </c>
    </row>
    <row r="513" spans="1:22" x14ac:dyDescent="0.2">
      <c r="A513" t="s">
        <v>572</v>
      </c>
      <c r="B513" t="s">
        <v>174</v>
      </c>
      <c r="C513" t="s">
        <v>41</v>
      </c>
      <c r="D513" t="s">
        <v>42</v>
      </c>
      <c r="E513" t="s">
        <v>442</v>
      </c>
      <c r="F513" t="s">
        <v>48</v>
      </c>
      <c r="G513" t="s">
        <v>65</v>
      </c>
      <c r="H513" t="s">
        <v>47</v>
      </c>
      <c r="I513">
        <v>0</v>
      </c>
      <c r="J513">
        <v>1</v>
      </c>
      <c r="K513">
        <v>1</v>
      </c>
      <c r="L513">
        <v>1</v>
      </c>
      <c r="M513">
        <v>0</v>
      </c>
      <c r="N513">
        <v>0</v>
      </c>
      <c r="O513">
        <v>1</v>
      </c>
      <c r="P513">
        <v>0</v>
      </c>
      <c r="Q513">
        <v>1</v>
      </c>
      <c r="R513">
        <v>1</v>
      </c>
      <c r="S513">
        <v>1</v>
      </c>
      <c r="T513">
        <v>0</v>
      </c>
      <c r="U513">
        <v>0</v>
      </c>
      <c r="V513">
        <v>0</v>
      </c>
    </row>
    <row r="514" spans="1:22" x14ac:dyDescent="0.2">
      <c r="A514" t="s">
        <v>575</v>
      </c>
      <c r="B514" t="s">
        <v>188</v>
      </c>
      <c r="C514" t="s">
        <v>41</v>
      </c>
      <c r="D514" t="s">
        <v>49</v>
      </c>
      <c r="E514" t="s">
        <v>442</v>
      </c>
      <c r="F514" t="s">
        <v>65</v>
      </c>
      <c r="G514" t="s">
        <v>48</v>
      </c>
      <c r="H514" t="s">
        <v>60</v>
      </c>
      <c r="I514">
        <v>1</v>
      </c>
      <c r="J514">
        <v>1</v>
      </c>
      <c r="K514">
        <v>1</v>
      </c>
      <c r="L514">
        <v>0</v>
      </c>
      <c r="M514">
        <v>0</v>
      </c>
      <c r="N514">
        <v>0</v>
      </c>
      <c r="O514">
        <v>1</v>
      </c>
      <c r="P514">
        <v>0</v>
      </c>
      <c r="Q514">
        <v>1</v>
      </c>
      <c r="R514">
        <v>0</v>
      </c>
      <c r="S514">
        <v>0</v>
      </c>
      <c r="T514">
        <v>0</v>
      </c>
      <c r="U514">
        <v>0</v>
      </c>
      <c r="V514">
        <v>0</v>
      </c>
    </row>
    <row r="515" spans="1:22" x14ac:dyDescent="0.2">
      <c r="A515" t="s">
        <v>577</v>
      </c>
      <c r="B515" t="s">
        <v>108</v>
      </c>
      <c r="C515" t="s">
        <v>41</v>
      </c>
      <c r="D515" t="s">
        <v>55</v>
      </c>
      <c r="E515" t="s">
        <v>442</v>
      </c>
      <c r="F515" t="s">
        <v>48</v>
      </c>
      <c r="G515" t="s">
        <v>65</v>
      </c>
      <c r="H515" t="s">
        <v>59</v>
      </c>
      <c r="I515">
        <v>0</v>
      </c>
      <c r="J515">
        <v>1</v>
      </c>
      <c r="K515">
        <v>1</v>
      </c>
      <c r="L515">
        <v>0</v>
      </c>
      <c r="M515">
        <v>0</v>
      </c>
      <c r="N515">
        <v>0</v>
      </c>
      <c r="O515">
        <v>1</v>
      </c>
      <c r="P515">
        <v>0</v>
      </c>
      <c r="Q515">
        <v>1</v>
      </c>
      <c r="R515">
        <v>0</v>
      </c>
      <c r="S515">
        <v>0</v>
      </c>
      <c r="T515">
        <v>0</v>
      </c>
      <c r="U515">
        <v>0</v>
      </c>
      <c r="V515">
        <v>0</v>
      </c>
    </row>
    <row r="516" spans="1:22" x14ac:dyDescent="0.2">
      <c r="A516" t="s">
        <v>577</v>
      </c>
      <c r="B516" t="s">
        <v>108</v>
      </c>
      <c r="C516" t="s">
        <v>41</v>
      </c>
      <c r="D516" t="s">
        <v>72</v>
      </c>
      <c r="E516" t="s">
        <v>442</v>
      </c>
      <c r="F516" t="s">
        <v>47</v>
      </c>
      <c r="G516" t="s">
        <v>65</v>
      </c>
      <c r="H516" t="s">
        <v>48</v>
      </c>
      <c r="I516">
        <v>0</v>
      </c>
      <c r="J516">
        <v>1</v>
      </c>
      <c r="K516">
        <v>1</v>
      </c>
      <c r="L516">
        <v>1</v>
      </c>
      <c r="M516">
        <v>0</v>
      </c>
      <c r="N516">
        <v>0</v>
      </c>
      <c r="O516">
        <v>1</v>
      </c>
      <c r="P516">
        <v>0</v>
      </c>
      <c r="Q516">
        <v>0</v>
      </c>
      <c r="R516">
        <v>0</v>
      </c>
      <c r="S516">
        <v>0</v>
      </c>
      <c r="T516">
        <v>0</v>
      </c>
      <c r="U516">
        <v>0</v>
      </c>
      <c r="V516">
        <v>1</v>
      </c>
    </row>
    <row r="517" spans="1:22" x14ac:dyDescent="0.2">
      <c r="A517" t="s">
        <v>577</v>
      </c>
      <c r="B517" t="s">
        <v>108</v>
      </c>
      <c r="C517" t="s">
        <v>41</v>
      </c>
      <c r="D517" t="s">
        <v>61</v>
      </c>
      <c r="E517" t="s">
        <v>442</v>
      </c>
      <c r="F517" t="s">
        <v>48</v>
      </c>
      <c r="G517" t="s">
        <v>47</v>
      </c>
      <c r="H517" t="s">
        <v>59</v>
      </c>
      <c r="I517">
        <v>0</v>
      </c>
      <c r="J517">
        <v>0</v>
      </c>
      <c r="K517">
        <v>1</v>
      </c>
      <c r="L517">
        <v>1</v>
      </c>
      <c r="M517">
        <v>0</v>
      </c>
      <c r="N517">
        <v>0</v>
      </c>
      <c r="O517">
        <v>1</v>
      </c>
      <c r="P517">
        <v>0</v>
      </c>
      <c r="Q517">
        <v>0</v>
      </c>
      <c r="R517">
        <v>0</v>
      </c>
      <c r="S517">
        <v>1</v>
      </c>
      <c r="T517">
        <v>0</v>
      </c>
      <c r="U517">
        <v>0</v>
      </c>
      <c r="V517">
        <v>0</v>
      </c>
    </row>
    <row r="518" spans="1:22" x14ac:dyDescent="0.2">
      <c r="A518" t="s">
        <v>577</v>
      </c>
      <c r="B518" t="s">
        <v>108</v>
      </c>
      <c r="C518" t="s">
        <v>41</v>
      </c>
      <c r="D518" t="s">
        <v>49</v>
      </c>
      <c r="E518" t="s">
        <v>442</v>
      </c>
      <c r="F518" t="s">
        <v>48</v>
      </c>
      <c r="G518" t="s">
        <v>47</v>
      </c>
      <c r="H518" t="s">
        <v>65</v>
      </c>
      <c r="I518">
        <v>0</v>
      </c>
      <c r="J518">
        <v>1</v>
      </c>
      <c r="K518">
        <v>1</v>
      </c>
      <c r="L518">
        <v>1</v>
      </c>
      <c r="M518">
        <v>0</v>
      </c>
      <c r="N518">
        <v>0</v>
      </c>
      <c r="O518">
        <v>1</v>
      </c>
      <c r="P518">
        <v>0</v>
      </c>
      <c r="Q518">
        <v>0</v>
      </c>
      <c r="R518">
        <v>0</v>
      </c>
      <c r="S518">
        <v>0</v>
      </c>
      <c r="T518">
        <v>0</v>
      </c>
      <c r="U518">
        <v>0</v>
      </c>
      <c r="V518">
        <v>1</v>
      </c>
    </row>
    <row r="519" spans="1:22" x14ac:dyDescent="0.2">
      <c r="A519" t="s">
        <v>580</v>
      </c>
      <c r="B519" t="s">
        <v>108</v>
      </c>
      <c r="C519" t="s">
        <v>41</v>
      </c>
      <c r="D519" t="s">
        <v>67</v>
      </c>
      <c r="E519" t="s">
        <v>442</v>
      </c>
      <c r="F519" t="s">
        <v>48</v>
      </c>
      <c r="G519" t="s">
        <v>47</v>
      </c>
      <c r="H519" t="s">
        <v>46</v>
      </c>
      <c r="I519">
        <v>0</v>
      </c>
      <c r="J519">
        <v>0</v>
      </c>
      <c r="K519">
        <v>1</v>
      </c>
      <c r="L519">
        <v>1</v>
      </c>
      <c r="M519">
        <v>1</v>
      </c>
      <c r="N519">
        <v>0</v>
      </c>
      <c r="O519">
        <v>1</v>
      </c>
      <c r="P519">
        <v>0</v>
      </c>
      <c r="Q519">
        <v>0</v>
      </c>
      <c r="R519">
        <v>0</v>
      </c>
      <c r="S519">
        <v>0</v>
      </c>
      <c r="T519">
        <v>0</v>
      </c>
      <c r="U519">
        <v>0</v>
      </c>
      <c r="V519">
        <v>1</v>
      </c>
    </row>
    <row r="520" spans="1:22" x14ac:dyDescent="0.2">
      <c r="A520" t="s">
        <v>580</v>
      </c>
      <c r="B520" t="s">
        <v>108</v>
      </c>
      <c r="C520" t="s">
        <v>41</v>
      </c>
      <c r="D520" t="s">
        <v>49</v>
      </c>
      <c r="E520" t="s">
        <v>442</v>
      </c>
      <c r="F520" t="s">
        <v>47</v>
      </c>
      <c r="G520" t="s">
        <v>59</v>
      </c>
      <c r="H520" t="s">
        <v>48</v>
      </c>
      <c r="I520">
        <v>0</v>
      </c>
      <c r="J520">
        <v>0</v>
      </c>
      <c r="K520">
        <v>1</v>
      </c>
      <c r="L520">
        <v>1</v>
      </c>
      <c r="M520">
        <v>0</v>
      </c>
      <c r="N520">
        <v>0</v>
      </c>
      <c r="O520">
        <v>1</v>
      </c>
      <c r="P520">
        <v>0</v>
      </c>
      <c r="Q520">
        <v>0</v>
      </c>
      <c r="R520">
        <v>0</v>
      </c>
      <c r="S520">
        <v>0</v>
      </c>
      <c r="T520">
        <v>0</v>
      </c>
      <c r="U520">
        <v>0</v>
      </c>
      <c r="V520">
        <v>1</v>
      </c>
    </row>
    <row r="521" spans="1:22" x14ac:dyDescent="0.2">
      <c r="A521" t="s">
        <v>580</v>
      </c>
      <c r="B521" t="s">
        <v>108</v>
      </c>
      <c r="C521" t="s">
        <v>41</v>
      </c>
      <c r="D521" t="s">
        <v>72</v>
      </c>
      <c r="E521" t="s">
        <v>442</v>
      </c>
      <c r="F521" t="s">
        <v>48</v>
      </c>
      <c r="G521" t="s">
        <v>65</v>
      </c>
      <c r="H521" t="s">
        <v>46</v>
      </c>
      <c r="I521">
        <v>0</v>
      </c>
      <c r="J521">
        <v>1</v>
      </c>
      <c r="K521">
        <v>1</v>
      </c>
      <c r="L521">
        <v>0</v>
      </c>
      <c r="M521">
        <v>1</v>
      </c>
      <c r="N521">
        <v>0</v>
      </c>
      <c r="O521">
        <v>1</v>
      </c>
      <c r="P521">
        <v>0</v>
      </c>
      <c r="Q521">
        <v>0</v>
      </c>
      <c r="R521">
        <v>0</v>
      </c>
      <c r="S521">
        <v>0</v>
      </c>
      <c r="T521">
        <v>0</v>
      </c>
      <c r="U521">
        <v>0</v>
      </c>
      <c r="V521">
        <v>1</v>
      </c>
    </row>
    <row r="522" spans="1:22" x14ac:dyDescent="0.2">
      <c r="A522" t="s">
        <v>580</v>
      </c>
      <c r="B522" t="s">
        <v>108</v>
      </c>
      <c r="C522" t="s">
        <v>41</v>
      </c>
      <c r="D522" t="s">
        <v>42</v>
      </c>
      <c r="E522" t="s">
        <v>442</v>
      </c>
      <c r="F522" t="s">
        <v>59</v>
      </c>
      <c r="G522" t="s">
        <v>47</v>
      </c>
      <c r="H522" t="s">
        <v>48</v>
      </c>
      <c r="I522">
        <v>0</v>
      </c>
      <c r="J522">
        <v>0</v>
      </c>
      <c r="K522">
        <v>1</v>
      </c>
      <c r="L522">
        <v>1</v>
      </c>
      <c r="M522">
        <v>0</v>
      </c>
      <c r="N522">
        <v>0</v>
      </c>
      <c r="O522">
        <v>1</v>
      </c>
      <c r="P522">
        <v>0</v>
      </c>
      <c r="Q522">
        <v>0</v>
      </c>
      <c r="R522">
        <v>0</v>
      </c>
      <c r="S522">
        <v>0</v>
      </c>
      <c r="T522">
        <v>0</v>
      </c>
      <c r="U522">
        <v>0</v>
      </c>
      <c r="V522">
        <v>1</v>
      </c>
    </row>
    <row r="523" spans="1:22" x14ac:dyDescent="0.2">
      <c r="A523" t="s">
        <v>583</v>
      </c>
      <c r="B523" t="s">
        <v>33</v>
      </c>
      <c r="C523" t="s">
        <v>41</v>
      </c>
      <c r="D523" t="s">
        <v>72</v>
      </c>
      <c r="E523" t="s">
        <v>442</v>
      </c>
      <c r="F523" t="s">
        <v>48</v>
      </c>
      <c r="G523" t="s">
        <v>46</v>
      </c>
      <c r="H523" t="s">
        <v>65</v>
      </c>
      <c r="I523">
        <v>0</v>
      </c>
      <c r="J523">
        <v>1</v>
      </c>
      <c r="K523">
        <v>1</v>
      </c>
      <c r="L523">
        <v>0</v>
      </c>
      <c r="M523">
        <v>1</v>
      </c>
      <c r="N523">
        <v>0</v>
      </c>
      <c r="O523">
        <v>1</v>
      </c>
      <c r="P523">
        <v>0</v>
      </c>
      <c r="Q523">
        <v>0</v>
      </c>
      <c r="R523">
        <v>1</v>
      </c>
      <c r="S523">
        <v>0</v>
      </c>
      <c r="T523">
        <v>0</v>
      </c>
      <c r="U523">
        <v>0</v>
      </c>
      <c r="V523">
        <v>0</v>
      </c>
    </row>
    <row r="524" spans="1:22" x14ac:dyDescent="0.2">
      <c r="A524" t="s">
        <v>583</v>
      </c>
      <c r="B524" t="s">
        <v>33</v>
      </c>
      <c r="C524" t="s">
        <v>41</v>
      </c>
      <c r="D524" t="s">
        <v>42</v>
      </c>
      <c r="E524" t="s">
        <v>442</v>
      </c>
      <c r="F524" t="s">
        <v>46</v>
      </c>
      <c r="G524" t="s">
        <v>48</v>
      </c>
      <c r="H524" t="s">
        <v>47</v>
      </c>
      <c r="I524">
        <v>0</v>
      </c>
      <c r="J524">
        <v>0</v>
      </c>
      <c r="K524">
        <v>1</v>
      </c>
      <c r="L524">
        <v>1</v>
      </c>
      <c r="M524">
        <v>1</v>
      </c>
      <c r="N524">
        <v>0</v>
      </c>
      <c r="O524">
        <v>1</v>
      </c>
      <c r="P524">
        <v>0</v>
      </c>
      <c r="Q524">
        <v>0</v>
      </c>
      <c r="R524">
        <v>0</v>
      </c>
      <c r="S524">
        <v>1</v>
      </c>
      <c r="T524">
        <v>0</v>
      </c>
      <c r="U524">
        <v>0</v>
      </c>
      <c r="V524">
        <v>0</v>
      </c>
    </row>
    <row r="525" spans="1:22" x14ac:dyDescent="0.2">
      <c r="A525" t="s">
        <v>583</v>
      </c>
      <c r="B525" t="s">
        <v>33</v>
      </c>
      <c r="C525" t="s">
        <v>41</v>
      </c>
      <c r="D525" t="s">
        <v>55</v>
      </c>
      <c r="E525" t="s">
        <v>442</v>
      </c>
      <c r="F525" t="s">
        <v>47</v>
      </c>
      <c r="G525" t="s">
        <v>59</v>
      </c>
      <c r="H525" t="s">
        <v>48</v>
      </c>
      <c r="I525">
        <v>0</v>
      </c>
      <c r="J525">
        <v>0</v>
      </c>
      <c r="K525">
        <v>1</v>
      </c>
      <c r="L525">
        <v>1</v>
      </c>
      <c r="M525">
        <v>0</v>
      </c>
      <c r="N525">
        <v>0</v>
      </c>
      <c r="O525">
        <v>1</v>
      </c>
      <c r="P525">
        <v>0</v>
      </c>
      <c r="Q525">
        <v>0</v>
      </c>
      <c r="R525">
        <v>0</v>
      </c>
      <c r="S525">
        <v>1</v>
      </c>
      <c r="T525">
        <v>0</v>
      </c>
      <c r="U525">
        <v>0</v>
      </c>
      <c r="V525">
        <v>0</v>
      </c>
    </row>
    <row r="526" spans="1:22" x14ac:dyDescent="0.2">
      <c r="A526" t="s">
        <v>583</v>
      </c>
      <c r="B526" t="s">
        <v>33</v>
      </c>
      <c r="C526" t="s">
        <v>41</v>
      </c>
      <c r="D526" t="s">
        <v>61</v>
      </c>
      <c r="E526" t="s">
        <v>442</v>
      </c>
      <c r="F526" t="s">
        <v>60</v>
      </c>
      <c r="G526" t="s">
        <v>65</v>
      </c>
      <c r="H526" t="s">
        <v>48</v>
      </c>
      <c r="I526">
        <v>1</v>
      </c>
      <c r="J526">
        <v>1</v>
      </c>
      <c r="K526">
        <v>1</v>
      </c>
      <c r="L526">
        <v>0</v>
      </c>
      <c r="M526">
        <v>0</v>
      </c>
      <c r="N526">
        <v>0</v>
      </c>
      <c r="O526">
        <v>1</v>
      </c>
      <c r="P526">
        <v>0</v>
      </c>
      <c r="Q526">
        <v>1</v>
      </c>
      <c r="R526">
        <v>0</v>
      </c>
      <c r="S526">
        <v>0</v>
      </c>
      <c r="T526">
        <v>0</v>
      </c>
      <c r="U526">
        <v>0</v>
      </c>
      <c r="V526">
        <v>0</v>
      </c>
    </row>
    <row r="527" spans="1:22" x14ac:dyDescent="0.2">
      <c r="A527" t="s">
        <v>586</v>
      </c>
      <c r="B527" t="s">
        <v>188</v>
      </c>
      <c r="C527" t="s">
        <v>41</v>
      </c>
      <c r="D527" t="s">
        <v>61</v>
      </c>
      <c r="E527" t="s">
        <v>442</v>
      </c>
      <c r="F527" t="s">
        <v>47</v>
      </c>
      <c r="G527" t="s">
        <v>65</v>
      </c>
      <c r="H527" t="s">
        <v>48</v>
      </c>
      <c r="I527">
        <v>0</v>
      </c>
      <c r="J527">
        <v>1</v>
      </c>
      <c r="K527">
        <v>1</v>
      </c>
      <c r="L527">
        <v>1</v>
      </c>
      <c r="M527">
        <v>0</v>
      </c>
      <c r="N527">
        <v>0</v>
      </c>
      <c r="O527">
        <v>1</v>
      </c>
      <c r="P527">
        <v>0</v>
      </c>
      <c r="Q527">
        <v>1</v>
      </c>
      <c r="R527">
        <v>0</v>
      </c>
      <c r="S527">
        <v>1</v>
      </c>
      <c r="T527">
        <v>0</v>
      </c>
      <c r="U527">
        <v>0</v>
      </c>
      <c r="V527">
        <v>0</v>
      </c>
    </row>
    <row r="528" spans="1:22" x14ac:dyDescent="0.2">
      <c r="A528" t="s">
        <v>586</v>
      </c>
      <c r="B528" t="s">
        <v>188</v>
      </c>
      <c r="C528" t="s">
        <v>41</v>
      </c>
      <c r="D528" t="s">
        <v>55</v>
      </c>
      <c r="E528" t="s">
        <v>442</v>
      </c>
      <c r="F528" t="s">
        <v>65</v>
      </c>
      <c r="G528" t="s">
        <v>48</v>
      </c>
      <c r="H528" t="s">
        <v>59</v>
      </c>
      <c r="I528">
        <v>0</v>
      </c>
      <c r="J528">
        <v>1</v>
      </c>
      <c r="K528">
        <v>1</v>
      </c>
      <c r="L528">
        <v>0</v>
      </c>
      <c r="M528">
        <v>0</v>
      </c>
      <c r="N528">
        <v>0</v>
      </c>
      <c r="O528">
        <v>1</v>
      </c>
      <c r="P528">
        <v>0</v>
      </c>
      <c r="Q528">
        <v>1</v>
      </c>
      <c r="R528">
        <v>0</v>
      </c>
      <c r="S528">
        <v>0</v>
      </c>
      <c r="T528">
        <v>0</v>
      </c>
      <c r="U528">
        <v>0</v>
      </c>
      <c r="V528">
        <v>0</v>
      </c>
    </row>
    <row r="529" spans="1:22" x14ac:dyDescent="0.2">
      <c r="A529" t="s">
        <v>586</v>
      </c>
      <c r="B529" t="s">
        <v>188</v>
      </c>
      <c r="C529" t="s">
        <v>41</v>
      </c>
      <c r="D529" t="s">
        <v>49</v>
      </c>
      <c r="E529" t="s">
        <v>442</v>
      </c>
      <c r="F529" t="s">
        <v>46</v>
      </c>
      <c r="G529" t="s">
        <v>60</v>
      </c>
      <c r="H529" t="s">
        <v>48</v>
      </c>
      <c r="I529">
        <v>1</v>
      </c>
      <c r="J529">
        <v>0</v>
      </c>
      <c r="K529">
        <v>1</v>
      </c>
      <c r="L529">
        <v>0</v>
      </c>
      <c r="M529">
        <v>1</v>
      </c>
      <c r="N529">
        <v>0</v>
      </c>
      <c r="O529">
        <v>1</v>
      </c>
      <c r="P529">
        <v>0</v>
      </c>
      <c r="Q529">
        <v>0</v>
      </c>
      <c r="R529">
        <v>0</v>
      </c>
      <c r="S529">
        <v>0</v>
      </c>
      <c r="T529">
        <v>0</v>
      </c>
      <c r="U529">
        <v>0</v>
      </c>
      <c r="V529">
        <v>1</v>
      </c>
    </row>
    <row r="530" spans="1:22" x14ac:dyDescent="0.2">
      <c r="A530" t="s">
        <v>586</v>
      </c>
      <c r="B530" t="s">
        <v>188</v>
      </c>
      <c r="C530" t="s">
        <v>41</v>
      </c>
      <c r="D530" t="s">
        <v>72</v>
      </c>
      <c r="E530" t="s">
        <v>442</v>
      </c>
      <c r="F530" t="s">
        <v>48</v>
      </c>
      <c r="G530" t="s">
        <v>46</v>
      </c>
      <c r="H530" t="s">
        <v>60</v>
      </c>
      <c r="I530">
        <v>1</v>
      </c>
      <c r="J530">
        <v>0</v>
      </c>
      <c r="K530">
        <v>1</v>
      </c>
      <c r="L530">
        <v>0</v>
      </c>
      <c r="M530">
        <v>1</v>
      </c>
      <c r="N530">
        <v>0</v>
      </c>
      <c r="O530">
        <v>1</v>
      </c>
      <c r="P530">
        <v>0</v>
      </c>
      <c r="Q530">
        <v>0</v>
      </c>
      <c r="R530">
        <v>0</v>
      </c>
      <c r="S530">
        <v>0</v>
      </c>
      <c r="T530">
        <v>0</v>
      </c>
      <c r="U530">
        <v>0</v>
      </c>
      <c r="V530">
        <v>1</v>
      </c>
    </row>
    <row r="531" spans="1:22" x14ac:dyDescent="0.2">
      <c r="A531" t="s">
        <v>589</v>
      </c>
      <c r="B531" t="s">
        <v>188</v>
      </c>
      <c r="C531" t="s">
        <v>41</v>
      </c>
      <c r="D531" t="s">
        <v>72</v>
      </c>
      <c r="E531" t="s">
        <v>442</v>
      </c>
      <c r="F531" t="s">
        <v>46</v>
      </c>
      <c r="G531" t="s">
        <v>48</v>
      </c>
      <c r="H531" t="s">
        <v>47</v>
      </c>
      <c r="I531">
        <v>0</v>
      </c>
      <c r="J531">
        <v>0</v>
      </c>
      <c r="K531">
        <v>1</v>
      </c>
      <c r="L531">
        <v>1</v>
      </c>
      <c r="M531">
        <v>1</v>
      </c>
      <c r="N531">
        <v>0</v>
      </c>
      <c r="O531">
        <v>1</v>
      </c>
      <c r="P531">
        <v>0</v>
      </c>
      <c r="Q531">
        <v>0</v>
      </c>
      <c r="R531">
        <v>1</v>
      </c>
      <c r="S531">
        <v>1</v>
      </c>
      <c r="T531">
        <v>1</v>
      </c>
      <c r="U531">
        <v>0</v>
      </c>
      <c r="V531">
        <v>0</v>
      </c>
    </row>
    <row r="532" spans="1:22" x14ac:dyDescent="0.2">
      <c r="A532" t="s">
        <v>589</v>
      </c>
      <c r="B532" t="s">
        <v>188</v>
      </c>
      <c r="C532" t="s">
        <v>41</v>
      </c>
      <c r="D532" t="s">
        <v>49</v>
      </c>
      <c r="E532" t="s">
        <v>442</v>
      </c>
      <c r="F532" t="s">
        <v>59</v>
      </c>
      <c r="G532" t="s">
        <v>46</v>
      </c>
      <c r="H532" t="s">
        <v>48</v>
      </c>
      <c r="I532">
        <v>0</v>
      </c>
      <c r="J532">
        <v>0</v>
      </c>
      <c r="K532">
        <v>1</v>
      </c>
      <c r="L532">
        <v>0</v>
      </c>
      <c r="M532">
        <v>1</v>
      </c>
      <c r="N532">
        <v>0</v>
      </c>
      <c r="O532">
        <v>1</v>
      </c>
      <c r="P532">
        <v>0</v>
      </c>
      <c r="Q532">
        <v>0</v>
      </c>
      <c r="R532">
        <v>0</v>
      </c>
      <c r="S532">
        <v>0</v>
      </c>
      <c r="T532">
        <v>1</v>
      </c>
      <c r="U532">
        <v>0</v>
      </c>
      <c r="V532">
        <v>0</v>
      </c>
    </row>
    <row r="533" spans="1:22" x14ac:dyDescent="0.2">
      <c r="A533" t="s">
        <v>589</v>
      </c>
      <c r="B533" t="s">
        <v>188</v>
      </c>
      <c r="C533" t="s">
        <v>41</v>
      </c>
      <c r="D533" t="s">
        <v>67</v>
      </c>
      <c r="E533" t="s">
        <v>442</v>
      </c>
      <c r="F533" t="s">
        <v>48</v>
      </c>
      <c r="G533" t="s">
        <v>65</v>
      </c>
      <c r="H533" t="s">
        <v>47</v>
      </c>
      <c r="I533">
        <v>0</v>
      </c>
      <c r="J533">
        <v>1</v>
      </c>
      <c r="K533">
        <v>1</v>
      </c>
      <c r="L533">
        <v>1</v>
      </c>
      <c r="M533">
        <v>0</v>
      </c>
      <c r="N533">
        <v>0</v>
      </c>
      <c r="O533">
        <v>1</v>
      </c>
      <c r="P533">
        <v>0</v>
      </c>
      <c r="Q533">
        <v>0</v>
      </c>
      <c r="R533">
        <v>0</v>
      </c>
      <c r="S533">
        <v>1</v>
      </c>
      <c r="T533">
        <v>0</v>
      </c>
      <c r="U533">
        <v>0</v>
      </c>
      <c r="V533">
        <v>0</v>
      </c>
    </row>
    <row r="534" spans="1:22" x14ac:dyDescent="0.2">
      <c r="A534" t="s">
        <v>593</v>
      </c>
      <c r="B534" t="s">
        <v>108</v>
      </c>
      <c r="C534" t="s">
        <v>41</v>
      </c>
      <c r="D534" t="s">
        <v>67</v>
      </c>
      <c r="E534" t="s">
        <v>442</v>
      </c>
      <c r="F534" t="s">
        <v>47</v>
      </c>
      <c r="G534" t="s">
        <v>60</v>
      </c>
      <c r="H534" t="s">
        <v>48</v>
      </c>
      <c r="I534">
        <v>1</v>
      </c>
      <c r="J534">
        <v>0</v>
      </c>
      <c r="K534">
        <v>1</v>
      </c>
      <c r="L534">
        <v>1</v>
      </c>
      <c r="M534">
        <v>0</v>
      </c>
      <c r="N534">
        <v>0</v>
      </c>
      <c r="O534">
        <v>1</v>
      </c>
      <c r="P534">
        <v>0</v>
      </c>
      <c r="Q534">
        <v>0</v>
      </c>
      <c r="R534">
        <v>0</v>
      </c>
      <c r="S534">
        <v>1</v>
      </c>
      <c r="T534">
        <v>0</v>
      </c>
      <c r="U534">
        <v>0</v>
      </c>
      <c r="V534">
        <v>0</v>
      </c>
    </row>
    <row r="535" spans="1:22" x14ac:dyDescent="0.2">
      <c r="A535" t="s">
        <v>593</v>
      </c>
      <c r="B535" t="s">
        <v>108</v>
      </c>
      <c r="C535" t="s">
        <v>41</v>
      </c>
      <c r="D535" t="s">
        <v>55</v>
      </c>
      <c r="E535" t="s">
        <v>442</v>
      </c>
      <c r="F535" t="s">
        <v>47</v>
      </c>
      <c r="G535" t="s">
        <v>48</v>
      </c>
      <c r="H535" t="s">
        <v>46</v>
      </c>
      <c r="I535">
        <v>0</v>
      </c>
      <c r="J535">
        <v>0</v>
      </c>
      <c r="K535">
        <v>1</v>
      </c>
      <c r="L535">
        <v>1</v>
      </c>
      <c r="M535">
        <v>1</v>
      </c>
      <c r="N535">
        <v>0</v>
      </c>
      <c r="O535">
        <v>1</v>
      </c>
      <c r="P535">
        <v>0</v>
      </c>
      <c r="Q535">
        <v>0</v>
      </c>
      <c r="R535">
        <v>0</v>
      </c>
      <c r="S535">
        <v>0</v>
      </c>
      <c r="T535">
        <v>0</v>
      </c>
      <c r="U535">
        <v>0</v>
      </c>
      <c r="V535">
        <v>1</v>
      </c>
    </row>
    <row r="536" spans="1:22" x14ac:dyDescent="0.2">
      <c r="A536" t="s">
        <v>593</v>
      </c>
      <c r="B536" t="s">
        <v>108</v>
      </c>
      <c r="C536" t="s">
        <v>41</v>
      </c>
      <c r="D536" t="s">
        <v>42</v>
      </c>
      <c r="E536" t="s">
        <v>442</v>
      </c>
      <c r="F536" t="s">
        <v>46</v>
      </c>
      <c r="G536" t="s">
        <v>65</v>
      </c>
      <c r="H536" t="s">
        <v>48</v>
      </c>
      <c r="I536">
        <v>0</v>
      </c>
      <c r="J536">
        <v>1</v>
      </c>
      <c r="K536">
        <v>1</v>
      </c>
      <c r="L536">
        <v>0</v>
      </c>
      <c r="M536">
        <v>1</v>
      </c>
      <c r="N536">
        <v>0</v>
      </c>
      <c r="O536">
        <v>1</v>
      </c>
      <c r="P536">
        <v>0</v>
      </c>
      <c r="Q536">
        <v>0</v>
      </c>
      <c r="R536">
        <v>0</v>
      </c>
      <c r="S536">
        <v>0</v>
      </c>
      <c r="T536">
        <v>0</v>
      </c>
      <c r="U536">
        <v>0</v>
      </c>
      <c r="V536">
        <v>1</v>
      </c>
    </row>
    <row r="537" spans="1:22" x14ac:dyDescent="0.2">
      <c r="A537" t="s">
        <v>593</v>
      </c>
      <c r="B537" t="s">
        <v>108</v>
      </c>
      <c r="C537" t="s">
        <v>41</v>
      </c>
      <c r="D537" t="s">
        <v>49</v>
      </c>
      <c r="E537" t="s">
        <v>442</v>
      </c>
      <c r="F537" t="s">
        <v>46</v>
      </c>
      <c r="G537" t="s">
        <v>47</v>
      </c>
      <c r="H537" t="s">
        <v>48</v>
      </c>
      <c r="I537">
        <v>0</v>
      </c>
      <c r="J537">
        <v>0</v>
      </c>
      <c r="K537">
        <v>1</v>
      </c>
      <c r="L537">
        <v>1</v>
      </c>
      <c r="M537">
        <v>1</v>
      </c>
      <c r="N537">
        <v>0</v>
      </c>
      <c r="O537">
        <v>1</v>
      </c>
      <c r="P537">
        <v>0</v>
      </c>
      <c r="Q537">
        <v>0</v>
      </c>
      <c r="R537">
        <v>0</v>
      </c>
      <c r="S537">
        <v>1</v>
      </c>
      <c r="T537">
        <v>0</v>
      </c>
      <c r="U537">
        <v>0</v>
      </c>
      <c r="V537">
        <v>0</v>
      </c>
    </row>
    <row r="538" spans="1:22" x14ac:dyDescent="0.2">
      <c r="A538" t="s">
        <v>593</v>
      </c>
      <c r="B538" t="s">
        <v>108</v>
      </c>
      <c r="C538" t="s">
        <v>41</v>
      </c>
      <c r="D538" t="s">
        <v>61</v>
      </c>
      <c r="E538" t="s">
        <v>442</v>
      </c>
      <c r="F538" t="s">
        <v>48</v>
      </c>
      <c r="G538" t="s">
        <v>65</v>
      </c>
      <c r="H538" t="s">
        <v>46</v>
      </c>
      <c r="I538">
        <v>0</v>
      </c>
      <c r="J538">
        <v>1</v>
      </c>
      <c r="K538">
        <v>1</v>
      </c>
      <c r="L538">
        <v>0</v>
      </c>
      <c r="M538">
        <v>1</v>
      </c>
      <c r="N538">
        <v>0</v>
      </c>
      <c r="O538">
        <v>1</v>
      </c>
      <c r="P538">
        <v>0</v>
      </c>
      <c r="Q538">
        <v>0</v>
      </c>
      <c r="R538">
        <v>1</v>
      </c>
      <c r="S538">
        <v>0</v>
      </c>
      <c r="T538">
        <v>0</v>
      </c>
      <c r="U538">
        <v>0</v>
      </c>
      <c r="V538">
        <v>0</v>
      </c>
    </row>
    <row r="539" spans="1:22" x14ac:dyDescent="0.2">
      <c r="A539" t="s">
        <v>597</v>
      </c>
      <c r="B539" t="s">
        <v>188</v>
      </c>
      <c r="C539" t="s">
        <v>41</v>
      </c>
      <c r="D539" t="s">
        <v>61</v>
      </c>
      <c r="E539" t="s">
        <v>442</v>
      </c>
      <c r="F539" t="s">
        <v>48</v>
      </c>
      <c r="G539" t="s">
        <v>59</v>
      </c>
      <c r="H539" t="s">
        <v>65</v>
      </c>
      <c r="I539">
        <v>0</v>
      </c>
      <c r="J539">
        <v>1</v>
      </c>
      <c r="K539">
        <v>1</v>
      </c>
      <c r="L539">
        <v>0</v>
      </c>
      <c r="M539">
        <v>0</v>
      </c>
      <c r="N539">
        <v>0</v>
      </c>
      <c r="O539">
        <v>1</v>
      </c>
      <c r="P539">
        <v>0</v>
      </c>
      <c r="Q539">
        <v>0</v>
      </c>
      <c r="R539">
        <v>1</v>
      </c>
      <c r="S539">
        <v>0</v>
      </c>
      <c r="T539">
        <v>0</v>
      </c>
      <c r="U539">
        <v>0</v>
      </c>
      <c r="V539">
        <v>0</v>
      </c>
    </row>
    <row r="540" spans="1:22" x14ac:dyDescent="0.2">
      <c r="A540" t="s">
        <v>597</v>
      </c>
      <c r="B540" t="s">
        <v>188</v>
      </c>
      <c r="C540" t="s">
        <v>41</v>
      </c>
      <c r="D540" t="s">
        <v>42</v>
      </c>
      <c r="E540" t="s">
        <v>442</v>
      </c>
      <c r="F540" t="s">
        <v>48</v>
      </c>
      <c r="G540" t="s">
        <v>65</v>
      </c>
      <c r="H540" t="s">
        <v>46</v>
      </c>
      <c r="I540">
        <v>0</v>
      </c>
      <c r="J540">
        <v>1</v>
      </c>
      <c r="K540">
        <v>1</v>
      </c>
      <c r="L540">
        <v>0</v>
      </c>
      <c r="M540">
        <v>1</v>
      </c>
      <c r="N540">
        <v>0</v>
      </c>
      <c r="O540">
        <v>1</v>
      </c>
      <c r="P540">
        <v>0</v>
      </c>
      <c r="Q540">
        <v>1</v>
      </c>
      <c r="R540">
        <v>0</v>
      </c>
      <c r="S540">
        <v>0</v>
      </c>
      <c r="T540">
        <v>1</v>
      </c>
      <c r="U540">
        <v>0</v>
      </c>
      <c r="V540">
        <v>0</v>
      </c>
    </row>
    <row r="541" spans="1:22" x14ac:dyDescent="0.2">
      <c r="A541" t="s">
        <v>597</v>
      </c>
      <c r="B541" t="s">
        <v>188</v>
      </c>
      <c r="C541" t="s">
        <v>41</v>
      </c>
      <c r="D541" t="s">
        <v>49</v>
      </c>
      <c r="E541" t="s">
        <v>442</v>
      </c>
      <c r="F541" t="s">
        <v>65</v>
      </c>
      <c r="G541" t="s">
        <v>48</v>
      </c>
      <c r="H541" t="s">
        <v>46</v>
      </c>
      <c r="I541">
        <v>0</v>
      </c>
      <c r="J541">
        <v>1</v>
      </c>
      <c r="K541">
        <v>1</v>
      </c>
      <c r="L541">
        <v>0</v>
      </c>
      <c r="M541">
        <v>1</v>
      </c>
      <c r="N541">
        <v>0</v>
      </c>
      <c r="O541">
        <v>1</v>
      </c>
      <c r="P541">
        <v>0</v>
      </c>
      <c r="Q541">
        <v>0</v>
      </c>
      <c r="R541">
        <v>1</v>
      </c>
      <c r="S541">
        <v>0</v>
      </c>
      <c r="T541">
        <v>1</v>
      </c>
      <c r="U541">
        <v>0</v>
      </c>
      <c r="V541">
        <v>0</v>
      </c>
    </row>
    <row r="542" spans="1:22" x14ac:dyDescent="0.2">
      <c r="A542" t="s">
        <v>600</v>
      </c>
      <c r="B542" t="s">
        <v>108</v>
      </c>
      <c r="C542" t="s">
        <v>41</v>
      </c>
      <c r="D542" t="s">
        <v>72</v>
      </c>
      <c r="E542" t="s">
        <v>442</v>
      </c>
      <c r="F542" t="s">
        <v>48</v>
      </c>
      <c r="G542" t="s">
        <v>46</v>
      </c>
      <c r="H542" t="s">
        <v>60</v>
      </c>
      <c r="I542">
        <v>1</v>
      </c>
      <c r="J542">
        <v>0</v>
      </c>
      <c r="K542">
        <v>1</v>
      </c>
      <c r="L542">
        <v>0</v>
      </c>
      <c r="M542">
        <v>1</v>
      </c>
      <c r="N542">
        <v>0</v>
      </c>
      <c r="O542">
        <v>1</v>
      </c>
      <c r="P542">
        <v>0</v>
      </c>
      <c r="Q542">
        <v>0</v>
      </c>
      <c r="R542">
        <v>0</v>
      </c>
      <c r="S542">
        <v>0</v>
      </c>
      <c r="T542">
        <v>0</v>
      </c>
      <c r="U542">
        <v>0</v>
      </c>
      <c r="V542">
        <v>1</v>
      </c>
    </row>
    <row r="543" spans="1:22" x14ac:dyDescent="0.2">
      <c r="A543" t="s">
        <v>600</v>
      </c>
      <c r="B543" t="s">
        <v>108</v>
      </c>
      <c r="C543" t="s">
        <v>41</v>
      </c>
      <c r="D543" t="s">
        <v>42</v>
      </c>
      <c r="E543" t="s">
        <v>442</v>
      </c>
      <c r="F543" t="s">
        <v>47</v>
      </c>
      <c r="G543" t="s">
        <v>60</v>
      </c>
      <c r="H543" t="s">
        <v>48</v>
      </c>
      <c r="I543">
        <v>1</v>
      </c>
      <c r="J543">
        <v>0</v>
      </c>
      <c r="K543">
        <v>1</v>
      </c>
      <c r="L543">
        <v>1</v>
      </c>
      <c r="M543">
        <v>0</v>
      </c>
      <c r="N543">
        <v>0</v>
      </c>
      <c r="O543">
        <v>1</v>
      </c>
      <c r="P543">
        <v>1</v>
      </c>
      <c r="Q543">
        <v>0</v>
      </c>
      <c r="R543">
        <v>0</v>
      </c>
      <c r="S543">
        <v>0</v>
      </c>
      <c r="T543">
        <v>0</v>
      </c>
      <c r="U543">
        <v>0</v>
      </c>
      <c r="V543">
        <v>0</v>
      </c>
    </row>
    <row r="544" spans="1:22" x14ac:dyDescent="0.2">
      <c r="A544" t="s">
        <v>600</v>
      </c>
      <c r="B544" t="s">
        <v>108</v>
      </c>
      <c r="C544" t="s">
        <v>41</v>
      </c>
      <c r="D544" t="s">
        <v>67</v>
      </c>
      <c r="E544" t="s">
        <v>442</v>
      </c>
      <c r="F544" t="s">
        <v>47</v>
      </c>
      <c r="G544" t="s">
        <v>60</v>
      </c>
      <c r="H544" t="s">
        <v>48</v>
      </c>
      <c r="I544">
        <v>1</v>
      </c>
      <c r="J544">
        <v>0</v>
      </c>
      <c r="K544">
        <v>1</v>
      </c>
      <c r="L544">
        <v>1</v>
      </c>
      <c r="M544">
        <v>0</v>
      </c>
      <c r="N544">
        <v>0</v>
      </c>
      <c r="O544">
        <v>1</v>
      </c>
      <c r="P544">
        <v>1</v>
      </c>
      <c r="Q544">
        <v>0</v>
      </c>
      <c r="R544">
        <v>0</v>
      </c>
      <c r="S544">
        <v>0</v>
      </c>
      <c r="T544">
        <v>0</v>
      </c>
      <c r="U544">
        <v>0</v>
      </c>
      <c r="V544">
        <v>0</v>
      </c>
    </row>
    <row r="545" spans="1:22" x14ac:dyDescent="0.2">
      <c r="A545" t="s">
        <v>600</v>
      </c>
      <c r="B545" t="s">
        <v>108</v>
      </c>
      <c r="C545" t="s">
        <v>41</v>
      </c>
      <c r="D545" t="s">
        <v>49</v>
      </c>
      <c r="E545" t="s">
        <v>442</v>
      </c>
      <c r="F545" t="s">
        <v>47</v>
      </c>
      <c r="G545" t="s">
        <v>48</v>
      </c>
      <c r="H545" t="s">
        <v>60</v>
      </c>
      <c r="I545">
        <v>1</v>
      </c>
      <c r="J545">
        <v>0</v>
      </c>
      <c r="K545">
        <v>1</v>
      </c>
      <c r="L545">
        <v>1</v>
      </c>
      <c r="M545">
        <v>0</v>
      </c>
      <c r="N545">
        <v>0</v>
      </c>
      <c r="O545">
        <v>1</v>
      </c>
      <c r="P545">
        <v>1</v>
      </c>
      <c r="Q545">
        <v>0</v>
      </c>
      <c r="R545">
        <v>0</v>
      </c>
      <c r="S545">
        <v>0</v>
      </c>
      <c r="T545">
        <v>0</v>
      </c>
      <c r="U545">
        <v>0</v>
      </c>
      <c r="V545">
        <v>0</v>
      </c>
    </row>
    <row r="546" spans="1:22" x14ac:dyDescent="0.2">
      <c r="A546" t="s">
        <v>603</v>
      </c>
      <c r="B546" t="s">
        <v>188</v>
      </c>
      <c r="C546" t="s">
        <v>41</v>
      </c>
      <c r="D546" t="s">
        <v>42</v>
      </c>
      <c r="E546" t="s">
        <v>442</v>
      </c>
      <c r="F546" t="s">
        <v>48</v>
      </c>
      <c r="G546" t="s">
        <v>60</v>
      </c>
      <c r="H546" t="s">
        <v>65</v>
      </c>
      <c r="I546">
        <v>1</v>
      </c>
      <c r="J546">
        <v>1</v>
      </c>
      <c r="K546">
        <v>1</v>
      </c>
      <c r="L546">
        <v>0</v>
      </c>
      <c r="M546">
        <v>0</v>
      </c>
      <c r="N546">
        <v>0</v>
      </c>
      <c r="O546">
        <v>1</v>
      </c>
      <c r="P546">
        <v>1</v>
      </c>
      <c r="Q546">
        <v>0</v>
      </c>
      <c r="R546">
        <v>0</v>
      </c>
      <c r="S546">
        <v>0</v>
      </c>
      <c r="T546">
        <v>0</v>
      </c>
      <c r="U546">
        <v>0</v>
      </c>
      <c r="V546">
        <v>0</v>
      </c>
    </row>
    <row r="547" spans="1:22" x14ac:dyDescent="0.2">
      <c r="A547" t="s">
        <v>603</v>
      </c>
      <c r="B547" t="s">
        <v>188</v>
      </c>
      <c r="C547" t="s">
        <v>41</v>
      </c>
      <c r="D547" t="s">
        <v>49</v>
      </c>
      <c r="E547" t="s">
        <v>442</v>
      </c>
      <c r="F547" t="s">
        <v>65</v>
      </c>
      <c r="G547" t="s">
        <v>46</v>
      </c>
      <c r="H547" t="s">
        <v>48</v>
      </c>
      <c r="I547">
        <v>0</v>
      </c>
      <c r="J547">
        <v>1</v>
      </c>
      <c r="K547">
        <v>1</v>
      </c>
      <c r="L547">
        <v>0</v>
      </c>
      <c r="M547">
        <v>1</v>
      </c>
      <c r="N547">
        <v>0</v>
      </c>
      <c r="O547">
        <v>1</v>
      </c>
      <c r="P547">
        <v>0</v>
      </c>
      <c r="Q547">
        <v>1</v>
      </c>
      <c r="R547">
        <v>0</v>
      </c>
      <c r="S547">
        <v>0</v>
      </c>
      <c r="T547">
        <v>0</v>
      </c>
      <c r="U547">
        <v>0</v>
      </c>
      <c r="V547">
        <v>0</v>
      </c>
    </row>
    <row r="548" spans="1:22" x14ac:dyDescent="0.2">
      <c r="A548" t="s">
        <v>603</v>
      </c>
      <c r="B548" t="s">
        <v>188</v>
      </c>
      <c r="C548" t="s">
        <v>41</v>
      </c>
      <c r="D548" t="s">
        <v>55</v>
      </c>
      <c r="E548" t="s">
        <v>442</v>
      </c>
      <c r="F548" t="s">
        <v>60</v>
      </c>
      <c r="G548" t="s">
        <v>48</v>
      </c>
      <c r="H548" t="s">
        <v>47</v>
      </c>
      <c r="I548">
        <v>1</v>
      </c>
      <c r="J548">
        <v>0</v>
      </c>
      <c r="K548">
        <v>1</v>
      </c>
      <c r="L548">
        <v>1</v>
      </c>
      <c r="M548">
        <v>0</v>
      </c>
      <c r="N548">
        <v>0</v>
      </c>
      <c r="O548">
        <v>1</v>
      </c>
      <c r="P548">
        <v>1</v>
      </c>
      <c r="Q548">
        <v>0</v>
      </c>
      <c r="R548">
        <v>1</v>
      </c>
      <c r="S548">
        <v>1</v>
      </c>
      <c r="T548">
        <v>0</v>
      </c>
      <c r="U548">
        <v>0</v>
      </c>
      <c r="V548">
        <v>0</v>
      </c>
    </row>
    <row r="549" spans="1:22" x14ac:dyDescent="0.2">
      <c r="A549" t="s">
        <v>605</v>
      </c>
      <c r="B549" t="s">
        <v>108</v>
      </c>
      <c r="C549" t="s">
        <v>41</v>
      </c>
      <c r="D549" t="s">
        <v>72</v>
      </c>
      <c r="E549" t="s">
        <v>442</v>
      </c>
      <c r="F549" t="s">
        <v>48</v>
      </c>
      <c r="G549" t="s">
        <v>46</v>
      </c>
      <c r="H549" t="s">
        <v>65</v>
      </c>
      <c r="I549">
        <v>0</v>
      </c>
      <c r="J549">
        <v>1</v>
      </c>
      <c r="K549">
        <v>1</v>
      </c>
      <c r="L549">
        <v>0</v>
      </c>
      <c r="M549">
        <v>1</v>
      </c>
      <c r="N549">
        <v>0</v>
      </c>
      <c r="O549">
        <v>1</v>
      </c>
      <c r="P549">
        <v>0</v>
      </c>
      <c r="Q549">
        <v>1</v>
      </c>
      <c r="R549">
        <v>1</v>
      </c>
      <c r="S549">
        <v>0</v>
      </c>
      <c r="T549">
        <v>1</v>
      </c>
      <c r="U549">
        <v>0</v>
      </c>
      <c r="V549">
        <v>0</v>
      </c>
    </row>
    <row r="550" spans="1:22" x14ac:dyDescent="0.2">
      <c r="A550" t="s">
        <v>605</v>
      </c>
      <c r="B550" t="s">
        <v>108</v>
      </c>
      <c r="C550" t="s">
        <v>41</v>
      </c>
      <c r="D550" t="s">
        <v>49</v>
      </c>
      <c r="E550" t="s">
        <v>442</v>
      </c>
      <c r="F550" t="s">
        <v>65</v>
      </c>
      <c r="G550" t="s">
        <v>47</v>
      </c>
      <c r="H550" t="s">
        <v>48</v>
      </c>
      <c r="I550">
        <v>0</v>
      </c>
      <c r="J550">
        <v>1</v>
      </c>
      <c r="K550">
        <v>1</v>
      </c>
      <c r="L550">
        <v>1</v>
      </c>
      <c r="M550">
        <v>0</v>
      </c>
      <c r="N550">
        <v>0</v>
      </c>
      <c r="O550">
        <v>1</v>
      </c>
      <c r="P550">
        <v>0</v>
      </c>
      <c r="Q550">
        <v>1</v>
      </c>
      <c r="R550">
        <v>1</v>
      </c>
      <c r="S550">
        <v>1</v>
      </c>
      <c r="T550">
        <v>0</v>
      </c>
      <c r="U550">
        <v>0</v>
      </c>
      <c r="V550">
        <v>0</v>
      </c>
    </row>
    <row r="551" spans="1:22" x14ac:dyDescent="0.2">
      <c r="A551" t="s">
        <v>608</v>
      </c>
      <c r="B551" t="s">
        <v>108</v>
      </c>
      <c r="C551" t="s">
        <v>41</v>
      </c>
      <c r="D551" t="s">
        <v>49</v>
      </c>
      <c r="E551" t="s">
        <v>442</v>
      </c>
      <c r="F551" t="s">
        <v>48</v>
      </c>
      <c r="G551" t="s">
        <v>47</v>
      </c>
      <c r="H551" t="s">
        <v>60</v>
      </c>
      <c r="I551">
        <v>1</v>
      </c>
      <c r="J551">
        <v>0</v>
      </c>
      <c r="K551">
        <v>1</v>
      </c>
      <c r="L551">
        <v>1</v>
      </c>
      <c r="M551">
        <v>0</v>
      </c>
      <c r="N551">
        <v>0</v>
      </c>
      <c r="O551">
        <v>1</v>
      </c>
      <c r="P551">
        <v>1</v>
      </c>
      <c r="Q551">
        <v>0</v>
      </c>
      <c r="R551">
        <v>1</v>
      </c>
      <c r="S551">
        <v>1</v>
      </c>
      <c r="T551">
        <v>0</v>
      </c>
      <c r="U551">
        <v>0</v>
      </c>
      <c r="V551">
        <v>0</v>
      </c>
    </row>
    <row r="552" spans="1:22" x14ac:dyDescent="0.2">
      <c r="A552" t="s">
        <v>608</v>
      </c>
      <c r="B552" t="s">
        <v>108</v>
      </c>
      <c r="C552" t="s">
        <v>41</v>
      </c>
      <c r="D552" t="s">
        <v>42</v>
      </c>
      <c r="E552" t="s">
        <v>442</v>
      </c>
      <c r="F552" t="s">
        <v>65</v>
      </c>
      <c r="G552" t="s">
        <v>60</v>
      </c>
      <c r="H552" t="s">
        <v>48</v>
      </c>
      <c r="I552">
        <v>1</v>
      </c>
      <c r="J552">
        <v>1</v>
      </c>
      <c r="K552">
        <v>1</v>
      </c>
      <c r="L552">
        <v>0</v>
      </c>
      <c r="M552">
        <v>0</v>
      </c>
      <c r="N552">
        <v>0</v>
      </c>
      <c r="O552">
        <v>1</v>
      </c>
      <c r="P552">
        <v>1</v>
      </c>
      <c r="Q552">
        <v>1</v>
      </c>
      <c r="R552">
        <v>1</v>
      </c>
      <c r="S552">
        <v>0</v>
      </c>
      <c r="T552">
        <v>0</v>
      </c>
      <c r="U552">
        <v>0</v>
      </c>
      <c r="V552">
        <v>0</v>
      </c>
    </row>
    <row r="553" spans="1:22" x14ac:dyDescent="0.2">
      <c r="A553" t="s">
        <v>608</v>
      </c>
      <c r="B553" t="s">
        <v>108</v>
      </c>
      <c r="C553" t="s">
        <v>41</v>
      </c>
      <c r="D553" t="s">
        <v>72</v>
      </c>
      <c r="E553" t="s">
        <v>442</v>
      </c>
      <c r="F553" t="s">
        <v>46</v>
      </c>
      <c r="G553" t="s">
        <v>47</v>
      </c>
      <c r="H553" t="s">
        <v>48</v>
      </c>
      <c r="I553">
        <v>0</v>
      </c>
      <c r="J553">
        <v>0</v>
      </c>
      <c r="K553">
        <v>1</v>
      </c>
      <c r="L553">
        <v>1</v>
      </c>
      <c r="M553">
        <v>1</v>
      </c>
      <c r="N553">
        <v>0</v>
      </c>
      <c r="O553">
        <v>1</v>
      </c>
      <c r="P553">
        <v>0</v>
      </c>
      <c r="Q553">
        <v>0</v>
      </c>
      <c r="R553">
        <v>1</v>
      </c>
      <c r="S553">
        <v>1</v>
      </c>
      <c r="T553">
        <v>1</v>
      </c>
      <c r="U553">
        <v>0</v>
      </c>
      <c r="V553">
        <v>0</v>
      </c>
    </row>
    <row r="554" spans="1:22" x14ac:dyDescent="0.2">
      <c r="A554" t="s">
        <v>611</v>
      </c>
      <c r="B554" t="s">
        <v>188</v>
      </c>
      <c r="C554" t="s">
        <v>41</v>
      </c>
      <c r="D554" t="s">
        <v>42</v>
      </c>
      <c r="E554" t="s">
        <v>442</v>
      </c>
      <c r="F554" t="s">
        <v>48</v>
      </c>
      <c r="G554" t="s">
        <v>65</v>
      </c>
      <c r="H554" t="s">
        <v>47</v>
      </c>
      <c r="I554">
        <v>0</v>
      </c>
      <c r="J554">
        <v>1</v>
      </c>
      <c r="K554">
        <v>1</v>
      </c>
      <c r="L554">
        <v>1</v>
      </c>
      <c r="M554">
        <v>0</v>
      </c>
      <c r="N554">
        <v>0</v>
      </c>
      <c r="O554">
        <v>1</v>
      </c>
      <c r="P554">
        <v>0</v>
      </c>
      <c r="Q554">
        <v>1</v>
      </c>
      <c r="R554">
        <v>1</v>
      </c>
      <c r="S554">
        <v>1</v>
      </c>
      <c r="T554">
        <v>0</v>
      </c>
      <c r="U554">
        <v>0</v>
      </c>
      <c r="V554">
        <v>0</v>
      </c>
    </row>
    <row r="555" spans="1:22" x14ac:dyDescent="0.2">
      <c r="A555" t="s">
        <v>611</v>
      </c>
      <c r="B555" t="s">
        <v>188</v>
      </c>
      <c r="C555" t="s">
        <v>41</v>
      </c>
      <c r="D555" t="s">
        <v>49</v>
      </c>
      <c r="E555" t="s">
        <v>442</v>
      </c>
      <c r="F555" t="s">
        <v>48</v>
      </c>
      <c r="G555" t="s">
        <v>59</v>
      </c>
      <c r="H555" t="s">
        <v>46</v>
      </c>
      <c r="I555">
        <v>0</v>
      </c>
      <c r="J555">
        <v>0</v>
      </c>
      <c r="K555">
        <v>1</v>
      </c>
      <c r="L555">
        <v>0</v>
      </c>
      <c r="M555">
        <v>1</v>
      </c>
      <c r="N555">
        <v>0</v>
      </c>
      <c r="O555">
        <v>1</v>
      </c>
      <c r="P555">
        <v>0</v>
      </c>
      <c r="Q555">
        <v>0</v>
      </c>
      <c r="R555">
        <v>1</v>
      </c>
      <c r="S555">
        <v>0</v>
      </c>
      <c r="T555">
        <v>1</v>
      </c>
      <c r="U555">
        <v>0</v>
      </c>
      <c r="V555">
        <v>0</v>
      </c>
    </row>
    <row r="556" spans="1:22" x14ac:dyDescent="0.2">
      <c r="A556" t="s">
        <v>611</v>
      </c>
      <c r="B556" t="s">
        <v>188</v>
      </c>
      <c r="C556" t="s">
        <v>41</v>
      </c>
      <c r="D556" t="s">
        <v>55</v>
      </c>
      <c r="E556" t="s">
        <v>442</v>
      </c>
      <c r="F556" t="s">
        <v>59</v>
      </c>
      <c r="G556" t="s">
        <v>48</v>
      </c>
      <c r="H556" t="s">
        <v>60</v>
      </c>
      <c r="I556">
        <v>1</v>
      </c>
      <c r="J556">
        <v>0</v>
      </c>
      <c r="K556">
        <v>1</v>
      </c>
      <c r="L556">
        <v>0</v>
      </c>
      <c r="M556">
        <v>0</v>
      </c>
      <c r="N556">
        <v>0</v>
      </c>
      <c r="O556">
        <v>1</v>
      </c>
      <c r="P556">
        <v>1</v>
      </c>
      <c r="Q556">
        <v>0</v>
      </c>
      <c r="R556">
        <v>1</v>
      </c>
      <c r="S556">
        <v>0</v>
      </c>
      <c r="T556">
        <v>0</v>
      </c>
      <c r="U556">
        <v>0</v>
      </c>
      <c r="V556">
        <v>0</v>
      </c>
    </row>
    <row r="557" spans="1:22" x14ac:dyDescent="0.2">
      <c r="A557" t="s">
        <v>614</v>
      </c>
      <c r="B557" t="s">
        <v>108</v>
      </c>
      <c r="C557" t="s">
        <v>41</v>
      </c>
      <c r="D557" t="s">
        <v>49</v>
      </c>
      <c r="E557" t="s">
        <v>442</v>
      </c>
      <c r="F557" t="s">
        <v>46</v>
      </c>
      <c r="G557" t="s">
        <v>65</v>
      </c>
      <c r="H557" t="s">
        <v>48</v>
      </c>
      <c r="I557">
        <v>0</v>
      </c>
      <c r="J557">
        <v>1</v>
      </c>
      <c r="K557">
        <v>1</v>
      </c>
      <c r="L557">
        <v>0</v>
      </c>
      <c r="M557">
        <v>1</v>
      </c>
      <c r="N557">
        <v>0</v>
      </c>
      <c r="O557">
        <v>1</v>
      </c>
      <c r="P557">
        <v>0</v>
      </c>
      <c r="Q557">
        <v>1</v>
      </c>
      <c r="R557">
        <v>1</v>
      </c>
      <c r="S557">
        <v>0</v>
      </c>
      <c r="T557">
        <v>1</v>
      </c>
      <c r="U557">
        <v>0</v>
      </c>
      <c r="V557">
        <v>0</v>
      </c>
    </row>
    <row r="558" spans="1:22" x14ac:dyDescent="0.2">
      <c r="A558" t="s">
        <v>614</v>
      </c>
      <c r="B558" t="s">
        <v>108</v>
      </c>
      <c r="C558" t="s">
        <v>41</v>
      </c>
      <c r="D558" t="s">
        <v>61</v>
      </c>
      <c r="E558" t="s">
        <v>442</v>
      </c>
      <c r="F558" t="s">
        <v>48</v>
      </c>
      <c r="G558" t="s">
        <v>47</v>
      </c>
      <c r="H558" t="s">
        <v>46</v>
      </c>
      <c r="I558">
        <v>0</v>
      </c>
      <c r="J558">
        <v>0</v>
      </c>
      <c r="K558">
        <v>1</v>
      </c>
      <c r="L558">
        <v>1</v>
      </c>
      <c r="M558">
        <v>1</v>
      </c>
      <c r="N558">
        <v>0</v>
      </c>
      <c r="O558">
        <v>1</v>
      </c>
      <c r="P558">
        <v>0</v>
      </c>
      <c r="Q558">
        <v>0</v>
      </c>
      <c r="R558">
        <v>0</v>
      </c>
      <c r="S558">
        <v>1</v>
      </c>
      <c r="T558">
        <v>0</v>
      </c>
      <c r="U558">
        <v>0</v>
      </c>
      <c r="V558">
        <v>0</v>
      </c>
    </row>
    <row r="559" spans="1:22" x14ac:dyDescent="0.2">
      <c r="A559" t="s">
        <v>614</v>
      </c>
      <c r="B559" t="s">
        <v>108</v>
      </c>
      <c r="C559" t="s">
        <v>41</v>
      </c>
      <c r="D559" t="s">
        <v>67</v>
      </c>
      <c r="E559" t="s">
        <v>442</v>
      </c>
      <c r="F559" t="s">
        <v>59</v>
      </c>
      <c r="G559" t="s">
        <v>48</v>
      </c>
      <c r="H559" t="s">
        <v>65</v>
      </c>
      <c r="I559">
        <v>0</v>
      </c>
      <c r="J559">
        <v>1</v>
      </c>
      <c r="K559">
        <v>1</v>
      </c>
      <c r="L559">
        <v>0</v>
      </c>
      <c r="M559">
        <v>0</v>
      </c>
      <c r="N559">
        <v>0</v>
      </c>
      <c r="O559">
        <v>1</v>
      </c>
      <c r="P559">
        <v>0</v>
      </c>
      <c r="Q559">
        <v>0</v>
      </c>
      <c r="R559">
        <v>0</v>
      </c>
      <c r="S559">
        <v>0</v>
      </c>
      <c r="T559">
        <v>0</v>
      </c>
      <c r="U559">
        <v>0</v>
      </c>
      <c r="V559">
        <v>0</v>
      </c>
    </row>
    <row r="560" spans="1:22" x14ac:dyDescent="0.2">
      <c r="A560" t="s">
        <v>617</v>
      </c>
      <c r="B560" t="s">
        <v>33</v>
      </c>
      <c r="C560" t="s">
        <v>41</v>
      </c>
      <c r="D560" t="s">
        <v>67</v>
      </c>
      <c r="E560" t="s">
        <v>442</v>
      </c>
      <c r="F560" t="s">
        <v>47</v>
      </c>
      <c r="G560" t="s">
        <v>60</v>
      </c>
      <c r="H560" t="s">
        <v>48</v>
      </c>
      <c r="I560">
        <v>1</v>
      </c>
      <c r="J560">
        <v>0</v>
      </c>
      <c r="K560">
        <v>1</v>
      </c>
      <c r="L560">
        <v>1</v>
      </c>
      <c r="M560">
        <v>0</v>
      </c>
      <c r="N560">
        <v>0</v>
      </c>
      <c r="O560">
        <v>1</v>
      </c>
      <c r="P560">
        <v>1</v>
      </c>
      <c r="Q560">
        <v>0</v>
      </c>
      <c r="R560">
        <v>0</v>
      </c>
      <c r="S560">
        <v>0</v>
      </c>
      <c r="T560">
        <v>0</v>
      </c>
      <c r="U560">
        <v>0</v>
      </c>
      <c r="V560">
        <v>0</v>
      </c>
    </row>
    <row r="561" spans="1:22" x14ac:dyDescent="0.2">
      <c r="A561" t="s">
        <v>617</v>
      </c>
      <c r="B561" t="s">
        <v>33</v>
      </c>
      <c r="C561" t="s">
        <v>41</v>
      </c>
      <c r="D561" t="s">
        <v>49</v>
      </c>
      <c r="E561" t="s">
        <v>442</v>
      </c>
      <c r="F561" t="s">
        <v>65</v>
      </c>
      <c r="G561" t="s">
        <v>60</v>
      </c>
      <c r="H561" t="s">
        <v>48</v>
      </c>
      <c r="I561">
        <v>1</v>
      </c>
      <c r="J561">
        <v>1</v>
      </c>
      <c r="K561">
        <v>1</v>
      </c>
      <c r="L561">
        <v>0</v>
      </c>
      <c r="M561">
        <v>0</v>
      </c>
      <c r="N561">
        <v>0</v>
      </c>
      <c r="O561">
        <v>1</v>
      </c>
      <c r="P561">
        <v>1</v>
      </c>
      <c r="Q561">
        <v>0</v>
      </c>
      <c r="R561">
        <v>0</v>
      </c>
      <c r="S561">
        <v>0</v>
      </c>
      <c r="T561">
        <v>0</v>
      </c>
      <c r="U561">
        <v>0</v>
      </c>
      <c r="V561">
        <v>0</v>
      </c>
    </row>
    <row r="562" spans="1:22" x14ac:dyDescent="0.2">
      <c r="A562" t="s">
        <v>617</v>
      </c>
      <c r="B562" t="s">
        <v>33</v>
      </c>
      <c r="C562" t="s">
        <v>41</v>
      </c>
      <c r="D562" t="s">
        <v>55</v>
      </c>
      <c r="E562" t="s">
        <v>442</v>
      </c>
      <c r="F562" t="s">
        <v>46</v>
      </c>
      <c r="G562" t="s">
        <v>65</v>
      </c>
      <c r="H562" t="s">
        <v>48</v>
      </c>
      <c r="I562">
        <v>0</v>
      </c>
      <c r="J562">
        <v>1</v>
      </c>
      <c r="K562">
        <v>1</v>
      </c>
      <c r="L562">
        <v>0</v>
      </c>
      <c r="M562">
        <v>1</v>
      </c>
      <c r="N562">
        <v>0</v>
      </c>
      <c r="O562">
        <v>1</v>
      </c>
      <c r="P562">
        <v>0</v>
      </c>
      <c r="Q562">
        <v>1</v>
      </c>
      <c r="R562">
        <v>0</v>
      </c>
      <c r="S562">
        <v>0</v>
      </c>
      <c r="T562">
        <v>0</v>
      </c>
      <c r="U562">
        <v>0</v>
      </c>
      <c r="V562">
        <v>0</v>
      </c>
    </row>
    <row r="563" spans="1:22" x14ac:dyDescent="0.2">
      <c r="A563" t="s">
        <v>617</v>
      </c>
      <c r="B563" t="s">
        <v>33</v>
      </c>
      <c r="C563" t="s">
        <v>41</v>
      </c>
      <c r="D563" t="s">
        <v>42</v>
      </c>
      <c r="E563" t="s">
        <v>442</v>
      </c>
      <c r="F563" t="s">
        <v>47</v>
      </c>
      <c r="G563" t="s">
        <v>46</v>
      </c>
      <c r="H563" t="s">
        <v>48</v>
      </c>
      <c r="I563">
        <v>0</v>
      </c>
      <c r="J563">
        <v>0</v>
      </c>
      <c r="K563">
        <v>1</v>
      </c>
      <c r="L563">
        <v>1</v>
      </c>
      <c r="M563">
        <v>1</v>
      </c>
      <c r="N563">
        <v>0</v>
      </c>
      <c r="O563">
        <v>1</v>
      </c>
      <c r="P563">
        <v>0</v>
      </c>
      <c r="Q563">
        <v>0</v>
      </c>
      <c r="R563">
        <v>0</v>
      </c>
      <c r="S563">
        <v>1</v>
      </c>
      <c r="T563">
        <v>0</v>
      </c>
      <c r="U563">
        <v>0</v>
      </c>
      <c r="V563">
        <v>0</v>
      </c>
    </row>
    <row r="564" spans="1:22" x14ac:dyDescent="0.2">
      <c r="A564" t="s">
        <v>620</v>
      </c>
      <c r="B564" t="s">
        <v>188</v>
      </c>
      <c r="C564" t="s">
        <v>41</v>
      </c>
      <c r="D564" t="s">
        <v>55</v>
      </c>
      <c r="E564" t="s">
        <v>442</v>
      </c>
      <c r="F564" t="s">
        <v>65</v>
      </c>
      <c r="G564" t="s">
        <v>46</v>
      </c>
      <c r="H564" t="s">
        <v>48</v>
      </c>
      <c r="I564">
        <v>0</v>
      </c>
      <c r="J564">
        <v>1</v>
      </c>
      <c r="K564">
        <v>1</v>
      </c>
      <c r="L564">
        <v>0</v>
      </c>
      <c r="M564">
        <v>1</v>
      </c>
      <c r="N564">
        <v>0</v>
      </c>
      <c r="O564">
        <v>1</v>
      </c>
      <c r="P564">
        <v>0</v>
      </c>
      <c r="Q564">
        <v>1</v>
      </c>
      <c r="R564">
        <v>1</v>
      </c>
      <c r="S564">
        <v>0</v>
      </c>
      <c r="T564">
        <v>1</v>
      </c>
      <c r="U564">
        <v>0</v>
      </c>
      <c r="V564">
        <v>0</v>
      </c>
    </row>
    <row r="565" spans="1:22" x14ac:dyDescent="0.2">
      <c r="A565" t="s">
        <v>620</v>
      </c>
      <c r="B565" t="s">
        <v>188</v>
      </c>
      <c r="C565" t="s">
        <v>41</v>
      </c>
      <c r="D565" t="s">
        <v>61</v>
      </c>
      <c r="E565" t="s">
        <v>442</v>
      </c>
      <c r="F565" t="s">
        <v>46</v>
      </c>
      <c r="G565" t="s">
        <v>65</v>
      </c>
      <c r="H565" t="s">
        <v>48</v>
      </c>
      <c r="I565">
        <v>0</v>
      </c>
      <c r="J565">
        <v>1</v>
      </c>
      <c r="K565">
        <v>1</v>
      </c>
      <c r="L565">
        <v>0</v>
      </c>
      <c r="M565">
        <v>1</v>
      </c>
      <c r="N565">
        <v>0</v>
      </c>
      <c r="O565">
        <v>1</v>
      </c>
      <c r="P565">
        <v>0</v>
      </c>
      <c r="Q565">
        <v>1</v>
      </c>
      <c r="R565">
        <v>1</v>
      </c>
      <c r="S565">
        <v>0</v>
      </c>
      <c r="T565">
        <v>1</v>
      </c>
      <c r="U565">
        <v>0</v>
      </c>
      <c r="V565">
        <v>0</v>
      </c>
    </row>
    <row r="566" spans="1:22" x14ac:dyDescent="0.2">
      <c r="A566" t="s">
        <v>620</v>
      </c>
      <c r="B566" t="s">
        <v>188</v>
      </c>
      <c r="C566" t="s">
        <v>41</v>
      </c>
      <c r="D566" t="s">
        <v>72</v>
      </c>
      <c r="E566" t="s">
        <v>442</v>
      </c>
      <c r="F566" t="s">
        <v>48</v>
      </c>
      <c r="G566" t="s">
        <v>47</v>
      </c>
      <c r="H566" t="s">
        <v>46</v>
      </c>
      <c r="I566">
        <v>0</v>
      </c>
      <c r="J566">
        <v>0</v>
      </c>
      <c r="K566">
        <v>1</v>
      </c>
      <c r="L566">
        <v>1</v>
      </c>
      <c r="M566">
        <v>1</v>
      </c>
      <c r="N566">
        <v>0</v>
      </c>
      <c r="O566">
        <v>1</v>
      </c>
      <c r="P566">
        <v>0</v>
      </c>
      <c r="Q566">
        <v>0</v>
      </c>
      <c r="R566">
        <v>1</v>
      </c>
      <c r="S566">
        <v>1</v>
      </c>
      <c r="T566">
        <v>1</v>
      </c>
      <c r="U566">
        <v>0</v>
      </c>
      <c r="V566">
        <v>0</v>
      </c>
    </row>
    <row r="567" spans="1:22" x14ac:dyDescent="0.2">
      <c r="A567" t="s">
        <v>620</v>
      </c>
      <c r="B567" t="s">
        <v>188</v>
      </c>
      <c r="C567" t="s">
        <v>41</v>
      </c>
      <c r="D567" t="s">
        <v>67</v>
      </c>
      <c r="E567" t="s">
        <v>442</v>
      </c>
      <c r="F567" t="s">
        <v>60</v>
      </c>
      <c r="G567" t="s">
        <v>48</v>
      </c>
      <c r="H567" t="s">
        <v>47</v>
      </c>
      <c r="I567">
        <v>1</v>
      </c>
      <c r="J567">
        <v>0</v>
      </c>
      <c r="K567">
        <v>1</v>
      </c>
      <c r="L567">
        <v>1</v>
      </c>
      <c r="M567">
        <v>0</v>
      </c>
      <c r="N567">
        <v>0</v>
      </c>
      <c r="O567">
        <v>1</v>
      </c>
      <c r="P567">
        <v>1</v>
      </c>
      <c r="Q567">
        <v>0</v>
      </c>
      <c r="R567">
        <v>1</v>
      </c>
      <c r="S567">
        <v>1</v>
      </c>
      <c r="T567">
        <v>0</v>
      </c>
      <c r="U567">
        <v>0</v>
      </c>
      <c r="V567">
        <v>0</v>
      </c>
    </row>
    <row r="568" spans="1:22" x14ac:dyDescent="0.2">
      <c r="A568" t="s">
        <v>620</v>
      </c>
      <c r="B568" t="s">
        <v>188</v>
      </c>
      <c r="C568" t="s">
        <v>41</v>
      </c>
      <c r="D568" t="s">
        <v>49</v>
      </c>
      <c r="E568" t="s">
        <v>442</v>
      </c>
      <c r="F568" t="s">
        <v>48</v>
      </c>
      <c r="G568" t="s">
        <v>59</v>
      </c>
      <c r="H568" t="s">
        <v>60</v>
      </c>
      <c r="I568">
        <v>1</v>
      </c>
      <c r="J568">
        <v>0</v>
      </c>
      <c r="K568">
        <v>1</v>
      </c>
      <c r="L568">
        <v>0</v>
      </c>
      <c r="M568">
        <v>0</v>
      </c>
      <c r="N568">
        <v>0</v>
      </c>
      <c r="O568">
        <v>1</v>
      </c>
      <c r="P568">
        <v>1</v>
      </c>
      <c r="Q568">
        <v>0</v>
      </c>
      <c r="R568">
        <v>1</v>
      </c>
      <c r="S568">
        <v>0</v>
      </c>
      <c r="T568">
        <v>0</v>
      </c>
      <c r="U568">
        <v>0</v>
      </c>
      <c r="V568">
        <v>0</v>
      </c>
    </row>
    <row r="569" spans="1:22" x14ac:dyDescent="0.2">
      <c r="A569" t="s">
        <v>623</v>
      </c>
      <c r="B569" t="s">
        <v>188</v>
      </c>
      <c r="C569" t="s">
        <v>41</v>
      </c>
      <c r="D569" t="s">
        <v>61</v>
      </c>
      <c r="E569" t="s">
        <v>442</v>
      </c>
      <c r="F569" t="s">
        <v>47</v>
      </c>
      <c r="G569" t="s">
        <v>48</v>
      </c>
      <c r="H569" t="s">
        <v>65</v>
      </c>
      <c r="I569">
        <v>0</v>
      </c>
      <c r="J569">
        <v>1</v>
      </c>
      <c r="K569">
        <v>1</v>
      </c>
      <c r="L569">
        <v>1</v>
      </c>
      <c r="M569">
        <v>0</v>
      </c>
      <c r="N569">
        <v>0</v>
      </c>
      <c r="O569">
        <v>1</v>
      </c>
      <c r="P569">
        <v>0</v>
      </c>
      <c r="Q569">
        <v>0</v>
      </c>
      <c r="R569">
        <v>1</v>
      </c>
      <c r="S569">
        <v>1</v>
      </c>
      <c r="T569">
        <v>0</v>
      </c>
      <c r="U569">
        <v>0</v>
      </c>
      <c r="V569">
        <v>0</v>
      </c>
    </row>
    <row r="570" spans="1:22" x14ac:dyDescent="0.2">
      <c r="A570" t="s">
        <v>623</v>
      </c>
      <c r="B570" t="s">
        <v>188</v>
      </c>
      <c r="C570" t="s">
        <v>41</v>
      </c>
      <c r="D570" t="s">
        <v>49</v>
      </c>
      <c r="E570" t="s">
        <v>442</v>
      </c>
      <c r="F570" t="s">
        <v>48</v>
      </c>
      <c r="G570" t="s">
        <v>59</v>
      </c>
      <c r="H570" t="s">
        <v>46</v>
      </c>
      <c r="I570">
        <v>0</v>
      </c>
      <c r="J570">
        <v>0</v>
      </c>
      <c r="K570">
        <v>1</v>
      </c>
      <c r="L570">
        <v>0</v>
      </c>
      <c r="M570">
        <v>1</v>
      </c>
      <c r="N570">
        <v>0</v>
      </c>
      <c r="O570">
        <v>1</v>
      </c>
      <c r="P570">
        <v>0</v>
      </c>
      <c r="Q570">
        <v>0</v>
      </c>
      <c r="R570">
        <v>1</v>
      </c>
      <c r="S570">
        <v>0</v>
      </c>
      <c r="T570">
        <v>1</v>
      </c>
      <c r="U570">
        <v>0</v>
      </c>
      <c r="V570">
        <v>0</v>
      </c>
    </row>
    <row r="571" spans="1:22" x14ac:dyDescent="0.2">
      <c r="A571" t="s">
        <v>626</v>
      </c>
      <c r="B571" t="s">
        <v>188</v>
      </c>
      <c r="C571" t="s">
        <v>41</v>
      </c>
      <c r="D571" t="s">
        <v>42</v>
      </c>
      <c r="E571" t="s">
        <v>442</v>
      </c>
      <c r="F571" t="s">
        <v>47</v>
      </c>
      <c r="G571" t="s">
        <v>48</v>
      </c>
      <c r="H571" t="s">
        <v>46</v>
      </c>
      <c r="I571">
        <v>0</v>
      </c>
      <c r="J571">
        <v>0</v>
      </c>
      <c r="K571">
        <v>1</v>
      </c>
      <c r="L571">
        <v>1</v>
      </c>
      <c r="M571">
        <v>1</v>
      </c>
      <c r="N571">
        <v>0</v>
      </c>
      <c r="O571">
        <v>1</v>
      </c>
      <c r="P571">
        <v>0</v>
      </c>
      <c r="Q571">
        <v>0</v>
      </c>
      <c r="R571">
        <v>1</v>
      </c>
      <c r="S571">
        <v>0</v>
      </c>
      <c r="T571">
        <v>0</v>
      </c>
      <c r="U571">
        <v>0</v>
      </c>
      <c r="V571">
        <v>0</v>
      </c>
    </row>
    <row r="572" spans="1:22" x14ac:dyDescent="0.2">
      <c r="A572" t="s">
        <v>626</v>
      </c>
      <c r="B572" t="s">
        <v>188</v>
      </c>
      <c r="C572" t="s">
        <v>41</v>
      </c>
      <c r="D572" t="s">
        <v>49</v>
      </c>
      <c r="E572" t="s">
        <v>442</v>
      </c>
      <c r="F572" t="s">
        <v>46</v>
      </c>
      <c r="G572" t="s">
        <v>48</v>
      </c>
      <c r="H572" t="s">
        <v>59</v>
      </c>
      <c r="I572">
        <v>0</v>
      </c>
      <c r="J572">
        <v>0</v>
      </c>
      <c r="K572">
        <v>1</v>
      </c>
      <c r="L572">
        <v>0</v>
      </c>
      <c r="M572">
        <v>1</v>
      </c>
      <c r="N572">
        <v>0</v>
      </c>
      <c r="O572">
        <v>1</v>
      </c>
      <c r="P572">
        <v>0</v>
      </c>
      <c r="Q572">
        <v>0</v>
      </c>
      <c r="R572">
        <v>1</v>
      </c>
      <c r="S572">
        <v>0</v>
      </c>
      <c r="T572">
        <v>1</v>
      </c>
      <c r="U572">
        <v>0</v>
      </c>
      <c r="V572">
        <v>0</v>
      </c>
    </row>
    <row r="573" spans="1:22" x14ac:dyDescent="0.2">
      <c r="A573" t="s">
        <v>626</v>
      </c>
      <c r="B573" t="s">
        <v>188</v>
      </c>
      <c r="C573" t="s">
        <v>41</v>
      </c>
      <c r="D573" t="s">
        <v>55</v>
      </c>
      <c r="E573" t="s">
        <v>442</v>
      </c>
      <c r="F573" t="s">
        <v>48</v>
      </c>
      <c r="G573" t="s">
        <v>65</v>
      </c>
      <c r="H573" t="s">
        <v>60</v>
      </c>
      <c r="I573">
        <v>1</v>
      </c>
      <c r="J573">
        <v>1</v>
      </c>
      <c r="K573">
        <v>1</v>
      </c>
      <c r="L573">
        <v>0</v>
      </c>
      <c r="M573">
        <v>0</v>
      </c>
      <c r="N573">
        <v>0</v>
      </c>
      <c r="O573">
        <v>1</v>
      </c>
      <c r="P573">
        <v>0</v>
      </c>
      <c r="Q573">
        <v>1</v>
      </c>
      <c r="R573">
        <v>0</v>
      </c>
      <c r="S573">
        <v>0</v>
      </c>
      <c r="T573">
        <v>0</v>
      </c>
      <c r="U573">
        <v>0</v>
      </c>
      <c r="V573">
        <v>0</v>
      </c>
    </row>
    <row r="574" spans="1:22" x14ac:dyDescent="0.2">
      <c r="A574" t="s">
        <v>626</v>
      </c>
      <c r="B574" t="s">
        <v>188</v>
      </c>
      <c r="C574" t="s">
        <v>41</v>
      </c>
      <c r="D574" t="s">
        <v>61</v>
      </c>
      <c r="E574" t="s">
        <v>442</v>
      </c>
      <c r="F574" t="s">
        <v>65</v>
      </c>
      <c r="G574" t="s">
        <v>59</v>
      </c>
      <c r="H574" t="s">
        <v>48</v>
      </c>
      <c r="I574">
        <v>0</v>
      </c>
      <c r="J574">
        <v>1</v>
      </c>
      <c r="K574">
        <v>1</v>
      </c>
      <c r="L574">
        <v>0</v>
      </c>
      <c r="M574">
        <v>0</v>
      </c>
      <c r="N574">
        <v>0</v>
      </c>
      <c r="O574">
        <v>1</v>
      </c>
      <c r="P574">
        <v>0</v>
      </c>
      <c r="Q574">
        <v>0</v>
      </c>
      <c r="R574">
        <v>1</v>
      </c>
      <c r="S574">
        <v>0</v>
      </c>
      <c r="T574">
        <v>0</v>
      </c>
      <c r="U574">
        <v>0</v>
      </c>
      <c r="V574">
        <v>0</v>
      </c>
    </row>
    <row r="575" spans="1:22" x14ac:dyDescent="0.2">
      <c r="A575" t="s">
        <v>627</v>
      </c>
      <c r="B575" t="s">
        <v>33</v>
      </c>
      <c r="C575" t="s">
        <v>41</v>
      </c>
      <c r="D575" t="s">
        <v>72</v>
      </c>
      <c r="E575" t="s">
        <v>442</v>
      </c>
      <c r="F575" t="s">
        <v>46</v>
      </c>
      <c r="G575" t="s">
        <v>59</v>
      </c>
      <c r="H575" t="s">
        <v>48</v>
      </c>
      <c r="I575">
        <v>0</v>
      </c>
      <c r="J575">
        <v>0</v>
      </c>
      <c r="K575">
        <v>1</v>
      </c>
      <c r="L575">
        <v>0</v>
      </c>
      <c r="M575">
        <v>1</v>
      </c>
      <c r="N575">
        <v>0</v>
      </c>
      <c r="O575">
        <v>1</v>
      </c>
      <c r="P575">
        <v>0</v>
      </c>
      <c r="Q575">
        <v>0</v>
      </c>
      <c r="R575">
        <v>0</v>
      </c>
      <c r="S575">
        <v>0</v>
      </c>
      <c r="T575">
        <v>0</v>
      </c>
      <c r="U575">
        <v>0</v>
      </c>
      <c r="V575">
        <v>1</v>
      </c>
    </row>
    <row r="576" spans="1:22" x14ac:dyDescent="0.2">
      <c r="A576" t="s">
        <v>627</v>
      </c>
      <c r="B576" t="s">
        <v>33</v>
      </c>
      <c r="C576" t="s">
        <v>41</v>
      </c>
      <c r="D576" t="s">
        <v>55</v>
      </c>
      <c r="E576" t="s">
        <v>442</v>
      </c>
      <c r="F576" t="s">
        <v>59</v>
      </c>
      <c r="G576" t="s">
        <v>48</v>
      </c>
      <c r="H576" t="s">
        <v>47</v>
      </c>
      <c r="I576">
        <v>0</v>
      </c>
      <c r="J576">
        <v>0</v>
      </c>
      <c r="K576">
        <v>1</v>
      </c>
      <c r="L576">
        <v>1</v>
      </c>
      <c r="M576">
        <v>0</v>
      </c>
      <c r="N576">
        <v>0</v>
      </c>
      <c r="O576">
        <v>1</v>
      </c>
      <c r="P576">
        <v>0</v>
      </c>
      <c r="Q576">
        <v>0</v>
      </c>
      <c r="R576">
        <v>0</v>
      </c>
      <c r="S576">
        <v>1</v>
      </c>
      <c r="T576">
        <v>0</v>
      </c>
      <c r="U576">
        <v>0</v>
      </c>
      <c r="V576">
        <v>0</v>
      </c>
    </row>
    <row r="577" spans="1:22" x14ac:dyDescent="0.2">
      <c r="A577" t="s">
        <v>627</v>
      </c>
      <c r="B577" t="s">
        <v>33</v>
      </c>
      <c r="C577" t="s">
        <v>41</v>
      </c>
      <c r="D577" t="s">
        <v>49</v>
      </c>
      <c r="E577" t="s">
        <v>442</v>
      </c>
      <c r="F577" t="s">
        <v>47</v>
      </c>
      <c r="G577" t="s">
        <v>48</v>
      </c>
      <c r="H577" t="s">
        <v>65</v>
      </c>
      <c r="I577">
        <v>0</v>
      </c>
      <c r="J577">
        <v>1</v>
      </c>
      <c r="K577">
        <v>1</v>
      </c>
      <c r="L577">
        <v>1</v>
      </c>
      <c r="M577">
        <v>0</v>
      </c>
      <c r="N577">
        <v>0</v>
      </c>
      <c r="O577">
        <v>1</v>
      </c>
      <c r="P577">
        <v>0</v>
      </c>
      <c r="Q577">
        <v>1</v>
      </c>
      <c r="R577">
        <v>0</v>
      </c>
      <c r="S577">
        <v>1</v>
      </c>
      <c r="T577">
        <v>0</v>
      </c>
      <c r="U577">
        <v>0</v>
      </c>
      <c r="V577">
        <v>0</v>
      </c>
    </row>
    <row r="578" spans="1:22" x14ac:dyDescent="0.2">
      <c r="A578" t="s">
        <v>627</v>
      </c>
      <c r="B578" t="s">
        <v>33</v>
      </c>
      <c r="C578" t="s">
        <v>41</v>
      </c>
      <c r="D578" t="s">
        <v>61</v>
      </c>
      <c r="E578" t="s">
        <v>442</v>
      </c>
      <c r="F578" t="s">
        <v>59</v>
      </c>
      <c r="G578" t="s">
        <v>60</v>
      </c>
      <c r="H578" t="s">
        <v>48</v>
      </c>
      <c r="I578">
        <v>1</v>
      </c>
      <c r="J578">
        <v>0</v>
      </c>
      <c r="K578">
        <v>1</v>
      </c>
      <c r="L578">
        <v>0</v>
      </c>
      <c r="M578">
        <v>0</v>
      </c>
      <c r="N578">
        <v>0</v>
      </c>
      <c r="O578">
        <v>1</v>
      </c>
      <c r="P578">
        <v>0</v>
      </c>
      <c r="Q578">
        <v>0</v>
      </c>
      <c r="R578">
        <v>0</v>
      </c>
      <c r="S578">
        <v>0</v>
      </c>
      <c r="T578">
        <v>0</v>
      </c>
      <c r="U578">
        <v>0</v>
      </c>
      <c r="V578">
        <v>1</v>
      </c>
    </row>
    <row r="579" spans="1:22" x14ac:dyDescent="0.2">
      <c r="A579" t="s">
        <v>627</v>
      </c>
      <c r="B579" t="s">
        <v>33</v>
      </c>
      <c r="C579" t="s">
        <v>41</v>
      </c>
      <c r="D579" t="s">
        <v>67</v>
      </c>
      <c r="E579" t="s">
        <v>442</v>
      </c>
      <c r="F579" t="s">
        <v>59</v>
      </c>
      <c r="G579" t="s">
        <v>48</v>
      </c>
      <c r="H579" t="s">
        <v>60</v>
      </c>
      <c r="I579">
        <v>1</v>
      </c>
      <c r="J579">
        <v>0</v>
      </c>
      <c r="K579">
        <v>1</v>
      </c>
      <c r="L579">
        <v>0</v>
      </c>
      <c r="M579">
        <v>0</v>
      </c>
      <c r="N579">
        <v>0</v>
      </c>
      <c r="O579">
        <v>1</v>
      </c>
      <c r="P579">
        <v>1</v>
      </c>
      <c r="Q579">
        <v>0</v>
      </c>
      <c r="R579">
        <v>1</v>
      </c>
      <c r="S579">
        <v>0</v>
      </c>
      <c r="T579">
        <v>0</v>
      </c>
      <c r="U579">
        <v>0</v>
      </c>
      <c r="V579">
        <v>0</v>
      </c>
    </row>
    <row r="580" spans="1:22" x14ac:dyDescent="0.2">
      <c r="A580" t="s">
        <v>631</v>
      </c>
      <c r="B580" t="s">
        <v>108</v>
      </c>
      <c r="C580" t="s">
        <v>41</v>
      </c>
      <c r="D580" t="s">
        <v>42</v>
      </c>
      <c r="E580" t="s">
        <v>442</v>
      </c>
      <c r="F580" t="s">
        <v>48</v>
      </c>
      <c r="G580" t="s">
        <v>47</v>
      </c>
      <c r="H580" t="s">
        <v>60</v>
      </c>
      <c r="I580">
        <v>1</v>
      </c>
      <c r="J580">
        <v>0</v>
      </c>
      <c r="K580">
        <v>1</v>
      </c>
      <c r="L580">
        <v>1</v>
      </c>
      <c r="M580">
        <v>0</v>
      </c>
      <c r="N580">
        <v>0</v>
      </c>
      <c r="O580">
        <v>1</v>
      </c>
      <c r="P580">
        <v>0</v>
      </c>
      <c r="Q580">
        <v>0</v>
      </c>
      <c r="R580">
        <v>0</v>
      </c>
      <c r="S580">
        <v>1</v>
      </c>
      <c r="T580">
        <v>0</v>
      </c>
      <c r="U580">
        <v>0</v>
      </c>
      <c r="V580">
        <v>0</v>
      </c>
    </row>
    <row r="581" spans="1:22" x14ac:dyDescent="0.2">
      <c r="A581" t="s">
        <v>631</v>
      </c>
      <c r="B581" t="s">
        <v>108</v>
      </c>
      <c r="C581" t="s">
        <v>41</v>
      </c>
      <c r="D581" t="s">
        <v>61</v>
      </c>
      <c r="E581" t="s">
        <v>442</v>
      </c>
      <c r="F581" t="s">
        <v>65</v>
      </c>
      <c r="G581" t="s">
        <v>48</v>
      </c>
      <c r="H581" t="s">
        <v>47</v>
      </c>
      <c r="I581">
        <v>0</v>
      </c>
      <c r="J581">
        <v>1</v>
      </c>
      <c r="K581">
        <v>1</v>
      </c>
      <c r="L581">
        <v>1</v>
      </c>
      <c r="M581">
        <v>0</v>
      </c>
      <c r="N581">
        <v>0</v>
      </c>
      <c r="O581">
        <v>1</v>
      </c>
      <c r="P581">
        <v>0</v>
      </c>
      <c r="Q581">
        <v>1</v>
      </c>
      <c r="R581">
        <v>0</v>
      </c>
      <c r="S581">
        <v>0</v>
      </c>
      <c r="T581">
        <v>0</v>
      </c>
      <c r="U581">
        <v>0</v>
      </c>
      <c r="V581">
        <v>0</v>
      </c>
    </row>
    <row r="582" spans="1:22" x14ac:dyDescent="0.2">
      <c r="A582" t="s">
        <v>631</v>
      </c>
      <c r="B582" t="s">
        <v>108</v>
      </c>
      <c r="C582" t="s">
        <v>41</v>
      </c>
      <c r="D582" t="s">
        <v>55</v>
      </c>
      <c r="E582" t="s">
        <v>442</v>
      </c>
      <c r="F582" t="s">
        <v>48</v>
      </c>
      <c r="G582" t="s">
        <v>60</v>
      </c>
      <c r="H582" t="s">
        <v>47</v>
      </c>
      <c r="I582">
        <v>1</v>
      </c>
      <c r="J582">
        <v>0</v>
      </c>
      <c r="K582">
        <v>1</v>
      </c>
      <c r="L582">
        <v>1</v>
      </c>
      <c r="M582">
        <v>0</v>
      </c>
      <c r="N582">
        <v>0</v>
      </c>
      <c r="O582">
        <v>1</v>
      </c>
      <c r="P582">
        <v>0</v>
      </c>
      <c r="Q582">
        <v>0</v>
      </c>
      <c r="R582">
        <v>0</v>
      </c>
      <c r="S582">
        <v>1</v>
      </c>
      <c r="T582">
        <v>0</v>
      </c>
      <c r="U582">
        <v>0</v>
      </c>
      <c r="V582">
        <v>0</v>
      </c>
    </row>
    <row r="583" spans="1:22" x14ac:dyDescent="0.2">
      <c r="A583" t="s">
        <v>634</v>
      </c>
      <c r="B583" t="s">
        <v>33</v>
      </c>
      <c r="C583" t="s">
        <v>41</v>
      </c>
      <c r="D583" t="s">
        <v>55</v>
      </c>
      <c r="E583" t="s">
        <v>442</v>
      </c>
      <c r="F583" t="s">
        <v>48</v>
      </c>
      <c r="G583" t="s">
        <v>60</v>
      </c>
      <c r="H583" t="s">
        <v>65</v>
      </c>
      <c r="I583">
        <v>1</v>
      </c>
      <c r="J583">
        <v>1</v>
      </c>
      <c r="K583">
        <v>1</v>
      </c>
      <c r="L583">
        <v>0</v>
      </c>
      <c r="M583">
        <v>0</v>
      </c>
      <c r="N583">
        <v>0</v>
      </c>
      <c r="O583">
        <v>1</v>
      </c>
      <c r="P583">
        <v>1</v>
      </c>
      <c r="Q583">
        <v>1</v>
      </c>
      <c r="R583">
        <v>0</v>
      </c>
      <c r="S583">
        <v>0</v>
      </c>
      <c r="T583">
        <v>0</v>
      </c>
      <c r="U583">
        <v>0</v>
      </c>
      <c r="V583">
        <v>0</v>
      </c>
    </row>
    <row r="584" spans="1:22" x14ac:dyDescent="0.2">
      <c r="A584" t="s">
        <v>634</v>
      </c>
      <c r="B584" t="s">
        <v>33</v>
      </c>
      <c r="C584" t="s">
        <v>41</v>
      </c>
      <c r="D584" t="s">
        <v>67</v>
      </c>
      <c r="E584" t="s">
        <v>442</v>
      </c>
      <c r="F584" t="s">
        <v>47</v>
      </c>
      <c r="G584" t="s">
        <v>59</v>
      </c>
      <c r="H584" t="s">
        <v>48</v>
      </c>
      <c r="I584">
        <v>0</v>
      </c>
      <c r="J584">
        <v>0</v>
      </c>
      <c r="K584">
        <v>1</v>
      </c>
      <c r="L584">
        <v>1</v>
      </c>
      <c r="M584">
        <v>0</v>
      </c>
      <c r="N584">
        <v>0</v>
      </c>
      <c r="O584">
        <v>1</v>
      </c>
      <c r="P584">
        <v>0</v>
      </c>
      <c r="Q584">
        <v>0</v>
      </c>
      <c r="R584">
        <v>1</v>
      </c>
      <c r="S584">
        <v>1</v>
      </c>
      <c r="T584">
        <v>0</v>
      </c>
      <c r="U584">
        <v>0</v>
      </c>
      <c r="V584">
        <v>0</v>
      </c>
    </row>
    <row r="585" spans="1:22" x14ac:dyDescent="0.2">
      <c r="A585" t="s">
        <v>634</v>
      </c>
      <c r="B585" t="s">
        <v>33</v>
      </c>
      <c r="C585" t="s">
        <v>41</v>
      </c>
      <c r="D585" t="s">
        <v>49</v>
      </c>
      <c r="E585" t="s">
        <v>442</v>
      </c>
      <c r="F585" t="s">
        <v>46</v>
      </c>
      <c r="G585" t="s">
        <v>65</v>
      </c>
      <c r="H585" t="s">
        <v>48</v>
      </c>
      <c r="I585">
        <v>0</v>
      </c>
      <c r="J585">
        <v>1</v>
      </c>
      <c r="K585">
        <v>1</v>
      </c>
      <c r="L585">
        <v>0</v>
      </c>
      <c r="M585">
        <v>1</v>
      </c>
      <c r="N585">
        <v>0</v>
      </c>
      <c r="O585">
        <v>1</v>
      </c>
      <c r="P585">
        <v>0</v>
      </c>
      <c r="Q585">
        <v>1</v>
      </c>
      <c r="R585">
        <v>1</v>
      </c>
      <c r="S585">
        <v>0</v>
      </c>
      <c r="T585">
        <v>0</v>
      </c>
      <c r="U585">
        <v>0</v>
      </c>
      <c r="V585">
        <v>0</v>
      </c>
    </row>
    <row r="586" spans="1:22" x14ac:dyDescent="0.2">
      <c r="A586" t="s">
        <v>637</v>
      </c>
      <c r="B586" t="s">
        <v>33</v>
      </c>
      <c r="C586" t="s">
        <v>41</v>
      </c>
      <c r="D586" t="s">
        <v>42</v>
      </c>
      <c r="E586" t="s">
        <v>442</v>
      </c>
      <c r="F586" t="s">
        <v>48</v>
      </c>
      <c r="G586" t="s">
        <v>59</v>
      </c>
      <c r="H586" t="s">
        <v>46</v>
      </c>
      <c r="I586">
        <v>0</v>
      </c>
      <c r="J586">
        <v>0</v>
      </c>
      <c r="K586">
        <v>1</v>
      </c>
      <c r="L586">
        <v>0</v>
      </c>
      <c r="M586">
        <v>1</v>
      </c>
      <c r="N586">
        <v>0</v>
      </c>
      <c r="O586">
        <v>1</v>
      </c>
      <c r="P586">
        <v>0</v>
      </c>
      <c r="Q586">
        <v>0</v>
      </c>
      <c r="R586">
        <v>1</v>
      </c>
      <c r="S586">
        <v>0</v>
      </c>
      <c r="T586">
        <v>1</v>
      </c>
      <c r="U586">
        <v>0</v>
      </c>
      <c r="V586">
        <v>0</v>
      </c>
    </row>
    <row r="587" spans="1:22" x14ac:dyDescent="0.2">
      <c r="A587" t="s">
        <v>637</v>
      </c>
      <c r="B587" t="s">
        <v>33</v>
      </c>
      <c r="C587" t="s">
        <v>41</v>
      </c>
      <c r="D587" t="s">
        <v>67</v>
      </c>
      <c r="E587" t="s">
        <v>442</v>
      </c>
      <c r="F587" t="s">
        <v>60</v>
      </c>
      <c r="G587" t="s">
        <v>48</v>
      </c>
      <c r="H587" t="s">
        <v>46</v>
      </c>
      <c r="I587">
        <v>1</v>
      </c>
      <c r="J587">
        <v>0</v>
      </c>
      <c r="K587">
        <v>1</v>
      </c>
      <c r="L587">
        <v>0</v>
      </c>
      <c r="M587">
        <v>1</v>
      </c>
      <c r="N587">
        <v>0</v>
      </c>
      <c r="O587">
        <v>1</v>
      </c>
      <c r="P587">
        <v>1</v>
      </c>
      <c r="Q587">
        <v>0</v>
      </c>
      <c r="R587">
        <v>1</v>
      </c>
      <c r="S587">
        <v>0</v>
      </c>
      <c r="T587">
        <v>1</v>
      </c>
      <c r="U587">
        <v>0</v>
      </c>
      <c r="V587">
        <v>0</v>
      </c>
    </row>
    <row r="588" spans="1:22" x14ac:dyDescent="0.2">
      <c r="A588" t="s">
        <v>637</v>
      </c>
      <c r="B588" t="s">
        <v>33</v>
      </c>
      <c r="C588" t="s">
        <v>41</v>
      </c>
      <c r="D588" t="s">
        <v>49</v>
      </c>
      <c r="E588" t="s">
        <v>442</v>
      </c>
      <c r="F588" t="s">
        <v>60</v>
      </c>
      <c r="G588" t="s">
        <v>65</v>
      </c>
      <c r="H588" t="s">
        <v>48</v>
      </c>
      <c r="I588">
        <v>1</v>
      </c>
      <c r="J588">
        <v>1</v>
      </c>
      <c r="K588">
        <v>1</v>
      </c>
      <c r="L588">
        <v>0</v>
      </c>
      <c r="M588">
        <v>0</v>
      </c>
      <c r="N588">
        <v>0</v>
      </c>
      <c r="O588">
        <v>1</v>
      </c>
      <c r="P588">
        <v>1</v>
      </c>
      <c r="Q588">
        <v>1</v>
      </c>
      <c r="R588">
        <v>0</v>
      </c>
      <c r="S588">
        <v>0</v>
      </c>
      <c r="T588">
        <v>0</v>
      </c>
      <c r="U588">
        <v>0</v>
      </c>
      <c r="V588">
        <v>0</v>
      </c>
    </row>
    <row r="589" spans="1:22" x14ac:dyDescent="0.2">
      <c r="A589" t="s">
        <v>640</v>
      </c>
      <c r="B589" t="s">
        <v>108</v>
      </c>
      <c r="C589" t="s">
        <v>41</v>
      </c>
      <c r="D589" t="s">
        <v>61</v>
      </c>
      <c r="E589" t="s">
        <v>442</v>
      </c>
      <c r="F589" t="s">
        <v>48</v>
      </c>
      <c r="G589" t="s">
        <v>59</v>
      </c>
      <c r="H589" t="s">
        <v>46</v>
      </c>
      <c r="I589">
        <v>0</v>
      </c>
      <c r="J589">
        <v>0</v>
      </c>
      <c r="K589">
        <v>1</v>
      </c>
      <c r="L589">
        <v>0</v>
      </c>
      <c r="M589">
        <v>1</v>
      </c>
      <c r="N589">
        <v>0</v>
      </c>
      <c r="O589">
        <v>1</v>
      </c>
      <c r="P589">
        <v>0</v>
      </c>
      <c r="Q589">
        <v>0</v>
      </c>
      <c r="R589">
        <v>0</v>
      </c>
      <c r="S589">
        <v>0</v>
      </c>
      <c r="T589">
        <v>0</v>
      </c>
      <c r="U589">
        <v>0</v>
      </c>
      <c r="V589">
        <v>1</v>
      </c>
    </row>
    <row r="590" spans="1:22" x14ac:dyDescent="0.2">
      <c r="A590" t="s">
        <v>640</v>
      </c>
      <c r="B590" t="s">
        <v>108</v>
      </c>
      <c r="C590" t="s">
        <v>41</v>
      </c>
      <c r="D590" t="s">
        <v>42</v>
      </c>
      <c r="E590" t="s">
        <v>442</v>
      </c>
      <c r="F590" t="s">
        <v>48</v>
      </c>
      <c r="G590" t="s">
        <v>46</v>
      </c>
      <c r="H590" t="s">
        <v>47</v>
      </c>
      <c r="I590">
        <v>0</v>
      </c>
      <c r="J590">
        <v>0</v>
      </c>
      <c r="K590">
        <v>1</v>
      </c>
      <c r="L590">
        <v>1</v>
      </c>
      <c r="M590">
        <v>1</v>
      </c>
      <c r="N590">
        <v>0</v>
      </c>
      <c r="O590">
        <v>1</v>
      </c>
      <c r="P590">
        <v>0</v>
      </c>
      <c r="Q590">
        <v>0</v>
      </c>
      <c r="R590">
        <v>0</v>
      </c>
      <c r="S590">
        <v>1</v>
      </c>
      <c r="T590">
        <v>0</v>
      </c>
      <c r="U590">
        <v>0</v>
      </c>
      <c r="V590">
        <v>0</v>
      </c>
    </row>
    <row r="591" spans="1:22" x14ac:dyDescent="0.2">
      <c r="A591" t="s">
        <v>640</v>
      </c>
      <c r="B591" t="s">
        <v>108</v>
      </c>
      <c r="C591" t="s">
        <v>41</v>
      </c>
      <c r="D591" t="s">
        <v>55</v>
      </c>
      <c r="E591" t="s">
        <v>442</v>
      </c>
      <c r="F591" t="s">
        <v>65</v>
      </c>
      <c r="G591" t="s">
        <v>59</v>
      </c>
      <c r="H591" t="s">
        <v>48</v>
      </c>
      <c r="I591">
        <v>0</v>
      </c>
      <c r="J591">
        <v>1</v>
      </c>
      <c r="K591">
        <v>1</v>
      </c>
      <c r="L591">
        <v>0</v>
      </c>
      <c r="M591">
        <v>0</v>
      </c>
      <c r="N591">
        <v>0</v>
      </c>
      <c r="O591">
        <v>1</v>
      </c>
      <c r="P591">
        <v>0</v>
      </c>
      <c r="Q591">
        <v>0</v>
      </c>
      <c r="R591">
        <v>0</v>
      </c>
      <c r="S591">
        <v>0</v>
      </c>
      <c r="T591">
        <v>0</v>
      </c>
      <c r="U591">
        <v>0</v>
      </c>
      <c r="V591">
        <v>1</v>
      </c>
    </row>
    <row r="592" spans="1:22" x14ac:dyDescent="0.2">
      <c r="A592" t="s">
        <v>640</v>
      </c>
      <c r="B592" t="s">
        <v>108</v>
      </c>
      <c r="C592" t="s">
        <v>41</v>
      </c>
      <c r="D592" t="s">
        <v>49</v>
      </c>
      <c r="E592" t="s">
        <v>442</v>
      </c>
      <c r="F592" t="s">
        <v>48</v>
      </c>
      <c r="G592" t="s">
        <v>46</v>
      </c>
      <c r="H592" t="s">
        <v>47</v>
      </c>
      <c r="I592">
        <v>0</v>
      </c>
      <c r="J592">
        <v>0</v>
      </c>
      <c r="K592">
        <v>1</v>
      </c>
      <c r="L592">
        <v>1</v>
      </c>
      <c r="M592">
        <v>1</v>
      </c>
      <c r="N592">
        <v>0</v>
      </c>
      <c r="O592">
        <v>1</v>
      </c>
      <c r="P592">
        <v>0</v>
      </c>
      <c r="Q592">
        <v>0</v>
      </c>
      <c r="R592">
        <v>0</v>
      </c>
      <c r="S592">
        <v>1</v>
      </c>
      <c r="T592">
        <v>0</v>
      </c>
      <c r="U592">
        <v>0</v>
      </c>
      <c r="V592">
        <v>0</v>
      </c>
    </row>
    <row r="593" spans="1:22" x14ac:dyDescent="0.2">
      <c r="A593" t="s">
        <v>644</v>
      </c>
      <c r="B593" t="s">
        <v>108</v>
      </c>
      <c r="C593" t="s">
        <v>41</v>
      </c>
      <c r="D593" t="s">
        <v>55</v>
      </c>
      <c r="E593" t="s">
        <v>442</v>
      </c>
      <c r="F593" t="s">
        <v>47</v>
      </c>
      <c r="G593" t="s">
        <v>48</v>
      </c>
      <c r="H593" t="s">
        <v>60</v>
      </c>
      <c r="I593">
        <v>1</v>
      </c>
      <c r="J593">
        <v>0</v>
      </c>
      <c r="K593">
        <v>1</v>
      </c>
      <c r="L593">
        <v>1</v>
      </c>
      <c r="M593">
        <v>0</v>
      </c>
      <c r="N593">
        <v>0</v>
      </c>
      <c r="O593">
        <v>1</v>
      </c>
      <c r="P593">
        <v>1</v>
      </c>
      <c r="Q593">
        <v>0</v>
      </c>
      <c r="R593">
        <v>0</v>
      </c>
      <c r="S593">
        <v>0</v>
      </c>
      <c r="T593">
        <v>0</v>
      </c>
      <c r="U593">
        <v>0</v>
      </c>
      <c r="V593">
        <v>0</v>
      </c>
    </row>
    <row r="594" spans="1:22" x14ac:dyDescent="0.2">
      <c r="A594" t="s">
        <v>644</v>
      </c>
      <c r="B594" t="s">
        <v>108</v>
      </c>
      <c r="C594" t="s">
        <v>41</v>
      </c>
      <c r="D594" t="s">
        <v>42</v>
      </c>
      <c r="E594" t="s">
        <v>442</v>
      </c>
      <c r="F594" t="s">
        <v>65</v>
      </c>
      <c r="G594" t="s">
        <v>48</v>
      </c>
      <c r="H594" t="s">
        <v>47</v>
      </c>
      <c r="I594">
        <v>0</v>
      </c>
      <c r="J594">
        <v>1</v>
      </c>
      <c r="K594">
        <v>1</v>
      </c>
      <c r="L594">
        <v>1</v>
      </c>
      <c r="M594">
        <v>0</v>
      </c>
      <c r="N594">
        <v>0</v>
      </c>
      <c r="O594">
        <v>1</v>
      </c>
      <c r="P594">
        <v>0</v>
      </c>
      <c r="Q594">
        <v>1</v>
      </c>
      <c r="R594">
        <v>0</v>
      </c>
      <c r="S594">
        <v>1</v>
      </c>
      <c r="T594">
        <v>0</v>
      </c>
      <c r="U594">
        <v>0</v>
      </c>
      <c r="V594">
        <v>0</v>
      </c>
    </row>
    <row r="595" spans="1:22" x14ac:dyDescent="0.2">
      <c r="A595" t="s">
        <v>644</v>
      </c>
      <c r="B595" t="s">
        <v>108</v>
      </c>
      <c r="C595" t="s">
        <v>41</v>
      </c>
      <c r="D595" t="s">
        <v>67</v>
      </c>
      <c r="E595" t="s">
        <v>442</v>
      </c>
      <c r="F595" t="s">
        <v>60</v>
      </c>
      <c r="G595" t="s">
        <v>46</v>
      </c>
      <c r="H595" t="s">
        <v>48</v>
      </c>
      <c r="I595">
        <v>1</v>
      </c>
      <c r="J595">
        <v>0</v>
      </c>
      <c r="K595">
        <v>1</v>
      </c>
      <c r="L595">
        <v>0</v>
      </c>
      <c r="M595">
        <v>1</v>
      </c>
      <c r="N595">
        <v>0</v>
      </c>
      <c r="O595">
        <v>1</v>
      </c>
      <c r="P595">
        <v>1</v>
      </c>
      <c r="Q595">
        <v>0</v>
      </c>
      <c r="R595">
        <v>0</v>
      </c>
      <c r="S595">
        <v>0</v>
      </c>
      <c r="T595">
        <v>0</v>
      </c>
      <c r="U595">
        <v>0</v>
      </c>
      <c r="V595">
        <v>0</v>
      </c>
    </row>
    <row r="596" spans="1:22" x14ac:dyDescent="0.2">
      <c r="A596" t="s">
        <v>644</v>
      </c>
      <c r="B596" t="s">
        <v>108</v>
      </c>
      <c r="C596" t="s">
        <v>41</v>
      </c>
      <c r="D596" t="s">
        <v>49</v>
      </c>
      <c r="E596" t="s">
        <v>442</v>
      </c>
      <c r="F596" t="s">
        <v>48</v>
      </c>
      <c r="G596" t="s">
        <v>60</v>
      </c>
      <c r="H596" t="s">
        <v>47</v>
      </c>
      <c r="I596">
        <v>1</v>
      </c>
      <c r="J596">
        <v>0</v>
      </c>
      <c r="K596">
        <v>1</v>
      </c>
      <c r="L596">
        <v>1</v>
      </c>
      <c r="M596">
        <v>0</v>
      </c>
      <c r="N596">
        <v>0</v>
      </c>
      <c r="O596">
        <v>1</v>
      </c>
      <c r="P596">
        <v>0</v>
      </c>
      <c r="Q596">
        <v>0</v>
      </c>
      <c r="R596">
        <v>0</v>
      </c>
      <c r="S596">
        <v>0</v>
      </c>
      <c r="T596">
        <v>0</v>
      </c>
      <c r="U596">
        <v>0</v>
      </c>
      <c r="V596">
        <v>1</v>
      </c>
    </row>
    <row r="597" spans="1:22" x14ac:dyDescent="0.2">
      <c r="A597" t="s">
        <v>647</v>
      </c>
      <c r="B597" t="s">
        <v>188</v>
      </c>
      <c r="C597" t="s">
        <v>41</v>
      </c>
      <c r="D597" t="s">
        <v>49</v>
      </c>
      <c r="E597" t="s">
        <v>442</v>
      </c>
      <c r="F597" t="s">
        <v>48</v>
      </c>
      <c r="G597" t="s">
        <v>47</v>
      </c>
      <c r="H597" t="s">
        <v>59</v>
      </c>
      <c r="I597">
        <v>0</v>
      </c>
      <c r="J597">
        <v>0</v>
      </c>
      <c r="K597">
        <v>1</v>
      </c>
      <c r="L597">
        <v>1</v>
      </c>
      <c r="M597">
        <v>0</v>
      </c>
      <c r="N597">
        <v>0</v>
      </c>
      <c r="O597">
        <v>1</v>
      </c>
      <c r="P597">
        <v>0</v>
      </c>
      <c r="Q597">
        <v>0</v>
      </c>
      <c r="R597">
        <v>0</v>
      </c>
      <c r="S597">
        <v>0</v>
      </c>
      <c r="T597">
        <v>0</v>
      </c>
      <c r="U597">
        <v>0</v>
      </c>
      <c r="V597">
        <v>0</v>
      </c>
    </row>
    <row r="598" spans="1:22" x14ac:dyDescent="0.2">
      <c r="A598" t="s">
        <v>647</v>
      </c>
      <c r="B598" t="s">
        <v>188</v>
      </c>
      <c r="C598" t="s">
        <v>41</v>
      </c>
      <c r="D598" t="s">
        <v>55</v>
      </c>
      <c r="E598" t="s">
        <v>442</v>
      </c>
      <c r="F598" t="s">
        <v>59</v>
      </c>
      <c r="G598" t="s">
        <v>48</v>
      </c>
      <c r="H598" t="s">
        <v>47</v>
      </c>
      <c r="I598">
        <v>0</v>
      </c>
      <c r="J598">
        <v>0</v>
      </c>
      <c r="K598">
        <v>1</v>
      </c>
      <c r="L598">
        <v>1</v>
      </c>
      <c r="M598">
        <v>0</v>
      </c>
      <c r="N598">
        <v>0</v>
      </c>
      <c r="O598">
        <v>1</v>
      </c>
      <c r="P598">
        <v>0</v>
      </c>
      <c r="Q598">
        <v>0</v>
      </c>
      <c r="R598">
        <v>1</v>
      </c>
      <c r="S598">
        <v>0</v>
      </c>
      <c r="T598">
        <v>0</v>
      </c>
      <c r="U598">
        <v>0</v>
      </c>
      <c r="V598">
        <v>0</v>
      </c>
    </row>
    <row r="599" spans="1:22" x14ac:dyDescent="0.2">
      <c r="A599" t="s">
        <v>649</v>
      </c>
      <c r="B599" t="s">
        <v>188</v>
      </c>
      <c r="C599" t="s">
        <v>41</v>
      </c>
      <c r="D599" t="s">
        <v>42</v>
      </c>
      <c r="E599" t="s">
        <v>442</v>
      </c>
      <c r="F599" t="s">
        <v>46</v>
      </c>
      <c r="G599" t="s">
        <v>48</v>
      </c>
      <c r="H599" t="s">
        <v>60</v>
      </c>
      <c r="I599">
        <v>1</v>
      </c>
      <c r="J599">
        <v>0</v>
      </c>
      <c r="K599">
        <v>1</v>
      </c>
      <c r="L599">
        <v>0</v>
      </c>
      <c r="M599">
        <v>1</v>
      </c>
      <c r="N599">
        <v>0</v>
      </c>
      <c r="O599">
        <v>1</v>
      </c>
      <c r="P599">
        <v>1</v>
      </c>
      <c r="Q599">
        <v>0</v>
      </c>
      <c r="R599">
        <v>1</v>
      </c>
      <c r="S599">
        <v>0</v>
      </c>
      <c r="T599">
        <v>1</v>
      </c>
      <c r="U599">
        <v>0</v>
      </c>
      <c r="V599">
        <v>0</v>
      </c>
    </row>
    <row r="600" spans="1:22" x14ac:dyDescent="0.2">
      <c r="A600" t="s">
        <v>649</v>
      </c>
      <c r="B600" t="s">
        <v>188</v>
      </c>
      <c r="C600" t="s">
        <v>41</v>
      </c>
      <c r="D600" t="s">
        <v>55</v>
      </c>
      <c r="E600" t="s">
        <v>442</v>
      </c>
      <c r="F600" t="s">
        <v>65</v>
      </c>
      <c r="G600" t="s">
        <v>48</v>
      </c>
      <c r="H600" t="s">
        <v>46</v>
      </c>
      <c r="I600">
        <v>0</v>
      </c>
      <c r="J600">
        <v>1</v>
      </c>
      <c r="K600">
        <v>1</v>
      </c>
      <c r="L600">
        <v>0</v>
      </c>
      <c r="M600">
        <v>1</v>
      </c>
      <c r="N600">
        <v>0</v>
      </c>
      <c r="O600">
        <v>1</v>
      </c>
      <c r="P600">
        <v>0</v>
      </c>
      <c r="Q600">
        <v>0</v>
      </c>
      <c r="R600">
        <v>0</v>
      </c>
      <c r="S600">
        <v>0</v>
      </c>
      <c r="T600">
        <v>1</v>
      </c>
      <c r="U600">
        <v>0</v>
      </c>
      <c r="V600">
        <v>0</v>
      </c>
    </row>
    <row r="601" spans="1:22" x14ac:dyDescent="0.2">
      <c r="A601" t="s">
        <v>649</v>
      </c>
      <c r="B601" t="s">
        <v>188</v>
      </c>
      <c r="C601" t="s">
        <v>41</v>
      </c>
      <c r="D601" t="s">
        <v>67</v>
      </c>
      <c r="E601" t="s">
        <v>442</v>
      </c>
      <c r="F601" t="s">
        <v>46</v>
      </c>
      <c r="G601" t="s">
        <v>48</v>
      </c>
      <c r="H601" t="s">
        <v>60</v>
      </c>
      <c r="I601">
        <v>1</v>
      </c>
      <c r="J601">
        <v>0</v>
      </c>
      <c r="K601">
        <v>1</v>
      </c>
      <c r="L601">
        <v>0</v>
      </c>
      <c r="M601">
        <v>1</v>
      </c>
      <c r="N601">
        <v>0</v>
      </c>
      <c r="O601">
        <v>1</v>
      </c>
      <c r="P601">
        <v>1</v>
      </c>
      <c r="Q601">
        <v>0</v>
      </c>
      <c r="R601">
        <v>0</v>
      </c>
      <c r="S601">
        <v>0</v>
      </c>
      <c r="T601">
        <v>0</v>
      </c>
      <c r="U601">
        <v>0</v>
      </c>
      <c r="V601">
        <v>0</v>
      </c>
    </row>
    <row r="602" spans="1:22" x14ac:dyDescent="0.2">
      <c r="A602" t="s">
        <v>649</v>
      </c>
      <c r="B602" t="s">
        <v>188</v>
      </c>
      <c r="C602" t="s">
        <v>41</v>
      </c>
      <c r="D602" t="s">
        <v>61</v>
      </c>
      <c r="E602" t="s">
        <v>442</v>
      </c>
      <c r="F602" t="s">
        <v>47</v>
      </c>
      <c r="G602" t="s">
        <v>46</v>
      </c>
      <c r="H602" t="s">
        <v>48</v>
      </c>
      <c r="I602">
        <v>0</v>
      </c>
      <c r="J602">
        <v>0</v>
      </c>
      <c r="K602">
        <v>1</v>
      </c>
      <c r="L602">
        <v>1</v>
      </c>
      <c r="M602">
        <v>1</v>
      </c>
      <c r="N602">
        <v>0</v>
      </c>
      <c r="O602">
        <v>1</v>
      </c>
      <c r="P602">
        <v>0</v>
      </c>
      <c r="Q602">
        <v>0</v>
      </c>
      <c r="R602">
        <v>1</v>
      </c>
      <c r="S602">
        <v>1</v>
      </c>
      <c r="T602">
        <v>1</v>
      </c>
      <c r="U602">
        <v>0</v>
      </c>
      <c r="V602">
        <v>0</v>
      </c>
    </row>
    <row r="603" spans="1:22" x14ac:dyDescent="0.2">
      <c r="A603" t="s">
        <v>652</v>
      </c>
      <c r="B603" t="s">
        <v>108</v>
      </c>
      <c r="C603" t="s">
        <v>41</v>
      </c>
      <c r="D603" t="s">
        <v>72</v>
      </c>
      <c r="E603" t="s">
        <v>442</v>
      </c>
      <c r="F603" t="s">
        <v>65</v>
      </c>
      <c r="G603" t="s">
        <v>48</v>
      </c>
      <c r="H603" t="s">
        <v>60</v>
      </c>
      <c r="I603">
        <v>1</v>
      </c>
      <c r="J603">
        <v>1</v>
      </c>
      <c r="K603">
        <v>1</v>
      </c>
      <c r="L603">
        <v>0</v>
      </c>
      <c r="M603">
        <v>0</v>
      </c>
      <c r="N603">
        <v>0</v>
      </c>
      <c r="O603">
        <v>1</v>
      </c>
      <c r="P603">
        <v>0</v>
      </c>
      <c r="Q603">
        <v>0</v>
      </c>
      <c r="R603">
        <v>0</v>
      </c>
      <c r="S603">
        <v>0</v>
      </c>
      <c r="T603">
        <v>0</v>
      </c>
      <c r="U603">
        <v>0</v>
      </c>
      <c r="V603">
        <v>1</v>
      </c>
    </row>
    <row r="604" spans="1:22" x14ac:dyDescent="0.2">
      <c r="A604" t="s">
        <v>652</v>
      </c>
      <c r="B604" t="s">
        <v>108</v>
      </c>
      <c r="C604" t="s">
        <v>41</v>
      </c>
      <c r="D604" t="s">
        <v>49</v>
      </c>
      <c r="E604" t="s">
        <v>442</v>
      </c>
      <c r="F604" t="s">
        <v>59</v>
      </c>
      <c r="G604" t="s">
        <v>48</v>
      </c>
      <c r="H604" t="s">
        <v>60</v>
      </c>
      <c r="I604">
        <v>1</v>
      </c>
      <c r="J604">
        <v>0</v>
      </c>
      <c r="K604">
        <v>1</v>
      </c>
      <c r="L604">
        <v>0</v>
      </c>
      <c r="M604">
        <v>0</v>
      </c>
      <c r="N604">
        <v>0</v>
      </c>
      <c r="O604">
        <v>1</v>
      </c>
      <c r="P604">
        <v>1</v>
      </c>
      <c r="Q604">
        <v>0</v>
      </c>
      <c r="R604">
        <v>0</v>
      </c>
      <c r="S604">
        <v>0</v>
      </c>
      <c r="T604">
        <v>0</v>
      </c>
      <c r="U604">
        <v>0</v>
      </c>
      <c r="V604">
        <v>0</v>
      </c>
    </row>
    <row r="605" spans="1:22" x14ac:dyDescent="0.2">
      <c r="A605" t="s">
        <v>656</v>
      </c>
      <c r="B605" t="s">
        <v>33</v>
      </c>
      <c r="C605" t="s">
        <v>41</v>
      </c>
      <c r="D605" t="s">
        <v>67</v>
      </c>
      <c r="E605" t="s">
        <v>442</v>
      </c>
      <c r="F605" t="s">
        <v>46</v>
      </c>
      <c r="G605" t="s">
        <v>47</v>
      </c>
      <c r="H605" t="s">
        <v>48</v>
      </c>
      <c r="I605">
        <v>0</v>
      </c>
      <c r="J605">
        <v>0</v>
      </c>
      <c r="K605">
        <v>1</v>
      </c>
      <c r="L605">
        <v>1</v>
      </c>
      <c r="M605">
        <v>1</v>
      </c>
      <c r="N605">
        <v>0</v>
      </c>
      <c r="O605">
        <v>1</v>
      </c>
      <c r="P605">
        <v>0</v>
      </c>
      <c r="Q605">
        <v>0</v>
      </c>
      <c r="R605">
        <v>0</v>
      </c>
      <c r="S605">
        <v>0</v>
      </c>
      <c r="T605">
        <v>0</v>
      </c>
      <c r="U605">
        <v>0</v>
      </c>
      <c r="V605">
        <v>1</v>
      </c>
    </row>
    <row r="606" spans="1:22" x14ac:dyDescent="0.2">
      <c r="A606" t="s">
        <v>656</v>
      </c>
      <c r="B606" t="s">
        <v>33</v>
      </c>
      <c r="C606" t="s">
        <v>41</v>
      </c>
      <c r="D606" t="s">
        <v>42</v>
      </c>
      <c r="E606" t="s">
        <v>442</v>
      </c>
      <c r="F606" t="s">
        <v>65</v>
      </c>
      <c r="G606" t="s">
        <v>46</v>
      </c>
      <c r="H606" t="s">
        <v>48</v>
      </c>
      <c r="I606">
        <v>0</v>
      </c>
      <c r="J606">
        <v>1</v>
      </c>
      <c r="K606">
        <v>1</v>
      </c>
      <c r="L606">
        <v>0</v>
      </c>
      <c r="M606">
        <v>1</v>
      </c>
      <c r="N606">
        <v>0</v>
      </c>
      <c r="O606">
        <v>1</v>
      </c>
      <c r="P606">
        <v>0</v>
      </c>
      <c r="Q606">
        <v>1</v>
      </c>
      <c r="R606">
        <v>0</v>
      </c>
      <c r="S606">
        <v>0</v>
      </c>
      <c r="T606">
        <v>0</v>
      </c>
      <c r="U606">
        <v>0</v>
      </c>
      <c r="V606">
        <v>0</v>
      </c>
    </row>
    <row r="607" spans="1:22" x14ac:dyDescent="0.2">
      <c r="A607" t="s">
        <v>659</v>
      </c>
      <c r="B607" t="s">
        <v>108</v>
      </c>
      <c r="C607" t="s">
        <v>41</v>
      </c>
      <c r="D607" t="s">
        <v>42</v>
      </c>
      <c r="E607" t="s">
        <v>442</v>
      </c>
      <c r="F607" t="s">
        <v>48</v>
      </c>
      <c r="G607" t="s">
        <v>60</v>
      </c>
      <c r="H607" t="s">
        <v>46</v>
      </c>
      <c r="I607">
        <v>1</v>
      </c>
      <c r="J607">
        <v>0</v>
      </c>
      <c r="K607">
        <v>1</v>
      </c>
      <c r="L607">
        <v>0</v>
      </c>
      <c r="M607">
        <v>1</v>
      </c>
      <c r="N607">
        <v>0</v>
      </c>
      <c r="O607">
        <v>1</v>
      </c>
      <c r="P607">
        <v>0</v>
      </c>
      <c r="Q607">
        <v>0</v>
      </c>
      <c r="R607">
        <v>1</v>
      </c>
      <c r="S607">
        <v>0</v>
      </c>
      <c r="T607">
        <v>0</v>
      </c>
      <c r="U607">
        <v>0</v>
      </c>
      <c r="V607">
        <v>0</v>
      </c>
    </row>
    <row r="608" spans="1:22" x14ac:dyDescent="0.2">
      <c r="A608" t="s">
        <v>659</v>
      </c>
      <c r="B608" t="s">
        <v>108</v>
      </c>
      <c r="C608" t="s">
        <v>41</v>
      </c>
      <c r="D608" t="s">
        <v>49</v>
      </c>
      <c r="E608" t="s">
        <v>442</v>
      </c>
      <c r="F608" t="s">
        <v>48</v>
      </c>
      <c r="G608" t="s">
        <v>65</v>
      </c>
      <c r="H608" t="s">
        <v>47</v>
      </c>
      <c r="I608">
        <v>0</v>
      </c>
      <c r="J608">
        <v>1</v>
      </c>
      <c r="K608">
        <v>1</v>
      </c>
      <c r="L608">
        <v>1</v>
      </c>
      <c r="M608">
        <v>0</v>
      </c>
      <c r="N608">
        <v>0</v>
      </c>
      <c r="O608">
        <v>1</v>
      </c>
      <c r="P608">
        <v>0</v>
      </c>
      <c r="Q608">
        <v>0</v>
      </c>
      <c r="R608">
        <v>1</v>
      </c>
      <c r="S608">
        <v>0</v>
      </c>
      <c r="T608">
        <v>0</v>
      </c>
      <c r="U608">
        <v>0</v>
      </c>
      <c r="V608">
        <v>0</v>
      </c>
    </row>
    <row r="609" spans="1:22" x14ac:dyDescent="0.2">
      <c r="A609" t="s">
        <v>659</v>
      </c>
      <c r="B609" t="s">
        <v>108</v>
      </c>
      <c r="C609" t="s">
        <v>41</v>
      </c>
      <c r="D609" t="s">
        <v>55</v>
      </c>
      <c r="E609" t="s">
        <v>442</v>
      </c>
      <c r="F609" t="s">
        <v>65</v>
      </c>
      <c r="G609" t="s">
        <v>48</v>
      </c>
      <c r="H609" t="s">
        <v>60</v>
      </c>
      <c r="I609">
        <v>1</v>
      </c>
      <c r="J609">
        <v>1</v>
      </c>
      <c r="K609">
        <v>1</v>
      </c>
      <c r="L609">
        <v>0</v>
      </c>
      <c r="M609">
        <v>0</v>
      </c>
      <c r="N609">
        <v>0</v>
      </c>
      <c r="O609">
        <v>1</v>
      </c>
      <c r="P609">
        <v>0</v>
      </c>
      <c r="Q609">
        <v>0</v>
      </c>
      <c r="R609">
        <v>1</v>
      </c>
      <c r="S609">
        <v>0</v>
      </c>
      <c r="T609">
        <v>0</v>
      </c>
      <c r="U609">
        <v>0</v>
      </c>
      <c r="V609">
        <v>0</v>
      </c>
    </row>
    <row r="610" spans="1:22" x14ac:dyDescent="0.2">
      <c r="A610" t="s">
        <v>659</v>
      </c>
      <c r="B610" t="s">
        <v>108</v>
      </c>
      <c r="C610" t="s">
        <v>41</v>
      </c>
      <c r="D610" t="s">
        <v>61</v>
      </c>
      <c r="E610" t="s">
        <v>442</v>
      </c>
      <c r="F610" t="s">
        <v>60</v>
      </c>
      <c r="G610" t="s">
        <v>48</v>
      </c>
      <c r="H610" t="s">
        <v>46</v>
      </c>
      <c r="I610">
        <v>1</v>
      </c>
      <c r="J610">
        <v>0</v>
      </c>
      <c r="K610">
        <v>1</v>
      </c>
      <c r="L610">
        <v>0</v>
      </c>
      <c r="M610">
        <v>1</v>
      </c>
      <c r="N610">
        <v>0</v>
      </c>
      <c r="O610">
        <v>1</v>
      </c>
      <c r="P610">
        <v>1</v>
      </c>
      <c r="Q610">
        <v>0</v>
      </c>
      <c r="R610">
        <v>0</v>
      </c>
      <c r="S610">
        <v>0</v>
      </c>
      <c r="T610">
        <v>0</v>
      </c>
      <c r="U610">
        <v>0</v>
      </c>
      <c r="V610">
        <v>0</v>
      </c>
    </row>
    <row r="611" spans="1:22" x14ac:dyDescent="0.2">
      <c r="A611" t="s">
        <v>662</v>
      </c>
      <c r="B611" t="s">
        <v>108</v>
      </c>
      <c r="C611" t="s">
        <v>41</v>
      </c>
      <c r="D611" t="s">
        <v>72</v>
      </c>
      <c r="E611" t="s">
        <v>442</v>
      </c>
      <c r="F611" t="s">
        <v>48</v>
      </c>
      <c r="G611" t="s">
        <v>65</v>
      </c>
      <c r="H611" t="s">
        <v>59</v>
      </c>
      <c r="I611">
        <v>0</v>
      </c>
      <c r="J611">
        <v>1</v>
      </c>
      <c r="K611">
        <v>1</v>
      </c>
      <c r="L611">
        <v>0</v>
      </c>
      <c r="M611">
        <v>0</v>
      </c>
      <c r="N611">
        <v>0</v>
      </c>
      <c r="O611">
        <v>1</v>
      </c>
      <c r="P611">
        <v>0</v>
      </c>
      <c r="Q611">
        <v>0</v>
      </c>
      <c r="R611">
        <v>0</v>
      </c>
      <c r="S611">
        <v>0</v>
      </c>
      <c r="T611">
        <v>0</v>
      </c>
      <c r="U611">
        <v>0</v>
      </c>
      <c r="V611">
        <v>1</v>
      </c>
    </row>
    <row r="612" spans="1:22" x14ac:dyDescent="0.2">
      <c r="A612" t="s">
        <v>662</v>
      </c>
      <c r="B612" t="s">
        <v>108</v>
      </c>
      <c r="C612" t="s">
        <v>41</v>
      </c>
      <c r="D612" t="s">
        <v>55</v>
      </c>
      <c r="E612" t="s">
        <v>442</v>
      </c>
      <c r="F612" t="s">
        <v>48</v>
      </c>
      <c r="G612" t="s">
        <v>65</v>
      </c>
      <c r="H612" t="s">
        <v>59</v>
      </c>
      <c r="I612">
        <v>0</v>
      </c>
      <c r="J612">
        <v>1</v>
      </c>
      <c r="K612">
        <v>1</v>
      </c>
      <c r="L612">
        <v>0</v>
      </c>
      <c r="M612">
        <v>0</v>
      </c>
      <c r="N612">
        <v>0</v>
      </c>
      <c r="O612">
        <v>1</v>
      </c>
      <c r="P612">
        <v>0</v>
      </c>
      <c r="Q612">
        <v>0</v>
      </c>
      <c r="R612">
        <v>0</v>
      </c>
      <c r="S612">
        <v>0</v>
      </c>
      <c r="T612">
        <v>0</v>
      </c>
      <c r="U612">
        <v>0</v>
      </c>
      <c r="V612">
        <v>1</v>
      </c>
    </row>
    <row r="613" spans="1:22" x14ac:dyDescent="0.2">
      <c r="A613" t="s">
        <v>662</v>
      </c>
      <c r="B613" t="s">
        <v>108</v>
      </c>
      <c r="C613" t="s">
        <v>41</v>
      </c>
      <c r="D613" t="s">
        <v>42</v>
      </c>
      <c r="E613" t="s">
        <v>442</v>
      </c>
      <c r="F613" t="s">
        <v>46</v>
      </c>
      <c r="G613" t="s">
        <v>48</v>
      </c>
      <c r="H613" t="s">
        <v>65</v>
      </c>
      <c r="I613">
        <v>0</v>
      </c>
      <c r="J613">
        <v>1</v>
      </c>
      <c r="K613">
        <v>1</v>
      </c>
      <c r="L613">
        <v>0</v>
      </c>
      <c r="M613">
        <v>1</v>
      </c>
      <c r="N613">
        <v>0</v>
      </c>
      <c r="O613">
        <v>1</v>
      </c>
      <c r="P613">
        <v>0</v>
      </c>
      <c r="Q613">
        <v>0</v>
      </c>
      <c r="R613">
        <v>0</v>
      </c>
      <c r="S613">
        <v>0</v>
      </c>
      <c r="T613">
        <v>0</v>
      </c>
      <c r="U613">
        <v>0</v>
      </c>
      <c r="V613">
        <v>1</v>
      </c>
    </row>
    <row r="614" spans="1:22" x14ac:dyDescent="0.2">
      <c r="A614" t="s">
        <v>666</v>
      </c>
      <c r="B614" t="s">
        <v>667</v>
      </c>
      <c r="C614" t="s">
        <v>41</v>
      </c>
      <c r="D614" t="s">
        <v>49</v>
      </c>
      <c r="E614" t="s">
        <v>442</v>
      </c>
      <c r="F614" t="s">
        <v>46</v>
      </c>
      <c r="G614" t="s">
        <v>47</v>
      </c>
      <c r="H614" t="s">
        <v>48</v>
      </c>
      <c r="I614">
        <v>0</v>
      </c>
      <c r="J614">
        <v>0</v>
      </c>
      <c r="K614">
        <v>1</v>
      </c>
      <c r="L614">
        <v>1</v>
      </c>
      <c r="M614">
        <v>1</v>
      </c>
      <c r="N614">
        <v>0</v>
      </c>
      <c r="O614">
        <v>1</v>
      </c>
      <c r="P614">
        <v>0</v>
      </c>
      <c r="Q614">
        <v>0</v>
      </c>
      <c r="R614">
        <v>0</v>
      </c>
      <c r="S614">
        <v>0</v>
      </c>
      <c r="T614">
        <v>0</v>
      </c>
      <c r="U614">
        <v>0</v>
      </c>
      <c r="V614">
        <v>1</v>
      </c>
    </row>
    <row r="615" spans="1:22" x14ac:dyDescent="0.2">
      <c r="A615" t="s">
        <v>666</v>
      </c>
      <c r="B615" t="s">
        <v>667</v>
      </c>
      <c r="C615" t="s">
        <v>41</v>
      </c>
      <c r="D615" t="s">
        <v>67</v>
      </c>
      <c r="E615" t="s">
        <v>442</v>
      </c>
      <c r="F615" t="s">
        <v>65</v>
      </c>
      <c r="G615" t="s">
        <v>47</v>
      </c>
      <c r="H615" t="s">
        <v>48</v>
      </c>
      <c r="I615">
        <v>0</v>
      </c>
      <c r="J615">
        <v>1</v>
      </c>
      <c r="K615">
        <v>1</v>
      </c>
      <c r="L615">
        <v>1</v>
      </c>
      <c r="M615">
        <v>0</v>
      </c>
      <c r="N615">
        <v>0</v>
      </c>
      <c r="O615">
        <v>1</v>
      </c>
      <c r="P615">
        <v>0</v>
      </c>
      <c r="Q615">
        <v>1</v>
      </c>
      <c r="R615">
        <v>0</v>
      </c>
      <c r="S615">
        <v>1</v>
      </c>
      <c r="T615">
        <v>0</v>
      </c>
      <c r="U615">
        <v>0</v>
      </c>
      <c r="V615">
        <v>0</v>
      </c>
    </row>
    <row r="616" spans="1:22" x14ac:dyDescent="0.2">
      <c r="A616" t="s">
        <v>666</v>
      </c>
      <c r="B616" t="s">
        <v>667</v>
      </c>
      <c r="C616" t="s">
        <v>41</v>
      </c>
      <c r="D616" t="s">
        <v>61</v>
      </c>
      <c r="E616" t="s">
        <v>442</v>
      </c>
      <c r="F616" t="s">
        <v>48</v>
      </c>
      <c r="G616" t="s">
        <v>65</v>
      </c>
      <c r="H616" t="s">
        <v>46</v>
      </c>
      <c r="I616">
        <v>0</v>
      </c>
      <c r="J616">
        <v>1</v>
      </c>
      <c r="K616">
        <v>1</v>
      </c>
      <c r="L616">
        <v>0</v>
      </c>
      <c r="M616">
        <v>1</v>
      </c>
      <c r="N616">
        <v>0</v>
      </c>
      <c r="O616">
        <v>1</v>
      </c>
      <c r="P616">
        <v>0</v>
      </c>
      <c r="Q616">
        <v>1</v>
      </c>
      <c r="R616">
        <v>0</v>
      </c>
      <c r="S616">
        <v>0</v>
      </c>
      <c r="T616">
        <v>0</v>
      </c>
      <c r="U616">
        <v>0</v>
      </c>
      <c r="V616">
        <v>0</v>
      </c>
    </row>
    <row r="617" spans="1:22" x14ac:dyDescent="0.2">
      <c r="A617" t="s">
        <v>666</v>
      </c>
      <c r="B617" t="s">
        <v>667</v>
      </c>
      <c r="C617" t="s">
        <v>41</v>
      </c>
      <c r="D617" t="s">
        <v>55</v>
      </c>
      <c r="E617" t="s">
        <v>442</v>
      </c>
      <c r="F617" t="s">
        <v>65</v>
      </c>
      <c r="G617" t="s">
        <v>47</v>
      </c>
      <c r="H617" t="s">
        <v>48</v>
      </c>
      <c r="I617">
        <v>0</v>
      </c>
      <c r="J617">
        <v>1</v>
      </c>
      <c r="K617">
        <v>1</v>
      </c>
      <c r="L617">
        <v>1</v>
      </c>
      <c r="M617">
        <v>0</v>
      </c>
      <c r="N617">
        <v>0</v>
      </c>
      <c r="O617">
        <v>1</v>
      </c>
      <c r="P617">
        <v>0</v>
      </c>
      <c r="Q617">
        <v>1</v>
      </c>
      <c r="R617">
        <v>0</v>
      </c>
      <c r="S617">
        <v>1</v>
      </c>
      <c r="T617">
        <v>0</v>
      </c>
      <c r="U617">
        <v>0</v>
      </c>
      <c r="V617">
        <v>0</v>
      </c>
    </row>
    <row r="618" spans="1:22" x14ac:dyDescent="0.2">
      <c r="A618" t="s">
        <v>671</v>
      </c>
      <c r="B618" t="s">
        <v>33</v>
      </c>
      <c r="C618" t="s">
        <v>41</v>
      </c>
      <c r="D618" t="s">
        <v>72</v>
      </c>
      <c r="E618" t="s">
        <v>442</v>
      </c>
      <c r="F618" t="s">
        <v>47</v>
      </c>
      <c r="G618" t="s">
        <v>46</v>
      </c>
      <c r="H618" t="s">
        <v>48</v>
      </c>
      <c r="I618">
        <v>0</v>
      </c>
      <c r="J618">
        <v>0</v>
      </c>
      <c r="K618">
        <v>1</v>
      </c>
      <c r="L618">
        <v>1</v>
      </c>
      <c r="M618">
        <v>1</v>
      </c>
      <c r="N618">
        <v>0</v>
      </c>
      <c r="O618">
        <v>1</v>
      </c>
      <c r="P618">
        <v>0</v>
      </c>
      <c r="Q618">
        <v>0</v>
      </c>
      <c r="R618">
        <v>0</v>
      </c>
      <c r="S618">
        <v>1</v>
      </c>
      <c r="T618">
        <v>0</v>
      </c>
      <c r="U618">
        <v>0</v>
      </c>
      <c r="V618">
        <v>0</v>
      </c>
    </row>
    <row r="619" spans="1:22" x14ac:dyDescent="0.2">
      <c r="A619" t="s">
        <v>671</v>
      </c>
      <c r="B619" t="s">
        <v>33</v>
      </c>
      <c r="C619" t="s">
        <v>41</v>
      </c>
      <c r="D619" t="s">
        <v>49</v>
      </c>
      <c r="E619" t="s">
        <v>442</v>
      </c>
      <c r="F619" t="s">
        <v>60</v>
      </c>
      <c r="G619" t="s">
        <v>47</v>
      </c>
      <c r="H619" t="s">
        <v>48</v>
      </c>
      <c r="I619">
        <v>1</v>
      </c>
      <c r="J619">
        <v>0</v>
      </c>
      <c r="K619">
        <v>1</v>
      </c>
      <c r="L619">
        <v>1</v>
      </c>
      <c r="M619">
        <v>0</v>
      </c>
      <c r="N619">
        <v>0</v>
      </c>
      <c r="O619">
        <v>1</v>
      </c>
      <c r="P619">
        <v>0</v>
      </c>
      <c r="Q619">
        <v>0</v>
      </c>
      <c r="R619">
        <v>0</v>
      </c>
      <c r="S619">
        <v>0</v>
      </c>
      <c r="T619">
        <v>0</v>
      </c>
      <c r="U619">
        <v>0</v>
      </c>
      <c r="V619">
        <v>1</v>
      </c>
    </row>
    <row r="620" spans="1:22" x14ac:dyDescent="0.2">
      <c r="A620" t="s">
        <v>671</v>
      </c>
      <c r="B620" t="s">
        <v>33</v>
      </c>
      <c r="C620" t="s">
        <v>41</v>
      </c>
      <c r="D620" t="s">
        <v>61</v>
      </c>
      <c r="E620" t="s">
        <v>442</v>
      </c>
      <c r="F620" t="s">
        <v>48</v>
      </c>
      <c r="G620" t="s">
        <v>46</v>
      </c>
      <c r="H620" t="s">
        <v>47</v>
      </c>
      <c r="I620">
        <v>0</v>
      </c>
      <c r="J620">
        <v>0</v>
      </c>
      <c r="K620">
        <v>1</v>
      </c>
      <c r="L620">
        <v>1</v>
      </c>
      <c r="M620">
        <v>1</v>
      </c>
      <c r="N620">
        <v>0</v>
      </c>
      <c r="O620">
        <v>1</v>
      </c>
      <c r="P620">
        <v>0</v>
      </c>
      <c r="Q620">
        <v>0</v>
      </c>
      <c r="R620">
        <v>0</v>
      </c>
      <c r="S620">
        <v>0</v>
      </c>
      <c r="T620">
        <v>0</v>
      </c>
      <c r="U620">
        <v>0</v>
      </c>
      <c r="V620">
        <v>1</v>
      </c>
    </row>
    <row r="621" spans="1:22" x14ac:dyDescent="0.2">
      <c r="A621" t="s">
        <v>671</v>
      </c>
      <c r="B621" t="s">
        <v>33</v>
      </c>
      <c r="C621" t="s">
        <v>41</v>
      </c>
      <c r="D621" t="s">
        <v>67</v>
      </c>
      <c r="E621" t="s">
        <v>442</v>
      </c>
      <c r="F621" t="s">
        <v>65</v>
      </c>
      <c r="G621" t="s">
        <v>47</v>
      </c>
      <c r="H621" t="s">
        <v>48</v>
      </c>
      <c r="I621">
        <v>0</v>
      </c>
      <c r="J621">
        <v>1</v>
      </c>
      <c r="K621">
        <v>1</v>
      </c>
      <c r="L621">
        <v>1</v>
      </c>
      <c r="M621">
        <v>0</v>
      </c>
      <c r="N621">
        <v>0</v>
      </c>
      <c r="O621">
        <v>1</v>
      </c>
      <c r="P621">
        <v>0</v>
      </c>
      <c r="Q621">
        <v>0</v>
      </c>
      <c r="R621">
        <v>0</v>
      </c>
      <c r="S621">
        <v>0</v>
      </c>
      <c r="T621">
        <v>0</v>
      </c>
      <c r="U621">
        <v>0</v>
      </c>
      <c r="V621">
        <v>1</v>
      </c>
    </row>
    <row r="622" spans="1:22" x14ac:dyDescent="0.2">
      <c r="A622" t="s">
        <v>675</v>
      </c>
      <c r="B622" t="s">
        <v>33</v>
      </c>
      <c r="C622" t="s">
        <v>41</v>
      </c>
      <c r="D622" t="s">
        <v>55</v>
      </c>
      <c r="E622" t="s">
        <v>442</v>
      </c>
      <c r="F622" t="s">
        <v>60</v>
      </c>
      <c r="G622" t="s">
        <v>48</v>
      </c>
      <c r="H622" t="s">
        <v>47</v>
      </c>
      <c r="I622">
        <v>1</v>
      </c>
      <c r="J622">
        <v>0</v>
      </c>
      <c r="K622">
        <v>1</v>
      </c>
      <c r="L622">
        <v>1</v>
      </c>
      <c r="M622">
        <v>0</v>
      </c>
      <c r="N622">
        <v>0</v>
      </c>
      <c r="O622">
        <v>1</v>
      </c>
      <c r="P622">
        <v>0</v>
      </c>
      <c r="Q622">
        <v>0</v>
      </c>
      <c r="R622">
        <v>0</v>
      </c>
      <c r="S622">
        <v>1</v>
      </c>
      <c r="T622">
        <v>0</v>
      </c>
      <c r="U622">
        <v>0</v>
      </c>
      <c r="V622">
        <v>0</v>
      </c>
    </row>
    <row r="623" spans="1:22" x14ac:dyDescent="0.2">
      <c r="A623" t="s">
        <v>675</v>
      </c>
      <c r="B623" t="s">
        <v>33</v>
      </c>
      <c r="C623" t="s">
        <v>41</v>
      </c>
      <c r="D623" t="s">
        <v>49</v>
      </c>
      <c r="E623" t="s">
        <v>442</v>
      </c>
      <c r="F623" t="s">
        <v>46</v>
      </c>
      <c r="G623" t="s">
        <v>48</v>
      </c>
      <c r="H623" t="s">
        <v>59</v>
      </c>
      <c r="I623">
        <v>0</v>
      </c>
      <c r="J623">
        <v>0</v>
      </c>
      <c r="K623">
        <v>1</v>
      </c>
      <c r="L623">
        <v>0</v>
      </c>
      <c r="M623">
        <v>1</v>
      </c>
      <c r="N623">
        <v>0</v>
      </c>
      <c r="O623">
        <v>1</v>
      </c>
      <c r="P623">
        <v>0</v>
      </c>
      <c r="Q623">
        <v>0</v>
      </c>
      <c r="R623">
        <v>0</v>
      </c>
      <c r="S623">
        <v>0</v>
      </c>
      <c r="T623">
        <v>1</v>
      </c>
      <c r="U623">
        <v>0</v>
      </c>
      <c r="V623">
        <v>0</v>
      </c>
    </row>
    <row r="624" spans="1:22" x14ac:dyDescent="0.2">
      <c r="A624" t="s">
        <v>679</v>
      </c>
      <c r="B624" t="s">
        <v>108</v>
      </c>
      <c r="C624" t="s">
        <v>41</v>
      </c>
      <c r="D624" t="s">
        <v>49</v>
      </c>
      <c r="E624" t="s">
        <v>442</v>
      </c>
      <c r="F624" t="s">
        <v>46</v>
      </c>
      <c r="G624" t="s">
        <v>48</v>
      </c>
      <c r="H624" t="s">
        <v>65</v>
      </c>
      <c r="I624">
        <v>0</v>
      </c>
      <c r="J624">
        <v>1</v>
      </c>
      <c r="K624">
        <v>1</v>
      </c>
      <c r="L624">
        <v>0</v>
      </c>
      <c r="M624">
        <v>1</v>
      </c>
      <c r="N624">
        <v>0</v>
      </c>
      <c r="O624">
        <v>1</v>
      </c>
      <c r="P624">
        <v>0</v>
      </c>
      <c r="Q624">
        <v>1</v>
      </c>
      <c r="R624">
        <v>0</v>
      </c>
      <c r="S624">
        <v>0</v>
      </c>
      <c r="T624">
        <v>0</v>
      </c>
      <c r="U624">
        <v>0</v>
      </c>
      <c r="V624">
        <v>0</v>
      </c>
    </row>
    <row r="625" spans="1:22" x14ac:dyDescent="0.2">
      <c r="A625" t="s">
        <v>679</v>
      </c>
      <c r="B625" t="s">
        <v>108</v>
      </c>
      <c r="C625" t="s">
        <v>41</v>
      </c>
      <c r="D625" t="s">
        <v>61</v>
      </c>
      <c r="E625" t="s">
        <v>442</v>
      </c>
      <c r="F625" t="s">
        <v>46</v>
      </c>
      <c r="G625" t="s">
        <v>48</v>
      </c>
      <c r="H625" t="s">
        <v>47</v>
      </c>
      <c r="I625">
        <v>0</v>
      </c>
      <c r="J625">
        <v>0</v>
      </c>
      <c r="K625">
        <v>1</v>
      </c>
      <c r="L625">
        <v>1</v>
      </c>
      <c r="M625">
        <v>1</v>
      </c>
      <c r="N625">
        <v>0</v>
      </c>
      <c r="O625">
        <v>1</v>
      </c>
      <c r="P625">
        <v>0</v>
      </c>
      <c r="Q625">
        <v>0</v>
      </c>
      <c r="R625">
        <v>0</v>
      </c>
      <c r="S625">
        <v>1</v>
      </c>
      <c r="T625">
        <v>0</v>
      </c>
      <c r="U625">
        <v>0</v>
      </c>
      <c r="V625">
        <v>0</v>
      </c>
    </row>
    <row r="626" spans="1:22" x14ac:dyDescent="0.2">
      <c r="A626" t="s">
        <v>679</v>
      </c>
      <c r="B626" t="s">
        <v>108</v>
      </c>
      <c r="C626" t="s">
        <v>41</v>
      </c>
      <c r="D626" t="s">
        <v>55</v>
      </c>
      <c r="E626" t="s">
        <v>442</v>
      </c>
      <c r="F626" t="s">
        <v>46</v>
      </c>
      <c r="G626" t="s">
        <v>48</v>
      </c>
      <c r="H626" t="s">
        <v>47</v>
      </c>
      <c r="I626">
        <v>0</v>
      </c>
      <c r="J626">
        <v>0</v>
      </c>
      <c r="K626">
        <v>1</v>
      </c>
      <c r="L626">
        <v>1</v>
      </c>
      <c r="M626">
        <v>1</v>
      </c>
      <c r="N626">
        <v>0</v>
      </c>
      <c r="O626">
        <v>1</v>
      </c>
      <c r="P626">
        <v>0</v>
      </c>
      <c r="Q626">
        <v>0</v>
      </c>
      <c r="R626">
        <v>0</v>
      </c>
      <c r="S626">
        <v>1</v>
      </c>
      <c r="T626">
        <v>0</v>
      </c>
      <c r="U626">
        <v>0</v>
      </c>
      <c r="V626">
        <v>0</v>
      </c>
    </row>
    <row r="627" spans="1:22" x14ac:dyDescent="0.2">
      <c r="A627" t="s">
        <v>682</v>
      </c>
      <c r="B627" t="s">
        <v>174</v>
      </c>
      <c r="C627" t="s">
        <v>41</v>
      </c>
      <c r="D627" t="s">
        <v>49</v>
      </c>
      <c r="E627" t="s">
        <v>442</v>
      </c>
      <c r="F627" t="s">
        <v>48</v>
      </c>
      <c r="G627" t="s">
        <v>46</v>
      </c>
      <c r="H627" t="s">
        <v>47</v>
      </c>
      <c r="I627">
        <v>0</v>
      </c>
      <c r="J627">
        <v>0</v>
      </c>
      <c r="K627">
        <v>1</v>
      </c>
      <c r="L627">
        <v>1</v>
      </c>
      <c r="M627">
        <v>1</v>
      </c>
      <c r="N627">
        <v>0</v>
      </c>
      <c r="O627">
        <v>1</v>
      </c>
      <c r="P627">
        <v>0</v>
      </c>
      <c r="Q627">
        <v>0</v>
      </c>
      <c r="R627">
        <v>1</v>
      </c>
      <c r="S627">
        <v>0</v>
      </c>
      <c r="T627">
        <v>0</v>
      </c>
      <c r="U627">
        <v>0</v>
      </c>
      <c r="V627">
        <v>0</v>
      </c>
    </row>
    <row r="628" spans="1:22" x14ac:dyDescent="0.2">
      <c r="A628" t="s">
        <v>685</v>
      </c>
      <c r="B628" t="s">
        <v>108</v>
      </c>
      <c r="C628" t="s">
        <v>41</v>
      </c>
      <c r="D628" t="s">
        <v>55</v>
      </c>
      <c r="E628" t="s">
        <v>442</v>
      </c>
      <c r="F628" t="s">
        <v>47</v>
      </c>
      <c r="G628" t="s">
        <v>48</v>
      </c>
      <c r="H628" t="s">
        <v>46</v>
      </c>
      <c r="I628">
        <v>0</v>
      </c>
      <c r="J628">
        <v>0</v>
      </c>
      <c r="K628">
        <v>1</v>
      </c>
      <c r="L628">
        <v>1</v>
      </c>
      <c r="M628">
        <v>1</v>
      </c>
      <c r="N628">
        <v>0</v>
      </c>
      <c r="O628">
        <v>1</v>
      </c>
      <c r="P628">
        <v>0</v>
      </c>
      <c r="Q628">
        <v>0</v>
      </c>
      <c r="R628">
        <v>0</v>
      </c>
      <c r="S628">
        <v>0</v>
      </c>
      <c r="T628">
        <v>0</v>
      </c>
      <c r="U628">
        <v>0</v>
      </c>
      <c r="V628">
        <v>1</v>
      </c>
    </row>
    <row r="629" spans="1:22" x14ac:dyDescent="0.2">
      <c r="A629" t="s">
        <v>685</v>
      </c>
      <c r="B629" t="s">
        <v>108</v>
      </c>
      <c r="C629" t="s">
        <v>41</v>
      </c>
      <c r="D629" t="s">
        <v>42</v>
      </c>
      <c r="E629" t="s">
        <v>442</v>
      </c>
      <c r="F629" t="s">
        <v>48</v>
      </c>
      <c r="G629" t="s">
        <v>65</v>
      </c>
      <c r="H629" t="s">
        <v>59</v>
      </c>
      <c r="I629">
        <v>0</v>
      </c>
      <c r="J629">
        <v>1</v>
      </c>
      <c r="K629">
        <v>1</v>
      </c>
      <c r="L629">
        <v>0</v>
      </c>
      <c r="M629">
        <v>0</v>
      </c>
      <c r="N629">
        <v>0</v>
      </c>
      <c r="O629">
        <v>1</v>
      </c>
      <c r="P629">
        <v>0</v>
      </c>
      <c r="Q629">
        <v>1</v>
      </c>
      <c r="R629">
        <v>0</v>
      </c>
      <c r="S629">
        <v>0</v>
      </c>
      <c r="T629">
        <v>0</v>
      </c>
      <c r="U629">
        <v>0</v>
      </c>
      <c r="V629">
        <v>0</v>
      </c>
    </row>
    <row r="630" spans="1:22" x14ac:dyDescent="0.2">
      <c r="A630" t="s">
        <v>685</v>
      </c>
      <c r="B630" t="s">
        <v>108</v>
      </c>
      <c r="C630" t="s">
        <v>41</v>
      </c>
      <c r="D630" t="s">
        <v>72</v>
      </c>
      <c r="E630" t="s">
        <v>442</v>
      </c>
      <c r="F630" t="s">
        <v>48</v>
      </c>
      <c r="G630" t="s">
        <v>65</v>
      </c>
      <c r="H630" t="s">
        <v>59</v>
      </c>
      <c r="I630">
        <v>0</v>
      </c>
      <c r="J630">
        <v>1</v>
      </c>
      <c r="K630">
        <v>1</v>
      </c>
      <c r="L630">
        <v>0</v>
      </c>
      <c r="M630">
        <v>0</v>
      </c>
      <c r="N630">
        <v>0</v>
      </c>
      <c r="O630">
        <v>1</v>
      </c>
      <c r="P630">
        <v>0</v>
      </c>
      <c r="Q630">
        <v>1</v>
      </c>
      <c r="R630">
        <v>0</v>
      </c>
      <c r="S630">
        <v>0</v>
      </c>
      <c r="T630">
        <v>0</v>
      </c>
      <c r="U630">
        <v>0</v>
      </c>
      <c r="V630">
        <v>0</v>
      </c>
    </row>
    <row r="631" spans="1:22" x14ac:dyDescent="0.2">
      <c r="A631" t="s">
        <v>685</v>
      </c>
      <c r="B631" t="s">
        <v>108</v>
      </c>
      <c r="C631" t="s">
        <v>41</v>
      </c>
      <c r="D631" t="s">
        <v>67</v>
      </c>
      <c r="E631" t="s">
        <v>442</v>
      </c>
      <c r="F631" t="s">
        <v>48</v>
      </c>
      <c r="G631" t="s">
        <v>65</v>
      </c>
      <c r="H631" t="s">
        <v>60</v>
      </c>
      <c r="I631">
        <v>1</v>
      </c>
      <c r="J631">
        <v>1</v>
      </c>
      <c r="K631">
        <v>1</v>
      </c>
      <c r="L631">
        <v>0</v>
      </c>
      <c r="M631">
        <v>0</v>
      </c>
      <c r="N631">
        <v>0</v>
      </c>
      <c r="O631">
        <v>1</v>
      </c>
      <c r="P631">
        <v>1</v>
      </c>
      <c r="Q631">
        <v>1</v>
      </c>
      <c r="R631">
        <v>0</v>
      </c>
      <c r="S631">
        <v>0</v>
      </c>
      <c r="T631">
        <v>0</v>
      </c>
      <c r="U631">
        <v>0</v>
      </c>
      <c r="V631">
        <v>0</v>
      </c>
    </row>
    <row r="632" spans="1:22" x14ac:dyDescent="0.2">
      <c r="A632" t="s">
        <v>688</v>
      </c>
      <c r="B632" t="s">
        <v>188</v>
      </c>
      <c r="C632" t="s">
        <v>41</v>
      </c>
      <c r="D632" t="s">
        <v>55</v>
      </c>
      <c r="E632" t="s">
        <v>442</v>
      </c>
      <c r="F632" t="s">
        <v>60</v>
      </c>
      <c r="G632" t="s">
        <v>48</v>
      </c>
      <c r="H632" t="s">
        <v>46</v>
      </c>
      <c r="I632">
        <v>1</v>
      </c>
      <c r="J632">
        <v>0</v>
      </c>
      <c r="K632">
        <v>1</v>
      </c>
      <c r="L632">
        <v>0</v>
      </c>
      <c r="M632">
        <v>1</v>
      </c>
      <c r="N632">
        <v>0</v>
      </c>
      <c r="O632">
        <v>1</v>
      </c>
      <c r="P632">
        <v>0</v>
      </c>
      <c r="Q632">
        <v>0</v>
      </c>
      <c r="R632">
        <v>0</v>
      </c>
      <c r="S632">
        <v>0</v>
      </c>
      <c r="T632">
        <v>0</v>
      </c>
      <c r="U632">
        <v>0</v>
      </c>
      <c r="V632">
        <v>1</v>
      </c>
    </row>
    <row r="633" spans="1:22" x14ac:dyDescent="0.2">
      <c r="A633" t="s">
        <v>688</v>
      </c>
      <c r="B633" t="s">
        <v>188</v>
      </c>
      <c r="C633" t="s">
        <v>41</v>
      </c>
      <c r="D633" t="s">
        <v>42</v>
      </c>
      <c r="E633" t="s">
        <v>442</v>
      </c>
      <c r="F633" t="s">
        <v>60</v>
      </c>
      <c r="G633" t="s">
        <v>65</v>
      </c>
      <c r="H633" t="s">
        <v>48</v>
      </c>
      <c r="I633">
        <v>1</v>
      </c>
      <c r="J633">
        <v>1</v>
      </c>
      <c r="K633">
        <v>1</v>
      </c>
      <c r="L633">
        <v>0</v>
      </c>
      <c r="M633">
        <v>0</v>
      </c>
      <c r="N633">
        <v>0</v>
      </c>
      <c r="O633">
        <v>1</v>
      </c>
      <c r="P633">
        <v>0</v>
      </c>
      <c r="Q633">
        <v>1</v>
      </c>
      <c r="R633">
        <v>0</v>
      </c>
      <c r="S633">
        <v>0</v>
      </c>
      <c r="T633">
        <v>0</v>
      </c>
      <c r="U633">
        <v>0</v>
      </c>
      <c r="V633">
        <v>0</v>
      </c>
    </row>
    <row r="634" spans="1:22" x14ac:dyDescent="0.2">
      <c r="A634" t="s">
        <v>688</v>
      </c>
      <c r="B634" t="s">
        <v>188</v>
      </c>
      <c r="C634" t="s">
        <v>41</v>
      </c>
      <c r="D634" t="s">
        <v>67</v>
      </c>
      <c r="E634" t="s">
        <v>442</v>
      </c>
      <c r="F634" t="s">
        <v>48</v>
      </c>
      <c r="G634" t="s">
        <v>65</v>
      </c>
      <c r="H634" t="s">
        <v>60</v>
      </c>
      <c r="I634">
        <v>1</v>
      </c>
      <c r="J634">
        <v>1</v>
      </c>
      <c r="K634">
        <v>1</v>
      </c>
      <c r="L634">
        <v>0</v>
      </c>
      <c r="M634">
        <v>0</v>
      </c>
      <c r="N634">
        <v>0</v>
      </c>
      <c r="O634">
        <v>1</v>
      </c>
      <c r="P634">
        <v>0</v>
      </c>
      <c r="Q634">
        <v>1</v>
      </c>
      <c r="R634">
        <v>0</v>
      </c>
      <c r="S634">
        <v>0</v>
      </c>
      <c r="T634">
        <v>0</v>
      </c>
      <c r="U634">
        <v>0</v>
      </c>
      <c r="V634">
        <v>0</v>
      </c>
    </row>
    <row r="635" spans="1:22" x14ac:dyDescent="0.2">
      <c r="A635" t="s">
        <v>691</v>
      </c>
      <c r="B635" t="s">
        <v>108</v>
      </c>
      <c r="C635" t="s">
        <v>41</v>
      </c>
      <c r="D635" t="s">
        <v>42</v>
      </c>
      <c r="E635" t="s">
        <v>442</v>
      </c>
      <c r="F635" t="s">
        <v>48</v>
      </c>
      <c r="G635" t="s">
        <v>47</v>
      </c>
      <c r="H635" t="s">
        <v>65</v>
      </c>
      <c r="I635">
        <v>0</v>
      </c>
      <c r="J635">
        <v>1</v>
      </c>
      <c r="K635">
        <v>1</v>
      </c>
      <c r="L635">
        <v>1</v>
      </c>
      <c r="M635">
        <v>0</v>
      </c>
      <c r="N635">
        <v>0</v>
      </c>
      <c r="O635">
        <v>1</v>
      </c>
      <c r="P635">
        <v>0</v>
      </c>
      <c r="Q635">
        <v>1</v>
      </c>
      <c r="R635">
        <v>1</v>
      </c>
      <c r="S635">
        <v>1</v>
      </c>
      <c r="T635">
        <v>0</v>
      </c>
      <c r="U635">
        <v>0</v>
      </c>
      <c r="V635">
        <v>0</v>
      </c>
    </row>
    <row r="636" spans="1:22" x14ac:dyDescent="0.2">
      <c r="A636" t="s">
        <v>691</v>
      </c>
      <c r="B636" t="s">
        <v>108</v>
      </c>
      <c r="C636" t="s">
        <v>41</v>
      </c>
      <c r="D636" t="s">
        <v>72</v>
      </c>
      <c r="E636" t="s">
        <v>442</v>
      </c>
      <c r="F636" t="s">
        <v>47</v>
      </c>
      <c r="G636" t="s">
        <v>48</v>
      </c>
      <c r="H636" t="s">
        <v>65</v>
      </c>
      <c r="I636">
        <v>0</v>
      </c>
      <c r="J636">
        <v>1</v>
      </c>
      <c r="K636">
        <v>1</v>
      </c>
      <c r="L636">
        <v>1</v>
      </c>
      <c r="M636">
        <v>0</v>
      </c>
      <c r="N636">
        <v>0</v>
      </c>
      <c r="O636">
        <v>1</v>
      </c>
      <c r="P636">
        <v>0</v>
      </c>
      <c r="Q636">
        <v>0</v>
      </c>
      <c r="R636">
        <v>0</v>
      </c>
      <c r="S636">
        <v>0</v>
      </c>
      <c r="T636">
        <v>0</v>
      </c>
      <c r="U636">
        <v>0</v>
      </c>
      <c r="V636">
        <v>1</v>
      </c>
    </row>
    <row r="637" spans="1:22" x14ac:dyDescent="0.2">
      <c r="A637" t="s">
        <v>691</v>
      </c>
      <c r="B637" t="s">
        <v>108</v>
      </c>
      <c r="C637" t="s">
        <v>41</v>
      </c>
      <c r="D637" t="s">
        <v>55</v>
      </c>
      <c r="E637" t="s">
        <v>442</v>
      </c>
      <c r="F637" t="s">
        <v>65</v>
      </c>
      <c r="G637" t="s">
        <v>60</v>
      </c>
      <c r="H637" t="s">
        <v>48</v>
      </c>
      <c r="I637">
        <v>1</v>
      </c>
      <c r="J637">
        <v>1</v>
      </c>
      <c r="K637">
        <v>1</v>
      </c>
      <c r="L637">
        <v>0</v>
      </c>
      <c r="M637">
        <v>0</v>
      </c>
      <c r="N637">
        <v>0</v>
      </c>
      <c r="O637">
        <v>1</v>
      </c>
      <c r="P637">
        <v>1</v>
      </c>
      <c r="Q637">
        <v>1</v>
      </c>
      <c r="R637">
        <v>1</v>
      </c>
      <c r="S637">
        <v>0</v>
      </c>
      <c r="T637">
        <v>0</v>
      </c>
      <c r="U637">
        <v>0</v>
      </c>
      <c r="V637">
        <v>0</v>
      </c>
    </row>
    <row r="638" spans="1:22" x14ac:dyDescent="0.2">
      <c r="A638" t="s">
        <v>691</v>
      </c>
      <c r="B638" t="s">
        <v>108</v>
      </c>
      <c r="C638" t="s">
        <v>41</v>
      </c>
      <c r="D638" t="s">
        <v>67</v>
      </c>
      <c r="E638" t="s">
        <v>442</v>
      </c>
      <c r="F638" t="s">
        <v>46</v>
      </c>
      <c r="G638" t="s">
        <v>48</v>
      </c>
      <c r="H638" t="s">
        <v>47</v>
      </c>
      <c r="I638">
        <v>0</v>
      </c>
      <c r="J638">
        <v>0</v>
      </c>
      <c r="K638">
        <v>1</v>
      </c>
      <c r="L638">
        <v>1</v>
      </c>
      <c r="M638">
        <v>1</v>
      </c>
      <c r="N638">
        <v>0</v>
      </c>
      <c r="O638">
        <v>1</v>
      </c>
      <c r="P638">
        <v>0</v>
      </c>
      <c r="Q638">
        <v>0</v>
      </c>
      <c r="R638">
        <v>1</v>
      </c>
      <c r="S638">
        <v>1</v>
      </c>
      <c r="T638">
        <v>1</v>
      </c>
      <c r="U638">
        <v>0</v>
      </c>
      <c r="V638">
        <v>0</v>
      </c>
    </row>
    <row r="639" spans="1:22" x14ac:dyDescent="0.2">
      <c r="A639" t="s">
        <v>694</v>
      </c>
      <c r="B639" t="s">
        <v>188</v>
      </c>
      <c r="C639" t="s">
        <v>41</v>
      </c>
      <c r="D639" t="s">
        <v>61</v>
      </c>
      <c r="E639" t="s">
        <v>442</v>
      </c>
      <c r="F639" t="s">
        <v>48</v>
      </c>
      <c r="G639" t="s">
        <v>47</v>
      </c>
      <c r="H639" t="s">
        <v>65</v>
      </c>
      <c r="I639">
        <v>0</v>
      </c>
      <c r="J639">
        <v>1</v>
      </c>
      <c r="K639">
        <v>1</v>
      </c>
      <c r="L639">
        <v>1</v>
      </c>
      <c r="M639">
        <v>0</v>
      </c>
      <c r="N639">
        <v>0</v>
      </c>
      <c r="O639">
        <v>1</v>
      </c>
      <c r="P639">
        <v>0</v>
      </c>
      <c r="Q639">
        <v>0</v>
      </c>
      <c r="R639">
        <v>0</v>
      </c>
      <c r="S639">
        <v>0</v>
      </c>
      <c r="T639">
        <v>0</v>
      </c>
      <c r="U639">
        <v>0</v>
      </c>
      <c r="V639">
        <v>1</v>
      </c>
    </row>
    <row r="640" spans="1:22" x14ac:dyDescent="0.2">
      <c r="A640" t="s">
        <v>694</v>
      </c>
      <c r="B640" t="s">
        <v>188</v>
      </c>
      <c r="C640" t="s">
        <v>41</v>
      </c>
      <c r="D640" t="s">
        <v>72</v>
      </c>
      <c r="E640" t="s">
        <v>442</v>
      </c>
      <c r="F640" t="s">
        <v>47</v>
      </c>
      <c r="G640" t="s">
        <v>48</v>
      </c>
      <c r="H640" t="s">
        <v>65</v>
      </c>
      <c r="I640">
        <v>0</v>
      </c>
      <c r="J640">
        <v>1</v>
      </c>
      <c r="K640">
        <v>1</v>
      </c>
      <c r="L640">
        <v>1</v>
      </c>
      <c r="M640">
        <v>0</v>
      </c>
      <c r="N640">
        <v>0</v>
      </c>
      <c r="O640">
        <v>1</v>
      </c>
      <c r="P640">
        <v>0</v>
      </c>
      <c r="Q640">
        <v>0</v>
      </c>
      <c r="R640">
        <v>0</v>
      </c>
      <c r="S640">
        <v>0</v>
      </c>
      <c r="T640">
        <v>0</v>
      </c>
      <c r="U640">
        <v>0</v>
      </c>
      <c r="V640">
        <v>1</v>
      </c>
    </row>
    <row r="641" spans="1:22" x14ac:dyDescent="0.2">
      <c r="A641" t="s">
        <v>694</v>
      </c>
      <c r="B641" t="s">
        <v>188</v>
      </c>
      <c r="C641" t="s">
        <v>41</v>
      </c>
      <c r="D641" t="s">
        <v>67</v>
      </c>
      <c r="E641" t="s">
        <v>442</v>
      </c>
      <c r="F641" t="s">
        <v>47</v>
      </c>
      <c r="G641" t="s">
        <v>46</v>
      </c>
      <c r="H641" t="s">
        <v>48</v>
      </c>
      <c r="I641">
        <v>0</v>
      </c>
      <c r="J641">
        <v>0</v>
      </c>
      <c r="K641">
        <v>1</v>
      </c>
      <c r="L641">
        <v>1</v>
      </c>
      <c r="M641">
        <v>1</v>
      </c>
      <c r="N641">
        <v>0</v>
      </c>
      <c r="O641">
        <v>1</v>
      </c>
      <c r="P641">
        <v>0</v>
      </c>
      <c r="Q641">
        <v>0</v>
      </c>
      <c r="R641">
        <v>1</v>
      </c>
      <c r="S641">
        <v>0</v>
      </c>
      <c r="T641">
        <v>0</v>
      </c>
      <c r="U641">
        <v>0</v>
      </c>
      <c r="V641">
        <v>0</v>
      </c>
    </row>
    <row r="642" spans="1:22" x14ac:dyDescent="0.2">
      <c r="A642" t="s">
        <v>694</v>
      </c>
      <c r="B642" t="s">
        <v>188</v>
      </c>
      <c r="C642" t="s">
        <v>41</v>
      </c>
      <c r="D642" t="s">
        <v>49</v>
      </c>
      <c r="E642" t="s">
        <v>442</v>
      </c>
      <c r="F642" t="s">
        <v>60</v>
      </c>
      <c r="G642" t="s">
        <v>65</v>
      </c>
      <c r="H642" t="s">
        <v>48</v>
      </c>
      <c r="I642">
        <v>1</v>
      </c>
      <c r="J642">
        <v>1</v>
      </c>
      <c r="K642">
        <v>1</v>
      </c>
      <c r="L642">
        <v>0</v>
      </c>
      <c r="M642">
        <v>0</v>
      </c>
      <c r="N642">
        <v>0</v>
      </c>
      <c r="O642">
        <v>1</v>
      </c>
      <c r="P642">
        <v>0</v>
      </c>
      <c r="Q642">
        <v>1</v>
      </c>
      <c r="R642">
        <v>0</v>
      </c>
      <c r="S642">
        <v>0</v>
      </c>
      <c r="T642">
        <v>0</v>
      </c>
      <c r="U642">
        <v>0</v>
      </c>
      <c r="V642">
        <v>0</v>
      </c>
    </row>
    <row r="643" spans="1:22" x14ac:dyDescent="0.2">
      <c r="A643" t="s">
        <v>694</v>
      </c>
      <c r="B643" t="s">
        <v>188</v>
      </c>
      <c r="C643" t="s">
        <v>41</v>
      </c>
      <c r="D643" t="s">
        <v>42</v>
      </c>
      <c r="E643" t="s">
        <v>442</v>
      </c>
      <c r="F643" t="s">
        <v>46</v>
      </c>
      <c r="G643" t="s">
        <v>48</v>
      </c>
      <c r="H643" t="s">
        <v>65</v>
      </c>
      <c r="I643">
        <v>0</v>
      </c>
      <c r="J643">
        <v>1</v>
      </c>
      <c r="K643">
        <v>1</v>
      </c>
      <c r="L643">
        <v>0</v>
      </c>
      <c r="M643">
        <v>1</v>
      </c>
      <c r="N643">
        <v>0</v>
      </c>
      <c r="O643">
        <v>1</v>
      </c>
      <c r="P643">
        <v>0</v>
      </c>
      <c r="Q643">
        <v>1</v>
      </c>
      <c r="R643">
        <v>0</v>
      </c>
      <c r="S643">
        <v>0</v>
      </c>
      <c r="T643">
        <v>0</v>
      </c>
      <c r="U643">
        <v>0</v>
      </c>
      <c r="V643">
        <v>0</v>
      </c>
    </row>
    <row r="644" spans="1:22" x14ac:dyDescent="0.2">
      <c r="A644" t="s">
        <v>695</v>
      </c>
      <c r="B644" t="s">
        <v>188</v>
      </c>
      <c r="C644" t="s">
        <v>41</v>
      </c>
      <c r="D644" t="s">
        <v>49</v>
      </c>
      <c r="E644" t="s">
        <v>442</v>
      </c>
      <c r="F644" t="s">
        <v>65</v>
      </c>
      <c r="G644" t="s">
        <v>48</v>
      </c>
      <c r="H644" t="s">
        <v>46</v>
      </c>
      <c r="I644">
        <v>0</v>
      </c>
      <c r="J644">
        <v>1</v>
      </c>
      <c r="K644">
        <v>1</v>
      </c>
      <c r="L644">
        <v>0</v>
      </c>
      <c r="M644">
        <v>1</v>
      </c>
      <c r="N644">
        <v>0</v>
      </c>
      <c r="O644">
        <v>1</v>
      </c>
      <c r="P644">
        <v>0</v>
      </c>
      <c r="Q644">
        <v>0</v>
      </c>
      <c r="R644">
        <v>0</v>
      </c>
      <c r="S644">
        <v>0</v>
      </c>
      <c r="T644">
        <v>0</v>
      </c>
      <c r="U644">
        <v>0</v>
      </c>
      <c r="V644">
        <v>1</v>
      </c>
    </row>
    <row r="645" spans="1:22" x14ac:dyDescent="0.2">
      <c r="A645" t="s">
        <v>695</v>
      </c>
      <c r="B645" t="s">
        <v>188</v>
      </c>
      <c r="C645" t="s">
        <v>41</v>
      </c>
      <c r="D645" t="s">
        <v>42</v>
      </c>
      <c r="E645" t="s">
        <v>442</v>
      </c>
      <c r="F645" t="s">
        <v>46</v>
      </c>
      <c r="G645" t="s">
        <v>65</v>
      </c>
      <c r="H645" t="s">
        <v>48</v>
      </c>
      <c r="I645">
        <v>0</v>
      </c>
      <c r="J645">
        <v>1</v>
      </c>
      <c r="K645">
        <v>1</v>
      </c>
      <c r="L645">
        <v>0</v>
      </c>
      <c r="M645">
        <v>1</v>
      </c>
      <c r="N645">
        <v>0</v>
      </c>
      <c r="O645">
        <v>1</v>
      </c>
      <c r="P645">
        <v>0</v>
      </c>
      <c r="Q645">
        <v>0</v>
      </c>
      <c r="R645">
        <v>0</v>
      </c>
      <c r="S645">
        <v>0</v>
      </c>
      <c r="T645">
        <v>0</v>
      </c>
      <c r="U645">
        <v>0</v>
      </c>
      <c r="V645">
        <v>1</v>
      </c>
    </row>
    <row r="646" spans="1:22" x14ac:dyDescent="0.2">
      <c r="A646" t="s">
        <v>695</v>
      </c>
      <c r="B646" t="s">
        <v>188</v>
      </c>
      <c r="C646" t="s">
        <v>41</v>
      </c>
      <c r="D646" t="s">
        <v>61</v>
      </c>
      <c r="E646" t="s">
        <v>442</v>
      </c>
      <c r="F646" t="s">
        <v>59</v>
      </c>
      <c r="G646" t="s">
        <v>46</v>
      </c>
      <c r="H646" t="s">
        <v>48</v>
      </c>
      <c r="I646">
        <v>0</v>
      </c>
      <c r="J646">
        <v>0</v>
      </c>
      <c r="K646">
        <v>1</v>
      </c>
      <c r="L646">
        <v>0</v>
      </c>
      <c r="M646">
        <v>1</v>
      </c>
      <c r="N646">
        <v>0</v>
      </c>
      <c r="O646">
        <v>1</v>
      </c>
      <c r="P646">
        <v>0</v>
      </c>
      <c r="Q646">
        <v>0</v>
      </c>
      <c r="R646">
        <v>0</v>
      </c>
      <c r="S646">
        <v>0</v>
      </c>
      <c r="T646">
        <v>0</v>
      </c>
      <c r="U646">
        <v>0</v>
      </c>
      <c r="V646">
        <v>1</v>
      </c>
    </row>
    <row r="647" spans="1:22" x14ac:dyDescent="0.2">
      <c r="A647" t="s">
        <v>699</v>
      </c>
      <c r="B647" t="s">
        <v>108</v>
      </c>
      <c r="C647" t="s">
        <v>41</v>
      </c>
      <c r="D647" t="s">
        <v>72</v>
      </c>
      <c r="E647" t="s">
        <v>442</v>
      </c>
      <c r="F647" t="s">
        <v>48</v>
      </c>
      <c r="G647" t="s">
        <v>46</v>
      </c>
      <c r="H647" t="s">
        <v>60</v>
      </c>
      <c r="I647">
        <v>1</v>
      </c>
      <c r="J647">
        <v>0</v>
      </c>
      <c r="K647">
        <v>1</v>
      </c>
      <c r="L647">
        <v>0</v>
      </c>
      <c r="M647">
        <v>1</v>
      </c>
      <c r="N647">
        <v>0</v>
      </c>
      <c r="O647">
        <v>1</v>
      </c>
      <c r="P647">
        <v>0</v>
      </c>
      <c r="Q647">
        <v>0</v>
      </c>
      <c r="R647">
        <v>0</v>
      </c>
      <c r="S647">
        <v>0</v>
      </c>
      <c r="T647">
        <v>0</v>
      </c>
      <c r="U647">
        <v>0</v>
      </c>
      <c r="V647">
        <v>1</v>
      </c>
    </row>
    <row r="648" spans="1:22" x14ac:dyDescent="0.2">
      <c r="A648" t="s">
        <v>699</v>
      </c>
      <c r="B648" t="s">
        <v>108</v>
      </c>
      <c r="C648" t="s">
        <v>41</v>
      </c>
      <c r="D648" t="s">
        <v>49</v>
      </c>
      <c r="E648" t="s">
        <v>442</v>
      </c>
      <c r="F648" t="s">
        <v>48</v>
      </c>
      <c r="G648" t="s">
        <v>47</v>
      </c>
      <c r="H648" t="s">
        <v>46</v>
      </c>
      <c r="I648">
        <v>0</v>
      </c>
      <c r="J648">
        <v>0</v>
      </c>
      <c r="K648">
        <v>1</v>
      </c>
      <c r="L648">
        <v>1</v>
      </c>
      <c r="M648">
        <v>1</v>
      </c>
      <c r="N648">
        <v>0</v>
      </c>
      <c r="O648">
        <v>1</v>
      </c>
      <c r="P648">
        <v>0</v>
      </c>
      <c r="Q648">
        <v>0</v>
      </c>
      <c r="R648">
        <v>0</v>
      </c>
      <c r="S648">
        <v>0</v>
      </c>
      <c r="T648">
        <v>0</v>
      </c>
      <c r="U648">
        <v>0</v>
      </c>
      <c r="V648">
        <v>1</v>
      </c>
    </row>
    <row r="649" spans="1:22" x14ac:dyDescent="0.2">
      <c r="A649" t="s">
        <v>699</v>
      </c>
      <c r="B649" t="s">
        <v>108</v>
      </c>
      <c r="C649" t="s">
        <v>41</v>
      </c>
      <c r="D649" t="s">
        <v>55</v>
      </c>
      <c r="E649" t="s">
        <v>442</v>
      </c>
      <c r="F649" t="s">
        <v>65</v>
      </c>
      <c r="G649" t="s">
        <v>48</v>
      </c>
      <c r="H649" t="s">
        <v>47</v>
      </c>
      <c r="I649">
        <v>0</v>
      </c>
      <c r="J649">
        <v>1</v>
      </c>
      <c r="K649">
        <v>1</v>
      </c>
      <c r="L649">
        <v>1</v>
      </c>
      <c r="M649">
        <v>0</v>
      </c>
      <c r="N649">
        <v>0</v>
      </c>
      <c r="O649">
        <v>1</v>
      </c>
      <c r="P649">
        <v>0</v>
      </c>
      <c r="Q649">
        <v>0</v>
      </c>
      <c r="R649">
        <v>0</v>
      </c>
      <c r="S649">
        <v>1</v>
      </c>
      <c r="T649">
        <v>0</v>
      </c>
      <c r="U649">
        <v>0</v>
      </c>
      <c r="V649">
        <v>0</v>
      </c>
    </row>
    <row r="650" spans="1:22" x14ac:dyDescent="0.2">
      <c r="A650" t="s">
        <v>699</v>
      </c>
      <c r="B650" t="s">
        <v>108</v>
      </c>
      <c r="C650" t="s">
        <v>41</v>
      </c>
      <c r="D650" t="s">
        <v>67</v>
      </c>
      <c r="E650" t="s">
        <v>442</v>
      </c>
      <c r="F650" t="s">
        <v>47</v>
      </c>
      <c r="G650" t="s">
        <v>46</v>
      </c>
      <c r="H650" t="s">
        <v>48</v>
      </c>
      <c r="I650">
        <v>0</v>
      </c>
      <c r="J650">
        <v>0</v>
      </c>
      <c r="K650">
        <v>1</v>
      </c>
      <c r="L650">
        <v>1</v>
      </c>
      <c r="M650">
        <v>1</v>
      </c>
      <c r="N650">
        <v>0</v>
      </c>
      <c r="O650">
        <v>1</v>
      </c>
      <c r="P650">
        <v>0</v>
      </c>
      <c r="Q650">
        <v>0</v>
      </c>
      <c r="R650">
        <v>0</v>
      </c>
      <c r="S650">
        <v>0</v>
      </c>
      <c r="T650">
        <v>0</v>
      </c>
      <c r="U650">
        <v>0</v>
      </c>
      <c r="V650">
        <v>1</v>
      </c>
    </row>
    <row r="651" spans="1:22" x14ac:dyDescent="0.2">
      <c r="A651" t="s">
        <v>699</v>
      </c>
      <c r="B651" t="s">
        <v>108</v>
      </c>
      <c r="C651" t="s">
        <v>41</v>
      </c>
      <c r="D651" t="s">
        <v>42</v>
      </c>
      <c r="E651" t="s">
        <v>442</v>
      </c>
      <c r="F651" t="s">
        <v>48</v>
      </c>
      <c r="G651" t="s">
        <v>59</v>
      </c>
      <c r="H651" t="s">
        <v>65</v>
      </c>
      <c r="I651">
        <v>0</v>
      </c>
      <c r="J651">
        <v>1</v>
      </c>
      <c r="K651">
        <v>1</v>
      </c>
      <c r="L651">
        <v>0</v>
      </c>
      <c r="M651">
        <v>0</v>
      </c>
      <c r="N651">
        <v>0</v>
      </c>
      <c r="O651">
        <v>1</v>
      </c>
      <c r="P651">
        <v>0</v>
      </c>
      <c r="Q651">
        <v>1</v>
      </c>
      <c r="R651">
        <v>0</v>
      </c>
      <c r="S651">
        <v>0</v>
      </c>
      <c r="T651">
        <v>0</v>
      </c>
      <c r="U651">
        <v>0</v>
      </c>
      <c r="V651">
        <v>0</v>
      </c>
    </row>
    <row r="652" spans="1:22" x14ac:dyDescent="0.2">
      <c r="A652" t="s">
        <v>701</v>
      </c>
      <c r="B652" t="s">
        <v>188</v>
      </c>
      <c r="C652" t="s">
        <v>41</v>
      </c>
      <c r="D652" t="s">
        <v>49</v>
      </c>
      <c r="E652" t="s">
        <v>442</v>
      </c>
      <c r="F652" t="s">
        <v>47</v>
      </c>
      <c r="G652" t="s">
        <v>60</v>
      </c>
      <c r="H652" t="s">
        <v>48</v>
      </c>
      <c r="I652">
        <v>1</v>
      </c>
      <c r="J652">
        <v>0</v>
      </c>
      <c r="K652">
        <v>1</v>
      </c>
      <c r="L652">
        <v>1</v>
      </c>
      <c r="M652">
        <v>0</v>
      </c>
      <c r="N652">
        <v>0</v>
      </c>
      <c r="O652">
        <v>1</v>
      </c>
      <c r="P652">
        <v>1</v>
      </c>
      <c r="Q652">
        <v>0</v>
      </c>
      <c r="R652">
        <v>0</v>
      </c>
      <c r="S652">
        <v>0</v>
      </c>
      <c r="T652">
        <v>0</v>
      </c>
      <c r="U652">
        <v>0</v>
      </c>
      <c r="V652">
        <v>0</v>
      </c>
    </row>
    <row r="653" spans="1:22" x14ac:dyDescent="0.2">
      <c r="A653" t="s">
        <v>701</v>
      </c>
      <c r="B653" t="s">
        <v>188</v>
      </c>
      <c r="C653" t="s">
        <v>41</v>
      </c>
      <c r="D653" t="s">
        <v>55</v>
      </c>
      <c r="E653" t="s">
        <v>442</v>
      </c>
      <c r="F653" t="s">
        <v>60</v>
      </c>
      <c r="G653" t="s">
        <v>48</v>
      </c>
      <c r="H653" t="s">
        <v>46</v>
      </c>
      <c r="I653">
        <v>1</v>
      </c>
      <c r="J653">
        <v>0</v>
      </c>
      <c r="K653">
        <v>1</v>
      </c>
      <c r="L653">
        <v>0</v>
      </c>
      <c r="M653">
        <v>1</v>
      </c>
      <c r="N653">
        <v>0</v>
      </c>
      <c r="O653">
        <v>1</v>
      </c>
      <c r="P653">
        <v>0</v>
      </c>
      <c r="Q653">
        <v>0</v>
      </c>
      <c r="R653">
        <v>1</v>
      </c>
      <c r="S653">
        <v>0</v>
      </c>
      <c r="T653">
        <v>0</v>
      </c>
      <c r="U653">
        <v>0</v>
      </c>
      <c r="V653">
        <v>0</v>
      </c>
    </row>
    <row r="654" spans="1:22" x14ac:dyDescent="0.2">
      <c r="A654" t="s">
        <v>701</v>
      </c>
      <c r="B654" t="s">
        <v>188</v>
      </c>
      <c r="C654" t="s">
        <v>41</v>
      </c>
      <c r="D654" t="s">
        <v>42</v>
      </c>
      <c r="E654" t="s">
        <v>442</v>
      </c>
      <c r="F654" t="s">
        <v>46</v>
      </c>
      <c r="G654" t="s">
        <v>48</v>
      </c>
      <c r="H654" t="s">
        <v>65</v>
      </c>
      <c r="I654">
        <v>0</v>
      </c>
      <c r="J654">
        <v>1</v>
      </c>
      <c r="K654">
        <v>1</v>
      </c>
      <c r="L654">
        <v>0</v>
      </c>
      <c r="M654">
        <v>1</v>
      </c>
      <c r="N654">
        <v>0</v>
      </c>
      <c r="O654">
        <v>1</v>
      </c>
      <c r="P654">
        <v>0</v>
      </c>
      <c r="Q654">
        <v>1</v>
      </c>
      <c r="R654">
        <v>0</v>
      </c>
      <c r="S654">
        <v>0</v>
      </c>
      <c r="T654">
        <v>0</v>
      </c>
      <c r="U654">
        <v>0</v>
      </c>
      <c r="V654">
        <v>0</v>
      </c>
    </row>
    <row r="655" spans="1:22" x14ac:dyDescent="0.2">
      <c r="A655" t="s">
        <v>703</v>
      </c>
      <c r="B655" t="s">
        <v>108</v>
      </c>
      <c r="C655" t="s">
        <v>41</v>
      </c>
      <c r="D655" t="s">
        <v>72</v>
      </c>
      <c r="E655" t="s">
        <v>442</v>
      </c>
      <c r="F655" t="s">
        <v>47</v>
      </c>
      <c r="G655" t="s">
        <v>65</v>
      </c>
      <c r="H655" t="s">
        <v>48</v>
      </c>
      <c r="I655">
        <v>0</v>
      </c>
      <c r="J655">
        <v>1</v>
      </c>
      <c r="K655">
        <v>1</v>
      </c>
      <c r="L655">
        <v>1</v>
      </c>
      <c r="M655">
        <v>0</v>
      </c>
      <c r="N655">
        <v>0</v>
      </c>
      <c r="O655">
        <v>1</v>
      </c>
      <c r="P655">
        <v>0</v>
      </c>
      <c r="Q655">
        <v>0</v>
      </c>
      <c r="R655">
        <v>0</v>
      </c>
      <c r="S655">
        <v>1</v>
      </c>
      <c r="T655">
        <v>0</v>
      </c>
      <c r="U655">
        <v>0</v>
      </c>
      <c r="V655">
        <v>0</v>
      </c>
    </row>
    <row r="656" spans="1:22" x14ac:dyDescent="0.2">
      <c r="A656" t="s">
        <v>703</v>
      </c>
      <c r="B656" t="s">
        <v>108</v>
      </c>
      <c r="C656" t="s">
        <v>41</v>
      </c>
      <c r="D656" t="s">
        <v>49</v>
      </c>
      <c r="E656" t="s">
        <v>442</v>
      </c>
      <c r="F656" t="s">
        <v>47</v>
      </c>
      <c r="G656" t="s">
        <v>65</v>
      </c>
      <c r="H656" t="s">
        <v>48</v>
      </c>
      <c r="I656">
        <v>0</v>
      </c>
      <c r="J656">
        <v>1</v>
      </c>
      <c r="K656">
        <v>1</v>
      </c>
      <c r="L656">
        <v>1</v>
      </c>
      <c r="M656">
        <v>0</v>
      </c>
      <c r="N656">
        <v>0</v>
      </c>
      <c r="O656">
        <v>1</v>
      </c>
      <c r="P656">
        <v>0</v>
      </c>
      <c r="Q656">
        <v>1</v>
      </c>
      <c r="R656">
        <v>1</v>
      </c>
      <c r="S656">
        <v>1</v>
      </c>
      <c r="T656">
        <v>0</v>
      </c>
      <c r="U656">
        <v>0</v>
      </c>
      <c r="V656">
        <v>0</v>
      </c>
    </row>
    <row r="657" spans="1:22" x14ac:dyDescent="0.2">
      <c r="A657" t="s">
        <v>703</v>
      </c>
      <c r="B657" t="s">
        <v>108</v>
      </c>
      <c r="C657" t="s">
        <v>41</v>
      </c>
      <c r="D657" t="s">
        <v>55</v>
      </c>
      <c r="E657" t="s">
        <v>442</v>
      </c>
      <c r="F657" t="s">
        <v>48</v>
      </c>
      <c r="G657" t="s">
        <v>46</v>
      </c>
      <c r="H657" t="s">
        <v>65</v>
      </c>
      <c r="I657">
        <v>0</v>
      </c>
      <c r="J657">
        <v>1</v>
      </c>
      <c r="K657">
        <v>1</v>
      </c>
      <c r="L657">
        <v>0</v>
      </c>
      <c r="M657">
        <v>1</v>
      </c>
      <c r="N657">
        <v>0</v>
      </c>
      <c r="O657">
        <v>1</v>
      </c>
      <c r="P657">
        <v>0</v>
      </c>
      <c r="Q657">
        <v>0</v>
      </c>
      <c r="R657">
        <v>0</v>
      </c>
      <c r="S657">
        <v>0</v>
      </c>
      <c r="T657">
        <v>0</v>
      </c>
      <c r="U657">
        <v>0</v>
      </c>
      <c r="V657">
        <v>1</v>
      </c>
    </row>
    <row r="658" spans="1:22" x14ac:dyDescent="0.2">
      <c r="A658" t="s">
        <v>703</v>
      </c>
      <c r="B658" t="s">
        <v>108</v>
      </c>
      <c r="C658" t="s">
        <v>41</v>
      </c>
      <c r="D658" t="s">
        <v>67</v>
      </c>
      <c r="E658" t="s">
        <v>442</v>
      </c>
      <c r="F658" t="s">
        <v>65</v>
      </c>
      <c r="G658" t="s">
        <v>47</v>
      </c>
      <c r="H658" t="s">
        <v>48</v>
      </c>
      <c r="I658">
        <v>0</v>
      </c>
      <c r="J658">
        <v>1</v>
      </c>
      <c r="K658">
        <v>1</v>
      </c>
      <c r="L658">
        <v>1</v>
      </c>
      <c r="M658">
        <v>0</v>
      </c>
      <c r="N658">
        <v>0</v>
      </c>
      <c r="O658">
        <v>1</v>
      </c>
      <c r="P658">
        <v>0</v>
      </c>
      <c r="Q658">
        <v>0</v>
      </c>
      <c r="R658">
        <v>0</v>
      </c>
      <c r="S658">
        <v>0</v>
      </c>
      <c r="T658">
        <v>0</v>
      </c>
      <c r="U658">
        <v>0</v>
      </c>
      <c r="V658">
        <v>1</v>
      </c>
    </row>
    <row r="659" spans="1:22" x14ac:dyDescent="0.2">
      <c r="A659" t="s">
        <v>703</v>
      </c>
      <c r="B659" t="s">
        <v>108</v>
      </c>
      <c r="C659" t="s">
        <v>41</v>
      </c>
      <c r="D659" t="s">
        <v>42</v>
      </c>
      <c r="E659" t="s">
        <v>442</v>
      </c>
      <c r="F659" t="s">
        <v>59</v>
      </c>
      <c r="G659" t="s">
        <v>47</v>
      </c>
      <c r="H659" t="s">
        <v>48</v>
      </c>
      <c r="I659">
        <v>0</v>
      </c>
      <c r="J659">
        <v>0</v>
      </c>
      <c r="K659">
        <v>1</v>
      </c>
      <c r="L659">
        <v>1</v>
      </c>
      <c r="M659">
        <v>0</v>
      </c>
      <c r="N659">
        <v>0</v>
      </c>
      <c r="O659">
        <v>1</v>
      </c>
      <c r="P659">
        <v>0</v>
      </c>
      <c r="Q659">
        <v>0</v>
      </c>
      <c r="R659">
        <v>1</v>
      </c>
      <c r="S659">
        <v>1</v>
      </c>
      <c r="T659">
        <v>0</v>
      </c>
      <c r="U659">
        <v>0</v>
      </c>
      <c r="V659">
        <v>0</v>
      </c>
    </row>
    <row r="660" spans="1:22" x14ac:dyDescent="0.2">
      <c r="A660" t="s">
        <v>703</v>
      </c>
      <c r="B660" t="s">
        <v>108</v>
      </c>
      <c r="C660" t="s">
        <v>41</v>
      </c>
      <c r="D660" t="s">
        <v>61</v>
      </c>
      <c r="E660" t="s">
        <v>442</v>
      </c>
      <c r="F660" t="s">
        <v>48</v>
      </c>
      <c r="G660" t="s">
        <v>65</v>
      </c>
      <c r="H660" t="s">
        <v>60</v>
      </c>
      <c r="I660">
        <v>1</v>
      </c>
      <c r="J660">
        <v>1</v>
      </c>
      <c r="K660">
        <v>1</v>
      </c>
      <c r="L660">
        <v>0</v>
      </c>
      <c r="M660">
        <v>0</v>
      </c>
      <c r="N660">
        <v>0</v>
      </c>
      <c r="O660">
        <v>1</v>
      </c>
      <c r="P660">
        <v>1</v>
      </c>
      <c r="Q660">
        <v>0</v>
      </c>
      <c r="R660">
        <v>0</v>
      </c>
      <c r="S660">
        <v>0</v>
      </c>
      <c r="T660">
        <v>0</v>
      </c>
      <c r="U660">
        <v>0</v>
      </c>
      <c r="V660">
        <v>0</v>
      </c>
    </row>
    <row r="661" spans="1:22" x14ac:dyDescent="0.2">
      <c r="A661" t="s">
        <v>706</v>
      </c>
      <c r="B661" t="s">
        <v>108</v>
      </c>
      <c r="C661" t="s">
        <v>41</v>
      </c>
      <c r="D661" t="s">
        <v>49</v>
      </c>
      <c r="E661" t="s">
        <v>442</v>
      </c>
      <c r="F661" t="s">
        <v>46</v>
      </c>
      <c r="G661" t="s">
        <v>48</v>
      </c>
      <c r="H661" t="s">
        <v>59</v>
      </c>
      <c r="I661">
        <v>0</v>
      </c>
      <c r="J661">
        <v>0</v>
      </c>
      <c r="K661">
        <v>1</v>
      </c>
      <c r="L661">
        <v>0</v>
      </c>
      <c r="M661">
        <v>1</v>
      </c>
      <c r="N661">
        <v>0</v>
      </c>
      <c r="O661">
        <v>1</v>
      </c>
      <c r="P661">
        <v>0</v>
      </c>
      <c r="Q661">
        <v>0</v>
      </c>
      <c r="R661">
        <v>1</v>
      </c>
      <c r="S661">
        <v>0</v>
      </c>
      <c r="T661">
        <v>1</v>
      </c>
      <c r="U661">
        <v>0</v>
      </c>
      <c r="V661">
        <v>0</v>
      </c>
    </row>
    <row r="662" spans="1:22" x14ac:dyDescent="0.2">
      <c r="A662" t="s">
        <v>706</v>
      </c>
      <c r="B662" t="s">
        <v>108</v>
      </c>
      <c r="C662" t="s">
        <v>41</v>
      </c>
      <c r="D662" t="s">
        <v>67</v>
      </c>
      <c r="E662" t="s">
        <v>442</v>
      </c>
      <c r="F662" t="s">
        <v>48</v>
      </c>
      <c r="G662" t="s">
        <v>47</v>
      </c>
      <c r="H662" t="s">
        <v>46</v>
      </c>
      <c r="I662">
        <v>0</v>
      </c>
      <c r="J662">
        <v>0</v>
      </c>
      <c r="K662">
        <v>1</v>
      </c>
      <c r="L662">
        <v>1</v>
      </c>
      <c r="M662">
        <v>1</v>
      </c>
      <c r="N662">
        <v>0</v>
      </c>
      <c r="O662">
        <v>1</v>
      </c>
      <c r="P662">
        <v>0</v>
      </c>
      <c r="Q662">
        <v>0</v>
      </c>
      <c r="R662">
        <v>1</v>
      </c>
      <c r="S662">
        <v>1</v>
      </c>
      <c r="T662">
        <v>1</v>
      </c>
      <c r="U662">
        <v>0</v>
      </c>
      <c r="V662">
        <v>0</v>
      </c>
    </row>
    <row r="663" spans="1:22" x14ac:dyDescent="0.2">
      <c r="A663" t="s">
        <v>706</v>
      </c>
      <c r="B663" t="s">
        <v>108</v>
      </c>
      <c r="C663" t="s">
        <v>41</v>
      </c>
      <c r="D663" t="s">
        <v>55</v>
      </c>
      <c r="E663" t="s">
        <v>442</v>
      </c>
      <c r="F663" t="s">
        <v>47</v>
      </c>
      <c r="G663" t="s">
        <v>65</v>
      </c>
      <c r="H663" t="s">
        <v>48</v>
      </c>
      <c r="I663">
        <v>0</v>
      </c>
      <c r="J663">
        <v>1</v>
      </c>
      <c r="K663">
        <v>1</v>
      </c>
      <c r="L663">
        <v>1</v>
      </c>
      <c r="M663">
        <v>0</v>
      </c>
      <c r="N663">
        <v>0</v>
      </c>
      <c r="O663">
        <v>1</v>
      </c>
      <c r="P663">
        <v>0</v>
      </c>
      <c r="Q663">
        <v>1</v>
      </c>
      <c r="R663">
        <v>1</v>
      </c>
      <c r="S663">
        <v>1</v>
      </c>
      <c r="T663">
        <v>0</v>
      </c>
      <c r="U663">
        <v>0</v>
      </c>
      <c r="V663">
        <v>0</v>
      </c>
    </row>
    <row r="664" spans="1:22" x14ac:dyDescent="0.2">
      <c r="A664" t="s">
        <v>710</v>
      </c>
      <c r="B664" t="s">
        <v>108</v>
      </c>
      <c r="C664" t="s">
        <v>41</v>
      </c>
      <c r="D664" t="s">
        <v>55</v>
      </c>
      <c r="E664" t="s">
        <v>442</v>
      </c>
      <c r="F664" t="s">
        <v>47</v>
      </c>
      <c r="G664" t="s">
        <v>59</v>
      </c>
      <c r="H664" t="s">
        <v>48</v>
      </c>
      <c r="I664">
        <v>0</v>
      </c>
      <c r="J664">
        <v>0</v>
      </c>
      <c r="K664">
        <v>1</v>
      </c>
      <c r="L664">
        <v>1</v>
      </c>
      <c r="M664">
        <v>0</v>
      </c>
      <c r="N664">
        <v>0</v>
      </c>
      <c r="O664">
        <v>1</v>
      </c>
      <c r="P664">
        <v>0</v>
      </c>
      <c r="Q664">
        <v>0</v>
      </c>
      <c r="R664">
        <v>0</v>
      </c>
      <c r="S664">
        <v>1</v>
      </c>
      <c r="T664">
        <v>0</v>
      </c>
      <c r="U664">
        <v>0</v>
      </c>
      <c r="V664">
        <v>0</v>
      </c>
    </row>
    <row r="665" spans="1:22" x14ac:dyDescent="0.2">
      <c r="A665" t="s">
        <v>710</v>
      </c>
      <c r="B665" t="s">
        <v>108</v>
      </c>
      <c r="C665" t="s">
        <v>41</v>
      </c>
      <c r="D665" t="s">
        <v>72</v>
      </c>
      <c r="E665" t="s">
        <v>442</v>
      </c>
      <c r="F665" t="s">
        <v>59</v>
      </c>
      <c r="G665" t="s">
        <v>46</v>
      </c>
      <c r="H665" t="s">
        <v>48</v>
      </c>
      <c r="I665">
        <v>0</v>
      </c>
      <c r="J665">
        <v>0</v>
      </c>
      <c r="K665">
        <v>1</v>
      </c>
      <c r="L665">
        <v>0</v>
      </c>
      <c r="M665">
        <v>1</v>
      </c>
      <c r="N665">
        <v>0</v>
      </c>
      <c r="O665">
        <v>1</v>
      </c>
      <c r="P665">
        <v>0</v>
      </c>
      <c r="Q665">
        <v>0</v>
      </c>
      <c r="R665">
        <v>0</v>
      </c>
      <c r="S665">
        <v>0</v>
      </c>
      <c r="T665">
        <v>0</v>
      </c>
      <c r="U665">
        <v>0</v>
      </c>
      <c r="V665">
        <v>1</v>
      </c>
    </row>
    <row r="666" spans="1:22" x14ac:dyDescent="0.2">
      <c r="A666" t="s">
        <v>713</v>
      </c>
      <c r="B666" t="s">
        <v>108</v>
      </c>
      <c r="C666" t="s">
        <v>41</v>
      </c>
      <c r="D666" t="s">
        <v>67</v>
      </c>
      <c r="E666" t="s">
        <v>442</v>
      </c>
      <c r="F666" t="s">
        <v>48</v>
      </c>
      <c r="G666" t="s">
        <v>65</v>
      </c>
      <c r="H666" t="s">
        <v>59</v>
      </c>
      <c r="I666">
        <v>0</v>
      </c>
      <c r="J666">
        <v>1</v>
      </c>
      <c r="K666">
        <v>1</v>
      </c>
      <c r="L666">
        <v>0</v>
      </c>
      <c r="M666">
        <v>0</v>
      </c>
      <c r="N666">
        <v>0</v>
      </c>
      <c r="O666">
        <v>1</v>
      </c>
      <c r="P666">
        <v>0</v>
      </c>
      <c r="Q666">
        <v>1</v>
      </c>
      <c r="R666">
        <v>1</v>
      </c>
      <c r="S666">
        <v>0</v>
      </c>
      <c r="T666">
        <v>0</v>
      </c>
      <c r="U666">
        <v>0</v>
      </c>
      <c r="V666">
        <v>0</v>
      </c>
    </row>
    <row r="667" spans="1:22" x14ac:dyDescent="0.2">
      <c r="A667" t="s">
        <v>713</v>
      </c>
      <c r="B667" t="s">
        <v>108</v>
      </c>
      <c r="C667" t="s">
        <v>41</v>
      </c>
      <c r="D667" t="s">
        <v>55</v>
      </c>
      <c r="E667" t="s">
        <v>442</v>
      </c>
      <c r="F667" t="s">
        <v>46</v>
      </c>
      <c r="G667" t="s">
        <v>48</v>
      </c>
      <c r="H667" t="s">
        <v>65</v>
      </c>
      <c r="I667">
        <v>0</v>
      </c>
      <c r="J667">
        <v>1</v>
      </c>
      <c r="K667">
        <v>1</v>
      </c>
      <c r="L667">
        <v>0</v>
      </c>
      <c r="M667">
        <v>1</v>
      </c>
      <c r="N667">
        <v>0</v>
      </c>
      <c r="O667">
        <v>1</v>
      </c>
      <c r="P667">
        <v>0</v>
      </c>
      <c r="Q667">
        <v>1</v>
      </c>
      <c r="R667">
        <v>1</v>
      </c>
      <c r="S667">
        <v>0</v>
      </c>
      <c r="T667">
        <v>1</v>
      </c>
      <c r="U667">
        <v>0</v>
      </c>
      <c r="V667">
        <v>0</v>
      </c>
    </row>
    <row r="668" spans="1:22" x14ac:dyDescent="0.2">
      <c r="A668" t="s">
        <v>713</v>
      </c>
      <c r="B668" t="s">
        <v>108</v>
      </c>
      <c r="C668" t="s">
        <v>41</v>
      </c>
      <c r="D668" t="s">
        <v>61</v>
      </c>
      <c r="E668" t="s">
        <v>442</v>
      </c>
      <c r="F668" t="s">
        <v>48</v>
      </c>
      <c r="G668" t="s">
        <v>47</v>
      </c>
      <c r="H668" t="s">
        <v>59</v>
      </c>
      <c r="I668">
        <v>0</v>
      </c>
      <c r="J668">
        <v>0</v>
      </c>
      <c r="K668">
        <v>1</v>
      </c>
      <c r="L668">
        <v>1</v>
      </c>
      <c r="M668">
        <v>0</v>
      </c>
      <c r="N668">
        <v>0</v>
      </c>
      <c r="O668">
        <v>1</v>
      </c>
      <c r="P668">
        <v>0</v>
      </c>
      <c r="Q668">
        <v>0</v>
      </c>
      <c r="R668">
        <v>1</v>
      </c>
      <c r="S668">
        <v>1</v>
      </c>
      <c r="T668">
        <v>0</v>
      </c>
      <c r="U668">
        <v>0</v>
      </c>
      <c r="V668">
        <v>0</v>
      </c>
    </row>
    <row r="669" spans="1:22" x14ac:dyDescent="0.2">
      <c r="A669" t="s">
        <v>716</v>
      </c>
      <c r="B669" t="s">
        <v>108</v>
      </c>
      <c r="C669" t="s">
        <v>41</v>
      </c>
      <c r="D669" t="s">
        <v>42</v>
      </c>
      <c r="E669" t="s">
        <v>442</v>
      </c>
      <c r="F669" t="s">
        <v>65</v>
      </c>
      <c r="G669" t="s">
        <v>48</v>
      </c>
      <c r="H669" t="s">
        <v>59</v>
      </c>
      <c r="I669">
        <v>0</v>
      </c>
      <c r="J669">
        <v>1</v>
      </c>
      <c r="K669">
        <v>1</v>
      </c>
      <c r="L669">
        <v>0</v>
      </c>
      <c r="M669">
        <v>0</v>
      </c>
      <c r="N669">
        <v>0</v>
      </c>
      <c r="O669">
        <v>1</v>
      </c>
      <c r="P669">
        <v>0</v>
      </c>
      <c r="Q669">
        <v>0</v>
      </c>
      <c r="R669">
        <v>0</v>
      </c>
      <c r="S669">
        <v>0</v>
      </c>
      <c r="T669">
        <v>0</v>
      </c>
      <c r="U669">
        <v>0</v>
      </c>
      <c r="V669">
        <v>1</v>
      </c>
    </row>
    <row r="670" spans="1:22" x14ac:dyDescent="0.2">
      <c r="A670" t="s">
        <v>716</v>
      </c>
      <c r="B670" t="s">
        <v>108</v>
      </c>
      <c r="C670" t="s">
        <v>41</v>
      </c>
      <c r="D670" t="s">
        <v>55</v>
      </c>
      <c r="E670" t="s">
        <v>442</v>
      </c>
      <c r="F670" t="s">
        <v>46</v>
      </c>
      <c r="G670" t="s">
        <v>48</v>
      </c>
      <c r="H670" t="s">
        <v>47</v>
      </c>
      <c r="I670">
        <v>0</v>
      </c>
      <c r="J670">
        <v>0</v>
      </c>
      <c r="K670">
        <v>1</v>
      </c>
      <c r="L670">
        <v>1</v>
      </c>
      <c r="M670">
        <v>1</v>
      </c>
      <c r="N670">
        <v>0</v>
      </c>
      <c r="O670">
        <v>1</v>
      </c>
      <c r="P670">
        <v>0</v>
      </c>
      <c r="Q670">
        <v>0</v>
      </c>
      <c r="R670">
        <v>0</v>
      </c>
      <c r="S670">
        <v>0</v>
      </c>
      <c r="T670">
        <v>0</v>
      </c>
      <c r="U670">
        <v>0</v>
      </c>
      <c r="V670">
        <v>1</v>
      </c>
    </row>
    <row r="671" spans="1:22" x14ac:dyDescent="0.2">
      <c r="A671" t="s">
        <v>716</v>
      </c>
      <c r="B671" t="s">
        <v>108</v>
      </c>
      <c r="C671" t="s">
        <v>41</v>
      </c>
      <c r="D671" t="s">
        <v>61</v>
      </c>
      <c r="E671" t="s">
        <v>442</v>
      </c>
      <c r="F671" t="s">
        <v>65</v>
      </c>
      <c r="G671" t="s">
        <v>46</v>
      </c>
      <c r="H671" t="s">
        <v>48</v>
      </c>
      <c r="I671">
        <v>0</v>
      </c>
      <c r="J671">
        <v>1</v>
      </c>
      <c r="K671">
        <v>1</v>
      </c>
      <c r="L671">
        <v>0</v>
      </c>
      <c r="M671">
        <v>1</v>
      </c>
      <c r="N671">
        <v>0</v>
      </c>
      <c r="O671">
        <v>1</v>
      </c>
      <c r="P671">
        <v>0</v>
      </c>
      <c r="Q671">
        <v>1</v>
      </c>
      <c r="R671">
        <v>1</v>
      </c>
      <c r="S671">
        <v>0</v>
      </c>
      <c r="T671">
        <v>1</v>
      </c>
      <c r="U671">
        <v>0</v>
      </c>
      <c r="V671">
        <v>0</v>
      </c>
    </row>
    <row r="672" spans="1:22" x14ac:dyDescent="0.2">
      <c r="A672" t="s">
        <v>719</v>
      </c>
      <c r="B672" t="s">
        <v>108</v>
      </c>
      <c r="C672" t="s">
        <v>41</v>
      </c>
      <c r="D672" t="s">
        <v>67</v>
      </c>
      <c r="E672" t="s">
        <v>442</v>
      </c>
      <c r="F672" t="s">
        <v>48</v>
      </c>
      <c r="G672" t="s">
        <v>46</v>
      </c>
      <c r="H672" t="s">
        <v>65</v>
      </c>
      <c r="I672">
        <v>0</v>
      </c>
      <c r="J672">
        <v>1</v>
      </c>
      <c r="K672">
        <v>1</v>
      </c>
      <c r="L672">
        <v>0</v>
      </c>
      <c r="M672">
        <v>1</v>
      </c>
      <c r="N672">
        <v>0</v>
      </c>
      <c r="O672">
        <v>1</v>
      </c>
      <c r="P672">
        <v>0</v>
      </c>
      <c r="Q672">
        <v>1</v>
      </c>
      <c r="R672">
        <v>0</v>
      </c>
      <c r="S672">
        <v>0</v>
      </c>
      <c r="T672">
        <v>0</v>
      </c>
      <c r="U672">
        <v>0</v>
      </c>
      <c r="V672">
        <v>0</v>
      </c>
    </row>
    <row r="673" spans="1:22" x14ac:dyDescent="0.2">
      <c r="A673" t="s">
        <v>719</v>
      </c>
      <c r="B673" t="s">
        <v>108</v>
      </c>
      <c r="C673" t="s">
        <v>41</v>
      </c>
      <c r="D673" t="s">
        <v>55</v>
      </c>
      <c r="E673" t="s">
        <v>442</v>
      </c>
      <c r="F673" t="s">
        <v>60</v>
      </c>
      <c r="G673" t="s">
        <v>46</v>
      </c>
      <c r="H673" t="s">
        <v>48</v>
      </c>
      <c r="I673">
        <v>1</v>
      </c>
      <c r="J673">
        <v>0</v>
      </c>
      <c r="K673">
        <v>1</v>
      </c>
      <c r="L673">
        <v>0</v>
      </c>
      <c r="M673">
        <v>1</v>
      </c>
      <c r="N673">
        <v>0</v>
      </c>
      <c r="O673">
        <v>1</v>
      </c>
      <c r="P673">
        <v>0</v>
      </c>
      <c r="Q673">
        <v>0</v>
      </c>
      <c r="R673">
        <v>0</v>
      </c>
      <c r="S673">
        <v>0</v>
      </c>
      <c r="T673">
        <v>0</v>
      </c>
      <c r="U673">
        <v>0</v>
      </c>
      <c r="V673">
        <v>1</v>
      </c>
    </row>
    <row r="674" spans="1:22" x14ac:dyDescent="0.2">
      <c r="A674" t="s">
        <v>719</v>
      </c>
      <c r="B674" t="s">
        <v>108</v>
      </c>
      <c r="C674" t="s">
        <v>41</v>
      </c>
      <c r="D674" t="s">
        <v>61</v>
      </c>
      <c r="E674" t="s">
        <v>442</v>
      </c>
      <c r="F674" t="s">
        <v>65</v>
      </c>
      <c r="G674" t="s">
        <v>47</v>
      </c>
      <c r="H674" t="s">
        <v>48</v>
      </c>
      <c r="I674">
        <v>0</v>
      </c>
      <c r="J674">
        <v>1</v>
      </c>
      <c r="K674">
        <v>1</v>
      </c>
      <c r="L674">
        <v>1</v>
      </c>
      <c r="M674">
        <v>0</v>
      </c>
      <c r="N674">
        <v>0</v>
      </c>
      <c r="O674">
        <v>1</v>
      </c>
      <c r="P674">
        <v>0</v>
      </c>
      <c r="Q674">
        <v>1</v>
      </c>
      <c r="R674">
        <v>0</v>
      </c>
      <c r="S674">
        <v>0</v>
      </c>
      <c r="T674">
        <v>0</v>
      </c>
      <c r="U674">
        <v>0</v>
      </c>
      <c r="V674">
        <v>0</v>
      </c>
    </row>
    <row r="675" spans="1:22" x14ac:dyDescent="0.2">
      <c r="A675" t="s">
        <v>719</v>
      </c>
      <c r="B675" t="s">
        <v>108</v>
      </c>
      <c r="C675" t="s">
        <v>41</v>
      </c>
      <c r="D675" t="s">
        <v>42</v>
      </c>
      <c r="E675" t="s">
        <v>442</v>
      </c>
      <c r="F675" t="s">
        <v>47</v>
      </c>
      <c r="G675" t="s">
        <v>65</v>
      </c>
      <c r="H675" t="s">
        <v>48</v>
      </c>
      <c r="I675">
        <v>0</v>
      </c>
      <c r="J675">
        <v>1</v>
      </c>
      <c r="K675">
        <v>1</v>
      </c>
      <c r="L675">
        <v>1</v>
      </c>
      <c r="M675">
        <v>0</v>
      </c>
      <c r="N675">
        <v>0</v>
      </c>
      <c r="O675">
        <v>1</v>
      </c>
      <c r="P675">
        <v>0</v>
      </c>
      <c r="Q675">
        <v>1</v>
      </c>
      <c r="R675">
        <v>0</v>
      </c>
      <c r="S675">
        <v>1</v>
      </c>
      <c r="T675">
        <v>0</v>
      </c>
      <c r="U675">
        <v>0</v>
      </c>
      <c r="V675">
        <v>0</v>
      </c>
    </row>
    <row r="676" spans="1:22" x14ac:dyDescent="0.2">
      <c r="A676" t="s">
        <v>722</v>
      </c>
      <c r="B676" t="s">
        <v>33</v>
      </c>
      <c r="C676" t="s">
        <v>41</v>
      </c>
      <c r="D676" t="s">
        <v>72</v>
      </c>
      <c r="E676" t="s">
        <v>442</v>
      </c>
      <c r="F676" t="s">
        <v>47</v>
      </c>
      <c r="G676" t="s">
        <v>48</v>
      </c>
      <c r="H676" t="s">
        <v>65</v>
      </c>
      <c r="I676">
        <v>0</v>
      </c>
      <c r="J676">
        <v>1</v>
      </c>
      <c r="K676">
        <v>1</v>
      </c>
      <c r="L676">
        <v>1</v>
      </c>
      <c r="M676">
        <v>0</v>
      </c>
      <c r="N676">
        <v>0</v>
      </c>
      <c r="O676">
        <v>1</v>
      </c>
      <c r="P676">
        <v>0</v>
      </c>
      <c r="Q676">
        <v>0</v>
      </c>
      <c r="R676">
        <v>1</v>
      </c>
      <c r="S676">
        <v>0</v>
      </c>
      <c r="T676">
        <v>0</v>
      </c>
      <c r="U676">
        <v>0</v>
      </c>
      <c r="V676">
        <v>0</v>
      </c>
    </row>
    <row r="677" spans="1:22" x14ac:dyDescent="0.2">
      <c r="A677" t="s">
        <v>722</v>
      </c>
      <c r="B677" t="s">
        <v>33</v>
      </c>
      <c r="C677" t="s">
        <v>41</v>
      </c>
      <c r="D677" t="s">
        <v>55</v>
      </c>
      <c r="E677" t="s">
        <v>442</v>
      </c>
      <c r="F677" t="s">
        <v>59</v>
      </c>
      <c r="G677" t="s">
        <v>46</v>
      </c>
      <c r="H677" t="s">
        <v>48</v>
      </c>
      <c r="I677">
        <v>0</v>
      </c>
      <c r="J677">
        <v>0</v>
      </c>
      <c r="K677">
        <v>1</v>
      </c>
      <c r="L677">
        <v>0</v>
      </c>
      <c r="M677">
        <v>1</v>
      </c>
      <c r="N677">
        <v>0</v>
      </c>
      <c r="O677">
        <v>1</v>
      </c>
      <c r="P677">
        <v>0</v>
      </c>
      <c r="Q677">
        <v>0</v>
      </c>
      <c r="R677">
        <v>0</v>
      </c>
      <c r="S677">
        <v>0</v>
      </c>
      <c r="T677">
        <v>1</v>
      </c>
      <c r="U677">
        <v>0</v>
      </c>
      <c r="V677">
        <v>0</v>
      </c>
    </row>
    <row r="678" spans="1:22" x14ac:dyDescent="0.2">
      <c r="A678" t="s">
        <v>723</v>
      </c>
      <c r="B678" t="s">
        <v>33</v>
      </c>
      <c r="C678" t="s">
        <v>41</v>
      </c>
      <c r="D678" t="s">
        <v>55</v>
      </c>
      <c r="E678" t="s">
        <v>442</v>
      </c>
      <c r="F678" t="s">
        <v>59</v>
      </c>
      <c r="G678" t="s">
        <v>48</v>
      </c>
      <c r="H678" t="s">
        <v>47</v>
      </c>
      <c r="I678">
        <v>0</v>
      </c>
      <c r="J678">
        <v>0</v>
      </c>
      <c r="K678">
        <v>1</v>
      </c>
      <c r="L678">
        <v>1</v>
      </c>
      <c r="M678">
        <v>0</v>
      </c>
      <c r="N678">
        <v>0</v>
      </c>
      <c r="O678">
        <v>1</v>
      </c>
      <c r="P678">
        <v>0</v>
      </c>
      <c r="Q678">
        <v>0</v>
      </c>
      <c r="R678">
        <v>1</v>
      </c>
      <c r="S678">
        <v>1</v>
      </c>
      <c r="T678">
        <v>0</v>
      </c>
      <c r="U678">
        <v>0</v>
      </c>
      <c r="V678">
        <v>0</v>
      </c>
    </row>
    <row r="679" spans="1:22" x14ac:dyDescent="0.2">
      <c r="A679" t="s">
        <v>723</v>
      </c>
      <c r="B679" t="s">
        <v>33</v>
      </c>
      <c r="C679" t="s">
        <v>41</v>
      </c>
      <c r="D679" t="s">
        <v>67</v>
      </c>
      <c r="E679" t="s">
        <v>442</v>
      </c>
      <c r="F679" t="s">
        <v>47</v>
      </c>
      <c r="G679" t="s">
        <v>65</v>
      </c>
      <c r="H679" t="s">
        <v>48</v>
      </c>
      <c r="I679">
        <v>0</v>
      </c>
      <c r="J679">
        <v>1</v>
      </c>
      <c r="K679">
        <v>1</v>
      </c>
      <c r="L679">
        <v>1</v>
      </c>
      <c r="M679">
        <v>0</v>
      </c>
      <c r="N679">
        <v>0</v>
      </c>
      <c r="O679">
        <v>1</v>
      </c>
      <c r="P679">
        <v>0</v>
      </c>
      <c r="Q679">
        <v>1</v>
      </c>
      <c r="R679">
        <v>1</v>
      </c>
      <c r="S679">
        <v>1</v>
      </c>
      <c r="T679">
        <v>0</v>
      </c>
      <c r="U679">
        <v>0</v>
      </c>
      <c r="V679">
        <v>0</v>
      </c>
    </row>
    <row r="680" spans="1:22" x14ac:dyDescent="0.2">
      <c r="A680" t="s">
        <v>723</v>
      </c>
      <c r="B680" t="s">
        <v>33</v>
      </c>
      <c r="C680" t="s">
        <v>41</v>
      </c>
      <c r="D680" t="s">
        <v>42</v>
      </c>
      <c r="E680" t="s">
        <v>442</v>
      </c>
      <c r="F680" t="s">
        <v>47</v>
      </c>
      <c r="G680" t="s">
        <v>65</v>
      </c>
      <c r="H680" t="s">
        <v>48</v>
      </c>
      <c r="I680">
        <v>0</v>
      </c>
      <c r="J680">
        <v>1</v>
      </c>
      <c r="K680">
        <v>1</v>
      </c>
      <c r="L680">
        <v>1</v>
      </c>
      <c r="M680">
        <v>0</v>
      </c>
      <c r="N680">
        <v>0</v>
      </c>
      <c r="O680">
        <v>1</v>
      </c>
      <c r="P680">
        <v>0</v>
      </c>
      <c r="Q680">
        <v>1</v>
      </c>
      <c r="R680">
        <v>1</v>
      </c>
      <c r="S680">
        <v>1</v>
      </c>
      <c r="T680">
        <v>0</v>
      </c>
      <c r="U680">
        <v>0</v>
      </c>
      <c r="V680">
        <v>0</v>
      </c>
    </row>
    <row r="681" spans="1:22" x14ac:dyDescent="0.2">
      <c r="A681" t="s">
        <v>723</v>
      </c>
      <c r="B681" t="s">
        <v>33</v>
      </c>
      <c r="C681" t="s">
        <v>41</v>
      </c>
      <c r="D681" t="s">
        <v>49</v>
      </c>
      <c r="E681" t="s">
        <v>442</v>
      </c>
      <c r="F681" t="s">
        <v>48</v>
      </c>
      <c r="G681" t="s">
        <v>46</v>
      </c>
      <c r="H681" t="s">
        <v>65</v>
      </c>
      <c r="I681">
        <v>0</v>
      </c>
      <c r="J681">
        <v>1</v>
      </c>
      <c r="K681">
        <v>1</v>
      </c>
      <c r="L681">
        <v>0</v>
      </c>
      <c r="M681">
        <v>1</v>
      </c>
      <c r="N681">
        <v>0</v>
      </c>
      <c r="O681">
        <v>1</v>
      </c>
      <c r="P681">
        <v>0</v>
      </c>
      <c r="Q681">
        <v>1</v>
      </c>
      <c r="R681">
        <v>1</v>
      </c>
      <c r="S681">
        <v>0</v>
      </c>
      <c r="T681">
        <v>1</v>
      </c>
      <c r="U681">
        <v>0</v>
      </c>
      <c r="V681">
        <v>0</v>
      </c>
    </row>
    <row r="682" spans="1:22" x14ac:dyDescent="0.2">
      <c r="A682" t="s">
        <v>725</v>
      </c>
      <c r="B682" t="s">
        <v>108</v>
      </c>
      <c r="C682" t="s">
        <v>41</v>
      </c>
      <c r="D682" t="s">
        <v>55</v>
      </c>
      <c r="E682" t="s">
        <v>442</v>
      </c>
      <c r="F682" t="s">
        <v>65</v>
      </c>
      <c r="G682" t="s">
        <v>48</v>
      </c>
      <c r="H682" t="s">
        <v>60</v>
      </c>
      <c r="I682">
        <v>1</v>
      </c>
      <c r="J682">
        <v>1</v>
      </c>
      <c r="K682">
        <v>1</v>
      </c>
      <c r="L682">
        <v>0</v>
      </c>
      <c r="M682">
        <v>0</v>
      </c>
      <c r="N682">
        <v>0</v>
      </c>
      <c r="O682">
        <v>1</v>
      </c>
      <c r="P682">
        <v>0</v>
      </c>
      <c r="Q682">
        <v>1</v>
      </c>
      <c r="R682">
        <v>0</v>
      </c>
      <c r="S682">
        <v>0</v>
      </c>
      <c r="T682">
        <v>0</v>
      </c>
      <c r="U682">
        <v>0</v>
      </c>
      <c r="V682">
        <v>0</v>
      </c>
    </row>
    <row r="683" spans="1:22" x14ac:dyDescent="0.2">
      <c r="A683" t="s">
        <v>725</v>
      </c>
      <c r="B683" t="s">
        <v>108</v>
      </c>
      <c r="C683" t="s">
        <v>41</v>
      </c>
      <c r="D683" t="s">
        <v>61</v>
      </c>
      <c r="E683" t="s">
        <v>442</v>
      </c>
      <c r="F683" t="s">
        <v>48</v>
      </c>
      <c r="G683" t="s">
        <v>59</v>
      </c>
      <c r="H683" t="s">
        <v>46</v>
      </c>
      <c r="I683">
        <v>0</v>
      </c>
      <c r="J683">
        <v>0</v>
      </c>
      <c r="K683">
        <v>1</v>
      </c>
      <c r="L683">
        <v>0</v>
      </c>
      <c r="M683">
        <v>1</v>
      </c>
      <c r="N683">
        <v>0</v>
      </c>
      <c r="O683">
        <v>1</v>
      </c>
      <c r="P683">
        <v>0</v>
      </c>
      <c r="Q683">
        <v>0</v>
      </c>
      <c r="R683">
        <v>0</v>
      </c>
      <c r="S683">
        <v>0</v>
      </c>
      <c r="T683">
        <v>0</v>
      </c>
      <c r="U683">
        <v>0</v>
      </c>
      <c r="V683">
        <v>1</v>
      </c>
    </row>
    <row r="684" spans="1:22" x14ac:dyDescent="0.2">
      <c r="A684" t="s">
        <v>725</v>
      </c>
      <c r="B684" t="s">
        <v>108</v>
      </c>
      <c r="C684" t="s">
        <v>41</v>
      </c>
      <c r="D684" t="s">
        <v>49</v>
      </c>
      <c r="E684" t="s">
        <v>442</v>
      </c>
      <c r="F684" t="s">
        <v>60</v>
      </c>
      <c r="G684" t="s">
        <v>48</v>
      </c>
      <c r="H684" t="s">
        <v>46</v>
      </c>
      <c r="I684">
        <v>1</v>
      </c>
      <c r="J684">
        <v>0</v>
      </c>
      <c r="K684">
        <v>1</v>
      </c>
      <c r="L684">
        <v>0</v>
      </c>
      <c r="M684">
        <v>1</v>
      </c>
      <c r="N684">
        <v>0</v>
      </c>
      <c r="O684">
        <v>1</v>
      </c>
      <c r="P684">
        <v>1</v>
      </c>
      <c r="Q684">
        <v>0</v>
      </c>
      <c r="R684">
        <v>0</v>
      </c>
      <c r="S684">
        <v>0</v>
      </c>
      <c r="T684">
        <v>0</v>
      </c>
      <c r="U684">
        <v>0</v>
      </c>
      <c r="V684">
        <v>0</v>
      </c>
    </row>
    <row r="685" spans="1:22" x14ac:dyDescent="0.2">
      <c r="A685" t="s">
        <v>729</v>
      </c>
      <c r="B685" t="s">
        <v>108</v>
      </c>
      <c r="C685" t="s">
        <v>41</v>
      </c>
      <c r="D685" t="s">
        <v>61</v>
      </c>
      <c r="E685" t="s">
        <v>442</v>
      </c>
      <c r="F685" t="s">
        <v>48</v>
      </c>
      <c r="G685" t="s">
        <v>46</v>
      </c>
      <c r="H685" t="s">
        <v>65</v>
      </c>
      <c r="I685">
        <v>0</v>
      </c>
      <c r="J685">
        <v>1</v>
      </c>
      <c r="K685">
        <v>1</v>
      </c>
      <c r="L685">
        <v>0</v>
      </c>
      <c r="M685">
        <v>1</v>
      </c>
      <c r="N685">
        <v>0</v>
      </c>
      <c r="O685">
        <v>1</v>
      </c>
      <c r="P685">
        <v>0</v>
      </c>
      <c r="Q685">
        <v>1</v>
      </c>
      <c r="R685">
        <v>1</v>
      </c>
      <c r="S685">
        <v>0</v>
      </c>
      <c r="T685">
        <v>1</v>
      </c>
      <c r="U685">
        <v>0</v>
      </c>
      <c r="V685">
        <v>0</v>
      </c>
    </row>
    <row r="686" spans="1:22" x14ac:dyDescent="0.2">
      <c r="A686" t="s">
        <v>729</v>
      </c>
      <c r="B686" t="s">
        <v>108</v>
      </c>
      <c r="C686" t="s">
        <v>41</v>
      </c>
      <c r="D686" t="s">
        <v>67</v>
      </c>
      <c r="E686" t="s">
        <v>442</v>
      </c>
      <c r="F686" t="s">
        <v>48</v>
      </c>
      <c r="G686" t="s">
        <v>65</v>
      </c>
      <c r="H686" t="s">
        <v>46</v>
      </c>
      <c r="I686">
        <v>0</v>
      </c>
      <c r="J686">
        <v>1</v>
      </c>
      <c r="K686">
        <v>1</v>
      </c>
      <c r="L686">
        <v>0</v>
      </c>
      <c r="M686">
        <v>1</v>
      </c>
      <c r="N686">
        <v>0</v>
      </c>
      <c r="O686">
        <v>1</v>
      </c>
      <c r="P686">
        <v>0</v>
      </c>
      <c r="Q686">
        <v>1</v>
      </c>
      <c r="R686">
        <v>0</v>
      </c>
      <c r="S686">
        <v>0</v>
      </c>
      <c r="T686">
        <v>0</v>
      </c>
      <c r="U686">
        <v>0</v>
      </c>
      <c r="V686">
        <v>0</v>
      </c>
    </row>
    <row r="687" spans="1:22" x14ac:dyDescent="0.2">
      <c r="A687" t="s">
        <v>729</v>
      </c>
      <c r="B687" t="s">
        <v>108</v>
      </c>
      <c r="C687" t="s">
        <v>41</v>
      </c>
      <c r="D687" t="s">
        <v>72</v>
      </c>
      <c r="E687" t="s">
        <v>442</v>
      </c>
      <c r="F687" t="s">
        <v>46</v>
      </c>
      <c r="G687" t="s">
        <v>48</v>
      </c>
      <c r="H687" t="s">
        <v>60</v>
      </c>
      <c r="I687">
        <v>1</v>
      </c>
      <c r="J687">
        <v>0</v>
      </c>
      <c r="K687">
        <v>1</v>
      </c>
      <c r="L687">
        <v>0</v>
      </c>
      <c r="M687">
        <v>1</v>
      </c>
      <c r="N687">
        <v>0</v>
      </c>
      <c r="O687">
        <v>1</v>
      </c>
      <c r="P687">
        <v>0</v>
      </c>
      <c r="Q687">
        <v>0</v>
      </c>
      <c r="R687">
        <v>0</v>
      </c>
      <c r="S687">
        <v>0</v>
      </c>
      <c r="T687">
        <v>0</v>
      </c>
      <c r="U687">
        <v>0</v>
      </c>
      <c r="V687">
        <v>1</v>
      </c>
    </row>
    <row r="688" spans="1:22" x14ac:dyDescent="0.2">
      <c r="A688" t="s">
        <v>729</v>
      </c>
      <c r="B688" t="s">
        <v>108</v>
      </c>
      <c r="C688" t="s">
        <v>41</v>
      </c>
      <c r="D688" t="s">
        <v>55</v>
      </c>
      <c r="E688" t="s">
        <v>442</v>
      </c>
      <c r="F688" t="s">
        <v>48</v>
      </c>
      <c r="G688" t="s">
        <v>59</v>
      </c>
      <c r="H688" t="s">
        <v>65</v>
      </c>
      <c r="I688">
        <v>0</v>
      </c>
      <c r="J688">
        <v>1</v>
      </c>
      <c r="K688">
        <v>1</v>
      </c>
      <c r="L688">
        <v>0</v>
      </c>
      <c r="M688">
        <v>0</v>
      </c>
      <c r="N688">
        <v>0</v>
      </c>
      <c r="O688">
        <v>1</v>
      </c>
      <c r="P688">
        <v>0</v>
      </c>
      <c r="Q688">
        <v>1</v>
      </c>
      <c r="R688">
        <v>0</v>
      </c>
      <c r="S688">
        <v>0</v>
      </c>
      <c r="T688">
        <v>0</v>
      </c>
      <c r="U688">
        <v>0</v>
      </c>
      <c r="V688">
        <v>0</v>
      </c>
    </row>
    <row r="689" spans="1:22" x14ac:dyDescent="0.2">
      <c r="A689" t="s">
        <v>729</v>
      </c>
      <c r="B689" t="s">
        <v>108</v>
      </c>
      <c r="C689" t="s">
        <v>41</v>
      </c>
      <c r="D689" t="s">
        <v>49</v>
      </c>
      <c r="E689" t="s">
        <v>442</v>
      </c>
      <c r="F689" t="s">
        <v>48</v>
      </c>
      <c r="G689" t="s">
        <v>46</v>
      </c>
      <c r="H689" t="s">
        <v>65</v>
      </c>
      <c r="I689">
        <v>0</v>
      </c>
      <c r="J689">
        <v>1</v>
      </c>
      <c r="K689">
        <v>1</v>
      </c>
      <c r="L689">
        <v>0</v>
      </c>
      <c r="M689">
        <v>1</v>
      </c>
      <c r="N689">
        <v>0</v>
      </c>
      <c r="O689">
        <v>1</v>
      </c>
      <c r="P689">
        <v>0</v>
      </c>
      <c r="Q689">
        <v>1</v>
      </c>
      <c r="R689">
        <v>0</v>
      </c>
      <c r="S689">
        <v>0</v>
      </c>
      <c r="T689">
        <v>0</v>
      </c>
      <c r="U689">
        <v>0</v>
      </c>
      <c r="V689">
        <v>0</v>
      </c>
    </row>
    <row r="690" spans="1:22" x14ac:dyDescent="0.2">
      <c r="A690" t="s">
        <v>732</v>
      </c>
      <c r="B690" t="s">
        <v>108</v>
      </c>
      <c r="C690" t="s">
        <v>41</v>
      </c>
      <c r="D690" t="s">
        <v>72</v>
      </c>
      <c r="E690" t="s">
        <v>442</v>
      </c>
      <c r="F690" t="s">
        <v>60</v>
      </c>
      <c r="G690" t="s">
        <v>48</v>
      </c>
      <c r="H690" t="s">
        <v>46</v>
      </c>
      <c r="I690">
        <v>1</v>
      </c>
      <c r="J690">
        <v>0</v>
      </c>
      <c r="K690">
        <v>1</v>
      </c>
      <c r="L690">
        <v>0</v>
      </c>
      <c r="M690">
        <v>1</v>
      </c>
      <c r="N690">
        <v>0</v>
      </c>
      <c r="O690">
        <v>1</v>
      </c>
      <c r="P690">
        <v>1</v>
      </c>
      <c r="Q690">
        <v>0</v>
      </c>
      <c r="R690">
        <v>0</v>
      </c>
      <c r="S690">
        <v>0</v>
      </c>
      <c r="T690">
        <v>0</v>
      </c>
      <c r="U690">
        <v>0</v>
      </c>
      <c r="V690">
        <v>0</v>
      </c>
    </row>
    <row r="691" spans="1:22" x14ac:dyDescent="0.2">
      <c r="A691" t="s">
        <v>732</v>
      </c>
      <c r="B691" t="s">
        <v>108</v>
      </c>
      <c r="C691" t="s">
        <v>41</v>
      </c>
      <c r="D691" t="s">
        <v>67</v>
      </c>
      <c r="E691" t="s">
        <v>442</v>
      </c>
      <c r="F691" t="s">
        <v>48</v>
      </c>
      <c r="G691" t="s">
        <v>65</v>
      </c>
      <c r="H691" t="s">
        <v>47</v>
      </c>
      <c r="I691">
        <v>0</v>
      </c>
      <c r="J691">
        <v>1</v>
      </c>
      <c r="K691">
        <v>1</v>
      </c>
      <c r="L691">
        <v>1</v>
      </c>
      <c r="M691">
        <v>0</v>
      </c>
      <c r="N691">
        <v>0</v>
      </c>
      <c r="O691">
        <v>1</v>
      </c>
      <c r="P691">
        <v>0</v>
      </c>
      <c r="Q691">
        <v>1</v>
      </c>
      <c r="R691">
        <v>0</v>
      </c>
      <c r="S691">
        <v>0</v>
      </c>
      <c r="T691">
        <v>0</v>
      </c>
      <c r="U691">
        <v>0</v>
      </c>
      <c r="V691">
        <v>0</v>
      </c>
    </row>
    <row r="692" spans="1:22" x14ac:dyDescent="0.2">
      <c r="A692" t="s">
        <v>732</v>
      </c>
      <c r="B692" t="s">
        <v>108</v>
      </c>
      <c r="C692" t="s">
        <v>41</v>
      </c>
      <c r="D692" t="s">
        <v>42</v>
      </c>
      <c r="E692" t="s">
        <v>442</v>
      </c>
      <c r="F692" t="s">
        <v>65</v>
      </c>
      <c r="G692" t="s">
        <v>46</v>
      </c>
      <c r="H692" t="s">
        <v>48</v>
      </c>
      <c r="I692">
        <v>0</v>
      </c>
      <c r="J692">
        <v>1</v>
      </c>
      <c r="K692">
        <v>1</v>
      </c>
      <c r="L692">
        <v>0</v>
      </c>
      <c r="M692">
        <v>1</v>
      </c>
      <c r="N692">
        <v>0</v>
      </c>
      <c r="O692">
        <v>1</v>
      </c>
      <c r="P692">
        <v>0</v>
      </c>
      <c r="Q692">
        <v>1</v>
      </c>
      <c r="R692">
        <v>0</v>
      </c>
      <c r="S692">
        <v>0</v>
      </c>
      <c r="T692">
        <v>0</v>
      </c>
      <c r="U692">
        <v>0</v>
      </c>
      <c r="V692">
        <v>0</v>
      </c>
    </row>
    <row r="693" spans="1:22" x14ac:dyDescent="0.2">
      <c r="A693" t="s">
        <v>735</v>
      </c>
      <c r="B693" t="s">
        <v>108</v>
      </c>
      <c r="C693" t="s">
        <v>41</v>
      </c>
      <c r="D693" t="s">
        <v>42</v>
      </c>
      <c r="E693" t="s">
        <v>442</v>
      </c>
      <c r="F693" t="s">
        <v>48</v>
      </c>
      <c r="G693" t="s">
        <v>60</v>
      </c>
      <c r="H693" t="s">
        <v>46</v>
      </c>
      <c r="I693">
        <v>1</v>
      </c>
      <c r="J693">
        <v>0</v>
      </c>
      <c r="K693">
        <v>1</v>
      </c>
      <c r="L693">
        <v>0</v>
      </c>
      <c r="M693">
        <v>1</v>
      </c>
      <c r="N693">
        <v>0</v>
      </c>
      <c r="O693">
        <v>1</v>
      </c>
      <c r="P693">
        <v>0</v>
      </c>
      <c r="Q693">
        <v>0</v>
      </c>
      <c r="R693">
        <v>0</v>
      </c>
      <c r="S693">
        <v>0</v>
      </c>
      <c r="T693">
        <v>0</v>
      </c>
      <c r="U693">
        <v>0</v>
      </c>
      <c r="V693">
        <v>1</v>
      </c>
    </row>
    <row r="694" spans="1:22" x14ac:dyDescent="0.2">
      <c r="A694" t="s">
        <v>735</v>
      </c>
      <c r="B694" t="s">
        <v>108</v>
      </c>
      <c r="C694" t="s">
        <v>41</v>
      </c>
      <c r="D694" t="s">
        <v>61</v>
      </c>
      <c r="E694" t="s">
        <v>442</v>
      </c>
      <c r="F694" t="s">
        <v>65</v>
      </c>
      <c r="G694" t="s">
        <v>48</v>
      </c>
      <c r="H694" t="s">
        <v>60</v>
      </c>
      <c r="I694">
        <v>1</v>
      </c>
      <c r="J694">
        <v>1</v>
      </c>
      <c r="K694">
        <v>1</v>
      </c>
      <c r="L694">
        <v>0</v>
      </c>
      <c r="M694">
        <v>0</v>
      </c>
      <c r="N694">
        <v>0</v>
      </c>
      <c r="O694">
        <v>1</v>
      </c>
      <c r="P694">
        <v>0</v>
      </c>
      <c r="Q694">
        <v>0</v>
      </c>
      <c r="R694">
        <v>0</v>
      </c>
      <c r="S694">
        <v>0</v>
      </c>
      <c r="T694">
        <v>0</v>
      </c>
      <c r="U694">
        <v>0</v>
      </c>
      <c r="V694">
        <v>1</v>
      </c>
    </row>
    <row r="695" spans="1:22" x14ac:dyDescent="0.2">
      <c r="A695" t="s">
        <v>735</v>
      </c>
      <c r="B695" t="s">
        <v>108</v>
      </c>
      <c r="C695" t="s">
        <v>41</v>
      </c>
      <c r="D695" t="s">
        <v>72</v>
      </c>
      <c r="E695" t="s">
        <v>442</v>
      </c>
      <c r="F695" t="s">
        <v>47</v>
      </c>
      <c r="G695" t="s">
        <v>48</v>
      </c>
      <c r="H695" t="s">
        <v>65</v>
      </c>
      <c r="I695">
        <v>0</v>
      </c>
      <c r="J695">
        <v>1</v>
      </c>
      <c r="K695">
        <v>1</v>
      </c>
      <c r="L695">
        <v>1</v>
      </c>
      <c r="M695">
        <v>0</v>
      </c>
      <c r="N695">
        <v>0</v>
      </c>
      <c r="O695">
        <v>1</v>
      </c>
      <c r="P695">
        <v>0</v>
      </c>
      <c r="Q695">
        <v>0</v>
      </c>
      <c r="R695">
        <v>0</v>
      </c>
      <c r="S695">
        <v>0</v>
      </c>
      <c r="T695">
        <v>0</v>
      </c>
      <c r="U695">
        <v>0</v>
      </c>
      <c r="V695">
        <v>1</v>
      </c>
    </row>
    <row r="696" spans="1:22" x14ac:dyDescent="0.2">
      <c r="A696" t="s">
        <v>738</v>
      </c>
      <c r="B696" t="s">
        <v>108</v>
      </c>
      <c r="C696" t="s">
        <v>41</v>
      </c>
      <c r="D696" t="s">
        <v>55</v>
      </c>
      <c r="E696" t="s">
        <v>442</v>
      </c>
      <c r="F696" t="s">
        <v>48</v>
      </c>
      <c r="G696" t="s">
        <v>59</v>
      </c>
      <c r="H696" t="s">
        <v>60</v>
      </c>
      <c r="I696">
        <v>1</v>
      </c>
      <c r="J696">
        <v>0</v>
      </c>
      <c r="K696">
        <v>1</v>
      </c>
      <c r="L696">
        <v>0</v>
      </c>
      <c r="M696">
        <v>0</v>
      </c>
      <c r="N696">
        <v>0</v>
      </c>
      <c r="O696">
        <v>1</v>
      </c>
      <c r="P696">
        <v>1</v>
      </c>
      <c r="Q696">
        <v>0</v>
      </c>
      <c r="R696">
        <v>1</v>
      </c>
      <c r="S696">
        <v>0</v>
      </c>
      <c r="T696">
        <v>0</v>
      </c>
      <c r="U696">
        <v>0</v>
      </c>
      <c r="V696">
        <v>0</v>
      </c>
    </row>
    <row r="697" spans="1:22" x14ac:dyDescent="0.2">
      <c r="A697" t="s">
        <v>738</v>
      </c>
      <c r="B697" t="s">
        <v>108</v>
      </c>
      <c r="C697" t="s">
        <v>41</v>
      </c>
      <c r="D697" t="s">
        <v>61</v>
      </c>
      <c r="E697" t="s">
        <v>442</v>
      </c>
      <c r="F697" t="s">
        <v>48</v>
      </c>
      <c r="G697" t="s">
        <v>47</v>
      </c>
      <c r="H697" t="s">
        <v>46</v>
      </c>
      <c r="I697">
        <v>0</v>
      </c>
      <c r="J697">
        <v>0</v>
      </c>
      <c r="K697">
        <v>1</v>
      </c>
      <c r="L697">
        <v>1</v>
      </c>
      <c r="M697">
        <v>1</v>
      </c>
      <c r="N697">
        <v>0</v>
      </c>
      <c r="O697">
        <v>1</v>
      </c>
      <c r="P697">
        <v>0</v>
      </c>
      <c r="Q697">
        <v>0</v>
      </c>
      <c r="R697">
        <v>0</v>
      </c>
      <c r="S697">
        <v>0</v>
      </c>
      <c r="T697">
        <v>0</v>
      </c>
      <c r="U697">
        <v>0</v>
      </c>
      <c r="V697">
        <v>1</v>
      </c>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T39"/>
  <sheetViews>
    <sheetView topLeftCell="A14" workbookViewId="0">
      <selection activeCell="B23" sqref="B23:M24"/>
    </sheetView>
  </sheetViews>
  <sheetFormatPr baseColWidth="10" defaultRowHeight="16" x14ac:dyDescent="0.2"/>
  <cols>
    <col min="1" max="1" width="31.5" bestFit="1" customWidth="1"/>
    <col min="2" max="2" width="15.5" bestFit="1" customWidth="1"/>
    <col min="3" max="3" width="7.33203125" bestFit="1" customWidth="1"/>
    <col min="4" max="4" width="14.83203125" bestFit="1" customWidth="1"/>
    <col min="5" max="5" width="12.6640625" bestFit="1" customWidth="1"/>
    <col min="6" max="6" width="7.33203125" bestFit="1" customWidth="1"/>
    <col min="7" max="7" width="15.1640625" bestFit="1" customWidth="1"/>
    <col min="8" max="8" width="13.1640625" bestFit="1" customWidth="1"/>
    <col min="9" max="9" width="7.33203125" bestFit="1" customWidth="1"/>
    <col min="10" max="10" width="15.6640625" bestFit="1" customWidth="1"/>
    <col min="11" max="11" width="10.6640625" bestFit="1" customWidth="1"/>
    <col min="12" max="12" width="7.33203125" bestFit="1" customWidth="1"/>
    <col min="13" max="13" width="13.1640625" bestFit="1" customWidth="1"/>
    <col min="14" max="14" width="12.1640625" bestFit="1" customWidth="1"/>
    <col min="15" max="15" width="7.33203125" bestFit="1" customWidth="1"/>
    <col min="16" max="16" width="14.6640625" bestFit="1" customWidth="1"/>
    <col min="17" max="17" width="11.1640625" bestFit="1" customWidth="1"/>
    <col min="18" max="18" width="7.33203125" bestFit="1" customWidth="1"/>
    <col min="19" max="19" width="13.6640625" bestFit="1" customWidth="1"/>
  </cols>
  <sheetData>
    <row r="1" spans="1:20" x14ac:dyDescent="0.2">
      <c r="B1" s="1" t="s">
        <v>742</v>
      </c>
    </row>
    <row r="2" spans="1:20" x14ac:dyDescent="0.2">
      <c r="B2" t="s">
        <v>55</v>
      </c>
      <c r="D2" t="s">
        <v>758</v>
      </c>
      <c r="E2" t="s">
        <v>42</v>
      </c>
      <c r="G2" t="s">
        <v>759</v>
      </c>
      <c r="H2" t="s">
        <v>72</v>
      </c>
      <c r="J2" t="s">
        <v>760</v>
      </c>
      <c r="K2" t="s">
        <v>61</v>
      </c>
      <c r="M2" t="s">
        <v>761</v>
      </c>
      <c r="N2" t="s">
        <v>67</v>
      </c>
      <c r="P2" t="s">
        <v>762</v>
      </c>
      <c r="Q2" t="s">
        <v>49</v>
      </c>
      <c r="S2" t="s">
        <v>763</v>
      </c>
      <c r="T2" t="s">
        <v>740</v>
      </c>
    </row>
    <row r="3" spans="1:20" x14ac:dyDescent="0.2">
      <c r="A3" s="1" t="s">
        <v>743</v>
      </c>
      <c r="B3" t="s">
        <v>37</v>
      </c>
      <c r="C3" t="s">
        <v>442</v>
      </c>
      <c r="E3" t="s">
        <v>37</v>
      </c>
      <c r="F3" t="s">
        <v>442</v>
      </c>
      <c r="H3" t="s">
        <v>37</v>
      </c>
      <c r="I3" t="s">
        <v>442</v>
      </c>
      <c r="K3" t="s">
        <v>37</v>
      </c>
      <c r="L3" t="s">
        <v>442</v>
      </c>
      <c r="N3" t="s">
        <v>37</v>
      </c>
      <c r="O3" t="s">
        <v>442</v>
      </c>
      <c r="Q3" t="s">
        <v>37</v>
      </c>
      <c r="R3" t="s">
        <v>442</v>
      </c>
    </row>
    <row r="4" spans="1:20" x14ac:dyDescent="0.2">
      <c r="A4" s="2" t="s">
        <v>757</v>
      </c>
      <c r="B4" s="3">
        <v>21</v>
      </c>
      <c r="C4" s="3">
        <v>11</v>
      </c>
      <c r="D4" s="3">
        <v>32</v>
      </c>
      <c r="E4" s="3">
        <v>14</v>
      </c>
      <c r="F4" s="3">
        <v>7</v>
      </c>
      <c r="G4" s="3">
        <v>21</v>
      </c>
      <c r="H4" s="3">
        <v>30</v>
      </c>
      <c r="I4" s="3">
        <v>19</v>
      </c>
      <c r="J4" s="3">
        <v>49</v>
      </c>
      <c r="K4" s="3">
        <v>15</v>
      </c>
      <c r="L4" s="3">
        <v>11</v>
      </c>
      <c r="M4" s="3">
        <v>26</v>
      </c>
      <c r="N4" s="3">
        <v>16</v>
      </c>
      <c r="O4" s="3">
        <v>11</v>
      </c>
      <c r="P4" s="3">
        <v>27</v>
      </c>
      <c r="Q4" s="3">
        <v>20</v>
      </c>
      <c r="R4" s="3">
        <v>10</v>
      </c>
      <c r="S4" s="3">
        <v>30</v>
      </c>
      <c r="T4" s="3">
        <v>185</v>
      </c>
    </row>
    <row r="5" spans="1:20" x14ac:dyDescent="0.2">
      <c r="A5" s="2" t="s">
        <v>756</v>
      </c>
      <c r="B5" s="3">
        <v>0</v>
      </c>
      <c r="C5" s="3">
        <v>0</v>
      </c>
      <c r="D5" s="3">
        <v>0</v>
      </c>
      <c r="E5" s="3">
        <v>0</v>
      </c>
      <c r="F5" s="3">
        <v>0</v>
      </c>
      <c r="G5" s="3">
        <v>0</v>
      </c>
      <c r="H5" s="3">
        <v>0</v>
      </c>
      <c r="I5" s="3">
        <v>0</v>
      </c>
      <c r="J5" s="3">
        <v>0</v>
      </c>
      <c r="K5" s="3">
        <v>0</v>
      </c>
      <c r="L5" s="3">
        <v>0</v>
      </c>
      <c r="M5" s="3">
        <v>0</v>
      </c>
      <c r="N5" s="3">
        <v>0</v>
      </c>
      <c r="O5" s="3">
        <v>0</v>
      </c>
      <c r="P5" s="3">
        <v>0</v>
      </c>
      <c r="Q5" s="3">
        <v>0</v>
      </c>
      <c r="R5" s="3">
        <v>0</v>
      </c>
      <c r="S5" s="3">
        <v>0</v>
      </c>
      <c r="T5" s="3">
        <v>0</v>
      </c>
    </row>
    <row r="6" spans="1:20" x14ac:dyDescent="0.2">
      <c r="A6" s="2" t="s">
        <v>755</v>
      </c>
      <c r="B6" s="3">
        <v>8</v>
      </c>
      <c r="C6" s="3">
        <v>12</v>
      </c>
      <c r="D6" s="3">
        <v>20</v>
      </c>
      <c r="E6" s="3">
        <v>10</v>
      </c>
      <c r="F6" s="3">
        <v>10</v>
      </c>
      <c r="G6" s="3">
        <v>20</v>
      </c>
      <c r="H6" s="3">
        <v>9</v>
      </c>
      <c r="I6" s="3">
        <v>9</v>
      </c>
      <c r="J6" s="3">
        <v>18</v>
      </c>
      <c r="K6" s="3">
        <v>12</v>
      </c>
      <c r="L6" s="3">
        <v>11</v>
      </c>
      <c r="M6" s="3">
        <v>23</v>
      </c>
      <c r="N6" s="3">
        <v>11</v>
      </c>
      <c r="O6" s="3">
        <v>11</v>
      </c>
      <c r="P6" s="3">
        <v>22</v>
      </c>
      <c r="Q6" s="3">
        <v>7</v>
      </c>
      <c r="R6" s="3">
        <v>15</v>
      </c>
      <c r="S6" s="3">
        <v>22</v>
      </c>
      <c r="T6" s="3">
        <v>125</v>
      </c>
    </row>
    <row r="7" spans="1:20" x14ac:dyDescent="0.2">
      <c r="A7" s="2" t="s">
        <v>754</v>
      </c>
      <c r="B7" s="3">
        <v>15</v>
      </c>
      <c r="C7" s="3">
        <v>19</v>
      </c>
      <c r="D7" s="3">
        <v>34</v>
      </c>
      <c r="E7" s="3">
        <v>19</v>
      </c>
      <c r="F7" s="3">
        <v>21</v>
      </c>
      <c r="G7" s="3">
        <v>40</v>
      </c>
      <c r="H7" s="3">
        <v>8</v>
      </c>
      <c r="I7" s="3">
        <v>8</v>
      </c>
      <c r="J7" s="3">
        <v>16</v>
      </c>
      <c r="K7" s="3">
        <v>14</v>
      </c>
      <c r="L7" s="3">
        <v>12</v>
      </c>
      <c r="M7" s="3">
        <v>26</v>
      </c>
      <c r="N7" s="3">
        <v>15</v>
      </c>
      <c r="O7" s="3">
        <v>17</v>
      </c>
      <c r="P7" s="3">
        <v>32</v>
      </c>
      <c r="Q7" s="3">
        <v>17</v>
      </c>
      <c r="R7" s="3">
        <v>9</v>
      </c>
      <c r="S7" s="3">
        <v>26</v>
      </c>
      <c r="T7" s="3">
        <v>174</v>
      </c>
    </row>
    <row r="8" spans="1:20" x14ac:dyDescent="0.2">
      <c r="A8" s="2" t="s">
        <v>753</v>
      </c>
      <c r="B8" s="3">
        <v>16</v>
      </c>
      <c r="C8" s="3">
        <v>21</v>
      </c>
      <c r="D8" s="3">
        <v>37</v>
      </c>
      <c r="E8" s="3">
        <v>23</v>
      </c>
      <c r="F8" s="3">
        <v>26</v>
      </c>
      <c r="G8" s="3">
        <v>49</v>
      </c>
      <c r="H8" s="3">
        <v>17</v>
      </c>
      <c r="I8" s="3">
        <v>15</v>
      </c>
      <c r="J8" s="3">
        <v>32</v>
      </c>
      <c r="K8" s="3">
        <v>19</v>
      </c>
      <c r="L8" s="3">
        <v>18</v>
      </c>
      <c r="M8" s="3">
        <v>37</v>
      </c>
      <c r="N8" s="3">
        <v>17</v>
      </c>
      <c r="O8" s="3">
        <v>20</v>
      </c>
      <c r="P8" s="3">
        <v>37</v>
      </c>
      <c r="Q8" s="3">
        <v>12</v>
      </c>
      <c r="R8" s="3">
        <v>24</v>
      </c>
      <c r="S8" s="3">
        <v>36</v>
      </c>
      <c r="T8" s="3">
        <v>228</v>
      </c>
    </row>
    <row r="9" spans="1:20" x14ac:dyDescent="0.2">
      <c r="A9" s="2" t="s">
        <v>752</v>
      </c>
      <c r="B9" s="3">
        <v>22</v>
      </c>
      <c r="C9" s="3">
        <v>23</v>
      </c>
      <c r="D9" s="3">
        <v>45</v>
      </c>
      <c r="E9" s="3">
        <v>26</v>
      </c>
      <c r="F9" s="3">
        <v>27</v>
      </c>
      <c r="G9" s="3">
        <v>53</v>
      </c>
      <c r="H9" s="3">
        <v>11</v>
      </c>
      <c r="I9" s="3">
        <v>5</v>
      </c>
      <c r="J9" s="3">
        <v>16</v>
      </c>
      <c r="K9" s="3">
        <v>20</v>
      </c>
      <c r="L9" s="3">
        <v>13</v>
      </c>
      <c r="M9" s="3">
        <v>33</v>
      </c>
      <c r="N9" s="3">
        <v>20</v>
      </c>
      <c r="O9" s="3">
        <v>16</v>
      </c>
      <c r="P9" s="3">
        <v>36</v>
      </c>
      <c r="Q9" s="3">
        <v>15</v>
      </c>
      <c r="R9" s="3">
        <v>18</v>
      </c>
      <c r="S9" s="3">
        <v>33</v>
      </c>
      <c r="T9" s="3">
        <v>216</v>
      </c>
    </row>
    <row r="10" spans="1:20" x14ac:dyDescent="0.2">
      <c r="A10" s="2" t="s">
        <v>751</v>
      </c>
      <c r="B10" s="3">
        <v>5</v>
      </c>
      <c r="C10" s="3">
        <v>9</v>
      </c>
      <c r="D10" s="3">
        <v>14</v>
      </c>
      <c r="E10" s="3">
        <v>10</v>
      </c>
      <c r="F10" s="3">
        <v>8</v>
      </c>
      <c r="G10" s="3">
        <v>18</v>
      </c>
      <c r="H10" s="3">
        <v>3</v>
      </c>
      <c r="I10" s="3">
        <v>5</v>
      </c>
      <c r="J10" s="3">
        <v>8</v>
      </c>
      <c r="K10" s="3">
        <v>8</v>
      </c>
      <c r="L10" s="3">
        <v>5</v>
      </c>
      <c r="M10" s="3">
        <v>13</v>
      </c>
      <c r="N10" s="3">
        <v>4</v>
      </c>
      <c r="O10" s="3">
        <v>13</v>
      </c>
      <c r="P10" s="3">
        <v>17</v>
      </c>
      <c r="Q10" s="3">
        <v>6</v>
      </c>
      <c r="R10" s="3">
        <v>11</v>
      </c>
      <c r="S10" s="3">
        <v>17</v>
      </c>
      <c r="T10" s="3">
        <v>87</v>
      </c>
    </row>
    <row r="11" spans="1:20" x14ac:dyDescent="0.2">
      <c r="A11" s="2" t="s">
        <v>750</v>
      </c>
      <c r="B11" s="3">
        <v>63</v>
      </c>
      <c r="C11" s="3">
        <v>64</v>
      </c>
      <c r="D11" s="3">
        <v>127</v>
      </c>
      <c r="E11" s="3">
        <v>64</v>
      </c>
      <c r="F11" s="3">
        <v>62</v>
      </c>
      <c r="G11" s="3">
        <v>126</v>
      </c>
      <c r="H11" s="3">
        <v>61</v>
      </c>
      <c r="I11" s="3">
        <v>45</v>
      </c>
      <c r="J11" s="3">
        <v>106</v>
      </c>
      <c r="K11" s="3">
        <v>56</v>
      </c>
      <c r="L11" s="3">
        <v>50</v>
      </c>
      <c r="M11" s="3">
        <v>106</v>
      </c>
      <c r="N11" s="3">
        <v>56</v>
      </c>
      <c r="O11" s="3">
        <v>57</v>
      </c>
      <c r="P11" s="3">
        <v>113</v>
      </c>
      <c r="Q11" s="3">
        <v>57</v>
      </c>
      <c r="R11" s="3">
        <v>61</v>
      </c>
      <c r="S11" s="3">
        <v>118</v>
      </c>
      <c r="T11" s="3">
        <v>696</v>
      </c>
    </row>
    <row r="12" spans="1:20" x14ac:dyDescent="0.2">
      <c r="A12" s="2" t="s">
        <v>749</v>
      </c>
      <c r="B12" s="3">
        <v>0</v>
      </c>
      <c r="C12" s="3">
        <v>0</v>
      </c>
      <c r="D12" s="3">
        <v>0</v>
      </c>
      <c r="E12" s="3">
        <v>0</v>
      </c>
      <c r="F12" s="3">
        <v>0</v>
      </c>
      <c r="G12" s="3">
        <v>0</v>
      </c>
      <c r="H12" s="3">
        <v>0</v>
      </c>
      <c r="I12" s="3">
        <v>0</v>
      </c>
      <c r="J12" s="3">
        <v>0</v>
      </c>
      <c r="K12" s="3">
        <v>0</v>
      </c>
      <c r="L12" s="3">
        <v>0</v>
      </c>
      <c r="M12" s="3">
        <v>0</v>
      </c>
      <c r="N12" s="3">
        <v>0</v>
      </c>
      <c r="O12" s="3">
        <v>0</v>
      </c>
      <c r="P12" s="3">
        <v>0</v>
      </c>
      <c r="Q12" s="3">
        <v>0</v>
      </c>
      <c r="R12" s="3">
        <v>0</v>
      </c>
      <c r="S12" s="3">
        <v>0</v>
      </c>
      <c r="T12" s="3">
        <v>0</v>
      </c>
    </row>
    <row r="13" spans="1:20" x14ac:dyDescent="0.2">
      <c r="A13" s="2" t="s">
        <v>748</v>
      </c>
      <c r="B13" s="3">
        <v>34</v>
      </c>
      <c r="C13" s="3">
        <v>27</v>
      </c>
      <c r="D13" s="3">
        <v>61</v>
      </c>
      <c r="E13" s="3">
        <v>33</v>
      </c>
      <c r="F13" s="3">
        <v>30</v>
      </c>
      <c r="G13" s="3">
        <v>63</v>
      </c>
      <c r="H13" s="3">
        <v>38</v>
      </c>
      <c r="I13" s="3">
        <v>25</v>
      </c>
      <c r="J13" s="3">
        <v>63</v>
      </c>
      <c r="K13" s="3">
        <v>30</v>
      </c>
      <c r="L13" s="3">
        <v>29</v>
      </c>
      <c r="M13" s="3">
        <v>59</v>
      </c>
      <c r="N13" s="3">
        <v>28</v>
      </c>
      <c r="O13" s="3">
        <v>28</v>
      </c>
      <c r="P13" s="3">
        <v>56</v>
      </c>
      <c r="Q13" s="3">
        <v>30</v>
      </c>
      <c r="R13" s="3">
        <v>36</v>
      </c>
      <c r="S13" s="3">
        <v>66</v>
      </c>
      <c r="T13" s="3">
        <v>368</v>
      </c>
    </row>
    <row r="14" spans="1:20" x14ac:dyDescent="0.2">
      <c r="A14" s="2" t="s">
        <v>747</v>
      </c>
      <c r="B14" s="3">
        <v>27</v>
      </c>
      <c r="C14" s="3">
        <v>31</v>
      </c>
      <c r="D14" s="3">
        <v>58</v>
      </c>
      <c r="E14" s="3">
        <v>30</v>
      </c>
      <c r="F14" s="3">
        <v>30</v>
      </c>
      <c r="G14" s="3">
        <v>60</v>
      </c>
      <c r="H14" s="3">
        <v>33</v>
      </c>
      <c r="I14" s="3">
        <v>22</v>
      </c>
      <c r="J14" s="3">
        <v>55</v>
      </c>
      <c r="K14" s="3">
        <v>22</v>
      </c>
      <c r="L14" s="3">
        <v>20</v>
      </c>
      <c r="M14" s="3">
        <v>42</v>
      </c>
      <c r="N14" s="3">
        <v>26</v>
      </c>
      <c r="O14" s="3">
        <v>29</v>
      </c>
      <c r="P14" s="3">
        <v>55</v>
      </c>
      <c r="Q14" s="3">
        <v>33</v>
      </c>
      <c r="R14" s="3">
        <v>23</v>
      </c>
      <c r="S14" s="3">
        <v>56</v>
      </c>
      <c r="T14" s="3">
        <v>326</v>
      </c>
    </row>
    <row r="15" spans="1:20" x14ac:dyDescent="0.2">
      <c r="A15" s="2" t="s">
        <v>746</v>
      </c>
      <c r="B15" s="3">
        <v>63</v>
      </c>
      <c r="C15" s="3">
        <v>64</v>
      </c>
      <c r="D15" s="3">
        <v>127</v>
      </c>
      <c r="E15" s="3">
        <v>64</v>
      </c>
      <c r="F15" s="3">
        <v>62</v>
      </c>
      <c r="G15" s="3">
        <v>126</v>
      </c>
      <c r="H15" s="3">
        <v>61</v>
      </c>
      <c r="I15" s="3">
        <v>45</v>
      </c>
      <c r="J15" s="3">
        <v>106</v>
      </c>
      <c r="K15" s="3">
        <v>56</v>
      </c>
      <c r="L15" s="3">
        <v>50</v>
      </c>
      <c r="M15" s="3">
        <v>106</v>
      </c>
      <c r="N15" s="3">
        <v>56</v>
      </c>
      <c r="O15" s="3">
        <v>57</v>
      </c>
      <c r="P15" s="3">
        <v>113</v>
      </c>
      <c r="Q15" s="3">
        <v>57</v>
      </c>
      <c r="R15" s="3">
        <v>61</v>
      </c>
      <c r="S15" s="3">
        <v>118</v>
      </c>
      <c r="T15" s="3">
        <v>696</v>
      </c>
    </row>
    <row r="16" spans="1:20" x14ac:dyDescent="0.2">
      <c r="A16" s="2" t="s">
        <v>745</v>
      </c>
      <c r="B16" s="3">
        <v>32</v>
      </c>
      <c r="C16" s="3">
        <v>32</v>
      </c>
      <c r="D16" s="3">
        <v>64</v>
      </c>
      <c r="E16" s="3">
        <v>32</v>
      </c>
      <c r="F16" s="3">
        <v>37</v>
      </c>
      <c r="G16" s="3">
        <v>69</v>
      </c>
      <c r="H16" s="3">
        <v>22</v>
      </c>
      <c r="I16" s="3">
        <v>23</v>
      </c>
      <c r="J16" s="3">
        <v>45</v>
      </c>
      <c r="K16" s="3">
        <v>31</v>
      </c>
      <c r="L16" s="3">
        <v>25</v>
      </c>
      <c r="M16" s="3">
        <v>56</v>
      </c>
      <c r="N16" s="3">
        <v>31</v>
      </c>
      <c r="O16" s="3">
        <v>26</v>
      </c>
      <c r="P16" s="3">
        <v>57</v>
      </c>
      <c r="Q16" s="3">
        <v>24</v>
      </c>
      <c r="R16" s="3">
        <v>28</v>
      </c>
      <c r="S16" s="3">
        <v>52</v>
      </c>
      <c r="T16" s="3">
        <v>343</v>
      </c>
    </row>
    <row r="17" spans="1:20" x14ac:dyDescent="0.2">
      <c r="A17" s="2" t="s">
        <v>744</v>
      </c>
      <c r="B17" s="3">
        <v>13</v>
      </c>
      <c r="C17" s="3">
        <v>20</v>
      </c>
      <c r="D17" s="3">
        <v>33</v>
      </c>
      <c r="E17" s="3">
        <v>17</v>
      </c>
      <c r="F17" s="3">
        <v>14</v>
      </c>
      <c r="G17" s="3">
        <v>31</v>
      </c>
      <c r="H17" s="3">
        <v>8</v>
      </c>
      <c r="I17" s="3">
        <v>11</v>
      </c>
      <c r="J17" s="3">
        <v>19</v>
      </c>
      <c r="K17" s="3">
        <v>17</v>
      </c>
      <c r="L17" s="3">
        <v>9</v>
      </c>
      <c r="M17" s="3">
        <v>26</v>
      </c>
      <c r="N17" s="3">
        <v>15</v>
      </c>
      <c r="O17" s="3">
        <v>18</v>
      </c>
      <c r="P17" s="3">
        <v>33</v>
      </c>
      <c r="Q17" s="3">
        <v>9</v>
      </c>
      <c r="R17" s="3">
        <v>18</v>
      </c>
      <c r="S17" s="3">
        <v>27</v>
      </c>
      <c r="T17" s="3">
        <v>169</v>
      </c>
    </row>
    <row r="23" spans="1:20" x14ac:dyDescent="0.2">
      <c r="B23" t="s">
        <v>765</v>
      </c>
      <c r="D23" t="s">
        <v>766</v>
      </c>
      <c r="F23" t="s">
        <v>767</v>
      </c>
      <c r="H23" t="s">
        <v>768</v>
      </c>
      <c r="J23" t="s">
        <v>769</v>
      </c>
      <c r="L23" t="s">
        <v>770</v>
      </c>
    </row>
    <row r="24" spans="1:20" x14ac:dyDescent="0.2">
      <c r="B24" t="s">
        <v>37</v>
      </c>
      <c r="C24" t="s">
        <v>442</v>
      </c>
      <c r="D24" t="s">
        <v>37</v>
      </c>
      <c r="E24" t="s">
        <v>442</v>
      </c>
      <c r="F24" t="s">
        <v>37</v>
      </c>
      <c r="G24" t="s">
        <v>442</v>
      </c>
      <c r="H24" t="s">
        <v>37</v>
      </c>
      <c r="I24" t="s">
        <v>442</v>
      </c>
      <c r="J24" t="s">
        <v>37</v>
      </c>
      <c r="K24" t="s">
        <v>442</v>
      </c>
      <c r="L24" t="s">
        <v>37</v>
      </c>
      <c r="M24" t="s">
        <v>442</v>
      </c>
    </row>
    <row r="25" spans="1:20" x14ac:dyDescent="0.2">
      <c r="A25" t="s">
        <v>60</v>
      </c>
      <c r="B25">
        <f>B10/B17</f>
        <v>0.38461538461538464</v>
      </c>
      <c r="C25">
        <f>C10/C17</f>
        <v>0.45</v>
      </c>
      <c r="D25">
        <f>E10/E17</f>
        <v>0.58823529411764708</v>
      </c>
      <c r="E25">
        <f>F10/F17</f>
        <v>0.5714285714285714</v>
      </c>
      <c r="F25">
        <f>H10/H17</f>
        <v>0.375</v>
      </c>
      <c r="G25">
        <f>I10/I17</f>
        <v>0.45454545454545453</v>
      </c>
      <c r="H25">
        <f>K10/K17</f>
        <v>0.47058823529411764</v>
      </c>
      <c r="I25">
        <f>L10/L17</f>
        <v>0.55555555555555558</v>
      </c>
      <c r="J25">
        <f>N10/N17</f>
        <v>0.26666666666666666</v>
      </c>
      <c r="K25">
        <f>O10/O17</f>
        <v>0.72222222222222221</v>
      </c>
      <c r="L25">
        <f>Q10/Q17</f>
        <v>0.66666666666666663</v>
      </c>
      <c r="M25">
        <f>R10/R17</f>
        <v>0.61111111111111116</v>
      </c>
    </row>
    <row r="26" spans="1:20" x14ac:dyDescent="0.2">
      <c r="A26" t="s">
        <v>65</v>
      </c>
      <c r="B26">
        <f>B8/B16</f>
        <v>0.5</v>
      </c>
      <c r="C26">
        <f>C8/C16</f>
        <v>0.65625</v>
      </c>
      <c r="D26">
        <f>E8/E16</f>
        <v>0.71875</v>
      </c>
      <c r="E26">
        <f>F8/F16</f>
        <v>0.70270270270270274</v>
      </c>
      <c r="F26">
        <f>H8/H16</f>
        <v>0.77272727272727271</v>
      </c>
      <c r="G26">
        <f>I8/I16</f>
        <v>0.65217391304347827</v>
      </c>
      <c r="H26">
        <f>K8/K16</f>
        <v>0.61290322580645162</v>
      </c>
      <c r="I26">
        <f>L8/L16</f>
        <v>0.72</v>
      </c>
      <c r="J26">
        <f>N8/N16</f>
        <v>0.54838709677419351</v>
      </c>
      <c r="K26">
        <f>O8/O16</f>
        <v>0.76923076923076927</v>
      </c>
      <c r="L26">
        <f>Q8/Q16</f>
        <v>0.5</v>
      </c>
      <c r="M26">
        <f>R8/R16</f>
        <v>0.8571428571428571</v>
      </c>
    </row>
    <row r="27" spans="1:20" x14ac:dyDescent="0.2">
      <c r="A27" t="s">
        <v>48</v>
      </c>
      <c r="B27">
        <f>B8/B15</f>
        <v>0.25396825396825395</v>
      </c>
      <c r="C27">
        <f>C8/C15</f>
        <v>0.328125</v>
      </c>
      <c r="D27">
        <f>E8/E15</f>
        <v>0.359375</v>
      </c>
      <c r="E27">
        <f>F8/F15</f>
        <v>0.41935483870967744</v>
      </c>
      <c r="F27">
        <f>H8/H15</f>
        <v>0.27868852459016391</v>
      </c>
      <c r="G27">
        <f>I8/I15</f>
        <v>0.33333333333333331</v>
      </c>
      <c r="H27">
        <f>K8/K15</f>
        <v>0.3392857142857143</v>
      </c>
      <c r="I27">
        <f>L8/L15</f>
        <v>0.36</v>
      </c>
      <c r="J27">
        <f>N8/N15</f>
        <v>0.30357142857142855</v>
      </c>
      <c r="K27">
        <f>O8/O15</f>
        <v>0.35087719298245612</v>
      </c>
      <c r="L27">
        <f>Q8/Q15</f>
        <v>0.21052631578947367</v>
      </c>
      <c r="M27">
        <f>R8/R15</f>
        <v>0.39344262295081966</v>
      </c>
    </row>
    <row r="28" spans="1:20" x14ac:dyDescent="0.2">
      <c r="A28" t="s">
        <v>47</v>
      </c>
      <c r="B28">
        <f>B7/B14</f>
        <v>0.55555555555555558</v>
      </c>
      <c r="C28">
        <f>C7/C14</f>
        <v>0.61290322580645162</v>
      </c>
      <c r="D28">
        <f>E7/E14</f>
        <v>0.6333333333333333</v>
      </c>
      <c r="E28">
        <f>F7/F14</f>
        <v>0.7</v>
      </c>
      <c r="F28">
        <f>H7/H14</f>
        <v>0.24242424242424243</v>
      </c>
      <c r="G28">
        <f>I7/I14</f>
        <v>0.36363636363636365</v>
      </c>
      <c r="H28">
        <f>K7/K14</f>
        <v>0.63636363636363635</v>
      </c>
      <c r="I28">
        <f>L7/L14</f>
        <v>0.6</v>
      </c>
      <c r="J28">
        <f>N7/N14</f>
        <v>0.57692307692307687</v>
      </c>
      <c r="K28">
        <f>O7/O14</f>
        <v>0.58620689655172409</v>
      </c>
      <c r="L28">
        <f>Q7/Q14</f>
        <v>0.51515151515151514</v>
      </c>
      <c r="M28">
        <f>R7/R14</f>
        <v>0.39130434782608697</v>
      </c>
    </row>
    <row r="29" spans="1:20" x14ac:dyDescent="0.2">
      <c r="A29" t="s">
        <v>46</v>
      </c>
      <c r="B29">
        <f>B6/B13</f>
        <v>0.23529411764705882</v>
      </c>
      <c r="C29">
        <f>C6/C13</f>
        <v>0.44444444444444442</v>
      </c>
      <c r="D29">
        <f>E6/E13</f>
        <v>0.30303030303030304</v>
      </c>
      <c r="E29">
        <f>F6/F13</f>
        <v>0.33333333333333331</v>
      </c>
      <c r="F29">
        <f>H6/H13</f>
        <v>0.23684210526315788</v>
      </c>
      <c r="G29">
        <f>I6/I13</f>
        <v>0.36</v>
      </c>
      <c r="H29">
        <f>K6/K13</f>
        <v>0.4</v>
      </c>
      <c r="I29">
        <f>L6/L13</f>
        <v>0.37931034482758619</v>
      </c>
      <c r="J29">
        <f>N6/N13</f>
        <v>0.39285714285714285</v>
      </c>
      <c r="K29">
        <f>O6/O13</f>
        <v>0.39285714285714285</v>
      </c>
      <c r="L29">
        <f>Q6/Q13</f>
        <v>0.23333333333333334</v>
      </c>
      <c r="M29">
        <f>R6/R13</f>
        <v>0.41666666666666669</v>
      </c>
    </row>
    <row r="30" spans="1:20" x14ac:dyDescent="0.2">
      <c r="A30" t="s">
        <v>771</v>
      </c>
      <c r="B30">
        <f>B4/B11</f>
        <v>0.33333333333333331</v>
      </c>
      <c r="C30">
        <f>C4/C11</f>
        <v>0.171875</v>
      </c>
      <c r="D30">
        <f>E4/E11</f>
        <v>0.21875</v>
      </c>
      <c r="E30">
        <f>F4/F11</f>
        <v>0.11290322580645161</v>
      </c>
      <c r="F30">
        <f>H4/H11</f>
        <v>0.49180327868852458</v>
      </c>
      <c r="G30">
        <f>I4/I11</f>
        <v>0.42222222222222222</v>
      </c>
      <c r="H30">
        <f>K4/K11</f>
        <v>0.26785714285714285</v>
      </c>
      <c r="I30">
        <f>L4/L11</f>
        <v>0.22</v>
      </c>
      <c r="J30">
        <f>N4/N11</f>
        <v>0.2857142857142857</v>
      </c>
      <c r="K30">
        <f>O4/O11</f>
        <v>0.19298245614035087</v>
      </c>
      <c r="L30">
        <f>Q4/Q11</f>
        <v>0.35087719298245612</v>
      </c>
      <c r="M30">
        <f>R4/R11</f>
        <v>0.16393442622950818</v>
      </c>
    </row>
    <row r="33" spans="1:3" x14ac:dyDescent="0.2">
      <c r="B33" t="s">
        <v>37</v>
      </c>
      <c r="C33" t="s">
        <v>442</v>
      </c>
    </row>
    <row r="34" spans="1:3" x14ac:dyDescent="0.2">
      <c r="A34" t="s">
        <v>60</v>
      </c>
      <c r="B34">
        <f>AVERAGE(B25,D25,F25,H25,J25,L25)</f>
        <v>0.45862870789341376</v>
      </c>
      <c r="C34">
        <f>AVERAGE(C25,E25,G25,I25,K25,M25)</f>
        <v>0.56081048581048587</v>
      </c>
    </row>
    <row r="35" spans="1:3" x14ac:dyDescent="0.2">
      <c r="A35" t="s">
        <v>65</v>
      </c>
      <c r="B35">
        <f t="shared" ref="B35:B39" si="0">AVERAGE(B26,D26,F26,H26,J26,L26)</f>
        <v>0.60879459921798629</v>
      </c>
      <c r="C35">
        <f t="shared" ref="C35:C39" si="1">AVERAGE(C26,E26,G26,I26,K26,M26)</f>
        <v>0.7262500403533011</v>
      </c>
    </row>
    <row r="36" spans="1:3" x14ac:dyDescent="0.2">
      <c r="A36" t="s">
        <v>48</v>
      </c>
      <c r="B36">
        <f t="shared" si="0"/>
        <v>0.29090253953417239</v>
      </c>
      <c r="C36">
        <f t="shared" si="1"/>
        <v>0.36418883132938112</v>
      </c>
    </row>
    <row r="37" spans="1:3" x14ac:dyDescent="0.2">
      <c r="A37" t="s">
        <v>47</v>
      </c>
      <c r="B37">
        <f t="shared" si="0"/>
        <v>0.52662522662522659</v>
      </c>
      <c r="C37">
        <f t="shared" si="1"/>
        <v>0.54234180563677115</v>
      </c>
    </row>
    <row r="38" spans="1:3" x14ac:dyDescent="0.2">
      <c r="A38" t="s">
        <v>46</v>
      </c>
      <c r="B38">
        <f t="shared" si="0"/>
        <v>0.30022616702183264</v>
      </c>
      <c r="C38">
        <f t="shared" si="1"/>
        <v>0.38776865535486221</v>
      </c>
    </row>
    <row r="39" spans="1:3" x14ac:dyDescent="0.2">
      <c r="A39" t="s">
        <v>771</v>
      </c>
      <c r="B39">
        <f t="shared" si="0"/>
        <v>0.32472253892929037</v>
      </c>
      <c r="C39">
        <f t="shared" si="1"/>
        <v>0.21398622173308879</v>
      </c>
    </row>
  </sheetData>
  <pageMargins left="0.7" right="0.7" top="0.75" bottom="0.75" header="0.3" footer="0.3"/>
  <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V56"/>
  <sheetViews>
    <sheetView workbookViewId="0">
      <selection activeCell="F32" sqref="A1:V56"/>
    </sheetView>
  </sheetViews>
  <sheetFormatPr baseColWidth="10" defaultRowHeight="16" x14ac:dyDescent="0.2"/>
  <sheetData>
    <row r="1" spans="1:22" x14ac:dyDescent="0.2">
      <c r="A1" t="s">
        <v>0</v>
      </c>
      <c r="B1" t="s">
        <v>1</v>
      </c>
      <c r="C1" t="s">
        <v>4</v>
      </c>
      <c r="D1" t="s">
        <v>5</v>
      </c>
      <c r="E1" t="s">
        <v>31</v>
      </c>
      <c r="F1" t="s">
        <v>14</v>
      </c>
      <c r="G1" t="s">
        <v>15</v>
      </c>
      <c r="H1" t="s">
        <v>16</v>
      </c>
      <c r="I1" t="s">
        <v>17</v>
      </c>
      <c r="J1" t="s">
        <v>18</v>
      </c>
      <c r="K1" t="s">
        <v>19</v>
      </c>
      <c r="L1" t="s">
        <v>20</v>
      </c>
      <c r="M1" t="s">
        <v>21</v>
      </c>
      <c r="N1" t="s">
        <v>22</v>
      </c>
      <c r="O1" t="s">
        <v>23</v>
      </c>
      <c r="P1" t="s">
        <v>24</v>
      </c>
      <c r="Q1" t="s">
        <v>25</v>
      </c>
      <c r="R1" t="s">
        <v>26</v>
      </c>
      <c r="S1" t="s">
        <v>27</v>
      </c>
      <c r="T1" t="s">
        <v>28</v>
      </c>
      <c r="U1" t="s">
        <v>29</v>
      </c>
      <c r="V1" t="s">
        <v>30</v>
      </c>
    </row>
    <row r="2" spans="1:22" x14ac:dyDescent="0.2">
      <c r="A2" t="s">
        <v>113</v>
      </c>
      <c r="B2" t="s">
        <v>108</v>
      </c>
      <c r="C2" t="s">
        <v>41</v>
      </c>
      <c r="D2" t="s">
        <v>42</v>
      </c>
      <c r="E2" t="s">
        <v>37</v>
      </c>
      <c r="F2" t="s">
        <v>48</v>
      </c>
      <c r="G2" t="s">
        <v>65</v>
      </c>
      <c r="H2" t="s">
        <v>60</v>
      </c>
      <c r="I2">
        <v>1</v>
      </c>
      <c r="J2">
        <v>1</v>
      </c>
      <c r="K2">
        <v>1</v>
      </c>
      <c r="L2">
        <v>0</v>
      </c>
      <c r="M2">
        <v>0</v>
      </c>
      <c r="N2">
        <v>0</v>
      </c>
      <c r="O2">
        <v>1</v>
      </c>
      <c r="P2">
        <v>0</v>
      </c>
      <c r="Q2">
        <v>0</v>
      </c>
      <c r="R2">
        <v>0</v>
      </c>
      <c r="S2">
        <v>0</v>
      </c>
      <c r="T2">
        <v>0</v>
      </c>
      <c r="U2">
        <v>0</v>
      </c>
      <c r="V2">
        <v>1</v>
      </c>
    </row>
    <row r="3" spans="1:22" x14ac:dyDescent="0.2">
      <c r="A3" t="s">
        <v>133</v>
      </c>
      <c r="B3" t="s">
        <v>108</v>
      </c>
      <c r="C3" t="s">
        <v>41</v>
      </c>
      <c r="D3" t="s">
        <v>42</v>
      </c>
      <c r="E3" t="s">
        <v>37</v>
      </c>
      <c r="F3" t="s">
        <v>48</v>
      </c>
      <c r="G3" t="s">
        <v>65</v>
      </c>
      <c r="H3" t="s">
        <v>60</v>
      </c>
      <c r="I3">
        <v>1</v>
      </c>
      <c r="J3">
        <v>1</v>
      </c>
      <c r="K3">
        <v>1</v>
      </c>
      <c r="L3">
        <v>0</v>
      </c>
      <c r="M3">
        <v>0</v>
      </c>
      <c r="N3">
        <v>0</v>
      </c>
      <c r="O3">
        <v>1</v>
      </c>
      <c r="P3">
        <v>1</v>
      </c>
      <c r="Q3">
        <v>1</v>
      </c>
      <c r="R3">
        <v>1</v>
      </c>
      <c r="S3">
        <v>0</v>
      </c>
      <c r="T3">
        <v>0</v>
      </c>
      <c r="U3">
        <v>0</v>
      </c>
      <c r="V3">
        <v>0</v>
      </c>
    </row>
    <row r="4" spans="1:22" x14ac:dyDescent="0.2">
      <c r="A4" t="s">
        <v>143</v>
      </c>
      <c r="B4" t="s">
        <v>108</v>
      </c>
      <c r="C4" t="s">
        <v>41</v>
      </c>
      <c r="D4" t="s">
        <v>61</v>
      </c>
      <c r="E4" t="s">
        <v>37</v>
      </c>
      <c r="F4" t="s">
        <v>65</v>
      </c>
      <c r="G4" t="s">
        <v>48</v>
      </c>
      <c r="H4" t="s">
        <v>60</v>
      </c>
      <c r="I4">
        <v>1</v>
      </c>
      <c r="J4">
        <v>1</v>
      </c>
      <c r="K4">
        <v>1</v>
      </c>
      <c r="L4">
        <v>0</v>
      </c>
      <c r="M4">
        <v>0</v>
      </c>
      <c r="N4">
        <v>0</v>
      </c>
      <c r="O4">
        <v>1</v>
      </c>
      <c r="P4">
        <v>0</v>
      </c>
      <c r="Q4">
        <v>1</v>
      </c>
      <c r="R4">
        <v>0</v>
      </c>
      <c r="S4">
        <v>0</v>
      </c>
      <c r="T4">
        <v>0</v>
      </c>
      <c r="U4">
        <v>0</v>
      </c>
      <c r="V4">
        <v>0</v>
      </c>
    </row>
    <row r="5" spans="1:22" x14ac:dyDescent="0.2">
      <c r="A5" t="s">
        <v>151</v>
      </c>
      <c r="B5" t="s">
        <v>108</v>
      </c>
      <c r="C5" t="s">
        <v>41</v>
      </c>
      <c r="D5" t="s">
        <v>55</v>
      </c>
      <c r="E5" t="s">
        <v>37</v>
      </c>
      <c r="F5" t="s">
        <v>60</v>
      </c>
      <c r="G5" t="s">
        <v>65</v>
      </c>
      <c r="H5" t="s">
        <v>48</v>
      </c>
      <c r="I5">
        <v>1</v>
      </c>
      <c r="J5">
        <v>1</v>
      </c>
      <c r="K5">
        <v>1</v>
      </c>
      <c r="L5">
        <v>0</v>
      </c>
      <c r="M5">
        <v>0</v>
      </c>
      <c r="N5">
        <v>0</v>
      </c>
      <c r="O5">
        <v>1</v>
      </c>
      <c r="P5">
        <v>0</v>
      </c>
      <c r="Q5">
        <v>1</v>
      </c>
      <c r="R5">
        <v>0</v>
      </c>
      <c r="S5">
        <v>0</v>
      </c>
      <c r="T5">
        <v>0</v>
      </c>
      <c r="U5">
        <v>0</v>
      </c>
      <c r="V5">
        <v>0</v>
      </c>
    </row>
    <row r="6" spans="1:22" x14ac:dyDescent="0.2">
      <c r="A6" t="s">
        <v>155</v>
      </c>
      <c r="B6" t="s">
        <v>108</v>
      </c>
      <c r="C6" t="s">
        <v>41</v>
      </c>
      <c r="D6" t="s">
        <v>49</v>
      </c>
      <c r="E6" t="s">
        <v>37</v>
      </c>
      <c r="F6" t="s">
        <v>65</v>
      </c>
      <c r="G6" t="s">
        <v>48</v>
      </c>
      <c r="H6" t="s">
        <v>60</v>
      </c>
      <c r="I6">
        <v>1</v>
      </c>
      <c r="J6">
        <v>1</v>
      </c>
      <c r="K6">
        <v>1</v>
      </c>
      <c r="L6">
        <v>0</v>
      </c>
      <c r="M6">
        <v>0</v>
      </c>
      <c r="N6">
        <v>0</v>
      </c>
      <c r="O6">
        <v>1</v>
      </c>
      <c r="P6">
        <v>0</v>
      </c>
      <c r="Q6">
        <v>0</v>
      </c>
      <c r="R6">
        <v>0</v>
      </c>
      <c r="S6">
        <v>0</v>
      </c>
      <c r="T6">
        <v>0</v>
      </c>
      <c r="U6">
        <v>0</v>
      </c>
      <c r="V6">
        <v>1</v>
      </c>
    </row>
    <row r="7" spans="1:22" x14ac:dyDescent="0.2">
      <c r="A7" t="s">
        <v>167</v>
      </c>
      <c r="B7" t="s">
        <v>33</v>
      </c>
      <c r="C7" t="s">
        <v>41</v>
      </c>
      <c r="D7" t="s">
        <v>67</v>
      </c>
      <c r="E7" t="s">
        <v>37</v>
      </c>
      <c r="F7" t="s">
        <v>48</v>
      </c>
      <c r="G7" t="s">
        <v>60</v>
      </c>
      <c r="H7" t="s">
        <v>65</v>
      </c>
      <c r="I7">
        <v>1</v>
      </c>
      <c r="J7">
        <v>1</v>
      </c>
      <c r="K7">
        <v>1</v>
      </c>
      <c r="L7">
        <v>0</v>
      </c>
      <c r="M7">
        <v>0</v>
      </c>
      <c r="N7">
        <v>0</v>
      </c>
      <c r="O7">
        <v>1</v>
      </c>
      <c r="P7">
        <v>0</v>
      </c>
      <c r="Q7">
        <v>0</v>
      </c>
      <c r="R7">
        <v>0</v>
      </c>
      <c r="S7">
        <v>0</v>
      </c>
      <c r="T7">
        <v>0</v>
      </c>
      <c r="U7">
        <v>0</v>
      </c>
      <c r="V7">
        <v>1</v>
      </c>
    </row>
    <row r="8" spans="1:22" x14ac:dyDescent="0.2">
      <c r="A8" t="s">
        <v>202</v>
      </c>
      <c r="B8" t="s">
        <v>108</v>
      </c>
      <c r="C8" t="s">
        <v>41</v>
      </c>
      <c r="D8" t="s">
        <v>61</v>
      </c>
      <c r="E8" t="s">
        <v>37</v>
      </c>
      <c r="F8" t="s">
        <v>60</v>
      </c>
      <c r="G8" t="s">
        <v>48</v>
      </c>
      <c r="H8" t="s">
        <v>65</v>
      </c>
      <c r="I8">
        <v>1</v>
      </c>
      <c r="J8">
        <v>1</v>
      </c>
      <c r="K8">
        <v>1</v>
      </c>
      <c r="L8">
        <v>0</v>
      </c>
      <c r="M8">
        <v>0</v>
      </c>
      <c r="N8">
        <v>0</v>
      </c>
      <c r="O8">
        <v>1</v>
      </c>
      <c r="P8">
        <v>1</v>
      </c>
      <c r="Q8">
        <v>1</v>
      </c>
      <c r="R8">
        <v>1</v>
      </c>
      <c r="S8">
        <v>0</v>
      </c>
      <c r="T8">
        <v>0</v>
      </c>
      <c r="U8">
        <v>0</v>
      </c>
      <c r="V8">
        <v>0</v>
      </c>
    </row>
    <row r="9" spans="1:22" x14ac:dyDescent="0.2">
      <c r="A9" t="s">
        <v>214</v>
      </c>
      <c r="B9" t="s">
        <v>108</v>
      </c>
      <c r="C9" t="s">
        <v>41</v>
      </c>
      <c r="D9" t="s">
        <v>49</v>
      </c>
      <c r="E9" t="s">
        <v>37</v>
      </c>
      <c r="F9" t="s">
        <v>65</v>
      </c>
      <c r="G9" t="s">
        <v>60</v>
      </c>
      <c r="H9" t="s">
        <v>48</v>
      </c>
      <c r="I9">
        <v>1</v>
      </c>
      <c r="J9">
        <v>1</v>
      </c>
      <c r="K9">
        <v>1</v>
      </c>
      <c r="L9">
        <v>0</v>
      </c>
      <c r="M9">
        <v>0</v>
      </c>
      <c r="N9">
        <v>0</v>
      </c>
      <c r="O9">
        <v>1</v>
      </c>
      <c r="P9">
        <v>1</v>
      </c>
      <c r="Q9">
        <v>1</v>
      </c>
      <c r="R9">
        <v>1</v>
      </c>
      <c r="S9">
        <v>0</v>
      </c>
      <c r="T9">
        <v>0</v>
      </c>
      <c r="U9">
        <v>0</v>
      </c>
      <c r="V9">
        <v>0</v>
      </c>
    </row>
    <row r="10" spans="1:22" x14ac:dyDescent="0.2">
      <c r="A10" t="s">
        <v>214</v>
      </c>
      <c r="B10" t="s">
        <v>108</v>
      </c>
      <c r="C10" t="s">
        <v>41</v>
      </c>
      <c r="D10" t="s">
        <v>61</v>
      </c>
      <c r="E10" t="s">
        <v>37</v>
      </c>
      <c r="F10" t="s">
        <v>48</v>
      </c>
      <c r="G10" t="s">
        <v>65</v>
      </c>
      <c r="H10" t="s">
        <v>60</v>
      </c>
      <c r="I10">
        <v>1</v>
      </c>
      <c r="J10">
        <v>1</v>
      </c>
      <c r="K10">
        <v>1</v>
      </c>
      <c r="L10">
        <v>0</v>
      </c>
      <c r="M10">
        <v>0</v>
      </c>
      <c r="N10">
        <v>0</v>
      </c>
      <c r="O10">
        <v>1</v>
      </c>
      <c r="P10">
        <v>1</v>
      </c>
      <c r="Q10">
        <v>1</v>
      </c>
      <c r="R10">
        <v>1</v>
      </c>
      <c r="S10">
        <v>0</v>
      </c>
      <c r="T10">
        <v>0</v>
      </c>
      <c r="U10">
        <v>0</v>
      </c>
      <c r="V10">
        <v>0</v>
      </c>
    </row>
    <row r="11" spans="1:22" x14ac:dyDescent="0.2">
      <c r="A11" t="s">
        <v>224</v>
      </c>
      <c r="B11" t="s">
        <v>108</v>
      </c>
      <c r="C11" t="s">
        <v>41</v>
      </c>
      <c r="D11" t="s">
        <v>42</v>
      </c>
      <c r="E11" t="s">
        <v>37</v>
      </c>
      <c r="F11" t="s">
        <v>65</v>
      </c>
      <c r="G11" t="s">
        <v>60</v>
      </c>
      <c r="H11" t="s">
        <v>48</v>
      </c>
      <c r="I11">
        <v>1</v>
      </c>
      <c r="J11">
        <v>1</v>
      </c>
      <c r="K11">
        <v>1</v>
      </c>
      <c r="L11">
        <v>0</v>
      </c>
      <c r="M11">
        <v>0</v>
      </c>
      <c r="N11">
        <v>0</v>
      </c>
      <c r="O11">
        <v>1</v>
      </c>
      <c r="P11">
        <v>1</v>
      </c>
      <c r="Q11">
        <v>1</v>
      </c>
      <c r="R11">
        <v>1</v>
      </c>
      <c r="S11">
        <v>0</v>
      </c>
      <c r="T11">
        <v>0</v>
      </c>
      <c r="U11">
        <v>0</v>
      </c>
      <c r="V11">
        <v>0</v>
      </c>
    </row>
    <row r="12" spans="1:22" x14ac:dyDescent="0.2">
      <c r="A12" t="s">
        <v>227</v>
      </c>
      <c r="B12" t="s">
        <v>108</v>
      </c>
      <c r="C12" t="s">
        <v>41</v>
      </c>
      <c r="D12" t="s">
        <v>42</v>
      </c>
      <c r="E12" t="s">
        <v>37</v>
      </c>
      <c r="F12" t="s">
        <v>60</v>
      </c>
      <c r="G12" t="s">
        <v>65</v>
      </c>
      <c r="H12" t="s">
        <v>48</v>
      </c>
      <c r="I12">
        <v>1</v>
      </c>
      <c r="J12">
        <v>1</v>
      </c>
      <c r="K12">
        <v>1</v>
      </c>
      <c r="L12">
        <v>0</v>
      </c>
      <c r="M12">
        <v>0</v>
      </c>
      <c r="N12">
        <v>0</v>
      </c>
      <c r="O12">
        <v>1</v>
      </c>
      <c r="P12">
        <v>0</v>
      </c>
      <c r="Q12">
        <v>1</v>
      </c>
      <c r="R12">
        <v>0</v>
      </c>
      <c r="S12">
        <v>0</v>
      </c>
      <c r="T12">
        <v>0</v>
      </c>
      <c r="U12">
        <v>0</v>
      </c>
      <c r="V12">
        <v>0</v>
      </c>
    </row>
    <row r="13" spans="1:22" x14ac:dyDescent="0.2">
      <c r="A13" t="s">
        <v>231</v>
      </c>
      <c r="B13" t="s">
        <v>108</v>
      </c>
      <c r="C13" t="s">
        <v>41</v>
      </c>
      <c r="D13" t="s">
        <v>67</v>
      </c>
      <c r="E13" t="s">
        <v>37</v>
      </c>
      <c r="F13" t="s">
        <v>48</v>
      </c>
      <c r="G13" t="s">
        <v>60</v>
      </c>
      <c r="H13" t="s">
        <v>65</v>
      </c>
      <c r="I13">
        <v>1</v>
      </c>
      <c r="J13">
        <v>1</v>
      </c>
      <c r="K13">
        <v>1</v>
      </c>
      <c r="L13">
        <v>0</v>
      </c>
      <c r="M13">
        <v>0</v>
      </c>
      <c r="N13">
        <v>0</v>
      </c>
      <c r="O13">
        <v>1</v>
      </c>
      <c r="P13">
        <v>0</v>
      </c>
      <c r="Q13">
        <v>1</v>
      </c>
      <c r="R13">
        <v>0</v>
      </c>
      <c r="S13">
        <v>0</v>
      </c>
      <c r="T13">
        <v>0</v>
      </c>
      <c r="U13">
        <v>0</v>
      </c>
      <c r="V13">
        <v>0</v>
      </c>
    </row>
    <row r="14" spans="1:22" x14ac:dyDescent="0.2">
      <c r="A14" t="s">
        <v>245</v>
      </c>
      <c r="B14" t="s">
        <v>108</v>
      </c>
      <c r="C14" t="s">
        <v>41</v>
      </c>
      <c r="D14" t="s">
        <v>61</v>
      </c>
      <c r="E14" t="s">
        <v>37</v>
      </c>
      <c r="F14" t="s">
        <v>65</v>
      </c>
      <c r="G14" t="s">
        <v>60</v>
      </c>
      <c r="H14" t="s">
        <v>48</v>
      </c>
      <c r="I14">
        <v>1</v>
      </c>
      <c r="J14">
        <v>1</v>
      </c>
      <c r="K14">
        <v>1</v>
      </c>
      <c r="L14">
        <v>0</v>
      </c>
      <c r="M14">
        <v>0</v>
      </c>
      <c r="N14">
        <v>0</v>
      </c>
      <c r="O14">
        <v>1</v>
      </c>
      <c r="P14">
        <v>1</v>
      </c>
      <c r="Q14">
        <v>0</v>
      </c>
      <c r="R14">
        <v>0</v>
      </c>
      <c r="S14">
        <v>0</v>
      </c>
      <c r="T14">
        <v>0</v>
      </c>
      <c r="U14">
        <v>0</v>
      </c>
      <c r="V14">
        <v>0</v>
      </c>
    </row>
    <row r="15" spans="1:22" x14ac:dyDescent="0.2">
      <c r="A15" t="s">
        <v>282</v>
      </c>
      <c r="B15" t="s">
        <v>108</v>
      </c>
      <c r="C15" t="s">
        <v>41</v>
      </c>
      <c r="D15" t="s">
        <v>55</v>
      </c>
      <c r="E15" t="s">
        <v>37</v>
      </c>
      <c r="F15" t="s">
        <v>60</v>
      </c>
      <c r="G15" t="s">
        <v>48</v>
      </c>
      <c r="H15" t="s">
        <v>65</v>
      </c>
      <c r="I15">
        <v>1</v>
      </c>
      <c r="J15">
        <v>1</v>
      </c>
      <c r="K15">
        <v>1</v>
      </c>
      <c r="L15">
        <v>0</v>
      </c>
      <c r="M15">
        <v>0</v>
      </c>
      <c r="N15">
        <v>0</v>
      </c>
      <c r="O15">
        <v>1</v>
      </c>
      <c r="P15">
        <v>1</v>
      </c>
      <c r="Q15">
        <v>0</v>
      </c>
      <c r="R15">
        <v>0</v>
      </c>
      <c r="S15">
        <v>0</v>
      </c>
      <c r="T15">
        <v>0</v>
      </c>
      <c r="U15">
        <v>0</v>
      </c>
      <c r="V15">
        <v>0</v>
      </c>
    </row>
    <row r="16" spans="1:22" x14ac:dyDescent="0.2">
      <c r="A16" t="s">
        <v>292</v>
      </c>
      <c r="B16" t="s">
        <v>108</v>
      </c>
      <c r="C16" t="s">
        <v>41</v>
      </c>
      <c r="D16" t="s">
        <v>55</v>
      </c>
      <c r="E16" t="s">
        <v>37</v>
      </c>
      <c r="F16" t="s">
        <v>48</v>
      </c>
      <c r="G16" t="s">
        <v>65</v>
      </c>
      <c r="H16" t="s">
        <v>60</v>
      </c>
      <c r="I16">
        <v>1</v>
      </c>
      <c r="J16">
        <v>1</v>
      </c>
      <c r="K16">
        <v>1</v>
      </c>
      <c r="L16">
        <v>0</v>
      </c>
      <c r="M16">
        <v>0</v>
      </c>
      <c r="N16">
        <v>0</v>
      </c>
      <c r="O16">
        <v>1</v>
      </c>
      <c r="P16">
        <v>1</v>
      </c>
      <c r="Q16">
        <v>1</v>
      </c>
      <c r="R16">
        <v>1</v>
      </c>
      <c r="S16">
        <v>0</v>
      </c>
      <c r="T16">
        <v>0</v>
      </c>
      <c r="U16">
        <v>0</v>
      </c>
      <c r="V16">
        <v>0</v>
      </c>
    </row>
    <row r="17" spans="1:22" x14ac:dyDescent="0.2">
      <c r="A17" t="s">
        <v>305</v>
      </c>
      <c r="B17" t="s">
        <v>108</v>
      </c>
      <c r="C17" t="s">
        <v>41</v>
      </c>
      <c r="D17" t="s">
        <v>55</v>
      </c>
      <c r="E17" t="s">
        <v>37</v>
      </c>
      <c r="F17" t="s">
        <v>60</v>
      </c>
      <c r="G17" t="s">
        <v>65</v>
      </c>
      <c r="H17" t="s">
        <v>48</v>
      </c>
      <c r="I17">
        <v>1</v>
      </c>
      <c r="J17">
        <v>1</v>
      </c>
      <c r="K17">
        <v>1</v>
      </c>
      <c r="L17">
        <v>0</v>
      </c>
      <c r="M17">
        <v>0</v>
      </c>
      <c r="N17">
        <v>0</v>
      </c>
      <c r="O17">
        <v>1</v>
      </c>
      <c r="P17">
        <v>0</v>
      </c>
      <c r="Q17">
        <v>1</v>
      </c>
      <c r="R17">
        <v>0</v>
      </c>
      <c r="S17">
        <v>0</v>
      </c>
      <c r="T17">
        <v>0</v>
      </c>
      <c r="U17">
        <v>0</v>
      </c>
      <c r="V17">
        <v>0</v>
      </c>
    </row>
    <row r="18" spans="1:22" x14ac:dyDescent="0.2">
      <c r="A18" t="s">
        <v>313</v>
      </c>
      <c r="B18" t="s">
        <v>108</v>
      </c>
      <c r="C18" t="s">
        <v>41</v>
      </c>
      <c r="D18" t="s">
        <v>49</v>
      </c>
      <c r="E18" t="s">
        <v>37</v>
      </c>
      <c r="F18" t="s">
        <v>65</v>
      </c>
      <c r="G18" t="s">
        <v>48</v>
      </c>
      <c r="H18" t="s">
        <v>60</v>
      </c>
      <c r="I18">
        <v>1</v>
      </c>
      <c r="J18">
        <v>1</v>
      </c>
      <c r="K18">
        <v>1</v>
      </c>
      <c r="L18">
        <v>0</v>
      </c>
      <c r="M18">
        <v>0</v>
      </c>
      <c r="N18">
        <v>0</v>
      </c>
      <c r="O18">
        <v>1</v>
      </c>
      <c r="P18">
        <v>0</v>
      </c>
      <c r="Q18">
        <v>1</v>
      </c>
      <c r="R18">
        <v>0</v>
      </c>
      <c r="S18">
        <v>0</v>
      </c>
      <c r="T18">
        <v>0</v>
      </c>
      <c r="U18">
        <v>0</v>
      </c>
      <c r="V18">
        <v>0</v>
      </c>
    </row>
    <row r="19" spans="1:22" x14ac:dyDescent="0.2">
      <c r="A19" t="s">
        <v>320</v>
      </c>
      <c r="B19" t="s">
        <v>108</v>
      </c>
      <c r="C19" t="s">
        <v>41</v>
      </c>
      <c r="D19" t="s">
        <v>61</v>
      </c>
      <c r="E19" t="s">
        <v>37</v>
      </c>
      <c r="F19" t="s">
        <v>60</v>
      </c>
      <c r="G19" t="s">
        <v>48</v>
      </c>
      <c r="H19" t="s">
        <v>65</v>
      </c>
      <c r="I19">
        <v>1</v>
      </c>
      <c r="J19">
        <v>1</v>
      </c>
      <c r="K19">
        <v>1</v>
      </c>
      <c r="L19">
        <v>0</v>
      </c>
      <c r="M19">
        <v>0</v>
      </c>
      <c r="N19">
        <v>0</v>
      </c>
      <c r="O19">
        <v>1</v>
      </c>
      <c r="P19">
        <v>0</v>
      </c>
      <c r="Q19">
        <v>1</v>
      </c>
      <c r="R19">
        <v>0</v>
      </c>
      <c r="S19">
        <v>0</v>
      </c>
      <c r="T19">
        <v>0</v>
      </c>
      <c r="U19">
        <v>0</v>
      </c>
      <c r="V19">
        <v>0</v>
      </c>
    </row>
    <row r="20" spans="1:22" x14ac:dyDescent="0.2">
      <c r="A20" t="s">
        <v>326</v>
      </c>
      <c r="B20" t="s">
        <v>33</v>
      </c>
      <c r="C20" t="s">
        <v>41</v>
      </c>
      <c r="D20" t="s">
        <v>67</v>
      </c>
      <c r="E20" t="s">
        <v>37</v>
      </c>
      <c r="F20" t="s">
        <v>48</v>
      </c>
      <c r="G20" t="s">
        <v>65</v>
      </c>
      <c r="H20" t="s">
        <v>60</v>
      </c>
      <c r="I20">
        <v>1</v>
      </c>
      <c r="J20">
        <v>1</v>
      </c>
      <c r="K20">
        <v>1</v>
      </c>
      <c r="L20">
        <v>0</v>
      </c>
      <c r="M20">
        <v>0</v>
      </c>
      <c r="N20">
        <v>0</v>
      </c>
      <c r="O20">
        <v>1</v>
      </c>
      <c r="P20">
        <v>0</v>
      </c>
      <c r="Q20">
        <v>1</v>
      </c>
      <c r="R20">
        <v>0</v>
      </c>
      <c r="S20">
        <v>0</v>
      </c>
      <c r="T20">
        <v>0</v>
      </c>
      <c r="U20">
        <v>0</v>
      </c>
      <c r="V20">
        <v>0</v>
      </c>
    </row>
    <row r="21" spans="1:22" x14ac:dyDescent="0.2">
      <c r="A21" t="s">
        <v>345</v>
      </c>
      <c r="B21" t="s">
        <v>33</v>
      </c>
      <c r="C21" t="s">
        <v>41</v>
      </c>
      <c r="D21" t="s">
        <v>67</v>
      </c>
      <c r="E21" t="s">
        <v>37</v>
      </c>
      <c r="F21" t="s">
        <v>48</v>
      </c>
      <c r="G21" t="s">
        <v>60</v>
      </c>
      <c r="H21" t="s">
        <v>65</v>
      </c>
      <c r="I21">
        <v>1</v>
      </c>
      <c r="J21">
        <v>1</v>
      </c>
      <c r="K21">
        <v>1</v>
      </c>
      <c r="L21">
        <v>0</v>
      </c>
      <c r="M21">
        <v>0</v>
      </c>
      <c r="N21">
        <v>0</v>
      </c>
      <c r="O21">
        <v>1</v>
      </c>
      <c r="P21">
        <v>1</v>
      </c>
      <c r="Q21">
        <v>0</v>
      </c>
      <c r="R21">
        <v>0</v>
      </c>
      <c r="S21">
        <v>0</v>
      </c>
      <c r="T21">
        <v>0</v>
      </c>
      <c r="U21">
        <v>0</v>
      </c>
      <c r="V21">
        <v>0</v>
      </c>
    </row>
    <row r="22" spans="1:22" x14ac:dyDescent="0.2">
      <c r="A22" t="s">
        <v>354</v>
      </c>
      <c r="B22" t="s">
        <v>33</v>
      </c>
      <c r="C22" t="s">
        <v>41</v>
      </c>
      <c r="D22" t="s">
        <v>49</v>
      </c>
      <c r="E22" t="s">
        <v>37</v>
      </c>
      <c r="F22" t="s">
        <v>48</v>
      </c>
      <c r="G22" t="s">
        <v>65</v>
      </c>
      <c r="H22" t="s">
        <v>60</v>
      </c>
      <c r="I22">
        <v>1</v>
      </c>
      <c r="J22">
        <v>1</v>
      </c>
      <c r="K22">
        <v>1</v>
      </c>
      <c r="L22">
        <v>0</v>
      </c>
      <c r="M22">
        <v>0</v>
      </c>
      <c r="N22">
        <v>0</v>
      </c>
      <c r="O22">
        <v>1</v>
      </c>
      <c r="P22">
        <v>1</v>
      </c>
      <c r="Q22">
        <v>1</v>
      </c>
      <c r="R22">
        <v>1</v>
      </c>
      <c r="S22">
        <v>0</v>
      </c>
      <c r="T22">
        <v>0</v>
      </c>
      <c r="U22">
        <v>0</v>
      </c>
      <c r="V22">
        <v>0</v>
      </c>
    </row>
    <row r="23" spans="1:22" x14ac:dyDescent="0.2">
      <c r="A23" t="s">
        <v>366</v>
      </c>
      <c r="B23" t="s">
        <v>108</v>
      </c>
      <c r="C23" t="s">
        <v>41</v>
      </c>
      <c r="D23" t="s">
        <v>72</v>
      </c>
      <c r="E23" t="s">
        <v>37</v>
      </c>
      <c r="F23" t="s">
        <v>48</v>
      </c>
      <c r="G23" t="s">
        <v>65</v>
      </c>
      <c r="H23" t="s">
        <v>60</v>
      </c>
      <c r="I23">
        <v>1</v>
      </c>
      <c r="J23">
        <v>1</v>
      </c>
      <c r="K23">
        <v>1</v>
      </c>
      <c r="L23">
        <v>0</v>
      </c>
      <c r="M23">
        <v>0</v>
      </c>
      <c r="N23">
        <v>0</v>
      </c>
      <c r="O23">
        <v>1</v>
      </c>
      <c r="P23">
        <v>0</v>
      </c>
      <c r="Q23">
        <v>0</v>
      </c>
      <c r="R23">
        <v>0</v>
      </c>
      <c r="S23">
        <v>0</v>
      </c>
      <c r="T23">
        <v>0</v>
      </c>
      <c r="U23">
        <v>0</v>
      </c>
      <c r="V23">
        <v>1</v>
      </c>
    </row>
    <row r="24" spans="1:22" x14ac:dyDescent="0.2">
      <c r="A24" t="s">
        <v>394</v>
      </c>
      <c r="B24" t="s">
        <v>108</v>
      </c>
      <c r="C24" t="s">
        <v>41</v>
      </c>
      <c r="D24" t="s">
        <v>67</v>
      </c>
      <c r="E24" t="s">
        <v>37</v>
      </c>
      <c r="F24" t="s">
        <v>60</v>
      </c>
      <c r="G24" t="s">
        <v>48</v>
      </c>
      <c r="H24" t="s">
        <v>65</v>
      </c>
      <c r="I24">
        <v>1</v>
      </c>
      <c r="J24">
        <v>1</v>
      </c>
      <c r="K24">
        <v>1</v>
      </c>
      <c r="L24">
        <v>0</v>
      </c>
      <c r="M24">
        <v>0</v>
      </c>
      <c r="N24">
        <v>0</v>
      </c>
      <c r="O24">
        <v>1</v>
      </c>
      <c r="P24">
        <v>0</v>
      </c>
      <c r="Q24">
        <v>1</v>
      </c>
      <c r="R24">
        <v>0</v>
      </c>
      <c r="S24">
        <v>0</v>
      </c>
      <c r="T24">
        <v>0</v>
      </c>
      <c r="U24">
        <v>0</v>
      </c>
      <c r="V24">
        <v>0</v>
      </c>
    </row>
    <row r="25" spans="1:22" x14ac:dyDescent="0.2">
      <c r="A25" t="s">
        <v>396</v>
      </c>
      <c r="B25" t="s">
        <v>397</v>
      </c>
      <c r="C25" t="s">
        <v>41</v>
      </c>
      <c r="D25" t="s">
        <v>42</v>
      </c>
      <c r="E25" t="s">
        <v>37</v>
      </c>
      <c r="F25" t="s">
        <v>48</v>
      </c>
      <c r="G25" t="s">
        <v>60</v>
      </c>
      <c r="H25" t="s">
        <v>65</v>
      </c>
      <c r="I25">
        <v>1</v>
      </c>
      <c r="J25">
        <v>1</v>
      </c>
      <c r="K25">
        <v>1</v>
      </c>
      <c r="L25">
        <v>0</v>
      </c>
      <c r="M25">
        <v>0</v>
      </c>
      <c r="N25">
        <v>0</v>
      </c>
      <c r="O25">
        <v>1</v>
      </c>
      <c r="P25">
        <v>1</v>
      </c>
      <c r="Q25">
        <v>0</v>
      </c>
      <c r="R25">
        <v>0</v>
      </c>
      <c r="S25">
        <v>0</v>
      </c>
      <c r="T25">
        <v>0</v>
      </c>
      <c r="U25">
        <v>0</v>
      </c>
      <c r="V25">
        <v>0</v>
      </c>
    </row>
    <row r="26" spans="1:22" x14ac:dyDescent="0.2">
      <c r="A26" t="s">
        <v>396</v>
      </c>
      <c r="B26" t="s">
        <v>397</v>
      </c>
      <c r="C26" t="s">
        <v>41</v>
      </c>
      <c r="D26" t="s">
        <v>61</v>
      </c>
      <c r="E26" t="s">
        <v>37</v>
      </c>
      <c r="F26" t="s">
        <v>60</v>
      </c>
      <c r="G26" t="s">
        <v>48</v>
      </c>
      <c r="H26" t="s">
        <v>65</v>
      </c>
      <c r="I26">
        <v>1</v>
      </c>
      <c r="J26">
        <v>1</v>
      </c>
      <c r="K26">
        <v>1</v>
      </c>
      <c r="L26">
        <v>0</v>
      </c>
      <c r="M26">
        <v>0</v>
      </c>
      <c r="N26">
        <v>0</v>
      </c>
      <c r="O26">
        <v>1</v>
      </c>
      <c r="P26">
        <v>1</v>
      </c>
      <c r="Q26">
        <v>0</v>
      </c>
      <c r="R26">
        <v>0</v>
      </c>
      <c r="S26">
        <v>0</v>
      </c>
      <c r="T26">
        <v>0</v>
      </c>
      <c r="U26">
        <v>0</v>
      </c>
      <c r="V26">
        <v>0</v>
      </c>
    </row>
    <row r="27" spans="1:22" x14ac:dyDescent="0.2">
      <c r="A27" t="s">
        <v>408</v>
      </c>
      <c r="B27" t="s">
        <v>108</v>
      </c>
      <c r="C27" t="s">
        <v>41</v>
      </c>
      <c r="D27" t="s">
        <v>67</v>
      </c>
      <c r="E27" t="s">
        <v>37</v>
      </c>
      <c r="F27" t="s">
        <v>48</v>
      </c>
      <c r="G27" t="s">
        <v>60</v>
      </c>
      <c r="H27" t="s">
        <v>65</v>
      </c>
      <c r="I27">
        <v>1</v>
      </c>
      <c r="J27">
        <v>1</v>
      </c>
      <c r="K27">
        <v>1</v>
      </c>
      <c r="L27">
        <v>0</v>
      </c>
      <c r="M27">
        <v>0</v>
      </c>
      <c r="N27">
        <v>0</v>
      </c>
      <c r="O27">
        <v>1</v>
      </c>
      <c r="P27">
        <v>1</v>
      </c>
      <c r="Q27">
        <v>1</v>
      </c>
      <c r="R27">
        <v>1</v>
      </c>
      <c r="S27">
        <v>0</v>
      </c>
      <c r="T27">
        <v>0</v>
      </c>
      <c r="U27">
        <v>0</v>
      </c>
      <c r="V27">
        <v>0</v>
      </c>
    </row>
    <row r="28" spans="1:22" x14ac:dyDescent="0.2">
      <c r="A28" t="s">
        <v>418</v>
      </c>
      <c r="B28" t="s">
        <v>33</v>
      </c>
      <c r="C28" t="s">
        <v>41</v>
      </c>
      <c r="D28" t="s">
        <v>72</v>
      </c>
      <c r="E28" t="s">
        <v>37</v>
      </c>
      <c r="F28" t="s">
        <v>65</v>
      </c>
      <c r="G28" t="s">
        <v>48</v>
      </c>
      <c r="H28" t="s">
        <v>60</v>
      </c>
      <c r="I28">
        <v>1</v>
      </c>
      <c r="J28">
        <v>1</v>
      </c>
      <c r="K28">
        <v>1</v>
      </c>
      <c r="L28">
        <v>0</v>
      </c>
      <c r="M28">
        <v>0</v>
      </c>
      <c r="N28">
        <v>0</v>
      </c>
      <c r="O28">
        <v>1</v>
      </c>
      <c r="P28">
        <v>1</v>
      </c>
      <c r="Q28">
        <v>1</v>
      </c>
      <c r="R28">
        <v>1</v>
      </c>
      <c r="S28">
        <v>0</v>
      </c>
      <c r="T28">
        <v>0</v>
      </c>
      <c r="U28">
        <v>0</v>
      </c>
      <c r="V28">
        <v>0</v>
      </c>
    </row>
    <row r="29" spans="1:22" x14ac:dyDescent="0.2">
      <c r="A29" t="s">
        <v>422</v>
      </c>
      <c r="B29" t="s">
        <v>108</v>
      </c>
      <c r="C29" t="s">
        <v>41</v>
      </c>
      <c r="D29" t="s">
        <v>61</v>
      </c>
      <c r="E29" t="s">
        <v>37</v>
      </c>
      <c r="F29" t="s">
        <v>48</v>
      </c>
      <c r="G29" t="s">
        <v>60</v>
      </c>
      <c r="H29" t="s">
        <v>65</v>
      </c>
      <c r="I29">
        <v>1</v>
      </c>
      <c r="J29">
        <v>1</v>
      </c>
      <c r="K29">
        <v>1</v>
      </c>
      <c r="L29">
        <v>0</v>
      </c>
      <c r="M29">
        <v>0</v>
      </c>
      <c r="N29">
        <v>0</v>
      </c>
      <c r="O29">
        <v>1</v>
      </c>
      <c r="P29">
        <v>0</v>
      </c>
      <c r="Q29">
        <v>0</v>
      </c>
      <c r="R29">
        <v>1</v>
      </c>
      <c r="S29">
        <v>0</v>
      </c>
      <c r="T29">
        <v>0</v>
      </c>
      <c r="U29">
        <v>0</v>
      </c>
      <c r="V29">
        <v>0</v>
      </c>
    </row>
    <row r="30" spans="1:22" x14ac:dyDescent="0.2">
      <c r="A30" t="s">
        <v>445</v>
      </c>
      <c r="B30" t="s">
        <v>33</v>
      </c>
      <c r="C30" t="s">
        <v>41</v>
      </c>
      <c r="D30" t="s">
        <v>61</v>
      </c>
      <c r="E30" t="s">
        <v>442</v>
      </c>
      <c r="F30" t="s">
        <v>48</v>
      </c>
      <c r="G30" t="s">
        <v>65</v>
      </c>
      <c r="H30" t="s">
        <v>60</v>
      </c>
      <c r="I30">
        <v>1</v>
      </c>
      <c r="J30">
        <v>1</v>
      </c>
      <c r="K30">
        <v>1</v>
      </c>
      <c r="L30">
        <v>0</v>
      </c>
      <c r="M30">
        <v>0</v>
      </c>
      <c r="N30">
        <v>0</v>
      </c>
      <c r="O30">
        <v>1</v>
      </c>
      <c r="P30">
        <v>0</v>
      </c>
      <c r="Q30">
        <v>1</v>
      </c>
      <c r="R30">
        <v>0</v>
      </c>
      <c r="S30">
        <v>0</v>
      </c>
      <c r="T30">
        <v>0</v>
      </c>
      <c r="U30">
        <v>0</v>
      </c>
      <c r="V30">
        <v>0</v>
      </c>
    </row>
    <row r="31" spans="1:22" x14ac:dyDescent="0.2">
      <c r="A31" t="s">
        <v>456</v>
      </c>
      <c r="B31" t="s">
        <v>33</v>
      </c>
      <c r="C31" t="s">
        <v>41</v>
      </c>
      <c r="D31" t="s">
        <v>67</v>
      </c>
      <c r="E31" t="s">
        <v>442</v>
      </c>
      <c r="F31" t="s">
        <v>60</v>
      </c>
      <c r="G31" t="s">
        <v>65</v>
      </c>
      <c r="H31" t="s">
        <v>48</v>
      </c>
      <c r="I31">
        <v>1</v>
      </c>
      <c r="J31">
        <v>1</v>
      </c>
      <c r="K31">
        <v>1</v>
      </c>
      <c r="L31">
        <v>0</v>
      </c>
      <c r="M31">
        <v>0</v>
      </c>
      <c r="N31">
        <v>0</v>
      </c>
      <c r="O31">
        <v>1</v>
      </c>
      <c r="P31">
        <v>0</v>
      </c>
      <c r="Q31">
        <v>1</v>
      </c>
      <c r="R31">
        <v>0</v>
      </c>
      <c r="S31">
        <v>0</v>
      </c>
      <c r="T31">
        <v>0</v>
      </c>
      <c r="U31">
        <v>0</v>
      </c>
      <c r="V31">
        <v>0</v>
      </c>
    </row>
    <row r="32" spans="1:22" x14ac:dyDescent="0.2">
      <c r="A32" t="s">
        <v>465</v>
      </c>
      <c r="B32" t="s">
        <v>33</v>
      </c>
      <c r="C32" t="s">
        <v>41</v>
      </c>
      <c r="D32" t="s">
        <v>42</v>
      </c>
      <c r="E32" t="s">
        <v>442</v>
      </c>
      <c r="F32" t="s">
        <v>48</v>
      </c>
      <c r="G32" t="s">
        <v>60</v>
      </c>
      <c r="H32" t="s">
        <v>65</v>
      </c>
      <c r="I32">
        <v>1</v>
      </c>
      <c r="J32">
        <v>1</v>
      </c>
      <c r="K32">
        <v>1</v>
      </c>
      <c r="L32">
        <v>0</v>
      </c>
      <c r="M32">
        <v>0</v>
      </c>
      <c r="N32">
        <v>0</v>
      </c>
      <c r="O32">
        <v>1</v>
      </c>
      <c r="P32">
        <v>1</v>
      </c>
      <c r="Q32">
        <v>1</v>
      </c>
      <c r="R32">
        <v>1</v>
      </c>
      <c r="S32">
        <v>0</v>
      </c>
      <c r="T32">
        <v>0</v>
      </c>
      <c r="U32">
        <v>0</v>
      </c>
      <c r="V32">
        <v>0</v>
      </c>
    </row>
    <row r="33" spans="1:22" x14ac:dyDescent="0.2">
      <c r="A33" t="s">
        <v>478</v>
      </c>
      <c r="B33" t="s">
        <v>108</v>
      </c>
      <c r="C33" t="s">
        <v>41</v>
      </c>
      <c r="D33" t="s">
        <v>49</v>
      </c>
      <c r="E33" t="s">
        <v>442</v>
      </c>
      <c r="F33" t="s">
        <v>48</v>
      </c>
      <c r="G33" t="s">
        <v>60</v>
      </c>
      <c r="H33" t="s">
        <v>65</v>
      </c>
      <c r="I33">
        <v>1</v>
      </c>
      <c r="J33">
        <v>1</v>
      </c>
      <c r="K33">
        <v>1</v>
      </c>
      <c r="L33">
        <v>0</v>
      </c>
      <c r="M33">
        <v>0</v>
      </c>
      <c r="N33">
        <v>0</v>
      </c>
      <c r="O33">
        <v>1</v>
      </c>
      <c r="P33">
        <v>0</v>
      </c>
      <c r="Q33">
        <v>1</v>
      </c>
      <c r="R33">
        <v>0</v>
      </c>
      <c r="S33">
        <v>0</v>
      </c>
      <c r="T33">
        <v>0</v>
      </c>
      <c r="U33">
        <v>0</v>
      </c>
      <c r="V33">
        <v>0</v>
      </c>
    </row>
    <row r="34" spans="1:22" x14ac:dyDescent="0.2">
      <c r="A34" t="s">
        <v>488</v>
      </c>
      <c r="B34" t="s">
        <v>108</v>
      </c>
      <c r="C34" t="s">
        <v>41</v>
      </c>
      <c r="D34" t="s">
        <v>67</v>
      </c>
      <c r="E34" t="s">
        <v>442</v>
      </c>
      <c r="F34" t="s">
        <v>65</v>
      </c>
      <c r="G34" t="s">
        <v>48</v>
      </c>
      <c r="H34" t="s">
        <v>60</v>
      </c>
      <c r="I34">
        <v>1</v>
      </c>
      <c r="J34">
        <v>1</v>
      </c>
      <c r="K34">
        <v>1</v>
      </c>
      <c r="L34">
        <v>0</v>
      </c>
      <c r="M34">
        <v>0</v>
      </c>
      <c r="N34">
        <v>0</v>
      </c>
      <c r="O34">
        <v>1</v>
      </c>
      <c r="P34">
        <v>1</v>
      </c>
      <c r="Q34">
        <v>0</v>
      </c>
      <c r="R34">
        <v>0</v>
      </c>
      <c r="S34">
        <v>0</v>
      </c>
      <c r="T34">
        <v>0</v>
      </c>
      <c r="U34">
        <v>0</v>
      </c>
      <c r="V34">
        <v>0</v>
      </c>
    </row>
    <row r="35" spans="1:22" x14ac:dyDescent="0.2">
      <c r="A35" t="s">
        <v>506</v>
      </c>
      <c r="B35" t="s">
        <v>108</v>
      </c>
      <c r="C35" t="s">
        <v>41</v>
      </c>
      <c r="D35" t="s">
        <v>55</v>
      </c>
      <c r="E35" t="s">
        <v>442</v>
      </c>
      <c r="F35" t="s">
        <v>48</v>
      </c>
      <c r="G35" t="s">
        <v>60</v>
      </c>
      <c r="H35" t="s">
        <v>65</v>
      </c>
      <c r="I35">
        <v>1</v>
      </c>
      <c r="J35">
        <v>1</v>
      </c>
      <c r="K35">
        <v>1</v>
      </c>
      <c r="L35">
        <v>0</v>
      </c>
      <c r="M35">
        <v>0</v>
      </c>
      <c r="N35">
        <v>0</v>
      </c>
      <c r="O35">
        <v>1</v>
      </c>
      <c r="P35">
        <v>0</v>
      </c>
      <c r="Q35">
        <v>1</v>
      </c>
      <c r="R35">
        <v>0</v>
      </c>
      <c r="S35">
        <v>0</v>
      </c>
      <c r="T35">
        <v>0</v>
      </c>
      <c r="U35">
        <v>0</v>
      </c>
      <c r="V35">
        <v>0</v>
      </c>
    </row>
    <row r="36" spans="1:22" x14ac:dyDescent="0.2">
      <c r="A36" t="s">
        <v>518</v>
      </c>
      <c r="B36" t="s">
        <v>108</v>
      </c>
      <c r="C36" t="s">
        <v>41</v>
      </c>
      <c r="D36" t="s">
        <v>42</v>
      </c>
      <c r="E36" t="s">
        <v>442</v>
      </c>
      <c r="F36" t="s">
        <v>60</v>
      </c>
      <c r="G36" t="s">
        <v>48</v>
      </c>
      <c r="H36" t="s">
        <v>65</v>
      </c>
      <c r="I36">
        <v>1</v>
      </c>
      <c r="J36">
        <v>1</v>
      </c>
      <c r="K36">
        <v>1</v>
      </c>
      <c r="L36">
        <v>0</v>
      </c>
      <c r="M36">
        <v>0</v>
      </c>
      <c r="N36">
        <v>0</v>
      </c>
      <c r="O36">
        <v>1</v>
      </c>
      <c r="P36">
        <v>1</v>
      </c>
      <c r="Q36">
        <v>1</v>
      </c>
      <c r="R36">
        <v>1</v>
      </c>
      <c r="S36">
        <v>0</v>
      </c>
      <c r="T36">
        <v>0</v>
      </c>
      <c r="U36">
        <v>0</v>
      </c>
      <c r="V36">
        <v>0</v>
      </c>
    </row>
    <row r="37" spans="1:22" x14ac:dyDescent="0.2">
      <c r="A37" t="s">
        <v>527</v>
      </c>
      <c r="B37" t="s">
        <v>108</v>
      </c>
      <c r="C37" t="s">
        <v>41</v>
      </c>
      <c r="D37" t="s">
        <v>67</v>
      </c>
      <c r="E37" t="s">
        <v>442</v>
      </c>
      <c r="F37" t="s">
        <v>48</v>
      </c>
      <c r="G37" t="s">
        <v>65</v>
      </c>
      <c r="H37" t="s">
        <v>60</v>
      </c>
      <c r="I37">
        <v>1</v>
      </c>
      <c r="J37">
        <v>1</v>
      </c>
      <c r="K37">
        <v>1</v>
      </c>
      <c r="L37">
        <v>0</v>
      </c>
      <c r="M37">
        <v>0</v>
      </c>
      <c r="N37">
        <v>0</v>
      </c>
      <c r="O37">
        <v>1</v>
      </c>
      <c r="P37">
        <v>0</v>
      </c>
      <c r="Q37">
        <v>1</v>
      </c>
      <c r="R37">
        <v>0</v>
      </c>
      <c r="S37">
        <v>0</v>
      </c>
      <c r="T37">
        <v>0</v>
      </c>
      <c r="U37">
        <v>0</v>
      </c>
      <c r="V37">
        <v>0</v>
      </c>
    </row>
    <row r="38" spans="1:22" x14ac:dyDescent="0.2">
      <c r="A38" t="s">
        <v>531</v>
      </c>
      <c r="B38" t="s">
        <v>108</v>
      </c>
      <c r="C38" t="s">
        <v>41</v>
      </c>
      <c r="D38" t="s">
        <v>55</v>
      </c>
      <c r="E38" t="s">
        <v>442</v>
      </c>
      <c r="F38" t="s">
        <v>60</v>
      </c>
      <c r="G38" t="s">
        <v>48</v>
      </c>
      <c r="H38" t="s">
        <v>65</v>
      </c>
      <c r="I38">
        <v>1</v>
      </c>
      <c r="J38">
        <v>1</v>
      </c>
      <c r="K38">
        <v>1</v>
      </c>
      <c r="L38">
        <v>0</v>
      </c>
      <c r="M38">
        <v>0</v>
      </c>
      <c r="N38">
        <v>0</v>
      </c>
      <c r="O38">
        <v>1</v>
      </c>
      <c r="P38">
        <v>1</v>
      </c>
      <c r="Q38">
        <v>1</v>
      </c>
      <c r="R38">
        <v>0</v>
      </c>
      <c r="S38">
        <v>0</v>
      </c>
      <c r="T38">
        <v>0</v>
      </c>
      <c r="U38">
        <v>0</v>
      </c>
      <c r="V38">
        <v>0</v>
      </c>
    </row>
    <row r="39" spans="1:22" x14ac:dyDescent="0.2">
      <c r="A39" t="s">
        <v>575</v>
      </c>
      <c r="B39" t="s">
        <v>188</v>
      </c>
      <c r="C39" t="s">
        <v>41</v>
      </c>
      <c r="D39" t="s">
        <v>49</v>
      </c>
      <c r="E39" t="s">
        <v>442</v>
      </c>
      <c r="F39" t="s">
        <v>65</v>
      </c>
      <c r="G39" t="s">
        <v>48</v>
      </c>
      <c r="H39" t="s">
        <v>60</v>
      </c>
      <c r="I39">
        <v>1</v>
      </c>
      <c r="J39">
        <v>1</v>
      </c>
      <c r="K39">
        <v>1</v>
      </c>
      <c r="L39">
        <v>0</v>
      </c>
      <c r="M39">
        <v>0</v>
      </c>
      <c r="N39">
        <v>0</v>
      </c>
      <c r="O39">
        <v>1</v>
      </c>
      <c r="P39">
        <v>0</v>
      </c>
      <c r="Q39">
        <v>1</v>
      </c>
      <c r="R39">
        <v>0</v>
      </c>
      <c r="S39">
        <v>0</v>
      </c>
      <c r="T39">
        <v>0</v>
      </c>
      <c r="U39">
        <v>0</v>
      </c>
      <c r="V39">
        <v>0</v>
      </c>
    </row>
    <row r="40" spans="1:22" x14ac:dyDescent="0.2">
      <c r="A40" t="s">
        <v>583</v>
      </c>
      <c r="B40" t="s">
        <v>33</v>
      </c>
      <c r="C40" t="s">
        <v>41</v>
      </c>
      <c r="D40" t="s">
        <v>61</v>
      </c>
      <c r="E40" t="s">
        <v>442</v>
      </c>
      <c r="F40" t="s">
        <v>60</v>
      </c>
      <c r="G40" t="s">
        <v>65</v>
      </c>
      <c r="H40" t="s">
        <v>48</v>
      </c>
      <c r="I40">
        <v>1</v>
      </c>
      <c r="J40">
        <v>1</v>
      </c>
      <c r="K40">
        <v>1</v>
      </c>
      <c r="L40">
        <v>0</v>
      </c>
      <c r="M40">
        <v>0</v>
      </c>
      <c r="N40">
        <v>0</v>
      </c>
      <c r="O40">
        <v>1</v>
      </c>
      <c r="P40">
        <v>0</v>
      </c>
      <c r="Q40">
        <v>1</v>
      </c>
      <c r="R40">
        <v>0</v>
      </c>
      <c r="S40">
        <v>0</v>
      </c>
      <c r="T40">
        <v>0</v>
      </c>
      <c r="U40">
        <v>0</v>
      </c>
      <c r="V40">
        <v>0</v>
      </c>
    </row>
    <row r="41" spans="1:22" x14ac:dyDescent="0.2">
      <c r="A41" t="s">
        <v>603</v>
      </c>
      <c r="B41" t="s">
        <v>188</v>
      </c>
      <c r="C41" t="s">
        <v>41</v>
      </c>
      <c r="D41" t="s">
        <v>42</v>
      </c>
      <c r="E41" t="s">
        <v>442</v>
      </c>
      <c r="F41" t="s">
        <v>48</v>
      </c>
      <c r="G41" t="s">
        <v>60</v>
      </c>
      <c r="H41" t="s">
        <v>65</v>
      </c>
      <c r="I41">
        <v>1</v>
      </c>
      <c r="J41">
        <v>1</v>
      </c>
      <c r="K41">
        <v>1</v>
      </c>
      <c r="L41">
        <v>0</v>
      </c>
      <c r="M41">
        <v>0</v>
      </c>
      <c r="N41">
        <v>0</v>
      </c>
      <c r="O41">
        <v>1</v>
      </c>
      <c r="P41">
        <v>1</v>
      </c>
      <c r="Q41">
        <v>0</v>
      </c>
      <c r="R41">
        <v>0</v>
      </c>
      <c r="S41">
        <v>0</v>
      </c>
      <c r="T41">
        <v>0</v>
      </c>
      <c r="U41">
        <v>0</v>
      </c>
      <c r="V41">
        <v>0</v>
      </c>
    </row>
    <row r="42" spans="1:22" x14ac:dyDescent="0.2">
      <c r="A42" t="s">
        <v>608</v>
      </c>
      <c r="B42" t="s">
        <v>108</v>
      </c>
      <c r="C42" t="s">
        <v>41</v>
      </c>
      <c r="D42" t="s">
        <v>42</v>
      </c>
      <c r="E42" t="s">
        <v>442</v>
      </c>
      <c r="F42" t="s">
        <v>65</v>
      </c>
      <c r="G42" t="s">
        <v>60</v>
      </c>
      <c r="H42" t="s">
        <v>48</v>
      </c>
      <c r="I42">
        <v>1</v>
      </c>
      <c r="J42">
        <v>1</v>
      </c>
      <c r="K42">
        <v>1</v>
      </c>
      <c r="L42">
        <v>0</v>
      </c>
      <c r="M42">
        <v>0</v>
      </c>
      <c r="N42">
        <v>0</v>
      </c>
      <c r="O42">
        <v>1</v>
      </c>
      <c r="P42">
        <v>1</v>
      </c>
      <c r="Q42">
        <v>1</v>
      </c>
      <c r="R42">
        <v>1</v>
      </c>
      <c r="S42">
        <v>0</v>
      </c>
      <c r="T42">
        <v>0</v>
      </c>
      <c r="U42">
        <v>0</v>
      </c>
      <c r="V42">
        <v>0</v>
      </c>
    </row>
    <row r="43" spans="1:22" x14ac:dyDescent="0.2">
      <c r="A43" t="s">
        <v>617</v>
      </c>
      <c r="B43" t="s">
        <v>33</v>
      </c>
      <c r="C43" t="s">
        <v>41</v>
      </c>
      <c r="D43" t="s">
        <v>49</v>
      </c>
      <c r="E43" t="s">
        <v>442</v>
      </c>
      <c r="F43" t="s">
        <v>65</v>
      </c>
      <c r="G43" t="s">
        <v>60</v>
      </c>
      <c r="H43" t="s">
        <v>48</v>
      </c>
      <c r="I43">
        <v>1</v>
      </c>
      <c r="J43">
        <v>1</v>
      </c>
      <c r="K43">
        <v>1</v>
      </c>
      <c r="L43">
        <v>0</v>
      </c>
      <c r="M43">
        <v>0</v>
      </c>
      <c r="N43">
        <v>0</v>
      </c>
      <c r="O43">
        <v>1</v>
      </c>
      <c r="P43">
        <v>1</v>
      </c>
      <c r="Q43">
        <v>0</v>
      </c>
      <c r="R43">
        <v>0</v>
      </c>
      <c r="S43">
        <v>0</v>
      </c>
      <c r="T43">
        <v>0</v>
      </c>
      <c r="U43">
        <v>0</v>
      </c>
      <c r="V43">
        <v>0</v>
      </c>
    </row>
    <row r="44" spans="1:22" x14ac:dyDescent="0.2">
      <c r="A44" t="s">
        <v>626</v>
      </c>
      <c r="B44" t="s">
        <v>188</v>
      </c>
      <c r="C44" t="s">
        <v>41</v>
      </c>
      <c r="D44" t="s">
        <v>55</v>
      </c>
      <c r="E44" t="s">
        <v>442</v>
      </c>
      <c r="F44" t="s">
        <v>48</v>
      </c>
      <c r="G44" t="s">
        <v>65</v>
      </c>
      <c r="H44" t="s">
        <v>60</v>
      </c>
      <c r="I44">
        <v>1</v>
      </c>
      <c r="J44">
        <v>1</v>
      </c>
      <c r="K44">
        <v>1</v>
      </c>
      <c r="L44">
        <v>0</v>
      </c>
      <c r="M44">
        <v>0</v>
      </c>
      <c r="N44">
        <v>0</v>
      </c>
      <c r="O44">
        <v>1</v>
      </c>
      <c r="P44">
        <v>0</v>
      </c>
      <c r="Q44">
        <v>1</v>
      </c>
      <c r="R44">
        <v>0</v>
      </c>
      <c r="S44">
        <v>0</v>
      </c>
      <c r="T44">
        <v>0</v>
      </c>
      <c r="U44">
        <v>0</v>
      </c>
      <c r="V44">
        <v>0</v>
      </c>
    </row>
    <row r="45" spans="1:22" x14ac:dyDescent="0.2">
      <c r="A45" t="s">
        <v>634</v>
      </c>
      <c r="B45" t="s">
        <v>33</v>
      </c>
      <c r="C45" t="s">
        <v>41</v>
      </c>
      <c r="D45" t="s">
        <v>55</v>
      </c>
      <c r="E45" t="s">
        <v>442</v>
      </c>
      <c r="F45" t="s">
        <v>48</v>
      </c>
      <c r="G45" t="s">
        <v>60</v>
      </c>
      <c r="H45" t="s">
        <v>65</v>
      </c>
      <c r="I45">
        <v>1</v>
      </c>
      <c r="J45">
        <v>1</v>
      </c>
      <c r="K45">
        <v>1</v>
      </c>
      <c r="L45">
        <v>0</v>
      </c>
      <c r="M45">
        <v>0</v>
      </c>
      <c r="N45">
        <v>0</v>
      </c>
      <c r="O45">
        <v>1</v>
      </c>
      <c r="P45">
        <v>1</v>
      </c>
      <c r="Q45">
        <v>1</v>
      </c>
      <c r="R45">
        <v>0</v>
      </c>
      <c r="S45">
        <v>0</v>
      </c>
      <c r="T45">
        <v>0</v>
      </c>
      <c r="U45">
        <v>0</v>
      </c>
      <c r="V45">
        <v>0</v>
      </c>
    </row>
    <row r="46" spans="1:22" x14ac:dyDescent="0.2">
      <c r="A46" t="s">
        <v>637</v>
      </c>
      <c r="B46" t="s">
        <v>33</v>
      </c>
      <c r="C46" t="s">
        <v>41</v>
      </c>
      <c r="D46" t="s">
        <v>49</v>
      </c>
      <c r="E46" t="s">
        <v>442</v>
      </c>
      <c r="F46" t="s">
        <v>60</v>
      </c>
      <c r="G46" t="s">
        <v>65</v>
      </c>
      <c r="H46" t="s">
        <v>48</v>
      </c>
      <c r="I46">
        <v>1</v>
      </c>
      <c r="J46">
        <v>1</v>
      </c>
      <c r="K46">
        <v>1</v>
      </c>
      <c r="L46">
        <v>0</v>
      </c>
      <c r="M46">
        <v>0</v>
      </c>
      <c r="N46">
        <v>0</v>
      </c>
      <c r="O46">
        <v>1</v>
      </c>
      <c r="P46">
        <v>1</v>
      </c>
      <c r="Q46">
        <v>1</v>
      </c>
      <c r="R46">
        <v>0</v>
      </c>
      <c r="S46">
        <v>0</v>
      </c>
      <c r="T46">
        <v>0</v>
      </c>
      <c r="U46">
        <v>0</v>
      </c>
      <c r="V46">
        <v>0</v>
      </c>
    </row>
    <row r="47" spans="1:22" x14ac:dyDescent="0.2">
      <c r="A47" t="s">
        <v>652</v>
      </c>
      <c r="B47" t="s">
        <v>108</v>
      </c>
      <c r="C47" t="s">
        <v>41</v>
      </c>
      <c r="D47" t="s">
        <v>72</v>
      </c>
      <c r="E47" t="s">
        <v>442</v>
      </c>
      <c r="F47" t="s">
        <v>65</v>
      </c>
      <c r="G47" t="s">
        <v>48</v>
      </c>
      <c r="H47" t="s">
        <v>60</v>
      </c>
      <c r="I47">
        <v>1</v>
      </c>
      <c r="J47">
        <v>1</v>
      </c>
      <c r="K47">
        <v>1</v>
      </c>
      <c r="L47">
        <v>0</v>
      </c>
      <c r="M47">
        <v>0</v>
      </c>
      <c r="N47">
        <v>0</v>
      </c>
      <c r="O47">
        <v>1</v>
      </c>
      <c r="P47">
        <v>0</v>
      </c>
      <c r="Q47">
        <v>0</v>
      </c>
      <c r="R47">
        <v>0</v>
      </c>
      <c r="S47">
        <v>0</v>
      </c>
      <c r="T47">
        <v>0</v>
      </c>
      <c r="U47">
        <v>0</v>
      </c>
      <c r="V47">
        <v>1</v>
      </c>
    </row>
    <row r="48" spans="1:22" x14ac:dyDescent="0.2">
      <c r="A48" t="s">
        <v>659</v>
      </c>
      <c r="B48" t="s">
        <v>108</v>
      </c>
      <c r="C48" t="s">
        <v>41</v>
      </c>
      <c r="D48" t="s">
        <v>55</v>
      </c>
      <c r="E48" t="s">
        <v>442</v>
      </c>
      <c r="F48" t="s">
        <v>65</v>
      </c>
      <c r="G48" t="s">
        <v>48</v>
      </c>
      <c r="H48" t="s">
        <v>60</v>
      </c>
      <c r="I48">
        <v>1</v>
      </c>
      <c r="J48">
        <v>1</v>
      </c>
      <c r="K48">
        <v>1</v>
      </c>
      <c r="L48">
        <v>0</v>
      </c>
      <c r="M48">
        <v>0</v>
      </c>
      <c r="N48">
        <v>0</v>
      </c>
      <c r="O48">
        <v>1</v>
      </c>
      <c r="P48">
        <v>0</v>
      </c>
      <c r="Q48">
        <v>0</v>
      </c>
      <c r="R48">
        <v>1</v>
      </c>
      <c r="S48">
        <v>0</v>
      </c>
      <c r="T48">
        <v>0</v>
      </c>
      <c r="U48">
        <v>0</v>
      </c>
      <c r="V48">
        <v>0</v>
      </c>
    </row>
    <row r="49" spans="1:22" x14ac:dyDescent="0.2">
      <c r="A49" t="s">
        <v>685</v>
      </c>
      <c r="B49" t="s">
        <v>108</v>
      </c>
      <c r="C49" t="s">
        <v>41</v>
      </c>
      <c r="D49" t="s">
        <v>67</v>
      </c>
      <c r="E49" t="s">
        <v>442</v>
      </c>
      <c r="F49" t="s">
        <v>48</v>
      </c>
      <c r="G49" t="s">
        <v>65</v>
      </c>
      <c r="H49" t="s">
        <v>60</v>
      </c>
      <c r="I49">
        <v>1</v>
      </c>
      <c r="J49">
        <v>1</v>
      </c>
      <c r="K49">
        <v>1</v>
      </c>
      <c r="L49">
        <v>0</v>
      </c>
      <c r="M49">
        <v>0</v>
      </c>
      <c r="N49">
        <v>0</v>
      </c>
      <c r="O49">
        <v>1</v>
      </c>
      <c r="P49">
        <v>1</v>
      </c>
      <c r="Q49">
        <v>1</v>
      </c>
      <c r="R49">
        <v>0</v>
      </c>
      <c r="S49">
        <v>0</v>
      </c>
      <c r="T49">
        <v>0</v>
      </c>
      <c r="U49">
        <v>0</v>
      </c>
      <c r="V49">
        <v>0</v>
      </c>
    </row>
    <row r="50" spans="1:22" x14ac:dyDescent="0.2">
      <c r="A50" t="s">
        <v>688</v>
      </c>
      <c r="B50" t="s">
        <v>188</v>
      </c>
      <c r="C50" t="s">
        <v>41</v>
      </c>
      <c r="D50" t="s">
        <v>42</v>
      </c>
      <c r="E50" t="s">
        <v>442</v>
      </c>
      <c r="F50" t="s">
        <v>60</v>
      </c>
      <c r="G50" t="s">
        <v>65</v>
      </c>
      <c r="H50" t="s">
        <v>48</v>
      </c>
      <c r="I50">
        <v>1</v>
      </c>
      <c r="J50">
        <v>1</v>
      </c>
      <c r="K50">
        <v>1</v>
      </c>
      <c r="L50">
        <v>0</v>
      </c>
      <c r="M50">
        <v>0</v>
      </c>
      <c r="N50">
        <v>0</v>
      </c>
      <c r="O50">
        <v>1</v>
      </c>
      <c r="P50">
        <v>0</v>
      </c>
      <c r="Q50">
        <v>1</v>
      </c>
      <c r="R50">
        <v>0</v>
      </c>
      <c r="S50">
        <v>0</v>
      </c>
      <c r="T50">
        <v>0</v>
      </c>
      <c r="U50">
        <v>0</v>
      </c>
      <c r="V50">
        <v>0</v>
      </c>
    </row>
    <row r="51" spans="1:22" x14ac:dyDescent="0.2">
      <c r="A51" t="s">
        <v>688</v>
      </c>
      <c r="B51" t="s">
        <v>188</v>
      </c>
      <c r="C51" t="s">
        <v>41</v>
      </c>
      <c r="D51" t="s">
        <v>67</v>
      </c>
      <c r="E51" t="s">
        <v>442</v>
      </c>
      <c r="F51" t="s">
        <v>48</v>
      </c>
      <c r="G51" t="s">
        <v>65</v>
      </c>
      <c r="H51" t="s">
        <v>60</v>
      </c>
      <c r="I51">
        <v>1</v>
      </c>
      <c r="J51">
        <v>1</v>
      </c>
      <c r="K51">
        <v>1</v>
      </c>
      <c r="L51">
        <v>0</v>
      </c>
      <c r="M51">
        <v>0</v>
      </c>
      <c r="N51">
        <v>0</v>
      </c>
      <c r="O51">
        <v>1</v>
      </c>
      <c r="P51">
        <v>0</v>
      </c>
      <c r="Q51">
        <v>1</v>
      </c>
      <c r="R51">
        <v>0</v>
      </c>
      <c r="S51">
        <v>0</v>
      </c>
      <c r="T51">
        <v>0</v>
      </c>
      <c r="U51">
        <v>0</v>
      </c>
      <c r="V51">
        <v>0</v>
      </c>
    </row>
    <row r="52" spans="1:22" x14ac:dyDescent="0.2">
      <c r="A52" t="s">
        <v>691</v>
      </c>
      <c r="B52" t="s">
        <v>108</v>
      </c>
      <c r="C52" t="s">
        <v>41</v>
      </c>
      <c r="D52" t="s">
        <v>55</v>
      </c>
      <c r="E52" t="s">
        <v>442</v>
      </c>
      <c r="F52" t="s">
        <v>65</v>
      </c>
      <c r="G52" t="s">
        <v>60</v>
      </c>
      <c r="H52" t="s">
        <v>48</v>
      </c>
      <c r="I52">
        <v>1</v>
      </c>
      <c r="J52">
        <v>1</v>
      </c>
      <c r="K52">
        <v>1</v>
      </c>
      <c r="L52">
        <v>0</v>
      </c>
      <c r="M52">
        <v>0</v>
      </c>
      <c r="N52">
        <v>0</v>
      </c>
      <c r="O52">
        <v>1</v>
      </c>
      <c r="P52">
        <v>1</v>
      </c>
      <c r="Q52">
        <v>1</v>
      </c>
      <c r="R52">
        <v>1</v>
      </c>
      <c r="S52">
        <v>0</v>
      </c>
      <c r="T52">
        <v>0</v>
      </c>
      <c r="U52">
        <v>0</v>
      </c>
      <c r="V52">
        <v>0</v>
      </c>
    </row>
    <row r="53" spans="1:22" x14ac:dyDescent="0.2">
      <c r="A53" t="s">
        <v>694</v>
      </c>
      <c r="B53" t="s">
        <v>188</v>
      </c>
      <c r="C53" t="s">
        <v>41</v>
      </c>
      <c r="D53" t="s">
        <v>49</v>
      </c>
      <c r="E53" t="s">
        <v>442</v>
      </c>
      <c r="F53" t="s">
        <v>60</v>
      </c>
      <c r="G53" t="s">
        <v>65</v>
      </c>
      <c r="H53" t="s">
        <v>48</v>
      </c>
      <c r="I53">
        <v>1</v>
      </c>
      <c r="J53">
        <v>1</v>
      </c>
      <c r="K53">
        <v>1</v>
      </c>
      <c r="L53">
        <v>0</v>
      </c>
      <c r="M53">
        <v>0</v>
      </c>
      <c r="N53">
        <v>0</v>
      </c>
      <c r="O53">
        <v>1</v>
      </c>
      <c r="P53">
        <v>0</v>
      </c>
      <c r="Q53">
        <v>1</v>
      </c>
      <c r="R53">
        <v>0</v>
      </c>
      <c r="S53">
        <v>0</v>
      </c>
      <c r="T53">
        <v>0</v>
      </c>
      <c r="U53">
        <v>0</v>
      </c>
      <c r="V53">
        <v>0</v>
      </c>
    </row>
    <row r="54" spans="1:22" x14ac:dyDescent="0.2">
      <c r="A54" t="s">
        <v>703</v>
      </c>
      <c r="B54" t="s">
        <v>108</v>
      </c>
      <c r="C54" t="s">
        <v>41</v>
      </c>
      <c r="D54" t="s">
        <v>61</v>
      </c>
      <c r="E54" t="s">
        <v>442</v>
      </c>
      <c r="F54" t="s">
        <v>48</v>
      </c>
      <c r="G54" t="s">
        <v>65</v>
      </c>
      <c r="H54" t="s">
        <v>60</v>
      </c>
      <c r="I54">
        <v>1</v>
      </c>
      <c r="J54">
        <v>1</v>
      </c>
      <c r="K54">
        <v>1</v>
      </c>
      <c r="L54">
        <v>0</v>
      </c>
      <c r="M54">
        <v>0</v>
      </c>
      <c r="N54">
        <v>0</v>
      </c>
      <c r="O54">
        <v>1</v>
      </c>
      <c r="P54">
        <v>1</v>
      </c>
      <c r="Q54">
        <v>0</v>
      </c>
      <c r="R54">
        <v>0</v>
      </c>
      <c r="S54">
        <v>0</v>
      </c>
      <c r="T54">
        <v>0</v>
      </c>
      <c r="U54">
        <v>0</v>
      </c>
      <c r="V54">
        <v>0</v>
      </c>
    </row>
    <row r="55" spans="1:22" x14ac:dyDescent="0.2">
      <c r="A55" t="s">
        <v>725</v>
      </c>
      <c r="B55" t="s">
        <v>108</v>
      </c>
      <c r="C55" t="s">
        <v>41</v>
      </c>
      <c r="D55" t="s">
        <v>55</v>
      </c>
      <c r="E55" t="s">
        <v>442</v>
      </c>
      <c r="F55" t="s">
        <v>65</v>
      </c>
      <c r="G55" t="s">
        <v>48</v>
      </c>
      <c r="H55" t="s">
        <v>60</v>
      </c>
      <c r="I55">
        <v>1</v>
      </c>
      <c r="J55">
        <v>1</v>
      </c>
      <c r="K55">
        <v>1</v>
      </c>
      <c r="L55">
        <v>0</v>
      </c>
      <c r="M55">
        <v>0</v>
      </c>
      <c r="N55">
        <v>0</v>
      </c>
      <c r="O55">
        <v>1</v>
      </c>
      <c r="P55">
        <v>0</v>
      </c>
      <c r="Q55">
        <v>1</v>
      </c>
      <c r="R55">
        <v>0</v>
      </c>
      <c r="S55">
        <v>0</v>
      </c>
      <c r="T55">
        <v>0</v>
      </c>
      <c r="U55">
        <v>0</v>
      </c>
      <c r="V55">
        <v>0</v>
      </c>
    </row>
    <row r="56" spans="1:22" x14ac:dyDescent="0.2">
      <c r="A56" t="s">
        <v>735</v>
      </c>
      <c r="B56" t="s">
        <v>108</v>
      </c>
      <c r="C56" t="s">
        <v>41</v>
      </c>
      <c r="D56" t="s">
        <v>61</v>
      </c>
      <c r="E56" t="s">
        <v>442</v>
      </c>
      <c r="F56" t="s">
        <v>65</v>
      </c>
      <c r="G56" t="s">
        <v>48</v>
      </c>
      <c r="H56" t="s">
        <v>60</v>
      </c>
      <c r="I56">
        <v>1</v>
      </c>
      <c r="J56">
        <v>1</v>
      </c>
      <c r="K56">
        <v>1</v>
      </c>
      <c r="L56">
        <v>0</v>
      </c>
      <c r="M56">
        <v>0</v>
      </c>
      <c r="N56">
        <v>0</v>
      </c>
      <c r="O56">
        <v>1</v>
      </c>
      <c r="P56">
        <v>0</v>
      </c>
      <c r="Q56">
        <v>0</v>
      </c>
      <c r="R56">
        <v>0</v>
      </c>
      <c r="S56">
        <v>0</v>
      </c>
      <c r="T56">
        <v>0</v>
      </c>
      <c r="U56">
        <v>0</v>
      </c>
      <c r="V56">
        <v>1</v>
      </c>
    </row>
  </sheetData>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T36"/>
  <sheetViews>
    <sheetView topLeftCell="A13" workbookViewId="0">
      <selection activeCell="G42" sqref="G42"/>
    </sheetView>
  </sheetViews>
  <sheetFormatPr baseColWidth="10" defaultRowHeight="16" x14ac:dyDescent="0.2"/>
  <cols>
    <col min="1" max="1" width="31.5" bestFit="1" customWidth="1"/>
    <col min="2" max="2" width="15.5" bestFit="1" customWidth="1"/>
    <col min="3" max="3" width="7.33203125" bestFit="1" customWidth="1"/>
    <col min="4" max="4" width="14.83203125" bestFit="1" customWidth="1"/>
    <col min="5" max="5" width="12.6640625" bestFit="1" customWidth="1"/>
    <col min="6" max="6" width="7.33203125" bestFit="1" customWidth="1"/>
    <col min="7" max="7" width="15.1640625" bestFit="1" customWidth="1"/>
    <col min="8" max="8" width="13.1640625" bestFit="1" customWidth="1"/>
    <col min="9" max="9" width="7.33203125" bestFit="1" customWidth="1"/>
    <col min="10" max="10" width="15.6640625" bestFit="1" customWidth="1"/>
    <col min="11" max="11" width="10.6640625" bestFit="1" customWidth="1"/>
    <col min="12" max="12" width="7.33203125" bestFit="1" customWidth="1"/>
    <col min="13" max="13" width="13.1640625" bestFit="1" customWidth="1"/>
    <col min="14" max="14" width="12.1640625" bestFit="1" customWidth="1"/>
    <col min="15" max="15" width="7.33203125" bestFit="1" customWidth="1"/>
    <col min="16" max="16" width="14.6640625" bestFit="1" customWidth="1"/>
    <col min="17" max="17" width="11.1640625" bestFit="1" customWidth="1"/>
    <col min="18" max="18" width="7.33203125" bestFit="1" customWidth="1"/>
    <col min="19" max="19" width="13.6640625" bestFit="1" customWidth="1"/>
    <col min="20" max="20" width="10.83203125" bestFit="1" customWidth="1"/>
    <col min="21" max="21" width="14.83203125" bestFit="1" customWidth="1"/>
    <col min="22" max="23" width="12.6640625" bestFit="1" customWidth="1"/>
    <col min="24" max="24" width="15.1640625" bestFit="1" customWidth="1"/>
    <col min="25" max="26" width="13.1640625" bestFit="1" customWidth="1"/>
    <col min="27" max="27" width="15.6640625" bestFit="1" customWidth="1"/>
    <col min="28" max="29" width="10.6640625" bestFit="1" customWidth="1"/>
    <col min="30" max="30" width="13.1640625" bestFit="1" customWidth="1"/>
    <col min="31" max="32" width="12.1640625" bestFit="1" customWidth="1"/>
    <col min="33" max="33" width="14.6640625" bestFit="1" customWidth="1"/>
    <col min="34" max="35" width="11.1640625" bestFit="1" customWidth="1"/>
    <col min="36" max="36" width="13.6640625" bestFit="1" customWidth="1"/>
    <col min="37" max="38" width="27.6640625" bestFit="1" customWidth="1"/>
    <col min="39" max="39" width="14.83203125" bestFit="1" customWidth="1"/>
    <col min="40" max="41" width="12.6640625" bestFit="1" customWidth="1"/>
    <col min="42" max="42" width="15.1640625" bestFit="1" customWidth="1"/>
    <col min="43" max="44" width="13.1640625" bestFit="1" customWidth="1"/>
    <col min="45" max="45" width="15.6640625" bestFit="1" customWidth="1"/>
    <col min="46" max="47" width="10.6640625" bestFit="1" customWidth="1"/>
    <col min="48" max="48" width="13.1640625" bestFit="1" customWidth="1"/>
    <col min="49" max="50" width="12.1640625" bestFit="1" customWidth="1"/>
    <col min="51" max="51" width="14.6640625" bestFit="1" customWidth="1"/>
    <col min="52" max="53" width="11.1640625" bestFit="1" customWidth="1"/>
    <col min="54" max="54" width="13.6640625" bestFit="1" customWidth="1"/>
    <col min="55" max="56" width="29.6640625" bestFit="1" customWidth="1"/>
    <col min="57" max="57" width="14.83203125" bestFit="1" customWidth="1"/>
    <col min="58" max="59" width="12.6640625" bestFit="1" customWidth="1"/>
    <col min="60" max="60" width="15.1640625" bestFit="1" customWidth="1"/>
    <col min="61" max="62" width="13.1640625" bestFit="1" customWidth="1"/>
    <col min="63" max="63" width="15.6640625" bestFit="1" customWidth="1"/>
    <col min="64" max="65" width="10.6640625" bestFit="1" customWidth="1"/>
    <col min="66" max="66" width="13.1640625" bestFit="1" customWidth="1"/>
    <col min="67" max="68" width="12.1640625" bestFit="1" customWidth="1"/>
    <col min="69" max="69" width="14.6640625" bestFit="1" customWidth="1"/>
    <col min="70" max="71" width="11.1640625" bestFit="1" customWidth="1"/>
    <col min="72" max="72" width="13.6640625" bestFit="1" customWidth="1"/>
    <col min="73" max="74" width="29.1640625" bestFit="1" customWidth="1"/>
    <col min="75" max="75" width="14.83203125" bestFit="1" customWidth="1"/>
    <col min="76" max="77" width="12.6640625" bestFit="1" customWidth="1"/>
    <col min="78" max="78" width="15.1640625" bestFit="1" customWidth="1"/>
    <col min="79" max="80" width="13.1640625" bestFit="1" customWidth="1"/>
    <col min="81" max="81" width="15.6640625" bestFit="1" customWidth="1"/>
    <col min="82" max="83" width="10.6640625" bestFit="1" customWidth="1"/>
    <col min="84" max="84" width="13.1640625" bestFit="1" customWidth="1"/>
    <col min="85" max="86" width="12.1640625" bestFit="1" customWidth="1"/>
    <col min="87" max="87" width="14.6640625" bestFit="1" customWidth="1"/>
    <col min="88" max="89" width="11.1640625" bestFit="1" customWidth="1"/>
    <col min="90" max="90" width="13.6640625" bestFit="1" customWidth="1"/>
    <col min="91" max="92" width="22.6640625" bestFit="1" customWidth="1"/>
    <col min="93" max="93" width="14.83203125" bestFit="1" customWidth="1"/>
    <col min="94" max="95" width="12.6640625" bestFit="1" customWidth="1"/>
    <col min="96" max="96" width="15.1640625" bestFit="1" customWidth="1"/>
    <col min="97" max="98" width="13.1640625" bestFit="1" customWidth="1"/>
    <col min="99" max="99" width="15.6640625" bestFit="1" customWidth="1"/>
    <col min="100" max="101" width="10.6640625" bestFit="1" customWidth="1"/>
    <col min="102" max="102" width="13.1640625" bestFit="1" customWidth="1"/>
    <col min="103" max="104" width="12.1640625" bestFit="1" customWidth="1"/>
    <col min="105" max="105" width="14.6640625" bestFit="1" customWidth="1"/>
    <col min="106" max="107" width="11.1640625" bestFit="1" customWidth="1"/>
    <col min="108" max="108" width="13.6640625" bestFit="1" customWidth="1"/>
    <col min="109" max="110" width="25.33203125" bestFit="1" customWidth="1"/>
    <col min="111" max="111" width="14.83203125" bestFit="1" customWidth="1"/>
    <col min="112" max="113" width="12.6640625" bestFit="1" customWidth="1"/>
    <col min="114" max="114" width="15.1640625" bestFit="1" customWidth="1"/>
    <col min="115" max="116" width="13.1640625" bestFit="1" customWidth="1"/>
    <col min="117" max="117" width="15.6640625" bestFit="1" customWidth="1"/>
    <col min="118" max="119" width="10.6640625" bestFit="1" customWidth="1"/>
    <col min="120" max="120" width="13.1640625" bestFit="1" customWidth="1"/>
    <col min="121" max="122" width="12.1640625" bestFit="1" customWidth="1"/>
    <col min="123" max="123" width="14.6640625" bestFit="1" customWidth="1"/>
    <col min="124" max="125" width="11.1640625" bestFit="1" customWidth="1"/>
    <col min="126" max="126" width="13.6640625" bestFit="1" customWidth="1"/>
    <col min="127" max="128" width="23.5" bestFit="1" customWidth="1"/>
    <col min="129" max="129" width="14.83203125" bestFit="1" customWidth="1"/>
    <col min="130" max="131" width="12.6640625" bestFit="1" customWidth="1"/>
    <col min="132" max="132" width="15.1640625" bestFit="1" customWidth="1"/>
    <col min="133" max="134" width="13.1640625" bestFit="1" customWidth="1"/>
    <col min="135" max="135" width="15.6640625" bestFit="1" customWidth="1"/>
    <col min="136" max="137" width="10.6640625" bestFit="1" customWidth="1"/>
    <col min="138" max="138" width="13.1640625" bestFit="1" customWidth="1"/>
    <col min="139" max="140" width="12.1640625" bestFit="1" customWidth="1"/>
    <col min="141" max="141" width="14.6640625" bestFit="1" customWidth="1"/>
    <col min="142" max="143" width="11.1640625" bestFit="1" customWidth="1"/>
    <col min="144" max="144" width="13.6640625" bestFit="1" customWidth="1"/>
    <col min="145" max="146" width="30" bestFit="1" customWidth="1"/>
    <col min="147" max="147" width="14.83203125" bestFit="1" customWidth="1"/>
    <col min="148" max="149" width="12.6640625" bestFit="1" customWidth="1"/>
    <col min="150" max="150" width="15.1640625" bestFit="1" customWidth="1"/>
    <col min="151" max="152" width="13.1640625" bestFit="1" customWidth="1"/>
    <col min="153" max="153" width="15.6640625" bestFit="1" customWidth="1"/>
    <col min="154" max="155" width="10.6640625" bestFit="1" customWidth="1"/>
    <col min="156" max="156" width="13.1640625" bestFit="1" customWidth="1"/>
    <col min="157" max="158" width="12.1640625" bestFit="1" customWidth="1"/>
    <col min="159" max="159" width="14.6640625" bestFit="1" customWidth="1"/>
    <col min="160" max="161" width="11.1640625" bestFit="1" customWidth="1"/>
    <col min="162" max="162" width="13.6640625" bestFit="1" customWidth="1"/>
    <col min="163" max="164" width="29.5" bestFit="1" customWidth="1"/>
    <col min="165" max="165" width="14.83203125" bestFit="1" customWidth="1"/>
    <col min="166" max="167" width="12.6640625" bestFit="1" customWidth="1"/>
    <col min="168" max="168" width="15.1640625" bestFit="1" customWidth="1"/>
    <col min="169" max="170" width="13.1640625" bestFit="1" customWidth="1"/>
    <col min="171" max="171" width="15.6640625" bestFit="1" customWidth="1"/>
    <col min="172" max="173" width="10.6640625" bestFit="1" customWidth="1"/>
    <col min="174" max="174" width="13.1640625" bestFit="1" customWidth="1"/>
    <col min="175" max="176" width="12.1640625" bestFit="1" customWidth="1"/>
    <col min="177" max="177" width="14.6640625" bestFit="1" customWidth="1"/>
    <col min="178" max="179" width="11.1640625" bestFit="1" customWidth="1"/>
    <col min="180" max="180" width="13.6640625" bestFit="1" customWidth="1"/>
    <col min="181" max="182" width="31.5" bestFit="1" customWidth="1"/>
    <col min="183" max="183" width="14.83203125" bestFit="1" customWidth="1"/>
    <col min="184" max="185" width="12.6640625" bestFit="1" customWidth="1"/>
    <col min="186" max="186" width="15.1640625" bestFit="1" customWidth="1"/>
    <col min="187" max="188" width="13.1640625" bestFit="1" customWidth="1"/>
    <col min="189" max="189" width="15.6640625" bestFit="1" customWidth="1"/>
    <col min="190" max="191" width="10.6640625" bestFit="1" customWidth="1"/>
    <col min="192" max="192" width="13.1640625" bestFit="1" customWidth="1"/>
    <col min="193" max="194" width="12.1640625" bestFit="1" customWidth="1"/>
    <col min="195" max="195" width="14.6640625" bestFit="1" customWidth="1"/>
    <col min="196" max="197" width="11.1640625" bestFit="1" customWidth="1"/>
    <col min="198" max="198" width="13.6640625" bestFit="1" customWidth="1"/>
    <col min="199" max="200" width="31" bestFit="1" customWidth="1"/>
    <col min="201" max="201" width="14.83203125" bestFit="1" customWidth="1"/>
    <col min="202" max="203" width="12.6640625" bestFit="1" customWidth="1"/>
    <col min="204" max="204" width="15.1640625" bestFit="1" customWidth="1"/>
    <col min="205" max="206" width="13.1640625" bestFit="1" customWidth="1"/>
    <col min="207" max="207" width="15.6640625" bestFit="1" customWidth="1"/>
    <col min="208" max="209" width="10.6640625" bestFit="1" customWidth="1"/>
    <col min="210" max="210" width="13.1640625" bestFit="1" customWidth="1"/>
    <col min="211" max="212" width="12.1640625" bestFit="1" customWidth="1"/>
    <col min="213" max="213" width="14.6640625" bestFit="1" customWidth="1"/>
    <col min="214" max="215" width="11.1640625" bestFit="1" customWidth="1"/>
    <col min="216" max="216" width="13.6640625" bestFit="1" customWidth="1"/>
    <col min="217" max="218" width="24.5" bestFit="1" customWidth="1"/>
    <col min="219" max="219" width="14.83203125" bestFit="1" customWidth="1"/>
    <col min="220" max="221" width="12.6640625" bestFit="1" customWidth="1"/>
    <col min="222" max="222" width="15.1640625" bestFit="1" customWidth="1"/>
    <col min="223" max="224" width="13.1640625" bestFit="1" customWidth="1"/>
    <col min="225" max="225" width="15.6640625" bestFit="1" customWidth="1"/>
    <col min="226" max="227" width="10.6640625" bestFit="1" customWidth="1"/>
    <col min="228" max="228" width="13.1640625" bestFit="1" customWidth="1"/>
    <col min="229" max="230" width="12.1640625" bestFit="1" customWidth="1"/>
    <col min="231" max="231" width="14.6640625" bestFit="1" customWidth="1"/>
    <col min="232" max="233" width="11.1640625" bestFit="1" customWidth="1"/>
    <col min="234" max="234" width="13.6640625" bestFit="1" customWidth="1"/>
    <col min="235" max="236" width="27.33203125" bestFit="1" customWidth="1"/>
    <col min="237" max="237" width="14.83203125" bestFit="1" customWidth="1"/>
    <col min="238" max="239" width="12.6640625" bestFit="1" customWidth="1"/>
    <col min="240" max="240" width="15.1640625" bestFit="1" customWidth="1"/>
    <col min="241" max="242" width="13.1640625" bestFit="1" customWidth="1"/>
    <col min="243" max="243" width="15.6640625" bestFit="1" customWidth="1"/>
    <col min="244" max="245" width="10.6640625" bestFit="1" customWidth="1"/>
    <col min="246" max="246" width="13.1640625" bestFit="1" customWidth="1"/>
    <col min="247" max="248" width="12.1640625" bestFit="1" customWidth="1"/>
    <col min="249" max="249" width="14.6640625" bestFit="1" customWidth="1"/>
    <col min="250" max="251" width="11.1640625" bestFit="1" customWidth="1"/>
    <col min="252" max="252" width="13.6640625" bestFit="1" customWidth="1"/>
    <col min="253" max="253" width="26.33203125" bestFit="1" customWidth="1"/>
    <col min="254" max="254" width="33" bestFit="1" customWidth="1"/>
    <col min="255" max="255" width="32.5" bestFit="1" customWidth="1"/>
    <col min="256" max="256" width="34.5" bestFit="1" customWidth="1"/>
    <col min="257" max="257" width="34" bestFit="1" customWidth="1"/>
    <col min="258" max="258" width="27.5" bestFit="1" customWidth="1"/>
    <col min="259" max="259" width="30.1640625" bestFit="1" customWidth="1"/>
    <col min="260" max="260" width="28.33203125" bestFit="1" customWidth="1"/>
    <col min="261" max="261" width="34.83203125" bestFit="1" customWidth="1"/>
    <col min="262" max="262" width="34.33203125" bestFit="1" customWidth="1"/>
    <col min="263" max="263" width="36.33203125" bestFit="1" customWidth="1"/>
    <col min="264" max="264" width="35.83203125" bestFit="1" customWidth="1"/>
    <col min="265" max="265" width="29.33203125" bestFit="1" customWidth="1"/>
    <col min="266" max="266" width="32.1640625" bestFit="1" customWidth="1"/>
  </cols>
  <sheetData>
    <row r="1" spans="1:20" x14ac:dyDescent="0.2">
      <c r="B1" s="1" t="s">
        <v>742</v>
      </c>
    </row>
    <row r="2" spans="1:20" x14ac:dyDescent="0.2">
      <c r="B2" t="s">
        <v>55</v>
      </c>
      <c r="D2" t="s">
        <v>758</v>
      </c>
      <c r="E2" t="s">
        <v>42</v>
      </c>
      <c r="G2" t="s">
        <v>759</v>
      </c>
      <c r="H2" t="s">
        <v>72</v>
      </c>
      <c r="J2" t="s">
        <v>760</v>
      </c>
      <c r="K2" t="s">
        <v>61</v>
      </c>
      <c r="M2" t="s">
        <v>761</v>
      </c>
      <c r="N2" t="s">
        <v>67</v>
      </c>
      <c r="P2" t="s">
        <v>762</v>
      </c>
      <c r="Q2" t="s">
        <v>49</v>
      </c>
      <c r="S2" t="s">
        <v>763</v>
      </c>
      <c r="T2" t="s">
        <v>740</v>
      </c>
    </row>
    <row r="3" spans="1:20" x14ac:dyDescent="0.2">
      <c r="A3" s="1" t="s">
        <v>743</v>
      </c>
      <c r="B3" t="s">
        <v>37</v>
      </c>
      <c r="C3" t="s">
        <v>442</v>
      </c>
      <c r="E3" t="s">
        <v>37</v>
      </c>
      <c r="F3" t="s">
        <v>442</v>
      </c>
      <c r="H3" t="s">
        <v>37</v>
      </c>
      <c r="I3" t="s">
        <v>442</v>
      </c>
      <c r="K3" t="s">
        <v>37</v>
      </c>
      <c r="L3" t="s">
        <v>442</v>
      </c>
      <c r="N3" t="s">
        <v>37</v>
      </c>
      <c r="O3" t="s">
        <v>442</v>
      </c>
      <c r="Q3" t="s">
        <v>37</v>
      </c>
      <c r="R3" t="s">
        <v>442</v>
      </c>
    </row>
    <row r="4" spans="1:20" x14ac:dyDescent="0.2">
      <c r="A4" s="2" t="s">
        <v>744</v>
      </c>
      <c r="B4" s="3">
        <v>4</v>
      </c>
      <c r="C4" s="3">
        <v>7</v>
      </c>
      <c r="D4" s="3">
        <v>11</v>
      </c>
      <c r="E4" s="3">
        <v>5</v>
      </c>
      <c r="F4" s="3">
        <v>5</v>
      </c>
      <c r="G4" s="3">
        <v>10</v>
      </c>
      <c r="H4" s="3">
        <v>2</v>
      </c>
      <c r="I4" s="3">
        <v>1</v>
      </c>
      <c r="J4" s="3">
        <v>3</v>
      </c>
      <c r="K4" s="3">
        <v>7</v>
      </c>
      <c r="L4" s="3">
        <v>4</v>
      </c>
      <c r="M4" s="3">
        <v>11</v>
      </c>
      <c r="N4" s="3">
        <v>6</v>
      </c>
      <c r="O4" s="3">
        <v>5</v>
      </c>
      <c r="P4" s="3">
        <v>11</v>
      </c>
      <c r="Q4" s="3">
        <v>4</v>
      </c>
      <c r="R4" s="3">
        <v>5</v>
      </c>
      <c r="S4" s="3">
        <v>9</v>
      </c>
      <c r="T4" s="3">
        <v>55</v>
      </c>
    </row>
    <row r="5" spans="1:20" x14ac:dyDescent="0.2">
      <c r="A5" s="2" t="s">
        <v>745</v>
      </c>
      <c r="B5" s="3">
        <v>4</v>
      </c>
      <c r="C5" s="3">
        <v>7</v>
      </c>
      <c r="D5" s="3">
        <v>11</v>
      </c>
      <c r="E5" s="3">
        <v>5</v>
      </c>
      <c r="F5" s="3">
        <v>5</v>
      </c>
      <c r="G5" s="3">
        <v>10</v>
      </c>
      <c r="H5" s="3">
        <v>2</v>
      </c>
      <c r="I5" s="3">
        <v>1</v>
      </c>
      <c r="J5" s="3">
        <v>3</v>
      </c>
      <c r="K5" s="3">
        <v>7</v>
      </c>
      <c r="L5" s="3">
        <v>4</v>
      </c>
      <c r="M5" s="3">
        <v>11</v>
      </c>
      <c r="N5" s="3">
        <v>6</v>
      </c>
      <c r="O5" s="3">
        <v>5</v>
      </c>
      <c r="P5" s="3">
        <v>11</v>
      </c>
      <c r="Q5" s="3">
        <v>4</v>
      </c>
      <c r="R5" s="3">
        <v>5</v>
      </c>
      <c r="S5" s="3">
        <v>9</v>
      </c>
      <c r="T5" s="3">
        <v>55</v>
      </c>
    </row>
    <row r="6" spans="1:20" x14ac:dyDescent="0.2">
      <c r="A6" s="2" t="s">
        <v>746</v>
      </c>
      <c r="B6" s="3">
        <v>4</v>
      </c>
      <c r="C6" s="3">
        <v>7</v>
      </c>
      <c r="D6" s="3">
        <v>11</v>
      </c>
      <c r="E6" s="3">
        <v>5</v>
      </c>
      <c r="F6" s="3">
        <v>5</v>
      </c>
      <c r="G6" s="3">
        <v>10</v>
      </c>
      <c r="H6" s="3">
        <v>2</v>
      </c>
      <c r="I6" s="3">
        <v>1</v>
      </c>
      <c r="J6" s="3">
        <v>3</v>
      </c>
      <c r="K6" s="3">
        <v>7</v>
      </c>
      <c r="L6" s="3">
        <v>4</v>
      </c>
      <c r="M6" s="3">
        <v>11</v>
      </c>
      <c r="N6" s="3">
        <v>6</v>
      </c>
      <c r="O6" s="3">
        <v>5</v>
      </c>
      <c r="P6" s="3">
        <v>11</v>
      </c>
      <c r="Q6" s="3">
        <v>4</v>
      </c>
      <c r="R6" s="3">
        <v>5</v>
      </c>
      <c r="S6" s="3">
        <v>9</v>
      </c>
      <c r="T6" s="3">
        <v>55</v>
      </c>
    </row>
    <row r="7" spans="1:20" x14ac:dyDescent="0.2">
      <c r="A7" s="2" t="s">
        <v>747</v>
      </c>
      <c r="B7" s="3">
        <v>0</v>
      </c>
      <c r="C7" s="3">
        <v>0</v>
      </c>
      <c r="D7" s="3">
        <v>0</v>
      </c>
      <c r="E7" s="3">
        <v>0</v>
      </c>
      <c r="F7" s="3">
        <v>0</v>
      </c>
      <c r="G7" s="3">
        <v>0</v>
      </c>
      <c r="H7" s="3">
        <v>0</v>
      </c>
      <c r="I7" s="3">
        <v>0</v>
      </c>
      <c r="J7" s="3">
        <v>0</v>
      </c>
      <c r="K7" s="3">
        <v>0</v>
      </c>
      <c r="L7" s="3">
        <v>0</v>
      </c>
      <c r="M7" s="3">
        <v>0</v>
      </c>
      <c r="N7" s="3">
        <v>0</v>
      </c>
      <c r="O7" s="3">
        <v>0</v>
      </c>
      <c r="P7" s="3">
        <v>0</v>
      </c>
      <c r="Q7" s="3">
        <v>0</v>
      </c>
      <c r="R7" s="3">
        <v>0</v>
      </c>
      <c r="S7" s="3">
        <v>0</v>
      </c>
      <c r="T7" s="3">
        <v>0</v>
      </c>
    </row>
    <row r="8" spans="1:20" x14ac:dyDescent="0.2">
      <c r="A8" s="2" t="s">
        <v>748</v>
      </c>
      <c r="B8" s="3">
        <v>0</v>
      </c>
      <c r="C8" s="3">
        <v>0</v>
      </c>
      <c r="D8" s="3">
        <v>0</v>
      </c>
      <c r="E8" s="3">
        <v>0</v>
      </c>
      <c r="F8" s="3">
        <v>0</v>
      </c>
      <c r="G8" s="3">
        <v>0</v>
      </c>
      <c r="H8" s="3">
        <v>0</v>
      </c>
      <c r="I8" s="3">
        <v>0</v>
      </c>
      <c r="J8" s="3">
        <v>0</v>
      </c>
      <c r="K8" s="3">
        <v>0</v>
      </c>
      <c r="L8" s="3">
        <v>0</v>
      </c>
      <c r="M8" s="3">
        <v>0</v>
      </c>
      <c r="N8" s="3">
        <v>0</v>
      </c>
      <c r="O8" s="3">
        <v>0</v>
      </c>
      <c r="P8" s="3">
        <v>0</v>
      </c>
      <c r="Q8" s="3">
        <v>0</v>
      </c>
      <c r="R8" s="3">
        <v>0</v>
      </c>
      <c r="S8" s="3">
        <v>0</v>
      </c>
      <c r="T8" s="3">
        <v>0</v>
      </c>
    </row>
    <row r="9" spans="1:20" x14ac:dyDescent="0.2">
      <c r="A9" s="2" t="s">
        <v>749</v>
      </c>
      <c r="B9" s="3">
        <v>0</v>
      </c>
      <c r="C9" s="3">
        <v>0</v>
      </c>
      <c r="D9" s="3">
        <v>0</v>
      </c>
      <c r="E9" s="3">
        <v>0</v>
      </c>
      <c r="F9" s="3">
        <v>0</v>
      </c>
      <c r="G9" s="3">
        <v>0</v>
      </c>
      <c r="H9" s="3">
        <v>0</v>
      </c>
      <c r="I9" s="3">
        <v>0</v>
      </c>
      <c r="J9" s="3">
        <v>0</v>
      </c>
      <c r="K9" s="3">
        <v>0</v>
      </c>
      <c r="L9" s="3">
        <v>0</v>
      </c>
      <c r="M9" s="3">
        <v>0</v>
      </c>
      <c r="N9" s="3">
        <v>0</v>
      </c>
      <c r="O9" s="3">
        <v>0</v>
      </c>
      <c r="P9" s="3">
        <v>0</v>
      </c>
      <c r="Q9" s="3">
        <v>0</v>
      </c>
      <c r="R9" s="3">
        <v>0</v>
      </c>
      <c r="S9" s="3">
        <v>0</v>
      </c>
      <c r="T9" s="3">
        <v>0</v>
      </c>
    </row>
    <row r="10" spans="1:20" x14ac:dyDescent="0.2">
      <c r="A10" s="2" t="s">
        <v>750</v>
      </c>
      <c r="B10" s="3">
        <v>4</v>
      </c>
      <c r="C10" s="3">
        <v>7</v>
      </c>
      <c r="D10" s="3">
        <v>11</v>
      </c>
      <c r="E10" s="3">
        <v>5</v>
      </c>
      <c r="F10" s="3">
        <v>5</v>
      </c>
      <c r="G10" s="3">
        <v>10</v>
      </c>
      <c r="H10" s="3">
        <v>2</v>
      </c>
      <c r="I10" s="3">
        <v>1</v>
      </c>
      <c r="J10" s="3">
        <v>3</v>
      </c>
      <c r="K10" s="3">
        <v>7</v>
      </c>
      <c r="L10" s="3">
        <v>4</v>
      </c>
      <c r="M10" s="3">
        <v>11</v>
      </c>
      <c r="N10" s="3">
        <v>6</v>
      </c>
      <c r="O10" s="3">
        <v>5</v>
      </c>
      <c r="P10" s="3">
        <v>11</v>
      </c>
      <c r="Q10" s="3">
        <v>4</v>
      </c>
      <c r="R10" s="3">
        <v>5</v>
      </c>
      <c r="S10" s="3">
        <v>9</v>
      </c>
      <c r="T10" s="3">
        <v>55</v>
      </c>
    </row>
    <row r="11" spans="1:20" x14ac:dyDescent="0.2">
      <c r="A11" s="2" t="s">
        <v>751</v>
      </c>
      <c r="B11" s="3">
        <v>2</v>
      </c>
      <c r="C11" s="3">
        <v>3</v>
      </c>
      <c r="D11" s="3">
        <v>5</v>
      </c>
      <c r="E11" s="3">
        <v>3</v>
      </c>
      <c r="F11" s="3">
        <v>4</v>
      </c>
      <c r="G11" s="3">
        <v>7</v>
      </c>
      <c r="H11" s="3">
        <v>1</v>
      </c>
      <c r="I11" s="3">
        <v>0</v>
      </c>
      <c r="J11" s="3">
        <v>1</v>
      </c>
      <c r="K11" s="3">
        <v>4</v>
      </c>
      <c r="L11" s="3">
        <v>1</v>
      </c>
      <c r="M11" s="3">
        <v>5</v>
      </c>
      <c r="N11" s="3">
        <v>2</v>
      </c>
      <c r="O11" s="3">
        <v>2</v>
      </c>
      <c r="P11" s="3">
        <v>4</v>
      </c>
      <c r="Q11" s="3">
        <v>2</v>
      </c>
      <c r="R11" s="3">
        <v>2</v>
      </c>
      <c r="S11" s="3">
        <v>4</v>
      </c>
      <c r="T11" s="3">
        <v>26</v>
      </c>
    </row>
    <row r="12" spans="1:20" x14ac:dyDescent="0.2">
      <c r="A12" s="2" t="s">
        <v>752</v>
      </c>
      <c r="B12" s="3">
        <v>3</v>
      </c>
      <c r="C12" s="3">
        <v>6</v>
      </c>
      <c r="D12" s="3">
        <v>9</v>
      </c>
      <c r="E12" s="3">
        <v>3</v>
      </c>
      <c r="F12" s="3">
        <v>4</v>
      </c>
      <c r="G12" s="3">
        <v>7</v>
      </c>
      <c r="H12" s="3">
        <v>1</v>
      </c>
      <c r="I12" s="3">
        <v>0</v>
      </c>
      <c r="J12" s="3">
        <v>1</v>
      </c>
      <c r="K12" s="3">
        <v>4</v>
      </c>
      <c r="L12" s="3">
        <v>2</v>
      </c>
      <c r="M12" s="3">
        <v>6</v>
      </c>
      <c r="N12" s="3">
        <v>4</v>
      </c>
      <c r="O12" s="3">
        <v>4</v>
      </c>
      <c r="P12" s="3">
        <v>8</v>
      </c>
      <c r="Q12" s="3">
        <v>3</v>
      </c>
      <c r="R12" s="3">
        <v>4</v>
      </c>
      <c r="S12" s="3">
        <v>7</v>
      </c>
      <c r="T12" s="3">
        <v>38</v>
      </c>
    </row>
    <row r="13" spans="1:20" x14ac:dyDescent="0.2">
      <c r="A13" s="2" t="s">
        <v>753</v>
      </c>
      <c r="B13" s="3">
        <v>1</v>
      </c>
      <c r="C13" s="3">
        <v>2</v>
      </c>
      <c r="D13" s="3">
        <v>3</v>
      </c>
      <c r="E13" s="3">
        <v>2</v>
      </c>
      <c r="F13" s="3">
        <v>3</v>
      </c>
      <c r="G13" s="3">
        <v>5</v>
      </c>
      <c r="H13" s="3">
        <v>1</v>
      </c>
      <c r="I13" s="3">
        <v>0</v>
      </c>
      <c r="J13" s="3">
        <v>1</v>
      </c>
      <c r="K13" s="3">
        <v>3</v>
      </c>
      <c r="L13" s="3">
        <v>0</v>
      </c>
      <c r="M13" s="3">
        <v>3</v>
      </c>
      <c r="N13" s="3">
        <v>1</v>
      </c>
      <c r="O13" s="3">
        <v>0</v>
      </c>
      <c r="P13" s="3">
        <v>1</v>
      </c>
      <c r="Q13" s="3">
        <v>2</v>
      </c>
      <c r="R13" s="3">
        <v>0</v>
      </c>
      <c r="S13" s="3">
        <v>2</v>
      </c>
      <c r="T13" s="3">
        <v>15</v>
      </c>
    </row>
    <row r="14" spans="1:20" x14ac:dyDescent="0.2">
      <c r="A14" s="2" t="s">
        <v>754</v>
      </c>
      <c r="B14" s="3">
        <v>0</v>
      </c>
      <c r="C14" s="3">
        <v>0</v>
      </c>
      <c r="D14" s="3">
        <v>0</v>
      </c>
      <c r="E14" s="3">
        <v>0</v>
      </c>
      <c r="F14" s="3">
        <v>0</v>
      </c>
      <c r="G14" s="3">
        <v>0</v>
      </c>
      <c r="H14" s="3">
        <v>0</v>
      </c>
      <c r="I14" s="3">
        <v>0</v>
      </c>
      <c r="J14" s="3">
        <v>0</v>
      </c>
      <c r="K14" s="3">
        <v>0</v>
      </c>
      <c r="L14" s="3">
        <v>0</v>
      </c>
      <c r="M14" s="3">
        <v>0</v>
      </c>
      <c r="N14" s="3">
        <v>0</v>
      </c>
      <c r="O14" s="3">
        <v>0</v>
      </c>
      <c r="P14" s="3">
        <v>0</v>
      </c>
      <c r="Q14" s="3">
        <v>0</v>
      </c>
      <c r="R14" s="3">
        <v>0</v>
      </c>
      <c r="S14" s="3">
        <v>0</v>
      </c>
      <c r="T14" s="3">
        <v>0</v>
      </c>
    </row>
    <row r="15" spans="1:20" x14ac:dyDescent="0.2">
      <c r="A15" s="2" t="s">
        <v>755</v>
      </c>
      <c r="B15" s="3">
        <v>0</v>
      </c>
      <c r="C15" s="3">
        <v>0</v>
      </c>
      <c r="D15" s="3">
        <v>0</v>
      </c>
      <c r="E15" s="3">
        <v>0</v>
      </c>
      <c r="F15" s="3">
        <v>0</v>
      </c>
      <c r="G15" s="3">
        <v>0</v>
      </c>
      <c r="H15" s="3">
        <v>0</v>
      </c>
      <c r="I15" s="3">
        <v>0</v>
      </c>
      <c r="J15" s="3">
        <v>0</v>
      </c>
      <c r="K15" s="3">
        <v>0</v>
      </c>
      <c r="L15" s="3">
        <v>0</v>
      </c>
      <c r="M15" s="3">
        <v>0</v>
      </c>
      <c r="N15" s="3">
        <v>0</v>
      </c>
      <c r="O15" s="3">
        <v>0</v>
      </c>
      <c r="P15" s="3">
        <v>0</v>
      </c>
      <c r="Q15" s="3">
        <v>0</v>
      </c>
      <c r="R15" s="3">
        <v>0</v>
      </c>
      <c r="S15" s="3">
        <v>0</v>
      </c>
      <c r="T15" s="3">
        <v>0</v>
      </c>
    </row>
    <row r="16" spans="1:20" x14ac:dyDescent="0.2">
      <c r="A16" s="2" t="s">
        <v>756</v>
      </c>
      <c r="B16" s="3">
        <v>0</v>
      </c>
      <c r="C16" s="3">
        <v>0</v>
      </c>
      <c r="D16" s="3">
        <v>0</v>
      </c>
      <c r="E16" s="3">
        <v>0</v>
      </c>
      <c r="F16" s="3">
        <v>0</v>
      </c>
      <c r="G16" s="3">
        <v>0</v>
      </c>
      <c r="H16" s="3">
        <v>0</v>
      </c>
      <c r="I16" s="3">
        <v>0</v>
      </c>
      <c r="J16" s="3">
        <v>0</v>
      </c>
      <c r="K16" s="3">
        <v>0</v>
      </c>
      <c r="L16" s="3">
        <v>0</v>
      </c>
      <c r="M16" s="3">
        <v>0</v>
      </c>
      <c r="N16" s="3">
        <v>0</v>
      </c>
      <c r="O16" s="3">
        <v>0</v>
      </c>
      <c r="P16" s="3">
        <v>0</v>
      </c>
      <c r="Q16" s="3">
        <v>0</v>
      </c>
      <c r="R16" s="3">
        <v>0</v>
      </c>
      <c r="S16" s="3">
        <v>0</v>
      </c>
      <c r="T16" s="3">
        <v>0</v>
      </c>
    </row>
    <row r="17" spans="1:20" x14ac:dyDescent="0.2">
      <c r="A17" s="2" t="s">
        <v>757</v>
      </c>
      <c r="B17" s="3">
        <v>0</v>
      </c>
      <c r="C17" s="3">
        <v>0</v>
      </c>
      <c r="D17" s="3">
        <v>0</v>
      </c>
      <c r="E17" s="3">
        <v>1</v>
      </c>
      <c r="F17" s="3">
        <v>0</v>
      </c>
      <c r="G17" s="3">
        <v>1</v>
      </c>
      <c r="H17" s="3">
        <v>1</v>
      </c>
      <c r="I17" s="3">
        <v>1</v>
      </c>
      <c r="J17" s="3">
        <v>2</v>
      </c>
      <c r="K17" s="3">
        <v>0</v>
      </c>
      <c r="L17" s="3">
        <v>1</v>
      </c>
      <c r="M17" s="3">
        <v>1</v>
      </c>
      <c r="N17" s="3">
        <v>1</v>
      </c>
      <c r="O17" s="3">
        <v>0</v>
      </c>
      <c r="P17" s="3">
        <v>1</v>
      </c>
      <c r="Q17" s="3">
        <v>1</v>
      </c>
      <c r="R17" s="3">
        <v>0</v>
      </c>
      <c r="S17" s="3">
        <v>1</v>
      </c>
      <c r="T17" s="3">
        <v>6</v>
      </c>
    </row>
    <row r="21" spans="1:20" x14ac:dyDescent="0.2">
      <c r="B21" t="s">
        <v>765</v>
      </c>
      <c r="D21" t="s">
        <v>766</v>
      </c>
      <c r="F21" t="s">
        <v>767</v>
      </c>
      <c r="H21" t="s">
        <v>768</v>
      </c>
      <c r="J21" t="s">
        <v>769</v>
      </c>
      <c r="L21" t="s">
        <v>770</v>
      </c>
    </row>
    <row r="22" spans="1:20" x14ac:dyDescent="0.2">
      <c r="B22" t="s">
        <v>37</v>
      </c>
      <c r="C22" t="s">
        <v>442</v>
      </c>
      <c r="D22" t="s">
        <v>37</v>
      </c>
      <c r="E22" t="s">
        <v>442</v>
      </c>
      <c r="F22" t="s">
        <v>37</v>
      </c>
      <c r="G22" t="s">
        <v>442</v>
      </c>
      <c r="H22" t="s">
        <v>37</v>
      </c>
      <c r="I22" t="s">
        <v>442</v>
      </c>
      <c r="J22" t="s">
        <v>37</v>
      </c>
      <c r="K22" t="s">
        <v>442</v>
      </c>
      <c r="L22" t="s">
        <v>37</v>
      </c>
      <c r="M22" t="s">
        <v>442</v>
      </c>
    </row>
    <row r="23" spans="1:20" x14ac:dyDescent="0.2">
      <c r="A23" t="s">
        <v>60</v>
      </c>
      <c r="B23">
        <f>B11/B4</f>
        <v>0.5</v>
      </c>
      <c r="C23">
        <f>C11/C4</f>
        <v>0.42857142857142855</v>
      </c>
      <c r="D23">
        <f>E11/E4</f>
        <v>0.6</v>
      </c>
      <c r="E23">
        <f>F11/F4</f>
        <v>0.8</v>
      </c>
      <c r="F23">
        <f>H11/H4</f>
        <v>0.5</v>
      </c>
      <c r="G23">
        <f>I11/I4</f>
        <v>0</v>
      </c>
      <c r="H23">
        <f>K11/K4</f>
        <v>0.5714285714285714</v>
      </c>
      <c r="I23">
        <f>L11/L4</f>
        <v>0.25</v>
      </c>
      <c r="J23">
        <f>N11/N4</f>
        <v>0.33333333333333331</v>
      </c>
      <c r="K23">
        <f>O11/O4</f>
        <v>0.4</v>
      </c>
      <c r="L23">
        <f>Q11/Q4</f>
        <v>0.5</v>
      </c>
      <c r="M23">
        <f>R11/R4</f>
        <v>0.4</v>
      </c>
    </row>
    <row r="24" spans="1:20" x14ac:dyDescent="0.2">
      <c r="A24" t="s">
        <v>65</v>
      </c>
      <c r="B24">
        <f>B12/B5</f>
        <v>0.75</v>
      </c>
      <c r="C24">
        <f>C12/C5</f>
        <v>0.8571428571428571</v>
      </c>
      <c r="D24">
        <f>E12/E5</f>
        <v>0.6</v>
      </c>
      <c r="E24">
        <f>F12/F5</f>
        <v>0.8</v>
      </c>
      <c r="F24">
        <f>H12/H5</f>
        <v>0.5</v>
      </c>
      <c r="G24">
        <f>I12/I5</f>
        <v>0</v>
      </c>
      <c r="H24">
        <f>K12/K5</f>
        <v>0.5714285714285714</v>
      </c>
      <c r="I24">
        <f>L12/L5</f>
        <v>0.5</v>
      </c>
      <c r="J24">
        <f>N12/N5</f>
        <v>0.66666666666666663</v>
      </c>
      <c r="K24">
        <f>O12/O5</f>
        <v>0.8</v>
      </c>
      <c r="L24">
        <f>Q12/Q5</f>
        <v>0.75</v>
      </c>
      <c r="M24">
        <f>R12/R5</f>
        <v>0.8</v>
      </c>
    </row>
    <row r="25" spans="1:20" x14ac:dyDescent="0.2">
      <c r="A25" t="s">
        <v>48</v>
      </c>
      <c r="B25">
        <f>B13/B6</f>
        <v>0.25</v>
      </c>
      <c r="C25">
        <f>C13/C6</f>
        <v>0.2857142857142857</v>
      </c>
      <c r="D25">
        <f>E13/E6</f>
        <v>0.4</v>
      </c>
      <c r="E25">
        <f>F13/F6</f>
        <v>0.6</v>
      </c>
      <c r="F25">
        <f>H13/H6</f>
        <v>0.5</v>
      </c>
      <c r="G25">
        <f>I13/I6</f>
        <v>0</v>
      </c>
      <c r="H25">
        <f>K13/K6</f>
        <v>0.42857142857142855</v>
      </c>
      <c r="I25">
        <f>L13/L6</f>
        <v>0</v>
      </c>
      <c r="J25">
        <f>N13/N6</f>
        <v>0.16666666666666666</v>
      </c>
      <c r="K25">
        <f>O13/O6</f>
        <v>0</v>
      </c>
      <c r="L25">
        <f>Q13/Q6</f>
        <v>0.5</v>
      </c>
      <c r="M25">
        <f>R13/R6</f>
        <v>0</v>
      </c>
    </row>
    <row r="26" spans="1:20" x14ac:dyDescent="0.2">
      <c r="A26" t="s">
        <v>772</v>
      </c>
      <c r="B26">
        <f>B17/B10</f>
        <v>0</v>
      </c>
      <c r="C26">
        <f>C17/C10</f>
        <v>0</v>
      </c>
      <c r="D26">
        <f>E17/E10</f>
        <v>0.2</v>
      </c>
      <c r="E26">
        <f>F17/F10</f>
        <v>0</v>
      </c>
      <c r="F26">
        <f>H17/H10</f>
        <v>0.5</v>
      </c>
      <c r="G26">
        <f>I17/I10</f>
        <v>1</v>
      </c>
      <c r="H26">
        <f>K17/K10</f>
        <v>0</v>
      </c>
      <c r="I26">
        <f>L17/L10</f>
        <v>0.25</v>
      </c>
      <c r="J26">
        <f>N17/N10</f>
        <v>0.16666666666666666</v>
      </c>
      <c r="K26">
        <f>O17/O10</f>
        <v>0</v>
      </c>
      <c r="L26">
        <f>Q17/Q10</f>
        <v>0.25</v>
      </c>
      <c r="M26">
        <f>R17/R10</f>
        <v>0</v>
      </c>
    </row>
    <row r="32" spans="1:20" x14ac:dyDescent="0.2">
      <c r="B32" t="s">
        <v>37</v>
      </c>
      <c r="C32" t="s">
        <v>442</v>
      </c>
    </row>
    <row r="33" spans="1:3" x14ac:dyDescent="0.2">
      <c r="A33" t="s">
        <v>60</v>
      </c>
      <c r="B33">
        <f>AVERAGE(B23,D23,F23,H23,J23,L23)</f>
        <v>0.5007936507936509</v>
      </c>
      <c r="C33">
        <f>AVERAGE(C23,E23,G23,I23,K23,M23)</f>
        <v>0.37976190476190474</v>
      </c>
    </row>
    <row r="34" spans="1:3" x14ac:dyDescent="0.2">
      <c r="A34" t="s">
        <v>65</v>
      </c>
      <c r="B34">
        <f t="shared" ref="B34:C36" si="0">AVERAGE(B24,D24,F24,H24,J24,L24)</f>
        <v>0.63968253968253974</v>
      </c>
      <c r="C34">
        <f>AVERAGE(C24,E24,G24,I24,K24,M24)</f>
        <v>0.62619047619047619</v>
      </c>
    </row>
    <row r="35" spans="1:3" x14ac:dyDescent="0.2">
      <c r="A35" t="s">
        <v>48</v>
      </c>
      <c r="B35">
        <f t="shared" si="0"/>
        <v>0.37420634920634921</v>
      </c>
      <c r="C35">
        <f>AVERAGE(C25,E25,G25,I25,K25,M25)</f>
        <v>0.14761904761904762</v>
      </c>
    </row>
    <row r="36" spans="1:3" x14ac:dyDescent="0.2">
      <c r="A36" t="s">
        <v>772</v>
      </c>
      <c r="B36">
        <f t="shared" si="0"/>
        <v>0.18611111111111112</v>
      </c>
      <c r="C36">
        <f>AVERAGE(C26,E26,G26,I26,K26,M26)</f>
        <v>0.20833333333333334</v>
      </c>
    </row>
  </sheetData>
  <pageMargins left="0.7" right="0.7" top="0.75" bottom="0.75" header="0.3" footer="0.3"/>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V168"/>
  <sheetViews>
    <sheetView workbookViewId="0">
      <selection sqref="A1:V168"/>
    </sheetView>
  </sheetViews>
  <sheetFormatPr baseColWidth="10" defaultRowHeight="16" x14ac:dyDescent="0.2"/>
  <sheetData>
    <row r="1" spans="1:22" x14ac:dyDescent="0.2">
      <c r="A1" t="s">
        <v>0</v>
      </c>
      <c r="B1" t="s">
        <v>1</v>
      </c>
      <c r="C1" t="s">
        <v>4</v>
      </c>
      <c r="D1" t="s">
        <v>5</v>
      </c>
      <c r="E1" t="s">
        <v>31</v>
      </c>
      <c r="F1" t="s">
        <v>14</v>
      </c>
      <c r="G1" t="s">
        <v>15</v>
      </c>
      <c r="H1" t="s">
        <v>16</v>
      </c>
      <c r="I1" t="s">
        <v>17</v>
      </c>
      <c r="J1" t="s">
        <v>18</v>
      </c>
      <c r="K1" t="s">
        <v>19</v>
      </c>
      <c r="L1" t="s">
        <v>20</v>
      </c>
      <c r="M1" t="s">
        <v>21</v>
      </c>
      <c r="N1" t="s">
        <v>22</v>
      </c>
      <c r="O1" t="s">
        <v>23</v>
      </c>
      <c r="P1" t="s">
        <v>24</v>
      </c>
      <c r="Q1" t="s">
        <v>25</v>
      </c>
      <c r="R1" t="s">
        <v>26</v>
      </c>
      <c r="S1" t="s">
        <v>27</v>
      </c>
      <c r="T1" t="s">
        <v>28</v>
      </c>
      <c r="U1" t="s">
        <v>29</v>
      </c>
      <c r="V1" t="s">
        <v>30</v>
      </c>
    </row>
    <row r="2" spans="1:22" x14ac:dyDescent="0.2">
      <c r="A2" t="s">
        <v>91</v>
      </c>
      <c r="B2" t="s">
        <v>92</v>
      </c>
      <c r="C2" t="s">
        <v>41</v>
      </c>
      <c r="D2" t="s">
        <v>49</v>
      </c>
      <c r="E2" t="s">
        <v>37</v>
      </c>
      <c r="F2" t="s">
        <v>60</v>
      </c>
      <c r="G2" t="s">
        <v>46</v>
      </c>
      <c r="H2" t="s">
        <v>65</v>
      </c>
      <c r="I2">
        <v>1</v>
      </c>
      <c r="J2">
        <v>1</v>
      </c>
      <c r="K2">
        <v>0</v>
      </c>
      <c r="L2">
        <v>0</v>
      </c>
      <c r="M2">
        <v>1</v>
      </c>
      <c r="N2">
        <v>0</v>
      </c>
      <c r="O2">
        <v>1</v>
      </c>
      <c r="P2">
        <v>0</v>
      </c>
      <c r="Q2">
        <v>0</v>
      </c>
      <c r="R2">
        <v>0</v>
      </c>
      <c r="S2">
        <v>0</v>
      </c>
      <c r="T2">
        <v>1</v>
      </c>
      <c r="U2">
        <v>0</v>
      </c>
      <c r="V2">
        <v>0</v>
      </c>
    </row>
    <row r="3" spans="1:22" x14ac:dyDescent="0.2">
      <c r="A3" t="s">
        <v>101</v>
      </c>
      <c r="B3" t="s">
        <v>33</v>
      </c>
      <c r="C3" t="s">
        <v>41</v>
      </c>
      <c r="D3" t="s">
        <v>67</v>
      </c>
      <c r="E3" t="s">
        <v>37</v>
      </c>
      <c r="F3" t="s">
        <v>65</v>
      </c>
      <c r="G3" t="s">
        <v>47</v>
      </c>
      <c r="H3" t="s">
        <v>60</v>
      </c>
      <c r="I3">
        <v>1</v>
      </c>
      <c r="J3">
        <v>1</v>
      </c>
      <c r="K3">
        <v>0</v>
      </c>
      <c r="L3">
        <v>1</v>
      </c>
      <c r="M3">
        <v>0</v>
      </c>
      <c r="N3">
        <v>0</v>
      </c>
      <c r="O3">
        <v>1</v>
      </c>
      <c r="P3">
        <v>1</v>
      </c>
      <c r="Q3">
        <v>0</v>
      </c>
      <c r="R3">
        <v>0</v>
      </c>
      <c r="S3">
        <v>0</v>
      </c>
      <c r="T3">
        <v>0</v>
      </c>
      <c r="U3">
        <v>0</v>
      </c>
      <c r="V3">
        <v>0</v>
      </c>
    </row>
    <row r="4" spans="1:22" x14ac:dyDescent="0.2">
      <c r="A4" t="s">
        <v>107</v>
      </c>
      <c r="B4" t="s">
        <v>108</v>
      </c>
      <c r="C4" t="s">
        <v>41</v>
      </c>
      <c r="D4" t="s">
        <v>49</v>
      </c>
      <c r="E4" t="s">
        <v>37</v>
      </c>
      <c r="F4" t="s">
        <v>46</v>
      </c>
      <c r="G4" t="s">
        <v>65</v>
      </c>
      <c r="H4" t="s">
        <v>60</v>
      </c>
      <c r="I4">
        <v>1</v>
      </c>
      <c r="J4">
        <v>1</v>
      </c>
      <c r="K4">
        <v>0</v>
      </c>
      <c r="L4">
        <v>0</v>
      </c>
      <c r="M4">
        <v>1</v>
      </c>
      <c r="N4">
        <v>0</v>
      </c>
      <c r="O4">
        <v>1</v>
      </c>
      <c r="P4">
        <v>1</v>
      </c>
      <c r="Q4">
        <v>1</v>
      </c>
      <c r="R4">
        <v>0</v>
      </c>
      <c r="S4">
        <v>0</v>
      </c>
      <c r="T4">
        <v>0</v>
      </c>
      <c r="U4">
        <v>0</v>
      </c>
      <c r="V4">
        <v>0</v>
      </c>
    </row>
    <row r="5" spans="1:22" x14ac:dyDescent="0.2">
      <c r="A5" t="s">
        <v>113</v>
      </c>
      <c r="B5" t="s">
        <v>108</v>
      </c>
      <c r="C5" t="s">
        <v>41</v>
      </c>
      <c r="D5" t="s">
        <v>42</v>
      </c>
      <c r="E5" t="s">
        <v>37</v>
      </c>
      <c r="F5" t="s">
        <v>48</v>
      </c>
      <c r="G5" t="s">
        <v>65</v>
      </c>
      <c r="H5" t="s">
        <v>60</v>
      </c>
      <c r="I5">
        <v>1</v>
      </c>
      <c r="J5">
        <v>1</v>
      </c>
      <c r="K5">
        <v>1</v>
      </c>
      <c r="L5">
        <v>0</v>
      </c>
      <c r="M5">
        <v>0</v>
      </c>
      <c r="N5">
        <v>0</v>
      </c>
      <c r="O5">
        <v>1</v>
      </c>
      <c r="P5">
        <v>0</v>
      </c>
      <c r="Q5">
        <v>0</v>
      </c>
      <c r="R5">
        <v>0</v>
      </c>
      <c r="S5">
        <v>0</v>
      </c>
      <c r="T5">
        <v>0</v>
      </c>
      <c r="U5">
        <v>0</v>
      </c>
      <c r="V5">
        <v>1</v>
      </c>
    </row>
    <row r="6" spans="1:22" x14ac:dyDescent="0.2">
      <c r="A6" t="s">
        <v>120</v>
      </c>
      <c r="B6" t="s">
        <v>108</v>
      </c>
      <c r="C6" t="s">
        <v>41</v>
      </c>
      <c r="D6" t="s">
        <v>55</v>
      </c>
      <c r="E6" t="s">
        <v>37</v>
      </c>
      <c r="F6" t="s">
        <v>65</v>
      </c>
      <c r="G6" t="s">
        <v>47</v>
      </c>
      <c r="H6" t="s">
        <v>60</v>
      </c>
      <c r="I6">
        <v>1</v>
      </c>
      <c r="J6">
        <v>1</v>
      </c>
      <c r="K6">
        <v>0</v>
      </c>
      <c r="L6">
        <v>1</v>
      </c>
      <c r="M6">
        <v>0</v>
      </c>
      <c r="N6">
        <v>0</v>
      </c>
      <c r="O6">
        <v>1</v>
      </c>
      <c r="P6">
        <v>0</v>
      </c>
      <c r="Q6">
        <v>1</v>
      </c>
      <c r="R6">
        <v>0</v>
      </c>
      <c r="S6">
        <v>0</v>
      </c>
      <c r="T6">
        <v>0</v>
      </c>
      <c r="U6">
        <v>0</v>
      </c>
      <c r="V6">
        <v>0</v>
      </c>
    </row>
    <row r="7" spans="1:22" x14ac:dyDescent="0.2">
      <c r="A7" t="s">
        <v>133</v>
      </c>
      <c r="B7" t="s">
        <v>108</v>
      </c>
      <c r="C7" t="s">
        <v>41</v>
      </c>
      <c r="D7" t="s">
        <v>42</v>
      </c>
      <c r="E7" t="s">
        <v>37</v>
      </c>
      <c r="F7" t="s">
        <v>48</v>
      </c>
      <c r="G7" t="s">
        <v>65</v>
      </c>
      <c r="H7" t="s">
        <v>60</v>
      </c>
      <c r="I7">
        <v>1</v>
      </c>
      <c r="J7">
        <v>1</v>
      </c>
      <c r="K7">
        <v>1</v>
      </c>
      <c r="L7">
        <v>0</v>
      </c>
      <c r="M7">
        <v>0</v>
      </c>
      <c r="N7">
        <v>0</v>
      </c>
      <c r="O7">
        <v>1</v>
      </c>
      <c r="P7">
        <v>1</v>
      </c>
      <c r="Q7">
        <v>1</v>
      </c>
      <c r="R7">
        <v>1</v>
      </c>
      <c r="S7">
        <v>0</v>
      </c>
      <c r="T7">
        <v>0</v>
      </c>
      <c r="U7">
        <v>0</v>
      </c>
      <c r="V7">
        <v>0</v>
      </c>
    </row>
    <row r="8" spans="1:22" x14ac:dyDescent="0.2">
      <c r="A8" t="s">
        <v>143</v>
      </c>
      <c r="B8" t="s">
        <v>108</v>
      </c>
      <c r="C8" t="s">
        <v>41</v>
      </c>
      <c r="D8" t="s">
        <v>61</v>
      </c>
      <c r="E8" t="s">
        <v>37</v>
      </c>
      <c r="F8" t="s">
        <v>65</v>
      </c>
      <c r="G8" t="s">
        <v>48</v>
      </c>
      <c r="H8" t="s">
        <v>60</v>
      </c>
      <c r="I8">
        <v>1</v>
      </c>
      <c r="J8">
        <v>1</v>
      </c>
      <c r="K8">
        <v>1</v>
      </c>
      <c r="L8">
        <v>0</v>
      </c>
      <c r="M8">
        <v>0</v>
      </c>
      <c r="N8">
        <v>0</v>
      </c>
      <c r="O8">
        <v>1</v>
      </c>
      <c r="P8">
        <v>0</v>
      </c>
      <c r="Q8">
        <v>1</v>
      </c>
      <c r="R8">
        <v>0</v>
      </c>
      <c r="S8">
        <v>0</v>
      </c>
      <c r="T8">
        <v>0</v>
      </c>
      <c r="U8">
        <v>0</v>
      </c>
      <c r="V8">
        <v>0</v>
      </c>
    </row>
    <row r="9" spans="1:22" x14ac:dyDescent="0.2">
      <c r="A9" t="s">
        <v>143</v>
      </c>
      <c r="B9" t="s">
        <v>108</v>
      </c>
      <c r="C9" t="s">
        <v>41</v>
      </c>
      <c r="D9" t="s">
        <v>72</v>
      </c>
      <c r="E9" t="s">
        <v>37</v>
      </c>
      <c r="F9" t="s">
        <v>46</v>
      </c>
      <c r="G9" t="s">
        <v>60</v>
      </c>
      <c r="H9" t="s">
        <v>65</v>
      </c>
      <c r="I9">
        <v>1</v>
      </c>
      <c r="J9">
        <v>1</v>
      </c>
      <c r="K9">
        <v>0</v>
      </c>
      <c r="L9">
        <v>0</v>
      </c>
      <c r="M9">
        <v>1</v>
      </c>
      <c r="N9">
        <v>0</v>
      </c>
      <c r="O9">
        <v>1</v>
      </c>
      <c r="P9">
        <v>0</v>
      </c>
      <c r="Q9">
        <v>1</v>
      </c>
      <c r="R9">
        <v>0</v>
      </c>
      <c r="S9">
        <v>0</v>
      </c>
      <c r="T9">
        <v>0</v>
      </c>
      <c r="U9">
        <v>0</v>
      </c>
      <c r="V9">
        <v>0</v>
      </c>
    </row>
    <row r="10" spans="1:22" x14ac:dyDescent="0.2">
      <c r="A10" t="s">
        <v>147</v>
      </c>
      <c r="B10" t="s">
        <v>108</v>
      </c>
      <c r="C10" t="s">
        <v>41</v>
      </c>
      <c r="D10" t="s">
        <v>55</v>
      </c>
      <c r="E10" t="s">
        <v>37</v>
      </c>
      <c r="F10" t="s">
        <v>59</v>
      </c>
      <c r="G10" t="s">
        <v>60</v>
      </c>
      <c r="H10" t="s">
        <v>65</v>
      </c>
      <c r="I10">
        <v>1</v>
      </c>
      <c r="J10">
        <v>1</v>
      </c>
      <c r="K10">
        <v>0</v>
      </c>
      <c r="L10">
        <v>0</v>
      </c>
      <c r="M10">
        <v>0</v>
      </c>
      <c r="N10">
        <v>0</v>
      </c>
      <c r="O10">
        <v>1</v>
      </c>
      <c r="P10">
        <v>0</v>
      </c>
      <c r="Q10">
        <v>1</v>
      </c>
      <c r="R10">
        <v>0</v>
      </c>
      <c r="S10">
        <v>0</v>
      </c>
      <c r="T10">
        <v>0</v>
      </c>
      <c r="U10">
        <v>0</v>
      </c>
      <c r="V10">
        <v>0</v>
      </c>
    </row>
    <row r="11" spans="1:22" x14ac:dyDescent="0.2">
      <c r="A11" t="s">
        <v>147</v>
      </c>
      <c r="B11" t="s">
        <v>108</v>
      </c>
      <c r="C11" t="s">
        <v>41</v>
      </c>
      <c r="D11" t="s">
        <v>61</v>
      </c>
      <c r="E11" t="s">
        <v>37</v>
      </c>
      <c r="F11" t="s">
        <v>47</v>
      </c>
      <c r="G11" t="s">
        <v>65</v>
      </c>
      <c r="H11" t="s">
        <v>60</v>
      </c>
      <c r="I11">
        <v>1</v>
      </c>
      <c r="J11">
        <v>1</v>
      </c>
      <c r="K11">
        <v>0</v>
      </c>
      <c r="L11">
        <v>1</v>
      </c>
      <c r="M11">
        <v>0</v>
      </c>
      <c r="N11">
        <v>0</v>
      </c>
      <c r="O11">
        <v>1</v>
      </c>
      <c r="P11">
        <v>1</v>
      </c>
      <c r="Q11">
        <v>0</v>
      </c>
      <c r="R11">
        <v>0</v>
      </c>
      <c r="S11">
        <v>0</v>
      </c>
      <c r="T11">
        <v>0</v>
      </c>
      <c r="U11">
        <v>0</v>
      </c>
      <c r="V11">
        <v>0</v>
      </c>
    </row>
    <row r="12" spans="1:22" x14ac:dyDescent="0.2">
      <c r="A12" t="s">
        <v>151</v>
      </c>
      <c r="B12" t="s">
        <v>108</v>
      </c>
      <c r="C12" t="s">
        <v>41</v>
      </c>
      <c r="D12" t="s">
        <v>55</v>
      </c>
      <c r="E12" t="s">
        <v>37</v>
      </c>
      <c r="F12" t="s">
        <v>60</v>
      </c>
      <c r="G12" t="s">
        <v>65</v>
      </c>
      <c r="H12" t="s">
        <v>48</v>
      </c>
      <c r="I12">
        <v>1</v>
      </c>
      <c r="J12">
        <v>1</v>
      </c>
      <c r="K12">
        <v>1</v>
      </c>
      <c r="L12">
        <v>0</v>
      </c>
      <c r="M12">
        <v>0</v>
      </c>
      <c r="N12">
        <v>0</v>
      </c>
      <c r="O12">
        <v>1</v>
      </c>
      <c r="P12">
        <v>0</v>
      </c>
      <c r="Q12">
        <v>1</v>
      </c>
      <c r="R12">
        <v>0</v>
      </c>
      <c r="S12">
        <v>0</v>
      </c>
      <c r="T12">
        <v>0</v>
      </c>
      <c r="U12">
        <v>0</v>
      </c>
      <c r="V12">
        <v>0</v>
      </c>
    </row>
    <row r="13" spans="1:22" x14ac:dyDescent="0.2">
      <c r="A13" t="s">
        <v>151</v>
      </c>
      <c r="B13" t="s">
        <v>108</v>
      </c>
      <c r="C13" t="s">
        <v>41</v>
      </c>
      <c r="D13" t="s">
        <v>61</v>
      </c>
      <c r="E13" t="s">
        <v>37</v>
      </c>
      <c r="F13" t="s">
        <v>65</v>
      </c>
      <c r="G13" t="s">
        <v>60</v>
      </c>
      <c r="H13" t="s">
        <v>46</v>
      </c>
      <c r="I13">
        <v>1</v>
      </c>
      <c r="J13">
        <v>1</v>
      </c>
      <c r="K13">
        <v>0</v>
      </c>
      <c r="L13">
        <v>0</v>
      </c>
      <c r="M13">
        <v>1</v>
      </c>
      <c r="N13">
        <v>0</v>
      </c>
      <c r="O13">
        <v>1</v>
      </c>
      <c r="P13">
        <v>1</v>
      </c>
      <c r="Q13">
        <v>1</v>
      </c>
      <c r="R13">
        <v>0</v>
      </c>
      <c r="S13">
        <v>0</v>
      </c>
      <c r="T13">
        <v>1</v>
      </c>
      <c r="U13">
        <v>0</v>
      </c>
      <c r="V13">
        <v>0</v>
      </c>
    </row>
    <row r="14" spans="1:22" x14ac:dyDescent="0.2">
      <c r="A14" t="s">
        <v>155</v>
      </c>
      <c r="B14" t="s">
        <v>108</v>
      </c>
      <c r="C14" t="s">
        <v>41</v>
      </c>
      <c r="D14" t="s">
        <v>49</v>
      </c>
      <c r="E14" t="s">
        <v>37</v>
      </c>
      <c r="F14" t="s">
        <v>65</v>
      </c>
      <c r="G14" t="s">
        <v>48</v>
      </c>
      <c r="H14" t="s">
        <v>60</v>
      </c>
      <c r="I14">
        <v>1</v>
      </c>
      <c r="J14">
        <v>1</v>
      </c>
      <c r="K14">
        <v>1</v>
      </c>
      <c r="L14">
        <v>0</v>
      </c>
      <c r="M14">
        <v>0</v>
      </c>
      <c r="N14">
        <v>0</v>
      </c>
      <c r="O14">
        <v>1</v>
      </c>
      <c r="P14">
        <v>0</v>
      </c>
      <c r="Q14">
        <v>0</v>
      </c>
      <c r="R14">
        <v>0</v>
      </c>
      <c r="S14">
        <v>0</v>
      </c>
      <c r="T14">
        <v>0</v>
      </c>
      <c r="U14">
        <v>0</v>
      </c>
      <c r="V14">
        <v>1</v>
      </c>
    </row>
    <row r="15" spans="1:22" x14ac:dyDescent="0.2">
      <c r="A15" t="s">
        <v>167</v>
      </c>
      <c r="B15" t="s">
        <v>33</v>
      </c>
      <c r="C15" t="s">
        <v>41</v>
      </c>
      <c r="D15" t="s">
        <v>67</v>
      </c>
      <c r="E15" t="s">
        <v>37</v>
      </c>
      <c r="F15" t="s">
        <v>48</v>
      </c>
      <c r="G15" t="s">
        <v>60</v>
      </c>
      <c r="H15" t="s">
        <v>65</v>
      </c>
      <c r="I15">
        <v>1</v>
      </c>
      <c r="J15">
        <v>1</v>
      </c>
      <c r="K15">
        <v>1</v>
      </c>
      <c r="L15">
        <v>0</v>
      </c>
      <c r="M15">
        <v>0</v>
      </c>
      <c r="N15">
        <v>0</v>
      </c>
      <c r="O15">
        <v>1</v>
      </c>
      <c r="P15">
        <v>0</v>
      </c>
      <c r="Q15">
        <v>0</v>
      </c>
      <c r="R15">
        <v>0</v>
      </c>
      <c r="S15">
        <v>0</v>
      </c>
      <c r="T15">
        <v>0</v>
      </c>
      <c r="U15">
        <v>0</v>
      </c>
      <c r="V15">
        <v>1</v>
      </c>
    </row>
    <row r="16" spans="1:22" x14ac:dyDescent="0.2">
      <c r="A16" t="s">
        <v>173</v>
      </c>
      <c r="B16" t="s">
        <v>174</v>
      </c>
      <c r="C16" t="s">
        <v>41</v>
      </c>
      <c r="D16" t="s">
        <v>67</v>
      </c>
      <c r="E16" t="s">
        <v>37</v>
      </c>
      <c r="F16" t="s">
        <v>65</v>
      </c>
      <c r="G16" t="s">
        <v>46</v>
      </c>
      <c r="H16" t="s">
        <v>60</v>
      </c>
      <c r="I16">
        <v>1</v>
      </c>
      <c r="J16">
        <v>1</v>
      </c>
      <c r="K16">
        <v>0</v>
      </c>
      <c r="L16">
        <v>0</v>
      </c>
      <c r="M16">
        <v>1</v>
      </c>
      <c r="N16">
        <v>0</v>
      </c>
      <c r="O16">
        <v>1</v>
      </c>
      <c r="P16">
        <v>0</v>
      </c>
      <c r="Q16">
        <v>0</v>
      </c>
      <c r="R16">
        <v>0</v>
      </c>
      <c r="S16">
        <v>0</v>
      </c>
      <c r="T16">
        <v>0</v>
      </c>
      <c r="U16">
        <v>0</v>
      </c>
      <c r="V16">
        <v>1</v>
      </c>
    </row>
    <row r="17" spans="1:22" x14ac:dyDescent="0.2">
      <c r="A17" t="s">
        <v>178</v>
      </c>
      <c r="B17" t="s">
        <v>108</v>
      </c>
      <c r="C17" t="s">
        <v>41</v>
      </c>
      <c r="D17" t="s">
        <v>67</v>
      </c>
      <c r="E17" t="s">
        <v>37</v>
      </c>
      <c r="F17" t="s">
        <v>65</v>
      </c>
      <c r="G17" t="s">
        <v>60</v>
      </c>
      <c r="H17" t="s">
        <v>47</v>
      </c>
      <c r="I17">
        <v>1</v>
      </c>
      <c r="J17">
        <v>1</v>
      </c>
      <c r="K17">
        <v>0</v>
      </c>
      <c r="L17">
        <v>1</v>
      </c>
      <c r="M17">
        <v>0</v>
      </c>
      <c r="N17">
        <v>0</v>
      </c>
      <c r="O17">
        <v>1</v>
      </c>
      <c r="P17">
        <v>1</v>
      </c>
      <c r="Q17">
        <v>1</v>
      </c>
      <c r="R17">
        <v>0</v>
      </c>
      <c r="S17">
        <v>1</v>
      </c>
      <c r="T17">
        <v>0</v>
      </c>
      <c r="U17">
        <v>0</v>
      </c>
      <c r="V17">
        <v>0</v>
      </c>
    </row>
    <row r="18" spans="1:22" x14ac:dyDescent="0.2">
      <c r="A18" t="s">
        <v>183</v>
      </c>
      <c r="B18" t="s">
        <v>108</v>
      </c>
      <c r="C18" t="s">
        <v>41</v>
      </c>
      <c r="D18" t="s">
        <v>67</v>
      </c>
      <c r="E18" t="s">
        <v>37</v>
      </c>
      <c r="F18" t="s">
        <v>47</v>
      </c>
      <c r="G18" t="s">
        <v>65</v>
      </c>
      <c r="H18" t="s">
        <v>60</v>
      </c>
      <c r="I18">
        <v>1</v>
      </c>
      <c r="J18">
        <v>1</v>
      </c>
      <c r="K18">
        <v>0</v>
      </c>
      <c r="L18">
        <v>1</v>
      </c>
      <c r="M18">
        <v>0</v>
      </c>
      <c r="N18">
        <v>0</v>
      </c>
      <c r="O18">
        <v>1</v>
      </c>
      <c r="P18">
        <v>0</v>
      </c>
      <c r="Q18">
        <v>0</v>
      </c>
      <c r="R18">
        <v>0</v>
      </c>
      <c r="S18">
        <v>0</v>
      </c>
      <c r="T18">
        <v>0</v>
      </c>
      <c r="U18">
        <v>0</v>
      </c>
      <c r="V18">
        <v>1</v>
      </c>
    </row>
    <row r="19" spans="1:22" x14ac:dyDescent="0.2">
      <c r="A19" t="s">
        <v>183</v>
      </c>
      <c r="B19" t="s">
        <v>108</v>
      </c>
      <c r="C19" t="s">
        <v>41</v>
      </c>
      <c r="D19" t="s">
        <v>72</v>
      </c>
      <c r="E19" t="s">
        <v>37</v>
      </c>
      <c r="F19" t="s">
        <v>65</v>
      </c>
      <c r="G19" t="s">
        <v>59</v>
      </c>
      <c r="H19" t="s">
        <v>60</v>
      </c>
      <c r="I19">
        <v>1</v>
      </c>
      <c r="J19">
        <v>1</v>
      </c>
      <c r="K19">
        <v>0</v>
      </c>
      <c r="L19">
        <v>0</v>
      </c>
      <c r="M19">
        <v>0</v>
      </c>
      <c r="N19">
        <v>0</v>
      </c>
      <c r="O19">
        <v>1</v>
      </c>
      <c r="P19">
        <v>0</v>
      </c>
      <c r="Q19">
        <v>0</v>
      </c>
      <c r="R19">
        <v>0</v>
      </c>
      <c r="S19">
        <v>0</v>
      </c>
      <c r="T19">
        <v>0</v>
      </c>
      <c r="U19">
        <v>0</v>
      </c>
      <c r="V19">
        <v>1</v>
      </c>
    </row>
    <row r="20" spans="1:22" x14ac:dyDescent="0.2">
      <c r="A20" t="s">
        <v>187</v>
      </c>
      <c r="B20" t="s">
        <v>188</v>
      </c>
      <c r="C20" t="s">
        <v>41</v>
      </c>
      <c r="D20" t="s">
        <v>49</v>
      </c>
      <c r="E20" t="s">
        <v>37</v>
      </c>
      <c r="F20" t="s">
        <v>65</v>
      </c>
      <c r="G20" t="s">
        <v>60</v>
      </c>
      <c r="H20" t="s">
        <v>46</v>
      </c>
      <c r="I20">
        <v>1</v>
      </c>
      <c r="J20">
        <v>1</v>
      </c>
      <c r="K20">
        <v>0</v>
      </c>
      <c r="L20">
        <v>0</v>
      </c>
      <c r="M20">
        <v>1</v>
      </c>
      <c r="N20">
        <v>0</v>
      </c>
      <c r="O20">
        <v>1</v>
      </c>
      <c r="P20">
        <v>1</v>
      </c>
      <c r="Q20">
        <v>0</v>
      </c>
      <c r="R20">
        <v>0</v>
      </c>
      <c r="S20">
        <v>0</v>
      </c>
      <c r="T20">
        <v>0</v>
      </c>
      <c r="U20">
        <v>0</v>
      </c>
      <c r="V20">
        <v>0</v>
      </c>
    </row>
    <row r="21" spans="1:22" x14ac:dyDescent="0.2">
      <c r="A21" t="s">
        <v>195</v>
      </c>
      <c r="B21" t="s">
        <v>108</v>
      </c>
      <c r="C21" t="s">
        <v>41</v>
      </c>
      <c r="D21" t="s">
        <v>49</v>
      </c>
      <c r="E21" t="s">
        <v>37</v>
      </c>
      <c r="F21" t="s">
        <v>65</v>
      </c>
      <c r="G21" t="s">
        <v>60</v>
      </c>
      <c r="H21" t="s">
        <v>47</v>
      </c>
      <c r="I21">
        <v>1</v>
      </c>
      <c r="J21">
        <v>1</v>
      </c>
      <c r="K21">
        <v>0</v>
      </c>
      <c r="L21">
        <v>1</v>
      </c>
      <c r="M21">
        <v>0</v>
      </c>
      <c r="N21">
        <v>0</v>
      </c>
      <c r="O21">
        <v>1</v>
      </c>
      <c r="P21">
        <v>1</v>
      </c>
      <c r="Q21">
        <v>1</v>
      </c>
      <c r="R21">
        <v>0</v>
      </c>
      <c r="S21">
        <v>1</v>
      </c>
      <c r="T21">
        <v>0</v>
      </c>
      <c r="U21">
        <v>0</v>
      </c>
      <c r="V21">
        <v>0</v>
      </c>
    </row>
    <row r="22" spans="1:22" x14ac:dyDescent="0.2">
      <c r="A22" t="s">
        <v>195</v>
      </c>
      <c r="B22" t="s">
        <v>108</v>
      </c>
      <c r="C22" t="s">
        <v>41</v>
      </c>
      <c r="D22" t="s">
        <v>61</v>
      </c>
      <c r="E22" t="s">
        <v>37</v>
      </c>
      <c r="F22" t="s">
        <v>46</v>
      </c>
      <c r="G22" t="s">
        <v>60</v>
      </c>
      <c r="H22" t="s">
        <v>65</v>
      </c>
      <c r="I22">
        <v>1</v>
      </c>
      <c r="J22">
        <v>1</v>
      </c>
      <c r="K22">
        <v>0</v>
      </c>
      <c r="L22">
        <v>0</v>
      </c>
      <c r="M22">
        <v>1</v>
      </c>
      <c r="N22">
        <v>0</v>
      </c>
      <c r="O22">
        <v>1</v>
      </c>
      <c r="P22">
        <v>0</v>
      </c>
      <c r="Q22">
        <v>1</v>
      </c>
      <c r="R22">
        <v>0</v>
      </c>
      <c r="S22">
        <v>0</v>
      </c>
      <c r="T22">
        <v>0</v>
      </c>
      <c r="U22">
        <v>0</v>
      </c>
      <c r="V22">
        <v>0</v>
      </c>
    </row>
    <row r="23" spans="1:22" x14ac:dyDescent="0.2">
      <c r="A23" t="s">
        <v>202</v>
      </c>
      <c r="B23" t="s">
        <v>108</v>
      </c>
      <c r="C23" t="s">
        <v>41</v>
      </c>
      <c r="D23" t="s">
        <v>49</v>
      </c>
      <c r="E23" t="s">
        <v>37</v>
      </c>
      <c r="F23" t="s">
        <v>60</v>
      </c>
      <c r="G23" t="s">
        <v>65</v>
      </c>
      <c r="H23" t="s">
        <v>46</v>
      </c>
      <c r="I23">
        <v>1</v>
      </c>
      <c r="J23">
        <v>1</v>
      </c>
      <c r="K23">
        <v>0</v>
      </c>
      <c r="L23">
        <v>0</v>
      </c>
      <c r="M23">
        <v>1</v>
      </c>
      <c r="N23">
        <v>0</v>
      </c>
      <c r="O23">
        <v>1</v>
      </c>
      <c r="P23">
        <v>0</v>
      </c>
      <c r="Q23">
        <v>0</v>
      </c>
      <c r="R23">
        <v>0</v>
      </c>
      <c r="S23">
        <v>0</v>
      </c>
      <c r="T23">
        <v>0</v>
      </c>
      <c r="U23">
        <v>0</v>
      </c>
      <c r="V23">
        <v>1</v>
      </c>
    </row>
    <row r="24" spans="1:22" x14ac:dyDescent="0.2">
      <c r="A24" t="s">
        <v>202</v>
      </c>
      <c r="B24" t="s">
        <v>108</v>
      </c>
      <c r="C24" t="s">
        <v>41</v>
      </c>
      <c r="D24" t="s">
        <v>61</v>
      </c>
      <c r="E24" t="s">
        <v>37</v>
      </c>
      <c r="F24" t="s">
        <v>60</v>
      </c>
      <c r="G24" t="s">
        <v>48</v>
      </c>
      <c r="H24" t="s">
        <v>65</v>
      </c>
      <c r="I24">
        <v>1</v>
      </c>
      <c r="J24">
        <v>1</v>
      </c>
      <c r="K24">
        <v>1</v>
      </c>
      <c r="L24">
        <v>0</v>
      </c>
      <c r="M24">
        <v>0</v>
      </c>
      <c r="N24">
        <v>0</v>
      </c>
      <c r="O24">
        <v>1</v>
      </c>
      <c r="P24">
        <v>1</v>
      </c>
      <c r="Q24">
        <v>1</v>
      </c>
      <c r="R24">
        <v>1</v>
      </c>
      <c r="S24">
        <v>0</v>
      </c>
      <c r="T24">
        <v>0</v>
      </c>
      <c r="U24">
        <v>0</v>
      </c>
      <c r="V24">
        <v>0</v>
      </c>
    </row>
    <row r="25" spans="1:22" x14ac:dyDescent="0.2">
      <c r="A25" t="s">
        <v>207</v>
      </c>
      <c r="B25" t="s">
        <v>33</v>
      </c>
      <c r="C25" t="s">
        <v>41</v>
      </c>
      <c r="D25" t="s">
        <v>61</v>
      </c>
      <c r="E25" t="s">
        <v>37</v>
      </c>
      <c r="F25" t="s">
        <v>60</v>
      </c>
      <c r="G25" t="s">
        <v>46</v>
      </c>
      <c r="H25" t="s">
        <v>65</v>
      </c>
      <c r="I25">
        <v>1</v>
      </c>
      <c r="J25">
        <v>1</v>
      </c>
      <c r="K25">
        <v>0</v>
      </c>
      <c r="L25">
        <v>0</v>
      </c>
      <c r="M25">
        <v>1</v>
      </c>
      <c r="N25">
        <v>0</v>
      </c>
      <c r="O25">
        <v>1</v>
      </c>
      <c r="P25">
        <v>1</v>
      </c>
      <c r="Q25">
        <v>1</v>
      </c>
      <c r="R25">
        <v>0</v>
      </c>
      <c r="S25">
        <v>0</v>
      </c>
      <c r="T25">
        <v>1</v>
      </c>
      <c r="U25">
        <v>0</v>
      </c>
      <c r="V25">
        <v>0</v>
      </c>
    </row>
    <row r="26" spans="1:22" x14ac:dyDescent="0.2">
      <c r="A26" t="s">
        <v>207</v>
      </c>
      <c r="B26" t="s">
        <v>33</v>
      </c>
      <c r="C26" t="s">
        <v>41</v>
      </c>
      <c r="D26" t="s">
        <v>49</v>
      </c>
      <c r="E26" t="s">
        <v>37</v>
      </c>
      <c r="F26" t="s">
        <v>47</v>
      </c>
      <c r="G26" t="s">
        <v>60</v>
      </c>
      <c r="H26" t="s">
        <v>65</v>
      </c>
      <c r="I26">
        <v>1</v>
      </c>
      <c r="J26">
        <v>1</v>
      </c>
      <c r="K26">
        <v>0</v>
      </c>
      <c r="L26">
        <v>1</v>
      </c>
      <c r="M26">
        <v>0</v>
      </c>
      <c r="N26">
        <v>0</v>
      </c>
      <c r="O26">
        <v>1</v>
      </c>
      <c r="P26">
        <v>1</v>
      </c>
      <c r="Q26">
        <v>1</v>
      </c>
      <c r="R26">
        <v>0</v>
      </c>
      <c r="S26">
        <v>1</v>
      </c>
      <c r="T26">
        <v>0</v>
      </c>
      <c r="U26">
        <v>0</v>
      </c>
      <c r="V26">
        <v>0</v>
      </c>
    </row>
    <row r="27" spans="1:22" x14ac:dyDescent="0.2">
      <c r="A27" t="s">
        <v>210</v>
      </c>
      <c r="B27" t="s">
        <v>108</v>
      </c>
      <c r="C27" t="s">
        <v>41</v>
      </c>
      <c r="D27" t="s">
        <v>72</v>
      </c>
      <c r="E27" t="s">
        <v>37</v>
      </c>
      <c r="F27" t="s">
        <v>47</v>
      </c>
      <c r="G27" t="s">
        <v>65</v>
      </c>
      <c r="H27" t="s">
        <v>60</v>
      </c>
      <c r="I27">
        <v>1</v>
      </c>
      <c r="J27">
        <v>1</v>
      </c>
      <c r="K27">
        <v>0</v>
      </c>
      <c r="L27">
        <v>1</v>
      </c>
      <c r="M27">
        <v>0</v>
      </c>
      <c r="N27">
        <v>0</v>
      </c>
      <c r="O27">
        <v>1</v>
      </c>
      <c r="P27">
        <v>0</v>
      </c>
      <c r="Q27">
        <v>0</v>
      </c>
      <c r="R27">
        <v>0</v>
      </c>
      <c r="S27">
        <v>0</v>
      </c>
      <c r="T27">
        <v>0</v>
      </c>
      <c r="U27">
        <v>0</v>
      </c>
      <c r="V27">
        <v>1</v>
      </c>
    </row>
    <row r="28" spans="1:22" x14ac:dyDescent="0.2">
      <c r="A28" t="s">
        <v>214</v>
      </c>
      <c r="B28" t="s">
        <v>108</v>
      </c>
      <c r="C28" t="s">
        <v>41</v>
      </c>
      <c r="D28" t="s">
        <v>49</v>
      </c>
      <c r="E28" t="s">
        <v>37</v>
      </c>
      <c r="F28" t="s">
        <v>65</v>
      </c>
      <c r="G28" t="s">
        <v>60</v>
      </c>
      <c r="H28" t="s">
        <v>48</v>
      </c>
      <c r="I28">
        <v>1</v>
      </c>
      <c r="J28">
        <v>1</v>
      </c>
      <c r="K28">
        <v>1</v>
      </c>
      <c r="L28">
        <v>0</v>
      </c>
      <c r="M28">
        <v>0</v>
      </c>
      <c r="N28">
        <v>0</v>
      </c>
      <c r="O28">
        <v>1</v>
      </c>
      <c r="P28">
        <v>1</v>
      </c>
      <c r="Q28">
        <v>1</v>
      </c>
      <c r="R28">
        <v>1</v>
      </c>
      <c r="S28">
        <v>0</v>
      </c>
      <c r="T28">
        <v>0</v>
      </c>
      <c r="U28">
        <v>0</v>
      </c>
      <c r="V28">
        <v>0</v>
      </c>
    </row>
    <row r="29" spans="1:22" x14ac:dyDescent="0.2">
      <c r="A29" t="s">
        <v>214</v>
      </c>
      <c r="B29" t="s">
        <v>108</v>
      </c>
      <c r="C29" t="s">
        <v>41</v>
      </c>
      <c r="D29" t="s">
        <v>61</v>
      </c>
      <c r="E29" t="s">
        <v>37</v>
      </c>
      <c r="F29" t="s">
        <v>48</v>
      </c>
      <c r="G29" t="s">
        <v>65</v>
      </c>
      <c r="H29" t="s">
        <v>60</v>
      </c>
      <c r="I29">
        <v>1</v>
      </c>
      <c r="J29">
        <v>1</v>
      </c>
      <c r="K29">
        <v>1</v>
      </c>
      <c r="L29">
        <v>0</v>
      </c>
      <c r="M29">
        <v>0</v>
      </c>
      <c r="N29">
        <v>0</v>
      </c>
      <c r="O29">
        <v>1</v>
      </c>
      <c r="P29">
        <v>1</v>
      </c>
      <c r="Q29">
        <v>1</v>
      </c>
      <c r="R29">
        <v>1</v>
      </c>
      <c r="S29">
        <v>0</v>
      </c>
      <c r="T29">
        <v>0</v>
      </c>
      <c r="U29">
        <v>0</v>
      </c>
      <c r="V29">
        <v>0</v>
      </c>
    </row>
    <row r="30" spans="1:22" x14ac:dyDescent="0.2">
      <c r="A30" t="s">
        <v>214</v>
      </c>
      <c r="B30" t="s">
        <v>108</v>
      </c>
      <c r="C30" t="s">
        <v>41</v>
      </c>
      <c r="D30" t="s">
        <v>42</v>
      </c>
      <c r="E30" t="s">
        <v>37</v>
      </c>
      <c r="F30" t="s">
        <v>47</v>
      </c>
      <c r="G30" t="s">
        <v>65</v>
      </c>
      <c r="H30" t="s">
        <v>60</v>
      </c>
      <c r="I30">
        <v>1</v>
      </c>
      <c r="J30">
        <v>1</v>
      </c>
      <c r="K30">
        <v>0</v>
      </c>
      <c r="L30">
        <v>1</v>
      </c>
      <c r="M30">
        <v>0</v>
      </c>
      <c r="N30">
        <v>0</v>
      </c>
      <c r="O30">
        <v>1</v>
      </c>
      <c r="P30">
        <v>0</v>
      </c>
      <c r="Q30">
        <v>0</v>
      </c>
      <c r="R30">
        <v>0</v>
      </c>
      <c r="S30">
        <v>0</v>
      </c>
      <c r="T30">
        <v>0</v>
      </c>
      <c r="U30">
        <v>0</v>
      </c>
      <c r="V30">
        <v>1</v>
      </c>
    </row>
    <row r="31" spans="1:22" x14ac:dyDescent="0.2">
      <c r="A31" t="s">
        <v>217</v>
      </c>
      <c r="B31" t="s">
        <v>108</v>
      </c>
      <c r="C31" t="s">
        <v>41</v>
      </c>
      <c r="D31" t="s">
        <v>72</v>
      </c>
      <c r="E31" t="s">
        <v>37</v>
      </c>
      <c r="F31" t="s">
        <v>46</v>
      </c>
      <c r="G31" t="s">
        <v>60</v>
      </c>
      <c r="H31" t="s">
        <v>65</v>
      </c>
      <c r="I31">
        <v>1</v>
      </c>
      <c r="J31">
        <v>1</v>
      </c>
      <c r="K31">
        <v>0</v>
      </c>
      <c r="L31">
        <v>0</v>
      </c>
      <c r="M31">
        <v>1</v>
      </c>
      <c r="N31">
        <v>0</v>
      </c>
      <c r="O31">
        <v>1</v>
      </c>
      <c r="P31">
        <v>0</v>
      </c>
      <c r="Q31">
        <v>0</v>
      </c>
      <c r="R31">
        <v>0</v>
      </c>
      <c r="S31">
        <v>0</v>
      </c>
      <c r="T31">
        <v>0</v>
      </c>
      <c r="U31">
        <v>0</v>
      </c>
      <c r="V31">
        <v>1</v>
      </c>
    </row>
    <row r="32" spans="1:22" x14ac:dyDescent="0.2">
      <c r="A32" t="s">
        <v>224</v>
      </c>
      <c r="B32" t="s">
        <v>108</v>
      </c>
      <c r="C32" t="s">
        <v>41</v>
      </c>
      <c r="D32" t="s">
        <v>61</v>
      </c>
      <c r="E32" t="s">
        <v>37</v>
      </c>
      <c r="F32" t="s">
        <v>46</v>
      </c>
      <c r="G32" t="s">
        <v>65</v>
      </c>
      <c r="H32" t="s">
        <v>60</v>
      </c>
      <c r="I32">
        <v>1</v>
      </c>
      <c r="J32">
        <v>1</v>
      </c>
      <c r="K32">
        <v>0</v>
      </c>
      <c r="L32">
        <v>0</v>
      </c>
      <c r="M32">
        <v>1</v>
      </c>
      <c r="N32">
        <v>0</v>
      </c>
      <c r="O32">
        <v>1</v>
      </c>
      <c r="P32">
        <v>1</v>
      </c>
      <c r="Q32">
        <v>1</v>
      </c>
      <c r="R32">
        <v>0</v>
      </c>
      <c r="S32">
        <v>0</v>
      </c>
      <c r="T32">
        <v>1</v>
      </c>
      <c r="U32">
        <v>0</v>
      </c>
      <c r="V32">
        <v>0</v>
      </c>
    </row>
    <row r="33" spans="1:22" x14ac:dyDescent="0.2">
      <c r="A33" t="s">
        <v>224</v>
      </c>
      <c r="B33" t="s">
        <v>108</v>
      </c>
      <c r="C33" t="s">
        <v>41</v>
      </c>
      <c r="D33" t="s">
        <v>42</v>
      </c>
      <c r="E33" t="s">
        <v>37</v>
      </c>
      <c r="F33" t="s">
        <v>65</v>
      </c>
      <c r="G33" t="s">
        <v>60</v>
      </c>
      <c r="H33" t="s">
        <v>48</v>
      </c>
      <c r="I33">
        <v>1</v>
      </c>
      <c r="J33">
        <v>1</v>
      </c>
      <c r="K33">
        <v>1</v>
      </c>
      <c r="L33">
        <v>0</v>
      </c>
      <c r="M33">
        <v>0</v>
      </c>
      <c r="N33">
        <v>0</v>
      </c>
      <c r="O33">
        <v>1</v>
      </c>
      <c r="P33">
        <v>1</v>
      </c>
      <c r="Q33">
        <v>1</v>
      </c>
      <c r="R33">
        <v>1</v>
      </c>
      <c r="S33">
        <v>0</v>
      </c>
      <c r="T33">
        <v>0</v>
      </c>
      <c r="U33">
        <v>0</v>
      </c>
      <c r="V33">
        <v>0</v>
      </c>
    </row>
    <row r="34" spans="1:22" x14ac:dyDescent="0.2">
      <c r="A34" t="s">
        <v>227</v>
      </c>
      <c r="B34" t="s">
        <v>108</v>
      </c>
      <c r="C34" t="s">
        <v>41</v>
      </c>
      <c r="D34" t="s">
        <v>42</v>
      </c>
      <c r="E34" t="s">
        <v>37</v>
      </c>
      <c r="F34" t="s">
        <v>60</v>
      </c>
      <c r="G34" t="s">
        <v>65</v>
      </c>
      <c r="H34" t="s">
        <v>48</v>
      </c>
      <c r="I34">
        <v>1</v>
      </c>
      <c r="J34">
        <v>1</v>
      </c>
      <c r="K34">
        <v>1</v>
      </c>
      <c r="L34">
        <v>0</v>
      </c>
      <c r="M34">
        <v>0</v>
      </c>
      <c r="N34">
        <v>0</v>
      </c>
      <c r="O34">
        <v>1</v>
      </c>
      <c r="P34">
        <v>0</v>
      </c>
      <c r="Q34">
        <v>1</v>
      </c>
      <c r="R34">
        <v>0</v>
      </c>
      <c r="S34">
        <v>0</v>
      </c>
      <c r="T34">
        <v>0</v>
      </c>
      <c r="U34">
        <v>0</v>
      </c>
      <c r="V34">
        <v>0</v>
      </c>
    </row>
    <row r="35" spans="1:22" x14ac:dyDescent="0.2">
      <c r="A35" t="s">
        <v>231</v>
      </c>
      <c r="B35" t="s">
        <v>108</v>
      </c>
      <c r="C35" t="s">
        <v>41</v>
      </c>
      <c r="D35" t="s">
        <v>49</v>
      </c>
      <c r="E35" t="s">
        <v>37</v>
      </c>
      <c r="F35" t="s">
        <v>59</v>
      </c>
      <c r="G35" t="s">
        <v>60</v>
      </c>
      <c r="H35" t="s">
        <v>65</v>
      </c>
      <c r="I35">
        <v>1</v>
      </c>
      <c r="J35">
        <v>1</v>
      </c>
      <c r="K35">
        <v>0</v>
      </c>
      <c r="L35">
        <v>0</v>
      </c>
      <c r="M35">
        <v>0</v>
      </c>
      <c r="N35">
        <v>0</v>
      </c>
      <c r="O35">
        <v>1</v>
      </c>
      <c r="P35">
        <v>0</v>
      </c>
      <c r="Q35">
        <v>1</v>
      </c>
      <c r="R35">
        <v>0</v>
      </c>
      <c r="S35">
        <v>0</v>
      </c>
      <c r="T35">
        <v>0</v>
      </c>
      <c r="U35">
        <v>0</v>
      </c>
      <c r="V35">
        <v>0</v>
      </c>
    </row>
    <row r="36" spans="1:22" x14ac:dyDescent="0.2">
      <c r="A36" t="s">
        <v>231</v>
      </c>
      <c r="B36" t="s">
        <v>108</v>
      </c>
      <c r="C36" t="s">
        <v>41</v>
      </c>
      <c r="D36" t="s">
        <v>67</v>
      </c>
      <c r="E36" t="s">
        <v>37</v>
      </c>
      <c r="F36" t="s">
        <v>48</v>
      </c>
      <c r="G36" t="s">
        <v>60</v>
      </c>
      <c r="H36" t="s">
        <v>65</v>
      </c>
      <c r="I36">
        <v>1</v>
      </c>
      <c r="J36">
        <v>1</v>
      </c>
      <c r="K36">
        <v>1</v>
      </c>
      <c r="L36">
        <v>0</v>
      </c>
      <c r="M36">
        <v>0</v>
      </c>
      <c r="N36">
        <v>0</v>
      </c>
      <c r="O36">
        <v>1</v>
      </c>
      <c r="P36">
        <v>0</v>
      </c>
      <c r="Q36">
        <v>1</v>
      </c>
      <c r="R36">
        <v>0</v>
      </c>
      <c r="S36">
        <v>0</v>
      </c>
      <c r="T36">
        <v>0</v>
      </c>
      <c r="U36">
        <v>0</v>
      </c>
      <c r="V36">
        <v>0</v>
      </c>
    </row>
    <row r="37" spans="1:22" x14ac:dyDescent="0.2">
      <c r="A37" t="s">
        <v>231</v>
      </c>
      <c r="B37" t="s">
        <v>108</v>
      </c>
      <c r="C37" t="s">
        <v>41</v>
      </c>
      <c r="D37" t="s">
        <v>61</v>
      </c>
      <c r="E37" t="s">
        <v>37</v>
      </c>
      <c r="F37" t="s">
        <v>59</v>
      </c>
      <c r="G37" t="s">
        <v>65</v>
      </c>
      <c r="H37" t="s">
        <v>60</v>
      </c>
      <c r="I37">
        <v>1</v>
      </c>
      <c r="J37">
        <v>1</v>
      </c>
      <c r="K37">
        <v>0</v>
      </c>
      <c r="L37">
        <v>0</v>
      </c>
      <c r="M37">
        <v>0</v>
      </c>
      <c r="N37">
        <v>0</v>
      </c>
      <c r="O37">
        <v>1</v>
      </c>
      <c r="P37">
        <v>0</v>
      </c>
      <c r="Q37">
        <v>0</v>
      </c>
      <c r="R37">
        <v>0</v>
      </c>
      <c r="S37">
        <v>0</v>
      </c>
      <c r="T37">
        <v>0</v>
      </c>
      <c r="U37">
        <v>0</v>
      </c>
      <c r="V37">
        <v>0</v>
      </c>
    </row>
    <row r="38" spans="1:22" x14ac:dyDescent="0.2">
      <c r="A38" t="s">
        <v>235</v>
      </c>
      <c r="B38" t="s">
        <v>33</v>
      </c>
      <c r="C38" t="s">
        <v>41</v>
      </c>
      <c r="D38" t="s">
        <v>67</v>
      </c>
      <c r="E38" t="s">
        <v>37</v>
      </c>
      <c r="F38" t="s">
        <v>46</v>
      </c>
      <c r="G38" t="s">
        <v>60</v>
      </c>
      <c r="H38" t="s">
        <v>65</v>
      </c>
      <c r="I38">
        <v>1</v>
      </c>
      <c r="J38">
        <v>1</v>
      </c>
      <c r="K38">
        <v>0</v>
      </c>
      <c r="L38">
        <v>0</v>
      </c>
      <c r="M38">
        <v>1</v>
      </c>
      <c r="N38">
        <v>0</v>
      </c>
      <c r="O38">
        <v>1</v>
      </c>
      <c r="P38">
        <v>0</v>
      </c>
      <c r="Q38">
        <v>1</v>
      </c>
      <c r="R38">
        <v>0</v>
      </c>
      <c r="S38">
        <v>0</v>
      </c>
      <c r="T38">
        <v>0</v>
      </c>
      <c r="U38">
        <v>0</v>
      </c>
      <c r="V38">
        <v>0</v>
      </c>
    </row>
    <row r="39" spans="1:22" x14ac:dyDescent="0.2">
      <c r="A39" t="s">
        <v>238</v>
      </c>
      <c r="B39" t="s">
        <v>108</v>
      </c>
      <c r="C39" t="s">
        <v>41</v>
      </c>
      <c r="D39" t="s">
        <v>61</v>
      </c>
      <c r="E39" t="s">
        <v>37</v>
      </c>
      <c r="F39" t="s">
        <v>60</v>
      </c>
      <c r="G39" t="s">
        <v>65</v>
      </c>
      <c r="H39" t="s">
        <v>46</v>
      </c>
      <c r="I39">
        <v>1</v>
      </c>
      <c r="J39">
        <v>1</v>
      </c>
      <c r="K39">
        <v>0</v>
      </c>
      <c r="L39">
        <v>0</v>
      </c>
      <c r="M39">
        <v>1</v>
      </c>
      <c r="N39">
        <v>0</v>
      </c>
      <c r="O39">
        <v>1</v>
      </c>
      <c r="P39">
        <v>0</v>
      </c>
      <c r="Q39">
        <v>0</v>
      </c>
      <c r="R39">
        <v>0</v>
      </c>
      <c r="S39">
        <v>0</v>
      </c>
      <c r="T39">
        <v>0</v>
      </c>
      <c r="U39">
        <v>0</v>
      </c>
      <c r="V39">
        <v>1</v>
      </c>
    </row>
    <row r="40" spans="1:22" x14ac:dyDescent="0.2">
      <c r="A40" t="s">
        <v>238</v>
      </c>
      <c r="B40" t="s">
        <v>108</v>
      </c>
      <c r="C40" t="s">
        <v>41</v>
      </c>
      <c r="D40" t="s">
        <v>42</v>
      </c>
      <c r="E40" t="s">
        <v>37</v>
      </c>
      <c r="F40" t="s">
        <v>60</v>
      </c>
      <c r="G40" t="s">
        <v>65</v>
      </c>
      <c r="H40" t="s">
        <v>46</v>
      </c>
      <c r="I40">
        <v>1</v>
      </c>
      <c r="J40">
        <v>1</v>
      </c>
      <c r="K40">
        <v>0</v>
      </c>
      <c r="L40">
        <v>0</v>
      </c>
      <c r="M40">
        <v>1</v>
      </c>
      <c r="N40">
        <v>0</v>
      </c>
      <c r="O40">
        <v>1</v>
      </c>
      <c r="P40">
        <v>1</v>
      </c>
      <c r="Q40">
        <v>1</v>
      </c>
      <c r="R40">
        <v>0</v>
      </c>
      <c r="S40">
        <v>0</v>
      </c>
      <c r="T40">
        <v>1</v>
      </c>
      <c r="U40">
        <v>0</v>
      </c>
      <c r="V40">
        <v>0</v>
      </c>
    </row>
    <row r="41" spans="1:22" x14ac:dyDescent="0.2">
      <c r="A41" t="s">
        <v>238</v>
      </c>
      <c r="B41" t="s">
        <v>108</v>
      </c>
      <c r="C41" t="s">
        <v>41</v>
      </c>
      <c r="D41" t="s">
        <v>55</v>
      </c>
      <c r="E41" t="s">
        <v>37</v>
      </c>
      <c r="F41" t="s">
        <v>59</v>
      </c>
      <c r="G41" t="s">
        <v>65</v>
      </c>
      <c r="H41" t="s">
        <v>60</v>
      </c>
      <c r="I41">
        <v>1</v>
      </c>
      <c r="J41">
        <v>1</v>
      </c>
      <c r="K41">
        <v>0</v>
      </c>
      <c r="L41">
        <v>0</v>
      </c>
      <c r="M41">
        <v>0</v>
      </c>
      <c r="N41">
        <v>0</v>
      </c>
      <c r="O41">
        <v>1</v>
      </c>
      <c r="P41">
        <v>1</v>
      </c>
      <c r="Q41">
        <v>1</v>
      </c>
      <c r="R41">
        <v>0</v>
      </c>
      <c r="S41">
        <v>0</v>
      </c>
      <c r="T41">
        <v>0</v>
      </c>
      <c r="U41">
        <v>0</v>
      </c>
      <c r="V41">
        <v>0</v>
      </c>
    </row>
    <row r="42" spans="1:22" x14ac:dyDescent="0.2">
      <c r="A42" t="s">
        <v>245</v>
      </c>
      <c r="B42" t="s">
        <v>108</v>
      </c>
      <c r="C42" t="s">
        <v>41</v>
      </c>
      <c r="D42" t="s">
        <v>61</v>
      </c>
      <c r="E42" t="s">
        <v>37</v>
      </c>
      <c r="F42" t="s">
        <v>65</v>
      </c>
      <c r="G42" t="s">
        <v>60</v>
      </c>
      <c r="H42" t="s">
        <v>48</v>
      </c>
      <c r="I42">
        <v>1</v>
      </c>
      <c r="J42">
        <v>1</v>
      </c>
      <c r="K42">
        <v>1</v>
      </c>
      <c r="L42">
        <v>0</v>
      </c>
      <c r="M42">
        <v>0</v>
      </c>
      <c r="N42">
        <v>0</v>
      </c>
      <c r="O42">
        <v>1</v>
      </c>
      <c r="P42">
        <v>1</v>
      </c>
      <c r="Q42">
        <v>0</v>
      </c>
      <c r="R42">
        <v>0</v>
      </c>
      <c r="S42">
        <v>0</v>
      </c>
      <c r="T42">
        <v>0</v>
      </c>
      <c r="U42">
        <v>0</v>
      </c>
      <c r="V42">
        <v>0</v>
      </c>
    </row>
    <row r="43" spans="1:22" x14ac:dyDescent="0.2">
      <c r="A43" t="s">
        <v>245</v>
      </c>
      <c r="B43" t="s">
        <v>108</v>
      </c>
      <c r="C43" t="s">
        <v>41</v>
      </c>
      <c r="D43" t="s">
        <v>72</v>
      </c>
      <c r="E43" t="s">
        <v>37</v>
      </c>
      <c r="F43" t="s">
        <v>65</v>
      </c>
      <c r="G43" t="s">
        <v>46</v>
      </c>
      <c r="H43" t="s">
        <v>60</v>
      </c>
      <c r="I43">
        <v>1</v>
      </c>
      <c r="J43">
        <v>1</v>
      </c>
      <c r="K43">
        <v>0</v>
      </c>
      <c r="L43">
        <v>0</v>
      </c>
      <c r="M43">
        <v>1</v>
      </c>
      <c r="N43">
        <v>0</v>
      </c>
      <c r="O43">
        <v>1</v>
      </c>
      <c r="P43">
        <v>0</v>
      </c>
      <c r="Q43">
        <v>0</v>
      </c>
      <c r="R43">
        <v>0</v>
      </c>
      <c r="S43">
        <v>0</v>
      </c>
      <c r="T43">
        <v>0</v>
      </c>
      <c r="U43">
        <v>0</v>
      </c>
      <c r="V43">
        <v>1</v>
      </c>
    </row>
    <row r="44" spans="1:22" x14ac:dyDescent="0.2">
      <c r="A44" t="s">
        <v>249</v>
      </c>
      <c r="B44" t="s">
        <v>33</v>
      </c>
      <c r="C44" t="s">
        <v>41</v>
      </c>
      <c r="D44" t="s">
        <v>61</v>
      </c>
      <c r="E44" t="s">
        <v>37</v>
      </c>
      <c r="F44" t="s">
        <v>46</v>
      </c>
      <c r="G44" t="s">
        <v>65</v>
      </c>
      <c r="H44" t="s">
        <v>60</v>
      </c>
      <c r="I44">
        <v>1</v>
      </c>
      <c r="J44">
        <v>1</v>
      </c>
      <c r="K44">
        <v>0</v>
      </c>
      <c r="L44">
        <v>0</v>
      </c>
      <c r="M44">
        <v>1</v>
      </c>
      <c r="N44">
        <v>0</v>
      </c>
      <c r="O44">
        <v>1</v>
      </c>
      <c r="P44">
        <v>0</v>
      </c>
      <c r="Q44">
        <v>1</v>
      </c>
      <c r="R44">
        <v>0</v>
      </c>
      <c r="S44">
        <v>0</v>
      </c>
      <c r="T44">
        <v>0</v>
      </c>
      <c r="U44">
        <v>0</v>
      </c>
      <c r="V44">
        <v>0</v>
      </c>
    </row>
    <row r="45" spans="1:22" x14ac:dyDescent="0.2">
      <c r="A45" t="s">
        <v>252</v>
      </c>
      <c r="B45" t="s">
        <v>108</v>
      </c>
      <c r="C45" t="s">
        <v>41</v>
      </c>
      <c r="D45" t="s">
        <v>42</v>
      </c>
      <c r="E45" t="s">
        <v>37</v>
      </c>
      <c r="F45" t="s">
        <v>65</v>
      </c>
      <c r="G45" t="s">
        <v>47</v>
      </c>
      <c r="H45" t="s">
        <v>60</v>
      </c>
      <c r="I45">
        <v>1</v>
      </c>
      <c r="J45">
        <v>1</v>
      </c>
      <c r="K45">
        <v>0</v>
      </c>
      <c r="L45">
        <v>1</v>
      </c>
      <c r="M45">
        <v>0</v>
      </c>
      <c r="N45">
        <v>0</v>
      </c>
      <c r="O45">
        <v>1</v>
      </c>
      <c r="P45">
        <v>1</v>
      </c>
      <c r="Q45">
        <v>0</v>
      </c>
      <c r="R45">
        <v>0</v>
      </c>
      <c r="S45">
        <v>0</v>
      </c>
      <c r="T45">
        <v>0</v>
      </c>
      <c r="U45">
        <v>0</v>
      </c>
      <c r="V45">
        <v>0</v>
      </c>
    </row>
    <row r="46" spans="1:22" x14ac:dyDescent="0.2">
      <c r="A46" t="s">
        <v>252</v>
      </c>
      <c r="B46" t="s">
        <v>108</v>
      </c>
      <c r="C46" t="s">
        <v>41</v>
      </c>
      <c r="D46" t="s">
        <v>55</v>
      </c>
      <c r="E46" t="s">
        <v>37</v>
      </c>
      <c r="F46" t="s">
        <v>60</v>
      </c>
      <c r="G46" t="s">
        <v>47</v>
      </c>
      <c r="H46" t="s">
        <v>65</v>
      </c>
      <c r="I46">
        <v>1</v>
      </c>
      <c r="J46">
        <v>1</v>
      </c>
      <c r="K46">
        <v>0</v>
      </c>
      <c r="L46">
        <v>1</v>
      </c>
      <c r="M46">
        <v>0</v>
      </c>
      <c r="N46">
        <v>0</v>
      </c>
      <c r="O46">
        <v>1</v>
      </c>
      <c r="P46">
        <v>0</v>
      </c>
      <c r="Q46">
        <v>0</v>
      </c>
      <c r="R46">
        <v>0</v>
      </c>
      <c r="S46">
        <v>0</v>
      </c>
      <c r="T46">
        <v>0</v>
      </c>
      <c r="U46">
        <v>0</v>
      </c>
      <c r="V46">
        <v>1</v>
      </c>
    </row>
    <row r="47" spans="1:22" x14ac:dyDescent="0.2">
      <c r="A47" t="s">
        <v>257</v>
      </c>
      <c r="B47" t="s">
        <v>108</v>
      </c>
      <c r="C47" t="s">
        <v>41</v>
      </c>
      <c r="D47" t="s">
        <v>49</v>
      </c>
      <c r="E47" t="s">
        <v>37</v>
      </c>
      <c r="F47" t="s">
        <v>47</v>
      </c>
      <c r="G47" t="s">
        <v>60</v>
      </c>
      <c r="H47" t="s">
        <v>65</v>
      </c>
      <c r="I47">
        <v>1</v>
      </c>
      <c r="J47">
        <v>1</v>
      </c>
      <c r="K47">
        <v>0</v>
      </c>
      <c r="L47">
        <v>1</v>
      </c>
      <c r="M47">
        <v>0</v>
      </c>
      <c r="N47">
        <v>0</v>
      </c>
      <c r="O47">
        <v>1</v>
      </c>
      <c r="P47">
        <v>0</v>
      </c>
      <c r="Q47">
        <v>1</v>
      </c>
      <c r="R47">
        <v>0</v>
      </c>
      <c r="S47">
        <v>0</v>
      </c>
      <c r="T47">
        <v>0</v>
      </c>
      <c r="U47">
        <v>0</v>
      </c>
      <c r="V47">
        <v>0</v>
      </c>
    </row>
    <row r="48" spans="1:22" x14ac:dyDescent="0.2">
      <c r="A48" t="s">
        <v>267</v>
      </c>
      <c r="B48" t="s">
        <v>108</v>
      </c>
      <c r="C48" t="s">
        <v>41</v>
      </c>
      <c r="D48" t="s">
        <v>42</v>
      </c>
      <c r="E48" t="s">
        <v>37</v>
      </c>
      <c r="F48" t="s">
        <v>65</v>
      </c>
      <c r="G48" t="s">
        <v>46</v>
      </c>
      <c r="H48" t="s">
        <v>60</v>
      </c>
      <c r="I48">
        <v>1</v>
      </c>
      <c r="J48">
        <v>1</v>
      </c>
      <c r="K48">
        <v>0</v>
      </c>
      <c r="L48">
        <v>0</v>
      </c>
      <c r="M48">
        <v>1</v>
      </c>
      <c r="N48">
        <v>0</v>
      </c>
      <c r="O48">
        <v>1</v>
      </c>
      <c r="P48">
        <v>0</v>
      </c>
      <c r="Q48">
        <v>0</v>
      </c>
      <c r="R48">
        <v>0</v>
      </c>
      <c r="S48">
        <v>0</v>
      </c>
      <c r="T48">
        <v>0</v>
      </c>
      <c r="U48">
        <v>0</v>
      </c>
      <c r="V48">
        <v>1</v>
      </c>
    </row>
    <row r="49" spans="1:22" x14ac:dyDescent="0.2">
      <c r="A49" t="s">
        <v>274</v>
      </c>
      <c r="B49" t="s">
        <v>108</v>
      </c>
      <c r="C49" t="s">
        <v>41</v>
      </c>
      <c r="D49" t="s">
        <v>67</v>
      </c>
      <c r="E49" t="s">
        <v>37</v>
      </c>
      <c r="F49" t="s">
        <v>60</v>
      </c>
      <c r="G49" t="s">
        <v>46</v>
      </c>
      <c r="H49" t="s">
        <v>65</v>
      </c>
      <c r="I49">
        <v>1</v>
      </c>
      <c r="J49">
        <v>1</v>
      </c>
      <c r="K49">
        <v>0</v>
      </c>
      <c r="L49">
        <v>0</v>
      </c>
      <c r="M49">
        <v>1</v>
      </c>
      <c r="N49">
        <v>0</v>
      </c>
      <c r="O49">
        <v>1</v>
      </c>
      <c r="P49">
        <v>1</v>
      </c>
      <c r="Q49">
        <v>1</v>
      </c>
      <c r="R49">
        <v>0</v>
      </c>
      <c r="S49">
        <v>0</v>
      </c>
      <c r="T49">
        <v>0</v>
      </c>
      <c r="U49">
        <v>0</v>
      </c>
      <c r="V49">
        <v>0</v>
      </c>
    </row>
    <row r="50" spans="1:22" x14ac:dyDescent="0.2">
      <c r="A50" t="s">
        <v>282</v>
      </c>
      <c r="B50" t="s">
        <v>108</v>
      </c>
      <c r="C50" t="s">
        <v>41</v>
      </c>
      <c r="D50" t="s">
        <v>55</v>
      </c>
      <c r="E50" t="s">
        <v>37</v>
      </c>
      <c r="F50" t="s">
        <v>60</v>
      </c>
      <c r="G50" t="s">
        <v>48</v>
      </c>
      <c r="H50" t="s">
        <v>65</v>
      </c>
      <c r="I50">
        <v>1</v>
      </c>
      <c r="J50">
        <v>1</v>
      </c>
      <c r="K50">
        <v>1</v>
      </c>
      <c r="L50">
        <v>0</v>
      </c>
      <c r="M50">
        <v>0</v>
      </c>
      <c r="N50">
        <v>0</v>
      </c>
      <c r="O50">
        <v>1</v>
      </c>
      <c r="P50">
        <v>1</v>
      </c>
      <c r="Q50">
        <v>0</v>
      </c>
      <c r="R50">
        <v>0</v>
      </c>
      <c r="S50">
        <v>0</v>
      </c>
      <c r="T50">
        <v>0</v>
      </c>
      <c r="U50">
        <v>0</v>
      </c>
      <c r="V50">
        <v>0</v>
      </c>
    </row>
    <row r="51" spans="1:22" x14ac:dyDescent="0.2">
      <c r="A51" t="s">
        <v>285</v>
      </c>
      <c r="B51" t="s">
        <v>188</v>
      </c>
      <c r="C51" t="s">
        <v>41</v>
      </c>
      <c r="D51" t="s">
        <v>72</v>
      </c>
      <c r="E51" t="s">
        <v>37</v>
      </c>
      <c r="F51" t="s">
        <v>65</v>
      </c>
      <c r="G51" t="s">
        <v>60</v>
      </c>
      <c r="H51" t="s">
        <v>59</v>
      </c>
      <c r="I51">
        <v>1</v>
      </c>
      <c r="J51">
        <v>1</v>
      </c>
      <c r="K51">
        <v>0</v>
      </c>
      <c r="L51">
        <v>0</v>
      </c>
      <c r="M51">
        <v>0</v>
      </c>
      <c r="N51">
        <v>0</v>
      </c>
      <c r="O51">
        <v>1</v>
      </c>
      <c r="P51">
        <v>1</v>
      </c>
      <c r="Q51">
        <v>0</v>
      </c>
      <c r="R51">
        <v>0</v>
      </c>
      <c r="S51">
        <v>0</v>
      </c>
      <c r="T51">
        <v>0</v>
      </c>
      <c r="U51">
        <v>0</v>
      </c>
      <c r="V51">
        <v>0</v>
      </c>
    </row>
    <row r="52" spans="1:22" x14ac:dyDescent="0.2">
      <c r="A52" t="s">
        <v>292</v>
      </c>
      <c r="B52" t="s">
        <v>108</v>
      </c>
      <c r="C52" t="s">
        <v>41</v>
      </c>
      <c r="D52" t="s">
        <v>55</v>
      </c>
      <c r="E52" t="s">
        <v>37</v>
      </c>
      <c r="F52" t="s">
        <v>48</v>
      </c>
      <c r="G52" t="s">
        <v>65</v>
      </c>
      <c r="H52" t="s">
        <v>60</v>
      </c>
      <c r="I52">
        <v>1</v>
      </c>
      <c r="J52">
        <v>1</v>
      </c>
      <c r="K52">
        <v>1</v>
      </c>
      <c r="L52">
        <v>0</v>
      </c>
      <c r="M52">
        <v>0</v>
      </c>
      <c r="N52">
        <v>0</v>
      </c>
      <c r="O52">
        <v>1</v>
      </c>
      <c r="P52">
        <v>1</v>
      </c>
      <c r="Q52">
        <v>1</v>
      </c>
      <c r="R52">
        <v>1</v>
      </c>
      <c r="S52">
        <v>0</v>
      </c>
      <c r="T52">
        <v>0</v>
      </c>
      <c r="U52">
        <v>0</v>
      </c>
      <c r="V52">
        <v>0</v>
      </c>
    </row>
    <row r="53" spans="1:22" x14ac:dyDescent="0.2">
      <c r="A53" t="s">
        <v>295</v>
      </c>
      <c r="B53" t="s">
        <v>33</v>
      </c>
      <c r="C53" t="s">
        <v>41</v>
      </c>
      <c r="D53" t="s">
        <v>67</v>
      </c>
      <c r="E53" t="s">
        <v>37</v>
      </c>
      <c r="F53" t="s">
        <v>65</v>
      </c>
      <c r="G53" t="s">
        <v>47</v>
      </c>
      <c r="H53" t="s">
        <v>60</v>
      </c>
      <c r="I53">
        <v>1</v>
      </c>
      <c r="J53">
        <v>1</v>
      </c>
      <c r="K53">
        <v>0</v>
      </c>
      <c r="L53">
        <v>1</v>
      </c>
      <c r="M53">
        <v>0</v>
      </c>
      <c r="N53">
        <v>0</v>
      </c>
      <c r="O53">
        <v>1</v>
      </c>
      <c r="P53">
        <v>0</v>
      </c>
      <c r="Q53">
        <v>1</v>
      </c>
      <c r="R53">
        <v>0</v>
      </c>
      <c r="S53">
        <v>0</v>
      </c>
      <c r="T53">
        <v>0</v>
      </c>
      <c r="U53">
        <v>0</v>
      </c>
      <c r="V53">
        <v>0</v>
      </c>
    </row>
    <row r="54" spans="1:22" x14ac:dyDescent="0.2">
      <c r="A54" t="s">
        <v>305</v>
      </c>
      <c r="B54" t="s">
        <v>108</v>
      </c>
      <c r="C54" t="s">
        <v>41</v>
      </c>
      <c r="D54" t="s">
        <v>49</v>
      </c>
      <c r="E54" t="s">
        <v>37</v>
      </c>
      <c r="F54" t="s">
        <v>59</v>
      </c>
      <c r="G54" t="s">
        <v>65</v>
      </c>
      <c r="H54" t="s">
        <v>60</v>
      </c>
      <c r="I54">
        <v>1</v>
      </c>
      <c r="J54">
        <v>1</v>
      </c>
      <c r="K54">
        <v>0</v>
      </c>
      <c r="L54">
        <v>0</v>
      </c>
      <c r="M54">
        <v>0</v>
      </c>
      <c r="N54">
        <v>0</v>
      </c>
      <c r="O54">
        <v>1</v>
      </c>
      <c r="P54">
        <v>0</v>
      </c>
      <c r="Q54">
        <v>1</v>
      </c>
      <c r="R54">
        <v>0</v>
      </c>
      <c r="S54">
        <v>0</v>
      </c>
      <c r="T54">
        <v>0</v>
      </c>
      <c r="U54">
        <v>0</v>
      </c>
      <c r="V54">
        <v>0</v>
      </c>
    </row>
    <row r="55" spans="1:22" x14ac:dyDescent="0.2">
      <c r="A55" t="s">
        <v>305</v>
      </c>
      <c r="B55" t="s">
        <v>108</v>
      </c>
      <c r="C55" t="s">
        <v>41</v>
      </c>
      <c r="D55" t="s">
        <v>55</v>
      </c>
      <c r="E55" t="s">
        <v>37</v>
      </c>
      <c r="F55" t="s">
        <v>60</v>
      </c>
      <c r="G55" t="s">
        <v>65</v>
      </c>
      <c r="H55" t="s">
        <v>48</v>
      </c>
      <c r="I55">
        <v>1</v>
      </c>
      <c r="J55">
        <v>1</v>
      </c>
      <c r="K55">
        <v>1</v>
      </c>
      <c r="L55">
        <v>0</v>
      </c>
      <c r="M55">
        <v>0</v>
      </c>
      <c r="N55">
        <v>0</v>
      </c>
      <c r="O55">
        <v>1</v>
      </c>
      <c r="P55">
        <v>0</v>
      </c>
      <c r="Q55">
        <v>1</v>
      </c>
      <c r="R55">
        <v>0</v>
      </c>
      <c r="S55">
        <v>0</v>
      </c>
      <c r="T55">
        <v>0</v>
      </c>
      <c r="U55">
        <v>0</v>
      </c>
      <c r="V55">
        <v>0</v>
      </c>
    </row>
    <row r="56" spans="1:22" x14ac:dyDescent="0.2">
      <c r="A56" t="s">
        <v>313</v>
      </c>
      <c r="B56" t="s">
        <v>108</v>
      </c>
      <c r="C56" t="s">
        <v>41</v>
      </c>
      <c r="D56" t="s">
        <v>49</v>
      </c>
      <c r="E56" t="s">
        <v>37</v>
      </c>
      <c r="F56" t="s">
        <v>65</v>
      </c>
      <c r="G56" t="s">
        <v>48</v>
      </c>
      <c r="H56" t="s">
        <v>60</v>
      </c>
      <c r="I56">
        <v>1</v>
      </c>
      <c r="J56">
        <v>1</v>
      </c>
      <c r="K56">
        <v>1</v>
      </c>
      <c r="L56">
        <v>0</v>
      </c>
      <c r="M56">
        <v>0</v>
      </c>
      <c r="N56">
        <v>0</v>
      </c>
      <c r="O56">
        <v>1</v>
      </c>
      <c r="P56">
        <v>0</v>
      </c>
      <c r="Q56">
        <v>1</v>
      </c>
      <c r="R56">
        <v>0</v>
      </c>
      <c r="S56">
        <v>0</v>
      </c>
      <c r="T56">
        <v>0</v>
      </c>
      <c r="U56">
        <v>0</v>
      </c>
      <c r="V56">
        <v>0</v>
      </c>
    </row>
    <row r="57" spans="1:22" x14ac:dyDescent="0.2">
      <c r="A57" t="s">
        <v>320</v>
      </c>
      <c r="B57" t="s">
        <v>108</v>
      </c>
      <c r="C57" t="s">
        <v>41</v>
      </c>
      <c r="D57" t="s">
        <v>67</v>
      </c>
      <c r="E57" t="s">
        <v>37</v>
      </c>
      <c r="F57" t="s">
        <v>60</v>
      </c>
      <c r="G57" t="s">
        <v>65</v>
      </c>
      <c r="H57" t="s">
        <v>46</v>
      </c>
      <c r="I57">
        <v>1</v>
      </c>
      <c r="J57">
        <v>1</v>
      </c>
      <c r="K57">
        <v>0</v>
      </c>
      <c r="L57">
        <v>0</v>
      </c>
      <c r="M57">
        <v>1</v>
      </c>
      <c r="N57">
        <v>0</v>
      </c>
      <c r="O57">
        <v>1</v>
      </c>
      <c r="P57">
        <v>1</v>
      </c>
      <c r="Q57">
        <v>0</v>
      </c>
      <c r="R57">
        <v>0</v>
      </c>
      <c r="S57">
        <v>0</v>
      </c>
      <c r="T57">
        <v>0</v>
      </c>
      <c r="U57">
        <v>0</v>
      </c>
      <c r="V57">
        <v>0</v>
      </c>
    </row>
    <row r="58" spans="1:22" x14ac:dyDescent="0.2">
      <c r="A58" t="s">
        <v>320</v>
      </c>
      <c r="B58" t="s">
        <v>108</v>
      </c>
      <c r="C58" t="s">
        <v>41</v>
      </c>
      <c r="D58" t="s">
        <v>61</v>
      </c>
      <c r="E58" t="s">
        <v>37</v>
      </c>
      <c r="F58" t="s">
        <v>60</v>
      </c>
      <c r="G58" t="s">
        <v>48</v>
      </c>
      <c r="H58" t="s">
        <v>65</v>
      </c>
      <c r="I58">
        <v>1</v>
      </c>
      <c r="J58">
        <v>1</v>
      </c>
      <c r="K58">
        <v>1</v>
      </c>
      <c r="L58">
        <v>0</v>
      </c>
      <c r="M58">
        <v>0</v>
      </c>
      <c r="N58">
        <v>0</v>
      </c>
      <c r="O58">
        <v>1</v>
      </c>
      <c r="P58">
        <v>0</v>
      </c>
      <c r="Q58">
        <v>1</v>
      </c>
      <c r="R58">
        <v>0</v>
      </c>
      <c r="S58">
        <v>0</v>
      </c>
      <c r="T58">
        <v>0</v>
      </c>
      <c r="U58">
        <v>0</v>
      </c>
      <c r="V58">
        <v>0</v>
      </c>
    </row>
    <row r="59" spans="1:22" x14ac:dyDescent="0.2">
      <c r="A59" t="s">
        <v>323</v>
      </c>
      <c r="B59" t="s">
        <v>108</v>
      </c>
      <c r="C59" t="s">
        <v>41</v>
      </c>
      <c r="D59" t="s">
        <v>61</v>
      </c>
      <c r="E59" t="s">
        <v>37</v>
      </c>
      <c r="F59" t="s">
        <v>65</v>
      </c>
      <c r="G59" t="s">
        <v>59</v>
      </c>
      <c r="H59" t="s">
        <v>60</v>
      </c>
      <c r="I59">
        <v>1</v>
      </c>
      <c r="J59">
        <v>1</v>
      </c>
      <c r="K59">
        <v>0</v>
      </c>
      <c r="L59">
        <v>0</v>
      </c>
      <c r="M59">
        <v>0</v>
      </c>
      <c r="N59">
        <v>0</v>
      </c>
      <c r="O59">
        <v>1</v>
      </c>
      <c r="P59">
        <v>1</v>
      </c>
      <c r="Q59">
        <v>0</v>
      </c>
      <c r="R59">
        <v>0</v>
      </c>
      <c r="S59">
        <v>0</v>
      </c>
      <c r="T59">
        <v>0</v>
      </c>
      <c r="U59">
        <v>0</v>
      </c>
      <c r="V59">
        <v>0</v>
      </c>
    </row>
    <row r="60" spans="1:22" x14ac:dyDescent="0.2">
      <c r="A60" t="s">
        <v>326</v>
      </c>
      <c r="B60" t="s">
        <v>33</v>
      </c>
      <c r="C60" t="s">
        <v>41</v>
      </c>
      <c r="D60" t="s">
        <v>67</v>
      </c>
      <c r="E60" t="s">
        <v>37</v>
      </c>
      <c r="F60" t="s">
        <v>48</v>
      </c>
      <c r="G60" t="s">
        <v>65</v>
      </c>
      <c r="H60" t="s">
        <v>60</v>
      </c>
      <c r="I60">
        <v>1</v>
      </c>
      <c r="J60">
        <v>1</v>
      </c>
      <c r="K60">
        <v>1</v>
      </c>
      <c r="L60">
        <v>0</v>
      </c>
      <c r="M60">
        <v>0</v>
      </c>
      <c r="N60">
        <v>0</v>
      </c>
      <c r="O60">
        <v>1</v>
      </c>
      <c r="P60">
        <v>0</v>
      </c>
      <c r="Q60">
        <v>1</v>
      </c>
      <c r="R60">
        <v>0</v>
      </c>
      <c r="S60">
        <v>0</v>
      </c>
      <c r="T60">
        <v>0</v>
      </c>
      <c r="U60">
        <v>0</v>
      </c>
      <c r="V60">
        <v>0</v>
      </c>
    </row>
    <row r="61" spans="1:22" x14ac:dyDescent="0.2">
      <c r="A61" t="s">
        <v>326</v>
      </c>
      <c r="B61" t="s">
        <v>33</v>
      </c>
      <c r="C61" t="s">
        <v>41</v>
      </c>
      <c r="D61" t="s">
        <v>55</v>
      </c>
      <c r="E61" t="s">
        <v>37</v>
      </c>
      <c r="F61" t="s">
        <v>59</v>
      </c>
      <c r="G61" t="s">
        <v>65</v>
      </c>
      <c r="H61" t="s">
        <v>60</v>
      </c>
      <c r="I61">
        <v>1</v>
      </c>
      <c r="J61">
        <v>1</v>
      </c>
      <c r="K61">
        <v>0</v>
      </c>
      <c r="L61">
        <v>0</v>
      </c>
      <c r="M61">
        <v>0</v>
      </c>
      <c r="N61">
        <v>0</v>
      </c>
      <c r="O61">
        <v>1</v>
      </c>
      <c r="P61">
        <v>1</v>
      </c>
      <c r="Q61">
        <v>1</v>
      </c>
      <c r="R61">
        <v>0</v>
      </c>
      <c r="S61">
        <v>0</v>
      </c>
      <c r="T61">
        <v>0</v>
      </c>
      <c r="U61">
        <v>0</v>
      </c>
      <c r="V61">
        <v>0</v>
      </c>
    </row>
    <row r="62" spans="1:22" x14ac:dyDescent="0.2">
      <c r="A62" t="s">
        <v>341</v>
      </c>
      <c r="B62" t="s">
        <v>108</v>
      </c>
      <c r="C62" t="s">
        <v>41</v>
      </c>
      <c r="D62" t="s">
        <v>61</v>
      </c>
      <c r="E62" t="s">
        <v>37</v>
      </c>
      <c r="F62" t="s">
        <v>65</v>
      </c>
      <c r="G62" t="s">
        <v>46</v>
      </c>
      <c r="H62" t="s">
        <v>60</v>
      </c>
      <c r="I62">
        <v>1</v>
      </c>
      <c r="J62">
        <v>1</v>
      </c>
      <c r="K62">
        <v>0</v>
      </c>
      <c r="L62">
        <v>0</v>
      </c>
      <c r="M62">
        <v>1</v>
      </c>
      <c r="N62">
        <v>0</v>
      </c>
      <c r="O62">
        <v>1</v>
      </c>
      <c r="P62">
        <v>0</v>
      </c>
      <c r="Q62">
        <v>0</v>
      </c>
      <c r="R62">
        <v>0</v>
      </c>
      <c r="S62">
        <v>0</v>
      </c>
      <c r="T62">
        <v>0</v>
      </c>
      <c r="U62">
        <v>0</v>
      </c>
      <c r="V62">
        <v>1</v>
      </c>
    </row>
    <row r="63" spans="1:22" x14ac:dyDescent="0.2">
      <c r="A63" t="s">
        <v>345</v>
      </c>
      <c r="B63" t="s">
        <v>33</v>
      </c>
      <c r="C63" t="s">
        <v>41</v>
      </c>
      <c r="D63" t="s">
        <v>67</v>
      </c>
      <c r="E63" t="s">
        <v>37</v>
      </c>
      <c r="F63" t="s">
        <v>48</v>
      </c>
      <c r="G63" t="s">
        <v>60</v>
      </c>
      <c r="H63" t="s">
        <v>65</v>
      </c>
      <c r="I63">
        <v>1</v>
      </c>
      <c r="J63">
        <v>1</v>
      </c>
      <c r="K63">
        <v>1</v>
      </c>
      <c r="L63">
        <v>0</v>
      </c>
      <c r="M63">
        <v>0</v>
      </c>
      <c r="N63">
        <v>0</v>
      </c>
      <c r="O63">
        <v>1</v>
      </c>
      <c r="P63">
        <v>1</v>
      </c>
      <c r="Q63">
        <v>0</v>
      </c>
      <c r="R63">
        <v>0</v>
      </c>
      <c r="S63">
        <v>0</v>
      </c>
      <c r="T63">
        <v>0</v>
      </c>
      <c r="U63">
        <v>0</v>
      </c>
      <c r="V63">
        <v>0</v>
      </c>
    </row>
    <row r="64" spans="1:22" x14ac:dyDescent="0.2">
      <c r="A64" t="s">
        <v>354</v>
      </c>
      <c r="B64" t="s">
        <v>33</v>
      </c>
      <c r="C64" t="s">
        <v>41</v>
      </c>
      <c r="D64" t="s">
        <v>49</v>
      </c>
      <c r="E64" t="s">
        <v>37</v>
      </c>
      <c r="F64" t="s">
        <v>48</v>
      </c>
      <c r="G64" t="s">
        <v>65</v>
      </c>
      <c r="H64" t="s">
        <v>60</v>
      </c>
      <c r="I64">
        <v>1</v>
      </c>
      <c r="J64">
        <v>1</v>
      </c>
      <c r="K64">
        <v>1</v>
      </c>
      <c r="L64">
        <v>0</v>
      </c>
      <c r="M64">
        <v>0</v>
      </c>
      <c r="N64">
        <v>0</v>
      </c>
      <c r="O64">
        <v>1</v>
      </c>
      <c r="P64">
        <v>1</v>
      </c>
      <c r="Q64">
        <v>1</v>
      </c>
      <c r="R64">
        <v>1</v>
      </c>
      <c r="S64">
        <v>0</v>
      </c>
      <c r="T64">
        <v>0</v>
      </c>
      <c r="U64">
        <v>0</v>
      </c>
      <c r="V64">
        <v>0</v>
      </c>
    </row>
    <row r="65" spans="1:22" x14ac:dyDescent="0.2">
      <c r="A65" t="s">
        <v>366</v>
      </c>
      <c r="B65" t="s">
        <v>108</v>
      </c>
      <c r="C65" t="s">
        <v>41</v>
      </c>
      <c r="D65" t="s">
        <v>72</v>
      </c>
      <c r="E65" t="s">
        <v>37</v>
      </c>
      <c r="F65" t="s">
        <v>48</v>
      </c>
      <c r="G65" t="s">
        <v>65</v>
      </c>
      <c r="H65" t="s">
        <v>60</v>
      </c>
      <c r="I65">
        <v>1</v>
      </c>
      <c r="J65">
        <v>1</v>
      </c>
      <c r="K65">
        <v>1</v>
      </c>
      <c r="L65">
        <v>0</v>
      </c>
      <c r="M65">
        <v>0</v>
      </c>
      <c r="N65">
        <v>0</v>
      </c>
      <c r="O65">
        <v>1</v>
      </c>
      <c r="P65">
        <v>0</v>
      </c>
      <c r="Q65">
        <v>0</v>
      </c>
      <c r="R65">
        <v>0</v>
      </c>
      <c r="S65">
        <v>0</v>
      </c>
      <c r="T65">
        <v>0</v>
      </c>
      <c r="U65">
        <v>0</v>
      </c>
      <c r="V65">
        <v>1</v>
      </c>
    </row>
    <row r="66" spans="1:22" x14ac:dyDescent="0.2">
      <c r="A66" t="s">
        <v>366</v>
      </c>
      <c r="B66" t="s">
        <v>108</v>
      </c>
      <c r="C66" t="s">
        <v>41</v>
      </c>
      <c r="D66" t="s">
        <v>49</v>
      </c>
      <c r="E66" t="s">
        <v>37</v>
      </c>
      <c r="F66" t="s">
        <v>65</v>
      </c>
      <c r="G66" t="s">
        <v>59</v>
      </c>
      <c r="H66" t="s">
        <v>60</v>
      </c>
      <c r="I66">
        <v>1</v>
      </c>
      <c r="J66">
        <v>1</v>
      </c>
      <c r="K66">
        <v>0</v>
      </c>
      <c r="L66">
        <v>0</v>
      </c>
      <c r="M66">
        <v>0</v>
      </c>
      <c r="N66">
        <v>0</v>
      </c>
      <c r="O66">
        <v>1</v>
      </c>
      <c r="P66">
        <v>1</v>
      </c>
      <c r="Q66">
        <v>1</v>
      </c>
      <c r="R66">
        <v>0</v>
      </c>
      <c r="S66">
        <v>0</v>
      </c>
      <c r="T66">
        <v>0</v>
      </c>
      <c r="U66">
        <v>0</v>
      </c>
      <c r="V66">
        <v>0</v>
      </c>
    </row>
    <row r="67" spans="1:22" x14ac:dyDescent="0.2">
      <c r="A67" t="s">
        <v>370</v>
      </c>
      <c r="B67" t="s">
        <v>33</v>
      </c>
      <c r="C67" t="s">
        <v>41</v>
      </c>
      <c r="D67" t="s">
        <v>67</v>
      </c>
      <c r="E67" t="s">
        <v>37</v>
      </c>
      <c r="F67" t="s">
        <v>60</v>
      </c>
      <c r="G67" t="s">
        <v>65</v>
      </c>
      <c r="H67" t="s">
        <v>47</v>
      </c>
      <c r="I67">
        <v>1</v>
      </c>
      <c r="J67">
        <v>1</v>
      </c>
      <c r="K67">
        <v>0</v>
      </c>
      <c r="L67">
        <v>1</v>
      </c>
      <c r="M67">
        <v>0</v>
      </c>
      <c r="N67">
        <v>0</v>
      </c>
      <c r="O67">
        <v>1</v>
      </c>
      <c r="P67">
        <v>1</v>
      </c>
      <c r="Q67">
        <v>0</v>
      </c>
      <c r="R67">
        <v>0</v>
      </c>
      <c r="S67">
        <v>0</v>
      </c>
      <c r="T67">
        <v>0</v>
      </c>
      <c r="U67">
        <v>0</v>
      </c>
      <c r="V67">
        <v>0</v>
      </c>
    </row>
    <row r="68" spans="1:22" x14ac:dyDescent="0.2">
      <c r="A68" t="s">
        <v>383</v>
      </c>
      <c r="B68" t="s">
        <v>108</v>
      </c>
      <c r="C68" t="s">
        <v>41</v>
      </c>
      <c r="D68" t="s">
        <v>61</v>
      </c>
      <c r="E68" t="s">
        <v>37</v>
      </c>
      <c r="F68" t="s">
        <v>46</v>
      </c>
      <c r="G68" t="s">
        <v>60</v>
      </c>
      <c r="H68" t="s">
        <v>65</v>
      </c>
      <c r="I68">
        <v>1</v>
      </c>
      <c r="J68">
        <v>1</v>
      </c>
      <c r="K68">
        <v>0</v>
      </c>
      <c r="L68">
        <v>0</v>
      </c>
      <c r="M68">
        <v>1</v>
      </c>
      <c r="N68">
        <v>0</v>
      </c>
      <c r="O68">
        <v>1</v>
      </c>
      <c r="P68">
        <v>1</v>
      </c>
      <c r="Q68">
        <v>1</v>
      </c>
      <c r="R68">
        <v>0</v>
      </c>
      <c r="S68">
        <v>0</v>
      </c>
      <c r="T68">
        <v>1</v>
      </c>
      <c r="U68">
        <v>0</v>
      </c>
      <c r="V68">
        <v>0</v>
      </c>
    </row>
    <row r="69" spans="1:22" x14ac:dyDescent="0.2">
      <c r="A69" t="s">
        <v>394</v>
      </c>
      <c r="B69" t="s">
        <v>108</v>
      </c>
      <c r="C69" t="s">
        <v>41</v>
      </c>
      <c r="D69" t="s">
        <v>67</v>
      </c>
      <c r="E69" t="s">
        <v>37</v>
      </c>
      <c r="F69" t="s">
        <v>60</v>
      </c>
      <c r="G69" t="s">
        <v>48</v>
      </c>
      <c r="H69" t="s">
        <v>65</v>
      </c>
      <c r="I69">
        <v>1</v>
      </c>
      <c r="J69">
        <v>1</v>
      </c>
      <c r="K69">
        <v>1</v>
      </c>
      <c r="L69">
        <v>0</v>
      </c>
      <c r="M69">
        <v>0</v>
      </c>
      <c r="N69">
        <v>0</v>
      </c>
      <c r="O69">
        <v>1</v>
      </c>
      <c r="P69">
        <v>0</v>
      </c>
      <c r="Q69">
        <v>1</v>
      </c>
      <c r="R69">
        <v>0</v>
      </c>
      <c r="S69">
        <v>0</v>
      </c>
      <c r="T69">
        <v>0</v>
      </c>
      <c r="U69">
        <v>0</v>
      </c>
      <c r="V69">
        <v>0</v>
      </c>
    </row>
    <row r="70" spans="1:22" x14ac:dyDescent="0.2">
      <c r="A70" t="s">
        <v>396</v>
      </c>
      <c r="B70" t="s">
        <v>397</v>
      </c>
      <c r="C70" t="s">
        <v>41</v>
      </c>
      <c r="D70" t="s">
        <v>42</v>
      </c>
      <c r="E70" t="s">
        <v>37</v>
      </c>
      <c r="F70" t="s">
        <v>48</v>
      </c>
      <c r="G70" t="s">
        <v>60</v>
      </c>
      <c r="H70" t="s">
        <v>65</v>
      </c>
      <c r="I70">
        <v>1</v>
      </c>
      <c r="J70">
        <v>1</v>
      </c>
      <c r="K70">
        <v>1</v>
      </c>
      <c r="L70">
        <v>0</v>
      </c>
      <c r="M70">
        <v>0</v>
      </c>
      <c r="N70">
        <v>0</v>
      </c>
      <c r="O70">
        <v>1</v>
      </c>
      <c r="P70">
        <v>1</v>
      </c>
      <c r="Q70">
        <v>0</v>
      </c>
      <c r="R70">
        <v>0</v>
      </c>
      <c r="S70">
        <v>0</v>
      </c>
      <c r="T70">
        <v>0</v>
      </c>
      <c r="U70">
        <v>0</v>
      </c>
      <c r="V70">
        <v>0</v>
      </c>
    </row>
    <row r="71" spans="1:22" x14ac:dyDescent="0.2">
      <c r="A71" t="s">
        <v>396</v>
      </c>
      <c r="B71" t="s">
        <v>397</v>
      </c>
      <c r="C71" t="s">
        <v>41</v>
      </c>
      <c r="D71" t="s">
        <v>61</v>
      </c>
      <c r="E71" t="s">
        <v>37</v>
      </c>
      <c r="F71" t="s">
        <v>60</v>
      </c>
      <c r="G71" t="s">
        <v>48</v>
      </c>
      <c r="H71" t="s">
        <v>65</v>
      </c>
      <c r="I71">
        <v>1</v>
      </c>
      <c r="J71">
        <v>1</v>
      </c>
      <c r="K71">
        <v>1</v>
      </c>
      <c r="L71">
        <v>0</v>
      </c>
      <c r="M71">
        <v>0</v>
      </c>
      <c r="N71">
        <v>0</v>
      </c>
      <c r="O71">
        <v>1</v>
      </c>
      <c r="P71">
        <v>1</v>
      </c>
      <c r="Q71">
        <v>0</v>
      </c>
      <c r="R71">
        <v>0</v>
      </c>
      <c r="S71">
        <v>0</v>
      </c>
      <c r="T71">
        <v>0</v>
      </c>
      <c r="U71">
        <v>0</v>
      </c>
      <c r="V71">
        <v>0</v>
      </c>
    </row>
    <row r="72" spans="1:22" x14ac:dyDescent="0.2">
      <c r="A72" t="s">
        <v>408</v>
      </c>
      <c r="B72" t="s">
        <v>108</v>
      </c>
      <c r="C72" t="s">
        <v>41</v>
      </c>
      <c r="D72" t="s">
        <v>67</v>
      </c>
      <c r="E72" t="s">
        <v>37</v>
      </c>
      <c r="F72" t="s">
        <v>48</v>
      </c>
      <c r="G72" t="s">
        <v>60</v>
      </c>
      <c r="H72" t="s">
        <v>65</v>
      </c>
      <c r="I72">
        <v>1</v>
      </c>
      <c r="J72">
        <v>1</v>
      </c>
      <c r="K72">
        <v>1</v>
      </c>
      <c r="L72">
        <v>0</v>
      </c>
      <c r="M72">
        <v>0</v>
      </c>
      <c r="N72">
        <v>0</v>
      </c>
      <c r="O72">
        <v>1</v>
      </c>
      <c r="P72">
        <v>1</v>
      </c>
      <c r="Q72">
        <v>1</v>
      </c>
      <c r="R72">
        <v>1</v>
      </c>
      <c r="S72">
        <v>0</v>
      </c>
      <c r="T72">
        <v>0</v>
      </c>
      <c r="U72">
        <v>0</v>
      </c>
      <c r="V72">
        <v>0</v>
      </c>
    </row>
    <row r="73" spans="1:22" x14ac:dyDescent="0.2">
      <c r="A73" t="s">
        <v>408</v>
      </c>
      <c r="B73" t="s">
        <v>108</v>
      </c>
      <c r="C73" t="s">
        <v>41</v>
      </c>
      <c r="D73" t="s">
        <v>72</v>
      </c>
      <c r="E73" t="s">
        <v>37</v>
      </c>
      <c r="F73" t="s">
        <v>46</v>
      </c>
      <c r="G73" t="s">
        <v>65</v>
      </c>
      <c r="H73" t="s">
        <v>60</v>
      </c>
      <c r="I73">
        <v>1</v>
      </c>
      <c r="J73">
        <v>1</v>
      </c>
      <c r="K73">
        <v>0</v>
      </c>
      <c r="L73">
        <v>0</v>
      </c>
      <c r="M73">
        <v>1</v>
      </c>
      <c r="N73">
        <v>0</v>
      </c>
      <c r="O73">
        <v>1</v>
      </c>
      <c r="P73">
        <v>0</v>
      </c>
      <c r="Q73">
        <v>0</v>
      </c>
      <c r="R73">
        <v>0</v>
      </c>
      <c r="S73">
        <v>0</v>
      </c>
      <c r="T73">
        <v>0</v>
      </c>
      <c r="U73">
        <v>0</v>
      </c>
      <c r="V73">
        <v>1</v>
      </c>
    </row>
    <row r="74" spans="1:22" x14ac:dyDescent="0.2">
      <c r="A74" t="s">
        <v>411</v>
      </c>
      <c r="B74" t="s">
        <v>33</v>
      </c>
      <c r="C74" t="s">
        <v>41</v>
      </c>
      <c r="D74" t="s">
        <v>42</v>
      </c>
      <c r="E74" t="s">
        <v>37</v>
      </c>
      <c r="F74" t="s">
        <v>65</v>
      </c>
      <c r="G74" t="s">
        <v>46</v>
      </c>
      <c r="H74" t="s">
        <v>60</v>
      </c>
      <c r="I74">
        <v>1</v>
      </c>
      <c r="J74">
        <v>1</v>
      </c>
      <c r="K74">
        <v>0</v>
      </c>
      <c r="L74">
        <v>0</v>
      </c>
      <c r="M74">
        <v>1</v>
      </c>
      <c r="N74">
        <v>0</v>
      </c>
      <c r="O74">
        <v>1</v>
      </c>
      <c r="P74">
        <v>1</v>
      </c>
      <c r="Q74">
        <v>1</v>
      </c>
      <c r="R74">
        <v>0</v>
      </c>
      <c r="S74">
        <v>0</v>
      </c>
      <c r="T74">
        <v>1</v>
      </c>
      <c r="U74">
        <v>0</v>
      </c>
      <c r="V74">
        <v>0</v>
      </c>
    </row>
    <row r="75" spans="1:22" x14ac:dyDescent="0.2">
      <c r="A75" t="s">
        <v>418</v>
      </c>
      <c r="B75" t="s">
        <v>33</v>
      </c>
      <c r="C75" t="s">
        <v>41</v>
      </c>
      <c r="D75" t="s">
        <v>72</v>
      </c>
      <c r="E75" t="s">
        <v>37</v>
      </c>
      <c r="F75" t="s">
        <v>65</v>
      </c>
      <c r="G75" t="s">
        <v>48</v>
      </c>
      <c r="H75" t="s">
        <v>60</v>
      </c>
      <c r="I75">
        <v>1</v>
      </c>
      <c r="J75">
        <v>1</v>
      </c>
      <c r="K75">
        <v>1</v>
      </c>
      <c r="L75">
        <v>0</v>
      </c>
      <c r="M75">
        <v>0</v>
      </c>
      <c r="N75">
        <v>0</v>
      </c>
      <c r="O75">
        <v>1</v>
      </c>
      <c r="P75">
        <v>1</v>
      </c>
      <c r="Q75">
        <v>1</v>
      </c>
      <c r="R75">
        <v>1</v>
      </c>
      <c r="S75">
        <v>0</v>
      </c>
      <c r="T75">
        <v>0</v>
      </c>
      <c r="U75">
        <v>0</v>
      </c>
      <c r="V75">
        <v>0</v>
      </c>
    </row>
    <row r="76" spans="1:22" x14ac:dyDescent="0.2">
      <c r="A76" t="s">
        <v>422</v>
      </c>
      <c r="B76" t="s">
        <v>108</v>
      </c>
      <c r="C76" t="s">
        <v>41</v>
      </c>
      <c r="D76" t="s">
        <v>61</v>
      </c>
      <c r="E76" t="s">
        <v>37</v>
      </c>
      <c r="F76" t="s">
        <v>48</v>
      </c>
      <c r="G76" t="s">
        <v>60</v>
      </c>
      <c r="H76" t="s">
        <v>65</v>
      </c>
      <c r="I76">
        <v>1</v>
      </c>
      <c r="J76">
        <v>1</v>
      </c>
      <c r="K76">
        <v>1</v>
      </c>
      <c r="L76">
        <v>0</v>
      </c>
      <c r="M76">
        <v>0</v>
      </c>
      <c r="N76">
        <v>0</v>
      </c>
      <c r="O76">
        <v>1</v>
      </c>
      <c r="P76">
        <v>0</v>
      </c>
      <c r="Q76">
        <v>0</v>
      </c>
      <c r="R76">
        <v>1</v>
      </c>
      <c r="S76">
        <v>0</v>
      </c>
      <c r="T76">
        <v>0</v>
      </c>
      <c r="U76">
        <v>0</v>
      </c>
      <c r="V76">
        <v>0</v>
      </c>
    </row>
    <row r="77" spans="1:22" x14ac:dyDescent="0.2">
      <c r="A77" t="s">
        <v>422</v>
      </c>
      <c r="B77" t="s">
        <v>108</v>
      </c>
      <c r="C77" t="s">
        <v>41</v>
      </c>
      <c r="D77" t="s">
        <v>55</v>
      </c>
      <c r="E77" t="s">
        <v>37</v>
      </c>
      <c r="F77" t="s">
        <v>65</v>
      </c>
      <c r="G77" t="s">
        <v>60</v>
      </c>
      <c r="H77" t="s">
        <v>47</v>
      </c>
      <c r="I77">
        <v>1</v>
      </c>
      <c r="J77">
        <v>1</v>
      </c>
      <c r="K77">
        <v>0</v>
      </c>
      <c r="L77">
        <v>1</v>
      </c>
      <c r="M77">
        <v>0</v>
      </c>
      <c r="N77">
        <v>0</v>
      </c>
      <c r="O77">
        <v>1</v>
      </c>
      <c r="P77">
        <v>0</v>
      </c>
      <c r="Q77">
        <v>1</v>
      </c>
      <c r="R77">
        <v>0</v>
      </c>
      <c r="S77">
        <v>0</v>
      </c>
      <c r="T77">
        <v>0</v>
      </c>
      <c r="U77">
        <v>0</v>
      </c>
      <c r="V77">
        <v>0</v>
      </c>
    </row>
    <row r="78" spans="1:22" x14ac:dyDescent="0.2">
      <c r="A78" t="s">
        <v>426</v>
      </c>
      <c r="B78" t="s">
        <v>108</v>
      </c>
      <c r="C78" t="s">
        <v>41</v>
      </c>
      <c r="D78" t="s">
        <v>67</v>
      </c>
      <c r="E78" t="s">
        <v>37</v>
      </c>
      <c r="F78" t="s">
        <v>60</v>
      </c>
      <c r="G78" t="s">
        <v>47</v>
      </c>
      <c r="H78" t="s">
        <v>65</v>
      </c>
      <c r="I78">
        <v>1</v>
      </c>
      <c r="J78">
        <v>1</v>
      </c>
      <c r="K78">
        <v>0</v>
      </c>
      <c r="L78">
        <v>1</v>
      </c>
      <c r="M78">
        <v>0</v>
      </c>
      <c r="N78">
        <v>0</v>
      </c>
      <c r="O78">
        <v>1</v>
      </c>
      <c r="P78">
        <v>0</v>
      </c>
      <c r="Q78">
        <v>1</v>
      </c>
      <c r="R78">
        <v>0</v>
      </c>
      <c r="S78">
        <v>0</v>
      </c>
      <c r="T78">
        <v>0</v>
      </c>
      <c r="U78">
        <v>0</v>
      </c>
      <c r="V78">
        <v>0</v>
      </c>
    </row>
    <row r="79" spans="1:22" x14ac:dyDescent="0.2">
      <c r="A79" t="s">
        <v>437</v>
      </c>
      <c r="B79" t="s">
        <v>108</v>
      </c>
      <c r="C79" t="s">
        <v>41</v>
      </c>
      <c r="D79" t="s">
        <v>49</v>
      </c>
      <c r="E79" t="s">
        <v>37</v>
      </c>
      <c r="F79" t="s">
        <v>65</v>
      </c>
      <c r="G79" t="s">
        <v>60</v>
      </c>
      <c r="H79" t="s">
        <v>47</v>
      </c>
      <c r="I79">
        <v>1</v>
      </c>
      <c r="J79">
        <v>1</v>
      </c>
      <c r="K79">
        <v>0</v>
      </c>
      <c r="L79">
        <v>1</v>
      </c>
      <c r="M79">
        <v>0</v>
      </c>
      <c r="N79">
        <v>0</v>
      </c>
      <c r="O79">
        <v>1</v>
      </c>
      <c r="P79">
        <v>0</v>
      </c>
      <c r="Q79">
        <v>0</v>
      </c>
      <c r="R79">
        <v>0</v>
      </c>
      <c r="S79">
        <v>0</v>
      </c>
      <c r="T79">
        <v>0</v>
      </c>
      <c r="U79">
        <v>0</v>
      </c>
      <c r="V79">
        <v>1</v>
      </c>
    </row>
    <row r="80" spans="1:22" x14ac:dyDescent="0.2">
      <c r="A80" t="s">
        <v>444</v>
      </c>
      <c r="B80" t="s">
        <v>33</v>
      </c>
      <c r="C80" t="s">
        <v>41</v>
      </c>
      <c r="D80" t="s">
        <v>55</v>
      </c>
      <c r="E80" t="s">
        <v>442</v>
      </c>
      <c r="F80" t="s">
        <v>47</v>
      </c>
      <c r="G80" t="s">
        <v>60</v>
      </c>
      <c r="H80" t="s">
        <v>65</v>
      </c>
      <c r="I80">
        <v>1</v>
      </c>
      <c r="J80">
        <v>1</v>
      </c>
      <c r="K80">
        <v>0</v>
      </c>
      <c r="L80">
        <v>1</v>
      </c>
      <c r="M80">
        <v>0</v>
      </c>
      <c r="N80">
        <v>0</v>
      </c>
      <c r="O80">
        <v>1</v>
      </c>
      <c r="P80">
        <v>0</v>
      </c>
      <c r="Q80">
        <v>1</v>
      </c>
      <c r="R80">
        <v>0</v>
      </c>
      <c r="S80">
        <v>0</v>
      </c>
      <c r="T80">
        <v>0</v>
      </c>
      <c r="U80">
        <v>0</v>
      </c>
      <c r="V80">
        <v>0</v>
      </c>
    </row>
    <row r="81" spans="1:22" x14ac:dyDescent="0.2">
      <c r="A81" t="s">
        <v>445</v>
      </c>
      <c r="B81" t="s">
        <v>33</v>
      </c>
      <c r="C81" t="s">
        <v>41</v>
      </c>
      <c r="D81" t="s">
        <v>61</v>
      </c>
      <c r="E81" t="s">
        <v>442</v>
      </c>
      <c r="F81" t="s">
        <v>48</v>
      </c>
      <c r="G81" t="s">
        <v>65</v>
      </c>
      <c r="H81" t="s">
        <v>60</v>
      </c>
      <c r="I81">
        <v>1</v>
      </c>
      <c r="J81">
        <v>1</v>
      </c>
      <c r="K81">
        <v>1</v>
      </c>
      <c r="L81">
        <v>0</v>
      </c>
      <c r="M81">
        <v>0</v>
      </c>
      <c r="N81">
        <v>0</v>
      </c>
      <c r="O81">
        <v>1</v>
      </c>
      <c r="P81">
        <v>0</v>
      </c>
      <c r="Q81">
        <v>1</v>
      </c>
      <c r="R81">
        <v>0</v>
      </c>
      <c r="S81">
        <v>0</v>
      </c>
      <c r="T81">
        <v>0</v>
      </c>
      <c r="U81">
        <v>0</v>
      </c>
      <c r="V81">
        <v>0</v>
      </c>
    </row>
    <row r="82" spans="1:22" x14ac:dyDescent="0.2">
      <c r="A82" t="s">
        <v>449</v>
      </c>
      <c r="B82" t="s">
        <v>108</v>
      </c>
      <c r="C82" t="s">
        <v>41</v>
      </c>
      <c r="D82" t="s">
        <v>72</v>
      </c>
      <c r="E82" t="s">
        <v>442</v>
      </c>
      <c r="F82" t="s">
        <v>46</v>
      </c>
      <c r="G82" t="s">
        <v>65</v>
      </c>
      <c r="H82" t="s">
        <v>60</v>
      </c>
      <c r="I82">
        <v>1</v>
      </c>
      <c r="J82">
        <v>1</v>
      </c>
      <c r="K82">
        <v>0</v>
      </c>
      <c r="L82">
        <v>0</v>
      </c>
      <c r="M82">
        <v>1</v>
      </c>
      <c r="N82">
        <v>0</v>
      </c>
      <c r="O82">
        <v>1</v>
      </c>
      <c r="P82">
        <v>1</v>
      </c>
      <c r="Q82">
        <v>1</v>
      </c>
      <c r="R82">
        <v>0</v>
      </c>
      <c r="S82">
        <v>0</v>
      </c>
      <c r="T82">
        <v>1</v>
      </c>
      <c r="U82">
        <v>0</v>
      </c>
      <c r="V82">
        <v>0</v>
      </c>
    </row>
    <row r="83" spans="1:22" x14ac:dyDescent="0.2">
      <c r="A83" t="s">
        <v>452</v>
      </c>
      <c r="B83" t="s">
        <v>188</v>
      </c>
      <c r="C83" t="s">
        <v>41</v>
      </c>
      <c r="D83" t="s">
        <v>72</v>
      </c>
      <c r="E83" t="s">
        <v>442</v>
      </c>
      <c r="F83" t="s">
        <v>60</v>
      </c>
      <c r="G83" t="s">
        <v>46</v>
      </c>
      <c r="H83" t="s">
        <v>65</v>
      </c>
      <c r="I83">
        <v>1</v>
      </c>
      <c r="J83">
        <v>1</v>
      </c>
      <c r="K83">
        <v>0</v>
      </c>
      <c r="L83">
        <v>0</v>
      </c>
      <c r="M83">
        <v>1</v>
      </c>
      <c r="N83">
        <v>0</v>
      </c>
      <c r="O83">
        <v>1</v>
      </c>
      <c r="P83">
        <v>0</v>
      </c>
      <c r="Q83">
        <v>1</v>
      </c>
      <c r="R83">
        <v>0</v>
      </c>
      <c r="S83">
        <v>0</v>
      </c>
      <c r="T83">
        <v>0</v>
      </c>
      <c r="U83">
        <v>0</v>
      </c>
      <c r="V83">
        <v>0</v>
      </c>
    </row>
    <row r="84" spans="1:22" x14ac:dyDescent="0.2">
      <c r="A84" t="s">
        <v>452</v>
      </c>
      <c r="B84" t="s">
        <v>188</v>
      </c>
      <c r="C84" t="s">
        <v>41</v>
      </c>
      <c r="D84" t="s">
        <v>55</v>
      </c>
      <c r="E84" t="s">
        <v>442</v>
      </c>
      <c r="F84" t="s">
        <v>60</v>
      </c>
      <c r="G84" t="s">
        <v>65</v>
      </c>
      <c r="H84" t="s">
        <v>47</v>
      </c>
      <c r="I84">
        <v>1</v>
      </c>
      <c r="J84">
        <v>1</v>
      </c>
      <c r="K84">
        <v>0</v>
      </c>
      <c r="L84">
        <v>1</v>
      </c>
      <c r="M84">
        <v>0</v>
      </c>
      <c r="N84">
        <v>0</v>
      </c>
      <c r="O84">
        <v>1</v>
      </c>
      <c r="P84">
        <v>1</v>
      </c>
      <c r="Q84">
        <v>0</v>
      </c>
      <c r="R84">
        <v>0</v>
      </c>
      <c r="S84">
        <v>0</v>
      </c>
      <c r="T84">
        <v>0</v>
      </c>
      <c r="U84">
        <v>0</v>
      </c>
      <c r="V84">
        <v>0</v>
      </c>
    </row>
    <row r="85" spans="1:22" x14ac:dyDescent="0.2">
      <c r="A85" t="s">
        <v>452</v>
      </c>
      <c r="B85" t="s">
        <v>188</v>
      </c>
      <c r="C85" t="s">
        <v>41</v>
      </c>
      <c r="D85" t="s">
        <v>61</v>
      </c>
      <c r="E85" t="s">
        <v>442</v>
      </c>
      <c r="F85" t="s">
        <v>46</v>
      </c>
      <c r="G85" t="s">
        <v>60</v>
      </c>
      <c r="H85" t="s">
        <v>65</v>
      </c>
      <c r="I85">
        <v>1</v>
      </c>
      <c r="J85">
        <v>1</v>
      </c>
      <c r="K85">
        <v>0</v>
      </c>
      <c r="L85">
        <v>0</v>
      </c>
      <c r="M85">
        <v>1</v>
      </c>
      <c r="N85">
        <v>0</v>
      </c>
      <c r="O85">
        <v>1</v>
      </c>
      <c r="P85">
        <v>0</v>
      </c>
      <c r="Q85">
        <v>0</v>
      </c>
      <c r="R85">
        <v>0</v>
      </c>
      <c r="S85">
        <v>0</v>
      </c>
      <c r="T85">
        <v>1</v>
      </c>
      <c r="U85">
        <v>0</v>
      </c>
      <c r="V85">
        <v>0</v>
      </c>
    </row>
    <row r="86" spans="1:22" x14ac:dyDescent="0.2">
      <c r="A86" t="s">
        <v>456</v>
      </c>
      <c r="B86" t="s">
        <v>33</v>
      </c>
      <c r="C86" t="s">
        <v>41</v>
      </c>
      <c r="D86" t="s">
        <v>67</v>
      </c>
      <c r="E86" t="s">
        <v>442</v>
      </c>
      <c r="F86" t="s">
        <v>60</v>
      </c>
      <c r="G86" t="s">
        <v>65</v>
      </c>
      <c r="H86" t="s">
        <v>48</v>
      </c>
      <c r="I86">
        <v>1</v>
      </c>
      <c r="J86">
        <v>1</v>
      </c>
      <c r="K86">
        <v>1</v>
      </c>
      <c r="L86">
        <v>0</v>
      </c>
      <c r="M86">
        <v>0</v>
      </c>
      <c r="N86">
        <v>0</v>
      </c>
      <c r="O86">
        <v>1</v>
      </c>
      <c r="P86">
        <v>0</v>
      </c>
      <c r="Q86">
        <v>1</v>
      </c>
      <c r="R86">
        <v>0</v>
      </c>
      <c r="S86">
        <v>0</v>
      </c>
      <c r="T86">
        <v>0</v>
      </c>
      <c r="U86">
        <v>0</v>
      </c>
      <c r="V86">
        <v>0</v>
      </c>
    </row>
    <row r="87" spans="1:22" x14ac:dyDescent="0.2">
      <c r="A87" t="s">
        <v>459</v>
      </c>
      <c r="B87" t="s">
        <v>188</v>
      </c>
      <c r="C87" t="s">
        <v>41</v>
      </c>
      <c r="D87" t="s">
        <v>72</v>
      </c>
      <c r="E87" t="s">
        <v>442</v>
      </c>
      <c r="F87" t="s">
        <v>65</v>
      </c>
      <c r="G87" t="s">
        <v>60</v>
      </c>
      <c r="H87" t="s">
        <v>47</v>
      </c>
      <c r="I87">
        <v>1</v>
      </c>
      <c r="J87">
        <v>1</v>
      </c>
      <c r="K87">
        <v>0</v>
      </c>
      <c r="L87">
        <v>1</v>
      </c>
      <c r="M87">
        <v>0</v>
      </c>
      <c r="N87">
        <v>0</v>
      </c>
      <c r="O87">
        <v>1</v>
      </c>
      <c r="P87">
        <v>1</v>
      </c>
      <c r="Q87">
        <v>1</v>
      </c>
      <c r="R87">
        <v>0</v>
      </c>
      <c r="S87">
        <v>1</v>
      </c>
      <c r="T87">
        <v>0</v>
      </c>
      <c r="U87">
        <v>0</v>
      </c>
      <c r="V87">
        <v>0</v>
      </c>
    </row>
    <row r="88" spans="1:22" x14ac:dyDescent="0.2">
      <c r="A88" t="s">
        <v>465</v>
      </c>
      <c r="B88" t="s">
        <v>33</v>
      </c>
      <c r="C88" t="s">
        <v>41</v>
      </c>
      <c r="D88" t="s">
        <v>42</v>
      </c>
      <c r="E88" t="s">
        <v>442</v>
      </c>
      <c r="F88" t="s">
        <v>48</v>
      </c>
      <c r="G88" t="s">
        <v>60</v>
      </c>
      <c r="H88" t="s">
        <v>65</v>
      </c>
      <c r="I88">
        <v>1</v>
      </c>
      <c r="J88">
        <v>1</v>
      </c>
      <c r="K88">
        <v>1</v>
      </c>
      <c r="L88">
        <v>0</v>
      </c>
      <c r="M88">
        <v>0</v>
      </c>
      <c r="N88">
        <v>0</v>
      </c>
      <c r="O88">
        <v>1</v>
      </c>
      <c r="P88">
        <v>1</v>
      </c>
      <c r="Q88">
        <v>1</v>
      </c>
      <c r="R88">
        <v>1</v>
      </c>
      <c r="S88">
        <v>0</v>
      </c>
      <c r="T88">
        <v>0</v>
      </c>
      <c r="U88">
        <v>0</v>
      </c>
      <c r="V88">
        <v>0</v>
      </c>
    </row>
    <row r="89" spans="1:22" x14ac:dyDescent="0.2">
      <c r="A89" t="s">
        <v>467</v>
      </c>
      <c r="B89" t="s">
        <v>108</v>
      </c>
      <c r="C89" t="s">
        <v>41</v>
      </c>
      <c r="D89" t="s">
        <v>67</v>
      </c>
      <c r="E89" t="s">
        <v>442</v>
      </c>
      <c r="F89" t="s">
        <v>65</v>
      </c>
      <c r="G89" t="s">
        <v>60</v>
      </c>
      <c r="H89" t="s">
        <v>46</v>
      </c>
      <c r="I89">
        <v>1</v>
      </c>
      <c r="J89">
        <v>1</v>
      </c>
      <c r="K89">
        <v>0</v>
      </c>
      <c r="L89">
        <v>0</v>
      </c>
      <c r="M89">
        <v>1</v>
      </c>
      <c r="N89">
        <v>0</v>
      </c>
      <c r="O89">
        <v>1</v>
      </c>
      <c r="P89">
        <v>0</v>
      </c>
      <c r="Q89">
        <v>1</v>
      </c>
      <c r="R89">
        <v>0</v>
      </c>
      <c r="S89">
        <v>0</v>
      </c>
      <c r="T89">
        <v>0</v>
      </c>
      <c r="U89">
        <v>0</v>
      </c>
      <c r="V89">
        <v>0</v>
      </c>
    </row>
    <row r="90" spans="1:22" x14ac:dyDescent="0.2">
      <c r="A90" t="s">
        <v>475</v>
      </c>
      <c r="B90" t="s">
        <v>188</v>
      </c>
      <c r="C90" t="s">
        <v>41</v>
      </c>
      <c r="D90" t="s">
        <v>49</v>
      </c>
      <c r="E90" t="s">
        <v>442</v>
      </c>
      <c r="F90" t="s">
        <v>65</v>
      </c>
      <c r="G90" t="s">
        <v>60</v>
      </c>
      <c r="H90" t="s">
        <v>47</v>
      </c>
      <c r="I90">
        <v>1</v>
      </c>
      <c r="J90">
        <v>1</v>
      </c>
      <c r="K90">
        <v>0</v>
      </c>
      <c r="L90">
        <v>1</v>
      </c>
      <c r="M90">
        <v>0</v>
      </c>
      <c r="N90">
        <v>0</v>
      </c>
      <c r="O90">
        <v>1</v>
      </c>
      <c r="P90">
        <v>0</v>
      </c>
      <c r="Q90">
        <v>0</v>
      </c>
      <c r="R90">
        <v>0</v>
      </c>
      <c r="S90">
        <v>0</v>
      </c>
      <c r="T90">
        <v>0</v>
      </c>
      <c r="U90">
        <v>0</v>
      </c>
      <c r="V90">
        <v>1</v>
      </c>
    </row>
    <row r="91" spans="1:22" x14ac:dyDescent="0.2">
      <c r="A91" t="s">
        <v>478</v>
      </c>
      <c r="B91" t="s">
        <v>108</v>
      </c>
      <c r="C91" t="s">
        <v>41</v>
      </c>
      <c r="D91" t="s">
        <v>72</v>
      </c>
      <c r="E91" t="s">
        <v>442</v>
      </c>
      <c r="F91" t="s">
        <v>65</v>
      </c>
      <c r="G91" t="s">
        <v>60</v>
      </c>
      <c r="H91" t="s">
        <v>46</v>
      </c>
      <c r="I91">
        <v>1</v>
      </c>
      <c r="J91">
        <v>1</v>
      </c>
      <c r="K91">
        <v>0</v>
      </c>
      <c r="L91">
        <v>0</v>
      </c>
      <c r="M91">
        <v>1</v>
      </c>
      <c r="N91">
        <v>0</v>
      </c>
      <c r="O91">
        <v>1</v>
      </c>
      <c r="P91">
        <v>0</v>
      </c>
      <c r="Q91">
        <v>0</v>
      </c>
      <c r="R91">
        <v>0</v>
      </c>
      <c r="S91">
        <v>0</v>
      </c>
      <c r="T91">
        <v>0</v>
      </c>
      <c r="U91">
        <v>0</v>
      </c>
      <c r="V91">
        <v>1</v>
      </c>
    </row>
    <row r="92" spans="1:22" x14ac:dyDescent="0.2">
      <c r="A92" t="s">
        <v>478</v>
      </c>
      <c r="B92" t="s">
        <v>108</v>
      </c>
      <c r="C92" t="s">
        <v>41</v>
      </c>
      <c r="D92" t="s">
        <v>49</v>
      </c>
      <c r="E92" t="s">
        <v>442</v>
      </c>
      <c r="F92" t="s">
        <v>48</v>
      </c>
      <c r="G92" t="s">
        <v>60</v>
      </c>
      <c r="H92" t="s">
        <v>65</v>
      </c>
      <c r="I92">
        <v>1</v>
      </c>
      <c r="J92">
        <v>1</v>
      </c>
      <c r="K92">
        <v>1</v>
      </c>
      <c r="L92">
        <v>0</v>
      </c>
      <c r="M92">
        <v>0</v>
      </c>
      <c r="N92">
        <v>0</v>
      </c>
      <c r="O92">
        <v>1</v>
      </c>
      <c r="P92">
        <v>0</v>
      </c>
      <c r="Q92">
        <v>1</v>
      </c>
      <c r="R92">
        <v>0</v>
      </c>
      <c r="S92">
        <v>0</v>
      </c>
      <c r="T92">
        <v>0</v>
      </c>
      <c r="U92">
        <v>0</v>
      </c>
      <c r="V92">
        <v>0</v>
      </c>
    </row>
    <row r="93" spans="1:22" x14ac:dyDescent="0.2">
      <c r="A93" t="s">
        <v>481</v>
      </c>
      <c r="B93" t="s">
        <v>108</v>
      </c>
      <c r="C93" t="s">
        <v>41</v>
      </c>
      <c r="D93" t="s">
        <v>49</v>
      </c>
      <c r="E93" t="s">
        <v>442</v>
      </c>
      <c r="F93" t="s">
        <v>60</v>
      </c>
      <c r="G93" t="s">
        <v>65</v>
      </c>
      <c r="H93" t="s">
        <v>59</v>
      </c>
      <c r="I93">
        <v>1</v>
      </c>
      <c r="J93">
        <v>1</v>
      </c>
      <c r="K93">
        <v>0</v>
      </c>
      <c r="L93">
        <v>0</v>
      </c>
      <c r="M93">
        <v>0</v>
      </c>
      <c r="N93">
        <v>0</v>
      </c>
      <c r="O93">
        <v>1</v>
      </c>
      <c r="P93">
        <v>1</v>
      </c>
      <c r="Q93">
        <v>1</v>
      </c>
      <c r="R93">
        <v>0</v>
      </c>
      <c r="S93">
        <v>0</v>
      </c>
      <c r="T93">
        <v>0</v>
      </c>
      <c r="U93">
        <v>0</v>
      </c>
      <c r="V93">
        <v>0</v>
      </c>
    </row>
    <row r="94" spans="1:22" x14ac:dyDescent="0.2">
      <c r="A94" t="s">
        <v>481</v>
      </c>
      <c r="B94" t="s">
        <v>108</v>
      </c>
      <c r="C94" t="s">
        <v>41</v>
      </c>
      <c r="D94" t="s">
        <v>42</v>
      </c>
      <c r="E94" t="s">
        <v>442</v>
      </c>
      <c r="F94" t="s">
        <v>60</v>
      </c>
      <c r="G94" t="s">
        <v>65</v>
      </c>
      <c r="H94" t="s">
        <v>46</v>
      </c>
      <c r="I94">
        <v>1</v>
      </c>
      <c r="J94">
        <v>1</v>
      </c>
      <c r="K94">
        <v>0</v>
      </c>
      <c r="L94">
        <v>0</v>
      </c>
      <c r="M94">
        <v>1</v>
      </c>
      <c r="N94">
        <v>0</v>
      </c>
      <c r="O94">
        <v>1</v>
      </c>
      <c r="P94">
        <v>0</v>
      </c>
      <c r="Q94">
        <v>0</v>
      </c>
      <c r="R94">
        <v>0</v>
      </c>
      <c r="S94">
        <v>0</v>
      </c>
      <c r="T94">
        <v>0</v>
      </c>
      <c r="U94">
        <v>0</v>
      </c>
      <c r="V94">
        <v>1</v>
      </c>
    </row>
    <row r="95" spans="1:22" x14ac:dyDescent="0.2">
      <c r="A95" t="s">
        <v>484</v>
      </c>
      <c r="B95" t="s">
        <v>108</v>
      </c>
      <c r="C95" t="s">
        <v>41</v>
      </c>
      <c r="D95" t="s">
        <v>55</v>
      </c>
      <c r="E95" t="s">
        <v>442</v>
      </c>
      <c r="F95" t="s">
        <v>60</v>
      </c>
      <c r="G95" t="s">
        <v>46</v>
      </c>
      <c r="H95" t="s">
        <v>65</v>
      </c>
      <c r="I95">
        <v>1</v>
      </c>
      <c r="J95">
        <v>1</v>
      </c>
      <c r="K95">
        <v>0</v>
      </c>
      <c r="L95">
        <v>0</v>
      </c>
      <c r="M95">
        <v>1</v>
      </c>
      <c r="N95">
        <v>0</v>
      </c>
      <c r="O95">
        <v>1</v>
      </c>
      <c r="P95">
        <v>1</v>
      </c>
      <c r="Q95">
        <v>1</v>
      </c>
      <c r="R95">
        <v>0</v>
      </c>
      <c r="S95">
        <v>0</v>
      </c>
      <c r="T95">
        <v>1</v>
      </c>
      <c r="U95">
        <v>0</v>
      </c>
      <c r="V95">
        <v>0</v>
      </c>
    </row>
    <row r="96" spans="1:22" x14ac:dyDescent="0.2">
      <c r="A96" t="s">
        <v>484</v>
      </c>
      <c r="B96" t="s">
        <v>108</v>
      </c>
      <c r="C96" t="s">
        <v>41</v>
      </c>
      <c r="D96" t="s">
        <v>42</v>
      </c>
      <c r="E96" t="s">
        <v>442</v>
      </c>
      <c r="F96" t="s">
        <v>65</v>
      </c>
      <c r="G96" t="s">
        <v>60</v>
      </c>
      <c r="H96" t="s">
        <v>46</v>
      </c>
      <c r="I96">
        <v>1</v>
      </c>
      <c r="J96">
        <v>1</v>
      </c>
      <c r="K96">
        <v>0</v>
      </c>
      <c r="L96">
        <v>0</v>
      </c>
      <c r="M96">
        <v>1</v>
      </c>
      <c r="N96">
        <v>0</v>
      </c>
      <c r="O96">
        <v>1</v>
      </c>
      <c r="P96">
        <v>1</v>
      </c>
      <c r="Q96">
        <v>1</v>
      </c>
      <c r="R96">
        <v>0</v>
      </c>
      <c r="S96">
        <v>0</v>
      </c>
      <c r="T96">
        <v>1</v>
      </c>
      <c r="U96">
        <v>0</v>
      </c>
      <c r="V96">
        <v>0</v>
      </c>
    </row>
    <row r="97" spans="1:22" x14ac:dyDescent="0.2">
      <c r="A97" t="s">
        <v>488</v>
      </c>
      <c r="B97" t="s">
        <v>108</v>
      </c>
      <c r="C97" t="s">
        <v>41</v>
      </c>
      <c r="D97" t="s">
        <v>67</v>
      </c>
      <c r="E97" t="s">
        <v>442</v>
      </c>
      <c r="F97" t="s">
        <v>65</v>
      </c>
      <c r="G97" t="s">
        <v>48</v>
      </c>
      <c r="H97" t="s">
        <v>60</v>
      </c>
      <c r="I97">
        <v>1</v>
      </c>
      <c r="J97">
        <v>1</v>
      </c>
      <c r="K97">
        <v>1</v>
      </c>
      <c r="L97">
        <v>0</v>
      </c>
      <c r="M97">
        <v>0</v>
      </c>
      <c r="N97">
        <v>0</v>
      </c>
      <c r="O97">
        <v>1</v>
      </c>
      <c r="P97">
        <v>1</v>
      </c>
      <c r="Q97">
        <v>0</v>
      </c>
      <c r="R97">
        <v>0</v>
      </c>
      <c r="S97">
        <v>0</v>
      </c>
      <c r="T97">
        <v>0</v>
      </c>
      <c r="U97">
        <v>0</v>
      </c>
      <c r="V97">
        <v>0</v>
      </c>
    </row>
    <row r="98" spans="1:22" x14ac:dyDescent="0.2">
      <c r="A98" t="s">
        <v>498</v>
      </c>
      <c r="B98" t="s">
        <v>33</v>
      </c>
      <c r="C98" t="s">
        <v>41</v>
      </c>
      <c r="D98" t="s">
        <v>55</v>
      </c>
      <c r="E98" t="s">
        <v>442</v>
      </c>
      <c r="F98" t="s">
        <v>46</v>
      </c>
      <c r="G98" t="s">
        <v>60</v>
      </c>
      <c r="H98" t="s">
        <v>65</v>
      </c>
      <c r="I98">
        <v>1</v>
      </c>
      <c r="J98">
        <v>1</v>
      </c>
      <c r="K98">
        <v>0</v>
      </c>
      <c r="L98">
        <v>0</v>
      </c>
      <c r="M98">
        <v>1</v>
      </c>
      <c r="N98">
        <v>0</v>
      </c>
      <c r="O98">
        <v>1</v>
      </c>
      <c r="P98">
        <v>1</v>
      </c>
      <c r="Q98">
        <v>1</v>
      </c>
      <c r="R98">
        <v>0</v>
      </c>
      <c r="S98">
        <v>0</v>
      </c>
      <c r="T98">
        <v>1</v>
      </c>
      <c r="U98">
        <v>0</v>
      </c>
      <c r="V98">
        <v>0</v>
      </c>
    </row>
    <row r="99" spans="1:22" x14ac:dyDescent="0.2">
      <c r="A99" t="s">
        <v>498</v>
      </c>
      <c r="B99" t="s">
        <v>33</v>
      </c>
      <c r="C99" t="s">
        <v>41</v>
      </c>
      <c r="D99" t="s">
        <v>67</v>
      </c>
      <c r="E99" t="s">
        <v>442</v>
      </c>
      <c r="F99" t="s">
        <v>60</v>
      </c>
      <c r="G99" t="s">
        <v>47</v>
      </c>
      <c r="H99" t="s">
        <v>65</v>
      </c>
      <c r="I99">
        <v>1</v>
      </c>
      <c r="J99">
        <v>1</v>
      </c>
      <c r="K99">
        <v>0</v>
      </c>
      <c r="L99">
        <v>1</v>
      </c>
      <c r="M99">
        <v>0</v>
      </c>
      <c r="N99">
        <v>0</v>
      </c>
      <c r="O99">
        <v>1</v>
      </c>
      <c r="P99">
        <v>1</v>
      </c>
      <c r="Q99">
        <v>1</v>
      </c>
      <c r="R99">
        <v>0</v>
      </c>
      <c r="S99">
        <v>1</v>
      </c>
      <c r="T99">
        <v>0</v>
      </c>
      <c r="U99">
        <v>0</v>
      </c>
      <c r="V99">
        <v>0</v>
      </c>
    </row>
    <row r="100" spans="1:22" x14ac:dyDescent="0.2">
      <c r="A100" t="s">
        <v>506</v>
      </c>
      <c r="B100" t="s">
        <v>108</v>
      </c>
      <c r="C100" t="s">
        <v>41</v>
      </c>
      <c r="D100" t="s">
        <v>42</v>
      </c>
      <c r="E100" t="s">
        <v>442</v>
      </c>
      <c r="F100" t="s">
        <v>46</v>
      </c>
      <c r="G100" t="s">
        <v>60</v>
      </c>
      <c r="H100" t="s">
        <v>65</v>
      </c>
      <c r="I100">
        <v>1</v>
      </c>
      <c r="J100">
        <v>1</v>
      </c>
      <c r="K100">
        <v>0</v>
      </c>
      <c r="L100">
        <v>0</v>
      </c>
      <c r="M100">
        <v>1</v>
      </c>
      <c r="N100">
        <v>0</v>
      </c>
      <c r="O100">
        <v>1</v>
      </c>
      <c r="P100">
        <v>1</v>
      </c>
      <c r="Q100">
        <v>1</v>
      </c>
      <c r="R100">
        <v>0</v>
      </c>
      <c r="S100">
        <v>0</v>
      </c>
      <c r="T100">
        <v>0</v>
      </c>
      <c r="U100">
        <v>0</v>
      </c>
      <c r="V100">
        <v>0</v>
      </c>
    </row>
    <row r="101" spans="1:22" x14ac:dyDescent="0.2">
      <c r="A101" t="s">
        <v>506</v>
      </c>
      <c r="B101" t="s">
        <v>108</v>
      </c>
      <c r="C101" t="s">
        <v>41</v>
      </c>
      <c r="D101" t="s">
        <v>55</v>
      </c>
      <c r="E101" t="s">
        <v>442</v>
      </c>
      <c r="F101" t="s">
        <v>48</v>
      </c>
      <c r="G101" t="s">
        <v>60</v>
      </c>
      <c r="H101" t="s">
        <v>65</v>
      </c>
      <c r="I101">
        <v>1</v>
      </c>
      <c r="J101">
        <v>1</v>
      </c>
      <c r="K101">
        <v>1</v>
      </c>
      <c r="L101">
        <v>0</v>
      </c>
      <c r="M101">
        <v>0</v>
      </c>
      <c r="N101">
        <v>0</v>
      </c>
      <c r="O101">
        <v>1</v>
      </c>
      <c r="P101">
        <v>0</v>
      </c>
      <c r="Q101">
        <v>1</v>
      </c>
      <c r="R101">
        <v>0</v>
      </c>
      <c r="S101">
        <v>0</v>
      </c>
      <c r="T101">
        <v>0</v>
      </c>
      <c r="U101">
        <v>0</v>
      </c>
      <c r="V101">
        <v>0</v>
      </c>
    </row>
    <row r="102" spans="1:22" x14ac:dyDescent="0.2">
      <c r="A102" t="s">
        <v>518</v>
      </c>
      <c r="B102" t="s">
        <v>108</v>
      </c>
      <c r="C102" t="s">
        <v>41</v>
      </c>
      <c r="D102" t="s">
        <v>67</v>
      </c>
      <c r="E102" t="s">
        <v>442</v>
      </c>
      <c r="F102" t="s">
        <v>60</v>
      </c>
      <c r="G102" t="s">
        <v>65</v>
      </c>
      <c r="H102" t="s">
        <v>47</v>
      </c>
      <c r="I102">
        <v>1</v>
      </c>
      <c r="J102">
        <v>1</v>
      </c>
      <c r="K102">
        <v>0</v>
      </c>
      <c r="L102">
        <v>1</v>
      </c>
      <c r="M102">
        <v>0</v>
      </c>
      <c r="N102">
        <v>0</v>
      </c>
      <c r="O102">
        <v>1</v>
      </c>
      <c r="P102">
        <v>1</v>
      </c>
      <c r="Q102">
        <v>1</v>
      </c>
      <c r="R102">
        <v>0</v>
      </c>
      <c r="S102">
        <v>1</v>
      </c>
      <c r="T102">
        <v>0</v>
      </c>
      <c r="U102">
        <v>0</v>
      </c>
      <c r="V102">
        <v>0</v>
      </c>
    </row>
    <row r="103" spans="1:22" x14ac:dyDescent="0.2">
      <c r="A103" t="s">
        <v>518</v>
      </c>
      <c r="B103" t="s">
        <v>108</v>
      </c>
      <c r="C103" t="s">
        <v>41</v>
      </c>
      <c r="D103" t="s">
        <v>61</v>
      </c>
      <c r="E103" t="s">
        <v>442</v>
      </c>
      <c r="F103" t="s">
        <v>47</v>
      </c>
      <c r="G103" t="s">
        <v>65</v>
      </c>
      <c r="H103" t="s">
        <v>60</v>
      </c>
      <c r="I103">
        <v>1</v>
      </c>
      <c r="J103">
        <v>1</v>
      </c>
      <c r="K103">
        <v>0</v>
      </c>
      <c r="L103">
        <v>1</v>
      </c>
      <c r="M103">
        <v>0</v>
      </c>
      <c r="N103">
        <v>0</v>
      </c>
      <c r="O103">
        <v>1</v>
      </c>
      <c r="P103">
        <v>1</v>
      </c>
      <c r="Q103">
        <v>1</v>
      </c>
      <c r="R103">
        <v>0</v>
      </c>
      <c r="S103">
        <v>1</v>
      </c>
      <c r="T103">
        <v>0</v>
      </c>
      <c r="U103">
        <v>0</v>
      </c>
      <c r="V103">
        <v>0</v>
      </c>
    </row>
    <row r="104" spans="1:22" x14ac:dyDescent="0.2">
      <c r="A104" t="s">
        <v>518</v>
      </c>
      <c r="B104" t="s">
        <v>108</v>
      </c>
      <c r="C104" t="s">
        <v>41</v>
      </c>
      <c r="D104" t="s">
        <v>42</v>
      </c>
      <c r="E104" t="s">
        <v>442</v>
      </c>
      <c r="F104" t="s">
        <v>60</v>
      </c>
      <c r="G104" t="s">
        <v>48</v>
      </c>
      <c r="H104" t="s">
        <v>65</v>
      </c>
      <c r="I104">
        <v>1</v>
      </c>
      <c r="J104">
        <v>1</v>
      </c>
      <c r="K104">
        <v>1</v>
      </c>
      <c r="L104">
        <v>0</v>
      </c>
      <c r="M104">
        <v>0</v>
      </c>
      <c r="N104">
        <v>0</v>
      </c>
      <c r="O104">
        <v>1</v>
      </c>
      <c r="P104">
        <v>1</v>
      </c>
      <c r="Q104">
        <v>1</v>
      </c>
      <c r="R104">
        <v>1</v>
      </c>
      <c r="S104">
        <v>0</v>
      </c>
      <c r="T104">
        <v>0</v>
      </c>
      <c r="U104">
        <v>0</v>
      </c>
      <c r="V104">
        <v>0</v>
      </c>
    </row>
    <row r="105" spans="1:22" x14ac:dyDescent="0.2">
      <c r="A105" t="s">
        <v>518</v>
      </c>
      <c r="B105" t="s">
        <v>108</v>
      </c>
      <c r="C105" t="s">
        <v>41</v>
      </c>
      <c r="D105" t="s">
        <v>55</v>
      </c>
      <c r="E105" t="s">
        <v>442</v>
      </c>
      <c r="F105" t="s">
        <v>65</v>
      </c>
      <c r="G105" t="s">
        <v>47</v>
      </c>
      <c r="H105" t="s">
        <v>60</v>
      </c>
      <c r="I105">
        <v>1</v>
      </c>
      <c r="J105">
        <v>1</v>
      </c>
      <c r="K105">
        <v>0</v>
      </c>
      <c r="L105">
        <v>1</v>
      </c>
      <c r="M105">
        <v>0</v>
      </c>
      <c r="N105">
        <v>0</v>
      </c>
      <c r="O105">
        <v>1</v>
      </c>
      <c r="P105">
        <v>1</v>
      </c>
      <c r="Q105">
        <v>1</v>
      </c>
      <c r="R105">
        <v>0</v>
      </c>
      <c r="S105">
        <v>1</v>
      </c>
      <c r="T105">
        <v>0</v>
      </c>
      <c r="U105">
        <v>0</v>
      </c>
      <c r="V105">
        <v>0</v>
      </c>
    </row>
    <row r="106" spans="1:22" x14ac:dyDescent="0.2">
      <c r="A106" t="s">
        <v>521</v>
      </c>
      <c r="B106" t="s">
        <v>33</v>
      </c>
      <c r="C106" t="s">
        <v>41</v>
      </c>
      <c r="D106" t="s">
        <v>61</v>
      </c>
      <c r="E106" t="s">
        <v>442</v>
      </c>
      <c r="F106" t="s">
        <v>60</v>
      </c>
      <c r="G106" t="s">
        <v>59</v>
      </c>
      <c r="H106" t="s">
        <v>65</v>
      </c>
      <c r="I106">
        <v>1</v>
      </c>
      <c r="J106">
        <v>1</v>
      </c>
      <c r="K106">
        <v>0</v>
      </c>
      <c r="L106">
        <v>0</v>
      </c>
      <c r="M106">
        <v>0</v>
      </c>
      <c r="N106">
        <v>0</v>
      </c>
      <c r="O106">
        <v>1</v>
      </c>
      <c r="P106">
        <v>0</v>
      </c>
      <c r="Q106">
        <v>0</v>
      </c>
      <c r="R106">
        <v>0</v>
      </c>
      <c r="S106">
        <v>0</v>
      </c>
      <c r="T106">
        <v>0</v>
      </c>
      <c r="U106">
        <v>0</v>
      </c>
      <c r="V106">
        <v>1</v>
      </c>
    </row>
    <row r="107" spans="1:22" x14ac:dyDescent="0.2">
      <c r="A107" t="s">
        <v>527</v>
      </c>
      <c r="B107" t="s">
        <v>108</v>
      </c>
      <c r="C107" t="s">
        <v>41</v>
      </c>
      <c r="D107" t="s">
        <v>67</v>
      </c>
      <c r="E107" t="s">
        <v>442</v>
      </c>
      <c r="F107" t="s">
        <v>48</v>
      </c>
      <c r="G107" t="s">
        <v>65</v>
      </c>
      <c r="H107" t="s">
        <v>60</v>
      </c>
      <c r="I107">
        <v>1</v>
      </c>
      <c r="J107">
        <v>1</v>
      </c>
      <c r="K107">
        <v>1</v>
      </c>
      <c r="L107">
        <v>0</v>
      </c>
      <c r="M107">
        <v>0</v>
      </c>
      <c r="N107">
        <v>0</v>
      </c>
      <c r="O107">
        <v>1</v>
      </c>
      <c r="P107">
        <v>0</v>
      </c>
      <c r="Q107">
        <v>1</v>
      </c>
      <c r="R107">
        <v>0</v>
      </c>
      <c r="S107">
        <v>0</v>
      </c>
      <c r="T107">
        <v>0</v>
      </c>
      <c r="U107">
        <v>0</v>
      </c>
      <c r="V107">
        <v>0</v>
      </c>
    </row>
    <row r="108" spans="1:22" x14ac:dyDescent="0.2">
      <c r="A108" t="s">
        <v>527</v>
      </c>
      <c r="B108" t="s">
        <v>108</v>
      </c>
      <c r="C108" t="s">
        <v>41</v>
      </c>
      <c r="D108" t="s">
        <v>49</v>
      </c>
      <c r="E108" t="s">
        <v>442</v>
      </c>
      <c r="F108" t="s">
        <v>60</v>
      </c>
      <c r="G108" t="s">
        <v>46</v>
      </c>
      <c r="H108" t="s">
        <v>65</v>
      </c>
      <c r="I108">
        <v>1</v>
      </c>
      <c r="J108">
        <v>1</v>
      </c>
      <c r="K108">
        <v>0</v>
      </c>
      <c r="L108">
        <v>0</v>
      </c>
      <c r="M108">
        <v>1</v>
      </c>
      <c r="N108">
        <v>0</v>
      </c>
      <c r="O108">
        <v>1</v>
      </c>
      <c r="P108">
        <v>1</v>
      </c>
      <c r="Q108">
        <v>1</v>
      </c>
      <c r="R108">
        <v>0</v>
      </c>
      <c r="S108">
        <v>0</v>
      </c>
      <c r="T108">
        <v>1</v>
      </c>
      <c r="U108">
        <v>0</v>
      </c>
      <c r="V108">
        <v>0</v>
      </c>
    </row>
    <row r="109" spans="1:22" x14ac:dyDescent="0.2">
      <c r="A109" t="s">
        <v>531</v>
      </c>
      <c r="B109" t="s">
        <v>108</v>
      </c>
      <c r="C109" t="s">
        <v>41</v>
      </c>
      <c r="D109" t="s">
        <v>55</v>
      </c>
      <c r="E109" t="s">
        <v>442</v>
      </c>
      <c r="F109" t="s">
        <v>60</v>
      </c>
      <c r="G109" t="s">
        <v>48</v>
      </c>
      <c r="H109" t="s">
        <v>65</v>
      </c>
      <c r="I109">
        <v>1</v>
      </c>
      <c r="J109">
        <v>1</v>
      </c>
      <c r="K109">
        <v>1</v>
      </c>
      <c r="L109">
        <v>0</v>
      </c>
      <c r="M109">
        <v>0</v>
      </c>
      <c r="N109">
        <v>0</v>
      </c>
      <c r="O109">
        <v>1</v>
      </c>
      <c r="P109">
        <v>1</v>
      </c>
      <c r="Q109">
        <v>1</v>
      </c>
      <c r="R109">
        <v>0</v>
      </c>
      <c r="S109">
        <v>0</v>
      </c>
      <c r="T109">
        <v>0</v>
      </c>
      <c r="U109">
        <v>0</v>
      </c>
      <c r="V109">
        <v>0</v>
      </c>
    </row>
    <row r="110" spans="1:22" x14ac:dyDescent="0.2">
      <c r="A110" t="s">
        <v>540</v>
      </c>
      <c r="B110" t="s">
        <v>108</v>
      </c>
      <c r="C110" t="s">
        <v>41</v>
      </c>
      <c r="D110" t="s">
        <v>61</v>
      </c>
      <c r="E110" t="s">
        <v>442</v>
      </c>
      <c r="F110" t="s">
        <v>60</v>
      </c>
      <c r="G110" t="s">
        <v>65</v>
      </c>
      <c r="H110" t="s">
        <v>47</v>
      </c>
      <c r="I110">
        <v>1</v>
      </c>
      <c r="J110">
        <v>1</v>
      </c>
      <c r="K110">
        <v>0</v>
      </c>
      <c r="L110">
        <v>1</v>
      </c>
      <c r="M110">
        <v>0</v>
      </c>
      <c r="N110">
        <v>0</v>
      </c>
      <c r="O110">
        <v>1</v>
      </c>
      <c r="P110">
        <v>1</v>
      </c>
      <c r="Q110">
        <v>1</v>
      </c>
      <c r="R110">
        <v>0</v>
      </c>
      <c r="S110">
        <v>1</v>
      </c>
      <c r="T110">
        <v>0</v>
      </c>
      <c r="U110">
        <v>0</v>
      </c>
      <c r="V110">
        <v>0</v>
      </c>
    </row>
    <row r="111" spans="1:22" x14ac:dyDescent="0.2">
      <c r="A111" t="s">
        <v>560</v>
      </c>
      <c r="B111" t="s">
        <v>108</v>
      </c>
      <c r="C111" t="s">
        <v>41</v>
      </c>
      <c r="D111" t="s">
        <v>72</v>
      </c>
      <c r="E111" t="s">
        <v>442</v>
      </c>
      <c r="F111" t="s">
        <v>47</v>
      </c>
      <c r="G111" t="s">
        <v>60</v>
      </c>
      <c r="H111" t="s">
        <v>65</v>
      </c>
      <c r="I111">
        <v>1</v>
      </c>
      <c r="J111">
        <v>1</v>
      </c>
      <c r="K111">
        <v>0</v>
      </c>
      <c r="L111">
        <v>1</v>
      </c>
      <c r="M111">
        <v>0</v>
      </c>
      <c r="N111">
        <v>0</v>
      </c>
      <c r="O111">
        <v>1</v>
      </c>
      <c r="P111">
        <v>1</v>
      </c>
      <c r="Q111">
        <v>1</v>
      </c>
      <c r="R111">
        <v>0</v>
      </c>
      <c r="S111">
        <v>1</v>
      </c>
      <c r="T111">
        <v>0</v>
      </c>
      <c r="U111">
        <v>0</v>
      </c>
      <c r="V111">
        <v>0</v>
      </c>
    </row>
    <row r="112" spans="1:22" x14ac:dyDescent="0.2">
      <c r="A112" t="s">
        <v>562</v>
      </c>
      <c r="B112" t="s">
        <v>108</v>
      </c>
      <c r="C112" t="s">
        <v>41</v>
      </c>
      <c r="D112" t="s">
        <v>55</v>
      </c>
      <c r="E112" t="s">
        <v>442</v>
      </c>
      <c r="F112" t="s">
        <v>60</v>
      </c>
      <c r="G112" t="s">
        <v>65</v>
      </c>
      <c r="H112" t="s">
        <v>47</v>
      </c>
      <c r="I112">
        <v>1</v>
      </c>
      <c r="J112">
        <v>1</v>
      </c>
      <c r="K112">
        <v>0</v>
      </c>
      <c r="L112">
        <v>1</v>
      </c>
      <c r="M112">
        <v>0</v>
      </c>
      <c r="N112">
        <v>0</v>
      </c>
      <c r="O112">
        <v>1</v>
      </c>
      <c r="P112">
        <v>1</v>
      </c>
      <c r="Q112">
        <v>1</v>
      </c>
      <c r="R112">
        <v>0</v>
      </c>
      <c r="S112">
        <v>1</v>
      </c>
      <c r="T112">
        <v>0</v>
      </c>
      <c r="U112">
        <v>0</v>
      </c>
      <c r="V112">
        <v>0</v>
      </c>
    </row>
    <row r="113" spans="1:22" x14ac:dyDescent="0.2">
      <c r="A113" t="s">
        <v>565</v>
      </c>
      <c r="B113" t="s">
        <v>33</v>
      </c>
      <c r="C113" t="s">
        <v>41</v>
      </c>
      <c r="D113" t="s">
        <v>67</v>
      </c>
      <c r="E113" t="s">
        <v>442</v>
      </c>
      <c r="F113" t="s">
        <v>60</v>
      </c>
      <c r="G113" t="s">
        <v>65</v>
      </c>
      <c r="H113" t="s">
        <v>46</v>
      </c>
      <c r="I113">
        <v>1</v>
      </c>
      <c r="J113">
        <v>1</v>
      </c>
      <c r="K113">
        <v>0</v>
      </c>
      <c r="L113">
        <v>0</v>
      </c>
      <c r="M113">
        <v>1</v>
      </c>
      <c r="N113">
        <v>0</v>
      </c>
      <c r="O113">
        <v>1</v>
      </c>
      <c r="P113">
        <v>0</v>
      </c>
      <c r="Q113">
        <v>0</v>
      </c>
      <c r="R113">
        <v>0</v>
      </c>
      <c r="S113">
        <v>0</v>
      </c>
      <c r="T113">
        <v>1</v>
      </c>
      <c r="U113">
        <v>0</v>
      </c>
      <c r="V113">
        <v>0</v>
      </c>
    </row>
    <row r="114" spans="1:22" x14ac:dyDescent="0.2">
      <c r="A114" t="s">
        <v>575</v>
      </c>
      <c r="B114" t="s">
        <v>188</v>
      </c>
      <c r="C114" t="s">
        <v>41</v>
      </c>
      <c r="D114" t="s">
        <v>49</v>
      </c>
      <c r="E114" t="s">
        <v>442</v>
      </c>
      <c r="F114" t="s">
        <v>65</v>
      </c>
      <c r="G114" t="s">
        <v>48</v>
      </c>
      <c r="H114" t="s">
        <v>60</v>
      </c>
      <c r="I114">
        <v>1</v>
      </c>
      <c r="J114">
        <v>1</v>
      </c>
      <c r="K114">
        <v>1</v>
      </c>
      <c r="L114">
        <v>0</v>
      </c>
      <c r="M114">
        <v>0</v>
      </c>
      <c r="N114">
        <v>0</v>
      </c>
      <c r="O114">
        <v>1</v>
      </c>
      <c r="P114">
        <v>0</v>
      </c>
      <c r="Q114">
        <v>1</v>
      </c>
      <c r="R114">
        <v>0</v>
      </c>
      <c r="S114">
        <v>0</v>
      </c>
      <c r="T114">
        <v>0</v>
      </c>
      <c r="U114">
        <v>0</v>
      </c>
      <c r="V114">
        <v>0</v>
      </c>
    </row>
    <row r="115" spans="1:22" x14ac:dyDescent="0.2">
      <c r="A115" t="s">
        <v>577</v>
      </c>
      <c r="B115" t="s">
        <v>108</v>
      </c>
      <c r="C115" t="s">
        <v>41</v>
      </c>
      <c r="D115" t="s">
        <v>67</v>
      </c>
      <c r="E115" t="s">
        <v>442</v>
      </c>
      <c r="F115" t="s">
        <v>59</v>
      </c>
      <c r="G115" t="s">
        <v>65</v>
      </c>
      <c r="H115" t="s">
        <v>60</v>
      </c>
      <c r="I115">
        <v>1</v>
      </c>
      <c r="J115">
        <v>1</v>
      </c>
      <c r="K115">
        <v>0</v>
      </c>
      <c r="L115">
        <v>0</v>
      </c>
      <c r="M115">
        <v>0</v>
      </c>
      <c r="N115">
        <v>0</v>
      </c>
      <c r="O115">
        <v>1</v>
      </c>
      <c r="P115">
        <v>1</v>
      </c>
      <c r="Q115">
        <v>1</v>
      </c>
      <c r="R115">
        <v>0</v>
      </c>
      <c r="S115">
        <v>0</v>
      </c>
      <c r="T115">
        <v>0</v>
      </c>
      <c r="U115">
        <v>0</v>
      </c>
      <c r="V115">
        <v>0</v>
      </c>
    </row>
    <row r="116" spans="1:22" x14ac:dyDescent="0.2">
      <c r="A116" t="s">
        <v>583</v>
      </c>
      <c r="B116" t="s">
        <v>33</v>
      </c>
      <c r="C116" t="s">
        <v>41</v>
      </c>
      <c r="D116" t="s">
        <v>67</v>
      </c>
      <c r="E116" t="s">
        <v>442</v>
      </c>
      <c r="F116" t="s">
        <v>65</v>
      </c>
      <c r="G116" t="s">
        <v>60</v>
      </c>
      <c r="H116" t="s">
        <v>46</v>
      </c>
      <c r="I116">
        <v>1</v>
      </c>
      <c r="J116">
        <v>1</v>
      </c>
      <c r="K116">
        <v>0</v>
      </c>
      <c r="L116">
        <v>0</v>
      </c>
      <c r="M116">
        <v>1</v>
      </c>
      <c r="N116">
        <v>0</v>
      </c>
      <c r="O116">
        <v>1</v>
      </c>
      <c r="P116">
        <v>1</v>
      </c>
      <c r="Q116">
        <v>0</v>
      </c>
      <c r="R116">
        <v>0</v>
      </c>
      <c r="S116">
        <v>0</v>
      </c>
      <c r="T116">
        <v>0</v>
      </c>
      <c r="U116">
        <v>0</v>
      </c>
      <c r="V116">
        <v>0</v>
      </c>
    </row>
    <row r="117" spans="1:22" x14ac:dyDescent="0.2">
      <c r="A117" t="s">
        <v>583</v>
      </c>
      <c r="B117" t="s">
        <v>33</v>
      </c>
      <c r="C117" t="s">
        <v>41</v>
      </c>
      <c r="D117" t="s">
        <v>61</v>
      </c>
      <c r="E117" t="s">
        <v>442</v>
      </c>
      <c r="F117" t="s">
        <v>60</v>
      </c>
      <c r="G117" t="s">
        <v>65</v>
      </c>
      <c r="H117" t="s">
        <v>48</v>
      </c>
      <c r="I117">
        <v>1</v>
      </c>
      <c r="J117">
        <v>1</v>
      </c>
      <c r="K117">
        <v>1</v>
      </c>
      <c r="L117">
        <v>0</v>
      </c>
      <c r="M117">
        <v>0</v>
      </c>
      <c r="N117">
        <v>0</v>
      </c>
      <c r="O117">
        <v>1</v>
      </c>
      <c r="P117">
        <v>0</v>
      </c>
      <c r="Q117">
        <v>1</v>
      </c>
      <c r="R117">
        <v>0</v>
      </c>
      <c r="S117">
        <v>0</v>
      </c>
      <c r="T117">
        <v>0</v>
      </c>
      <c r="U117">
        <v>0</v>
      </c>
      <c r="V117">
        <v>0</v>
      </c>
    </row>
    <row r="118" spans="1:22" x14ac:dyDescent="0.2">
      <c r="A118" t="s">
        <v>593</v>
      </c>
      <c r="B118" t="s">
        <v>108</v>
      </c>
      <c r="C118" t="s">
        <v>41</v>
      </c>
      <c r="D118" t="s">
        <v>72</v>
      </c>
      <c r="E118" t="s">
        <v>442</v>
      </c>
      <c r="F118" t="s">
        <v>65</v>
      </c>
      <c r="G118" t="s">
        <v>47</v>
      </c>
      <c r="H118" t="s">
        <v>60</v>
      </c>
      <c r="I118">
        <v>1</v>
      </c>
      <c r="J118">
        <v>1</v>
      </c>
      <c r="K118">
        <v>0</v>
      </c>
      <c r="L118">
        <v>1</v>
      </c>
      <c r="M118">
        <v>0</v>
      </c>
      <c r="N118">
        <v>0</v>
      </c>
      <c r="O118">
        <v>1</v>
      </c>
      <c r="P118">
        <v>0</v>
      </c>
      <c r="Q118">
        <v>0</v>
      </c>
      <c r="R118">
        <v>0</v>
      </c>
      <c r="S118">
        <v>0</v>
      </c>
      <c r="T118">
        <v>0</v>
      </c>
      <c r="U118">
        <v>0</v>
      </c>
      <c r="V118">
        <v>1</v>
      </c>
    </row>
    <row r="119" spans="1:22" x14ac:dyDescent="0.2">
      <c r="A119" t="s">
        <v>603</v>
      </c>
      <c r="B119" t="s">
        <v>188</v>
      </c>
      <c r="C119" t="s">
        <v>41</v>
      </c>
      <c r="D119" t="s">
        <v>42</v>
      </c>
      <c r="E119" t="s">
        <v>442</v>
      </c>
      <c r="F119" t="s">
        <v>48</v>
      </c>
      <c r="G119" t="s">
        <v>60</v>
      </c>
      <c r="H119" t="s">
        <v>65</v>
      </c>
      <c r="I119">
        <v>1</v>
      </c>
      <c r="J119">
        <v>1</v>
      </c>
      <c r="K119">
        <v>1</v>
      </c>
      <c r="L119">
        <v>0</v>
      </c>
      <c r="M119">
        <v>0</v>
      </c>
      <c r="N119">
        <v>0</v>
      </c>
      <c r="O119">
        <v>1</v>
      </c>
      <c r="P119">
        <v>1</v>
      </c>
      <c r="Q119">
        <v>0</v>
      </c>
      <c r="R119">
        <v>0</v>
      </c>
      <c r="S119">
        <v>0</v>
      </c>
      <c r="T119">
        <v>0</v>
      </c>
      <c r="U119">
        <v>0</v>
      </c>
      <c r="V119">
        <v>0</v>
      </c>
    </row>
    <row r="120" spans="1:22" x14ac:dyDescent="0.2">
      <c r="A120" t="s">
        <v>603</v>
      </c>
      <c r="B120" t="s">
        <v>188</v>
      </c>
      <c r="C120" t="s">
        <v>41</v>
      </c>
      <c r="D120" t="s">
        <v>61</v>
      </c>
      <c r="E120" t="s">
        <v>442</v>
      </c>
      <c r="F120" t="s">
        <v>65</v>
      </c>
      <c r="G120" t="s">
        <v>60</v>
      </c>
      <c r="H120" t="s">
        <v>47</v>
      </c>
      <c r="I120">
        <v>1</v>
      </c>
      <c r="J120">
        <v>1</v>
      </c>
      <c r="K120">
        <v>0</v>
      </c>
      <c r="L120">
        <v>1</v>
      </c>
      <c r="M120">
        <v>0</v>
      </c>
      <c r="N120">
        <v>0</v>
      </c>
      <c r="O120">
        <v>1</v>
      </c>
      <c r="P120">
        <v>1</v>
      </c>
      <c r="Q120">
        <v>1</v>
      </c>
      <c r="R120">
        <v>0</v>
      </c>
      <c r="S120">
        <v>1</v>
      </c>
      <c r="T120">
        <v>0</v>
      </c>
      <c r="U120">
        <v>0</v>
      </c>
      <c r="V120">
        <v>0</v>
      </c>
    </row>
    <row r="121" spans="1:22" x14ac:dyDescent="0.2">
      <c r="A121" t="s">
        <v>605</v>
      </c>
      <c r="B121" t="s">
        <v>108</v>
      </c>
      <c r="C121" t="s">
        <v>41</v>
      </c>
      <c r="D121" t="s">
        <v>55</v>
      </c>
      <c r="E121" t="s">
        <v>442</v>
      </c>
      <c r="F121" t="s">
        <v>65</v>
      </c>
      <c r="G121" t="s">
        <v>46</v>
      </c>
      <c r="H121" t="s">
        <v>60</v>
      </c>
      <c r="I121">
        <v>1</v>
      </c>
      <c r="J121">
        <v>1</v>
      </c>
      <c r="K121">
        <v>0</v>
      </c>
      <c r="L121">
        <v>0</v>
      </c>
      <c r="M121">
        <v>1</v>
      </c>
      <c r="N121">
        <v>0</v>
      </c>
      <c r="O121">
        <v>1</v>
      </c>
      <c r="P121">
        <v>1</v>
      </c>
      <c r="Q121">
        <v>1</v>
      </c>
      <c r="R121">
        <v>0</v>
      </c>
      <c r="S121">
        <v>0</v>
      </c>
      <c r="T121">
        <v>1</v>
      </c>
      <c r="U121">
        <v>0</v>
      </c>
      <c r="V121">
        <v>0</v>
      </c>
    </row>
    <row r="122" spans="1:22" x14ac:dyDescent="0.2">
      <c r="A122" t="s">
        <v>608</v>
      </c>
      <c r="B122" t="s">
        <v>108</v>
      </c>
      <c r="C122" t="s">
        <v>41</v>
      </c>
      <c r="D122" t="s">
        <v>67</v>
      </c>
      <c r="E122" t="s">
        <v>442</v>
      </c>
      <c r="F122" t="s">
        <v>65</v>
      </c>
      <c r="G122" t="s">
        <v>60</v>
      </c>
      <c r="H122" t="s">
        <v>47</v>
      </c>
      <c r="I122">
        <v>1</v>
      </c>
      <c r="J122">
        <v>1</v>
      </c>
      <c r="K122">
        <v>0</v>
      </c>
      <c r="L122">
        <v>1</v>
      </c>
      <c r="M122">
        <v>0</v>
      </c>
      <c r="N122">
        <v>0</v>
      </c>
      <c r="O122">
        <v>1</v>
      </c>
      <c r="P122">
        <v>1</v>
      </c>
      <c r="Q122">
        <v>1</v>
      </c>
      <c r="R122">
        <v>0</v>
      </c>
      <c r="S122">
        <v>1</v>
      </c>
      <c r="T122">
        <v>0</v>
      </c>
      <c r="U122">
        <v>0</v>
      </c>
      <c r="V122">
        <v>0</v>
      </c>
    </row>
    <row r="123" spans="1:22" x14ac:dyDescent="0.2">
      <c r="A123" t="s">
        <v>608</v>
      </c>
      <c r="B123" t="s">
        <v>108</v>
      </c>
      <c r="C123" t="s">
        <v>41</v>
      </c>
      <c r="D123" t="s">
        <v>42</v>
      </c>
      <c r="E123" t="s">
        <v>442</v>
      </c>
      <c r="F123" t="s">
        <v>65</v>
      </c>
      <c r="G123" t="s">
        <v>60</v>
      </c>
      <c r="H123" t="s">
        <v>48</v>
      </c>
      <c r="I123">
        <v>1</v>
      </c>
      <c r="J123">
        <v>1</v>
      </c>
      <c r="K123">
        <v>1</v>
      </c>
      <c r="L123">
        <v>0</v>
      </c>
      <c r="M123">
        <v>0</v>
      </c>
      <c r="N123">
        <v>0</v>
      </c>
      <c r="O123">
        <v>1</v>
      </c>
      <c r="P123">
        <v>1</v>
      </c>
      <c r="Q123">
        <v>1</v>
      </c>
      <c r="R123">
        <v>1</v>
      </c>
      <c r="S123">
        <v>0</v>
      </c>
      <c r="T123">
        <v>0</v>
      </c>
      <c r="U123">
        <v>0</v>
      </c>
      <c r="V123">
        <v>0</v>
      </c>
    </row>
    <row r="124" spans="1:22" x14ac:dyDescent="0.2">
      <c r="A124" t="s">
        <v>614</v>
      </c>
      <c r="B124" t="s">
        <v>108</v>
      </c>
      <c r="C124" t="s">
        <v>41</v>
      </c>
      <c r="D124" t="s">
        <v>42</v>
      </c>
      <c r="E124" t="s">
        <v>442</v>
      </c>
      <c r="F124" t="s">
        <v>65</v>
      </c>
      <c r="G124" t="s">
        <v>60</v>
      </c>
      <c r="H124" t="s">
        <v>46</v>
      </c>
      <c r="I124">
        <v>1</v>
      </c>
      <c r="J124">
        <v>1</v>
      </c>
      <c r="K124">
        <v>0</v>
      </c>
      <c r="L124">
        <v>0</v>
      </c>
      <c r="M124">
        <v>1</v>
      </c>
      <c r="N124">
        <v>0</v>
      </c>
      <c r="O124">
        <v>1</v>
      </c>
      <c r="P124">
        <v>0</v>
      </c>
      <c r="Q124">
        <v>0</v>
      </c>
      <c r="R124">
        <v>0</v>
      </c>
      <c r="S124">
        <v>0</v>
      </c>
      <c r="T124">
        <v>0</v>
      </c>
      <c r="U124">
        <v>0</v>
      </c>
      <c r="V124">
        <v>1</v>
      </c>
    </row>
    <row r="125" spans="1:22" x14ac:dyDescent="0.2">
      <c r="A125" t="s">
        <v>617</v>
      </c>
      <c r="B125" t="s">
        <v>33</v>
      </c>
      <c r="C125" t="s">
        <v>41</v>
      </c>
      <c r="D125" t="s">
        <v>49</v>
      </c>
      <c r="E125" t="s">
        <v>442</v>
      </c>
      <c r="F125" t="s">
        <v>65</v>
      </c>
      <c r="G125" t="s">
        <v>60</v>
      </c>
      <c r="H125" t="s">
        <v>48</v>
      </c>
      <c r="I125">
        <v>1</v>
      </c>
      <c r="J125">
        <v>1</v>
      </c>
      <c r="K125">
        <v>1</v>
      </c>
      <c r="L125">
        <v>0</v>
      </c>
      <c r="M125">
        <v>0</v>
      </c>
      <c r="N125">
        <v>0</v>
      </c>
      <c r="O125">
        <v>1</v>
      </c>
      <c r="P125">
        <v>1</v>
      </c>
      <c r="Q125">
        <v>0</v>
      </c>
      <c r="R125">
        <v>0</v>
      </c>
      <c r="S125">
        <v>0</v>
      </c>
      <c r="T125">
        <v>0</v>
      </c>
      <c r="U125">
        <v>0</v>
      </c>
      <c r="V125">
        <v>0</v>
      </c>
    </row>
    <row r="126" spans="1:22" x14ac:dyDescent="0.2">
      <c r="A126" t="s">
        <v>617</v>
      </c>
      <c r="B126" t="s">
        <v>33</v>
      </c>
      <c r="C126" t="s">
        <v>41</v>
      </c>
      <c r="D126" t="s">
        <v>72</v>
      </c>
      <c r="E126" t="s">
        <v>442</v>
      </c>
      <c r="F126" t="s">
        <v>65</v>
      </c>
      <c r="G126" t="s">
        <v>60</v>
      </c>
      <c r="H126" t="s">
        <v>59</v>
      </c>
      <c r="I126">
        <v>1</v>
      </c>
      <c r="J126">
        <v>1</v>
      </c>
      <c r="K126">
        <v>0</v>
      </c>
      <c r="L126">
        <v>0</v>
      </c>
      <c r="M126">
        <v>0</v>
      </c>
      <c r="N126">
        <v>0</v>
      </c>
      <c r="O126">
        <v>1</v>
      </c>
      <c r="P126">
        <v>0</v>
      </c>
      <c r="Q126">
        <v>0</v>
      </c>
      <c r="R126">
        <v>0</v>
      </c>
      <c r="S126">
        <v>0</v>
      </c>
      <c r="T126">
        <v>0</v>
      </c>
      <c r="U126">
        <v>0</v>
      </c>
      <c r="V126">
        <v>1</v>
      </c>
    </row>
    <row r="127" spans="1:22" x14ac:dyDescent="0.2">
      <c r="A127" t="s">
        <v>623</v>
      </c>
      <c r="B127" t="s">
        <v>188</v>
      </c>
      <c r="C127" t="s">
        <v>41</v>
      </c>
      <c r="D127" t="s">
        <v>72</v>
      </c>
      <c r="E127" t="s">
        <v>442</v>
      </c>
      <c r="F127" t="s">
        <v>46</v>
      </c>
      <c r="G127" t="s">
        <v>65</v>
      </c>
      <c r="H127" t="s">
        <v>60</v>
      </c>
      <c r="I127">
        <v>1</v>
      </c>
      <c r="J127">
        <v>1</v>
      </c>
      <c r="K127">
        <v>0</v>
      </c>
      <c r="L127">
        <v>0</v>
      </c>
      <c r="M127">
        <v>1</v>
      </c>
      <c r="N127">
        <v>0</v>
      </c>
      <c r="O127">
        <v>1</v>
      </c>
      <c r="P127">
        <v>1</v>
      </c>
      <c r="Q127">
        <v>1</v>
      </c>
      <c r="R127">
        <v>0</v>
      </c>
      <c r="S127">
        <v>0</v>
      </c>
      <c r="T127">
        <v>0</v>
      </c>
      <c r="U127">
        <v>0</v>
      </c>
      <c r="V127">
        <v>0</v>
      </c>
    </row>
    <row r="128" spans="1:22" x14ac:dyDescent="0.2">
      <c r="A128" t="s">
        <v>626</v>
      </c>
      <c r="B128" t="s">
        <v>188</v>
      </c>
      <c r="C128" t="s">
        <v>41</v>
      </c>
      <c r="D128" t="s">
        <v>55</v>
      </c>
      <c r="E128" t="s">
        <v>442</v>
      </c>
      <c r="F128" t="s">
        <v>48</v>
      </c>
      <c r="G128" t="s">
        <v>65</v>
      </c>
      <c r="H128" t="s">
        <v>60</v>
      </c>
      <c r="I128">
        <v>1</v>
      </c>
      <c r="J128">
        <v>1</v>
      </c>
      <c r="K128">
        <v>1</v>
      </c>
      <c r="L128">
        <v>0</v>
      </c>
      <c r="M128">
        <v>0</v>
      </c>
      <c r="N128">
        <v>0</v>
      </c>
      <c r="O128">
        <v>1</v>
      </c>
      <c r="P128">
        <v>0</v>
      </c>
      <c r="Q128">
        <v>1</v>
      </c>
      <c r="R128">
        <v>0</v>
      </c>
      <c r="S128">
        <v>0</v>
      </c>
      <c r="T128">
        <v>0</v>
      </c>
      <c r="U128">
        <v>0</v>
      </c>
      <c r="V128">
        <v>0</v>
      </c>
    </row>
    <row r="129" spans="1:22" x14ac:dyDescent="0.2">
      <c r="A129" t="s">
        <v>631</v>
      </c>
      <c r="B129" t="s">
        <v>108</v>
      </c>
      <c r="C129" t="s">
        <v>41</v>
      </c>
      <c r="D129" t="s">
        <v>49</v>
      </c>
      <c r="E129" t="s">
        <v>442</v>
      </c>
      <c r="F129" t="s">
        <v>60</v>
      </c>
      <c r="G129" t="s">
        <v>46</v>
      </c>
      <c r="H129" t="s">
        <v>65</v>
      </c>
      <c r="I129">
        <v>1</v>
      </c>
      <c r="J129">
        <v>1</v>
      </c>
      <c r="K129">
        <v>0</v>
      </c>
      <c r="L129">
        <v>0</v>
      </c>
      <c r="M129">
        <v>1</v>
      </c>
      <c r="N129">
        <v>0</v>
      </c>
      <c r="O129">
        <v>1</v>
      </c>
      <c r="P129">
        <v>0</v>
      </c>
      <c r="Q129">
        <v>1</v>
      </c>
      <c r="R129">
        <v>0</v>
      </c>
      <c r="S129">
        <v>0</v>
      </c>
      <c r="T129">
        <v>0</v>
      </c>
      <c r="U129">
        <v>0</v>
      </c>
      <c r="V129">
        <v>0</v>
      </c>
    </row>
    <row r="130" spans="1:22" x14ac:dyDescent="0.2">
      <c r="A130" t="s">
        <v>634</v>
      </c>
      <c r="B130" t="s">
        <v>33</v>
      </c>
      <c r="C130" t="s">
        <v>41</v>
      </c>
      <c r="D130" t="s">
        <v>55</v>
      </c>
      <c r="E130" t="s">
        <v>442</v>
      </c>
      <c r="F130" t="s">
        <v>48</v>
      </c>
      <c r="G130" t="s">
        <v>60</v>
      </c>
      <c r="H130" t="s">
        <v>65</v>
      </c>
      <c r="I130">
        <v>1</v>
      </c>
      <c r="J130">
        <v>1</v>
      </c>
      <c r="K130">
        <v>1</v>
      </c>
      <c r="L130">
        <v>0</v>
      </c>
      <c r="M130">
        <v>0</v>
      </c>
      <c r="N130">
        <v>0</v>
      </c>
      <c r="O130">
        <v>1</v>
      </c>
      <c r="P130">
        <v>1</v>
      </c>
      <c r="Q130">
        <v>1</v>
      </c>
      <c r="R130">
        <v>0</v>
      </c>
      <c r="S130">
        <v>0</v>
      </c>
      <c r="T130">
        <v>0</v>
      </c>
      <c r="U130">
        <v>0</v>
      </c>
      <c r="V130">
        <v>0</v>
      </c>
    </row>
    <row r="131" spans="1:22" x14ac:dyDescent="0.2">
      <c r="A131" t="s">
        <v>634</v>
      </c>
      <c r="B131" t="s">
        <v>33</v>
      </c>
      <c r="C131" t="s">
        <v>41</v>
      </c>
      <c r="D131" t="s">
        <v>42</v>
      </c>
      <c r="E131" t="s">
        <v>442</v>
      </c>
      <c r="F131" t="s">
        <v>59</v>
      </c>
      <c r="G131" t="s">
        <v>60</v>
      </c>
      <c r="H131" t="s">
        <v>65</v>
      </c>
      <c r="I131">
        <v>1</v>
      </c>
      <c r="J131">
        <v>1</v>
      </c>
      <c r="K131">
        <v>0</v>
      </c>
      <c r="L131">
        <v>0</v>
      </c>
      <c r="M131">
        <v>0</v>
      </c>
      <c r="N131">
        <v>0</v>
      </c>
      <c r="O131">
        <v>1</v>
      </c>
      <c r="P131">
        <v>1</v>
      </c>
      <c r="Q131">
        <v>0</v>
      </c>
      <c r="R131">
        <v>0</v>
      </c>
      <c r="S131">
        <v>0</v>
      </c>
      <c r="T131">
        <v>0</v>
      </c>
      <c r="U131">
        <v>0</v>
      </c>
      <c r="V131">
        <v>0</v>
      </c>
    </row>
    <row r="132" spans="1:22" x14ac:dyDescent="0.2">
      <c r="A132" t="s">
        <v>634</v>
      </c>
      <c r="B132" t="s">
        <v>33</v>
      </c>
      <c r="C132" t="s">
        <v>41</v>
      </c>
      <c r="D132" t="s">
        <v>61</v>
      </c>
      <c r="E132" t="s">
        <v>442</v>
      </c>
      <c r="F132" t="s">
        <v>47</v>
      </c>
      <c r="G132" t="s">
        <v>60</v>
      </c>
      <c r="H132" t="s">
        <v>65</v>
      </c>
      <c r="I132">
        <v>1</v>
      </c>
      <c r="J132">
        <v>1</v>
      </c>
      <c r="K132">
        <v>0</v>
      </c>
      <c r="L132">
        <v>1</v>
      </c>
      <c r="M132">
        <v>0</v>
      </c>
      <c r="N132">
        <v>0</v>
      </c>
      <c r="O132">
        <v>1</v>
      </c>
      <c r="P132">
        <v>1</v>
      </c>
      <c r="Q132">
        <v>1</v>
      </c>
      <c r="R132">
        <v>0</v>
      </c>
      <c r="S132">
        <v>0</v>
      </c>
      <c r="T132">
        <v>0</v>
      </c>
      <c r="U132">
        <v>0</v>
      </c>
      <c r="V132">
        <v>0</v>
      </c>
    </row>
    <row r="133" spans="1:22" x14ac:dyDescent="0.2">
      <c r="A133" t="s">
        <v>637</v>
      </c>
      <c r="B133" t="s">
        <v>33</v>
      </c>
      <c r="C133" t="s">
        <v>41</v>
      </c>
      <c r="D133" t="s">
        <v>61</v>
      </c>
      <c r="E133" t="s">
        <v>442</v>
      </c>
      <c r="F133" t="s">
        <v>59</v>
      </c>
      <c r="G133" t="s">
        <v>60</v>
      </c>
      <c r="H133" t="s">
        <v>65</v>
      </c>
      <c r="I133">
        <v>1</v>
      </c>
      <c r="J133">
        <v>1</v>
      </c>
      <c r="K133">
        <v>0</v>
      </c>
      <c r="L133">
        <v>0</v>
      </c>
      <c r="M133">
        <v>0</v>
      </c>
      <c r="N133">
        <v>0</v>
      </c>
      <c r="O133">
        <v>1</v>
      </c>
      <c r="P133">
        <v>1</v>
      </c>
      <c r="Q133">
        <v>1</v>
      </c>
      <c r="R133">
        <v>0</v>
      </c>
      <c r="S133">
        <v>0</v>
      </c>
      <c r="T133">
        <v>0</v>
      </c>
      <c r="U133">
        <v>0</v>
      </c>
      <c r="V133">
        <v>0</v>
      </c>
    </row>
    <row r="134" spans="1:22" x14ac:dyDescent="0.2">
      <c r="A134" t="s">
        <v>637</v>
      </c>
      <c r="B134" t="s">
        <v>33</v>
      </c>
      <c r="C134" t="s">
        <v>41</v>
      </c>
      <c r="D134" t="s">
        <v>49</v>
      </c>
      <c r="E134" t="s">
        <v>442</v>
      </c>
      <c r="F134" t="s">
        <v>60</v>
      </c>
      <c r="G134" t="s">
        <v>65</v>
      </c>
      <c r="H134" t="s">
        <v>48</v>
      </c>
      <c r="I134">
        <v>1</v>
      </c>
      <c r="J134">
        <v>1</v>
      </c>
      <c r="K134">
        <v>1</v>
      </c>
      <c r="L134">
        <v>0</v>
      </c>
      <c r="M134">
        <v>0</v>
      </c>
      <c r="N134">
        <v>0</v>
      </c>
      <c r="O134">
        <v>1</v>
      </c>
      <c r="P134">
        <v>1</v>
      </c>
      <c r="Q134">
        <v>1</v>
      </c>
      <c r="R134">
        <v>0</v>
      </c>
      <c r="S134">
        <v>0</v>
      </c>
      <c r="T134">
        <v>0</v>
      </c>
      <c r="U134">
        <v>0</v>
      </c>
      <c r="V134">
        <v>0</v>
      </c>
    </row>
    <row r="135" spans="1:22" x14ac:dyDescent="0.2">
      <c r="A135" t="s">
        <v>640</v>
      </c>
      <c r="B135" t="s">
        <v>108</v>
      </c>
      <c r="C135" t="s">
        <v>41</v>
      </c>
      <c r="D135" t="s">
        <v>67</v>
      </c>
      <c r="E135" t="s">
        <v>442</v>
      </c>
      <c r="F135" t="s">
        <v>47</v>
      </c>
      <c r="G135" t="s">
        <v>65</v>
      </c>
      <c r="H135" t="s">
        <v>60</v>
      </c>
      <c r="I135">
        <v>1</v>
      </c>
      <c r="J135">
        <v>1</v>
      </c>
      <c r="K135">
        <v>0</v>
      </c>
      <c r="L135">
        <v>1</v>
      </c>
      <c r="M135">
        <v>0</v>
      </c>
      <c r="N135">
        <v>0</v>
      </c>
      <c r="O135">
        <v>1</v>
      </c>
      <c r="P135">
        <v>0</v>
      </c>
      <c r="Q135">
        <v>0</v>
      </c>
      <c r="R135">
        <v>0</v>
      </c>
      <c r="S135">
        <v>1</v>
      </c>
      <c r="T135">
        <v>0</v>
      </c>
      <c r="U135">
        <v>0</v>
      </c>
      <c r="V135">
        <v>0</v>
      </c>
    </row>
    <row r="136" spans="1:22" x14ac:dyDescent="0.2">
      <c r="A136" t="s">
        <v>647</v>
      </c>
      <c r="B136" t="s">
        <v>188</v>
      </c>
      <c r="C136" t="s">
        <v>41</v>
      </c>
      <c r="D136" t="s">
        <v>61</v>
      </c>
      <c r="E136" t="s">
        <v>442</v>
      </c>
      <c r="F136" t="s">
        <v>60</v>
      </c>
      <c r="G136" t="s">
        <v>47</v>
      </c>
      <c r="H136" t="s">
        <v>65</v>
      </c>
      <c r="I136">
        <v>1</v>
      </c>
      <c r="J136">
        <v>1</v>
      </c>
      <c r="K136">
        <v>0</v>
      </c>
      <c r="L136">
        <v>1</v>
      </c>
      <c r="M136">
        <v>0</v>
      </c>
      <c r="N136">
        <v>0</v>
      </c>
      <c r="O136">
        <v>1</v>
      </c>
      <c r="P136">
        <v>1</v>
      </c>
      <c r="Q136">
        <v>0</v>
      </c>
      <c r="R136">
        <v>0</v>
      </c>
      <c r="S136">
        <v>0</v>
      </c>
      <c r="T136">
        <v>0</v>
      </c>
      <c r="U136">
        <v>0</v>
      </c>
      <c r="V136">
        <v>0</v>
      </c>
    </row>
    <row r="137" spans="1:22" x14ac:dyDescent="0.2">
      <c r="A137" t="s">
        <v>647</v>
      </c>
      <c r="B137" t="s">
        <v>188</v>
      </c>
      <c r="C137" t="s">
        <v>41</v>
      </c>
      <c r="D137" t="s">
        <v>42</v>
      </c>
      <c r="E137" t="s">
        <v>442</v>
      </c>
      <c r="F137" t="s">
        <v>65</v>
      </c>
      <c r="G137" t="s">
        <v>46</v>
      </c>
      <c r="H137" t="s">
        <v>60</v>
      </c>
      <c r="I137">
        <v>1</v>
      </c>
      <c r="J137">
        <v>1</v>
      </c>
      <c r="K137">
        <v>0</v>
      </c>
      <c r="L137">
        <v>0</v>
      </c>
      <c r="M137">
        <v>1</v>
      </c>
      <c r="N137">
        <v>0</v>
      </c>
      <c r="O137">
        <v>1</v>
      </c>
      <c r="P137">
        <v>0</v>
      </c>
      <c r="Q137">
        <v>0</v>
      </c>
      <c r="R137">
        <v>0</v>
      </c>
      <c r="S137">
        <v>0</v>
      </c>
      <c r="T137">
        <v>1</v>
      </c>
      <c r="U137">
        <v>0</v>
      </c>
      <c r="V137">
        <v>0</v>
      </c>
    </row>
    <row r="138" spans="1:22" x14ac:dyDescent="0.2">
      <c r="A138" t="s">
        <v>649</v>
      </c>
      <c r="B138" t="s">
        <v>188</v>
      </c>
      <c r="C138" t="s">
        <v>41</v>
      </c>
      <c r="D138" t="s">
        <v>49</v>
      </c>
      <c r="E138" t="s">
        <v>442</v>
      </c>
      <c r="F138" t="s">
        <v>60</v>
      </c>
      <c r="G138" t="s">
        <v>65</v>
      </c>
      <c r="H138" t="s">
        <v>46</v>
      </c>
      <c r="I138">
        <v>1</v>
      </c>
      <c r="J138">
        <v>1</v>
      </c>
      <c r="K138">
        <v>0</v>
      </c>
      <c r="L138">
        <v>0</v>
      </c>
      <c r="M138">
        <v>1</v>
      </c>
      <c r="N138">
        <v>0</v>
      </c>
      <c r="O138">
        <v>1</v>
      </c>
      <c r="P138">
        <v>0</v>
      </c>
      <c r="Q138">
        <v>0</v>
      </c>
      <c r="R138">
        <v>0</v>
      </c>
      <c r="S138">
        <v>0</v>
      </c>
      <c r="T138">
        <v>1</v>
      </c>
      <c r="U138">
        <v>0</v>
      </c>
      <c r="V138">
        <v>0</v>
      </c>
    </row>
    <row r="139" spans="1:22" x14ac:dyDescent="0.2">
      <c r="A139" t="s">
        <v>649</v>
      </c>
      <c r="B139" t="s">
        <v>188</v>
      </c>
      <c r="C139" t="s">
        <v>41</v>
      </c>
      <c r="D139" t="s">
        <v>72</v>
      </c>
      <c r="E139" t="s">
        <v>442</v>
      </c>
      <c r="F139" t="s">
        <v>47</v>
      </c>
      <c r="G139" t="s">
        <v>65</v>
      </c>
      <c r="H139" t="s">
        <v>60</v>
      </c>
      <c r="I139">
        <v>1</v>
      </c>
      <c r="J139">
        <v>1</v>
      </c>
      <c r="K139">
        <v>0</v>
      </c>
      <c r="L139">
        <v>1</v>
      </c>
      <c r="M139">
        <v>0</v>
      </c>
      <c r="N139">
        <v>0</v>
      </c>
      <c r="O139">
        <v>1</v>
      </c>
      <c r="P139">
        <v>1</v>
      </c>
      <c r="Q139">
        <v>1</v>
      </c>
      <c r="R139">
        <v>0</v>
      </c>
      <c r="S139">
        <v>1</v>
      </c>
      <c r="T139">
        <v>0</v>
      </c>
      <c r="U139">
        <v>0</v>
      </c>
      <c r="V139">
        <v>0</v>
      </c>
    </row>
    <row r="140" spans="1:22" x14ac:dyDescent="0.2">
      <c r="A140" t="s">
        <v>652</v>
      </c>
      <c r="B140" t="s">
        <v>108</v>
      </c>
      <c r="C140" t="s">
        <v>41</v>
      </c>
      <c r="D140" t="s">
        <v>42</v>
      </c>
      <c r="E140" t="s">
        <v>442</v>
      </c>
      <c r="F140" t="s">
        <v>46</v>
      </c>
      <c r="G140" t="s">
        <v>65</v>
      </c>
      <c r="H140" t="s">
        <v>60</v>
      </c>
      <c r="I140">
        <v>1</v>
      </c>
      <c r="J140">
        <v>1</v>
      </c>
      <c r="K140">
        <v>0</v>
      </c>
      <c r="L140">
        <v>0</v>
      </c>
      <c r="M140">
        <v>1</v>
      </c>
      <c r="N140">
        <v>0</v>
      </c>
      <c r="O140">
        <v>1</v>
      </c>
      <c r="P140">
        <v>1</v>
      </c>
      <c r="Q140">
        <v>1</v>
      </c>
      <c r="R140">
        <v>0</v>
      </c>
      <c r="S140">
        <v>0</v>
      </c>
      <c r="T140">
        <v>0</v>
      </c>
      <c r="U140">
        <v>0</v>
      </c>
      <c r="V140">
        <v>0</v>
      </c>
    </row>
    <row r="141" spans="1:22" x14ac:dyDescent="0.2">
      <c r="A141" t="s">
        <v>652</v>
      </c>
      <c r="B141" t="s">
        <v>108</v>
      </c>
      <c r="C141" t="s">
        <v>41</v>
      </c>
      <c r="D141" t="s">
        <v>72</v>
      </c>
      <c r="E141" t="s">
        <v>442</v>
      </c>
      <c r="F141" t="s">
        <v>65</v>
      </c>
      <c r="G141" t="s">
        <v>48</v>
      </c>
      <c r="H141" t="s">
        <v>60</v>
      </c>
      <c r="I141">
        <v>1</v>
      </c>
      <c r="J141">
        <v>1</v>
      </c>
      <c r="K141">
        <v>1</v>
      </c>
      <c r="L141">
        <v>0</v>
      </c>
      <c r="M141">
        <v>0</v>
      </c>
      <c r="N141">
        <v>0</v>
      </c>
      <c r="O141">
        <v>1</v>
      </c>
      <c r="P141">
        <v>0</v>
      </c>
      <c r="Q141">
        <v>0</v>
      </c>
      <c r="R141">
        <v>0</v>
      </c>
      <c r="S141">
        <v>0</v>
      </c>
      <c r="T141">
        <v>0</v>
      </c>
      <c r="U141">
        <v>0</v>
      </c>
      <c r="V141">
        <v>1</v>
      </c>
    </row>
    <row r="142" spans="1:22" x14ac:dyDescent="0.2">
      <c r="A142" t="s">
        <v>652</v>
      </c>
      <c r="B142" t="s">
        <v>108</v>
      </c>
      <c r="C142" t="s">
        <v>41</v>
      </c>
      <c r="D142" t="s">
        <v>61</v>
      </c>
      <c r="E142" t="s">
        <v>442</v>
      </c>
      <c r="F142" t="s">
        <v>65</v>
      </c>
      <c r="G142" t="s">
        <v>60</v>
      </c>
      <c r="H142" t="s">
        <v>47</v>
      </c>
      <c r="I142">
        <v>1</v>
      </c>
      <c r="J142">
        <v>1</v>
      </c>
      <c r="K142">
        <v>0</v>
      </c>
      <c r="L142">
        <v>1</v>
      </c>
      <c r="M142">
        <v>0</v>
      </c>
      <c r="N142">
        <v>0</v>
      </c>
      <c r="O142">
        <v>1</v>
      </c>
      <c r="P142">
        <v>1</v>
      </c>
      <c r="Q142">
        <v>0</v>
      </c>
      <c r="R142">
        <v>0</v>
      </c>
      <c r="S142">
        <v>0</v>
      </c>
      <c r="T142">
        <v>0</v>
      </c>
      <c r="U142">
        <v>0</v>
      </c>
      <c r="V142">
        <v>0</v>
      </c>
    </row>
    <row r="143" spans="1:22" x14ac:dyDescent="0.2">
      <c r="A143" t="s">
        <v>659</v>
      </c>
      <c r="B143" t="s">
        <v>108</v>
      </c>
      <c r="C143" t="s">
        <v>41</v>
      </c>
      <c r="D143" t="s">
        <v>72</v>
      </c>
      <c r="E143" t="s">
        <v>442</v>
      </c>
      <c r="F143" t="s">
        <v>65</v>
      </c>
      <c r="G143" t="s">
        <v>60</v>
      </c>
      <c r="H143" t="s">
        <v>59</v>
      </c>
      <c r="I143">
        <v>1</v>
      </c>
      <c r="J143">
        <v>1</v>
      </c>
      <c r="K143">
        <v>0</v>
      </c>
      <c r="L143">
        <v>0</v>
      </c>
      <c r="M143">
        <v>0</v>
      </c>
      <c r="N143">
        <v>0</v>
      </c>
      <c r="O143">
        <v>1</v>
      </c>
      <c r="P143">
        <v>0</v>
      </c>
      <c r="Q143">
        <v>1</v>
      </c>
      <c r="R143">
        <v>0</v>
      </c>
      <c r="S143">
        <v>0</v>
      </c>
      <c r="T143">
        <v>0</v>
      </c>
      <c r="U143">
        <v>0</v>
      </c>
      <c r="V143">
        <v>0</v>
      </c>
    </row>
    <row r="144" spans="1:22" x14ac:dyDescent="0.2">
      <c r="A144" t="s">
        <v>659</v>
      </c>
      <c r="B144" t="s">
        <v>108</v>
      </c>
      <c r="C144" t="s">
        <v>41</v>
      </c>
      <c r="D144" t="s">
        <v>55</v>
      </c>
      <c r="E144" t="s">
        <v>442</v>
      </c>
      <c r="F144" t="s">
        <v>65</v>
      </c>
      <c r="G144" t="s">
        <v>48</v>
      </c>
      <c r="H144" t="s">
        <v>60</v>
      </c>
      <c r="I144">
        <v>1</v>
      </c>
      <c r="J144">
        <v>1</v>
      </c>
      <c r="K144">
        <v>1</v>
      </c>
      <c r="L144">
        <v>0</v>
      </c>
      <c r="M144">
        <v>0</v>
      </c>
      <c r="N144">
        <v>0</v>
      </c>
      <c r="O144">
        <v>1</v>
      </c>
      <c r="P144">
        <v>0</v>
      </c>
      <c r="Q144">
        <v>0</v>
      </c>
      <c r="R144">
        <v>1</v>
      </c>
      <c r="S144">
        <v>0</v>
      </c>
      <c r="T144">
        <v>0</v>
      </c>
      <c r="U144">
        <v>0</v>
      </c>
      <c r="V144">
        <v>0</v>
      </c>
    </row>
    <row r="145" spans="1:22" x14ac:dyDescent="0.2">
      <c r="A145" t="s">
        <v>662</v>
      </c>
      <c r="B145" t="s">
        <v>108</v>
      </c>
      <c r="C145" t="s">
        <v>41</v>
      </c>
      <c r="D145" t="s">
        <v>49</v>
      </c>
      <c r="E145" t="s">
        <v>442</v>
      </c>
      <c r="F145" t="s">
        <v>60</v>
      </c>
      <c r="G145" t="s">
        <v>65</v>
      </c>
      <c r="H145" t="s">
        <v>59</v>
      </c>
      <c r="I145">
        <v>1</v>
      </c>
      <c r="J145">
        <v>1</v>
      </c>
      <c r="K145">
        <v>0</v>
      </c>
      <c r="L145">
        <v>0</v>
      </c>
      <c r="M145">
        <v>0</v>
      </c>
      <c r="N145">
        <v>0</v>
      </c>
      <c r="O145">
        <v>1</v>
      </c>
      <c r="P145">
        <v>0</v>
      </c>
      <c r="Q145">
        <v>0</v>
      </c>
      <c r="R145">
        <v>0</v>
      </c>
      <c r="S145">
        <v>0</v>
      </c>
      <c r="T145">
        <v>0</v>
      </c>
      <c r="U145">
        <v>0</v>
      </c>
      <c r="V145">
        <v>1</v>
      </c>
    </row>
    <row r="146" spans="1:22" x14ac:dyDescent="0.2">
      <c r="A146" t="s">
        <v>662</v>
      </c>
      <c r="B146" t="s">
        <v>108</v>
      </c>
      <c r="C146" t="s">
        <v>41</v>
      </c>
      <c r="D146" t="s">
        <v>61</v>
      </c>
      <c r="E146" t="s">
        <v>442</v>
      </c>
      <c r="F146" t="s">
        <v>65</v>
      </c>
      <c r="G146" t="s">
        <v>60</v>
      </c>
      <c r="H146" t="s">
        <v>46</v>
      </c>
      <c r="I146">
        <v>1</v>
      </c>
      <c r="J146">
        <v>1</v>
      </c>
      <c r="K146">
        <v>0</v>
      </c>
      <c r="L146">
        <v>0</v>
      </c>
      <c r="M146">
        <v>1</v>
      </c>
      <c r="N146">
        <v>0</v>
      </c>
      <c r="O146">
        <v>1</v>
      </c>
      <c r="P146">
        <v>0</v>
      </c>
      <c r="Q146">
        <v>0</v>
      </c>
      <c r="R146">
        <v>0</v>
      </c>
      <c r="S146">
        <v>0</v>
      </c>
      <c r="T146">
        <v>0</v>
      </c>
      <c r="U146">
        <v>0</v>
      </c>
      <c r="V146">
        <v>1</v>
      </c>
    </row>
    <row r="147" spans="1:22" x14ac:dyDescent="0.2">
      <c r="A147" t="s">
        <v>675</v>
      </c>
      <c r="B147" t="s">
        <v>33</v>
      </c>
      <c r="C147" t="s">
        <v>41</v>
      </c>
      <c r="D147" t="s">
        <v>61</v>
      </c>
      <c r="E147" t="s">
        <v>442</v>
      </c>
      <c r="F147" t="s">
        <v>60</v>
      </c>
      <c r="G147" t="s">
        <v>65</v>
      </c>
      <c r="H147" t="s">
        <v>47</v>
      </c>
      <c r="I147">
        <v>1</v>
      </c>
      <c r="J147">
        <v>1</v>
      </c>
      <c r="K147">
        <v>0</v>
      </c>
      <c r="L147">
        <v>1</v>
      </c>
      <c r="M147">
        <v>0</v>
      </c>
      <c r="N147">
        <v>0</v>
      </c>
      <c r="O147">
        <v>1</v>
      </c>
      <c r="P147">
        <v>0</v>
      </c>
      <c r="Q147">
        <v>1</v>
      </c>
      <c r="R147">
        <v>0</v>
      </c>
      <c r="S147">
        <v>0</v>
      </c>
      <c r="T147">
        <v>0</v>
      </c>
      <c r="U147">
        <v>0</v>
      </c>
      <c r="V147">
        <v>0</v>
      </c>
    </row>
    <row r="148" spans="1:22" x14ac:dyDescent="0.2">
      <c r="A148" t="s">
        <v>675</v>
      </c>
      <c r="B148" t="s">
        <v>33</v>
      </c>
      <c r="C148" t="s">
        <v>41</v>
      </c>
      <c r="D148" t="s">
        <v>42</v>
      </c>
      <c r="E148" t="s">
        <v>442</v>
      </c>
      <c r="F148" t="s">
        <v>65</v>
      </c>
      <c r="G148" t="s">
        <v>60</v>
      </c>
      <c r="H148" t="s">
        <v>46</v>
      </c>
      <c r="I148">
        <v>1</v>
      </c>
      <c r="J148">
        <v>1</v>
      </c>
      <c r="K148">
        <v>0</v>
      </c>
      <c r="L148">
        <v>0</v>
      </c>
      <c r="M148">
        <v>1</v>
      </c>
      <c r="N148">
        <v>0</v>
      </c>
      <c r="O148">
        <v>1</v>
      </c>
      <c r="P148">
        <v>1</v>
      </c>
      <c r="Q148">
        <v>1</v>
      </c>
      <c r="R148">
        <v>0</v>
      </c>
      <c r="S148">
        <v>0</v>
      </c>
      <c r="T148">
        <v>0</v>
      </c>
      <c r="U148">
        <v>0</v>
      </c>
      <c r="V148">
        <v>0</v>
      </c>
    </row>
    <row r="149" spans="1:22" x14ac:dyDescent="0.2">
      <c r="A149" t="s">
        <v>685</v>
      </c>
      <c r="B149" t="s">
        <v>108</v>
      </c>
      <c r="C149" t="s">
        <v>41</v>
      </c>
      <c r="D149" t="s">
        <v>67</v>
      </c>
      <c r="E149" t="s">
        <v>442</v>
      </c>
      <c r="F149" t="s">
        <v>48</v>
      </c>
      <c r="G149" t="s">
        <v>65</v>
      </c>
      <c r="H149" t="s">
        <v>60</v>
      </c>
      <c r="I149">
        <v>1</v>
      </c>
      <c r="J149">
        <v>1</v>
      </c>
      <c r="K149">
        <v>1</v>
      </c>
      <c r="L149">
        <v>0</v>
      </c>
      <c r="M149">
        <v>0</v>
      </c>
      <c r="N149">
        <v>0</v>
      </c>
      <c r="O149">
        <v>1</v>
      </c>
      <c r="P149">
        <v>1</v>
      </c>
      <c r="Q149">
        <v>1</v>
      </c>
      <c r="R149">
        <v>0</v>
      </c>
      <c r="S149">
        <v>0</v>
      </c>
      <c r="T149">
        <v>0</v>
      </c>
      <c r="U149">
        <v>0</v>
      </c>
      <c r="V149">
        <v>0</v>
      </c>
    </row>
    <row r="150" spans="1:22" x14ac:dyDescent="0.2">
      <c r="A150" t="s">
        <v>685</v>
      </c>
      <c r="B150" t="s">
        <v>108</v>
      </c>
      <c r="C150" t="s">
        <v>41</v>
      </c>
      <c r="D150" t="s">
        <v>61</v>
      </c>
      <c r="E150" t="s">
        <v>442</v>
      </c>
      <c r="F150" t="s">
        <v>47</v>
      </c>
      <c r="G150" t="s">
        <v>60</v>
      </c>
      <c r="H150" t="s">
        <v>65</v>
      </c>
      <c r="I150">
        <v>1</v>
      </c>
      <c r="J150">
        <v>1</v>
      </c>
      <c r="K150">
        <v>0</v>
      </c>
      <c r="L150">
        <v>1</v>
      </c>
      <c r="M150">
        <v>0</v>
      </c>
      <c r="N150">
        <v>0</v>
      </c>
      <c r="O150">
        <v>1</v>
      </c>
      <c r="P150">
        <v>0</v>
      </c>
      <c r="Q150">
        <v>1</v>
      </c>
      <c r="R150">
        <v>0</v>
      </c>
      <c r="S150">
        <v>0</v>
      </c>
      <c r="T150">
        <v>0</v>
      </c>
      <c r="U150">
        <v>0</v>
      </c>
      <c r="V150">
        <v>0</v>
      </c>
    </row>
    <row r="151" spans="1:22" x14ac:dyDescent="0.2">
      <c r="A151" t="s">
        <v>688</v>
      </c>
      <c r="B151" t="s">
        <v>188</v>
      </c>
      <c r="C151" t="s">
        <v>41</v>
      </c>
      <c r="D151" t="s">
        <v>42</v>
      </c>
      <c r="E151" t="s">
        <v>442</v>
      </c>
      <c r="F151" t="s">
        <v>60</v>
      </c>
      <c r="G151" t="s">
        <v>65</v>
      </c>
      <c r="H151" t="s">
        <v>48</v>
      </c>
      <c r="I151">
        <v>1</v>
      </c>
      <c r="J151">
        <v>1</v>
      </c>
      <c r="K151">
        <v>1</v>
      </c>
      <c r="L151">
        <v>0</v>
      </c>
      <c r="M151">
        <v>0</v>
      </c>
      <c r="N151">
        <v>0</v>
      </c>
      <c r="O151">
        <v>1</v>
      </c>
      <c r="P151">
        <v>0</v>
      </c>
      <c r="Q151">
        <v>1</v>
      </c>
      <c r="R151">
        <v>0</v>
      </c>
      <c r="S151">
        <v>0</v>
      </c>
      <c r="T151">
        <v>0</v>
      </c>
      <c r="U151">
        <v>0</v>
      </c>
      <c r="V151">
        <v>0</v>
      </c>
    </row>
    <row r="152" spans="1:22" x14ac:dyDescent="0.2">
      <c r="A152" t="s">
        <v>688</v>
      </c>
      <c r="B152" t="s">
        <v>188</v>
      </c>
      <c r="C152" t="s">
        <v>41</v>
      </c>
      <c r="D152" t="s">
        <v>67</v>
      </c>
      <c r="E152" t="s">
        <v>442</v>
      </c>
      <c r="F152" t="s">
        <v>48</v>
      </c>
      <c r="G152" t="s">
        <v>65</v>
      </c>
      <c r="H152" t="s">
        <v>60</v>
      </c>
      <c r="I152">
        <v>1</v>
      </c>
      <c r="J152">
        <v>1</v>
      </c>
      <c r="K152">
        <v>1</v>
      </c>
      <c r="L152">
        <v>0</v>
      </c>
      <c r="M152">
        <v>0</v>
      </c>
      <c r="N152">
        <v>0</v>
      </c>
      <c r="O152">
        <v>1</v>
      </c>
      <c r="P152">
        <v>0</v>
      </c>
      <c r="Q152">
        <v>1</v>
      </c>
      <c r="R152">
        <v>0</v>
      </c>
      <c r="S152">
        <v>0</v>
      </c>
      <c r="T152">
        <v>0</v>
      </c>
      <c r="U152">
        <v>0</v>
      </c>
      <c r="V152">
        <v>0</v>
      </c>
    </row>
    <row r="153" spans="1:22" x14ac:dyDescent="0.2">
      <c r="A153" t="s">
        <v>691</v>
      </c>
      <c r="B153" t="s">
        <v>108</v>
      </c>
      <c r="C153" t="s">
        <v>41</v>
      </c>
      <c r="D153" t="s">
        <v>55</v>
      </c>
      <c r="E153" t="s">
        <v>442</v>
      </c>
      <c r="F153" t="s">
        <v>65</v>
      </c>
      <c r="G153" t="s">
        <v>60</v>
      </c>
      <c r="H153" t="s">
        <v>48</v>
      </c>
      <c r="I153">
        <v>1</v>
      </c>
      <c r="J153">
        <v>1</v>
      </c>
      <c r="K153">
        <v>1</v>
      </c>
      <c r="L153">
        <v>0</v>
      </c>
      <c r="M153">
        <v>0</v>
      </c>
      <c r="N153">
        <v>0</v>
      </c>
      <c r="O153">
        <v>1</v>
      </c>
      <c r="P153">
        <v>1</v>
      </c>
      <c r="Q153">
        <v>1</v>
      </c>
      <c r="R153">
        <v>1</v>
      </c>
      <c r="S153">
        <v>0</v>
      </c>
      <c r="T153">
        <v>0</v>
      </c>
      <c r="U153">
        <v>0</v>
      </c>
      <c r="V153">
        <v>0</v>
      </c>
    </row>
    <row r="154" spans="1:22" x14ac:dyDescent="0.2">
      <c r="A154" t="s">
        <v>694</v>
      </c>
      <c r="B154" t="s">
        <v>188</v>
      </c>
      <c r="C154" t="s">
        <v>41</v>
      </c>
      <c r="D154" t="s">
        <v>49</v>
      </c>
      <c r="E154" t="s">
        <v>442</v>
      </c>
      <c r="F154" t="s">
        <v>60</v>
      </c>
      <c r="G154" t="s">
        <v>65</v>
      </c>
      <c r="H154" t="s">
        <v>48</v>
      </c>
      <c r="I154">
        <v>1</v>
      </c>
      <c r="J154">
        <v>1</v>
      </c>
      <c r="K154">
        <v>1</v>
      </c>
      <c r="L154">
        <v>0</v>
      </c>
      <c r="M154">
        <v>0</v>
      </c>
      <c r="N154">
        <v>0</v>
      </c>
      <c r="O154">
        <v>1</v>
      </c>
      <c r="P154">
        <v>0</v>
      </c>
      <c r="Q154">
        <v>1</v>
      </c>
      <c r="R154">
        <v>0</v>
      </c>
      <c r="S154">
        <v>0</v>
      </c>
      <c r="T154">
        <v>0</v>
      </c>
      <c r="U154">
        <v>0</v>
      </c>
      <c r="V154">
        <v>0</v>
      </c>
    </row>
    <row r="155" spans="1:22" x14ac:dyDescent="0.2">
      <c r="A155" t="s">
        <v>701</v>
      </c>
      <c r="B155" t="s">
        <v>188</v>
      </c>
      <c r="C155" t="s">
        <v>41</v>
      </c>
      <c r="D155" t="s">
        <v>72</v>
      </c>
      <c r="E155" t="s">
        <v>442</v>
      </c>
      <c r="F155" t="s">
        <v>47</v>
      </c>
      <c r="G155" t="s">
        <v>65</v>
      </c>
      <c r="H155" t="s">
        <v>60</v>
      </c>
      <c r="I155">
        <v>1</v>
      </c>
      <c r="J155">
        <v>1</v>
      </c>
      <c r="K155">
        <v>0</v>
      </c>
      <c r="L155">
        <v>1</v>
      </c>
      <c r="M155">
        <v>0</v>
      </c>
      <c r="N155">
        <v>0</v>
      </c>
      <c r="O155">
        <v>1</v>
      </c>
      <c r="P155">
        <v>0</v>
      </c>
      <c r="Q155">
        <v>1</v>
      </c>
      <c r="R155">
        <v>0</v>
      </c>
      <c r="S155">
        <v>0</v>
      </c>
      <c r="T155">
        <v>0</v>
      </c>
      <c r="U155">
        <v>0</v>
      </c>
      <c r="V155">
        <v>0</v>
      </c>
    </row>
    <row r="156" spans="1:22" x14ac:dyDescent="0.2">
      <c r="A156" t="s">
        <v>701</v>
      </c>
      <c r="B156" t="s">
        <v>188</v>
      </c>
      <c r="C156" t="s">
        <v>41</v>
      </c>
      <c r="D156" t="s">
        <v>61</v>
      </c>
      <c r="E156" t="s">
        <v>442</v>
      </c>
      <c r="F156" t="s">
        <v>59</v>
      </c>
      <c r="G156" t="s">
        <v>65</v>
      </c>
      <c r="H156" t="s">
        <v>60</v>
      </c>
      <c r="I156">
        <v>1</v>
      </c>
      <c r="J156">
        <v>1</v>
      </c>
      <c r="K156">
        <v>0</v>
      </c>
      <c r="L156">
        <v>0</v>
      </c>
      <c r="M156">
        <v>0</v>
      </c>
      <c r="N156">
        <v>0</v>
      </c>
      <c r="O156">
        <v>1</v>
      </c>
      <c r="P156">
        <v>0</v>
      </c>
      <c r="Q156">
        <v>1</v>
      </c>
      <c r="R156">
        <v>0</v>
      </c>
      <c r="S156">
        <v>0</v>
      </c>
      <c r="T156">
        <v>0</v>
      </c>
      <c r="U156">
        <v>0</v>
      </c>
      <c r="V156">
        <v>0</v>
      </c>
    </row>
    <row r="157" spans="1:22" x14ac:dyDescent="0.2">
      <c r="A157" t="s">
        <v>703</v>
      </c>
      <c r="B157" t="s">
        <v>108</v>
      </c>
      <c r="C157" t="s">
        <v>41</v>
      </c>
      <c r="D157" t="s">
        <v>61</v>
      </c>
      <c r="E157" t="s">
        <v>442</v>
      </c>
      <c r="F157" t="s">
        <v>48</v>
      </c>
      <c r="G157" t="s">
        <v>65</v>
      </c>
      <c r="H157" t="s">
        <v>60</v>
      </c>
      <c r="I157">
        <v>1</v>
      </c>
      <c r="J157">
        <v>1</v>
      </c>
      <c r="K157">
        <v>1</v>
      </c>
      <c r="L157">
        <v>0</v>
      </c>
      <c r="M157">
        <v>0</v>
      </c>
      <c r="N157">
        <v>0</v>
      </c>
      <c r="O157">
        <v>1</v>
      </c>
      <c r="P157">
        <v>1</v>
      </c>
      <c r="Q157">
        <v>0</v>
      </c>
      <c r="R157">
        <v>0</v>
      </c>
      <c r="S157">
        <v>0</v>
      </c>
      <c r="T157">
        <v>0</v>
      </c>
      <c r="U157">
        <v>0</v>
      </c>
      <c r="V157">
        <v>0</v>
      </c>
    </row>
    <row r="158" spans="1:22" x14ac:dyDescent="0.2">
      <c r="A158" t="s">
        <v>706</v>
      </c>
      <c r="B158" t="s">
        <v>108</v>
      </c>
      <c r="C158" t="s">
        <v>41</v>
      </c>
      <c r="D158" t="s">
        <v>42</v>
      </c>
      <c r="E158" t="s">
        <v>442</v>
      </c>
      <c r="F158" t="s">
        <v>65</v>
      </c>
      <c r="G158" t="s">
        <v>60</v>
      </c>
      <c r="H158" t="s">
        <v>59</v>
      </c>
      <c r="I158">
        <v>1</v>
      </c>
      <c r="J158">
        <v>1</v>
      </c>
      <c r="K158">
        <v>0</v>
      </c>
      <c r="L158">
        <v>0</v>
      </c>
      <c r="M158">
        <v>0</v>
      </c>
      <c r="N158">
        <v>0</v>
      </c>
      <c r="O158">
        <v>1</v>
      </c>
      <c r="P158">
        <v>1</v>
      </c>
      <c r="Q158">
        <v>1</v>
      </c>
      <c r="R158">
        <v>0</v>
      </c>
      <c r="S158">
        <v>0</v>
      </c>
      <c r="T158">
        <v>0</v>
      </c>
      <c r="U158">
        <v>0</v>
      </c>
      <c r="V158">
        <v>0</v>
      </c>
    </row>
    <row r="159" spans="1:22" x14ac:dyDescent="0.2">
      <c r="A159" t="s">
        <v>713</v>
      </c>
      <c r="B159" t="s">
        <v>108</v>
      </c>
      <c r="C159" t="s">
        <v>41</v>
      </c>
      <c r="D159" t="s">
        <v>72</v>
      </c>
      <c r="E159" t="s">
        <v>442</v>
      </c>
      <c r="F159" t="s">
        <v>46</v>
      </c>
      <c r="G159" t="s">
        <v>65</v>
      </c>
      <c r="H159" t="s">
        <v>60</v>
      </c>
      <c r="I159">
        <v>1</v>
      </c>
      <c r="J159">
        <v>1</v>
      </c>
      <c r="K159">
        <v>0</v>
      </c>
      <c r="L159">
        <v>0</v>
      </c>
      <c r="M159">
        <v>1</v>
      </c>
      <c r="N159">
        <v>0</v>
      </c>
      <c r="O159">
        <v>1</v>
      </c>
      <c r="P159">
        <v>1</v>
      </c>
      <c r="Q159">
        <v>1</v>
      </c>
      <c r="R159">
        <v>0</v>
      </c>
      <c r="S159">
        <v>0</v>
      </c>
      <c r="T159">
        <v>1</v>
      </c>
      <c r="U159">
        <v>0</v>
      </c>
      <c r="V159">
        <v>0</v>
      </c>
    </row>
    <row r="160" spans="1:22" x14ac:dyDescent="0.2">
      <c r="A160" t="s">
        <v>722</v>
      </c>
      <c r="B160" t="s">
        <v>33</v>
      </c>
      <c r="C160" t="s">
        <v>41</v>
      </c>
      <c r="D160" t="s">
        <v>42</v>
      </c>
      <c r="E160" t="s">
        <v>442</v>
      </c>
      <c r="F160" t="s">
        <v>65</v>
      </c>
      <c r="G160" t="s">
        <v>47</v>
      </c>
      <c r="H160" t="s">
        <v>60</v>
      </c>
      <c r="I160">
        <v>1</v>
      </c>
      <c r="J160">
        <v>1</v>
      </c>
      <c r="K160">
        <v>0</v>
      </c>
      <c r="L160">
        <v>1</v>
      </c>
      <c r="M160">
        <v>0</v>
      </c>
      <c r="N160">
        <v>0</v>
      </c>
      <c r="O160">
        <v>1</v>
      </c>
      <c r="P160">
        <v>0</v>
      </c>
      <c r="Q160">
        <v>0</v>
      </c>
      <c r="R160">
        <v>0</v>
      </c>
      <c r="S160">
        <v>1</v>
      </c>
      <c r="T160">
        <v>0</v>
      </c>
      <c r="U160">
        <v>0</v>
      </c>
      <c r="V160">
        <v>0</v>
      </c>
    </row>
    <row r="161" spans="1:22" x14ac:dyDescent="0.2">
      <c r="A161" t="s">
        <v>722</v>
      </c>
      <c r="B161" t="s">
        <v>33</v>
      </c>
      <c r="C161" t="s">
        <v>41</v>
      </c>
      <c r="D161" t="s">
        <v>61</v>
      </c>
      <c r="E161" t="s">
        <v>442</v>
      </c>
      <c r="F161" t="s">
        <v>46</v>
      </c>
      <c r="G161" t="s">
        <v>60</v>
      </c>
      <c r="H161" t="s">
        <v>65</v>
      </c>
      <c r="I161">
        <v>1</v>
      </c>
      <c r="J161">
        <v>1</v>
      </c>
      <c r="K161">
        <v>0</v>
      </c>
      <c r="L161">
        <v>0</v>
      </c>
      <c r="M161">
        <v>1</v>
      </c>
      <c r="N161">
        <v>0</v>
      </c>
      <c r="O161">
        <v>1</v>
      </c>
      <c r="P161">
        <v>1</v>
      </c>
      <c r="Q161">
        <v>0</v>
      </c>
      <c r="R161">
        <v>0</v>
      </c>
      <c r="S161">
        <v>0</v>
      </c>
      <c r="T161">
        <v>0</v>
      </c>
      <c r="U161">
        <v>0</v>
      </c>
      <c r="V161">
        <v>0</v>
      </c>
    </row>
    <row r="162" spans="1:22" x14ac:dyDescent="0.2">
      <c r="A162" t="s">
        <v>723</v>
      </c>
      <c r="B162" t="s">
        <v>33</v>
      </c>
      <c r="C162" t="s">
        <v>41</v>
      </c>
      <c r="D162" t="s">
        <v>61</v>
      </c>
      <c r="E162" t="s">
        <v>442</v>
      </c>
      <c r="F162" t="s">
        <v>65</v>
      </c>
      <c r="G162" t="s">
        <v>46</v>
      </c>
      <c r="H162" t="s">
        <v>60</v>
      </c>
      <c r="I162">
        <v>1</v>
      </c>
      <c r="J162">
        <v>1</v>
      </c>
      <c r="K162">
        <v>0</v>
      </c>
      <c r="L162">
        <v>0</v>
      </c>
      <c r="M162">
        <v>1</v>
      </c>
      <c r="N162">
        <v>0</v>
      </c>
      <c r="O162">
        <v>1</v>
      </c>
      <c r="P162">
        <v>0</v>
      </c>
      <c r="Q162">
        <v>1</v>
      </c>
      <c r="R162">
        <v>0</v>
      </c>
      <c r="S162">
        <v>0</v>
      </c>
      <c r="T162">
        <v>1</v>
      </c>
      <c r="U162">
        <v>0</v>
      </c>
      <c r="V162">
        <v>0</v>
      </c>
    </row>
    <row r="163" spans="1:22" x14ac:dyDescent="0.2">
      <c r="A163" t="s">
        <v>725</v>
      </c>
      <c r="B163" t="s">
        <v>108</v>
      </c>
      <c r="C163" t="s">
        <v>41</v>
      </c>
      <c r="D163" t="s">
        <v>55</v>
      </c>
      <c r="E163" t="s">
        <v>442</v>
      </c>
      <c r="F163" t="s">
        <v>65</v>
      </c>
      <c r="G163" t="s">
        <v>48</v>
      </c>
      <c r="H163" t="s">
        <v>60</v>
      </c>
      <c r="I163">
        <v>1</v>
      </c>
      <c r="J163">
        <v>1</v>
      </c>
      <c r="K163">
        <v>1</v>
      </c>
      <c r="L163">
        <v>0</v>
      </c>
      <c r="M163">
        <v>0</v>
      </c>
      <c r="N163">
        <v>0</v>
      </c>
      <c r="O163">
        <v>1</v>
      </c>
      <c r="P163">
        <v>0</v>
      </c>
      <c r="Q163">
        <v>1</v>
      </c>
      <c r="R163">
        <v>0</v>
      </c>
      <c r="S163">
        <v>0</v>
      </c>
      <c r="T163">
        <v>0</v>
      </c>
      <c r="U163">
        <v>0</v>
      </c>
      <c r="V163">
        <v>0</v>
      </c>
    </row>
    <row r="164" spans="1:22" x14ac:dyDescent="0.2">
      <c r="A164" t="s">
        <v>725</v>
      </c>
      <c r="B164" t="s">
        <v>108</v>
      </c>
      <c r="C164" t="s">
        <v>41</v>
      </c>
      <c r="D164" t="s">
        <v>42</v>
      </c>
      <c r="E164" t="s">
        <v>442</v>
      </c>
      <c r="F164" t="s">
        <v>65</v>
      </c>
      <c r="G164" t="s">
        <v>47</v>
      </c>
      <c r="H164" t="s">
        <v>60</v>
      </c>
      <c r="I164">
        <v>1</v>
      </c>
      <c r="J164">
        <v>1</v>
      </c>
      <c r="K164">
        <v>0</v>
      </c>
      <c r="L164">
        <v>1</v>
      </c>
      <c r="M164">
        <v>0</v>
      </c>
      <c r="N164">
        <v>0</v>
      </c>
      <c r="O164">
        <v>1</v>
      </c>
      <c r="P164">
        <v>1</v>
      </c>
      <c r="Q164">
        <v>1</v>
      </c>
      <c r="R164">
        <v>0</v>
      </c>
      <c r="S164">
        <v>1</v>
      </c>
      <c r="T164">
        <v>0</v>
      </c>
      <c r="U164">
        <v>0</v>
      </c>
      <c r="V164">
        <v>0</v>
      </c>
    </row>
    <row r="165" spans="1:22" x14ac:dyDescent="0.2">
      <c r="A165" t="s">
        <v>732</v>
      </c>
      <c r="B165" t="s">
        <v>108</v>
      </c>
      <c r="C165" t="s">
        <v>41</v>
      </c>
      <c r="D165" t="s">
        <v>49</v>
      </c>
      <c r="E165" t="s">
        <v>442</v>
      </c>
      <c r="F165" t="s">
        <v>65</v>
      </c>
      <c r="G165" t="s">
        <v>59</v>
      </c>
      <c r="H165" t="s">
        <v>60</v>
      </c>
      <c r="I165">
        <v>1</v>
      </c>
      <c r="J165">
        <v>1</v>
      </c>
      <c r="K165">
        <v>0</v>
      </c>
      <c r="L165">
        <v>0</v>
      </c>
      <c r="M165">
        <v>0</v>
      </c>
      <c r="N165">
        <v>0</v>
      </c>
      <c r="O165">
        <v>1</v>
      </c>
      <c r="P165">
        <v>0</v>
      </c>
      <c r="Q165">
        <v>0</v>
      </c>
      <c r="R165">
        <v>0</v>
      </c>
      <c r="S165">
        <v>0</v>
      </c>
      <c r="T165">
        <v>0</v>
      </c>
      <c r="U165">
        <v>0</v>
      </c>
      <c r="V165">
        <v>1</v>
      </c>
    </row>
    <row r="166" spans="1:22" x14ac:dyDescent="0.2">
      <c r="A166" t="s">
        <v>735</v>
      </c>
      <c r="B166" t="s">
        <v>108</v>
      </c>
      <c r="C166" t="s">
        <v>41</v>
      </c>
      <c r="D166" t="s">
        <v>61</v>
      </c>
      <c r="E166" t="s">
        <v>442</v>
      </c>
      <c r="F166" t="s">
        <v>65</v>
      </c>
      <c r="G166" t="s">
        <v>48</v>
      </c>
      <c r="H166" t="s">
        <v>60</v>
      </c>
      <c r="I166">
        <v>1</v>
      </c>
      <c r="J166">
        <v>1</v>
      </c>
      <c r="K166">
        <v>1</v>
      </c>
      <c r="L166">
        <v>0</v>
      </c>
      <c r="M166">
        <v>0</v>
      </c>
      <c r="N166">
        <v>0</v>
      </c>
      <c r="O166">
        <v>1</v>
      </c>
      <c r="P166">
        <v>0</v>
      </c>
      <c r="Q166">
        <v>0</v>
      </c>
      <c r="R166">
        <v>0</v>
      </c>
      <c r="S166">
        <v>0</v>
      </c>
      <c r="T166">
        <v>0</v>
      </c>
      <c r="U166">
        <v>0</v>
      </c>
      <c r="V166">
        <v>1</v>
      </c>
    </row>
    <row r="167" spans="1:22" x14ac:dyDescent="0.2">
      <c r="A167" t="s">
        <v>735</v>
      </c>
      <c r="B167" t="s">
        <v>108</v>
      </c>
      <c r="C167" t="s">
        <v>41</v>
      </c>
      <c r="D167" t="s">
        <v>55</v>
      </c>
      <c r="E167" t="s">
        <v>442</v>
      </c>
      <c r="F167" t="s">
        <v>65</v>
      </c>
      <c r="G167" t="s">
        <v>46</v>
      </c>
      <c r="H167" t="s">
        <v>60</v>
      </c>
      <c r="I167">
        <v>1</v>
      </c>
      <c r="J167">
        <v>1</v>
      </c>
      <c r="K167">
        <v>0</v>
      </c>
      <c r="L167">
        <v>0</v>
      </c>
      <c r="M167">
        <v>1</v>
      </c>
      <c r="N167">
        <v>0</v>
      </c>
      <c r="O167">
        <v>1</v>
      </c>
      <c r="P167">
        <v>0</v>
      </c>
      <c r="Q167">
        <v>0</v>
      </c>
      <c r="R167">
        <v>0</v>
      </c>
      <c r="S167">
        <v>0</v>
      </c>
      <c r="T167">
        <v>0</v>
      </c>
      <c r="U167">
        <v>0</v>
      </c>
      <c r="V167">
        <v>1</v>
      </c>
    </row>
    <row r="168" spans="1:22" x14ac:dyDescent="0.2">
      <c r="A168" t="s">
        <v>738</v>
      </c>
      <c r="B168" t="s">
        <v>108</v>
      </c>
      <c r="C168" t="s">
        <v>41</v>
      </c>
      <c r="D168" t="s">
        <v>72</v>
      </c>
      <c r="E168" t="s">
        <v>442</v>
      </c>
      <c r="F168" t="s">
        <v>65</v>
      </c>
      <c r="G168" t="s">
        <v>60</v>
      </c>
      <c r="H168" t="s">
        <v>46</v>
      </c>
      <c r="I168">
        <v>1</v>
      </c>
      <c r="J168">
        <v>1</v>
      </c>
      <c r="K168">
        <v>0</v>
      </c>
      <c r="L168">
        <v>0</v>
      </c>
      <c r="M168">
        <v>1</v>
      </c>
      <c r="N168">
        <v>0</v>
      </c>
      <c r="O168">
        <v>1</v>
      </c>
      <c r="P168">
        <v>0</v>
      </c>
      <c r="Q168">
        <v>0</v>
      </c>
      <c r="R168">
        <v>0</v>
      </c>
      <c r="S168">
        <v>0</v>
      </c>
      <c r="T168">
        <v>0</v>
      </c>
      <c r="U168">
        <v>0</v>
      </c>
      <c r="V168">
        <v>1</v>
      </c>
    </row>
  </sheetData>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T38"/>
  <sheetViews>
    <sheetView topLeftCell="A2" workbookViewId="0">
      <selection activeCell="B26" sqref="B26:B30"/>
    </sheetView>
  </sheetViews>
  <sheetFormatPr baseColWidth="10" defaultRowHeight="16" x14ac:dyDescent="0.2"/>
  <cols>
    <col min="1" max="1" width="31.5" bestFit="1" customWidth="1"/>
    <col min="2" max="2" width="15.5" bestFit="1" customWidth="1"/>
    <col min="3" max="3" width="7.33203125" bestFit="1" customWidth="1"/>
    <col min="4" max="4" width="14.83203125" bestFit="1" customWidth="1"/>
    <col min="5" max="5" width="12.6640625" bestFit="1" customWidth="1"/>
    <col min="6" max="6" width="7.33203125" bestFit="1" customWidth="1"/>
    <col min="7" max="7" width="15.1640625" bestFit="1" customWidth="1"/>
    <col min="8" max="8" width="13.1640625" bestFit="1" customWidth="1"/>
    <col min="9" max="9" width="7.33203125" bestFit="1" customWidth="1"/>
    <col min="10" max="10" width="15.6640625" bestFit="1" customWidth="1"/>
    <col min="11" max="11" width="10.6640625" bestFit="1" customWidth="1"/>
    <col min="12" max="12" width="7.33203125" bestFit="1" customWidth="1"/>
    <col min="13" max="13" width="13.1640625" bestFit="1" customWidth="1"/>
    <col min="14" max="14" width="12.1640625" bestFit="1" customWidth="1"/>
    <col min="15" max="15" width="7.33203125" bestFit="1" customWidth="1"/>
    <col min="16" max="16" width="14.6640625" bestFit="1" customWidth="1"/>
    <col min="17" max="17" width="11.1640625" bestFit="1" customWidth="1"/>
    <col min="18" max="18" width="7.33203125" bestFit="1" customWidth="1"/>
    <col min="19" max="19" width="13.6640625" bestFit="1" customWidth="1"/>
  </cols>
  <sheetData>
    <row r="1" spans="1:20" x14ac:dyDescent="0.2">
      <c r="B1" s="1" t="s">
        <v>742</v>
      </c>
    </row>
    <row r="2" spans="1:20" x14ac:dyDescent="0.2">
      <c r="B2" t="s">
        <v>55</v>
      </c>
      <c r="D2" t="s">
        <v>758</v>
      </c>
      <c r="E2" t="s">
        <v>42</v>
      </c>
      <c r="G2" t="s">
        <v>759</v>
      </c>
      <c r="H2" t="s">
        <v>72</v>
      </c>
      <c r="J2" t="s">
        <v>760</v>
      </c>
      <c r="K2" t="s">
        <v>61</v>
      </c>
      <c r="M2" t="s">
        <v>761</v>
      </c>
      <c r="N2" t="s">
        <v>67</v>
      </c>
      <c r="P2" t="s">
        <v>762</v>
      </c>
      <c r="Q2" t="s">
        <v>49</v>
      </c>
      <c r="S2" t="s">
        <v>763</v>
      </c>
      <c r="T2" t="s">
        <v>740</v>
      </c>
    </row>
    <row r="3" spans="1:20" x14ac:dyDescent="0.2">
      <c r="A3" s="1" t="s">
        <v>743</v>
      </c>
      <c r="B3" t="s">
        <v>37</v>
      </c>
      <c r="C3" t="s">
        <v>442</v>
      </c>
      <c r="E3" t="s">
        <v>37</v>
      </c>
      <c r="F3" t="s">
        <v>442</v>
      </c>
      <c r="H3" t="s">
        <v>37</v>
      </c>
      <c r="I3" t="s">
        <v>442</v>
      </c>
      <c r="K3" t="s">
        <v>37</v>
      </c>
      <c r="L3" t="s">
        <v>442</v>
      </c>
      <c r="N3" t="s">
        <v>37</v>
      </c>
      <c r="O3" t="s">
        <v>442</v>
      </c>
      <c r="Q3" t="s">
        <v>37</v>
      </c>
      <c r="R3" t="s">
        <v>442</v>
      </c>
    </row>
    <row r="4" spans="1:20" x14ac:dyDescent="0.2">
      <c r="A4" s="2" t="s">
        <v>744</v>
      </c>
      <c r="B4" s="3">
        <v>10</v>
      </c>
      <c r="C4" s="3">
        <v>15</v>
      </c>
      <c r="D4" s="3">
        <v>25</v>
      </c>
      <c r="E4" s="3">
        <v>10</v>
      </c>
      <c r="F4" s="3">
        <v>16</v>
      </c>
      <c r="G4" s="3">
        <v>26</v>
      </c>
      <c r="H4" s="3">
        <v>9</v>
      </c>
      <c r="I4" s="3">
        <v>14</v>
      </c>
      <c r="J4" s="3">
        <v>23</v>
      </c>
      <c r="K4" s="3">
        <v>18</v>
      </c>
      <c r="L4" s="3">
        <v>19</v>
      </c>
      <c r="M4" s="3">
        <v>37</v>
      </c>
      <c r="N4" s="3">
        <v>16</v>
      </c>
      <c r="O4" s="3">
        <v>13</v>
      </c>
      <c r="P4" s="3">
        <v>29</v>
      </c>
      <c r="Q4" s="3">
        <v>15</v>
      </c>
      <c r="R4" s="3">
        <v>12</v>
      </c>
      <c r="S4" s="3">
        <v>27</v>
      </c>
      <c r="T4" s="3">
        <v>167</v>
      </c>
    </row>
    <row r="5" spans="1:20" x14ac:dyDescent="0.2">
      <c r="A5" s="2" t="s">
        <v>745</v>
      </c>
      <c r="B5" s="3">
        <v>10</v>
      </c>
      <c r="C5" s="3">
        <v>15</v>
      </c>
      <c r="D5" s="3">
        <v>25</v>
      </c>
      <c r="E5" s="3">
        <v>10</v>
      </c>
      <c r="F5" s="3">
        <v>16</v>
      </c>
      <c r="G5" s="3">
        <v>26</v>
      </c>
      <c r="H5" s="3">
        <v>9</v>
      </c>
      <c r="I5" s="3">
        <v>14</v>
      </c>
      <c r="J5" s="3">
        <v>23</v>
      </c>
      <c r="K5" s="3">
        <v>18</v>
      </c>
      <c r="L5" s="3">
        <v>19</v>
      </c>
      <c r="M5" s="3">
        <v>37</v>
      </c>
      <c r="N5" s="3">
        <v>16</v>
      </c>
      <c r="O5" s="3">
        <v>13</v>
      </c>
      <c r="P5" s="3">
        <v>29</v>
      </c>
      <c r="Q5" s="3">
        <v>15</v>
      </c>
      <c r="R5" s="3">
        <v>12</v>
      </c>
      <c r="S5" s="3">
        <v>27</v>
      </c>
      <c r="T5" s="3">
        <v>167</v>
      </c>
    </row>
    <row r="6" spans="1:20" x14ac:dyDescent="0.2">
      <c r="A6" s="2" t="s">
        <v>746</v>
      </c>
      <c r="B6" s="3">
        <v>4</v>
      </c>
      <c r="C6" s="3">
        <v>7</v>
      </c>
      <c r="D6" s="3">
        <v>11</v>
      </c>
      <c r="E6" s="3">
        <v>5</v>
      </c>
      <c r="F6" s="3">
        <v>5</v>
      </c>
      <c r="G6" s="3">
        <v>10</v>
      </c>
      <c r="H6" s="3">
        <v>2</v>
      </c>
      <c r="I6" s="3">
        <v>1</v>
      </c>
      <c r="J6" s="3">
        <v>3</v>
      </c>
      <c r="K6" s="3">
        <v>7</v>
      </c>
      <c r="L6" s="3">
        <v>4</v>
      </c>
      <c r="M6" s="3">
        <v>11</v>
      </c>
      <c r="N6" s="3">
        <v>6</v>
      </c>
      <c r="O6" s="3">
        <v>5</v>
      </c>
      <c r="P6" s="3">
        <v>11</v>
      </c>
      <c r="Q6" s="3">
        <v>4</v>
      </c>
      <c r="R6" s="3">
        <v>5</v>
      </c>
      <c r="S6" s="3">
        <v>9</v>
      </c>
      <c r="T6" s="3">
        <v>55</v>
      </c>
    </row>
    <row r="7" spans="1:20" x14ac:dyDescent="0.2">
      <c r="A7" s="2" t="s">
        <v>747</v>
      </c>
      <c r="B7" s="3">
        <v>3</v>
      </c>
      <c r="C7" s="3">
        <v>4</v>
      </c>
      <c r="D7" s="3">
        <v>7</v>
      </c>
      <c r="E7" s="3">
        <v>2</v>
      </c>
      <c r="F7" s="3">
        <v>2</v>
      </c>
      <c r="G7" s="3">
        <v>4</v>
      </c>
      <c r="H7" s="3">
        <v>1</v>
      </c>
      <c r="I7" s="3">
        <v>5</v>
      </c>
      <c r="J7" s="3">
        <v>6</v>
      </c>
      <c r="K7" s="3">
        <v>1</v>
      </c>
      <c r="L7" s="3">
        <v>8</v>
      </c>
      <c r="M7" s="3">
        <v>9</v>
      </c>
      <c r="N7" s="3">
        <v>6</v>
      </c>
      <c r="O7" s="3">
        <v>4</v>
      </c>
      <c r="P7" s="3">
        <v>10</v>
      </c>
      <c r="Q7" s="3">
        <v>4</v>
      </c>
      <c r="R7" s="3">
        <v>1</v>
      </c>
      <c r="S7" s="3">
        <v>5</v>
      </c>
      <c r="T7" s="3">
        <v>41</v>
      </c>
    </row>
    <row r="8" spans="1:20" x14ac:dyDescent="0.2">
      <c r="A8" s="2" t="s">
        <v>748</v>
      </c>
      <c r="B8" s="3">
        <v>0</v>
      </c>
      <c r="C8" s="3">
        <v>4</v>
      </c>
      <c r="D8" s="3">
        <v>4</v>
      </c>
      <c r="E8" s="3">
        <v>3</v>
      </c>
      <c r="F8" s="3">
        <v>7</v>
      </c>
      <c r="G8" s="3">
        <v>10</v>
      </c>
      <c r="H8" s="3">
        <v>4</v>
      </c>
      <c r="I8" s="3">
        <v>6</v>
      </c>
      <c r="J8" s="3">
        <v>10</v>
      </c>
      <c r="K8" s="3">
        <v>8</v>
      </c>
      <c r="L8" s="3">
        <v>4</v>
      </c>
      <c r="M8" s="3">
        <v>12</v>
      </c>
      <c r="N8" s="3">
        <v>4</v>
      </c>
      <c r="O8" s="3">
        <v>3</v>
      </c>
      <c r="P8" s="3">
        <v>7</v>
      </c>
      <c r="Q8" s="3">
        <v>4</v>
      </c>
      <c r="R8" s="3">
        <v>3</v>
      </c>
      <c r="S8" s="3">
        <v>7</v>
      </c>
      <c r="T8" s="3">
        <v>50</v>
      </c>
    </row>
    <row r="9" spans="1:20" x14ac:dyDescent="0.2">
      <c r="A9" s="2" t="s">
        <v>749</v>
      </c>
      <c r="B9" s="3">
        <v>0</v>
      </c>
      <c r="C9" s="3">
        <v>0</v>
      </c>
      <c r="D9" s="3">
        <v>0</v>
      </c>
      <c r="E9" s="3">
        <v>0</v>
      </c>
      <c r="F9" s="3">
        <v>0</v>
      </c>
      <c r="G9" s="3">
        <v>0</v>
      </c>
      <c r="H9" s="3">
        <v>0</v>
      </c>
      <c r="I9" s="3">
        <v>0</v>
      </c>
      <c r="J9" s="3">
        <v>0</v>
      </c>
      <c r="K9" s="3">
        <v>0</v>
      </c>
      <c r="L9" s="3">
        <v>0</v>
      </c>
      <c r="M9" s="3">
        <v>0</v>
      </c>
      <c r="N9" s="3">
        <v>0</v>
      </c>
      <c r="O9" s="3">
        <v>0</v>
      </c>
      <c r="P9" s="3">
        <v>0</v>
      </c>
      <c r="Q9" s="3">
        <v>0</v>
      </c>
      <c r="R9" s="3">
        <v>0</v>
      </c>
      <c r="S9" s="3">
        <v>0</v>
      </c>
      <c r="T9" s="3">
        <v>0</v>
      </c>
    </row>
    <row r="10" spans="1:20" x14ac:dyDescent="0.2">
      <c r="A10" s="2" t="s">
        <v>750</v>
      </c>
      <c r="B10" s="3">
        <v>10</v>
      </c>
      <c r="C10" s="3">
        <v>15</v>
      </c>
      <c r="D10" s="3">
        <v>25</v>
      </c>
      <c r="E10" s="3">
        <v>10</v>
      </c>
      <c r="F10" s="3">
        <v>16</v>
      </c>
      <c r="G10" s="3">
        <v>26</v>
      </c>
      <c r="H10" s="3">
        <v>9</v>
      </c>
      <c r="I10" s="3">
        <v>14</v>
      </c>
      <c r="J10" s="3">
        <v>23</v>
      </c>
      <c r="K10" s="3">
        <v>18</v>
      </c>
      <c r="L10" s="3">
        <v>19</v>
      </c>
      <c r="M10" s="3">
        <v>37</v>
      </c>
      <c r="N10" s="3">
        <v>16</v>
      </c>
      <c r="O10" s="3">
        <v>13</v>
      </c>
      <c r="P10" s="3">
        <v>29</v>
      </c>
      <c r="Q10" s="3">
        <v>15</v>
      </c>
      <c r="R10" s="3">
        <v>12</v>
      </c>
      <c r="S10" s="3">
        <v>27</v>
      </c>
      <c r="T10" s="3">
        <v>167</v>
      </c>
    </row>
    <row r="11" spans="1:20" x14ac:dyDescent="0.2">
      <c r="A11" s="2" t="s">
        <v>751</v>
      </c>
      <c r="B11" s="3">
        <v>4</v>
      </c>
      <c r="C11" s="3">
        <v>9</v>
      </c>
      <c r="D11" s="3">
        <v>13</v>
      </c>
      <c r="E11" s="3">
        <v>6</v>
      </c>
      <c r="F11" s="3">
        <v>11</v>
      </c>
      <c r="G11" s="3">
        <v>17</v>
      </c>
      <c r="H11" s="3">
        <v>2</v>
      </c>
      <c r="I11" s="3">
        <v>6</v>
      </c>
      <c r="J11" s="3">
        <v>8</v>
      </c>
      <c r="K11" s="3">
        <v>10</v>
      </c>
      <c r="L11" s="3">
        <v>9</v>
      </c>
      <c r="M11" s="3">
        <v>19</v>
      </c>
      <c r="N11" s="3">
        <v>7</v>
      </c>
      <c r="O11" s="3">
        <v>7</v>
      </c>
      <c r="P11" s="3">
        <v>14</v>
      </c>
      <c r="Q11" s="3">
        <v>7</v>
      </c>
      <c r="R11" s="3">
        <v>4</v>
      </c>
      <c r="S11" s="3">
        <v>11</v>
      </c>
      <c r="T11" s="3">
        <v>82</v>
      </c>
    </row>
    <row r="12" spans="1:20" x14ac:dyDescent="0.2">
      <c r="A12" s="2" t="s">
        <v>752</v>
      </c>
      <c r="B12" s="3">
        <v>8</v>
      </c>
      <c r="C12" s="3">
        <v>12</v>
      </c>
      <c r="D12" s="3">
        <v>20</v>
      </c>
      <c r="E12" s="3">
        <v>5</v>
      </c>
      <c r="F12" s="3">
        <v>10</v>
      </c>
      <c r="G12" s="3">
        <v>15</v>
      </c>
      <c r="H12" s="3">
        <v>2</v>
      </c>
      <c r="I12" s="3">
        <v>9</v>
      </c>
      <c r="J12" s="3">
        <v>11</v>
      </c>
      <c r="K12" s="3">
        <v>10</v>
      </c>
      <c r="L12" s="3">
        <v>11</v>
      </c>
      <c r="M12" s="3">
        <v>21</v>
      </c>
      <c r="N12" s="3">
        <v>9</v>
      </c>
      <c r="O12" s="3">
        <v>9</v>
      </c>
      <c r="P12" s="3">
        <v>18</v>
      </c>
      <c r="Q12" s="3">
        <v>10</v>
      </c>
      <c r="R12" s="3">
        <v>7</v>
      </c>
      <c r="S12" s="3">
        <v>17</v>
      </c>
      <c r="T12" s="3">
        <v>102</v>
      </c>
    </row>
    <row r="13" spans="1:20" x14ac:dyDescent="0.2">
      <c r="A13" s="2" t="s">
        <v>753</v>
      </c>
      <c r="B13" s="3">
        <v>1</v>
      </c>
      <c r="C13" s="3">
        <v>2</v>
      </c>
      <c r="D13" s="3">
        <v>3</v>
      </c>
      <c r="E13" s="3">
        <v>2</v>
      </c>
      <c r="F13" s="3">
        <v>3</v>
      </c>
      <c r="G13" s="3">
        <v>5</v>
      </c>
      <c r="H13" s="3">
        <v>1</v>
      </c>
      <c r="I13" s="3">
        <v>0</v>
      </c>
      <c r="J13" s="3">
        <v>1</v>
      </c>
      <c r="K13" s="3">
        <v>3</v>
      </c>
      <c r="L13" s="3">
        <v>0</v>
      </c>
      <c r="M13" s="3">
        <v>3</v>
      </c>
      <c r="N13" s="3">
        <v>1</v>
      </c>
      <c r="O13" s="3">
        <v>0</v>
      </c>
      <c r="P13" s="3">
        <v>1</v>
      </c>
      <c r="Q13" s="3">
        <v>2</v>
      </c>
      <c r="R13" s="3">
        <v>0</v>
      </c>
      <c r="S13" s="3">
        <v>2</v>
      </c>
      <c r="T13" s="3">
        <v>15</v>
      </c>
    </row>
    <row r="14" spans="1:20" x14ac:dyDescent="0.2">
      <c r="A14" s="2" t="s">
        <v>754</v>
      </c>
      <c r="B14" s="3">
        <v>0</v>
      </c>
      <c r="C14" s="3">
        <v>2</v>
      </c>
      <c r="D14" s="3">
        <v>2</v>
      </c>
      <c r="E14" s="3">
        <v>0</v>
      </c>
      <c r="F14" s="3">
        <v>2</v>
      </c>
      <c r="G14" s="3">
        <v>2</v>
      </c>
      <c r="H14" s="3">
        <v>0</v>
      </c>
      <c r="I14" s="3">
        <v>3</v>
      </c>
      <c r="J14" s="3">
        <v>3</v>
      </c>
      <c r="K14" s="3">
        <v>0</v>
      </c>
      <c r="L14" s="3">
        <v>3</v>
      </c>
      <c r="M14" s="3">
        <v>3</v>
      </c>
      <c r="N14" s="3">
        <v>1</v>
      </c>
      <c r="O14" s="3">
        <v>4</v>
      </c>
      <c r="P14" s="3">
        <v>5</v>
      </c>
      <c r="Q14" s="3">
        <v>2</v>
      </c>
      <c r="R14" s="3">
        <v>0</v>
      </c>
      <c r="S14" s="3">
        <v>2</v>
      </c>
      <c r="T14" s="3">
        <v>17</v>
      </c>
    </row>
    <row r="15" spans="1:20" x14ac:dyDescent="0.2">
      <c r="A15" s="2" t="s">
        <v>755</v>
      </c>
      <c r="B15" s="3">
        <v>0</v>
      </c>
      <c r="C15" s="3">
        <v>3</v>
      </c>
      <c r="D15" s="3">
        <v>3</v>
      </c>
      <c r="E15" s="3">
        <v>2</v>
      </c>
      <c r="F15" s="3">
        <v>2</v>
      </c>
      <c r="G15" s="3">
        <v>4</v>
      </c>
      <c r="H15" s="3">
        <v>0</v>
      </c>
      <c r="I15" s="3">
        <v>2</v>
      </c>
      <c r="J15" s="3">
        <v>2</v>
      </c>
      <c r="K15" s="3">
        <v>4</v>
      </c>
      <c r="L15" s="3">
        <v>2</v>
      </c>
      <c r="M15" s="3">
        <v>6</v>
      </c>
      <c r="N15" s="3">
        <v>0</v>
      </c>
      <c r="O15" s="3">
        <v>1</v>
      </c>
      <c r="P15" s="3">
        <v>1</v>
      </c>
      <c r="Q15" s="3">
        <v>1</v>
      </c>
      <c r="R15" s="3">
        <v>2</v>
      </c>
      <c r="S15" s="3">
        <v>3</v>
      </c>
      <c r="T15" s="3">
        <v>19</v>
      </c>
    </row>
    <row r="16" spans="1:20" x14ac:dyDescent="0.2">
      <c r="A16" s="2" t="s">
        <v>756</v>
      </c>
      <c r="B16" s="3">
        <v>0</v>
      </c>
      <c r="C16" s="3">
        <v>0</v>
      </c>
      <c r="D16" s="3">
        <v>0</v>
      </c>
      <c r="E16" s="3">
        <v>0</v>
      </c>
      <c r="F16" s="3">
        <v>0</v>
      </c>
      <c r="G16" s="3">
        <v>0</v>
      </c>
      <c r="H16" s="3">
        <v>0</v>
      </c>
      <c r="I16" s="3">
        <v>0</v>
      </c>
      <c r="J16" s="3">
        <v>0</v>
      </c>
      <c r="K16" s="3">
        <v>0</v>
      </c>
      <c r="L16" s="3">
        <v>0</v>
      </c>
      <c r="M16" s="3">
        <v>0</v>
      </c>
      <c r="N16" s="3">
        <v>0</v>
      </c>
      <c r="O16" s="3">
        <v>0</v>
      </c>
      <c r="P16" s="3">
        <v>0</v>
      </c>
      <c r="Q16" s="3">
        <v>0</v>
      </c>
      <c r="R16" s="3">
        <v>0</v>
      </c>
      <c r="S16" s="3">
        <v>0</v>
      </c>
      <c r="T16" s="3">
        <v>0</v>
      </c>
    </row>
    <row r="17" spans="1:20" x14ac:dyDescent="0.2">
      <c r="A17" s="2" t="s">
        <v>757</v>
      </c>
      <c r="B17" s="3">
        <v>1</v>
      </c>
      <c r="C17" s="3">
        <v>1</v>
      </c>
      <c r="D17" s="3">
        <v>2</v>
      </c>
      <c r="E17" s="3">
        <v>3</v>
      </c>
      <c r="F17" s="3">
        <v>2</v>
      </c>
      <c r="G17" s="3">
        <v>5</v>
      </c>
      <c r="H17" s="3">
        <v>6</v>
      </c>
      <c r="I17" s="3">
        <v>5</v>
      </c>
      <c r="J17" s="3">
        <v>11</v>
      </c>
      <c r="K17" s="3">
        <v>2</v>
      </c>
      <c r="L17" s="3">
        <v>3</v>
      </c>
      <c r="M17" s="3">
        <v>5</v>
      </c>
      <c r="N17" s="3">
        <v>3</v>
      </c>
      <c r="O17" s="3">
        <v>0</v>
      </c>
      <c r="P17" s="3">
        <v>3</v>
      </c>
      <c r="Q17" s="3">
        <v>3</v>
      </c>
      <c r="R17" s="3">
        <v>3</v>
      </c>
      <c r="S17" s="3">
        <v>6</v>
      </c>
      <c r="T17" s="3">
        <v>32</v>
      </c>
    </row>
    <row r="23" spans="1:20" x14ac:dyDescent="0.2">
      <c r="B23" t="s">
        <v>765</v>
      </c>
      <c r="D23" t="s">
        <v>766</v>
      </c>
      <c r="F23" t="s">
        <v>767</v>
      </c>
      <c r="H23" t="s">
        <v>768</v>
      </c>
      <c r="J23" t="s">
        <v>769</v>
      </c>
      <c r="L23" t="s">
        <v>770</v>
      </c>
    </row>
    <row r="24" spans="1:20" x14ac:dyDescent="0.2">
      <c r="B24" t="s">
        <v>37</v>
      </c>
      <c r="C24" t="s">
        <v>442</v>
      </c>
      <c r="D24" t="s">
        <v>37</v>
      </c>
      <c r="E24" t="s">
        <v>442</v>
      </c>
      <c r="F24" t="s">
        <v>37</v>
      </c>
      <c r="G24" t="s">
        <v>442</v>
      </c>
      <c r="H24" t="s">
        <v>37</v>
      </c>
      <c r="I24" t="s">
        <v>442</v>
      </c>
      <c r="J24" t="s">
        <v>37</v>
      </c>
      <c r="K24" t="s">
        <v>442</v>
      </c>
      <c r="L24" t="s">
        <v>37</v>
      </c>
      <c r="M24" t="s">
        <v>442</v>
      </c>
    </row>
    <row r="25" spans="1:20" x14ac:dyDescent="0.2">
      <c r="A25" t="s">
        <v>60</v>
      </c>
      <c r="B25">
        <f>B11/B4</f>
        <v>0.4</v>
      </c>
      <c r="C25">
        <f>C11/C4</f>
        <v>0.6</v>
      </c>
      <c r="D25">
        <f>E11/E4</f>
        <v>0.6</v>
      </c>
      <c r="E25">
        <f>F11/F4</f>
        <v>0.6875</v>
      </c>
      <c r="F25">
        <f>H11/H4</f>
        <v>0.22222222222222221</v>
      </c>
      <c r="G25">
        <f>I11/I4</f>
        <v>0.42857142857142855</v>
      </c>
      <c r="H25">
        <f>K11/K4</f>
        <v>0.55555555555555558</v>
      </c>
      <c r="I25">
        <f>L11/L4</f>
        <v>0.47368421052631576</v>
      </c>
      <c r="J25">
        <f>N11/N4</f>
        <v>0.4375</v>
      </c>
      <c r="K25">
        <f>O11/O4</f>
        <v>0.53846153846153844</v>
      </c>
      <c r="L25">
        <f>Q11/Q4</f>
        <v>0.46666666666666667</v>
      </c>
      <c r="M25">
        <f>R11/R4</f>
        <v>0.33333333333333331</v>
      </c>
    </row>
    <row r="26" spans="1:20" x14ac:dyDescent="0.2">
      <c r="A26" t="s">
        <v>65</v>
      </c>
      <c r="B26">
        <f>B12/B5</f>
        <v>0.8</v>
      </c>
      <c r="C26">
        <f>C12/C5</f>
        <v>0.8</v>
      </c>
      <c r="D26">
        <f>E12/E5</f>
        <v>0.5</v>
      </c>
      <c r="E26">
        <f>F12/F5</f>
        <v>0.625</v>
      </c>
      <c r="F26">
        <f>H12/H5</f>
        <v>0.22222222222222221</v>
      </c>
      <c r="G26">
        <f>I12/I5</f>
        <v>0.6428571428571429</v>
      </c>
      <c r="H26">
        <f>K12/K5</f>
        <v>0.55555555555555558</v>
      </c>
      <c r="I26">
        <f>L12/L5</f>
        <v>0.57894736842105265</v>
      </c>
      <c r="J26">
        <f>N12/N5</f>
        <v>0.5625</v>
      </c>
      <c r="K26">
        <f>O12/O5</f>
        <v>0.69230769230769229</v>
      </c>
      <c r="L26">
        <f>Q12/Q5</f>
        <v>0.66666666666666663</v>
      </c>
      <c r="M26">
        <f>R12/R5</f>
        <v>0.58333333333333337</v>
      </c>
    </row>
    <row r="27" spans="1:20" x14ac:dyDescent="0.2">
      <c r="A27" t="s">
        <v>48</v>
      </c>
      <c r="B27">
        <f>B13/B6</f>
        <v>0.25</v>
      </c>
      <c r="C27">
        <f>C13/C6</f>
        <v>0.2857142857142857</v>
      </c>
      <c r="D27">
        <f>E13/E6</f>
        <v>0.4</v>
      </c>
      <c r="E27">
        <f>F13/F6</f>
        <v>0.6</v>
      </c>
      <c r="F27">
        <f>H13/H6</f>
        <v>0.5</v>
      </c>
      <c r="G27">
        <f>I13/I6</f>
        <v>0</v>
      </c>
      <c r="H27">
        <f>K13/K6</f>
        <v>0.42857142857142855</v>
      </c>
      <c r="I27">
        <f>L13/L6</f>
        <v>0</v>
      </c>
      <c r="J27">
        <f>N13/N6</f>
        <v>0.16666666666666666</v>
      </c>
      <c r="K27">
        <f>O13/O6</f>
        <v>0</v>
      </c>
      <c r="L27">
        <f>Q13/Q6</f>
        <v>0.5</v>
      </c>
      <c r="M27">
        <f>R13/R6</f>
        <v>0</v>
      </c>
    </row>
    <row r="28" spans="1:20" x14ac:dyDescent="0.2">
      <c r="A28" t="s">
        <v>47</v>
      </c>
      <c r="B28">
        <f>B14/B7</f>
        <v>0</v>
      </c>
      <c r="C28">
        <f>C14/C7</f>
        <v>0.5</v>
      </c>
      <c r="D28">
        <f>E14/E7</f>
        <v>0</v>
      </c>
      <c r="E28">
        <f>F14/F7</f>
        <v>1</v>
      </c>
      <c r="F28">
        <f>H14/H7</f>
        <v>0</v>
      </c>
      <c r="G28">
        <f>I14/I7</f>
        <v>0.6</v>
      </c>
      <c r="H28">
        <f>K14/K7</f>
        <v>0</v>
      </c>
      <c r="I28">
        <f>L14/L7</f>
        <v>0.375</v>
      </c>
      <c r="J28">
        <f>N14/N7</f>
        <v>0.16666666666666666</v>
      </c>
      <c r="K28">
        <f>O14/O7</f>
        <v>1</v>
      </c>
      <c r="L28">
        <f>Q14/Q7</f>
        <v>0.5</v>
      </c>
      <c r="M28">
        <f>R14/R7</f>
        <v>0</v>
      </c>
    </row>
    <row r="29" spans="1:20" x14ac:dyDescent="0.2">
      <c r="A29" t="s">
        <v>46</v>
      </c>
      <c r="B29">
        <v>0</v>
      </c>
      <c r="C29">
        <f>C15/C8</f>
        <v>0.75</v>
      </c>
      <c r="D29">
        <f>E15/E8</f>
        <v>0.66666666666666663</v>
      </c>
      <c r="E29">
        <f>F15/F8</f>
        <v>0.2857142857142857</v>
      </c>
      <c r="F29">
        <f>H15/H8</f>
        <v>0</v>
      </c>
      <c r="G29">
        <f>I15/I8</f>
        <v>0.33333333333333331</v>
      </c>
      <c r="H29">
        <f>K15/K8</f>
        <v>0.5</v>
      </c>
      <c r="I29">
        <f>L15/L8</f>
        <v>0.5</v>
      </c>
      <c r="J29">
        <f>N15/N8</f>
        <v>0</v>
      </c>
      <c r="K29">
        <f>O15/O8</f>
        <v>0.33333333333333331</v>
      </c>
      <c r="L29">
        <f>Q15/Q8</f>
        <v>0.25</v>
      </c>
      <c r="M29">
        <f>R15/R8</f>
        <v>0.66666666666666663</v>
      </c>
    </row>
    <row r="30" spans="1:20" x14ac:dyDescent="0.2">
      <c r="A30" t="s">
        <v>771</v>
      </c>
      <c r="B30">
        <f>B17/B10</f>
        <v>0.1</v>
      </c>
      <c r="C30">
        <f>C17/C10</f>
        <v>6.6666666666666666E-2</v>
      </c>
      <c r="D30">
        <f>E17/E10</f>
        <v>0.3</v>
      </c>
      <c r="E30">
        <f>F17/F10</f>
        <v>0.125</v>
      </c>
      <c r="F30">
        <f>H17/H10</f>
        <v>0.66666666666666663</v>
      </c>
      <c r="G30">
        <f>I17/I10</f>
        <v>0.35714285714285715</v>
      </c>
      <c r="H30">
        <f>K17/K10</f>
        <v>0.1111111111111111</v>
      </c>
      <c r="I30">
        <f>L17/L10</f>
        <v>0.15789473684210525</v>
      </c>
      <c r="J30">
        <f>N17/N10</f>
        <v>0.1875</v>
      </c>
      <c r="K30">
        <f>O17/O10</f>
        <v>0</v>
      </c>
      <c r="L30">
        <f>Q17/Q10</f>
        <v>0.2</v>
      </c>
      <c r="M30">
        <f>R17/R10</f>
        <v>0.25</v>
      </c>
    </row>
    <row r="32" spans="1:20" x14ac:dyDescent="0.2">
      <c r="B32" t="s">
        <v>37</v>
      </c>
      <c r="C32" t="s">
        <v>442</v>
      </c>
    </row>
    <row r="33" spans="1:3" x14ac:dyDescent="0.2">
      <c r="A33" t="s">
        <v>60</v>
      </c>
      <c r="B33">
        <f>AVERAGE(B25,D25,F25,H25,J25,L25)</f>
        <v>0.44699074074074074</v>
      </c>
      <c r="C33">
        <f>AVERAGE(C25,E25,G25,I25,K25,M25)</f>
        <v>0.51025841848210274</v>
      </c>
    </row>
    <row r="34" spans="1:3" x14ac:dyDescent="0.2">
      <c r="A34" t="s">
        <v>65</v>
      </c>
      <c r="B34">
        <f t="shared" ref="B34:B38" si="0">AVERAGE(B26,D26,F26,H26,J26,L26)</f>
        <v>0.55115740740740737</v>
      </c>
      <c r="C34">
        <f t="shared" ref="C34:C38" si="1">AVERAGE(C26,E26,G26,I26,K26,M26)</f>
        <v>0.65374092281987017</v>
      </c>
    </row>
    <row r="35" spans="1:3" x14ac:dyDescent="0.2">
      <c r="A35" t="s">
        <v>48</v>
      </c>
      <c r="B35">
        <f t="shared" si="0"/>
        <v>0.37420634920634921</v>
      </c>
      <c r="C35">
        <f t="shared" si="1"/>
        <v>0.14761904761904762</v>
      </c>
    </row>
    <row r="36" spans="1:3" x14ac:dyDescent="0.2">
      <c r="A36" t="s">
        <v>47</v>
      </c>
      <c r="B36">
        <f t="shared" si="0"/>
        <v>0.1111111111111111</v>
      </c>
      <c r="C36">
        <f t="shared" si="1"/>
        <v>0.57916666666666672</v>
      </c>
    </row>
    <row r="37" spans="1:3" x14ac:dyDescent="0.2">
      <c r="A37" t="s">
        <v>46</v>
      </c>
      <c r="B37">
        <f t="shared" si="0"/>
        <v>0.23611111111111108</v>
      </c>
      <c r="C37">
        <f t="shared" si="1"/>
        <v>0.47817460317460309</v>
      </c>
    </row>
    <row r="38" spans="1:3" x14ac:dyDescent="0.2">
      <c r="A38" t="s">
        <v>771</v>
      </c>
      <c r="B38">
        <f t="shared" si="0"/>
        <v>0.26087962962962963</v>
      </c>
      <c r="C38">
        <f t="shared" si="1"/>
        <v>0.15945071010860487</v>
      </c>
    </row>
  </sheetData>
  <pageMargins left="0.7" right="0.7" top="0.75" bottom="0.75" header="0.3" footer="0.3"/>
  <drawing r:id="rId2"/>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V229"/>
  <sheetViews>
    <sheetView workbookViewId="0">
      <selection activeCell="C28" sqref="C28"/>
    </sheetView>
  </sheetViews>
  <sheetFormatPr baseColWidth="10" defaultRowHeight="16" x14ac:dyDescent="0.2"/>
  <sheetData>
    <row r="1" spans="1:22" x14ac:dyDescent="0.2">
      <c r="A1" t="s">
        <v>0</v>
      </c>
      <c r="B1" t="s">
        <v>1</v>
      </c>
      <c r="C1" t="s">
        <v>4</v>
      </c>
      <c r="D1" t="s">
        <v>5</v>
      </c>
      <c r="E1" t="s">
        <v>31</v>
      </c>
      <c r="F1" t="s">
        <v>14</v>
      </c>
      <c r="G1" t="s">
        <v>15</v>
      </c>
      <c r="H1" t="s">
        <v>16</v>
      </c>
      <c r="I1" t="s">
        <v>17</v>
      </c>
      <c r="J1" t="s">
        <v>18</v>
      </c>
      <c r="K1" t="s">
        <v>19</v>
      </c>
      <c r="L1" t="s">
        <v>20</v>
      </c>
      <c r="M1" t="s">
        <v>21</v>
      </c>
      <c r="N1" t="s">
        <v>22</v>
      </c>
      <c r="O1" t="s">
        <v>23</v>
      </c>
      <c r="P1" t="s">
        <v>24</v>
      </c>
      <c r="Q1" t="s">
        <v>25</v>
      </c>
      <c r="R1" t="s">
        <v>26</v>
      </c>
      <c r="S1" t="s">
        <v>27</v>
      </c>
      <c r="T1" t="s">
        <v>28</v>
      </c>
      <c r="U1" t="s">
        <v>29</v>
      </c>
      <c r="V1" t="s">
        <v>30</v>
      </c>
    </row>
    <row r="2" spans="1:22" x14ac:dyDescent="0.2">
      <c r="A2" t="s">
        <v>32</v>
      </c>
      <c r="B2" t="s">
        <v>33</v>
      </c>
      <c r="C2" t="s">
        <v>41</v>
      </c>
      <c r="D2" t="s">
        <v>42</v>
      </c>
      <c r="E2" t="s">
        <v>37</v>
      </c>
      <c r="F2" t="s">
        <v>46</v>
      </c>
      <c r="G2" t="s">
        <v>47</v>
      </c>
      <c r="H2" t="s">
        <v>48</v>
      </c>
      <c r="I2">
        <v>0</v>
      </c>
      <c r="J2">
        <v>0</v>
      </c>
      <c r="K2">
        <v>1</v>
      </c>
      <c r="L2">
        <v>1</v>
      </c>
      <c r="M2">
        <v>1</v>
      </c>
      <c r="N2">
        <v>0</v>
      </c>
      <c r="O2">
        <v>1</v>
      </c>
      <c r="P2">
        <v>0</v>
      </c>
      <c r="Q2">
        <v>0</v>
      </c>
      <c r="R2">
        <v>1</v>
      </c>
      <c r="S2">
        <v>0</v>
      </c>
      <c r="T2">
        <v>0</v>
      </c>
      <c r="U2">
        <v>0</v>
      </c>
      <c r="V2">
        <v>0</v>
      </c>
    </row>
    <row r="3" spans="1:22" x14ac:dyDescent="0.2">
      <c r="A3" t="s">
        <v>81</v>
      </c>
      <c r="B3" t="s">
        <v>33</v>
      </c>
      <c r="C3" t="s">
        <v>41</v>
      </c>
      <c r="D3" t="s">
        <v>67</v>
      </c>
      <c r="E3" t="s">
        <v>37</v>
      </c>
      <c r="F3" t="s">
        <v>47</v>
      </c>
      <c r="G3" t="s">
        <v>48</v>
      </c>
      <c r="H3" t="s">
        <v>46</v>
      </c>
      <c r="I3">
        <v>0</v>
      </c>
      <c r="J3">
        <v>0</v>
      </c>
      <c r="K3">
        <v>1</v>
      </c>
      <c r="L3">
        <v>1</v>
      </c>
      <c r="M3">
        <v>1</v>
      </c>
      <c r="N3">
        <v>0</v>
      </c>
      <c r="O3">
        <v>1</v>
      </c>
      <c r="P3">
        <v>0</v>
      </c>
      <c r="Q3">
        <v>0</v>
      </c>
      <c r="R3">
        <v>1</v>
      </c>
      <c r="S3">
        <v>0</v>
      </c>
      <c r="T3">
        <v>0</v>
      </c>
      <c r="U3">
        <v>0</v>
      </c>
      <c r="V3">
        <v>0</v>
      </c>
    </row>
    <row r="4" spans="1:22" x14ac:dyDescent="0.2">
      <c r="A4" t="s">
        <v>91</v>
      </c>
      <c r="B4" t="s">
        <v>92</v>
      </c>
      <c r="C4" t="s">
        <v>41</v>
      </c>
      <c r="D4" t="s">
        <v>72</v>
      </c>
      <c r="E4" t="s">
        <v>37</v>
      </c>
      <c r="F4" t="s">
        <v>46</v>
      </c>
      <c r="G4" t="s">
        <v>48</v>
      </c>
      <c r="H4" t="s">
        <v>59</v>
      </c>
      <c r="I4">
        <v>0</v>
      </c>
      <c r="J4">
        <v>0</v>
      </c>
      <c r="K4">
        <v>1</v>
      </c>
      <c r="L4">
        <v>0</v>
      </c>
      <c r="M4">
        <v>1</v>
      </c>
      <c r="N4">
        <v>0</v>
      </c>
      <c r="O4">
        <v>1</v>
      </c>
      <c r="P4">
        <v>0</v>
      </c>
      <c r="Q4">
        <v>0</v>
      </c>
      <c r="R4">
        <v>1</v>
      </c>
      <c r="S4">
        <v>0</v>
      </c>
      <c r="T4">
        <v>0</v>
      </c>
      <c r="U4">
        <v>0</v>
      </c>
      <c r="V4">
        <v>0</v>
      </c>
    </row>
    <row r="5" spans="1:22" x14ac:dyDescent="0.2">
      <c r="A5" t="s">
        <v>91</v>
      </c>
      <c r="B5" t="s">
        <v>92</v>
      </c>
      <c r="C5" t="s">
        <v>41</v>
      </c>
      <c r="D5" t="s">
        <v>55</v>
      </c>
      <c r="E5" t="s">
        <v>37</v>
      </c>
      <c r="F5" t="s">
        <v>47</v>
      </c>
      <c r="G5" t="s">
        <v>48</v>
      </c>
      <c r="H5" t="s">
        <v>65</v>
      </c>
      <c r="I5">
        <v>0</v>
      </c>
      <c r="J5">
        <v>1</v>
      </c>
      <c r="K5">
        <v>1</v>
      </c>
      <c r="L5">
        <v>1</v>
      </c>
      <c r="M5">
        <v>0</v>
      </c>
      <c r="N5">
        <v>0</v>
      </c>
      <c r="O5">
        <v>1</v>
      </c>
      <c r="P5">
        <v>0</v>
      </c>
      <c r="Q5">
        <v>0</v>
      </c>
      <c r="R5">
        <v>1</v>
      </c>
      <c r="S5">
        <v>0</v>
      </c>
      <c r="T5">
        <v>0</v>
      </c>
      <c r="U5">
        <v>0</v>
      </c>
      <c r="V5">
        <v>0</v>
      </c>
    </row>
    <row r="6" spans="1:22" x14ac:dyDescent="0.2">
      <c r="A6" t="s">
        <v>101</v>
      </c>
      <c r="B6" t="s">
        <v>33</v>
      </c>
      <c r="C6" t="s">
        <v>41</v>
      </c>
      <c r="D6" t="s">
        <v>72</v>
      </c>
      <c r="E6" t="s">
        <v>37</v>
      </c>
      <c r="F6" t="s">
        <v>60</v>
      </c>
      <c r="G6" t="s">
        <v>59</v>
      </c>
      <c r="H6" t="s">
        <v>48</v>
      </c>
      <c r="I6">
        <v>1</v>
      </c>
      <c r="J6">
        <v>0</v>
      </c>
      <c r="K6">
        <v>1</v>
      </c>
      <c r="L6">
        <v>0</v>
      </c>
      <c r="M6">
        <v>0</v>
      </c>
      <c r="N6">
        <v>0</v>
      </c>
      <c r="O6">
        <v>1</v>
      </c>
      <c r="P6">
        <v>0</v>
      </c>
      <c r="Q6">
        <v>0</v>
      </c>
      <c r="R6">
        <v>1</v>
      </c>
      <c r="S6">
        <v>0</v>
      </c>
      <c r="T6">
        <v>0</v>
      </c>
      <c r="U6">
        <v>0</v>
      </c>
      <c r="V6">
        <v>0</v>
      </c>
    </row>
    <row r="7" spans="1:22" x14ac:dyDescent="0.2">
      <c r="A7" t="s">
        <v>129</v>
      </c>
      <c r="B7" t="s">
        <v>33</v>
      </c>
      <c r="C7" t="s">
        <v>41</v>
      </c>
      <c r="D7" t="s">
        <v>72</v>
      </c>
      <c r="E7" t="s">
        <v>37</v>
      </c>
      <c r="F7" t="s">
        <v>59</v>
      </c>
      <c r="G7" t="s">
        <v>46</v>
      </c>
      <c r="H7" t="s">
        <v>48</v>
      </c>
      <c r="I7">
        <v>0</v>
      </c>
      <c r="J7">
        <v>0</v>
      </c>
      <c r="K7">
        <v>1</v>
      </c>
      <c r="L7">
        <v>0</v>
      </c>
      <c r="M7">
        <v>1</v>
      </c>
      <c r="N7">
        <v>0</v>
      </c>
      <c r="O7">
        <v>1</v>
      </c>
      <c r="P7">
        <v>0</v>
      </c>
      <c r="Q7">
        <v>0</v>
      </c>
      <c r="R7">
        <v>1</v>
      </c>
      <c r="S7">
        <v>0</v>
      </c>
      <c r="T7">
        <v>0</v>
      </c>
      <c r="U7">
        <v>0</v>
      </c>
      <c r="V7">
        <v>0</v>
      </c>
    </row>
    <row r="8" spans="1:22" x14ac:dyDescent="0.2">
      <c r="A8" t="s">
        <v>129</v>
      </c>
      <c r="B8" t="s">
        <v>33</v>
      </c>
      <c r="C8" t="s">
        <v>41</v>
      </c>
      <c r="D8" t="s">
        <v>55</v>
      </c>
      <c r="E8" t="s">
        <v>37</v>
      </c>
      <c r="F8" t="s">
        <v>47</v>
      </c>
      <c r="G8" t="s">
        <v>46</v>
      </c>
      <c r="H8" t="s">
        <v>48</v>
      </c>
      <c r="I8">
        <v>0</v>
      </c>
      <c r="J8">
        <v>0</v>
      </c>
      <c r="K8">
        <v>1</v>
      </c>
      <c r="L8">
        <v>1</v>
      </c>
      <c r="M8">
        <v>1</v>
      </c>
      <c r="N8">
        <v>0</v>
      </c>
      <c r="O8">
        <v>1</v>
      </c>
      <c r="P8">
        <v>0</v>
      </c>
      <c r="Q8">
        <v>0</v>
      </c>
      <c r="R8">
        <v>1</v>
      </c>
      <c r="S8">
        <v>1</v>
      </c>
      <c r="T8">
        <v>1</v>
      </c>
      <c r="U8">
        <v>0</v>
      </c>
      <c r="V8">
        <v>0</v>
      </c>
    </row>
    <row r="9" spans="1:22" x14ac:dyDescent="0.2">
      <c r="A9" t="s">
        <v>129</v>
      </c>
      <c r="B9" t="s">
        <v>33</v>
      </c>
      <c r="C9" t="s">
        <v>41</v>
      </c>
      <c r="D9" t="s">
        <v>67</v>
      </c>
      <c r="E9" t="s">
        <v>37</v>
      </c>
      <c r="F9" t="s">
        <v>47</v>
      </c>
      <c r="G9" t="s">
        <v>48</v>
      </c>
      <c r="H9" t="s">
        <v>46</v>
      </c>
      <c r="I9">
        <v>0</v>
      </c>
      <c r="J9">
        <v>0</v>
      </c>
      <c r="K9">
        <v>1</v>
      </c>
      <c r="L9">
        <v>1</v>
      </c>
      <c r="M9">
        <v>1</v>
      </c>
      <c r="N9">
        <v>0</v>
      </c>
      <c r="O9">
        <v>1</v>
      </c>
      <c r="P9">
        <v>0</v>
      </c>
      <c r="Q9">
        <v>0</v>
      </c>
      <c r="R9">
        <v>1</v>
      </c>
      <c r="S9">
        <v>1</v>
      </c>
      <c r="T9">
        <v>1</v>
      </c>
      <c r="U9">
        <v>0</v>
      </c>
      <c r="V9">
        <v>0</v>
      </c>
    </row>
    <row r="10" spans="1:22" x14ac:dyDescent="0.2">
      <c r="A10" t="s">
        <v>129</v>
      </c>
      <c r="B10" t="s">
        <v>33</v>
      </c>
      <c r="C10" t="s">
        <v>41</v>
      </c>
      <c r="D10" t="s">
        <v>61</v>
      </c>
      <c r="E10" t="s">
        <v>37</v>
      </c>
      <c r="F10" t="s">
        <v>46</v>
      </c>
      <c r="G10" t="s">
        <v>48</v>
      </c>
      <c r="H10" t="s">
        <v>47</v>
      </c>
      <c r="I10">
        <v>0</v>
      </c>
      <c r="J10">
        <v>0</v>
      </c>
      <c r="K10">
        <v>1</v>
      </c>
      <c r="L10">
        <v>1</v>
      </c>
      <c r="M10">
        <v>1</v>
      </c>
      <c r="N10">
        <v>0</v>
      </c>
      <c r="O10">
        <v>1</v>
      </c>
      <c r="P10">
        <v>0</v>
      </c>
      <c r="Q10">
        <v>0</v>
      </c>
      <c r="R10">
        <v>1</v>
      </c>
      <c r="S10">
        <v>1</v>
      </c>
      <c r="T10">
        <v>1</v>
      </c>
      <c r="U10">
        <v>0</v>
      </c>
      <c r="V10">
        <v>0</v>
      </c>
    </row>
    <row r="11" spans="1:22" x14ac:dyDescent="0.2">
      <c r="A11" t="s">
        <v>133</v>
      </c>
      <c r="B11" t="s">
        <v>108</v>
      </c>
      <c r="C11" t="s">
        <v>41</v>
      </c>
      <c r="D11" t="s">
        <v>42</v>
      </c>
      <c r="E11" t="s">
        <v>37</v>
      </c>
      <c r="F11" t="s">
        <v>48</v>
      </c>
      <c r="G11" t="s">
        <v>65</v>
      </c>
      <c r="H11" t="s">
        <v>60</v>
      </c>
      <c r="I11">
        <v>1</v>
      </c>
      <c r="J11">
        <v>1</v>
      </c>
      <c r="K11">
        <v>1</v>
      </c>
      <c r="L11">
        <v>0</v>
      </c>
      <c r="M11">
        <v>0</v>
      </c>
      <c r="N11">
        <v>0</v>
      </c>
      <c r="O11">
        <v>1</v>
      </c>
      <c r="P11">
        <v>1</v>
      </c>
      <c r="Q11">
        <v>1</v>
      </c>
      <c r="R11">
        <v>1</v>
      </c>
      <c r="S11">
        <v>0</v>
      </c>
      <c r="T11">
        <v>0</v>
      </c>
      <c r="U11">
        <v>0</v>
      </c>
      <c r="V11">
        <v>0</v>
      </c>
    </row>
    <row r="12" spans="1:22" x14ac:dyDescent="0.2">
      <c r="A12" t="s">
        <v>143</v>
      </c>
      <c r="B12" t="s">
        <v>108</v>
      </c>
      <c r="C12" t="s">
        <v>41</v>
      </c>
      <c r="D12" t="s">
        <v>42</v>
      </c>
      <c r="E12" t="s">
        <v>37</v>
      </c>
      <c r="F12" t="s">
        <v>47</v>
      </c>
      <c r="G12" t="s">
        <v>59</v>
      </c>
      <c r="H12" t="s">
        <v>48</v>
      </c>
      <c r="I12">
        <v>0</v>
      </c>
      <c r="J12">
        <v>0</v>
      </c>
      <c r="K12">
        <v>1</v>
      </c>
      <c r="L12">
        <v>1</v>
      </c>
      <c r="M12">
        <v>0</v>
      </c>
      <c r="N12">
        <v>0</v>
      </c>
      <c r="O12">
        <v>1</v>
      </c>
      <c r="P12">
        <v>0</v>
      </c>
      <c r="Q12">
        <v>0</v>
      </c>
      <c r="R12">
        <v>1</v>
      </c>
      <c r="S12">
        <v>1</v>
      </c>
      <c r="T12">
        <v>0</v>
      </c>
      <c r="U12">
        <v>0</v>
      </c>
      <c r="V12">
        <v>0</v>
      </c>
    </row>
    <row r="13" spans="1:22" x14ac:dyDescent="0.2">
      <c r="A13" t="s">
        <v>159</v>
      </c>
      <c r="B13" t="s">
        <v>108</v>
      </c>
      <c r="C13" t="s">
        <v>41</v>
      </c>
      <c r="D13" t="s">
        <v>42</v>
      </c>
      <c r="E13" t="s">
        <v>37</v>
      </c>
      <c r="F13" t="s">
        <v>60</v>
      </c>
      <c r="G13" t="s">
        <v>47</v>
      </c>
      <c r="H13" t="s">
        <v>48</v>
      </c>
      <c r="I13">
        <v>1</v>
      </c>
      <c r="J13">
        <v>0</v>
      </c>
      <c r="K13">
        <v>1</v>
      </c>
      <c r="L13">
        <v>1</v>
      </c>
      <c r="M13">
        <v>0</v>
      </c>
      <c r="N13">
        <v>0</v>
      </c>
      <c r="O13">
        <v>1</v>
      </c>
      <c r="P13">
        <v>1</v>
      </c>
      <c r="Q13">
        <v>0</v>
      </c>
      <c r="R13">
        <v>1</v>
      </c>
      <c r="S13">
        <v>1</v>
      </c>
      <c r="T13">
        <v>0</v>
      </c>
      <c r="U13">
        <v>0</v>
      </c>
      <c r="V13">
        <v>0</v>
      </c>
    </row>
    <row r="14" spans="1:22" x14ac:dyDescent="0.2">
      <c r="A14" t="s">
        <v>159</v>
      </c>
      <c r="B14" t="s">
        <v>108</v>
      </c>
      <c r="C14" t="s">
        <v>41</v>
      </c>
      <c r="D14" t="s">
        <v>72</v>
      </c>
      <c r="E14" t="s">
        <v>37</v>
      </c>
      <c r="F14" t="s">
        <v>47</v>
      </c>
      <c r="G14" t="s">
        <v>59</v>
      </c>
      <c r="H14" t="s">
        <v>48</v>
      </c>
      <c r="I14">
        <v>0</v>
      </c>
      <c r="J14">
        <v>0</v>
      </c>
      <c r="K14">
        <v>1</v>
      </c>
      <c r="L14">
        <v>1</v>
      </c>
      <c r="M14">
        <v>0</v>
      </c>
      <c r="N14">
        <v>0</v>
      </c>
      <c r="O14">
        <v>1</v>
      </c>
      <c r="P14">
        <v>0</v>
      </c>
      <c r="Q14">
        <v>0</v>
      </c>
      <c r="R14">
        <v>1</v>
      </c>
      <c r="S14">
        <v>1</v>
      </c>
      <c r="T14">
        <v>0</v>
      </c>
      <c r="U14">
        <v>0</v>
      </c>
      <c r="V14">
        <v>0</v>
      </c>
    </row>
    <row r="15" spans="1:22" x14ac:dyDescent="0.2">
      <c r="A15" t="s">
        <v>159</v>
      </c>
      <c r="B15" t="s">
        <v>108</v>
      </c>
      <c r="C15" t="s">
        <v>41</v>
      </c>
      <c r="D15" t="s">
        <v>55</v>
      </c>
      <c r="E15" t="s">
        <v>37</v>
      </c>
      <c r="F15" t="s">
        <v>47</v>
      </c>
      <c r="G15" t="s">
        <v>48</v>
      </c>
      <c r="H15" t="s">
        <v>65</v>
      </c>
      <c r="I15">
        <v>0</v>
      </c>
      <c r="J15">
        <v>1</v>
      </c>
      <c r="K15">
        <v>1</v>
      </c>
      <c r="L15">
        <v>1</v>
      </c>
      <c r="M15">
        <v>0</v>
      </c>
      <c r="N15">
        <v>0</v>
      </c>
      <c r="O15">
        <v>1</v>
      </c>
      <c r="P15">
        <v>0</v>
      </c>
      <c r="Q15">
        <v>1</v>
      </c>
      <c r="R15">
        <v>1</v>
      </c>
      <c r="S15">
        <v>1</v>
      </c>
      <c r="T15">
        <v>0</v>
      </c>
      <c r="U15">
        <v>0</v>
      </c>
      <c r="V15">
        <v>0</v>
      </c>
    </row>
    <row r="16" spans="1:22" x14ac:dyDescent="0.2">
      <c r="A16" t="s">
        <v>159</v>
      </c>
      <c r="B16" t="s">
        <v>108</v>
      </c>
      <c r="C16" t="s">
        <v>41</v>
      </c>
      <c r="D16" t="s">
        <v>67</v>
      </c>
      <c r="E16" t="s">
        <v>37</v>
      </c>
      <c r="F16" t="s">
        <v>47</v>
      </c>
      <c r="G16" t="s">
        <v>65</v>
      </c>
      <c r="H16" t="s">
        <v>48</v>
      </c>
      <c r="I16">
        <v>0</v>
      </c>
      <c r="J16">
        <v>1</v>
      </c>
      <c r="K16">
        <v>1</v>
      </c>
      <c r="L16">
        <v>1</v>
      </c>
      <c r="M16">
        <v>0</v>
      </c>
      <c r="N16">
        <v>0</v>
      </c>
      <c r="O16">
        <v>1</v>
      </c>
      <c r="P16">
        <v>0</v>
      </c>
      <c r="Q16">
        <v>1</v>
      </c>
      <c r="R16">
        <v>1</v>
      </c>
      <c r="S16">
        <v>1</v>
      </c>
      <c r="T16">
        <v>0</v>
      </c>
      <c r="U16">
        <v>0</v>
      </c>
      <c r="V16">
        <v>0</v>
      </c>
    </row>
    <row r="17" spans="1:22" x14ac:dyDescent="0.2">
      <c r="A17" t="s">
        <v>163</v>
      </c>
      <c r="B17" t="s">
        <v>33</v>
      </c>
      <c r="C17" t="s">
        <v>41</v>
      </c>
      <c r="D17" t="s">
        <v>49</v>
      </c>
      <c r="E17" t="s">
        <v>37</v>
      </c>
      <c r="F17" t="s">
        <v>48</v>
      </c>
      <c r="G17" t="s">
        <v>60</v>
      </c>
      <c r="H17" t="s">
        <v>46</v>
      </c>
      <c r="I17">
        <v>1</v>
      </c>
      <c r="J17">
        <v>0</v>
      </c>
      <c r="K17">
        <v>1</v>
      </c>
      <c r="L17">
        <v>0</v>
      </c>
      <c r="M17">
        <v>1</v>
      </c>
      <c r="N17">
        <v>0</v>
      </c>
      <c r="O17">
        <v>1</v>
      </c>
      <c r="P17">
        <v>1</v>
      </c>
      <c r="Q17">
        <v>0</v>
      </c>
      <c r="R17">
        <v>1</v>
      </c>
      <c r="S17">
        <v>0</v>
      </c>
      <c r="T17">
        <v>1</v>
      </c>
      <c r="U17">
        <v>0</v>
      </c>
      <c r="V17">
        <v>0</v>
      </c>
    </row>
    <row r="18" spans="1:22" x14ac:dyDescent="0.2">
      <c r="A18" t="s">
        <v>163</v>
      </c>
      <c r="B18" t="s">
        <v>33</v>
      </c>
      <c r="C18" t="s">
        <v>41</v>
      </c>
      <c r="D18" t="s">
        <v>55</v>
      </c>
      <c r="E18" t="s">
        <v>37</v>
      </c>
      <c r="F18" t="s">
        <v>48</v>
      </c>
      <c r="G18" t="s">
        <v>59</v>
      </c>
      <c r="H18" t="s">
        <v>46</v>
      </c>
      <c r="I18">
        <v>0</v>
      </c>
      <c r="J18">
        <v>0</v>
      </c>
      <c r="K18">
        <v>1</v>
      </c>
      <c r="L18">
        <v>0</v>
      </c>
      <c r="M18">
        <v>1</v>
      </c>
      <c r="N18">
        <v>0</v>
      </c>
      <c r="O18">
        <v>1</v>
      </c>
      <c r="P18">
        <v>0</v>
      </c>
      <c r="Q18">
        <v>0</v>
      </c>
      <c r="R18">
        <v>1</v>
      </c>
      <c r="S18">
        <v>0</v>
      </c>
      <c r="T18">
        <v>1</v>
      </c>
      <c r="U18">
        <v>0</v>
      </c>
      <c r="V18">
        <v>0</v>
      </c>
    </row>
    <row r="19" spans="1:22" x14ac:dyDescent="0.2">
      <c r="A19" t="s">
        <v>163</v>
      </c>
      <c r="B19" t="s">
        <v>33</v>
      </c>
      <c r="C19" t="s">
        <v>41</v>
      </c>
      <c r="D19" t="s">
        <v>67</v>
      </c>
      <c r="E19" t="s">
        <v>37</v>
      </c>
      <c r="F19" t="s">
        <v>60</v>
      </c>
      <c r="G19" t="s">
        <v>48</v>
      </c>
      <c r="H19" t="s">
        <v>47</v>
      </c>
      <c r="I19">
        <v>1</v>
      </c>
      <c r="J19">
        <v>0</v>
      </c>
      <c r="K19">
        <v>1</v>
      </c>
      <c r="L19">
        <v>1</v>
      </c>
      <c r="M19">
        <v>0</v>
      </c>
      <c r="N19">
        <v>0</v>
      </c>
      <c r="O19">
        <v>1</v>
      </c>
      <c r="P19">
        <v>1</v>
      </c>
      <c r="Q19">
        <v>0</v>
      </c>
      <c r="R19">
        <v>1</v>
      </c>
      <c r="S19">
        <v>1</v>
      </c>
      <c r="T19">
        <v>0</v>
      </c>
      <c r="U19">
        <v>0</v>
      </c>
      <c r="V19">
        <v>0</v>
      </c>
    </row>
    <row r="20" spans="1:22" x14ac:dyDescent="0.2">
      <c r="A20" t="s">
        <v>163</v>
      </c>
      <c r="B20" t="s">
        <v>33</v>
      </c>
      <c r="C20" t="s">
        <v>41</v>
      </c>
      <c r="D20" t="s">
        <v>61</v>
      </c>
      <c r="E20" t="s">
        <v>37</v>
      </c>
      <c r="F20" t="s">
        <v>46</v>
      </c>
      <c r="G20" t="s">
        <v>47</v>
      </c>
      <c r="H20" t="s">
        <v>48</v>
      </c>
      <c r="I20">
        <v>0</v>
      </c>
      <c r="J20">
        <v>0</v>
      </c>
      <c r="K20">
        <v>1</v>
      </c>
      <c r="L20">
        <v>1</v>
      </c>
      <c r="M20">
        <v>1</v>
      </c>
      <c r="N20">
        <v>0</v>
      </c>
      <c r="O20">
        <v>1</v>
      </c>
      <c r="P20">
        <v>0</v>
      </c>
      <c r="Q20">
        <v>0</v>
      </c>
      <c r="R20">
        <v>1</v>
      </c>
      <c r="S20">
        <v>1</v>
      </c>
      <c r="T20">
        <v>1</v>
      </c>
      <c r="U20">
        <v>0</v>
      </c>
      <c r="V20">
        <v>0</v>
      </c>
    </row>
    <row r="21" spans="1:22" x14ac:dyDescent="0.2">
      <c r="A21" t="s">
        <v>170</v>
      </c>
      <c r="B21" t="s">
        <v>108</v>
      </c>
      <c r="C21" t="s">
        <v>41</v>
      </c>
      <c r="D21" t="s">
        <v>67</v>
      </c>
      <c r="E21" t="s">
        <v>37</v>
      </c>
      <c r="F21" t="s">
        <v>47</v>
      </c>
      <c r="G21" t="s">
        <v>46</v>
      </c>
      <c r="H21" t="s">
        <v>48</v>
      </c>
      <c r="I21">
        <v>0</v>
      </c>
      <c r="J21">
        <v>0</v>
      </c>
      <c r="K21">
        <v>1</v>
      </c>
      <c r="L21">
        <v>1</v>
      </c>
      <c r="M21">
        <v>1</v>
      </c>
      <c r="N21">
        <v>0</v>
      </c>
      <c r="O21">
        <v>1</v>
      </c>
      <c r="P21">
        <v>0</v>
      </c>
      <c r="Q21">
        <v>0</v>
      </c>
      <c r="R21">
        <v>1</v>
      </c>
      <c r="S21">
        <v>1</v>
      </c>
      <c r="T21">
        <v>1</v>
      </c>
      <c r="U21">
        <v>0</v>
      </c>
      <c r="V21">
        <v>0</v>
      </c>
    </row>
    <row r="22" spans="1:22" x14ac:dyDescent="0.2">
      <c r="A22" t="s">
        <v>170</v>
      </c>
      <c r="B22" t="s">
        <v>108</v>
      </c>
      <c r="C22" t="s">
        <v>41</v>
      </c>
      <c r="D22" t="s">
        <v>49</v>
      </c>
      <c r="E22" t="s">
        <v>37</v>
      </c>
      <c r="F22" t="s">
        <v>46</v>
      </c>
      <c r="G22" t="s">
        <v>65</v>
      </c>
      <c r="H22" t="s">
        <v>48</v>
      </c>
      <c r="I22">
        <v>0</v>
      </c>
      <c r="J22">
        <v>1</v>
      </c>
      <c r="K22">
        <v>1</v>
      </c>
      <c r="L22">
        <v>0</v>
      </c>
      <c r="M22">
        <v>1</v>
      </c>
      <c r="N22">
        <v>0</v>
      </c>
      <c r="O22">
        <v>1</v>
      </c>
      <c r="P22">
        <v>0</v>
      </c>
      <c r="Q22">
        <v>1</v>
      </c>
      <c r="R22">
        <v>1</v>
      </c>
      <c r="S22">
        <v>0</v>
      </c>
      <c r="T22">
        <v>1</v>
      </c>
      <c r="U22">
        <v>0</v>
      </c>
      <c r="V22">
        <v>0</v>
      </c>
    </row>
    <row r="23" spans="1:22" x14ac:dyDescent="0.2">
      <c r="A23" t="s">
        <v>170</v>
      </c>
      <c r="B23" t="s">
        <v>108</v>
      </c>
      <c r="C23" t="s">
        <v>41</v>
      </c>
      <c r="D23" t="s">
        <v>42</v>
      </c>
      <c r="E23" t="s">
        <v>37</v>
      </c>
      <c r="F23" t="s">
        <v>46</v>
      </c>
      <c r="G23" t="s">
        <v>65</v>
      </c>
      <c r="H23" t="s">
        <v>48</v>
      </c>
      <c r="I23">
        <v>0</v>
      </c>
      <c r="J23">
        <v>1</v>
      </c>
      <c r="K23">
        <v>1</v>
      </c>
      <c r="L23">
        <v>0</v>
      </c>
      <c r="M23">
        <v>1</v>
      </c>
      <c r="N23">
        <v>0</v>
      </c>
      <c r="O23">
        <v>1</v>
      </c>
      <c r="P23">
        <v>0</v>
      </c>
      <c r="Q23">
        <v>1</v>
      </c>
      <c r="R23">
        <v>1</v>
      </c>
      <c r="S23">
        <v>0</v>
      </c>
      <c r="T23">
        <v>1</v>
      </c>
      <c r="U23">
        <v>0</v>
      </c>
      <c r="V23">
        <v>0</v>
      </c>
    </row>
    <row r="24" spans="1:22" x14ac:dyDescent="0.2">
      <c r="A24" t="s">
        <v>170</v>
      </c>
      <c r="B24" t="s">
        <v>108</v>
      </c>
      <c r="C24" t="s">
        <v>41</v>
      </c>
      <c r="D24" t="s">
        <v>55</v>
      </c>
      <c r="E24" t="s">
        <v>37</v>
      </c>
      <c r="F24" t="s">
        <v>48</v>
      </c>
      <c r="G24" t="s">
        <v>65</v>
      </c>
      <c r="H24" t="s">
        <v>59</v>
      </c>
      <c r="I24">
        <v>0</v>
      </c>
      <c r="J24">
        <v>1</v>
      </c>
      <c r="K24">
        <v>1</v>
      </c>
      <c r="L24">
        <v>0</v>
      </c>
      <c r="M24">
        <v>0</v>
      </c>
      <c r="N24">
        <v>0</v>
      </c>
      <c r="O24">
        <v>1</v>
      </c>
      <c r="P24">
        <v>0</v>
      </c>
      <c r="Q24">
        <v>1</v>
      </c>
      <c r="R24">
        <v>1</v>
      </c>
      <c r="S24">
        <v>0</v>
      </c>
      <c r="T24">
        <v>0</v>
      </c>
      <c r="U24">
        <v>0</v>
      </c>
      <c r="V24">
        <v>0</v>
      </c>
    </row>
    <row r="25" spans="1:22" x14ac:dyDescent="0.2">
      <c r="A25" t="s">
        <v>170</v>
      </c>
      <c r="B25" t="s">
        <v>108</v>
      </c>
      <c r="C25" t="s">
        <v>41</v>
      </c>
      <c r="D25" t="s">
        <v>61</v>
      </c>
      <c r="E25" t="s">
        <v>37</v>
      </c>
      <c r="F25" t="s">
        <v>48</v>
      </c>
      <c r="G25" t="s">
        <v>60</v>
      </c>
      <c r="H25" t="s">
        <v>46</v>
      </c>
      <c r="I25">
        <v>1</v>
      </c>
      <c r="J25">
        <v>0</v>
      </c>
      <c r="K25">
        <v>1</v>
      </c>
      <c r="L25">
        <v>0</v>
      </c>
      <c r="M25">
        <v>1</v>
      </c>
      <c r="N25">
        <v>0</v>
      </c>
      <c r="O25">
        <v>1</v>
      </c>
      <c r="P25">
        <v>1</v>
      </c>
      <c r="Q25">
        <v>0</v>
      </c>
      <c r="R25">
        <v>1</v>
      </c>
      <c r="S25">
        <v>0</v>
      </c>
      <c r="T25">
        <v>1</v>
      </c>
      <c r="U25">
        <v>0</v>
      </c>
      <c r="V25">
        <v>0</v>
      </c>
    </row>
    <row r="26" spans="1:22" x14ac:dyDescent="0.2">
      <c r="A26" t="s">
        <v>178</v>
      </c>
      <c r="B26" t="s">
        <v>108</v>
      </c>
      <c r="C26" t="s">
        <v>41</v>
      </c>
      <c r="D26" t="s">
        <v>42</v>
      </c>
      <c r="E26" t="s">
        <v>37</v>
      </c>
      <c r="F26" t="s">
        <v>48</v>
      </c>
      <c r="G26" t="s">
        <v>46</v>
      </c>
      <c r="H26" t="s">
        <v>47</v>
      </c>
      <c r="I26">
        <v>0</v>
      </c>
      <c r="J26">
        <v>0</v>
      </c>
      <c r="K26">
        <v>1</v>
      </c>
      <c r="L26">
        <v>1</v>
      </c>
      <c r="M26">
        <v>1</v>
      </c>
      <c r="N26">
        <v>0</v>
      </c>
      <c r="O26">
        <v>1</v>
      </c>
      <c r="P26">
        <v>0</v>
      </c>
      <c r="Q26">
        <v>0</v>
      </c>
      <c r="R26">
        <v>1</v>
      </c>
      <c r="S26">
        <v>1</v>
      </c>
      <c r="T26">
        <v>1</v>
      </c>
      <c r="U26">
        <v>0</v>
      </c>
      <c r="V26">
        <v>0</v>
      </c>
    </row>
    <row r="27" spans="1:22" x14ac:dyDescent="0.2">
      <c r="A27" t="s">
        <v>180</v>
      </c>
      <c r="B27" t="s">
        <v>108</v>
      </c>
      <c r="C27" t="s">
        <v>41</v>
      </c>
      <c r="D27" t="s">
        <v>72</v>
      </c>
      <c r="E27" t="s">
        <v>37</v>
      </c>
      <c r="F27" t="s">
        <v>46</v>
      </c>
      <c r="G27" t="s">
        <v>48</v>
      </c>
      <c r="H27" t="s">
        <v>65</v>
      </c>
      <c r="I27">
        <v>0</v>
      </c>
      <c r="J27">
        <v>1</v>
      </c>
      <c r="K27">
        <v>1</v>
      </c>
      <c r="L27">
        <v>0</v>
      </c>
      <c r="M27">
        <v>1</v>
      </c>
      <c r="N27">
        <v>0</v>
      </c>
      <c r="O27">
        <v>1</v>
      </c>
      <c r="P27">
        <v>0</v>
      </c>
      <c r="Q27">
        <v>1</v>
      </c>
      <c r="R27">
        <v>1</v>
      </c>
      <c r="S27">
        <v>0</v>
      </c>
      <c r="T27">
        <v>1</v>
      </c>
      <c r="U27">
        <v>0</v>
      </c>
      <c r="V27">
        <v>0</v>
      </c>
    </row>
    <row r="28" spans="1:22" x14ac:dyDescent="0.2">
      <c r="A28" t="s">
        <v>180</v>
      </c>
      <c r="B28" t="s">
        <v>108</v>
      </c>
      <c r="C28" t="s">
        <v>41</v>
      </c>
      <c r="D28" t="s">
        <v>61</v>
      </c>
      <c r="E28" t="s">
        <v>37</v>
      </c>
      <c r="F28" t="s">
        <v>48</v>
      </c>
      <c r="G28" t="s">
        <v>65</v>
      </c>
      <c r="H28" t="s">
        <v>46</v>
      </c>
      <c r="I28">
        <v>0</v>
      </c>
      <c r="J28">
        <v>1</v>
      </c>
      <c r="K28">
        <v>1</v>
      </c>
      <c r="L28">
        <v>0</v>
      </c>
      <c r="M28">
        <v>1</v>
      </c>
      <c r="N28">
        <v>0</v>
      </c>
      <c r="O28">
        <v>1</v>
      </c>
      <c r="P28">
        <v>0</v>
      </c>
      <c r="Q28">
        <v>1</v>
      </c>
      <c r="R28">
        <v>1</v>
      </c>
      <c r="S28">
        <v>0</v>
      </c>
      <c r="T28">
        <v>1</v>
      </c>
      <c r="U28">
        <v>0</v>
      </c>
      <c r="V28">
        <v>0</v>
      </c>
    </row>
    <row r="29" spans="1:22" x14ac:dyDescent="0.2">
      <c r="A29" t="s">
        <v>187</v>
      </c>
      <c r="B29" t="s">
        <v>188</v>
      </c>
      <c r="C29" t="s">
        <v>41</v>
      </c>
      <c r="D29" t="s">
        <v>61</v>
      </c>
      <c r="E29" t="s">
        <v>37</v>
      </c>
      <c r="F29" t="s">
        <v>60</v>
      </c>
      <c r="G29" t="s">
        <v>47</v>
      </c>
      <c r="H29" t="s">
        <v>48</v>
      </c>
      <c r="I29">
        <v>1</v>
      </c>
      <c r="J29">
        <v>0</v>
      </c>
      <c r="K29">
        <v>1</v>
      </c>
      <c r="L29">
        <v>1</v>
      </c>
      <c r="M29">
        <v>0</v>
      </c>
      <c r="N29">
        <v>0</v>
      </c>
      <c r="O29">
        <v>1</v>
      </c>
      <c r="P29">
        <v>0</v>
      </c>
      <c r="Q29">
        <v>0</v>
      </c>
      <c r="R29">
        <v>1</v>
      </c>
      <c r="S29">
        <v>0</v>
      </c>
      <c r="T29">
        <v>0</v>
      </c>
      <c r="U29">
        <v>0</v>
      </c>
      <c r="V29">
        <v>0</v>
      </c>
    </row>
    <row r="30" spans="1:22" x14ac:dyDescent="0.2">
      <c r="A30" t="s">
        <v>187</v>
      </c>
      <c r="B30" t="s">
        <v>188</v>
      </c>
      <c r="C30" t="s">
        <v>41</v>
      </c>
      <c r="D30" t="s">
        <v>72</v>
      </c>
      <c r="E30" t="s">
        <v>37</v>
      </c>
      <c r="F30" t="s">
        <v>47</v>
      </c>
      <c r="G30" t="s">
        <v>65</v>
      </c>
      <c r="H30" t="s">
        <v>48</v>
      </c>
      <c r="I30">
        <v>0</v>
      </c>
      <c r="J30">
        <v>1</v>
      </c>
      <c r="K30">
        <v>1</v>
      </c>
      <c r="L30">
        <v>1</v>
      </c>
      <c r="M30">
        <v>0</v>
      </c>
      <c r="N30">
        <v>0</v>
      </c>
      <c r="O30">
        <v>1</v>
      </c>
      <c r="P30">
        <v>0</v>
      </c>
      <c r="Q30">
        <v>0</v>
      </c>
      <c r="R30">
        <v>1</v>
      </c>
      <c r="S30">
        <v>0</v>
      </c>
      <c r="T30">
        <v>0</v>
      </c>
      <c r="U30">
        <v>0</v>
      </c>
      <c r="V30">
        <v>0</v>
      </c>
    </row>
    <row r="31" spans="1:22" x14ac:dyDescent="0.2">
      <c r="A31" t="s">
        <v>202</v>
      </c>
      <c r="B31" t="s">
        <v>108</v>
      </c>
      <c r="C31" t="s">
        <v>41</v>
      </c>
      <c r="D31" t="s">
        <v>67</v>
      </c>
      <c r="E31" t="s">
        <v>37</v>
      </c>
      <c r="F31" t="s">
        <v>48</v>
      </c>
      <c r="G31" t="s">
        <v>65</v>
      </c>
      <c r="H31" t="s">
        <v>59</v>
      </c>
      <c r="I31">
        <v>0</v>
      </c>
      <c r="J31">
        <v>1</v>
      </c>
      <c r="K31">
        <v>1</v>
      </c>
      <c r="L31">
        <v>0</v>
      </c>
      <c r="M31">
        <v>0</v>
      </c>
      <c r="N31">
        <v>0</v>
      </c>
      <c r="O31">
        <v>1</v>
      </c>
      <c r="P31">
        <v>0</v>
      </c>
      <c r="Q31">
        <v>1</v>
      </c>
      <c r="R31">
        <v>1</v>
      </c>
      <c r="S31">
        <v>0</v>
      </c>
      <c r="T31">
        <v>0</v>
      </c>
      <c r="U31">
        <v>0</v>
      </c>
      <c r="V31">
        <v>0</v>
      </c>
    </row>
    <row r="32" spans="1:22" x14ac:dyDescent="0.2">
      <c r="A32" t="s">
        <v>202</v>
      </c>
      <c r="B32" t="s">
        <v>108</v>
      </c>
      <c r="C32" t="s">
        <v>41</v>
      </c>
      <c r="D32" t="s">
        <v>61</v>
      </c>
      <c r="E32" t="s">
        <v>37</v>
      </c>
      <c r="F32" t="s">
        <v>60</v>
      </c>
      <c r="G32" t="s">
        <v>48</v>
      </c>
      <c r="H32" t="s">
        <v>65</v>
      </c>
      <c r="I32">
        <v>1</v>
      </c>
      <c r="J32">
        <v>1</v>
      </c>
      <c r="K32">
        <v>1</v>
      </c>
      <c r="L32">
        <v>0</v>
      </c>
      <c r="M32">
        <v>0</v>
      </c>
      <c r="N32">
        <v>0</v>
      </c>
      <c r="O32">
        <v>1</v>
      </c>
      <c r="P32">
        <v>1</v>
      </c>
      <c r="Q32">
        <v>1</v>
      </c>
      <c r="R32">
        <v>1</v>
      </c>
      <c r="S32">
        <v>0</v>
      </c>
      <c r="T32">
        <v>0</v>
      </c>
      <c r="U32">
        <v>0</v>
      </c>
      <c r="V32">
        <v>0</v>
      </c>
    </row>
    <row r="33" spans="1:22" x14ac:dyDescent="0.2">
      <c r="A33" t="s">
        <v>206</v>
      </c>
      <c r="B33" t="s">
        <v>33</v>
      </c>
      <c r="C33" t="s">
        <v>41</v>
      </c>
      <c r="D33" t="s">
        <v>72</v>
      </c>
      <c r="E33" t="s">
        <v>37</v>
      </c>
      <c r="F33" t="s">
        <v>46</v>
      </c>
      <c r="G33" t="s">
        <v>48</v>
      </c>
      <c r="H33" t="s">
        <v>59</v>
      </c>
      <c r="I33">
        <v>0</v>
      </c>
      <c r="J33">
        <v>0</v>
      </c>
      <c r="K33">
        <v>1</v>
      </c>
      <c r="L33">
        <v>0</v>
      </c>
      <c r="M33">
        <v>1</v>
      </c>
      <c r="N33">
        <v>0</v>
      </c>
      <c r="O33">
        <v>1</v>
      </c>
      <c r="P33">
        <v>0</v>
      </c>
      <c r="Q33">
        <v>0</v>
      </c>
      <c r="R33">
        <v>1</v>
      </c>
      <c r="S33">
        <v>0</v>
      </c>
      <c r="T33">
        <v>1</v>
      </c>
      <c r="U33">
        <v>0</v>
      </c>
      <c r="V33">
        <v>0</v>
      </c>
    </row>
    <row r="34" spans="1:22" x14ac:dyDescent="0.2">
      <c r="A34" t="s">
        <v>207</v>
      </c>
      <c r="B34" t="s">
        <v>33</v>
      </c>
      <c r="C34" t="s">
        <v>41</v>
      </c>
      <c r="D34" t="s">
        <v>42</v>
      </c>
      <c r="E34" t="s">
        <v>37</v>
      </c>
      <c r="F34" t="s">
        <v>46</v>
      </c>
      <c r="G34" t="s">
        <v>48</v>
      </c>
      <c r="H34" t="s">
        <v>59</v>
      </c>
      <c r="I34">
        <v>0</v>
      </c>
      <c r="J34">
        <v>0</v>
      </c>
      <c r="K34">
        <v>1</v>
      </c>
      <c r="L34">
        <v>0</v>
      </c>
      <c r="M34">
        <v>1</v>
      </c>
      <c r="N34">
        <v>0</v>
      </c>
      <c r="O34">
        <v>1</v>
      </c>
      <c r="P34">
        <v>0</v>
      </c>
      <c r="Q34">
        <v>0</v>
      </c>
      <c r="R34">
        <v>1</v>
      </c>
      <c r="S34">
        <v>0</v>
      </c>
      <c r="T34">
        <v>1</v>
      </c>
      <c r="U34">
        <v>0</v>
      </c>
      <c r="V34">
        <v>0</v>
      </c>
    </row>
    <row r="35" spans="1:22" x14ac:dyDescent="0.2">
      <c r="A35" t="s">
        <v>210</v>
      </c>
      <c r="B35" t="s">
        <v>108</v>
      </c>
      <c r="C35" t="s">
        <v>41</v>
      </c>
      <c r="D35" t="s">
        <v>42</v>
      </c>
      <c r="E35" t="s">
        <v>37</v>
      </c>
      <c r="F35" t="s">
        <v>46</v>
      </c>
      <c r="G35" t="s">
        <v>48</v>
      </c>
      <c r="H35" t="s">
        <v>65</v>
      </c>
      <c r="I35">
        <v>0</v>
      </c>
      <c r="J35">
        <v>1</v>
      </c>
      <c r="K35">
        <v>1</v>
      </c>
      <c r="L35">
        <v>0</v>
      </c>
      <c r="M35">
        <v>1</v>
      </c>
      <c r="N35">
        <v>0</v>
      </c>
      <c r="O35">
        <v>1</v>
      </c>
      <c r="P35">
        <v>0</v>
      </c>
      <c r="Q35">
        <v>1</v>
      </c>
      <c r="R35">
        <v>1</v>
      </c>
      <c r="S35">
        <v>0</v>
      </c>
      <c r="T35">
        <v>1</v>
      </c>
      <c r="U35">
        <v>0</v>
      </c>
      <c r="V35">
        <v>0</v>
      </c>
    </row>
    <row r="36" spans="1:22" x14ac:dyDescent="0.2">
      <c r="A36" t="s">
        <v>210</v>
      </c>
      <c r="B36" t="s">
        <v>108</v>
      </c>
      <c r="C36" t="s">
        <v>41</v>
      </c>
      <c r="D36" t="s">
        <v>67</v>
      </c>
      <c r="E36" t="s">
        <v>37</v>
      </c>
      <c r="F36" t="s">
        <v>65</v>
      </c>
      <c r="G36" t="s">
        <v>48</v>
      </c>
      <c r="H36" t="s">
        <v>47</v>
      </c>
      <c r="I36">
        <v>0</v>
      </c>
      <c r="J36">
        <v>1</v>
      </c>
      <c r="K36">
        <v>1</v>
      </c>
      <c r="L36">
        <v>1</v>
      </c>
      <c r="M36">
        <v>0</v>
      </c>
      <c r="N36">
        <v>0</v>
      </c>
      <c r="O36">
        <v>1</v>
      </c>
      <c r="P36">
        <v>0</v>
      </c>
      <c r="Q36">
        <v>1</v>
      </c>
      <c r="R36">
        <v>1</v>
      </c>
      <c r="S36">
        <v>1</v>
      </c>
      <c r="T36">
        <v>0</v>
      </c>
      <c r="U36">
        <v>0</v>
      </c>
      <c r="V36">
        <v>0</v>
      </c>
    </row>
    <row r="37" spans="1:22" x14ac:dyDescent="0.2">
      <c r="A37" t="s">
        <v>214</v>
      </c>
      <c r="B37" t="s">
        <v>108</v>
      </c>
      <c r="C37" t="s">
        <v>41</v>
      </c>
      <c r="D37" t="s">
        <v>49</v>
      </c>
      <c r="E37" t="s">
        <v>37</v>
      </c>
      <c r="F37" t="s">
        <v>65</v>
      </c>
      <c r="G37" t="s">
        <v>60</v>
      </c>
      <c r="H37" t="s">
        <v>48</v>
      </c>
      <c r="I37">
        <v>1</v>
      </c>
      <c r="J37">
        <v>1</v>
      </c>
      <c r="K37">
        <v>1</v>
      </c>
      <c r="L37">
        <v>0</v>
      </c>
      <c r="M37">
        <v>0</v>
      </c>
      <c r="N37">
        <v>0</v>
      </c>
      <c r="O37">
        <v>1</v>
      </c>
      <c r="P37">
        <v>1</v>
      </c>
      <c r="Q37">
        <v>1</v>
      </c>
      <c r="R37">
        <v>1</v>
      </c>
      <c r="S37">
        <v>0</v>
      </c>
      <c r="T37">
        <v>0</v>
      </c>
      <c r="U37">
        <v>0</v>
      </c>
      <c r="V37">
        <v>0</v>
      </c>
    </row>
    <row r="38" spans="1:22" x14ac:dyDescent="0.2">
      <c r="A38" t="s">
        <v>214</v>
      </c>
      <c r="B38" t="s">
        <v>108</v>
      </c>
      <c r="C38" t="s">
        <v>41</v>
      </c>
      <c r="D38" t="s">
        <v>61</v>
      </c>
      <c r="E38" t="s">
        <v>37</v>
      </c>
      <c r="F38" t="s">
        <v>48</v>
      </c>
      <c r="G38" t="s">
        <v>65</v>
      </c>
      <c r="H38" t="s">
        <v>60</v>
      </c>
      <c r="I38">
        <v>1</v>
      </c>
      <c r="J38">
        <v>1</v>
      </c>
      <c r="K38">
        <v>1</v>
      </c>
      <c r="L38">
        <v>0</v>
      </c>
      <c r="M38">
        <v>0</v>
      </c>
      <c r="N38">
        <v>0</v>
      </c>
      <c r="O38">
        <v>1</v>
      </c>
      <c r="P38">
        <v>1</v>
      </c>
      <c r="Q38">
        <v>1</v>
      </c>
      <c r="R38">
        <v>1</v>
      </c>
      <c r="S38">
        <v>0</v>
      </c>
      <c r="T38">
        <v>0</v>
      </c>
      <c r="U38">
        <v>0</v>
      </c>
      <c r="V38">
        <v>0</v>
      </c>
    </row>
    <row r="39" spans="1:22" x14ac:dyDescent="0.2">
      <c r="A39" t="s">
        <v>224</v>
      </c>
      <c r="B39" t="s">
        <v>108</v>
      </c>
      <c r="C39" t="s">
        <v>41</v>
      </c>
      <c r="D39" t="s">
        <v>72</v>
      </c>
      <c r="E39" t="s">
        <v>37</v>
      </c>
      <c r="F39" t="s">
        <v>65</v>
      </c>
      <c r="G39" t="s">
        <v>46</v>
      </c>
      <c r="H39" t="s">
        <v>48</v>
      </c>
      <c r="I39">
        <v>0</v>
      </c>
      <c r="J39">
        <v>1</v>
      </c>
      <c r="K39">
        <v>1</v>
      </c>
      <c r="L39">
        <v>0</v>
      </c>
      <c r="M39">
        <v>1</v>
      </c>
      <c r="N39">
        <v>0</v>
      </c>
      <c r="O39">
        <v>1</v>
      </c>
      <c r="P39">
        <v>0</v>
      </c>
      <c r="Q39">
        <v>1</v>
      </c>
      <c r="R39">
        <v>1</v>
      </c>
      <c r="S39">
        <v>0</v>
      </c>
      <c r="T39">
        <v>1</v>
      </c>
      <c r="U39">
        <v>0</v>
      </c>
      <c r="V39">
        <v>0</v>
      </c>
    </row>
    <row r="40" spans="1:22" x14ac:dyDescent="0.2">
      <c r="A40" t="s">
        <v>224</v>
      </c>
      <c r="B40" t="s">
        <v>108</v>
      </c>
      <c r="C40" t="s">
        <v>41</v>
      </c>
      <c r="D40" t="s">
        <v>42</v>
      </c>
      <c r="E40" t="s">
        <v>37</v>
      </c>
      <c r="F40" t="s">
        <v>65</v>
      </c>
      <c r="G40" t="s">
        <v>60</v>
      </c>
      <c r="H40" t="s">
        <v>48</v>
      </c>
      <c r="I40">
        <v>1</v>
      </c>
      <c r="J40">
        <v>1</v>
      </c>
      <c r="K40">
        <v>1</v>
      </c>
      <c r="L40">
        <v>0</v>
      </c>
      <c r="M40">
        <v>0</v>
      </c>
      <c r="N40">
        <v>0</v>
      </c>
      <c r="O40">
        <v>1</v>
      </c>
      <c r="P40">
        <v>1</v>
      </c>
      <c r="Q40">
        <v>1</v>
      </c>
      <c r="R40">
        <v>1</v>
      </c>
      <c r="S40">
        <v>0</v>
      </c>
      <c r="T40">
        <v>0</v>
      </c>
      <c r="U40">
        <v>0</v>
      </c>
      <c r="V40">
        <v>0</v>
      </c>
    </row>
    <row r="41" spans="1:22" x14ac:dyDescent="0.2">
      <c r="A41" t="s">
        <v>227</v>
      </c>
      <c r="B41" t="s">
        <v>108</v>
      </c>
      <c r="C41" t="s">
        <v>41</v>
      </c>
      <c r="D41" t="s">
        <v>67</v>
      </c>
      <c r="E41" t="s">
        <v>37</v>
      </c>
      <c r="F41" t="s">
        <v>46</v>
      </c>
      <c r="G41" t="s">
        <v>65</v>
      </c>
      <c r="H41" t="s">
        <v>48</v>
      </c>
      <c r="I41">
        <v>0</v>
      </c>
      <c r="J41">
        <v>1</v>
      </c>
      <c r="K41">
        <v>1</v>
      </c>
      <c r="L41">
        <v>0</v>
      </c>
      <c r="M41">
        <v>1</v>
      </c>
      <c r="N41">
        <v>0</v>
      </c>
      <c r="O41">
        <v>1</v>
      </c>
      <c r="P41">
        <v>0</v>
      </c>
      <c r="Q41">
        <v>1</v>
      </c>
      <c r="R41">
        <v>1</v>
      </c>
      <c r="S41">
        <v>0</v>
      </c>
      <c r="T41">
        <v>1</v>
      </c>
      <c r="U41">
        <v>0</v>
      </c>
      <c r="V41">
        <v>0</v>
      </c>
    </row>
    <row r="42" spans="1:22" x14ac:dyDescent="0.2">
      <c r="A42" t="s">
        <v>231</v>
      </c>
      <c r="B42" t="s">
        <v>108</v>
      </c>
      <c r="C42" t="s">
        <v>41</v>
      </c>
      <c r="D42" t="s">
        <v>72</v>
      </c>
      <c r="E42" t="s">
        <v>37</v>
      </c>
      <c r="F42" t="s">
        <v>46</v>
      </c>
      <c r="G42" t="s">
        <v>48</v>
      </c>
      <c r="H42" t="s">
        <v>59</v>
      </c>
      <c r="I42">
        <v>0</v>
      </c>
      <c r="J42">
        <v>0</v>
      </c>
      <c r="K42">
        <v>1</v>
      </c>
      <c r="L42">
        <v>0</v>
      </c>
      <c r="M42">
        <v>1</v>
      </c>
      <c r="N42">
        <v>0</v>
      </c>
      <c r="O42">
        <v>1</v>
      </c>
      <c r="P42">
        <v>0</v>
      </c>
      <c r="Q42">
        <v>0</v>
      </c>
      <c r="R42">
        <v>1</v>
      </c>
      <c r="S42">
        <v>0</v>
      </c>
      <c r="T42">
        <v>0</v>
      </c>
      <c r="U42">
        <v>0</v>
      </c>
      <c r="V42">
        <v>0</v>
      </c>
    </row>
    <row r="43" spans="1:22" x14ac:dyDescent="0.2">
      <c r="A43" t="s">
        <v>238</v>
      </c>
      <c r="B43" t="s">
        <v>108</v>
      </c>
      <c r="C43" t="s">
        <v>41</v>
      </c>
      <c r="D43" t="s">
        <v>72</v>
      </c>
      <c r="E43" t="s">
        <v>37</v>
      </c>
      <c r="F43" t="s">
        <v>48</v>
      </c>
      <c r="G43" t="s">
        <v>47</v>
      </c>
      <c r="H43" t="s">
        <v>65</v>
      </c>
      <c r="I43">
        <v>0</v>
      </c>
      <c r="J43">
        <v>1</v>
      </c>
      <c r="K43">
        <v>1</v>
      </c>
      <c r="L43">
        <v>1</v>
      </c>
      <c r="M43">
        <v>0</v>
      </c>
      <c r="N43">
        <v>0</v>
      </c>
      <c r="O43">
        <v>1</v>
      </c>
      <c r="P43">
        <v>0</v>
      </c>
      <c r="Q43">
        <v>1</v>
      </c>
      <c r="R43">
        <v>1</v>
      </c>
      <c r="S43">
        <v>1</v>
      </c>
      <c r="T43">
        <v>0</v>
      </c>
      <c r="U43">
        <v>0</v>
      </c>
      <c r="V43">
        <v>0</v>
      </c>
    </row>
    <row r="44" spans="1:22" x14ac:dyDescent="0.2">
      <c r="A44" t="s">
        <v>238</v>
      </c>
      <c r="B44" t="s">
        <v>108</v>
      </c>
      <c r="C44" t="s">
        <v>41</v>
      </c>
      <c r="D44" t="s">
        <v>49</v>
      </c>
      <c r="E44" t="s">
        <v>37</v>
      </c>
      <c r="F44" t="s">
        <v>46</v>
      </c>
      <c r="G44" t="s">
        <v>60</v>
      </c>
      <c r="H44" t="s">
        <v>48</v>
      </c>
      <c r="I44">
        <v>1</v>
      </c>
      <c r="J44">
        <v>0</v>
      </c>
      <c r="K44">
        <v>1</v>
      </c>
      <c r="L44">
        <v>0</v>
      </c>
      <c r="M44">
        <v>1</v>
      </c>
      <c r="N44">
        <v>0</v>
      </c>
      <c r="O44">
        <v>1</v>
      </c>
      <c r="P44">
        <v>1</v>
      </c>
      <c r="Q44">
        <v>0</v>
      </c>
      <c r="R44">
        <v>1</v>
      </c>
      <c r="S44">
        <v>0</v>
      </c>
      <c r="T44">
        <v>1</v>
      </c>
      <c r="U44">
        <v>0</v>
      </c>
      <c r="V44">
        <v>0</v>
      </c>
    </row>
    <row r="45" spans="1:22" x14ac:dyDescent="0.2">
      <c r="A45" t="s">
        <v>241</v>
      </c>
      <c r="B45" t="s">
        <v>33</v>
      </c>
      <c r="C45" t="s">
        <v>41</v>
      </c>
      <c r="D45" t="s">
        <v>72</v>
      </c>
      <c r="E45" t="s">
        <v>37</v>
      </c>
      <c r="F45" t="s">
        <v>47</v>
      </c>
      <c r="G45" t="s">
        <v>48</v>
      </c>
      <c r="H45" t="s">
        <v>46</v>
      </c>
      <c r="I45">
        <v>0</v>
      </c>
      <c r="J45">
        <v>0</v>
      </c>
      <c r="K45">
        <v>1</v>
      </c>
      <c r="L45">
        <v>1</v>
      </c>
      <c r="M45">
        <v>1</v>
      </c>
      <c r="N45">
        <v>0</v>
      </c>
      <c r="O45">
        <v>1</v>
      </c>
      <c r="P45">
        <v>0</v>
      </c>
      <c r="Q45">
        <v>0</v>
      </c>
      <c r="R45">
        <v>1</v>
      </c>
      <c r="S45">
        <v>0</v>
      </c>
      <c r="T45">
        <v>0</v>
      </c>
      <c r="U45">
        <v>0</v>
      </c>
      <c r="V45">
        <v>0</v>
      </c>
    </row>
    <row r="46" spans="1:22" x14ac:dyDescent="0.2">
      <c r="A46" t="s">
        <v>254</v>
      </c>
      <c r="B46" t="s">
        <v>108</v>
      </c>
      <c r="C46" t="s">
        <v>41</v>
      </c>
      <c r="D46" t="s">
        <v>61</v>
      </c>
      <c r="E46" t="s">
        <v>37</v>
      </c>
      <c r="F46" t="s">
        <v>47</v>
      </c>
      <c r="G46" t="s">
        <v>60</v>
      </c>
      <c r="H46" t="s">
        <v>48</v>
      </c>
      <c r="I46">
        <v>1</v>
      </c>
      <c r="J46">
        <v>0</v>
      </c>
      <c r="K46">
        <v>1</v>
      </c>
      <c r="L46">
        <v>1</v>
      </c>
      <c r="M46">
        <v>0</v>
      </c>
      <c r="N46">
        <v>0</v>
      </c>
      <c r="O46">
        <v>1</v>
      </c>
      <c r="P46">
        <v>1</v>
      </c>
      <c r="Q46">
        <v>0</v>
      </c>
      <c r="R46">
        <v>1</v>
      </c>
      <c r="S46">
        <v>1</v>
      </c>
      <c r="T46">
        <v>0</v>
      </c>
      <c r="U46">
        <v>0</v>
      </c>
      <c r="V46">
        <v>0</v>
      </c>
    </row>
    <row r="47" spans="1:22" x14ac:dyDescent="0.2">
      <c r="A47" t="s">
        <v>257</v>
      </c>
      <c r="B47" t="s">
        <v>108</v>
      </c>
      <c r="C47" t="s">
        <v>41</v>
      </c>
      <c r="D47" t="s">
        <v>42</v>
      </c>
      <c r="E47" t="s">
        <v>37</v>
      </c>
      <c r="F47" t="s">
        <v>47</v>
      </c>
      <c r="G47" t="s">
        <v>48</v>
      </c>
      <c r="H47" t="s">
        <v>59</v>
      </c>
      <c r="I47">
        <v>0</v>
      </c>
      <c r="J47">
        <v>0</v>
      </c>
      <c r="K47">
        <v>1</v>
      </c>
      <c r="L47">
        <v>1</v>
      </c>
      <c r="M47">
        <v>0</v>
      </c>
      <c r="N47">
        <v>0</v>
      </c>
      <c r="O47">
        <v>1</v>
      </c>
      <c r="P47">
        <v>0</v>
      </c>
      <c r="Q47">
        <v>0</v>
      </c>
      <c r="R47">
        <v>1</v>
      </c>
      <c r="S47">
        <v>1</v>
      </c>
      <c r="T47">
        <v>0</v>
      </c>
      <c r="U47">
        <v>0</v>
      </c>
      <c r="V47">
        <v>0</v>
      </c>
    </row>
    <row r="48" spans="1:22" x14ac:dyDescent="0.2">
      <c r="A48" t="s">
        <v>264</v>
      </c>
      <c r="B48" t="s">
        <v>108</v>
      </c>
      <c r="C48" t="s">
        <v>41</v>
      </c>
      <c r="D48" t="s">
        <v>42</v>
      </c>
      <c r="E48" t="s">
        <v>37</v>
      </c>
      <c r="F48" t="s">
        <v>48</v>
      </c>
      <c r="G48" t="s">
        <v>59</v>
      </c>
      <c r="H48" t="s">
        <v>65</v>
      </c>
      <c r="I48">
        <v>0</v>
      </c>
      <c r="J48">
        <v>1</v>
      </c>
      <c r="K48">
        <v>1</v>
      </c>
      <c r="L48">
        <v>0</v>
      </c>
      <c r="M48">
        <v>0</v>
      </c>
      <c r="N48">
        <v>0</v>
      </c>
      <c r="O48">
        <v>1</v>
      </c>
      <c r="P48">
        <v>0</v>
      </c>
      <c r="Q48">
        <v>1</v>
      </c>
      <c r="R48">
        <v>1</v>
      </c>
      <c r="S48">
        <v>0</v>
      </c>
      <c r="T48">
        <v>0</v>
      </c>
      <c r="U48">
        <v>0</v>
      </c>
      <c r="V48">
        <v>0</v>
      </c>
    </row>
    <row r="49" spans="1:22" x14ac:dyDescent="0.2">
      <c r="A49" t="s">
        <v>264</v>
      </c>
      <c r="B49" t="s">
        <v>108</v>
      </c>
      <c r="C49" t="s">
        <v>41</v>
      </c>
      <c r="D49" t="s">
        <v>67</v>
      </c>
      <c r="E49" t="s">
        <v>37</v>
      </c>
      <c r="F49" t="s">
        <v>47</v>
      </c>
      <c r="G49" t="s">
        <v>48</v>
      </c>
      <c r="H49" t="s">
        <v>60</v>
      </c>
      <c r="I49">
        <v>1</v>
      </c>
      <c r="J49">
        <v>0</v>
      </c>
      <c r="K49">
        <v>1</v>
      </c>
      <c r="L49">
        <v>1</v>
      </c>
      <c r="M49">
        <v>0</v>
      </c>
      <c r="N49">
        <v>0</v>
      </c>
      <c r="O49">
        <v>1</v>
      </c>
      <c r="P49">
        <v>1</v>
      </c>
      <c r="Q49">
        <v>0</v>
      </c>
      <c r="R49">
        <v>1</v>
      </c>
      <c r="S49">
        <v>1</v>
      </c>
      <c r="T49">
        <v>0</v>
      </c>
      <c r="U49">
        <v>0</v>
      </c>
      <c r="V49">
        <v>0</v>
      </c>
    </row>
    <row r="50" spans="1:22" x14ac:dyDescent="0.2">
      <c r="A50" t="s">
        <v>271</v>
      </c>
      <c r="B50" t="s">
        <v>33</v>
      </c>
      <c r="C50" t="s">
        <v>41</v>
      </c>
      <c r="D50" t="s">
        <v>61</v>
      </c>
      <c r="E50" t="s">
        <v>37</v>
      </c>
      <c r="F50" t="s">
        <v>46</v>
      </c>
      <c r="G50" t="s">
        <v>65</v>
      </c>
      <c r="H50" t="s">
        <v>48</v>
      </c>
      <c r="I50">
        <v>0</v>
      </c>
      <c r="J50">
        <v>1</v>
      </c>
      <c r="K50">
        <v>1</v>
      </c>
      <c r="L50">
        <v>0</v>
      </c>
      <c r="M50">
        <v>1</v>
      </c>
      <c r="N50">
        <v>0</v>
      </c>
      <c r="O50">
        <v>1</v>
      </c>
      <c r="P50">
        <v>0</v>
      </c>
      <c r="Q50">
        <v>1</v>
      </c>
      <c r="R50">
        <v>1</v>
      </c>
      <c r="S50">
        <v>0</v>
      </c>
      <c r="T50">
        <v>1</v>
      </c>
      <c r="U50">
        <v>0</v>
      </c>
      <c r="V50">
        <v>0</v>
      </c>
    </row>
    <row r="51" spans="1:22" x14ac:dyDescent="0.2">
      <c r="A51" t="s">
        <v>285</v>
      </c>
      <c r="B51" t="s">
        <v>188</v>
      </c>
      <c r="C51" t="s">
        <v>41</v>
      </c>
      <c r="D51" t="s">
        <v>49</v>
      </c>
      <c r="E51" t="s">
        <v>37</v>
      </c>
      <c r="F51" t="s">
        <v>59</v>
      </c>
      <c r="G51" t="s">
        <v>46</v>
      </c>
      <c r="H51" t="s">
        <v>48</v>
      </c>
      <c r="I51">
        <v>0</v>
      </c>
      <c r="J51">
        <v>0</v>
      </c>
      <c r="K51">
        <v>1</v>
      </c>
      <c r="L51">
        <v>0</v>
      </c>
      <c r="M51">
        <v>1</v>
      </c>
      <c r="N51">
        <v>0</v>
      </c>
      <c r="O51">
        <v>1</v>
      </c>
      <c r="P51">
        <v>0</v>
      </c>
      <c r="Q51">
        <v>0</v>
      </c>
      <c r="R51">
        <v>1</v>
      </c>
      <c r="S51">
        <v>0</v>
      </c>
      <c r="T51">
        <v>0</v>
      </c>
      <c r="U51">
        <v>0</v>
      </c>
      <c r="V51">
        <v>0</v>
      </c>
    </row>
    <row r="52" spans="1:22" x14ac:dyDescent="0.2">
      <c r="A52" t="s">
        <v>292</v>
      </c>
      <c r="B52" t="s">
        <v>108</v>
      </c>
      <c r="C52" t="s">
        <v>41</v>
      </c>
      <c r="D52" t="s">
        <v>42</v>
      </c>
      <c r="E52" t="s">
        <v>37</v>
      </c>
      <c r="F52" t="s">
        <v>48</v>
      </c>
      <c r="G52" t="s">
        <v>59</v>
      </c>
      <c r="H52" t="s">
        <v>65</v>
      </c>
      <c r="I52">
        <v>0</v>
      </c>
      <c r="J52">
        <v>1</v>
      </c>
      <c r="K52">
        <v>1</v>
      </c>
      <c r="L52">
        <v>0</v>
      </c>
      <c r="M52">
        <v>0</v>
      </c>
      <c r="N52">
        <v>0</v>
      </c>
      <c r="O52">
        <v>1</v>
      </c>
      <c r="P52">
        <v>0</v>
      </c>
      <c r="Q52">
        <v>1</v>
      </c>
      <c r="R52">
        <v>1</v>
      </c>
      <c r="S52">
        <v>0</v>
      </c>
      <c r="T52">
        <v>0</v>
      </c>
      <c r="U52">
        <v>0</v>
      </c>
      <c r="V52">
        <v>0</v>
      </c>
    </row>
    <row r="53" spans="1:22" x14ac:dyDescent="0.2">
      <c r="A53" t="s">
        <v>292</v>
      </c>
      <c r="B53" t="s">
        <v>108</v>
      </c>
      <c r="C53" t="s">
        <v>41</v>
      </c>
      <c r="D53" t="s">
        <v>72</v>
      </c>
      <c r="E53" t="s">
        <v>37</v>
      </c>
      <c r="F53" t="s">
        <v>48</v>
      </c>
      <c r="G53" t="s">
        <v>46</v>
      </c>
      <c r="H53" t="s">
        <v>65</v>
      </c>
      <c r="I53">
        <v>0</v>
      </c>
      <c r="J53">
        <v>1</v>
      </c>
      <c r="K53">
        <v>1</v>
      </c>
      <c r="L53">
        <v>0</v>
      </c>
      <c r="M53">
        <v>1</v>
      </c>
      <c r="N53">
        <v>0</v>
      </c>
      <c r="O53">
        <v>1</v>
      </c>
      <c r="P53">
        <v>0</v>
      </c>
      <c r="Q53">
        <v>1</v>
      </c>
      <c r="R53">
        <v>1</v>
      </c>
      <c r="S53">
        <v>0</v>
      </c>
      <c r="T53">
        <v>1</v>
      </c>
      <c r="U53">
        <v>0</v>
      </c>
      <c r="V53">
        <v>0</v>
      </c>
    </row>
    <row r="54" spans="1:22" x14ac:dyDescent="0.2">
      <c r="A54" t="s">
        <v>292</v>
      </c>
      <c r="B54" t="s">
        <v>108</v>
      </c>
      <c r="C54" t="s">
        <v>41</v>
      </c>
      <c r="D54" t="s">
        <v>55</v>
      </c>
      <c r="E54" t="s">
        <v>37</v>
      </c>
      <c r="F54" t="s">
        <v>48</v>
      </c>
      <c r="G54" t="s">
        <v>65</v>
      </c>
      <c r="H54" t="s">
        <v>60</v>
      </c>
      <c r="I54">
        <v>1</v>
      </c>
      <c r="J54">
        <v>1</v>
      </c>
      <c r="K54">
        <v>1</v>
      </c>
      <c r="L54">
        <v>0</v>
      </c>
      <c r="M54">
        <v>0</v>
      </c>
      <c r="N54">
        <v>0</v>
      </c>
      <c r="O54">
        <v>1</v>
      </c>
      <c r="P54">
        <v>1</v>
      </c>
      <c r="Q54">
        <v>1</v>
      </c>
      <c r="R54">
        <v>1</v>
      </c>
      <c r="S54">
        <v>0</v>
      </c>
      <c r="T54">
        <v>0</v>
      </c>
      <c r="U54">
        <v>0</v>
      </c>
      <c r="V54">
        <v>0</v>
      </c>
    </row>
    <row r="55" spans="1:22" x14ac:dyDescent="0.2">
      <c r="A55" t="s">
        <v>295</v>
      </c>
      <c r="B55" t="s">
        <v>33</v>
      </c>
      <c r="C55" t="s">
        <v>41</v>
      </c>
      <c r="D55" t="s">
        <v>72</v>
      </c>
      <c r="E55" t="s">
        <v>37</v>
      </c>
      <c r="F55" t="s">
        <v>46</v>
      </c>
      <c r="G55" t="s">
        <v>47</v>
      </c>
      <c r="H55" t="s">
        <v>48</v>
      </c>
      <c r="I55">
        <v>0</v>
      </c>
      <c r="J55">
        <v>0</v>
      </c>
      <c r="K55">
        <v>1</v>
      </c>
      <c r="L55">
        <v>1</v>
      </c>
      <c r="M55">
        <v>1</v>
      </c>
      <c r="N55">
        <v>0</v>
      </c>
      <c r="O55">
        <v>1</v>
      </c>
      <c r="P55">
        <v>0</v>
      </c>
      <c r="Q55">
        <v>0</v>
      </c>
      <c r="R55">
        <v>1</v>
      </c>
      <c r="S55">
        <v>1</v>
      </c>
      <c r="T55">
        <v>1</v>
      </c>
      <c r="U55">
        <v>0</v>
      </c>
      <c r="V55">
        <v>0</v>
      </c>
    </row>
    <row r="56" spans="1:22" x14ac:dyDescent="0.2">
      <c r="A56" t="s">
        <v>295</v>
      </c>
      <c r="B56" t="s">
        <v>33</v>
      </c>
      <c r="C56" t="s">
        <v>41</v>
      </c>
      <c r="D56" t="s">
        <v>61</v>
      </c>
      <c r="E56" t="s">
        <v>37</v>
      </c>
      <c r="F56" t="s">
        <v>46</v>
      </c>
      <c r="G56" t="s">
        <v>59</v>
      </c>
      <c r="H56" t="s">
        <v>48</v>
      </c>
      <c r="I56">
        <v>0</v>
      </c>
      <c r="J56">
        <v>0</v>
      </c>
      <c r="K56">
        <v>1</v>
      </c>
      <c r="L56">
        <v>0</v>
      </c>
      <c r="M56">
        <v>1</v>
      </c>
      <c r="N56">
        <v>0</v>
      </c>
      <c r="O56">
        <v>1</v>
      </c>
      <c r="P56">
        <v>0</v>
      </c>
      <c r="Q56">
        <v>0</v>
      </c>
      <c r="R56">
        <v>1</v>
      </c>
      <c r="S56">
        <v>0</v>
      </c>
      <c r="T56">
        <v>1</v>
      </c>
      <c r="U56">
        <v>0</v>
      </c>
      <c r="V56">
        <v>0</v>
      </c>
    </row>
    <row r="57" spans="1:22" x14ac:dyDescent="0.2">
      <c r="A57" t="s">
        <v>302</v>
      </c>
      <c r="B57" t="s">
        <v>33</v>
      </c>
      <c r="C57" t="s">
        <v>41</v>
      </c>
      <c r="D57" t="s">
        <v>49</v>
      </c>
      <c r="E57" t="s">
        <v>37</v>
      </c>
      <c r="F57" t="s">
        <v>47</v>
      </c>
      <c r="G57" t="s">
        <v>59</v>
      </c>
      <c r="H57" t="s">
        <v>48</v>
      </c>
      <c r="I57">
        <v>0</v>
      </c>
      <c r="J57">
        <v>0</v>
      </c>
      <c r="K57">
        <v>1</v>
      </c>
      <c r="L57">
        <v>1</v>
      </c>
      <c r="M57">
        <v>0</v>
      </c>
      <c r="N57">
        <v>0</v>
      </c>
      <c r="O57">
        <v>1</v>
      </c>
      <c r="P57">
        <v>0</v>
      </c>
      <c r="Q57">
        <v>0</v>
      </c>
      <c r="R57">
        <v>1</v>
      </c>
      <c r="S57">
        <v>1</v>
      </c>
      <c r="T57">
        <v>0</v>
      </c>
      <c r="U57">
        <v>0</v>
      </c>
      <c r="V57">
        <v>0</v>
      </c>
    </row>
    <row r="58" spans="1:22" x14ac:dyDescent="0.2">
      <c r="A58" t="s">
        <v>302</v>
      </c>
      <c r="B58" t="s">
        <v>33</v>
      </c>
      <c r="C58" t="s">
        <v>41</v>
      </c>
      <c r="D58" t="s">
        <v>67</v>
      </c>
      <c r="E58" t="s">
        <v>37</v>
      </c>
      <c r="F58" t="s">
        <v>48</v>
      </c>
      <c r="G58" t="s">
        <v>47</v>
      </c>
      <c r="H58" t="s">
        <v>46</v>
      </c>
      <c r="I58">
        <v>0</v>
      </c>
      <c r="J58">
        <v>0</v>
      </c>
      <c r="K58">
        <v>1</v>
      </c>
      <c r="L58">
        <v>1</v>
      </c>
      <c r="M58">
        <v>1</v>
      </c>
      <c r="N58">
        <v>0</v>
      </c>
      <c r="O58">
        <v>1</v>
      </c>
      <c r="P58">
        <v>0</v>
      </c>
      <c r="Q58">
        <v>0</v>
      </c>
      <c r="R58">
        <v>1</v>
      </c>
      <c r="S58">
        <v>1</v>
      </c>
      <c r="T58">
        <v>1</v>
      </c>
      <c r="U58">
        <v>0</v>
      </c>
      <c r="V58">
        <v>0</v>
      </c>
    </row>
    <row r="59" spans="1:22" x14ac:dyDescent="0.2">
      <c r="A59" t="s">
        <v>317</v>
      </c>
      <c r="B59" t="s">
        <v>108</v>
      </c>
      <c r="C59" t="s">
        <v>41</v>
      </c>
      <c r="D59" t="s">
        <v>42</v>
      </c>
      <c r="E59" t="s">
        <v>37</v>
      </c>
      <c r="F59" t="s">
        <v>65</v>
      </c>
      <c r="G59" t="s">
        <v>48</v>
      </c>
      <c r="H59" t="s">
        <v>47</v>
      </c>
      <c r="I59">
        <v>0</v>
      </c>
      <c r="J59">
        <v>1</v>
      </c>
      <c r="K59">
        <v>1</v>
      </c>
      <c r="L59">
        <v>1</v>
      </c>
      <c r="M59">
        <v>0</v>
      </c>
      <c r="N59">
        <v>0</v>
      </c>
      <c r="O59">
        <v>1</v>
      </c>
      <c r="P59">
        <v>0</v>
      </c>
      <c r="Q59">
        <v>1</v>
      </c>
      <c r="R59">
        <v>1</v>
      </c>
      <c r="S59">
        <v>1</v>
      </c>
      <c r="T59">
        <v>0</v>
      </c>
      <c r="U59">
        <v>0</v>
      </c>
      <c r="V59">
        <v>0</v>
      </c>
    </row>
    <row r="60" spans="1:22" x14ac:dyDescent="0.2">
      <c r="A60" t="s">
        <v>323</v>
      </c>
      <c r="B60" t="s">
        <v>108</v>
      </c>
      <c r="C60" t="s">
        <v>41</v>
      </c>
      <c r="D60" t="s">
        <v>72</v>
      </c>
      <c r="E60" t="s">
        <v>37</v>
      </c>
      <c r="F60" t="s">
        <v>59</v>
      </c>
      <c r="G60" t="s">
        <v>48</v>
      </c>
      <c r="H60" t="s">
        <v>46</v>
      </c>
      <c r="I60">
        <v>0</v>
      </c>
      <c r="J60">
        <v>0</v>
      </c>
      <c r="K60">
        <v>1</v>
      </c>
      <c r="L60">
        <v>0</v>
      </c>
      <c r="M60">
        <v>1</v>
      </c>
      <c r="N60">
        <v>0</v>
      </c>
      <c r="O60">
        <v>1</v>
      </c>
      <c r="P60">
        <v>0</v>
      </c>
      <c r="Q60">
        <v>0</v>
      </c>
      <c r="R60">
        <v>1</v>
      </c>
      <c r="S60">
        <v>0</v>
      </c>
      <c r="T60">
        <v>0</v>
      </c>
      <c r="U60">
        <v>0</v>
      </c>
      <c r="V60">
        <v>0</v>
      </c>
    </row>
    <row r="61" spans="1:22" x14ac:dyDescent="0.2">
      <c r="A61" t="s">
        <v>326</v>
      </c>
      <c r="B61" t="s">
        <v>33</v>
      </c>
      <c r="C61" t="s">
        <v>41</v>
      </c>
      <c r="D61" t="s">
        <v>61</v>
      </c>
      <c r="E61" t="s">
        <v>37</v>
      </c>
      <c r="F61" t="s">
        <v>48</v>
      </c>
      <c r="G61" t="s">
        <v>59</v>
      </c>
      <c r="H61" t="s">
        <v>65</v>
      </c>
      <c r="I61">
        <v>0</v>
      </c>
      <c r="J61">
        <v>1</v>
      </c>
      <c r="K61">
        <v>1</v>
      </c>
      <c r="L61">
        <v>0</v>
      </c>
      <c r="M61">
        <v>0</v>
      </c>
      <c r="N61">
        <v>0</v>
      </c>
      <c r="O61">
        <v>1</v>
      </c>
      <c r="P61">
        <v>0</v>
      </c>
      <c r="Q61">
        <v>1</v>
      </c>
      <c r="R61">
        <v>1</v>
      </c>
      <c r="S61">
        <v>0</v>
      </c>
      <c r="T61">
        <v>0</v>
      </c>
      <c r="U61">
        <v>0</v>
      </c>
      <c r="V61">
        <v>0</v>
      </c>
    </row>
    <row r="62" spans="1:22" x14ac:dyDescent="0.2">
      <c r="A62" t="s">
        <v>326</v>
      </c>
      <c r="B62" t="s">
        <v>33</v>
      </c>
      <c r="C62" t="s">
        <v>41</v>
      </c>
      <c r="D62" t="s">
        <v>42</v>
      </c>
      <c r="E62" t="s">
        <v>37</v>
      </c>
      <c r="F62" t="s">
        <v>47</v>
      </c>
      <c r="G62" t="s">
        <v>48</v>
      </c>
      <c r="H62" t="s">
        <v>65</v>
      </c>
      <c r="I62">
        <v>0</v>
      </c>
      <c r="J62">
        <v>1</v>
      </c>
      <c r="K62">
        <v>1</v>
      </c>
      <c r="L62">
        <v>1</v>
      </c>
      <c r="M62">
        <v>0</v>
      </c>
      <c r="N62">
        <v>0</v>
      </c>
      <c r="O62">
        <v>1</v>
      </c>
      <c r="P62">
        <v>0</v>
      </c>
      <c r="Q62">
        <v>1</v>
      </c>
      <c r="R62">
        <v>1</v>
      </c>
      <c r="S62">
        <v>1</v>
      </c>
      <c r="T62">
        <v>0</v>
      </c>
      <c r="U62">
        <v>0</v>
      </c>
      <c r="V62">
        <v>0</v>
      </c>
    </row>
    <row r="63" spans="1:22" x14ac:dyDescent="0.2">
      <c r="A63" t="s">
        <v>330</v>
      </c>
      <c r="B63" t="s">
        <v>108</v>
      </c>
      <c r="C63" t="s">
        <v>41</v>
      </c>
      <c r="D63" t="s">
        <v>61</v>
      </c>
      <c r="E63" t="s">
        <v>37</v>
      </c>
      <c r="F63" t="s">
        <v>46</v>
      </c>
      <c r="G63" t="s">
        <v>48</v>
      </c>
      <c r="H63" t="s">
        <v>59</v>
      </c>
      <c r="I63">
        <v>0</v>
      </c>
      <c r="J63">
        <v>0</v>
      </c>
      <c r="K63">
        <v>1</v>
      </c>
      <c r="L63">
        <v>0</v>
      </c>
      <c r="M63">
        <v>1</v>
      </c>
      <c r="N63">
        <v>0</v>
      </c>
      <c r="O63">
        <v>1</v>
      </c>
      <c r="P63">
        <v>0</v>
      </c>
      <c r="Q63">
        <v>0</v>
      </c>
      <c r="R63">
        <v>1</v>
      </c>
      <c r="S63">
        <v>0</v>
      </c>
      <c r="T63">
        <v>1</v>
      </c>
      <c r="U63">
        <v>0</v>
      </c>
      <c r="V63">
        <v>0</v>
      </c>
    </row>
    <row r="64" spans="1:22" x14ac:dyDescent="0.2">
      <c r="A64" t="s">
        <v>330</v>
      </c>
      <c r="B64" t="s">
        <v>108</v>
      </c>
      <c r="C64" t="s">
        <v>41</v>
      </c>
      <c r="D64" t="s">
        <v>49</v>
      </c>
      <c r="E64" t="s">
        <v>37</v>
      </c>
      <c r="F64" t="s">
        <v>46</v>
      </c>
      <c r="G64" t="s">
        <v>47</v>
      </c>
      <c r="H64" t="s">
        <v>48</v>
      </c>
      <c r="I64">
        <v>0</v>
      </c>
      <c r="J64">
        <v>0</v>
      </c>
      <c r="K64">
        <v>1</v>
      </c>
      <c r="L64">
        <v>1</v>
      </c>
      <c r="M64">
        <v>1</v>
      </c>
      <c r="N64">
        <v>0</v>
      </c>
      <c r="O64">
        <v>1</v>
      </c>
      <c r="P64">
        <v>0</v>
      </c>
      <c r="Q64">
        <v>0</v>
      </c>
      <c r="R64">
        <v>1</v>
      </c>
      <c r="S64">
        <v>0</v>
      </c>
      <c r="T64">
        <v>0</v>
      </c>
      <c r="U64">
        <v>0</v>
      </c>
      <c r="V64">
        <v>0</v>
      </c>
    </row>
    <row r="65" spans="1:22" x14ac:dyDescent="0.2">
      <c r="A65" t="s">
        <v>338</v>
      </c>
      <c r="B65" t="s">
        <v>33</v>
      </c>
      <c r="C65" t="s">
        <v>41</v>
      </c>
      <c r="D65" t="s">
        <v>67</v>
      </c>
      <c r="E65" t="s">
        <v>37</v>
      </c>
      <c r="F65" t="s">
        <v>60</v>
      </c>
      <c r="G65" t="s">
        <v>47</v>
      </c>
      <c r="H65" t="s">
        <v>48</v>
      </c>
      <c r="I65">
        <v>1</v>
      </c>
      <c r="J65">
        <v>0</v>
      </c>
      <c r="K65">
        <v>1</v>
      </c>
      <c r="L65">
        <v>1</v>
      </c>
      <c r="M65">
        <v>0</v>
      </c>
      <c r="N65">
        <v>0</v>
      </c>
      <c r="O65">
        <v>1</v>
      </c>
      <c r="P65">
        <v>0</v>
      </c>
      <c r="Q65">
        <v>0</v>
      </c>
      <c r="R65">
        <v>1</v>
      </c>
      <c r="S65">
        <v>0</v>
      </c>
      <c r="T65">
        <v>0</v>
      </c>
      <c r="U65">
        <v>0</v>
      </c>
      <c r="V65">
        <v>0</v>
      </c>
    </row>
    <row r="66" spans="1:22" x14ac:dyDescent="0.2">
      <c r="A66" t="s">
        <v>341</v>
      </c>
      <c r="B66" t="s">
        <v>108</v>
      </c>
      <c r="C66" t="s">
        <v>41</v>
      </c>
      <c r="D66" t="s">
        <v>55</v>
      </c>
      <c r="E66" t="s">
        <v>37</v>
      </c>
      <c r="F66" t="s">
        <v>48</v>
      </c>
      <c r="G66" t="s">
        <v>46</v>
      </c>
      <c r="H66" t="s">
        <v>59</v>
      </c>
      <c r="I66">
        <v>0</v>
      </c>
      <c r="J66">
        <v>0</v>
      </c>
      <c r="K66">
        <v>1</v>
      </c>
      <c r="L66">
        <v>0</v>
      </c>
      <c r="M66">
        <v>1</v>
      </c>
      <c r="N66">
        <v>0</v>
      </c>
      <c r="O66">
        <v>1</v>
      </c>
      <c r="P66">
        <v>0</v>
      </c>
      <c r="Q66">
        <v>0</v>
      </c>
      <c r="R66">
        <v>1</v>
      </c>
      <c r="S66">
        <v>0</v>
      </c>
      <c r="T66">
        <v>1</v>
      </c>
      <c r="U66">
        <v>0</v>
      </c>
      <c r="V66">
        <v>0</v>
      </c>
    </row>
    <row r="67" spans="1:22" x14ac:dyDescent="0.2">
      <c r="A67" t="s">
        <v>350</v>
      </c>
      <c r="B67" t="s">
        <v>33</v>
      </c>
      <c r="C67" t="s">
        <v>41</v>
      </c>
      <c r="D67" t="s">
        <v>67</v>
      </c>
      <c r="E67" t="s">
        <v>37</v>
      </c>
      <c r="F67" t="s">
        <v>47</v>
      </c>
      <c r="G67" t="s">
        <v>65</v>
      </c>
      <c r="H67" t="s">
        <v>48</v>
      </c>
      <c r="I67">
        <v>0</v>
      </c>
      <c r="J67">
        <v>1</v>
      </c>
      <c r="K67">
        <v>1</v>
      </c>
      <c r="L67">
        <v>1</v>
      </c>
      <c r="M67">
        <v>0</v>
      </c>
      <c r="N67">
        <v>0</v>
      </c>
      <c r="O67">
        <v>1</v>
      </c>
      <c r="P67">
        <v>0</v>
      </c>
      <c r="Q67">
        <v>0</v>
      </c>
      <c r="R67">
        <v>1</v>
      </c>
      <c r="S67">
        <v>0</v>
      </c>
      <c r="T67">
        <v>0</v>
      </c>
      <c r="U67">
        <v>0</v>
      </c>
      <c r="V67">
        <v>0</v>
      </c>
    </row>
    <row r="68" spans="1:22" x14ac:dyDescent="0.2">
      <c r="A68" t="s">
        <v>351</v>
      </c>
      <c r="B68" t="s">
        <v>108</v>
      </c>
      <c r="C68" t="s">
        <v>41</v>
      </c>
      <c r="D68" t="s">
        <v>61</v>
      </c>
      <c r="E68" t="s">
        <v>37</v>
      </c>
      <c r="F68" t="s">
        <v>65</v>
      </c>
      <c r="G68" t="s">
        <v>48</v>
      </c>
      <c r="H68" t="s">
        <v>47</v>
      </c>
      <c r="I68">
        <v>0</v>
      </c>
      <c r="J68">
        <v>1</v>
      </c>
      <c r="K68">
        <v>1</v>
      </c>
      <c r="L68">
        <v>1</v>
      </c>
      <c r="M68">
        <v>0</v>
      </c>
      <c r="N68">
        <v>0</v>
      </c>
      <c r="O68">
        <v>1</v>
      </c>
      <c r="P68">
        <v>0</v>
      </c>
      <c r="Q68">
        <v>1</v>
      </c>
      <c r="R68">
        <v>1</v>
      </c>
      <c r="S68">
        <v>1</v>
      </c>
      <c r="T68">
        <v>0</v>
      </c>
      <c r="U68">
        <v>0</v>
      </c>
      <c r="V68">
        <v>0</v>
      </c>
    </row>
    <row r="69" spans="1:22" x14ac:dyDescent="0.2">
      <c r="A69" t="s">
        <v>351</v>
      </c>
      <c r="B69" t="s">
        <v>108</v>
      </c>
      <c r="C69" t="s">
        <v>41</v>
      </c>
      <c r="D69" t="s">
        <v>72</v>
      </c>
      <c r="E69" t="s">
        <v>37</v>
      </c>
      <c r="F69" t="s">
        <v>47</v>
      </c>
      <c r="G69" t="s">
        <v>48</v>
      </c>
      <c r="H69" t="s">
        <v>59</v>
      </c>
      <c r="I69">
        <v>0</v>
      </c>
      <c r="J69">
        <v>0</v>
      </c>
      <c r="K69">
        <v>1</v>
      </c>
      <c r="L69">
        <v>1</v>
      </c>
      <c r="M69">
        <v>0</v>
      </c>
      <c r="N69">
        <v>0</v>
      </c>
      <c r="O69">
        <v>1</v>
      </c>
      <c r="P69">
        <v>0</v>
      </c>
      <c r="Q69">
        <v>0</v>
      </c>
      <c r="R69">
        <v>1</v>
      </c>
      <c r="S69">
        <v>1</v>
      </c>
      <c r="T69">
        <v>0</v>
      </c>
      <c r="U69">
        <v>0</v>
      </c>
      <c r="V69">
        <v>0</v>
      </c>
    </row>
    <row r="70" spans="1:22" x14ac:dyDescent="0.2">
      <c r="A70" t="s">
        <v>351</v>
      </c>
      <c r="B70" t="s">
        <v>108</v>
      </c>
      <c r="C70" t="s">
        <v>41</v>
      </c>
      <c r="D70" t="s">
        <v>42</v>
      </c>
      <c r="E70" t="s">
        <v>37</v>
      </c>
      <c r="F70" t="s">
        <v>48</v>
      </c>
      <c r="G70" t="s">
        <v>65</v>
      </c>
      <c r="H70" t="s">
        <v>46</v>
      </c>
      <c r="I70">
        <v>0</v>
      </c>
      <c r="J70">
        <v>1</v>
      </c>
      <c r="K70">
        <v>1</v>
      </c>
      <c r="L70">
        <v>0</v>
      </c>
      <c r="M70">
        <v>1</v>
      </c>
      <c r="N70">
        <v>0</v>
      </c>
      <c r="O70">
        <v>1</v>
      </c>
      <c r="P70">
        <v>0</v>
      </c>
      <c r="Q70">
        <v>1</v>
      </c>
      <c r="R70">
        <v>1</v>
      </c>
      <c r="S70">
        <v>0</v>
      </c>
      <c r="T70">
        <v>1</v>
      </c>
      <c r="U70">
        <v>0</v>
      </c>
      <c r="V70">
        <v>0</v>
      </c>
    </row>
    <row r="71" spans="1:22" x14ac:dyDescent="0.2">
      <c r="A71" t="s">
        <v>354</v>
      </c>
      <c r="B71" t="s">
        <v>33</v>
      </c>
      <c r="C71" t="s">
        <v>41</v>
      </c>
      <c r="D71" t="s">
        <v>49</v>
      </c>
      <c r="E71" t="s">
        <v>37</v>
      </c>
      <c r="F71" t="s">
        <v>48</v>
      </c>
      <c r="G71" t="s">
        <v>65</v>
      </c>
      <c r="H71" t="s">
        <v>60</v>
      </c>
      <c r="I71">
        <v>1</v>
      </c>
      <c r="J71">
        <v>1</v>
      </c>
      <c r="K71">
        <v>1</v>
      </c>
      <c r="L71">
        <v>0</v>
      </c>
      <c r="M71">
        <v>0</v>
      </c>
      <c r="N71">
        <v>0</v>
      </c>
      <c r="O71">
        <v>1</v>
      </c>
      <c r="P71">
        <v>1</v>
      </c>
      <c r="Q71">
        <v>1</v>
      </c>
      <c r="R71">
        <v>1</v>
      </c>
      <c r="S71">
        <v>0</v>
      </c>
      <c r="T71">
        <v>0</v>
      </c>
      <c r="U71">
        <v>0</v>
      </c>
      <c r="V71">
        <v>0</v>
      </c>
    </row>
    <row r="72" spans="1:22" x14ac:dyDescent="0.2">
      <c r="A72" t="s">
        <v>366</v>
      </c>
      <c r="B72" t="s">
        <v>108</v>
      </c>
      <c r="C72" t="s">
        <v>41</v>
      </c>
      <c r="D72" t="s">
        <v>42</v>
      </c>
      <c r="E72" t="s">
        <v>37</v>
      </c>
      <c r="F72" t="s">
        <v>47</v>
      </c>
      <c r="G72" t="s">
        <v>60</v>
      </c>
      <c r="H72" t="s">
        <v>48</v>
      </c>
      <c r="I72">
        <v>1</v>
      </c>
      <c r="J72">
        <v>0</v>
      </c>
      <c r="K72">
        <v>1</v>
      </c>
      <c r="L72">
        <v>1</v>
      </c>
      <c r="M72">
        <v>0</v>
      </c>
      <c r="N72">
        <v>0</v>
      </c>
      <c r="O72">
        <v>1</v>
      </c>
      <c r="P72">
        <v>1</v>
      </c>
      <c r="Q72">
        <v>0</v>
      </c>
      <c r="R72">
        <v>1</v>
      </c>
      <c r="S72">
        <v>1</v>
      </c>
      <c r="T72">
        <v>0</v>
      </c>
      <c r="U72">
        <v>0</v>
      </c>
      <c r="V72">
        <v>0</v>
      </c>
    </row>
    <row r="73" spans="1:22" x14ac:dyDescent="0.2">
      <c r="A73" t="s">
        <v>366</v>
      </c>
      <c r="B73" t="s">
        <v>108</v>
      </c>
      <c r="C73" t="s">
        <v>41</v>
      </c>
      <c r="D73" t="s">
        <v>61</v>
      </c>
      <c r="E73" t="s">
        <v>37</v>
      </c>
      <c r="F73" t="s">
        <v>47</v>
      </c>
      <c r="G73" t="s">
        <v>48</v>
      </c>
      <c r="H73" t="s">
        <v>46</v>
      </c>
      <c r="I73">
        <v>0</v>
      </c>
      <c r="J73">
        <v>0</v>
      </c>
      <c r="K73">
        <v>1</v>
      </c>
      <c r="L73">
        <v>1</v>
      </c>
      <c r="M73">
        <v>1</v>
      </c>
      <c r="N73">
        <v>0</v>
      </c>
      <c r="O73">
        <v>1</v>
      </c>
      <c r="P73">
        <v>0</v>
      </c>
      <c r="Q73">
        <v>0</v>
      </c>
      <c r="R73">
        <v>1</v>
      </c>
      <c r="S73">
        <v>1</v>
      </c>
      <c r="T73">
        <v>1</v>
      </c>
      <c r="U73">
        <v>0</v>
      </c>
      <c r="V73">
        <v>0</v>
      </c>
    </row>
    <row r="74" spans="1:22" x14ac:dyDescent="0.2">
      <c r="A74" t="s">
        <v>377</v>
      </c>
      <c r="B74" t="s">
        <v>108</v>
      </c>
      <c r="C74" t="s">
        <v>41</v>
      </c>
      <c r="D74" t="s">
        <v>55</v>
      </c>
      <c r="E74" t="s">
        <v>37</v>
      </c>
      <c r="F74" t="s">
        <v>48</v>
      </c>
      <c r="G74" t="s">
        <v>65</v>
      </c>
      <c r="H74" t="s">
        <v>59</v>
      </c>
      <c r="I74">
        <v>0</v>
      </c>
      <c r="J74">
        <v>1</v>
      </c>
      <c r="K74">
        <v>1</v>
      </c>
      <c r="L74">
        <v>0</v>
      </c>
      <c r="M74">
        <v>0</v>
      </c>
      <c r="N74">
        <v>0</v>
      </c>
      <c r="O74">
        <v>1</v>
      </c>
      <c r="P74">
        <v>0</v>
      </c>
      <c r="Q74">
        <v>1</v>
      </c>
      <c r="R74">
        <v>1</v>
      </c>
      <c r="S74">
        <v>0</v>
      </c>
      <c r="T74">
        <v>0</v>
      </c>
      <c r="U74">
        <v>0</v>
      </c>
      <c r="V74">
        <v>0</v>
      </c>
    </row>
    <row r="75" spans="1:22" x14ac:dyDescent="0.2">
      <c r="A75" t="s">
        <v>377</v>
      </c>
      <c r="B75" t="s">
        <v>108</v>
      </c>
      <c r="C75" t="s">
        <v>41</v>
      </c>
      <c r="D75" t="s">
        <v>61</v>
      </c>
      <c r="E75" t="s">
        <v>37</v>
      </c>
      <c r="F75" t="s">
        <v>65</v>
      </c>
      <c r="G75" t="s">
        <v>47</v>
      </c>
      <c r="H75" t="s">
        <v>48</v>
      </c>
      <c r="I75">
        <v>0</v>
      </c>
      <c r="J75">
        <v>1</v>
      </c>
      <c r="K75">
        <v>1</v>
      </c>
      <c r="L75">
        <v>1</v>
      </c>
      <c r="M75">
        <v>0</v>
      </c>
      <c r="N75">
        <v>0</v>
      </c>
      <c r="O75">
        <v>1</v>
      </c>
      <c r="P75">
        <v>0</v>
      </c>
      <c r="Q75">
        <v>1</v>
      </c>
      <c r="R75">
        <v>1</v>
      </c>
      <c r="S75">
        <v>1</v>
      </c>
      <c r="T75">
        <v>0</v>
      </c>
      <c r="U75">
        <v>0</v>
      </c>
      <c r="V75">
        <v>0</v>
      </c>
    </row>
    <row r="76" spans="1:22" x14ac:dyDescent="0.2">
      <c r="A76" t="s">
        <v>380</v>
      </c>
      <c r="B76" t="s">
        <v>33</v>
      </c>
      <c r="C76" t="s">
        <v>41</v>
      </c>
      <c r="D76" t="s">
        <v>55</v>
      </c>
      <c r="E76" t="s">
        <v>37</v>
      </c>
      <c r="F76" t="s">
        <v>48</v>
      </c>
      <c r="G76" t="s">
        <v>59</v>
      </c>
      <c r="H76" t="s">
        <v>65</v>
      </c>
      <c r="I76">
        <v>0</v>
      </c>
      <c r="J76">
        <v>1</v>
      </c>
      <c r="K76">
        <v>1</v>
      </c>
      <c r="L76">
        <v>0</v>
      </c>
      <c r="M76">
        <v>0</v>
      </c>
      <c r="N76">
        <v>0</v>
      </c>
      <c r="O76">
        <v>1</v>
      </c>
      <c r="P76">
        <v>0</v>
      </c>
      <c r="Q76">
        <v>1</v>
      </c>
      <c r="R76">
        <v>1</v>
      </c>
      <c r="S76">
        <v>0</v>
      </c>
      <c r="T76">
        <v>0</v>
      </c>
      <c r="U76">
        <v>0</v>
      </c>
      <c r="V76">
        <v>0</v>
      </c>
    </row>
    <row r="77" spans="1:22" x14ac:dyDescent="0.2">
      <c r="A77" t="s">
        <v>380</v>
      </c>
      <c r="B77" t="s">
        <v>33</v>
      </c>
      <c r="C77" t="s">
        <v>41</v>
      </c>
      <c r="D77" t="s">
        <v>42</v>
      </c>
      <c r="E77" t="s">
        <v>37</v>
      </c>
      <c r="F77" t="s">
        <v>65</v>
      </c>
      <c r="G77" t="s">
        <v>47</v>
      </c>
      <c r="H77" t="s">
        <v>48</v>
      </c>
      <c r="I77">
        <v>0</v>
      </c>
      <c r="J77">
        <v>1</v>
      </c>
      <c r="K77">
        <v>1</v>
      </c>
      <c r="L77">
        <v>1</v>
      </c>
      <c r="M77">
        <v>0</v>
      </c>
      <c r="N77">
        <v>0</v>
      </c>
      <c r="O77">
        <v>1</v>
      </c>
      <c r="P77">
        <v>0</v>
      </c>
      <c r="Q77">
        <v>1</v>
      </c>
      <c r="R77">
        <v>1</v>
      </c>
      <c r="S77">
        <v>1</v>
      </c>
      <c r="T77">
        <v>0</v>
      </c>
      <c r="U77">
        <v>0</v>
      </c>
      <c r="V77">
        <v>0</v>
      </c>
    </row>
    <row r="78" spans="1:22" x14ac:dyDescent="0.2">
      <c r="A78" t="s">
        <v>383</v>
      </c>
      <c r="B78" t="s">
        <v>108</v>
      </c>
      <c r="C78" t="s">
        <v>41</v>
      </c>
      <c r="D78" t="s">
        <v>42</v>
      </c>
      <c r="E78" t="s">
        <v>37</v>
      </c>
      <c r="F78" t="s">
        <v>47</v>
      </c>
      <c r="G78" t="s">
        <v>48</v>
      </c>
      <c r="H78" t="s">
        <v>60</v>
      </c>
      <c r="I78">
        <v>1</v>
      </c>
      <c r="J78">
        <v>0</v>
      </c>
      <c r="K78">
        <v>1</v>
      </c>
      <c r="L78">
        <v>1</v>
      </c>
      <c r="M78">
        <v>0</v>
      </c>
      <c r="N78">
        <v>0</v>
      </c>
      <c r="O78">
        <v>1</v>
      </c>
      <c r="P78">
        <v>1</v>
      </c>
      <c r="Q78">
        <v>0</v>
      </c>
      <c r="R78">
        <v>1</v>
      </c>
      <c r="S78">
        <v>1</v>
      </c>
      <c r="T78">
        <v>0</v>
      </c>
      <c r="U78">
        <v>0</v>
      </c>
      <c r="V78">
        <v>0</v>
      </c>
    </row>
    <row r="79" spans="1:22" x14ac:dyDescent="0.2">
      <c r="A79" t="s">
        <v>383</v>
      </c>
      <c r="B79" t="s">
        <v>108</v>
      </c>
      <c r="C79" t="s">
        <v>41</v>
      </c>
      <c r="D79" t="s">
        <v>55</v>
      </c>
      <c r="E79" t="s">
        <v>37</v>
      </c>
      <c r="F79" t="s">
        <v>48</v>
      </c>
      <c r="G79" t="s">
        <v>65</v>
      </c>
      <c r="H79" t="s">
        <v>46</v>
      </c>
      <c r="I79">
        <v>0</v>
      </c>
      <c r="J79">
        <v>1</v>
      </c>
      <c r="K79">
        <v>1</v>
      </c>
      <c r="L79">
        <v>0</v>
      </c>
      <c r="M79">
        <v>1</v>
      </c>
      <c r="N79">
        <v>0</v>
      </c>
      <c r="O79">
        <v>1</v>
      </c>
      <c r="P79">
        <v>0</v>
      </c>
      <c r="Q79">
        <v>1</v>
      </c>
      <c r="R79">
        <v>1</v>
      </c>
      <c r="S79">
        <v>0</v>
      </c>
      <c r="T79">
        <v>1</v>
      </c>
      <c r="U79">
        <v>0</v>
      </c>
      <c r="V79">
        <v>0</v>
      </c>
    </row>
    <row r="80" spans="1:22" x14ac:dyDescent="0.2">
      <c r="A80" t="s">
        <v>387</v>
      </c>
      <c r="B80" t="s">
        <v>108</v>
      </c>
      <c r="C80" t="s">
        <v>41</v>
      </c>
      <c r="D80" t="s">
        <v>49</v>
      </c>
      <c r="E80" t="s">
        <v>37</v>
      </c>
      <c r="F80" t="s">
        <v>47</v>
      </c>
      <c r="G80" t="s">
        <v>46</v>
      </c>
      <c r="H80" t="s">
        <v>48</v>
      </c>
      <c r="I80">
        <v>0</v>
      </c>
      <c r="J80">
        <v>0</v>
      </c>
      <c r="K80">
        <v>1</v>
      </c>
      <c r="L80">
        <v>1</v>
      </c>
      <c r="M80">
        <v>1</v>
      </c>
      <c r="N80">
        <v>0</v>
      </c>
      <c r="O80">
        <v>1</v>
      </c>
      <c r="P80">
        <v>0</v>
      </c>
      <c r="Q80">
        <v>0</v>
      </c>
      <c r="R80">
        <v>1</v>
      </c>
      <c r="S80">
        <v>0</v>
      </c>
      <c r="T80">
        <v>1</v>
      </c>
      <c r="U80">
        <v>0</v>
      </c>
      <c r="V80">
        <v>0</v>
      </c>
    </row>
    <row r="81" spans="1:22" x14ac:dyDescent="0.2">
      <c r="A81" t="s">
        <v>387</v>
      </c>
      <c r="B81" t="s">
        <v>108</v>
      </c>
      <c r="C81" t="s">
        <v>41</v>
      </c>
      <c r="D81" t="s">
        <v>61</v>
      </c>
      <c r="E81" t="s">
        <v>37</v>
      </c>
      <c r="F81" t="s">
        <v>46</v>
      </c>
      <c r="G81" t="s">
        <v>48</v>
      </c>
      <c r="H81" t="s">
        <v>59</v>
      </c>
      <c r="I81">
        <v>0</v>
      </c>
      <c r="J81">
        <v>0</v>
      </c>
      <c r="K81">
        <v>1</v>
      </c>
      <c r="L81">
        <v>0</v>
      </c>
      <c r="M81">
        <v>1</v>
      </c>
      <c r="N81">
        <v>0</v>
      </c>
      <c r="O81">
        <v>1</v>
      </c>
      <c r="P81">
        <v>0</v>
      </c>
      <c r="Q81">
        <v>0</v>
      </c>
      <c r="R81">
        <v>1</v>
      </c>
      <c r="S81">
        <v>0</v>
      </c>
      <c r="T81">
        <v>0</v>
      </c>
      <c r="U81">
        <v>0</v>
      </c>
      <c r="V81">
        <v>0</v>
      </c>
    </row>
    <row r="82" spans="1:22" x14ac:dyDescent="0.2">
      <c r="A82" t="s">
        <v>387</v>
      </c>
      <c r="B82" t="s">
        <v>108</v>
      </c>
      <c r="C82" t="s">
        <v>41</v>
      </c>
      <c r="D82" t="s">
        <v>67</v>
      </c>
      <c r="E82" t="s">
        <v>37</v>
      </c>
      <c r="F82" t="s">
        <v>46</v>
      </c>
      <c r="G82" t="s">
        <v>60</v>
      </c>
      <c r="H82" t="s">
        <v>48</v>
      </c>
      <c r="I82">
        <v>1</v>
      </c>
      <c r="J82">
        <v>0</v>
      </c>
      <c r="K82">
        <v>1</v>
      </c>
      <c r="L82">
        <v>0</v>
      </c>
      <c r="M82">
        <v>1</v>
      </c>
      <c r="N82">
        <v>0</v>
      </c>
      <c r="O82">
        <v>1</v>
      </c>
      <c r="P82">
        <v>0</v>
      </c>
      <c r="Q82">
        <v>0</v>
      </c>
      <c r="R82">
        <v>1</v>
      </c>
      <c r="S82">
        <v>0</v>
      </c>
      <c r="T82">
        <v>1</v>
      </c>
      <c r="U82">
        <v>0</v>
      </c>
      <c r="V82">
        <v>0</v>
      </c>
    </row>
    <row r="83" spans="1:22" x14ac:dyDescent="0.2">
      <c r="A83" t="s">
        <v>390</v>
      </c>
      <c r="B83" t="s">
        <v>188</v>
      </c>
      <c r="C83" t="s">
        <v>41</v>
      </c>
      <c r="D83" t="s">
        <v>49</v>
      </c>
      <c r="E83" t="s">
        <v>37</v>
      </c>
      <c r="F83" t="s">
        <v>47</v>
      </c>
      <c r="G83" t="s">
        <v>48</v>
      </c>
      <c r="H83" t="s">
        <v>65</v>
      </c>
      <c r="I83">
        <v>0</v>
      </c>
      <c r="J83">
        <v>1</v>
      </c>
      <c r="K83">
        <v>1</v>
      </c>
      <c r="L83">
        <v>1</v>
      </c>
      <c r="M83">
        <v>0</v>
      </c>
      <c r="N83">
        <v>0</v>
      </c>
      <c r="O83">
        <v>1</v>
      </c>
      <c r="P83">
        <v>0</v>
      </c>
      <c r="Q83">
        <v>1</v>
      </c>
      <c r="R83">
        <v>1</v>
      </c>
      <c r="S83">
        <v>1</v>
      </c>
      <c r="T83">
        <v>0</v>
      </c>
      <c r="U83">
        <v>0</v>
      </c>
      <c r="V83">
        <v>0</v>
      </c>
    </row>
    <row r="84" spans="1:22" x14ac:dyDescent="0.2">
      <c r="A84" t="s">
        <v>390</v>
      </c>
      <c r="B84" t="s">
        <v>188</v>
      </c>
      <c r="C84" t="s">
        <v>41</v>
      </c>
      <c r="D84" t="s">
        <v>55</v>
      </c>
      <c r="E84" t="s">
        <v>37</v>
      </c>
      <c r="F84" t="s">
        <v>65</v>
      </c>
      <c r="G84" t="s">
        <v>48</v>
      </c>
      <c r="H84" t="s">
        <v>47</v>
      </c>
      <c r="I84">
        <v>0</v>
      </c>
      <c r="J84">
        <v>1</v>
      </c>
      <c r="K84">
        <v>1</v>
      </c>
      <c r="L84">
        <v>1</v>
      </c>
      <c r="M84">
        <v>0</v>
      </c>
      <c r="N84">
        <v>0</v>
      </c>
      <c r="O84">
        <v>1</v>
      </c>
      <c r="P84">
        <v>0</v>
      </c>
      <c r="Q84">
        <v>1</v>
      </c>
      <c r="R84">
        <v>1</v>
      </c>
      <c r="S84">
        <v>1</v>
      </c>
      <c r="T84">
        <v>0</v>
      </c>
      <c r="U84">
        <v>0</v>
      </c>
      <c r="V84">
        <v>0</v>
      </c>
    </row>
    <row r="85" spans="1:22" x14ac:dyDescent="0.2">
      <c r="A85" t="s">
        <v>399</v>
      </c>
      <c r="B85" t="s">
        <v>108</v>
      </c>
      <c r="C85" t="s">
        <v>41</v>
      </c>
      <c r="D85" t="s">
        <v>42</v>
      </c>
      <c r="E85" t="s">
        <v>37</v>
      </c>
      <c r="F85" t="s">
        <v>48</v>
      </c>
      <c r="G85" t="s">
        <v>59</v>
      </c>
      <c r="H85" t="s">
        <v>65</v>
      </c>
      <c r="I85">
        <v>0</v>
      </c>
      <c r="J85">
        <v>1</v>
      </c>
      <c r="K85">
        <v>1</v>
      </c>
      <c r="L85">
        <v>0</v>
      </c>
      <c r="M85">
        <v>0</v>
      </c>
      <c r="N85">
        <v>0</v>
      </c>
      <c r="O85">
        <v>1</v>
      </c>
      <c r="P85">
        <v>0</v>
      </c>
      <c r="Q85">
        <v>1</v>
      </c>
      <c r="R85">
        <v>1</v>
      </c>
      <c r="S85">
        <v>0</v>
      </c>
      <c r="T85">
        <v>0</v>
      </c>
      <c r="U85">
        <v>0</v>
      </c>
      <c r="V85">
        <v>0</v>
      </c>
    </row>
    <row r="86" spans="1:22" x14ac:dyDescent="0.2">
      <c r="A86" t="s">
        <v>399</v>
      </c>
      <c r="B86" t="s">
        <v>108</v>
      </c>
      <c r="C86" t="s">
        <v>41</v>
      </c>
      <c r="D86" t="s">
        <v>55</v>
      </c>
      <c r="E86" t="s">
        <v>37</v>
      </c>
      <c r="F86" t="s">
        <v>65</v>
      </c>
      <c r="G86" t="s">
        <v>48</v>
      </c>
      <c r="H86" t="s">
        <v>46</v>
      </c>
      <c r="I86">
        <v>0</v>
      </c>
      <c r="J86">
        <v>1</v>
      </c>
      <c r="K86">
        <v>1</v>
      </c>
      <c r="L86">
        <v>0</v>
      </c>
      <c r="M86">
        <v>1</v>
      </c>
      <c r="N86">
        <v>0</v>
      </c>
      <c r="O86">
        <v>1</v>
      </c>
      <c r="P86">
        <v>0</v>
      </c>
      <c r="Q86">
        <v>1</v>
      </c>
      <c r="R86">
        <v>1</v>
      </c>
      <c r="S86">
        <v>0</v>
      </c>
      <c r="T86">
        <v>1</v>
      </c>
      <c r="U86">
        <v>0</v>
      </c>
      <c r="V86">
        <v>0</v>
      </c>
    </row>
    <row r="87" spans="1:22" x14ac:dyDescent="0.2">
      <c r="A87" t="s">
        <v>399</v>
      </c>
      <c r="B87" t="s">
        <v>108</v>
      </c>
      <c r="C87" t="s">
        <v>41</v>
      </c>
      <c r="D87" t="s">
        <v>49</v>
      </c>
      <c r="E87" t="s">
        <v>37</v>
      </c>
      <c r="F87" t="s">
        <v>48</v>
      </c>
      <c r="G87" t="s">
        <v>46</v>
      </c>
      <c r="H87" t="s">
        <v>47</v>
      </c>
      <c r="I87">
        <v>0</v>
      </c>
      <c r="J87">
        <v>0</v>
      </c>
      <c r="K87">
        <v>1</v>
      </c>
      <c r="L87">
        <v>1</v>
      </c>
      <c r="M87">
        <v>1</v>
      </c>
      <c r="N87">
        <v>0</v>
      </c>
      <c r="O87">
        <v>1</v>
      </c>
      <c r="P87">
        <v>0</v>
      </c>
      <c r="Q87">
        <v>0</v>
      </c>
      <c r="R87">
        <v>1</v>
      </c>
      <c r="S87">
        <v>1</v>
      </c>
      <c r="T87">
        <v>1</v>
      </c>
      <c r="U87">
        <v>0</v>
      </c>
      <c r="V87">
        <v>0</v>
      </c>
    </row>
    <row r="88" spans="1:22" x14ac:dyDescent="0.2">
      <c r="A88" t="s">
        <v>402</v>
      </c>
      <c r="B88" t="s">
        <v>108</v>
      </c>
      <c r="C88" t="s">
        <v>41</v>
      </c>
      <c r="D88" t="s">
        <v>55</v>
      </c>
      <c r="E88" t="s">
        <v>37</v>
      </c>
      <c r="F88" t="s">
        <v>65</v>
      </c>
      <c r="G88" t="s">
        <v>48</v>
      </c>
      <c r="H88" t="s">
        <v>46</v>
      </c>
      <c r="I88">
        <v>0</v>
      </c>
      <c r="J88">
        <v>1</v>
      </c>
      <c r="K88">
        <v>1</v>
      </c>
      <c r="L88">
        <v>0</v>
      </c>
      <c r="M88">
        <v>1</v>
      </c>
      <c r="N88">
        <v>0</v>
      </c>
      <c r="O88">
        <v>1</v>
      </c>
      <c r="P88">
        <v>0</v>
      </c>
      <c r="Q88">
        <v>1</v>
      </c>
      <c r="R88">
        <v>1</v>
      </c>
      <c r="S88">
        <v>0</v>
      </c>
      <c r="T88">
        <v>1</v>
      </c>
      <c r="U88">
        <v>0</v>
      </c>
      <c r="V88">
        <v>0</v>
      </c>
    </row>
    <row r="89" spans="1:22" x14ac:dyDescent="0.2">
      <c r="A89" t="s">
        <v>402</v>
      </c>
      <c r="B89" t="s">
        <v>108</v>
      </c>
      <c r="C89" t="s">
        <v>41</v>
      </c>
      <c r="D89" t="s">
        <v>49</v>
      </c>
      <c r="E89" t="s">
        <v>37</v>
      </c>
      <c r="F89" t="s">
        <v>46</v>
      </c>
      <c r="G89" t="s">
        <v>47</v>
      </c>
      <c r="H89" t="s">
        <v>48</v>
      </c>
      <c r="I89">
        <v>0</v>
      </c>
      <c r="J89">
        <v>0</v>
      </c>
      <c r="K89">
        <v>1</v>
      </c>
      <c r="L89">
        <v>1</v>
      </c>
      <c r="M89">
        <v>1</v>
      </c>
      <c r="N89">
        <v>0</v>
      </c>
      <c r="O89">
        <v>1</v>
      </c>
      <c r="P89">
        <v>0</v>
      </c>
      <c r="Q89">
        <v>0</v>
      </c>
      <c r="R89">
        <v>1</v>
      </c>
      <c r="S89">
        <v>1</v>
      </c>
      <c r="T89">
        <v>1</v>
      </c>
      <c r="U89">
        <v>0</v>
      </c>
      <c r="V89">
        <v>0</v>
      </c>
    </row>
    <row r="90" spans="1:22" x14ac:dyDescent="0.2">
      <c r="A90" t="s">
        <v>402</v>
      </c>
      <c r="B90" t="s">
        <v>108</v>
      </c>
      <c r="C90" t="s">
        <v>41</v>
      </c>
      <c r="D90" t="s">
        <v>61</v>
      </c>
      <c r="E90" t="s">
        <v>37</v>
      </c>
      <c r="F90" t="s">
        <v>46</v>
      </c>
      <c r="G90" t="s">
        <v>60</v>
      </c>
      <c r="H90" t="s">
        <v>48</v>
      </c>
      <c r="I90">
        <v>1</v>
      </c>
      <c r="J90">
        <v>0</v>
      </c>
      <c r="K90">
        <v>1</v>
      </c>
      <c r="L90">
        <v>0</v>
      </c>
      <c r="M90">
        <v>1</v>
      </c>
      <c r="N90">
        <v>0</v>
      </c>
      <c r="O90">
        <v>1</v>
      </c>
      <c r="P90">
        <v>1</v>
      </c>
      <c r="Q90">
        <v>0</v>
      </c>
      <c r="R90">
        <v>1</v>
      </c>
      <c r="S90">
        <v>0</v>
      </c>
      <c r="T90">
        <v>1</v>
      </c>
      <c r="U90">
        <v>0</v>
      </c>
      <c r="V90">
        <v>0</v>
      </c>
    </row>
    <row r="91" spans="1:22" x14ac:dyDescent="0.2">
      <c r="A91" t="s">
        <v>402</v>
      </c>
      <c r="B91" t="s">
        <v>108</v>
      </c>
      <c r="C91" t="s">
        <v>41</v>
      </c>
      <c r="D91" t="s">
        <v>67</v>
      </c>
      <c r="E91" t="s">
        <v>37</v>
      </c>
      <c r="F91" t="s">
        <v>48</v>
      </c>
      <c r="G91" t="s">
        <v>46</v>
      </c>
      <c r="H91" t="s">
        <v>65</v>
      </c>
      <c r="I91">
        <v>0</v>
      </c>
      <c r="J91">
        <v>1</v>
      </c>
      <c r="K91">
        <v>1</v>
      </c>
      <c r="L91">
        <v>0</v>
      </c>
      <c r="M91">
        <v>1</v>
      </c>
      <c r="N91">
        <v>0</v>
      </c>
      <c r="O91">
        <v>1</v>
      </c>
      <c r="P91">
        <v>0</v>
      </c>
      <c r="Q91">
        <v>1</v>
      </c>
      <c r="R91">
        <v>1</v>
      </c>
      <c r="S91">
        <v>0</v>
      </c>
      <c r="T91">
        <v>1</v>
      </c>
      <c r="U91">
        <v>0</v>
      </c>
      <c r="V91">
        <v>0</v>
      </c>
    </row>
    <row r="92" spans="1:22" x14ac:dyDescent="0.2">
      <c r="A92" t="s">
        <v>408</v>
      </c>
      <c r="B92" t="s">
        <v>108</v>
      </c>
      <c r="C92" t="s">
        <v>41</v>
      </c>
      <c r="D92" t="s">
        <v>42</v>
      </c>
      <c r="E92" t="s">
        <v>37</v>
      </c>
      <c r="F92" t="s">
        <v>65</v>
      </c>
      <c r="G92" t="s">
        <v>48</v>
      </c>
      <c r="H92" t="s">
        <v>47</v>
      </c>
      <c r="I92">
        <v>0</v>
      </c>
      <c r="J92">
        <v>1</v>
      </c>
      <c r="K92">
        <v>1</v>
      </c>
      <c r="L92">
        <v>1</v>
      </c>
      <c r="M92">
        <v>0</v>
      </c>
      <c r="N92">
        <v>0</v>
      </c>
      <c r="O92">
        <v>1</v>
      </c>
      <c r="P92">
        <v>0</v>
      </c>
      <c r="Q92">
        <v>1</v>
      </c>
      <c r="R92">
        <v>1</v>
      </c>
      <c r="S92">
        <v>1</v>
      </c>
      <c r="T92">
        <v>0</v>
      </c>
      <c r="U92">
        <v>0</v>
      </c>
      <c r="V92">
        <v>0</v>
      </c>
    </row>
    <row r="93" spans="1:22" x14ac:dyDescent="0.2">
      <c r="A93" t="s">
        <v>408</v>
      </c>
      <c r="B93" t="s">
        <v>108</v>
      </c>
      <c r="C93" t="s">
        <v>41</v>
      </c>
      <c r="D93" t="s">
        <v>67</v>
      </c>
      <c r="E93" t="s">
        <v>37</v>
      </c>
      <c r="F93" t="s">
        <v>48</v>
      </c>
      <c r="G93" t="s">
        <v>60</v>
      </c>
      <c r="H93" t="s">
        <v>65</v>
      </c>
      <c r="I93">
        <v>1</v>
      </c>
      <c r="J93">
        <v>1</v>
      </c>
      <c r="K93">
        <v>1</v>
      </c>
      <c r="L93">
        <v>0</v>
      </c>
      <c r="M93">
        <v>0</v>
      </c>
      <c r="N93">
        <v>0</v>
      </c>
      <c r="O93">
        <v>1</v>
      </c>
      <c r="P93">
        <v>1</v>
      </c>
      <c r="Q93">
        <v>1</v>
      </c>
      <c r="R93">
        <v>1</v>
      </c>
      <c r="S93">
        <v>0</v>
      </c>
      <c r="T93">
        <v>0</v>
      </c>
      <c r="U93">
        <v>0</v>
      </c>
      <c r="V93">
        <v>0</v>
      </c>
    </row>
    <row r="94" spans="1:22" x14ac:dyDescent="0.2">
      <c r="A94" t="s">
        <v>411</v>
      </c>
      <c r="B94" t="s">
        <v>33</v>
      </c>
      <c r="C94" t="s">
        <v>41</v>
      </c>
      <c r="D94" t="s">
        <v>55</v>
      </c>
      <c r="E94" t="s">
        <v>37</v>
      </c>
      <c r="F94" t="s">
        <v>48</v>
      </c>
      <c r="G94" t="s">
        <v>47</v>
      </c>
      <c r="H94" t="s">
        <v>65</v>
      </c>
      <c r="I94">
        <v>0</v>
      </c>
      <c r="J94">
        <v>1</v>
      </c>
      <c r="K94">
        <v>1</v>
      </c>
      <c r="L94">
        <v>1</v>
      </c>
      <c r="M94">
        <v>0</v>
      </c>
      <c r="N94">
        <v>0</v>
      </c>
      <c r="O94">
        <v>1</v>
      </c>
      <c r="P94">
        <v>0</v>
      </c>
      <c r="Q94">
        <v>1</v>
      </c>
      <c r="R94">
        <v>1</v>
      </c>
      <c r="S94">
        <v>1</v>
      </c>
      <c r="T94">
        <v>0</v>
      </c>
      <c r="U94">
        <v>0</v>
      </c>
      <c r="V94">
        <v>0</v>
      </c>
    </row>
    <row r="95" spans="1:22" x14ac:dyDescent="0.2">
      <c r="A95" t="s">
        <v>415</v>
      </c>
      <c r="B95" t="s">
        <v>108</v>
      </c>
      <c r="C95" t="s">
        <v>41</v>
      </c>
      <c r="D95" t="s">
        <v>42</v>
      </c>
      <c r="E95" t="s">
        <v>37</v>
      </c>
      <c r="F95" t="s">
        <v>65</v>
      </c>
      <c r="G95" t="s">
        <v>48</v>
      </c>
      <c r="H95" t="s">
        <v>59</v>
      </c>
      <c r="I95">
        <v>0</v>
      </c>
      <c r="J95">
        <v>1</v>
      </c>
      <c r="K95">
        <v>1</v>
      </c>
      <c r="L95">
        <v>0</v>
      </c>
      <c r="M95">
        <v>0</v>
      </c>
      <c r="N95">
        <v>0</v>
      </c>
      <c r="O95">
        <v>1</v>
      </c>
      <c r="P95">
        <v>0</v>
      </c>
      <c r="Q95">
        <v>1</v>
      </c>
      <c r="R95">
        <v>1</v>
      </c>
      <c r="S95">
        <v>0</v>
      </c>
      <c r="T95">
        <v>0</v>
      </c>
      <c r="U95">
        <v>0</v>
      </c>
      <c r="V95">
        <v>0</v>
      </c>
    </row>
    <row r="96" spans="1:22" x14ac:dyDescent="0.2">
      <c r="A96" t="s">
        <v>415</v>
      </c>
      <c r="B96" t="s">
        <v>108</v>
      </c>
      <c r="C96" t="s">
        <v>41</v>
      </c>
      <c r="D96" t="s">
        <v>61</v>
      </c>
      <c r="E96" t="s">
        <v>37</v>
      </c>
      <c r="F96" t="s">
        <v>48</v>
      </c>
      <c r="G96" t="s">
        <v>65</v>
      </c>
      <c r="H96" t="s">
        <v>47</v>
      </c>
      <c r="I96">
        <v>0</v>
      </c>
      <c r="J96">
        <v>1</v>
      </c>
      <c r="K96">
        <v>1</v>
      </c>
      <c r="L96">
        <v>1</v>
      </c>
      <c r="M96">
        <v>0</v>
      </c>
      <c r="N96">
        <v>0</v>
      </c>
      <c r="O96">
        <v>1</v>
      </c>
      <c r="P96">
        <v>0</v>
      </c>
      <c r="Q96">
        <v>1</v>
      </c>
      <c r="R96">
        <v>1</v>
      </c>
      <c r="S96">
        <v>1</v>
      </c>
      <c r="T96">
        <v>0</v>
      </c>
      <c r="U96">
        <v>0</v>
      </c>
      <c r="V96">
        <v>0</v>
      </c>
    </row>
    <row r="97" spans="1:22" x14ac:dyDescent="0.2">
      <c r="A97" t="s">
        <v>415</v>
      </c>
      <c r="B97" t="s">
        <v>108</v>
      </c>
      <c r="C97" t="s">
        <v>41</v>
      </c>
      <c r="D97" t="s">
        <v>67</v>
      </c>
      <c r="E97" t="s">
        <v>37</v>
      </c>
      <c r="F97" t="s">
        <v>48</v>
      </c>
      <c r="G97" t="s">
        <v>47</v>
      </c>
      <c r="H97" t="s">
        <v>65</v>
      </c>
      <c r="I97">
        <v>0</v>
      </c>
      <c r="J97">
        <v>1</v>
      </c>
      <c r="K97">
        <v>1</v>
      </c>
      <c r="L97">
        <v>1</v>
      </c>
      <c r="M97">
        <v>0</v>
      </c>
      <c r="N97">
        <v>0</v>
      </c>
      <c r="O97">
        <v>1</v>
      </c>
      <c r="P97">
        <v>0</v>
      </c>
      <c r="Q97">
        <v>1</v>
      </c>
      <c r="R97">
        <v>1</v>
      </c>
      <c r="S97">
        <v>1</v>
      </c>
      <c r="T97">
        <v>0</v>
      </c>
      <c r="U97">
        <v>0</v>
      </c>
      <c r="V97">
        <v>0</v>
      </c>
    </row>
    <row r="98" spans="1:22" x14ac:dyDescent="0.2">
      <c r="A98" t="s">
        <v>415</v>
      </c>
      <c r="B98" t="s">
        <v>108</v>
      </c>
      <c r="C98" t="s">
        <v>41</v>
      </c>
      <c r="D98" t="s">
        <v>72</v>
      </c>
      <c r="E98" t="s">
        <v>37</v>
      </c>
      <c r="F98" t="s">
        <v>47</v>
      </c>
      <c r="G98" t="s">
        <v>65</v>
      </c>
      <c r="H98" t="s">
        <v>48</v>
      </c>
      <c r="I98">
        <v>0</v>
      </c>
      <c r="J98">
        <v>1</v>
      </c>
      <c r="K98">
        <v>1</v>
      </c>
      <c r="L98">
        <v>1</v>
      </c>
      <c r="M98">
        <v>0</v>
      </c>
      <c r="N98">
        <v>0</v>
      </c>
      <c r="O98">
        <v>1</v>
      </c>
      <c r="P98">
        <v>0</v>
      </c>
      <c r="Q98">
        <v>1</v>
      </c>
      <c r="R98">
        <v>1</v>
      </c>
      <c r="S98">
        <v>1</v>
      </c>
      <c r="T98">
        <v>0</v>
      </c>
      <c r="U98">
        <v>0</v>
      </c>
      <c r="V98">
        <v>0</v>
      </c>
    </row>
    <row r="99" spans="1:22" x14ac:dyDescent="0.2">
      <c r="A99" t="s">
        <v>415</v>
      </c>
      <c r="B99" t="s">
        <v>108</v>
      </c>
      <c r="C99" t="s">
        <v>41</v>
      </c>
      <c r="D99" t="s">
        <v>55</v>
      </c>
      <c r="E99" t="s">
        <v>37</v>
      </c>
      <c r="F99" t="s">
        <v>59</v>
      </c>
      <c r="G99" t="s">
        <v>48</v>
      </c>
      <c r="H99" t="s">
        <v>65</v>
      </c>
      <c r="I99">
        <v>0</v>
      </c>
      <c r="J99">
        <v>1</v>
      </c>
      <c r="K99">
        <v>1</v>
      </c>
      <c r="L99">
        <v>0</v>
      </c>
      <c r="M99">
        <v>0</v>
      </c>
      <c r="N99">
        <v>0</v>
      </c>
      <c r="O99">
        <v>1</v>
      </c>
      <c r="P99">
        <v>0</v>
      </c>
      <c r="Q99">
        <v>1</v>
      </c>
      <c r="R99">
        <v>1</v>
      </c>
      <c r="S99">
        <v>0</v>
      </c>
      <c r="T99">
        <v>0</v>
      </c>
      <c r="U99">
        <v>0</v>
      </c>
      <c r="V99">
        <v>0</v>
      </c>
    </row>
    <row r="100" spans="1:22" x14ac:dyDescent="0.2">
      <c r="A100" t="s">
        <v>418</v>
      </c>
      <c r="B100" t="s">
        <v>33</v>
      </c>
      <c r="C100" t="s">
        <v>41</v>
      </c>
      <c r="D100" t="s">
        <v>72</v>
      </c>
      <c r="E100" t="s">
        <v>37</v>
      </c>
      <c r="F100" t="s">
        <v>65</v>
      </c>
      <c r="G100" t="s">
        <v>48</v>
      </c>
      <c r="H100" t="s">
        <v>60</v>
      </c>
      <c r="I100">
        <v>1</v>
      </c>
      <c r="J100">
        <v>1</v>
      </c>
      <c r="K100">
        <v>1</v>
      </c>
      <c r="L100">
        <v>0</v>
      </c>
      <c r="M100">
        <v>0</v>
      </c>
      <c r="N100">
        <v>0</v>
      </c>
      <c r="O100">
        <v>1</v>
      </c>
      <c r="P100">
        <v>1</v>
      </c>
      <c r="Q100">
        <v>1</v>
      </c>
      <c r="R100">
        <v>1</v>
      </c>
      <c r="S100">
        <v>0</v>
      </c>
      <c r="T100">
        <v>0</v>
      </c>
      <c r="U100">
        <v>0</v>
      </c>
      <c r="V100">
        <v>0</v>
      </c>
    </row>
    <row r="101" spans="1:22" x14ac:dyDescent="0.2">
      <c r="A101" t="s">
        <v>422</v>
      </c>
      <c r="B101" t="s">
        <v>108</v>
      </c>
      <c r="C101" t="s">
        <v>41</v>
      </c>
      <c r="D101" t="s">
        <v>61</v>
      </c>
      <c r="E101" t="s">
        <v>37</v>
      </c>
      <c r="F101" t="s">
        <v>48</v>
      </c>
      <c r="G101" t="s">
        <v>60</v>
      </c>
      <c r="H101" t="s">
        <v>65</v>
      </c>
      <c r="I101">
        <v>1</v>
      </c>
      <c r="J101">
        <v>1</v>
      </c>
      <c r="K101">
        <v>1</v>
      </c>
      <c r="L101">
        <v>0</v>
      </c>
      <c r="M101">
        <v>0</v>
      </c>
      <c r="N101">
        <v>0</v>
      </c>
      <c r="O101">
        <v>1</v>
      </c>
      <c r="P101">
        <v>0</v>
      </c>
      <c r="Q101">
        <v>0</v>
      </c>
      <c r="R101">
        <v>1</v>
      </c>
      <c r="S101">
        <v>0</v>
      </c>
      <c r="T101">
        <v>0</v>
      </c>
      <c r="U101">
        <v>0</v>
      </c>
      <c r="V101">
        <v>0</v>
      </c>
    </row>
    <row r="102" spans="1:22" x14ac:dyDescent="0.2">
      <c r="A102" t="s">
        <v>422</v>
      </c>
      <c r="B102" t="s">
        <v>108</v>
      </c>
      <c r="C102" t="s">
        <v>41</v>
      </c>
      <c r="D102" t="s">
        <v>42</v>
      </c>
      <c r="E102" t="s">
        <v>37</v>
      </c>
      <c r="F102" t="s">
        <v>48</v>
      </c>
      <c r="G102" t="s">
        <v>59</v>
      </c>
      <c r="H102" t="s">
        <v>60</v>
      </c>
      <c r="I102">
        <v>1</v>
      </c>
      <c r="J102">
        <v>0</v>
      </c>
      <c r="K102">
        <v>1</v>
      </c>
      <c r="L102">
        <v>0</v>
      </c>
      <c r="M102">
        <v>0</v>
      </c>
      <c r="N102">
        <v>0</v>
      </c>
      <c r="O102">
        <v>1</v>
      </c>
      <c r="P102">
        <v>0</v>
      </c>
      <c r="Q102">
        <v>0</v>
      </c>
      <c r="R102">
        <v>1</v>
      </c>
      <c r="S102">
        <v>0</v>
      </c>
      <c r="T102">
        <v>0</v>
      </c>
      <c r="U102">
        <v>0</v>
      </c>
      <c r="V102">
        <v>0</v>
      </c>
    </row>
    <row r="103" spans="1:22" x14ac:dyDescent="0.2">
      <c r="A103" t="s">
        <v>429</v>
      </c>
      <c r="B103" t="s">
        <v>430</v>
      </c>
      <c r="C103" t="s">
        <v>41</v>
      </c>
      <c r="D103" t="s">
        <v>67</v>
      </c>
      <c r="E103" t="s">
        <v>37</v>
      </c>
      <c r="F103" t="s">
        <v>46</v>
      </c>
      <c r="G103" t="s">
        <v>60</v>
      </c>
      <c r="H103" t="s">
        <v>48</v>
      </c>
      <c r="I103">
        <v>1</v>
      </c>
      <c r="J103">
        <v>0</v>
      </c>
      <c r="K103">
        <v>1</v>
      </c>
      <c r="L103">
        <v>0</v>
      </c>
      <c r="M103">
        <v>1</v>
      </c>
      <c r="N103">
        <v>0</v>
      </c>
      <c r="O103">
        <v>1</v>
      </c>
      <c r="P103">
        <v>0</v>
      </c>
      <c r="Q103">
        <v>0</v>
      </c>
      <c r="R103">
        <v>1</v>
      </c>
      <c r="S103">
        <v>0</v>
      </c>
      <c r="T103">
        <v>1</v>
      </c>
      <c r="U103">
        <v>0</v>
      </c>
      <c r="V103">
        <v>0</v>
      </c>
    </row>
    <row r="104" spans="1:22" x14ac:dyDescent="0.2">
      <c r="A104" t="s">
        <v>434</v>
      </c>
      <c r="B104" t="s">
        <v>108</v>
      </c>
      <c r="C104" t="s">
        <v>41</v>
      </c>
      <c r="D104" t="s">
        <v>55</v>
      </c>
      <c r="E104" t="s">
        <v>37</v>
      </c>
      <c r="F104" t="s">
        <v>46</v>
      </c>
      <c r="G104" t="s">
        <v>65</v>
      </c>
      <c r="H104" t="s">
        <v>48</v>
      </c>
      <c r="I104">
        <v>0</v>
      </c>
      <c r="J104">
        <v>1</v>
      </c>
      <c r="K104">
        <v>1</v>
      </c>
      <c r="L104">
        <v>0</v>
      </c>
      <c r="M104">
        <v>1</v>
      </c>
      <c r="N104">
        <v>0</v>
      </c>
      <c r="O104">
        <v>1</v>
      </c>
      <c r="P104">
        <v>0</v>
      </c>
      <c r="Q104">
        <v>1</v>
      </c>
      <c r="R104">
        <v>1</v>
      </c>
      <c r="S104">
        <v>0</v>
      </c>
      <c r="T104">
        <v>1</v>
      </c>
      <c r="U104">
        <v>0</v>
      </c>
      <c r="V104">
        <v>0</v>
      </c>
    </row>
    <row r="105" spans="1:22" x14ac:dyDescent="0.2">
      <c r="A105" t="s">
        <v>434</v>
      </c>
      <c r="B105" t="s">
        <v>108</v>
      </c>
      <c r="C105" t="s">
        <v>41</v>
      </c>
      <c r="D105" t="s">
        <v>42</v>
      </c>
      <c r="E105" t="s">
        <v>37</v>
      </c>
      <c r="F105" t="s">
        <v>46</v>
      </c>
      <c r="G105" t="s">
        <v>48</v>
      </c>
      <c r="H105" t="s">
        <v>60</v>
      </c>
      <c r="I105">
        <v>1</v>
      </c>
      <c r="J105">
        <v>0</v>
      </c>
      <c r="K105">
        <v>1</v>
      </c>
      <c r="L105">
        <v>0</v>
      </c>
      <c r="M105">
        <v>1</v>
      </c>
      <c r="N105">
        <v>0</v>
      </c>
      <c r="O105">
        <v>1</v>
      </c>
      <c r="P105">
        <v>1</v>
      </c>
      <c r="Q105">
        <v>0</v>
      </c>
      <c r="R105">
        <v>1</v>
      </c>
      <c r="S105">
        <v>0</v>
      </c>
      <c r="T105">
        <v>1</v>
      </c>
      <c r="U105">
        <v>0</v>
      </c>
      <c r="V105">
        <v>0</v>
      </c>
    </row>
    <row r="106" spans="1:22" x14ac:dyDescent="0.2">
      <c r="A106" t="s">
        <v>441</v>
      </c>
      <c r="B106" t="s">
        <v>33</v>
      </c>
      <c r="C106" t="s">
        <v>41</v>
      </c>
      <c r="D106" t="s">
        <v>72</v>
      </c>
      <c r="E106" t="s">
        <v>442</v>
      </c>
      <c r="F106" t="s">
        <v>48</v>
      </c>
      <c r="G106" t="s">
        <v>65</v>
      </c>
      <c r="H106" t="s">
        <v>59</v>
      </c>
      <c r="I106">
        <v>0</v>
      </c>
      <c r="J106">
        <v>1</v>
      </c>
      <c r="K106">
        <v>1</v>
      </c>
      <c r="L106">
        <v>0</v>
      </c>
      <c r="M106">
        <v>0</v>
      </c>
      <c r="N106">
        <v>0</v>
      </c>
      <c r="O106">
        <v>1</v>
      </c>
      <c r="P106">
        <v>0</v>
      </c>
      <c r="Q106">
        <v>0</v>
      </c>
      <c r="R106">
        <v>1</v>
      </c>
      <c r="S106">
        <v>0</v>
      </c>
      <c r="T106">
        <v>0</v>
      </c>
      <c r="U106">
        <v>0</v>
      </c>
      <c r="V106">
        <v>0</v>
      </c>
    </row>
    <row r="107" spans="1:22" x14ac:dyDescent="0.2">
      <c r="A107" t="s">
        <v>441</v>
      </c>
      <c r="B107" t="s">
        <v>33</v>
      </c>
      <c r="C107" t="s">
        <v>41</v>
      </c>
      <c r="D107" t="s">
        <v>61</v>
      </c>
      <c r="E107" t="s">
        <v>442</v>
      </c>
      <c r="F107" t="s">
        <v>65</v>
      </c>
      <c r="G107" t="s">
        <v>48</v>
      </c>
      <c r="H107" t="s">
        <v>46</v>
      </c>
      <c r="I107">
        <v>0</v>
      </c>
      <c r="J107">
        <v>1</v>
      </c>
      <c r="K107">
        <v>1</v>
      </c>
      <c r="L107">
        <v>0</v>
      </c>
      <c r="M107">
        <v>1</v>
      </c>
      <c r="N107">
        <v>0</v>
      </c>
      <c r="O107">
        <v>1</v>
      </c>
      <c r="P107">
        <v>0</v>
      </c>
      <c r="Q107">
        <v>0</v>
      </c>
      <c r="R107">
        <v>1</v>
      </c>
      <c r="S107">
        <v>0</v>
      </c>
      <c r="T107">
        <v>0</v>
      </c>
      <c r="U107">
        <v>0</v>
      </c>
      <c r="V107">
        <v>0</v>
      </c>
    </row>
    <row r="108" spans="1:22" x14ac:dyDescent="0.2">
      <c r="A108" t="s">
        <v>444</v>
      </c>
      <c r="B108" t="s">
        <v>33</v>
      </c>
      <c r="C108" t="s">
        <v>41</v>
      </c>
      <c r="D108" t="s">
        <v>72</v>
      </c>
      <c r="E108" t="s">
        <v>442</v>
      </c>
      <c r="F108" t="s">
        <v>46</v>
      </c>
      <c r="G108" t="s">
        <v>47</v>
      </c>
      <c r="H108" t="s">
        <v>48</v>
      </c>
      <c r="I108">
        <v>0</v>
      </c>
      <c r="J108">
        <v>0</v>
      </c>
      <c r="K108">
        <v>1</v>
      </c>
      <c r="L108">
        <v>1</v>
      </c>
      <c r="M108">
        <v>1</v>
      </c>
      <c r="N108">
        <v>0</v>
      </c>
      <c r="O108">
        <v>1</v>
      </c>
      <c r="P108">
        <v>0</v>
      </c>
      <c r="Q108">
        <v>0</v>
      </c>
      <c r="R108">
        <v>1</v>
      </c>
      <c r="S108">
        <v>0</v>
      </c>
      <c r="T108">
        <v>0</v>
      </c>
      <c r="U108">
        <v>0</v>
      </c>
      <c r="V108">
        <v>0</v>
      </c>
    </row>
    <row r="109" spans="1:22" x14ac:dyDescent="0.2">
      <c r="A109" t="s">
        <v>444</v>
      </c>
      <c r="B109" t="s">
        <v>33</v>
      </c>
      <c r="C109" t="s">
        <v>41</v>
      </c>
      <c r="D109" t="s">
        <v>67</v>
      </c>
      <c r="E109" t="s">
        <v>442</v>
      </c>
      <c r="F109" t="s">
        <v>46</v>
      </c>
      <c r="G109" t="s">
        <v>65</v>
      </c>
      <c r="H109" t="s">
        <v>48</v>
      </c>
      <c r="I109">
        <v>0</v>
      </c>
      <c r="J109">
        <v>1</v>
      </c>
      <c r="K109">
        <v>1</v>
      </c>
      <c r="L109">
        <v>0</v>
      </c>
      <c r="M109">
        <v>1</v>
      </c>
      <c r="N109">
        <v>0</v>
      </c>
      <c r="O109">
        <v>1</v>
      </c>
      <c r="P109">
        <v>0</v>
      </c>
      <c r="Q109">
        <v>0</v>
      </c>
      <c r="R109">
        <v>1</v>
      </c>
      <c r="S109">
        <v>0</v>
      </c>
      <c r="T109">
        <v>0</v>
      </c>
      <c r="U109">
        <v>0</v>
      </c>
      <c r="V109">
        <v>0</v>
      </c>
    </row>
    <row r="110" spans="1:22" x14ac:dyDescent="0.2">
      <c r="A110" t="s">
        <v>445</v>
      </c>
      <c r="B110" t="s">
        <v>33</v>
      </c>
      <c r="C110" t="s">
        <v>41</v>
      </c>
      <c r="D110" t="s">
        <v>42</v>
      </c>
      <c r="E110" t="s">
        <v>442</v>
      </c>
      <c r="F110" t="s">
        <v>59</v>
      </c>
      <c r="G110" t="s">
        <v>48</v>
      </c>
      <c r="H110" t="s">
        <v>47</v>
      </c>
      <c r="I110">
        <v>0</v>
      </c>
      <c r="J110">
        <v>0</v>
      </c>
      <c r="K110">
        <v>1</v>
      </c>
      <c r="L110">
        <v>1</v>
      </c>
      <c r="M110">
        <v>0</v>
      </c>
      <c r="N110">
        <v>0</v>
      </c>
      <c r="O110">
        <v>1</v>
      </c>
      <c r="P110">
        <v>0</v>
      </c>
      <c r="Q110">
        <v>0</v>
      </c>
      <c r="R110">
        <v>1</v>
      </c>
      <c r="S110">
        <v>0</v>
      </c>
      <c r="T110">
        <v>0</v>
      </c>
      <c r="U110">
        <v>0</v>
      </c>
      <c r="V110">
        <v>0</v>
      </c>
    </row>
    <row r="111" spans="1:22" x14ac:dyDescent="0.2">
      <c r="A111" t="s">
        <v>448</v>
      </c>
      <c r="B111" t="s">
        <v>33</v>
      </c>
      <c r="C111" t="s">
        <v>41</v>
      </c>
      <c r="D111" t="s">
        <v>72</v>
      </c>
      <c r="E111" t="s">
        <v>442</v>
      </c>
      <c r="F111" t="s">
        <v>47</v>
      </c>
      <c r="G111" t="s">
        <v>48</v>
      </c>
      <c r="H111" t="s">
        <v>65</v>
      </c>
      <c r="I111">
        <v>0</v>
      </c>
      <c r="J111">
        <v>1</v>
      </c>
      <c r="K111">
        <v>1</v>
      </c>
      <c r="L111">
        <v>1</v>
      </c>
      <c r="M111">
        <v>0</v>
      </c>
      <c r="N111">
        <v>0</v>
      </c>
      <c r="O111">
        <v>1</v>
      </c>
      <c r="P111">
        <v>0</v>
      </c>
      <c r="Q111">
        <v>0</v>
      </c>
      <c r="R111">
        <v>1</v>
      </c>
      <c r="S111">
        <v>0</v>
      </c>
      <c r="T111">
        <v>0</v>
      </c>
      <c r="U111">
        <v>0</v>
      </c>
      <c r="V111">
        <v>0</v>
      </c>
    </row>
    <row r="112" spans="1:22" x14ac:dyDescent="0.2">
      <c r="A112" t="s">
        <v>448</v>
      </c>
      <c r="B112" t="s">
        <v>33</v>
      </c>
      <c r="C112" t="s">
        <v>41</v>
      </c>
      <c r="D112" t="s">
        <v>67</v>
      </c>
      <c r="E112" t="s">
        <v>442</v>
      </c>
      <c r="F112" t="s">
        <v>46</v>
      </c>
      <c r="G112" t="s">
        <v>60</v>
      </c>
      <c r="H112" t="s">
        <v>48</v>
      </c>
      <c r="I112">
        <v>1</v>
      </c>
      <c r="J112">
        <v>0</v>
      </c>
      <c r="K112">
        <v>1</v>
      </c>
      <c r="L112">
        <v>0</v>
      </c>
      <c r="M112">
        <v>1</v>
      </c>
      <c r="N112">
        <v>0</v>
      </c>
      <c r="O112">
        <v>1</v>
      </c>
      <c r="P112">
        <v>0</v>
      </c>
      <c r="Q112">
        <v>0</v>
      </c>
      <c r="R112">
        <v>1</v>
      </c>
      <c r="S112">
        <v>0</v>
      </c>
      <c r="T112">
        <v>0</v>
      </c>
      <c r="U112">
        <v>0</v>
      </c>
      <c r="V112">
        <v>0</v>
      </c>
    </row>
    <row r="113" spans="1:22" x14ac:dyDescent="0.2">
      <c r="A113" t="s">
        <v>448</v>
      </c>
      <c r="B113" t="s">
        <v>33</v>
      </c>
      <c r="C113" t="s">
        <v>41</v>
      </c>
      <c r="D113" t="s">
        <v>61</v>
      </c>
      <c r="E113" t="s">
        <v>442</v>
      </c>
      <c r="F113" t="s">
        <v>47</v>
      </c>
      <c r="G113" t="s">
        <v>48</v>
      </c>
      <c r="H113" t="s">
        <v>46</v>
      </c>
      <c r="I113">
        <v>0</v>
      </c>
      <c r="J113">
        <v>0</v>
      </c>
      <c r="K113">
        <v>1</v>
      </c>
      <c r="L113">
        <v>1</v>
      </c>
      <c r="M113">
        <v>1</v>
      </c>
      <c r="N113">
        <v>0</v>
      </c>
      <c r="O113">
        <v>1</v>
      </c>
      <c r="P113">
        <v>0</v>
      </c>
      <c r="Q113">
        <v>0</v>
      </c>
      <c r="R113">
        <v>1</v>
      </c>
      <c r="S113">
        <v>0</v>
      </c>
      <c r="T113">
        <v>0</v>
      </c>
      <c r="U113">
        <v>0</v>
      </c>
      <c r="V113">
        <v>0</v>
      </c>
    </row>
    <row r="114" spans="1:22" x14ac:dyDescent="0.2">
      <c r="A114" t="s">
        <v>448</v>
      </c>
      <c r="B114" t="s">
        <v>33</v>
      </c>
      <c r="C114" t="s">
        <v>41</v>
      </c>
      <c r="D114" t="s">
        <v>42</v>
      </c>
      <c r="E114" t="s">
        <v>442</v>
      </c>
      <c r="F114" t="s">
        <v>48</v>
      </c>
      <c r="G114" t="s">
        <v>46</v>
      </c>
      <c r="H114" t="s">
        <v>47</v>
      </c>
      <c r="I114">
        <v>0</v>
      </c>
      <c r="J114">
        <v>0</v>
      </c>
      <c r="K114">
        <v>1</v>
      </c>
      <c r="L114">
        <v>1</v>
      </c>
      <c r="M114">
        <v>1</v>
      </c>
      <c r="N114">
        <v>0</v>
      </c>
      <c r="O114">
        <v>1</v>
      </c>
      <c r="P114">
        <v>0</v>
      </c>
      <c r="Q114">
        <v>0</v>
      </c>
      <c r="R114">
        <v>1</v>
      </c>
      <c r="S114">
        <v>0</v>
      </c>
      <c r="T114">
        <v>0</v>
      </c>
      <c r="U114">
        <v>0</v>
      </c>
      <c r="V114">
        <v>0</v>
      </c>
    </row>
    <row r="115" spans="1:22" x14ac:dyDescent="0.2">
      <c r="A115" t="s">
        <v>449</v>
      </c>
      <c r="B115" t="s">
        <v>108</v>
      </c>
      <c r="C115" t="s">
        <v>41</v>
      </c>
      <c r="D115" t="s">
        <v>67</v>
      </c>
      <c r="E115" t="s">
        <v>442</v>
      </c>
      <c r="F115" t="s">
        <v>65</v>
      </c>
      <c r="G115" t="s">
        <v>48</v>
      </c>
      <c r="H115" t="s">
        <v>59</v>
      </c>
      <c r="I115">
        <v>0</v>
      </c>
      <c r="J115">
        <v>1</v>
      </c>
      <c r="K115">
        <v>1</v>
      </c>
      <c r="L115">
        <v>0</v>
      </c>
      <c r="M115">
        <v>0</v>
      </c>
      <c r="N115">
        <v>0</v>
      </c>
      <c r="O115">
        <v>1</v>
      </c>
      <c r="P115">
        <v>0</v>
      </c>
      <c r="Q115">
        <v>1</v>
      </c>
      <c r="R115">
        <v>1</v>
      </c>
      <c r="S115">
        <v>0</v>
      </c>
      <c r="T115">
        <v>0</v>
      </c>
      <c r="U115">
        <v>0</v>
      </c>
      <c r="V115">
        <v>0</v>
      </c>
    </row>
    <row r="116" spans="1:22" x14ac:dyDescent="0.2">
      <c r="A116" t="s">
        <v>456</v>
      </c>
      <c r="B116" t="s">
        <v>33</v>
      </c>
      <c r="C116" t="s">
        <v>41</v>
      </c>
      <c r="D116" t="s">
        <v>55</v>
      </c>
      <c r="E116" t="s">
        <v>442</v>
      </c>
      <c r="F116" t="s">
        <v>47</v>
      </c>
      <c r="G116" t="s">
        <v>48</v>
      </c>
      <c r="H116" t="s">
        <v>65</v>
      </c>
      <c r="I116">
        <v>0</v>
      </c>
      <c r="J116">
        <v>1</v>
      </c>
      <c r="K116">
        <v>1</v>
      </c>
      <c r="L116">
        <v>1</v>
      </c>
      <c r="M116">
        <v>0</v>
      </c>
      <c r="N116">
        <v>0</v>
      </c>
      <c r="O116">
        <v>1</v>
      </c>
      <c r="P116">
        <v>0</v>
      </c>
      <c r="Q116">
        <v>0</v>
      </c>
      <c r="R116">
        <v>1</v>
      </c>
      <c r="S116">
        <v>0</v>
      </c>
      <c r="T116">
        <v>0</v>
      </c>
      <c r="U116">
        <v>0</v>
      </c>
      <c r="V116">
        <v>0</v>
      </c>
    </row>
    <row r="117" spans="1:22" x14ac:dyDescent="0.2">
      <c r="A117" t="s">
        <v>456</v>
      </c>
      <c r="B117" t="s">
        <v>33</v>
      </c>
      <c r="C117" t="s">
        <v>41</v>
      </c>
      <c r="D117" t="s">
        <v>61</v>
      </c>
      <c r="E117" t="s">
        <v>442</v>
      </c>
      <c r="F117" t="s">
        <v>48</v>
      </c>
      <c r="G117" t="s">
        <v>47</v>
      </c>
      <c r="H117" t="s">
        <v>60</v>
      </c>
      <c r="I117">
        <v>1</v>
      </c>
      <c r="J117">
        <v>0</v>
      </c>
      <c r="K117">
        <v>1</v>
      </c>
      <c r="L117">
        <v>1</v>
      </c>
      <c r="M117">
        <v>0</v>
      </c>
      <c r="N117">
        <v>0</v>
      </c>
      <c r="O117">
        <v>1</v>
      </c>
      <c r="P117">
        <v>1</v>
      </c>
      <c r="Q117">
        <v>0</v>
      </c>
      <c r="R117">
        <v>1</v>
      </c>
      <c r="S117">
        <v>1</v>
      </c>
      <c r="T117">
        <v>0</v>
      </c>
      <c r="U117">
        <v>0</v>
      </c>
      <c r="V117">
        <v>0</v>
      </c>
    </row>
    <row r="118" spans="1:22" x14ac:dyDescent="0.2">
      <c r="A118" t="s">
        <v>459</v>
      </c>
      <c r="B118" t="s">
        <v>188</v>
      </c>
      <c r="C118" t="s">
        <v>41</v>
      </c>
      <c r="D118" t="s">
        <v>67</v>
      </c>
      <c r="E118" t="s">
        <v>442</v>
      </c>
      <c r="F118" t="s">
        <v>48</v>
      </c>
      <c r="G118" t="s">
        <v>46</v>
      </c>
      <c r="H118" t="s">
        <v>60</v>
      </c>
      <c r="I118">
        <v>1</v>
      </c>
      <c r="J118">
        <v>0</v>
      </c>
      <c r="K118">
        <v>1</v>
      </c>
      <c r="L118">
        <v>0</v>
      </c>
      <c r="M118">
        <v>1</v>
      </c>
      <c r="N118">
        <v>0</v>
      </c>
      <c r="O118">
        <v>1</v>
      </c>
      <c r="P118">
        <v>1</v>
      </c>
      <c r="Q118">
        <v>0</v>
      </c>
      <c r="R118">
        <v>1</v>
      </c>
      <c r="S118">
        <v>0</v>
      </c>
      <c r="T118">
        <v>1</v>
      </c>
      <c r="U118">
        <v>0</v>
      </c>
      <c r="V118">
        <v>0</v>
      </c>
    </row>
    <row r="119" spans="1:22" x14ac:dyDescent="0.2">
      <c r="A119" t="s">
        <v>459</v>
      </c>
      <c r="B119" t="s">
        <v>188</v>
      </c>
      <c r="C119" t="s">
        <v>41</v>
      </c>
      <c r="D119" t="s">
        <v>61</v>
      </c>
      <c r="E119" t="s">
        <v>442</v>
      </c>
      <c r="F119" t="s">
        <v>48</v>
      </c>
      <c r="G119" t="s">
        <v>59</v>
      </c>
      <c r="H119" t="s">
        <v>46</v>
      </c>
      <c r="I119">
        <v>0</v>
      </c>
      <c r="J119">
        <v>0</v>
      </c>
      <c r="K119">
        <v>1</v>
      </c>
      <c r="L119">
        <v>0</v>
      </c>
      <c r="M119">
        <v>1</v>
      </c>
      <c r="N119">
        <v>0</v>
      </c>
      <c r="O119">
        <v>1</v>
      </c>
      <c r="P119">
        <v>0</v>
      </c>
      <c r="Q119">
        <v>0</v>
      </c>
      <c r="R119">
        <v>1</v>
      </c>
      <c r="S119">
        <v>0</v>
      </c>
      <c r="T119">
        <v>1</v>
      </c>
      <c r="U119">
        <v>0</v>
      </c>
      <c r="V119">
        <v>0</v>
      </c>
    </row>
    <row r="120" spans="1:22" x14ac:dyDescent="0.2">
      <c r="A120" t="s">
        <v>459</v>
      </c>
      <c r="B120" t="s">
        <v>188</v>
      </c>
      <c r="C120" t="s">
        <v>41</v>
      </c>
      <c r="D120" t="s">
        <v>49</v>
      </c>
      <c r="E120" t="s">
        <v>442</v>
      </c>
      <c r="F120" t="s">
        <v>60</v>
      </c>
      <c r="G120" t="s">
        <v>48</v>
      </c>
      <c r="H120" t="s">
        <v>46</v>
      </c>
      <c r="I120">
        <v>1</v>
      </c>
      <c r="J120">
        <v>0</v>
      </c>
      <c r="K120">
        <v>1</v>
      </c>
      <c r="L120">
        <v>0</v>
      </c>
      <c r="M120">
        <v>1</v>
      </c>
      <c r="N120">
        <v>0</v>
      </c>
      <c r="O120">
        <v>1</v>
      </c>
      <c r="P120">
        <v>1</v>
      </c>
      <c r="Q120">
        <v>0</v>
      </c>
      <c r="R120">
        <v>1</v>
      </c>
      <c r="S120">
        <v>0</v>
      </c>
      <c r="T120">
        <v>1</v>
      </c>
      <c r="U120">
        <v>0</v>
      </c>
      <c r="V120">
        <v>0</v>
      </c>
    </row>
    <row r="121" spans="1:22" x14ac:dyDescent="0.2">
      <c r="A121" t="s">
        <v>459</v>
      </c>
      <c r="B121" t="s">
        <v>188</v>
      </c>
      <c r="C121" t="s">
        <v>41</v>
      </c>
      <c r="D121" t="s">
        <v>55</v>
      </c>
      <c r="E121" t="s">
        <v>442</v>
      </c>
      <c r="F121" t="s">
        <v>47</v>
      </c>
      <c r="G121" t="s">
        <v>46</v>
      </c>
      <c r="H121" t="s">
        <v>48</v>
      </c>
      <c r="I121">
        <v>0</v>
      </c>
      <c r="J121">
        <v>0</v>
      </c>
      <c r="K121">
        <v>1</v>
      </c>
      <c r="L121">
        <v>1</v>
      </c>
      <c r="M121">
        <v>1</v>
      </c>
      <c r="N121">
        <v>0</v>
      </c>
      <c r="O121">
        <v>1</v>
      </c>
      <c r="P121">
        <v>0</v>
      </c>
      <c r="Q121">
        <v>0</v>
      </c>
      <c r="R121">
        <v>1</v>
      </c>
      <c r="S121">
        <v>1</v>
      </c>
      <c r="T121">
        <v>1</v>
      </c>
      <c r="U121">
        <v>0</v>
      </c>
      <c r="V121">
        <v>0</v>
      </c>
    </row>
    <row r="122" spans="1:22" x14ac:dyDescent="0.2">
      <c r="A122" t="s">
        <v>459</v>
      </c>
      <c r="B122" t="s">
        <v>188</v>
      </c>
      <c r="C122" t="s">
        <v>41</v>
      </c>
      <c r="D122" t="s">
        <v>42</v>
      </c>
      <c r="E122" t="s">
        <v>442</v>
      </c>
      <c r="F122" t="s">
        <v>65</v>
      </c>
      <c r="G122" t="s">
        <v>48</v>
      </c>
      <c r="H122" t="s">
        <v>46</v>
      </c>
      <c r="I122">
        <v>0</v>
      </c>
      <c r="J122">
        <v>1</v>
      </c>
      <c r="K122">
        <v>1</v>
      </c>
      <c r="L122">
        <v>0</v>
      </c>
      <c r="M122">
        <v>1</v>
      </c>
      <c r="N122">
        <v>0</v>
      </c>
      <c r="O122">
        <v>1</v>
      </c>
      <c r="P122">
        <v>0</v>
      </c>
      <c r="Q122">
        <v>1</v>
      </c>
      <c r="R122">
        <v>1</v>
      </c>
      <c r="S122">
        <v>0</v>
      </c>
      <c r="T122">
        <v>1</v>
      </c>
      <c r="U122">
        <v>0</v>
      </c>
      <c r="V122">
        <v>0</v>
      </c>
    </row>
    <row r="123" spans="1:22" x14ac:dyDescent="0.2">
      <c r="A123" t="s">
        <v>462</v>
      </c>
      <c r="B123" t="s">
        <v>108</v>
      </c>
      <c r="C123" t="s">
        <v>41</v>
      </c>
      <c r="D123" t="s">
        <v>72</v>
      </c>
      <c r="E123" t="s">
        <v>442</v>
      </c>
      <c r="F123" t="s">
        <v>46</v>
      </c>
      <c r="G123" t="s">
        <v>48</v>
      </c>
      <c r="H123" t="s">
        <v>47</v>
      </c>
      <c r="I123">
        <v>0</v>
      </c>
      <c r="J123">
        <v>0</v>
      </c>
      <c r="K123">
        <v>1</v>
      </c>
      <c r="L123">
        <v>1</v>
      </c>
      <c r="M123">
        <v>1</v>
      </c>
      <c r="N123">
        <v>0</v>
      </c>
      <c r="O123">
        <v>1</v>
      </c>
      <c r="P123">
        <v>0</v>
      </c>
      <c r="Q123">
        <v>0</v>
      </c>
      <c r="R123">
        <v>1</v>
      </c>
      <c r="S123">
        <v>0</v>
      </c>
      <c r="T123">
        <v>1</v>
      </c>
      <c r="U123">
        <v>0</v>
      </c>
      <c r="V123">
        <v>0</v>
      </c>
    </row>
    <row r="124" spans="1:22" x14ac:dyDescent="0.2">
      <c r="A124" t="s">
        <v>462</v>
      </c>
      <c r="B124" t="s">
        <v>108</v>
      </c>
      <c r="C124" t="s">
        <v>41</v>
      </c>
      <c r="D124" t="s">
        <v>61</v>
      </c>
      <c r="E124" t="s">
        <v>442</v>
      </c>
      <c r="F124" t="s">
        <v>65</v>
      </c>
      <c r="G124" t="s">
        <v>46</v>
      </c>
      <c r="H124" t="s">
        <v>48</v>
      </c>
      <c r="I124">
        <v>0</v>
      </c>
      <c r="J124">
        <v>1</v>
      </c>
      <c r="K124">
        <v>1</v>
      </c>
      <c r="L124">
        <v>0</v>
      </c>
      <c r="M124">
        <v>1</v>
      </c>
      <c r="N124">
        <v>0</v>
      </c>
      <c r="O124">
        <v>1</v>
      </c>
      <c r="P124">
        <v>0</v>
      </c>
      <c r="Q124">
        <v>0</v>
      </c>
      <c r="R124">
        <v>1</v>
      </c>
      <c r="S124">
        <v>0</v>
      </c>
      <c r="T124">
        <v>1</v>
      </c>
      <c r="U124">
        <v>0</v>
      </c>
      <c r="V124">
        <v>0</v>
      </c>
    </row>
    <row r="125" spans="1:22" x14ac:dyDescent="0.2">
      <c r="A125" t="s">
        <v>462</v>
      </c>
      <c r="B125" t="s">
        <v>108</v>
      </c>
      <c r="C125" t="s">
        <v>41</v>
      </c>
      <c r="D125" t="s">
        <v>42</v>
      </c>
      <c r="E125" t="s">
        <v>442</v>
      </c>
      <c r="F125" t="s">
        <v>48</v>
      </c>
      <c r="G125" t="s">
        <v>59</v>
      </c>
      <c r="H125" t="s">
        <v>65</v>
      </c>
      <c r="I125">
        <v>0</v>
      </c>
      <c r="J125">
        <v>1</v>
      </c>
      <c r="K125">
        <v>1</v>
      </c>
      <c r="L125">
        <v>0</v>
      </c>
      <c r="M125">
        <v>0</v>
      </c>
      <c r="N125">
        <v>0</v>
      </c>
      <c r="O125">
        <v>1</v>
      </c>
      <c r="P125">
        <v>0</v>
      </c>
      <c r="Q125">
        <v>0</v>
      </c>
      <c r="R125">
        <v>1</v>
      </c>
      <c r="S125">
        <v>0</v>
      </c>
      <c r="T125">
        <v>0</v>
      </c>
      <c r="U125">
        <v>0</v>
      </c>
      <c r="V125">
        <v>0</v>
      </c>
    </row>
    <row r="126" spans="1:22" x14ac:dyDescent="0.2">
      <c r="A126" t="s">
        <v>462</v>
      </c>
      <c r="B126" t="s">
        <v>108</v>
      </c>
      <c r="C126" t="s">
        <v>41</v>
      </c>
      <c r="D126" t="s">
        <v>55</v>
      </c>
      <c r="E126" t="s">
        <v>442</v>
      </c>
      <c r="F126" t="s">
        <v>65</v>
      </c>
      <c r="G126" t="s">
        <v>46</v>
      </c>
      <c r="H126" t="s">
        <v>48</v>
      </c>
      <c r="I126">
        <v>0</v>
      </c>
      <c r="J126">
        <v>1</v>
      </c>
      <c r="K126">
        <v>1</v>
      </c>
      <c r="L126">
        <v>0</v>
      </c>
      <c r="M126">
        <v>1</v>
      </c>
      <c r="N126">
        <v>0</v>
      </c>
      <c r="O126">
        <v>1</v>
      </c>
      <c r="P126">
        <v>0</v>
      </c>
      <c r="Q126">
        <v>0</v>
      </c>
      <c r="R126">
        <v>1</v>
      </c>
      <c r="S126">
        <v>0</v>
      </c>
      <c r="T126">
        <v>1</v>
      </c>
      <c r="U126">
        <v>0</v>
      </c>
      <c r="V126">
        <v>0</v>
      </c>
    </row>
    <row r="127" spans="1:22" x14ac:dyDescent="0.2">
      <c r="A127" t="s">
        <v>465</v>
      </c>
      <c r="B127" t="s">
        <v>33</v>
      </c>
      <c r="C127" t="s">
        <v>41</v>
      </c>
      <c r="D127" t="s">
        <v>67</v>
      </c>
      <c r="E127" t="s">
        <v>442</v>
      </c>
      <c r="F127" t="s">
        <v>60</v>
      </c>
      <c r="G127" t="s">
        <v>47</v>
      </c>
      <c r="H127" t="s">
        <v>48</v>
      </c>
      <c r="I127">
        <v>1</v>
      </c>
      <c r="J127">
        <v>0</v>
      </c>
      <c r="K127">
        <v>1</v>
      </c>
      <c r="L127">
        <v>1</v>
      </c>
      <c r="M127">
        <v>0</v>
      </c>
      <c r="N127">
        <v>0</v>
      </c>
      <c r="O127">
        <v>1</v>
      </c>
      <c r="P127">
        <v>1</v>
      </c>
      <c r="Q127">
        <v>0</v>
      </c>
      <c r="R127">
        <v>1</v>
      </c>
      <c r="S127">
        <v>1</v>
      </c>
      <c r="T127">
        <v>0</v>
      </c>
      <c r="U127">
        <v>0</v>
      </c>
      <c r="V127">
        <v>0</v>
      </c>
    </row>
    <row r="128" spans="1:22" x14ac:dyDescent="0.2">
      <c r="A128" t="s">
        <v>465</v>
      </c>
      <c r="B128" t="s">
        <v>33</v>
      </c>
      <c r="C128" t="s">
        <v>41</v>
      </c>
      <c r="D128" t="s">
        <v>42</v>
      </c>
      <c r="E128" t="s">
        <v>442</v>
      </c>
      <c r="F128" t="s">
        <v>48</v>
      </c>
      <c r="G128" t="s">
        <v>60</v>
      </c>
      <c r="H128" t="s">
        <v>65</v>
      </c>
      <c r="I128">
        <v>1</v>
      </c>
      <c r="J128">
        <v>1</v>
      </c>
      <c r="K128">
        <v>1</v>
      </c>
      <c r="L128">
        <v>0</v>
      </c>
      <c r="M128">
        <v>0</v>
      </c>
      <c r="N128">
        <v>0</v>
      </c>
      <c r="O128">
        <v>1</v>
      </c>
      <c r="P128">
        <v>1</v>
      </c>
      <c r="Q128">
        <v>1</v>
      </c>
      <c r="R128">
        <v>1</v>
      </c>
      <c r="S128">
        <v>0</v>
      </c>
      <c r="T128">
        <v>0</v>
      </c>
      <c r="U128">
        <v>0</v>
      </c>
      <c r="V128">
        <v>0</v>
      </c>
    </row>
    <row r="129" spans="1:22" x14ac:dyDescent="0.2">
      <c r="A129" t="s">
        <v>465</v>
      </c>
      <c r="B129" t="s">
        <v>33</v>
      </c>
      <c r="C129" t="s">
        <v>41</v>
      </c>
      <c r="D129" t="s">
        <v>49</v>
      </c>
      <c r="E129" t="s">
        <v>442</v>
      </c>
      <c r="F129" t="s">
        <v>65</v>
      </c>
      <c r="G129" t="s">
        <v>47</v>
      </c>
      <c r="H129" t="s">
        <v>48</v>
      </c>
      <c r="I129">
        <v>0</v>
      </c>
      <c r="J129">
        <v>1</v>
      </c>
      <c r="K129">
        <v>1</v>
      </c>
      <c r="L129">
        <v>1</v>
      </c>
      <c r="M129">
        <v>0</v>
      </c>
      <c r="N129">
        <v>0</v>
      </c>
      <c r="O129">
        <v>1</v>
      </c>
      <c r="P129">
        <v>0</v>
      </c>
      <c r="Q129">
        <v>1</v>
      </c>
      <c r="R129">
        <v>1</v>
      </c>
      <c r="S129">
        <v>1</v>
      </c>
      <c r="T129">
        <v>0</v>
      </c>
      <c r="U129">
        <v>0</v>
      </c>
      <c r="V129">
        <v>0</v>
      </c>
    </row>
    <row r="130" spans="1:22" x14ac:dyDescent="0.2">
      <c r="A130" t="s">
        <v>484</v>
      </c>
      <c r="B130" t="s">
        <v>108</v>
      </c>
      <c r="C130" t="s">
        <v>41</v>
      </c>
      <c r="D130" t="s">
        <v>49</v>
      </c>
      <c r="E130" t="s">
        <v>442</v>
      </c>
      <c r="F130" t="s">
        <v>46</v>
      </c>
      <c r="G130" t="s">
        <v>59</v>
      </c>
      <c r="H130" t="s">
        <v>48</v>
      </c>
      <c r="I130">
        <v>0</v>
      </c>
      <c r="J130">
        <v>0</v>
      </c>
      <c r="K130">
        <v>1</v>
      </c>
      <c r="L130">
        <v>0</v>
      </c>
      <c r="M130">
        <v>1</v>
      </c>
      <c r="N130">
        <v>0</v>
      </c>
      <c r="O130">
        <v>1</v>
      </c>
      <c r="P130">
        <v>0</v>
      </c>
      <c r="Q130">
        <v>0</v>
      </c>
      <c r="R130">
        <v>1</v>
      </c>
      <c r="S130">
        <v>0</v>
      </c>
      <c r="T130">
        <v>1</v>
      </c>
      <c r="U130">
        <v>0</v>
      </c>
      <c r="V130">
        <v>0</v>
      </c>
    </row>
    <row r="131" spans="1:22" x14ac:dyDescent="0.2">
      <c r="A131" t="s">
        <v>484</v>
      </c>
      <c r="B131" t="s">
        <v>108</v>
      </c>
      <c r="C131" t="s">
        <v>41</v>
      </c>
      <c r="D131" t="s">
        <v>67</v>
      </c>
      <c r="E131" t="s">
        <v>442</v>
      </c>
      <c r="F131" t="s">
        <v>46</v>
      </c>
      <c r="G131" t="s">
        <v>48</v>
      </c>
      <c r="H131" t="s">
        <v>47</v>
      </c>
      <c r="I131">
        <v>0</v>
      </c>
      <c r="J131">
        <v>0</v>
      </c>
      <c r="K131">
        <v>1</v>
      </c>
      <c r="L131">
        <v>1</v>
      </c>
      <c r="M131">
        <v>1</v>
      </c>
      <c r="N131">
        <v>0</v>
      </c>
      <c r="O131">
        <v>1</v>
      </c>
      <c r="P131">
        <v>0</v>
      </c>
      <c r="Q131">
        <v>0</v>
      </c>
      <c r="R131">
        <v>1</v>
      </c>
      <c r="S131">
        <v>1</v>
      </c>
      <c r="T131">
        <v>1</v>
      </c>
      <c r="U131">
        <v>0</v>
      </c>
      <c r="V131">
        <v>0</v>
      </c>
    </row>
    <row r="132" spans="1:22" x14ac:dyDescent="0.2">
      <c r="A132" t="s">
        <v>488</v>
      </c>
      <c r="B132" t="s">
        <v>108</v>
      </c>
      <c r="C132" t="s">
        <v>41</v>
      </c>
      <c r="D132" t="s">
        <v>42</v>
      </c>
      <c r="E132" t="s">
        <v>442</v>
      </c>
      <c r="F132" t="s">
        <v>48</v>
      </c>
      <c r="G132" t="s">
        <v>47</v>
      </c>
      <c r="H132" t="s">
        <v>59</v>
      </c>
      <c r="I132">
        <v>0</v>
      </c>
      <c r="J132">
        <v>0</v>
      </c>
      <c r="K132">
        <v>1</v>
      </c>
      <c r="L132">
        <v>1</v>
      </c>
      <c r="M132">
        <v>0</v>
      </c>
      <c r="N132">
        <v>0</v>
      </c>
      <c r="O132">
        <v>1</v>
      </c>
      <c r="P132">
        <v>0</v>
      </c>
      <c r="Q132">
        <v>0</v>
      </c>
      <c r="R132">
        <v>1</v>
      </c>
      <c r="S132">
        <v>1</v>
      </c>
      <c r="T132">
        <v>0</v>
      </c>
      <c r="U132">
        <v>0</v>
      </c>
      <c r="V132">
        <v>0</v>
      </c>
    </row>
    <row r="133" spans="1:22" x14ac:dyDescent="0.2">
      <c r="A133" t="s">
        <v>491</v>
      </c>
      <c r="B133" t="s">
        <v>33</v>
      </c>
      <c r="C133" t="s">
        <v>41</v>
      </c>
      <c r="D133" t="s">
        <v>61</v>
      </c>
      <c r="E133" t="s">
        <v>442</v>
      </c>
      <c r="F133" t="s">
        <v>48</v>
      </c>
      <c r="G133" t="s">
        <v>65</v>
      </c>
      <c r="H133" t="s">
        <v>46</v>
      </c>
      <c r="I133">
        <v>0</v>
      </c>
      <c r="J133">
        <v>1</v>
      </c>
      <c r="K133">
        <v>1</v>
      </c>
      <c r="L133">
        <v>0</v>
      </c>
      <c r="M133">
        <v>1</v>
      </c>
      <c r="N133">
        <v>0</v>
      </c>
      <c r="O133">
        <v>1</v>
      </c>
      <c r="P133">
        <v>0</v>
      </c>
      <c r="Q133">
        <v>0</v>
      </c>
      <c r="R133">
        <v>1</v>
      </c>
      <c r="S133">
        <v>0</v>
      </c>
      <c r="T133">
        <v>0</v>
      </c>
      <c r="U133">
        <v>0</v>
      </c>
      <c r="V133">
        <v>0</v>
      </c>
    </row>
    <row r="134" spans="1:22" x14ac:dyDescent="0.2">
      <c r="A134" t="s">
        <v>498</v>
      </c>
      <c r="B134" t="s">
        <v>33</v>
      </c>
      <c r="C134" t="s">
        <v>41</v>
      </c>
      <c r="D134" t="s">
        <v>42</v>
      </c>
      <c r="E134" t="s">
        <v>442</v>
      </c>
      <c r="F134" t="s">
        <v>65</v>
      </c>
      <c r="G134" t="s">
        <v>47</v>
      </c>
      <c r="H134" t="s">
        <v>48</v>
      </c>
      <c r="I134">
        <v>0</v>
      </c>
      <c r="J134">
        <v>1</v>
      </c>
      <c r="K134">
        <v>1</v>
      </c>
      <c r="L134">
        <v>1</v>
      </c>
      <c r="M134">
        <v>0</v>
      </c>
      <c r="N134">
        <v>0</v>
      </c>
      <c r="O134">
        <v>1</v>
      </c>
      <c r="P134">
        <v>0</v>
      </c>
      <c r="Q134">
        <v>1</v>
      </c>
      <c r="R134">
        <v>1</v>
      </c>
      <c r="S134">
        <v>1</v>
      </c>
      <c r="T134">
        <v>0</v>
      </c>
      <c r="U134">
        <v>0</v>
      </c>
      <c r="V134">
        <v>0</v>
      </c>
    </row>
    <row r="135" spans="1:22" x14ac:dyDescent="0.2">
      <c r="A135" t="s">
        <v>498</v>
      </c>
      <c r="B135" t="s">
        <v>33</v>
      </c>
      <c r="C135" t="s">
        <v>41</v>
      </c>
      <c r="D135" t="s">
        <v>72</v>
      </c>
      <c r="E135" t="s">
        <v>442</v>
      </c>
      <c r="F135" t="s">
        <v>48</v>
      </c>
      <c r="G135" t="s">
        <v>60</v>
      </c>
      <c r="H135" t="s">
        <v>47</v>
      </c>
      <c r="I135">
        <v>1</v>
      </c>
      <c r="J135">
        <v>0</v>
      </c>
      <c r="K135">
        <v>1</v>
      </c>
      <c r="L135">
        <v>1</v>
      </c>
      <c r="M135">
        <v>0</v>
      </c>
      <c r="N135">
        <v>0</v>
      </c>
      <c r="O135">
        <v>1</v>
      </c>
      <c r="P135">
        <v>1</v>
      </c>
      <c r="Q135">
        <v>0</v>
      </c>
      <c r="R135">
        <v>1</v>
      </c>
      <c r="S135">
        <v>1</v>
      </c>
      <c r="T135">
        <v>0</v>
      </c>
      <c r="U135">
        <v>0</v>
      </c>
      <c r="V135">
        <v>0</v>
      </c>
    </row>
    <row r="136" spans="1:22" x14ac:dyDescent="0.2">
      <c r="A136" t="s">
        <v>498</v>
      </c>
      <c r="B136" t="s">
        <v>33</v>
      </c>
      <c r="C136" t="s">
        <v>41</v>
      </c>
      <c r="D136" t="s">
        <v>49</v>
      </c>
      <c r="E136" t="s">
        <v>442</v>
      </c>
      <c r="F136" t="s">
        <v>60</v>
      </c>
      <c r="G136" t="s">
        <v>59</v>
      </c>
      <c r="H136" t="s">
        <v>48</v>
      </c>
      <c r="I136">
        <v>1</v>
      </c>
      <c r="J136">
        <v>0</v>
      </c>
      <c r="K136">
        <v>1</v>
      </c>
      <c r="L136">
        <v>0</v>
      </c>
      <c r="M136">
        <v>0</v>
      </c>
      <c r="N136">
        <v>0</v>
      </c>
      <c r="O136">
        <v>1</v>
      </c>
      <c r="P136">
        <v>1</v>
      </c>
      <c r="Q136">
        <v>0</v>
      </c>
      <c r="R136">
        <v>1</v>
      </c>
      <c r="S136">
        <v>0</v>
      </c>
      <c r="T136">
        <v>0</v>
      </c>
      <c r="U136">
        <v>0</v>
      </c>
      <c r="V136">
        <v>0</v>
      </c>
    </row>
    <row r="137" spans="1:22" x14ac:dyDescent="0.2">
      <c r="A137" t="s">
        <v>498</v>
      </c>
      <c r="B137" t="s">
        <v>33</v>
      </c>
      <c r="C137" t="s">
        <v>41</v>
      </c>
      <c r="D137" t="s">
        <v>61</v>
      </c>
      <c r="E137" t="s">
        <v>442</v>
      </c>
      <c r="F137" t="s">
        <v>46</v>
      </c>
      <c r="G137" t="s">
        <v>48</v>
      </c>
      <c r="H137" t="s">
        <v>65</v>
      </c>
      <c r="I137">
        <v>0</v>
      </c>
      <c r="J137">
        <v>1</v>
      </c>
      <c r="K137">
        <v>1</v>
      </c>
      <c r="L137">
        <v>0</v>
      </c>
      <c r="M137">
        <v>1</v>
      </c>
      <c r="N137">
        <v>0</v>
      </c>
      <c r="O137">
        <v>1</v>
      </c>
      <c r="P137">
        <v>0</v>
      </c>
      <c r="Q137">
        <v>1</v>
      </c>
      <c r="R137">
        <v>1</v>
      </c>
      <c r="S137">
        <v>0</v>
      </c>
      <c r="T137">
        <v>1</v>
      </c>
      <c r="U137">
        <v>0</v>
      </c>
      <c r="V137">
        <v>0</v>
      </c>
    </row>
    <row r="138" spans="1:22" x14ac:dyDescent="0.2">
      <c r="A138" t="s">
        <v>502</v>
      </c>
      <c r="B138" t="s">
        <v>33</v>
      </c>
      <c r="C138" t="s">
        <v>41</v>
      </c>
      <c r="D138" t="s">
        <v>55</v>
      </c>
      <c r="E138" t="s">
        <v>442</v>
      </c>
      <c r="F138" t="s">
        <v>46</v>
      </c>
      <c r="G138" t="s">
        <v>48</v>
      </c>
      <c r="H138" t="s">
        <v>60</v>
      </c>
      <c r="I138">
        <v>1</v>
      </c>
      <c r="J138">
        <v>0</v>
      </c>
      <c r="K138">
        <v>1</v>
      </c>
      <c r="L138">
        <v>0</v>
      </c>
      <c r="M138">
        <v>1</v>
      </c>
      <c r="N138">
        <v>0</v>
      </c>
      <c r="O138">
        <v>1</v>
      </c>
      <c r="P138">
        <v>0</v>
      </c>
      <c r="Q138">
        <v>0</v>
      </c>
      <c r="R138">
        <v>1</v>
      </c>
      <c r="S138">
        <v>0</v>
      </c>
      <c r="T138">
        <v>1</v>
      </c>
      <c r="U138">
        <v>0</v>
      </c>
      <c r="V138">
        <v>0</v>
      </c>
    </row>
    <row r="139" spans="1:22" x14ac:dyDescent="0.2">
      <c r="A139" t="s">
        <v>502</v>
      </c>
      <c r="B139" t="s">
        <v>33</v>
      </c>
      <c r="C139" t="s">
        <v>41</v>
      </c>
      <c r="D139" t="s">
        <v>67</v>
      </c>
      <c r="E139" t="s">
        <v>442</v>
      </c>
      <c r="F139" t="s">
        <v>46</v>
      </c>
      <c r="G139" t="s">
        <v>65</v>
      </c>
      <c r="H139" t="s">
        <v>48</v>
      </c>
      <c r="I139">
        <v>0</v>
      </c>
      <c r="J139">
        <v>1</v>
      </c>
      <c r="K139">
        <v>1</v>
      </c>
      <c r="L139">
        <v>0</v>
      </c>
      <c r="M139">
        <v>1</v>
      </c>
      <c r="N139">
        <v>0</v>
      </c>
      <c r="O139">
        <v>1</v>
      </c>
      <c r="P139">
        <v>0</v>
      </c>
      <c r="Q139">
        <v>0</v>
      </c>
      <c r="R139">
        <v>1</v>
      </c>
      <c r="S139">
        <v>0</v>
      </c>
      <c r="T139">
        <v>1</v>
      </c>
      <c r="U139">
        <v>0</v>
      </c>
      <c r="V139">
        <v>0</v>
      </c>
    </row>
    <row r="140" spans="1:22" x14ac:dyDescent="0.2">
      <c r="A140" t="s">
        <v>509</v>
      </c>
      <c r="B140" t="s">
        <v>188</v>
      </c>
      <c r="C140" t="s">
        <v>41</v>
      </c>
      <c r="D140" t="s">
        <v>49</v>
      </c>
      <c r="E140" t="s">
        <v>442</v>
      </c>
      <c r="F140" t="s">
        <v>47</v>
      </c>
      <c r="G140" t="s">
        <v>46</v>
      </c>
      <c r="H140" t="s">
        <v>48</v>
      </c>
      <c r="I140">
        <v>0</v>
      </c>
      <c r="J140">
        <v>0</v>
      </c>
      <c r="K140">
        <v>1</v>
      </c>
      <c r="L140">
        <v>1</v>
      </c>
      <c r="M140">
        <v>1</v>
      </c>
      <c r="N140">
        <v>0</v>
      </c>
      <c r="O140">
        <v>1</v>
      </c>
      <c r="P140">
        <v>0</v>
      </c>
      <c r="Q140">
        <v>0</v>
      </c>
      <c r="R140">
        <v>1</v>
      </c>
      <c r="S140">
        <v>0</v>
      </c>
      <c r="T140">
        <v>0</v>
      </c>
      <c r="U140">
        <v>0</v>
      </c>
      <c r="V140">
        <v>0</v>
      </c>
    </row>
    <row r="141" spans="1:22" x14ac:dyDescent="0.2">
      <c r="A141" t="s">
        <v>515</v>
      </c>
      <c r="B141" t="s">
        <v>108</v>
      </c>
      <c r="C141" t="s">
        <v>41</v>
      </c>
      <c r="D141" t="s">
        <v>55</v>
      </c>
      <c r="E141" t="s">
        <v>442</v>
      </c>
      <c r="F141" t="s">
        <v>59</v>
      </c>
      <c r="G141" t="s">
        <v>48</v>
      </c>
      <c r="H141" t="s">
        <v>65</v>
      </c>
      <c r="I141">
        <v>0</v>
      </c>
      <c r="J141">
        <v>1</v>
      </c>
      <c r="K141">
        <v>1</v>
      </c>
      <c r="L141">
        <v>0</v>
      </c>
      <c r="M141">
        <v>0</v>
      </c>
      <c r="N141">
        <v>0</v>
      </c>
      <c r="O141">
        <v>1</v>
      </c>
      <c r="P141">
        <v>0</v>
      </c>
      <c r="Q141">
        <v>1</v>
      </c>
      <c r="R141">
        <v>1</v>
      </c>
      <c r="S141">
        <v>0</v>
      </c>
      <c r="T141">
        <v>0</v>
      </c>
      <c r="U141">
        <v>0</v>
      </c>
      <c r="V141">
        <v>0</v>
      </c>
    </row>
    <row r="142" spans="1:22" x14ac:dyDescent="0.2">
      <c r="A142" t="s">
        <v>515</v>
      </c>
      <c r="B142" t="s">
        <v>108</v>
      </c>
      <c r="C142" t="s">
        <v>41</v>
      </c>
      <c r="D142" t="s">
        <v>42</v>
      </c>
      <c r="E142" t="s">
        <v>442</v>
      </c>
      <c r="F142" t="s">
        <v>46</v>
      </c>
      <c r="G142" t="s">
        <v>48</v>
      </c>
      <c r="H142" t="s">
        <v>65</v>
      </c>
      <c r="I142">
        <v>0</v>
      </c>
      <c r="J142">
        <v>1</v>
      </c>
      <c r="K142">
        <v>1</v>
      </c>
      <c r="L142">
        <v>0</v>
      </c>
      <c r="M142">
        <v>1</v>
      </c>
      <c r="N142">
        <v>0</v>
      </c>
      <c r="O142">
        <v>1</v>
      </c>
      <c r="P142">
        <v>0</v>
      </c>
      <c r="Q142">
        <v>1</v>
      </c>
      <c r="R142">
        <v>1</v>
      </c>
      <c r="S142">
        <v>0</v>
      </c>
      <c r="T142">
        <v>1</v>
      </c>
      <c r="U142">
        <v>0</v>
      </c>
      <c r="V142">
        <v>0</v>
      </c>
    </row>
    <row r="143" spans="1:22" x14ac:dyDescent="0.2">
      <c r="A143" t="s">
        <v>518</v>
      </c>
      <c r="B143" t="s">
        <v>108</v>
      </c>
      <c r="C143" t="s">
        <v>41</v>
      </c>
      <c r="D143" t="s">
        <v>42</v>
      </c>
      <c r="E143" t="s">
        <v>442</v>
      </c>
      <c r="F143" t="s">
        <v>60</v>
      </c>
      <c r="G143" t="s">
        <v>48</v>
      </c>
      <c r="H143" t="s">
        <v>65</v>
      </c>
      <c r="I143">
        <v>1</v>
      </c>
      <c r="J143">
        <v>1</v>
      </c>
      <c r="K143">
        <v>1</v>
      </c>
      <c r="L143">
        <v>0</v>
      </c>
      <c r="M143">
        <v>0</v>
      </c>
      <c r="N143">
        <v>0</v>
      </c>
      <c r="O143">
        <v>1</v>
      </c>
      <c r="P143">
        <v>1</v>
      </c>
      <c r="Q143">
        <v>1</v>
      </c>
      <c r="R143">
        <v>1</v>
      </c>
      <c r="S143">
        <v>0</v>
      </c>
      <c r="T143">
        <v>0</v>
      </c>
      <c r="U143">
        <v>0</v>
      </c>
      <c r="V143">
        <v>0</v>
      </c>
    </row>
    <row r="144" spans="1:22" x14ac:dyDescent="0.2">
      <c r="A144" t="s">
        <v>521</v>
      </c>
      <c r="B144" t="s">
        <v>33</v>
      </c>
      <c r="C144" t="s">
        <v>41</v>
      </c>
      <c r="D144" t="s">
        <v>42</v>
      </c>
      <c r="E144" t="s">
        <v>442</v>
      </c>
      <c r="F144" t="s">
        <v>47</v>
      </c>
      <c r="G144" t="s">
        <v>48</v>
      </c>
      <c r="H144" t="s">
        <v>65</v>
      </c>
      <c r="I144">
        <v>0</v>
      </c>
      <c r="J144">
        <v>1</v>
      </c>
      <c r="K144">
        <v>1</v>
      </c>
      <c r="L144">
        <v>1</v>
      </c>
      <c r="M144">
        <v>0</v>
      </c>
      <c r="N144">
        <v>0</v>
      </c>
      <c r="O144">
        <v>1</v>
      </c>
      <c r="P144">
        <v>0</v>
      </c>
      <c r="Q144">
        <v>0</v>
      </c>
      <c r="R144">
        <v>1</v>
      </c>
      <c r="S144">
        <v>0</v>
      </c>
      <c r="T144">
        <v>0</v>
      </c>
      <c r="U144">
        <v>0</v>
      </c>
      <c r="V144">
        <v>0</v>
      </c>
    </row>
    <row r="145" spans="1:22" x14ac:dyDescent="0.2">
      <c r="A145" t="s">
        <v>521</v>
      </c>
      <c r="B145" t="s">
        <v>33</v>
      </c>
      <c r="C145" t="s">
        <v>41</v>
      </c>
      <c r="D145" t="s">
        <v>72</v>
      </c>
      <c r="E145" t="s">
        <v>442</v>
      </c>
      <c r="F145" t="s">
        <v>65</v>
      </c>
      <c r="G145" t="s">
        <v>48</v>
      </c>
      <c r="H145" t="s">
        <v>47</v>
      </c>
      <c r="I145">
        <v>0</v>
      </c>
      <c r="J145">
        <v>1</v>
      </c>
      <c r="K145">
        <v>1</v>
      </c>
      <c r="L145">
        <v>1</v>
      </c>
      <c r="M145">
        <v>0</v>
      </c>
      <c r="N145">
        <v>0</v>
      </c>
      <c r="O145">
        <v>1</v>
      </c>
      <c r="P145">
        <v>0</v>
      </c>
      <c r="Q145">
        <v>0</v>
      </c>
      <c r="R145">
        <v>1</v>
      </c>
      <c r="S145">
        <v>0</v>
      </c>
      <c r="T145">
        <v>0</v>
      </c>
      <c r="U145">
        <v>0</v>
      </c>
      <c r="V145">
        <v>0</v>
      </c>
    </row>
    <row r="146" spans="1:22" x14ac:dyDescent="0.2">
      <c r="A146" t="s">
        <v>527</v>
      </c>
      <c r="B146" t="s">
        <v>108</v>
      </c>
      <c r="C146" t="s">
        <v>41</v>
      </c>
      <c r="D146" t="s">
        <v>55</v>
      </c>
      <c r="E146" t="s">
        <v>442</v>
      </c>
      <c r="F146" t="s">
        <v>48</v>
      </c>
      <c r="G146" t="s">
        <v>46</v>
      </c>
      <c r="H146" t="s">
        <v>47</v>
      </c>
      <c r="I146">
        <v>0</v>
      </c>
      <c r="J146">
        <v>0</v>
      </c>
      <c r="K146">
        <v>1</v>
      </c>
      <c r="L146">
        <v>1</v>
      </c>
      <c r="M146">
        <v>1</v>
      </c>
      <c r="N146">
        <v>0</v>
      </c>
      <c r="O146">
        <v>1</v>
      </c>
      <c r="P146">
        <v>0</v>
      </c>
      <c r="Q146">
        <v>0</v>
      </c>
      <c r="R146">
        <v>1</v>
      </c>
      <c r="S146">
        <v>1</v>
      </c>
      <c r="T146">
        <v>1</v>
      </c>
      <c r="U146">
        <v>0</v>
      </c>
      <c r="V146">
        <v>0</v>
      </c>
    </row>
    <row r="147" spans="1:22" x14ac:dyDescent="0.2">
      <c r="A147" t="s">
        <v>527</v>
      </c>
      <c r="B147" t="s">
        <v>108</v>
      </c>
      <c r="C147" t="s">
        <v>41</v>
      </c>
      <c r="D147" t="s">
        <v>42</v>
      </c>
      <c r="E147" t="s">
        <v>442</v>
      </c>
      <c r="F147" t="s">
        <v>47</v>
      </c>
      <c r="G147" t="s">
        <v>48</v>
      </c>
      <c r="H147" t="s">
        <v>65</v>
      </c>
      <c r="I147">
        <v>0</v>
      </c>
      <c r="J147">
        <v>1</v>
      </c>
      <c r="K147">
        <v>1</v>
      </c>
      <c r="L147">
        <v>1</v>
      </c>
      <c r="M147">
        <v>0</v>
      </c>
      <c r="N147">
        <v>0</v>
      </c>
      <c r="O147">
        <v>1</v>
      </c>
      <c r="P147">
        <v>0</v>
      </c>
      <c r="Q147">
        <v>1</v>
      </c>
      <c r="R147">
        <v>1</v>
      </c>
      <c r="S147">
        <v>1</v>
      </c>
      <c r="T147">
        <v>0</v>
      </c>
      <c r="U147">
        <v>0</v>
      </c>
      <c r="V147">
        <v>0</v>
      </c>
    </row>
    <row r="148" spans="1:22" x14ac:dyDescent="0.2">
      <c r="A148" t="s">
        <v>527</v>
      </c>
      <c r="B148" t="s">
        <v>108</v>
      </c>
      <c r="C148" t="s">
        <v>41</v>
      </c>
      <c r="D148" t="s">
        <v>72</v>
      </c>
      <c r="E148" t="s">
        <v>442</v>
      </c>
      <c r="F148" t="s">
        <v>60</v>
      </c>
      <c r="G148" t="s">
        <v>48</v>
      </c>
      <c r="H148" t="s">
        <v>46</v>
      </c>
      <c r="I148">
        <v>1</v>
      </c>
      <c r="J148">
        <v>0</v>
      </c>
      <c r="K148">
        <v>1</v>
      </c>
      <c r="L148">
        <v>0</v>
      </c>
      <c r="M148">
        <v>1</v>
      </c>
      <c r="N148">
        <v>0</v>
      </c>
      <c r="O148">
        <v>1</v>
      </c>
      <c r="P148">
        <v>1</v>
      </c>
      <c r="Q148">
        <v>0</v>
      </c>
      <c r="R148">
        <v>1</v>
      </c>
      <c r="S148">
        <v>0</v>
      </c>
      <c r="T148">
        <v>1</v>
      </c>
      <c r="U148">
        <v>0</v>
      </c>
      <c r="V148">
        <v>0</v>
      </c>
    </row>
    <row r="149" spans="1:22" x14ac:dyDescent="0.2">
      <c r="A149" t="s">
        <v>534</v>
      </c>
      <c r="B149" t="s">
        <v>108</v>
      </c>
      <c r="C149" t="s">
        <v>41</v>
      </c>
      <c r="D149" t="s">
        <v>55</v>
      </c>
      <c r="E149" t="s">
        <v>442</v>
      </c>
      <c r="F149" t="s">
        <v>48</v>
      </c>
      <c r="G149" t="s">
        <v>46</v>
      </c>
      <c r="H149" t="s">
        <v>47</v>
      </c>
      <c r="I149">
        <v>0</v>
      </c>
      <c r="J149">
        <v>0</v>
      </c>
      <c r="K149">
        <v>1</v>
      </c>
      <c r="L149">
        <v>1</v>
      </c>
      <c r="M149">
        <v>1</v>
      </c>
      <c r="N149">
        <v>0</v>
      </c>
      <c r="O149">
        <v>1</v>
      </c>
      <c r="P149">
        <v>0</v>
      </c>
      <c r="Q149">
        <v>0</v>
      </c>
      <c r="R149">
        <v>1</v>
      </c>
      <c r="S149">
        <v>1</v>
      </c>
      <c r="T149">
        <v>1</v>
      </c>
      <c r="U149">
        <v>0</v>
      </c>
      <c r="V149">
        <v>0</v>
      </c>
    </row>
    <row r="150" spans="1:22" x14ac:dyDescent="0.2">
      <c r="A150" t="s">
        <v>534</v>
      </c>
      <c r="B150" t="s">
        <v>108</v>
      </c>
      <c r="C150" t="s">
        <v>41</v>
      </c>
      <c r="D150" t="s">
        <v>67</v>
      </c>
      <c r="E150" t="s">
        <v>442</v>
      </c>
      <c r="F150" t="s">
        <v>48</v>
      </c>
      <c r="G150" t="s">
        <v>47</v>
      </c>
      <c r="H150" t="s">
        <v>60</v>
      </c>
      <c r="I150">
        <v>1</v>
      </c>
      <c r="J150">
        <v>0</v>
      </c>
      <c r="K150">
        <v>1</v>
      </c>
      <c r="L150">
        <v>1</v>
      </c>
      <c r="M150">
        <v>0</v>
      </c>
      <c r="N150">
        <v>0</v>
      </c>
      <c r="O150">
        <v>1</v>
      </c>
      <c r="P150">
        <v>1</v>
      </c>
      <c r="Q150">
        <v>0</v>
      </c>
      <c r="R150">
        <v>1</v>
      </c>
      <c r="S150">
        <v>1</v>
      </c>
      <c r="T150">
        <v>0</v>
      </c>
      <c r="U150">
        <v>0</v>
      </c>
      <c r="V150">
        <v>0</v>
      </c>
    </row>
    <row r="151" spans="1:22" x14ac:dyDescent="0.2">
      <c r="A151" t="s">
        <v>534</v>
      </c>
      <c r="B151" t="s">
        <v>108</v>
      </c>
      <c r="C151" t="s">
        <v>41</v>
      </c>
      <c r="D151" t="s">
        <v>42</v>
      </c>
      <c r="E151" t="s">
        <v>442</v>
      </c>
      <c r="F151" t="s">
        <v>48</v>
      </c>
      <c r="G151" t="s">
        <v>46</v>
      </c>
      <c r="H151" t="s">
        <v>65</v>
      </c>
      <c r="I151">
        <v>0</v>
      </c>
      <c r="J151">
        <v>1</v>
      </c>
      <c r="K151">
        <v>1</v>
      </c>
      <c r="L151">
        <v>0</v>
      </c>
      <c r="M151">
        <v>1</v>
      </c>
      <c r="N151">
        <v>0</v>
      </c>
      <c r="O151">
        <v>1</v>
      </c>
      <c r="P151">
        <v>0</v>
      </c>
      <c r="Q151">
        <v>1</v>
      </c>
      <c r="R151">
        <v>1</v>
      </c>
      <c r="S151">
        <v>0</v>
      </c>
      <c r="T151">
        <v>1</v>
      </c>
      <c r="U151">
        <v>0</v>
      </c>
      <c r="V151">
        <v>0</v>
      </c>
    </row>
    <row r="152" spans="1:22" x14ac:dyDescent="0.2">
      <c r="A152" t="s">
        <v>540</v>
      </c>
      <c r="B152" t="s">
        <v>108</v>
      </c>
      <c r="C152" t="s">
        <v>41</v>
      </c>
      <c r="D152" t="s">
        <v>55</v>
      </c>
      <c r="E152" t="s">
        <v>442</v>
      </c>
      <c r="F152" t="s">
        <v>65</v>
      </c>
      <c r="G152" t="s">
        <v>59</v>
      </c>
      <c r="H152" t="s">
        <v>48</v>
      </c>
      <c r="I152">
        <v>0</v>
      </c>
      <c r="J152">
        <v>1</v>
      </c>
      <c r="K152">
        <v>1</v>
      </c>
      <c r="L152">
        <v>0</v>
      </c>
      <c r="M152">
        <v>0</v>
      </c>
      <c r="N152">
        <v>0</v>
      </c>
      <c r="O152">
        <v>1</v>
      </c>
      <c r="P152">
        <v>0</v>
      </c>
      <c r="Q152">
        <v>1</v>
      </c>
      <c r="R152">
        <v>1</v>
      </c>
      <c r="S152">
        <v>0</v>
      </c>
      <c r="T152">
        <v>0</v>
      </c>
      <c r="U152">
        <v>0</v>
      </c>
      <c r="V152">
        <v>0</v>
      </c>
    </row>
    <row r="153" spans="1:22" x14ac:dyDescent="0.2">
      <c r="A153" t="s">
        <v>540</v>
      </c>
      <c r="B153" t="s">
        <v>108</v>
      </c>
      <c r="C153" t="s">
        <v>41</v>
      </c>
      <c r="D153" t="s">
        <v>42</v>
      </c>
      <c r="E153" t="s">
        <v>442</v>
      </c>
      <c r="F153" t="s">
        <v>48</v>
      </c>
      <c r="G153" t="s">
        <v>46</v>
      </c>
      <c r="H153" t="s">
        <v>65</v>
      </c>
      <c r="I153">
        <v>0</v>
      </c>
      <c r="J153">
        <v>1</v>
      </c>
      <c r="K153">
        <v>1</v>
      </c>
      <c r="L153">
        <v>0</v>
      </c>
      <c r="M153">
        <v>1</v>
      </c>
      <c r="N153">
        <v>0</v>
      </c>
      <c r="O153">
        <v>1</v>
      </c>
      <c r="P153">
        <v>0</v>
      </c>
      <c r="Q153">
        <v>1</v>
      </c>
      <c r="R153">
        <v>1</v>
      </c>
      <c r="S153">
        <v>0</v>
      </c>
      <c r="T153">
        <v>1</v>
      </c>
      <c r="U153">
        <v>0</v>
      </c>
      <c r="V153">
        <v>0</v>
      </c>
    </row>
    <row r="154" spans="1:22" x14ac:dyDescent="0.2">
      <c r="A154" t="s">
        <v>540</v>
      </c>
      <c r="B154" t="s">
        <v>108</v>
      </c>
      <c r="C154" t="s">
        <v>41</v>
      </c>
      <c r="D154" t="s">
        <v>67</v>
      </c>
      <c r="E154" t="s">
        <v>442</v>
      </c>
      <c r="F154" t="s">
        <v>47</v>
      </c>
      <c r="G154" t="s">
        <v>46</v>
      </c>
      <c r="H154" t="s">
        <v>48</v>
      </c>
      <c r="I154">
        <v>0</v>
      </c>
      <c r="J154">
        <v>0</v>
      </c>
      <c r="K154">
        <v>1</v>
      </c>
      <c r="L154">
        <v>1</v>
      </c>
      <c r="M154">
        <v>1</v>
      </c>
      <c r="N154">
        <v>0</v>
      </c>
      <c r="O154">
        <v>1</v>
      </c>
      <c r="P154">
        <v>0</v>
      </c>
      <c r="Q154">
        <v>0</v>
      </c>
      <c r="R154">
        <v>1</v>
      </c>
      <c r="S154">
        <v>0</v>
      </c>
      <c r="T154">
        <v>1</v>
      </c>
      <c r="U154">
        <v>0</v>
      </c>
      <c r="V154">
        <v>0</v>
      </c>
    </row>
    <row r="155" spans="1:22" x14ac:dyDescent="0.2">
      <c r="A155" t="s">
        <v>547</v>
      </c>
      <c r="B155" t="s">
        <v>548</v>
      </c>
      <c r="C155" t="s">
        <v>41</v>
      </c>
      <c r="D155" t="s">
        <v>49</v>
      </c>
      <c r="E155" t="s">
        <v>442</v>
      </c>
      <c r="F155" t="s">
        <v>65</v>
      </c>
      <c r="G155" t="s">
        <v>46</v>
      </c>
      <c r="H155" t="s">
        <v>48</v>
      </c>
      <c r="I155">
        <v>0</v>
      </c>
      <c r="J155">
        <v>1</v>
      </c>
      <c r="K155">
        <v>1</v>
      </c>
      <c r="L155">
        <v>0</v>
      </c>
      <c r="M155">
        <v>1</v>
      </c>
      <c r="N155">
        <v>0</v>
      </c>
      <c r="O155">
        <v>1</v>
      </c>
      <c r="P155">
        <v>0</v>
      </c>
      <c r="Q155">
        <v>0</v>
      </c>
      <c r="R155">
        <v>1</v>
      </c>
      <c r="S155">
        <v>0</v>
      </c>
      <c r="T155">
        <v>0</v>
      </c>
      <c r="U155">
        <v>0</v>
      </c>
      <c r="V155">
        <v>0</v>
      </c>
    </row>
    <row r="156" spans="1:22" x14ac:dyDescent="0.2">
      <c r="A156" t="s">
        <v>549</v>
      </c>
      <c r="B156" t="s">
        <v>108</v>
      </c>
      <c r="C156" t="s">
        <v>41</v>
      </c>
      <c r="D156" t="s">
        <v>55</v>
      </c>
      <c r="E156" t="s">
        <v>442</v>
      </c>
      <c r="F156" t="s">
        <v>60</v>
      </c>
      <c r="G156" t="s">
        <v>47</v>
      </c>
      <c r="H156" t="s">
        <v>48</v>
      </c>
      <c r="I156">
        <v>1</v>
      </c>
      <c r="J156">
        <v>0</v>
      </c>
      <c r="K156">
        <v>1</v>
      </c>
      <c r="L156">
        <v>1</v>
      </c>
      <c r="M156">
        <v>0</v>
      </c>
      <c r="N156">
        <v>0</v>
      </c>
      <c r="O156">
        <v>1</v>
      </c>
      <c r="P156">
        <v>1</v>
      </c>
      <c r="Q156">
        <v>0</v>
      </c>
      <c r="R156">
        <v>1</v>
      </c>
      <c r="S156">
        <v>1</v>
      </c>
      <c r="T156">
        <v>0</v>
      </c>
      <c r="U156">
        <v>0</v>
      </c>
      <c r="V156">
        <v>0</v>
      </c>
    </row>
    <row r="157" spans="1:22" x14ac:dyDescent="0.2">
      <c r="A157" t="s">
        <v>553</v>
      </c>
      <c r="B157" t="s">
        <v>108</v>
      </c>
      <c r="C157" t="s">
        <v>41</v>
      </c>
      <c r="D157" t="s">
        <v>72</v>
      </c>
      <c r="E157" t="s">
        <v>442</v>
      </c>
      <c r="F157" t="s">
        <v>60</v>
      </c>
      <c r="G157" t="s">
        <v>59</v>
      </c>
      <c r="H157" t="s">
        <v>48</v>
      </c>
      <c r="I157">
        <v>1</v>
      </c>
      <c r="J157">
        <v>0</v>
      </c>
      <c r="K157">
        <v>1</v>
      </c>
      <c r="L157">
        <v>0</v>
      </c>
      <c r="M157">
        <v>0</v>
      </c>
      <c r="N157">
        <v>0</v>
      </c>
      <c r="O157">
        <v>1</v>
      </c>
      <c r="P157">
        <v>1</v>
      </c>
      <c r="Q157">
        <v>0</v>
      </c>
      <c r="R157">
        <v>1</v>
      </c>
      <c r="S157">
        <v>0</v>
      </c>
      <c r="T157">
        <v>0</v>
      </c>
      <c r="U157">
        <v>0</v>
      </c>
      <c r="V157">
        <v>0</v>
      </c>
    </row>
    <row r="158" spans="1:22" x14ac:dyDescent="0.2">
      <c r="A158" t="s">
        <v>557</v>
      </c>
      <c r="B158" t="s">
        <v>108</v>
      </c>
      <c r="C158" t="s">
        <v>41</v>
      </c>
      <c r="D158" t="s">
        <v>42</v>
      </c>
      <c r="E158" t="s">
        <v>442</v>
      </c>
      <c r="F158" t="s">
        <v>46</v>
      </c>
      <c r="G158" t="s">
        <v>60</v>
      </c>
      <c r="H158" t="s">
        <v>48</v>
      </c>
      <c r="I158">
        <v>1</v>
      </c>
      <c r="J158">
        <v>0</v>
      </c>
      <c r="K158">
        <v>1</v>
      </c>
      <c r="L158">
        <v>0</v>
      </c>
      <c r="M158">
        <v>1</v>
      </c>
      <c r="N158">
        <v>0</v>
      </c>
      <c r="O158">
        <v>1</v>
      </c>
      <c r="P158">
        <v>0</v>
      </c>
      <c r="Q158">
        <v>0</v>
      </c>
      <c r="R158">
        <v>1</v>
      </c>
      <c r="S158">
        <v>0</v>
      </c>
      <c r="T158">
        <v>1</v>
      </c>
      <c r="U158">
        <v>0</v>
      </c>
      <c r="V158">
        <v>0</v>
      </c>
    </row>
    <row r="159" spans="1:22" x14ac:dyDescent="0.2">
      <c r="A159" t="s">
        <v>557</v>
      </c>
      <c r="B159" t="s">
        <v>108</v>
      </c>
      <c r="C159" t="s">
        <v>41</v>
      </c>
      <c r="D159" t="s">
        <v>49</v>
      </c>
      <c r="E159" t="s">
        <v>442</v>
      </c>
      <c r="F159" t="s">
        <v>46</v>
      </c>
      <c r="G159" t="s">
        <v>48</v>
      </c>
      <c r="H159" t="s">
        <v>59</v>
      </c>
      <c r="I159">
        <v>0</v>
      </c>
      <c r="J159">
        <v>0</v>
      </c>
      <c r="K159">
        <v>1</v>
      </c>
      <c r="L159">
        <v>0</v>
      </c>
      <c r="M159">
        <v>1</v>
      </c>
      <c r="N159">
        <v>0</v>
      </c>
      <c r="O159">
        <v>1</v>
      </c>
      <c r="P159">
        <v>0</v>
      </c>
      <c r="Q159">
        <v>0</v>
      </c>
      <c r="R159">
        <v>1</v>
      </c>
      <c r="S159">
        <v>0</v>
      </c>
      <c r="T159">
        <v>1</v>
      </c>
      <c r="U159">
        <v>0</v>
      </c>
      <c r="V159">
        <v>0</v>
      </c>
    </row>
    <row r="160" spans="1:22" x14ac:dyDescent="0.2">
      <c r="A160" t="s">
        <v>560</v>
      </c>
      <c r="B160" t="s">
        <v>108</v>
      </c>
      <c r="C160" t="s">
        <v>41</v>
      </c>
      <c r="D160" t="s">
        <v>55</v>
      </c>
      <c r="E160" t="s">
        <v>442</v>
      </c>
      <c r="F160" t="s">
        <v>60</v>
      </c>
      <c r="G160" t="s">
        <v>47</v>
      </c>
      <c r="H160" t="s">
        <v>48</v>
      </c>
      <c r="I160">
        <v>1</v>
      </c>
      <c r="J160">
        <v>0</v>
      </c>
      <c r="K160">
        <v>1</v>
      </c>
      <c r="L160">
        <v>1</v>
      </c>
      <c r="M160">
        <v>0</v>
      </c>
      <c r="N160">
        <v>0</v>
      </c>
      <c r="O160">
        <v>1</v>
      </c>
      <c r="P160">
        <v>1</v>
      </c>
      <c r="Q160">
        <v>0</v>
      </c>
      <c r="R160">
        <v>1</v>
      </c>
      <c r="S160">
        <v>1</v>
      </c>
      <c r="T160">
        <v>0</v>
      </c>
      <c r="U160">
        <v>0</v>
      </c>
      <c r="V160">
        <v>0</v>
      </c>
    </row>
    <row r="161" spans="1:22" x14ac:dyDescent="0.2">
      <c r="A161" t="s">
        <v>560</v>
      </c>
      <c r="B161" t="s">
        <v>108</v>
      </c>
      <c r="C161" t="s">
        <v>41</v>
      </c>
      <c r="D161" t="s">
        <v>67</v>
      </c>
      <c r="E161" t="s">
        <v>442</v>
      </c>
      <c r="F161" t="s">
        <v>48</v>
      </c>
      <c r="G161" t="s">
        <v>65</v>
      </c>
      <c r="H161" t="s">
        <v>46</v>
      </c>
      <c r="I161">
        <v>0</v>
      </c>
      <c r="J161">
        <v>1</v>
      </c>
      <c r="K161">
        <v>1</v>
      </c>
      <c r="L161">
        <v>0</v>
      </c>
      <c r="M161">
        <v>1</v>
      </c>
      <c r="N161">
        <v>0</v>
      </c>
      <c r="O161">
        <v>1</v>
      </c>
      <c r="P161">
        <v>0</v>
      </c>
      <c r="Q161">
        <v>1</v>
      </c>
      <c r="R161">
        <v>1</v>
      </c>
      <c r="S161">
        <v>0</v>
      </c>
      <c r="T161">
        <v>1</v>
      </c>
      <c r="U161">
        <v>0</v>
      </c>
      <c r="V161">
        <v>0</v>
      </c>
    </row>
    <row r="162" spans="1:22" x14ac:dyDescent="0.2">
      <c r="A162" t="s">
        <v>560</v>
      </c>
      <c r="B162" t="s">
        <v>108</v>
      </c>
      <c r="C162" t="s">
        <v>41</v>
      </c>
      <c r="D162" t="s">
        <v>42</v>
      </c>
      <c r="E162" t="s">
        <v>442</v>
      </c>
      <c r="F162" t="s">
        <v>47</v>
      </c>
      <c r="G162" t="s">
        <v>48</v>
      </c>
      <c r="H162" t="s">
        <v>65</v>
      </c>
      <c r="I162">
        <v>0</v>
      </c>
      <c r="J162">
        <v>1</v>
      </c>
      <c r="K162">
        <v>1</v>
      </c>
      <c r="L162">
        <v>1</v>
      </c>
      <c r="M162">
        <v>0</v>
      </c>
      <c r="N162">
        <v>0</v>
      </c>
      <c r="O162">
        <v>1</v>
      </c>
      <c r="P162">
        <v>0</v>
      </c>
      <c r="Q162">
        <v>1</v>
      </c>
      <c r="R162">
        <v>1</v>
      </c>
      <c r="S162">
        <v>1</v>
      </c>
      <c r="T162">
        <v>0</v>
      </c>
      <c r="U162">
        <v>0</v>
      </c>
      <c r="V162">
        <v>0</v>
      </c>
    </row>
    <row r="163" spans="1:22" x14ac:dyDescent="0.2">
      <c r="A163" t="s">
        <v>562</v>
      </c>
      <c r="B163" t="s">
        <v>108</v>
      </c>
      <c r="C163" t="s">
        <v>41</v>
      </c>
      <c r="D163" t="s">
        <v>72</v>
      </c>
      <c r="E163" t="s">
        <v>442</v>
      </c>
      <c r="F163" t="s">
        <v>47</v>
      </c>
      <c r="G163" t="s">
        <v>48</v>
      </c>
      <c r="H163" t="s">
        <v>65</v>
      </c>
      <c r="I163">
        <v>0</v>
      </c>
      <c r="J163">
        <v>1</v>
      </c>
      <c r="K163">
        <v>1</v>
      </c>
      <c r="L163">
        <v>1</v>
      </c>
      <c r="M163">
        <v>0</v>
      </c>
      <c r="N163">
        <v>0</v>
      </c>
      <c r="O163">
        <v>1</v>
      </c>
      <c r="P163">
        <v>0</v>
      </c>
      <c r="Q163">
        <v>1</v>
      </c>
      <c r="R163">
        <v>1</v>
      </c>
      <c r="S163">
        <v>0</v>
      </c>
      <c r="T163">
        <v>0</v>
      </c>
      <c r="U163">
        <v>0</v>
      </c>
      <c r="V163">
        <v>0</v>
      </c>
    </row>
    <row r="164" spans="1:22" x14ac:dyDescent="0.2">
      <c r="A164" t="s">
        <v>562</v>
      </c>
      <c r="B164" t="s">
        <v>108</v>
      </c>
      <c r="C164" t="s">
        <v>41</v>
      </c>
      <c r="D164" t="s">
        <v>42</v>
      </c>
      <c r="E164" t="s">
        <v>442</v>
      </c>
      <c r="F164" t="s">
        <v>48</v>
      </c>
      <c r="G164" t="s">
        <v>65</v>
      </c>
      <c r="H164" t="s">
        <v>47</v>
      </c>
      <c r="I164">
        <v>0</v>
      </c>
      <c r="J164">
        <v>1</v>
      </c>
      <c r="K164">
        <v>1</v>
      </c>
      <c r="L164">
        <v>1</v>
      </c>
      <c r="M164">
        <v>0</v>
      </c>
      <c r="N164">
        <v>0</v>
      </c>
      <c r="O164">
        <v>1</v>
      </c>
      <c r="P164">
        <v>0</v>
      </c>
      <c r="Q164">
        <v>1</v>
      </c>
      <c r="R164">
        <v>1</v>
      </c>
      <c r="S164">
        <v>0</v>
      </c>
      <c r="T164">
        <v>0</v>
      </c>
      <c r="U164">
        <v>0</v>
      </c>
      <c r="V164">
        <v>0</v>
      </c>
    </row>
    <row r="165" spans="1:22" x14ac:dyDescent="0.2">
      <c r="A165" t="s">
        <v>562</v>
      </c>
      <c r="B165" t="s">
        <v>108</v>
      </c>
      <c r="C165" t="s">
        <v>41</v>
      </c>
      <c r="D165" t="s">
        <v>49</v>
      </c>
      <c r="E165" t="s">
        <v>442</v>
      </c>
      <c r="F165" t="s">
        <v>48</v>
      </c>
      <c r="G165" t="s">
        <v>65</v>
      </c>
      <c r="H165" t="s">
        <v>46</v>
      </c>
      <c r="I165">
        <v>0</v>
      </c>
      <c r="J165">
        <v>1</v>
      </c>
      <c r="K165">
        <v>1</v>
      </c>
      <c r="L165">
        <v>0</v>
      </c>
      <c r="M165">
        <v>1</v>
      </c>
      <c r="N165">
        <v>0</v>
      </c>
      <c r="O165">
        <v>1</v>
      </c>
      <c r="P165">
        <v>0</v>
      </c>
      <c r="Q165">
        <v>1</v>
      </c>
      <c r="R165">
        <v>1</v>
      </c>
      <c r="S165">
        <v>0</v>
      </c>
      <c r="T165">
        <v>1</v>
      </c>
      <c r="U165">
        <v>0</v>
      </c>
      <c r="V165">
        <v>0</v>
      </c>
    </row>
    <row r="166" spans="1:22" x14ac:dyDescent="0.2">
      <c r="A166" t="s">
        <v>565</v>
      </c>
      <c r="B166" t="s">
        <v>33</v>
      </c>
      <c r="C166" t="s">
        <v>41</v>
      </c>
      <c r="D166" t="s">
        <v>61</v>
      </c>
      <c r="E166" t="s">
        <v>442</v>
      </c>
      <c r="F166" t="s">
        <v>46</v>
      </c>
      <c r="G166" t="s">
        <v>48</v>
      </c>
      <c r="H166" t="s">
        <v>65</v>
      </c>
      <c r="I166">
        <v>0</v>
      </c>
      <c r="J166">
        <v>1</v>
      </c>
      <c r="K166">
        <v>1</v>
      </c>
      <c r="L166">
        <v>0</v>
      </c>
      <c r="M166">
        <v>1</v>
      </c>
      <c r="N166">
        <v>0</v>
      </c>
      <c r="O166">
        <v>1</v>
      </c>
      <c r="P166">
        <v>0</v>
      </c>
      <c r="Q166">
        <v>0</v>
      </c>
      <c r="R166">
        <v>1</v>
      </c>
      <c r="S166">
        <v>0</v>
      </c>
      <c r="T166">
        <v>0</v>
      </c>
      <c r="U166">
        <v>0</v>
      </c>
      <c r="V166">
        <v>0</v>
      </c>
    </row>
    <row r="167" spans="1:22" x14ac:dyDescent="0.2">
      <c r="A167" t="s">
        <v>568</v>
      </c>
      <c r="B167" t="s">
        <v>33</v>
      </c>
      <c r="C167" t="s">
        <v>41</v>
      </c>
      <c r="D167" t="s">
        <v>49</v>
      </c>
      <c r="E167" t="s">
        <v>442</v>
      </c>
      <c r="F167" t="s">
        <v>59</v>
      </c>
      <c r="G167" t="s">
        <v>48</v>
      </c>
      <c r="H167" t="s">
        <v>46</v>
      </c>
      <c r="I167">
        <v>0</v>
      </c>
      <c r="J167">
        <v>0</v>
      </c>
      <c r="K167">
        <v>1</v>
      </c>
      <c r="L167">
        <v>0</v>
      </c>
      <c r="M167">
        <v>1</v>
      </c>
      <c r="N167">
        <v>0</v>
      </c>
      <c r="O167">
        <v>1</v>
      </c>
      <c r="P167">
        <v>0</v>
      </c>
      <c r="Q167">
        <v>0</v>
      </c>
      <c r="R167">
        <v>1</v>
      </c>
      <c r="S167">
        <v>0</v>
      </c>
      <c r="T167">
        <v>0</v>
      </c>
      <c r="U167">
        <v>0</v>
      </c>
      <c r="V167">
        <v>0</v>
      </c>
    </row>
    <row r="168" spans="1:22" x14ac:dyDescent="0.2">
      <c r="A168" t="s">
        <v>572</v>
      </c>
      <c r="B168" t="s">
        <v>174</v>
      </c>
      <c r="C168" t="s">
        <v>41</v>
      </c>
      <c r="D168" t="s">
        <v>67</v>
      </c>
      <c r="E168" t="s">
        <v>442</v>
      </c>
      <c r="F168" t="s">
        <v>48</v>
      </c>
      <c r="G168" t="s">
        <v>65</v>
      </c>
      <c r="H168" t="s">
        <v>47</v>
      </c>
      <c r="I168">
        <v>0</v>
      </c>
      <c r="J168">
        <v>1</v>
      </c>
      <c r="K168">
        <v>1</v>
      </c>
      <c r="L168">
        <v>1</v>
      </c>
      <c r="M168">
        <v>0</v>
      </c>
      <c r="N168">
        <v>0</v>
      </c>
      <c r="O168">
        <v>1</v>
      </c>
      <c r="P168">
        <v>0</v>
      </c>
      <c r="Q168">
        <v>1</v>
      </c>
      <c r="R168">
        <v>1</v>
      </c>
      <c r="S168">
        <v>1</v>
      </c>
      <c r="T168">
        <v>0</v>
      </c>
      <c r="U168">
        <v>0</v>
      </c>
      <c r="V168">
        <v>0</v>
      </c>
    </row>
    <row r="169" spans="1:22" x14ac:dyDescent="0.2">
      <c r="A169" t="s">
        <v>572</v>
      </c>
      <c r="B169" t="s">
        <v>174</v>
      </c>
      <c r="C169" t="s">
        <v>41</v>
      </c>
      <c r="D169" t="s">
        <v>61</v>
      </c>
      <c r="E169" t="s">
        <v>442</v>
      </c>
      <c r="F169" t="s">
        <v>46</v>
      </c>
      <c r="G169" t="s">
        <v>48</v>
      </c>
      <c r="H169" t="s">
        <v>47</v>
      </c>
      <c r="I169">
        <v>0</v>
      </c>
      <c r="J169">
        <v>0</v>
      </c>
      <c r="K169">
        <v>1</v>
      </c>
      <c r="L169">
        <v>1</v>
      </c>
      <c r="M169">
        <v>1</v>
      </c>
      <c r="N169">
        <v>0</v>
      </c>
      <c r="O169">
        <v>1</v>
      </c>
      <c r="P169">
        <v>0</v>
      </c>
      <c r="Q169">
        <v>0</v>
      </c>
      <c r="R169">
        <v>1</v>
      </c>
      <c r="S169">
        <v>1</v>
      </c>
      <c r="T169">
        <v>1</v>
      </c>
      <c r="U169">
        <v>0</v>
      </c>
      <c r="V169">
        <v>0</v>
      </c>
    </row>
    <row r="170" spans="1:22" x14ac:dyDescent="0.2">
      <c r="A170" t="s">
        <v>572</v>
      </c>
      <c r="B170" t="s">
        <v>174</v>
      </c>
      <c r="C170" t="s">
        <v>41</v>
      </c>
      <c r="D170" t="s">
        <v>49</v>
      </c>
      <c r="E170" t="s">
        <v>442</v>
      </c>
      <c r="F170" t="s">
        <v>65</v>
      </c>
      <c r="G170" t="s">
        <v>48</v>
      </c>
      <c r="H170" t="s">
        <v>46</v>
      </c>
      <c r="I170">
        <v>0</v>
      </c>
      <c r="J170">
        <v>1</v>
      </c>
      <c r="K170">
        <v>1</v>
      </c>
      <c r="L170">
        <v>0</v>
      </c>
      <c r="M170">
        <v>1</v>
      </c>
      <c r="N170">
        <v>0</v>
      </c>
      <c r="O170">
        <v>1</v>
      </c>
      <c r="P170">
        <v>0</v>
      </c>
      <c r="Q170">
        <v>1</v>
      </c>
      <c r="R170">
        <v>1</v>
      </c>
      <c r="S170">
        <v>0</v>
      </c>
      <c r="T170">
        <v>1</v>
      </c>
      <c r="U170">
        <v>0</v>
      </c>
      <c r="V170">
        <v>0</v>
      </c>
    </row>
    <row r="171" spans="1:22" x14ac:dyDescent="0.2">
      <c r="A171" t="s">
        <v>572</v>
      </c>
      <c r="B171" t="s">
        <v>174</v>
      </c>
      <c r="C171" t="s">
        <v>41</v>
      </c>
      <c r="D171" t="s">
        <v>42</v>
      </c>
      <c r="E171" t="s">
        <v>442</v>
      </c>
      <c r="F171" t="s">
        <v>48</v>
      </c>
      <c r="G171" t="s">
        <v>65</v>
      </c>
      <c r="H171" t="s">
        <v>47</v>
      </c>
      <c r="I171">
        <v>0</v>
      </c>
      <c r="J171">
        <v>1</v>
      </c>
      <c r="K171">
        <v>1</v>
      </c>
      <c r="L171">
        <v>1</v>
      </c>
      <c r="M171">
        <v>0</v>
      </c>
      <c r="N171">
        <v>0</v>
      </c>
      <c r="O171">
        <v>1</v>
      </c>
      <c r="P171">
        <v>0</v>
      </c>
      <c r="Q171">
        <v>1</v>
      </c>
      <c r="R171">
        <v>1</v>
      </c>
      <c r="S171">
        <v>1</v>
      </c>
      <c r="T171">
        <v>0</v>
      </c>
      <c r="U171">
        <v>0</v>
      </c>
      <c r="V171">
        <v>0</v>
      </c>
    </row>
    <row r="172" spans="1:22" x14ac:dyDescent="0.2">
      <c r="A172" t="s">
        <v>583</v>
      </c>
      <c r="B172" t="s">
        <v>33</v>
      </c>
      <c r="C172" t="s">
        <v>41</v>
      </c>
      <c r="D172" t="s">
        <v>72</v>
      </c>
      <c r="E172" t="s">
        <v>442</v>
      </c>
      <c r="F172" t="s">
        <v>48</v>
      </c>
      <c r="G172" t="s">
        <v>46</v>
      </c>
      <c r="H172" t="s">
        <v>65</v>
      </c>
      <c r="I172">
        <v>0</v>
      </c>
      <c r="J172">
        <v>1</v>
      </c>
      <c r="K172">
        <v>1</v>
      </c>
      <c r="L172">
        <v>0</v>
      </c>
      <c r="M172">
        <v>1</v>
      </c>
      <c r="N172">
        <v>0</v>
      </c>
      <c r="O172">
        <v>1</v>
      </c>
      <c r="P172">
        <v>0</v>
      </c>
      <c r="Q172">
        <v>0</v>
      </c>
      <c r="R172">
        <v>1</v>
      </c>
      <c r="S172">
        <v>0</v>
      </c>
      <c r="T172">
        <v>0</v>
      </c>
      <c r="U172">
        <v>0</v>
      </c>
      <c r="V172">
        <v>0</v>
      </c>
    </row>
    <row r="173" spans="1:22" x14ac:dyDescent="0.2">
      <c r="A173" t="s">
        <v>589</v>
      </c>
      <c r="B173" t="s">
        <v>188</v>
      </c>
      <c r="C173" t="s">
        <v>41</v>
      </c>
      <c r="D173" t="s">
        <v>72</v>
      </c>
      <c r="E173" t="s">
        <v>442</v>
      </c>
      <c r="F173" t="s">
        <v>46</v>
      </c>
      <c r="G173" t="s">
        <v>48</v>
      </c>
      <c r="H173" t="s">
        <v>47</v>
      </c>
      <c r="I173">
        <v>0</v>
      </c>
      <c r="J173">
        <v>0</v>
      </c>
      <c r="K173">
        <v>1</v>
      </c>
      <c r="L173">
        <v>1</v>
      </c>
      <c r="M173">
        <v>1</v>
      </c>
      <c r="N173">
        <v>0</v>
      </c>
      <c r="O173">
        <v>1</v>
      </c>
      <c r="P173">
        <v>0</v>
      </c>
      <c r="Q173">
        <v>0</v>
      </c>
      <c r="R173">
        <v>1</v>
      </c>
      <c r="S173">
        <v>1</v>
      </c>
      <c r="T173">
        <v>1</v>
      </c>
      <c r="U173">
        <v>0</v>
      </c>
      <c r="V173">
        <v>0</v>
      </c>
    </row>
    <row r="174" spans="1:22" x14ac:dyDescent="0.2">
      <c r="A174" t="s">
        <v>593</v>
      </c>
      <c r="B174" t="s">
        <v>108</v>
      </c>
      <c r="C174" t="s">
        <v>41</v>
      </c>
      <c r="D174" t="s">
        <v>61</v>
      </c>
      <c r="E174" t="s">
        <v>442</v>
      </c>
      <c r="F174" t="s">
        <v>48</v>
      </c>
      <c r="G174" t="s">
        <v>65</v>
      </c>
      <c r="H174" t="s">
        <v>46</v>
      </c>
      <c r="I174">
        <v>0</v>
      </c>
      <c r="J174">
        <v>1</v>
      </c>
      <c r="K174">
        <v>1</v>
      </c>
      <c r="L174">
        <v>0</v>
      </c>
      <c r="M174">
        <v>1</v>
      </c>
      <c r="N174">
        <v>0</v>
      </c>
      <c r="O174">
        <v>1</v>
      </c>
      <c r="P174">
        <v>0</v>
      </c>
      <c r="Q174">
        <v>0</v>
      </c>
      <c r="R174">
        <v>1</v>
      </c>
      <c r="S174">
        <v>0</v>
      </c>
      <c r="T174">
        <v>0</v>
      </c>
      <c r="U174">
        <v>0</v>
      </c>
      <c r="V174">
        <v>0</v>
      </c>
    </row>
    <row r="175" spans="1:22" x14ac:dyDescent="0.2">
      <c r="A175" t="s">
        <v>597</v>
      </c>
      <c r="B175" t="s">
        <v>188</v>
      </c>
      <c r="C175" t="s">
        <v>41</v>
      </c>
      <c r="D175" t="s">
        <v>61</v>
      </c>
      <c r="E175" t="s">
        <v>442</v>
      </c>
      <c r="F175" t="s">
        <v>48</v>
      </c>
      <c r="G175" t="s">
        <v>59</v>
      </c>
      <c r="H175" t="s">
        <v>65</v>
      </c>
      <c r="I175">
        <v>0</v>
      </c>
      <c r="J175">
        <v>1</v>
      </c>
      <c r="K175">
        <v>1</v>
      </c>
      <c r="L175">
        <v>0</v>
      </c>
      <c r="M175">
        <v>0</v>
      </c>
      <c r="N175">
        <v>0</v>
      </c>
      <c r="O175">
        <v>1</v>
      </c>
      <c r="P175">
        <v>0</v>
      </c>
      <c r="Q175">
        <v>0</v>
      </c>
      <c r="R175">
        <v>1</v>
      </c>
      <c r="S175">
        <v>0</v>
      </c>
      <c r="T175">
        <v>0</v>
      </c>
      <c r="U175">
        <v>0</v>
      </c>
      <c r="V175">
        <v>0</v>
      </c>
    </row>
    <row r="176" spans="1:22" x14ac:dyDescent="0.2">
      <c r="A176" t="s">
        <v>597</v>
      </c>
      <c r="B176" t="s">
        <v>188</v>
      </c>
      <c r="C176" t="s">
        <v>41</v>
      </c>
      <c r="D176" t="s">
        <v>49</v>
      </c>
      <c r="E176" t="s">
        <v>442</v>
      </c>
      <c r="F176" t="s">
        <v>65</v>
      </c>
      <c r="G176" t="s">
        <v>48</v>
      </c>
      <c r="H176" t="s">
        <v>46</v>
      </c>
      <c r="I176">
        <v>0</v>
      </c>
      <c r="J176">
        <v>1</v>
      </c>
      <c r="K176">
        <v>1</v>
      </c>
      <c r="L176">
        <v>0</v>
      </c>
      <c r="M176">
        <v>1</v>
      </c>
      <c r="N176">
        <v>0</v>
      </c>
      <c r="O176">
        <v>1</v>
      </c>
      <c r="P176">
        <v>0</v>
      </c>
      <c r="Q176">
        <v>0</v>
      </c>
      <c r="R176">
        <v>1</v>
      </c>
      <c r="S176">
        <v>0</v>
      </c>
      <c r="T176">
        <v>1</v>
      </c>
      <c r="U176">
        <v>0</v>
      </c>
      <c r="V176">
        <v>0</v>
      </c>
    </row>
    <row r="177" spans="1:22" x14ac:dyDescent="0.2">
      <c r="A177" t="s">
        <v>603</v>
      </c>
      <c r="B177" t="s">
        <v>188</v>
      </c>
      <c r="C177" t="s">
        <v>41</v>
      </c>
      <c r="D177" t="s">
        <v>55</v>
      </c>
      <c r="E177" t="s">
        <v>442</v>
      </c>
      <c r="F177" t="s">
        <v>60</v>
      </c>
      <c r="G177" t="s">
        <v>48</v>
      </c>
      <c r="H177" t="s">
        <v>47</v>
      </c>
      <c r="I177">
        <v>1</v>
      </c>
      <c r="J177">
        <v>0</v>
      </c>
      <c r="K177">
        <v>1</v>
      </c>
      <c r="L177">
        <v>1</v>
      </c>
      <c r="M177">
        <v>0</v>
      </c>
      <c r="N177">
        <v>0</v>
      </c>
      <c r="O177">
        <v>1</v>
      </c>
      <c r="P177">
        <v>1</v>
      </c>
      <c r="Q177">
        <v>0</v>
      </c>
      <c r="R177">
        <v>1</v>
      </c>
      <c r="S177">
        <v>1</v>
      </c>
      <c r="T177">
        <v>0</v>
      </c>
      <c r="U177">
        <v>0</v>
      </c>
      <c r="V177">
        <v>0</v>
      </c>
    </row>
    <row r="178" spans="1:22" x14ac:dyDescent="0.2">
      <c r="A178" t="s">
        <v>605</v>
      </c>
      <c r="B178" t="s">
        <v>108</v>
      </c>
      <c r="C178" t="s">
        <v>41</v>
      </c>
      <c r="D178" t="s">
        <v>72</v>
      </c>
      <c r="E178" t="s">
        <v>442</v>
      </c>
      <c r="F178" t="s">
        <v>48</v>
      </c>
      <c r="G178" t="s">
        <v>46</v>
      </c>
      <c r="H178" t="s">
        <v>65</v>
      </c>
      <c r="I178">
        <v>0</v>
      </c>
      <c r="J178">
        <v>1</v>
      </c>
      <c r="K178">
        <v>1</v>
      </c>
      <c r="L178">
        <v>0</v>
      </c>
      <c r="M178">
        <v>1</v>
      </c>
      <c r="N178">
        <v>0</v>
      </c>
      <c r="O178">
        <v>1</v>
      </c>
      <c r="P178">
        <v>0</v>
      </c>
      <c r="Q178">
        <v>1</v>
      </c>
      <c r="R178">
        <v>1</v>
      </c>
      <c r="S178">
        <v>0</v>
      </c>
      <c r="T178">
        <v>1</v>
      </c>
      <c r="U178">
        <v>0</v>
      </c>
      <c r="V178">
        <v>0</v>
      </c>
    </row>
    <row r="179" spans="1:22" x14ac:dyDescent="0.2">
      <c r="A179" t="s">
        <v>605</v>
      </c>
      <c r="B179" t="s">
        <v>108</v>
      </c>
      <c r="C179" t="s">
        <v>41</v>
      </c>
      <c r="D179" t="s">
        <v>49</v>
      </c>
      <c r="E179" t="s">
        <v>442</v>
      </c>
      <c r="F179" t="s">
        <v>65</v>
      </c>
      <c r="G179" t="s">
        <v>47</v>
      </c>
      <c r="H179" t="s">
        <v>48</v>
      </c>
      <c r="I179">
        <v>0</v>
      </c>
      <c r="J179">
        <v>1</v>
      </c>
      <c r="K179">
        <v>1</v>
      </c>
      <c r="L179">
        <v>1</v>
      </c>
      <c r="M179">
        <v>0</v>
      </c>
      <c r="N179">
        <v>0</v>
      </c>
      <c r="O179">
        <v>1</v>
      </c>
      <c r="P179">
        <v>0</v>
      </c>
      <c r="Q179">
        <v>1</v>
      </c>
      <c r="R179">
        <v>1</v>
      </c>
      <c r="S179">
        <v>1</v>
      </c>
      <c r="T179">
        <v>0</v>
      </c>
      <c r="U179">
        <v>0</v>
      </c>
      <c r="V179">
        <v>0</v>
      </c>
    </row>
    <row r="180" spans="1:22" x14ac:dyDescent="0.2">
      <c r="A180" t="s">
        <v>608</v>
      </c>
      <c r="B180" t="s">
        <v>108</v>
      </c>
      <c r="C180" t="s">
        <v>41</v>
      </c>
      <c r="D180" t="s">
        <v>49</v>
      </c>
      <c r="E180" t="s">
        <v>442</v>
      </c>
      <c r="F180" t="s">
        <v>48</v>
      </c>
      <c r="G180" t="s">
        <v>47</v>
      </c>
      <c r="H180" t="s">
        <v>60</v>
      </c>
      <c r="I180">
        <v>1</v>
      </c>
      <c r="J180">
        <v>0</v>
      </c>
      <c r="K180">
        <v>1</v>
      </c>
      <c r="L180">
        <v>1</v>
      </c>
      <c r="M180">
        <v>0</v>
      </c>
      <c r="N180">
        <v>0</v>
      </c>
      <c r="O180">
        <v>1</v>
      </c>
      <c r="P180">
        <v>1</v>
      </c>
      <c r="Q180">
        <v>0</v>
      </c>
      <c r="R180">
        <v>1</v>
      </c>
      <c r="S180">
        <v>1</v>
      </c>
      <c r="T180">
        <v>0</v>
      </c>
      <c r="U180">
        <v>0</v>
      </c>
      <c r="V180">
        <v>0</v>
      </c>
    </row>
    <row r="181" spans="1:22" x14ac:dyDescent="0.2">
      <c r="A181" t="s">
        <v>608</v>
      </c>
      <c r="B181" t="s">
        <v>108</v>
      </c>
      <c r="C181" t="s">
        <v>41</v>
      </c>
      <c r="D181" t="s">
        <v>42</v>
      </c>
      <c r="E181" t="s">
        <v>442</v>
      </c>
      <c r="F181" t="s">
        <v>65</v>
      </c>
      <c r="G181" t="s">
        <v>60</v>
      </c>
      <c r="H181" t="s">
        <v>48</v>
      </c>
      <c r="I181">
        <v>1</v>
      </c>
      <c r="J181">
        <v>1</v>
      </c>
      <c r="K181">
        <v>1</v>
      </c>
      <c r="L181">
        <v>0</v>
      </c>
      <c r="M181">
        <v>0</v>
      </c>
      <c r="N181">
        <v>0</v>
      </c>
      <c r="O181">
        <v>1</v>
      </c>
      <c r="P181">
        <v>1</v>
      </c>
      <c r="Q181">
        <v>1</v>
      </c>
      <c r="R181">
        <v>1</v>
      </c>
      <c r="S181">
        <v>0</v>
      </c>
      <c r="T181">
        <v>0</v>
      </c>
      <c r="U181">
        <v>0</v>
      </c>
      <c r="V181">
        <v>0</v>
      </c>
    </row>
    <row r="182" spans="1:22" x14ac:dyDescent="0.2">
      <c r="A182" t="s">
        <v>608</v>
      </c>
      <c r="B182" t="s">
        <v>108</v>
      </c>
      <c r="C182" t="s">
        <v>41</v>
      </c>
      <c r="D182" t="s">
        <v>72</v>
      </c>
      <c r="E182" t="s">
        <v>442</v>
      </c>
      <c r="F182" t="s">
        <v>46</v>
      </c>
      <c r="G182" t="s">
        <v>47</v>
      </c>
      <c r="H182" t="s">
        <v>48</v>
      </c>
      <c r="I182">
        <v>0</v>
      </c>
      <c r="J182">
        <v>0</v>
      </c>
      <c r="K182">
        <v>1</v>
      </c>
      <c r="L182">
        <v>1</v>
      </c>
      <c r="M182">
        <v>1</v>
      </c>
      <c r="N182">
        <v>0</v>
      </c>
      <c r="O182">
        <v>1</v>
      </c>
      <c r="P182">
        <v>0</v>
      </c>
      <c r="Q182">
        <v>0</v>
      </c>
      <c r="R182">
        <v>1</v>
      </c>
      <c r="S182">
        <v>1</v>
      </c>
      <c r="T182">
        <v>1</v>
      </c>
      <c r="U182">
        <v>0</v>
      </c>
      <c r="V182">
        <v>0</v>
      </c>
    </row>
    <row r="183" spans="1:22" x14ac:dyDescent="0.2">
      <c r="A183" t="s">
        <v>611</v>
      </c>
      <c r="B183" t="s">
        <v>188</v>
      </c>
      <c r="C183" t="s">
        <v>41</v>
      </c>
      <c r="D183" t="s">
        <v>42</v>
      </c>
      <c r="E183" t="s">
        <v>442</v>
      </c>
      <c r="F183" t="s">
        <v>48</v>
      </c>
      <c r="G183" t="s">
        <v>65</v>
      </c>
      <c r="H183" t="s">
        <v>47</v>
      </c>
      <c r="I183">
        <v>0</v>
      </c>
      <c r="J183">
        <v>1</v>
      </c>
      <c r="K183">
        <v>1</v>
      </c>
      <c r="L183">
        <v>1</v>
      </c>
      <c r="M183">
        <v>0</v>
      </c>
      <c r="N183">
        <v>0</v>
      </c>
      <c r="O183">
        <v>1</v>
      </c>
      <c r="P183">
        <v>0</v>
      </c>
      <c r="Q183">
        <v>1</v>
      </c>
      <c r="R183">
        <v>1</v>
      </c>
      <c r="S183">
        <v>1</v>
      </c>
      <c r="T183">
        <v>0</v>
      </c>
      <c r="U183">
        <v>0</v>
      </c>
      <c r="V183">
        <v>0</v>
      </c>
    </row>
    <row r="184" spans="1:22" x14ac:dyDescent="0.2">
      <c r="A184" t="s">
        <v>611</v>
      </c>
      <c r="B184" t="s">
        <v>188</v>
      </c>
      <c r="C184" t="s">
        <v>41</v>
      </c>
      <c r="D184" t="s">
        <v>49</v>
      </c>
      <c r="E184" t="s">
        <v>442</v>
      </c>
      <c r="F184" t="s">
        <v>48</v>
      </c>
      <c r="G184" t="s">
        <v>59</v>
      </c>
      <c r="H184" t="s">
        <v>46</v>
      </c>
      <c r="I184">
        <v>0</v>
      </c>
      <c r="J184">
        <v>0</v>
      </c>
      <c r="K184">
        <v>1</v>
      </c>
      <c r="L184">
        <v>0</v>
      </c>
      <c r="M184">
        <v>1</v>
      </c>
      <c r="N184">
        <v>0</v>
      </c>
      <c r="O184">
        <v>1</v>
      </c>
      <c r="P184">
        <v>0</v>
      </c>
      <c r="Q184">
        <v>0</v>
      </c>
      <c r="R184">
        <v>1</v>
      </c>
      <c r="S184">
        <v>0</v>
      </c>
      <c r="T184">
        <v>1</v>
      </c>
      <c r="U184">
        <v>0</v>
      </c>
      <c r="V184">
        <v>0</v>
      </c>
    </row>
    <row r="185" spans="1:22" x14ac:dyDescent="0.2">
      <c r="A185" t="s">
        <v>611</v>
      </c>
      <c r="B185" t="s">
        <v>188</v>
      </c>
      <c r="C185" t="s">
        <v>41</v>
      </c>
      <c r="D185" t="s">
        <v>55</v>
      </c>
      <c r="E185" t="s">
        <v>442</v>
      </c>
      <c r="F185" t="s">
        <v>59</v>
      </c>
      <c r="G185" t="s">
        <v>48</v>
      </c>
      <c r="H185" t="s">
        <v>60</v>
      </c>
      <c r="I185">
        <v>1</v>
      </c>
      <c r="J185">
        <v>0</v>
      </c>
      <c r="K185">
        <v>1</v>
      </c>
      <c r="L185">
        <v>0</v>
      </c>
      <c r="M185">
        <v>0</v>
      </c>
      <c r="N185">
        <v>0</v>
      </c>
      <c r="O185">
        <v>1</v>
      </c>
      <c r="P185">
        <v>1</v>
      </c>
      <c r="Q185">
        <v>0</v>
      </c>
      <c r="R185">
        <v>1</v>
      </c>
      <c r="S185">
        <v>0</v>
      </c>
      <c r="T185">
        <v>0</v>
      </c>
      <c r="U185">
        <v>0</v>
      </c>
      <c r="V185">
        <v>0</v>
      </c>
    </row>
    <row r="186" spans="1:22" x14ac:dyDescent="0.2">
      <c r="A186" t="s">
        <v>614</v>
      </c>
      <c r="B186" t="s">
        <v>108</v>
      </c>
      <c r="C186" t="s">
        <v>41</v>
      </c>
      <c r="D186" t="s">
        <v>49</v>
      </c>
      <c r="E186" t="s">
        <v>442</v>
      </c>
      <c r="F186" t="s">
        <v>46</v>
      </c>
      <c r="G186" t="s">
        <v>65</v>
      </c>
      <c r="H186" t="s">
        <v>48</v>
      </c>
      <c r="I186">
        <v>0</v>
      </c>
      <c r="J186">
        <v>1</v>
      </c>
      <c r="K186">
        <v>1</v>
      </c>
      <c r="L186">
        <v>0</v>
      </c>
      <c r="M186">
        <v>1</v>
      </c>
      <c r="N186">
        <v>0</v>
      </c>
      <c r="O186">
        <v>1</v>
      </c>
      <c r="P186">
        <v>0</v>
      </c>
      <c r="Q186">
        <v>1</v>
      </c>
      <c r="R186">
        <v>1</v>
      </c>
      <c r="S186">
        <v>0</v>
      </c>
      <c r="T186">
        <v>1</v>
      </c>
      <c r="U186">
        <v>0</v>
      </c>
      <c r="V186">
        <v>0</v>
      </c>
    </row>
    <row r="187" spans="1:22" x14ac:dyDescent="0.2">
      <c r="A187" t="s">
        <v>620</v>
      </c>
      <c r="B187" t="s">
        <v>188</v>
      </c>
      <c r="C187" t="s">
        <v>41</v>
      </c>
      <c r="D187" t="s">
        <v>55</v>
      </c>
      <c r="E187" t="s">
        <v>442</v>
      </c>
      <c r="F187" t="s">
        <v>65</v>
      </c>
      <c r="G187" t="s">
        <v>46</v>
      </c>
      <c r="H187" t="s">
        <v>48</v>
      </c>
      <c r="I187">
        <v>0</v>
      </c>
      <c r="J187">
        <v>1</v>
      </c>
      <c r="K187">
        <v>1</v>
      </c>
      <c r="L187">
        <v>0</v>
      </c>
      <c r="M187">
        <v>1</v>
      </c>
      <c r="N187">
        <v>0</v>
      </c>
      <c r="O187">
        <v>1</v>
      </c>
      <c r="P187">
        <v>0</v>
      </c>
      <c r="Q187">
        <v>1</v>
      </c>
      <c r="R187">
        <v>1</v>
      </c>
      <c r="S187">
        <v>0</v>
      </c>
      <c r="T187">
        <v>1</v>
      </c>
      <c r="U187">
        <v>0</v>
      </c>
      <c r="V187">
        <v>0</v>
      </c>
    </row>
    <row r="188" spans="1:22" x14ac:dyDescent="0.2">
      <c r="A188" t="s">
        <v>620</v>
      </c>
      <c r="B188" t="s">
        <v>188</v>
      </c>
      <c r="C188" t="s">
        <v>41</v>
      </c>
      <c r="D188" t="s">
        <v>61</v>
      </c>
      <c r="E188" t="s">
        <v>442</v>
      </c>
      <c r="F188" t="s">
        <v>46</v>
      </c>
      <c r="G188" t="s">
        <v>65</v>
      </c>
      <c r="H188" t="s">
        <v>48</v>
      </c>
      <c r="I188">
        <v>0</v>
      </c>
      <c r="J188">
        <v>1</v>
      </c>
      <c r="K188">
        <v>1</v>
      </c>
      <c r="L188">
        <v>0</v>
      </c>
      <c r="M188">
        <v>1</v>
      </c>
      <c r="N188">
        <v>0</v>
      </c>
      <c r="O188">
        <v>1</v>
      </c>
      <c r="P188">
        <v>0</v>
      </c>
      <c r="Q188">
        <v>1</v>
      </c>
      <c r="R188">
        <v>1</v>
      </c>
      <c r="S188">
        <v>0</v>
      </c>
      <c r="T188">
        <v>1</v>
      </c>
      <c r="U188">
        <v>0</v>
      </c>
      <c r="V188">
        <v>0</v>
      </c>
    </row>
    <row r="189" spans="1:22" x14ac:dyDescent="0.2">
      <c r="A189" t="s">
        <v>620</v>
      </c>
      <c r="B189" t="s">
        <v>188</v>
      </c>
      <c r="C189" t="s">
        <v>41</v>
      </c>
      <c r="D189" t="s">
        <v>72</v>
      </c>
      <c r="E189" t="s">
        <v>442</v>
      </c>
      <c r="F189" t="s">
        <v>48</v>
      </c>
      <c r="G189" t="s">
        <v>47</v>
      </c>
      <c r="H189" t="s">
        <v>46</v>
      </c>
      <c r="I189">
        <v>0</v>
      </c>
      <c r="J189">
        <v>0</v>
      </c>
      <c r="K189">
        <v>1</v>
      </c>
      <c r="L189">
        <v>1</v>
      </c>
      <c r="M189">
        <v>1</v>
      </c>
      <c r="N189">
        <v>0</v>
      </c>
      <c r="O189">
        <v>1</v>
      </c>
      <c r="P189">
        <v>0</v>
      </c>
      <c r="Q189">
        <v>0</v>
      </c>
      <c r="R189">
        <v>1</v>
      </c>
      <c r="S189">
        <v>1</v>
      </c>
      <c r="T189">
        <v>1</v>
      </c>
      <c r="U189">
        <v>0</v>
      </c>
      <c r="V189">
        <v>0</v>
      </c>
    </row>
    <row r="190" spans="1:22" x14ac:dyDescent="0.2">
      <c r="A190" t="s">
        <v>620</v>
      </c>
      <c r="B190" t="s">
        <v>188</v>
      </c>
      <c r="C190" t="s">
        <v>41</v>
      </c>
      <c r="D190" t="s">
        <v>67</v>
      </c>
      <c r="E190" t="s">
        <v>442</v>
      </c>
      <c r="F190" t="s">
        <v>60</v>
      </c>
      <c r="G190" t="s">
        <v>48</v>
      </c>
      <c r="H190" t="s">
        <v>47</v>
      </c>
      <c r="I190">
        <v>1</v>
      </c>
      <c r="J190">
        <v>0</v>
      </c>
      <c r="K190">
        <v>1</v>
      </c>
      <c r="L190">
        <v>1</v>
      </c>
      <c r="M190">
        <v>0</v>
      </c>
      <c r="N190">
        <v>0</v>
      </c>
      <c r="O190">
        <v>1</v>
      </c>
      <c r="P190">
        <v>1</v>
      </c>
      <c r="Q190">
        <v>0</v>
      </c>
      <c r="R190">
        <v>1</v>
      </c>
      <c r="S190">
        <v>1</v>
      </c>
      <c r="T190">
        <v>0</v>
      </c>
      <c r="U190">
        <v>0</v>
      </c>
      <c r="V190">
        <v>0</v>
      </c>
    </row>
    <row r="191" spans="1:22" x14ac:dyDescent="0.2">
      <c r="A191" t="s">
        <v>620</v>
      </c>
      <c r="B191" t="s">
        <v>188</v>
      </c>
      <c r="C191" t="s">
        <v>41</v>
      </c>
      <c r="D191" t="s">
        <v>49</v>
      </c>
      <c r="E191" t="s">
        <v>442</v>
      </c>
      <c r="F191" t="s">
        <v>48</v>
      </c>
      <c r="G191" t="s">
        <v>59</v>
      </c>
      <c r="H191" t="s">
        <v>60</v>
      </c>
      <c r="I191">
        <v>1</v>
      </c>
      <c r="J191">
        <v>0</v>
      </c>
      <c r="K191">
        <v>1</v>
      </c>
      <c r="L191">
        <v>0</v>
      </c>
      <c r="M191">
        <v>0</v>
      </c>
      <c r="N191">
        <v>0</v>
      </c>
      <c r="O191">
        <v>1</v>
      </c>
      <c r="P191">
        <v>1</v>
      </c>
      <c r="Q191">
        <v>0</v>
      </c>
      <c r="R191">
        <v>1</v>
      </c>
      <c r="S191">
        <v>0</v>
      </c>
      <c r="T191">
        <v>0</v>
      </c>
      <c r="U191">
        <v>0</v>
      </c>
      <c r="V191">
        <v>0</v>
      </c>
    </row>
    <row r="192" spans="1:22" x14ac:dyDescent="0.2">
      <c r="A192" t="s">
        <v>623</v>
      </c>
      <c r="B192" t="s">
        <v>188</v>
      </c>
      <c r="C192" t="s">
        <v>41</v>
      </c>
      <c r="D192" t="s">
        <v>61</v>
      </c>
      <c r="E192" t="s">
        <v>442</v>
      </c>
      <c r="F192" t="s">
        <v>47</v>
      </c>
      <c r="G192" t="s">
        <v>48</v>
      </c>
      <c r="H192" t="s">
        <v>65</v>
      </c>
      <c r="I192">
        <v>0</v>
      </c>
      <c r="J192">
        <v>1</v>
      </c>
      <c r="K192">
        <v>1</v>
      </c>
      <c r="L192">
        <v>1</v>
      </c>
      <c r="M192">
        <v>0</v>
      </c>
      <c r="N192">
        <v>0</v>
      </c>
      <c r="O192">
        <v>1</v>
      </c>
      <c r="P192">
        <v>0</v>
      </c>
      <c r="Q192">
        <v>0</v>
      </c>
      <c r="R192">
        <v>1</v>
      </c>
      <c r="S192">
        <v>1</v>
      </c>
      <c r="T192">
        <v>0</v>
      </c>
      <c r="U192">
        <v>0</v>
      </c>
      <c r="V192">
        <v>0</v>
      </c>
    </row>
    <row r="193" spans="1:22" x14ac:dyDescent="0.2">
      <c r="A193" t="s">
        <v>623</v>
      </c>
      <c r="B193" t="s">
        <v>188</v>
      </c>
      <c r="C193" t="s">
        <v>41</v>
      </c>
      <c r="D193" t="s">
        <v>49</v>
      </c>
      <c r="E193" t="s">
        <v>442</v>
      </c>
      <c r="F193" t="s">
        <v>48</v>
      </c>
      <c r="G193" t="s">
        <v>59</v>
      </c>
      <c r="H193" t="s">
        <v>46</v>
      </c>
      <c r="I193">
        <v>0</v>
      </c>
      <c r="J193">
        <v>0</v>
      </c>
      <c r="K193">
        <v>1</v>
      </c>
      <c r="L193">
        <v>0</v>
      </c>
      <c r="M193">
        <v>1</v>
      </c>
      <c r="N193">
        <v>0</v>
      </c>
      <c r="O193">
        <v>1</v>
      </c>
      <c r="P193">
        <v>0</v>
      </c>
      <c r="Q193">
        <v>0</v>
      </c>
      <c r="R193">
        <v>1</v>
      </c>
      <c r="S193">
        <v>0</v>
      </c>
      <c r="T193">
        <v>1</v>
      </c>
      <c r="U193">
        <v>0</v>
      </c>
      <c r="V193">
        <v>0</v>
      </c>
    </row>
    <row r="194" spans="1:22" x14ac:dyDescent="0.2">
      <c r="A194" t="s">
        <v>626</v>
      </c>
      <c r="B194" t="s">
        <v>188</v>
      </c>
      <c r="C194" t="s">
        <v>41</v>
      </c>
      <c r="D194" t="s">
        <v>42</v>
      </c>
      <c r="E194" t="s">
        <v>442</v>
      </c>
      <c r="F194" t="s">
        <v>47</v>
      </c>
      <c r="G194" t="s">
        <v>48</v>
      </c>
      <c r="H194" t="s">
        <v>46</v>
      </c>
      <c r="I194">
        <v>0</v>
      </c>
      <c r="J194">
        <v>0</v>
      </c>
      <c r="K194">
        <v>1</v>
      </c>
      <c r="L194">
        <v>1</v>
      </c>
      <c r="M194">
        <v>1</v>
      </c>
      <c r="N194">
        <v>0</v>
      </c>
      <c r="O194">
        <v>1</v>
      </c>
      <c r="P194">
        <v>0</v>
      </c>
      <c r="Q194">
        <v>0</v>
      </c>
      <c r="R194">
        <v>1</v>
      </c>
      <c r="S194">
        <v>0</v>
      </c>
      <c r="T194">
        <v>0</v>
      </c>
      <c r="U194">
        <v>0</v>
      </c>
      <c r="V194">
        <v>0</v>
      </c>
    </row>
    <row r="195" spans="1:22" x14ac:dyDescent="0.2">
      <c r="A195" t="s">
        <v>626</v>
      </c>
      <c r="B195" t="s">
        <v>188</v>
      </c>
      <c r="C195" t="s">
        <v>41</v>
      </c>
      <c r="D195" t="s">
        <v>49</v>
      </c>
      <c r="E195" t="s">
        <v>442</v>
      </c>
      <c r="F195" t="s">
        <v>46</v>
      </c>
      <c r="G195" t="s">
        <v>48</v>
      </c>
      <c r="H195" t="s">
        <v>59</v>
      </c>
      <c r="I195">
        <v>0</v>
      </c>
      <c r="J195">
        <v>0</v>
      </c>
      <c r="K195">
        <v>1</v>
      </c>
      <c r="L195">
        <v>0</v>
      </c>
      <c r="M195">
        <v>1</v>
      </c>
      <c r="N195">
        <v>0</v>
      </c>
      <c r="O195">
        <v>1</v>
      </c>
      <c r="P195">
        <v>0</v>
      </c>
      <c r="Q195">
        <v>0</v>
      </c>
      <c r="R195">
        <v>1</v>
      </c>
      <c r="S195">
        <v>0</v>
      </c>
      <c r="T195">
        <v>1</v>
      </c>
      <c r="U195">
        <v>0</v>
      </c>
      <c r="V195">
        <v>0</v>
      </c>
    </row>
    <row r="196" spans="1:22" x14ac:dyDescent="0.2">
      <c r="A196" t="s">
        <v>626</v>
      </c>
      <c r="B196" t="s">
        <v>188</v>
      </c>
      <c r="C196" t="s">
        <v>41</v>
      </c>
      <c r="D196" t="s">
        <v>61</v>
      </c>
      <c r="E196" t="s">
        <v>442</v>
      </c>
      <c r="F196" t="s">
        <v>65</v>
      </c>
      <c r="G196" t="s">
        <v>59</v>
      </c>
      <c r="H196" t="s">
        <v>48</v>
      </c>
      <c r="I196">
        <v>0</v>
      </c>
      <c r="J196">
        <v>1</v>
      </c>
      <c r="K196">
        <v>1</v>
      </c>
      <c r="L196">
        <v>0</v>
      </c>
      <c r="M196">
        <v>0</v>
      </c>
      <c r="N196">
        <v>0</v>
      </c>
      <c r="O196">
        <v>1</v>
      </c>
      <c r="P196">
        <v>0</v>
      </c>
      <c r="Q196">
        <v>0</v>
      </c>
      <c r="R196">
        <v>1</v>
      </c>
      <c r="S196">
        <v>0</v>
      </c>
      <c r="T196">
        <v>0</v>
      </c>
      <c r="U196">
        <v>0</v>
      </c>
      <c r="V196">
        <v>0</v>
      </c>
    </row>
    <row r="197" spans="1:22" x14ac:dyDescent="0.2">
      <c r="A197" t="s">
        <v>627</v>
      </c>
      <c r="B197" t="s">
        <v>33</v>
      </c>
      <c r="C197" t="s">
        <v>41</v>
      </c>
      <c r="D197" t="s">
        <v>67</v>
      </c>
      <c r="E197" t="s">
        <v>442</v>
      </c>
      <c r="F197" t="s">
        <v>59</v>
      </c>
      <c r="G197" t="s">
        <v>48</v>
      </c>
      <c r="H197" t="s">
        <v>60</v>
      </c>
      <c r="I197">
        <v>1</v>
      </c>
      <c r="J197">
        <v>0</v>
      </c>
      <c r="K197">
        <v>1</v>
      </c>
      <c r="L197">
        <v>0</v>
      </c>
      <c r="M197">
        <v>0</v>
      </c>
      <c r="N197">
        <v>0</v>
      </c>
      <c r="O197">
        <v>1</v>
      </c>
      <c r="P197">
        <v>1</v>
      </c>
      <c r="Q197">
        <v>0</v>
      </c>
      <c r="R197">
        <v>1</v>
      </c>
      <c r="S197">
        <v>0</v>
      </c>
      <c r="T197">
        <v>0</v>
      </c>
      <c r="U197">
        <v>0</v>
      </c>
      <c r="V197">
        <v>0</v>
      </c>
    </row>
    <row r="198" spans="1:22" x14ac:dyDescent="0.2">
      <c r="A198" t="s">
        <v>634</v>
      </c>
      <c r="B198" t="s">
        <v>33</v>
      </c>
      <c r="C198" t="s">
        <v>41</v>
      </c>
      <c r="D198" t="s">
        <v>67</v>
      </c>
      <c r="E198" t="s">
        <v>442</v>
      </c>
      <c r="F198" t="s">
        <v>47</v>
      </c>
      <c r="G198" t="s">
        <v>59</v>
      </c>
      <c r="H198" t="s">
        <v>48</v>
      </c>
      <c r="I198">
        <v>0</v>
      </c>
      <c r="J198">
        <v>0</v>
      </c>
      <c r="K198">
        <v>1</v>
      </c>
      <c r="L198">
        <v>1</v>
      </c>
      <c r="M198">
        <v>0</v>
      </c>
      <c r="N198">
        <v>0</v>
      </c>
      <c r="O198">
        <v>1</v>
      </c>
      <c r="P198">
        <v>0</v>
      </c>
      <c r="Q198">
        <v>0</v>
      </c>
      <c r="R198">
        <v>1</v>
      </c>
      <c r="S198">
        <v>1</v>
      </c>
      <c r="T198">
        <v>0</v>
      </c>
      <c r="U198">
        <v>0</v>
      </c>
      <c r="V198">
        <v>0</v>
      </c>
    </row>
    <row r="199" spans="1:22" x14ac:dyDescent="0.2">
      <c r="A199" t="s">
        <v>634</v>
      </c>
      <c r="B199" t="s">
        <v>33</v>
      </c>
      <c r="C199" t="s">
        <v>41</v>
      </c>
      <c r="D199" t="s">
        <v>49</v>
      </c>
      <c r="E199" t="s">
        <v>442</v>
      </c>
      <c r="F199" t="s">
        <v>46</v>
      </c>
      <c r="G199" t="s">
        <v>65</v>
      </c>
      <c r="H199" t="s">
        <v>48</v>
      </c>
      <c r="I199">
        <v>0</v>
      </c>
      <c r="J199">
        <v>1</v>
      </c>
      <c r="K199">
        <v>1</v>
      </c>
      <c r="L199">
        <v>0</v>
      </c>
      <c r="M199">
        <v>1</v>
      </c>
      <c r="N199">
        <v>0</v>
      </c>
      <c r="O199">
        <v>1</v>
      </c>
      <c r="P199">
        <v>0</v>
      </c>
      <c r="Q199">
        <v>1</v>
      </c>
      <c r="R199">
        <v>1</v>
      </c>
      <c r="S199">
        <v>0</v>
      </c>
      <c r="T199">
        <v>0</v>
      </c>
      <c r="U199">
        <v>0</v>
      </c>
      <c r="V199">
        <v>0</v>
      </c>
    </row>
    <row r="200" spans="1:22" x14ac:dyDescent="0.2">
      <c r="A200" t="s">
        <v>637</v>
      </c>
      <c r="B200" t="s">
        <v>33</v>
      </c>
      <c r="C200" t="s">
        <v>41</v>
      </c>
      <c r="D200" t="s">
        <v>42</v>
      </c>
      <c r="E200" t="s">
        <v>442</v>
      </c>
      <c r="F200" t="s">
        <v>48</v>
      </c>
      <c r="G200" t="s">
        <v>59</v>
      </c>
      <c r="H200" t="s">
        <v>46</v>
      </c>
      <c r="I200">
        <v>0</v>
      </c>
      <c r="J200">
        <v>0</v>
      </c>
      <c r="K200">
        <v>1</v>
      </c>
      <c r="L200">
        <v>0</v>
      </c>
      <c r="M200">
        <v>1</v>
      </c>
      <c r="N200">
        <v>0</v>
      </c>
      <c r="O200">
        <v>1</v>
      </c>
      <c r="P200">
        <v>0</v>
      </c>
      <c r="Q200">
        <v>0</v>
      </c>
      <c r="R200">
        <v>1</v>
      </c>
      <c r="S200">
        <v>0</v>
      </c>
      <c r="T200">
        <v>1</v>
      </c>
      <c r="U200">
        <v>0</v>
      </c>
      <c r="V200">
        <v>0</v>
      </c>
    </row>
    <row r="201" spans="1:22" x14ac:dyDescent="0.2">
      <c r="A201" t="s">
        <v>637</v>
      </c>
      <c r="B201" t="s">
        <v>33</v>
      </c>
      <c r="C201" t="s">
        <v>41</v>
      </c>
      <c r="D201" t="s">
        <v>67</v>
      </c>
      <c r="E201" t="s">
        <v>442</v>
      </c>
      <c r="F201" t="s">
        <v>60</v>
      </c>
      <c r="G201" t="s">
        <v>48</v>
      </c>
      <c r="H201" t="s">
        <v>46</v>
      </c>
      <c r="I201">
        <v>1</v>
      </c>
      <c r="J201">
        <v>0</v>
      </c>
      <c r="K201">
        <v>1</v>
      </c>
      <c r="L201">
        <v>0</v>
      </c>
      <c r="M201">
        <v>1</v>
      </c>
      <c r="N201">
        <v>0</v>
      </c>
      <c r="O201">
        <v>1</v>
      </c>
      <c r="P201">
        <v>1</v>
      </c>
      <c r="Q201">
        <v>0</v>
      </c>
      <c r="R201">
        <v>1</v>
      </c>
      <c r="S201">
        <v>0</v>
      </c>
      <c r="T201">
        <v>1</v>
      </c>
      <c r="U201">
        <v>0</v>
      </c>
      <c r="V201">
        <v>0</v>
      </c>
    </row>
    <row r="202" spans="1:22" x14ac:dyDescent="0.2">
      <c r="A202" t="s">
        <v>647</v>
      </c>
      <c r="B202" t="s">
        <v>188</v>
      </c>
      <c r="C202" t="s">
        <v>41</v>
      </c>
      <c r="D202" t="s">
        <v>55</v>
      </c>
      <c r="E202" t="s">
        <v>442</v>
      </c>
      <c r="F202" t="s">
        <v>59</v>
      </c>
      <c r="G202" t="s">
        <v>48</v>
      </c>
      <c r="H202" t="s">
        <v>47</v>
      </c>
      <c r="I202">
        <v>0</v>
      </c>
      <c r="J202">
        <v>0</v>
      </c>
      <c r="K202">
        <v>1</v>
      </c>
      <c r="L202">
        <v>1</v>
      </c>
      <c r="M202">
        <v>0</v>
      </c>
      <c r="N202">
        <v>0</v>
      </c>
      <c r="O202">
        <v>1</v>
      </c>
      <c r="P202">
        <v>0</v>
      </c>
      <c r="Q202">
        <v>0</v>
      </c>
      <c r="R202">
        <v>1</v>
      </c>
      <c r="S202">
        <v>0</v>
      </c>
      <c r="T202">
        <v>0</v>
      </c>
      <c r="U202">
        <v>0</v>
      </c>
      <c r="V202">
        <v>0</v>
      </c>
    </row>
    <row r="203" spans="1:22" x14ac:dyDescent="0.2">
      <c r="A203" t="s">
        <v>649</v>
      </c>
      <c r="B203" t="s">
        <v>188</v>
      </c>
      <c r="C203" t="s">
        <v>41</v>
      </c>
      <c r="D203" t="s">
        <v>42</v>
      </c>
      <c r="E203" t="s">
        <v>442</v>
      </c>
      <c r="F203" t="s">
        <v>46</v>
      </c>
      <c r="G203" t="s">
        <v>48</v>
      </c>
      <c r="H203" t="s">
        <v>60</v>
      </c>
      <c r="I203">
        <v>1</v>
      </c>
      <c r="J203">
        <v>0</v>
      </c>
      <c r="K203">
        <v>1</v>
      </c>
      <c r="L203">
        <v>0</v>
      </c>
      <c r="M203">
        <v>1</v>
      </c>
      <c r="N203">
        <v>0</v>
      </c>
      <c r="O203">
        <v>1</v>
      </c>
      <c r="P203">
        <v>1</v>
      </c>
      <c r="Q203">
        <v>0</v>
      </c>
      <c r="R203">
        <v>1</v>
      </c>
      <c r="S203">
        <v>0</v>
      </c>
      <c r="T203">
        <v>1</v>
      </c>
      <c r="U203">
        <v>0</v>
      </c>
      <c r="V203">
        <v>0</v>
      </c>
    </row>
    <row r="204" spans="1:22" x14ac:dyDescent="0.2">
      <c r="A204" t="s">
        <v>649</v>
      </c>
      <c r="B204" t="s">
        <v>188</v>
      </c>
      <c r="C204" t="s">
        <v>41</v>
      </c>
      <c r="D204" t="s">
        <v>61</v>
      </c>
      <c r="E204" t="s">
        <v>442</v>
      </c>
      <c r="F204" t="s">
        <v>47</v>
      </c>
      <c r="G204" t="s">
        <v>46</v>
      </c>
      <c r="H204" t="s">
        <v>48</v>
      </c>
      <c r="I204">
        <v>0</v>
      </c>
      <c r="J204">
        <v>0</v>
      </c>
      <c r="K204">
        <v>1</v>
      </c>
      <c r="L204">
        <v>1</v>
      </c>
      <c r="M204">
        <v>1</v>
      </c>
      <c r="N204">
        <v>0</v>
      </c>
      <c r="O204">
        <v>1</v>
      </c>
      <c r="P204">
        <v>0</v>
      </c>
      <c r="Q204">
        <v>0</v>
      </c>
      <c r="R204">
        <v>1</v>
      </c>
      <c r="S204">
        <v>1</v>
      </c>
      <c r="T204">
        <v>1</v>
      </c>
      <c r="U204">
        <v>0</v>
      </c>
      <c r="V204">
        <v>0</v>
      </c>
    </row>
    <row r="205" spans="1:22" x14ac:dyDescent="0.2">
      <c r="A205" t="s">
        <v>659</v>
      </c>
      <c r="B205" t="s">
        <v>108</v>
      </c>
      <c r="C205" t="s">
        <v>41</v>
      </c>
      <c r="D205" t="s">
        <v>42</v>
      </c>
      <c r="E205" t="s">
        <v>442</v>
      </c>
      <c r="F205" t="s">
        <v>48</v>
      </c>
      <c r="G205" t="s">
        <v>60</v>
      </c>
      <c r="H205" t="s">
        <v>46</v>
      </c>
      <c r="I205">
        <v>1</v>
      </c>
      <c r="J205">
        <v>0</v>
      </c>
      <c r="K205">
        <v>1</v>
      </c>
      <c r="L205">
        <v>0</v>
      </c>
      <c r="M205">
        <v>1</v>
      </c>
      <c r="N205">
        <v>0</v>
      </c>
      <c r="O205">
        <v>1</v>
      </c>
      <c r="P205">
        <v>0</v>
      </c>
      <c r="Q205">
        <v>0</v>
      </c>
      <c r="R205">
        <v>1</v>
      </c>
      <c r="S205">
        <v>0</v>
      </c>
      <c r="T205">
        <v>0</v>
      </c>
      <c r="U205">
        <v>0</v>
      </c>
      <c r="V205">
        <v>0</v>
      </c>
    </row>
    <row r="206" spans="1:22" x14ac:dyDescent="0.2">
      <c r="A206" t="s">
        <v>659</v>
      </c>
      <c r="B206" t="s">
        <v>108</v>
      </c>
      <c r="C206" t="s">
        <v>41</v>
      </c>
      <c r="D206" t="s">
        <v>49</v>
      </c>
      <c r="E206" t="s">
        <v>442</v>
      </c>
      <c r="F206" t="s">
        <v>48</v>
      </c>
      <c r="G206" t="s">
        <v>65</v>
      </c>
      <c r="H206" t="s">
        <v>47</v>
      </c>
      <c r="I206">
        <v>0</v>
      </c>
      <c r="J206">
        <v>1</v>
      </c>
      <c r="K206">
        <v>1</v>
      </c>
      <c r="L206">
        <v>1</v>
      </c>
      <c r="M206">
        <v>0</v>
      </c>
      <c r="N206">
        <v>0</v>
      </c>
      <c r="O206">
        <v>1</v>
      </c>
      <c r="P206">
        <v>0</v>
      </c>
      <c r="Q206">
        <v>0</v>
      </c>
      <c r="R206">
        <v>1</v>
      </c>
      <c r="S206">
        <v>0</v>
      </c>
      <c r="T206">
        <v>0</v>
      </c>
      <c r="U206">
        <v>0</v>
      </c>
      <c r="V206">
        <v>0</v>
      </c>
    </row>
    <row r="207" spans="1:22" x14ac:dyDescent="0.2">
      <c r="A207" t="s">
        <v>659</v>
      </c>
      <c r="B207" t="s">
        <v>108</v>
      </c>
      <c r="C207" t="s">
        <v>41</v>
      </c>
      <c r="D207" t="s">
        <v>55</v>
      </c>
      <c r="E207" t="s">
        <v>442</v>
      </c>
      <c r="F207" t="s">
        <v>65</v>
      </c>
      <c r="G207" t="s">
        <v>48</v>
      </c>
      <c r="H207" t="s">
        <v>60</v>
      </c>
      <c r="I207">
        <v>1</v>
      </c>
      <c r="J207">
        <v>1</v>
      </c>
      <c r="K207">
        <v>1</v>
      </c>
      <c r="L207">
        <v>0</v>
      </c>
      <c r="M207">
        <v>0</v>
      </c>
      <c r="N207">
        <v>0</v>
      </c>
      <c r="O207">
        <v>1</v>
      </c>
      <c r="P207">
        <v>0</v>
      </c>
      <c r="Q207">
        <v>0</v>
      </c>
      <c r="R207">
        <v>1</v>
      </c>
      <c r="S207">
        <v>0</v>
      </c>
      <c r="T207">
        <v>0</v>
      </c>
      <c r="U207">
        <v>0</v>
      </c>
      <c r="V207">
        <v>0</v>
      </c>
    </row>
    <row r="208" spans="1:22" x14ac:dyDescent="0.2">
      <c r="A208" t="s">
        <v>682</v>
      </c>
      <c r="B208" t="s">
        <v>174</v>
      </c>
      <c r="C208" t="s">
        <v>41</v>
      </c>
      <c r="D208" t="s">
        <v>49</v>
      </c>
      <c r="E208" t="s">
        <v>442</v>
      </c>
      <c r="F208" t="s">
        <v>48</v>
      </c>
      <c r="G208" t="s">
        <v>46</v>
      </c>
      <c r="H208" t="s">
        <v>47</v>
      </c>
      <c r="I208">
        <v>0</v>
      </c>
      <c r="J208">
        <v>0</v>
      </c>
      <c r="K208">
        <v>1</v>
      </c>
      <c r="L208">
        <v>1</v>
      </c>
      <c r="M208">
        <v>1</v>
      </c>
      <c r="N208">
        <v>0</v>
      </c>
      <c r="O208">
        <v>1</v>
      </c>
      <c r="P208">
        <v>0</v>
      </c>
      <c r="Q208">
        <v>0</v>
      </c>
      <c r="R208">
        <v>1</v>
      </c>
      <c r="S208">
        <v>0</v>
      </c>
      <c r="T208">
        <v>0</v>
      </c>
      <c r="U208">
        <v>0</v>
      </c>
      <c r="V208">
        <v>0</v>
      </c>
    </row>
    <row r="209" spans="1:22" x14ac:dyDescent="0.2">
      <c r="A209" t="s">
        <v>691</v>
      </c>
      <c r="B209" t="s">
        <v>108</v>
      </c>
      <c r="C209" t="s">
        <v>41</v>
      </c>
      <c r="D209" t="s">
        <v>42</v>
      </c>
      <c r="E209" t="s">
        <v>442</v>
      </c>
      <c r="F209" t="s">
        <v>48</v>
      </c>
      <c r="G209" t="s">
        <v>47</v>
      </c>
      <c r="H209" t="s">
        <v>65</v>
      </c>
      <c r="I209">
        <v>0</v>
      </c>
      <c r="J209">
        <v>1</v>
      </c>
      <c r="K209">
        <v>1</v>
      </c>
      <c r="L209">
        <v>1</v>
      </c>
      <c r="M209">
        <v>0</v>
      </c>
      <c r="N209">
        <v>0</v>
      </c>
      <c r="O209">
        <v>1</v>
      </c>
      <c r="P209">
        <v>0</v>
      </c>
      <c r="Q209">
        <v>1</v>
      </c>
      <c r="R209">
        <v>1</v>
      </c>
      <c r="S209">
        <v>1</v>
      </c>
      <c r="T209">
        <v>0</v>
      </c>
      <c r="U209">
        <v>0</v>
      </c>
      <c r="V209">
        <v>0</v>
      </c>
    </row>
    <row r="210" spans="1:22" x14ac:dyDescent="0.2">
      <c r="A210" t="s">
        <v>691</v>
      </c>
      <c r="B210" t="s">
        <v>108</v>
      </c>
      <c r="C210" t="s">
        <v>41</v>
      </c>
      <c r="D210" t="s">
        <v>55</v>
      </c>
      <c r="E210" t="s">
        <v>442</v>
      </c>
      <c r="F210" t="s">
        <v>65</v>
      </c>
      <c r="G210" t="s">
        <v>60</v>
      </c>
      <c r="H210" t="s">
        <v>48</v>
      </c>
      <c r="I210">
        <v>1</v>
      </c>
      <c r="J210">
        <v>1</v>
      </c>
      <c r="K210">
        <v>1</v>
      </c>
      <c r="L210">
        <v>0</v>
      </c>
      <c r="M210">
        <v>0</v>
      </c>
      <c r="N210">
        <v>0</v>
      </c>
      <c r="O210">
        <v>1</v>
      </c>
      <c r="P210">
        <v>1</v>
      </c>
      <c r="Q210">
        <v>1</v>
      </c>
      <c r="R210">
        <v>1</v>
      </c>
      <c r="S210">
        <v>0</v>
      </c>
      <c r="T210">
        <v>0</v>
      </c>
      <c r="U210">
        <v>0</v>
      </c>
      <c r="V210">
        <v>0</v>
      </c>
    </row>
    <row r="211" spans="1:22" x14ac:dyDescent="0.2">
      <c r="A211" t="s">
        <v>691</v>
      </c>
      <c r="B211" t="s">
        <v>108</v>
      </c>
      <c r="C211" t="s">
        <v>41</v>
      </c>
      <c r="D211" t="s">
        <v>67</v>
      </c>
      <c r="E211" t="s">
        <v>442</v>
      </c>
      <c r="F211" t="s">
        <v>46</v>
      </c>
      <c r="G211" t="s">
        <v>48</v>
      </c>
      <c r="H211" t="s">
        <v>47</v>
      </c>
      <c r="I211">
        <v>0</v>
      </c>
      <c r="J211">
        <v>0</v>
      </c>
      <c r="K211">
        <v>1</v>
      </c>
      <c r="L211">
        <v>1</v>
      </c>
      <c r="M211">
        <v>1</v>
      </c>
      <c r="N211">
        <v>0</v>
      </c>
      <c r="O211">
        <v>1</v>
      </c>
      <c r="P211">
        <v>0</v>
      </c>
      <c r="Q211">
        <v>0</v>
      </c>
      <c r="R211">
        <v>1</v>
      </c>
      <c r="S211">
        <v>1</v>
      </c>
      <c r="T211">
        <v>1</v>
      </c>
      <c r="U211">
        <v>0</v>
      </c>
      <c r="V211">
        <v>0</v>
      </c>
    </row>
    <row r="212" spans="1:22" x14ac:dyDescent="0.2">
      <c r="A212" t="s">
        <v>694</v>
      </c>
      <c r="B212" t="s">
        <v>188</v>
      </c>
      <c r="C212" t="s">
        <v>41</v>
      </c>
      <c r="D212" t="s">
        <v>67</v>
      </c>
      <c r="E212" t="s">
        <v>442</v>
      </c>
      <c r="F212" t="s">
        <v>47</v>
      </c>
      <c r="G212" t="s">
        <v>46</v>
      </c>
      <c r="H212" t="s">
        <v>48</v>
      </c>
      <c r="I212">
        <v>0</v>
      </c>
      <c r="J212">
        <v>0</v>
      </c>
      <c r="K212">
        <v>1</v>
      </c>
      <c r="L212">
        <v>1</v>
      </c>
      <c r="M212">
        <v>1</v>
      </c>
      <c r="N212">
        <v>0</v>
      </c>
      <c r="O212">
        <v>1</v>
      </c>
      <c r="P212">
        <v>0</v>
      </c>
      <c r="Q212">
        <v>0</v>
      </c>
      <c r="R212">
        <v>1</v>
      </c>
      <c r="S212">
        <v>0</v>
      </c>
      <c r="T212">
        <v>0</v>
      </c>
      <c r="U212">
        <v>0</v>
      </c>
      <c r="V212">
        <v>0</v>
      </c>
    </row>
    <row r="213" spans="1:22" x14ac:dyDescent="0.2">
      <c r="A213" t="s">
        <v>701</v>
      </c>
      <c r="B213" t="s">
        <v>188</v>
      </c>
      <c r="C213" t="s">
        <v>41</v>
      </c>
      <c r="D213" t="s">
        <v>55</v>
      </c>
      <c r="E213" t="s">
        <v>442</v>
      </c>
      <c r="F213" t="s">
        <v>60</v>
      </c>
      <c r="G213" t="s">
        <v>48</v>
      </c>
      <c r="H213" t="s">
        <v>46</v>
      </c>
      <c r="I213">
        <v>1</v>
      </c>
      <c r="J213">
        <v>0</v>
      </c>
      <c r="K213">
        <v>1</v>
      </c>
      <c r="L213">
        <v>0</v>
      </c>
      <c r="M213">
        <v>1</v>
      </c>
      <c r="N213">
        <v>0</v>
      </c>
      <c r="O213">
        <v>1</v>
      </c>
      <c r="P213">
        <v>0</v>
      </c>
      <c r="Q213">
        <v>0</v>
      </c>
      <c r="R213">
        <v>1</v>
      </c>
      <c r="S213">
        <v>0</v>
      </c>
      <c r="T213">
        <v>0</v>
      </c>
      <c r="U213">
        <v>0</v>
      </c>
      <c r="V213">
        <v>0</v>
      </c>
    </row>
    <row r="214" spans="1:22" x14ac:dyDescent="0.2">
      <c r="A214" t="s">
        <v>703</v>
      </c>
      <c r="B214" t="s">
        <v>108</v>
      </c>
      <c r="C214" t="s">
        <v>41</v>
      </c>
      <c r="D214" t="s">
        <v>49</v>
      </c>
      <c r="E214" t="s">
        <v>442</v>
      </c>
      <c r="F214" t="s">
        <v>47</v>
      </c>
      <c r="G214" t="s">
        <v>65</v>
      </c>
      <c r="H214" t="s">
        <v>48</v>
      </c>
      <c r="I214">
        <v>0</v>
      </c>
      <c r="J214">
        <v>1</v>
      </c>
      <c r="K214">
        <v>1</v>
      </c>
      <c r="L214">
        <v>1</v>
      </c>
      <c r="M214">
        <v>0</v>
      </c>
      <c r="N214">
        <v>0</v>
      </c>
      <c r="O214">
        <v>1</v>
      </c>
      <c r="P214">
        <v>0</v>
      </c>
      <c r="Q214">
        <v>1</v>
      </c>
      <c r="R214">
        <v>1</v>
      </c>
      <c r="S214">
        <v>1</v>
      </c>
      <c r="T214">
        <v>0</v>
      </c>
      <c r="U214">
        <v>0</v>
      </c>
      <c r="V214">
        <v>0</v>
      </c>
    </row>
    <row r="215" spans="1:22" x14ac:dyDescent="0.2">
      <c r="A215" t="s">
        <v>703</v>
      </c>
      <c r="B215" t="s">
        <v>108</v>
      </c>
      <c r="C215" t="s">
        <v>41</v>
      </c>
      <c r="D215" t="s">
        <v>42</v>
      </c>
      <c r="E215" t="s">
        <v>442</v>
      </c>
      <c r="F215" t="s">
        <v>59</v>
      </c>
      <c r="G215" t="s">
        <v>47</v>
      </c>
      <c r="H215" t="s">
        <v>48</v>
      </c>
      <c r="I215">
        <v>0</v>
      </c>
      <c r="J215">
        <v>0</v>
      </c>
      <c r="K215">
        <v>1</v>
      </c>
      <c r="L215">
        <v>1</v>
      </c>
      <c r="M215">
        <v>0</v>
      </c>
      <c r="N215">
        <v>0</v>
      </c>
      <c r="O215">
        <v>1</v>
      </c>
      <c r="P215">
        <v>0</v>
      </c>
      <c r="Q215">
        <v>0</v>
      </c>
      <c r="R215">
        <v>1</v>
      </c>
      <c r="S215">
        <v>1</v>
      </c>
      <c r="T215">
        <v>0</v>
      </c>
      <c r="U215">
        <v>0</v>
      </c>
      <c r="V215">
        <v>0</v>
      </c>
    </row>
    <row r="216" spans="1:22" x14ac:dyDescent="0.2">
      <c r="A216" t="s">
        <v>706</v>
      </c>
      <c r="B216" t="s">
        <v>108</v>
      </c>
      <c r="C216" t="s">
        <v>41</v>
      </c>
      <c r="D216" t="s">
        <v>49</v>
      </c>
      <c r="E216" t="s">
        <v>442</v>
      </c>
      <c r="F216" t="s">
        <v>46</v>
      </c>
      <c r="G216" t="s">
        <v>48</v>
      </c>
      <c r="H216" t="s">
        <v>59</v>
      </c>
      <c r="I216">
        <v>0</v>
      </c>
      <c r="J216">
        <v>0</v>
      </c>
      <c r="K216">
        <v>1</v>
      </c>
      <c r="L216">
        <v>0</v>
      </c>
      <c r="M216">
        <v>1</v>
      </c>
      <c r="N216">
        <v>0</v>
      </c>
      <c r="O216">
        <v>1</v>
      </c>
      <c r="P216">
        <v>0</v>
      </c>
      <c r="Q216">
        <v>0</v>
      </c>
      <c r="R216">
        <v>1</v>
      </c>
      <c r="S216">
        <v>0</v>
      </c>
      <c r="T216">
        <v>1</v>
      </c>
      <c r="U216">
        <v>0</v>
      </c>
      <c r="V216">
        <v>0</v>
      </c>
    </row>
    <row r="217" spans="1:22" x14ac:dyDescent="0.2">
      <c r="A217" t="s">
        <v>706</v>
      </c>
      <c r="B217" t="s">
        <v>108</v>
      </c>
      <c r="C217" t="s">
        <v>41</v>
      </c>
      <c r="D217" t="s">
        <v>67</v>
      </c>
      <c r="E217" t="s">
        <v>442</v>
      </c>
      <c r="F217" t="s">
        <v>48</v>
      </c>
      <c r="G217" t="s">
        <v>47</v>
      </c>
      <c r="H217" t="s">
        <v>46</v>
      </c>
      <c r="I217">
        <v>0</v>
      </c>
      <c r="J217">
        <v>0</v>
      </c>
      <c r="K217">
        <v>1</v>
      </c>
      <c r="L217">
        <v>1</v>
      </c>
      <c r="M217">
        <v>1</v>
      </c>
      <c r="N217">
        <v>0</v>
      </c>
      <c r="O217">
        <v>1</v>
      </c>
      <c r="P217">
        <v>0</v>
      </c>
      <c r="Q217">
        <v>0</v>
      </c>
      <c r="R217">
        <v>1</v>
      </c>
      <c r="S217">
        <v>1</v>
      </c>
      <c r="T217">
        <v>1</v>
      </c>
      <c r="U217">
        <v>0</v>
      </c>
      <c r="V217">
        <v>0</v>
      </c>
    </row>
    <row r="218" spans="1:22" x14ac:dyDescent="0.2">
      <c r="A218" t="s">
        <v>706</v>
      </c>
      <c r="B218" t="s">
        <v>108</v>
      </c>
      <c r="C218" t="s">
        <v>41</v>
      </c>
      <c r="D218" t="s">
        <v>55</v>
      </c>
      <c r="E218" t="s">
        <v>442</v>
      </c>
      <c r="F218" t="s">
        <v>47</v>
      </c>
      <c r="G218" t="s">
        <v>65</v>
      </c>
      <c r="H218" t="s">
        <v>48</v>
      </c>
      <c r="I218">
        <v>0</v>
      </c>
      <c r="J218">
        <v>1</v>
      </c>
      <c r="K218">
        <v>1</v>
      </c>
      <c r="L218">
        <v>1</v>
      </c>
      <c r="M218">
        <v>0</v>
      </c>
      <c r="N218">
        <v>0</v>
      </c>
      <c r="O218">
        <v>1</v>
      </c>
      <c r="P218">
        <v>0</v>
      </c>
      <c r="Q218">
        <v>1</v>
      </c>
      <c r="R218">
        <v>1</v>
      </c>
      <c r="S218">
        <v>1</v>
      </c>
      <c r="T218">
        <v>0</v>
      </c>
      <c r="U218">
        <v>0</v>
      </c>
      <c r="V218">
        <v>0</v>
      </c>
    </row>
    <row r="219" spans="1:22" x14ac:dyDescent="0.2">
      <c r="A219" t="s">
        <v>713</v>
      </c>
      <c r="B219" t="s">
        <v>108</v>
      </c>
      <c r="C219" t="s">
        <v>41</v>
      </c>
      <c r="D219" t="s">
        <v>67</v>
      </c>
      <c r="E219" t="s">
        <v>442</v>
      </c>
      <c r="F219" t="s">
        <v>48</v>
      </c>
      <c r="G219" t="s">
        <v>65</v>
      </c>
      <c r="H219" t="s">
        <v>59</v>
      </c>
      <c r="I219">
        <v>0</v>
      </c>
      <c r="J219">
        <v>1</v>
      </c>
      <c r="K219">
        <v>1</v>
      </c>
      <c r="L219">
        <v>0</v>
      </c>
      <c r="M219">
        <v>0</v>
      </c>
      <c r="N219">
        <v>0</v>
      </c>
      <c r="O219">
        <v>1</v>
      </c>
      <c r="P219">
        <v>0</v>
      </c>
      <c r="Q219">
        <v>1</v>
      </c>
      <c r="R219">
        <v>1</v>
      </c>
      <c r="S219">
        <v>0</v>
      </c>
      <c r="T219">
        <v>0</v>
      </c>
      <c r="U219">
        <v>0</v>
      </c>
      <c r="V219">
        <v>0</v>
      </c>
    </row>
    <row r="220" spans="1:22" x14ac:dyDescent="0.2">
      <c r="A220" t="s">
        <v>713</v>
      </c>
      <c r="B220" t="s">
        <v>108</v>
      </c>
      <c r="C220" t="s">
        <v>41</v>
      </c>
      <c r="D220" t="s">
        <v>55</v>
      </c>
      <c r="E220" t="s">
        <v>442</v>
      </c>
      <c r="F220" t="s">
        <v>46</v>
      </c>
      <c r="G220" t="s">
        <v>48</v>
      </c>
      <c r="H220" t="s">
        <v>65</v>
      </c>
      <c r="I220">
        <v>0</v>
      </c>
      <c r="J220">
        <v>1</v>
      </c>
      <c r="K220">
        <v>1</v>
      </c>
      <c r="L220">
        <v>0</v>
      </c>
      <c r="M220">
        <v>1</v>
      </c>
      <c r="N220">
        <v>0</v>
      </c>
      <c r="O220">
        <v>1</v>
      </c>
      <c r="P220">
        <v>0</v>
      </c>
      <c r="Q220">
        <v>1</v>
      </c>
      <c r="R220">
        <v>1</v>
      </c>
      <c r="S220">
        <v>0</v>
      </c>
      <c r="T220">
        <v>1</v>
      </c>
      <c r="U220">
        <v>0</v>
      </c>
      <c r="V220">
        <v>0</v>
      </c>
    </row>
    <row r="221" spans="1:22" x14ac:dyDescent="0.2">
      <c r="A221" t="s">
        <v>713</v>
      </c>
      <c r="B221" t="s">
        <v>108</v>
      </c>
      <c r="C221" t="s">
        <v>41</v>
      </c>
      <c r="D221" t="s">
        <v>61</v>
      </c>
      <c r="E221" t="s">
        <v>442</v>
      </c>
      <c r="F221" t="s">
        <v>48</v>
      </c>
      <c r="G221" t="s">
        <v>47</v>
      </c>
      <c r="H221" t="s">
        <v>59</v>
      </c>
      <c r="I221">
        <v>0</v>
      </c>
      <c r="J221">
        <v>0</v>
      </c>
      <c r="K221">
        <v>1</v>
      </c>
      <c r="L221">
        <v>1</v>
      </c>
      <c r="M221">
        <v>0</v>
      </c>
      <c r="N221">
        <v>0</v>
      </c>
      <c r="O221">
        <v>1</v>
      </c>
      <c r="P221">
        <v>0</v>
      </c>
      <c r="Q221">
        <v>0</v>
      </c>
      <c r="R221">
        <v>1</v>
      </c>
      <c r="S221">
        <v>1</v>
      </c>
      <c r="T221">
        <v>0</v>
      </c>
      <c r="U221">
        <v>0</v>
      </c>
      <c r="V221">
        <v>0</v>
      </c>
    </row>
    <row r="222" spans="1:22" x14ac:dyDescent="0.2">
      <c r="A222" t="s">
        <v>716</v>
      </c>
      <c r="B222" t="s">
        <v>108</v>
      </c>
      <c r="C222" t="s">
        <v>41</v>
      </c>
      <c r="D222" t="s">
        <v>61</v>
      </c>
      <c r="E222" t="s">
        <v>442</v>
      </c>
      <c r="F222" t="s">
        <v>65</v>
      </c>
      <c r="G222" t="s">
        <v>46</v>
      </c>
      <c r="H222" t="s">
        <v>48</v>
      </c>
      <c r="I222">
        <v>0</v>
      </c>
      <c r="J222">
        <v>1</v>
      </c>
      <c r="K222">
        <v>1</v>
      </c>
      <c r="L222">
        <v>0</v>
      </c>
      <c r="M222">
        <v>1</v>
      </c>
      <c r="N222">
        <v>0</v>
      </c>
      <c r="O222">
        <v>1</v>
      </c>
      <c r="P222">
        <v>0</v>
      </c>
      <c r="Q222">
        <v>1</v>
      </c>
      <c r="R222">
        <v>1</v>
      </c>
      <c r="S222">
        <v>0</v>
      </c>
      <c r="T222">
        <v>1</v>
      </c>
      <c r="U222">
        <v>0</v>
      </c>
      <c r="V222">
        <v>0</v>
      </c>
    </row>
    <row r="223" spans="1:22" x14ac:dyDescent="0.2">
      <c r="A223" t="s">
        <v>722</v>
      </c>
      <c r="B223" t="s">
        <v>33</v>
      </c>
      <c r="C223" t="s">
        <v>41</v>
      </c>
      <c r="D223" t="s">
        <v>72</v>
      </c>
      <c r="E223" t="s">
        <v>442</v>
      </c>
      <c r="F223" t="s">
        <v>47</v>
      </c>
      <c r="G223" t="s">
        <v>48</v>
      </c>
      <c r="H223" t="s">
        <v>65</v>
      </c>
      <c r="I223">
        <v>0</v>
      </c>
      <c r="J223">
        <v>1</v>
      </c>
      <c r="K223">
        <v>1</v>
      </c>
      <c r="L223">
        <v>1</v>
      </c>
      <c r="M223">
        <v>0</v>
      </c>
      <c r="N223">
        <v>0</v>
      </c>
      <c r="O223">
        <v>1</v>
      </c>
      <c r="P223">
        <v>0</v>
      </c>
      <c r="Q223">
        <v>0</v>
      </c>
      <c r="R223">
        <v>1</v>
      </c>
      <c r="S223">
        <v>0</v>
      </c>
      <c r="T223">
        <v>0</v>
      </c>
      <c r="U223">
        <v>0</v>
      </c>
      <c r="V223">
        <v>0</v>
      </c>
    </row>
    <row r="224" spans="1:22" x14ac:dyDescent="0.2">
      <c r="A224" t="s">
        <v>723</v>
      </c>
      <c r="B224" t="s">
        <v>33</v>
      </c>
      <c r="C224" t="s">
        <v>41</v>
      </c>
      <c r="D224" t="s">
        <v>55</v>
      </c>
      <c r="E224" t="s">
        <v>442</v>
      </c>
      <c r="F224" t="s">
        <v>59</v>
      </c>
      <c r="G224" t="s">
        <v>48</v>
      </c>
      <c r="H224" t="s">
        <v>47</v>
      </c>
      <c r="I224">
        <v>0</v>
      </c>
      <c r="J224">
        <v>0</v>
      </c>
      <c r="K224">
        <v>1</v>
      </c>
      <c r="L224">
        <v>1</v>
      </c>
      <c r="M224">
        <v>0</v>
      </c>
      <c r="N224">
        <v>0</v>
      </c>
      <c r="O224">
        <v>1</v>
      </c>
      <c r="P224">
        <v>0</v>
      </c>
      <c r="Q224">
        <v>0</v>
      </c>
      <c r="R224">
        <v>1</v>
      </c>
      <c r="S224">
        <v>1</v>
      </c>
      <c r="T224">
        <v>0</v>
      </c>
      <c r="U224">
        <v>0</v>
      </c>
      <c r="V224">
        <v>0</v>
      </c>
    </row>
    <row r="225" spans="1:22" x14ac:dyDescent="0.2">
      <c r="A225" t="s">
        <v>723</v>
      </c>
      <c r="B225" t="s">
        <v>33</v>
      </c>
      <c r="C225" t="s">
        <v>41</v>
      </c>
      <c r="D225" t="s">
        <v>67</v>
      </c>
      <c r="E225" t="s">
        <v>442</v>
      </c>
      <c r="F225" t="s">
        <v>47</v>
      </c>
      <c r="G225" t="s">
        <v>65</v>
      </c>
      <c r="H225" t="s">
        <v>48</v>
      </c>
      <c r="I225">
        <v>0</v>
      </c>
      <c r="J225">
        <v>1</v>
      </c>
      <c r="K225">
        <v>1</v>
      </c>
      <c r="L225">
        <v>1</v>
      </c>
      <c r="M225">
        <v>0</v>
      </c>
      <c r="N225">
        <v>0</v>
      </c>
      <c r="O225">
        <v>1</v>
      </c>
      <c r="P225">
        <v>0</v>
      </c>
      <c r="Q225">
        <v>1</v>
      </c>
      <c r="R225">
        <v>1</v>
      </c>
      <c r="S225">
        <v>1</v>
      </c>
      <c r="T225">
        <v>0</v>
      </c>
      <c r="U225">
        <v>0</v>
      </c>
      <c r="V225">
        <v>0</v>
      </c>
    </row>
    <row r="226" spans="1:22" x14ac:dyDescent="0.2">
      <c r="A226" t="s">
        <v>723</v>
      </c>
      <c r="B226" t="s">
        <v>33</v>
      </c>
      <c r="C226" t="s">
        <v>41</v>
      </c>
      <c r="D226" t="s">
        <v>42</v>
      </c>
      <c r="E226" t="s">
        <v>442</v>
      </c>
      <c r="F226" t="s">
        <v>47</v>
      </c>
      <c r="G226" t="s">
        <v>65</v>
      </c>
      <c r="H226" t="s">
        <v>48</v>
      </c>
      <c r="I226">
        <v>0</v>
      </c>
      <c r="J226">
        <v>1</v>
      </c>
      <c r="K226">
        <v>1</v>
      </c>
      <c r="L226">
        <v>1</v>
      </c>
      <c r="M226">
        <v>0</v>
      </c>
      <c r="N226">
        <v>0</v>
      </c>
      <c r="O226">
        <v>1</v>
      </c>
      <c r="P226">
        <v>0</v>
      </c>
      <c r="Q226">
        <v>1</v>
      </c>
      <c r="R226">
        <v>1</v>
      </c>
      <c r="S226">
        <v>1</v>
      </c>
      <c r="T226">
        <v>0</v>
      </c>
      <c r="U226">
        <v>0</v>
      </c>
      <c r="V226">
        <v>0</v>
      </c>
    </row>
    <row r="227" spans="1:22" x14ac:dyDescent="0.2">
      <c r="A227" t="s">
        <v>723</v>
      </c>
      <c r="B227" t="s">
        <v>33</v>
      </c>
      <c r="C227" t="s">
        <v>41</v>
      </c>
      <c r="D227" t="s">
        <v>49</v>
      </c>
      <c r="E227" t="s">
        <v>442</v>
      </c>
      <c r="F227" t="s">
        <v>48</v>
      </c>
      <c r="G227" t="s">
        <v>46</v>
      </c>
      <c r="H227" t="s">
        <v>65</v>
      </c>
      <c r="I227">
        <v>0</v>
      </c>
      <c r="J227">
        <v>1</v>
      </c>
      <c r="K227">
        <v>1</v>
      </c>
      <c r="L227">
        <v>0</v>
      </c>
      <c r="M227">
        <v>1</v>
      </c>
      <c r="N227">
        <v>0</v>
      </c>
      <c r="O227">
        <v>1</v>
      </c>
      <c r="P227">
        <v>0</v>
      </c>
      <c r="Q227">
        <v>1</v>
      </c>
      <c r="R227">
        <v>1</v>
      </c>
      <c r="S227">
        <v>0</v>
      </c>
      <c r="T227">
        <v>1</v>
      </c>
      <c r="U227">
        <v>0</v>
      </c>
      <c r="V227">
        <v>0</v>
      </c>
    </row>
    <row r="228" spans="1:22" x14ac:dyDescent="0.2">
      <c r="A228" t="s">
        <v>729</v>
      </c>
      <c r="B228" t="s">
        <v>108</v>
      </c>
      <c r="C228" t="s">
        <v>41</v>
      </c>
      <c r="D228" t="s">
        <v>61</v>
      </c>
      <c r="E228" t="s">
        <v>442</v>
      </c>
      <c r="F228" t="s">
        <v>48</v>
      </c>
      <c r="G228" t="s">
        <v>46</v>
      </c>
      <c r="H228" t="s">
        <v>65</v>
      </c>
      <c r="I228">
        <v>0</v>
      </c>
      <c r="J228">
        <v>1</v>
      </c>
      <c r="K228">
        <v>1</v>
      </c>
      <c r="L228">
        <v>0</v>
      </c>
      <c r="M228">
        <v>1</v>
      </c>
      <c r="N228">
        <v>0</v>
      </c>
      <c r="O228">
        <v>1</v>
      </c>
      <c r="P228">
        <v>0</v>
      </c>
      <c r="Q228">
        <v>1</v>
      </c>
      <c r="R228">
        <v>1</v>
      </c>
      <c r="S228">
        <v>0</v>
      </c>
      <c r="T228">
        <v>1</v>
      </c>
      <c r="U228">
        <v>0</v>
      </c>
      <c r="V228">
        <v>0</v>
      </c>
    </row>
    <row r="229" spans="1:22" x14ac:dyDescent="0.2">
      <c r="A229" t="s">
        <v>738</v>
      </c>
      <c r="B229" t="s">
        <v>108</v>
      </c>
      <c r="C229" t="s">
        <v>41</v>
      </c>
      <c r="D229" t="s">
        <v>55</v>
      </c>
      <c r="E229" t="s">
        <v>442</v>
      </c>
      <c r="F229" t="s">
        <v>48</v>
      </c>
      <c r="G229" t="s">
        <v>59</v>
      </c>
      <c r="H229" t="s">
        <v>60</v>
      </c>
      <c r="I229">
        <v>1</v>
      </c>
      <c r="J229">
        <v>0</v>
      </c>
      <c r="K229">
        <v>1</v>
      </c>
      <c r="L229">
        <v>0</v>
      </c>
      <c r="M229">
        <v>0</v>
      </c>
      <c r="N229">
        <v>0</v>
      </c>
      <c r="O229">
        <v>1</v>
      </c>
      <c r="P229">
        <v>1</v>
      </c>
      <c r="Q229">
        <v>0</v>
      </c>
      <c r="R229">
        <v>1</v>
      </c>
      <c r="S229">
        <v>0</v>
      </c>
      <c r="T229">
        <v>0</v>
      </c>
      <c r="U229">
        <v>0</v>
      </c>
      <c r="V229">
        <v>0</v>
      </c>
    </row>
  </sheetData>
  <autoFilter ref="A1:V1"/>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U36"/>
  <sheetViews>
    <sheetView topLeftCell="A7" workbookViewId="0">
      <selection activeCell="A21" sqref="A21:M27"/>
    </sheetView>
  </sheetViews>
  <sheetFormatPr baseColWidth="10" defaultRowHeight="16" x14ac:dyDescent="0.2"/>
  <cols>
    <col min="1" max="1" width="35.6640625" customWidth="1"/>
  </cols>
  <sheetData>
    <row r="1" spans="1:21" x14ac:dyDescent="0.2">
      <c r="A1" s="9" t="s">
        <v>764</v>
      </c>
      <c r="B1" s="5" t="s">
        <v>55</v>
      </c>
      <c r="C1" s="5"/>
      <c r="D1" s="5" t="s">
        <v>42</v>
      </c>
      <c r="E1" s="5"/>
      <c r="F1" s="5" t="s">
        <v>72</v>
      </c>
      <c r="G1" s="5"/>
      <c r="H1" s="5" t="s">
        <v>61</v>
      </c>
      <c r="I1" s="5"/>
      <c r="J1" s="5" t="s">
        <v>67</v>
      </c>
      <c r="K1" s="5"/>
      <c r="L1" s="5" t="s">
        <v>49</v>
      </c>
      <c r="M1" s="5"/>
      <c r="N1" s="5" t="s">
        <v>740</v>
      </c>
    </row>
    <row r="2" spans="1:21" x14ac:dyDescent="0.2">
      <c r="B2" s="4" t="s">
        <v>37</v>
      </c>
      <c r="C2" s="4" t="s">
        <v>442</v>
      </c>
      <c r="D2" s="4" t="s">
        <v>37</v>
      </c>
      <c r="E2" s="4" t="s">
        <v>442</v>
      </c>
      <c r="F2" s="4" t="s">
        <v>37</v>
      </c>
      <c r="G2" s="4" t="s">
        <v>442</v>
      </c>
      <c r="H2" s="4" t="s">
        <v>37</v>
      </c>
      <c r="I2" s="4" t="s">
        <v>442</v>
      </c>
      <c r="J2" s="4" t="s">
        <v>37</v>
      </c>
      <c r="K2" s="4" t="s">
        <v>442</v>
      </c>
      <c r="L2" s="4" t="s">
        <v>37</v>
      </c>
      <c r="M2" s="4" t="s">
        <v>442</v>
      </c>
      <c r="N2" s="4"/>
      <c r="P2" s="6" t="s">
        <v>758</v>
      </c>
      <c r="Q2" s="6" t="s">
        <v>759</v>
      </c>
      <c r="R2" s="6" t="s">
        <v>760</v>
      </c>
      <c r="S2" s="6" t="s">
        <v>761</v>
      </c>
      <c r="T2" s="6" t="s">
        <v>762</v>
      </c>
      <c r="U2" s="6" t="s">
        <v>763</v>
      </c>
    </row>
    <row r="3" spans="1:21" x14ac:dyDescent="0.2">
      <c r="A3" s="2" t="s">
        <v>751</v>
      </c>
      <c r="B3" s="3">
        <v>1</v>
      </c>
      <c r="C3" s="3">
        <v>6</v>
      </c>
      <c r="D3" s="3">
        <v>6</v>
      </c>
      <c r="E3" s="3">
        <v>4</v>
      </c>
      <c r="F3" s="3">
        <v>1</v>
      </c>
      <c r="G3" s="3">
        <v>3</v>
      </c>
      <c r="H3" s="3">
        <v>5</v>
      </c>
      <c r="I3" s="3">
        <v>1</v>
      </c>
      <c r="J3" s="3">
        <v>3</v>
      </c>
      <c r="K3" s="3">
        <v>6</v>
      </c>
      <c r="L3" s="3">
        <v>4</v>
      </c>
      <c r="M3" s="3">
        <v>4</v>
      </c>
      <c r="N3" s="3">
        <v>44</v>
      </c>
      <c r="P3" s="7"/>
      <c r="Q3" s="7"/>
      <c r="R3" s="7"/>
      <c r="S3" s="7"/>
      <c r="T3" s="7"/>
      <c r="U3" s="7"/>
    </row>
    <row r="4" spans="1:21" x14ac:dyDescent="0.2">
      <c r="A4" s="2" t="s">
        <v>752</v>
      </c>
      <c r="B4" s="3">
        <v>12</v>
      </c>
      <c r="C4" s="3">
        <v>6</v>
      </c>
      <c r="D4" s="3">
        <v>13</v>
      </c>
      <c r="E4" s="3">
        <v>15</v>
      </c>
      <c r="F4" s="3">
        <v>6</v>
      </c>
      <c r="G4" s="3">
        <v>2</v>
      </c>
      <c r="H4" s="3">
        <v>8</v>
      </c>
      <c r="I4" s="3">
        <v>4</v>
      </c>
      <c r="J4" s="3">
        <v>7</v>
      </c>
      <c r="K4" s="3">
        <v>5</v>
      </c>
      <c r="L4" s="3">
        <v>4</v>
      </c>
      <c r="M4" s="3">
        <v>8</v>
      </c>
      <c r="N4" s="3">
        <v>90</v>
      </c>
      <c r="P4" s="8">
        <v>7</v>
      </c>
      <c r="Q4" s="8">
        <v>10</v>
      </c>
      <c r="R4" s="8">
        <v>4</v>
      </c>
      <c r="S4" s="8">
        <v>6</v>
      </c>
      <c r="T4" s="8">
        <v>9</v>
      </c>
      <c r="U4" s="8">
        <v>8</v>
      </c>
    </row>
    <row r="5" spans="1:21" x14ac:dyDescent="0.2">
      <c r="A5" s="2" t="s">
        <v>754</v>
      </c>
      <c r="B5" s="3">
        <v>4</v>
      </c>
      <c r="C5" s="3">
        <v>8</v>
      </c>
      <c r="D5" s="3">
        <v>10</v>
      </c>
      <c r="E5" s="3">
        <v>9</v>
      </c>
      <c r="F5" s="3">
        <v>5</v>
      </c>
      <c r="G5" s="3">
        <v>4</v>
      </c>
      <c r="H5" s="3">
        <v>7</v>
      </c>
      <c r="I5" s="3">
        <v>5</v>
      </c>
      <c r="J5" s="3">
        <v>8</v>
      </c>
      <c r="K5" s="3">
        <v>9</v>
      </c>
      <c r="L5" s="3">
        <v>4</v>
      </c>
      <c r="M5" s="3">
        <v>4</v>
      </c>
      <c r="N5" s="3">
        <v>77</v>
      </c>
      <c r="P5" s="8">
        <v>18</v>
      </c>
      <c r="Q5" s="8">
        <v>28</v>
      </c>
      <c r="R5" s="8">
        <v>8</v>
      </c>
      <c r="S5" s="8">
        <v>12</v>
      </c>
      <c r="T5" s="8">
        <v>12</v>
      </c>
      <c r="U5" s="8">
        <v>12</v>
      </c>
    </row>
    <row r="6" spans="1:21" x14ac:dyDescent="0.2">
      <c r="A6" s="2" t="s">
        <v>755</v>
      </c>
      <c r="B6" s="3">
        <v>7</v>
      </c>
      <c r="C6" s="3">
        <v>7</v>
      </c>
      <c r="D6" s="3">
        <v>6</v>
      </c>
      <c r="E6" s="3">
        <v>7</v>
      </c>
      <c r="F6" s="3">
        <v>5</v>
      </c>
      <c r="G6" s="3">
        <v>6</v>
      </c>
      <c r="H6" s="3">
        <v>9</v>
      </c>
      <c r="I6" s="3">
        <v>8</v>
      </c>
      <c r="J6" s="3">
        <v>7</v>
      </c>
      <c r="K6" s="3">
        <v>8</v>
      </c>
      <c r="L6" s="3">
        <v>6</v>
      </c>
      <c r="M6" s="3">
        <v>12</v>
      </c>
      <c r="N6" s="3">
        <v>88</v>
      </c>
      <c r="P6" s="8">
        <v>12</v>
      </c>
      <c r="Q6" s="8">
        <v>19</v>
      </c>
      <c r="R6" s="8">
        <v>9</v>
      </c>
      <c r="S6" s="8">
        <v>12</v>
      </c>
      <c r="T6" s="8">
        <v>17</v>
      </c>
      <c r="U6" s="8">
        <v>8</v>
      </c>
    </row>
    <row r="7" spans="1:21" x14ac:dyDescent="0.2">
      <c r="A7" s="2" t="s">
        <v>756</v>
      </c>
      <c r="B7" s="3">
        <v>0</v>
      </c>
      <c r="C7" s="3">
        <v>0</v>
      </c>
      <c r="D7" s="3">
        <v>0</v>
      </c>
      <c r="E7" s="3">
        <v>0</v>
      </c>
      <c r="F7" s="3">
        <v>0</v>
      </c>
      <c r="G7" s="3">
        <v>0</v>
      </c>
      <c r="H7" s="3">
        <v>0</v>
      </c>
      <c r="I7" s="3">
        <v>0</v>
      </c>
      <c r="J7" s="3">
        <v>0</v>
      </c>
      <c r="K7" s="3">
        <v>0</v>
      </c>
      <c r="L7" s="3">
        <v>0</v>
      </c>
      <c r="M7" s="3">
        <v>0</v>
      </c>
      <c r="N7" s="3">
        <v>0</v>
      </c>
      <c r="P7" s="8">
        <v>14</v>
      </c>
      <c r="Q7" s="8">
        <v>13</v>
      </c>
      <c r="R7" s="8">
        <v>11</v>
      </c>
      <c r="S7" s="8">
        <v>17</v>
      </c>
      <c r="T7" s="8">
        <v>15</v>
      </c>
      <c r="U7" s="8">
        <v>18</v>
      </c>
    </row>
    <row r="8" spans="1:21" x14ac:dyDescent="0.2">
      <c r="A8" s="2" t="s">
        <v>757</v>
      </c>
      <c r="B8" s="3">
        <v>0</v>
      </c>
      <c r="C8" s="3">
        <v>0</v>
      </c>
      <c r="D8" s="3">
        <v>0</v>
      </c>
      <c r="E8" s="3">
        <v>0</v>
      </c>
      <c r="F8" s="3">
        <v>0</v>
      </c>
      <c r="G8" s="3">
        <v>0</v>
      </c>
      <c r="H8" s="3">
        <v>0</v>
      </c>
      <c r="I8" s="3">
        <v>0</v>
      </c>
      <c r="J8" s="3">
        <v>0</v>
      </c>
      <c r="K8" s="3">
        <v>0</v>
      </c>
      <c r="L8" s="3">
        <v>0</v>
      </c>
      <c r="M8" s="3">
        <v>0</v>
      </c>
      <c r="N8" s="3">
        <v>0</v>
      </c>
      <c r="P8" s="8">
        <v>0</v>
      </c>
      <c r="Q8" s="8">
        <v>0</v>
      </c>
      <c r="R8" s="8">
        <v>0</v>
      </c>
      <c r="S8" s="8">
        <v>0</v>
      </c>
      <c r="T8" s="8">
        <v>0</v>
      </c>
      <c r="U8" s="8">
        <v>0</v>
      </c>
    </row>
    <row r="9" spans="1:21" x14ac:dyDescent="0.2">
      <c r="A9" s="2" t="s">
        <v>750</v>
      </c>
      <c r="B9" s="3">
        <v>16</v>
      </c>
      <c r="C9" s="3">
        <v>21</v>
      </c>
      <c r="D9" s="3">
        <v>23</v>
      </c>
      <c r="E9" s="3">
        <v>26</v>
      </c>
      <c r="F9" s="3">
        <v>17</v>
      </c>
      <c r="G9" s="3">
        <v>15</v>
      </c>
      <c r="H9" s="3">
        <v>19</v>
      </c>
      <c r="I9" s="3">
        <v>18</v>
      </c>
      <c r="J9" s="3">
        <v>17</v>
      </c>
      <c r="K9" s="3">
        <v>20</v>
      </c>
      <c r="L9" s="3">
        <v>12</v>
      </c>
      <c r="M9" s="3">
        <v>24</v>
      </c>
      <c r="N9" s="3">
        <v>228</v>
      </c>
      <c r="P9" s="8">
        <v>0</v>
      </c>
      <c r="Q9" s="8">
        <v>0</v>
      </c>
      <c r="R9" s="8">
        <v>0</v>
      </c>
      <c r="S9" s="8">
        <v>0</v>
      </c>
      <c r="T9" s="8">
        <v>0</v>
      </c>
      <c r="U9" s="8">
        <v>0</v>
      </c>
    </row>
    <row r="10" spans="1:21" x14ac:dyDescent="0.2">
      <c r="A10" s="2" t="s">
        <v>749</v>
      </c>
      <c r="B10" s="3">
        <v>0</v>
      </c>
      <c r="C10" s="3">
        <v>0</v>
      </c>
      <c r="D10" s="3">
        <v>0</v>
      </c>
      <c r="E10" s="3">
        <v>0</v>
      </c>
      <c r="F10" s="3">
        <v>0</v>
      </c>
      <c r="G10" s="3">
        <v>0</v>
      </c>
      <c r="H10" s="3">
        <v>0</v>
      </c>
      <c r="I10" s="3">
        <v>0</v>
      </c>
      <c r="J10" s="3">
        <v>0</v>
      </c>
      <c r="K10" s="3">
        <v>0</v>
      </c>
      <c r="L10" s="3">
        <v>0</v>
      </c>
      <c r="M10" s="3">
        <v>0</v>
      </c>
      <c r="N10" s="3">
        <v>0</v>
      </c>
      <c r="P10" s="8">
        <v>37</v>
      </c>
      <c r="Q10" s="8">
        <v>49</v>
      </c>
      <c r="R10" s="8">
        <v>32</v>
      </c>
      <c r="S10" s="8">
        <v>37</v>
      </c>
      <c r="T10" s="8">
        <v>37</v>
      </c>
      <c r="U10" s="8">
        <v>36</v>
      </c>
    </row>
    <row r="11" spans="1:21" x14ac:dyDescent="0.2">
      <c r="A11" s="2" t="s">
        <v>748</v>
      </c>
      <c r="B11" s="3">
        <v>7</v>
      </c>
      <c r="C11" s="3">
        <v>8</v>
      </c>
      <c r="D11" s="3">
        <v>7</v>
      </c>
      <c r="E11" s="3">
        <v>10</v>
      </c>
      <c r="F11" s="3">
        <v>10</v>
      </c>
      <c r="G11" s="3">
        <v>8</v>
      </c>
      <c r="H11" s="3">
        <v>10</v>
      </c>
      <c r="I11" s="3">
        <v>13</v>
      </c>
      <c r="J11" s="3">
        <v>8</v>
      </c>
      <c r="K11" s="3">
        <v>11</v>
      </c>
      <c r="L11" s="3">
        <v>8</v>
      </c>
      <c r="M11" s="3">
        <v>17</v>
      </c>
      <c r="N11" s="3">
        <v>117</v>
      </c>
      <c r="P11" s="8">
        <v>0</v>
      </c>
      <c r="Q11" s="8">
        <v>0</v>
      </c>
      <c r="R11" s="8">
        <v>0</v>
      </c>
      <c r="S11" s="8">
        <v>0</v>
      </c>
      <c r="T11" s="8">
        <v>0</v>
      </c>
      <c r="U11" s="8">
        <v>0</v>
      </c>
    </row>
    <row r="12" spans="1:21" x14ac:dyDescent="0.2">
      <c r="A12" s="2" t="s">
        <v>747</v>
      </c>
      <c r="B12" s="3">
        <v>5</v>
      </c>
      <c r="C12" s="3">
        <v>10</v>
      </c>
      <c r="D12" s="3">
        <v>11</v>
      </c>
      <c r="E12" s="3">
        <v>14</v>
      </c>
      <c r="F12" s="3">
        <v>7</v>
      </c>
      <c r="G12" s="3">
        <v>10</v>
      </c>
      <c r="H12" s="3">
        <v>8</v>
      </c>
      <c r="I12" s="3">
        <v>6</v>
      </c>
      <c r="J12" s="3">
        <v>11</v>
      </c>
      <c r="K12" s="3">
        <v>11</v>
      </c>
      <c r="L12" s="3">
        <v>6</v>
      </c>
      <c r="M12" s="3">
        <v>7</v>
      </c>
      <c r="N12" s="3">
        <v>106</v>
      </c>
      <c r="P12" s="8">
        <v>15</v>
      </c>
      <c r="Q12" s="8">
        <v>17</v>
      </c>
      <c r="R12" s="8">
        <v>18</v>
      </c>
      <c r="S12" s="8">
        <v>23</v>
      </c>
      <c r="T12" s="8">
        <v>19</v>
      </c>
      <c r="U12" s="8">
        <v>25</v>
      </c>
    </row>
    <row r="13" spans="1:21" x14ac:dyDescent="0.2">
      <c r="A13" s="2" t="s">
        <v>746</v>
      </c>
      <c r="B13" s="3">
        <v>16</v>
      </c>
      <c r="C13" s="3">
        <v>21</v>
      </c>
      <c r="D13" s="3">
        <v>23</v>
      </c>
      <c r="E13" s="3">
        <v>26</v>
      </c>
      <c r="F13" s="3">
        <v>17</v>
      </c>
      <c r="G13" s="3">
        <v>15</v>
      </c>
      <c r="H13" s="3">
        <v>19</v>
      </c>
      <c r="I13" s="3">
        <v>18</v>
      </c>
      <c r="J13" s="3">
        <v>17</v>
      </c>
      <c r="K13" s="3">
        <v>20</v>
      </c>
      <c r="L13" s="3">
        <v>12</v>
      </c>
      <c r="M13" s="3">
        <v>24</v>
      </c>
      <c r="N13" s="3">
        <v>228</v>
      </c>
      <c r="P13" s="8">
        <v>15</v>
      </c>
      <c r="Q13" s="8">
        <v>25</v>
      </c>
      <c r="R13" s="8">
        <v>17</v>
      </c>
      <c r="S13" s="8">
        <v>14</v>
      </c>
      <c r="T13" s="8">
        <v>22</v>
      </c>
      <c r="U13" s="8">
        <v>13</v>
      </c>
    </row>
    <row r="14" spans="1:21" x14ac:dyDescent="0.2">
      <c r="A14" s="2" t="s">
        <v>745</v>
      </c>
      <c r="B14" s="3">
        <v>13</v>
      </c>
      <c r="C14" s="3">
        <v>9</v>
      </c>
      <c r="D14" s="3">
        <v>13</v>
      </c>
      <c r="E14" s="3">
        <v>17</v>
      </c>
      <c r="F14" s="3">
        <v>7</v>
      </c>
      <c r="G14" s="3">
        <v>7</v>
      </c>
      <c r="H14" s="3">
        <v>9</v>
      </c>
      <c r="I14" s="3">
        <v>12</v>
      </c>
      <c r="J14" s="3">
        <v>8</v>
      </c>
      <c r="K14" s="3">
        <v>7</v>
      </c>
      <c r="L14" s="3">
        <v>4</v>
      </c>
      <c r="M14" s="3">
        <v>11</v>
      </c>
      <c r="N14" s="3">
        <v>117</v>
      </c>
      <c r="P14" s="8">
        <v>37</v>
      </c>
      <c r="Q14" s="8">
        <v>49</v>
      </c>
      <c r="R14" s="8">
        <v>32</v>
      </c>
      <c r="S14" s="8">
        <v>37</v>
      </c>
      <c r="T14" s="8">
        <v>37</v>
      </c>
      <c r="U14" s="8">
        <v>36</v>
      </c>
    </row>
    <row r="15" spans="1:21" x14ac:dyDescent="0.2">
      <c r="A15" s="2" t="s">
        <v>744</v>
      </c>
      <c r="B15" s="3">
        <v>1</v>
      </c>
      <c r="C15" s="3">
        <v>9</v>
      </c>
      <c r="D15" s="3">
        <v>7</v>
      </c>
      <c r="E15" s="3">
        <v>6</v>
      </c>
      <c r="F15" s="3">
        <v>2</v>
      </c>
      <c r="G15" s="3">
        <v>3</v>
      </c>
      <c r="H15" s="3">
        <v>7</v>
      </c>
      <c r="I15" s="3">
        <v>1</v>
      </c>
      <c r="J15" s="3">
        <v>6</v>
      </c>
      <c r="K15" s="3">
        <v>7</v>
      </c>
      <c r="L15" s="3">
        <v>4</v>
      </c>
      <c r="M15" s="3">
        <v>4</v>
      </c>
      <c r="N15" s="3">
        <v>57</v>
      </c>
      <c r="P15" s="8">
        <v>22</v>
      </c>
      <c r="Q15" s="8">
        <v>30</v>
      </c>
      <c r="R15" s="8">
        <v>14</v>
      </c>
      <c r="S15" s="8">
        <v>21</v>
      </c>
      <c r="T15" s="8">
        <v>15</v>
      </c>
      <c r="U15" s="8">
        <v>15</v>
      </c>
    </row>
    <row r="16" spans="1:21" x14ac:dyDescent="0.2">
      <c r="P16" s="8">
        <v>10</v>
      </c>
      <c r="Q16" s="8">
        <v>13</v>
      </c>
      <c r="R16" s="8">
        <v>5</v>
      </c>
      <c r="S16" s="8">
        <v>8</v>
      </c>
      <c r="T16" s="8">
        <v>13</v>
      </c>
      <c r="U16" s="8">
        <v>8</v>
      </c>
    </row>
    <row r="21" spans="1:13" x14ac:dyDescent="0.2">
      <c r="B21" t="s">
        <v>765</v>
      </c>
      <c r="D21" t="s">
        <v>766</v>
      </c>
      <c r="F21" t="s">
        <v>767</v>
      </c>
      <c r="H21" t="s">
        <v>768</v>
      </c>
      <c r="J21" t="s">
        <v>769</v>
      </c>
      <c r="L21" t="s">
        <v>770</v>
      </c>
    </row>
    <row r="22" spans="1:13" x14ac:dyDescent="0.2">
      <c r="B22" t="s">
        <v>37</v>
      </c>
      <c r="C22" t="s">
        <v>442</v>
      </c>
      <c r="D22" t="s">
        <v>37</v>
      </c>
      <c r="E22" t="s">
        <v>442</v>
      </c>
      <c r="F22" t="s">
        <v>37</v>
      </c>
      <c r="G22" t="s">
        <v>442</v>
      </c>
      <c r="H22" t="s">
        <v>37</v>
      </c>
      <c r="I22" t="s">
        <v>442</v>
      </c>
      <c r="J22" t="s">
        <v>37</v>
      </c>
      <c r="K22" t="s">
        <v>442</v>
      </c>
      <c r="L22" t="s">
        <v>37</v>
      </c>
      <c r="M22" t="s">
        <v>442</v>
      </c>
    </row>
    <row r="23" spans="1:13" x14ac:dyDescent="0.2">
      <c r="A23" t="s">
        <v>60</v>
      </c>
      <c r="B23">
        <f>B3/B15</f>
        <v>1</v>
      </c>
      <c r="C23">
        <f>C3/C15</f>
        <v>0.66666666666666663</v>
      </c>
      <c r="D23">
        <f>D3/D15</f>
        <v>0.8571428571428571</v>
      </c>
      <c r="E23">
        <f>E3/E15</f>
        <v>0.66666666666666663</v>
      </c>
      <c r="F23">
        <f t="shared" ref="D23:M23" si="0">F3/F15</f>
        <v>0.5</v>
      </c>
      <c r="G23">
        <f t="shared" si="0"/>
        <v>1</v>
      </c>
      <c r="H23">
        <f t="shared" si="0"/>
        <v>0.7142857142857143</v>
      </c>
      <c r="I23">
        <f t="shared" si="0"/>
        <v>1</v>
      </c>
      <c r="J23">
        <f t="shared" si="0"/>
        <v>0.5</v>
      </c>
      <c r="K23">
        <f t="shared" si="0"/>
        <v>0.8571428571428571</v>
      </c>
      <c r="L23">
        <f t="shared" si="0"/>
        <v>1</v>
      </c>
      <c r="M23">
        <f t="shared" si="0"/>
        <v>1</v>
      </c>
    </row>
    <row r="24" spans="1:13" x14ac:dyDescent="0.2">
      <c r="A24" t="s">
        <v>65</v>
      </c>
      <c r="B24">
        <f>B4/B14</f>
        <v>0.92307692307692313</v>
      </c>
      <c r="C24">
        <f>C4/C14</f>
        <v>0.66666666666666663</v>
      </c>
      <c r="D24">
        <f t="shared" ref="D24:M24" si="1">D4/D14</f>
        <v>1</v>
      </c>
      <c r="E24">
        <f t="shared" si="1"/>
        <v>0.88235294117647056</v>
      </c>
      <c r="F24">
        <f t="shared" si="1"/>
        <v>0.8571428571428571</v>
      </c>
      <c r="G24">
        <f t="shared" si="1"/>
        <v>0.2857142857142857</v>
      </c>
      <c r="H24">
        <f t="shared" si="1"/>
        <v>0.88888888888888884</v>
      </c>
      <c r="I24">
        <f t="shared" si="1"/>
        <v>0.33333333333333331</v>
      </c>
      <c r="J24">
        <f t="shared" si="1"/>
        <v>0.875</v>
      </c>
      <c r="K24">
        <f t="shared" si="1"/>
        <v>0.7142857142857143</v>
      </c>
      <c r="L24">
        <f t="shared" si="1"/>
        <v>1</v>
      </c>
      <c r="M24">
        <f t="shared" si="1"/>
        <v>0.72727272727272729</v>
      </c>
    </row>
    <row r="25" spans="1:13" x14ac:dyDescent="0.2">
      <c r="A25" t="s">
        <v>47</v>
      </c>
      <c r="B25">
        <f>B5/B12</f>
        <v>0.8</v>
      </c>
      <c r="C25">
        <f t="shared" ref="C25:M25" si="2">C5/C12</f>
        <v>0.8</v>
      </c>
      <c r="D25">
        <f t="shared" si="2"/>
        <v>0.90909090909090906</v>
      </c>
      <c r="E25">
        <f t="shared" si="2"/>
        <v>0.6428571428571429</v>
      </c>
      <c r="F25">
        <f t="shared" si="2"/>
        <v>0.7142857142857143</v>
      </c>
      <c r="G25">
        <f t="shared" si="2"/>
        <v>0.4</v>
      </c>
      <c r="H25">
        <f t="shared" si="2"/>
        <v>0.875</v>
      </c>
      <c r="I25">
        <f t="shared" si="2"/>
        <v>0.83333333333333337</v>
      </c>
      <c r="J25">
        <f t="shared" si="2"/>
        <v>0.72727272727272729</v>
      </c>
      <c r="K25">
        <f t="shared" si="2"/>
        <v>0.81818181818181823</v>
      </c>
      <c r="L25">
        <f t="shared" si="2"/>
        <v>0.66666666666666663</v>
      </c>
      <c r="M25">
        <f t="shared" si="2"/>
        <v>0.5714285714285714</v>
      </c>
    </row>
    <row r="26" spans="1:13" x14ac:dyDescent="0.2">
      <c r="A26" t="s">
        <v>46</v>
      </c>
      <c r="B26">
        <f>B6/B11</f>
        <v>1</v>
      </c>
      <c r="C26">
        <f t="shared" ref="C26:M26" si="3">C6/C11</f>
        <v>0.875</v>
      </c>
      <c r="D26">
        <f t="shared" si="3"/>
        <v>0.8571428571428571</v>
      </c>
      <c r="E26">
        <f t="shared" si="3"/>
        <v>0.7</v>
      </c>
      <c r="F26">
        <f t="shared" si="3"/>
        <v>0.5</v>
      </c>
      <c r="G26">
        <f t="shared" si="3"/>
        <v>0.75</v>
      </c>
      <c r="H26">
        <f t="shared" si="3"/>
        <v>0.9</v>
      </c>
      <c r="I26">
        <f t="shared" si="3"/>
        <v>0.61538461538461542</v>
      </c>
      <c r="J26">
        <f t="shared" si="3"/>
        <v>0.875</v>
      </c>
      <c r="K26">
        <f t="shared" si="3"/>
        <v>0.72727272727272729</v>
      </c>
      <c r="L26">
        <f t="shared" si="3"/>
        <v>0.75</v>
      </c>
      <c r="M26">
        <f t="shared" si="3"/>
        <v>0.70588235294117652</v>
      </c>
    </row>
    <row r="27" spans="1:13" x14ac:dyDescent="0.2">
      <c r="A27" t="s">
        <v>771</v>
      </c>
      <c r="B27">
        <f>B8/B9</f>
        <v>0</v>
      </c>
      <c r="C27">
        <f t="shared" ref="C27:M27" si="4">C8/C9</f>
        <v>0</v>
      </c>
      <c r="D27">
        <f t="shared" si="4"/>
        <v>0</v>
      </c>
      <c r="E27">
        <f t="shared" si="4"/>
        <v>0</v>
      </c>
      <c r="F27">
        <f t="shared" si="4"/>
        <v>0</v>
      </c>
      <c r="G27">
        <f t="shared" si="4"/>
        <v>0</v>
      </c>
      <c r="H27">
        <f t="shared" si="4"/>
        <v>0</v>
      </c>
      <c r="I27">
        <f t="shared" si="4"/>
        <v>0</v>
      </c>
      <c r="J27">
        <f t="shared" si="4"/>
        <v>0</v>
      </c>
      <c r="K27">
        <f t="shared" si="4"/>
        <v>0</v>
      </c>
      <c r="L27">
        <f t="shared" si="4"/>
        <v>0</v>
      </c>
      <c r="M27">
        <f t="shared" si="4"/>
        <v>0</v>
      </c>
    </row>
    <row r="31" spans="1:13" x14ac:dyDescent="0.2">
      <c r="B31" t="s">
        <v>37</v>
      </c>
      <c r="C31" t="s">
        <v>442</v>
      </c>
    </row>
    <row r="32" spans="1:13" x14ac:dyDescent="0.2">
      <c r="A32" t="s">
        <v>60</v>
      </c>
      <c r="B32">
        <f>AVERAGE(B23,D23,F23,H23,J23,L23)</f>
        <v>0.76190476190476186</v>
      </c>
      <c r="C32">
        <f>AVERAGE(C23,E22,G22,I22,K22,M22)</f>
        <v>0.66666666666666663</v>
      </c>
    </row>
    <row r="33" spans="1:3" x14ac:dyDescent="0.2">
      <c r="A33" t="s">
        <v>65</v>
      </c>
      <c r="B33">
        <f>AVERAGE(B24,D24,F24,H24,J24,L24)</f>
        <v>0.92401811151811142</v>
      </c>
      <c r="C33">
        <f t="shared" ref="C33:C36" si="5">AVERAGE(C24,E23,G23,I23,K23,M23)</f>
        <v>0.865079365079365</v>
      </c>
    </row>
    <row r="34" spans="1:3" x14ac:dyDescent="0.2">
      <c r="A34" t="s">
        <v>47</v>
      </c>
      <c r="B34">
        <f>AVERAGE(B25,D25,F25,H25,J25,L25)</f>
        <v>0.78205266955266961</v>
      </c>
      <c r="C34">
        <f t="shared" si="5"/>
        <v>0.62382650029708853</v>
      </c>
    </row>
    <row r="35" spans="1:3" x14ac:dyDescent="0.2">
      <c r="A35" t="s">
        <v>46</v>
      </c>
      <c r="B35">
        <f>AVERAGE(B26,D26,F26,H26,J26,L26)</f>
        <v>0.81369047619047619</v>
      </c>
      <c r="C35">
        <f t="shared" si="5"/>
        <v>0.69013347763347765</v>
      </c>
    </row>
    <row r="36" spans="1:3" x14ac:dyDescent="0.2">
      <c r="A36" t="s">
        <v>771</v>
      </c>
      <c r="B36">
        <f t="shared" ref="B33:B36" si="6">AVERAGE(B27,D27,F27,H27,J27,L27)</f>
        <v>0</v>
      </c>
      <c r="C36">
        <f t="shared" si="5"/>
        <v>0.58308994926641988</v>
      </c>
    </row>
  </sheetData>
  <pageMargins left="0.7" right="0.7" top="0.75" bottom="0.75" header="0.3" footer="0.3"/>
  <drawing r:id="rId1"/>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V180"/>
  <sheetViews>
    <sheetView workbookViewId="0">
      <selection activeCell="K31" sqref="A1:V180"/>
    </sheetView>
  </sheetViews>
  <sheetFormatPr baseColWidth="10" defaultRowHeight="16" x14ac:dyDescent="0.2"/>
  <sheetData>
    <row r="1" spans="1:22" x14ac:dyDescent="0.2">
      <c r="A1" t="s">
        <v>0</v>
      </c>
      <c r="B1" t="s">
        <v>1</v>
      </c>
      <c r="C1" t="s">
        <v>4</v>
      </c>
      <c r="D1" t="s">
        <v>5</v>
      </c>
      <c r="E1" t="s">
        <v>31</v>
      </c>
      <c r="F1" t="s">
        <v>14</v>
      </c>
      <c r="G1" t="s">
        <v>15</v>
      </c>
      <c r="H1" t="s">
        <v>16</v>
      </c>
      <c r="I1" t="s">
        <v>17</v>
      </c>
      <c r="J1" t="s">
        <v>18</v>
      </c>
      <c r="K1" t="s">
        <v>19</v>
      </c>
      <c r="L1" t="s">
        <v>20</v>
      </c>
      <c r="M1" t="s">
        <v>21</v>
      </c>
      <c r="N1" t="s">
        <v>22</v>
      </c>
      <c r="O1" t="s">
        <v>23</v>
      </c>
      <c r="P1" t="s">
        <v>24</v>
      </c>
      <c r="Q1" t="s">
        <v>25</v>
      </c>
      <c r="R1" t="s">
        <v>26</v>
      </c>
      <c r="S1" t="s">
        <v>27</v>
      </c>
      <c r="T1" t="s">
        <v>28</v>
      </c>
      <c r="U1" t="s">
        <v>29</v>
      </c>
      <c r="V1" t="s">
        <v>30</v>
      </c>
    </row>
    <row r="2" spans="1:22" x14ac:dyDescent="0.2">
      <c r="A2" t="s">
        <v>32</v>
      </c>
      <c r="B2" t="s">
        <v>33</v>
      </c>
      <c r="C2" t="s">
        <v>41</v>
      </c>
      <c r="D2" t="s">
        <v>55</v>
      </c>
      <c r="E2" t="s">
        <v>37</v>
      </c>
      <c r="F2" t="s">
        <v>59</v>
      </c>
      <c r="G2" t="s">
        <v>48</v>
      </c>
      <c r="H2" t="s">
        <v>60</v>
      </c>
      <c r="I2">
        <v>1</v>
      </c>
      <c r="J2">
        <v>0</v>
      </c>
      <c r="K2">
        <v>1</v>
      </c>
      <c r="L2">
        <v>0</v>
      </c>
      <c r="M2">
        <v>0</v>
      </c>
      <c r="N2">
        <v>0</v>
      </c>
      <c r="O2">
        <v>1</v>
      </c>
      <c r="P2">
        <v>1</v>
      </c>
      <c r="Q2">
        <v>0</v>
      </c>
      <c r="R2">
        <v>0</v>
      </c>
      <c r="S2">
        <v>0</v>
      </c>
      <c r="T2">
        <v>0</v>
      </c>
      <c r="U2">
        <v>0</v>
      </c>
      <c r="V2">
        <v>0</v>
      </c>
    </row>
    <row r="3" spans="1:22" x14ac:dyDescent="0.2">
      <c r="A3" t="s">
        <v>101</v>
      </c>
      <c r="B3" t="s">
        <v>33</v>
      </c>
      <c r="C3" t="s">
        <v>41</v>
      </c>
      <c r="D3" t="s">
        <v>67</v>
      </c>
      <c r="E3" t="s">
        <v>37</v>
      </c>
      <c r="F3" t="s">
        <v>65</v>
      </c>
      <c r="G3" t="s">
        <v>47</v>
      </c>
      <c r="H3" t="s">
        <v>60</v>
      </c>
      <c r="I3">
        <v>1</v>
      </c>
      <c r="J3">
        <v>1</v>
      </c>
      <c r="K3">
        <v>0</v>
      </c>
      <c r="L3">
        <v>1</v>
      </c>
      <c r="M3">
        <v>0</v>
      </c>
      <c r="N3">
        <v>0</v>
      </c>
      <c r="O3">
        <v>1</v>
      </c>
      <c r="P3">
        <v>1</v>
      </c>
      <c r="Q3">
        <v>0</v>
      </c>
      <c r="R3">
        <v>0</v>
      </c>
      <c r="S3">
        <v>0</v>
      </c>
      <c r="T3">
        <v>0</v>
      </c>
      <c r="U3">
        <v>0</v>
      </c>
      <c r="V3">
        <v>0</v>
      </c>
    </row>
    <row r="4" spans="1:22" x14ac:dyDescent="0.2">
      <c r="A4" t="s">
        <v>107</v>
      </c>
      <c r="B4" t="s">
        <v>108</v>
      </c>
      <c r="C4" t="s">
        <v>41</v>
      </c>
      <c r="D4" t="s">
        <v>49</v>
      </c>
      <c r="E4" t="s">
        <v>37</v>
      </c>
      <c r="F4" t="s">
        <v>46</v>
      </c>
      <c r="G4" t="s">
        <v>65</v>
      </c>
      <c r="H4" t="s">
        <v>60</v>
      </c>
      <c r="I4">
        <v>1</v>
      </c>
      <c r="J4">
        <v>1</v>
      </c>
      <c r="K4">
        <v>0</v>
      </c>
      <c r="L4">
        <v>0</v>
      </c>
      <c r="M4">
        <v>1</v>
      </c>
      <c r="N4">
        <v>0</v>
      </c>
      <c r="O4">
        <v>1</v>
      </c>
      <c r="P4">
        <v>1</v>
      </c>
      <c r="Q4">
        <v>1</v>
      </c>
      <c r="R4">
        <v>0</v>
      </c>
      <c r="S4">
        <v>0</v>
      </c>
      <c r="T4">
        <v>0</v>
      </c>
      <c r="U4">
        <v>0</v>
      </c>
      <c r="V4">
        <v>0</v>
      </c>
    </row>
    <row r="5" spans="1:22" x14ac:dyDescent="0.2">
      <c r="A5" t="s">
        <v>120</v>
      </c>
      <c r="B5" t="s">
        <v>108</v>
      </c>
      <c r="C5" t="s">
        <v>41</v>
      </c>
      <c r="D5" t="s">
        <v>49</v>
      </c>
      <c r="E5" t="s">
        <v>37</v>
      </c>
      <c r="F5" t="s">
        <v>60</v>
      </c>
      <c r="G5" t="s">
        <v>46</v>
      </c>
      <c r="H5" t="s">
        <v>47</v>
      </c>
      <c r="I5">
        <v>1</v>
      </c>
      <c r="J5">
        <v>0</v>
      </c>
      <c r="K5">
        <v>0</v>
      </c>
      <c r="L5">
        <v>1</v>
      </c>
      <c r="M5">
        <v>1</v>
      </c>
      <c r="N5">
        <v>0</v>
      </c>
      <c r="O5">
        <v>1</v>
      </c>
      <c r="P5">
        <v>1</v>
      </c>
      <c r="Q5">
        <v>0</v>
      </c>
      <c r="R5">
        <v>0</v>
      </c>
      <c r="S5">
        <v>1</v>
      </c>
      <c r="T5">
        <v>1</v>
      </c>
      <c r="U5">
        <v>0</v>
      </c>
      <c r="V5">
        <v>0</v>
      </c>
    </row>
    <row r="6" spans="1:22" x14ac:dyDescent="0.2">
      <c r="A6" t="s">
        <v>124</v>
      </c>
      <c r="B6" t="s">
        <v>33</v>
      </c>
      <c r="C6" t="s">
        <v>41</v>
      </c>
      <c r="D6" t="s">
        <v>49</v>
      </c>
      <c r="E6" t="s">
        <v>37</v>
      </c>
      <c r="F6" t="s">
        <v>47</v>
      </c>
      <c r="G6" t="s">
        <v>46</v>
      </c>
      <c r="H6" t="s">
        <v>60</v>
      </c>
      <c r="I6">
        <v>1</v>
      </c>
      <c r="J6">
        <v>0</v>
      </c>
      <c r="K6">
        <v>0</v>
      </c>
      <c r="L6">
        <v>1</v>
      </c>
      <c r="M6">
        <v>1</v>
      </c>
      <c r="N6">
        <v>0</v>
      </c>
      <c r="O6">
        <v>1</v>
      </c>
      <c r="P6">
        <v>1</v>
      </c>
      <c r="Q6">
        <v>0</v>
      </c>
      <c r="R6">
        <v>0</v>
      </c>
      <c r="S6">
        <v>0</v>
      </c>
      <c r="T6">
        <v>0</v>
      </c>
      <c r="U6">
        <v>0</v>
      </c>
      <c r="V6">
        <v>0</v>
      </c>
    </row>
    <row r="7" spans="1:22" x14ac:dyDescent="0.2">
      <c r="A7" t="s">
        <v>124</v>
      </c>
      <c r="B7" t="s">
        <v>33</v>
      </c>
      <c r="C7" t="s">
        <v>41</v>
      </c>
      <c r="D7" t="s">
        <v>61</v>
      </c>
      <c r="E7" t="s">
        <v>37</v>
      </c>
      <c r="F7" t="s">
        <v>59</v>
      </c>
      <c r="G7" t="s">
        <v>60</v>
      </c>
      <c r="H7" t="s">
        <v>46</v>
      </c>
      <c r="I7">
        <v>1</v>
      </c>
      <c r="J7">
        <v>0</v>
      </c>
      <c r="K7">
        <v>0</v>
      </c>
      <c r="L7">
        <v>0</v>
      </c>
      <c r="M7">
        <v>1</v>
      </c>
      <c r="N7">
        <v>0</v>
      </c>
      <c r="O7">
        <v>1</v>
      </c>
      <c r="P7">
        <v>1</v>
      </c>
      <c r="Q7">
        <v>0</v>
      </c>
      <c r="R7">
        <v>0</v>
      </c>
      <c r="S7">
        <v>0</v>
      </c>
      <c r="T7">
        <v>0</v>
      </c>
      <c r="U7">
        <v>0</v>
      </c>
      <c r="V7">
        <v>0</v>
      </c>
    </row>
    <row r="8" spans="1:22" x14ac:dyDescent="0.2">
      <c r="A8" t="s">
        <v>133</v>
      </c>
      <c r="B8" t="s">
        <v>108</v>
      </c>
      <c r="C8" t="s">
        <v>41</v>
      </c>
      <c r="D8" t="s">
        <v>42</v>
      </c>
      <c r="E8" t="s">
        <v>37</v>
      </c>
      <c r="F8" t="s">
        <v>48</v>
      </c>
      <c r="G8" t="s">
        <v>65</v>
      </c>
      <c r="H8" t="s">
        <v>60</v>
      </c>
      <c r="I8">
        <v>1</v>
      </c>
      <c r="J8">
        <v>1</v>
      </c>
      <c r="K8">
        <v>1</v>
      </c>
      <c r="L8">
        <v>0</v>
      </c>
      <c r="M8">
        <v>0</v>
      </c>
      <c r="N8">
        <v>0</v>
      </c>
      <c r="O8">
        <v>1</v>
      </c>
      <c r="P8">
        <v>1</v>
      </c>
      <c r="Q8">
        <v>1</v>
      </c>
      <c r="R8">
        <v>1</v>
      </c>
      <c r="S8">
        <v>0</v>
      </c>
      <c r="T8">
        <v>0</v>
      </c>
      <c r="U8">
        <v>0</v>
      </c>
      <c r="V8">
        <v>0</v>
      </c>
    </row>
    <row r="9" spans="1:22" x14ac:dyDescent="0.2">
      <c r="A9" t="s">
        <v>147</v>
      </c>
      <c r="B9" t="s">
        <v>108</v>
      </c>
      <c r="C9" t="s">
        <v>41</v>
      </c>
      <c r="D9" t="s">
        <v>61</v>
      </c>
      <c r="E9" t="s">
        <v>37</v>
      </c>
      <c r="F9" t="s">
        <v>47</v>
      </c>
      <c r="G9" t="s">
        <v>65</v>
      </c>
      <c r="H9" t="s">
        <v>60</v>
      </c>
      <c r="I9">
        <v>1</v>
      </c>
      <c r="J9">
        <v>1</v>
      </c>
      <c r="K9">
        <v>0</v>
      </c>
      <c r="L9">
        <v>1</v>
      </c>
      <c r="M9">
        <v>0</v>
      </c>
      <c r="N9">
        <v>0</v>
      </c>
      <c r="O9">
        <v>1</v>
      </c>
      <c r="P9">
        <v>1</v>
      </c>
      <c r="Q9">
        <v>0</v>
      </c>
      <c r="R9">
        <v>0</v>
      </c>
      <c r="S9">
        <v>0</v>
      </c>
      <c r="T9">
        <v>0</v>
      </c>
      <c r="U9">
        <v>0</v>
      </c>
      <c r="V9">
        <v>0</v>
      </c>
    </row>
    <row r="10" spans="1:22" x14ac:dyDescent="0.2">
      <c r="A10" t="s">
        <v>151</v>
      </c>
      <c r="B10" t="s">
        <v>108</v>
      </c>
      <c r="C10" t="s">
        <v>41</v>
      </c>
      <c r="D10" t="s">
        <v>61</v>
      </c>
      <c r="E10" t="s">
        <v>37</v>
      </c>
      <c r="F10" t="s">
        <v>65</v>
      </c>
      <c r="G10" t="s">
        <v>60</v>
      </c>
      <c r="H10" t="s">
        <v>46</v>
      </c>
      <c r="I10">
        <v>1</v>
      </c>
      <c r="J10">
        <v>1</v>
      </c>
      <c r="K10">
        <v>0</v>
      </c>
      <c r="L10">
        <v>0</v>
      </c>
      <c r="M10">
        <v>1</v>
      </c>
      <c r="N10">
        <v>0</v>
      </c>
      <c r="O10">
        <v>1</v>
      </c>
      <c r="P10">
        <v>1</v>
      </c>
      <c r="Q10">
        <v>1</v>
      </c>
      <c r="R10">
        <v>0</v>
      </c>
      <c r="S10">
        <v>0</v>
      </c>
      <c r="T10">
        <v>1</v>
      </c>
      <c r="U10">
        <v>0</v>
      </c>
      <c r="V10">
        <v>0</v>
      </c>
    </row>
    <row r="11" spans="1:22" x14ac:dyDescent="0.2">
      <c r="A11" t="s">
        <v>159</v>
      </c>
      <c r="B11" t="s">
        <v>108</v>
      </c>
      <c r="C11" t="s">
        <v>41</v>
      </c>
      <c r="D11" t="s">
        <v>42</v>
      </c>
      <c r="E11" t="s">
        <v>37</v>
      </c>
      <c r="F11" t="s">
        <v>60</v>
      </c>
      <c r="G11" t="s">
        <v>47</v>
      </c>
      <c r="H11" t="s">
        <v>48</v>
      </c>
      <c r="I11">
        <v>1</v>
      </c>
      <c r="J11">
        <v>0</v>
      </c>
      <c r="K11">
        <v>1</v>
      </c>
      <c r="L11">
        <v>1</v>
      </c>
      <c r="M11">
        <v>0</v>
      </c>
      <c r="N11">
        <v>0</v>
      </c>
      <c r="O11">
        <v>1</v>
      </c>
      <c r="P11">
        <v>1</v>
      </c>
      <c r="Q11">
        <v>0</v>
      </c>
      <c r="R11">
        <v>1</v>
      </c>
      <c r="S11">
        <v>1</v>
      </c>
      <c r="T11">
        <v>0</v>
      </c>
      <c r="U11">
        <v>0</v>
      </c>
      <c r="V11">
        <v>0</v>
      </c>
    </row>
    <row r="12" spans="1:22" x14ac:dyDescent="0.2">
      <c r="A12" t="s">
        <v>163</v>
      </c>
      <c r="B12" t="s">
        <v>33</v>
      </c>
      <c r="C12" t="s">
        <v>41</v>
      </c>
      <c r="D12" t="s">
        <v>42</v>
      </c>
      <c r="E12" t="s">
        <v>37</v>
      </c>
      <c r="F12" t="s">
        <v>59</v>
      </c>
      <c r="G12" t="s">
        <v>60</v>
      </c>
      <c r="H12" t="s">
        <v>46</v>
      </c>
      <c r="I12">
        <v>1</v>
      </c>
      <c r="J12">
        <v>0</v>
      </c>
      <c r="K12">
        <v>0</v>
      </c>
      <c r="L12">
        <v>0</v>
      </c>
      <c r="M12">
        <v>1</v>
      </c>
      <c r="N12">
        <v>0</v>
      </c>
      <c r="O12">
        <v>1</v>
      </c>
      <c r="P12">
        <v>1</v>
      </c>
      <c r="Q12">
        <v>0</v>
      </c>
      <c r="R12">
        <v>0</v>
      </c>
      <c r="S12">
        <v>0</v>
      </c>
      <c r="T12">
        <v>1</v>
      </c>
      <c r="U12">
        <v>0</v>
      </c>
      <c r="V12">
        <v>0</v>
      </c>
    </row>
    <row r="13" spans="1:22" x14ac:dyDescent="0.2">
      <c r="A13" t="s">
        <v>163</v>
      </c>
      <c r="B13" t="s">
        <v>33</v>
      </c>
      <c r="C13" t="s">
        <v>41</v>
      </c>
      <c r="D13" t="s">
        <v>49</v>
      </c>
      <c r="E13" t="s">
        <v>37</v>
      </c>
      <c r="F13" t="s">
        <v>48</v>
      </c>
      <c r="G13" t="s">
        <v>60</v>
      </c>
      <c r="H13" t="s">
        <v>46</v>
      </c>
      <c r="I13">
        <v>1</v>
      </c>
      <c r="J13">
        <v>0</v>
      </c>
      <c r="K13">
        <v>1</v>
      </c>
      <c r="L13">
        <v>0</v>
      </c>
      <c r="M13">
        <v>1</v>
      </c>
      <c r="N13">
        <v>0</v>
      </c>
      <c r="O13">
        <v>1</v>
      </c>
      <c r="P13">
        <v>1</v>
      </c>
      <c r="Q13">
        <v>0</v>
      </c>
      <c r="R13">
        <v>1</v>
      </c>
      <c r="S13">
        <v>0</v>
      </c>
      <c r="T13">
        <v>1</v>
      </c>
      <c r="U13">
        <v>0</v>
      </c>
      <c r="V13">
        <v>0</v>
      </c>
    </row>
    <row r="14" spans="1:22" x14ac:dyDescent="0.2">
      <c r="A14" t="s">
        <v>163</v>
      </c>
      <c r="B14" t="s">
        <v>33</v>
      </c>
      <c r="C14" t="s">
        <v>41</v>
      </c>
      <c r="D14" t="s">
        <v>67</v>
      </c>
      <c r="E14" t="s">
        <v>37</v>
      </c>
      <c r="F14" t="s">
        <v>60</v>
      </c>
      <c r="G14" t="s">
        <v>48</v>
      </c>
      <c r="H14" t="s">
        <v>47</v>
      </c>
      <c r="I14">
        <v>1</v>
      </c>
      <c r="J14">
        <v>0</v>
      </c>
      <c r="K14">
        <v>1</v>
      </c>
      <c r="L14">
        <v>1</v>
      </c>
      <c r="M14">
        <v>0</v>
      </c>
      <c r="N14">
        <v>0</v>
      </c>
      <c r="O14">
        <v>1</v>
      </c>
      <c r="P14">
        <v>1</v>
      </c>
      <c r="Q14">
        <v>0</v>
      </c>
      <c r="R14">
        <v>1</v>
      </c>
      <c r="S14">
        <v>1</v>
      </c>
      <c r="T14">
        <v>0</v>
      </c>
      <c r="U14">
        <v>0</v>
      </c>
      <c r="V14">
        <v>0</v>
      </c>
    </row>
    <row r="15" spans="1:22" x14ac:dyDescent="0.2">
      <c r="A15" t="s">
        <v>170</v>
      </c>
      <c r="B15" t="s">
        <v>108</v>
      </c>
      <c r="C15" t="s">
        <v>41</v>
      </c>
      <c r="D15" t="s">
        <v>61</v>
      </c>
      <c r="E15" t="s">
        <v>37</v>
      </c>
      <c r="F15" t="s">
        <v>48</v>
      </c>
      <c r="G15" t="s">
        <v>60</v>
      </c>
      <c r="H15" t="s">
        <v>46</v>
      </c>
      <c r="I15">
        <v>1</v>
      </c>
      <c r="J15">
        <v>0</v>
      </c>
      <c r="K15">
        <v>1</v>
      </c>
      <c r="L15">
        <v>0</v>
      </c>
      <c r="M15">
        <v>1</v>
      </c>
      <c r="N15">
        <v>0</v>
      </c>
      <c r="O15">
        <v>1</v>
      </c>
      <c r="P15">
        <v>1</v>
      </c>
      <c r="Q15">
        <v>0</v>
      </c>
      <c r="R15">
        <v>1</v>
      </c>
      <c r="S15">
        <v>0</v>
      </c>
      <c r="T15">
        <v>1</v>
      </c>
      <c r="U15">
        <v>0</v>
      </c>
      <c r="V15">
        <v>0</v>
      </c>
    </row>
    <row r="16" spans="1:22" x14ac:dyDescent="0.2">
      <c r="A16" t="s">
        <v>178</v>
      </c>
      <c r="B16" t="s">
        <v>108</v>
      </c>
      <c r="C16" t="s">
        <v>41</v>
      </c>
      <c r="D16" t="s">
        <v>67</v>
      </c>
      <c r="E16" t="s">
        <v>37</v>
      </c>
      <c r="F16" t="s">
        <v>65</v>
      </c>
      <c r="G16" t="s">
        <v>60</v>
      </c>
      <c r="H16" t="s">
        <v>47</v>
      </c>
      <c r="I16">
        <v>1</v>
      </c>
      <c r="J16">
        <v>1</v>
      </c>
      <c r="K16">
        <v>0</v>
      </c>
      <c r="L16">
        <v>1</v>
      </c>
      <c r="M16">
        <v>0</v>
      </c>
      <c r="N16">
        <v>0</v>
      </c>
      <c r="O16">
        <v>1</v>
      </c>
      <c r="P16">
        <v>1</v>
      </c>
      <c r="Q16">
        <v>1</v>
      </c>
      <c r="R16">
        <v>0</v>
      </c>
      <c r="S16">
        <v>1</v>
      </c>
      <c r="T16">
        <v>0</v>
      </c>
      <c r="U16">
        <v>0</v>
      </c>
      <c r="V16">
        <v>0</v>
      </c>
    </row>
    <row r="17" spans="1:22" x14ac:dyDescent="0.2">
      <c r="A17" t="s">
        <v>187</v>
      </c>
      <c r="B17" t="s">
        <v>188</v>
      </c>
      <c r="C17" t="s">
        <v>41</v>
      </c>
      <c r="D17" t="s">
        <v>42</v>
      </c>
      <c r="E17" t="s">
        <v>37</v>
      </c>
      <c r="F17" t="s">
        <v>47</v>
      </c>
      <c r="G17" t="s">
        <v>48</v>
      </c>
      <c r="H17" t="s">
        <v>60</v>
      </c>
      <c r="I17">
        <v>1</v>
      </c>
      <c r="J17">
        <v>0</v>
      </c>
      <c r="K17">
        <v>1</v>
      </c>
      <c r="L17">
        <v>1</v>
      </c>
      <c r="M17">
        <v>0</v>
      </c>
      <c r="N17">
        <v>0</v>
      </c>
      <c r="O17">
        <v>1</v>
      </c>
      <c r="P17">
        <v>1</v>
      </c>
      <c r="Q17">
        <v>0</v>
      </c>
      <c r="R17">
        <v>0</v>
      </c>
      <c r="S17">
        <v>0</v>
      </c>
      <c r="T17">
        <v>0</v>
      </c>
      <c r="U17">
        <v>0</v>
      </c>
      <c r="V17">
        <v>0</v>
      </c>
    </row>
    <row r="18" spans="1:22" x14ac:dyDescent="0.2">
      <c r="A18" t="s">
        <v>187</v>
      </c>
      <c r="B18" t="s">
        <v>188</v>
      </c>
      <c r="C18" t="s">
        <v>41</v>
      </c>
      <c r="D18" t="s">
        <v>67</v>
      </c>
      <c r="E18" t="s">
        <v>37</v>
      </c>
      <c r="F18" t="s">
        <v>46</v>
      </c>
      <c r="G18" t="s">
        <v>60</v>
      </c>
      <c r="H18" t="s">
        <v>59</v>
      </c>
      <c r="I18">
        <v>1</v>
      </c>
      <c r="J18">
        <v>0</v>
      </c>
      <c r="K18">
        <v>0</v>
      </c>
      <c r="L18">
        <v>0</v>
      </c>
      <c r="M18">
        <v>1</v>
      </c>
      <c r="N18">
        <v>0</v>
      </c>
      <c r="O18">
        <v>1</v>
      </c>
      <c r="P18">
        <v>1</v>
      </c>
      <c r="Q18">
        <v>0</v>
      </c>
      <c r="R18">
        <v>0</v>
      </c>
      <c r="S18">
        <v>0</v>
      </c>
      <c r="T18">
        <v>0</v>
      </c>
      <c r="U18">
        <v>0</v>
      </c>
      <c r="V18">
        <v>0</v>
      </c>
    </row>
    <row r="19" spans="1:22" x14ac:dyDescent="0.2">
      <c r="A19" t="s">
        <v>187</v>
      </c>
      <c r="B19" t="s">
        <v>188</v>
      </c>
      <c r="C19" t="s">
        <v>41</v>
      </c>
      <c r="D19" t="s">
        <v>49</v>
      </c>
      <c r="E19" t="s">
        <v>37</v>
      </c>
      <c r="F19" t="s">
        <v>65</v>
      </c>
      <c r="G19" t="s">
        <v>60</v>
      </c>
      <c r="H19" t="s">
        <v>46</v>
      </c>
      <c r="I19">
        <v>1</v>
      </c>
      <c r="J19">
        <v>1</v>
      </c>
      <c r="K19">
        <v>0</v>
      </c>
      <c r="L19">
        <v>0</v>
      </c>
      <c r="M19">
        <v>1</v>
      </c>
      <c r="N19">
        <v>0</v>
      </c>
      <c r="O19">
        <v>1</v>
      </c>
      <c r="P19">
        <v>1</v>
      </c>
      <c r="Q19">
        <v>0</v>
      </c>
      <c r="R19">
        <v>0</v>
      </c>
      <c r="S19">
        <v>0</v>
      </c>
      <c r="T19">
        <v>0</v>
      </c>
      <c r="U19">
        <v>0</v>
      </c>
      <c r="V19">
        <v>0</v>
      </c>
    </row>
    <row r="20" spans="1:22" x14ac:dyDescent="0.2">
      <c r="A20" t="s">
        <v>195</v>
      </c>
      <c r="B20" t="s">
        <v>108</v>
      </c>
      <c r="C20" t="s">
        <v>41</v>
      </c>
      <c r="D20" t="s">
        <v>49</v>
      </c>
      <c r="E20" t="s">
        <v>37</v>
      </c>
      <c r="F20" t="s">
        <v>65</v>
      </c>
      <c r="G20" t="s">
        <v>60</v>
      </c>
      <c r="H20" t="s">
        <v>47</v>
      </c>
      <c r="I20">
        <v>1</v>
      </c>
      <c r="J20">
        <v>1</v>
      </c>
      <c r="K20">
        <v>0</v>
      </c>
      <c r="L20">
        <v>1</v>
      </c>
      <c r="M20">
        <v>0</v>
      </c>
      <c r="N20">
        <v>0</v>
      </c>
      <c r="O20">
        <v>1</v>
      </c>
      <c r="P20">
        <v>1</v>
      </c>
      <c r="Q20">
        <v>1</v>
      </c>
      <c r="R20">
        <v>0</v>
      </c>
      <c r="S20">
        <v>1</v>
      </c>
      <c r="T20">
        <v>0</v>
      </c>
      <c r="U20">
        <v>0</v>
      </c>
      <c r="V20">
        <v>0</v>
      </c>
    </row>
    <row r="21" spans="1:22" x14ac:dyDescent="0.2">
      <c r="A21" t="s">
        <v>202</v>
      </c>
      <c r="B21" t="s">
        <v>108</v>
      </c>
      <c r="C21" t="s">
        <v>41</v>
      </c>
      <c r="D21" t="s">
        <v>55</v>
      </c>
      <c r="E21" t="s">
        <v>37</v>
      </c>
      <c r="F21" t="s">
        <v>47</v>
      </c>
      <c r="G21" t="s">
        <v>60</v>
      </c>
      <c r="H21" t="s">
        <v>46</v>
      </c>
      <c r="I21">
        <v>1</v>
      </c>
      <c r="J21">
        <v>0</v>
      </c>
      <c r="K21">
        <v>0</v>
      </c>
      <c r="L21">
        <v>1</v>
      </c>
      <c r="M21">
        <v>1</v>
      </c>
      <c r="N21">
        <v>0</v>
      </c>
      <c r="O21">
        <v>1</v>
      </c>
      <c r="P21">
        <v>1</v>
      </c>
      <c r="Q21">
        <v>0</v>
      </c>
      <c r="R21">
        <v>0</v>
      </c>
      <c r="S21">
        <v>1</v>
      </c>
      <c r="T21">
        <v>1</v>
      </c>
      <c r="U21">
        <v>0</v>
      </c>
      <c r="V21">
        <v>0</v>
      </c>
    </row>
    <row r="22" spans="1:22" x14ac:dyDescent="0.2">
      <c r="A22" t="s">
        <v>202</v>
      </c>
      <c r="B22" t="s">
        <v>108</v>
      </c>
      <c r="C22" t="s">
        <v>41</v>
      </c>
      <c r="D22" t="s">
        <v>61</v>
      </c>
      <c r="E22" t="s">
        <v>37</v>
      </c>
      <c r="F22" t="s">
        <v>60</v>
      </c>
      <c r="G22" t="s">
        <v>48</v>
      </c>
      <c r="H22" t="s">
        <v>65</v>
      </c>
      <c r="I22">
        <v>1</v>
      </c>
      <c r="J22">
        <v>1</v>
      </c>
      <c r="K22">
        <v>1</v>
      </c>
      <c r="L22">
        <v>0</v>
      </c>
      <c r="M22">
        <v>0</v>
      </c>
      <c r="N22">
        <v>0</v>
      </c>
      <c r="O22">
        <v>1</v>
      </c>
      <c r="P22">
        <v>1</v>
      </c>
      <c r="Q22">
        <v>1</v>
      </c>
      <c r="R22">
        <v>1</v>
      </c>
      <c r="S22">
        <v>0</v>
      </c>
      <c r="T22">
        <v>0</v>
      </c>
      <c r="U22">
        <v>0</v>
      </c>
      <c r="V22">
        <v>0</v>
      </c>
    </row>
    <row r="23" spans="1:22" x14ac:dyDescent="0.2">
      <c r="A23" t="s">
        <v>207</v>
      </c>
      <c r="B23" t="s">
        <v>33</v>
      </c>
      <c r="C23" t="s">
        <v>41</v>
      </c>
      <c r="D23" t="s">
        <v>61</v>
      </c>
      <c r="E23" t="s">
        <v>37</v>
      </c>
      <c r="F23" t="s">
        <v>60</v>
      </c>
      <c r="G23" t="s">
        <v>46</v>
      </c>
      <c r="H23" t="s">
        <v>65</v>
      </c>
      <c r="I23">
        <v>1</v>
      </c>
      <c r="J23">
        <v>1</v>
      </c>
      <c r="K23">
        <v>0</v>
      </c>
      <c r="L23">
        <v>0</v>
      </c>
      <c r="M23">
        <v>1</v>
      </c>
      <c r="N23">
        <v>0</v>
      </c>
      <c r="O23">
        <v>1</v>
      </c>
      <c r="P23">
        <v>1</v>
      </c>
      <c r="Q23">
        <v>1</v>
      </c>
      <c r="R23">
        <v>0</v>
      </c>
      <c r="S23">
        <v>0</v>
      </c>
      <c r="T23">
        <v>1</v>
      </c>
      <c r="U23">
        <v>0</v>
      </c>
      <c r="V23">
        <v>0</v>
      </c>
    </row>
    <row r="24" spans="1:22" x14ac:dyDescent="0.2">
      <c r="A24" t="s">
        <v>207</v>
      </c>
      <c r="B24" t="s">
        <v>33</v>
      </c>
      <c r="C24" t="s">
        <v>41</v>
      </c>
      <c r="D24" t="s">
        <v>49</v>
      </c>
      <c r="E24" t="s">
        <v>37</v>
      </c>
      <c r="F24" t="s">
        <v>47</v>
      </c>
      <c r="G24" t="s">
        <v>60</v>
      </c>
      <c r="H24" t="s">
        <v>65</v>
      </c>
      <c r="I24">
        <v>1</v>
      </c>
      <c r="J24">
        <v>1</v>
      </c>
      <c r="K24">
        <v>0</v>
      </c>
      <c r="L24">
        <v>1</v>
      </c>
      <c r="M24">
        <v>0</v>
      </c>
      <c r="N24">
        <v>0</v>
      </c>
      <c r="O24">
        <v>1</v>
      </c>
      <c r="P24">
        <v>1</v>
      </c>
      <c r="Q24">
        <v>1</v>
      </c>
      <c r="R24">
        <v>0</v>
      </c>
      <c r="S24">
        <v>1</v>
      </c>
      <c r="T24">
        <v>0</v>
      </c>
      <c r="U24">
        <v>0</v>
      </c>
      <c r="V24">
        <v>0</v>
      </c>
    </row>
    <row r="25" spans="1:22" x14ac:dyDescent="0.2">
      <c r="A25" t="s">
        <v>210</v>
      </c>
      <c r="B25" t="s">
        <v>108</v>
      </c>
      <c r="C25" t="s">
        <v>41</v>
      </c>
      <c r="D25" t="s">
        <v>49</v>
      </c>
      <c r="E25" t="s">
        <v>37</v>
      </c>
      <c r="F25" t="s">
        <v>59</v>
      </c>
      <c r="G25" t="s">
        <v>46</v>
      </c>
      <c r="H25" t="s">
        <v>60</v>
      </c>
      <c r="I25">
        <v>1</v>
      </c>
      <c r="J25">
        <v>0</v>
      </c>
      <c r="K25">
        <v>0</v>
      </c>
      <c r="L25">
        <v>0</v>
      </c>
      <c r="M25">
        <v>1</v>
      </c>
      <c r="N25">
        <v>0</v>
      </c>
      <c r="O25">
        <v>1</v>
      </c>
      <c r="P25">
        <v>1</v>
      </c>
      <c r="Q25">
        <v>0</v>
      </c>
      <c r="R25">
        <v>0</v>
      </c>
      <c r="S25">
        <v>0</v>
      </c>
      <c r="T25">
        <v>1</v>
      </c>
      <c r="U25">
        <v>0</v>
      </c>
      <c r="V25">
        <v>0</v>
      </c>
    </row>
    <row r="26" spans="1:22" x14ac:dyDescent="0.2">
      <c r="A26" t="s">
        <v>214</v>
      </c>
      <c r="B26" t="s">
        <v>108</v>
      </c>
      <c r="C26" t="s">
        <v>41</v>
      </c>
      <c r="D26" t="s">
        <v>49</v>
      </c>
      <c r="E26" t="s">
        <v>37</v>
      </c>
      <c r="F26" t="s">
        <v>65</v>
      </c>
      <c r="G26" t="s">
        <v>60</v>
      </c>
      <c r="H26" t="s">
        <v>48</v>
      </c>
      <c r="I26">
        <v>1</v>
      </c>
      <c r="J26">
        <v>1</v>
      </c>
      <c r="K26">
        <v>1</v>
      </c>
      <c r="L26">
        <v>0</v>
      </c>
      <c r="M26">
        <v>0</v>
      </c>
      <c r="N26">
        <v>0</v>
      </c>
      <c r="O26">
        <v>1</v>
      </c>
      <c r="P26">
        <v>1</v>
      </c>
      <c r="Q26">
        <v>1</v>
      </c>
      <c r="R26">
        <v>1</v>
      </c>
      <c r="S26">
        <v>0</v>
      </c>
      <c r="T26">
        <v>0</v>
      </c>
      <c r="U26">
        <v>0</v>
      </c>
      <c r="V26">
        <v>0</v>
      </c>
    </row>
    <row r="27" spans="1:22" x14ac:dyDescent="0.2">
      <c r="A27" t="s">
        <v>214</v>
      </c>
      <c r="B27" t="s">
        <v>108</v>
      </c>
      <c r="C27" t="s">
        <v>41</v>
      </c>
      <c r="D27" t="s">
        <v>61</v>
      </c>
      <c r="E27" t="s">
        <v>37</v>
      </c>
      <c r="F27" t="s">
        <v>48</v>
      </c>
      <c r="G27" t="s">
        <v>65</v>
      </c>
      <c r="H27" t="s">
        <v>60</v>
      </c>
      <c r="I27">
        <v>1</v>
      </c>
      <c r="J27">
        <v>1</v>
      </c>
      <c r="K27">
        <v>1</v>
      </c>
      <c r="L27">
        <v>0</v>
      </c>
      <c r="M27">
        <v>0</v>
      </c>
      <c r="N27">
        <v>0</v>
      </c>
      <c r="O27">
        <v>1</v>
      </c>
      <c r="P27">
        <v>1</v>
      </c>
      <c r="Q27">
        <v>1</v>
      </c>
      <c r="R27">
        <v>1</v>
      </c>
      <c r="S27">
        <v>0</v>
      </c>
      <c r="T27">
        <v>0</v>
      </c>
      <c r="U27">
        <v>0</v>
      </c>
      <c r="V27">
        <v>0</v>
      </c>
    </row>
    <row r="28" spans="1:22" x14ac:dyDescent="0.2">
      <c r="A28" t="s">
        <v>224</v>
      </c>
      <c r="B28" t="s">
        <v>108</v>
      </c>
      <c r="C28" t="s">
        <v>41</v>
      </c>
      <c r="D28" t="s">
        <v>61</v>
      </c>
      <c r="E28" t="s">
        <v>37</v>
      </c>
      <c r="F28" t="s">
        <v>46</v>
      </c>
      <c r="G28" t="s">
        <v>65</v>
      </c>
      <c r="H28" t="s">
        <v>60</v>
      </c>
      <c r="I28">
        <v>1</v>
      </c>
      <c r="J28">
        <v>1</v>
      </c>
      <c r="K28">
        <v>0</v>
      </c>
      <c r="L28">
        <v>0</v>
      </c>
      <c r="M28">
        <v>1</v>
      </c>
      <c r="N28">
        <v>0</v>
      </c>
      <c r="O28">
        <v>1</v>
      </c>
      <c r="P28">
        <v>1</v>
      </c>
      <c r="Q28">
        <v>1</v>
      </c>
      <c r="R28">
        <v>0</v>
      </c>
      <c r="S28">
        <v>0</v>
      </c>
      <c r="T28">
        <v>1</v>
      </c>
      <c r="U28">
        <v>0</v>
      </c>
      <c r="V28">
        <v>0</v>
      </c>
    </row>
    <row r="29" spans="1:22" x14ac:dyDescent="0.2">
      <c r="A29" t="s">
        <v>224</v>
      </c>
      <c r="B29" t="s">
        <v>108</v>
      </c>
      <c r="C29" t="s">
        <v>41</v>
      </c>
      <c r="D29" t="s">
        <v>42</v>
      </c>
      <c r="E29" t="s">
        <v>37</v>
      </c>
      <c r="F29" t="s">
        <v>65</v>
      </c>
      <c r="G29" t="s">
        <v>60</v>
      </c>
      <c r="H29" t="s">
        <v>48</v>
      </c>
      <c r="I29">
        <v>1</v>
      </c>
      <c r="J29">
        <v>1</v>
      </c>
      <c r="K29">
        <v>1</v>
      </c>
      <c r="L29">
        <v>0</v>
      </c>
      <c r="M29">
        <v>0</v>
      </c>
      <c r="N29">
        <v>0</v>
      </c>
      <c r="O29">
        <v>1</v>
      </c>
      <c r="P29">
        <v>1</v>
      </c>
      <c r="Q29">
        <v>1</v>
      </c>
      <c r="R29">
        <v>1</v>
      </c>
      <c r="S29">
        <v>0</v>
      </c>
      <c r="T29">
        <v>0</v>
      </c>
      <c r="U29">
        <v>0</v>
      </c>
      <c r="V29">
        <v>0</v>
      </c>
    </row>
    <row r="30" spans="1:22" x14ac:dyDescent="0.2">
      <c r="A30" t="s">
        <v>238</v>
      </c>
      <c r="B30" t="s">
        <v>108</v>
      </c>
      <c r="C30" t="s">
        <v>41</v>
      </c>
      <c r="D30" t="s">
        <v>49</v>
      </c>
      <c r="E30" t="s">
        <v>37</v>
      </c>
      <c r="F30" t="s">
        <v>46</v>
      </c>
      <c r="G30" t="s">
        <v>60</v>
      </c>
      <c r="H30" t="s">
        <v>48</v>
      </c>
      <c r="I30">
        <v>1</v>
      </c>
      <c r="J30">
        <v>0</v>
      </c>
      <c r="K30">
        <v>1</v>
      </c>
      <c r="L30">
        <v>0</v>
      </c>
      <c r="M30">
        <v>1</v>
      </c>
      <c r="N30">
        <v>0</v>
      </c>
      <c r="O30">
        <v>1</v>
      </c>
      <c r="P30">
        <v>1</v>
      </c>
      <c r="Q30">
        <v>0</v>
      </c>
      <c r="R30">
        <v>1</v>
      </c>
      <c r="S30">
        <v>0</v>
      </c>
      <c r="T30">
        <v>1</v>
      </c>
      <c r="U30">
        <v>0</v>
      </c>
      <c r="V30">
        <v>0</v>
      </c>
    </row>
    <row r="31" spans="1:22" x14ac:dyDescent="0.2">
      <c r="A31" t="s">
        <v>238</v>
      </c>
      <c r="B31" t="s">
        <v>108</v>
      </c>
      <c r="C31" t="s">
        <v>41</v>
      </c>
      <c r="D31" t="s">
        <v>42</v>
      </c>
      <c r="E31" t="s">
        <v>37</v>
      </c>
      <c r="F31" t="s">
        <v>60</v>
      </c>
      <c r="G31" t="s">
        <v>65</v>
      </c>
      <c r="H31" t="s">
        <v>46</v>
      </c>
      <c r="I31">
        <v>1</v>
      </c>
      <c r="J31">
        <v>1</v>
      </c>
      <c r="K31">
        <v>0</v>
      </c>
      <c r="L31">
        <v>0</v>
      </c>
      <c r="M31">
        <v>1</v>
      </c>
      <c r="N31">
        <v>0</v>
      </c>
      <c r="O31">
        <v>1</v>
      </c>
      <c r="P31">
        <v>1</v>
      </c>
      <c r="Q31">
        <v>1</v>
      </c>
      <c r="R31">
        <v>0</v>
      </c>
      <c r="S31">
        <v>0</v>
      </c>
      <c r="T31">
        <v>1</v>
      </c>
      <c r="U31">
        <v>0</v>
      </c>
      <c r="V31">
        <v>0</v>
      </c>
    </row>
    <row r="32" spans="1:22" x14ac:dyDescent="0.2">
      <c r="A32" t="s">
        <v>238</v>
      </c>
      <c r="B32" t="s">
        <v>108</v>
      </c>
      <c r="C32" t="s">
        <v>41</v>
      </c>
      <c r="D32" t="s">
        <v>55</v>
      </c>
      <c r="E32" t="s">
        <v>37</v>
      </c>
      <c r="F32" t="s">
        <v>59</v>
      </c>
      <c r="G32" t="s">
        <v>65</v>
      </c>
      <c r="H32" t="s">
        <v>60</v>
      </c>
      <c r="I32">
        <v>1</v>
      </c>
      <c r="J32">
        <v>1</v>
      </c>
      <c r="K32">
        <v>0</v>
      </c>
      <c r="L32">
        <v>0</v>
      </c>
      <c r="M32">
        <v>0</v>
      </c>
      <c r="N32">
        <v>0</v>
      </c>
      <c r="O32">
        <v>1</v>
      </c>
      <c r="P32">
        <v>1</v>
      </c>
      <c r="Q32">
        <v>1</v>
      </c>
      <c r="R32">
        <v>0</v>
      </c>
      <c r="S32">
        <v>0</v>
      </c>
      <c r="T32">
        <v>0</v>
      </c>
      <c r="U32">
        <v>0</v>
      </c>
      <c r="V32">
        <v>0</v>
      </c>
    </row>
    <row r="33" spans="1:22" x14ac:dyDescent="0.2">
      <c r="A33" t="s">
        <v>245</v>
      </c>
      <c r="B33" t="s">
        <v>108</v>
      </c>
      <c r="C33" t="s">
        <v>41</v>
      </c>
      <c r="D33" t="s">
        <v>61</v>
      </c>
      <c r="E33" t="s">
        <v>37</v>
      </c>
      <c r="F33" t="s">
        <v>65</v>
      </c>
      <c r="G33" t="s">
        <v>60</v>
      </c>
      <c r="H33" t="s">
        <v>48</v>
      </c>
      <c r="I33">
        <v>1</v>
      </c>
      <c r="J33">
        <v>1</v>
      </c>
      <c r="K33">
        <v>1</v>
      </c>
      <c r="L33">
        <v>0</v>
      </c>
      <c r="M33">
        <v>0</v>
      </c>
      <c r="N33">
        <v>0</v>
      </c>
      <c r="O33">
        <v>1</v>
      </c>
      <c r="P33">
        <v>1</v>
      </c>
      <c r="Q33">
        <v>0</v>
      </c>
      <c r="R33">
        <v>0</v>
      </c>
      <c r="S33">
        <v>0</v>
      </c>
      <c r="T33">
        <v>0</v>
      </c>
      <c r="U33">
        <v>0</v>
      </c>
      <c r="V33">
        <v>0</v>
      </c>
    </row>
    <row r="34" spans="1:22" x14ac:dyDescent="0.2">
      <c r="A34" t="s">
        <v>252</v>
      </c>
      <c r="B34" t="s">
        <v>108</v>
      </c>
      <c r="C34" t="s">
        <v>41</v>
      </c>
      <c r="D34" t="s">
        <v>42</v>
      </c>
      <c r="E34" t="s">
        <v>37</v>
      </c>
      <c r="F34" t="s">
        <v>65</v>
      </c>
      <c r="G34" t="s">
        <v>47</v>
      </c>
      <c r="H34" t="s">
        <v>60</v>
      </c>
      <c r="I34">
        <v>1</v>
      </c>
      <c r="J34">
        <v>1</v>
      </c>
      <c r="K34">
        <v>0</v>
      </c>
      <c r="L34">
        <v>1</v>
      </c>
      <c r="M34">
        <v>0</v>
      </c>
      <c r="N34">
        <v>0</v>
      </c>
      <c r="O34">
        <v>1</v>
      </c>
      <c r="P34">
        <v>1</v>
      </c>
      <c r="Q34">
        <v>0</v>
      </c>
      <c r="R34">
        <v>0</v>
      </c>
      <c r="S34">
        <v>0</v>
      </c>
      <c r="T34">
        <v>0</v>
      </c>
      <c r="U34">
        <v>0</v>
      </c>
      <c r="V34">
        <v>0</v>
      </c>
    </row>
    <row r="35" spans="1:22" x14ac:dyDescent="0.2">
      <c r="A35" t="s">
        <v>254</v>
      </c>
      <c r="B35" t="s">
        <v>108</v>
      </c>
      <c r="C35" t="s">
        <v>41</v>
      </c>
      <c r="D35" t="s">
        <v>61</v>
      </c>
      <c r="E35" t="s">
        <v>37</v>
      </c>
      <c r="F35" t="s">
        <v>47</v>
      </c>
      <c r="G35" t="s">
        <v>60</v>
      </c>
      <c r="H35" t="s">
        <v>48</v>
      </c>
      <c r="I35">
        <v>1</v>
      </c>
      <c r="J35">
        <v>0</v>
      </c>
      <c r="K35">
        <v>1</v>
      </c>
      <c r="L35">
        <v>1</v>
      </c>
      <c r="M35">
        <v>0</v>
      </c>
      <c r="N35">
        <v>0</v>
      </c>
      <c r="O35">
        <v>1</v>
      </c>
      <c r="P35">
        <v>1</v>
      </c>
      <c r="Q35">
        <v>0</v>
      </c>
      <c r="R35">
        <v>1</v>
      </c>
      <c r="S35">
        <v>1</v>
      </c>
      <c r="T35">
        <v>0</v>
      </c>
      <c r="U35">
        <v>0</v>
      </c>
      <c r="V35">
        <v>0</v>
      </c>
    </row>
    <row r="36" spans="1:22" x14ac:dyDescent="0.2">
      <c r="A36" t="s">
        <v>264</v>
      </c>
      <c r="B36" t="s">
        <v>108</v>
      </c>
      <c r="C36" t="s">
        <v>41</v>
      </c>
      <c r="D36" t="s">
        <v>67</v>
      </c>
      <c r="E36" t="s">
        <v>37</v>
      </c>
      <c r="F36" t="s">
        <v>47</v>
      </c>
      <c r="G36" t="s">
        <v>48</v>
      </c>
      <c r="H36" t="s">
        <v>60</v>
      </c>
      <c r="I36">
        <v>1</v>
      </c>
      <c r="J36">
        <v>0</v>
      </c>
      <c r="K36">
        <v>1</v>
      </c>
      <c r="L36">
        <v>1</v>
      </c>
      <c r="M36">
        <v>0</v>
      </c>
      <c r="N36">
        <v>0</v>
      </c>
      <c r="O36">
        <v>1</v>
      </c>
      <c r="P36">
        <v>1</v>
      </c>
      <c r="Q36">
        <v>0</v>
      </c>
      <c r="R36">
        <v>1</v>
      </c>
      <c r="S36">
        <v>1</v>
      </c>
      <c r="T36">
        <v>0</v>
      </c>
      <c r="U36">
        <v>0</v>
      </c>
      <c r="V36">
        <v>0</v>
      </c>
    </row>
    <row r="37" spans="1:22" x14ac:dyDescent="0.2">
      <c r="A37" t="s">
        <v>274</v>
      </c>
      <c r="B37" t="s">
        <v>108</v>
      </c>
      <c r="C37" t="s">
        <v>41</v>
      </c>
      <c r="D37" t="s">
        <v>67</v>
      </c>
      <c r="E37" t="s">
        <v>37</v>
      </c>
      <c r="F37" t="s">
        <v>60</v>
      </c>
      <c r="G37" t="s">
        <v>46</v>
      </c>
      <c r="H37" t="s">
        <v>65</v>
      </c>
      <c r="I37">
        <v>1</v>
      </c>
      <c r="J37">
        <v>1</v>
      </c>
      <c r="K37">
        <v>0</v>
      </c>
      <c r="L37">
        <v>0</v>
      </c>
      <c r="M37">
        <v>1</v>
      </c>
      <c r="N37">
        <v>0</v>
      </c>
      <c r="O37">
        <v>1</v>
      </c>
      <c r="P37">
        <v>1</v>
      </c>
      <c r="Q37">
        <v>1</v>
      </c>
      <c r="R37">
        <v>0</v>
      </c>
      <c r="S37">
        <v>0</v>
      </c>
      <c r="T37">
        <v>0</v>
      </c>
      <c r="U37">
        <v>0</v>
      </c>
      <c r="V37">
        <v>0</v>
      </c>
    </row>
    <row r="38" spans="1:22" x14ac:dyDescent="0.2">
      <c r="A38" t="s">
        <v>278</v>
      </c>
      <c r="B38" t="s">
        <v>108</v>
      </c>
      <c r="C38" t="s">
        <v>41</v>
      </c>
      <c r="D38" t="s">
        <v>49</v>
      </c>
      <c r="E38" t="s">
        <v>37</v>
      </c>
      <c r="F38" t="s">
        <v>47</v>
      </c>
      <c r="G38" t="s">
        <v>48</v>
      </c>
      <c r="H38" t="s">
        <v>60</v>
      </c>
      <c r="I38">
        <v>1</v>
      </c>
      <c r="J38">
        <v>0</v>
      </c>
      <c r="K38">
        <v>1</v>
      </c>
      <c r="L38">
        <v>1</v>
      </c>
      <c r="M38">
        <v>0</v>
      </c>
      <c r="N38">
        <v>0</v>
      </c>
      <c r="O38">
        <v>1</v>
      </c>
      <c r="P38">
        <v>1</v>
      </c>
      <c r="Q38">
        <v>0</v>
      </c>
      <c r="R38">
        <v>0</v>
      </c>
      <c r="S38">
        <v>0</v>
      </c>
      <c r="T38">
        <v>0</v>
      </c>
      <c r="U38">
        <v>0</v>
      </c>
      <c r="V38">
        <v>0</v>
      </c>
    </row>
    <row r="39" spans="1:22" x14ac:dyDescent="0.2">
      <c r="A39" t="s">
        <v>278</v>
      </c>
      <c r="B39" t="s">
        <v>108</v>
      </c>
      <c r="C39" t="s">
        <v>41</v>
      </c>
      <c r="D39" t="s">
        <v>55</v>
      </c>
      <c r="E39" t="s">
        <v>37</v>
      </c>
      <c r="F39" t="s">
        <v>46</v>
      </c>
      <c r="G39" t="s">
        <v>48</v>
      </c>
      <c r="H39" t="s">
        <v>60</v>
      </c>
      <c r="I39">
        <v>1</v>
      </c>
      <c r="J39">
        <v>0</v>
      </c>
      <c r="K39">
        <v>1</v>
      </c>
      <c r="L39">
        <v>0</v>
      </c>
      <c r="M39">
        <v>1</v>
      </c>
      <c r="N39">
        <v>0</v>
      </c>
      <c r="O39">
        <v>1</v>
      </c>
      <c r="P39">
        <v>1</v>
      </c>
      <c r="Q39">
        <v>0</v>
      </c>
      <c r="R39">
        <v>0</v>
      </c>
      <c r="S39">
        <v>0</v>
      </c>
      <c r="T39">
        <v>0</v>
      </c>
      <c r="U39">
        <v>0</v>
      </c>
      <c r="V39">
        <v>0</v>
      </c>
    </row>
    <row r="40" spans="1:22" x14ac:dyDescent="0.2">
      <c r="A40" t="s">
        <v>282</v>
      </c>
      <c r="B40" t="s">
        <v>108</v>
      </c>
      <c r="C40" t="s">
        <v>41</v>
      </c>
      <c r="D40" t="s">
        <v>55</v>
      </c>
      <c r="E40" t="s">
        <v>37</v>
      </c>
      <c r="F40" t="s">
        <v>60</v>
      </c>
      <c r="G40" t="s">
        <v>48</v>
      </c>
      <c r="H40" t="s">
        <v>65</v>
      </c>
      <c r="I40">
        <v>1</v>
      </c>
      <c r="J40">
        <v>1</v>
      </c>
      <c r="K40">
        <v>1</v>
      </c>
      <c r="L40">
        <v>0</v>
      </c>
      <c r="M40">
        <v>0</v>
      </c>
      <c r="N40">
        <v>0</v>
      </c>
      <c r="O40">
        <v>1</v>
      </c>
      <c r="P40">
        <v>1</v>
      </c>
      <c r="Q40">
        <v>0</v>
      </c>
      <c r="R40">
        <v>0</v>
      </c>
      <c r="S40">
        <v>0</v>
      </c>
      <c r="T40">
        <v>0</v>
      </c>
      <c r="U40">
        <v>0</v>
      </c>
      <c r="V40">
        <v>0</v>
      </c>
    </row>
    <row r="41" spans="1:22" x14ac:dyDescent="0.2">
      <c r="A41" t="s">
        <v>285</v>
      </c>
      <c r="B41" t="s">
        <v>188</v>
      </c>
      <c r="C41" t="s">
        <v>41</v>
      </c>
      <c r="D41" t="s">
        <v>72</v>
      </c>
      <c r="E41" t="s">
        <v>37</v>
      </c>
      <c r="F41" t="s">
        <v>65</v>
      </c>
      <c r="G41" t="s">
        <v>60</v>
      </c>
      <c r="H41" t="s">
        <v>59</v>
      </c>
      <c r="I41">
        <v>1</v>
      </c>
      <c r="J41">
        <v>1</v>
      </c>
      <c r="K41">
        <v>0</v>
      </c>
      <c r="L41">
        <v>0</v>
      </c>
      <c r="M41">
        <v>0</v>
      </c>
      <c r="N41">
        <v>0</v>
      </c>
      <c r="O41">
        <v>1</v>
      </c>
      <c r="P41">
        <v>1</v>
      </c>
      <c r="Q41">
        <v>0</v>
      </c>
      <c r="R41">
        <v>0</v>
      </c>
      <c r="S41">
        <v>0</v>
      </c>
      <c r="T41">
        <v>0</v>
      </c>
      <c r="U41">
        <v>0</v>
      </c>
      <c r="V41">
        <v>0</v>
      </c>
    </row>
    <row r="42" spans="1:22" x14ac:dyDescent="0.2">
      <c r="A42" t="s">
        <v>288</v>
      </c>
      <c r="B42" t="s">
        <v>33</v>
      </c>
      <c r="C42" t="s">
        <v>41</v>
      </c>
      <c r="D42" t="s">
        <v>72</v>
      </c>
      <c r="E42" t="s">
        <v>37</v>
      </c>
      <c r="F42" t="s">
        <v>46</v>
      </c>
      <c r="G42" t="s">
        <v>60</v>
      </c>
      <c r="H42" t="s">
        <v>47</v>
      </c>
      <c r="I42">
        <v>1</v>
      </c>
      <c r="J42">
        <v>0</v>
      </c>
      <c r="K42">
        <v>0</v>
      </c>
      <c r="L42">
        <v>1</v>
      </c>
      <c r="M42">
        <v>1</v>
      </c>
      <c r="N42">
        <v>0</v>
      </c>
      <c r="O42">
        <v>1</v>
      </c>
      <c r="P42">
        <v>1</v>
      </c>
      <c r="Q42">
        <v>0</v>
      </c>
      <c r="R42">
        <v>0</v>
      </c>
      <c r="S42">
        <v>0</v>
      </c>
      <c r="T42">
        <v>0</v>
      </c>
      <c r="U42">
        <v>0</v>
      </c>
      <c r="V42">
        <v>0</v>
      </c>
    </row>
    <row r="43" spans="1:22" x14ac:dyDescent="0.2">
      <c r="A43" t="s">
        <v>288</v>
      </c>
      <c r="B43" t="s">
        <v>33</v>
      </c>
      <c r="C43" t="s">
        <v>41</v>
      </c>
      <c r="D43" t="s">
        <v>67</v>
      </c>
      <c r="E43" t="s">
        <v>37</v>
      </c>
      <c r="F43" t="s">
        <v>46</v>
      </c>
      <c r="G43" t="s">
        <v>60</v>
      </c>
      <c r="H43" t="s">
        <v>47</v>
      </c>
      <c r="I43">
        <v>1</v>
      </c>
      <c r="J43">
        <v>0</v>
      </c>
      <c r="K43">
        <v>0</v>
      </c>
      <c r="L43">
        <v>1</v>
      </c>
      <c r="M43">
        <v>1</v>
      </c>
      <c r="N43">
        <v>0</v>
      </c>
      <c r="O43">
        <v>1</v>
      </c>
      <c r="P43">
        <v>1</v>
      </c>
      <c r="Q43">
        <v>0</v>
      </c>
      <c r="R43">
        <v>0</v>
      </c>
      <c r="S43">
        <v>1</v>
      </c>
      <c r="T43">
        <v>0</v>
      </c>
      <c r="U43">
        <v>0</v>
      </c>
      <c r="V43">
        <v>0</v>
      </c>
    </row>
    <row r="44" spans="1:22" x14ac:dyDescent="0.2">
      <c r="A44" t="s">
        <v>292</v>
      </c>
      <c r="B44" t="s">
        <v>108</v>
      </c>
      <c r="C44" t="s">
        <v>41</v>
      </c>
      <c r="D44" t="s">
        <v>55</v>
      </c>
      <c r="E44" t="s">
        <v>37</v>
      </c>
      <c r="F44" t="s">
        <v>48</v>
      </c>
      <c r="G44" t="s">
        <v>65</v>
      </c>
      <c r="H44" t="s">
        <v>60</v>
      </c>
      <c r="I44">
        <v>1</v>
      </c>
      <c r="J44">
        <v>1</v>
      </c>
      <c r="K44">
        <v>1</v>
      </c>
      <c r="L44">
        <v>0</v>
      </c>
      <c r="M44">
        <v>0</v>
      </c>
      <c r="N44">
        <v>0</v>
      </c>
      <c r="O44">
        <v>1</v>
      </c>
      <c r="P44">
        <v>1</v>
      </c>
      <c r="Q44">
        <v>1</v>
      </c>
      <c r="R44">
        <v>1</v>
      </c>
      <c r="S44">
        <v>0</v>
      </c>
      <c r="T44">
        <v>0</v>
      </c>
      <c r="U44">
        <v>0</v>
      </c>
      <c r="V44">
        <v>0</v>
      </c>
    </row>
    <row r="45" spans="1:22" x14ac:dyDescent="0.2">
      <c r="A45" t="s">
        <v>298</v>
      </c>
      <c r="B45" t="s">
        <v>108</v>
      </c>
      <c r="C45" t="s">
        <v>41</v>
      </c>
      <c r="D45" t="s">
        <v>42</v>
      </c>
      <c r="E45" t="s">
        <v>37</v>
      </c>
      <c r="F45" t="s">
        <v>48</v>
      </c>
      <c r="G45" t="s">
        <v>60</v>
      </c>
      <c r="H45" t="s">
        <v>47</v>
      </c>
      <c r="I45">
        <v>1</v>
      </c>
      <c r="J45">
        <v>0</v>
      </c>
      <c r="K45">
        <v>1</v>
      </c>
      <c r="L45">
        <v>1</v>
      </c>
      <c r="M45">
        <v>0</v>
      </c>
      <c r="N45">
        <v>0</v>
      </c>
      <c r="O45">
        <v>1</v>
      </c>
      <c r="P45">
        <v>1</v>
      </c>
      <c r="Q45">
        <v>0</v>
      </c>
      <c r="R45">
        <v>0</v>
      </c>
      <c r="S45">
        <v>1</v>
      </c>
      <c r="T45">
        <v>0</v>
      </c>
      <c r="U45">
        <v>0</v>
      </c>
      <c r="V45">
        <v>0</v>
      </c>
    </row>
    <row r="46" spans="1:22" x14ac:dyDescent="0.2">
      <c r="A46" t="s">
        <v>298</v>
      </c>
      <c r="B46" t="s">
        <v>108</v>
      </c>
      <c r="C46" t="s">
        <v>41</v>
      </c>
      <c r="D46" t="s">
        <v>72</v>
      </c>
      <c r="E46" t="s">
        <v>37</v>
      </c>
      <c r="F46" t="s">
        <v>60</v>
      </c>
      <c r="G46" t="s">
        <v>59</v>
      </c>
      <c r="H46" t="s">
        <v>48</v>
      </c>
      <c r="I46">
        <v>1</v>
      </c>
      <c r="J46">
        <v>0</v>
      </c>
      <c r="K46">
        <v>1</v>
      </c>
      <c r="L46">
        <v>0</v>
      </c>
      <c r="M46">
        <v>0</v>
      </c>
      <c r="N46">
        <v>0</v>
      </c>
      <c r="O46">
        <v>1</v>
      </c>
      <c r="P46">
        <v>1</v>
      </c>
      <c r="Q46">
        <v>0</v>
      </c>
      <c r="R46">
        <v>0</v>
      </c>
      <c r="S46">
        <v>0</v>
      </c>
      <c r="T46">
        <v>0</v>
      </c>
      <c r="U46">
        <v>0</v>
      </c>
      <c r="V46">
        <v>0</v>
      </c>
    </row>
    <row r="47" spans="1:22" x14ac:dyDescent="0.2">
      <c r="A47" t="s">
        <v>302</v>
      </c>
      <c r="B47" t="s">
        <v>33</v>
      </c>
      <c r="C47" t="s">
        <v>41</v>
      </c>
      <c r="D47" t="s">
        <v>42</v>
      </c>
      <c r="E47" t="s">
        <v>37</v>
      </c>
      <c r="F47" t="s">
        <v>46</v>
      </c>
      <c r="G47" t="s">
        <v>47</v>
      </c>
      <c r="H47" t="s">
        <v>60</v>
      </c>
      <c r="I47">
        <v>1</v>
      </c>
      <c r="J47">
        <v>0</v>
      </c>
      <c r="K47">
        <v>0</v>
      </c>
      <c r="L47">
        <v>1</v>
      </c>
      <c r="M47">
        <v>1</v>
      </c>
      <c r="N47">
        <v>0</v>
      </c>
      <c r="O47">
        <v>1</v>
      </c>
      <c r="P47">
        <v>1</v>
      </c>
      <c r="Q47">
        <v>0</v>
      </c>
      <c r="R47">
        <v>0</v>
      </c>
      <c r="S47">
        <v>1</v>
      </c>
      <c r="T47">
        <v>1</v>
      </c>
      <c r="U47">
        <v>0</v>
      </c>
      <c r="V47">
        <v>0</v>
      </c>
    </row>
    <row r="48" spans="1:22" x14ac:dyDescent="0.2">
      <c r="A48" t="s">
        <v>317</v>
      </c>
      <c r="B48" t="s">
        <v>108</v>
      </c>
      <c r="C48" t="s">
        <v>41</v>
      </c>
      <c r="D48" t="s">
        <v>61</v>
      </c>
      <c r="E48" t="s">
        <v>37</v>
      </c>
      <c r="F48" t="s">
        <v>48</v>
      </c>
      <c r="G48" t="s">
        <v>60</v>
      </c>
      <c r="H48" t="s">
        <v>46</v>
      </c>
      <c r="I48">
        <v>1</v>
      </c>
      <c r="J48">
        <v>0</v>
      </c>
      <c r="K48">
        <v>1</v>
      </c>
      <c r="L48">
        <v>0</v>
      </c>
      <c r="M48">
        <v>1</v>
      </c>
      <c r="N48">
        <v>0</v>
      </c>
      <c r="O48">
        <v>1</v>
      </c>
      <c r="P48">
        <v>1</v>
      </c>
      <c r="Q48">
        <v>0</v>
      </c>
      <c r="R48">
        <v>0</v>
      </c>
      <c r="S48">
        <v>0</v>
      </c>
      <c r="T48">
        <v>0</v>
      </c>
      <c r="U48">
        <v>0</v>
      </c>
      <c r="V48">
        <v>0</v>
      </c>
    </row>
    <row r="49" spans="1:22" x14ac:dyDescent="0.2">
      <c r="A49" t="s">
        <v>320</v>
      </c>
      <c r="B49" t="s">
        <v>108</v>
      </c>
      <c r="C49" t="s">
        <v>41</v>
      </c>
      <c r="D49" t="s">
        <v>67</v>
      </c>
      <c r="E49" t="s">
        <v>37</v>
      </c>
      <c r="F49" t="s">
        <v>60</v>
      </c>
      <c r="G49" t="s">
        <v>65</v>
      </c>
      <c r="H49" t="s">
        <v>46</v>
      </c>
      <c r="I49">
        <v>1</v>
      </c>
      <c r="J49">
        <v>1</v>
      </c>
      <c r="K49">
        <v>0</v>
      </c>
      <c r="L49">
        <v>0</v>
      </c>
      <c r="M49">
        <v>1</v>
      </c>
      <c r="N49">
        <v>0</v>
      </c>
      <c r="O49">
        <v>1</v>
      </c>
      <c r="P49">
        <v>1</v>
      </c>
      <c r="Q49">
        <v>0</v>
      </c>
      <c r="R49">
        <v>0</v>
      </c>
      <c r="S49">
        <v>0</v>
      </c>
      <c r="T49">
        <v>0</v>
      </c>
      <c r="U49">
        <v>0</v>
      </c>
      <c r="V49">
        <v>0</v>
      </c>
    </row>
    <row r="50" spans="1:22" x14ac:dyDescent="0.2">
      <c r="A50" t="s">
        <v>323</v>
      </c>
      <c r="B50" t="s">
        <v>108</v>
      </c>
      <c r="C50" t="s">
        <v>41</v>
      </c>
      <c r="D50" t="s">
        <v>61</v>
      </c>
      <c r="E50" t="s">
        <v>37</v>
      </c>
      <c r="F50" t="s">
        <v>65</v>
      </c>
      <c r="G50" t="s">
        <v>59</v>
      </c>
      <c r="H50" t="s">
        <v>60</v>
      </c>
      <c r="I50">
        <v>1</v>
      </c>
      <c r="J50">
        <v>1</v>
      </c>
      <c r="K50">
        <v>0</v>
      </c>
      <c r="L50">
        <v>0</v>
      </c>
      <c r="M50">
        <v>0</v>
      </c>
      <c r="N50">
        <v>0</v>
      </c>
      <c r="O50">
        <v>1</v>
      </c>
      <c r="P50">
        <v>1</v>
      </c>
      <c r="Q50">
        <v>0</v>
      </c>
      <c r="R50">
        <v>0</v>
      </c>
      <c r="S50">
        <v>0</v>
      </c>
      <c r="T50">
        <v>0</v>
      </c>
      <c r="U50">
        <v>0</v>
      </c>
      <c r="V50">
        <v>0</v>
      </c>
    </row>
    <row r="51" spans="1:22" x14ac:dyDescent="0.2">
      <c r="A51" t="s">
        <v>326</v>
      </c>
      <c r="B51" t="s">
        <v>33</v>
      </c>
      <c r="C51" t="s">
        <v>41</v>
      </c>
      <c r="D51" t="s">
        <v>49</v>
      </c>
      <c r="E51" t="s">
        <v>37</v>
      </c>
      <c r="F51" t="s">
        <v>60</v>
      </c>
      <c r="G51" t="s">
        <v>48</v>
      </c>
      <c r="H51" t="s">
        <v>59</v>
      </c>
      <c r="I51">
        <v>1</v>
      </c>
      <c r="J51">
        <v>0</v>
      </c>
      <c r="K51">
        <v>1</v>
      </c>
      <c r="L51">
        <v>0</v>
      </c>
      <c r="M51">
        <v>0</v>
      </c>
      <c r="N51">
        <v>0</v>
      </c>
      <c r="O51">
        <v>1</v>
      </c>
      <c r="P51">
        <v>1</v>
      </c>
      <c r="Q51">
        <v>0</v>
      </c>
      <c r="R51">
        <v>0</v>
      </c>
      <c r="S51">
        <v>0</v>
      </c>
      <c r="T51">
        <v>0</v>
      </c>
      <c r="U51">
        <v>0</v>
      </c>
      <c r="V51">
        <v>0</v>
      </c>
    </row>
    <row r="52" spans="1:22" x14ac:dyDescent="0.2">
      <c r="A52" t="s">
        <v>326</v>
      </c>
      <c r="B52" t="s">
        <v>33</v>
      </c>
      <c r="C52" t="s">
        <v>41</v>
      </c>
      <c r="D52" t="s">
        <v>55</v>
      </c>
      <c r="E52" t="s">
        <v>37</v>
      </c>
      <c r="F52" t="s">
        <v>59</v>
      </c>
      <c r="G52" t="s">
        <v>65</v>
      </c>
      <c r="H52" t="s">
        <v>60</v>
      </c>
      <c r="I52">
        <v>1</v>
      </c>
      <c r="J52">
        <v>1</v>
      </c>
      <c r="K52">
        <v>0</v>
      </c>
      <c r="L52">
        <v>0</v>
      </c>
      <c r="M52">
        <v>0</v>
      </c>
      <c r="N52">
        <v>0</v>
      </c>
      <c r="O52">
        <v>1</v>
      </c>
      <c r="P52">
        <v>1</v>
      </c>
      <c r="Q52">
        <v>1</v>
      </c>
      <c r="R52">
        <v>0</v>
      </c>
      <c r="S52">
        <v>0</v>
      </c>
      <c r="T52">
        <v>0</v>
      </c>
      <c r="U52">
        <v>0</v>
      </c>
      <c r="V52">
        <v>0</v>
      </c>
    </row>
    <row r="53" spans="1:22" x14ac:dyDescent="0.2">
      <c r="A53" t="s">
        <v>330</v>
      </c>
      <c r="B53" t="s">
        <v>108</v>
      </c>
      <c r="C53" t="s">
        <v>41</v>
      </c>
      <c r="D53" t="s">
        <v>42</v>
      </c>
      <c r="E53" t="s">
        <v>37</v>
      </c>
      <c r="F53" t="s">
        <v>46</v>
      </c>
      <c r="G53" t="s">
        <v>48</v>
      </c>
      <c r="H53" t="s">
        <v>60</v>
      </c>
      <c r="I53">
        <v>1</v>
      </c>
      <c r="J53">
        <v>0</v>
      </c>
      <c r="K53">
        <v>1</v>
      </c>
      <c r="L53">
        <v>0</v>
      </c>
      <c r="M53">
        <v>1</v>
      </c>
      <c r="N53">
        <v>0</v>
      </c>
      <c r="O53">
        <v>1</v>
      </c>
      <c r="P53">
        <v>1</v>
      </c>
      <c r="Q53">
        <v>0</v>
      </c>
      <c r="R53">
        <v>0</v>
      </c>
      <c r="S53">
        <v>0</v>
      </c>
      <c r="T53">
        <v>0</v>
      </c>
      <c r="U53">
        <v>0</v>
      </c>
      <c r="V53">
        <v>0</v>
      </c>
    </row>
    <row r="54" spans="1:22" x14ac:dyDescent="0.2">
      <c r="A54" t="s">
        <v>345</v>
      </c>
      <c r="B54" t="s">
        <v>33</v>
      </c>
      <c r="C54" t="s">
        <v>41</v>
      </c>
      <c r="D54" t="s">
        <v>67</v>
      </c>
      <c r="E54" t="s">
        <v>37</v>
      </c>
      <c r="F54" t="s">
        <v>48</v>
      </c>
      <c r="G54" t="s">
        <v>60</v>
      </c>
      <c r="H54" t="s">
        <v>65</v>
      </c>
      <c r="I54">
        <v>1</v>
      </c>
      <c r="J54">
        <v>1</v>
      </c>
      <c r="K54">
        <v>1</v>
      </c>
      <c r="L54">
        <v>0</v>
      </c>
      <c r="M54">
        <v>0</v>
      </c>
      <c r="N54">
        <v>0</v>
      </c>
      <c r="O54">
        <v>1</v>
      </c>
      <c r="P54">
        <v>1</v>
      </c>
      <c r="Q54">
        <v>0</v>
      </c>
      <c r="R54">
        <v>0</v>
      </c>
      <c r="S54">
        <v>0</v>
      </c>
      <c r="T54">
        <v>0</v>
      </c>
      <c r="U54">
        <v>0</v>
      </c>
      <c r="V54">
        <v>0</v>
      </c>
    </row>
    <row r="55" spans="1:22" x14ac:dyDescent="0.2">
      <c r="A55" t="s">
        <v>351</v>
      </c>
      <c r="B55" t="s">
        <v>108</v>
      </c>
      <c r="C55" t="s">
        <v>41</v>
      </c>
      <c r="D55" t="s">
        <v>55</v>
      </c>
      <c r="E55" t="s">
        <v>37</v>
      </c>
      <c r="F55" t="s">
        <v>59</v>
      </c>
      <c r="G55" t="s">
        <v>47</v>
      </c>
      <c r="H55" t="s">
        <v>60</v>
      </c>
      <c r="I55">
        <v>1</v>
      </c>
      <c r="J55">
        <v>0</v>
      </c>
      <c r="K55">
        <v>0</v>
      </c>
      <c r="L55">
        <v>1</v>
      </c>
      <c r="M55">
        <v>0</v>
      </c>
      <c r="N55">
        <v>0</v>
      </c>
      <c r="O55">
        <v>1</v>
      </c>
      <c r="P55">
        <v>1</v>
      </c>
      <c r="Q55">
        <v>0</v>
      </c>
      <c r="R55">
        <v>0</v>
      </c>
      <c r="S55">
        <v>1</v>
      </c>
      <c r="T55">
        <v>0</v>
      </c>
      <c r="U55">
        <v>0</v>
      </c>
      <c r="V55">
        <v>0</v>
      </c>
    </row>
    <row r="56" spans="1:22" x14ac:dyDescent="0.2">
      <c r="A56" t="s">
        <v>354</v>
      </c>
      <c r="B56" t="s">
        <v>33</v>
      </c>
      <c r="C56" t="s">
        <v>41</v>
      </c>
      <c r="D56" t="s">
        <v>72</v>
      </c>
      <c r="E56" t="s">
        <v>37</v>
      </c>
      <c r="F56" t="s">
        <v>48</v>
      </c>
      <c r="G56" t="s">
        <v>46</v>
      </c>
      <c r="H56" t="s">
        <v>60</v>
      </c>
      <c r="I56">
        <v>1</v>
      </c>
      <c r="J56">
        <v>0</v>
      </c>
      <c r="K56">
        <v>1</v>
      </c>
      <c r="L56">
        <v>0</v>
      </c>
      <c r="M56">
        <v>1</v>
      </c>
      <c r="N56">
        <v>0</v>
      </c>
      <c r="O56">
        <v>1</v>
      </c>
      <c r="P56">
        <v>1</v>
      </c>
      <c r="Q56">
        <v>0</v>
      </c>
      <c r="R56">
        <v>0</v>
      </c>
      <c r="S56">
        <v>0</v>
      </c>
      <c r="T56">
        <v>0</v>
      </c>
      <c r="U56">
        <v>0</v>
      </c>
      <c r="V56">
        <v>0</v>
      </c>
    </row>
    <row r="57" spans="1:22" x14ac:dyDescent="0.2">
      <c r="A57" t="s">
        <v>354</v>
      </c>
      <c r="B57" t="s">
        <v>33</v>
      </c>
      <c r="C57" t="s">
        <v>41</v>
      </c>
      <c r="D57" t="s">
        <v>49</v>
      </c>
      <c r="E57" t="s">
        <v>37</v>
      </c>
      <c r="F57" t="s">
        <v>48</v>
      </c>
      <c r="G57" t="s">
        <v>65</v>
      </c>
      <c r="H57" t="s">
        <v>60</v>
      </c>
      <c r="I57">
        <v>1</v>
      </c>
      <c r="J57">
        <v>1</v>
      </c>
      <c r="K57">
        <v>1</v>
      </c>
      <c r="L57">
        <v>0</v>
      </c>
      <c r="M57">
        <v>0</v>
      </c>
      <c r="N57">
        <v>0</v>
      </c>
      <c r="O57">
        <v>1</v>
      </c>
      <c r="P57">
        <v>1</v>
      </c>
      <c r="Q57">
        <v>1</v>
      </c>
      <c r="R57">
        <v>1</v>
      </c>
      <c r="S57">
        <v>0</v>
      </c>
      <c r="T57">
        <v>0</v>
      </c>
      <c r="U57">
        <v>0</v>
      </c>
      <c r="V57">
        <v>0</v>
      </c>
    </row>
    <row r="58" spans="1:22" x14ac:dyDescent="0.2">
      <c r="A58" t="s">
        <v>366</v>
      </c>
      <c r="B58" t="s">
        <v>108</v>
      </c>
      <c r="C58" t="s">
        <v>41</v>
      </c>
      <c r="D58" t="s">
        <v>49</v>
      </c>
      <c r="E58" t="s">
        <v>37</v>
      </c>
      <c r="F58" t="s">
        <v>65</v>
      </c>
      <c r="G58" t="s">
        <v>59</v>
      </c>
      <c r="H58" t="s">
        <v>60</v>
      </c>
      <c r="I58">
        <v>1</v>
      </c>
      <c r="J58">
        <v>1</v>
      </c>
      <c r="K58">
        <v>0</v>
      </c>
      <c r="L58">
        <v>0</v>
      </c>
      <c r="M58">
        <v>0</v>
      </c>
      <c r="N58">
        <v>0</v>
      </c>
      <c r="O58">
        <v>1</v>
      </c>
      <c r="P58">
        <v>1</v>
      </c>
      <c r="Q58">
        <v>1</v>
      </c>
      <c r="R58">
        <v>0</v>
      </c>
      <c r="S58">
        <v>0</v>
      </c>
      <c r="T58">
        <v>0</v>
      </c>
      <c r="U58">
        <v>0</v>
      </c>
      <c r="V58">
        <v>0</v>
      </c>
    </row>
    <row r="59" spans="1:22" x14ac:dyDescent="0.2">
      <c r="A59" t="s">
        <v>366</v>
      </c>
      <c r="B59" t="s">
        <v>108</v>
      </c>
      <c r="C59" t="s">
        <v>41</v>
      </c>
      <c r="D59" t="s">
        <v>42</v>
      </c>
      <c r="E59" t="s">
        <v>37</v>
      </c>
      <c r="F59" t="s">
        <v>47</v>
      </c>
      <c r="G59" t="s">
        <v>60</v>
      </c>
      <c r="H59" t="s">
        <v>48</v>
      </c>
      <c r="I59">
        <v>1</v>
      </c>
      <c r="J59">
        <v>0</v>
      </c>
      <c r="K59">
        <v>1</v>
      </c>
      <c r="L59">
        <v>1</v>
      </c>
      <c r="M59">
        <v>0</v>
      </c>
      <c r="N59">
        <v>0</v>
      </c>
      <c r="O59">
        <v>1</v>
      </c>
      <c r="P59">
        <v>1</v>
      </c>
      <c r="Q59">
        <v>0</v>
      </c>
      <c r="R59">
        <v>1</v>
      </c>
      <c r="S59">
        <v>1</v>
      </c>
      <c r="T59">
        <v>0</v>
      </c>
      <c r="U59">
        <v>0</v>
      </c>
      <c r="V59">
        <v>0</v>
      </c>
    </row>
    <row r="60" spans="1:22" x14ac:dyDescent="0.2">
      <c r="A60" t="s">
        <v>370</v>
      </c>
      <c r="B60" t="s">
        <v>33</v>
      </c>
      <c r="C60" t="s">
        <v>41</v>
      </c>
      <c r="D60" t="s">
        <v>67</v>
      </c>
      <c r="E60" t="s">
        <v>37</v>
      </c>
      <c r="F60" t="s">
        <v>60</v>
      </c>
      <c r="G60" t="s">
        <v>65</v>
      </c>
      <c r="H60" t="s">
        <v>47</v>
      </c>
      <c r="I60">
        <v>1</v>
      </c>
      <c r="J60">
        <v>1</v>
      </c>
      <c r="K60">
        <v>0</v>
      </c>
      <c r="L60">
        <v>1</v>
      </c>
      <c r="M60">
        <v>0</v>
      </c>
      <c r="N60">
        <v>0</v>
      </c>
      <c r="O60">
        <v>1</v>
      </c>
      <c r="P60">
        <v>1</v>
      </c>
      <c r="Q60">
        <v>0</v>
      </c>
      <c r="R60">
        <v>0</v>
      </c>
      <c r="S60">
        <v>0</v>
      </c>
      <c r="T60">
        <v>0</v>
      </c>
      <c r="U60">
        <v>0</v>
      </c>
      <c r="V60">
        <v>0</v>
      </c>
    </row>
    <row r="61" spans="1:22" x14ac:dyDescent="0.2">
      <c r="A61" t="s">
        <v>377</v>
      </c>
      <c r="B61" t="s">
        <v>108</v>
      </c>
      <c r="C61" t="s">
        <v>41</v>
      </c>
      <c r="D61" t="s">
        <v>67</v>
      </c>
      <c r="E61" t="s">
        <v>37</v>
      </c>
      <c r="F61" t="s">
        <v>47</v>
      </c>
      <c r="G61" t="s">
        <v>59</v>
      </c>
      <c r="H61" t="s">
        <v>60</v>
      </c>
      <c r="I61">
        <v>1</v>
      </c>
      <c r="J61">
        <v>0</v>
      </c>
      <c r="K61">
        <v>0</v>
      </c>
      <c r="L61">
        <v>1</v>
      </c>
      <c r="M61">
        <v>0</v>
      </c>
      <c r="N61">
        <v>0</v>
      </c>
      <c r="O61">
        <v>1</v>
      </c>
      <c r="P61">
        <v>1</v>
      </c>
      <c r="Q61">
        <v>0</v>
      </c>
      <c r="R61">
        <v>0</v>
      </c>
      <c r="S61">
        <v>1</v>
      </c>
      <c r="T61">
        <v>0</v>
      </c>
      <c r="U61">
        <v>0</v>
      </c>
      <c r="V61">
        <v>1</v>
      </c>
    </row>
    <row r="62" spans="1:22" x14ac:dyDescent="0.2">
      <c r="A62" t="s">
        <v>377</v>
      </c>
      <c r="B62" t="s">
        <v>108</v>
      </c>
      <c r="C62" t="s">
        <v>41</v>
      </c>
      <c r="D62" t="s">
        <v>72</v>
      </c>
      <c r="E62" t="s">
        <v>37</v>
      </c>
      <c r="F62" t="s">
        <v>47</v>
      </c>
      <c r="G62" t="s">
        <v>60</v>
      </c>
      <c r="H62" t="s">
        <v>59</v>
      </c>
      <c r="I62">
        <v>1</v>
      </c>
      <c r="J62">
        <v>0</v>
      </c>
      <c r="K62">
        <v>0</v>
      </c>
      <c r="L62">
        <v>1</v>
      </c>
      <c r="M62">
        <v>0</v>
      </c>
      <c r="N62">
        <v>0</v>
      </c>
      <c r="O62">
        <v>1</v>
      </c>
      <c r="P62">
        <v>1</v>
      </c>
      <c r="Q62">
        <v>0</v>
      </c>
      <c r="R62">
        <v>0</v>
      </c>
      <c r="S62">
        <v>1</v>
      </c>
      <c r="T62">
        <v>0</v>
      </c>
      <c r="U62">
        <v>0</v>
      </c>
      <c r="V62">
        <v>0</v>
      </c>
    </row>
    <row r="63" spans="1:22" x14ac:dyDescent="0.2">
      <c r="A63" t="s">
        <v>383</v>
      </c>
      <c r="B63" t="s">
        <v>108</v>
      </c>
      <c r="C63" t="s">
        <v>41</v>
      </c>
      <c r="D63" t="s">
        <v>61</v>
      </c>
      <c r="E63" t="s">
        <v>37</v>
      </c>
      <c r="F63" t="s">
        <v>46</v>
      </c>
      <c r="G63" t="s">
        <v>60</v>
      </c>
      <c r="H63" t="s">
        <v>65</v>
      </c>
      <c r="I63">
        <v>1</v>
      </c>
      <c r="J63">
        <v>1</v>
      </c>
      <c r="K63">
        <v>0</v>
      </c>
      <c r="L63">
        <v>0</v>
      </c>
      <c r="M63">
        <v>1</v>
      </c>
      <c r="N63">
        <v>0</v>
      </c>
      <c r="O63">
        <v>1</v>
      </c>
      <c r="P63">
        <v>1</v>
      </c>
      <c r="Q63">
        <v>1</v>
      </c>
      <c r="R63">
        <v>0</v>
      </c>
      <c r="S63">
        <v>0</v>
      </c>
      <c r="T63">
        <v>1</v>
      </c>
      <c r="U63">
        <v>0</v>
      </c>
      <c r="V63">
        <v>0</v>
      </c>
    </row>
    <row r="64" spans="1:22" x14ac:dyDescent="0.2">
      <c r="A64" t="s">
        <v>383</v>
      </c>
      <c r="B64" t="s">
        <v>108</v>
      </c>
      <c r="C64" t="s">
        <v>41</v>
      </c>
      <c r="D64" t="s">
        <v>42</v>
      </c>
      <c r="E64" t="s">
        <v>37</v>
      </c>
      <c r="F64" t="s">
        <v>47</v>
      </c>
      <c r="G64" t="s">
        <v>48</v>
      </c>
      <c r="H64" t="s">
        <v>60</v>
      </c>
      <c r="I64">
        <v>1</v>
      </c>
      <c r="J64">
        <v>0</v>
      </c>
      <c r="K64">
        <v>1</v>
      </c>
      <c r="L64">
        <v>1</v>
      </c>
      <c r="M64">
        <v>0</v>
      </c>
      <c r="N64">
        <v>0</v>
      </c>
      <c r="O64">
        <v>1</v>
      </c>
      <c r="P64">
        <v>1</v>
      </c>
      <c r="Q64">
        <v>0</v>
      </c>
      <c r="R64">
        <v>1</v>
      </c>
      <c r="S64">
        <v>1</v>
      </c>
      <c r="T64">
        <v>0</v>
      </c>
      <c r="U64">
        <v>0</v>
      </c>
      <c r="V64">
        <v>0</v>
      </c>
    </row>
    <row r="65" spans="1:22" x14ac:dyDescent="0.2">
      <c r="A65" t="s">
        <v>387</v>
      </c>
      <c r="B65" t="s">
        <v>108</v>
      </c>
      <c r="C65" t="s">
        <v>41</v>
      </c>
      <c r="D65" t="s">
        <v>72</v>
      </c>
      <c r="E65" t="s">
        <v>37</v>
      </c>
      <c r="F65" t="s">
        <v>46</v>
      </c>
      <c r="G65" t="s">
        <v>47</v>
      </c>
      <c r="H65" t="s">
        <v>60</v>
      </c>
      <c r="I65">
        <v>1</v>
      </c>
      <c r="J65">
        <v>0</v>
      </c>
      <c r="K65">
        <v>0</v>
      </c>
      <c r="L65">
        <v>1</v>
      </c>
      <c r="M65">
        <v>1</v>
      </c>
      <c r="N65">
        <v>0</v>
      </c>
      <c r="O65">
        <v>1</v>
      </c>
      <c r="P65">
        <v>1</v>
      </c>
      <c r="Q65">
        <v>0</v>
      </c>
      <c r="R65">
        <v>0</v>
      </c>
      <c r="S65">
        <v>0</v>
      </c>
      <c r="T65">
        <v>1</v>
      </c>
      <c r="U65">
        <v>0</v>
      </c>
      <c r="V65">
        <v>0</v>
      </c>
    </row>
    <row r="66" spans="1:22" x14ac:dyDescent="0.2">
      <c r="A66" t="s">
        <v>396</v>
      </c>
      <c r="B66" t="s">
        <v>397</v>
      </c>
      <c r="C66" t="s">
        <v>41</v>
      </c>
      <c r="D66" t="s">
        <v>42</v>
      </c>
      <c r="E66" t="s">
        <v>37</v>
      </c>
      <c r="F66" t="s">
        <v>48</v>
      </c>
      <c r="G66" t="s">
        <v>60</v>
      </c>
      <c r="H66" t="s">
        <v>65</v>
      </c>
      <c r="I66">
        <v>1</v>
      </c>
      <c r="J66">
        <v>1</v>
      </c>
      <c r="K66">
        <v>1</v>
      </c>
      <c r="L66">
        <v>0</v>
      </c>
      <c r="M66">
        <v>0</v>
      </c>
      <c r="N66">
        <v>0</v>
      </c>
      <c r="O66">
        <v>1</v>
      </c>
      <c r="P66">
        <v>1</v>
      </c>
      <c r="Q66">
        <v>0</v>
      </c>
      <c r="R66">
        <v>0</v>
      </c>
      <c r="S66">
        <v>0</v>
      </c>
      <c r="T66">
        <v>0</v>
      </c>
      <c r="U66">
        <v>0</v>
      </c>
      <c r="V66">
        <v>0</v>
      </c>
    </row>
    <row r="67" spans="1:22" x14ac:dyDescent="0.2">
      <c r="A67" t="s">
        <v>396</v>
      </c>
      <c r="B67" t="s">
        <v>397</v>
      </c>
      <c r="C67" t="s">
        <v>41</v>
      </c>
      <c r="D67" t="s">
        <v>72</v>
      </c>
      <c r="E67" t="s">
        <v>37</v>
      </c>
      <c r="F67" t="s">
        <v>46</v>
      </c>
      <c r="G67" t="s">
        <v>60</v>
      </c>
      <c r="H67" t="s">
        <v>47</v>
      </c>
      <c r="I67">
        <v>1</v>
      </c>
      <c r="J67">
        <v>0</v>
      </c>
      <c r="K67">
        <v>0</v>
      </c>
      <c r="L67">
        <v>1</v>
      </c>
      <c r="M67">
        <v>1</v>
      </c>
      <c r="N67">
        <v>0</v>
      </c>
      <c r="O67">
        <v>1</v>
      </c>
      <c r="P67">
        <v>1</v>
      </c>
      <c r="Q67">
        <v>0</v>
      </c>
      <c r="R67">
        <v>0</v>
      </c>
      <c r="S67">
        <v>0</v>
      </c>
      <c r="T67">
        <v>0</v>
      </c>
      <c r="U67">
        <v>0</v>
      </c>
      <c r="V67">
        <v>0</v>
      </c>
    </row>
    <row r="68" spans="1:22" x14ac:dyDescent="0.2">
      <c r="A68" t="s">
        <v>396</v>
      </c>
      <c r="B68" t="s">
        <v>397</v>
      </c>
      <c r="C68" t="s">
        <v>41</v>
      </c>
      <c r="D68" t="s">
        <v>61</v>
      </c>
      <c r="E68" t="s">
        <v>37</v>
      </c>
      <c r="F68" t="s">
        <v>60</v>
      </c>
      <c r="G68" t="s">
        <v>48</v>
      </c>
      <c r="H68" t="s">
        <v>65</v>
      </c>
      <c r="I68">
        <v>1</v>
      </c>
      <c r="J68">
        <v>1</v>
      </c>
      <c r="K68">
        <v>1</v>
      </c>
      <c r="L68">
        <v>0</v>
      </c>
      <c r="M68">
        <v>0</v>
      </c>
      <c r="N68">
        <v>0</v>
      </c>
      <c r="O68">
        <v>1</v>
      </c>
      <c r="P68">
        <v>1</v>
      </c>
      <c r="Q68">
        <v>0</v>
      </c>
      <c r="R68">
        <v>0</v>
      </c>
      <c r="S68">
        <v>0</v>
      </c>
      <c r="T68">
        <v>0</v>
      </c>
      <c r="U68">
        <v>0</v>
      </c>
      <c r="V68">
        <v>0</v>
      </c>
    </row>
    <row r="69" spans="1:22" x14ac:dyDescent="0.2">
      <c r="A69" t="s">
        <v>399</v>
      </c>
      <c r="B69" t="s">
        <v>108</v>
      </c>
      <c r="C69" t="s">
        <v>41</v>
      </c>
      <c r="D69" t="s">
        <v>61</v>
      </c>
      <c r="E69" t="s">
        <v>37</v>
      </c>
      <c r="F69" t="s">
        <v>60</v>
      </c>
      <c r="G69" t="s">
        <v>47</v>
      </c>
      <c r="H69" t="s">
        <v>46</v>
      </c>
      <c r="I69">
        <v>1</v>
      </c>
      <c r="J69">
        <v>0</v>
      </c>
      <c r="K69">
        <v>0</v>
      </c>
      <c r="L69">
        <v>1</v>
      </c>
      <c r="M69">
        <v>1</v>
      </c>
      <c r="N69">
        <v>0</v>
      </c>
      <c r="O69">
        <v>1</v>
      </c>
      <c r="P69">
        <v>1</v>
      </c>
      <c r="Q69">
        <v>0</v>
      </c>
      <c r="R69">
        <v>0</v>
      </c>
      <c r="S69">
        <v>1</v>
      </c>
      <c r="T69">
        <v>1</v>
      </c>
      <c r="U69">
        <v>0</v>
      </c>
      <c r="V69">
        <v>0</v>
      </c>
    </row>
    <row r="70" spans="1:22" x14ac:dyDescent="0.2">
      <c r="A70" t="s">
        <v>399</v>
      </c>
      <c r="B70" t="s">
        <v>108</v>
      </c>
      <c r="C70" t="s">
        <v>41</v>
      </c>
      <c r="D70" t="s">
        <v>67</v>
      </c>
      <c r="E70" t="s">
        <v>37</v>
      </c>
      <c r="F70" t="s">
        <v>47</v>
      </c>
      <c r="G70" t="s">
        <v>46</v>
      </c>
      <c r="H70" t="s">
        <v>60</v>
      </c>
      <c r="I70">
        <v>1</v>
      </c>
      <c r="J70">
        <v>0</v>
      </c>
      <c r="K70">
        <v>0</v>
      </c>
      <c r="L70">
        <v>1</v>
      </c>
      <c r="M70">
        <v>1</v>
      </c>
      <c r="N70">
        <v>0</v>
      </c>
      <c r="O70">
        <v>1</v>
      </c>
      <c r="P70">
        <v>1</v>
      </c>
      <c r="Q70">
        <v>0</v>
      </c>
      <c r="R70">
        <v>0</v>
      </c>
      <c r="S70">
        <v>1</v>
      </c>
      <c r="T70">
        <v>1</v>
      </c>
      <c r="U70">
        <v>0</v>
      </c>
      <c r="V70">
        <v>0</v>
      </c>
    </row>
    <row r="71" spans="1:22" x14ac:dyDescent="0.2">
      <c r="A71" t="s">
        <v>402</v>
      </c>
      <c r="B71" t="s">
        <v>108</v>
      </c>
      <c r="C71" t="s">
        <v>41</v>
      </c>
      <c r="D71" t="s">
        <v>61</v>
      </c>
      <c r="E71" t="s">
        <v>37</v>
      </c>
      <c r="F71" t="s">
        <v>46</v>
      </c>
      <c r="G71" t="s">
        <v>60</v>
      </c>
      <c r="H71" t="s">
        <v>48</v>
      </c>
      <c r="I71">
        <v>1</v>
      </c>
      <c r="J71">
        <v>0</v>
      </c>
      <c r="K71">
        <v>1</v>
      </c>
      <c r="L71">
        <v>0</v>
      </c>
      <c r="M71">
        <v>1</v>
      </c>
      <c r="N71">
        <v>0</v>
      </c>
      <c r="O71">
        <v>1</v>
      </c>
      <c r="P71">
        <v>1</v>
      </c>
      <c r="Q71">
        <v>0</v>
      </c>
      <c r="R71">
        <v>1</v>
      </c>
      <c r="S71">
        <v>0</v>
      </c>
      <c r="T71">
        <v>1</v>
      </c>
      <c r="U71">
        <v>0</v>
      </c>
      <c r="V71">
        <v>0</v>
      </c>
    </row>
    <row r="72" spans="1:22" x14ac:dyDescent="0.2">
      <c r="A72" t="s">
        <v>408</v>
      </c>
      <c r="B72" t="s">
        <v>108</v>
      </c>
      <c r="C72" t="s">
        <v>41</v>
      </c>
      <c r="D72" t="s">
        <v>67</v>
      </c>
      <c r="E72" t="s">
        <v>37</v>
      </c>
      <c r="F72" t="s">
        <v>48</v>
      </c>
      <c r="G72" t="s">
        <v>60</v>
      </c>
      <c r="H72" t="s">
        <v>65</v>
      </c>
      <c r="I72">
        <v>1</v>
      </c>
      <c r="J72">
        <v>1</v>
      </c>
      <c r="K72">
        <v>1</v>
      </c>
      <c r="L72">
        <v>0</v>
      </c>
      <c r="M72">
        <v>0</v>
      </c>
      <c r="N72">
        <v>0</v>
      </c>
      <c r="O72">
        <v>1</v>
      </c>
      <c r="P72">
        <v>1</v>
      </c>
      <c r="Q72">
        <v>1</v>
      </c>
      <c r="R72">
        <v>1</v>
      </c>
      <c r="S72">
        <v>0</v>
      </c>
      <c r="T72">
        <v>0</v>
      </c>
      <c r="U72">
        <v>0</v>
      </c>
      <c r="V72">
        <v>0</v>
      </c>
    </row>
    <row r="73" spans="1:22" x14ac:dyDescent="0.2">
      <c r="A73" t="s">
        <v>408</v>
      </c>
      <c r="B73" t="s">
        <v>108</v>
      </c>
      <c r="C73" t="s">
        <v>41</v>
      </c>
      <c r="D73" t="s">
        <v>55</v>
      </c>
      <c r="E73" t="s">
        <v>37</v>
      </c>
      <c r="F73" t="s">
        <v>46</v>
      </c>
      <c r="G73" t="s">
        <v>48</v>
      </c>
      <c r="H73" t="s">
        <v>60</v>
      </c>
      <c r="I73">
        <v>1</v>
      </c>
      <c r="J73">
        <v>0</v>
      </c>
      <c r="K73">
        <v>1</v>
      </c>
      <c r="L73">
        <v>0</v>
      </c>
      <c r="M73">
        <v>1</v>
      </c>
      <c r="N73">
        <v>0</v>
      </c>
      <c r="O73">
        <v>1</v>
      </c>
      <c r="P73">
        <v>1</v>
      </c>
      <c r="Q73">
        <v>0</v>
      </c>
      <c r="R73">
        <v>0</v>
      </c>
      <c r="S73">
        <v>0</v>
      </c>
      <c r="T73">
        <v>0</v>
      </c>
      <c r="U73">
        <v>0</v>
      </c>
      <c r="V73">
        <v>0</v>
      </c>
    </row>
    <row r="74" spans="1:22" x14ac:dyDescent="0.2">
      <c r="A74" t="s">
        <v>411</v>
      </c>
      <c r="B74" t="s">
        <v>33</v>
      </c>
      <c r="C74" t="s">
        <v>41</v>
      </c>
      <c r="D74" t="s">
        <v>42</v>
      </c>
      <c r="E74" t="s">
        <v>37</v>
      </c>
      <c r="F74" t="s">
        <v>65</v>
      </c>
      <c r="G74" t="s">
        <v>46</v>
      </c>
      <c r="H74" t="s">
        <v>60</v>
      </c>
      <c r="I74">
        <v>1</v>
      </c>
      <c r="J74">
        <v>1</v>
      </c>
      <c r="K74">
        <v>0</v>
      </c>
      <c r="L74">
        <v>0</v>
      </c>
      <c r="M74">
        <v>1</v>
      </c>
      <c r="N74">
        <v>0</v>
      </c>
      <c r="O74">
        <v>1</v>
      </c>
      <c r="P74">
        <v>1</v>
      </c>
      <c r="Q74">
        <v>1</v>
      </c>
      <c r="R74">
        <v>0</v>
      </c>
      <c r="S74">
        <v>0</v>
      </c>
      <c r="T74">
        <v>1</v>
      </c>
      <c r="U74">
        <v>0</v>
      </c>
      <c r="V74">
        <v>0</v>
      </c>
    </row>
    <row r="75" spans="1:22" x14ac:dyDescent="0.2">
      <c r="A75" t="s">
        <v>418</v>
      </c>
      <c r="B75" t="s">
        <v>33</v>
      </c>
      <c r="C75" t="s">
        <v>41</v>
      </c>
      <c r="D75" t="s">
        <v>72</v>
      </c>
      <c r="E75" t="s">
        <v>37</v>
      </c>
      <c r="F75" t="s">
        <v>65</v>
      </c>
      <c r="G75" t="s">
        <v>48</v>
      </c>
      <c r="H75" t="s">
        <v>60</v>
      </c>
      <c r="I75">
        <v>1</v>
      </c>
      <c r="J75">
        <v>1</v>
      </c>
      <c r="K75">
        <v>1</v>
      </c>
      <c r="L75">
        <v>0</v>
      </c>
      <c r="M75">
        <v>0</v>
      </c>
      <c r="N75">
        <v>0</v>
      </c>
      <c r="O75">
        <v>1</v>
      </c>
      <c r="P75">
        <v>1</v>
      </c>
      <c r="Q75">
        <v>1</v>
      </c>
      <c r="R75">
        <v>1</v>
      </c>
      <c r="S75">
        <v>0</v>
      </c>
      <c r="T75">
        <v>0</v>
      </c>
      <c r="U75">
        <v>0</v>
      </c>
      <c r="V75">
        <v>0</v>
      </c>
    </row>
    <row r="76" spans="1:22" x14ac:dyDescent="0.2">
      <c r="A76" t="s">
        <v>434</v>
      </c>
      <c r="B76" t="s">
        <v>108</v>
      </c>
      <c r="C76" t="s">
        <v>41</v>
      </c>
      <c r="D76" t="s">
        <v>72</v>
      </c>
      <c r="E76" t="s">
        <v>37</v>
      </c>
      <c r="F76" t="s">
        <v>60</v>
      </c>
      <c r="G76" t="s">
        <v>59</v>
      </c>
      <c r="H76" t="s">
        <v>47</v>
      </c>
      <c r="I76">
        <v>1</v>
      </c>
      <c r="J76">
        <v>0</v>
      </c>
      <c r="K76">
        <v>0</v>
      </c>
      <c r="L76">
        <v>1</v>
      </c>
      <c r="M76">
        <v>0</v>
      </c>
      <c r="N76">
        <v>0</v>
      </c>
      <c r="O76">
        <v>1</v>
      </c>
      <c r="P76">
        <v>1</v>
      </c>
      <c r="Q76">
        <v>0</v>
      </c>
      <c r="R76">
        <v>0</v>
      </c>
      <c r="S76">
        <v>1</v>
      </c>
      <c r="T76">
        <v>0</v>
      </c>
      <c r="U76">
        <v>0</v>
      </c>
      <c r="V76">
        <v>0</v>
      </c>
    </row>
    <row r="77" spans="1:22" x14ac:dyDescent="0.2">
      <c r="A77" t="s">
        <v>434</v>
      </c>
      <c r="B77" t="s">
        <v>108</v>
      </c>
      <c r="C77" t="s">
        <v>41</v>
      </c>
      <c r="D77" t="s">
        <v>42</v>
      </c>
      <c r="E77" t="s">
        <v>37</v>
      </c>
      <c r="F77" t="s">
        <v>46</v>
      </c>
      <c r="G77" t="s">
        <v>48</v>
      </c>
      <c r="H77" t="s">
        <v>60</v>
      </c>
      <c r="I77">
        <v>1</v>
      </c>
      <c r="J77">
        <v>0</v>
      </c>
      <c r="K77">
        <v>1</v>
      </c>
      <c r="L77">
        <v>0</v>
      </c>
      <c r="M77">
        <v>1</v>
      </c>
      <c r="N77">
        <v>0</v>
      </c>
      <c r="O77">
        <v>1</v>
      </c>
      <c r="P77">
        <v>1</v>
      </c>
      <c r="Q77">
        <v>0</v>
      </c>
      <c r="R77">
        <v>1</v>
      </c>
      <c r="S77">
        <v>0</v>
      </c>
      <c r="T77">
        <v>1</v>
      </c>
      <c r="U77">
        <v>0</v>
      </c>
      <c r="V77">
        <v>0</v>
      </c>
    </row>
    <row r="78" spans="1:22" x14ac:dyDescent="0.2">
      <c r="A78" t="s">
        <v>441</v>
      </c>
      <c r="B78" t="s">
        <v>33</v>
      </c>
      <c r="C78" t="s">
        <v>41</v>
      </c>
      <c r="D78" t="s">
        <v>49</v>
      </c>
      <c r="E78" t="s">
        <v>442</v>
      </c>
      <c r="F78" t="s">
        <v>47</v>
      </c>
      <c r="G78" t="s">
        <v>60</v>
      </c>
      <c r="H78" t="s">
        <v>46</v>
      </c>
      <c r="I78">
        <v>1</v>
      </c>
      <c r="J78">
        <v>0</v>
      </c>
      <c r="K78">
        <v>0</v>
      </c>
      <c r="L78">
        <v>1</v>
      </c>
      <c r="M78">
        <v>1</v>
      </c>
      <c r="N78">
        <v>0</v>
      </c>
      <c r="O78">
        <v>1</v>
      </c>
      <c r="P78">
        <v>1</v>
      </c>
      <c r="Q78">
        <v>0</v>
      </c>
      <c r="R78">
        <v>0</v>
      </c>
      <c r="S78">
        <v>0</v>
      </c>
      <c r="T78">
        <v>0</v>
      </c>
      <c r="U78">
        <v>0</v>
      </c>
      <c r="V78">
        <v>0</v>
      </c>
    </row>
    <row r="79" spans="1:22" x14ac:dyDescent="0.2">
      <c r="A79" t="s">
        <v>449</v>
      </c>
      <c r="B79" t="s">
        <v>108</v>
      </c>
      <c r="C79" t="s">
        <v>41</v>
      </c>
      <c r="D79" t="s">
        <v>72</v>
      </c>
      <c r="E79" t="s">
        <v>442</v>
      </c>
      <c r="F79" t="s">
        <v>46</v>
      </c>
      <c r="G79" t="s">
        <v>65</v>
      </c>
      <c r="H79" t="s">
        <v>60</v>
      </c>
      <c r="I79">
        <v>1</v>
      </c>
      <c r="J79">
        <v>1</v>
      </c>
      <c r="K79">
        <v>0</v>
      </c>
      <c r="L79">
        <v>0</v>
      </c>
      <c r="M79">
        <v>1</v>
      </c>
      <c r="N79">
        <v>0</v>
      </c>
      <c r="O79">
        <v>1</v>
      </c>
      <c r="P79">
        <v>1</v>
      </c>
      <c r="Q79">
        <v>1</v>
      </c>
      <c r="R79">
        <v>0</v>
      </c>
      <c r="S79">
        <v>0</v>
      </c>
      <c r="T79">
        <v>1</v>
      </c>
      <c r="U79">
        <v>0</v>
      </c>
      <c r="V79">
        <v>0</v>
      </c>
    </row>
    <row r="80" spans="1:22" x14ac:dyDescent="0.2">
      <c r="A80" t="s">
        <v>452</v>
      </c>
      <c r="B80" t="s">
        <v>188</v>
      </c>
      <c r="C80" t="s">
        <v>41</v>
      </c>
      <c r="D80" t="s">
        <v>55</v>
      </c>
      <c r="E80" t="s">
        <v>442</v>
      </c>
      <c r="F80" t="s">
        <v>60</v>
      </c>
      <c r="G80" t="s">
        <v>65</v>
      </c>
      <c r="H80" t="s">
        <v>47</v>
      </c>
      <c r="I80">
        <v>1</v>
      </c>
      <c r="J80">
        <v>1</v>
      </c>
      <c r="K80">
        <v>0</v>
      </c>
      <c r="L80">
        <v>1</v>
      </c>
      <c r="M80">
        <v>0</v>
      </c>
      <c r="N80">
        <v>0</v>
      </c>
      <c r="O80">
        <v>1</v>
      </c>
      <c r="P80">
        <v>1</v>
      </c>
      <c r="Q80">
        <v>0</v>
      </c>
      <c r="R80">
        <v>0</v>
      </c>
      <c r="S80">
        <v>0</v>
      </c>
      <c r="T80">
        <v>0</v>
      </c>
      <c r="U80">
        <v>0</v>
      </c>
      <c r="V80">
        <v>0</v>
      </c>
    </row>
    <row r="81" spans="1:22" x14ac:dyDescent="0.2">
      <c r="A81" t="s">
        <v>456</v>
      </c>
      <c r="B81" t="s">
        <v>33</v>
      </c>
      <c r="C81" t="s">
        <v>41</v>
      </c>
      <c r="D81" t="s">
        <v>61</v>
      </c>
      <c r="E81" t="s">
        <v>442</v>
      </c>
      <c r="F81" t="s">
        <v>48</v>
      </c>
      <c r="G81" t="s">
        <v>47</v>
      </c>
      <c r="H81" t="s">
        <v>60</v>
      </c>
      <c r="I81">
        <v>1</v>
      </c>
      <c r="J81">
        <v>0</v>
      </c>
      <c r="K81">
        <v>1</v>
      </c>
      <c r="L81">
        <v>1</v>
      </c>
      <c r="M81">
        <v>0</v>
      </c>
      <c r="N81">
        <v>0</v>
      </c>
      <c r="O81">
        <v>1</v>
      </c>
      <c r="P81">
        <v>1</v>
      </c>
      <c r="Q81">
        <v>0</v>
      </c>
      <c r="R81">
        <v>1</v>
      </c>
      <c r="S81">
        <v>1</v>
      </c>
      <c r="T81">
        <v>0</v>
      </c>
      <c r="U81">
        <v>0</v>
      </c>
      <c r="V81">
        <v>0</v>
      </c>
    </row>
    <row r="82" spans="1:22" x14ac:dyDescent="0.2">
      <c r="A82" t="s">
        <v>456</v>
      </c>
      <c r="B82" t="s">
        <v>33</v>
      </c>
      <c r="C82" t="s">
        <v>41</v>
      </c>
      <c r="D82" t="s">
        <v>49</v>
      </c>
      <c r="E82" t="s">
        <v>442</v>
      </c>
      <c r="F82" t="s">
        <v>59</v>
      </c>
      <c r="G82" t="s">
        <v>60</v>
      </c>
      <c r="H82" t="s">
        <v>46</v>
      </c>
      <c r="I82">
        <v>1</v>
      </c>
      <c r="J82">
        <v>0</v>
      </c>
      <c r="K82">
        <v>0</v>
      </c>
      <c r="L82">
        <v>0</v>
      </c>
      <c r="M82">
        <v>1</v>
      </c>
      <c r="N82">
        <v>0</v>
      </c>
      <c r="O82">
        <v>1</v>
      </c>
      <c r="P82">
        <v>1</v>
      </c>
      <c r="Q82">
        <v>0</v>
      </c>
      <c r="R82">
        <v>0</v>
      </c>
      <c r="S82">
        <v>0</v>
      </c>
      <c r="T82">
        <v>1</v>
      </c>
      <c r="U82">
        <v>0</v>
      </c>
      <c r="V82">
        <v>0</v>
      </c>
    </row>
    <row r="83" spans="1:22" x14ac:dyDescent="0.2">
      <c r="A83" t="s">
        <v>459</v>
      </c>
      <c r="B83" t="s">
        <v>188</v>
      </c>
      <c r="C83" t="s">
        <v>41</v>
      </c>
      <c r="D83" t="s">
        <v>67</v>
      </c>
      <c r="E83" t="s">
        <v>442</v>
      </c>
      <c r="F83" t="s">
        <v>48</v>
      </c>
      <c r="G83" t="s">
        <v>46</v>
      </c>
      <c r="H83" t="s">
        <v>60</v>
      </c>
      <c r="I83">
        <v>1</v>
      </c>
      <c r="J83">
        <v>0</v>
      </c>
      <c r="K83">
        <v>1</v>
      </c>
      <c r="L83">
        <v>0</v>
      </c>
      <c r="M83">
        <v>1</v>
      </c>
      <c r="N83">
        <v>0</v>
      </c>
      <c r="O83">
        <v>1</v>
      </c>
      <c r="P83">
        <v>1</v>
      </c>
      <c r="Q83">
        <v>0</v>
      </c>
      <c r="R83">
        <v>1</v>
      </c>
      <c r="S83">
        <v>0</v>
      </c>
      <c r="T83">
        <v>1</v>
      </c>
      <c r="U83">
        <v>0</v>
      </c>
      <c r="V83">
        <v>0</v>
      </c>
    </row>
    <row r="84" spans="1:22" x14ac:dyDescent="0.2">
      <c r="A84" t="s">
        <v>459</v>
      </c>
      <c r="B84" t="s">
        <v>188</v>
      </c>
      <c r="C84" t="s">
        <v>41</v>
      </c>
      <c r="D84" t="s">
        <v>49</v>
      </c>
      <c r="E84" t="s">
        <v>442</v>
      </c>
      <c r="F84" t="s">
        <v>60</v>
      </c>
      <c r="G84" t="s">
        <v>48</v>
      </c>
      <c r="H84" t="s">
        <v>46</v>
      </c>
      <c r="I84">
        <v>1</v>
      </c>
      <c r="J84">
        <v>0</v>
      </c>
      <c r="K84">
        <v>1</v>
      </c>
      <c r="L84">
        <v>0</v>
      </c>
      <c r="M84">
        <v>1</v>
      </c>
      <c r="N84">
        <v>0</v>
      </c>
      <c r="O84">
        <v>1</v>
      </c>
      <c r="P84">
        <v>1</v>
      </c>
      <c r="Q84">
        <v>0</v>
      </c>
      <c r="R84">
        <v>1</v>
      </c>
      <c r="S84">
        <v>0</v>
      </c>
      <c r="T84">
        <v>1</v>
      </c>
      <c r="U84">
        <v>0</v>
      </c>
      <c r="V84">
        <v>0</v>
      </c>
    </row>
    <row r="85" spans="1:22" x14ac:dyDescent="0.2">
      <c r="A85" t="s">
        <v>459</v>
      </c>
      <c r="B85" t="s">
        <v>188</v>
      </c>
      <c r="C85" t="s">
        <v>41</v>
      </c>
      <c r="D85" t="s">
        <v>72</v>
      </c>
      <c r="E85" t="s">
        <v>442</v>
      </c>
      <c r="F85" t="s">
        <v>65</v>
      </c>
      <c r="G85" t="s">
        <v>60</v>
      </c>
      <c r="H85" t="s">
        <v>47</v>
      </c>
      <c r="I85">
        <v>1</v>
      </c>
      <c r="J85">
        <v>1</v>
      </c>
      <c r="K85">
        <v>0</v>
      </c>
      <c r="L85">
        <v>1</v>
      </c>
      <c r="M85">
        <v>0</v>
      </c>
      <c r="N85">
        <v>0</v>
      </c>
      <c r="O85">
        <v>1</v>
      </c>
      <c r="P85">
        <v>1</v>
      </c>
      <c r="Q85">
        <v>1</v>
      </c>
      <c r="R85">
        <v>0</v>
      </c>
      <c r="S85">
        <v>1</v>
      </c>
      <c r="T85">
        <v>0</v>
      </c>
      <c r="U85">
        <v>0</v>
      </c>
      <c r="V85">
        <v>0</v>
      </c>
    </row>
    <row r="86" spans="1:22" x14ac:dyDescent="0.2">
      <c r="A86" t="s">
        <v>465</v>
      </c>
      <c r="B86" t="s">
        <v>33</v>
      </c>
      <c r="C86" t="s">
        <v>41</v>
      </c>
      <c r="D86" t="s">
        <v>67</v>
      </c>
      <c r="E86" t="s">
        <v>442</v>
      </c>
      <c r="F86" t="s">
        <v>60</v>
      </c>
      <c r="G86" t="s">
        <v>47</v>
      </c>
      <c r="H86" t="s">
        <v>48</v>
      </c>
      <c r="I86">
        <v>1</v>
      </c>
      <c r="J86">
        <v>0</v>
      </c>
      <c r="K86">
        <v>1</v>
      </c>
      <c r="L86">
        <v>1</v>
      </c>
      <c r="M86">
        <v>0</v>
      </c>
      <c r="N86">
        <v>0</v>
      </c>
      <c r="O86">
        <v>1</v>
      </c>
      <c r="P86">
        <v>1</v>
      </c>
      <c r="Q86">
        <v>0</v>
      </c>
      <c r="R86">
        <v>1</v>
      </c>
      <c r="S86">
        <v>1</v>
      </c>
      <c r="T86">
        <v>0</v>
      </c>
      <c r="U86">
        <v>0</v>
      </c>
      <c r="V86">
        <v>0</v>
      </c>
    </row>
    <row r="87" spans="1:22" x14ac:dyDescent="0.2">
      <c r="A87" t="s">
        <v>465</v>
      </c>
      <c r="B87" t="s">
        <v>33</v>
      </c>
      <c r="C87" t="s">
        <v>41</v>
      </c>
      <c r="D87" t="s">
        <v>42</v>
      </c>
      <c r="E87" t="s">
        <v>442</v>
      </c>
      <c r="F87" t="s">
        <v>48</v>
      </c>
      <c r="G87" t="s">
        <v>60</v>
      </c>
      <c r="H87" t="s">
        <v>65</v>
      </c>
      <c r="I87">
        <v>1</v>
      </c>
      <c r="J87">
        <v>1</v>
      </c>
      <c r="K87">
        <v>1</v>
      </c>
      <c r="L87">
        <v>0</v>
      </c>
      <c r="M87">
        <v>0</v>
      </c>
      <c r="N87">
        <v>0</v>
      </c>
      <c r="O87">
        <v>1</v>
      </c>
      <c r="P87">
        <v>1</v>
      </c>
      <c r="Q87">
        <v>1</v>
      </c>
      <c r="R87">
        <v>1</v>
      </c>
      <c r="S87">
        <v>0</v>
      </c>
      <c r="T87">
        <v>0</v>
      </c>
      <c r="U87">
        <v>0</v>
      </c>
      <c r="V87">
        <v>0</v>
      </c>
    </row>
    <row r="88" spans="1:22" x14ac:dyDescent="0.2">
      <c r="A88" t="s">
        <v>465</v>
      </c>
      <c r="B88" t="s">
        <v>33</v>
      </c>
      <c r="C88" t="s">
        <v>41</v>
      </c>
      <c r="D88" t="s">
        <v>55</v>
      </c>
      <c r="E88" t="s">
        <v>442</v>
      </c>
      <c r="F88" t="s">
        <v>47</v>
      </c>
      <c r="G88" t="s">
        <v>60</v>
      </c>
      <c r="H88" t="s">
        <v>46</v>
      </c>
      <c r="I88">
        <v>1</v>
      </c>
      <c r="J88">
        <v>0</v>
      </c>
      <c r="K88">
        <v>0</v>
      </c>
      <c r="L88">
        <v>1</v>
      </c>
      <c r="M88">
        <v>1</v>
      </c>
      <c r="N88">
        <v>0</v>
      </c>
      <c r="O88">
        <v>1</v>
      </c>
      <c r="P88">
        <v>1</v>
      </c>
      <c r="Q88">
        <v>0</v>
      </c>
      <c r="R88">
        <v>0</v>
      </c>
      <c r="S88">
        <v>1</v>
      </c>
      <c r="T88">
        <v>1</v>
      </c>
      <c r="U88">
        <v>0</v>
      </c>
      <c r="V88">
        <v>0</v>
      </c>
    </row>
    <row r="89" spans="1:22" x14ac:dyDescent="0.2">
      <c r="A89" t="s">
        <v>465</v>
      </c>
      <c r="B89" t="s">
        <v>33</v>
      </c>
      <c r="C89" t="s">
        <v>41</v>
      </c>
      <c r="D89" t="s">
        <v>61</v>
      </c>
      <c r="E89" t="s">
        <v>442</v>
      </c>
      <c r="F89" t="s">
        <v>46</v>
      </c>
      <c r="G89" t="s">
        <v>47</v>
      </c>
      <c r="H89" t="s">
        <v>60</v>
      </c>
      <c r="I89">
        <v>1</v>
      </c>
      <c r="J89">
        <v>0</v>
      </c>
      <c r="K89">
        <v>0</v>
      </c>
      <c r="L89">
        <v>1</v>
      </c>
      <c r="M89">
        <v>1</v>
      </c>
      <c r="N89">
        <v>0</v>
      </c>
      <c r="O89">
        <v>1</v>
      </c>
      <c r="P89">
        <v>1</v>
      </c>
      <c r="Q89">
        <v>0</v>
      </c>
      <c r="R89">
        <v>0</v>
      </c>
      <c r="S89">
        <v>1</v>
      </c>
      <c r="T89">
        <v>1</v>
      </c>
      <c r="U89">
        <v>0</v>
      </c>
      <c r="V89">
        <v>0</v>
      </c>
    </row>
    <row r="90" spans="1:22" x14ac:dyDescent="0.2">
      <c r="A90" t="s">
        <v>467</v>
      </c>
      <c r="B90" t="s">
        <v>108</v>
      </c>
      <c r="C90" t="s">
        <v>41</v>
      </c>
      <c r="D90" t="s">
        <v>42</v>
      </c>
      <c r="E90" t="s">
        <v>442</v>
      </c>
      <c r="F90" t="s">
        <v>60</v>
      </c>
      <c r="G90" t="s">
        <v>48</v>
      </c>
      <c r="H90" t="s">
        <v>59</v>
      </c>
      <c r="I90">
        <v>1</v>
      </c>
      <c r="J90">
        <v>0</v>
      </c>
      <c r="K90">
        <v>1</v>
      </c>
      <c r="L90">
        <v>0</v>
      </c>
      <c r="M90">
        <v>0</v>
      </c>
      <c r="N90">
        <v>0</v>
      </c>
      <c r="O90">
        <v>1</v>
      </c>
      <c r="P90">
        <v>1</v>
      </c>
      <c r="Q90">
        <v>0</v>
      </c>
      <c r="R90">
        <v>0</v>
      </c>
      <c r="S90">
        <v>0</v>
      </c>
      <c r="T90">
        <v>0</v>
      </c>
      <c r="U90">
        <v>0</v>
      </c>
      <c r="V90">
        <v>0</v>
      </c>
    </row>
    <row r="91" spans="1:22" x14ac:dyDescent="0.2">
      <c r="A91" t="s">
        <v>471</v>
      </c>
      <c r="B91" t="s">
        <v>108</v>
      </c>
      <c r="C91" t="s">
        <v>41</v>
      </c>
      <c r="D91" t="s">
        <v>61</v>
      </c>
      <c r="E91" t="s">
        <v>442</v>
      </c>
      <c r="F91" t="s">
        <v>48</v>
      </c>
      <c r="G91" t="s">
        <v>60</v>
      </c>
      <c r="H91" t="s">
        <v>59</v>
      </c>
      <c r="I91">
        <v>1</v>
      </c>
      <c r="J91">
        <v>0</v>
      </c>
      <c r="K91">
        <v>1</v>
      </c>
      <c r="L91">
        <v>0</v>
      </c>
      <c r="M91">
        <v>0</v>
      </c>
      <c r="N91">
        <v>0</v>
      </c>
      <c r="O91">
        <v>1</v>
      </c>
      <c r="P91">
        <v>1</v>
      </c>
      <c r="Q91">
        <v>0</v>
      </c>
      <c r="R91">
        <v>0</v>
      </c>
      <c r="S91">
        <v>0</v>
      </c>
      <c r="T91">
        <v>0</v>
      </c>
      <c r="U91">
        <v>0</v>
      </c>
      <c r="V91">
        <v>0</v>
      </c>
    </row>
    <row r="92" spans="1:22" x14ac:dyDescent="0.2">
      <c r="A92" t="s">
        <v>481</v>
      </c>
      <c r="B92" t="s">
        <v>108</v>
      </c>
      <c r="C92" t="s">
        <v>41</v>
      </c>
      <c r="D92" t="s">
        <v>49</v>
      </c>
      <c r="E92" t="s">
        <v>442</v>
      </c>
      <c r="F92" t="s">
        <v>60</v>
      </c>
      <c r="G92" t="s">
        <v>65</v>
      </c>
      <c r="H92" t="s">
        <v>59</v>
      </c>
      <c r="I92">
        <v>1</v>
      </c>
      <c r="J92">
        <v>1</v>
      </c>
      <c r="K92">
        <v>0</v>
      </c>
      <c r="L92">
        <v>0</v>
      </c>
      <c r="M92">
        <v>0</v>
      </c>
      <c r="N92">
        <v>0</v>
      </c>
      <c r="O92">
        <v>1</v>
      </c>
      <c r="P92">
        <v>1</v>
      </c>
      <c r="Q92">
        <v>1</v>
      </c>
      <c r="R92">
        <v>0</v>
      </c>
      <c r="S92">
        <v>0</v>
      </c>
      <c r="T92">
        <v>0</v>
      </c>
      <c r="U92">
        <v>0</v>
      </c>
      <c r="V92">
        <v>0</v>
      </c>
    </row>
    <row r="93" spans="1:22" x14ac:dyDescent="0.2">
      <c r="A93" t="s">
        <v>484</v>
      </c>
      <c r="B93" t="s">
        <v>108</v>
      </c>
      <c r="C93" t="s">
        <v>41</v>
      </c>
      <c r="D93" t="s">
        <v>55</v>
      </c>
      <c r="E93" t="s">
        <v>442</v>
      </c>
      <c r="F93" t="s">
        <v>60</v>
      </c>
      <c r="G93" t="s">
        <v>46</v>
      </c>
      <c r="H93" t="s">
        <v>65</v>
      </c>
      <c r="I93">
        <v>1</v>
      </c>
      <c r="J93">
        <v>1</v>
      </c>
      <c r="K93">
        <v>0</v>
      </c>
      <c r="L93">
        <v>0</v>
      </c>
      <c r="M93">
        <v>1</v>
      </c>
      <c r="N93">
        <v>0</v>
      </c>
      <c r="O93">
        <v>1</v>
      </c>
      <c r="P93">
        <v>1</v>
      </c>
      <c r="Q93">
        <v>1</v>
      </c>
      <c r="R93">
        <v>0</v>
      </c>
      <c r="S93">
        <v>0</v>
      </c>
      <c r="T93">
        <v>1</v>
      </c>
      <c r="U93">
        <v>0</v>
      </c>
      <c r="V93">
        <v>0</v>
      </c>
    </row>
    <row r="94" spans="1:22" x14ac:dyDescent="0.2">
      <c r="A94" t="s">
        <v>484</v>
      </c>
      <c r="B94" t="s">
        <v>108</v>
      </c>
      <c r="C94" t="s">
        <v>41</v>
      </c>
      <c r="D94" t="s">
        <v>42</v>
      </c>
      <c r="E94" t="s">
        <v>442</v>
      </c>
      <c r="F94" t="s">
        <v>65</v>
      </c>
      <c r="G94" t="s">
        <v>60</v>
      </c>
      <c r="H94" t="s">
        <v>46</v>
      </c>
      <c r="I94">
        <v>1</v>
      </c>
      <c r="J94">
        <v>1</v>
      </c>
      <c r="K94">
        <v>0</v>
      </c>
      <c r="L94">
        <v>0</v>
      </c>
      <c r="M94">
        <v>1</v>
      </c>
      <c r="N94">
        <v>0</v>
      </c>
      <c r="O94">
        <v>1</v>
      </c>
      <c r="P94">
        <v>1</v>
      </c>
      <c r="Q94">
        <v>1</v>
      </c>
      <c r="R94">
        <v>0</v>
      </c>
      <c r="S94">
        <v>0</v>
      </c>
      <c r="T94">
        <v>1</v>
      </c>
      <c r="U94">
        <v>0</v>
      </c>
      <c r="V94">
        <v>0</v>
      </c>
    </row>
    <row r="95" spans="1:22" x14ac:dyDescent="0.2">
      <c r="A95" t="s">
        <v>484</v>
      </c>
      <c r="B95" t="s">
        <v>108</v>
      </c>
      <c r="C95" t="s">
        <v>41</v>
      </c>
      <c r="D95" t="s">
        <v>61</v>
      </c>
      <c r="E95" t="s">
        <v>442</v>
      </c>
      <c r="F95" t="s">
        <v>46</v>
      </c>
      <c r="G95" t="s">
        <v>47</v>
      </c>
      <c r="H95" t="s">
        <v>60</v>
      </c>
      <c r="I95">
        <v>1</v>
      </c>
      <c r="J95">
        <v>0</v>
      </c>
      <c r="K95">
        <v>0</v>
      </c>
      <c r="L95">
        <v>1</v>
      </c>
      <c r="M95">
        <v>1</v>
      </c>
      <c r="N95">
        <v>0</v>
      </c>
      <c r="O95">
        <v>1</v>
      </c>
      <c r="P95">
        <v>1</v>
      </c>
      <c r="Q95">
        <v>0</v>
      </c>
      <c r="R95">
        <v>0</v>
      </c>
      <c r="S95">
        <v>1</v>
      </c>
      <c r="T95">
        <v>1</v>
      </c>
      <c r="U95">
        <v>0</v>
      </c>
      <c r="V95">
        <v>0</v>
      </c>
    </row>
    <row r="96" spans="1:22" x14ac:dyDescent="0.2">
      <c r="A96" t="s">
        <v>488</v>
      </c>
      <c r="B96" t="s">
        <v>108</v>
      </c>
      <c r="C96" t="s">
        <v>41</v>
      </c>
      <c r="D96" t="s">
        <v>72</v>
      </c>
      <c r="E96" t="s">
        <v>442</v>
      </c>
      <c r="F96" t="s">
        <v>47</v>
      </c>
      <c r="G96" t="s">
        <v>48</v>
      </c>
      <c r="H96" t="s">
        <v>60</v>
      </c>
      <c r="I96">
        <v>1</v>
      </c>
      <c r="J96">
        <v>0</v>
      </c>
      <c r="K96">
        <v>1</v>
      </c>
      <c r="L96">
        <v>1</v>
      </c>
      <c r="M96">
        <v>0</v>
      </c>
      <c r="N96">
        <v>0</v>
      </c>
      <c r="O96">
        <v>1</v>
      </c>
      <c r="P96">
        <v>1</v>
      </c>
      <c r="Q96">
        <v>0</v>
      </c>
      <c r="R96">
        <v>0</v>
      </c>
      <c r="S96">
        <v>0</v>
      </c>
      <c r="T96">
        <v>0</v>
      </c>
      <c r="U96">
        <v>0</v>
      </c>
      <c r="V96">
        <v>0</v>
      </c>
    </row>
    <row r="97" spans="1:22" x14ac:dyDescent="0.2">
      <c r="A97" t="s">
        <v>488</v>
      </c>
      <c r="B97" t="s">
        <v>108</v>
      </c>
      <c r="C97" t="s">
        <v>41</v>
      </c>
      <c r="D97" t="s">
        <v>55</v>
      </c>
      <c r="E97" t="s">
        <v>442</v>
      </c>
      <c r="F97" t="s">
        <v>60</v>
      </c>
      <c r="G97" t="s">
        <v>46</v>
      </c>
      <c r="H97" t="s">
        <v>47</v>
      </c>
      <c r="I97">
        <v>1</v>
      </c>
      <c r="J97">
        <v>0</v>
      </c>
      <c r="K97">
        <v>0</v>
      </c>
      <c r="L97">
        <v>1</v>
      </c>
      <c r="M97">
        <v>1</v>
      </c>
      <c r="N97">
        <v>0</v>
      </c>
      <c r="O97">
        <v>1</v>
      </c>
      <c r="P97">
        <v>1</v>
      </c>
      <c r="Q97">
        <v>0</v>
      </c>
      <c r="R97">
        <v>0</v>
      </c>
      <c r="S97">
        <v>0</v>
      </c>
      <c r="T97">
        <v>0</v>
      </c>
      <c r="U97">
        <v>0</v>
      </c>
      <c r="V97">
        <v>0</v>
      </c>
    </row>
    <row r="98" spans="1:22" x14ac:dyDescent="0.2">
      <c r="A98" t="s">
        <v>488</v>
      </c>
      <c r="B98" t="s">
        <v>108</v>
      </c>
      <c r="C98" t="s">
        <v>41</v>
      </c>
      <c r="D98" t="s">
        <v>67</v>
      </c>
      <c r="E98" t="s">
        <v>442</v>
      </c>
      <c r="F98" t="s">
        <v>65</v>
      </c>
      <c r="G98" t="s">
        <v>48</v>
      </c>
      <c r="H98" t="s">
        <v>60</v>
      </c>
      <c r="I98">
        <v>1</v>
      </c>
      <c r="J98">
        <v>1</v>
      </c>
      <c r="K98">
        <v>1</v>
      </c>
      <c r="L98">
        <v>0</v>
      </c>
      <c r="M98">
        <v>0</v>
      </c>
      <c r="N98">
        <v>0</v>
      </c>
      <c r="O98">
        <v>1</v>
      </c>
      <c r="P98">
        <v>1</v>
      </c>
      <c r="Q98">
        <v>0</v>
      </c>
      <c r="R98">
        <v>0</v>
      </c>
      <c r="S98">
        <v>0</v>
      </c>
      <c r="T98">
        <v>0</v>
      </c>
      <c r="U98">
        <v>0</v>
      </c>
      <c r="V98">
        <v>0</v>
      </c>
    </row>
    <row r="99" spans="1:22" x14ac:dyDescent="0.2">
      <c r="A99" t="s">
        <v>498</v>
      </c>
      <c r="B99" t="s">
        <v>33</v>
      </c>
      <c r="C99" t="s">
        <v>41</v>
      </c>
      <c r="D99" t="s">
        <v>55</v>
      </c>
      <c r="E99" t="s">
        <v>442</v>
      </c>
      <c r="F99" t="s">
        <v>46</v>
      </c>
      <c r="G99" t="s">
        <v>60</v>
      </c>
      <c r="H99" t="s">
        <v>65</v>
      </c>
      <c r="I99">
        <v>1</v>
      </c>
      <c r="J99">
        <v>1</v>
      </c>
      <c r="K99">
        <v>0</v>
      </c>
      <c r="L99">
        <v>0</v>
      </c>
      <c r="M99">
        <v>1</v>
      </c>
      <c r="N99">
        <v>0</v>
      </c>
      <c r="O99">
        <v>1</v>
      </c>
      <c r="P99">
        <v>1</v>
      </c>
      <c r="Q99">
        <v>1</v>
      </c>
      <c r="R99">
        <v>0</v>
      </c>
      <c r="S99">
        <v>0</v>
      </c>
      <c r="T99">
        <v>1</v>
      </c>
      <c r="U99">
        <v>0</v>
      </c>
      <c r="V99">
        <v>0</v>
      </c>
    </row>
    <row r="100" spans="1:22" x14ac:dyDescent="0.2">
      <c r="A100" t="s">
        <v>498</v>
      </c>
      <c r="B100" t="s">
        <v>33</v>
      </c>
      <c r="C100" t="s">
        <v>41</v>
      </c>
      <c r="D100" t="s">
        <v>72</v>
      </c>
      <c r="E100" t="s">
        <v>442</v>
      </c>
      <c r="F100" t="s">
        <v>48</v>
      </c>
      <c r="G100" t="s">
        <v>60</v>
      </c>
      <c r="H100" t="s">
        <v>47</v>
      </c>
      <c r="I100">
        <v>1</v>
      </c>
      <c r="J100">
        <v>0</v>
      </c>
      <c r="K100">
        <v>1</v>
      </c>
      <c r="L100">
        <v>1</v>
      </c>
      <c r="M100">
        <v>0</v>
      </c>
      <c r="N100">
        <v>0</v>
      </c>
      <c r="O100">
        <v>1</v>
      </c>
      <c r="P100">
        <v>1</v>
      </c>
      <c r="Q100">
        <v>0</v>
      </c>
      <c r="R100">
        <v>1</v>
      </c>
      <c r="S100">
        <v>1</v>
      </c>
      <c r="T100">
        <v>0</v>
      </c>
      <c r="U100">
        <v>0</v>
      </c>
      <c r="V100">
        <v>0</v>
      </c>
    </row>
    <row r="101" spans="1:22" x14ac:dyDescent="0.2">
      <c r="A101" t="s">
        <v>498</v>
      </c>
      <c r="B101" t="s">
        <v>33</v>
      </c>
      <c r="C101" t="s">
        <v>41</v>
      </c>
      <c r="D101" t="s">
        <v>49</v>
      </c>
      <c r="E101" t="s">
        <v>442</v>
      </c>
      <c r="F101" t="s">
        <v>60</v>
      </c>
      <c r="G101" t="s">
        <v>59</v>
      </c>
      <c r="H101" t="s">
        <v>48</v>
      </c>
      <c r="I101">
        <v>1</v>
      </c>
      <c r="J101">
        <v>0</v>
      </c>
      <c r="K101">
        <v>1</v>
      </c>
      <c r="L101">
        <v>0</v>
      </c>
      <c r="M101">
        <v>0</v>
      </c>
      <c r="N101">
        <v>0</v>
      </c>
      <c r="O101">
        <v>1</v>
      </c>
      <c r="P101">
        <v>1</v>
      </c>
      <c r="Q101">
        <v>0</v>
      </c>
      <c r="R101">
        <v>1</v>
      </c>
      <c r="S101">
        <v>0</v>
      </c>
      <c r="T101">
        <v>0</v>
      </c>
      <c r="U101">
        <v>0</v>
      </c>
      <c r="V101">
        <v>0</v>
      </c>
    </row>
    <row r="102" spans="1:22" x14ac:dyDescent="0.2">
      <c r="A102" t="s">
        <v>498</v>
      </c>
      <c r="B102" t="s">
        <v>33</v>
      </c>
      <c r="C102" t="s">
        <v>41</v>
      </c>
      <c r="D102" t="s">
        <v>67</v>
      </c>
      <c r="E102" t="s">
        <v>442</v>
      </c>
      <c r="F102" t="s">
        <v>60</v>
      </c>
      <c r="G102" t="s">
        <v>47</v>
      </c>
      <c r="H102" t="s">
        <v>65</v>
      </c>
      <c r="I102">
        <v>1</v>
      </c>
      <c r="J102">
        <v>1</v>
      </c>
      <c r="K102">
        <v>0</v>
      </c>
      <c r="L102">
        <v>1</v>
      </c>
      <c r="M102">
        <v>0</v>
      </c>
      <c r="N102">
        <v>0</v>
      </c>
      <c r="O102">
        <v>1</v>
      </c>
      <c r="P102">
        <v>1</v>
      </c>
      <c r="Q102">
        <v>1</v>
      </c>
      <c r="R102">
        <v>0</v>
      </c>
      <c r="S102">
        <v>1</v>
      </c>
      <c r="T102">
        <v>0</v>
      </c>
      <c r="U102">
        <v>0</v>
      </c>
      <c r="V102">
        <v>0</v>
      </c>
    </row>
    <row r="103" spans="1:22" x14ac:dyDescent="0.2">
      <c r="A103" t="s">
        <v>506</v>
      </c>
      <c r="B103" t="s">
        <v>108</v>
      </c>
      <c r="C103" t="s">
        <v>41</v>
      </c>
      <c r="D103" t="s">
        <v>42</v>
      </c>
      <c r="E103" t="s">
        <v>442</v>
      </c>
      <c r="F103" t="s">
        <v>46</v>
      </c>
      <c r="G103" t="s">
        <v>60</v>
      </c>
      <c r="H103" t="s">
        <v>65</v>
      </c>
      <c r="I103">
        <v>1</v>
      </c>
      <c r="J103">
        <v>1</v>
      </c>
      <c r="K103">
        <v>0</v>
      </c>
      <c r="L103">
        <v>0</v>
      </c>
      <c r="M103">
        <v>1</v>
      </c>
      <c r="N103">
        <v>0</v>
      </c>
      <c r="O103">
        <v>1</v>
      </c>
      <c r="P103">
        <v>1</v>
      </c>
      <c r="Q103">
        <v>1</v>
      </c>
      <c r="R103">
        <v>0</v>
      </c>
      <c r="S103">
        <v>0</v>
      </c>
      <c r="T103">
        <v>0</v>
      </c>
      <c r="U103">
        <v>0</v>
      </c>
      <c r="V103">
        <v>0</v>
      </c>
    </row>
    <row r="104" spans="1:22" x14ac:dyDescent="0.2">
      <c r="A104" t="s">
        <v>518</v>
      </c>
      <c r="B104" t="s">
        <v>108</v>
      </c>
      <c r="C104" t="s">
        <v>41</v>
      </c>
      <c r="D104" t="s">
        <v>67</v>
      </c>
      <c r="E104" t="s">
        <v>442</v>
      </c>
      <c r="F104" t="s">
        <v>60</v>
      </c>
      <c r="G104" t="s">
        <v>65</v>
      </c>
      <c r="H104" t="s">
        <v>47</v>
      </c>
      <c r="I104">
        <v>1</v>
      </c>
      <c r="J104">
        <v>1</v>
      </c>
      <c r="K104">
        <v>0</v>
      </c>
      <c r="L104">
        <v>1</v>
      </c>
      <c r="M104">
        <v>0</v>
      </c>
      <c r="N104">
        <v>0</v>
      </c>
      <c r="O104">
        <v>1</v>
      </c>
      <c r="P104">
        <v>1</v>
      </c>
      <c r="Q104">
        <v>1</v>
      </c>
      <c r="R104">
        <v>0</v>
      </c>
      <c r="S104">
        <v>1</v>
      </c>
      <c r="T104">
        <v>0</v>
      </c>
      <c r="U104">
        <v>0</v>
      </c>
      <c r="V104">
        <v>0</v>
      </c>
    </row>
    <row r="105" spans="1:22" x14ac:dyDescent="0.2">
      <c r="A105" t="s">
        <v>518</v>
      </c>
      <c r="B105" t="s">
        <v>108</v>
      </c>
      <c r="C105" t="s">
        <v>41</v>
      </c>
      <c r="D105" t="s">
        <v>61</v>
      </c>
      <c r="E105" t="s">
        <v>442</v>
      </c>
      <c r="F105" t="s">
        <v>47</v>
      </c>
      <c r="G105" t="s">
        <v>65</v>
      </c>
      <c r="H105" t="s">
        <v>60</v>
      </c>
      <c r="I105">
        <v>1</v>
      </c>
      <c r="J105">
        <v>1</v>
      </c>
      <c r="K105">
        <v>0</v>
      </c>
      <c r="L105">
        <v>1</v>
      </c>
      <c r="M105">
        <v>0</v>
      </c>
      <c r="N105">
        <v>0</v>
      </c>
      <c r="O105">
        <v>1</v>
      </c>
      <c r="P105">
        <v>1</v>
      </c>
      <c r="Q105">
        <v>1</v>
      </c>
      <c r="R105">
        <v>0</v>
      </c>
      <c r="S105">
        <v>1</v>
      </c>
      <c r="T105">
        <v>0</v>
      </c>
      <c r="U105">
        <v>0</v>
      </c>
      <c r="V105">
        <v>0</v>
      </c>
    </row>
    <row r="106" spans="1:22" x14ac:dyDescent="0.2">
      <c r="A106" t="s">
        <v>518</v>
      </c>
      <c r="B106" t="s">
        <v>108</v>
      </c>
      <c r="C106" t="s">
        <v>41</v>
      </c>
      <c r="D106" t="s">
        <v>42</v>
      </c>
      <c r="E106" t="s">
        <v>442</v>
      </c>
      <c r="F106" t="s">
        <v>60</v>
      </c>
      <c r="G106" t="s">
        <v>48</v>
      </c>
      <c r="H106" t="s">
        <v>65</v>
      </c>
      <c r="I106">
        <v>1</v>
      </c>
      <c r="J106">
        <v>1</v>
      </c>
      <c r="K106">
        <v>1</v>
      </c>
      <c r="L106">
        <v>0</v>
      </c>
      <c r="M106">
        <v>0</v>
      </c>
      <c r="N106">
        <v>0</v>
      </c>
      <c r="O106">
        <v>1</v>
      </c>
      <c r="P106">
        <v>1</v>
      </c>
      <c r="Q106">
        <v>1</v>
      </c>
      <c r="R106">
        <v>1</v>
      </c>
      <c r="S106">
        <v>0</v>
      </c>
      <c r="T106">
        <v>0</v>
      </c>
      <c r="U106">
        <v>0</v>
      </c>
      <c r="V106">
        <v>0</v>
      </c>
    </row>
    <row r="107" spans="1:22" x14ac:dyDescent="0.2">
      <c r="A107" t="s">
        <v>518</v>
      </c>
      <c r="B107" t="s">
        <v>108</v>
      </c>
      <c r="C107" t="s">
        <v>41</v>
      </c>
      <c r="D107" t="s">
        <v>55</v>
      </c>
      <c r="E107" t="s">
        <v>442</v>
      </c>
      <c r="F107" t="s">
        <v>65</v>
      </c>
      <c r="G107" t="s">
        <v>47</v>
      </c>
      <c r="H107" t="s">
        <v>60</v>
      </c>
      <c r="I107">
        <v>1</v>
      </c>
      <c r="J107">
        <v>1</v>
      </c>
      <c r="K107">
        <v>0</v>
      </c>
      <c r="L107">
        <v>1</v>
      </c>
      <c r="M107">
        <v>0</v>
      </c>
      <c r="N107">
        <v>0</v>
      </c>
      <c r="O107">
        <v>1</v>
      </c>
      <c r="P107">
        <v>1</v>
      </c>
      <c r="Q107">
        <v>1</v>
      </c>
      <c r="R107">
        <v>0</v>
      </c>
      <c r="S107">
        <v>1</v>
      </c>
      <c r="T107">
        <v>0</v>
      </c>
      <c r="U107">
        <v>0</v>
      </c>
      <c r="V107">
        <v>0</v>
      </c>
    </row>
    <row r="108" spans="1:22" x14ac:dyDescent="0.2">
      <c r="A108" t="s">
        <v>527</v>
      </c>
      <c r="B108" t="s">
        <v>108</v>
      </c>
      <c r="C108" t="s">
        <v>41</v>
      </c>
      <c r="D108" t="s">
        <v>49</v>
      </c>
      <c r="E108" t="s">
        <v>442</v>
      </c>
      <c r="F108" t="s">
        <v>60</v>
      </c>
      <c r="G108" t="s">
        <v>46</v>
      </c>
      <c r="H108" t="s">
        <v>65</v>
      </c>
      <c r="I108">
        <v>1</v>
      </c>
      <c r="J108">
        <v>1</v>
      </c>
      <c r="K108">
        <v>0</v>
      </c>
      <c r="L108">
        <v>0</v>
      </c>
      <c r="M108">
        <v>1</v>
      </c>
      <c r="N108">
        <v>0</v>
      </c>
      <c r="O108">
        <v>1</v>
      </c>
      <c r="P108">
        <v>1</v>
      </c>
      <c r="Q108">
        <v>1</v>
      </c>
      <c r="R108">
        <v>0</v>
      </c>
      <c r="S108">
        <v>0</v>
      </c>
      <c r="T108">
        <v>1</v>
      </c>
      <c r="U108">
        <v>0</v>
      </c>
      <c r="V108">
        <v>0</v>
      </c>
    </row>
    <row r="109" spans="1:22" x14ac:dyDescent="0.2">
      <c r="A109" t="s">
        <v>527</v>
      </c>
      <c r="B109" t="s">
        <v>108</v>
      </c>
      <c r="C109" t="s">
        <v>41</v>
      </c>
      <c r="D109" t="s">
        <v>72</v>
      </c>
      <c r="E109" t="s">
        <v>442</v>
      </c>
      <c r="F109" t="s">
        <v>60</v>
      </c>
      <c r="G109" t="s">
        <v>48</v>
      </c>
      <c r="H109" t="s">
        <v>46</v>
      </c>
      <c r="I109">
        <v>1</v>
      </c>
      <c r="J109">
        <v>0</v>
      </c>
      <c r="K109">
        <v>1</v>
      </c>
      <c r="L109">
        <v>0</v>
      </c>
      <c r="M109">
        <v>1</v>
      </c>
      <c r="N109">
        <v>0</v>
      </c>
      <c r="O109">
        <v>1</v>
      </c>
      <c r="P109">
        <v>1</v>
      </c>
      <c r="Q109">
        <v>0</v>
      </c>
      <c r="R109">
        <v>1</v>
      </c>
      <c r="S109">
        <v>0</v>
      </c>
      <c r="T109">
        <v>1</v>
      </c>
      <c r="U109">
        <v>0</v>
      </c>
      <c r="V109">
        <v>0</v>
      </c>
    </row>
    <row r="110" spans="1:22" x14ac:dyDescent="0.2">
      <c r="A110" t="s">
        <v>531</v>
      </c>
      <c r="B110" t="s">
        <v>108</v>
      </c>
      <c r="C110" t="s">
        <v>41</v>
      </c>
      <c r="D110" t="s">
        <v>67</v>
      </c>
      <c r="E110" t="s">
        <v>442</v>
      </c>
      <c r="F110" t="s">
        <v>59</v>
      </c>
      <c r="G110" t="s">
        <v>60</v>
      </c>
      <c r="H110" t="s">
        <v>47</v>
      </c>
      <c r="I110">
        <v>1</v>
      </c>
      <c r="J110">
        <v>0</v>
      </c>
      <c r="K110">
        <v>0</v>
      </c>
      <c r="L110">
        <v>1</v>
      </c>
      <c r="M110">
        <v>0</v>
      </c>
      <c r="N110">
        <v>0</v>
      </c>
      <c r="O110">
        <v>1</v>
      </c>
      <c r="P110">
        <v>1</v>
      </c>
      <c r="Q110">
        <v>0</v>
      </c>
      <c r="R110">
        <v>0</v>
      </c>
      <c r="S110">
        <v>1</v>
      </c>
      <c r="T110">
        <v>0</v>
      </c>
      <c r="U110">
        <v>0</v>
      </c>
      <c r="V110">
        <v>0</v>
      </c>
    </row>
    <row r="111" spans="1:22" x14ac:dyDescent="0.2">
      <c r="A111" t="s">
        <v>531</v>
      </c>
      <c r="B111" t="s">
        <v>108</v>
      </c>
      <c r="C111" t="s">
        <v>41</v>
      </c>
      <c r="D111" t="s">
        <v>55</v>
      </c>
      <c r="E111" t="s">
        <v>442</v>
      </c>
      <c r="F111" t="s">
        <v>60</v>
      </c>
      <c r="G111" t="s">
        <v>48</v>
      </c>
      <c r="H111" t="s">
        <v>65</v>
      </c>
      <c r="I111">
        <v>1</v>
      </c>
      <c r="J111">
        <v>1</v>
      </c>
      <c r="K111">
        <v>1</v>
      </c>
      <c r="L111">
        <v>0</v>
      </c>
      <c r="M111">
        <v>0</v>
      </c>
      <c r="N111">
        <v>0</v>
      </c>
      <c r="O111">
        <v>1</v>
      </c>
      <c r="P111">
        <v>1</v>
      </c>
      <c r="Q111">
        <v>1</v>
      </c>
      <c r="R111">
        <v>0</v>
      </c>
      <c r="S111">
        <v>0</v>
      </c>
      <c r="T111">
        <v>0</v>
      </c>
      <c r="U111">
        <v>0</v>
      </c>
      <c r="V111">
        <v>0</v>
      </c>
    </row>
    <row r="112" spans="1:22" x14ac:dyDescent="0.2">
      <c r="A112" t="s">
        <v>534</v>
      </c>
      <c r="B112" t="s">
        <v>108</v>
      </c>
      <c r="C112" t="s">
        <v>41</v>
      </c>
      <c r="D112" t="s">
        <v>67</v>
      </c>
      <c r="E112" t="s">
        <v>442</v>
      </c>
      <c r="F112" t="s">
        <v>48</v>
      </c>
      <c r="G112" t="s">
        <v>47</v>
      </c>
      <c r="H112" t="s">
        <v>60</v>
      </c>
      <c r="I112">
        <v>1</v>
      </c>
      <c r="J112">
        <v>0</v>
      </c>
      <c r="K112">
        <v>1</v>
      </c>
      <c r="L112">
        <v>1</v>
      </c>
      <c r="M112">
        <v>0</v>
      </c>
      <c r="N112">
        <v>0</v>
      </c>
      <c r="O112">
        <v>1</v>
      </c>
      <c r="P112">
        <v>1</v>
      </c>
      <c r="Q112">
        <v>0</v>
      </c>
      <c r="R112">
        <v>1</v>
      </c>
      <c r="S112">
        <v>1</v>
      </c>
      <c r="T112">
        <v>0</v>
      </c>
      <c r="U112">
        <v>0</v>
      </c>
      <c r="V112">
        <v>0</v>
      </c>
    </row>
    <row r="113" spans="1:22" x14ac:dyDescent="0.2">
      <c r="A113" t="s">
        <v>537</v>
      </c>
      <c r="B113" t="s">
        <v>33</v>
      </c>
      <c r="C113" t="s">
        <v>41</v>
      </c>
      <c r="D113" t="s">
        <v>61</v>
      </c>
      <c r="E113" t="s">
        <v>442</v>
      </c>
      <c r="F113" t="s">
        <v>46</v>
      </c>
      <c r="G113" t="s">
        <v>59</v>
      </c>
      <c r="H113" t="s">
        <v>60</v>
      </c>
      <c r="I113">
        <v>1</v>
      </c>
      <c r="J113">
        <v>0</v>
      </c>
      <c r="K113">
        <v>0</v>
      </c>
      <c r="L113">
        <v>0</v>
      </c>
      <c r="M113">
        <v>1</v>
      </c>
      <c r="N113">
        <v>0</v>
      </c>
      <c r="O113">
        <v>1</v>
      </c>
      <c r="P113">
        <v>1</v>
      </c>
      <c r="Q113">
        <v>0</v>
      </c>
      <c r="R113">
        <v>0</v>
      </c>
      <c r="S113">
        <v>0</v>
      </c>
      <c r="T113">
        <v>0</v>
      </c>
      <c r="U113">
        <v>0</v>
      </c>
      <c r="V113">
        <v>0</v>
      </c>
    </row>
    <row r="114" spans="1:22" x14ac:dyDescent="0.2">
      <c r="A114" t="s">
        <v>540</v>
      </c>
      <c r="B114" t="s">
        <v>108</v>
      </c>
      <c r="C114" t="s">
        <v>41</v>
      </c>
      <c r="D114" t="s">
        <v>61</v>
      </c>
      <c r="E114" t="s">
        <v>442</v>
      </c>
      <c r="F114" t="s">
        <v>60</v>
      </c>
      <c r="G114" t="s">
        <v>65</v>
      </c>
      <c r="H114" t="s">
        <v>47</v>
      </c>
      <c r="I114">
        <v>1</v>
      </c>
      <c r="J114">
        <v>1</v>
      </c>
      <c r="K114">
        <v>0</v>
      </c>
      <c r="L114">
        <v>1</v>
      </c>
      <c r="M114">
        <v>0</v>
      </c>
      <c r="N114">
        <v>0</v>
      </c>
      <c r="O114">
        <v>1</v>
      </c>
      <c r="P114">
        <v>1</v>
      </c>
      <c r="Q114">
        <v>1</v>
      </c>
      <c r="R114">
        <v>0</v>
      </c>
      <c r="S114">
        <v>1</v>
      </c>
      <c r="T114">
        <v>0</v>
      </c>
      <c r="U114">
        <v>0</v>
      </c>
      <c r="V114">
        <v>0</v>
      </c>
    </row>
    <row r="115" spans="1:22" x14ac:dyDescent="0.2">
      <c r="A115" t="s">
        <v>540</v>
      </c>
      <c r="B115" t="s">
        <v>108</v>
      </c>
      <c r="C115" t="s">
        <v>41</v>
      </c>
      <c r="D115" t="s">
        <v>49</v>
      </c>
      <c r="E115" t="s">
        <v>442</v>
      </c>
      <c r="F115" t="s">
        <v>46</v>
      </c>
      <c r="G115" t="s">
        <v>60</v>
      </c>
      <c r="H115" t="s">
        <v>48</v>
      </c>
      <c r="I115">
        <v>1</v>
      </c>
      <c r="J115">
        <v>0</v>
      </c>
      <c r="K115">
        <v>1</v>
      </c>
      <c r="L115">
        <v>0</v>
      </c>
      <c r="M115">
        <v>1</v>
      </c>
      <c r="N115">
        <v>0</v>
      </c>
      <c r="O115">
        <v>1</v>
      </c>
      <c r="P115">
        <v>1</v>
      </c>
      <c r="Q115">
        <v>0</v>
      </c>
      <c r="R115">
        <v>0</v>
      </c>
      <c r="S115">
        <v>0</v>
      </c>
      <c r="T115">
        <v>0</v>
      </c>
      <c r="U115">
        <v>0</v>
      </c>
      <c r="V115">
        <v>0</v>
      </c>
    </row>
    <row r="116" spans="1:22" x14ac:dyDescent="0.2">
      <c r="A116" t="s">
        <v>543</v>
      </c>
      <c r="B116" t="s">
        <v>174</v>
      </c>
      <c r="C116" t="s">
        <v>41</v>
      </c>
      <c r="D116" t="s">
        <v>55</v>
      </c>
      <c r="E116" t="s">
        <v>442</v>
      </c>
      <c r="F116" t="s">
        <v>60</v>
      </c>
      <c r="G116" t="s">
        <v>46</v>
      </c>
      <c r="H116" t="s">
        <v>59</v>
      </c>
      <c r="I116">
        <v>1</v>
      </c>
      <c r="J116">
        <v>0</v>
      </c>
      <c r="K116">
        <v>0</v>
      </c>
      <c r="L116">
        <v>0</v>
      </c>
      <c r="M116">
        <v>1</v>
      </c>
      <c r="N116">
        <v>0</v>
      </c>
      <c r="O116">
        <v>1</v>
      </c>
      <c r="P116">
        <v>1</v>
      </c>
      <c r="Q116">
        <v>0</v>
      </c>
      <c r="R116">
        <v>0</v>
      </c>
      <c r="S116">
        <v>0</v>
      </c>
      <c r="T116">
        <v>1</v>
      </c>
      <c r="U116">
        <v>0</v>
      </c>
      <c r="V116">
        <v>0</v>
      </c>
    </row>
    <row r="117" spans="1:22" x14ac:dyDescent="0.2">
      <c r="A117" t="s">
        <v>549</v>
      </c>
      <c r="B117" t="s">
        <v>108</v>
      </c>
      <c r="C117" t="s">
        <v>41</v>
      </c>
      <c r="D117" t="s">
        <v>67</v>
      </c>
      <c r="E117" t="s">
        <v>442</v>
      </c>
      <c r="F117" t="s">
        <v>46</v>
      </c>
      <c r="G117" t="s">
        <v>60</v>
      </c>
      <c r="H117" t="s">
        <v>48</v>
      </c>
      <c r="I117">
        <v>1</v>
      </c>
      <c r="J117">
        <v>0</v>
      </c>
      <c r="K117">
        <v>1</v>
      </c>
      <c r="L117">
        <v>0</v>
      </c>
      <c r="M117">
        <v>1</v>
      </c>
      <c r="N117">
        <v>0</v>
      </c>
      <c r="O117">
        <v>1</v>
      </c>
      <c r="P117">
        <v>1</v>
      </c>
      <c r="Q117">
        <v>0</v>
      </c>
      <c r="R117">
        <v>0</v>
      </c>
      <c r="S117">
        <v>0</v>
      </c>
      <c r="T117">
        <v>0</v>
      </c>
      <c r="U117">
        <v>0</v>
      </c>
      <c r="V117">
        <v>0</v>
      </c>
    </row>
    <row r="118" spans="1:22" x14ac:dyDescent="0.2">
      <c r="A118" t="s">
        <v>549</v>
      </c>
      <c r="B118" t="s">
        <v>108</v>
      </c>
      <c r="C118" t="s">
        <v>41</v>
      </c>
      <c r="D118" t="s">
        <v>55</v>
      </c>
      <c r="E118" t="s">
        <v>442</v>
      </c>
      <c r="F118" t="s">
        <v>60</v>
      </c>
      <c r="G118" t="s">
        <v>47</v>
      </c>
      <c r="H118" t="s">
        <v>48</v>
      </c>
      <c r="I118">
        <v>1</v>
      </c>
      <c r="J118">
        <v>0</v>
      </c>
      <c r="K118">
        <v>1</v>
      </c>
      <c r="L118">
        <v>1</v>
      </c>
      <c r="M118">
        <v>0</v>
      </c>
      <c r="N118">
        <v>0</v>
      </c>
      <c r="O118">
        <v>1</v>
      </c>
      <c r="P118">
        <v>1</v>
      </c>
      <c r="Q118">
        <v>0</v>
      </c>
      <c r="R118">
        <v>1</v>
      </c>
      <c r="S118">
        <v>1</v>
      </c>
      <c r="T118">
        <v>0</v>
      </c>
      <c r="U118">
        <v>0</v>
      </c>
      <c r="V118">
        <v>0</v>
      </c>
    </row>
    <row r="119" spans="1:22" x14ac:dyDescent="0.2">
      <c r="A119" t="s">
        <v>553</v>
      </c>
      <c r="B119" t="s">
        <v>108</v>
      </c>
      <c r="C119" t="s">
        <v>41</v>
      </c>
      <c r="D119" t="s">
        <v>72</v>
      </c>
      <c r="E119" t="s">
        <v>442</v>
      </c>
      <c r="F119" t="s">
        <v>60</v>
      </c>
      <c r="G119" t="s">
        <v>59</v>
      </c>
      <c r="H119" t="s">
        <v>48</v>
      </c>
      <c r="I119">
        <v>1</v>
      </c>
      <c r="J119">
        <v>0</v>
      </c>
      <c r="K119">
        <v>1</v>
      </c>
      <c r="L119">
        <v>0</v>
      </c>
      <c r="M119">
        <v>0</v>
      </c>
      <c r="N119">
        <v>0</v>
      </c>
      <c r="O119">
        <v>1</v>
      </c>
      <c r="P119">
        <v>1</v>
      </c>
      <c r="Q119">
        <v>0</v>
      </c>
      <c r="R119">
        <v>1</v>
      </c>
      <c r="S119">
        <v>0</v>
      </c>
      <c r="T119">
        <v>0</v>
      </c>
      <c r="U119">
        <v>0</v>
      </c>
      <c r="V119">
        <v>0</v>
      </c>
    </row>
    <row r="120" spans="1:22" x14ac:dyDescent="0.2">
      <c r="A120" t="s">
        <v>553</v>
      </c>
      <c r="B120" t="s">
        <v>108</v>
      </c>
      <c r="C120" t="s">
        <v>41</v>
      </c>
      <c r="D120" t="s">
        <v>61</v>
      </c>
      <c r="E120" t="s">
        <v>442</v>
      </c>
      <c r="F120" t="s">
        <v>59</v>
      </c>
      <c r="G120" t="s">
        <v>48</v>
      </c>
      <c r="H120" t="s">
        <v>60</v>
      </c>
      <c r="I120">
        <v>1</v>
      </c>
      <c r="J120">
        <v>0</v>
      </c>
      <c r="K120">
        <v>1</v>
      </c>
      <c r="L120">
        <v>0</v>
      </c>
      <c r="M120">
        <v>0</v>
      </c>
      <c r="N120">
        <v>0</v>
      </c>
      <c r="O120">
        <v>1</v>
      </c>
      <c r="P120">
        <v>1</v>
      </c>
      <c r="Q120">
        <v>0</v>
      </c>
      <c r="R120">
        <v>0</v>
      </c>
      <c r="S120">
        <v>0</v>
      </c>
      <c r="T120">
        <v>0</v>
      </c>
      <c r="U120">
        <v>0</v>
      </c>
      <c r="V120">
        <v>0</v>
      </c>
    </row>
    <row r="121" spans="1:22" x14ac:dyDescent="0.2">
      <c r="A121" t="s">
        <v>560</v>
      </c>
      <c r="B121" t="s">
        <v>108</v>
      </c>
      <c r="C121" t="s">
        <v>41</v>
      </c>
      <c r="D121" t="s">
        <v>55</v>
      </c>
      <c r="E121" t="s">
        <v>442</v>
      </c>
      <c r="F121" t="s">
        <v>60</v>
      </c>
      <c r="G121" t="s">
        <v>47</v>
      </c>
      <c r="H121" t="s">
        <v>48</v>
      </c>
      <c r="I121">
        <v>1</v>
      </c>
      <c r="J121">
        <v>0</v>
      </c>
      <c r="K121">
        <v>1</v>
      </c>
      <c r="L121">
        <v>1</v>
      </c>
      <c r="M121">
        <v>0</v>
      </c>
      <c r="N121">
        <v>0</v>
      </c>
      <c r="O121">
        <v>1</v>
      </c>
      <c r="P121">
        <v>1</v>
      </c>
      <c r="Q121">
        <v>0</v>
      </c>
      <c r="R121">
        <v>1</v>
      </c>
      <c r="S121">
        <v>1</v>
      </c>
      <c r="T121">
        <v>0</v>
      </c>
      <c r="U121">
        <v>0</v>
      </c>
      <c r="V121">
        <v>0</v>
      </c>
    </row>
    <row r="122" spans="1:22" x14ac:dyDescent="0.2">
      <c r="A122" t="s">
        <v>560</v>
      </c>
      <c r="B122" t="s">
        <v>108</v>
      </c>
      <c r="C122" t="s">
        <v>41</v>
      </c>
      <c r="D122" t="s">
        <v>72</v>
      </c>
      <c r="E122" t="s">
        <v>442</v>
      </c>
      <c r="F122" t="s">
        <v>47</v>
      </c>
      <c r="G122" t="s">
        <v>60</v>
      </c>
      <c r="H122" t="s">
        <v>65</v>
      </c>
      <c r="I122">
        <v>1</v>
      </c>
      <c r="J122">
        <v>1</v>
      </c>
      <c r="K122">
        <v>0</v>
      </c>
      <c r="L122">
        <v>1</v>
      </c>
      <c r="M122">
        <v>0</v>
      </c>
      <c r="N122">
        <v>0</v>
      </c>
      <c r="O122">
        <v>1</v>
      </c>
      <c r="P122">
        <v>1</v>
      </c>
      <c r="Q122">
        <v>1</v>
      </c>
      <c r="R122">
        <v>0</v>
      </c>
      <c r="S122">
        <v>1</v>
      </c>
      <c r="T122">
        <v>0</v>
      </c>
      <c r="U122">
        <v>0</v>
      </c>
      <c r="V122">
        <v>0</v>
      </c>
    </row>
    <row r="123" spans="1:22" x14ac:dyDescent="0.2">
      <c r="A123" t="s">
        <v>560</v>
      </c>
      <c r="B123" t="s">
        <v>108</v>
      </c>
      <c r="C123" t="s">
        <v>41</v>
      </c>
      <c r="D123" t="s">
        <v>49</v>
      </c>
      <c r="E123" t="s">
        <v>442</v>
      </c>
      <c r="F123" t="s">
        <v>46</v>
      </c>
      <c r="G123" t="s">
        <v>60</v>
      </c>
      <c r="H123" t="s">
        <v>47</v>
      </c>
      <c r="I123">
        <v>1</v>
      </c>
      <c r="J123">
        <v>0</v>
      </c>
      <c r="K123">
        <v>0</v>
      </c>
      <c r="L123">
        <v>1</v>
      </c>
      <c r="M123">
        <v>1</v>
      </c>
      <c r="N123">
        <v>0</v>
      </c>
      <c r="O123">
        <v>1</v>
      </c>
      <c r="P123">
        <v>1</v>
      </c>
      <c r="Q123">
        <v>0</v>
      </c>
      <c r="R123">
        <v>0</v>
      </c>
      <c r="S123">
        <v>1</v>
      </c>
      <c r="T123">
        <v>1</v>
      </c>
      <c r="U123">
        <v>0</v>
      </c>
      <c r="V123">
        <v>0</v>
      </c>
    </row>
    <row r="124" spans="1:22" x14ac:dyDescent="0.2">
      <c r="A124" t="s">
        <v>562</v>
      </c>
      <c r="B124" t="s">
        <v>108</v>
      </c>
      <c r="C124" t="s">
        <v>41</v>
      </c>
      <c r="D124" t="s">
        <v>55</v>
      </c>
      <c r="E124" t="s">
        <v>442</v>
      </c>
      <c r="F124" t="s">
        <v>60</v>
      </c>
      <c r="G124" t="s">
        <v>65</v>
      </c>
      <c r="H124" t="s">
        <v>47</v>
      </c>
      <c r="I124">
        <v>1</v>
      </c>
      <c r="J124">
        <v>1</v>
      </c>
      <c r="K124">
        <v>0</v>
      </c>
      <c r="L124">
        <v>1</v>
      </c>
      <c r="M124">
        <v>0</v>
      </c>
      <c r="N124">
        <v>0</v>
      </c>
      <c r="O124">
        <v>1</v>
      </c>
      <c r="P124">
        <v>1</v>
      </c>
      <c r="Q124">
        <v>1</v>
      </c>
      <c r="R124">
        <v>0</v>
      </c>
      <c r="S124">
        <v>1</v>
      </c>
      <c r="T124">
        <v>0</v>
      </c>
      <c r="U124">
        <v>0</v>
      </c>
      <c r="V124">
        <v>0</v>
      </c>
    </row>
    <row r="125" spans="1:22" x14ac:dyDescent="0.2">
      <c r="A125" t="s">
        <v>568</v>
      </c>
      <c r="B125" t="s">
        <v>33</v>
      </c>
      <c r="C125" t="s">
        <v>41</v>
      </c>
      <c r="D125" t="s">
        <v>42</v>
      </c>
      <c r="E125" t="s">
        <v>442</v>
      </c>
      <c r="F125" t="s">
        <v>46</v>
      </c>
      <c r="G125" t="s">
        <v>60</v>
      </c>
      <c r="H125" t="s">
        <v>48</v>
      </c>
      <c r="I125">
        <v>1</v>
      </c>
      <c r="J125">
        <v>0</v>
      </c>
      <c r="K125">
        <v>1</v>
      </c>
      <c r="L125">
        <v>0</v>
      </c>
      <c r="M125">
        <v>1</v>
      </c>
      <c r="N125">
        <v>0</v>
      </c>
      <c r="O125">
        <v>1</v>
      </c>
      <c r="P125">
        <v>1</v>
      </c>
      <c r="Q125">
        <v>0</v>
      </c>
      <c r="R125">
        <v>0</v>
      </c>
      <c r="S125">
        <v>0</v>
      </c>
      <c r="T125">
        <v>0</v>
      </c>
      <c r="U125">
        <v>0</v>
      </c>
      <c r="V125">
        <v>0</v>
      </c>
    </row>
    <row r="126" spans="1:22" x14ac:dyDescent="0.2">
      <c r="A126" t="s">
        <v>577</v>
      </c>
      <c r="B126" t="s">
        <v>108</v>
      </c>
      <c r="C126" t="s">
        <v>41</v>
      </c>
      <c r="D126" t="s">
        <v>67</v>
      </c>
      <c r="E126" t="s">
        <v>442</v>
      </c>
      <c r="F126" t="s">
        <v>59</v>
      </c>
      <c r="G126" t="s">
        <v>65</v>
      </c>
      <c r="H126" t="s">
        <v>60</v>
      </c>
      <c r="I126">
        <v>1</v>
      </c>
      <c r="J126">
        <v>1</v>
      </c>
      <c r="K126">
        <v>0</v>
      </c>
      <c r="L126">
        <v>0</v>
      </c>
      <c r="M126">
        <v>0</v>
      </c>
      <c r="N126">
        <v>0</v>
      </c>
      <c r="O126">
        <v>1</v>
      </c>
      <c r="P126">
        <v>1</v>
      </c>
      <c r="Q126">
        <v>1</v>
      </c>
      <c r="R126">
        <v>0</v>
      </c>
      <c r="S126">
        <v>0</v>
      </c>
      <c r="T126">
        <v>0</v>
      </c>
      <c r="U126">
        <v>0</v>
      </c>
      <c r="V126">
        <v>0</v>
      </c>
    </row>
    <row r="127" spans="1:22" x14ac:dyDescent="0.2">
      <c r="A127" t="s">
        <v>583</v>
      </c>
      <c r="B127" t="s">
        <v>33</v>
      </c>
      <c r="C127" t="s">
        <v>41</v>
      </c>
      <c r="D127" t="s">
        <v>67</v>
      </c>
      <c r="E127" t="s">
        <v>442</v>
      </c>
      <c r="F127" t="s">
        <v>65</v>
      </c>
      <c r="G127" t="s">
        <v>60</v>
      </c>
      <c r="H127" t="s">
        <v>46</v>
      </c>
      <c r="I127">
        <v>1</v>
      </c>
      <c r="J127">
        <v>1</v>
      </c>
      <c r="K127">
        <v>0</v>
      </c>
      <c r="L127">
        <v>0</v>
      </c>
      <c r="M127">
        <v>1</v>
      </c>
      <c r="N127">
        <v>0</v>
      </c>
      <c r="O127">
        <v>1</v>
      </c>
      <c r="P127">
        <v>1</v>
      </c>
      <c r="Q127">
        <v>0</v>
      </c>
      <c r="R127">
        <v>0</v>
      </c>
      <c r="S127">
        <v>0</v>
      </c>
      <c r="T127">
        <v>0</v>
      </c>
      <c r="U127">
        <v>0</v>
      </c>
      <c r="V127">
        <v>0</v>
      </c>
    </row>
    <row r="128" spans="1:22" x14ac:dyDescent="0.2">
      <c r="A128" t="s">
        <v>600</v>
      </c>
      <c r="B128" t="s">
        <v>108</v>
      </c>
      <c r="C128" t="s">
        <v>41</v>
      </c>
      <c r="D128" t="s">
        <v>42</v>
      </c>
      <c r="E128" t="s">
        <v>442</v>
      </c>
      <c r="F128" t="s">
        <v>47</v>
      </c>
      <c r="G128" t="s">
        <v>60</v>
      </c>
      <c r="H128" t="s">
        <v>48</v>
      </c>
      <c r="I128">
        <v>1</v>
      </c>
      <c r="J128">
        <v>0</v>
      </c>
      <c r="K128">
        <v>1</v>
      </c>
      <c r="L128">
        <v>1</v>
      </c>
      <c r="M128">
        <v>0</v>
      </c>
      <c r="N128">
        <v>0</v>
      </c>
      <c r="O128">
        <v>1</v>
      </c>
      <c r="P128">
        <v>1</v>
      </c>
      <c r="Q128">
        <v>0</v>
      </c>
      <c r="R128">
        <v>0</v>
      </c>
      <c r="S128">
        <v>0</v>
      </c>
      <c r="T128">
        <v>0</v>
      </c>
      <c r="U128">
        <v>0</v>
      </c>
      <c r="V128">
        <v>0</v>
      </c>
    </row>
    <row r="129" spans="1:22" x14ac:dyDescent="0.2">
      <c r="A129" t="s">
        <v>600</v>
      </c>
      <c r="B129" t="s">
        <v>108</v>
      </c>
      <c r="C129" t="s">
        <v>41</v>
      </c>
      <c r="D129" t="s">
        <v>67</v>
      </c>
      <c r="E129" t="s">
        <v>442</v>
      </c>
      <c r="F129" t="s">
        <v>47</v>
      </c>
      <c r="G129" t="s">
        <v>60</v>
      </c>
      <c r="H129" t="s">
        <v>48</v>
      </c>
      <c r="I129">
        <v>1</v>
      </c>
      <c r="J129">
        <v>0</v>
      </c>
      <c r="K129">
        <v>1</v>
      </c>
      <c r="L129">
        <v>1</v>
      </c>
      <c r="M129">
        <v>0</v>
      </c>
      <c r="N129">
        <v>0</v>
      </c>
      <c r="O129">
        <v>1</v>
      </c>
      <c r="P129">
        <v>1</v>
      </c>
      <c r="Q129">
        <v>0</v>
      </c>
      <c r="R129">
        <v>0</v>
      </c>
      <c r="S129">
        <v>0</v>
      </c>
      <c r="T129">
        <v>0</v>
      </c>
      <c r="U129">
        <v>0</v>
      </c>
      <c r="V129">
        <v>0</v>
      </c>
    </row>
    <row r="130" spans="1:22" x14ac:dyDescent="0.2">
      <c r="A130" t="s">
        <v>600</v>
      </c>
      <c r="B130" t="s">
        <v>108</v>
      </c>
      <c r="C130" t="s">
        <v>41</v>
      </c>
      <c r="D130" t="s">
        <v>49</v>
      </c>
      <c r="E130" t="s">
        <v>442</v>
      </c>
      <c r="F130" t="s">
        <v>47</v>
      </c>
      <c r="G130" t="s">
        <v>48</v>
      </c>
      <c r="H130" t="s">
        <v>60</v>
      </c>
      <c r="I130">
        <v>1</v>
      </c>
      <c r="J130">
        <v>0</v>
      </c>
      <c r="K130">
        <v>1</v>
      </c>
      <c r="L130">
        <v>1</v>
      </c>
      <c r="M130">
        <v>0</v>
      </c>
      <c r="N130">
        <v>0</v>
      </c>
      <c r="O130">
        <v>1</v>
      </c>
      <c r="P130">
        <v>1</v>
      </c>
      <c r="Q130">
        <v>0</v>
      </c>
      <c r="R130">
        <v>0</v>
      </c>
      <c r="S130">
        <v>0</v>
      </c>
      <c r="T130">
        <v>0</v>
      </c>
      <c r="U130">
        <v>0</v>
      </c>
      <c r="V130">
        <v>0</v>
      </c>
    </row>
    <row r="131" spans="1:22" x14ac:dyDescent="0.2">
      <c r="A131" t="s">
        <v>603</v>
      </c>
      <c r="B131" t="s">
        <v>188</v>
      </c>
      <c r="C131" t="s">
        <v>41</v>
      </c>
      <c r="D131" t="s">
        <v>42</v>
      </c>
      <c r="E131" t="s">
        <v>442</v>
      </c>
      <c r="F131" t="s">
        <v>48</v>
      </c>
      <c r="G131" t="s">
        <v>60</v>
      </c>
      <c r="H131" t="s">
        <v>65</v>
      </c>
      <c r="I131">
        <v>1</v>
      </c>
      <c r="J131">
        <v>1</v>
      </c>
      <c r="K131">
        <v>1</v>
      </c>
      <c r="L131">
        <v>0</v>
      </c>
      <c r="M131">
        <v>0</v>
      </c>
      <c r="N131">
        <v>0</v>
      </c>
      <c r="O131">
        <v>1</v>
      </c>
      <c r="P131">
        <v>1</v>
      </c>
      <c r="Q131">
        <v>0</v>
      </c>
      <c r="R131">
        <v>0</v>
      </c>
      <c r="S131">
        <v>0</v>
      </c>
      <c r="T131">
        <v>0</v>
      </c>
      <c r="U131">
        <v>0</v>
      </c>
      <c r="V131">
        <v>0</v>
      </c>
    </row>
    <row r="132" spans="1:22" x14ac:dyDescent="0.2">
      <c r="A132" t="s">
        <v>603</v>
      </c>
      <c r="B132" t="s">
        <v>188</v>
      </c>
      <c r="C132" t="s">
        <v>41</v>
      </c>
      <c r="D132" t="s">
        <v>55</v>
      </c>
      <c r="E132" t="s">
        <v>442</v>
      </c>
      <c r="F132" t="s">
        <v>60</v>
      </c>
      <c r="G132" t="s">
        <v>48</v>
      </c>
      <c r="H132" t="s">
        <v>47</v>
      </c>
      <c r="I132">
        <v>1</v>
      </c>
      <c r="J132">
        <v>0</v>
      </c>
      <c r="K132">
        <v>1</v>
      </c>
      <c r="L132">
        <v>1</v>
      </c>
      <c r="M132">
        <v>0</v>
      </c>
      <c r="N132">
        <v>0</v>
      </c>
      <c r="O132">
        <v>1</v>
      </c>
      <c r="P132">
        <v>1</v>
      </c>
      <c r="Q132">
        <v>0</v>
      </c>
      <c r="R132">
        <v>1</v>
      </c>
      <c r="S132">
        <v>1</v>
      </c>
      <c r="T132">
        <v>0</v>
      </c>
      <c r="U132">
        <v>0</v>
      </c>
      <c r="V132">
        <v>0</v>
      </c>
    </row>
    <row r="133" spans="1:22" x14ac:dyDescent="0.2">
      <c r="A133" t="s">
        <v>603</v>
      </c>
      <c r="B133" t="s">
        <v>188</v>
      </c>
      <c r="C133" t="s">
        <v>41</v>
      </c>
      <c r="D133" t="s">
        <v>61</v>
      </c>
      <c r="E133" t="s">
        <v>442</v>
      </c>
      <c r="F133" t="s">
        <v>65</v>
      </c>
      <c r="G133" t="s">
        <v>60</v>
      </c>
      <c r="H133" t="s">
        <v>47</v>
      </c>
      <c r="I133">
        <v>1</v>
      </c>
      <c r="J133">
        <v>1</v>
      </c>
      <c r="K133">
        <v>0</v>
      </c>
      <c r="L133">
        <v>1</v>
      </c>
      <c r="M133">
        <v>0</v>
      </c>
      <c r="N133">
        <v>0</v>
      </c>
      <c r="O133">
        <v>1</v>
      </c>
      <c r="P133">
        <v>1</v>
      </c>
      <c r="Q133">
        <v>1</v>
      </c>
      <c r="R133">
        <v>0</v>
      </c>
      <c r="S133">
        <v>1</v>
      </c>
      <c r="T133">
        <v>0</v>
      </c>
      <c r="U133">
        <v>0</v>
      </c>
      <c r="V133">
        <v>0</v>
      </c>
    </row>
    <row r="134" spans="1:22" x14ac:dyDescent="0.2">
      <c r="A134" t="s">
        <v>605</v>
      </c>
      <c r="B134" t="s">
        <v>108</v>
      </c>
      <c r="C134" t="s">
        <v>41</v>
      </c>
      <c r="D134" t="s">
        <v>55</v>
      </c>
      <c r="E134" t="s">
        <v>442</v>
      </c>
      <c r="F134" t="s">
        <v>65</v>
      </c>
      <c r="G134" t="s">
        <v>46</v>
      </c>
      <c r="H134" t="s">
        <v>60</v>
      </c>
      <c r="I134">
        <v>1</v>
      </c>
      <c r="J134">
        <v>1</v>
      </c>
      <c r="K134">
        <v>0</v>
      </c>
      <c r="L134">
        <v>0</v>
      </c>
      <c r="M134">
        <v>1</v>
      </c>
      <c r="N134">
        <v>0</v>
      </c>
      <c r="O134">
        <v>1</v>
      </c>
      <c r="P134">
        <v>1</v>
      </c>
      <c r="Q134">
        <v>1</v>
      </c>
      <c r="R134">
        <v>0</v>
      </c>
      <c r="S134">
        <v>0</v>
      </c>
      <c r="T134">
        <v>1</v>
      </c>
      <c r="U134">
        <v>0</v>
      </c>
      <c r="V134">
        <v>0</v>
      </c>
    </row>
    <row r="135" spans="1:22" x14ac:dyDescent="0.2">
      <c r="A135" t="s">
        <v>608</v>
      </c>
      <c r="B135" t="s">
        <v>108</v>
      </c>
      <c r="C135" t="s">
        <v>41</v>
      </c>
      <c r="D135" t="s">
        <v>67</v>
      </c>
      <c r="E135" t="s">
        <v>442</v>
      </c>
      <c r="F135" t="s">
        <v>65</v>
      </c>
      <c r="G135" t="s">
        <v>60</v>
      </c>
      <c r="H135" t="s">
        <v>47</v>
      </c>
      <c r="I135">
        <v>1</v>
      </c>
      <c r="J135">
        <v>1</v>
      </c>
      <c r="K135">
        <v>0</v>
      </c>
      <c r="L135">
        <v>1</v>
      </c>
      <c r="M135">
        <v>0</v>
      </c>
      <c r="N135">
        <v>0</v>
      </c>
      <c r="O135">
        <v>1</v>
      </c>
      <c r="P135">
        <v>1</v>
      </c>
      <c r="Q135">
        <v>1</v>
      </c>
      <c r="R135">
        <v>0</v>
      </c>
      <c r="S135">
        <v>1</v>
      </c>
      <c r="T135">
        <v>0</v>
      </c>
      <c r="U135">
        <v>0</v>
      </c>
      <c r="V135">
        <v>0</v>
      </c>
    </row>
    <row r="136" spans="1:22" x14ac:dyDescent="0.2">
      <c r="A136" t="s">
        <v>608</v>
      </c>
      <c r="B136" t="s">
        <v>108</v>
      </c>
      <c r="C136" t="s">
        <v>41</v>
      </c>
      <c r="D136" t="s">
        <v>49</v>
      </c>
      <c r="E136" t="s">
        <v>442</v>
      </c>
      <c r="F136" t="s">
        <v>48</v>
      </c>
      <c r="G136" t="s">
        <v>47</v>
      </c>
      <c r="H136" t="s">
        <v>60</v>
      </c>
      <c r="I136">
        <v>1</v>
      </c>
      <c r="J136">
        <v>0</v>
      </c>
      <c r="K136">
        <v>1</v>
      </c>
      <c r="L136">
        <v>1</v>
      </c>
      <c r="M136">
        <v>0</v>
      </c>
      <c r="N136">
        <v>0</v>
      </c>
      <c r="O136">
        <v>1</v>
      </c>
      <c r="P136">
        <v>1</v>
      </c>
      <c r="Q136">
        <v>0</v>
      </c>
      <c r="R136">
        <v>1</v>
      </c>
      <c r="S136">
        <v>1</v>
      </c>
      <c r="T136">
        <v>0</v>
      </c>
      <c r="U136">
        <v>0</v>
      </c>
      <c r="V136">
        <v>0</v>
      </c>
    </row>
    <row r="137" spans="1:22" x14ac:dyDescent="0.2">
      <c r="A137" t="s">
        <v>608</v>
      </c>
      <c r="B137" t="s">
        <v>108</v>
      </c>
      <c r="C137" t="s">
        <v>41</v>
      </c>
      <c r="D137" t="s">
        <v>42</v>
      </c>
      <c r="E137" t="s">
        <v>442</v>
      </c>
      <c r="F137" t="s">
        <v>65</v>
      </c>
      <c r="G137" t="s">
        <v>60</v>
      </c>
      <c r="H137" t="s">
        <v>48</v>
      </c>
      <c r="I137">
        <v>1</v>
      </c>
      <c r="J137">
        <v>1</v>
      </c>
      <c r="K137">
        <v>1</v>
      </c>
      <c r="L137">
        <v>0</v>
      </c>
      <c r="M137">
        <v>0</v>
      </c>
      <c r="N137">
        <v>0</v>
      </c>
      <c r="O137">
        <v>1</v>
      </c>
      <c r="P137">
        <v>1</v>
      </c>
      <c r="Q137">
        <v>1</v>
      </c>
      <c r="R137">
        <v>1</v>
      </c>
      <c r="S137">
        <v>0</v>
      </c>
      <c r="T137">
        <v>0</v>
      </c>
      <c r="U137">
        <v>0</v>
      </c>
      <c r="V137">
        <v>0</v>
      </c>
    </row>
    <row r="138" spans="1:22" x14ac:dyDescent="0.2">
      <c r="A138" t="s">
        <v>608</v>
      </c>
      <c r="B138" t="s">
        <v>108</v>
      </c>
      <c r="C138" t="s">
        <v>41</v>
      </c>
      <c r="D138" t="s">
        <v>61</v>
      </c>
      <c r="E138" t="s">
        <v>442</v>
      </c>
      <c r="F138" t="s">
        <v>47</v>
      </c>
      <c r="G138" t="s">
        <v>60</v>
      </c>
      <c r="H138" t="s">
        <v>46</v>
      </c>
      <c r="I138">
        <v>1</v>
      </c>
      <c r="J138">
        <v>0</v>
      </c>
      <c r="K138">
        <v>0</v>
      </c>
      <c r="L138">
        <v>1</v>
      </c>
      <c r="M138">
        <v>1</v>
      </c>
      <c r="N138">
        <v>0</v>
      </c>
      <c r="O138">
        <v>1</v>
      </c>
      <c r="P138">
        <v>1</v>
      </c>
      <c r="Q138">
        <v>0</v>
      </c>
      <c r="R138">
        <v>0</v>
      </c>
      <c r="S138">
        <v>1</v>
      </c>
      <c r="T138">
        <v>1</v>
      </c>
      <c r="U138">
        <v>0</v>
      </c>
      <c r="V138">
        <v>0</v>
      </c>
    </row>
    <row r="139" spans="1:22" x14ac:dyDescent="0.2">
      <c r="A139" t="s">
        <v>611</v>
      </c>
      <c r="B139" t="s">
        <v>188</v>
      </c>
      <c r="C139" t="s">
        <v>41</v>
      </c>
      <c r="D139" t="s">
        <v>55</v>
      </c>
      <c r="E139" t="s">
        <v>442</v>
      </c>
      <c r="F139" t="s">
        <v>59</v>
      </c>
      <c r="G139" t="s">
        <v>48</v>
      </c>
      <c r="H139" t="s">
        <v>60</v>
      </c>
      <c r="I139">
        <v>1</v>
      </c>
      <c r="J139">
        <v>0</v>
      </c>
      <c r="K139">
        <v>1</v>
      </c>
      <c r="L139">
        <v>0</v>
      </c>
      <c r="M139">
        <v>0</v>
      </c>
      <c r="N139">
        <v>0</v>
      </c>
      <c r="O139">
        <v>1</v>
      </c>
      <c r="P139">
        <v>1</v>
      </c>
      <c r="Q139">
        <v>0</v>
      </c>
      <c r="R139">
        <v>1</v>
      </c>
      <c r="S139">
        <v>0</v>
      </c>
      <c r="T139">
        <v>0</v>
      </c>
      <c r="U139">
        <v>0</v>
      </c>
      <c r="V139">
        <v>0</v>
      </c>
    </row>
    <row r="140" spans="1:22" x14ac:dyDescent="0.2">
      <c r="A140" t="s">
        <v>617</v>
      </c>
      <c r="B140" t="s">
        <v>33</v>
      </c>
      <c r="C140" t="s">
        <v>41</v>
      </c>
      <c r="D140" t="s">
        <v>67</v>
      </c>
      <c r="E140" t="s">
        <v>442</v>
      </c>
      <c r="F140" t="s">
        <v>47</v>
      </c>
      <c r="G140" t="s">
        <v>60</v>
      </c>
      <c r="H140" t="s">
        <v>48</v>
      </c>
      <c r="I140">
        <v>1</v>
      </c>
      <c r="J140">
        <v>0</v>
      </c>
      <c r="K140">
        <v>1</v>
      </c>
      <c r="L140">
        <v>1</v>
      </c>
      <c r="M140">
        <v>0</v>
      </c>
      <c r="N140">
        <v>0</v>
      </c>
      <c r="O140">
        <v>1</v>
      </c>
      <c r="P140">
        <v>1</v>
      </c>
      <c r="Q140">
        <v>0</v>
      </c>
      <c r="R140">
        <v>0</v>
      </c>
      <c r="S140">
        <v>0</v>
      </c>
      <c r="T140">
        <v>0</v>
      </c>
      <c r="U140">
        <v>0</v>
      </c>
      <c r="V140">
        <v>0</v>
      </c>
    </row>
    <row r="141" spans="1:22" x14ac:dyDescent="0.2">
      <c r="A141" t="s">
        <v>617</v>
      </c>
      <c r="B141" t="s">
        <v>33</v>
      </c>
      <c r="C141" t="s">
        <v>41</v>
      </c>
      <c r="D141" t="s">
        <v>49</v>
      </c>
      <c r="E141" t="s">
        <v>442</v>
      </c>
      <c r="F141" t="s">
        <v>65</v>
      </c>
      <c r="G141" t="s">
        <v>60</v>
      </c>
      <c r="H141" t="s">
        <v>48</v>
      </c>
      <c r="I141">
        <v>1</v>
      </c>
      <c r="J141">
        <v>1</v>
      </c>
      <c r="K141">
        <v>1</v>
      </c>
      <c r="L141">
        <v>0</v>
      </c>
      <c r="M141">
        <v>0</v>
      </c>
      <c r="N141">
        <v>0</v>
      </c>
      <c r="O141">
        <v>1</v>
      </c>
      <c r="P141">
        <v>1</v>
      </c>
      <c r="Q141">
        <v>0</v>
      </c>
      <c r="R141">
        <v>0</v>
      </c>
      <c r="S141">
        <v>0</v>
      </c>
      <c r="T141">
        <v>0</v>
      </c>
      <c r="U141">
        <v>0</v>
      </c>
      <c r="V141">
        <v>0</v>
      </c>
    </row>
    <row r="142" spans="1:22" x14ac:dyDescent="0.2">
      <c r="A142" t="s">
        <v>617</v>
      </c>
      <c r="B142" t="s">
        <v>33</v>
      </c>
      <c r="C142" t="s">
        <v>41</v>
      </c>
      <c r="D142" t="s">
        <v>61</v>
      </c>
      <c r="E142" t="s">
        <v>442</v>
      </c>
      <c r="F142" t="s">
        <v>60</v>
      </c>
      <c r="G142" t="s">
        <v>47</v>
      </c>
      <c r="H142" t="s">
        <v>46</v>
      </c>
      <c r="I142">
        <v>1</v>
      </c>
      <c r="J142">
        <v>0</v>
      </c>
      <c r="K142">
        <v>0</v>
      </c>
      <c r="L142">
        <v>1</v>
      </c>
      <c r="M142">
        <v>1</v>
      </c>
      <c r="N142">
        <v>0</v>
      </c>
      <c r="O142">
        <v>1</v>
      </c>
      <c r="P142">
        <v>1</v>
      </c>
      <c r="Q142">
        <v>0</v>
      </c>
      <c r="R142">
        <v>0</v>
      </c>
      <c r="S142">
        <v>0</v>
      </c>
      <c r="T142">
        <v>0</v>
      </c>
      <c r="U142">
        <v>0</v>
      </c>
      <c r="V142">
        <v>0</v>
      </c>
    </row>
    <row r="143" spans="1:22" x14ac:dyDescent="0.2">
      <c r="A143" t="s">
        <v>620</v>
      </c>
      <c r="B143" t="s">
        <v>188</v>
      </c>
      <c r="C143" t="s">
        <v>41</v>
      </c>
      <c r="D143" t="s">
        <v>67</v>
      </c>
      <c r="E143" t="s">
        <v>442</v>
      </c>
      <c r="F143" t="s">
        <v>60</v>
      </c>
      <c r="G143" t="s">
        <v>48</v>
      </c>
      <c r="H143" t="s">
        <v>47</v>
      </c>
      <c r="I143">
        <v>1</v>
      </c>
      <c r="J143">
        <v>0</v>
      </c>
      <c r="K143">
        <v>1</v>
      </c>
      <c r="L143">
        <v>1</v>
      </c>
      <c r="M143">
        <v>0</v>
      </c>
      <c r="N143">
        <v>0</v>
      </c>
      <c r="O143">
        <v>1</v>
      </c>
      <c r="P143">
        <v>1</v>
      </c>
      <c r="Q143">
        <v>0</v>
      </c>
      <c r="R143">
        <v>1</v>
      </c>
      <c r="S143">
        <v>1</v>
      </c>
      <c r="T143">
        <v>0</v>
      </c>
      <c r="U143">
        <v>0</v>
      </c>
      <c r="V143">
        <v>0</v>
      </c>
    </row>
    <row r="144" spans="1:22" x14ac:dyDescent="0.2">
      <c r="A144" t="s">
        <v>620</v>
      </c>
      <c r="B144" t="s">
        <v>188</v>
      </c>
      <c r="C144" t="s">
        <v>41</v>
      </c>
      <c r="D144" t="s">
        <v>49</v>
      </c>
      <c r="E144" t="s">
        <v>442</v>
      </c>
      <c r="F144" t="s">
        <v>48</v>
      </c>
      <c r="G144" t="s">
        <v>59</v>
      </c>
      <c r="H144" t="s">
        <v>60</v>
      </c>
      <c r="I144">
        <v>1</v>
      </c>
      <c r="J144">
        <v>0</v>
      </c>
      <c r="K144">
        <v>1</v>
      </c>
      <c r="L144">
        <v>0</v>
      </c>
      <c r="M144">
        <v>0</v>
      </c>
      <c r="N144">
        <v>0</v>
      </c>
      <c r="O144">
        <v>1</v>
      </c>
      <c r="P144">
        <v>1</v>
      </c>
      <c r="Q144">
        <v>0</v>
      </c>
      <c r="R144">
        <v>1</v>
      </c>
      <c r="S144">
        <v>0</v>
      </c>
      <c r="T144">
        <v>0</v>
      </c>
      <c r="U144">
        <v>0</v>
      </c>
      <c r="V144">
        <v>0</v>
      </c>
    </row>
    <row r="145" spans="1:22" x14ac:dyDescent="0.2">
      <c r="A145" t="s">
        <v>623</v>
      </c>
      <c r="B145" t="s">
        <v>188</v>
      </c>
      <c r="C145" t="s">
        <v>41</v>
      </c>
      <c r="D145" t="s">
        <v>72</v>
      </c>
      <c r="E145" t="s">
        <v>442</v>
      </c>
      <c r="F145" t="s">
        <v>46</v>
      </c>
      <c r="G145" t="s">
        <v>65</v>
      </c>
      <c r="H145" t="s">
        <v>60</v>
      </c>
      <c r="I145">
        <v>1</v>
      </c>
      <c r="J145">
        <v>1</v>
      </c>
      <c r="K145">
        <v>0</v>
      </c>
      <c r="L145">
        <v>0</v>
      </c>
      <c r="M145">
        <v>1</v>
      </c>
      <c r="N145">
        <v>0</v>
      </c>
      <c r="O145">
        <v>1</v>
      </c>
      <c r="P145">
        <v>1</v>
      </c>
      <c r="Q145">
        <v>1</v>
      </c>
      <c r="R145">
        <v>0</v>
      </c>
      <c r="S145">
        <v>0</v>
      </c>
      <c r="T145">
        <v>0</v>
      </c>
      <c r="U145">
        <v>0</v>
      </c>
      <c r="V145">
        <v>0</v>
      </c>
    </row>
    <row r="146" spans="1:22" x14ac:dyDescent="0.2">
      <c r="A146" t="s">
        <v>623</v>
      </c>
      <c r="B146" t="s">
        <v>188</v>
      </c>
      <c r="C146" t="s">
        <v>41</v>
      </c>
      <c r="D146" t="s">
        <v>55</v>
      </c>
      <c r="E146" t="s">
        <v>442</v>
      </c>
      <c r="F146" t="s">
        <v>46</v>
      </c>
      <c r="G146" t="s">
        <v>60</v>
      </c>
      <c r="H146" t="s">
        <v>47</v>
      </c>
      <c r="I146">
        <v>1</v>
      </c>
      <c r="J146">
        <v>0</v>
      </c>
      <c r="K146">
        <v>0</v>
      </c>
      <c r="L146">
        <v>1</v>
      </c>
      <c r="M146">
        <v>1</v>
      </c>
      <c r="N146">
        <v>0</v>
      </c>
      <c r="O146">
        <v>1</v>
      </c>
      <c r="P146">
        <v>1</v>
      </c>
      <c r="Q146">
        <v>0</v>
      </c>
      <c r="R146">
        <v>0</v>
      </c>
      <c r="S146">
        <v>1</v>
      </c>
      <c r="T146">
        <v>1</v>
      </c>
      <c r="U146">
        <v>0</v>
      </c>
      <c r="V146">
        <v>0</v>
      </c>
    </row>
    <row r="147" spans="1:22" x14ac:dyDescent="0.2">
      <c r="A147" t="s">
        <v>627</v>
      </c>
      <c r="B147" t="s">
        <v>33</v>
      </c>
      <c r="C147" t="s">
        <v>41</v>
      </c>
      <c r="D147" t="s">
        <v>67</v>
      </c>
      <c r="E147" t="s">
        <v>442</v>
      </c>
      <c r="F147" t="s">
        <v>59</v>
      </c>
      <c r="G147" t="s">
        <v>48</v>
      </c>
      <c r="H147" t="s">
        <v>60</v>
      </c>
      <c r="I147">
        <v>1</v>
      </c>
      <c r="J147">
        <v>0</v>
      </c>
      <c r="K147">
        <v>1</v>
      </c>
      <c r="L147">
        <v>0</v>
      </c>
      <c r="M147">
        <v>0</v>
      </c>
      <c r="N147">
        <v>0</v>
      </c>
      <c r="O147">
        <v>1</v>
      </c>
      <c r="P147">
        <v>1</v>
      </c>
      <c r="Q147">
        <v>0</v>
      </c>
      <c r="R147">
        <v>1</v>
      </c>
      <c r="S147">
        <v>0</v>
      </c>
      <c r="T147">
        <v>0</v>
      </c>
      <c r="U147">
        <v>0</v>
      </c>
      <c r="V147">
        <v>0</v>
      </c>
    </row>
    <row r="148" spans="1:22" x14ac:dyDescent="0.2">
      <c r="A148" t="s">
        <v>631</v>
      </c>
      <c r="B148" t="s">
        <v>108</v>
      </c>
      <c r="C148" t="s">
        <v>41</v>
      </c>
      <c r="D148" t="s">
        <v>67</v>
      </c>
      <c r="E148" t="s">
        <v>442</v>
      </c>
      <c r="F148" t="s">
        <v>59</v>
      </c>
      <c r="G148" t="s">
        <v>60</v>
      </c>
      <c r="H148" t="s">
        <v>46</v>
      </c>
      <c r="I148">
        <v>1</v>
      </c>
      <c r="J148">
        <v>0</v>
      </c>
      <c r="K148">
        <v>0</v>
      </c>
      <c r="L148">
        <v>0</v>
      </c>
      <c r="M148">
        <v>1</v>
      </c>
      <c r="N148">
        <v>0</v>
      </c>
      <c r="O148">
        <v>1</v>
      </c>
      <c r="P148">
        <v>1</v>
      </c>
      <c r="Q148">
        <v>0</v>
      </c>
      <c r="R148">
        <v>0</v>
      </c>
      <c r="S148">
        <v>0</v>
      </c>
      <c r="T148">
        <v>0</v>
      </c>
      <c r="U148">
        <v>0</v>
      </c>
      <c r="V148">
        <v>0</v>
      </c>
    </row>
    <row r="149" spans="1:22" x14ac:dyDescent="0.2">
      <c r="A149" t="s">
        <v>634</v>
      </c>
      <c r="B149" t="s">
        <v>33</v>
      </c>
      <c r="C149" t="s">
        <v>41</v>
      </c>
      <c r="D149" t="s">
        <v>55</v>
      </c>
      <c r="E149" t="s">
        <v>442</v>
      </c>
      <c r="F149" t="s">
        <v>48</v>
      </c>
      <c r="G149" t="s">
        <v>60</v>
      </c>
      <c r="H149" t="s">
        <v>65</v>
      </c>
      <c r="I149">
        <v>1</v>
      </c>
      <c r="J149">
        <v>1</v>
      </c>
      <c r="K149">
        <v>1</v>
      </c>
      <c r="L149">
        <v>0</v>
      </c>
      <c r="M149">
        <v>0</v>
      </c>
      <c r="N149">
        <v>0</v>
      </c>
      <c r="O149">
        <v>1</v>
      </c>
      <c r="P149">
        <v>1</v>
      </c>
      <c r="Q149">
        <v>1</v>
      </c>
      <c r="R149">
        <v>0</v>
      </c>
      <c r="S149">
        <v>0</v>
      </c>
      <c r="T149">
        <v>0</v>
      </c>
      <c r="U149">
        <v>0</v>
      </c>
      <c r="V149">
        <v>0</v>
      </c>
    </row>
    <row r="150" spans="1:22" x14ac:dyDescent="0.2">
      <c r="A150" t="s">
        <v>634</v>
      </c>
      <c r="B150" t="s">
        <v>33</v>
      </c>
      <c r="C150" t="s">
        <v>41</v>
      </c>
      <c r="D150" t="s">
        <v>42</v>
      </c>
      <c r="E150" t="s">
        <v>442</v>
      </c>
      <c r="F150" t="s">
        <v>59</v>
      </c>
      <c r="G150" t="s">
        <v>60</v>
      </c>
      <c r="H150" t="s">
        <v>65</v>
      </c>
      <c r="I150">
        <v>1</v>
      </c>
      <c r="J150">
        <v>1</v>
      </c>
      <c r="K150">
        <v>0</v>
      </c>
      <c r="L150">
        <v>0</v>
      </c>
      <c r="M150">
        <v>0</v>
      </c>
      <c r="N150">
        <v>0</v>
      </c>
      <c r="O150">
        <v>1</v>
      </c>
      <c r="P150">
        <v>1</v>
      </c>
      <c r="Q150">
        <v>0</v>
      </c>
      <c r="R150">
        <v>0</v>
      </c>
      <c r="S150">
        <v>0</v>
      </c>
      <c r="T150">
        <v>0</v>
      </c>
      <c r="U150">
        <v>0</v>
      </c>
      <c r="V150">
        <v>0</v>
      </c>
    </row>
    <row r="151" spans="1:22" x14ac:dyDescent="0.2">
      <c r="A151" t="s">
        <v>634</v>
      </c>
      <c r="B151" t="s">
        <v>33</v>
      </c>
      <c r="C151" t="s">
        <v>41</v>
      </c>
      <c r="D151" t="s">
        <v>61</v>
      </c>
      <c r="E151" t="s">
        <v>442</v>
      </c>
      <c r="F151" t="s">
        <v>47</v>
      </c>
      <c r="G151" t="s">
        <v>60</v>
      </c>
      <c r="H151" t="s">
        <v>65</v>
      </c>
      <c r="I151">
        <v>1</v>
      </c>
      <c r="J151">
        <v>1</v>
      </c>
      <c r="K151">
        <v>0</v>
      </c>
      <c r="L151">
        <v>1</v>
      </c>
      <c r="M151">
        <v>0</v>
      </c>
      <c r="N151">
        <v>0</v>
      </c>
      <c r="O151">
        <v>1</v>
      </c>
      <c r="P151">
        <v>1</v>
      </c>
      <c r="Q151">
        <v>1</v>
      </c>
      <c r="R151">
        <v>0</v>
      </c>
      <c r="S151">
        <v>0</v>
      </c>
      <c r="T151">
        <v>0</v>
      </c>
      <c r="U151">
        <v>0</v>
      </c>
      <c r="V151">
        <v>0</v>
      </c>
    </row>
    <row r="152" spans="1:22" x14ac:dyDescent="0.2">
      <c r="A152" t="s">
        <v>637</v>
      </c>
      <c r="B152" t="s">
        <v>33</v>
      </c>
      <c r="C152" t="s">
        <v>41</v>
      </c>
      <c r="D152" t="s">
        <v>61</v>
      </c>
      <c r="E152" t="s">
        <v>442</v>
      </c>
      <c r="F152" t="s">
        <v>59</v>
      </c>
      <c r="G152" t="s">
        <v>60</v>
      </c>
      <c r="H152" t="s">
        <v>65</v>
      </c>
      <c r="I152">
        <v>1</v>
      </c>
      <c r="J152">
        <v>1</v>
      </c>
      <c r="K152">
        <v>0</v>
      </c>
      <c r="L152">
        <v>0</v>
      </c>
      <c r="M152">
        <v>0</v>
      </c>
      <c r="N152">
        <v>0</v>
      </c>
      <c r="O152">
        <v>1</v>
      </c>
      <c r="P152">
        <v>1</v>
      </c>
      <c r="Q152">
        <v>1</v>
      </c>
      <c r="R152">
        <v>0</v>
      </c>
      <c r="S152">
        <v>0</v>
      </c>
      <c r="T152">
        <v>0</v>
      </c>
      <c r="U152">
        <v>0</v>
      </c>
      <c r="V152">
        <v>0</v>
      </c>
    </row>
    <row r="153" spans="1:22" x14ac:dyDescent="0.2">
      <c r="A153" t="s">
        <v>637</v>
      </c>
      <c r="B153" t="s">
        <v>33</v>
      </c>
      <c r="C153" t="s">
        <v>41</v>
      </c>
      <c r="D153" t="s">
        <v>67</v>
      </c>
      <c r="E153" t="s">
        <v>442</v>
      </c>
      <c r="F153" t="s">
        <v>60</v>
      </c>
      <c r="G153" t="s">
        <v>48</v>
      </c>
      <c r="H153" t="s">
        <v>46</v>
      </c>
      <c r="I153">
        <v>1</v>
      </c>
      <c r="J153">
        <v>0</v>
      </c>
      <c r="K153">
        <v>1</v>
      </c>
      <c r="L153">
        <v>0</v>
      </c>
      <c r="M153">
        <v>1</v>
      </c>
      <c r="N153">
        <v>0</v>
      </c>
      <c r="O153">
        <v>1</v>
      </c>
      <c r="P153">
        <v>1</v>
      </c>
      <c r="Q153">
        <v>0</v>
      </c>
      <c r="R153">
        <v>1</v>
      </c>
      <c r="S153">
        <v>0</v>
      </c>
      <c r="T153">
        <v>1</v>
      </c>
      <c r="U153">
        <v>0</v>
      </c>
      <c r="V153">
        <v>0</v>
      </c>
    </row>
    <row r="154" spans="1:22" x14ac:dyDescent="0.2">
      <c r="A154" t="s">
        <v>637</v>
      </c>
      <c r="B154" t="s">
        <v>33</v>
      </c>
      <c r="C154" t="s">
        <v>41</v>
      </c>
      <c r="D154" t="s">
        <v>72</v>
      </c>
      <c r="E154" t="s">
        <v>442</v>
      </c>
      <c r="F154" t="s">
        <v>47</v>
      </c>
      <c r="G154" t="s">
        <v>46</v>
      </c>
      <c r="H154" t="s">
        <v>60</v>
      </c>
      <c r="I154">
        <v>1</v>
      </c>
      <c r="J154">
        <v>0</v>
      </c>
      <c r="K154">
        <v>0</v>
      </c>
      <c r="L154">
        <v>1</v>
      </c>
      <c r="M154">
        <v>1</v>
      </c>
      <c r="N154">
        <v>0</v>
      </c>
      <c r="O154">
        <v>1</v>
      </c>
      <c r="P154">
        <v>1</v>
      </c>
      <c r="Q154">
        <v>0</v>
      </c>
      <c r="R154">
        <v>0</v>
      </c>
      <c r="S154">
        <v>1</v>
      </c>
      <c r="T154">
        <v>1</v>
      </c>
      <c r="U154">
        <v>0</v>
      </c>
      <c r="V154">
        <v>0</v>
      </c>
    </row>
    <row r="155" spans="1:22" x14ac:dyDescent="0.2">
      <c r="A155" t="s">
        <v>637</v>
      </c>
      <c r="B155" t="s">
        <v>33</v>
      </c>
      <c r="C155" t="s">
        <v>41</v>
      </c>
      <c r="D155" t="s">
        <v>49</v>
      </c>
      <c r="E155" t="s">
        <v>442</v>
      </c>
      <c r="F155" t="s">
        <v>60</v>
      </c>
      <c r="G155" t="s">
        <v>65</v>
      </c>
      <c r="H155" t="s">
        <v>48</v>
      </c>
      <c r="I155">
        <v>1</v>
      </c>
      <c r="J155">
        <v>1</v>
      </c>
      <c r="K155">
        <v>1</v>
      </c>
      <c r="L155">
        <v>0</v>
      </c>
      <c r="M155">
        <v>0</v>
      </c>
      <c r="N155">
        <v>0</v>
      </c>
      <c r="O155">
        <v>1</v>
      </c>
      <c r="P155">
        <v>1</v>
      </c>
      <c r="Q155">
        <v>1</v>
      </c>
      <c r="R155">
        <v>0</v>
      </c>
      <c r="S155">
        <v>0</v>
      </c>
      <c r="T155">
        <v>0</v>
      </c>
      <c r="U155">
        <v>0</v>
      </c>
      <c r="V155">
        <v>0</v>
      </c>
    </row>
    <row r="156" spans="1:22" x14ac:dyDescent="0.2">
      <c r="A156" t="s">
        <v>644</v>
      </c>
      <c r="B156" t="s">
        <v>108</v>
      </c>
      <c r="C156" t="s">
        <v>41</v>
      </c>
      <c r="D156" t="s">
        <v>55</v>
      </c>
      <c r="E156" t="s">
        <v>442</v>
      </c>
      <c r="F156" t="s">
        <v>47</v>
      </c>
      <c r="G156" t="s">
        <v>48</v>
      </c>
      <c r="H156" t="s">
        <v>60</v>
      </c>
      <c r="I156">
        <v>1</v>
      </c>
      <c r="J156">
        <v>0</v>
      </c>
      <c r="K156">
        <v>1</v>
      </c>
      <c r="L156">
        <v>1</v>
      </c>
      <c r="M156">
        <v>0</v>
      </c>
      <c r="N156">
        <v>0</v>
      </c>
      <c r="O156">
        <v>1</v>
      </c>
      <c r="P156">
        <v>1</v>
      </c>
      <c r="Q156">
        <v>0</v>
      </c>
      <c r="R156">
        <v>0</v>
      </c>
      <c r="S156">
        <v>0</v>
      </c>
      <c r="T156">
        <v>0</v>
      </c>
      <c r="U156">
        <v>0</v>
      </c>
      <c r="V156">
        <v>0</v>
      </c>
    </row>
    <row r="157" spans="1:22" x14ac:dyDescent="0.2">
      <c r="A157" t="s">
        <v>644</v>
      </c>
      <c r="B157" t="s">
        <v>108</v>
      </c>
      <c r="C157" t="s">
        <v>41</v>
      </c>
      <c r="D157" t="s">
        <v>67</v>
      </c>
      <c r="E157" t="s">
        <v>442</v>
      </c>
      <c r="F157" t="s">
        <v>60</v>
      </c>
      <c r="G157" t="s">
        <v>46</v>
      </c>
      <c r="H157" t="s">
        <v>48</v>
      </c>
      <c r="I157">
        <v>1</v>
      </c>
      <c r="J157">
        <v>0</v>
      </c>
      <c r="K157">
        <v>1</v>
      </c>
      <c r="L157">
        <v>0</v>
      </c>
      <c r="M157">
        <v>1</v>
      </c>
      <c r="N157">
        <v>0</v>
      </c>
      <c r="O157">
        <v>1</v>
      </c>
      <c r="P157">
        <v>1</v>
      </c>
      <c r="Q157">
        <v>0</v>
      </c>
      <c r="R157">
        <v>0</v>
      </c>
      <c r="S157">
        <v>0</v>
      </c>
      <c r="T157">
        <v>0</v>
      </c>
      <c r="U157">
        <v>0</v>
      </c>
      <c r="V157">
        <v>0</v>
      </c>
    </row>
    <row r="158" spans="1:22" x14ac:dyDescent="0.2">
      <c r="A158" t="s">
        <v>647</v>
      </c>
      <c r="B158" t="s">
        <v>188</v>
      </c>
      <c r="C158" t="s">
        <v>41</v>
      </c>
      <c r="D158" t="s">
        <v>61</v>
      </c>
      <c r="E158" t="s">
        <v>442</v>
      </c>
      <c r="F158" t="s">
        <v>60</v>
      </c>
      <c r="G158" t="s">
        <v>47</v>
      </c>
      <c r="H158" t="s">
        <v>65</v>
      </c>
      <c r="I158">
        <v>1</v>
      </c>
      <c r="J158">
        <v>1</v>
      </c>
      <c r="K158">
        <v>0</v>
      </c>
      <c r="L158">
        <v>1</v>
      </c>
      <c r="M158">
        <v>0</v>
      </c>
      <c r="N158">
        <v>0</v>
      </c>
      <c r="O158">
        <v>1</v>
      </c>
      <c r="P158">
        <v>1</v>
      </c>
      <c r="Q158">
        <v>0</v>
      </c>
      <c r="R158">
        <v>0</v>
      </c>
      <c r="S158">
        <v>0</v>
      </c>
      <c r="T158">
        <v>0</v>
      </c>
      <c r="U158">
        <v>0</v>
      </c>
      <c r="V158">
        <v>0</v>
      </c>
    </row>
    <row r="159" spans="1:22" x14ac:dyDescent="0.2">
      <c r="A159" t="s">
        <v>649</v>
      </c>
      <c r="B159" t="s">
        <v>188</v>
      </c>
      <c r="C159" t="s">
        <v>41</v>
      </c>
      <c r="D159" t="s">
        <v>42</v>
      </c>
      <c r="E159" t="s">
        <v>442</v>
      </c>
      <c r="F159" t="s">
        <v>46</v>
      </c>
      <c r="G159" t="s">
        <v>48</v>
      </c>
      <c r="H159" t="s">
        <v>60</v>
      </c>
      <c r="I159">
        <v>1</v>
      </c>
      <c r="J159">
        <v>0</v>
      </c>
      <c r="K159">
        <v>1</v>
      </c>
      <c r="L159">
        <v>0</v>
      </c>
      <c r="M159">
        <v>1</v>
      </c>
      <c r="N159">
        <v>0</v>
      </c>
      <c r="O159">
        <v>1</v>
      </c>
      <c r="P159">
        <v>1</v>
      </c>
      <c r="Q159">
        <v>0</v>
      </c>
      <c r="R159">
        <v>1</v>
      </c>
      <c r="S159">
        <v>0</v>
      </c>
      <c r="T159">
        <v>1</v>
      </c>
      <c r="U159">
        <v>0</v>
      </c>
      <c r="V159">
        <v>0</v>
      </c>
    </row>
    <row r="160" spans="1:22" x14ac:dyDescent="0.2">
      <c r="A160" t="s">
        <v>649</v>
      </c>
      <c r="B160" t="s">
        <v>188</v>
      </c>
      <c r="C160" t="s">
        <v>41</v>
      </c>
      <c r="D160" t="s">
        <v>72</v>
      </c>
      <c r="E160" t="s">
        <v>442</v>
      </c>
      <c r="F160" t="s">
        <v>47</v>
      </c>
      <c r="G160" t="s">
        <v>65</v>
      </c>
      <c r="H160" t="s">
        <v>60</v>
      </c>
      <c r="I160">
        <v>1</v>
      </c>
      <c r="J160">
        <v>1</v>
      </c>
      <c r="K160">
        <v>0</v>
      </c>
      <c r="L160">
        <v>1</v>
      </c>
      <c r="M160">
        <v>0</v>
      </c>
      <c r="N160">
        <v>0</v>
      </c>
      <c r="O160">
        <v>1</v>
      </c>
      <c r="P160">
        <v>1</v>
      </c>
      <c r="Q160">
        <v>1</v>
      </c>
      <c r="R160">
        <v>0</v>
      </c>
      <c r="S160">
        <v>1</v>
      </c>
      <c r="T160">
        <v>0</v>
      </c>
      <c r="U160">
        <v>0</v>
      </c>
      <c r="V160">
        <v>0</v>
      </c>
    </row>
    <row r="161" spans="1:22" x14ac:dyDescent="0.2">
      <c r="A161" t="s">
        <v>649</v>
      </c>
      <c r="B161" t="s">
        <v>188</v>
      </c>
      <c r="C161" t="s">
        <v>41</v>
      </c>
      <c r="D161" t="s">
        <v>67</v>
      </c>
      <c r="E161" t="s">
        <v>442</v>
      </c>
      <c r="F161" t="s">
        <v>46</v>
      </c>
      <c r="G161" t="s">
        <v>48</v>
      </c>
      <c r="H161" t="s">
        <v>60</v>
      </c>
      <c r="I161">
        <v>1</v>
      </c>
      <c r="J161">
        <v>0</v>
      </c>
      <c r="K161">
        <v>1</v>
      </c>
      <c r="L161">
        <v>0</v>
      </c>
      <c r="M161">
        <v>1</v>
      </c>
      <c r="N161">
        <v>0</v>
      </c>
      <c r="O161">
        <v>1</v>
      </c>
      <c r="P161">
        <v>1</v>
      </c>
      <c r="Q161">
        <v>0</v>
      </c>
      <c r="R161">
        <v>0</v>
      </c>
      <c r="S161">
        <v>0</v>
      </c>
      <c r="T161">
        <v>0</v>
      </c>
      <c r="U161">
        <v>0</v>
      </c>
      <c r="V161">
        <v>0</v>
      </c>
    </row>
    <row r="162" spans="1:22" x14ac:dyDescent="0.2">
      <c r="A162" t="s">
        <v>652</v>
      </c>
      <c r="B162" t="s">
        <v>108</v>
      </c>
      <c r="C162" t="s">
        <v>41</v>
      </c>
      <c r="D162" t="s">
        <v>42</v>
      </c>
      <c r="E162" t="s">
        <v>442</v>
      </c>
      <c r="F162" t="s">
        <v>46</v>
      </c>
      <c r="G162" t="s">
        <v>65</v>
      </c>
      <c r="H162" t="s">
        <v>60</v>
      </c>
      <c r="I162">
        <v>1</v>
      </c>
      <c r="J162">
        <v>1</v>
      </c>
      <c r="K162">
        <v>0</v>
      </c>
      <c r="L162">
        <v>0</v>
      </c>
      <c r="M162">
        <v>1</v>
      </c>
      <c r="N162">
        <v>0</v>
      </c>
      <c r="O162">
        <v>1</v>
      </c>
      <c r="P162">
        <v>1</v>
      </c>
      <c r="Q162">
        <v>1</v>
      </c>
      <c r="R162">
        <v>0</v>
      </c>
      <c r="S162">
        <v>0</v>
      </c>
      <c r="T162">
        <v>0</v>
      </c>
      <c r="U162">
        <v>0</v>
      </c>
      <c r="V162">
        <v>0</v>
      </c>
    </row>
    <row r="163" spans="1:22" x14ac:dyDescent="0.2">
      <c r="A163" t="s">
        <v>652</v>
      </c>
      <c r="B163" t="s">
        <v>108</v>
      </c>
      <c r="C163" t="s">
        <v>41</v>
      </c>
      <c r="D163" t="s">
        <v>49</v>
      </c>
      <c r="E163" t="s">
        <v>442</v>
      </c>
      <c r="F163" t="s">
        <v>59</v>
      </c>
      <c r="G163" t="s">
        <v>48</v>
      </c>
      <c r="H163" t="s">
        <v>60</v>
      </c>
      <c r="I163">
        <v>1</v>
      </c>
      <c r="J163">
        <v>0</v>
      </c>
      <c r="K163">
        <v>1</v>
      </c>
      <c r="L163">
        <v>0</v>
      </c>
      <c r="M163">
        <v>0</v>
      </c>
      <c r="N163">
        <v>0</v>
      </c>
      <c r="O163">
        <v>1</v>
      </c>
      <c r="P163">
        <v>1</v>
      </c>
      <c r="Q163">
        <v>0</v>
      </c>
      <c r="R163">
        <v>0</v>
      </c>
      <c r="S163">
        <v>0</v>
      </c>
      <c r="T163">
        <v>0</v>
      </c>
      <c r="U163">
        <v>0</v>
      </c>
      <c r="V163">
        <v>0</v>
      </c>
    </row>
    <row r="164" spans="1:22" x14ac:dyDescent="0.2">
      <c r="A164" t="s">
        <v>652</v>
      </c>
      <c r="B164" t="s">
        <v>108</v>
      </c>
      <c r="C164" t="s">
        <v>41</v>
      </c>
      <c r="D164" t="s">
        <v>61</v>
      </c>
      <c r="E164" t="s">
        <v>442</v>
      </c>
      <c r="F164" t="s">
        <v>65</v>
      </c>
      <c r="G164" t="s">
        <v>60</v>
      </c>
      <c r="H164" t="s">
        <v>47</v>
      </c>
      <c r="I164">
        <v>1</v>
      </c>
      <c r="J164">
        <v>1</v>
      </c>
      <c r="K164">
        <v>0</v>
      </c>
      <c r="L164">
        <v>1</v>
      </c>
      <c r="M164">
        <v>0</v>
      </c>
      <c r="N164">
        <v>0</v>
      </c>
      <c r="O164">
        <v>1</v>
      </c>
      <c r="P164">
        <v>1</v>
      </c>
      <c r="Q164">
        <v>0</v>
      </c>
      <c r="R164">
        <v>0</v>
      </c>
      <c r="S164">
        <v>0</v>
      </c>
      <c r="T164">
        <v>0</v>
      </c>
      <c r="U164">
        <v>0</v>
      </c>
      <c r="V164">
        <v>0</v>
      </c>
    </row>
    <row r="165" spans="1:22" x14ac:dyDescent="0.2">
      <c r="A165" t="s">
        <v>659</v>
      </c>
      <c r="B165" t="s">
        <v>108</v>
      </c>
      <c r="C165" t="s">
        <v>41</v>
      </c>
      <c r="D165" t="s">
        <v>61</v>
      </c>
      <c r="E165" t="s">
        <v>442</v>
      </c>
      <c r="F165" t="s">
        <v>60</v>
      </c>
      <c r="G165" t="s">
        <v>48</v>
      </c>
      <c r="H165" t="s">
        <v>46</v>
      </c>
      <c r="I165">
        <v>1</v>
      </c>
      <c r="J165">
        <v>0</v>
      </c>
      <c r="K165">
        <v>1</v>
      </c>
      <c r="L165">
        <v>0</v>
      </c>
      <c r="M165">
        <v>1</v>
      </c>
      <c r="N165">
        <v>0</v>
      </c>
      <c r="O165">
        <v>1</v>
      </c>
      <c r="P165">
        <v>1</v>
      </c>
      <c r="Q165">
        <v>0</v>
      </c>
      <c r="R165">
        <v>0</v>
      </c>
      <c r="S165">
        <v>0</v>
      </c>
      <c r="T165">
        <v>0</v>
      </c>
      <c r="U165">
        <v>0</v>
      </c>
      <c r="V165">
        <v>0</v>
      </c>
    </row>
    <row r="166" spans="1:22" x14ac:dyDescent="0.2">
      <c r="A166" t="s">
        <v>675</v>
      </c>
      <c r="B166" t="s">
        <v>33</v>
      </c>
      <c r="C166" t="s">
        <v>41</v>
      </c>
      <c r="D166" t="s">
        <v>42</v>
      </c>
      <c r="E166" t="s">
        <v>442</v>
      </c>
      <c r="F166" t="s">
        <v>65</v>
      </c>
      <c r="G166" t="s">
        <v>60</v>
      </c>
      <c r="H166" t="s">
        <v>46</v>
      </c>
      <c r="I166">
        <v>1</v>
      </c>
      <c r="J166">
        <v>1</v>
      </c>
      <c r="K166">
        <v>0</v>
      </c>
      <c r="L166">
        <v>0</v>
      </c>
      <c r="M166">
        <v>1</v>
      </c>
      <c r="N166">
        <v>0</v>
      </c>
      <c r="O166">
        <v>1</v>
      </c>
      <c r="P166">
        <v>1</v>
      </c>
      <c r="Q166">
        <v>1</v>
      </c>
      <c r="R166">
        <v>0</v>
      </c>
      <c r="S166">
        <v>0</v>
      </c>
      <c r="T166">
        <v>0</v>
      </c>
      <c r="U166">
        <v>0</v>
      </c>
      <c r="V166">
        <v>0</v>
      </c>
    </row>
    <row r="167" spans="1:22" x14ac:dyDescent="0.2">
      <c r="A167" t="s">
        <v>685</v>
      </c>
      <c r="B167" t="s">
        <v>108</v>
      </c>
      <c r="C167" t="s">
        <v>41</v>
      </c>
      <c r="D167" t="s">
        <v>67</v>
      </c>
      <c r="E167" t="s">
        <v>442</v>
      </c>
      <c r="F167" t="s">
        <v>48</v>
      </c>
      <c r="G167" t="s">
        <v>65</v>
      </c>
      <c r="H167" t="s">
        <v>60</v>
      </c>
      <c r="I167">
        <v>1</v>
      </c>
      <c r="J167">
        <v>1</v>
      </c>
      <c r="K167">
        <v>1</v>
      </c>
      <c r="L167">
        <v>0</v>
      </c>
      <c r="M167">
        <v>0</v>
      </c>
      <c r="N167">
        <v>0</v>
      </c>
      <c r="O167">
        <v>1</v>
      </c>
      <c r="P167">
        <v>1</v>
      </c>
      <c r="Q167">
        <v>1</v>
      </c>
      <c r="R167">
        <v>0</v>
      </c>
      <c r="S167">
        <v>0</v>
      </c>
      <c r="T167">
        <v>0</v>
      </c>
      <c r="U167">
        <v>0</v>
      </c>
      <c r="V167">
        <v>0</v>
      </c>
    </row>
    <row r="168" spans="1:22" x14ac:dyDescent="0.2">
      <c r="A168" t="s">
        <v>688</v>
      </c>
      <c r="B168" t="s">
        <v>188</v>
      </c>
      <c r="C168" t="s">
        <v>41</v>
      </c>
      <c r="D168" t="s">
        <v>49</v>
      </c>
      <c r="E168" t="s">
        <v>442</v>
      </c>
      <c r="F168" t="s">
        <v>46</v>
      </c>
      <c r="G168" t="s">
        <v>60</v>
      </c>
      <c r="H168" t="s">
        <v>59</v>
      </c>
      <c r="I168">
        <v>1</v>
      </c>
      <c r="J168">
        <v>0</v>
      </c>
      <c r="K168">
        <v>0</v>
      </c>
      <c r="L168">
        <v>0</v>
      </c>
      <c r="M168">
        <v>1</v>
      </c>
      <c r="N168">
        <v>0</v>
      </c>
      <c r="O168">
        <v>1</v>
      </c>
      <c r="P168">
        <v>1</v>
      </c>
      <c r="Q168">
        <v>0</v>
      </c>
      <c r="R168">
        <v>0</v>
      </c>
      <c r="S168">
        <v>0</v>
      </c>
      <c r="T168">
        <v>0</v>
      </c>
      <c r="U168">
        <v>0</v>
      </c>
      <c r="V168">
        <v>0</v>
      </c>
    </row>
    <row r="169" spans="1:22" x14ac:dyDescent="0.2">
      <c r="A169" t="s">
        <v>691</v>
      </c>
      <c r="B169" t="s">
        <v>108</v>
      </c>
      <c r="C169" t="s">
        <v>41</v>
      </c>
      <c r="D169" t="s">
        <v>49</v>
      </c>
      <c r="E169" t="s">
        <v>442</v>
      </c>
      <c r="F169" t="s">
        <v>47</v>
      </c>
      <c r="G169" t="s">
        <v>46</v>
      </c>
      <c r="H169" t="s">
        <v>60</v>
      </c>
      <c r="I169">
        <v>1</v>
      </c>
      <c r="J169">
        <v>0</v>
      </c>
      <c r="K169">
        <v>0</v>
      </c>
      <c r="L169">
        <v>1</v>
      </c>
      <c r="M169">
        <v>1</v>
      </c>
      <c r="N169">
        <v>0</v>
      </c>
      <c r="O169">
        <v>1</v>
      </c>
      <c r="P169">
        <v>1</v>
      </c>
      <c r="Q169">
        <v>0</v>
      </c>
      <c r="R169">
        <v>0</v>
      </c>
      <c r="S169">
        <v>1</v>
      </c>
      <c r="T169">
        <v>1</v>
      </c>
      <c r="U169">
        <v>0</v>
      </c>
      <c r="V169">
        <v>0</v>
      </c>
    </row>
    <row r="170" spans="1:22" x14ac:dyDescent="0.2">
      <c r="A170" t="s">
        <v>691</v>
      </c>
      <c r="B170" t="s">
        <v>108</v>
      </c>
      <c r="C170" t="s">
        <v>41</v>
      </c>
      <c r="D170" t="s">
        <v>55</v>
      </c>
      <c r="E170" t="s">
        <v>442</v>
      </c>
      <c r="F170" t="s">
        <v>65</v>
      </c>
      <c r="G170" t="s">
        <v>60</v>
      </c>
      <c r="H170" t="s">
        <v>48</v>
      </c>
      <c r="I170">
        <v>1</v>
      </c>
      <c r="J170">
        <v>1</v>
      </c>
      <c r="K170">
        <v>1</v>
      </c>
      <c r="L170">
        <v>0</v>
      </c>
      <c r="M170">
        <v>0</v>
      </c>
      <c r="N170">
        <v>0</v>
      </c>
      <c r="O170">
        <v>1</v>
      </c>
      <c r="P170">
        <v>1</v>
      </c>
      <c r="Q170">
        <v>1</v>
      </c>
      <c r="R170">
        <v>1</v>
      </c>
      <c r="S170">
        <v>0</v>
      </c>
      <c r="T170">
        <v>0</v>
      </c>
      <c r="U170">
        <v>0</v>
      </c>
      <c r="V170">
        <v>0</v>
      </c>
    </row>
    <row r="171" spans="1:22" x14ac:dyDescent="0.2">
      <c r="A171" t="s">
        <v>701</v>
      </c>
      <c r="B171" t="s">
        <v>188</v>
      </c>
      <c r="C171" t="s">
        <v>41</v>
      </c>
      <c r="D171" t="s">
        <v>49</v>
      </c>
      <c r="E171" t="s">
        <v>442</v>
      </c>
      <c r="F171" t="s">
        <v>47</v>
      </c>
      <c r="G171" t="s">
        <v>60</v>
      </c>
      <c r="H171" t="s">
        <v>48</v>
      </c>
      <c r="I171">
        <v>1</v>
      </c>
      <c r="J171">
        <v>0</v>
      </c>
      <c r="K171">
        <v>1</v>
      </c>
      <c r="L171">
        <v>1</v>
      </c>
      <c r="M171">
        <v>0</v>
      </c>
      <c r="N171">
        <v>0</v>
      </c>
      <c r="O171">
        <v>1</v>
      </c>
      <c r="P171">
        <v>1</v>
      </c>
      <c r="Q171">
        <v>0</v>
      </c>
      <c r="R171">
        <v>0</v>
      </c>
      <c r="S171">
        <v>0</v>
      </c>
      <c r="T171">
        <v>0</v>
      </c>
      <c r="U171">
        <v>0</v>
      </c>
      <c r="V171">
        <v>0</v>
      </c>
    </row>
    <row r="172" spans="1:22" x14ac:dyDescent="0.2">
      <c r="A172" t="s">
        <v>703</v>
      </c>
      <c r="B172" t="s">
        <v>108</v>
      </c>
      <c r="C172" t="s">
        <v>41</v>
      </c>
      <c r="D172" t="s">
        <v>61</v>
      </c>
      <c r="E172" t="s">
        <v>442</v>
      </c>
      <c r="F172" t="s">
        <v>48</v>
      </c>
      <c r="G172" t="s">
        <v>65</v>
      </c>
      <c r="H172" t="s">
        <v>60</v>
      </c>
      <c r="I172">
        <v>1</v>
      </c>
      <c r="J172">
        <v>1</v>
      </c>
      <c r="K172">
        <v>1</v>
      </c>
      <c r="L172">
        <v>0</v>
      </c>
      <c r="M172">
        <v>0</v>
      </c>
      <c r="N172">
        <v>0</v>
      </c>
      <c r="O172">
        <v>1</v>
      </c>
      <c r="P172">
        <v>1</v>
      </c>
      <c r="Q172">
        <v>0</v>
      </c>
      <c r="R172">
        <v>0</v>
      </c>
      <c r="S172">
        <v>0</v>
      </c>
      <c r="T172">
        <v>0</v>
      </c>
      <c r="U172">
        <v>0</v>
      </c>
      <c r="V172">
        <v>0</v>
      </c>
    </row>
    <row r="173" spans="1:22" x14ac:dyDescent="0.2">
      <c r="A173" t="s">
        <v>706</v>
      </c>
      <c r="B173" t="s">
        <v>108</v>
      </c>
      <c r="C173" t="s">
        <v>41</v>
      </c>
      <c r="D173" t="s">
        <v>42</v>
      </c>
      <c r="E173" t="s">
        <v>442</v>
      </c>
      <c r="F173" t="s">
        <v>65</v>
      </c>
      <c r="G173" t="s">
        <v>60</v>
      </c>
      <c r="H173" t="s">
        <v>59</v>
      </c>
      <c r="I173">
        <v>1</v>
      </c>
      <c r="J173">
        <v>1</v>
      </c>
      <c r="K173">
        <v>0</v>
      </c>
      <c r="L173">
        <v>0</v>
      </c>
      <c r="M173">
        <v>0</v>
      </c>
      <c r="N173">
        <v>0</v>
      </c>
      <c r="O173">
        <v>1</v>
      </c>
      <c r="P173">
        <v>1</v>
      </c>
      <c r="Q173">
        <v>1</v>
      </c>
      <c r="R173">
        <v>0</v>
      </c>
      <c r="S173">
        <v>0</v>
      </c>
      <c r="T173">
        <v>0</v>
      </c>
      <c r="U173">
        <v>0</v>
      </c>
      <c r="V173">
        <v>0</v>
      </c>
    </row>
    <row r="174" spans="1:22" x14ac:dyDescent="0.2">
      <c r="A174" t="s">
        <v>710</v>
      </c>
      <c r="B174" t="s">
        <v>108</v>
      </c>
      <c r="C174" t="s">
        <v>41</v>
      </c>
      <c r="D174" t="s">
        <v>61</v>
      </c>
      <c r="E174" t="s">
        <v>442</v>
      </c>
      <c r="F174" t="s">
        <v>47</v>
      </c>
      <c r="G174" t="s">
        <v>60</v>
      </c>
      <c r="H174" t="s">
        <v>46</v>
      </c>
      <c r="I174">
        <v>1</v>
      </c>
      <c r="J174">
        <v>0</v>
      </c>
      <c r="K174">
        <v>0</v>
      </c>
      <c r="L174">
        <v>1</v>
      </c>
      <c r="M174">
        <v>1</v>
      </c>
      <c r="N174">
        <v>0</v>
      </c>
      <c r="O174">
        <v>1</v>
      </c>
      <c r="P174">
        <v>1</v>
      </c>
      <c r="Q174">
        <v>0</v>
      </c>
      <c r="R174">
        <v>0</v>
      </c>
      <c r="S174">
        <v>1</v>
      </c>
      <c r="T174">
        <v>0</v>
      </c>
      <c r="U174">
        <v>0</v>
      </c>
      <c r="V174">
        <v>0</v>
      </c>
    </row>
    <row r="175" spans="1:22" x14ac:dyDescent="0.2">
      <c r="A175" t="s">
        <v>713</v>
      </c>
      <c r="B175" t="s">
        <v>108</v>
      </c>
      <c r="C175" t="s">
        <v>41</v>
      </c>
      <c r="D175" t="s">
        <v>72</v>
      </c>
      <c r="E175" t="s">
        <v>442</v>
      </c>
      <c r="F175" t="s">
        <v>46</v>
      </c>
      <c r="G175" t="s">
        <v>65</v>
      </c>
      <c r="H175" t="s">
        <v>60</v>
      </c>
      <c r="I175">
        <v>1</v>
      </c>
      <c r="J175">
        <v>1</v>
      </c>
      <c r="K175">
        <v>0</v>
      </c>
      <c r="L175">
        <v>0</v>
      </c>
      <c r="M175">
        <v>1</v>
      </c>
      <c r="N175">
        <v>0</v>
      </c>
      <c r="O175">
        <v>1</v>
      </c>
      <c r="P175">
        <v>1</v>
      </c>
      <c r="Q175">
        <v>1</v>
      </c>
      <c r="R175">
        <v>0</v>
      </c>
      <c r="S175">
        <v>0</v>
      </c>
      <c r="T175">
        <v>1</v>
      </c>
      <c r="U175">
        <v>0</v>
      </c>
      <c r="V175">
        <v>0</v>
      </c>
    </row>
    <row r="176" spans="1:22" x14ac:dyDescent="0.2">
      <c r="A176" t="s">
        <v>722</v>
      </c>
      <c r="B176" t="s">
        <v>33</v>
      </c>
      <c r="C176" t="s">
        <v>41</v>
      </c>
      <c r="D176" t="s">
        <v>61</v>
      </c>
      <c r="E176" t="s">
        <v>442</v>
      </c>
      <c r="F176" t="s">
        <v>46</v>
      </c>
      <c r="G176" t="s">
        <v>60</v>
      </c>
      <c r="H176" t="s">
        <v>65</v>
      </c>
      <c r="I176">
        <v>1</v>
      </c>
      <c r="J176">
        <v>1</v>
      </c>
      <c r="K176">
        <v>0</v>
      </c>
      <c r="L176">
        <v>0</v>
      </c>
      <c r="M176">
        <v>1</v>
      </c>
      <c r="N176">
        <v>0</v>
      </c>
      <c r="O176">
        <v>1</v>
      </c>
      <c r="P176">
        <v>1</v>
      </c>
      <c r="Q176">
        <v>0</v>
      </c>
      <c r="R176">
        <v>0</v>
      </c>
      <c r="S176">
        <v>0</v>
      </c>
      <c r="T176">
        <v>0</v>
      </c>
      <c r="U176">
        <v>0</v>
      </c>
      <c r="V176">
        <v>0</v>
      </c>
    </row>
    <row r="177" spans="1:22" x14ac:dyDescent="0.2">
      <c r="A177" t="s">
        <v>725</v>
      </c>
      <c r="B177" t="s">
        <v>108</v>
      </c>
      <c r="C177" t="s">
        <v>41</v>
      </c>
      <c r="D177" t="s">
        <v>42</v>
      </c>
      <c r="E177" t="s">
        <v>442</v>
      </c>
      <c r="F177" t="s">
        <v>65</v>
      </c>
      <c r="G177" t="s">
        <v>47</v>
      </c>
      <c r="H177" t="s">
        <v>60</v>
      </c>
      <c r="I177">
        <v>1</v>
      </c>
      <c r="J177">
        <v>1</v>
      </c>
      <c r="K177">
        <v>0</v>
      </c>
      <c r="L177">
        <v>1</v>
      </c>
      <c r="M177">
        <v>0</v>
      </c>
      <c r="N177">
        <v>0</v>
      </c>
      <c r="O177">
        <v>1</v>
      </c>
      <c r="P177">
        <v>1</v>
      </c>
      <c r="Q177">
        <v>1</v>
      </c>
      <c r="R177">
        <v>0</v>
      </c>
      <c r="S177">
        <v>1</v>
      </c>
      <c r="T177">
        <v>0</v>
      </c>
      <c r="U177">
        <v>0</v>
      </c>
      <c r="V177">
        <v>0</v>
      </c>
    </row>
    <row r="178" spans="1:22" x14ac:dyDescent="0.2">
      <c r="A178" t="s">
        <v>725</v>
      </c>
      <c r="B178" t="s">
        <v>108</v>
      </c>
      <c r="C178" t="s">
        <v>41</v>
      </c>
      <c r="D178" t="s">
        <v>49</v>
      </c>
      <c r="E178" t="s">
        <v>442</v>
      </c>
      <c r="F178" t="s">
        <v>60</v>
      </c>
      <c r="G178" t="s">
        <v>48</v>
      </c>
      <c r="H178" t="s">
        <v>46</v>
      </c>
      <c r="I178">
        <v>1</v>
      </c>
      <c r="J178">
        <v>0</v>
      </c>
      <c r="K178">
        <v>1</v>
      </c>
      <c r="L178">
        <v>0</v>
      </c>
      <c r="M178">
        <v>1</v>
      </c>
      <c r="N178">
        <v>0</v>
      </c>
      <c r="O178">
        <v>1</v>
      </c>
      <c r="P178">
        <v>1</v>
      </c>
      <c r="Q178">
        <v>0</v>
      </c>
      <c r="R178">
        <v>0</v>
      </c>
      <c r="S178">
        <v>0</v>
      </c>
      <c r="T178">
        <v>0</v>
      </c>
      <c r="U178">
        <v>0</v>
      </c>
      <c r="V178">
        <v>0</v>
      </c>
    </row>
    <row r="179" spans="1:22" x14ac:dyDescent="0.2">
      <c r="A179" t="s">
        <v>732</v>
      </c>
      <c r="B179" t="s">
        <v>108</v>
      </c>
      <c r="C179" t="s">
        <v>41</v>
      </c>
      <c r="D179" t="s">
        <v>72</v>
      </c>
      <c r="E179" t="s">
        <v>442</v>
      </c>
      <c r="F179" t="s">
        <v>60</v>
      </c>
      <c r="G179" t="s">
        <v>48</v>
      </c>
      <c r="H179" t="s">
        <v>46</v>
      </c>
      <c r="I179">
        <v>1</v>
      </c>
      <c r="J179">
        <v>0</v>
      </c>
      <c r="K179">
        <v>1</v>
      </c>
      <c r="L179">
        <v>0</v>
      </c>
      <c r="M179">
        <v>1</v>
      </c>
      <c r="N179">
        <v>0</v>
      </c>
      <c r="O179">
        <v>1</v>
      </c>
      <c r="P179">
        <v>1</v>
      </c>
      <c r="Q179">
        <v>0</v>
      </c>
      <c r="R179">
        <v>0</v>
      </c>
      <c r="S179">
        <v>0</v>
      </c>
      <c r="T179">
        <v>0</v>
      </c>
      <c r="U179">
        <v>0</v>
      </c>
      <c r="V179">
        <v>0</v>
      </c>
    </row>
    <row r="180" spans="1:22" x14ac:dyDescent="0.2">
      <c r="A180" t="s">
        <v>738</v>
      </c>
      <c r="B180" t="s">
        <v>108</v>
      </c>
      <c r="C180" t="s">
        <v>41</v>
      </c>
      <c r="D180" t="s">
        <v>55</v>
      </c>
      <c r="E180" t="s">
        <v>442</v>
      </c>
      <c r="F180" t="s">
        <v>48</v>
      </c>
      <c r="G180" t="s">
        <v>59</v>
      </c>
      <c r="H180" t="s">
        <v>60</v>
      </c>
      <c r="I180">
        <v>1</v>
      </c>
      <c r="J180">
        <v>0</v>
      </c>
      <c r="K180">
        <v>1</v>
      </c>
      <c r="L180">
        <v>0</v>
      </c>
      <c r="M180">
        <v>0</v>
      </c>
      <c r="N180">
        <v>0</v>
      </c>
      <c r="O180">
        <v>1</v>
      </c>
      <c r="P180">
        <v>1</v>
      </c>
      <c r="Q180">
        <v>0</v>
      </c>
      <c r="R180">
        <v>1</v>
      </c>
      <c r="S180">
        <v>0</v>
      </c>
      <c r="T180">
        <v>0</v>
      </c>
      <c r="U180">
        <v>0</v>
      </c>
      <c r="V180">
        <v>0</v>
      </c>
    </row>
  </sheetData>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T38"/>
  <sheetViews>
    <sheetView topLeftCell="F28" zoomScale="138" workbookViewId="0">
      <selection activeCell="P49" sqref="P49"/>
    </sheetView>
  </sheetViews>
  <sheetFormatPr baseColWidth="10" defaultRowHeight="16" x14ac:dyDescent="0.2"/>
  <cols>
    <col min="1" max="1" width="31.5" bestFit="1" customWidth="1"/>
    <col min="2" max="2" width="15.5" bestFit="1" customWidth="1"/>
    <col min="3" max="3" width="7.33203125" bestFit="1" customWidth="1"/>
    <col min="4" max="4" width="14.83203125" bestFit="1" customWidth="1"/>
    <col min="5" max="5" width="12.6640625" bestFit="1" customWidth="1"/>
    <col min="6" max="6" width="7.33203125" bestFit="1" customWidth="1"/>
    <col min="7" max="7" width="15.1640625" bestFit="1" customWidth="1"/>
    <col min="8" max="8" width="13.1640625" bestFit="1" customWidth="1"/>
    <col min="9" max="9" width="7.33203125" bestFit="1" customWidth="1"/>
    <col min="10" max="10" width="15.6640625" bestFit="1" customWidth="1"/>
    <col min="11" max="11" width="10.6640625" bestFit="1" customWidth="1"/>
    <col min="12" max="12" width="7.33203125" bestFit="1" customWidth="1"/>
    <col min="13" max="13" width="13.1640625" bestFit="1" customWidth="1"/>
    <col min="14" max="14" width="12.1640625" bestFit="1" customWidth="1"/>
    <col min="15" max="15" width="7.33203125" bestFit="1" customWidth="1"/>
    <col min="16" max="16" width="14.6640625" bestFit="1" customWidth="1"/>
    <col min="17" max="17" width="11.1640625" bestFit="1" customWidth="1"/>
    <col min="18" max="18" width="7.33203125" bestFit="1" customWidth="1"/>
    <col min="19" max="19" width="13.6640625" bestFit="1" customWidth="1"/>
    <col min="20" max="20" width="10.83203125" bestFit="1" customWidth="1"/>
    <col min="21" max="90" width="31.5" bestFit="1" customWidth="1"/>
    <col min="91" max="91" width="17.83203125" bestFit="1" customWidth="1"/>
    <col min="92" max="92" width="26.33203125" bestFit="1" customWidth="1"/>
    <col min="93" max="93" width="33" bestFit="1" customWidth="1"/>
    <col min="94" max="94" width="32.5" bestFit="1" customWidth="1"/>
    <col min="95" max="95" width="34.5" bestFit="1" customWidth="1"/>
    <col min="96" max="96" width="34" bestFit="1" customWidth="1"/>
    <col min="97" max="97" width="27.5" bestFit="1" customWidth="1"/>
    <col min="98" max="98" width="30.1640625" bestFit="1" customWidth="1"/>
    <col min="99" max="99" width="28.33203125" bestFit="1" customWidth="1"/>
    <col min="100" max="100" width="34.83203125" bestFit="1" customWidth="1"/>
    <col min="101" max="101" width="34.33203125" bestFit="1" customWidth="1"/>
    <col min="102" max="102" width="36.33203125" bestFit="1" customWidth="1"/>
    <col min="103" max="103" width="35.83203125" bestFit="1" customWidth="1"/>
    <col min="104" max="104" width="29.33203125" bestFit="1" customWidth="1"/>
    <col min="105" max="105" width="32.1640625" bestFit="1" customWidth="1"/>
  </cols>
  <sheetData>
    <row r="1" spans="1:20" x14ac:dyDescent="0.2">
      <c r="B1" s="1" t="s">
        <v>742</v>
      </c>
    </row>
    <row r="2" spans="1:20" x14ac:dyDescent="0.2">
      <c r="B2" t="s">
        <v>55</v>
      </c>
      <c r="D2" t="s">
        <v>758</v>
      </c>
      <c r="E2" t="s">
        <v>42</v>
      </c>
      <c r="G2" t="s">
        <v>759</v>
      </c>
      <c r="H2" t="s">
        <v>72</v>
      </c>
      <c r="J2" t="s">
        <v>760</v>
      </c>
      <c r="K2" t="s">
        <v>61</v>
      </c>
      <c r="M2" t="s">
        <v>761</v>
      </c>
      <c r="N2" t="s">
        <v>67</v>
      </c>
      <c r="P2" t="s">
        <v>762</v>
      </c>
      <c r="Q2" t="s">
        <v>49</v>
      </c>
      <c r="S2" t="s">
        <v>763</v>
      </c>
      <c r="T2" t="s">
        <v>740</v>
      </c>
    </row>
    <row r="3" spans="1:20" x14ac:dyDescent="0.2">
      <c r="A3" s="1" t="s">
        <v>743</v>
      </c>
      <c r="B3" t="s">
        <v>37</v>
      </c>
      <c r="C3" t="s">
        <v>442</v>
      </c>
      <c r="E3" t="s">
        <v>37</v>
      </c>
      <c r="F3" t="s">
        <v>442</v>
      </c>
      <c r="H3" t="s">
        <v>37</v>
      </c>
      <c r="I3" t="s">
        <v>442</v>
      </c>
      <c r="K3" t="s">
        <v>37</v>
      </c>
      <c r="L3" t="s">
        <v>442</v>
      </c>
      <c r="N3" t="s">
        <v>37</v>
      </c>
      <c r="O3" t="s">
        <v>442</v>
      </c>
      <c r="Q3" t="s">
        <v>37</v>
      </c>
      <c r="R3" t="s">
        <v>442</v>
      </c>
    </row>
    <row r="4" spans="1:20" x14ac:dyDescent="0.2">
      <c r="A4" s="2" t="s">
        <v>744</v>
      </c>
      <c r="B4" s="3">
        <v>9</v>
      </c>
      <c r="C4" s="3">
        <v>19</v>
      </c>
      <c r="D4" s="3">
        <v>28</v>
      </c>
      <c r="E4" s="3">
        <v>15</v>
      </c>
      <c r="F4" s="3">
        <v>15</v>
      </c>
      <c r="G4" s="3">
        <v>30</v>
      </c>
      <c r="H4" s="3">
        <v>9</v>
      </c>
      <c r="I4" s="3">
        <v>12</v>
      </c>
      <c r="J4" s="3">
        <v>21</v>
      </c>
      <c r="K4" s="3">
        <v>16</v>
      </c>
      <c r="L4" s="3">
        <v>19</v>
      </c>
      <c r="M4" s="3">
        <v>35</v>
      </c>
      <c r="N4" s="3">
        <v>13</v>
      </c>
      <c r="O4" s="3">
        <v>20</v>
      </c>
      <c r="P4" s="3">
        <v>33</v>
      </c>
      <c r="Q4" s="3">
        <v>14</v>
      </c>
      <c r="R4" s="3">
        <v>18</v>
      </c>
      <c r="S4" s="3">
        <v>32</v>
      </c>
      <c r="T4" s="3">
        <v>179</v>
      </c>
    </row>
    <row r="5" spans="1:20" x14ac:dyDescent="0.2">
      <c r="A5" s="2" t="s">
        <v>745</v>
      </c>
      <c r="B5" s="3">
        <v>4</v>
      </c>
      <c r="C5" s="3">
        <v>9</v>
      </c>
      <c r="D5" s="3">
        <v>13</v>
      </c>
      <c r="E5" s="3">
        <v>6</v>
      </c>
      <c r="F5" s="3">
        <v>11</v>
      </c>
      <c r="G5" s="3">
        <v>17</v>
      </c>
      <c r="H5" s="3">
        <v>2</v>
      </c>
      <c r="I5" s="3">
        <v>6</v>
      </c>
      <c r="J5" s="3">
        <v>8</v>
      </c>
      <c r="K5" s="3">
        <v>10</v>
      </c>
      <c r="L5" s="3">
        <v>9</v>
      </c>
      <c r="M5" s="3">
        <v>19</v>
      </c>
      <c r="N5" s="3">
        <v>7</v>
      </c>
      <c r="O5" s="3">
        <v>7</v>
      </c>
      <c r="P5" s="3">
        <v>14</v>
      </c>
      <c r="Q5" s="3">
        <v>7</v>
      </c>
      <c r="R5" s="3">
        <v>4</v>
      </c>
      <c r="S5" s="3">
        <v>11</v>
      </c>
      <c r="T5" s="3">
        <v>82</v>
      </c>
    </row>
    <row r="6" spans="1:20" x14ac:dyDescent="0.2">
      <c r="A6" s="2" t="s">
        <v>746</v>
      </c>
      <c r="B6" s="3">
        <v>5</v>
      </c>
      <c r="C6" s="3">
        <v>9</v>
      </c>
      <c r="D6" s="3">
        <v>14</v>
      </c>
      <c r="E6" s="3">
        <v>10</v>
      </c>
      <c r="F6" s="3">
        <v>8</v>
      </c>
      <c r="G6" s="3">
        <v>18</v>
      </c>
      <c r="H6" s="3">
        <v>3</v>
      </c>
      <c r="I6" s="3">
        <v>5</v>
      </c>
      <c r="J6" s="3">
        <v>8</v>
      </c>
      <c r="K6" s="3">
        <v>8</v>
      </c>
      <c r="L6" s="3">
        <v>5</v>
      </c>
      <c r="M6" s="3">
        <v>13</v>
      </c>
      <c r="N6" s="3">
        <v>4</v>
      </c>
      <c r="O6" s="3">
        <v>13</v>
      </c>
      <c r="P6" s="3">
        <v>17</v>
      </c>
      <c r="Q6" s="3">
        <v>6</v>
      </c>
      <c r="R6" s="3">
        <v>11</v>
      </c>
      <c r="S6" s="3">
        <v>17</v>
      </c>
      <c r="T6" s="3">
        <v>87</v>
      </c>
    </row>
    <row r="7" spans="1:20" x14ac:dyDescent="0.2">
      <c r="A7" s="2" t="s">
        <v>747</v>
      </c>
      <c r="B7" s="3">
        <v>2</v>
      </c>
      <c r="C7" s="3">
        <v>10</v>
      </c>
      <c r="D7" s="3">
        <v>12</v>
      </c>
      <c r="E7" s="3">
        <v>7</v>
      </c>
      <c r="F7" s="3">
        <v>2</v>
      </c>
      <c r="G7" s="3">
        <v>9</v>
      </c>
      <c r="H7" s="3">
        <v>5</v>
      </c>
      <c r="I7" s="3">
        <v>6</v>
      </c>
      <c r="J7" s="3">
        <v>11</v>
      </c>
      <c r="K7" s="3">
        <v>3</v>
      </c>
      <c r="L7" s="3">
        <v>12</v>
      </c>
      <c r="M7" s="3">
        <v>15</v>
      </c>
      <c r="N7" s="3">
        <v>8</v>
      </c>
      <c r="O7" s="3">
        <v>9</v>
      </c>
      <c r="P7" s="3">
        <v>17</v>
      </c>
      <c r="Q7" s="3">
        <v>5</v>
      </c>
      <c r="R7" s="3">
        <v>6</v>
      </c>
      <c r="S7" s="3">
        <v>11</v>
      </c>
      <c r="T7" s="3">
        <v>75</v>
      </c>
    </row>
    <row r="8" spans="1:20" x14ac:dyDescent="0.2">
      <c r="A8" s="2" t="s">
        <v>748</v>
      </c>
      <c r="B8" s="3">
        <v>3</v>
      </c>
      <c r="C8" s="3">
        <v>7</v>
      </c>
      <c r="D8" s="3">
        <v>10</v>
      </c>
      <c r="E8" s="3">
        <v>6</v>
      </c>
      <c r="F8" s="3">
        <v>6</v>
      </c>
      <c r="G8" s="3">
        <v>12</v>
      </c>
      <c r="H8" s="3">
        <v>4</v>
      </c>
      <c r="I8" s="3">
        <v>6</v>
      </c>
      <c r="J8" s="3">
        <v>10</v>
      </c>
      <c r="K8" s="3">
        <v>9</v>
      </c>
      <c r="L8" s="3">
        <v>8</v>
      </c>
      <c r="M8" s="3">
        <v>17</v>
      </c>
      <c r="N8" s="3">
        <v>5</v>
      </c>
      <c r="O8" s="3">
        <v>7</v>
      </c>
      <c r="P8" s="3">
        <v>12</v>
      </c>
      <c r="Q8" s="3">
        <v>7</v>
      </c>
      <c r="R8" s="3">
        <v>9</v>
      </c>
      <c r="S8" s="3">
        <v>16</v>
      </c>
      <c r="T8" s="3">
        <v>77</v>
      </c>
    </row>
    <row r="9" spans="1:20" x14ac:dyDescent="0.2">
      <c r="A9" s="2" t="s">
        <v>749</v>
      </c>
      <c r="B9" s="3">
        <v>0</v>
      </c>
      <c r="C9" s="3">
        <v>0</v>
      </c>
      <c r="D9" s="3">
        <v>0</v>
      </c>
      <c r="E9" s="3">
        <v>0</v>
      </c>
      <c r="F9" s="3">
        <v>0</v>
      </c>
      <c r="G9" s="3">
        <v>0</v>
      </c>
      <c r="H9" s="3">
        <v>0</v>
      </c>
      <c r="I9" s="3">
        <v>0</v>
      </c>
      <c r="J9" s="3">
        <v>0</v>
      </c>
      <c r="K9" s="3">
        <v>0</v>
      </c>
      <c r="L9" s="3">
        <v>0</v>
      </c>
      <c r="M9" s="3">
        <v>0</v>
      </c>
      <c r="N9" s="3">
        <v>0</v>
      </c>
      <c r="O9" s="3">
        <v>0</v>
      </c>
      <c r="P9" s="3">
        <v>0</v>
      </c>
      <c r="Q9" s="3">
        <v>0</v>
      </c>
      <c r="R9" s="3">
        <v>0</v>
      </c>
      <c r="S9" s="3">
        <v>0</v>
      </c>
      <c r="T9" s="3">
        <v>0</v>
      </c>
    </row>
    <row r="10" spans="1:20" x14ac:dyDescent="0.2">
      <c r="A10" s="2" t="s">
        <v>750</v>
      </c>
      <c r="B10" s="3">
        <v>9</v>
      </c>
      <c r="C10" s="3">
        <v>19</v>
      </c>
      <c r="D10" s="3">
        <v>28</v>
      </c>
      <c r="E10" s="3">
        <v>15</v>
      </c>
      <c r="F10" s="3">
        <v>15</v>
      </c>
      <c r="G10" s="3">
        <v>30</v>
      </c>
      <c r="H10" s="3">
        <v>9</v>
      </c>
      <c r="I10" s="3">
        <v>12</v>
      </c>
      <c r="J10" s="3">
        <v>21</v>
      </c>
      <c r="K10" s="3">
        <v>16</v>
      </c>
      <c r="L10" s="3">
        <v>19</v>
      </c>
      <c r="M10" s="3">
        <v>35</v>
      </c>
      <c r="N10" s="3">
        <v>13</v>
      </c>
      <c r="O10" s="3">
        <v>20</v>
      </c>
      <c r="P10" s="3">
        <v>33</v>
      </c>
      <c r="Q10" s="3">
        <v>14</v>
      </c>
      <c r="R10" s="3">
        <v>18</v>
      </c>
      <c r="S10" s="3">
        <v>32</v>
      </c>
      <c r="T10" s="3">
        <v>179</v>
      </c>
    </row>
    <row r="11" spans="1:20" x14ac:dyDescent="0.2">
      <c r="A11" s="2" t="s">
        <v>751</v>
      </c>
      <c r="B11" s="3">
        <v>9</v>
      </c>
      <c r="C11" s="3">
        <v>19</v>
      </c>
      <c r="D11" s="3">
        <v>28</v>
      </c>
      <c r="E11" s="3">
        <v>15</v>
      </c>
      <c r="F11" s="3">
        <v>15</v>
      </c>
      <c r="G11" s="3">
        <v>30</v>
      </c>
      <c r="H11" s="3">
        <v>9</v>
      </c>
      <c r="I11" s="3">
        <v>12</v>
      </c>
      <c r="J11" s="3">
        <v>21</v>
      </c>
      <c r="K11" s="3">
        <v>16</v>
      </c>
      <c r="L11" s="3">
        <v>19</v>
      </c>
      <c r="M11" s="3">
        <v>35</v>
      </c>
      <c r="N11" s="3">
        <v>13</v>
      </c>
      <c r="O11" s="3">
        <v>20</v>
      </c>
      <c r="P11" s="3">
        <v>33</v>
      </c>
      <c r="Q11" s="3">
        <v>14</v>
      </c>
      <c r="R11" s="3">
        <v>18</v>
      </c>
      <c r="S11" s="3">
        <v>32</v>
      </c>
      <c r="T11" s="3">
        <v>179</v>
      </c>
    </row>
    <row r="12" spans="1:20" x14ac:dyDescent="0.2">
      <c r="A12" s="2" t="s">
        <v>752</v>
      </c>
      <c r="B12" s="3">
        <v>3</v>
      </c>
      <c r="C12" s="3">
        <v>8</v>
      </c>
      <c r="D12" s="3">
        <v>11</v>
      </c>
      <c r="E12" s="3">
        <v>4</v>
      </c>
      <c r="F12" s="3">
        <v>9</v>
      </c>
      <c r="G12" s="3">
        <v>13</v>
      </c>
      <c r="H12" s="3">
        <v>1</v>
      </c>
      <c r="I12" s="3">
        <v>6</v>
      </c>
      <c r="J12" s="3">
        <v>7</v>
      </c>
      <c r="K12" s="3">
        <v>6</v>
      </c>
      <c r="L12" s="3">
        <v>5</v>
      </c>
      <c r="M12" s="3">
        <v>11</v>
      </c>
      <c r="N12" s="3">
        <v>3</v>
      </c>
      <c r="O12" s="3">
        <v>5</v>
      </c>
      <c r="P12" s="3">
        <v>8</v>
      </c>
      <c r="Q12" s="3">
        <v>6</v>
      </c>
      <c r="R12" s="3">
        <v>3</v>
      </c>
      <c r="S12" s="3">
        <v>9</v>
      </c>
      <c r="T12" s="3">
        <v>59</v>
      </c>
    </row>
    <row r="13" spans="1:20" x14ac:dyDescent="0.2">
      <c r="A13" s="2" t="s">
        <v>753</v>
      </c>
      <c r="B13" s="3">
        <v>1</v>
      </c>
      <c r="C13" s="3">
        <v>6</v>
      </c>
      <c r="D13" s="3">
        <v>7</v>
      </c>
      <c r="E13" s="3">
        <v>6</v>
      </c>
      <c r="F13" s="3">
        <v>4</v>
      </c>
      <c r="G13" s="3">
        <v>10</v>
      </c>
      <c r="H13" s="3">
        <v>1</v>
      </c>
      <c r="I13" s="3">
        <v>3</v>
      </c>
      <c r="J13" s="3">
        <v>4</v>
      </c>
      <c r="K13" s="3">
        <v>5</v>
      </c>
      <c r="L13" s="3">
        <v>1</v>
      </c>
      <c r="M13" s="3">
        <v>6</v>
      </c>
      <c r="N13" s="3">
        <v>3</v>
      </c>
      <c r="O13" s="3">
        <v>6</v>
      </c>
      <c r="P13" s="3">
        <v>9</v>
      </c>
      <c r="Q13" s="3">
        <v>4</v>
      </c>
      <c r="R13" s="3">
        <v>4</v>
      </c>
      <c r="S13" s="3">
        <v>8</v>
      </c>
      <c r="T13" s="3">
        <v>44</v>
      </c>
    </row>
    <row r="14" spans="1:20" x14ac:dyDescent="0.2">
      <c r="A14" s="2" t="s">
        <v>754</v>
      </c>
      <c r="B14" s="3">
        <v>2</v>
      </c>
      <c r="C14" s="3">
        <v>7</v>
      </c>
      <c r="D14" s="3">
        <v>9</v>
      </c>
      <c r="E14" s="3">
        <v>5</v>
      </c>
      <c r="F14" s="3">
        <v>1</v>
      </c>
      <c r="G14" s="3">
        <v>6</v>
      </c>
      <c r="H14" s="3">
        <v>2</v>
      </c>
      <c r="I14" s="3">
        <v>5</v>
      </c>
      <c r="J14" s="3">
        <v>7</v>
      </c>
      <c r="K14" s="3">
        <v>2</v>
      </c>
      <c r="L14" s="3">
        <v>8</v>
      </c>
      <c r="M14" s="3">
        <v>10</v>
      </c>
      <c r="N14" s="3">
        <v>6</v>
      </c>
      <c r="O14" s="3">
        <v>7</v>
      </c>
      <c r="P14" s="3">
        <v>13</v>
      </c>
      <c r="Q14" s="3">
        <v>3</v>
      </c>
      <c r="R14" s="3">
        <v>3</v>
      </c>
      <c r="S14" s="3">
        <v>6</v>
      </c>
      <c r="T14" s="3">
        <v>51</v>
      </c>
    </row>
    <row r="15" spans="1:20" x14ac:dyDescent="0.2">
      <c r="A15" s="2" t="s">
        <v>755</v>
      </c>
      <c r="B15" s="3">
        <v>1</v>
      </c>
      <c r="C15" s="3">
        <v>6</v>
      </c>
      <c r="D15" s="3">
        <v>7</v>
      </c>
      <c r="E15" s="3">
        <v>5</v>
      </c>
      <c r="F15" s="3">
        <v>2</v>
      </c>
      <c r="G15" s="3">
        <v>7</v>
      </c>
      <c r="H15" s="3">
        <v>1</v>
      </c>
      <c r="I15" s="3">
        <v>4</v>
      </c>
      <c r="J15" s="3">
        <v>5</v>
      </c>
      <c r="K15" s="3">
        <v>7</v>
      </c>
      <c r="L15" s="3">
        <v>3</v>
      </c>
      <c r="M15" s="3">
        <v>10</v>
      </c>
      <c r="N15" s="3">
        <v>1</v>
      </c>
      <c r="O15" s="3">
        <v>2</v>
      </c>
      <c r="P15" s="3">
        <v>3</v>
      </c>
      <c r="Q15" s="3">
        <v>4</v>
      </c>
      <c r="R15" s="3">
        <v>5</v>
      </c>
      <c r="S15" s="3">
        <v>9</v>
      </c>
      <c r="T15" s="3">
        <v>41</v>
      </c>
    </row>
    <row r="16" spans="1:20" x14ac:dyDescent="0.2">
      <c r="A16" s="2" t="s">
        <v>756</v>
      </c>
      <c r="B16" s="3">
        <v>0</v>
      </c>
      <c r="C16" s="3">
        <v>0</v>
      </c>
      <c r="D16" s="3">
        <v>0</v>
      </c>
      <c r="E16" s="3">
        <v>0</v>
      </c>
      <c r="F16" s="3">
        <v>0</v>
      </c>
      <c r="G16" s="3">
        <v>0</v>
      </c>
      <c r="H16" s="3">
        <v>0</v>
      </c>
      <c r="I16" s="3">
        <v>0</v>
      </c>
      <c r="J16" s="3">
        <v>0</v>
      </c>
      <c r="K16" s="3">
        <v>0</v>
      </c>
      <c r="L16" s="3">
        <v>0</v>
      </c>
      <c r="M16" s="3">
        <v>0</v>
      </c>
      <c r="N16" s="3">
        <v>0</v>
      </c>
      <c r="O16" s="3">
        <v>0</v>
      </c>
      <c r="P16" s="3">
        <v>0</v>
      </c>
      <c r="Q16" s="3">
        <v>0</v>
      </c>
      <c r="R16" s="3">
        <v>0</v>
      </c>
      <c r="S16" s="3">
        <v>0</v>
      </c>
      <c r="T16" s="3">
        <v>0</v>
      </c>
    </row>
    <row r="17" spans="1:20" x14ac:dyDescent="0.2">
      <c r="A17" s="2" t="s">
        <v>757</v>
      </c>
      <c r="B17" s="3">
        <v>0</v>
      </c>
      <c r="C17" s="3">
        <v>0</v>
      </c>
      <c r="D17" s="3">
        <v>0</v>
      </c>
      <c r="E17" s="3">
        <v>0</v>
      </c>
      <c r="F17" s="3">
        <v>0</v>
      </c>
      <c r="G17" s="3">
        <v>0</v>
      </c>
      <c r="H17" s="3">
        <v>0</v>
      </c>
      <c r="I17" s="3">
        <v>0</v>
      </c>
      <c r="J17" s="3">
        <v>0</v>
      </c>
      <c r="K17" s="3">
        <v>0</v>
      </c>
      <c r="L17" s="3">
        <v>0</v>
      </c>
      <c r="M17" s="3">
        <v>0</v>
      </c>
      <c r="N17" s="3">
        <v>1</v>
      </c>
      <c r="O17" s="3">
        <v>0</v>
      </c>
      <c r="P17" s="3">
        <v>1</v>
      </c>
      <c r="Q17" s="3">
        <v>0</v>
      </c>
      <c r="R17" s="3">
        <v>0</v>
      </c>
      <c r="S17" s="3">
        <v>0</v>
      </c>
      <c r="T17" s="3">
        <v>1</v>
      </c>
    </row>
    <row r="23" spans="1:20" x14ac:dyDescent="0.2">
      <c r="B23" t="s">
        <v>765</v>
      </c>
      <c r="D23" t="s">
        <v>766</v>
      </c>
      <c r="F23" t="s">
        <v>767</v>
      </c>
      <c r="H23" t="s">
        <v>768</v>
      </c>
      <c r="J23" t="s">
        <v>769</v>
      </c>
      <c r="L23" t="s">
        <v>770</v>
      </c>
    </row>
    <row r="24" spans="1:20" x14ac:dyDescent="0.2">
      <c r="B24" t="s">
        <v>37</v>
      </c>
      <c r="C24" t="s">
        <v>442</v>
      </c>
      <c r="D24" t="s">
        <v>37</v>
      </c>
      <c r="E24" t="s">
        <v>442</v>
      </c>
      <c r="F24" t="s">
        <v>37</v>
      </c>
      <c r="G24" t="s">
        <v>442</v>
      </c>
      <c r="H24" t="s">
        <v>37</v>
      </c>
      <c r="I24" t="s">
        <v>442</v>
      </c>
      <c r="J24" t="s">
        <v>37</v>
      </c>
      <c r="K24" t="s">
        <v>442</v>
      </c>
      <c r="L24" t="s">
        <v>37</v>
      </c>
      <c r="M24" t="s">
        <v>442</v>
      </c>
    </row>
    <row r="25" spans="1:20" x14ac:dyDescent="0.2">
      <c r="A25" t="s">
        <v>60</v>
      </c>
      <c r="B25">
        <f>B11/B4</f>
        <v>1</v>
      </c>
      <c r="C25">
        <f>C11/C4</f>
        <v>1</v>
      </c>
      <c r="D25">
        <f>E11/E4</f>
        <v>1</v>
      </c>
      <c r="E25">
        <f>F11/F4</f>
        <v>1</v>
      </c>
      <c r="F25">
        <f>H11/H4</f>
        <v>1</v>
      </c>
      <c r="G25">
        <f>I11/I4</f>
        <v>1</v>
      </c>
      <c r="H25">
        <f>K11/K4</f>
        <v>1</v>
      </c>
      <c r="I25">
        <f>L11/L4</f>
        <v>1</v>
      </c>
      <c r="J25">
        <f>N11/N4</f>
        <v>1</v>
      </c>
      <c r="K25">
        <f>O11/O4</f>
        <v>1</v>
      </c>
      <c r="L25">
        <f>Q11/Q4</f>
        <v>1</v>
      </c>
      <c r="M25">
        <f>R11/R4</f>
        <v>1</v>
      </c>
    </row>
    <row r="26" spans="1:20" x14ac:dyDescent="0.2">
      <c r="A26" t="s">
        <v>65</v>
      </c>
      <c r="B26">
        <f>B12/B5</f>
        <v>0.75</v>
      </c>
      <c r="C26">
        <f>C12/C5</f>
        <v>0.88888888888888884</v>
      </c>
      <c r="D26">
        <f>E12/E5</f>
        <v>0.66666666666666663</v>
      </c>
      <c r="E26">
        <f>F12/F5</f>
        <v>0.81818181818181823</v>
      </c>
      <c r="F26">
        <f>H12/H5</f>
        <v>0.5</v>
      </c>
      <c r="G26">
        <f>I12/I5</f>
        <v>1</v>
      </c>
      <c r="H26">
        <f>K12/K5</f>
        <v>0.6</v>
      </c>
      <c r="I26">
        <f>L12/L5</f>
        <v>0.55555555555555558</v>
      </c>
      <c r="J26">
        <f>N12/N5</f>
        <v>0.42857142857142855</v>
      </c>
      <c r="K26">
        <f>O12/O5</f>
        <v>0.7142857142857143</v>
      </c>
      <c r="L26">
        <f>Q12/Q5</f>
        <v>0.8571428571428571</v>
      </c>
      <c r="M26">
        <f>R12/R5</f>
        <v>0.75</v>
      </c>
    </row>
    <row r="27" spans="1:20" x14ac:dyDescent="0.2">
      <c r="A27" t="s">
        <v>48</v>
      </c>
      <c r="B27">
        <f>B13/B6</f>
        <v>0.2</v>
      </c>
      <c r="C27">
        <f>C13/C6</f>
        <v>0.66666666666666663</v>
      </c>
      <c r="D27">
        <f>E13/E6</f>
        <v>0.6</v>
      </c>
      <c r="E27">
        <f>F13/F6</f>
        <v>0.5</v>
      </c>
      <c r="F27">
        <f>H13/H6</f>
        <v>0.33333333333333331</v>
      </c>
      <c r="G27">
        <f>I13/I6</f>
        <v>0.6</v>
      </c>
      <c r="H27">
        <f>K13/K6</f>
        <v>0.625</v>
      </c>
      <c r="I27">
        <f>L13/L6</f>
        <v>0.2</v>
      </c>
      <c r="J27">
        <f>N13/N6</f>
        <v>0.75</v>
      </c>
      <c r="K27">
        <f>O13/O6</f>
        <v>0.46153846153846156</v>
      </c>
      <c r="L27">
        <f>Q13/Q6</f>
        <v>0.66666666666666663</v>
      </c>
      <c r="M27">
        <f>R13/R6</f>
        <v>0.36363636363636365</v>
      </c>
    </row>
    <row r="28" spans="1:20" x14ac:dyDescent="0.2">
      <c r="A28" t="s">
        <v>47</v>
      </c>
      <c r="B28">
        <f>B14/B7</f>
        <v>1</v>
      </c>
      <c r="C28">
        <f>C14/C7</f>
        <v>0.7</v>
      </c>
      <c r="D28">
        <f>E14/E7</f>
        <v>0.7142857142857143</v>
      </c>
      <c r="E28">
        <f>F14/F7</f>
        <v>0.5</v>
      </c>
      <c r="F28">
        <f>H14/H7</f>
        <v>0.4</v>
      </c>
      <c r="G28">
        <f>I14/I7</f>
        <v>0.83333333333333337</v>
      </c>
      <c r="H28">
        <f>K14/K7</f>
        <v>0.66666666666666663</v>
      </c>
      <c r="I28">
        <f>L14/L7</f>
        <v>0.66666666666666663</v>
      </c>
      <c r="J28">
        <f>N14/N7</f>
        <v>0.75</v>
      </c>
      <c r="K28">
        <f>O14/O7</f>
        <v>0.77777777777777779</v>
      </c>
      <c r="L28">
        <f>Q14/Q7</f>
        <v>0.6</v>
      </c>
      <c r="M28">
        <f>R14/R7</f>
        <v>0.5</v>
      </c>
    </row>
    <row r="29" spans="1:20" x14ac:dyDescent="0.2">
      <c r="A29" t="s">
        <v>46</v>
      </c>
      <c r="B29">
        <v>0</v>
      </c>
      <c r="C29">
        <f>C15/C8</f>
        <v>0.8571428571428571</v>
      </c>
      <c r="D29">
        <f>E15/E8</f>
        <v>0.83333333333333337</v>
      </c>
      <c r="E29">
        <f>F15/F8</f>
        <v>0.33333333333333331</v>
      </c>
      <c r="F29">
        <f>H15/H8</f>
        <v>0.25</v>
      </c>
      <c r="G29">
        <f>I15/I8</f>
        <v>0.66666666666666663</v>
      </c>
      <c r="H29">
        <f>K15/K8</f>
        <v>0.77777777777777779</v>
      </c>
      <c r="I29">
        <f>L15/L8</f>
        <v>0.375</v>
      </c>
      <c r="J29">
        <f>N15/N8</f>
        <v>0.2</v>
      </c>
      <c r="K29">
        <f>O15/O8</f>
        <v>0.2857142857142857</v>
      </c>
      <c r="L29">
        <f>Q15/Q8</f>
        <v>0.5714285714285714</v>
      </c>
      <c r="M29">
        <f>R15/R8</f>
        <v>0.55555555555555558</v>
      </c>
    </row>
    <row r="30" spans="1:20" x14ac:dyDescent="0.2">
      <c r="A30" t="s">
        <v>771</v>
      </c>
      <c r="B30">
        <f>B17/B10</f>
        <v>0</v>
      </c>
      <c r="C30">
        <f>C17/C10</f>
        <v>0</v>
      </c>
      <c r="D30">
        <f>E17/E10</f>
        <v>0</v>
      </c>
      <c r="E30">
        <f>F17/F10</f>
        <v>0</v>
      </c>
      <c r="F30">
        <f>H17/H10</f>
        <v>0</v>
      </c>
      <c r="G30">
        <f>I17/I10</f>
        <v>0</v>
      </c>
      <c r="H30">
        <f>K17/K10</f>
        <v>0</v>
      </c>
      <c r="I30">
        <f>L17/L10</f>
        <v>0</v>
      </c>
      <c r="J30">
        <f>N17/N10</f>
        <v>7.6923076923076927E-2</v>
      </c>
      <c r="K30">
        <f>O17/O10</f>
        <v>0</v>
      </c>
      <c r="L30">
        <f>Q17/Q10</f>
        <v>0</v>
      </c>
      <c r="M30">
        <f>R17/R10</f>
        <v>0</v>
      </c>
    </row>
    <row r="32" spans="1:20" x14ac:dyDescent="0.2">
      <c r="B32" t="s">
        <v>37</v>
      </c>
      <c r="C32" t="s">
        <v>442</v>
      </c>
    </row>
    <row r="33" spans="1:3" x14ac:dyDescent="0.2">
      <c r="A33" t="s">
        <v>60</v>
      </c>
      <c r="B33">
        <f>AVERAGE(B25,D25,F25,H25,J25,L25)</f>
        <v>1</v>
      </c>
      <c r="C33">
        <f>AVERAGE(C25,E25,G25,I25,K25,M25)</f>
        <v>1</v>
      </c>
    </row>
    <row r="34" spans="1:3" x14ac:dyDescent="0.2">
      <c r="A34" t="s">
        <v>65</v>
      </c>
      <c r="B34">
        <f t="shared" ref="B34:C38" si="0">AVERAGE(B26,D26,F26,H26,J26,L26)</f>
        <v>0.6337301587301587</v>
      </c>
      <c r="C34">
        <f t="shared" si="0"/>
        <v>0.78781866281866286</v>
      </c>
    </row>
    <row r="35" spans="1:3" x14ac:dyDescent="0.2">
      <c r="A35" t="s">
        <v>48</v>
      </c>
      <c r="B35">
        <f t="shared" si="0"/>
        <v>0.52916666666666667</v>
      </c>
      <c r="C35">
        <f t="shared" si="0"/>
        <v>0.46530691530691531</v>
      </c>
    </row>
    <row r="36" spans="1:3" x14ac:dyDescent="0.2">
      <c r="A36" t="s">
        <v>47</v>
      </c>
      <c r="B36">
        <f t="shared" si="0"/>
        <v>0.68849206349206338</v>
      </c>
      <c r="C36">
        <f t="shared" si="0"/>
        <v>0.66296296296296287</v>
      </c>
    </row>
    <row r="37" spans="1:3" x14ac:dyDescent="0.2">
      <c r="A37" t="s">
        <v>46</v>
      </c>
      <c r="B37">
        <f t="shared" si="0"/>
        <v>0.43875661375661384</v>
      </c>
      <c r="C37">
        <f t="shared" si="0"/>
        <v>0.51223544973544977</v>
      </c>
    </row>
    <row r="38" spans="1:3" x14ac:dyDescent="0.2">
      <c r="A38" t="s">
        <v>771</v>
      </c>
      <c r="B38">
        <f t="shared" si="0"/>
        <v>1.2820512820512822E-2</v>
      </c>
      <c r="C38">
        <f t="shared" si="0"/>
        <v>0</v>
      </c>
    </row>
  </sheetData>
  <pageMargins left="0.7" right="0.7" top="0.75" bottom="0.75" header="0.3" footer="0.3"/>
  <drawing r:id="rId2"/>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V433"/>
  <sheetViews>
    <sheetView workbookViewId="0">
      <selection sqref="A1:V433"/>
    </sheetView>
  </sheetViews>
  <sheetFormatPr baseColWidth="10" defaultRowHeight="16" x14ac:dyDescent="0.2"/>
  <sheetData>
    <row r="1" spans="1:22" x14ac:dyDescent="0.2">
      <c r="A1" t="s">
        <v>0</v>
      </c>
      <c r="B1" t="s">
        <v>1</v>
      </c>
      <c r="C1" t="s">
        <v>4</v>
      </c>
      <c r="D1" t="s">
        <v>5</v>
      </c>
      <c r="E1" t="s">
        <v>31</v>
      </c>
      <c r="F1" t="s">
        <v>14</v>
      </c>
      <c r="G1" t="s">
        <v>15</v>
      </c>
      <c r="H1" t="s">
        <v>16</v>
      </c>
      <c r="I1" t="s">
        <v>17</v>
      </c>
      <c r="J1" t="s">
        <v>18</v>
      </c>
      <c r="K1" t="s">
        <v>19</v>
      </c>
      <c r="L1" t="s">
        <v>20</v>
      </c>
      <c r="M1" t="s">
        <v>21</v>
      </c>
      <c r="N1" t="s">
        <v>22</v>
      </c>
      <c r="O1" t="s">
        <v>23</v>
      </c>
      <c r="P1" t="s">
        <v>24</v>
      </c>
      <c r="Q1" t="s">
        <v>25</v>
      </c>
      <c r="R1" t="s">
        <v>26</v>
      </c>
      <c r="S1" t="s">
        <v>27</v>
      </c>
      <c r="T1" t="s">
        <v>28</v>
      </c>
      <c r="U1" t="s">
        <v>29</v>
      </c>
      <c r="V1" t="s">
        <v>30</v>
      </c>
    </row>
    <row r="2" spans="1:22" x14ac:dyDescent="0.2">
      <c r="A2" t="s">
        <v>32</v>
      </c>
      <c r="B2" t="s">
        <v>33</v>
      </c>
      <c r="C2" t="s">
        <v>41</v>
      </c>
      <c r="D2" t="s">
        <v>67</v>
      </c>
      <c r="E2" t="s">
        <v>37</v>
      </c>
      <c r="F2" t="s">
        <v>65</v>
      </c>
      <c r="G2" t="s">
        <v>48</v>
      </c>
      <c r="H2" t="s">
        <v>47</v>
      </c>
      <c r="I2">
        <v>0</v>
      </c>
      <c r="J2">
        <v>1</v>
      </c>
      <c r="K2">
        <v>1</v>
      </c>
      <c r="L2">
        <v>1</v>
      </c>
      <c r="M2">
        <v>0</v>
      </c>
      <c r="N2">
        <v>0</v>
      </c>
      <c r="O2">
        <v>1</v>
      </c>
      <c r="P2">
        <v>0</v>
      </c>
      <c r="Q2">
        <v>1</v>
      </c>
      <c r="R2">
        <v>0</v>
      </c>
      <c r="S2">
        <v>0</v>
      </c>
      <c r="T2">
        <v>0</v>
      </c>
      <c r="U2">
        <v>0</v>
      </c>
      <c r="V2">
        <v>0</v>
      </c>
    </row>
    <row r="3" spans="1:22" x14ac:dyDescent="0.2">
      <c r="A3" t="s">
        <v>81</v>
      </c>
      <c r="B3" t="s">
        <v>33</v>
      </c>
      <c r="C3" t="s">
        <v>41</v>
      </c>
      <c r="D3" t="s">
        <v>42</v>
      </c>
      <c r="E3" t="s">
        <v>37</v>
      </c>
      <c r="F3" t="s">
        <v>48</v>
      </c>
      <c r="G3" t="s">
        <v>47</v>
      </c>
      <c r="H3" t="s">
        <v>65</v>
      </c>
      <c r="I3">
        <v>0</v>
      </c>
      <c r="J3">
        <v>1</v>
      </c>
      <c r="K3">
        <v>1</v>
      </c>
      <c r="L3">
        <v>1</v>
      </c>
      <c r="M3">
        <v>0</v>
      </c>
      <c r="N3">
        <v>0</v>
      </c>
      <c r="O3">
        <v>1</v>
      </c>
      <c r="P3">
        <v>0</v>
      </c>
      <c r="Q3">
        <v>1</v>
      </c>
      <c r="R3">
        <v>0</v>
      </c>
      <c r="S3">
        <v>1</v>
      </c>
      <c r="T3">
        <v>0</v>
      </c>
      <c r="U3">
        <v>0</v>
      </c>
      <c r="V3">
        <v>0</v>
      </c>
    </row>
    <row r="4" spans="1:22" x14ac:dyDescent="0.2">
      <c r="A4" t="s">
        <v>81</v>
      </c>
      <c r="B4" t="s">
        <v>33</v>
      </c>
      <c r="C4" t="s">
        <v>41</v>
      </c>
      <c r="D4" t="s">
        <v>55</v>
      </c>
      <c r="E4" t="s">
        <v>37</v>
      </c>
      <c r="F4" t="s">
        <v>59</v>
      </c>
      <c r="G4" t="s">
        <v>46</v>
      </c>
      <c r="H4" t="s">
        <v>65</v>
      </c>
      <c r="I4">
        <v>0</v>
      </c>
      <c r="J4">
        <v>1</v>
      </c>
      <c r="K4">
        <v>0</v>
      </c>
      <c r="L4">
        <v>0</v>
      </c>
      <c r="M4">
        <v>1</v>
      </c>
      <c r="N4">
        <v>0</v>
      </c>
      <c r="O4">
        <v>1</v>
      </c>
      <c r="P4">
        <v>0</v>
      </c>
      <c r="Q4">
        <v>1</v>
      </c>
      <c r="R4">
        <v>0</v>
      </c>
      <c r="S4">
        <v>0</v>
      </c>
      <c r="T4">
        <v>0</v>
      </c>
      <c r="U4">
        <v>0</v>
      </c>
      <c r="V4">
        <v>0</v>
      </c>
    </row>
    <row r="5" spans="1:22" x14ac:dyDescent="0.2">
      <c r="A5" t="s">
        <v>81</v>
      </c>
      <c r="B5" t="s">
        <v>33</v>
      </c>
      <c r="C5" t="s">
        <v>41</v>
      </c>
      <c r="D5" t="s">
        <v>61</v>
      </c>
      <c r="E5" t="s">
        <v>37</v>
      </c>
      <c r="F5" t="s">
        <v>47</v>
      </c>
      <c r="G5" t="s">
        <v>48</v>
      </c>
      <c r="H5" t="s">
        <v>65</v>
      </c>
      <c r="I5">
        <v>0</v>
      </c>
      <c r="J5">
        <v>1</v>
      </c>
      <c r="K5">
        <v>1</v>
      </c>
      <c r="L5">
        <v>1</v>
      </c>
      <c r="M5">
        <v>0</v>
      </c>
      <c r="N5">
        <v>0</v>
      </c>
      <c r="O5">
        <v>1</v>
      </c>
      <c r="P5">
        <v>0</v>
      </c>
      <c r="Q5">
        <v>1</v>
      </c>
      <c r="R5">
        <v>0</v>
      </c>
      <c r="S5">
        <v>1</v>
      </c>
      <c r="T5">
        <v>0</v>
      </c>
      <c r="U5">
        <v>0</v>
      </c>
      <c r="V5">
        <v>0</v>
      </c>
    </row>
    <row r="6" spans="1:22" x14ac:dyDescent="0.2">
      <c r="A6" t="s">
        <v>107</v>
      </c>
      <c r="B6" t="s">
        <v>108</v>
      </c>
      <c r="C6" t="s">
        <v>41</v>
      </c>
      <c r="D6" t="s">
        <v>49</v>
      </c>
      <c r="E6" t="s">
        <v>37</v>
      </c>
      <c r="F6" t="s">
        <v>46</v>
      </c>
      <c r="G6" t="s">
        <v>65</v>
      </c>
      <c r="H6" t="s">
        <v>60</v>
      </c>
      <c r="I6">
        <v>1</v>
      </c>
      <c r="J6">
        <v>1</v>
      </c>
      <c r="K6">
        <v>0</v>
      </c>
      <c r="L6">
        <v>0</v>
      </c>
      <c r="M6">
        <v>1</v>
      </c>
      <c r="N6">
        <v>0</v>
      </c>
      <c r="O6">
        <v>1</v>
      </c>
      <c r="P6">
        <v>1</v>
      </c>
      <c r="Q6">
        <v>1</v>
      </c>
      <c r="R6">
        <v>0</v>
      </c>
      <c r="S6">
        <v>0</v>
      </c>
      <c r="T6">
        <v>0</v>
      </c>
      <c r="U6">
        <v>0</v>
      </c>
      <c r="V6">
        <v>0</v>
      </c>
    </row>
    <row r="7" spans="1:22" x14ac:dyDescent="0.2">
      <c r="A7" t="s">
        <v>107</v>
      </c>
      <c r="B7" t="s">
        <v>108</v>
      </c>
      <c r="C7" t="s">
        <v>41</v>
      </c>
      <c r="D7" t="s">
        <v>67</v>
      </c>
      <c r="E7" t="s">
        <v>37</v>
      </c>
      <c r="F7" t="s">
        <v>65</v>
      </c>
      <c r="G7" t="s">
        <v>59</v>
      </c>
      <c r="H7" t="s">
        <v>47</v>
      </c>
      <c r="I7">
        <v>0</v>
      </c>
      <c r="J7">
        <v>1</v>
      </c>
      <c r="K7">
        <v>0</v>
      </c>
      <c r="L7">
        <v>1</v>
      </c>
      <c r="M7">
        <v>0</v>
      </c>
      <c r="N7">
        <v>0</v>
      </c>
      <c r="O7">
        <v>1</v>
      </c>
      <c r="P7">
        <v>0</v>
      </c>
      <c r="Q7">
        <v>1</v>
      </c>
      <c r="R7">
        <v>0</v>
      </c>
      <c r="S7">
        <v>1</v>
      </c>
      <c r="T7">
        <v>0</v>
      </c>
      <c r="U7">
        <v>0</v>
      </c>
      <c r="V7">
        <v>0</v>
      </c>
    </row>
    <row r="8" spans="1:22" x14ac:dyDescent="0.2">
      <c r="A8" t="s">
        <v>107</v>
      </c>
      <c r="B8" t="s">
        <v>108</v>
      </c>
      <c r="C8" t="s">
        <v>41</v>
      </c>
      <c r="D8" t="s">
        <v>61</v>
      </c>
      <c r="E8" t="s">
        <v>37</v>
      </c>
      <c r="F8" t="s">
        <v>65</v>
      </c>
      <c r="G8" t="s">
        <v>47</v>
      </c>
      <c r="H8" t="s">
        <v>46</v>
      </c>
      <c r="I8">
        <v>0</v>
      </c>
      <c r="J8">
        <v>1</v>
      </c>
      <c r="K8">
        <v>0</v>
      </c>
      <c r="L8">
        <v>1</v>
      </c>
      <c r="M8">
        <v>1</v>
      </c>
      <c r="N8">
        <v>0</v>
      </c>
      <c r="O8">
        <v>1</v>
      </c>
      <c r="P8">
        <v>0</v>
      </c>
      <c r="Q8">
        <v>1</v>
      </c>
      <c r="R8">
        <v>0</v>
      </c>
      <c r="S8">
        <v>0</v>
      </c>
      <c r="T8">
        <v>0</v>
      </c>
      <c r="U8">
        <v>0</v>
      </c>
      <c r="V8">
        <v>0</v>
      </c>
    </row>
    <row r="9" spans="1:22" x14ac:dyDescent="0.2">
      <c r="A9" t="s">
        <v>113</v>
      </c>
      <c r="B9" t="s">
        <v>108</v>
      </c>
      <c r="C9" t="s">
        <v>41</v>
      </c>
      <c r="D9" t="s">
        <v>61</v>
      </c>
      <c r="E9" t="s">
        <v>37</v>
      </c>
      <c r="F9" t="s">
        <v>47</v>
      </c>
      <c r="G9" t="s">
        <v>65</v>
      </c>
      <c r="H9" t="s">
        <v>46</v>
      </c>
      <c r="I9">
        <v>0</v>
      </c>
      <c r="J9">
        <v>1</v>
      </c>
      <c r="K9">
        <v>0</v>
      </c>
      <c r="L9">
        <v>1</v>
      </c>
      <c r="M9">
        <v>1</v>
      </c>
      <c r="N9">
        <v>0</v>
      </c>
      <c r="O9">
        <v>1</v>
      </c>
      <c r="P9">
        <v>0</v>
      </c>
      <c r="Q9">
        <v>1</v>
      </c>
      <c r="R9">
        <v>0</v>
      </c>
      <c r="S9">
        <v>0</v>
      </c>
      <c r="T9">
        <v>0</v>
      </c>
      <c r="U9">
        <v>0</v>
      </c>
      <c r="V9">
        <v>0</v>
      </c>
    </row>
    <row r="10" spans="1:22" x14ac:dyDescent="0.2">
      <c r="A10" t="s">
        <v>120</v>
      </c>
      <c r="B10" t="s">
        <v>108</v>
      </c>
      <c r="C10" t="s">
        <v>41</v>
      </c>
      <c r="D10" t="s">
        <v>55</v>
      </c>
      <c r="E10" t="s">
        <v>37</v>
      </c>
      <c r="F10" t="s">
        <v>65</v>
      </c>
      <c r="G10" t="s">
        <v>47</v>
      </c>
      <c r="H10" t="s">
        <v>60</v>
      </c>
      <c r="I10">
        <v>1</v>
      </c>
      <c r="J10">
        <v>1</v>
      </c>
      <c r="K10">
        <v>0</v>
      </c>
      <c r="L10">
        <v>1</v>
      </c>
      <c r="M10">
        <v>0</v>
      </c>
      <c r="N10">
        <v>0</v>
      </c>
      <c r="O10">
        <v>1</v>
      </c>
      <c r="P10">
        <v>0</v>
      </c>
      <c r="Q10">
        <v>1</v>
      </c>
      <c r="R10">
        <v>0</v>
      </c>
      <c r="S10">
        <v>0</v>
      </c>
      <c r="T10">
        <v>0</v>
      </c>
      <c r="U10">
        <v>0</v>
      </c>
      <c r="V10">
        <v>0</v>
      </c>
    </row>
    <row r="11" spans="1:22" x14ac:dyDescent="0.2">
      <c r="A11" t="s">
        <v>124</v>
      </c>
      <c r="B11" t="s">
        <v>33</v>
      </c>
      <c r="C11" t="s">
        <v>41</v>
      </c>
      <c r="D11" t="s">
        <v>67</v>
      </c>
      <c r="E11" t="s">
        <v>37</v>
      </c>
      <c r="F11" t="s">
        <v>65</v>
      </c>
      <c r="G11" t="s">
        <v>47</v>
      </c>
      <c r="H11" t="s">
        <v>59</v>
      </c>
      <c r="I11">
        <v>0</v>
      </c>
      <c r="J11">
        <v>1</v>
      </c>
      <c r="K11">
        <v>0</v>
      </c>
      <c r="L11">
        <v>1</v>
      </c>
      <c r="M11">
        <v>0</v>
      </c>
      <c r="N11">
        <v>0</v>
      </c>
      <c r="O11">
        <v>1</v>
      </c>
      <c r="P11">
        <v>0</v>
      </c>
      <c r="Q11">
        <v>1</v>
      </c>
      <c r="R11">
        <v>0</v>
      </c>
      <c r="S11">
        <v>0</v>
      </c>
      <c r="T11">
        <v>0</v>
      </c>
      <c r="U11">
        <v>0</v>
      </c>
      <c r="V11">
        <v>0</v>
      </c>
    </row>
    <row r="12" spans="1:22" x14ac:dyDescent="0.2">
      <c r="A12" t="s">
        <v>124</v>
      </c>
      <c r="B12" t="s">
        <v>33</v>
      </c>
      <c r="C12" t="s">
        <v>41</v>
      </c>
      <c r="D12" t="s">
        <v>42</v>
      </c>
      <c r="E12" t="s">
        <v>37</v>
      </c>
      <c r="F12" t="s">
        <v>48</v>
      </c>
      <c r="G12" t="s">
        <v>46</v>
      </c>
      <c r="H12" t="s">
        <v>65</v>
      </c>
      <c r="I12">
        <v>0</v>
      </c>
      <c r="J12">
        <v>1</v>
      </c>
      <c r="K12">
        <v>1</v>
      </c>
      <c r="L12">
        <v>0</v>
      </c>
      <c r="M12">
        <v>1</v>
      </c>
      <c r="N12">
        <v>0</v>
      </c>
      <c r="O12">
        <v>1</v>
      </c>
      <c r="P12">
        <v>0</v>
      </c>
      <c r="Q12">
        <v>1</v>
      </c>
      <c r="R12">
        <v>0</v>
      </c>
      <c r="S12">
        <v>0</v>
      </c>
      <c r="T12">
        <v>0</v>
      </c>
      <c r="U12">
        <v>0</v>
      </c>
      <c r="V12">
        <v>0</v>
      </c>
    </row>
    <row r="13" spans="1:22" x14ac:dyDescent="0.2">
      <c r="A13" t="s">
        <v>129</v>
      </c>
      <c r="B13" t="s">
        <v>33</v>
      </c>
      <c r="C13" t="s">
        <v>41</v>
      </c>
      <c r="D13" t="s">
        <v>42</v>
      </c>
      <c r="E13" t="s">
        <v>37</v>
      </c>
      <c r="F13" t="s">
        <v>46</v>
      </c>
      <c r="G13" t="s">
        <v>59</v>
      </c>
      <c r="H13" t="s">
        <v>65</v>
      </c>
      <c r="I13">
        <v>0</v>
      </c>
      <c r="J13">
        <v>1</v>
      </c>
      <c r="K13">
        <v>0</v>
      </c>
      <c r="L13">
        <v>0</v>
      </c>
      <c r="M13">
        <v>1</v>
      </c>
      <c r="N13">
        <v>0</v>
      </c>
      <c r="O13">
        <v>1</v>
      </c>
      <c r="P13">
        <v>0</v>
      </c>
      <c r="Q13">
        <v>1</v>
      </c>
      <c r="R13">
        <v>0</v>
      </c>
      <c r="S13">
        <v>0</v>
      </c>
      <c r="T13">
        <v>1</v>
      </c>
      <c r="U13">
        <v>0</v>
      </c>
      <c r="V13">
        <v>0</v>
      </c>
    </row>
    <row r="14" spans="1:22" x14ac:dyDescent="0.2">
      <c r="A14" t="s">
        <v>133</v>
      </c>
      <c r="B14" t="s">
        <v>108</v>
      </c>
      <c r="C14" t="s">
        <v>41</v>
      </c>
      <c r="D14" t="s">
        <v>42</v>
      </c>
      <c r="E14" t="s">
        <v>37</v>
      </c>
      <c r="F14" t="s">
        <v>48</v>
      </c>
      <c r="G14" t="s">
        <v>65</v>
      </c>
      <c r="H14" t="s">
        <v>60</v>
      </c>
      <c r="I14">
        <v>1</v>
      </c>
      <c r="J14">
        <v>1</v>
      </c>
      <c r="K14">
        <v>1</v>
      </c>
      <c r="L14">
        <v>0</v>
      </c>
      <c r="M14">
        <v>0</v>
      </c>
      <c r="N14">
        <v>0</v>
      </c>
      <c r="O14">
        <v>1</v>
      </c>
      <c r="P14">
        <v>1</v>
      </c>
      <c r="Q14">
        <v>1</v>
      </c>
      <c r="R14">
        <v>1</v>
      </c>
      <c r="S14">
        <v>0</v>
      </c>
      <c r="T14">
        <v>0</v>
      </c>
      <c r="U14">
        <v>0</v>
      </c>
      <c r="V14">
        <v>0</v>
      </c>
    </row>
    <row r="15" spans="1:22" x14ac:dyDescent="0.2">
      <c r="A15" t="s">
        <v>133</v>
      </c>
      <c r="B15" t="s">
        <v>108</v>
      </c>
      <c r="C15" t="s">
        <v>41</v>
      </c>
      <c r="D15" t="s">
        <v>61</v>
      </c>
      <c r="E15" t="s">
        <v>37</v>
      </c>
      <c r="F15" t="s">
        <v>65</v>
      </c>
      <c r="G15" t="s">
        <v>46</v>
      </c>
      <c r="H15" t="s">
        <v>59</v>
      </c>
      <c r="I15">
        <v>0</v>
      </c>
      <c r="J15">
        <v>1</v>
      </c>
      <c r="K15">
        <v>0</v>
      </c>
      <c r="L15">
        <v>0</v>
      </c>
      <c r="M15">
        <v>1</v>
      </c>
      <c r="N15">
        <v>0</v>
      </c>
      <c r="O15">
        <v>1</v>
      </c>
      <c r="P15">
        <v>0</v>
      </c>
      <c r="Q15">
        <v>1</v>
      </c>
      <c r="R15">
        <v>0</v>
      </c>
      <c r="S15">
        <v>0</v>
      </c>
      <c r="T15">
        <v>0</v>
      </c>
      <c r="U15">
        <v>0</v>
      </c>
      <c r="V15">
        <v>0</v>
      </c>
    </row>
    <row r="16" spans="1:22" x14ac:dyDescent="0.2">
      <c r="A16" t="s">
        <v>133</v>
      </c>
      <c r="B16" t="s">
        <v>108</v>
      </c>
      <c r="C16" t="s">
        <v>41</v>
      </c>
      <c r="D16" t="s">
        <v>67</v>
      </c>
      <c r="E16" t="s">
        <v>37</v>
      </c>
      <c r="F16" t="s">
        <v>48</v>
      </c>
      <c r="G16" t="s">
        <v>47</v>
      </c>
      <c r="H16" t="s">
        <v>65</v>
      </c>
      <c r="I16">
        <v>0</v>
      </c>
      <c r="J16">
        <v>1</v>
      </c>
      <c r="K16">
        <v>1</v>
      </c>
      <c r="L16">
        <v>1</v>
      </c>
      <c r="M16">
        <v>0</v>
      </c>
      <c r="N16">
        <v>0</v>
      </c>
      <c r="O16">
        <v>1</v>
      </c>
      <c r="P16">
        <v>0</v>
      </c>
      <c r="Q16">
        <v>1</v>
      </c>
      <c r="R16">
        <v>0</v>
      </c>
      <c r="S16">
        <v>0</v>
      </c>
      <c r="T16">
        <v>0</v>
      </c>
      <c r="U16">
        <v>0</v>
      </c>
      <c r="V16">
        <v>0</v>
      </c>
    </row>
    <row r="17" spans="1:22" x14ac:dyDescent="0.2">
      <c r="A17" t="s">
        <v>137</v>
      </c>
      <c r="B17" t="s">
        <v>108</v>
      </c>
      <c r="C17" t="s">
        <v>41</v>
      </c>
      <c r="D17" t="s">
        <v>49</v>
      </c>
      <c r="E17" t="s">
        <v>37</v>
      </c>
      <c r="F17" t="s">
        <v>65</v>
      </c>
      <c r="G17" t="s">
        <v>48</v>
      </c>
      <c r="H17" t="s">
        <v>47</v>
      </c>
      <c r="I17">
        <v>0</v>
      </c>
      <c r="J17">
        <v>1</v>
      </c>
      <c r="K17">
        <v>1</v>
      </c>
      <c r="L17">
        <v>1</v>
      </c>
      <c r="M17">
        <v>0</v>
      </c>
      <c r="N17">
        <v>0</v>
      </c>
      <c r="O17">
        <v>1</v>
      </c>
      <c r="P17">
        <v>0</v>
      </c>
      <c r="Q17">
        <v>1</v>
      </c>
      <c r="R17">
        <v>0</v>
      </c>
      <c r="S17">
        <v>0</v>
      </c>
      <c r="T17">
        <v>0</v>
      </c>
      <c r="U17">
        <v>0</v>
      </c>
      <c r="V17">
        <v>0</v>
      </c>
    </row>
    <row r="18" spans="1:22" x14ac:dyDescent="0.2">
      <c r="A18" t="s">
        <v>143</v>
      </c>
      <c r="B18" t="s">
        <v>108</v>
      </c>
      <c r="C18" t="s">
        <v>41</v>
      </c>
      <c r="D18" t="s">
        <v>61</v>
      </c>
      <c r="E18" t="s">
        <v>37</v>
      </c>
      <c r="F18" t="s">
        <v>65</v>
      </c>
      <c r="G18" t="s">
        <v>48</v>
      </c>
      <c r="H18" t="s">
        <v>60</v>
      </c>
      <c r="I18">
        <v>1</v>
      </c>
      <c r="J18">
        <v>1</v>
      </c>
      <c r="K18">
        <v>1</v>
      </c>
      <c r="L18">
        <v>0</v>
      </c>
      <c r="M18">
        <v>0</v>
      </c>
      <c r="N18">
        <v>0</v>
      </c>
      <c r="O18">
        <v>1</v>
      </c>
      <c r="P18">
        <v>0</v>
      </c>
      <c r="Q18">
        <v>1</v>
      </c>
      <c r="R18">
        <v>0</v>
      </c>
      <c r="S18">
        <v>0</v>
      </c>
      <c r="T18">
        <v>0</v>
      </c>
      <c r="U18">
        <v>0</v>
      </c>
      <c r="V18">
        <v>0</v>
      </c>
    </row>
    <row r="19" spans="1:22" x14ac:dyDescent="0.2">
      <c r="A19" t="s">
        <v>143</v>
      </c>
      <c r="B19" t="s">
        <v>108</v>
      </c>
      <c r="C19" t="s">
        <v>41</v>
      </c>
      <c r="D19" t="s">
        <v>49</v>
      </c>
      <c r="E19" t="s">
        <v>37</v>
      </c>
      <c r="F19" t="s">
        <v>59</v>
      </c>
      <c r="G19" t="s">
        <v>65</v>
      </c>
      <c r="H19" t="s">
        <v>47</v>
      </c>
      <c r="I19">
        <v>0</v>
      </c>
      <c r="J19">
        <v>1</v>
      </c>
      <c r="K19">
        <v>0</v>
      </c>
      <c r="L19">
        <v>1</v>
      </c>
      <c r="M19">
        <v>0</v>
      </c>
      <c r="N19">
        <v>0</v>
      </c>
      <c r="O19">
        <v>1</v>
      </c>
      <c r="P19">
        <v>0</v>
      </c>
      <c r="Q19">
        <v>1</v>
      </c>
      <c r="R19">
        <v>0</v>
      </c>
      <c r="S19">
        <v>0</v>
      </c>
      <c r="T19">
        <v>0</v>
      </c>
      <c r="U19">
        <v>0</v>
      </c>
      <c r="V19">
        <v>0</v>
      </c>
    </row>
    <row r="20" spans="1:22" x14ac:dyDescent="0.2">
      <c r="A20" t="s">
        <v>143</v>
      </c>
      <c r="B20" t="s">
        <v>108</v>
      </c>
      <c r="C20" t="s">
        <v>41</v>
      </c>
      <c r="D20" t="s">
        <v>72</v>
      </c>
      <c r="E20" t="s">
        <v>37</v>
      </c>
      <c r="F20" t="s">
        <v>46</v>
      </c>
      <c r="G20" t="s">
        <v>60</v>
      </c>
      <c r="H20" t="s">
        <v>65</v>
      </c>
      <c r="I20">
        <v>1</v>
      </c>
      <c r="J20">
        <v>1</v>
      </c>
      <c r="K20">
        <v>0</v>
      </c>
      <c r="L20">
        <v>0</v>
      </c>
      <c r="M20">
        <v>1</v>
      </c>
      <c r="N20">
        <v>0</v>
      </c>
      <c r="O20">
        <v>1</v>
      </c>
      <c r="P20">
        <v>0</v>
      </c>
      <c r="Q20">
        <v>1</v>
      </c>
      <c r="R20">
        <v>0</v>
      </c>
      <c r="S20">
        <v>0</v>
      </c>
      <c r="T20">
        <v>0</v>
      </c>
      <c r="U20">
        <v>0</v>
      </c>
      <c r="V20">
        <v>0</v>
      </c>
    </row>
    <row r="21" spans="1:22" x14ac:dyDescent="0.2">
      <c r="A21" t="s">
        <v>147</v>
      </c>
      <c r="B21" t="s">
        <v>108</v>
      </c>
      <c r="C21" t="s">
        <v>41</v>
      </c>
      <c r="D21" t="s">
        <v>55</v>
      </c>
      <c r="E21" t="s">
        <v>37</v>
      </c>
      <c r="F21" t="s">
        <v>59</v>
      </c>
      <c r="G21" t="s">
        <v>60</v>
      </c>
      <c r="H21" t="s">
        <v>65</v>
      </c>
      <c r="I21">
        <v>1</v>
      </c>
      <c r="J21">
        <v>1</v>
      </c>
      <c r="K21">
        <v>0</v>
      </c>
      <c r="L21">
        <v>0</v>
      </c>
      <c r="M21">
        <v>0</v>
      </c>
      <c r="N21">
        <v>0</v>
      </c>
      <c r="O21">
        <v>1</v>
      </c>
      <c r="P21">
        <v>0</v>
      </c>
      <c r="Q21">
        <v>1</v>
      </c>
      <c r="R21">
        <v>0</v>
      </c>
      <c r="S21">
        <v>0</v>
      </c>
      <c r="T21">
        <v>0</v>
      </c>
      <c r="U21">
        <v>0</v>
      </c>
      <c r="V21">
        <v>0</v>
      </c>
    </row>
    <row r="22" spans="1:22" x14ac:dyDescent="0.2">
      <c r="A22" t="s">
        <v>147</v>
      </c>
      <c r="B22" t="s">
        <v>108</v>
      </c>
      <c r="C22" t="s">
        <v>41</v>
      </c>
      <c r="D22" t="s">
        <v>72</v>
      </c>
      <c r="E22" t="s">
        <v>37</v>
      </c>
      <c r="F22" t="s">
        <v>47</v>
      </c>
      <c r="G22" t="s">
        <v>65</v>
      </c>
      <c r="H22" t="s">
        <v>48</v>
      </c>
      <c r="I22">
        <v>0</v>
      </c>
      <c r="J22">
        <v>1</v>
      </c>
      <c r="K22">
        <v>1</v>
      </c>
      <c r="L22">
        <v>1</v>
      </c>
      <c r="M22">
        <v>0</v>
      </c>
      <c r="N22">
        <v>0</v>
      </c>
      <c r="O22">
        <v>1</v>
      </c>
      <c r="P22">
        <v>0</v>
      </c>
      <c r="Q22">
        <v>1</v>
      </c>
      <c r="R22">
        <v>0</v>
      </c>
      <c r="S22">
        <v>0</v>
      </c>
      <c r="T22">
        <v>0</v>
      </c>
      <c r="U22">
        <v>0</v>
      </c>
      <c r="V22">
        <v>0</v>
      </c>
    </row>
    <row r="23" spans="1:22" x14ac:dyDescent="0.2">
      <c r="A23" t="s">
        <v>151</v>
      </c>
      <c r="B23" t="s">
        <v>108</v>
      </c>
      <c r="C23" t="s">
        <v>41</v>
      </c>
      <c r="D23" t="s">
        <v>55</v>
      </c>
      <c r="E23" t="s">
        <v>37</v>
      </c>
      <c r="F23" t="s">
        <v>60</v>
      </c>
      <c r="G23" t="s">
        <v>65</v>
      </c>
      <c r="H23" t="s">
        <v>48</v>
      </c>
      <c r="I23">
        <v>1</v>
      </c>
      <c r="J23">
        <v>1</v>
      </c>
      <c r="K23">
        <v>1</v>
      </c>
      <c r="L23">
        <v>0</v>
      </c>
      <c r="M23">
        <v>0</v>
      </c>
      <c r="N23">
        <v>0</v>
      </c>
      <c r="O23">
        <v>1</v>
      </c>
      <c r="P23">
        <v>0</v>
      </c>
      <c r="Q23">
        <v>1</v>
      </c>
      <c r="R23">
        <v>0</v>
      </c>
      <c r="S23">
        <v>0</v>
      </c>
      <c r="T23">
        <v>0</v>
      </c>
      <c r="U23">
        <v>0</v>
      </c>
      <c r="V23">
        <v>0</v>
      </c>
    </row>
    <row r="24" spans="1:22" x14ac:dyDescent="0.2">
      <c r="A24" t="s">
        <v>151</v>
      </c>
      <c r="B24" t="s">
        <v>108</v>
      </c>
      <c r="C24" t="s">
        <v>41</v>
      </c>
      <c r="D24" t="s">
        <v>72</v>
      </c>
      <c r="E24" t="s">
        <v>37</v>
      </c>
      <c r="F24" t="s">
        <v>46</v>
      </c>
      <c r="G24" t="s">
        <v>47</v>
      </c>
      <c r="H24" t="s">
        <v>65</v>
      </c>
      <c r="I24">
        <v>0</v>
      </c>
      <c r="J24">
        <v>1</v>
      </c>
      <c r="K24">
        <v>0</v>
      </c>
      <c r="L24">
        <v>1</v>
      </c>
      <c r="M24">
        <v>1</v>
      </c>
      <c r="N24">
        <v>0</v>
      </c>
      <c r="O24">
        <v>1</v>
      </c>
      <c r="P24">
        <v>0</v>
      </c>
      <c r="Q24">
        <v>1</v>
      </c>
      <c r="R24">
        <v>0</v>
      </c>
      <c r="S24">
        <v>1</v>
      </c>
      <c r="T24">
        <v>1</v>
      </c>
      <c r="U24">
        <v>0</v>
      </c>
      <c r="V24">
        <v>0</v>
      </c>
    </row>
    <row r="25" spans="1:22" x14ac:dyDescent="0.2">
      <c r="A25" t="s">
        <v>151</v>
      </c>
      <c r="B25" t="s">
        <v>108</v>
      </c>
      <c r="C25" t="s">
        <v>41</v>
      </c>
      <c r="D25" t="s">
        <v>42</v>
      </c>
      <c r="E25" t="s">
        <v>37</v>
      </c>
      <c r="F25" t="s">
        <v>46</v>
      </c>
      <c r="G25" t="s">
        <v>59</v>
      </c>
      <c r="H25" t="s">
        <v>65</v>
      </c>
      <c r="I25">
        <v>0</v>
      </c>
      <c r="J25">
        <v>1</v>
      </c>
      <c r="K25">
        <v>0</v>
      </c>
      <c r="L25">
        <v>0</v>
      </c>
      <c r="M25">
        <v>1</v>
      </c>
      <c r="N25">
        <v>0</v>
      </c>
      <c r="O25">
        <v>1</v>
      </c>
      <c r="P25">
        <v>0</v>
      </c>
      <c r="Q25">
        <v>1</v>
      </c>
      <c r="R25">
        <v>0</v>
      </c>
      <c r="S25">
        <v>0</v>
      </c>
      <c r="T25">
        <v>1</v>
      </c>
      <c r="U25">
        <v>0</v>
      </c>
      <c r="V25">
        <v>0</v>
      </c>
    </row>
    <row r="26" spans="1:22" x14ac:dyDescent="0.2">
      <c r="A26" t="s">
        <v>151</v>
      </c>
      <c r="B26" t="s">
        <v>108</v>
      </c>
      <c r="C26" t="s">
        <v>41</v>
      </c>
      <c r="D26" t="s">
        <v>67</v>
      </c>
      <c r="E26" t="s">
        <v>37</v>
      </c>
      <c r="F26" t="s">
        <v>47</v>
      </c>
      <c r="G26" t="s">
        <v>59</v>
      </c>
      <c r="H26" t="s">
        <v>65</v>
      </c>
      <c r="I26">
        <v>0</v>
      </c>
      <c r="J26">
        <v>1</v>
      </c>
      <c r="K26">
        <v>0</v>
      </c>
      <c r="L26">
        <v>1</v>
      </c>
      <c r="M26">
        <v>0</v>
      </c>
      <c r="N26">
        <v>0</v>
      </c>
      <c r="O26">
        <v>1</v>
      </c>
      <c r="P26">
        <v>0</v>
      </c>
      <c r="Q26">
        <v>1</v>
      </c>
      <c r="R26">
        <v>0</v>
      </c>
      <c r="S26">
        <v>1</v>
      </c>
      <c r="T26">
        <v>0</v>
      </c>
      <c r="U26">
        <v>0</v>
      </c>
      <c r="V26">
        <v>0</v>
      </c>
    </row>
    <row r="27" spans="1:22" x14ac:dyDescent="0.2">
      <c r="A27" t="s">
        <v>151</v>
      </c>
      <c r="B27" t="s">
        <v>108</v>
      </c>
      <c r="C27" t="s">
        <v>41</v>
      </c>
      <c r="D27" t="s">
        <v>61</v>
      </c>
      <c r="E27" t="s">
        <v>37</v>
      </c>
      <c r="F27" t="s">
        <v>65</v>
      </c>
      <c r="G27" t="s">
        <v>60</v>
      </c>
      <c r="H27" t="s">
        <v>46</v>
      </c>
      <c r="I27">
        <v>1</v>
      </c>
      <c r="J27">
        <v>1</v>
      </c>
      <c r="K27">
        <v>0</v>
      </c>
      <c r="L27">
        <v>0</v>
      </c>
      <c r="M27">
        <v>1</v>
      </c>
      <c r="N27">
        <v>0</v>
      </c>
      <c r="O27">
        <v>1</v>
      </c>
      <c r="P27">
        <v>1</v>
      </c>
      <c r="Q27">
        <v>1</v>
      </c>
      <c r="R27">
        <v>0</v>
      </c>
      <c r="S27">
        <v>0</v>
      </c>
      <c r="T27">
        <v>1</v>
      </c>
      <c r="U27">
        <v>0</v>
      </c>
      <c r="V27">
        <v>0</v>
      </c>
    </row>
    <row r="28" spans="1:22" x14ac:dyDescent="0.2">
      <c r="A28" t="s">
        <v>159</v>
      </c>
      <c r="B28" t="s">
        <v>108</v>
      </c>
      <c r="C28" t="s">
        <v>41</v>
      </c>
      <c r="D28" t="s">
        <v>55</v>
      </c>
      <c r="E28" t="s">
        <v>37</v>
      </c>
      <c r="F28" t="s">
        <v>47</v>
      </c>
      <c r="G28" t="s">
        <v>48</v>
      </c>
      <c r="H28" t="s">
        <v>65</v>
      </c>
      <c r="I28">
        <v>0</v>
      </c>
      <c r="J28">
        <v>1</v>
      </c>
      <c r="K28">
        <v>1</v>
      </c>
      <c r="L28">
        <v>1</v>
      </c>
      <c r="M28">
        <v>0</v>
      </c>
      <c r="N28">
        <v>0</v>
      </c>
      <c r="O28">
        <v>1</v>
      </c>
      <c r="P28">
        <v>0</v>
      </c>
      <c r="Q28">
        <v>1</v>
      </c>
      <c r="R28">
        <v>1</v>
      </c>
      <c r="S28">
        <v>1</v>
      </c>
      <c r="T28">
        <v>0</v>
      </c>
      <c r="U28">
        <v>0</v>
      </c>
      <c r="V28">
        <v>0</v>
      </c>
    </row>
    <row r="29" spans="1:22" x14ac:dyDescent="0.2">
      <c r="A29" t="s">
        <v>159</v>
      </c>
      <c r="B29" t="s">
        <v>108</v>
      </c>
      <c r="C29" t="s">
        <v>41</v>
      </c>
      <c r="D29" t="s">
        <v>67</v>
      </c>
      <c r="E29" t="s">
        <v>37</v>
      </c>
      <c r="F29" t="s">
        <v>47</v>
      </c>
      <c r="G29" t="s">
        <v>65</v>
      </c>
      <c r="H29" t="s">
        <v>48</v>
      </c>
      <c r="I29">
        <v>0</v>
      </c>
      <c r="J29">
        <v>1</v>
      </c>
      <c r="K29">
        <v>1</v>
      </c>
      <c r="L29">
        <v>1</v>
      </c>
      <c r="M29">
        <v>0</v>
      </c>
      <c r="N29">
        <v>0</v>
      </c>
      <c r="O29">
        <v>1</v>
      </c>
      <c r="P29">
        <v>0</v>
      </c>
      <c r="Q29">
        <v>1</v>
      </c>
      <c r="R29">
        <v>1</v>
      </c>
      <c r="S29">
        <v>1</v>
      </c>
      <c r="T29">
        <v>0</v>
      </c>
      <c r="U29">
        <v>0</v>
      </c>
      <c r="V29">
        <v>0</v>
      </c>
    </row>
    <row r="30" spans="1:22" x14ac:dyDescent="0.2">
      <c r="A30" t="s">
        <v>159</v>
      </c>
      <c r="B30" t="s">
        <v>108</v>
      </c>
      <c r="C30" t="s">
        <v>41</v>
      </c>
      <c r="D30" t="s">
        <v>49</v>
      </c>
      <c r="E30" t="s">
        <v>37</v>
      </c>
      <c r="F30" t="s">
        <v>46</v>
      </c>
      <c r="G30" t="s">
        <v>47</v>
      </c>
      <c r="H30" t="s">
        <v>65</v>
      </c>
      <c r="I30">
        <v>0</v>
      </c>
      <c r="J30">
        <v>1</v>
      </c>
      <c r="K30">
        <v>0</v>
      </c>
      <c r="L30">
        <v>1</v>
      </c>
      <c r="M30">
        <v>1</v>
      </c>
      <c r="N30">
        <v>0</v>
      </c>
      <c r="O30">
        <v>1</v>
      </c>
      <c r="P30">
        <v>0</v>
      </c>
      <c r="Q30">
        <v>1</v>
      </c>
      <c r="R30">
        <v>0</v>
      </c>
      <c r="S30">
        <v>1</v>
      </c>
      <c r="T30">
        <v>1</v>
      </c>
      <c r="U30">
        <v>0</v>
      </c>
      <c r="V30">
        <v>0</v>
      </c>
    </row>
    <row r="31" spans="1:22" x14ac:dyDescent="0.2">
      <c r="A31" t="s">
        <v>163</v>
      </c>
      <c r="B31" t="s">
        <v>33</v>
      </c>
      <c r="C31" t="s">
        <v>41</v>
      </c>
      <c r="D31" t="s">
        <v>72</v>
      </c>
      <c r="E31" t="s">
        <v>37</v>
      </c>
      <c r="F31" t="s">
        <v>59</v>
      </c>
      <c r="G31" t="s">
        <v>65</v>
      </c>
      <c r="H31" t="s">
        <v>47</v>
      </c>
      <c r="I31">
        <v>0</v>
      </c>
      <c r="J31">
        <v>1</v>
      </c>
      <c r="K31">
        <v>0</v>
      </c>
      <c r="L31">
        <v>1</v>
      </c>
      <c r="M31">
        <v>0</v>
      </c>
      <c r="N31">
        <v>0</v>
      </c>
      <c r="O31">
        <v>1</v>
      </c>
      <c r="P31">
        <v>0</v>
      </c>
      <c r="Q31">
        <v>1</v>
      </c>
      <c r="R31">
        <v>0</v>
      </c>
      <c r="S31">
        <v>1</v>
      </c>
      <c r="T31">
        <v>0</v>
      </c>
      <c r="U31">
        <v>0</v>
      </c>
      <c r="V31">
        <v>0</v>
      </c>
    </row>
    <row r="32" spans="1:22" x14ac:dyDescent="0.2">
      <c r="A32" t="s">
        <v>170</v>
      </c>
      <c r="B32" t="s">
        <v>108</v>
      </c>
      <c r="C32" t="s">
        <v>41</v>
      </c>
      <c r="D32" t="s">
        <v>49</v>
      </c>
      <c r="E32" t="s">
        <v>37</v>
      </c>
      <c r="F32" t="s">
        <v>46</v>
      </c>
      <c r="G32" t="s">
        <v>65</v>
      </c>
      <c r="H32" t="s">
        <v>48</v>
      </c>
      <c r="I32">
        <v>0</v>
      </c>
      <c r="J32">
        <v>1</v>
      </c>
      <c r="K32">
        <v>1</v>
      </c>
      <c r="L32">
        <v>0</v>
      </c>
      <c r="M32">
        <v>1</v>
      </c>
      <c r="N32">
        <v>0</v>
      </c>
      <c r="O32">
        <v>1</v>
      </c>
      <c r="P32">
        <v>0</v>
      </c>
      <c r="Q32">
        <v>1</v>
      </c>
      <c r="R32">
        <v>1</v>
      </c>
      <c r="S32">
        <v>0</v>
      </c>
      <c r="T32">
        <v>1</v>
      </c>
      <c r="U32">
        <v>0</v>
      </c>
      <c r="V32">
        <v>0</v>
      </c>
    </row>
    <row r="33" spans="1:22" x14ac:dyDescent="0.2">
      <c r="A33" t="s">
        <v>170</v>
      </c>
      <c r="B33" t="s">
        <v>108</v>
      </c>
      <c r="C33" t="s">
        <v>41</v>
      </c>
      <c r="D33" t="s">
        <v>42</v>
      </c>
      <c r="E33" t="s">
        <v>37</v>
      </c>
      <c r="F33" t="s">
        <v>46</v>
      </c>
      <c r="G33" t="s">
        <v>65</v>
      </c>
      <c r="H33" t="s">
        <v>48</v>
      </c>
      <c r="I33">
        <v>0</v>
      </c>
      <c r="J33">
        <v>1</v>
      </c>
      <c r="K33">
        <v>1</v>
      </c>
      <c r="L33">
        <v>0</v>
      </c>
      <c r="M33">
        <v>1</v>
      </c>
      <c r="N33">
        <v>0</v>
      </c>
      <c r="O33">
        <v>1</v>
      </c>
      <c r="P33">
        <v>0</v>
      </c>
      <c r="Q33">
        <v>1</v>
      </c>
      <c r="R33">
        <v>1</v>
      </c>
      <c r="S33">
        <v>0</v>
      </c>
      <c r="T33">
        <v>1</v>
      </c>
      <c r="U33">
        <v>0</v>
      </c>
      <c r="V33">
        <v>0</v>
      </c>
    </row>
    <row r="34" spans="1:22" x14ac:dyDescent="0.2">
      <c r="A34" t="s">
        <v>170</v>
      </c>
      <c r="B34" t="s">
        <v>108</v>
      </c>
      <c r="C34" t="s">
        <v>41</v>
      </c>
      <c r="D34" t="s">
        <v>55</v>
      </c>
      <c r="E34" t="s">
        <v>37</v>
      </c>
      <c r="F34" t="s">
        <v>48</v>
      </c>
      <c r="G34" t="s">
        <v>65</v>
      </c>
      <c r="H34" t="s">
        <v>59</v>
      </c>
      <c r="I34">
        <v>0</v>
      </c>
      <c r="J34">
        <v>1</v>
      </c>
      <c r="K34">
        <v>1</v>
      </c>
      <c r="L34">
        <v>0</v>
      </c>
      <c r="M34">
        <v>0</v>
      </c>
      <c r="N34">
        <v>0</v>
      </c>
      <c r="O34">
        <v>1</v>
      </c>
      <c r="P34">
        <v>0</v>
      </c>
      <c r="Q34">
        <v>1</v>
      </c>
      <c r="R34">
        <v>1</v>
      </c>
      <c r="S34">
        <v>0</v>
      </c>
      <c r="T34">
        <v>0</v>
      </c>
      <c r="U34">
        <v>0</v>
      </c>
      <c r="V34">
        <v>0</v>
      </c>
    </row>
    <row r="35" spans="1:22" x14ac:dyDescent="0.2">
      <c r="A35" t="s">
        <v>173</v>
      </c>
      <c r="B35" t="s">
        <v>174</v>
      </c>
      <c r="C35" t="s">
        <v>41</v>
      </c>
      <c r="D35" t="s">
        <v>61</v>
      </c>
      <c r="E35" t="s">
        <v>37</v>
      </c>
      <c r="F35" t="s">
        <v>46</v>
      </c>
      <c r="G35" t="s">
        <v>48</v>
      </c>
      <c r="H35" t="s">
        <v>65</v>
      </c>
      <c r="I35">
        <v>0</v>
      </c>
      <c r="J35">
        <v>1</v>
      </c>
      <c r="K35">
        <v>1</v>
      </c>
      <c r="L35">
        <v>0</v>
      </c>
      <c r="M35">
        <v>1</v>
      </c>
      <c r="N35">
        <v>0</v>
      </c>
      <c r="O35">
        <v>1</v>
      </c>
      <c r="P35">
        <v>0</v>
      </c>
      <c r="Q35">
        <v>1</v>
      </c>
      <c r="R35">
        <v>0</v>
      </c>
      <c r="S35">
        <v>0</v>
      </c>
      <c r="T35">
        <v>0</v>
      </c>
      <c r="U35">
        <v>0</v>
      </c>
      <c r="V35">
        <v>0</v>
      </c>
    </row>
    <row r="36" spans="1:22" x14ac:dyDescent="0.2">
      <c r="A36" t="s">
        <v>178</v>
      </c>
      <c r="B36" t="s">
        <v>108</v>
      </c>
      <c r="C36" t="s">
        <v>41</v>
      </c>
      <c r="D36" t="s">
        <v>61</v>
      </c>
      <c r="E36" t="s">
        <v>37</v>
      </c>
      <c r="F36" t="s">
        <v>47</v>
      </c>
      <c r="G36" t="s">
        <v>65</v>
      </c>
      <c r="H36" t="s">
        <v>46</v>
      </c>
      <c r="I36">
        <v>0</v>
      </c>
      <c r="J36">
        <v>1</v>
      </c>
      <c r="K36">
        <v>0</v>
      </c>
      <c r="L36">
        <v>1</v>
      </c>
      <c r="M36">
        <v>1</v>
      </c>
      <c r="N36">
        <v>0</v>
      </c>
      <c r="O36">
        <v>1</v>
      </c>
      <c r="P36">
        <v>0</v>
      </c>
      <c r="Q36">
        <v>1</v>
      </c>
      <c r="R36">
        <v>0</v>
      </c>
      <c r="S36">
        <v>1</v>
      </c>
      <c r="T36">
        <v>1</v>
      </c>
      <c r="U36">
        <v>0</v>
      </c>
      <c r="V36">
        <v>0</v>
      </c>
    </row>
    <row r="37" spans="1:22" x14ac:dyDescent="0.2">
      <c r="A37" t="s">
        <v>178</v>
      </c>
      <c r="B37" t="s">
        <v>108</v>
      </c>
      <c r="C37" t="s">
        <v>41</v>
      </c>
      <c r="D37" t="s">
        <v>49</v>
      </c>
      <c r="E37" t="s">
        <v>37</v>
      </c>
      <c r="F37" t="s">
        <v>46</v>
      </c>
      <c r="G37" t="s">
        <v>65</v>
      </c>
      <c r="H37" t="s">
        <v>47</v>
      </c>
      <c r="I37">
        <v>0</v>
      </c>
      <c r="J37">
        <v>1</v>
      </c>
      <c r="K37">
        <v>0</v>
      </c>
      <c r="L37">
        <v>1</v>
      </c>
      <c r="M37">
        <v>1</v>
      </c>
      <c r="N37">
        <v>0</v>
      </c>
      <c r="O37">
        <v>1</v>
      </c>
      <c r="P37">
        <v>0</v>
      </c>
      <c r="Q37">
        <v>1</v>
      </c>
      <c r="R37">
        <v>0</v>
      </c>
      <c r="S37">
        <v>1</v>
      </c>
      <c r="T37">
        <v>1</v>
      </c>
      <c r="U37">
        <v>0</v>
      </c>
      <c r="V37">
        <v>0</v>
      </c>
    </row>
    <row r="38" spans="1:22" x14ac:dyDescent="0.2">
      <c r="A38" t="s">
        <v>178</v>
      </c>
      <c r="B38" t="s">
        <v>108</v>
      </c>
      <c r="C38" t="s">
        <v>41</v>
      </c>
      <c r="D38" t="s">
        <v>67</v>
      </c>
      <c r="E38" t="s">
        <v>37</v>
      </c>
      <c r="F38" t="s">
        <v>65</v>
      </c>
      <c r="G38" t="s">
        <v>60</v>
      </c>
      <c r="H38" t="s">
        <v>47</v>
      </c>
      <c r="I38">
        <v>1</v>
      </c>
      <c r="J38">
        <v>1</v>
      </c>
      <c r="K38">
        <v>0</v>
      </c>
      <c r="L38">
        <v>1</v>
      </c>
      <c r="M38">
        <v>0</v>
      </c>
      <c r="N38">
        <v>0</v>
      </c>
      <c r="O38">
        <v>1</v>
      </c>
      <c r="P38">
        <v>1</v>
      </c>
      <c r="Q38">
        <v>1</v>
      </c>
      <c r="R38">
        <v>0</v>
      </c>
      <c r="S38">
        <v>1</v>
      </c>
      <c r="T38">
        <v>0</v>
      </c>
      <c r="U38">
        <v>0</v>
      </c>
      <c r="V38">
        <v>0</v>
      </c>
    </row>
    <row r="39" spans="1:22" x14ac:dyDescent="0.2">
      <c r="A39" t="s">
        <v>180</v>
      </c>
      <c r="B39" t="s">
        <v>108</v>
      </c>
      <c r="C39" t="s">
        <v>41</v>
      </c>
      <c r="D39" t="s">
        <v>42</v>
      </c>
      <c r="E39" t="s">
        <v>37</v>
      </c>
      <c r="F39" t="s">
        <v>65</v>
      </c>
      <c r="G39" t="s">
        <v>47</v>
      </c>
      <c r="H39" t="s">
        <v>59</v>
      </c>
      <c r="I39">
        <v>0</v>
      </c>
      <c r="J39">
        <v>1</v>
      </c>
      <c r="K39">
        <v>0</v>
      </c>
      <c r="L39">
        <v>1</v>
      </c>
      <c r="M39">
        <v>0</v>
      </c>
      <c r="N39">
        <v>0</v>
      </c>
      <c r="O39">
        <v>1</v>
      </c>
      <c r="P39">
        <v>0</v>
      </c>
      <c r="Q39">
        <v>1</v>
      </c>
      <c r="R39">
        <v>0</v>
      </c>
      <c r="S39">
        <v>1</v>
      </c>
      <c r="T39">
        <v>0</v>
      </c>
      <c r="U39">
        <v>0</v>
      </c>
      <c r="V39">
        <v>0</v>
      </c>
    </row>
    <row r="40" spans="1:22" x14ac:dyDescent="0.2">
      <c r="A40" t="s">
        <v>180</v>
      </c>
      <c r="B40" t="s">
        <v>108</v>
      </c>
      <c r="C40" t="s">
        <v>41</v>
      </c>
      <c r="D40" t="s">
        <v>72</v>
      </c>
      <c r="E40" t="s">
        <v>37</v>
      </c>
      <c r="F40" t="s">
        <v>46</v>
      </c>
      <c r="G40" t="s">
        <v>48</v>
      </c>
      <c r="H40" t="s">
        <v>65</v>
      </c>
      <c r="I40">
        <v>0</v>
      </c>
      <c r="J40">
        <v>1</v>
      </c>
      <c r="K40">
        <v>1</v>
      </c>
      <c r="L40">
        <v>0</v>
      </c>
      <c r="M40">
        <v>1</v>
      </c>
      <c r="N40">
        <v>0</v>
      </c>
      <c r="O40">
        <v>1</v>
      </c>
      <c r="P40">
        <v>0</v>
      </c>
      <c r="Q40">
        <v>1</v>
      </c>
      <c r="R40">
        <v>1</v>
      </c>
      <c r="S40">
        <v>0</v>
      </c>
      <c r="T40">
        <v>1</v>
      </c>
      <c r="U40">
        <v>0</v>
      </c>
      <c r="V40">
        <v>0</v>
      </c>
    </row>
    <row r="41" spans="1:22" x14ac:dyDescent="0.2">
      <c r="A41" t="s">
        <v>180</v>
      </c>
      <c r="B41" t="s">
        <v>108</v>
      </c>
      <c r="C41" t="s">
        <v>41</v>
      </c>
      <c r="D41" t="s">
        <v>61</v>
      </c>
      <c r="E41" t="s">
        <v>37</v>
      </c>
      <c r="F41" t="s">
        <v>48</v>
      </c>
      <c r="G41" t="s">
        <v>65</v>
      </c>
      <c r="H41" t="s">
        <v>46</v>
      </c>
      <c r="I41">
        <v>0</v>
      </c>
      <c r="J41">
        <v>1</v>
      </c>
      <c r="K41">
        <v>1</v>
      </c>
      <c r="L41">
        <v>0</v>
      </c>
      <c r="M41">
        <v>1</v>
      </c>
      <c r="N41">
        <v>0</v>
      </c>
      <c r="O41">
        <v>1</v>
      </c>
      <c r="P41">
        <v>0</v>
      </c>
      <c r="Q41">
        <v>1</v>
      </c>
      <c r="R41">
        <v>1</v>
      </c>
      <c r="S41">
        <v>0</v>
      </c>
      <c r="T41">
        <v>1</v>
      </c>
      <c r="U41">
        <v>0</v>
      </c>
      <c r="V41">
        <v>0</v>
      </c>
    </row>
    <row r="42" spans="1:22" x14ac:dyDescent="0.2">
      <c r="A42" t="s">
        <v>195</v>
      </c>
      <c r="B42" t="s">
        <v>108</v>
      </c>
      <c r="C42" t="s">
        <v>41</v>
      </c>
      <c r="D42" t="s">
        <v>49</v>
      </c>
      <c r="E42" t="s">
        <v>37</v>
      </c>
      <c r="F42" t="s">
        <v>65</v>
      </c>
      <c r="G42" t="s">
        <v>60</v>
      </c>
      <c r="H42" t="s">
        <v>47</v>
      </c>
      <c r="I42">
        <v>1</v>
      </c>
      <c r="J42">
        <v>1</v>
      </c>
      <c r="K42">
        <v>0</v>
      </c>
      <c r="L42">
        <v>1</v>
      </c>
      <c r="M42">
        <v>0</v>
      </c>
      <c r="N42">
        <v>0</v>
      </c>
      <c r="O42">
        <v>1</v>
      </c>
      <c r="P42">
        <v>1</v>
      </c>
      <c r="Q42">
        <v>1</v>
      </c>
      <c r="R42">
        <v>0</v>
      </c>
      <c r="S42">
        <v>1</v>
      </c>
      <c r="T42">
        <v>0</v>
      </c>
      <c r="U42">
        <v>0</v>
      </c>
      <c r="V42">
        <v>0</v>
      </c>
    </row>
    <row r="43" spans="1:22" x14ac:dyDescent="0.2">
      <c r="A43" t="s">
        <v>195</v>
      </c>
      <c r="B43" t="s">
        <v>108</v>
      </c>
      <c r="C43" t="s">
        <v>41</v>
      </c>
      <c r="D43" t="s">
        <v>67</v>
      </c>
      <c r="E43" t="s">
        <v>37</v>
      </c>
      <c r="F43" t="s">
        <v>65</v>
      </c>
      <c r="G43" t="s">
        <v>46</v>
      </c>
      <c r="H43" t="s">
        <v>59</v>
      </c>
      <c r="I43">
        <v>0</v>
      </c>
      <c r="J43">
        <v>1</v>
      </c>
      <c r="K43">
        <v>0</v>
      </c>
      <c r="L43">
        <v>0</v>
      </c>
      <c r="M43">
        <v>1</v>
      </c>
      <c r="N43">
        <v>0</v>
      </c>
      <c r="O43">
        <v>1</v>
      </c>
      <c r="P43">
        <v>0</v>
      </c>
      <c r="Q43">
        <v>1</v>
      </c>
      <c r="R43">
        <v>0</v>
      </c>
      <c r="S43">
        <v>0</v>
      </c>
      <c r="T43">
        <v>0</v>
      </c>
      <c r="U43">
        <v>0</v>
      </c>
      <c r="V43">
        <v>0</v>
      </c>
    </row>
    <row r="44" spans="1:22" x14ac:dyDescent="0.2">
      <c r="A44" t="s">
        <v>195</v>
      </c>
      <c r="B44" t="s">
        <v>108</v>
      </c>
      <c r="C44" t="s">
        <v>41</v>
      </c>
      <c r="D44" t="s">
        <v>61</v>
      </c>
      <c r="E44" t="s">
        <v>37</v>
      </c>
      <c r="F44" t="s">
        <v>46</v>
      </c>
      <c r="G44" t="s">
        <v>60</v>
      </c>
      <c r="H44" t="s">
        <v>65</v>
      </c>
      <c r="I44">
        <v>1</v>
      </c>
      <c r="J44">
        <v>1</v>
      </c>
      <c r="K44">
        <v>0</v>
      </c>
      <c r="L44">
        <v>0</v>
      </c>
      <c r="M44">
        <v>1</v>
      </c>
      <c r="N44">
        <v>0</v>
      </c>
      <c r="O44">
        <v>1</v>
      </c>
      <c r="P44">
        <v>0</v>
      </c>
      <c r="Q44">
        <v>1</v>
      </c>
      <c r="R44">
        <v>0</v>
      </c>
      <c r="S44">
        <v>0</v>
      </c>
      <c r="T44">
        <v>0</v>
      </c>
      <c r="U44">
        <v>0</v>
      </c>
      <c r="V44">
        <v>0</v>
      </c>
    </row>
    <row r="45" spans="1:22" x14ac:dyDescent="0.2">
      <c r="A45" t="s">
        <v>195</v>
      </c>
      <c r="B45" t="s">
        <v>108</v>
      </c>
      <c r="C45" t="s">
        <v>41</v>
      </c>
      <c r="D45" t="s">
        <v>42</v>
      </c>
      <c r="E45" t="s">
        <v>37</v>
      </c>
      <c r="F45" t="s">
        <v>46</v>
      </c>
      <c r="G45" t="s">
        <v>65</v>
      </c>
      <c r="H45" t="s">
        <v>48</v>
      </c>
      <c r="I45">
        <v>0</v>
      </c>
      <c r="J45">
        <v>1</v>
      </c>
      <c r="K45">
        <v>1</v>
      </c>
      <c r="L45">
        <v>0</v>
      </c>
      <c r="M45">
        <v>1</v>
      </c>
      <c r="N45">
        <v>0</v>
      </c>
      <c r="O45">
        <v>1</v>
      </c>
      <c r="P45">
        <v>0</v>
      </c>
      <c r="Q45">
        <v>1</v>
      </c>
      <c r="R45">
        <v>0</v>
      </c>
      <c r="S45">
        <v>0</v>
      </c>
      <c r="T45">
        <v>0</v>
      </c>
      <c r="U45">
        <v>0</v>
      </c>
      <c r="V45">
        <v>0</v>
      </c>
    </row>
    <row r="46" spans="1:22" x14ac:dyDescent="0.2">
      <c r="A46" t="s">
        <v>202</v>
      </c>
      <c r="B46" t="s">
        <v>108</v>
      </c>
      <c r="C46" t="s">
        <v>41</v>
      </c>
      <c r="D46" t="s">
        <v>67</v>
      </c>
      <c r="E46" t="s">
        <v>37</v>
      </c>
      <c r="F46" t="s">
        <v>48</v>
      </c>
      <c r="G46" t="s">
        <v>65</v>
      </c>
      <c r="H46" t="s">
        <v>59</v>
      </c>
      <c r="I46">
        <v>0</v>
      </c>
      <c r="J46">
        <v>1</v>
      </c>
      <c r="K46">
        <v>1</v>
      </c>
      <c r="L46">
        <v>0</v>
      </c>
      <c r="M46">
        <v>0</v>
      </c>
      <c r="N46">
        <v>0</v>
      </c>
      <c r="O46">
        <v>1</v>
      </c>
      <c r="P46">
        <v>0</v>
      </c>
      <c r="Q46">
        <v>1</v>
      </c>
      <c r="R46">
        <v>1</v>
      </c>
      <c r="S46">
        <v>0</v>
      </c>
      <c r="T46">
        <v>0</v>
      </c>
      <c r="U46">
        <v>0</v>
      </c>
      <c r="V46">
        <v>0</v>
      </c>
    </row>
    <row r="47" spans="1:22" x14ac:dyDescent="0.2">
      <c r="A47" t="s">
        <v>202</v>
      </c>
      <c r="B47" t="s">
        <v>108</v>
      </c>
      <c r="C47" t="s">
        <v>41</v>
      </c>
      <c r="D47" t="s">
        <v>72</v>
      </c>
      <c r="E47" t="s">
        <v>37</v>
      </c>
      <c r="F47" t="s">
        <v>47</v>
      </c>
      <c r="G47" t="s">
        <v>65</v>
      </c>
      <c r="H47" t="s">
        <v>46</v>
      </c>
      <c r="I47">
        <v>0</v>
      </c>
      <c r="J47">
        <v>1</v>
      </c>
      <c r="K47">
        <v>0</v>
      </c>
      <c r="L47">
        <v>1</v>
      </c>
      <c r="M47">
        <v>1</v>
      </c>
      <c r="N47">
        <v>0</v>
      </c>
      <c r="O47">
        <v>1</v>
      </c>
      <c r="P47">
        <v>0</v>
      </c>
      <c r="Q47">
        <v>1</v>
      </c>
      <c r="R47">
        <v>0</v>
      </c>
      <c r="S47">
        <v>1</v>
      </c>
      <c r="T47">
        <v>1</v>
      </c>
      <c r="U47">
        <v>0</v>
      </c>
      <c r="V47">
        <v>0</v>
      </c>
    </row>
    <row r="48" spans="1:22" x14ac:dyDescent="0.2">
      <c r="A48" t="s">
        <v>202</v>
      </c>
      <c r="B48" t="s">
        <v>108</v>
      </c>
      <c r="C48" t="s">
        <v>41</v>
      </c>
      <c r="D48" t="s">
        <v>61</v>
      </c>
      <c r="E48" t="s">
        <v>37</v>
      </c>
      <c r="F48" t="s">
        <v>60</v>
      </c>
      <c r="G48" t="s">
        <v>48</v>
      </c>
      <c r="H48" t="s">
        <v>65</v>
      </c>
      <c r="I48">
        <v>1</v>
      </c>
      <c r="J48">
        <v>1</v>
      </c>
      <c r="K48">
        <v>1</v>
      </c>
      <c r="L48">
        <v>0</v>
      </c>
      <c r="M48">
        <v>0</v>
      </c>
      <c r="N48">
        <v>0</v>
      </c>
      <c r="O48">
        <v>1</v>
      </c>
      <c r="P48">
        <v>1</v>
      </c>
      <c r="Q48">
        <v>1</v>
      </c>
      <c r="R48">
        <v>1</v>
      </c>
      <c r="S48">
        <v>0</v>
      </c>
      <c r="T48">
        <v>0</v>
      </c>
      <c r="U48">
        <v>0</v>
      </c>
      <c r="V48">
        <v>0</v>
      </c>
    </row>
    <row r="49" spans="1:22" x14ac:dyDescent="0.2">
      <c r="A49" t="s">
        <v>206</v>
      </c>
      <c r="B49" t="s">
        <v>33</v>
      </c>
      <c r="C49" t="s">
        <v>41</v>
      </c>
      <c r="D49" t="s">
        <v>61</v>
      </c>
      <c r="E49" t="s">
        <v>37</v>
      </c>
      <c r="F49" t="s">
        <v>59</v>
      </c>
      <c r="G49" t="s">
        <v>65</v>
      </c>
      <c r="H49" t="s">
        <v>47</v>
      </c>
      <c r="I49">
        <v>0</v>
      </c>
      <c r="J49">
        <v>1</v>
      </c>
      <c r="K49">
        <v>0</v>
      </c>
      <c r="L49">
        <v>1</v>
      </c>
      <c r="M49">
        <v>0</v>
      </c>
      <c r="N49">
        <v>0</v>
      </c>
      <c r="O49">
        <v>1</v>
      </c>
      <c r="P49">
        <v>0</v>
      </c>
      <c r="Q49">
        <v>1</v>
      </c>
      <c r="R49">
        <v>0</v>
      </c>
      <c r="S49">
        <v>1</v>
      </c>
      <c r="T49">
        <v>0</v>
      </c>
      <c r="U49">
        <v>0</v>
      </c>
      <c r="V49">
        <v>0</v>
      </c>
    </row>
    <row r="50" spans="1:22" x14ac:dyDescent="0.2">
      <c r="A50" t="s">
        <v>206</v>
      </c>
      <c r="B50" t="s">
        <v>33</v>
      </c>
      <c r="C50" t="s">
        <v>41</v>
      </c>
      <c r="D50" t="s">
        <v>55</v>
      </c>
      <c r="E50" t="s">
        <v>37</v>
      </c>
      <c r="F50" t="s">
        <v>59</v>
      </c>
      <c r="G50" t="s">
        <v>65</v>
      </c>
      <c r="H50" t="s">
        <v>46</v>
      </c>
      <c r="I50">
        <v>0</v>
      </c>
      <c r="J50">
        <v>1</v>
      </c>
      <c r="K50">
        <v>0</v>
      </c>
      <c r="L50">
        <v>0</v>
      </c>
      <c r="M50">
        <v>1</v>
      </c>
      <c r="N50">
        <v>0</v>
      </c>
      <c r="O50">
        <v>1</v>
      </c>
      <c r="P50">
        <v>0</v>
      </c>
      <c r="Q50">
        <v>1</v>
      </c>
      <c r="R50">
        <v>0</v>
      </c>
      <c r="S50">
        <v>0</v>
      </c>
      <c r="T50">
        <v>1</v>
      </c>
      <c r="U50">
        <v>0</v>
      </c>
      <c r="V50">
        <v>0</v>
      </c>
    </row>
    <row r="51" spans="1:22" x14ac:dyDescent="0.2">
      <c r="A51" t="s">
        <v>206</v>
      </c>
      <c r="B51" t="s">
        <v>33</v>
      </c>
      <c r="C51" t="s">
        <v>41</v>
      </c>
      <c r="D51" t="s">
        <v>42</v>
      </c>
      <c r="E51" t="s">
        <v>37</v>
      </c>
      <c r="F51" t="s">
        <v>46</v>
      </c>
      <c r="G51" t="s">
        <v>65</v>
      </c>
      <c r="H51" t="s">
        <v>59</v>
      </c>
      <c r="I51">
        <v>0</v>
      </c>
      <c r="J51">
        <v>1</v>
      </c>
      <c r="K51">
        <v>0</v>
      </c>
      <c r="L51">
        <v>0</v>
      </c>
      <c r="M51">
        <v>1</v>
      </c>
      <c r="N51">
        <v>0</v>
      </c>
      <c r="O51">
        <v>1</v>
      </c>
      <c r="P51">
        <v>0</v>
      </c>
      <c r="Q51">
        <v>1</v>
      </c>
      <c r="R51">
        <v>0</v>
      </c>
      <c r="S51">
        <v>0</v>
      </c>
      <c r="T51">
        <v>1</v>
      </c>
      <c r="U51">
        <v>0</v>
      </c>
      <c r="V51">
        <v>0</v>
      </c>
    </row>
    <row r="52" spans="1:22" x14ac:dyDescent="0.2">
      <c r="A52" t="s">
        <v>206</v>
      </c>
      <c r="B52" t="s">
        <v>33</v>
      </c>
      <c r="C52" t="s">
        <v>41</v>
      </c>
      <c r="D52" t="s">
        <v>49</v>
      </c>
      <c r="E52" t="s">
        <v>37</v>
      </c>
      <c r="F52" t="s">
        <v>65</v>
      </c>
      <c r="G52" t="s">
        <v>47</v>
      </c>
      <c r="H52" t="s">
        <v>46</v>
      </c>
      <c r="I52">
        <v>0</v>
      </c>
      <c r="J52">
        <v>1</v>
      </c>
      <c r="K52">
        <v>0</v>
      </c>
      <c r="L52">
        <v>1</v>
      </c>
      <c r="M52">
        <v>1</v>
      </c>
      <c r="N52">
        <v>0</v>
      </c>
      <c r="O52">
        <v>1</v>
      </c>
      <c r="P52">
        <v>0</v>
      </c>
      <c r="Q52">
        <v>1</v>
      </c>
      <c r="R52">
        <v>0</v>
      </c>
      <c r="S52">
        <v>1</v>
      </c>
      <c r="T52">
        <v>1</v>
      </c>
      <c r="U52">
        <v>0</v>
      </c>
      <c r="V52">
        <v>0</v>
      </c>
    </row>
    <row r="53" spans="1:22" x14ac:dyDescent="0.2">
      <c r="A53" t="s">
        <v>206</v>
      </c>
      <c r="B53" t="s">
        <v>33</v>
      </c>
      <c r="C53" t="s">
        <v>41</v>
      </c>
      <c r="D53" t="s">
        <v>67</v>
      </c>
      <c r="E53" t="s">
        <v>37</v>
      </c>
      <c r="F53" t="s">
        <v>48</v>
      </c>
      <c r="G53" t="s">
        <v>65</v>
      </c>
      <c r="H53" t="s">
        <v>47</v>
      </c>
      <c r="I53">
        <v>0</v>
      </c>
      <c r="J53">
        <v>1</v>
      </c>
      <c r="K53">
        <v>1</v>
      </c>
      <c r="L53">
        <v>1</v>
      </c>
      <c r="M53">
        <v>0</v>
      </c>
      <c r="N53">
        <v>0</v>
      </c>
      <c r="O53">
        <v>1</v>
      </c>
      <c r="P53">
        <v>0</v>
      </c>
      <c r="Q53">
        <v>1</v>
      </c>
      <c r="R53">
        <v>0</v>
      </c>
      <c r="S53">
        <v>0</v>
      </c>
      <c r="T53">
        <v>0</v>
      </c>
      <c r="U53">
        <v>0</v>
      </c>
      <c r="V53">
        <v>0</v>
      </c>
    </row>
    <row r="54" spans="1:22" x14ac:dyDescent="0.2">
      <c r="A54" t="s">
        <v>207</v>
      </c>
      <c r="B54" t="s">
        <v>33</v>
      </c>
      <c r="C54" t="s">
        <v>41</v>
      </c>
      <c r="D54" t="s">
        <v>55</v>
      </c>
      <c r="E54" t="s">
        <v>37</v>
      </c>
      <c r="F54" t="s">
        <v>46</v>
      </c>
      <c r="G54" t="s">
        <v>59</v>
      </c>
      <c r="H54" t="s">
        <v>65</v>
      </c>
      <c r="I54">
        <v>0</v>
      </c>
      <c r="J54">
        <v>1</v>
      </c>
      <c r="K54">
        <v>0</v>
      </c>
      <c r="L54">
        <v>0</v>
      </c>
      <c r="M54">
        <v>1</v>
      </c>
      <c r="N54">
        <v>0</v>
      </c>
      <c r="O54">
        <v>1</v>
      </c>
      <c r="P54">
        <v>0</v>
      </c>
      <c r="Q54">
        <v>1</v>
      </c>
      <c r="R54">
        <v>0</v>
      </c>
      <c r="S54">
        <v>0</v>
      </c>
      <c r="T54">
        <v>0</v>
      </c>
      <c r="U54">
        <v>0</v>
      </c>
      <c r="V54">
        <v>0</v>
      </c>
    </row>
    <row r="55" spans="1:22" x14ac:dyDescent="0.2">
      <c r="A55" t="s">
        <v>207</v>
      </c>
      <c r="B55" t="s">
        <v>33</v>
      </c>
      <c r="C55" t="s">
        <v>41</v>
      </c>
      <c r="D55" t="s">
        <v>61</v>
      </c>
      <c r="E55" t="s">
        <v>37</v>
      </c>
      <c r="F55" t="s">
        <v>60</v>
      </c>
      <c r="G55" t="s">
        <v>46</v>
      </c>
      <c r="H55" t="s">
        <v>65</v>
      </c>
      <c r="I55">
        <v>1</v>
      </c>
      <c r="J55">
        <v>1</v>
      </c>
      <c r="K55">
        <v>0</v>
      </c>
      <c r="L55">
        <v>0</v>
      </c>
      <c r="M55">
        <v>1</v>
      </c>
      <c r="N55">
        <v>0</v>
      </c>
      <c r="O55">
        <v>1</v>
      </c>
      <c r="P55">
        <v>1</v>
      </c>
      <c r="Q55">
        <v>1</v>
      </c>
      <c r="R55">
        <v>0</v>
      </c>
      <c r="S55">
        <v>0</v>
      </c>
      <c r="T55">
        <v>1</v>
      </c>
      <c r="U55">
        <v>0</v>
      </c>
      <c r="V55">
        <v>0</v>
      </c>
    </row>
    <row r="56" spans="1:22" x14ac:dyDescent="0.2">
      <c r="A56" t="s">
        <v>207</v>
      </c>
      <c r="B56" t="s">
        <v>33</v>
      </c>
      <c r="C56" t="s">
        <v>41</v>
      </c>
      <c r="D56" t="s">
        <v>67</v>
      </c>
      <c r="E56" t="s">
        <v>37</v>
      </c>
      <c r="F56" t="s">
        <v>65</v>
      </c>
      <c r="G56" t="s">
        <v>47</v>
      </c>
      <c r="H56" t="s">
        <v>46</v>
      </c>
      <c r="I56">
        <v>0</v>
      </c>
      <c r="J56">
        <v>1</v>
      </c>
      <c r="K56">
        <v>0</v>
      </c>
      <c r="L56">
        <v>1</v>
      </c>
      <c r="M56">
        <v>1</v>
      </c>
      <c r="N56">
        <v>0</v>
      </c>
      <c r="O56">
        <v>1</v>
      </c>
      <c r="P56">
        <v>0</v>
      </c>
      <c r="Q56">
        <v>1</v>
      </c>
      <c r="R56">
        <v>0</v>
      </c>
      <c r="S56">
        <v>1</v>
      </c>
      <c r="T56">
        <v>1</v>
      </c>
      <c r="U56">
        <v>0</v>
      </c>
      <c r="V56">
        <v>0</v>
      </c>
    </row>
    <row r="57" spans="1:22" x14ac:dyDescent="0.2">
      <c r="A57" t="s">
        <v>207</v>
      </c>
      <c r="B57" t="s">
        <v>33</v>
      </c>
      <c r="C57" t="s">
        <v>41</v>
      </c>
      <c r="D57" t="s">
        <v>49</v>
      </c>
      <c r="E57" t="s">
        <v>37</v>
      </c>
      <c r="F57" t="s">
        <v>47</v>
      </c>
      <c r="G57" t="s">
        <v>60</v>
      </c>
      <c r="H57" t="s">
        <v>65</v>
      </c>
      <c r="I57">
        <v>1</v>
      </c>
      <c r="J57">
        <v>1</v>
      </c>
      <c r="K57">
        <v>0</v>
      </c>
      <c r="L57">
        <v>1</v>
      </c>
      <c r="M57">
        <v>0</v>
      </c>
      <c r="N57">
        <v>0</v>
      </c>
      <c r="O57">
        <v>1</v>
      </c>
      <c r="P57">
        <v>1</v>
      </c>
      <c r="Q57">
        <v>1</v>
      </c>
      <c r="R57">
        <v>0</v>
      </c>
      <c r="S57">
        <v>1</v>
      </c>
      <c r="T57">
        <v>0</v>
      </c>
      <c r="U57">
        <v>0</v>
      </c>
      <c r="V57">
        <v>0</v>
      </c>
    </row>
    <row r="58" spans="1:22" x14ac:dyDescent="0.2">
      <c r="A58" t="s">
        <v>210</v>
      </c>
      <c r="B58" t="s">
        <v>108</v>
      </c>
      <c r="C58" t="s">
        <v>41</v>
      </c>
      <c r="D58" t="s">
        <v>42</v>
      </c>
      <c r="E58" t="s">
        <v>37</v>
      </c>
      <c r="F58" t="s">
        <v>46</v>
      </c>
      <c r="G58" t="s">
        <v>48</v>
      </c>
      <c r="H58" t="s">
        <v>65</v>
      </c>
      <c r="I58">
        <v>0</v>
      </c>
      <c r="J58">
        <v>1</v>
      </c>
      <c r="K58">
        <v>1</v>
      </c>
      <c r="L58">
        <v>0</v>
      </c>
      <c r="M58">
        <v>1</v>
      </c>
      <c r="N58">
        <v>0</v>
      </c>
      <c r="O58">
        <v>1</v>
      </c>
      <c r="P58">
        <v>0</v>
      </c>
      <c r="Q58">
        <v>1</v>
      </c>
      <c r="R58">
        <v>1</v>
      </c>
      <c r="S58">
        <v>0</v>
      </c>
      <c r="T58">
        <v>1</v>
      </c>
      <c r="U58">
        <v>0</v>
      </c>
      <c r="V58">
        <v>0</v>
      </c>
    </row>
    <row r="59" spans="1:22" x14ac:dyDescent="0.2">
      <c r="A59" t="s">
        <v>210</v>
      </c>
      <c r="B59" t="s">
        <v>108</v>
      </c>
      <c r="C59" t="s">
        <v>41</v>
      </c>
      <c r="D59" t="s">
        <v>61</v>
      </c>
      <c r="E59" t="s">
        <v>37</v>
      </c>
      <c r="F59" t="s">
        <v>65</v>
      </c>
      <c r="G59" t="s">
        <v>59</v>
      </c>
      <c r="H59" t="s">
        <v>46</v>
      </c>
      <c r="I59">
        <v>0</v>
      </c>
      <c r="J59">
        <v>1</v>
      </c>
      <c r="K59">
        <v>0</v>
      </c>
      <c r="L59">
        <v>0</v>
      </c>
      <c r="M59">
        <v>1</v>
      </c>
      <c r="N59">
        <v>0</v>
      </c>
      <c r="O59">
        <v>1</v>
      </c>
      <c r="P59">
        <v>0</v>
      </c>
      <c r="Q59">
        <v>1</v>
      </c>
      <c r="R59">
        <v>0</v>
      </c>
      <c r="S59">
        <v>0</v>
      </c>
      <c r="T59">
        <v>1</v>
      </c>
      <c r="U59">
        <v>0</v>
      </c>
      <c r="V59">
        <v>0</v>
      </c>
    </row>
    <row r="60" spans="1:22" x14ac:dyDescent="0.2">
      <c r="A60" t="s">
        <v>210</v>
      </c>
      <c r="B60" t="s">
        <v>108</v>
      </c>
      <c r="C60" t="s">
        <v>41</v>
      </c>
      <c r="D60" t="s">
        <v>67</v>
      </c>
      <c r="E60" t="s">
        <v>37</v>
      </c>
      <c r="F60" t="s">
        <v>65</v>
      </c>
      <c r="G60" t="s">
        <v>48</v>
      </c>
      <c r="H60" t="s">
        <v>47</v>
      </c>
      <c r="I60">
        <v>0</v>
      </c>
      <c r="J60">
        <v>1</v>
      </c>
      <c r="K60">
        <v>1</v>
      </c>
      <c r="L60">
        <v>1</v>
      </c>
      <c r="M60">
        <v>0</v>
      </c>
      <c r="N60">
        <v>0</v>
      </c>
      <c r="O60">
        <v>1</v>
      </c>
      <c r="P60">
        <v>0</v>
      </c>
      <c r="Q60">
        <v>1</v>
      </c>
      <c r="R60">
        <v>1</v>
      </c>
      <c r="S60">
        <v>1</v>
      </c>
      <c r="T60">
        <v>0</v>
      </c>
      <c r="U60">
        <v>0</v>
      </c>
      <c r="V60">
        <v>0</v>
      </c>
    </row>
    <row r="61" spans="1:22" x14ac:dyDescent="0.2">
      <c r="A61" t="s">
        <v>214</v>
      </c>
      <c r="B61" t="s">
        <v>108</v>
      </c>
      <c r="C61" t="s">
        <v>41</v>
      </c>
      <c r="D61" t="s">
        <v>49</v>
      </c>
      <c r="E61" t="s">
        <v>37</v>
      </c>
      <c r="F61" t="s">
        <v>65</v>
      </c>
      <c r="G61" t="s">
        <v>60</v>
      </c>
      <c r="H61" t="s">
        <v>48</v>
      </c>
      <c r="I61">
        <v>1</v>
      </c>
      <c r="J61">
        <v>1</v>
      </c>
      <c r="K61">
        <v>1</v>
      </c>
      <c r="L61">
        <v>0</v>
      </c>
      <c r="M61">
        <v>0</v>
      </c>
      <c r="N61">
        <v>0</v>
      </c>
      <c r="O61">
        <v>1</v>
      </c>
      <c r="P61">
        <v>1</v>
      </c>
      <c r="Q61">
        <v>1</v>
      </c>
      <c r="R61">
        <v>1</v>
      </c>
      <c r="S61">
        <v>0</v>
      </c>
      <c r="T61">
        <v>0</v>
      </c>
      <c r="U61">
        <v>0</v>
      </c>
      <c r="V61">
        <v>0</v>
      </c>
    </row>
    <row r="62" spans="1:22" x14ac:dyDescent="0.2">
      <c r="A62" t="s">
        <v>214</v>
      </c>
      <c r="B62" t="s">
        <v>108</v>
      </c>
      <c r="C62" t="s">
        <v>41</v>
      </c>
      <c r="D62" t="s">
        <v>61</v>
      </c>
      <c r="E62" t="s">
        <v>37</v>
      </c>
      <c r="F62" t="s">
        <v>48</v>
      </c>
      <c r="G62" t="s">
        <v>65</v>
      </c>
      <c r="H62" t="s">
        <v>60</v>
      </c>
      <c r="I62">
        <v>1</v>
      </c>
      <c r="J62">
        <v>1</v>
      </c>
      <c r="K62">
        <v>1</v>
      </c>
      <c r="L62">
        <v>0</v>
      </c>
      <c r="M62">
        <v>0</v>
      </c>
      <c r="N62">
        <v>0</v>
      </c>
      <c r="O62">
        <v>1</v>
      </c>
      <c r="P62">
        <v>1</v>
      </c>
      <c r="Q62">
        <v>1</v>
      </c>
      <c r="R62">
        <v>1</v>
      </c>
      <c r="S62">
        <v>0</v>
      </c>
      <c r="T62">
        <v>0</v>
      </c>
      <c r="U62">
        <v>0</v>
      </c>
      <c r="V62">
        <v>0</v>
      </c>
    </row>
    <row r="63" spans="1:22" x14ac:dyDescent="0.2">
      <c r="A63" t="s">
        <v>214</v>
      </c>
      <c r="B63" t="s">
        <v>108</v>
      </c>
      <c r="C63" t="s">
        <v>41</v>
      </c>
      <c r="D63" t="s">
        <v>67</v>
      </c>
      <c r="E63" t="s">
        <v>37</v>
      </c>
      <c r="F63" t="s">
        <v>46</v>
      </c>
      <c r="G63" t="s">
        <v>47</v>
      </c>
      <c r="H63" t="s">
        <v>65</v>
      </c>
      <c r="I63">
        <v>0</v>
      </c>
      <c r="J63">
        <v>1</v>
      </c>
      <c r="K63">
        <v>0</v>
      </c>
      <c r="L63">
        <v>1</v>
      </c>
      <c r="M63">
        <v>1</v>
      </c>
      <c r="N63">
        <v>0</v>
      </c>
      <c r="O63">
        <v>1</v>
      </c>
      <c r="P63">
        <v>0</v>
      </c>
      <c r="Q63">
        <v>1</v>
      </c>
      <c r="R63">
        <v>0</v>
      </c>
      <c r="S63">
        <v>1</v>
      </c>
      <c r="T63">
        <v>1</v>
      </c>
      <c r="U63">
        <v>0</v>
      </c>
      <c r="V63">
        <v>0</v>
      </c>
    </row>
    <row r="64" spans="1:22" x14ac:dyDescent="0.2">
      <c r="A64" t="s">
        <v>220</v>
      </c>
      <c r="B64" t="s">
        <v>33</v>
      </c>
      <c r="C64" t="s">
        <v>41</v>
      </c>
      <c r="D64" t="s">
        <v>42</v>
      </c>
      <c r="E64" t="s">
        <v>37</v>
      </c>
      <c r="F64" t="s">
        <v>65</v>
      </c>
      <c r="G64" t="s">
        <v>59</v>
      </c>
      <c r="H64" t="s">
        <v>48</v>
      </c>
      <c r="I64">
        <v>0</v>
      </c>
      <c r="J64">
        <v>1</v>
      </c>
      <c r="K64">
        <v>1</v>
      </c>
      <c r="L64">
        <v>0</v>
      </c>
      <c r="M64">
        <v>0</v>
      </c>
      <c r="N64">
        <v>0</v>
      </c>
      <c r="O64">
        <v>1</v>
      </c>
      <c r="P64">
        <v>0</v>
      </c>
      <c r="Q64">
        <v>1</v>
      </c>
      <c r="R64">
        <v>0</v>
      </c>
      <c r="S64">
        <v>0</v>
      </c>
      <c r="T64">
        <v>0</v>
      </c>
      <c r="U64">
        <v>0</v>
      </c>
      <c r="V64">
        <v>0</v>
      </c>
    </row>
    <row r="65" spans="1:22" x14ac:dyDescent="0.2">
      <c r="A65" t="s">
        <v>220</v>
      </c>
      <c r="B65" t="s">
        <v>33</v>
      </c>
      <c r="C65" t="s">
        <v>41</v>
      </c>
      <c r="D65" t="s">
        <v>55</v>
      </c>
      <c r="E65" t="s">
        <v>37</v>
      </c>
      <c r="F65" t="s">
        <v>65</v>
      </c>
      <c r="G65" t="s">
        <v>46</v>
      </c>
      <c r="H65" t="s">
        <v>47</v>
      </c>
      <c r="I65">
        <v>0</v>
      </c>
      <c r="J65">
        <v>1</v>
      </c>
      <c r="K65">
        <v>0</v>
      </c>
      <c r="L65">
        <v>1</v>
      </c>
      <c r="M65">
        <v>1</v>
      </c>
      <c r="N65">
        <v>0</v>
      </c>
      <c r="O65">
        <v>1</v>
      </c>
      <c r="P65">
        <v>0</v>
      </c>
      <c r="Q65">
        <v>1</v>
      </c>
      <c r="R65">
        <v>0</v>
      </c>
      <c r="S65">
        <v>1</v>
      </c>
      <c r="T65">
        <v>0</v>
      </c>
      <c r="U65">
        <v>0</v>
      </c>
      <c r="V65">
        <v>0</v>
      </c>
    </row>
    <row r="66" spans="1:22" x14ac:dyDescent="0.2">
      <c r="A66" t="s">
        <v>220</v>
      </c>
      <c r="B66" t="s">
        <v>33</v>
      </c>
      <c r="C66" t="s">
        <v>41</v>
      </c>
      <c r="D66" t="s">
        <v>67</v>
      </c>
      <c r="E66" t="s">
        <v>37</v>
      </c>
      <c r="F66" t="s">
        <v>65</v>
      </c>
      <c r="G66" t="s">
        <v>47</v>
      </c>
      <c r="H66" t="s">
        <v>48</v>
      </c>
      <c r="I66">
        <v>0</v>
      </c>
      <c r="J66">
        <v>1</v>
      </c>
      <c r="K66">
        <v>1</v>
      </c>
      <c r="L66">
        <v>1</v>
      </c>
      <c r="M66">
        <v>0</v>
      </c>
      <c r="N66">
        <v>0</v>
      </c>
      <c r="O66">
        <v>1</v>
      </c>
      <c r="P66">
        <v>0</v>
      </c>
      <c r="Q66">
        <v>1</v>
      </c>
      <c r="R66">
        <v>0</v>
      </c>
      <c r="S66">
        <v>1</v>
      </c>
      <c r="T66">
        <v>0</v>
      </c>
      <c r="U66">
        <v>0</v>
      </c>
      <c r="V66">
        <v>0</v>
      </c>
    </row>
    <row r="67" spans="1:22" x14ac:dyDescent="0.2">
      <c r="A67" t="s">
        <v>224</v>
      </c>
      <c r="B67" t="s">
        <v>108</v>
      </c>
      <c r="C67" t="s">
        <v>41</v>
      </c>
      <c r="D67" t="s">
        <v>72</v>
      </c>
      <c r="E67" t="s">
        <v>37</v>
      </c>
      <c r="F67" t="s">
        <v>65</v>
      </c>
      <c r="G67" t="s">
        <v>46</v>
      </c>
      <c r="H67" t="s">
        <v>48</v>
      </c>
      <c r="I67">
        <v>0</v>
      </c>
      <c r="J67">
        <v>1</v>
      </c>
      <c r="K67">
        <v>1</v>
      </c>
      <c r="L67">
        <v>0</v>
      </c>
      <c r="M67">
        <v>1</v>
      </c>
      <c r="N67">
        <v>0</v>
      </c>
      <c r="O67">
        <v>1</v>
      </c>
      <c r="P67">
        <v>0</v>
      </c>
      <c r="Q67">
        <v>1</v>
      </c>
      <c r="R67">
        <v>1</v>
      </c>
      <c r="S67">
        <v>0</v>
      </c>
      <c r="T67">
        <v>1</v>
      </c>
      <c r="U67">
        <v>0</v>
      </c>
      <c r="V67">
        <v>0</v>
      </c>
    </row>
    <row r="68" spans="1:22" x14ac:dyDescent="0.2">
      <c r="A68" t="s">
        <v>224</v>
      </c>
      <c r="B68" t="s">
        <v>108</v>
      </c>
      <c r="C68" t="s">
        <v>41</v>
      </c>
      <c r="D68" t="s">
        <v>61</v>
      </c>
      <c r="E68" t="s">
        <v>37</v>
      </c>
      <c r="F68" t="s">
        <v>46</v>
      </c>
      <c r="G68" t="s">
        <v>65</v>
      </c>
      <c r="H68" t="s">
        <v>60</v>
      </c>
      <c r="I68">
        <v>1</v>
      </c>
      <c r="J68">
        <v>1</v>
      </c>
      <c r="K68">
        <v>0</v>
      </c>
      <c r="L68">
        <v>0</v>
      </c>
      <c r="M68">
        <v>1</v>
      </c>
      <c r="N68">
        <v>0</v>
      </c>
      <c r="O68">
        <v>1</v>
      </c>
      <c r="P68">
        <v>1</v>
      </c>
      <c r="Q68">
        <v>1</v>
      </c>
      <c r="R68">
        <v>0</v>
      </c>
      <c r="S68">
        <v>0</v>
      </c>
      <c r="T68">
        <v>1</v>
      </c>
      <c r="U68">
        <v>0</v>
      </c>
      <c r="V68">
        <v>0</v>
      </c>
    </row>
    <row r="69" spans="1:22" x14ac:dyDescent="0.2">
      <c r="A69" t="s">
        <v>224</v>
      </c>
      <c r="B69" t="s">
        <v>108</v>
      </c>
      <c r="C69" t="s">
        <v>41</v>
      </c>
      <c r="D69" t="s">
        <v>42</v>
      </c>
      <c r="E69" t="s">
        <v>37</v>
      </c>
      <c r="F69" t="s">
        <v>65</v>
      </c>
      <c r="G69" t="s">
        <v>60</v>
      </c>
      <c r="H69" t="s">
        <v>48</v>
      </c>
      <c r="I69">
        <v>1</v>
      </c>
      <c r="J69">
        <v>1</v>
      </c>
      <c r="K69">
        <v>1</v>
      </c>
      <c r="L69">
        <v>0</v>
      </c>
      <c r="M69">
        <v>0</v>
      </c>
      <c r="N69">
        <v>0</v>
      </c>
      <c r="O69">
        <v>1</v>
      </c>
      <c r="P69">
        <v>1</v>
      </c>
      <c r="Q69">
        <v>1</v>
      </c>
      <c r="R69">
        <v>1</v>
      </c>
      <c r="S69">
        <v>0</v>
      </c>
      <c r="T69">
        <v>0</v>
      </c>
      <c r="U69">
        <v>0</v>
      </c>
      <c r="V69">
        <v>0</v>
      </c>
    </row>
    <row r="70" spans="1:22" x14ac:dyDescent="0.2">
      <c r="A70" t="s">
        <v>227</v>
      </c>
      <c r="B70" t="s">
        <v>108</v>
      </c>
      <c r="C70" t="s">
        <v>41</v>
      </c>
      <c r="D70" t="s">
        <v>67</v>
      </c>
      <c r="E70" t="s">
        <v>37</v>
      </c>
      <c r="F70" t="s">
        <v>46</v>
      </c>
      <c r="G70" t="s">
        <v>65</v>
      </c>
      <c r="H70" t="s">
        <v>48</v>
      </c>
      <c r="I70">
        <v>0</v>
      </c>
      <c r="J70">
        <v>1</v>
      </c>
      <c r="K70">
        <v>1</v>
      </c>
      <c r="L70">
        <v>0</v>
      </c>
      <c r="M70">
        <v>1</v>
      </c>
      <c r="N70">
        <v>0</v>
      </c>
      <c r="O70">
        <v>1</v>
      </c>
      <c r="P70">
        <v>0</v>
      </c>
      <c r="Q70">
        <v>1</v>
      </c>
      <c r="R70">
        <v>1</v>
      </c>
      <c r="S70">
        <v>0</v>
      </c>
      <c r="T70">
        <v>1</v>
      </c>
      <c r="U70">
        <v>0</v>
      </c>
      <c r="V70">
        <v>0</v>
      </c>
    </row>
    <row r="71" spans="1:22" x14ac:dyDescent="0.2">
      <c r="A71" t="s">
        <v>227</v>
      </c>
      <c r="B71" t="s">
        <v>108</v>
      </c>
      <c r="C71" t="s">
        <v>41</v>
      </c>
      <c r="D71" t="s">
        <v>55</v>
      </c>
      <c r="E71" t="s">
        <v>37</v>
      </c>
      <c r="F71" t="s">
        <v>47</v>
      </c>
      <c r="G71" t="s">
        <v>65</v>
      </c>
      <c r="H71" t="s">
        <v>59</v>
      </c>
      <c r="I71">
        <v>0</v>
      </c>
      <c r="J71">
        <v>1</v>
      </c>
      <c r="K71">
        <v>0</v>
      </c>
      <c r="L71">
        <v>1</v>
      </c>
      <c r="M71">
        <v>0</v>
      </c>
      <c r="N71">
        <v>0</v>
      </c>
      <c r="O71">
        <v>1</v>
      </c>
      <c r="P71">
        <v>0</v>
      </c>
      <c r="Q71">
        <v>1</v>
      </c>
      <c r="R71">
        <v>0</v>
      </c>
      <c r="S71">
        <v>1</v>
      </c>
      <c r="T71">
        <v>0</v>
      </c>
      <c r="U71">
        <v>0</v>
      </c>
      <c r="V71">
        <v>0</v>
      </c>
    </row>
    <row r="72" spans="1:22" x14ac:dyDescent="0.2">
      <c r="A72" t="s">
        <v>227</v>
      </c>
      <c r="B72" t="s">
        <v>108</v>
      </c>
      <c r="C72" t="s">
        <v>41</v>
      </c>
      <c r="D72" t="s">
        <v>42</v>
      </c>
      <c r="E72" t="s">
        <v>37</v>
      </c>
      <c r="F72" t="s">
        <v>60</v>
      </c>
      <c r="G72" t="s">
        <v>65</v>
      </c>
      <c r="H72" t="s">
        <v>48</v>
      </c>
      <c r="I72">
        <v>1</v>
      </c>
      <c r="J72">
        <v>1</v>
      </c>
      <c r="K72">
        <v>1</v>
      </c>
      <c r="L72">
        <v>0</v>
      </c>
      <c r="M72">
        <v>0</v>
      </c>
      <c r="N72">
        <v>0</v>
      </c>
      <c r="O72">
        <v>1</v>
      </c>
      <c r="P72">
        <v>0</v>
      </c>
      <c r="Q72">
        <v>1</v>
      </c>
      <c r="R72">
        <v>0</v>
      </c>
      <c r="S72">
        <v>0</v>
      </c>
      <c r="T72">
        <v>0</v>
      </c>
      <c r="U72">
        <v>0</v>
      </c>
      <c r="V72">
        <v>0</v>
      </c>
    </row>
    <row r="73" spans="1:22" x14ac:dyDescent="0.2">
      <c r="A73" t="s">
        <v>227</v>
      </c>
      <c r="B73" t="s">
        <v>108</v>
      </c>
      <c r="C73" t="s">
        <v>41</v>
      </c>
      <c r="D73" t="s">
        <v>61</v>
      </c>
      <c r="E73" t="s">
        <v>37</v>
      </c>
      <c r="F73" t="s">
        <v>46</v>
      </c>
      <c r="G73" t="s">
        <v>65</v>
      </c>
      <c r="H73" t="s">
        <v>47</v>
      </c>
      <c r="I73">
        <v>0</v>
      </c>
      <c r="J73">
        <v>1</v>
      </c>
      <c r="K73">
        <v>0</v>
      </c>
      <c r="L73">
        <v>1</v>
      </c>
      <c r="M73">
        <v>1</v>
      </c>
      <c r="N73">
        <v>0</v>
      </c>
      <c r="O73">
        <v>1</v>
      </c>
      <c r="P73">
        <v>0</v>
      </c>
      <c r="Q73">
        <v>1</v>
      </c>
      <c r="R73">
        <v>0</v>
      </c>
      <c r="S73">
        <v>0</v>
      </c>
      <c r="T73">
        <v>0</v>
      </c>
      <c r="U73">
        <v>0</v>
      </c>
      <c r="V73">
        <v>0</v>
      </c>
    </row>
    <row r="74" spans="1:22" x14ac:dyDescent="0.2">
      <c r="A74" t="s">
        <v>227</v>
      </c>
      <c r="B74" t="s">
        <v>108</v>
      </c>
      <c r="C74" t="s">
        <v>41</v>
      </c>
      <c r="D74" t="s">
        <v>49</v>
      </c>
      <c r="E74" t="s">
        <v>37</v>
      </c>
      <c r="F74" t="s">
        <v>59</v>
      </c>
      <c r="G74" t="s">
        <v>65</v>
      </c>
      <c r="H74" t="s">
        <v>47</v>
      </c>
      <c r="I74">
        <v>0</v>
      </c>
      <c r="J74">
        <v>1</v>
      </c>
      <c r="K74">
        <v>0</v>
      </c>
      <c r="L74">
        <v>1</v>
      </c>
      <c r="M74">
        <v>0</v>
      </c>
      <c r="N74">
        <v>0</v>
      </c>
      <c r="O74">
        <v>1</v>
      </c>
      <c r="P74">
        <v>0</v>
      </c>
      <c r="Q74">
        <v>1</v>
      </c>
      <c r="R74">
        <v>0</v>
      </c>
      <c r="S74">
        <v>0</v>
      </c>
      <c r="T74">
        <v>0</v>
      </c>
      <c r="U74">
        <v>0</v>
      </c>
      <c r="V74">
        <v>0</v>
      </c>
    </row>
    <row r="75" spans="1:22" x14ac:dyDescent="0.2">
      <c r="A75" t="s">
        <v>231</v>
      </c>
      <c r="B75" t="s">
        <v>108</v>
      </c>
      <c r="C75" t="s">
        <v>41</v>
      </c>
      <c r="D75" t="s">
        <v>49</v>
      </c>
      <c r="E75" t="s">
        <v>37</v>
      </c>
      <c r="F75" t="s">
        <v>59</v>
      </c>
      <c r="G75" t="s">
        <v>60</v>
      </c>
      <c r="H75" t="s">
        <v>65</v>
      </c>
      <c r="I75">
        <v>1</v>
      </c>
      <c r="J75">
        <v>1</v>
      </c>
      <c r="K75">
        <v>0</v>
      </c>
      <c r="L75">
        <v>0</v>
      </c>
      <c r="M75">
        <v>0</v>
      </c>
      <c r="N75">
        <v>0</v>
      </c>
      <c r="O75">
        <v>1</v>
      </c>
      <c r="P75">
        <v>0</v>
      </c>
      <c r="Q75">
        <v>1</v>
      </c>
      <c r="R75">
        <v>0</v>
      </c>
      <c r="S75">
        <v>0</v>
      </c>
      <c r="T75">
        <v>0</v>
      </c>
      <c r="U75">
        <v>0</v>
      </c>
      <c r="V75">
        <v>0</v>
      </c>
    </row>
    <row r="76" spans="1:22" x14ac:dyDescent="0.2">
      <c r="A76" t="s">
        <v>231</v>
      </c>
      <c r="B76" t="s">
        <v>108</v>
      </c>
      <c r="C76" t="s">
        <v>41</v>
      </c>
      <c r="D76" t="s">
        <v>67</v>
      </c>
      <c r="E76" t="s">
        <v>37</v>
      </c>
      <c r="F76" t="s">
        <v>48</v>
      </c>
      <c r="G76" t="s">
        <v>60</v>
      </c>
      <c r="H76" t="s">
        <v>65</v>
      </c>
      <c r="I76">
        <v>1</v>
      </c>
      <c r="J76">
        <v>1</v>
      </c>
      <c r="K76">
        <v>1</v>
      </c>
      <c r="L76">
        <v>0</v>
      </c>
      <c r="M76">
        <v>0</v>
      </c>
      <c r="N76">
        <v>0</v>
      </c>
      <c r="O76">
        <v>1</v>
      </c>
      <c r="P76">
        <v>0</v>
      </c>
      <c r="Q76">
        <v>1</v>
      </c>
      <c r="R76">
        <v>0</v>
      </c>
      <c r="S76">
        <v>0</v>
      </c>
      <c r="T76">
        <v>0</v>
      </c>
      <c r="U76">
        <v>0</v>
      </c>
      <c r="V76">
        <v>0</v>
      </c>
    </row>
    <row r="77" spans="1:22" x14ac:dyDescent="0.2">
      <c r="A77" t="s">
        <v>235</v>
      </c>
      <c r="B77" t="s">
        <v>33</v>
      </c>
      <c r="C77" t="s">
        <v>41</v>
      </c>
      <c r="D77" t="s">
        <v>55</v>
      </c>
      <c r="E77" t="s">
        <v>37</v>
      </c>
      <c r="F77" t="s">
        <v>48</v>
      </c>
      <c r="G77" t="s">
        <v>65</v>
      </c>
      <c r="H77" t="s">
        <v>47</v>
      </c>
      <c r="I77">
        <v>0</v>
      </c>
      <c r="J77">
        <v>1</v>
      </c>
      <c r="K77">
        <v>1</v>
      </c>
      <c r="L77">
        <v>1</v>
      </c>
      <c r="M77">
        <v>0</v>
      </c>
      <c r="N77">
        <v>0</v>
      </c>
      <c r="O77">
        <v>1</v>
      </c>
      <c r="P77">
        <v>0</v>
      </c>
      <c r="Q77">
        <v>1</v>
      </c>
      <c r="R77">
        <v>0</v>
      </c>
      <c r="S77">
        <v>1</v>
      </c>
      <c r="T77">
        <v>0</v>
      </c>
      <c r="U77">
        <v>0</v>
      </c>
      <c r="V77">
        <v>0</v>
      </c>
    </row>
    <row r="78" spans="1:22" x14ac:dyDescent="0.2">
      <c r="A78" t="s">
        <v>235</v>
      </c>
      <c r="B78" t="s">
        <v>33</v>
      </c>
      <c r="C78" t="s">
        <v>41</v>
      </c>
      <c r="D78" t="s">
        <v>61</v>
      </c>
      <c r="E78" t="s">
        <v>37</v>
      </c>
      <c r="F78" t="s">
        <v>46</v>
      </c>
      <c r="G78" t="s">
        <v>65</v>
      </c>
      <c r="H78" t="s">
        <v>47</v>
      </c>
      <c r="I78">
        <v>0</v>
      </c>
      <c r="J78">
        <v>1</v>
      </c>
      <c r="K78">
        <v>0</v>
      </c>
      <c r="L78">
        <v>1</v>
      </c>
      <c r="M78">
        <v>1</v>
      </c>
      <c r="N78">
        <v>0</v>
      </c>
      <c r="O78">
        <v>1</v>
      </c>
      <c r="P78">
        <v>0</v>
      </c>
      <c r="Q78">
        <v>1</v>
      </c>
      <c r="R78">
        <v>0</v>
      </c>
      <c r="S78">
        <v>1</v>
      </c>
      <c r="T78">
        <v>1</v>
      </c>
      <c r="U78">
        <v>0</v>
      </c>
      <c r="V78">
        <v>0</v>
      </c>
    </row>
    <row r="79" spans="1:22" x14ac:dyDescent="0.2">
      <c r="A79" t="s">
        <v>235</v>
      </c>
      <c r="B79" t="s">
        <v>33</v>
      </c>
      <c r="C79" t="s">
        <v>41</v>
      </c>
      <c r="D79" t="s">
        <v>42</v>
      </c>
      <c r="E79" t="s">
        <v>37</v>
      </c>
      <c r="F79" t="s">
        <v>65</v>
      </c>
      <c r="G79" t="s">
        <v>47</v>
      </c>
      <c r="H79" t="s">
        <v>46</v>
      </c>
      <c r="I79">
        <v>0</v>
      </c>
      <c r="J79">
        <v>1</v>
      </c>
      <c r="K79">
        <v>0</v>
      </c>
      <c r="L79">
        <v>1</v>
      </c>
      <c r="M79">
        <v>1</v>
      </c>
      <c r="N79">
        <v>0</v>
      </c>
      <c r="O79">
        <v>1</v>
      </c>
      <c r="P79">
        <v>0</v>
      </c>
      <c r="Q79">
        <v>1</v>
      </c>
      <c r="R79">
        <v>0</v>
      </c>
      <c r="S79">
        <v>1</v>
      </c>
      <c r="T79">
        <v>1</v>
      </c>
      <c r="U79">
        <v>0</v>
      </c>
      <c r="V79">
        <v>0</v>
      </c>
    </row>
    <row r="80" spans="1:22" x14ac:dyDescent="0.2">
      <c r="A80" t="s">
        <v>235</v>
      </c>
      <c r="B80" t="s">
        <v>33</v>
      </c>
      <c r="C80" t="s">
        <v>41</v>
      </c>
      <c r="D80" t="s">
        <v>67</v>
      </c>
      <c r="E80" t="s">
        <v>37</v>
      </c>
      <c r="F80" t="s">
        <v>46</v>
      </c>
      <c r="G80" t="s">
        <v>60</v>
      </c>
      <c r="H80" t="s">
        <v>65</v>
      </c>
      <c r="I80">
        <v>1</v>
      </c>
      <c r="J80">
        <v>1</v>
      </c>
      <c r="K80">
        <v>0</v>
      </c>
      <c r="L80">
        <v>0</v>
      </c>
      <c r="M80">
        <v>1</v>
      </c>
      <c r="N80">
        <v>0</v>
      </c>
      <c r="O80">
        <v>1</v>
      </c>
      <c r="P80">
        <v>0</v>
      </c>
      <c r="Q80">
        <v>1</v>
      </c>
      <c r="R80">
        <v>0</v>
      </c>
      <c r="S80">
        <v>0</v>
      </c>
      <c r="T80">
        <v>0</v>
      </c>
      <c r="U80">
        <v>0</v>
      </c>
      <c r="V80">
        <v>0</v>
      </c>
    </row>
    <row r="81" spans="1:22" x14ac:dyDescent="0.2">
      <c r="A81" t="s">
        <v>238</v>
      </c>
      <c r="B81" t="s">
        <v>108</v>
      </c>
      <c r="C81" t="s">
        <v>41</v>
      </c>
      <c r="D81" t="s">
        <v>72</v>
      </c>
      <c r="E81" t="s">
        <v>37</v>
      </c>
      <c r="F81" t="s">
        <v>48</v>
      </c>
      <c r="G81" t="s">
        <v>47</v>
      </c>
      <c r="H81" t="s">
        <v>65</v>
      </c>
      <c r="I81">
        <v>0</v>
      </c>
      <c r="J81">
        <v>1</v>
      </c>
      <c r="K81">
        <v>1</v>
      </c>
      <c r="L81">
        <v>1</v>
      </c>
      <c r="M81">
        <v>0</v>
      </c>
      <c r="N81">
        <v>0</v>
      </c>
      <c r="O81">
        <v>1</v>
      </c>
      <c r="P81">
        <v>0</v>
      </c>
      <c r="Q81">
        <v>1</v>
      </c>
      <c r="R81">
        <v>1</v>
      </c>
      <c r="S81">
        <v>1</v>
      </c>
      <c r="T81">
        <v>0</v>
      </c>
      <c r="U81">
        <v>0</v>
      </c>
      <c r="V81">
        <v>0</v>
      </c>
    </row>
    <row r="82" spans="1:22" x14ac:dyDescent="0.2">
      <c r="A82" t="s">
        <v>238</v>
      </c>
      <c r="B82" t="s">
        <v>108</v>
      </c>
      <c r="C82" t="s">
        <v>41</v>
      </c>
      <c r="D82" t="s">
        <v>42</v>
      </c>
      <c r="E82" t="s">
        <v>37</v>
      </c>
      <c r="F82" t="s">
        <v>60</v>
      </c>
      <c r="G82" t="s">
        <v>65</v>
      </c>
      <c r="H82" t="s">
        <v>46</v>
      </c>
      <c r="I82">
        <v>1</v>
      </c>
      <c r="J82">
        <v>1</v>
      </c>
      <c r="K82">
        <v>0</v>
      </c>
      <c r="L82">
        <v>0</v>
      </c>
      <c r="M82">
        <v>1</v>
      </c>
      <c r="N82">
        <v>0</v>
      </c>
      <c r="O82">
        <v>1</v>
      </c>
      <c r="P82">
        <v>1</v>
      </c>
      <c r="Q82">
        <v>1</v>
      </c>
      <c r="R82">
        <v>0</v>
      </c>
      <c r="S82">
        <v>0</v>
      </c>
      <c r="T82">
        <v>1</v>
      </c>
      <c r="U82">
        <v>0</v>
      </c>
      <c r="V82">
        <v>0</v>
      </c>
    </row>
    <row r="83" spans="1:22" x14ac:dyDescent="0.2">
      <c r="A83" t="s">
        <v>238</v>
      </c>
      <c r="B83" t="s">
        <v>108</v>
      </c>
      <c r="C83" t="s">
        <v>41</v>
      </c>
      <c r="D83" t="s">
        <v>55</v>
      </c>
      <c r="E83" t="s">
        <v>37</v>
      </c>
      <c r="F83" t="s">
        <v>59</v>
      </c>
      <c r="G83" t="s">
        <v>65</v>
      </c>
      <c r="H83" t="s">
        <v>60</v>
      </c>
      <c r="I83">
        <v>1</v>
      </c>
      <c r="J83">
        <v>1</v>
      </c>
      <c r="K83">
        <v>0</v>
      </c>
      <c r="L83">
        <v>0</v>
      </c>
      <c r="M83">
        <v>0</v>
      </c>
      <c r="N83">
        <v>0</v>
      </c>
      <c r="O83">
        <v>1</v>
      </c>
      <c r="P83">
        <v>1</v>
      </c>
      <c r="Q83">
        <v>1</v>
      </c>
      <c r="R83">
        <v>0</v>
      </c>
      <c r="S83">
        <v>0</v>
      </c>
      <c r="T83">
        <v>0</v>
      </c>
      <c r="U83">
        <v>0</v>
      </c>
      <c r="V83">
        <v>0</v>
      </c>
    </row>
    <row r="84" spans="1:22" x14ac:dyDescent="0.2">
      <c r="A84" t="s">
        <v>241</v>
      </c>
      <c r="B84" t="s">
        <v>33</v>
      </c>
      <c r="C84" t="s">
        <v>41</v>
      </c>
      <c r="D84" t="s">
        <v>67</v>
      </c>
      <c r="E84" t="s">
        <v>37</v>
      </c>
      <c r="F84" t="s">
        <v>59</v>
      </c>
      <c r="G84" t="s">
        <v>48</v>
      </c>
      <c r="H84" t="s">
        <v>65</v>
      </c>
      <c r="I84">
        <v>0</v>
      </c>
      <c r="J84">
        <v>1</v>
      </c>
      <c r="K84">
        <v>1</v>
      </c>
      <c r="L84">
        <v>0</v>
      </c>
      <c r="M84">
        <v>0</v>
      </c>
      <c r="N84">
        <v>0</v>
      </c>
      <c r="O84">
        <v>1</v>
      </c>
      <c r="P84">
        <v>0</v>
      </c>
      <c r="Q84">
        <v>1</v>
      </c>
      <c r="R84">
        <v>0</v>
      </c>
      <c r="S84">
        <v>0</v>
      </c>
      <c r="T84">
        <v>0</v>
      </c>
      <c r="U84">
        <v>0</v>
      </c>
      <c r="V84">
        <v>0</v>
      </c>
    </row>
    <row r="85" spans="1:22" x14ac:dyDescent="0.2">
      <c r="A85" t="s">
        <v>241</v>
      </c>
      <c r="B85" t="s">
        <v>33</v>
      </c>
      <c r="C85" t="s">
        <v>41</v>
      </c>
      <c r="D85" t="s">
        <v>55</v>
      </c>
      <c r="E85" t="s">
        <v>37</v>
      </c>
      <c r="F85" t="s">
        <v>48</v>
      </c>
      <c r="G85" t="s">
        <v>46</v>
      </c>
      <c r="H85" t="s">
        <v>65</v>
      </c>
      <c r="I85">
        <v>0</v>
      </c>
      <c r="J85">
        <v>1</v>
      </c>
      <c r="K85">
        <v>1</v>
      </c>
      <c r="L85">
        <v>0</v>
      </c>
      <c r="M85">
        <v>1</v>
      </c>
      <c r="N85">
        <v>0</v>
      </c>
      <c r="O85">
        <v>1</v>
      </c>
      <c r="P85">
        <v>0</v>
      </c>
      <c r="Q85">
        <v>1</v>
      </c>
      <c r="R85">
        <v>0</v>
      </c>
      <c r="S85">
        <v>0</v>
      </c>
      <c r="T85">
        <v>0</v>
      </c>
      <c r="U85">
        <v>0</v>
      </c>
      <c r="V85">
        <v>0</v>
      </c>
    </row>
    <row r="86" spans="1:22" x14ac:dyDescent="0.2">
      <c r="A86" t="s">
        <v>249</v>
      </c>
      <c r="B86" t="s">
        <v>33</v>
      </c>
      <c r="C86" t="s">
        <v>41</v>
      </c>
      <c r="D86" t="s">
        <v>61</v>
      </c>
      <c r="E86" t="s">
        <v>37</v>
      </c>
      <c r="F86" t="s">
        <v>46</v>
      </c>
      <c r="G86" t="s">
        <v>65</v>
      </c>
      <c r="H86" t="s">
        <v>60</v>
      </c>
      <c r="I86">
        <v>1</v>
      </c>
      <c r="J86">
        <v>1</v>
      </c>
      <c r="K86">
        <v>0</v>
      </c>
      <c r="L86">
        <v>0</v>
      </c>
      <c r="M86">
        <v>1</v>
      </c>
      <c r="N86">
        <v>0</v>
      </c>
      <c r="O86">
        <v>1</v>
      </c>
      <c r="P86">
        <v>0</v>
      </c>
      <c r="Q86">
        <v>1</v>
      </c>
      <c r="R86">
        <v>0</v>
      </c>
      <c r="S86">
        <v>0</v>
      </c>
      <c r="T86">
        <v>0</v>
      </c>
      <c r="U86">
        <v>0</v>
      </c>
      <c r="V86">
        <v>0</v>
      </c>
    </row>
    <row r="87" spans="1:22" x14ac:dyDescent="0.2">
      <c r="A87" t="s">
        <v>249</v>
      </c>
      <c r="B87" t="s">
        <v>33</v>
      </c>
      <c r="C87" t="s">
        <v>41</v>
      </c>
      <c r="D87" t="s">
        <v>72</v>
      </c>
      <c r="E87" t="s">
        <v>37</v>
      </c>
      <c r="F87" t="s">
        <v>47</v>
      </c>
      <c r="G87" t="s">
        <v>65</v>
      </c>
      <c r="H87" t="s">
        <v>46</v>
      </c>
      <c r="I87">
        <v>0</v>
      </c>
      <c r="J87">
        <v>1</v>
      </c>
      <c r="K87">
        <v>0</v>
      </c>
      <c r="L87">
        <v>1</v>
      </c>
      <c r="M87">
        <v>1</v>
      </c>
      <c r="N87">
        <v>0</v>
      </c>
      <c r="O87">
        <v>1</v>
      </c>
      <c r="P87">
        <v>0</v>
      </c>
      <c r="Q87">
        <v>1</v>
      </c>
      <c r="R87">
        <v>0</v>
      </c>
      <c r="S87">
        <v>0</v>
      </c>
      <c r="T87">
        <v>0</v>
      </c>
      <c r="U87">
        <v>0</v>
      </c>
      <c r="V87">
        <v>0</v>
      </c>
    </row>
    <row r="88" spans="1:22" x14ac:dyDescent="0.2">
      <c r="A88" t="s">
        <v>254</v>
      </c>
      <c r="B88" t="s">
        <v>108</v>
      </c>
      <c r="C88" t="s">
        <v>41</v>
      </c>
      <c r="D88" t="s">
        <v>67</v>
      </c>
      <c r="E88" t="s">
        <v>37</v>
      </c>
      <c r="F88" t="s">
        <v>48</v>
      </c>
      <c r="G88" t="s">
        <v>47</v>
      </c>
      <c r="H88" t="s">
        <v>65</v>
      </c>
      <c r="I88">
        <v>0</v>
      </c>
      <c r="J88">
        <v>1</v>
      </c>
      <c r="K88">
        <v>1</v>
      </c>
      <c r="L88">
        <v>1</v>
      </c>
      <c r="M88">
        <v>0</v>
      </c>
      <c r="N88">
        <v>0</v>
      </c>
      <c r="O88">
        <v>1</v>
      </c>
      <c r="P88">
        <v>0</v>
      </c>
      <c r="Q88">
        <v>1</v>
      </c>
      <c r="R88">
        <v>0</v>
      </c>
      <c r="S88">
        <v>1</v>
      </c>
      <c r="T88">
        <v>0</v>
      </c>
      <c r="U88">
        <v>0</v>
      </c>
      <c r="V88">
        <v>0</v>
      </c>
    </row>
    <row r="89" spans="1:22" x14ac:dyDescent="0.2">
      <c r="A89" t="s">
        <v>254</v>
      </c>
      <c r="B89" t="s">
        <v>108</v>
      </c>
      <c r="C89" t="s">
        <v>41</v>
      </c>
      <c r="D89" t="s">
        <v>42</v>
      </c>
      <c r="E89" t="s">
        <v>37</v>
      </c>
      <c r="F89" t="s">
        <v>46</v>
      </c>
      <c r="G89" t="s">
        <v>48</v>
      </c>
      <c r="H89" t="s">
        <v>65</v>
      </c>
      <c r="I89">
        <v>0</v>
      </c>
      <c r="J89">
        <v>1</v>
      </c>
      <c r="K89">
        <v>1</v>
      </c>
      <c r="L89">
        <v>0</v>
      </c>
      <c r="M89">
        <v>1</v>
      </c>
      <c r="N89">
        <v>0</v>
      </c>
      <c r="O89">
        <v>1</v>
      </c>
      <c r="P89">
        <v>0</v>
      </c>
      <c r="Q89">
        <v>1</v>
      </c>
      <c r="R89">
        <v>0</v>
      </c>
      <c r="S89">
        <v>0</v>
      </c>
      <c r="T89">
        <v>0</v>
      </c>
      <c r="U89">
        <v>0</v>
      </c>
      <c r="V89">
        <v>0</v>
      </c>
    </row>
    <row r="90" spans="1:22" x14ac:dyDescent="0.2">
      <c r="A90" t="s">
        <v>257</v>
      </c>
      <c r="B90" t="s">
        <v>108</v>
      </c>
      <c r="C90" t="s">
        <v>41</v>
      </c>
      <c r="D90" t="s">
        <v>49</v>
      </c>
      <c r="E90" t="s">
        <v>37</v>
      </c>
      <c r="F90" t="s">
        <v>47</v>
      </c>
      <c r="G90" t="s">
        <v>60</v>
      </c>
      <c r="H90" t="s">
        <v>65</v>
      </c>
      <c r="I90">
        <v>1</v>
      </c>
      <c r="J90">
        <v>1</v>
      </c>
      <c r="K90">
        <v>0</v>
      </c>
      <c r="L90">
        <v>1</v>
      </c>
      <c r="M90">
        <v>0</v>
      </c>
      <c r="N90">
        <v>0</v>
      </c>
      <c r="O90">
        <v>1</v>
      </c>
      <c r="P90">
        <v>0</v>
      </c>
      <c r="Q90">
        <v>1</v>
      </c>
      <c r="R90">
        <v>0</v>
      </c>
      <c r="S90">
        <v>0</v>
      </c>
      <c r="T90">
        <v>0</v>
      </c>
      <c r="U90">
        <v>0</v>
      </c>
      <c r="V90">
        <v>0</v>
      </c>
    </row>
    <row r="91" spans="1:22" x14ac:dyDescent="0.2">
      <c r="A91" t="s">
        <v>257</v>
      </c>
      <c r="B91" t="s">
        <v>108</v>
      </c>
      <c r="C91" t="s">
        <v>41</v>
      </c>
      <c r="D91" t="s">
        <v>67</v>
      </c>
      <c r="E91" t="s">
        <v>37</v>
      </c>
      <c r="F91" t="s">
        <v>65</v>
      </c>
      <c r="G91" t="s">
        <v>59</v>
      </c>
      <c r="H91" t="s">
        <v>47</v>
      </c>
      <c r="I91">
        <v>0</v>
      </c>
      <c r="J91">
        <v>1</v>
      </c>
      <c r="K91">
        <v>0</v>
      </c>
      <c r="L91">
        <v>1</v>
      </c>
      <c r="M91">
        <v>0</v>
      </c>
      <c r="N91">
        <v>0</v>
      </c>
      <c r="O91">
        <v>1</v>
      </c>
      <c r="P91">
        <v>0</v>
      </c>
      <c r="Q91">
        <v>1</v>
      </c>
      <c r="R91">
        <v>0</v>
      </c>
      <c r="S91">
        <v>0</v>
      </c>
      <c r="T91">
        <v>0</v>
      </c>
      <c r="U91">
        <v>0</v>
      </c>
      <c r="V91">
        <v>0</v>
      </c>
    </row>
    <row r="92" spans="1:22" x14ac:dyDescent="0.2">
      <c r="A92" t="s">
        <v>261</v>
      </c>
      <c r="B92" t="s">
        <v>108</v>
      </c>
      <c r="C92" t="s">
        <v>41</v>
      </c>
      <c r="D92" t="s">
        <v>49</v>
      </c>
      <c r="E92" t="s">
        <v>37</v>
      </c>
      <c r="F92" t="s">
        <v>47</v>
      </c>
      <c r="G92" t="s">
        <v>65</v>
      </c>
      <c r="H92" t="s">
        <v>46</v>
      </c>
      <c r="I92">
        <v>0</v>
      </c>
      <c r="J92">
        <v>1</v>
      </c>
      <c r="K92">
        <v>0</v>
      </c>
      <c r="L92">
        <v>1</v>
      </c>
      <c r="M92">
        <v>1</v>
      </c>
      <c r="N92">
        <v>0</v>
      </c>
      <c r="O92">
        <v>1</v>
      </c>
      <c r="P92">
        <v>0</v>
      </c>
      <c r="Q92">
        <v>1</v>
      </c>
      <c r="R92">
        <v>0</v>
      </c>
      <c r="S92">
        <v>0</v>
      </c>
      <c r="T92">
        <v>0</v>
      </c>
      <c r="U92">
        <v>0</v>
      </c>
      <c r="V92">
        <v>0</v>
      </c>
    </row>
    <row r="93" spans="1:22" x14ac:dyDescent="0.2">
      <c r="A93" t="s">
        <v>261</v>
      </c>
      <c r="B93" t="s">
        <v>108</v>
      </c>
      <c r="C93" t="s">
        <v>41</v>
      </c>
      <c r="D93" t="s">
        <v>61</v>
      </c>
      <c r="E93" t="s">
        <v>37</v>
      </c>
      <c r="F93" t="s">
        <v>48</v>
      </c>
      <c r="G93" t="s">
        <v>46</v>
      </c>
      <c r="H93" t="s">
        <v>65</v>
      </c>
      <c r="I93">
        <v>0</v>
      </c>
      <c r="J93">
        <v>1</v>
      </c>
      <c r="K93">
        <v>1</v>
      </c>
      <c r="L93">
        <v>0</v>
      </c>
      <c r="M93">
        <v>1</v>
      </c>
      <c r="N93">
        <v>0</v>
      </c>
      <c r="O93">
        <v>1</v>
      </c>
      <c r="P93">
        <v>0</v>
      </c>
      <c r="Q93">
        <v>1</v>
      </c>
      <c r="R93">
        <v>0</v>
      </c>
      <c r="S93">
        <v>0</v>
      </c>
      <c r="T93">
        <v>0</v>
      </c>
      <c r="U93">
        <v>0</v>
      </c>
      <c r="V93">
        <v>0</v>
      </c>
    </row>
    <row r="94" spans="1:22" x14ac:dyDescent="0.2">
      <c r="A94" t="s">
        <v>261</v>
      </c>
      <c r="B94" t="s">
        <v>108</v>
      </c>
      <c r="C94" t="s">
        <v>41</v>
      </c>
      <c r="D94" t="s">
        <v>42</v>
      </c>
      <c r="E94" t="s">
        <v>37</v>
      </c>
      <c r="F94" t="s">
        <v>65</v>
      </c>
      <c r="G94" t="s">
        <v>47</v>
      </c>
      <c r="H94" t="s">
        <v>48</v>
      </c>
      <c r="I94">
        <v>0</v>
      </c>
      <c r="J94">
        <v>1</v>
      </c>
      <c r="K94">
        <v>1</v>
      </c>
      <c r="L94">
        <v>1</v>
      </c>
      <c r="M94">
        <v>0</v>
      </c>
      <c r="N94">
        <v>0</v>
      </c>
      <c r="O94">
        <v>1</v>
      </c>
      <c r="P94">
        <v>0</v>
      </c>
      <c r="Q94">
        <v>1</v>
      </c>
      <c r="R94">
        <v>0</v>
      </c>
      <c r="S94">
        <v>0</v>
      </c>
      <c r="T94">
        <v>0</v>
      </c>
      <c r="U94">
        <v>0</v>
      </c>
      <c r="V94">
        <v>0</v>
      </c>
    </row>
    <row r="95" spans="1:22" x14ac:dyDescent="0.2">
      <c r="A95" t="s">
        <v>264</v>
      </c>
      <c r="B95" t="s">
        <v>108</v>
      </c>
      <c r="C95" t="s">
        <v>41</v>
      </c>
      <c r="D95" t="s">
        <v>49</v>
      </c>
      <c r="E95" t="s">
        <v>37</v>
      </c>
      <c r="F95" t="s">
        <v>65</v>
      </c>
      <c r="G95" t="s">
        <v>46</v>
      </c>
      <c r="H95" t="s">
        <v>48</v>
      </c>
      <c r="I95">
        <v>0</v>
      </c>
      <c r="J95">
        <v>1</v>
      </c>
      <c r="K95">
        <v>1</v>
      </c>
      <c r="L95">
        <v>0</v>
      </c>
      <c r="M95">
        <v>1</v>
      </c>
      <c r="N95">
        <v>0</v>
      </c>
      <c r="O95">
        <v>1</v>
      </c>
      <c r="P95">
        <v>0</v>
      </c>
      <c r="Q95">
        <v>1</v>
      </c>
      <c r="R95">
        <v>0</v>
      </c>
      <c r="S95">
        <v>0</v>
      </c>
      <c r="T95">
        <v>0</v>
      </c>
      <c r="U95">
        <v>0</v>
      </c>
      <c r="V95">
        <v>0</v>
      </c>
    </row>
    <row r="96" spans="1:22" x14ac:dyDescent="0.2">
      <c r="A96" t="s">
        <v>264</v>
      </c>
      <c r="B96" t="s">
        <v>108</v>
      </c>
      <c r="C96" t="s">
        <v>41</v>
      </c>
      <c r="D96" t="s">
        <v>42</v>
      </c>
      <c r="E96" t="s">
        <v>37</v>
      </c>
      <c r="F96" t="s">
        <v>48</v>
      </c>
      <c r="G96" t="s">
        <v>59</v>
      </c>
      <c r="H96" t="s">
        <v>65</v>
      </c>
      <c r="I96">
        <v>0</v>
      </c>
      <c r="J96">
        <v>1</v>
      </c>
      <c r="K96">
        <v>1</v>
      </c>
      <c r="L96">
        <v>0</v>
      </c>
      <c r="M96">
        <v>0</v>
      </c>
      <c r="N96">
        <v>0</v>
      </c>
      <c r="O96">
        <v>1</v>
      </c>
      <c r="P96">
        <v>0</v>
      </c>
      <c r="Q96">
        <v>1</v>
      </c>
      <c r="R96">
        <v>1</v>
      </c>
      <c r="S96">
        <v>0</v>
      </c>
      <c r="T96">
        <v>0</v>
      </c>
      <c r="U96">
        <v>0</v>
      </c>
      <c r="V96">
        <v>0</v>
      </c>
    </row>
    <row r="97" spans="1:22" x14ac:dyDescent="0.2">
      <c r="A97" t="s">
        <v>264</v>
      </c>
      <c r="B97" t="s">
        <v>108</v>
      </c>
      <c r="C97" t="s">
        <v>41</v>
      </c>
      <c r="D97" t="s">
        <v>61</v>
      </c>
      <c r="E97" t="s">
        <v>37</v>
      </c>
      <c r="F97" t="s">
        <v>65</v>
      </c>
      <c r="G97" t="s">
        <v>59</v>
      </c>
      <c r="H97" t="s">
        <v>46</v>
      </c>
      <c r="I97">
        <v>0</v>
      </c>
      <c r="J97">
        <v>1</v>
      </c>
      <c r="K97">
        <v>0</v>
      </c>
      <c r="L97">
        <v>0</v>
      </c>
      <c r="M97">
        <v>1</v>
      </c>
      <c r="N97">
        <v>0</v>
      </c>
      <c r="O97">
        <v>1</v>
      </c>
      <c r="P97">
        <v>0</v>
      </c>
      <c r="Q97">
        <v>1</v>
      </c>
      <c r="R97">
        <v>0</v>
      </c>
      <c r="S97">
        <v>0</v>
      </c>
      <c r="T97">
        <v>1</v>
      </c>
      <c r="U97">
        <v>0</v>
      </c>
      <c r="V97">
        <v>0</v>
      </c>
    </row>
    <row r="98" spans="1:22" x14ac:dyDescent="0.2">
      <c r="A98" t="s">
        <v>271</v>
      </c>
      <c r="B98" t="s">
        <v>33</v>
      </c>
      <c r="C98" t="s">
        <v>41</v>
      </c>
      <c r="D98" t="s">
        <v>49</v>
      </c>
      <c r="E98" t="s">
        <v>37</v>
      </c>
      <c r="F98" t="s">
        <v>65</v>
      </c>
      <c r="G98" t="s">
        <v>47</v>
      </c>
      <c r="H98" t="s">
        <v>46</v>
      </c>
      <c r="I98">
        <v>0</v>
      </c>
      <c r="J98">
        <v>1</v>
      </c>
      <c r="K98">
        <v>0</v>
      </c>
      <c r="L98">
        <v>1</v>
      </c>
      <c r="M98">
        <v>1</v>
      </c>
      <c r="N98">
        <v>0</v>
      </c>
      <c r="O98">
        <v>1</v>
      </c>
      <c r="P98">
        <v>0</v>
      </c>
      <c r="Q98">
        <v>1</v>
      </c>
      <c r="R98">
        <v>0</v>
      </c>
      <c r="S98">
        <v>1</v>
      </c>
      <c r="T98">
        <v>1</v>
      </c>
      <c r="U98">
        <v>0</v>
      </c>
      <c r="V98">
        <v>0</v>
      </c>
    </row>
    <row r="99" spans="1:22" x14ac:dyDescent="0.2">
      <c r="A99" t="s">
        <v>271</v>
      </c>
      <c r="B99" t="s">
        <v>33</v>
      </c>
      <c r="C99" t="s">
        <v>41</v>
      </c>
      <c r="D99" t="s">
        <v>67</v>
      </c>
      <c r="E99" t="s">
        <v>37</v>
      </c>
      <c r="F99" t="s">
        <v>59</v>
      </c>
      <c r="G99" t="s">
        <v>65</v>
      </c>
      <c r="H99" t="s">
        <v>46</v>
      </c>
      <c r="I99">
        <v>0</v>
      </c>
      <c r="J99">
        <v>1</v>
      </c>
      <c r="K99">
        <v>0</v>
      </c>
      <c r="L99">
        <v>0</v>
      </c>
      <c r="M99">
        <v>1</v>
      </c>
      <c r="N99">
        <v>0</v>
      </c>
      <c r="O99">
        <v>1</v>
      </c>
      <c r="P99">
        <v>0</v>
      </c>
      <c r="Q99">
        <v>1</v>
      </c>
      <c r="R99">
        <v>0</v>
      </c>
      <c r="S99">
        <v>0</v>
      </c>
      <c r="T99">
        <v>1</v>
      </c>
      <c r="U99">
        <v>0</v>
      </c>
      <c r="V99">
        <v>0</v>
      </c>
    </row>
    <row r="100" spans="1:22" x14ac:dyDescent="0.2">
      <c r="A100" t="s">
        <v>271</v>
      </c>
      <c r="B100" t="s">
        <v>33</v>
      </c>
      <c r="C100" t="s">
        <v>41</v>
      </c>
      <c r="D100" t="s">
        <v>42</v>
      </c>
      <c r="E100" t="s">
        <v>37</v>
      </c>
      <c r="F100" t="s">
        <v>48</v>
      </c>
      <c r="G100" t="s">
        <v>47</v>
      </c>
      <c r="H100" t="s">
        <v>65</v>
      </c>
      <c r="I100">
        <v>0</v>
      </c>
      <c r="J100">
        <v>1</v>
      </c>
      <c r="K100">
        <v>1</v>
      </c>
      <c r="L100">
        <v>1</v>
      </c>
      <c r="M100">
        <v>0</v>
      </c>
      <c r="N100">
        <v>0</v>
      </c>
      <c r="O100">
        <v>1</v>
      </c>
      <c r="P100">
        <v>0</v>
      </c>
      <c r="Q100">
        <v>1</v>
      </c>
      <c r="R100">
        <v>0</v>
      </c>
      <c r="S100">
        <v>1</v>
      </c>
      <c r="T100">
        <v>0</v>
      </c>
      <c r="U100">
        <v>0</v>
      </c>
      <c r="V100">
        <v>0</v>
      </c>
    </row>
    <row r="101" spans="1:22" x14ac:dyDescent="0.2">
      <c r="A101" t="s">
        <v>271</v>
      </c>
      <c r="B101" t="s">
        <v>33</v>
      </c>
      <c r="C101" t="s">
        <v>41</v>
      </c>
      <c r="D101" t="s">
        <v>61</v>
      </c>
      <c r="E101" t="s">
        <v>37</v>
      </c>
      <c r="F101" t="s">
        <v>46</v>
      </c>
      <c r="G101" t="s">
        <v>65</v>
      </c>
      <c r="H101" t="s">
        <v>48</v>
      </c>
      <c r="I101">
        <v>0</v>
      </c>
      <c r="J101">
        <v>1</v>
      </c>
      <c r="K101">
        <v>1</v>
      </c>
      <c r="L101">
        <v>0</v>
      </c>
      <c r="M101">
        <v>1</v>
      </c>
      <c r="N101">
        <v>0</v>
      </c>
      <c r="O101">
        <v>1</v>
      </c>
      <c r="P101">
        <v>0</v>
      </c>
      <c r="Q101">
        <v>1</v>
      </c>
      <c r="R101">
        <v>1</v>
      </c>
      <c r="S101">
        <v>0</v>
      </c>
      <c r="T101">
        <v>1</v>
      </c>
      <c r="U101">
        <v>0</v>
      </c>
      <c r="V101">
        <v>0</v>
      </c>
    </row>
    <row r="102" spans="1:22" x14ac:dyDescent="0.2">
      <c r="A102" t="s">
        <v>274</v>
      </c>
      <c r="B102" t="s">
        <v>108</v>
      </c>
      <c r="C102" t="s">
        <v>41</v>
      </c>
      <c r="D102" t="s">
        <v>42</v>
      </c>
      <c r="E102" t="s">
        <v>37</v>
      </c>
      <c r="F102" t="s">
        <v>59</v>
      </c>
      <c r="G102" t="s">
        <v>65</v>
      </c>
      <c r="H102" t="s">
        <v>47</v>
      </c>
      <c r="I102">
        <v>0</v>
      </c>
      <c r="J102">
        <v>1</v>
      </c>
      <c r="K102">
        <v>0</v>
      </c>
      <c r="L102">
        <v>1</v>
      </c>
      <c r="M102">
        <v>0</v>
      </c>
      <c r="N102">
        <v>0</v>
      </c>
      <c r="O102">
        <v>1</v>
      </c>
      <c r="P102">
        <v>0</v>
      </c>
      <c r="Q102">
        <v>1</v>
      </c>
      <c r="R102">
        <v>0</v>
      </c>
      <c r="S102">
        <v>0</v>
      </c>
      <c r="T102">
        <v>0</v>
      </c>
      <c r="U102">
        <v>0</v>
      </c>
      <c r="V102">
        <v>0</v>
      </c>
    </row>
    <row r="103" spans="1:22" x14ac:dyDescent="0.2">
      <c r="A103" t="s">
        <v>274</v>
      </c>
      <c r="B103" t="s">
        <v>108</v>
      </c>
      <c r="C103" t="s">
        <v>41</v>
      </c>
      <c r="D103" t="s">
        <v>67</v>
      </c>
      <c r="E103" t="s">
        <v>37</v>
      </c>
      <c r="F103" t="s">
        <v>60</v>
      </c>
      <c r="G103" t="s">
        <v>46</v>
      </c>
      <c r="H103" t="s">
        <v>65</v>
      </c>
      <c r="I103">
        <v>1</v>
      </c>
      <c r="J103">
        <v>1</v>
      </c>
      <c r="K103">
        <v>0</v>
      </c>
      <c r="L103">
        <v>0</v>
      </c>
      <c r="M103">
        <v>1</v>
      </c>
      <c r="N103">
        <v>0</v>
      </c>
      <c r="O103">
        <v>1</v>
      </c>
      <c r="P103">
        <v>1</v>
      </c>
      <c r="Q103">
        <v>1</v>
      </c>
      <c r="R103">
        <v>0</v>
      </c>
      <c r="S103">
        <v>0</v>
      </c>
      <c r="T103">
        <v>0</v>
      </c>
      <c r="U103">
        <v>0</v>
      </c>
      <c r="V103">
        <v>0</v>
      </c>
    </row>
    <row r="104" spans="1:22" x14ac:dyDescent="0.2">
      <c r="A104" t="s">
        <v>278</v>
      </c>
      <c r="B104" t="s">
        <v>108</v>
      </c>
      <c r="C104" t="s">
        <v>41</v>
      </c>
      <c r="D104" t="s">
        <v>42</v>
      </c>
      <c r="E104" t="s">
        <v>37</v>
      </c>
      <c r="F104" t="s">
        <v>65</v>
      </c>
      <c r="G104" t="s">
        <v>46</v>
      </c>
      <c r="H104" t="s">
        <v>47</v>
      </c>
      <c r="I104">
        <v>0</v>
      </c>
      <c r="J104">
        <v>1</v>
      </c>
      <c r="K104">
        <v>0</v>
      </c>
      <c r="L104">
        <v>1</v>
      </c>
      <c r="M104">
        <v>1</v>
      </c>
      <c r="N104">
        <v>0</v>
      </c>
      <c r="O104">
        <v>1</v>
      </c>
      <c r="P104">
        <v>0</v>
      </c>
      <c r="Q104">
        <v>1</v>
      </c>
      <c r="R104">
        <v>0</v>
      </c>
      <c r="S104">
        <v>0</v>
      </c>
      <c r="T104">
        <v>0</v>
      </c>
      <c r="U104">
        <v>0</v>
      </c>
      <c r="V104">
        <v>0</v>
      </c>
    </row>
    <row r="105" spans="1:22" x14ac:dyDescent="0.2">
      <c r="A105" t="s">
        <v>278</v>
      </c>
      <c r="B105" t="s">
        <v>108</v>
      </c>
      <c r="C105" t="s">
        <v>41</v>
      </c>
      <c r="D105" t="s">
        <v>61</v>
      </c>
      <c r="E105" t="s">
        <v>37</v>
      </c>
      <c r="F105" t="s">
        <v>65</v>
      </c>
      <c r="G105" t="s">
        <v>47</v>
      </c>
      <c r="H105" t="s">
        <v>46</v>
      </c>
      <c r="I105">
        <v>0</v>
      </c>
      <c r="J105">
        <v>1</v>
      </c>
      <c r="K105">
        <v>0</v>
      </c>
      <c r="L105">
        <v>1</v>
      </c>
      <c r="M105">
        <v>1</v>
      </c>
      <c r="N105">
        <v>0</v>
      </c>
      <c r="O105">
        <v>1</v>
      </c>
      <c r="P105">
        <v>0</v>
      </c>
      <c r="Q105">
        <v>1</v>
      </c>
      <c r="R105">
        <v>0</v>
      </c>
      <c r="S105">
        <v>0</v>
      </c>
      <c r="T105">
        <v>0</v>
      </c>
      <c r="U105">
        <v>0</v>
      </c>
      <c r="V105">
        <v>0</v>
      </c>
    </row>
    <row r="106" spans="1:22" x14ac:dyDescent="0.2">
      <c r="A106" t="s">
        <v>282</v>
      </c>
      <c r="B106" t="s">
        <v>108</v>
      </c>
      <c r="C106" t="s">
        <v>41</v>
      </c>
      <c r="D106" t="s">
        <v>67</v>
      </c>
      <c r="E106" t="s">
        <v>37</v>
      </c>
      <c r="F106" t="s">
        <v>48</v>
      </c>
      <c r="G106" t="s">
        <v>59</v>
      </c>
      <c r="H106" t="s">
        <v>65</v>
      </c>
      <c r="I106">
        <v>0</v>
      </c>
      <c r="J106">
        <v>1</v>
      </c>
      <c r="K106">
        <v>1</v>
      </c>
      <c r="L106">
        <v>0</v>
      </c>
      <c r="M106">
        <v>0</v>
      </c>
      <c r="N106">
        <v>0</v>
      </c>
      <c r="O106">
        <v>1</v>
      </c>
      <c r="P106">
        <v>0</v>
      </c>
      <c r="Q106">
        <v>1</v>
      </c>
      <c r="R106">
        <v>0</v>
      </c>
      <c r="S106">
        <v>0</v>
      </c>
      <c r="T106">
        <v>0</v>
      </c>
      <c r="U106">
        <v>0</v>
      </c>
      <c r="V106">
        <v>0</v>
      </c>
    </row>
    <row r="107" spans="1:22" x14ac:dyDescent="0.2">
      <c r="A107" t="s">
        <v>282</v>
      </c>
      <c r="B107" t="s">
        <v>108</v>
      </c>
      <c r="C107" t="s">
        <v>41</v>
      </c>
      <c r="D107" t="s">
        <v>61</v>
      </c>
      <c r="E107" t="s">
        <v>37</v>
      </c>
      <c r="F107" t="s">
        <v>46</v>
      </c>
      <c r="G107" t="s">
        <v>65</v>
      </c>
      <c r="H107" t="s">
        <v>48</v>
      </c>
      <c r="I107">
        <v>0</v>
      </c>
      <c r="J107">
        <v>1</v>
      </c>
      <c r="K107">
        <v>1</v>
      </c>
      <c r="L107">
        <v>0</v>
      </c>
      <c r="M107">
        <v>1</v>
      </c>
      <c r="N107">
        <v>0</v>
      </c>
      <c r="O107">
        <v>1</v>
      </c>
      <c r="P107">
        <v>0</v>
      </c>
      <c r="Q107">
        <v>1</v>
      </c>
      <c r="R107">
        <v>0</v>
      </c>
      <c r="S107">
        <v>0</v>
      </c>
      <c r="T107">
        <v>0</v>
      </c>
      <c r="U107">
        <v>0</v>
      </c>
      <c r="V107">
        <v>0</v>
      </c>
    </row>
    <row r="108" spans="1:22" x14ac:dyDescent="0.2">
      <c r="A108" t="s">
        <v>282</v>
      </c>
      <c r="B108" t="s">
        <v>108</v>
      </c>
      <c r="C108" t="s">
        <v>41</v>
      </c>
      <c r="D108" t="s">
        <v>49</v>
      </c>
      <c r="E108" t="s">
        <v>37</v>
      </c>
      <c r="F108" t="s">
        <v>65</v>
      </c>
      <c r="G108" t="s">
        <v>48</v>
      </c>
      <c r="H108" t="s">
        <v>59</v>
      </c>
      <c r="I108">
        <v>0</v>
      </c>
      <c r="J108">
        <v>1</v>
      </c>
      <c r="K108">
        <v>1</v>
      </c>
      <c r="L108">
        <v>0</v>
      </c>
      <c r="M108">
        <v>0</v>
      </c>
      <c r="N108">
        <v>0</v>
      </c>
      <c r="O108">
        <v>1</v>
      </c>
      <c r="P108">
        <v>0</v>
      </c>
      <c r="Q108">
        <v>1</v>
      </c>
      <c r="R108">
        <v>0</v>
      </c>
      <c r="S108">
        <v>0</v>
      </c>
      <c r="T108">
        <v>0</v>
      </c>
      <c r="U108">
        <v>0</v>
      </c>
      <c r="V108">
        <v>0</v>
      </c>
    </row>
    <row r="109" spans="1:22" x14ac:dyDescent="0.2">
      <c r="A109" t="s">
        <v>282</v>
      </c>
      <c r="B109" t="s">
        <v>108</v>
      </c>
      <c r="C109" t="s">
        <v>41</v>
      </c>
      <c r="D109" t="s">
        <v>42</v>
      </c>
      <c r="E109" t="s">
        <v>37</v>
      </c>
      <c r="F109" t="s">
        <v>59</v>
      </c>
      <c r="G109" t="s">
        <v>65</v>
      </c>
      <c r="H109" t="s">
        <v>46</v>
      </c>
      <c r="I109">
        <v>0</v>
      </c>
      <c r="J109">
        <v>1</v>
      </c>
      <c r="K109">
        <v>0</v>
      </c>
      <c r="L109">
        <v>0</v>
      </c>
      <c r="M109">
        <v>1</v>
      </c>
      <c r="N109">
        <v>0</v>
      </c>
      <c r="O109">
        <v>1</v>
      </c>
      <c r="P109">
        <v>0</v>
      </c>
      <c r="Q109">
        <v>1</v>
      </c>
      <c r="R109">
        <v>0</v>
      </c>
      <c r="S109">
        <v>0</v>
      </c>
      <c r="T109">
        <v>0</v>
      </c>
      <c r="U109">
        <v>0</v>
      </c>
      <c r="V109">
        <v>0</v>
      </c>
    </row>
    <row r="110" spans="1:22" x14ac:dyDescent="0.2">
      <c r="A110" t="s">
        <v>285</v>
      </c>
      <c r="B110" t="s">
        <v>188</v>
      </c>
      <c r="C110" t="s">
        <v>41</v>
      </c>
      <c r="D110" t="s">
        <v>42</v>
      </c>
      <c r="E110" t="s">
        <v>37</v>
      </c>
      <c r="F110" t="s">
        <v>48</v>
      </c>
      <c r="G110" t="s">
        <v>59</v>
      </c>
      <c r="H110" t="s">
        <v>65</v>
      </c>
      <c r="I110">
        <v>0</v>
      </c>
      <c r="J110">
        <v>1</v>
      </c>
      <c r="K110">
        <v>1</v>
      </c>
      <c r="L110">
        <v>0</v>
      </c>
      <c r="M110">
        <v>0</v>
      </c>
      <c r="N110">
        <v>0</v>
      </c>
      <c r="O110">
        <v>1</v>
      </c>
      <c r="P110">
        <v>0</v>
      </c>
      <c r="Q110">
        <v>1</v>
      </c>
      <c r="R110">
        <v>0</v>
      </c>
      <c r="S110">
        <v>0</v>
      </c>
      <c r="T110">
        <v>0</v>
      </c>
      <c r="U110">
        <v>0</v>
      </c>
      <c r="V110">
        <v>0</v>
      </c>
    </row>
    <row r="111" spans="1:22" x14ac:dyDescent="0.2">
      <c r="A111" t="s">
        <v>285</v>
      </c>
      <c r="B111" t="s">
        <v>188</v>
      </c>
      <c r="C111" t="s">
        <v>41</v>
      </c>
      <c r="D111" t="s">
        <v>61</v>
      </c>
      <c r="E111" t="s">
        <v>37</v>
      </c>
      <c r="F111" t="s">
        <v>65</v>
      </c>
      <c r="G111" t="s">
        <v>48</v>
      </c>
      <c r="H111" t="s">
        <v>59</v>
      </c>
      <c r="I111">
        <v>0</v>
      </c>
      <c r="J111">
        <v>1</v>
      </c>
      <c r="K111">
        <v>1</v>
      </c>
      <c r="L111">
        <v>0</v>
      </c>
      <c r="M111">
        <v>0</v>
      </c>
      <c r="N111">
        <v>0</v>
      </c>
      <c r="O111">
        <v>1</v>
      </c>
      <c r="P111">
        <v>0</v>
      </c>
      <c r="Q111">
        <v>1</v>
      </c>
      <c r="R111">
        <v>0</v>
      </c>
      <c r="S111">
        <v>0</v>
      </c>
      <c r="T111">
        <v>0</v>
      </c>
      <c r="U111">
        <v>0</v>
      </c>
      <c r="V111">
        <v>0</v>
      </c>
    </row>
    <row r="112" spans="1:22" x14ac:dyDescent="0.2">
      <c r="A112" t="s">
        <v>288</v>
      </c>
      <c r="B112" t="s">
        <v>33</v>
      </c>
      <c r="C112" t="s">
        <v>41</v>
      </c>
      <c r="D112" t="s">
        <v>61</v>
      </c>
      <c r="E112" t="s">
        <v>37</v>
      </c>
      <c r="F112" t="s">
        <v>65</v>
      </c>
      <c r="G112" t="s">
        <v>46</v>
      </c>
      <c r="H112" t="s">
        <v>48</v>
      </c>
      <c r="I112">
        <v>0</v>
      </c>
      <c r="J112">
        <v>1</v>
      </c>
      <c r="K112">
        <v>1</v>
      </c>
      <c r="L112">
        <v>0</v>
      </c>
      <c r="M112">
        <v>1</v>
      </c>
      <c r="N112">
        <v>0</v>
      </c>
      <c r="O112">
        <v>1</v>
      </c>
      <c r="P112">
        <v>0</v>
      </c>
      <c r="Q112">
        <v>1</v>
      </c>
      <c r="R112">
        <v>0</v>
      </c>
      <c r="S112">
        <v>0</v>
      </c>
      <c r="T112">
        <v>0</v>
      </c>
      <c r="U112">
        <v>0</v>
      </c>
      <c r="V112">
        <v>1</v>
      </c>
    </row>
    <row r="113" spans="1:22" x14ac:dyDescent="0.2">
      <c r="A113" t="s">
        <v>288</v>
      </c>
      <c r="B113" t="s">
        <v>33</v>
      </c>
      <c r="C113" t="s">
        <v>41</v>
      </c>
      <c r="D113" t="s">
        <v>49</v>
      </c>
      <c r="E113" t="s">
        <v>37</v>
      </c>
      <c r="F113" t="s">
        <v>65</v>
      </c>
      <c r="G113" t="s">
        <v>47</v>
      </c>
      <c r="H113" t="s">
        <v>48</v>
      </c>
      <c r="I113">
        <v>0</v>
      </c>
      <c r="J113">
        <v>1</v>
      </c>
      <c r="K113">
        <v>1</v>
      </c>
      <c r="L113">
        <v>1</v>
      </c>
      <c r="M113">
        <v>0</v>
      </c>
      <c r="N113">
        <v>0</v>
      </c>
      <c r="O113">
        <v>1</v>
      </c>
      <c r="P113">
        <v>0</v>
      </c>
      <c r="Q113">
        <v>1</v>
      </c>
      <c r="R113">
        <v>0</v>
      </c>
      <c r="S113">
        <v>1</v>
      </c>
      <c r="T113">
        <v>0</v>
      </c>
      <c r="U113">
        <v>0</v>
      </c>
      <c r="V113">
        <v>0</v>
      </c>
    </row>
    <row r="114" spans="1:22" x14ac:dyDescent="0.2">
      <c r="A114" t="s">
        <v>292</v>
      </c>
      <c r="B114" t="s">
        <v>108</v>
      </c>
      <c r="C114" t="s">
        <v>41</v>
      </c>
      <c r="D114" t="s">
        <v>49</v>
      </c>
      <c r="E114" t="s">
        <v>37</v>
      </c>
      <c r="F114" t="s">
        <v>59</v>
      </c>
      <c r="G114" t="s">
        <v>65</v>
      </c>
      <c r="H114" t="s">
        <v>47</v>
      </c>
      <c r="I114">
        <v>0</v>
      </c>
      <c r="J114">
        <v>1</v>
      </c>
      <c r="K114">
        <v>0</v>
      </c>
      <c r="L114">
        <v>1</v>
      </c>
      <c r="M114">
        <v>0</v>
      </c>
      <c r="N114">
        <v>0</v>
      </c>
      <c r="O114">
        <v>1</v>
      </c>
      <c r="P114">
        <v>0</v>
      </c>
      <c r="Q114">
        <v>1</v>
      </c>
      <c r="R114">
        <v>0</v>
      </c>
      <c r="S114">
        <v>1</v>
      </c>
      <c r="T114">
        <v>0</v>
      </c>
      <c r="U114">
        <v>0</v>
      </c>
      <c r="V114">
        <v>0</v>
      </c>
    </row>
    <row r="115" spans="1:22" x14ac:dyDescent="0.2">
      <c r="A115" t="s">
        <v>292</v>
      </c>
      <c r="B115" t="s">
        <v>108</v>
      </c>
      <c r="C115" t="s">
        <v>41</v>
      </c>
      <c r="D115" t="s">
        <v>42</v>
      </c>
      <c r="E115" t="s">
        <v>37</v>
      </c>
      <c r="F115" t="s">
        <v>48</v>
      </c>
      <c r="G115" t="s">
        <v>59</v>
      </c>
      <c r="H115" t="s">
        <v>65</v>
      </c>
      <c r="I115">
        <v>0</v>
      </c>
      <c r="J115">
        <v>1</v>
      </c>
      <c r="K115">
        <v>1</v>
      </c>
      <c r="L115">
        <v>0</v>
      </c>
      <c r="M115">
        <v>0</v>
      </c>
      <c r="N115">
        <v>0</v>
      </c>
      <c r="O115">
        <v>1</v>
      </c>
      <c r="P115">
        <v>0</v>
      </c>
      <c r="Q115">
        <v>1</v>
      </c>
      <c r="R115">
        <v>1</v>
      </c>
      <c r="S115">
        <v>0</v>
      </c>
      <c r="T115">
        <v>0</v>
      </c>
      <c r="U115">
        <v>0</v>
      </c>
      <c r="V115">
        <v>0</v>
      </c>
    </row>
    <row r="116" spans="1:22" x14ac:dyDescent="0.2">
      <c r="A116" t="s">
        <v>292</v>
      </c>
      <c r="B116" t="s">
        <v>108</v>
      </c>
      <c r="C116" t="s">
        <v>41</v>
      </c>
      <c r="D116" t="s">
        <v>67</v>
      </c>
      <c r="E116" t="s">
        <v>37</v>
      </c>
      <c r="F116" t="s">
        <v>65</v>
      </c>
      <c r="G116" t="s">
        <v>59</v>
      </c>
      <c r="H116" t="s">
        <v>47</v>
      </c>
      <c r="I116">
        <v>0</v>
      </c>
      <c r="J116">
        <v>1</v>
      </c>
      <c r="K116">
        <v>0</v>
      </c>
      <c r="L116">
        <v>1</v>
      </c>
      <c r="M116">
        <v>0</v>
      </c>
      <c r="N116">
        <v>0</v>
      </c>
      <c r="O116">
        <v>1</v>
      </c>
      <c r="P116">
        <v>0</v>
      </c>
      <c r="Q116">
        <v>1</v>
      </c>
      <c r="R116">
        <v>0</v>
      </c>
      <c r="S116">
        <v>1</v>
      </c>
      <c r="T116">
        <v>0</v>
      </c>
      <c r="U116">
        <v>0</v>
      </c>
      <c r="V116">
        <v>0</v>
      </c>
    </row>
    <row r="117" spans="1:22" x14ac:dyDescent="0.2">
      <c r="A117" t="s">
        <v>292</v>
      </c>
      <c r="B117" t="s">
        <v>108</v>
      </c>
      <c r="C117" t="s">
        <v>41</v>
      </c>
      <c r="D117" t="s">
        <v>72</v>
      </c>
      <c r="E117" t="s">
        <v>37</v>
      </c>
      <c r="F117" t="s">
        <v>48</v>
      </c>
      <c r="G117" t="s">
        <v>46</v>
      </c>
      <c r="H117" t="s">
        <v>65</v>
      </c>
      <c r="I117">
        <v>0</v>
      </c>
      <c r="J117">
        <v>1</v>
      </c>
      <c r="K117">
        <v>1</v>
      </c>
      <c r="L117">
        <v>0</v>
      </c>
      <c r="M117">
        <v>1</v>
      </c>
      <c r="N117">
        <v>0</v>
      </c>
      <c r="O117">
        <v>1</v>
      </c>
      <c r="P117">
        <v>0</v>
      </c>
      <c r="Q117">
        <v>1</v>
      </c>
      <c r="R117">
        <v>1</v>
      </c>
      <c r="S117">
        <v>0</v>
      </c>
      <c r="T117">
        <v>1</v>
      </c>
      <c r="U117">
        <v>0</v>
      </c>
      <c r="V117">
        <v>0</v>
      </c>
    </row>
    <row r="118" spans="1:22" x14ac:dyDescent="0.2">
      <c r="A118" t="s">
        <v>292</v>
      </c>
      <c r="B118" t="s">
        <v>108</v>
      </c>
      <c r="C118" t="s">
        <v>41</v>
      </c>
      <c r="D118" t="s">
        <v>55</v>
      </c>
      <c r="E118" t="s">
        <v>37</v>
      </c>
      <c r="F118" t="s">
        <v>48</v>
      </c>
      <c r="G118" t="s">
        <v>65</v>
      </c>
      <c r="H118" t="s">
        <v>60</v>
      </c>
      <c r="I118">
        <v>1</v>
      </c>
      <c r="J118">
        <v>1</v>
      </c>
      <c r="K118">
        <v>1</v>
      </c>
      <c r="L118">
        <v>0</v>
      </c>
      <c r="M118">
        <v>0</v>
      </c>
      <c r="N118">
        <v>0</v>
      </c>
      <c r="O118">
        <v>1</v>
      </c>
      <c r="P118">
        <v>1</v>
      </c>
      <c r="Q118">
        <v>1</v>
      </c>
      <c r="R118">
        <v>1</v>
      </c>
      <c r="S118">
        <v>0</v>
      </c>
      <c r="T118">
        <v>0</v>
      </c>
      <c r="U118">
        <v>0</v>
      </c>
      <c r="V118">
        <v>0</v>
      </c>
    </row>
    <row r="119" spans="1:22" x14ac:dyDescent="0.2">
      <c r="A119" t="s">
        <v>295</v>
      </c>
      <c r="B119" t="s">
        <v>33</v>
      </c>
      <c r="C119" t="s">
        <v>41</v>
      </c>
      <c r="D119" t="s">
        <v>67</v>
      </c>
      <c r="E119" t="s">
        <v>37</v>
      </c>
      <c r="F119" t="s">
        <v>65</v>
      </c>
      <c r="G119" t="s">
        <v>47</v>
      </c>
      <c r="H119" t="s">
        <v>60</v>
      </c>
      <c r="I119">
        <v>1</v>
      </c>
      <c r="J119">
        <v>1</v>
      </c>
      <c r="K119">
        <v>0</v>
      </c>
      <c r="L119">
        <v>1</v>
      </c>
      <c r="M119">
        <v>0</v>
      </c>
      <c r="N119">
        <v>0</v>
      </c>
      <c r="O119">
        <v>1</v>
      </c>
      <c r="P119">
        <v>0</v>
      </c>
      <c r="Q119">
        <v>1</v>
      </c>
      <c r="R119">
        <v>0</v>
      </c>
      <c r="S119">
        <v>0</v>
      </c>
      <c r="T119">
        <v>0</v>
      </c>
      <c r="U119">
        <v>0</v>
      </c>
      <c r="V119">
        <v>0</v>
      </c>
    </row>
    <row r="120" spans="1:22" x14ac:dyDescent="0.2">
      <c r="A120" t="s">
        <v>295</v>
      </c>
      <c r="B120" t="s">
        <v>33</v>
      </c>
      <c r="C120" t="s">
        <v>41</v>
      </c>
      <c r="D120" t="s">
        <v>55</v>
      </c>
      <c r="E120" t="s">
        <v>37</v>
      </c>
      <c r="F120" t="s">
        <v>48</v>
      </c>
      <c r="G120" t="s">
        <v>65</v>
      </c>
      <c r="H120" t="s">
        <v>59</v>
      </c>
      <c r="I120">
        <v>0</v>
      </c>
      <c r="J120">
        <v>1</v>
      </c>
      <c r="K120">
        <v>1</v>
      </c>
      <c r="L120">
        <v>0</v>
      </c>
      <c r="M120">
        <v>0</v>
      </c>
      <c r="N120">
        <v>0</v>
      </c>
      <c r="O120">
        <v>1</v>
      </c>
      <c r="P120">
        <v>0</v>
      </c>
      <c r="Q120">
        <v>1</v>
      </c>
      <c r="R120">
        <v>0</v>
      </c>
      <c r="S120">
        <v>0</v>
      </c>
      <c r="T120">
        <v>0</v>
      </c>
      <c r="U120">
        <v>0</v>
      </c>
      <c r="V120">
        <v>0</v>
      </c>
    </row>
    <row r="121" spans="1:22" x14ac:dyDescent="0.2">
      <c r="A121" t="s">
        <v>295</v>
      </c>
      <c r="B121" t="s">
        <v>33</v>
      </c>
      <c r="C121" t="s">
        <v>41</v>
      </c>
      <c r="D121" t="s">
        <v>42</v>
      </c>
      <c r="E121" t="s">
        <v>37</v>
      </c>
      <c r="F121" t="s">
        <v>59</v>
      </c>
      <c r="G121" t="s">
        <v>47</v>
      </c>
      <c r="H121" t="s">
        <v>65</v>
      </c>
      <c r="I121">
        <v>0</v>
      </c>
      <c r="J121">
        <v>1</v>
      </c>
      <c r="K121">
        <v>0</v>
      </c>
      <c r="L121">
        <v>1</v>
      </c>
      <c r="M121">
        <v>0</v>
      </c>
      <c r="N121">
        <v>0</v>
      </c>
      <c r="O121">
        <v>1</v>
      </c>
      <c r="P121">
        <v>0</v>
      </c>
      <c r="Q121">
        <v>1</v>
      </c>
      <c r="R121">
        <v>0</v>
      </c>
      <c r="S121">
        <v>1</v>
      </c>
      <c r="T121">
        <v>0</v>
      </c>
      <c r="U121">
        <v>0</v>
      </c>
      <c r="V121">
        <v>0</v>
      </c>
    </row>
    <row r="122" spans="1:22" x14ac:dyDescent="0.2">
      <c r="A122" t="s">
        <v>298</v>
      </c>
      <c r="B122" t="s">
        <v>108</v>
      </c>
      <c r="C122" t="s">
        <v>41</v>
      </c>
      <c r="D122" t="s">
        <v>55</v>
      </c>
      <c r="E122" t="s">
        <v>37</v>
      </c>
      <c r="F122" t="s">
        <v>46</v>
      </c>
      <c r="G122" t="s">
        <v>59</v>
      </c>
      <c r="H122" t="s">
        <v>65</v>
      </c>
      <c r="I122">
        <v>0</v>
      </c>
      <c r="J122">
        <v>1</v>
      </c>
      <c r="K122">
        <v>0</v>
      </c>
      <c r="L122">
        <v>0</v>
      </c>
      <c r="M122">
        <v>1</v>
      </c>
      <c r="N122">
        <v>0</v>
      </c>
      <c r="O122">
        <v>1</v>
      </c>
      <c r="P122">
        <v>0</v>
      </c>
      <c r="Q122">
        <v>1</v>
      </c>
      <c r="R122">
        <v>0</v>
      </c>
      <c r="S122">
        <v>0</v>
      </c>
      <c r="T122">
        <v>0</v>
      </c>
      <c r="U122">
        <v>0</v>
      </c>
      <c r="V122">
        <v>0</v>
      </c>
    </row>
    <row r="123" spans="1:22" x14ac:dyDescent="0.2">
      <c r="A123" t="s">
        <v>298</v>
      </c>
      <c r="B123" t="s">
        <v>108</v>
      </c>
      <c r="C123" t="s">
        <v>41</v>
      </c>
      <c r="D123" t="s">
        <v>67</v>
      </c>
      <c r="E123" t="s">
        <v>37</v>
      </c>
      <c r="F123" t="s">
        <v>46</v>
      </c>
      <c r="G123" t="s">
        <v>59</v>
      </c>
      <c r="H123" t="s">
        <v>65</v>
      </c>
      <c r="I123">
        <v>0</v>
      </c>
      <c r="J123">
        <v>1</v>
      </c>
      <c r="K123">
        <v>0</v>
      </c>
      <c r="L123">
        <v>0</v>
      </c>
      <c r="M123">
        <v>1</v>
      </c>
      <c r="N123">
        <v>0</v>
      </c>
      <c r="O123">
        <v>1</v>
      </c>
      <c r="P123">
        <v>0</v>
      </c>
      <c r="Q123">
        <v>1</v>
      </c>
      <c r="R123">
        <v>0</v>
      </c>
      <c r="S123">
        <v>0</v>
      </c>
      <c r="T123">
        <v>0</v>
      </c>
      <c r="U123">
        <v>0</v>
      </c>
      <c r="V123">
        <v>0</v>
      </c>
    </row>
    <row r="124" spans="1:22" x14ac:dyDescent="0.2">
      <c r="A124" t="s">
        <v>298</v>
      </c>
      <c r="B124" t="s">
        <v>108</v>
      </c>
      <c r="C124" t="s">
        <v>41</v>
      </c>
      <c r="D124" t="s">
        <v>61</v>
      </c>
      <c r="E124" t="s">
        <v>37</v>
      </c>
      <c r="F124" t="s">
        <v>59</v>
      </c>
      <c r="G124" t="s">
        <v>65</v>
      </c>
      <c r="H124" t="s">
        <v>47</v>
      </c>
      <c r="I124">
        <v>0</v>
      </c>
      <c r="J124">
        <v>1</v>
      </c>
      <c r="K124">
        <v>0</v>
      </c>
      <c r="L124">
        <v>1</v>
      </c>
      <c r="M124">
        <v>0</v>
      </c>
      <c r="N124">
        <v>0</v>
      </c>
      <c r="O124">
        <v>1</v>
      </c>
      <c r="P124">
        <v>0</v>
      </c>
      <c r="Q124">
        <v>1</v>
      </c>
      <c r="R124">
        <v>0</v>
      </c>
      <c r="S124">
        <v>1</v>
      </c>
      <c r="T124">
        <v>0</v>
      </c>
      <c r="U124">
        <v>0</v>
      </c>
      <c r="V124">
        <v>0</v>
      </c>
    </row>
    <row r="125" spans="1:22" x14ac:dyDescent="0.2">
      <c r="A125" t="s">
        <v>302</v>
      </c>
      <c r="B125" t="s">
        <v>33</v>
      </c>
      <c r="C125" t="s">
        <v>41</v>
      </c>
      <c r="D125" t="s">
        <v>55</v>
      </c>
      <c r="E125" t="s">
        <v>37</v>
      </c>
      <c r="F125" t="s">
        <v>59</v>
      </c>
      <c r="G125" t="s">
        <v>65</v>
      </c>
      <c r="H125" t="s">
        <v>48</v>
      </c>
      <c r="I125">
        <v>0</v>
      </c>
      <c r="J125">
        <v>1</v>
      </c>
      <c r="K125">
        <v>1</v>
      </c>
      <c r="L125">
        <v>0</v>
      </c>
      <c r="M125">
        <v>0</v>
      </c>
      <c r="N125">
        <v>0</v>
      </c>
      <c r="O125">
        <v>1</v>
      </c>
      <c r="P125">
        <v>0</v>
      </c>
      <c r="Q125">
        <v>1</v>
      </c>
      <c r="R125">
        <v>0</v>
      </c>
      <c r="S125">
        <v>0</v>
      </c>
      <c r="T125">
        <v>0</v>
      </c>
      <c r="U125">
        <v>0</v>
      </c>
      <c r="V125">
        <v>0</v>
      </c>
    </row>
    <row r="126" spans="1:22" x14ac:dyDescent="0.2">
      <c r="A126" t="s">
        <v>305</v>
      </c>
      <c r="B126" t="s">
        <v>108</v>
      </c>
      <c r="C126" t="s">
        <v>41</v>
      </c>
      <c r="D126" t="s">
        <v>49</v>
      </c>
      <c r="E126" t="s">
        <v>37</v>
      </c>
      <c r="F126" t="s">
        <v>59</v>
      </c>
      <c r="G126" t="s">
        <v>65</v>
      </c>
      <c r="H126" t="s">
        <v>60</v>
      </c>
      <c r="I126">
        <v>1</v>
      </c>
      <c r="J126">
        <v>1</v>
      </c>
      <c r="K126">
        <v>0</v>
      </c>
      <c r="L126">
        <v>0</v>
      </c>
      <c r="M126">
        <v>0</v>
      </c>
      <c r="N126">
        <v>0</v>
      </c>
      <c r="O126">
        <v>1</v>
      </c>
      <c r="P126">
        <v>0</v>
      </c>
      <c r="Q126">
        <v>1</v>
      </c>
      <c r="R126">
        <v>0</v>
      </c>
      <c r="S126">
        <v>0</v>
      </c>
      <c r="T126">
        <v>0</v>
      </c>
      <c r="U126">
        <v>0</v>
      </c>
      <c r="V126">
        <v>0</v>
      </c>
    </row>
    <row r="127" spans="1:22" x14ac:dyDescent="0.2">
      <c r="A127" t="s">
        <v>305</v>
      </c>
      <c r="B127" t="s">
        <v>108</v>
      </c>
      <c r="C127" t="s">
        <v>41</v>
      </c>
      <c r="D127" t="s">
        <v>55</v>
      </c>
      <c r="E127" t="s">
        <v>37</v>
      </c>
      <c r="F127" t="s">
        <v>60</v>
      </c>
      <c r="G127" t="s">
        <v>65</v>
      </c>
      <c r="H127" t="s">
        <v>48</v>
      </c>
      <c r="I127">
        <v>1</v>
      </c>
      <c r="J127">
        <v>1</v>
      </c>
      <c r="K127">
        <v>1</v>
      </c>
      <c r="L127">
        <v>0</v>
      </c>
      <c r="M127">
        <v>0</v>
      </c>
      <c r="N127">
        <v>0</v>
      </c>
      <c r="O127">
        <v>1</v>
      </c>
      <c r="P127">
        <v>0</v>
      </c>
      <c r="Q127">
        <v>1</v>
      </c>
      <c r="R127">
        <v>0</v>
      </c>
      <c r="S127">
        <v>0</v>
      </c>
      <c r="T127">
        <v>0</v>
      </c>
      <c r="U127">
        <v>0</v>
      </c>
      <c r="V127">
        <v>0</v>
      </c>
    </row>
    <row r="128" spans="1:22" x14ac:dyDescent="0.2">
      <c r="A128" t="s">
        <v>305</v>
      </c>
      <c r="B128" t="s">
        <v>108</v>
      </c>
      <c r="C128" t="s">
        <v>41</v>
      </c>
      <c r="D128" t="s">
        <v>72</v>
      </c>
      <c r="E128" t="s">
        <v>37</v>
      </c>
      <c r="F128" t="s">
        <v>47</v>
      </c>
      <c r="G128" t="s">
        <v>48</v>
      </c>
      <c r="H128" t="s">
        <v>65</v>
      </c>
      <c r="I128">
        <v>0</v>
      </c>
      <c r="J128">
        <v>1</v>
      </c>
      <c r="K128">
        <v>1</v>
      </c>
      <c r="L128">
        <v>1</v>
      </c>
      <c r="M128">
        <v>0</v>
      </c>
      <c r="N128">
        <v>0</v>
      </c>
      <c r="O128">
        <v>1</v>
      </c>
      <c r="P128">
        <v>0</v>
      </c>
      <c r="Q128">
        <v>1</v>
      </c>
      <c r="R128">
        <v>0</v>
      </c>
      <c r="S128">
        <v>0</v>
      </c>
      <c r="T128">
        <v>0</v>
      </c>
      <c r="U128">
        <v>0</v>
      </c>
      <c r="V128">
        <v>0</v>
      </c>
    </row>
    <row r="129" spans="1:22" x14ac:dyDescent="0.2">
      <c r="A129" t="s">
        <v>305</v>
      </c>
      <c r="B129" t="s">
        <v>108</v>
      </c>
      <c r="C129" t="s">
        <v>41</v>
      </c>
      <c r="D129" t="s">
        <v>42</v>
      </c>
      <c r="E129" t="s">
        <v>37</v>
      </c>
      <c r="F129" t="s">
        <v>65</v>
      </c>
      <c r="G129" t="s">
        <v>47</v>
      </c>
      <c r="H129" t="s">
        <v>48</v>
      </c>
      <c r="I129">
        <v>0</v>
      </c>
      <c r="J129">
        <v>1</v>
      </c>
      <c r="K129">
        <v>1</v>
      </c>
      <c r="L129">
        <v>1</v>
      </c>
      <c r="M129">
        <v>0</v>
      </c>
      <c r="N129">
        <v>0</v>
      </c>
      <c r="O129">
        <v>1</v>
      </c>
      <c r="P129">
        <v>0</v>
      </c>
      <c r="Q129">
        <v>1</v>
      </c>
      <c r="R129">
        <v>0</v>
      </c>
      <c r="S129">
        <v>0</v>
      </c>
      <c r="T129">
        <v>0</v>
      </c>
      <c r="U129">
        <v>0</v>
      </c>
      <c r="V129">
        <v>0</v>
      </c>
    </row>
    <row r="130" spans="1:22" x14ac:dyDescent="0.2">
      <c r="A130" t="s">
        <v>309</v>
      </c>
      <c r="B130" t="s">
        <v>33</v>
      </c>
      <c r="C130" t="s">
        <v>41</v>
      </c>
      <c r="D130" t="s">
        <v>55</v>
      </c>
      <c r="E130" t="s">
        <v>37</v>
      </c>
      <c r="F130" t="s">
        <v>65</v>
      </c>
      <c r="G130" t="s">
        <v>47</v>
      </c>
      <c r="H130" t="s">
        <v>46</v>
      </c>
      <c r="I130">
        <v>0</v>
      </c>
      <c r="J130">
        <v>1</v>
      </c>
      <c r="K130">
        <v>0</v>
      </c>
      <c r="L130">
        <v>1</v>
      </c>
      <c r="M130">
        <v>1</v>
      </c>
      <c r="N130">
        <v>0</v>
      </c>
      <c r="O130">
        <v>1</v>
      </c>
      <c r="P130">
        <v>0</v>
      </c>
      <c r="Q130">
        <v>1</v>
      </c>
      <c r="R130">
        <v>0</v>
      </c>
      <c r="S130">
        <v>1</v>
      </c>
      <c r="T130">
        <v>1</v>
      </c>
      <c r="U130">
        <v>0</v>
      </c>
      <c r="V130">
        <v>0</v>
      </c>
    </row>
    <row r="131" spans="1:22" x14ac:dyDescent="0.2">
      <c r="A131" t="s">
        <v>313</v>
      </c>
      <c r="B131" t="s">
        <v>108</v>
      </c>
      <c r="C131" t="s">
        <v>41</v>
      </c>
      <c r="D131" t="s">
        <v>49</v>
      </c>
      <c r="E131" t="s">
        <v>37</v>
      </c>
      <c r="F131" t="s">
        <v>65</v>
      </c>
      <c r="G131" t="s">
        <v>48</v>
      </c>
      <c r="H131" t="s">
        <v>60</v>
      </c>
      <c r="I131">
        <v>1</v>
      </c>
      <c r="J131">
        <v>1</v>
      </c>
      <c r="K131">
        <v>1</v>
      </c>
      <c r="L131">
        <v>0</v>
      </c>
      <c r="M131">
        <v>0</v>
      </c>
      <c r="N131">
        <v>0</v>
      </c>
      <c r="O131">
        <v>1</v>
      </c>
      <c r="P131">
        <v>0</v>
      </c>
      <c r="Q131">
        <v>1</v>
      </c>
      <c r="R131">
        <v>0</v>
      </c>
      <c r="S131">
        <v>0</v>
      </c>
      <c r="T131">
        <v>0</v>
      </c>
      <c r="U131">
        <v>0</v>
      </c>
      <c r="V131">
        <v>0</v>
      </c>
    </row>
    <row r="132" spans="1:22" x14ac:dyDescent="0.2">
      <c r="A132" t="s">
        <v>313</v>
      </c>
      <c r="B132" t="s">
        <v>108</v>
      </c>
      <c r="C132" t="s">
        <v>41</v>
      </c>
      <c r="D132" t="s">
        <v>42</v>
      </c>
      <c r="E132" t="s">
        <v>37</v>
      </c>
      <c r="F132" t="s">
        <v>46</v>
      </c>
      <c r="G132" t="s">
        <v>65</v>
      </c>
      <c r="H132" t="s">
        <v>47</v>
      </c>
      <c r="I132">
        <v>0</v>
      </c>
      <c r="J132">
        <v>1</v>
      </c>
      <c r="K132">
        <v>0</v>
      </c>
      <c r="L132">
        <v>1</v>
      </c>
      <c r="M132">
        <v>1</v>
      </c>
      <c r="N132">
        <v>0</v>
      </c>
      <c r="O132">
        <v>1</v>
      </c>
      <c r="P132">
        <v>0</v>
      </c>
      <c r="Q132">
        <v>1</v>
      </c>
      <c r="R132">
        <v>0</v>
      </c>
      <c r="S132">
        <v>1</v>
      </c>
      <c r="T132">
        <v>0</v>
      </c>
      <c r="U132">
        <v>0</v>
      </c>
      <c r="V132">
        <v>0</v>
      </c>
    </row>
    <row r="133" spans="1:22" x14ac:dyDescent="0.2">
      <c r="A133" t="s">
        <v>317</v>
      </c>
      <c r="B133" t="s">
        <v>108</v>
      </c>
      <c r="C133" t="s">
        <v>41</v>
      </c>
      <c r="D133" t="s">
        <v>42</v>
      </c>
      <c r="E133" t="s">
        <v>37</v>
      </c>
      <c r="F133" t="s">
        <v>65</v>
      </c>
      <c r="G133" t="s">
        <v>48</v>
      </c>
      <c r="H133" t="s">
        <v>47</v>
      </c>
      <c r="I133">
        <v>0</v>
      </c>
      <c r="J133">
        <v>1</v>
      </c>
      <c r="K133">
        <v>1</v>
      </c>
      <c r="L133">
        <v>1</v>
      </c>
      <c r="M133">
        <v>0</v>
      </c>
      <c r="N133">
        <v>0</v>
      </c>
      <c r="O133">
        <v>1</v>
      </c>
      <c r="P133">
        <v>0</v>
      </c>
      <c r="Q133">
        <v>1</v>
      </c>
      <c r="R133">
        <v>1</v>
      </c>
      <c r="S133">
        <v>1</v>
      </c>
      <c r="T133">
        <v>0</v>
      </c>
      <c r="U133">
        <v>0</v>
      </c>
      <c r="V133">
        <v>0</v>
      </c>
    </row>
    <row r="134" spans="1:22" x14ac:dyDescent="0.2">
      <c r="A134" t="s">
        <v>320</v>
      </c>
      <c r="B134" t="s">
        <v>108</v>
      </c>
      <c r="C134" t="s">
        <v>41</v>
      </c>
      <c r="D134" t="s">
        <v>61</v>
      </c>
      <c r="E134" t="s">
        <v>37</v>
      </c>
      <c r="F134" t="s">
        <v>60</v>
      </c>
      <c r="G134" t="s">
        <v>48</v>
      </c>
      <c r="H134" t="s">
        <v>65</v>
      </c>
      <c r="I134">
        <v>1</v>
      </c>
      <c r="J134">
        <v>1</v>
      </c>
      <c r="K134">
        <v>1</v>
      </c>
      <c r="L134">
        <v>0</v>
      </c>
      <c r="M134">
        <v>0</v>
      </c>
      <c r="N134">
        <v>0</v>
      </c>
      <c r="O134">
        <v>1</v>
      </c>
      <c r="P134">
        <v>0</v>
      </c>
      <c r="Q134">
        <v>1</v>
      </c>
      <c r="R134">
        <v>0</v>
      </c>
      <c r="S134">
        <v>0</v>
      </c>
      <c r="T134">
        <v>0</v>
      </c>
      <c r="U134">
        <v>0</v>
      </c>
      <c r="V134">
        <v>0</v>
      </c>
    </row>
    <row r="135" spans="1:22" x14ac:dyDescent="0.2">
      <c r="A135" t="s">
        <v>320</v>
      </c>
      <c r="B135" t="s">
        <v>108</v>
      </c>
      <c r="C135" t="s">
        <v>41</v>
      </c>
      <c r="D135" t="s">
        <v>72</v>
      </c>
      <c r="E135" t="s">
        <v>37</v>
      </c>
      <c r="F135" t="s">
        <v>47</v>
      </c>
      <c r="G135" t="s">
        <v>65</v>
      </c>
      <c r="H135" t="s">
        <v>59</v>
      </c>
      <c r="I135">
        <v>0</v>
      </c>
      <c r="J135">
        <v>1</v>
      </c>
      <c r="K135">
        <v>0</v>
      </c>
      <c r="L135">
        <v>1</v>
      </c>
      <c r="M135">
        <v>0</v>
      </c>
      <c r="N135">
        <v>0</v>
      </c>
      <c r="O135">
        <v>1</v>
      </c>
      <c r="P135">
        <v>0</v>
      </c>
      <c r="Q135">
        <v>1</v>
      </c>
      <c r="R135">
        <v>0</v>
      </c>
      <c r="S135">
        <v>1</v>
      </c>
      <c r="T135">
        <v>0</v>
      </c>
      <c r="U135">
        <v>0</v>
      </c>
      <c r="V135">
        <v>0</v>
      </c>
    </row>
    <row r="136" spans="1:22" x14ac:dyDescent="0.2">
      <c r="A136" t="s">
        <v>320</v>
      </c>
      <c r="B136" t="s">
        <v>108</v>
      </c>
      <c r="C136" t="s">
        <v>41</v>
      </c>
      <c r="D136" t="s">
        <v>55</v>
      </c>
      <c r="E136" t="s">
        <v>37</v>
      </c>
      <c r="F136" t="s">
        <v>46</v>
      </c>
      <c r="G136" t="s">
        <v>47</v>
      </c>
      <c r="H136" t="s">
        <v>65</v>
      </c>
      <c r="I136">
        <v>0</v>
      </c>
      <c r="J136">
        <v>1</v>
      </c>
      <c r="K136">
        <v>0</v>
      </c>
      <c r="L136">
        <v>1</v>
      </c>
      <c r="M136">
        <v>1</v>
      </c>
      <c r="N136">
        <v>0</v>
      </c>
      <c r="O136">
        <v>1</v>
      </c>
      <c r="P136">
        <v>0</v>
      </c>
      <c r="Q136">
        <v>1</v>
      </c>
      <c r="R136">
        <v>0</v>
      </c>
      <c r="S136">
        <v>1</v>
      </c>
      <c r="T136">
        <v>0</v>
      </c>
      <c r="U136">
        <v>0</v>
      </c>
      <c r="V136">
        <v>0</v>
      </c>
    </row>
    <row r="137" spans="1:22" x14ac:dyDescent="0.2">
      <c r="A137" t="s">
        <v>326</v>
      </c>
      <c r="B137" t="s">
        <v>33</v>
      </c>
      <c r="C137" t="s">
        <v>41</v>
      </c>
      <c r="D137" t="s">
        <v>67</v>
      </c>
      <c r="E137" t="s">
        <v>37</v>
      </c>
      <c r="F137" t="s">
        <v>48</v>
      </c>
      <c r="G137" t="s">
        <v>65</v>
      </c>
      <c r="H137" t="s">
        <v>60</v>
      </c>
      <c r="I137">
        <v>1</v>
      </c>
      <c r="J137">
        <v>1</v>
      </c>
      <c r="K137">
        <v>1</v>
      </c>
      <c r="L137">
        <v>0</v>
      </c>
      <c r="M137">
        <v>0</v>
      </c>
      <c r="N137">
        <v>0</v>
      </c>
      <c r="O137">
        <v>1</v>
      </c>
      <c r="P137">
        <v>0</v>
      </c>
      <c r="Q137">
        <v>1</v>
      </c>
      <c r="R137">
        <v>0</v>
      </c>
      <c r="S137">
        <v>0</v>
      </c>
      <c r="T137">
        <v>0</v>
      </c>
      <c r="U137">
        <v>0</v>
      </c>
      <c r="V137">
        <v>0</v>
      </c>
    </row>
    <row r="138" spans="1:22" x14ac:dyDescent="0.2">
      <c r="A138" t="s">
        <v>326</v>
      </c>
      <c r="B138" t="s">
        <v>33</v>
      </c>
      <c r="C138" t="s">
        <v>41</v>
      </c>
      <c r="D138" t="s">
        <v>61</v>
      </c>
      <c r="E138" t="s">
        <v>37</v>
      </c>
      <c r="F138" t="s">
        <v>48</v>
      </c>
      <c r="G138" t="s">
        <v>59</v>
      </c>
      <c r="H138" t="s">
        <v>65</v>
      </c>
      <c r="I138">
        <v>0</v>
      </c>
      <c r="J138">
        <v>1</v>
      </c>
      <c r="K138">
        <v>1</v>
      </c>
      <c r="L138">
        <v>0</v>
      </c>
      <c r="M138">
        <v>0</v>
      </c>
      <c r="N138">
        <v>0</v>
      </c>
      <c r="O138">
        <v>1</v>
      </c>
      <c r="P138">
        <v>0</v>
      </c>
      <c r="Q138">
        <v>1</v>
      </c>
      <c r="R138">
        <v>1</v>
      </c>
      <c r="S138">
        <v>0</v>
      </c>
      <c r="T138">
        <v>0</v>
      </c>
      <c r="U138">
        <v>0</v>
      </c>
      <c r="V138">
        <v>0</v>
      </c>
    </row>
    <row r="139" spans="1:22" x14ac:dyDescent="0.2">
      <c r="A139" t="s">
        <v>326</v>
      </c>
      <c r="B139" t="s">
        <v>33</v>
      </c>
      <c r="C139" t="s">
        <v>41</v>
      </c>
      <c r="D139" t="s">
        <v>55</v>
      </c>
      <c r="E139" t="s">
        <v>37</v>
      </c>
      <c r="F139" t="s">
        <v>59</v>
      </c>
      <c r="G139" t="s">
        <v>65</v>
      </c>
      <c r="H139" t="s">
        <v>60</v>
      </c>
      <c r="I139">
        <v>1</v>
      </c>
      <c r="J139">
        <v>1</v>
      </c>
      <c r="K139">
        <v>0</v>
      </c>
      <c r="L139">
        <v>0</v>
      </c>
      <c r="M139">
        <v>0</v>
      </c>
      <c r="N139">
        <v>0</v>
      </c>
      <c r="O139">
        <v>1</v>
      </c>
      <c r="P139">
        <v>1</v>
      </c>
      <c r="Q139">
        <v>1</v>
      </c>
      <c r="R139">
        <v>0</v>
      </c>
      <c r="S139">
        <v>0</v>
      </c>
      <c r="T139">
        <v>0</v>
      </c>
      <c r="U139">
        <v>0</v>
      </c>
      <c r="V139">
        <v>0</v>
      </c>
    </row>
    <row r="140" spans="1:22" x14ac:dyDescent="0.2">
      <c r="A140" t="s">
        <v>326</v>
      </c>
      <c r="B140" t="s">
        <v>33</v>
      </c>
      <c r="C140" t="s">
        <v>41</v>
      </c>
      <c r="D140" t="s">
        <v>42</v>
      </c>
      <c r="E140" t="s">
        <v>37</v>
      </c>
      <c r="F140" t="s">
        <v>47</v>
      </c>
      <c r="G140" t="s">
        <v>48</v>
      </c>
      <c r="H140" t="s">
        <v>65</v>
      </c>
      <c r="I140">
        <v>0</v>
      </c>
      <c r="J140">
        <v>1</v>
      </c>
      <c r="K140">
        <v>1</v>
      </c>
      <c r="L140">
        <v>1</v>
      </c>
      <c r="M140">
        <v>0</v>
      </c>
      <c r="N140">
        <v>0</v>
      </c>
      <c r="O140">
        <v>1</v>
      </c>
      <c r="P140">
        <v>0</v>
      </c>
      <c r="Q140">
        <v>1</v>
      </c>
      <c r="R140">
        <v>1</v>
      </c>
      <c r="S140">
        <v>1</v>
      </c>
      <c r="T140">
        <v>0</v>
      </c>
      <c r="U140">
        <v>0</v>
      </c>
      <c r="V140">
        <v>0</v>
      </c>
    </row>
    <row r="141" spans="1:22" x14ac:dyDescent="0.2">
      <c r="A141" t="s">
        <v>334</v>
      </c>
      <c r="B141" t="s">
        <v>33</v>
      </c>
      <c r="C141" t="s">
        <v>41</v>
      </c>
      <c r="D141" t="s">
        <v>67</v>
      </c>
      <c r="E141" t="s">
        <v>37</v>
      </c>
      <c r="F141" t="s">
        <v>59</v>
      </c>
      <c r="G141" t="s">
        <v>46</v>
      </c>
      <c r="H141" t="s">
        <v>65</v>
      </c>
      <c r="I141">
        <v>0</v>
      </c>
      <c r="J141">
        <v>1</v>
      </c>
      <c r="K141">
        <v>0</v>
      </c>
      <c r="L141">
        <v>0</v>
      </c>
      <c r="M141">
        <v>1</v>
      </c>
      <c r="N141">
        <v>0</v>
      </c>
      <c r="O141">
        <v>1</v>
      </c>
      <c r="P141">
        <v>0</v>
      </c>
      <c r="Q141">
        <v>1</v>
      </c>
      <c r="R141">
        <v>0</v>
      </c>
      <c r="S141">
        <v>0</v>
      </c>
      <c r="T141">
        <v>0</v>
      </c>
      <c r="U141">
        <v>0</v>
      </c>
      <c r="V141">
        <v>0</v>
      </c>
    </row>
    <row r="142" spans="1:22" x14ac:dyDescent="0.2">
      <c r="A142" t="s">
        <v>334</v>
      </c>
      <c r="B142" t="s">
        <v>33</v>
      </c>
      <c r="C142" t="s">
        <v>41</v>
      </c>
      <c r="D142" t="s">
        <v>72</v>
      </c>
      <c r="E142" t="s">
        <v>37</v>
      </c>
      <c r="F142" t="s">
        <v>48</v>
      </c>
      <c r="G142" t="s">
        <v>46</v>
      </c>
      <c r="H142" t="s">
        <v>65</v>
      </c>
      <c r="I142">
        <v>0</v>
      </c>
      <c r="J142">
        <v>1</v>
      </c>
      <c r="K142">
        <v>1</v>
      </c>
      <c r="L142">
        <v>0</v>
      </c>
      <c r="M142">
        <v>1</v>
      </c>
      <c r="N142">
        <v>0</v>
      </c>
      <c r="O142">
        <v>1</v>
      </c>
      <c r="P142">
        <v>0</v>
      </c>
      <c r="Q142">
        <v>1</v>
      </c>
      <c r="R142">
        <v>0</v>
      </c>
      <c r="S142">
        <v>0</v>
      </c>
      <c r="T142">
        <v>0</v>
      </c>
      <c r="U142">
        <v>0</v>
      </c>
      <c r="V142">
        <v>0</v>
      </c>
    </row>
    <row r="143" spans="1:22" x14ac:dyDescent="0.2">
      <c r="A143" t="s">
        <v>345</v>
      </c>
      <c r="B143" t="s">
        <v>33</v>
      </c>
      <c r="C143" t="s">
        <v>41</v>
      </c>
      <c r="D143" t="s">
        <v>61</v>
      </c>
      <c r="E143" t="s">
        <v>37</v>
      </c>
      <c r="F143" t="s">
        <v>47</v>
      </c>
      <c r="G143" t="s">
        <v>48</v>
      </c>
      <c r="H143" t="s">
        <v>65</v>
      </c>
      <c r="I143">
        <v>0</v>
      </c>
      <c r="J143">
        <v>1</v>
      </c>
      <c r="K143">
        <v>1</v>
      </c>
      <c r="L143">
        <v>1</v>
      </c>
      <c r="M143">
        <v>0</v>
      </c>
      <c r="N143">
        <v>0</v>
      </c>
      <c r="O143">
        <v>1</v>
      </c>
      <c r="P143">
        <v>0</v>
      </c>
      <c r="Q143">
        <v>1</v>
      </c>
      <c r="R143">
        <v>0</v>
      </c>
      <c r="S143">
        <v>0</v>
      </c>
      <c r="T143">
        <v>0</v>
      </c>
      <c r="U143">
        <v>0</v>
      </c>
      <c r="V143">
        <v>0</v>
      </c>
    </row>
    <row r="144" spans="1:22" x14ac:dyDescent="0.2">
      <c r="A144" t="s">
        <v>346</v>
      </c>
      <c r="B144" t="s">
        <v>108</v>
      </c>
      <c r="C144" t="s">
        <v>41</v>
      </c>
      <c r="D144" t="s">
        <v>49</v>
      </c>
      <c r="E144" t="s">
        <v>37</v>
      </c>
      <c r="F144" t="s">
        <v>59</v>
      </c>
      <c r="G144" t="s">
        <v>47</v>
      </c>
      <c r="H144" t="s">
        <v>65</v>
      </c>
      <c r="I144">
        <v>0</v>
      </c>
      <c r="J144">
        <v>1</v>
      </c>
      <c r="K144">
        <v>0</v>
      </c>
      <c r="L144">
        <v>1</v>
      </c>
      <c r="M144">
        <v>0</v>
      </c>
      <c r="N144">
        <v>0</v>
      </c>
      <c r="O144">
        <v>1</v>
      </c>
      <c r="P144">
        <v>0</v>
      </c>
      <c r="Q144">
        <v>1</v>
      </c>
      <c r="R144">
        <v>0</v>
      </c>
      <c r="S144">
        <v>1</v>
      </c>
      <c r="T144">
        <v>0</v>
      </c>
      <c r="U144">
        <v>0</v>
      </c>
      <c r="V144">
        <v>0</v>
      </c>
    </row>
    <row r="145" spans="1:22" x14ac:dyDescent="0.2">
      <c r="A145" t="s">
        <v>346</v>
      </c>
      <c r="B145" t="s">
        <v>108</v>
      </c>
      <c r="C145" t="s">
        <v>41</v>
      </c>
      <c r="D145" t="s">
        <v>55</v>
      </c>
      <c r="E145" t="s">
        <v>37</v>
      </c>
      <c r="F145" t="s">
        <v>65</v>
      </c>
      <c r="G145" t="s">
        <v>48</v>
      </c>
      <c r="H145" t="s">
        <v>59</v>
      </c>
      <c r="I145">
        <v>0</v>
      </c>
      <c r="J145">
        <v>1</v>
      </c>
      <c r="K145">
        <v>1</v>
      </c>
      <c r="L145">
        <v>0</v>
      </c>
      <c r="M145">
        <v>0</v>
      </c>
      <c r="N145">
        <v>0</v>
      </c>
      <c r="O145">
        <v>1</v>
      </c>
      <c r="P145">
        <v>0</v>
      </c>
      <c r="Q145">
        <v>1</v>
      </c>
      <c r="R145">
        <v>0</v>
      </c>
      <c r="S145">
        <v>0</v>
      </c>
      <c r="T145">
        <v>0</v>
      </c>
      <c r="U145">
        <v>0</v>
      </c>
      <c r="V145">
        <v>0</v>
      </c>
    </row>
    <row r="146" spans="1:22" x14ac:dyDescent="0.2">
      <c r="A146" t="s">
        <v>346</v>
      </c>
      <c r="B146" t="s">
        <v>108</v>
      </c>
      <c r="C146" t="s">
        <v>41</v>
      </c>
      <c r="D146" t="s">
        <v>67</v>
      </c>
      <c r="E146" t="s">
        <v>37</v>
      </c>
      <c r="F146" t="s">
        <v>46</v>
      </c>
      <c r="G146" t="s">
        <v>65</v>
      </c>
      <c r="H146" t="s">
        <v>59</v>
      </c>
      <c r="I146">
        <v>0</v>
      </c>
      <c r="J146">
        <v>1</v>
      </c>
      <c r="K146">
        <v>0</v>
      </c>
      <c r="L146">
        <v>0</v>
      </c>
      <c r="M146">
        <v>1</v>
      </c>
      <c r="N146">
        <v>0</v>
      </c>
      <c r="O146">
        <v>1</v>
      </c>
      <c r="P146">
        <v>0</v>
      </c>
      <c r="Q146">
        <v>1</v>
      </c>
      <c r="R146">
        <v>0</v>
      </c>
      <c r="S146">
        <v>0</v>
      </c>
      <c r="T146">
        <v>0</v>
      </c>
      <c r="U146">
        <v>0</v>
      </c>
      <c r="V146">
        <v>0</v>
      </c>
    </row>
    <row r="147" spans="1:22" x14ac:dyDescent="0.2">
      <c r="A147" t="s">
        <v>351</v>
      </c>
      <c r="B147" t="s">
        <v>108</v>
      </c>
      <c r="C147" t="s">
        <v>41</v>
      </c>
      <c r="D147" t="s">
        <v>61</v>
      </c>
      <c r="E147" t="s">
        <v>37</v>
      </c>
      <c r="F147" t="s">
        <v>65</v>
      </c>
      <c r="G147" t="s">
        <v>48</v>
      </c>
      <c r="H147" t="s">
        <v>47</v>
      </c>
      <c r="I147">
        <v>0</v>
      </c>
      <c r="J147">
        <v>1</v>
      </c>
      <c r="K147">
        <v>1</v>
      </c>
      <c r="L147">
        <v>1</v>
      </c>
      <c r="M147">
        <v>0</v>
      </c>
      <c r="N147">
        <v>0</v>
      </c>
      <c r="O147">
        <v>1</v>
      </c>
      <c r="P147">
        <v>0</v>
      </c>
      <c r="Q147">
        <v>1</v>
      </c>
      <c r="R147">
        <v>1</v>
      </c>
      <c r="S147">
        <v>1</v>
      </c>
      <c r="T147">
        <v>0</v>
      </c>
      <c r="U147">
        <v>0</v>
      </c>
      <c r="V147">
        <v>0</v>
      </c>
    </row>
    <row r="148" spans="1:22" x14ac:dyDescent="0.2">
      <c r="A148" t="s">
        <v>351</v>
      </c>
      <c r="B148" t="s">
        <v>108</v>
      </c>
      <c r="C148" t="s">
        <v>41</v>
      </c>
      <c r="D148" t="s">
        <v>49</v>
      </c>
      <c r="E148" t="s">
        <v>37</v>
      </c>
      <c r="F148" t="s">
        <v>47</v>
      </c>
      <c r="G148" t="s">
        <v>46</v>
      </c>
      <c r="H148" t="s">
        <v>65</v>
      </c>
      <c r="I148">
        <v>0</v>
      </c>
      <c r="J148">
        <v>1</v>
      </c>
      <c r="K148">
        <v>0</v>
      </c>
      <c r="L148">
        <v>1</v>
      </c>
      <c r="M148">
        <v>1</v>
      </c>
      <c r="N148">
        <v>0</v>
      </c>
      <c r="O148">
        <v>1</v>
      </c>
      <c r="P148">
        <v>0</v>
      </c>
      <c r="Q148">
        <v>1</v>
      </c>
      <c r="R148">
        <v>0</v>
      </c>
      <c r="S148">
        <v>1</v>
      </c>
      <c r="T148">
        <v>1</v>
      </c>
      <c r="U148">
        <v>0</v>
      </c>
      <c r="V148">
        <v>0</v>
      </c>
    </row>
    <row r="149" spans="1:22" x14ac:dyDescent="0.2">
      <c r="A149" t="s">
        <v>351</v>
      </c>
      <c r="B149" t="s">
        <v>108</v>
      </c>
      <c r="C149" t="s">
        <v>41</v>
      </c>
      <c r="D149" t="s">
        <v>42</v>
      </c>
      <c r="E149" t="s">
        <v>37</v>
      </c>
      <c r="F149" t="s">
        <v>48</v>
      </c>
      <c r="G149" t="s">
        <v>65</v>
      </c>
      <c r="H149" t="s">
        <v>46</v>
      </c>
      <c r="I149">
        <v>0</v>
      </c>
      <c r="J149">
        <v>1</v>
      </c>
      <c r="K149">
        <v>1</v>
      </c>
      <c r="L149">
        <v>0</v>
      </c>
      <c r="M149">
        <v>1</v>
      </c>
      <c r="N149">
        <v>0</v>
      </c>
      <c r="O149">
        <v>1</v>
      </c>
      <c r="P149">
        <v>0</v>
      </c>
      <c r="Q149">
        <v>1</v>
      </c>
      <c r="R149">
        <v>1</v>
      </c>
      <c r="S149">
        <v>0</v>
      </c>
      <c r="T149">
        <v>1</v>
      </c>
      <c r="U149">
        <v>0</v>
      </c>
      <c r="V149">
        <v>0</v>
      </c>
    </row>
    <row r="150" spans="1:22" x14ac:dyDescent="0.2">
      <c r="A150" t="s">
        <v>354</v>
      </c>
      <c r="B150" t="s">
        <v>33</v>
      </c>
      <c r="C150" t="s">
        <v>41</v>
      </c>
      <c r="D150" t="s">
        <v>42</v>
      </c>
      <c r="E150" t="s">
        <v>37</v>
      </c>
      <c r="F150" t="s">
        <v>65</v>
      </c>
      <c r="G150" t="s">
        <v>48</v>
      </c>
      <c r="H150" t="s">
        <v>46</v>
      </c>
      <c r="I150">
        <v>0</v>
      </c>
      <c r="J150">
        <v>1</v>
      </c>
      <c r="K150">
        <v>1</v>
      </c>
      <c r="L150">
        <v>0</v>
      </c>
      <c r="M150">
        <v>1</v>
      </c>
      <c r="N150">
        <v>0</v>
      </c>
      <c r="O150">
        <v>1</v>
      </c>
      <c r="P150">
        <v>0</v>
      </c>
      <c r="Q150">
        <v>1</v>
      </c>
      <c r="R150">
        <v>0</v>
      </c>
      <c r="S150">
        <v>0</v>
      </c>
      <c r="T150">
        <v>0</v>
      </c>
      <c r="U150">
        <v>0</v>
      </c>
      <c r="V150">
        <v>0</v>
      </c>
    </row>
    <row r="151" spans="1:22" x14ac:dyDescent="0.2">
      <c r="A151" t="s">
        <v>354</v>
      </c>
      <c r="B151" t="s">
        <v>33</v>
      </c>
      <c r="C151" t="s">
        <v>41</v>
      </c>
      <c r="D151" t="s">
        <v>55</v>
      </c>
      <c r="E151" t="s">
        <v>37</v>
      </c>
      <c r="F151" t="s">
        <v>48</v>
      </c>
      <c r="G151" t="s">
        <v>65</v>
      </c>
      <c r="H151" t="s">
        <v>46</v>
      </c>
      <c r="I151">
        <v>0</v>
      </c>
      <c r="J151">
        <v>1</v>
      </c>
      <c r="K151">
        <v>1</v>
      </c>
      <c r="L151">
        <v>0</v>
      </c>
      <c r="M151">
        <v>1</v>
      </c>
      <c r="N151">
        <v>0</v>
      </c>
      <c r="O151">
        <v>1</v>
      </c>
      <c r="P151">
        <v>0</v>
      </c>
      <c r="Q151">
        <v>1</v>
      </c>
      <c r="R151">
        <v>0</v>
      </c>
      <c r="S151">
        <v>0</v>
      </c>
      <c r="T151">
        <v>0</v>
      </c>
      <c r="U151">
        <v>0</v>
      </c>
      <c r="V151">
        <v>0</v>
      </c>
    </row>
    <row r="152" spans="1:22" x14ac:dyDescent="0.2">
      <c r="A152" t="s">
        <v>354</v>
      </c>
      <c r="B152" t="s">
        <v>33</v>
      </c>
      <c r="C152" t="s">
        <v>41</v>
      </c>
      <c r="D152" t="s">
        <v>49</v>
      </c>
      <c r="E152" t="s">
        <v>37</v>
      </c>
      <c r="F152" t="s">
        <v>48</v>
      </c>
      <c r="G152" t="s">
        <v>65</v>
      </c>
      <c r="H152" t="s">
        <v>60</v>
      </c>
      <c r="I152">
        <v>1</v>
      </c>
      <c r="J152">
        <v>1</v>
      </c>
      <c r="K152">
        <v>1</v>
      </c>
      <c r="L152">
        <v>0</v>
      </c>
      <c r="M152">
        <v>0</v>
      </c>
      <c r="N152">
        <v>0</v>
      </c>
      <c r="O152">
        <v>1</v>
      </c>
      <c r="P152">
        <v>1</v>
      </c>
      <c r="Q152">
        <v>1</v>
      </c>
      <c r="R152">
        <v>1</v>
      </c>
      <c r="S152">
        <v>0</v>
      </c>
      <c r="T152">
        <v>0</v>
      </c>
      <c r="U152">
        <v>0</v>
      </c>
      <c r="V152">
        <v>0</v>
      </c>
    </row>
    <row r="153" spans="1:22" x14ac:dyDescent="0.2">
      <c r="A153" t="s">
        <v>358</v>
      </c>
      <c r="B153" t="s">
        <v>108</v>
      </c>
      <c r="C153" t="s">
        <v>41</v>
      </c>
      <c r="D153" t="s">
        <v>55</v>
      </c>
      <c r="E153" t="s">
        <v>37</v>
      </c>
      <c r="F153" t="s">
        <v>46</v>
      </c>
      <c r="G153" t="s">
        <v>47</v>
      </c>
      <c r="H153" t="s">
        <v>65</v>
      </c>
      <c r="I153">
        <v>0</v>
      </c>
      <c r="J153">
        <v>1</v>
      </c>
      <c r="K153">
        <v>0</v>
      </c>
      <c r="L153">
        <v>1</v>
      </c>
      <c r="M153">
        <v>1</v>
      </c>
      <c r="N153">
        <v>0</v>
      </c>
      <c r="O153">
        <v>1</v>
      </c>
      <c r="P153">
        <v>0</v>
      </c>
      <c r="Q153">
        <v>1</v>
      </c>
      <c r="R153">
        <v>0</v>
      </c>
      <c r="S153">
        <v>0</v>
      </c>
      <c r="T153">
        <v>0</v>
      </c>
      <c r="U153">
        <v>0</v>
      </c>
      <c r="V153">
        <v>0</v>
      </c>
    </row>
    <row r="154" spans="1:22" x14ac:dyDescent="0.2">
      <c r="A154" t="s">
        <v>358</v>
      </c>
      <c r="B154" t="s">
        <v>108</v>
      </c>
      <c r="C154" t="s">
        <v>41</v>
      </c>
      <c r="D154" t="s">
        <v>42</v>
      </c>
      <c r="E154" t="s">
        <v>37</v>
      </c>
      <c r="F154" t="s">
        <v>46</v>
      </c>
      <c r="G154" t="s">
        <v>47</v>
      </c>
      <c r="H154" t="s">
        <v>65</v>
      </c>
      <c r="I154">
        <v>0</v>
      </c>
      <c r="J154">
        <v>1</v>
      </c>
      <c r="K154">
        <v>0</v>
      </c>
      <c r="L154">
        <v>1</v>
      </c>
      <c r="M154">
        <v>1</v>
      </c>
      <c r="N154">
        <v>0</v>
      </c>
      <c r="O154">
        <v>1</v>
      </c>
      <c r="P154">
        <v>0</v>
      </c>
      <c r="Q154">
        <v>1</v>
      </c>
      <c r="R154">
        <v>0</v>
      </c>
      <c r="S154">
        <v>0</v>
      </c>
      <c r="T154">
        <v>0</v>
      </c>
      <c r="U154">
        <v>0</v>
      </c>
      <c r="V154">
        <v>0</v>
      </c>
    </row>
    <row r="155" spans="1:22" x14ac:dyDescent="0.2">
      <c r="A155" t="s">
        <v>358</v>
      </c>
      <c r="B155" t="s">
        <v>108</v>
      </c>
      <c r="C155" t="s">
        <v>41</v>
      </c>
      <c r="D155" t="s">
        <v>61</v>
      </c>
      <c r="E155" t="s">
        <v>37</v>
      </c>
      <c r="F155" t="s">
        <v>65</v>
      </c>
      <c r="G155" t="s">
        <v>47</v>
      </c>
      <c r="H155" t="s">
        <v>48</v>
      </c>
      <c r="I155">
        <v>0</v>
      </c>
      <c r="J155">
        <v>1</v>
      </c>
      <c r="K155">
        <v>1</v>
      </c>
      <c r="L155">
        <v>1</v>
      </c>
      <c r="M155">
        <v>0</v>
      </c>
      <c r="N155">
        <v>0</v>
      </c>
      <c r="O155">
        <v>1</v>
      </c>
      <c r="P155">
        <v>0</v>
      </c>
      <c r="Q155">
        <v>1</v>
      </c>
      <c r="R155">
        <v>0</v>
      </c>
      <c r="S155">
        <v>0</v>
      </c>
      <c r="T155">
        <v>0</v>
      </c>
      <c r="U155">
        <v>0</v>
      </c>
      <c r="V155">
        <v>0</v>
      </c>
    </row>
    <row r="156" spans="1:22" x14ac:dyDescent="0.2">
      <c r="A156" t="s">
        <v>358</v>
      </c>
      <c r="B156" t="s">
        <v>108</v>
      </c>
      <c r="C156" t="s">
        <v>41</v>
      </c>
      <c r="D156" t="s">
        <v>67</v>
      </c>
      <c r="E156" t="s">
        <v>37</v>
      </c>
      <c r="F156" t="s">
        <v>48</v>
      </c>
      <c r="G156" t="s">
        <v>46</v>
      </c>
      <c r="H156" t="s">
        <v>65</v>
      </c>
      <c r="I156">
        <v>0</v>
      </c>
      <c r="J156">
        <v>1</v>
      </c>
      <c r="K156">
        <v>1</v>
      </c>
      <c r="L156">
        <v>0</v>
      </c>
      <c r="M156">
        <v>1</v>
      </c>
      <c r="N156">
        <v>0</v>
      </c>
      <c r="O156">
        <v>1</v>
      </c>
      <c r="P156">
        <v>0</v>
      </c>
      <c r="Q156">
        <v>1</v>
      </c>
      <c r="R156">
        <v>0</v>
      </c>
      <c r="S156">
        <v>0</v>
      </c>
      <c r="T156">
        <v>0</v>
      </c>
      <c r="U156">
        <v>0</v>
      </c>
      <c r="V156">
        <v>0</v>
      </c>
    </row>
    <row r="157" spans="1:22" x14ac:dyDescent="0.2">
      <c r="A157" t="s">
        <v>358</v>
      </c>
      <c r="B157" t="s">
        <v>108</v>
      </c>
      <c r="C157" t="s">
        <v>41</v>
      </c>
      <c r="D157" t="s">
        <v>49</v>
      </c>
      <c r="E157" t="s">
        <v>37</v>
      </c>
      <c r="F157" t="s">
        <v>65</v>
      </c>
      <c r="G157" t="s">
        <v>46</v>
      </c>
      <c r="H157" t="s">
        <v>47</v>
      </c>
      <c r="I157">
        <v>0</v>
      </c>
      <c r="J157">
        <v>1</v>
      </c>
      <c r="K157">
        <v>0</v>
      </c>
      <c r="L157">
        <v>1</v>
      </c>
      <c r="M157">
        <v>1</v>
      </c>
      <c r="N157">
        <v>0</v>
      </c>
      <c r="O157">
        <v>1</v>
      </c>
      <c r="P157">
        <v>0</v>
      </c>
      <c r="Q157">
        <v>1</v>
      </c>
      <c r="R157">
        <v>0</v>
      </c>
      <c r="S157">
        <v>0</v>
      </c>
      <c r="T157">
        <v>0</v>
      </c>
      <c r="U157">
        <v>0</v>
      </c>
      <c r="V157">
        <v>0</v>
      </c>
    </row>
    <row r="158" spans="1:22" x14ac:dyDescent="0.2">
      <c r="A158" t="s">
        <v>362</v>
      </c>
      <c r="B158" t="s">
        <v>108</v>
      </c>
      <c r="C158" t="s">
        <v>41</v>
      </c>
      <c r="D158" t="s">
        <v>42</v>
      </c>
      <c r="E158" t="s">
        <v>37</v>
      </c>
      <c r="F158" t="s">
        <v>47</v>
      </c>
      <c r="G158" t="s">
        <v>65</v>
      </c>
      <c r="H158" t="s">
        <v>46</v>
      </c>
      <c r="I158">
        <v>0</v>
      </c>
      <c r="J158">
        <v>1</v>
      </c>
      <c r="K158">
        <v>0</v>
      </c>
      <c r="L158">
        <v>1</v>
      </c>
      <c r="M158">
        <v>1</v>
      </c>
      <c r="N158">
        <v>0</v>
      </c>
      <c r="O158">
        <v>1</v>
      </c>
      <c r="P158">
        <v>0</v>
      </c>
      <c r="Q158">
        <v>1</v>
      </c>
      <c r="R158">
        <v>0</v>
      </c>
      <c r="S158">
        <v>1</v>
      </c>
      <c r="T158">
        <v>0</v>
      </c>
      <c r="U158">
        <v>0</v>
      </c>
      <c r="V158">
        <v>0</v>
      </c>
    </row>
    <row r="159" spans="1:22" x14ac:dyDescent="0.2">
      <c r="A159" t="s">
        <v>362</v>
      </c>
      <c r="B159" t="s">
        <v>108</v>
      </c>
      <c r="C159" t="s">
        <v>41</v>
      </c>
      <c r="D159" t="s">
        <v>67</v>
      </c>
      <c r="E159" t="s">
        <v>37</v>
      </c>
      <c r="F159" t="s">
        <v>48</v>
      </c>
      <c r="G159" t="s">
        <v>46</v>
      </c>
      <c r="H159" t="s">
        <v>65</v>
      </c>
      <c r="I159">
        <v>0</v>
      </c>
      <c r="J159">
        <v>1</v>
      </c>
      <c r="K159">
        <v>1</v>
      </c>
      <c r="L159">
        <v>0</v>
      </c>
      <c r="M159">
        <v>1</v>
      </c>
      <c r="N159">
        <v>0</v>
      </c>
      <c r="O159">
        <v>1</v>
      </c>
      <c r="P159">
        <v>0</v>
      </c>
      <c r="Q159">
        <v>1</v>
      </c>
      <c r="R159">
        <v>0</v>
      </c>
      <c r="S159">
        <v>0</v>
      </c>
      <c r="T159">
        <v>0</v>
      </c>
      <c r="U159">
        <v>0</v>
      </c>
      <c r="V159">
        <v>0</v>
      </c>
    </row>
    <row r="160" spans="1:22" x14ac:dyDescent="0.2">
      <c r="A160" t="s">
        <v>366</v>
      </c>
      <c r="B160" t="s">
        <v>108</v>
      </c>
      <c r="C160" t="s">
        <v>41</v>
      </c>
      <c r="D160" t="s">
        <v>55</v>
      </c>
      <c r="E160" t="s">
        <v>37</v>
      </c>
      <c r="F160" t="s">
        <v>46</v>
      </c>
      <c r="G160" t="s">
        <v>65</v>
      </c>
      <c r="H160" t="s">
        <v>59</v>
      </c>
      <c r="I160">
        <v>0</v>
      </c>
      <c r="J160">
        <v>1</v>
      </c>
      <c r="K160">
        <v>0</v>
      </c>
      <c r="L160">
        <v>0</v>
      </c>
      <c r="M160">
        <v>1</v>
      </c>
      <c r="N160">
        <v>0</v>
      </c>
      <c r="O160">
        <v>1</v>
      </c>
      <c r="P160">
        <v>0</v>
      </c>
      <c r="Q160">
        <v>1</v>
      </c>
      <c r="R160">
        <v>0</v>
      </c>
      <c r="S160">
        <v>0</v>
      </c>
      <c r="T160">
        <v>0</v>
      </c>
      <c r="U160">
        <v>0</v>
      </c>
      <c r="V160">
        <v>0</v>
      </c>
    </row>
    <row r="161" spans="1:22" x14ac:dyDescent="0.2">
      <c r="A161" t="s">
        <v>366</v>
      </c>
      <c r="B161" t="s">
        <v>108</v>
      </c>
      <c r="C161" t="s">
        <v>41</v>
      </c>
      <c r="D161" t="s">
        <v>49</v>
      </c>
      <c r="E161" t="s">
        <v>37</v>
      </c>
      <c r="F161" t="s">
        <v>65</v>
      </c>
      <c r="G161" t="s">
        <v>59</v>
      </c>
      <c r="H161" t="s">
        <v>60</v>
      </c>
      <c r="I161">
        <v>1</v>
      </c>
      <c r="J161">
        <v>1</v>
      </c>
      <c r="K161">
        <v>0</v>
      </c>
      <c r="L161">
        <v>0</v>
      </c>
      <c r="M161">
        <v>0</v>
      </c>
      <c r="N161">
        <v>0</v>
      </c>
      <c r="O161">
        <v>1</v>
      </c>
      <c r="P161">
        <v>1</v>
      </c>
      <c r="Q161">
        <v>1</v>
      </c>
      <c r="R161">
        <v>0</v>
      </c>
      <c r="S161">
        <v>0</v>
      </c>
      <c r="T161">
        <v>0</v>
      </c>
      <c r="U161">
        <v>0</v>
      </c>
      <c r="V161">
        <v>0</v>
      </c>
    </row>
    <row r="162" spans="1:22" x14ac:dyDescent="0.2">
      <c r="A162" t="s">
        <v>366</v>
      </c>
      <c r="B162" t="s">
        <v>108</v>
      </c>
      <c r="C162" t="s">
        <v>41</v>
      </c>
      <c r="D162" t="s">
        <v>67</v>
      </c>
      <c r="E162" t="s">
        <v>37</v>
      </c>
      <c r="F162" t="s">
        <v>46</v>
      </c>
      <c r="G162" t="s">
        <v>59</v>
      </c>
      <c r="H162" t="s">
        <v>65</v>
      </c>
      <c r="I162">
        <v>0</v>
      </c>
      <c r="J162">
        <v>1</v>
      </c>
      <c r="K162">
        <v>0</v>
      </c>
      <c r="L162">
        <v>0</v>
      </c>
      <c r="M162">
        <v>1</v>
      </c>
      <c r="N162">
        <v>0</v>
      </c>
      <c r="O162">
        <v>1</v>
      </c>
      <c r="P162">
        <v>0</v>
      </c>
      <c r="Q162">
        <v>1</v>
      </c>
      <c r="R162">
        <v>0</v>
      </c>
      <c r="S162">
        <v>0</v>
      </c>
      <c r="T162">
        <v>1</v>
      </c>
      <c r="U162">
        <v>0</v>
      </c>
      <c r="V162">
        <v>0</v>
      </c>
    </row>
    <row r="163" spans="1:22" x14ac:dyDescent="0.2">
      <c r="A163" t="s">
        <v>374</v>
      </c>
      <c r="B163" t="s">
        <v>108</v>
      </c>
      <c r="C163" t="s">
        <v>41</v>
      </c>
      <c r="D163" t="s">
        <v>42</v>
      </c>
      <c r="E163" t="s">
        <v>37</v>
      </c>
      <c r="F163" t="s">
        <v>48</v>
      </c>
      <c r="G163" t="s">
        <v>46</v>
      </c>
      <c r="H163" t="s">
        <v>65</v>
      </c>
      <c r="I163">
        <v>0</v>
      </c>
      <c r="J163">
        <v>1</v>
      </c>
      <c r="K163">
        <v>1</v>
      </c>
      <c r="L163">
        <v>0</v>
      </c>
      <c r="M163">
        <v>1</v>
      </c>
      <c r="N163">
        <v>0</v>
      </c>
      <c r="O163">
        <v>1</v>
      </c>
      <c r="P163">
        <v>0</v>
      </c>
      <c r="Q163">
        <v>1</v>
      </c>
      <c r="R163">
        <v>0</v>
      </c>
      <c r="S163">
        <v>0</v>
      </c>
      <c r="T163">
        <v>0</v>
      </c>
      <c r="U163">
        <v>0</v>
      </c>
      <c r="V163">
        <v>0</v>
      </c>
    </row>
    <row r="164" spans="1:22" x14ac:dyDescent="0.2">
      <c r="A164" t="s">
        <v>374</v>
      </c>
      <c r="B164" t="s">
        <v>108</v>
      </c>
      <c r="C164" t="s">
        <v>41</v>
      </c>
      <c r="D164" t="s">
        <v>49</v>
      </c>
      <c r="E164" t="s">
        <v>37</v>
      </c>
      <c r="F164" t="s">
        <v>65</v>
      </c>
      <c r="G164" t="s">
        <v>59</v>
      </c>
      <c r="H164" t="s">
        <v>48</v>
      </c>
      <c r="I164">
        <v>0</v>
      </c>
      <c r="J164">
        <v>1</v>
      </c>
      <c r="K164">
        <v>1</v>
      </c>
      <c r="L164">
        <v>0</v>
      </c>
      <c r="M164">
        <v>0</v>
      </c>
      <c r="N164">
        <v>0</v>
      </c>
      <c r="O164">
        <v>1</v>
      </c>
      <c r="P164">
        <v>0</v>
      </c>
      <c r="Q164">
        <v>1</v>
      </c>
      <c r="R164">
        <v>0</v>
      </c>
      <c r="S164">
        <v>0</v>
      </c>
      <c r="T164">
        <v>0</v>
      </c>
      <c r="U164">
        <v>0</v>
      </c>
      <c r="V164">
        <v>0</v>
      </c>
    </row>
    <row r="165" spans="1:22" x14ac:dyDescent="0.2">
      <c r="A165" t="s">
        <v>377</v>
      </c>
      <c r="B165" t="s">
        <v>108</v>
      </c>
      <c r="C165" t="s">
        <v>41</v>
      </c>
      <c r="D165" t="s">
        <v>55</v>
      </c>
      <c r="E165" t="s">
        <v>37</v>
      </c>
      <c r="F165" t="s">
        <v>48</v>
      </c>
      <c r="G165" t="s">
        <v>65</v>
      </c>
      <c r="H165" t="s">
        <v>59</v>
      </c>
      <c r="I165">
        <v>0</v>
      </c>
      <c r="J165">
        <v>1</v>
      </c>
      <c r="K165">
        <v>1</v>
      </c>
      <c r="L165">
        <v>0</v>
      </c>
      <c r="M165">
        <v>0</v>
      </c>
      <c r="N165">
        <v>0</v>
      </c>
      <c r="O165">
        <v>1</v>
      </c>
      <c r="P165">
        <v>0</v>
      </c>
      <c r="Q165">
        <v>1</v>
      </c>
      <c r="R165">
        <v>1</v>
      </c>
      <c r="S165">
        <v>0</v>
      </c>
      <c r="T165">
        <v>0</v>
      </c>
      <c r="U165">
        <v>0</v>
      </c>
      <c r="V165">
        <v>0</v>
      </c>
    </row>
    <row r="166" spans="1:22" x14ac:dyDescent="0.2">
      <c r="A166" t="s">
        <v>377</v>
      </c>
      <c r="B166" t="s">
        <v>108</v>
      </c>
      <c r="C166" t="s">
        <v>41</v>
      </c>
      <c r="D166" t="s">
        <v>61</v>
      </c>
      <c r="E166" t="s">
        <v>37</v>
      </c>
      <c r="F166" t="s">
        <v>65</v>
      </c>
      <c r="G166" t="s">
        <v>47</v>
      </c>
      <c r="H166" t="s">
        <v>48</v>
      </c>
      <c r="I166">
        <v>0</v>
      </c>
      <c r="J166">
        <v>1</v>
      </c>
      <c r="K166">
        <v>1</v>
      </c>
      <c r="L166">
        <v>1</v>
      </c>
      <c r="M166">
        <v>0</v>
      </c>
      <c r="N166">
        <v>0</v>
      </c>
      <c r="O166">
        <v>1</v>
      </c>
      <c r="P166">
        <v>0</v>
      </c>
      <c r="Q166">
        <v>1</v>
      </c>
      <c r="R166">
        <v>1</v>
      </c>
      <c r="S166">
        <v>1</v>
      </c>
      <c r="T166">
        <v>0</v>
      </c>
      <c r="U166">
        <v>0</v>
      </c>
      <c r="V166">
        <v>0</v>
      </c>
    </row>
    <row r="167" spans="1:22" x14ac:dyDescent="0.2">
      <c r="A167" t="s">
        <v>377</v>
      </c>
      <c r="B167" t="s">
        <v>108</v>
      </c>
      <c r="C167" t="s">
        <v>41</v>
      </c>
      <c r="D167" t="s">
        <v>42</v>
      </c>
      <c r="E167" t="s">
        <v>37</v>
      </c>
      <c r="F167" t="s">
        <v>46</v>
      </c>
      <c r="G167" t="s">
        <v>65</v>
      </c>
      <c r="H167" t="s">
        <v>47</v>
      </c>
      <c r="I167">
        <v>0</v>
      </c>
      <c r="J167">
        <v>1</v>
      </c>
      <c r="K167">
        <v>0</v>
      </c>
      <c r="L167">
        <v>1</v>
      </c>
      <c r="M167">
        <v>1</v>
      </c>
      <c r="N167">
        <v>0</v>
      </c>
      <c r="O167">
        <v>1</v>
      </c>
      <c r="P167">
        <v>0</v>
      </c>
      <c r="Q167">
        <v>1</v>
      </c>
      <c r="R167">
        <v>0</v>
      </c>
      <c r="S167">
        <v>1</v>
      </c>
      <c r="T167">
        <v>1</v>
      </c>
      <c r="U167">
        <v>0</v>
      </c>
      <c r="V167">
        <v>0</v>
      </c>
    </row>
    <row r="168" spans="1:22" x14ac:dyDescent="0.2">
      <c r="A168" t="s">
        <v>380</v>
      </c>
      <c r="B168" t="s">
        <v>33</v>
      </c>
      <c r="C168" t="s">
        <v>41</v>
      </c>
      <c r="D168" t="s">
        <v>55</v>
      </c>
      <c r="E168" t="s">
        <v>37</v>
      </c>
      <c r="F168" t="s">
        <v>48</v>
      </c>
      <c r="G168" t="s">
        <v>59</v>
      </c>
      <c r="H168" t="s">
        <v>65</v>
      </c>
      <c r="I168">
        <v>0</v>
      </c>
      <c r="J168">
        <v>1</v>
      </c>
      <c r="K168">
        <v>1</v>
      </c>
      <c r="L168">
        <v>0</v>
      </c>
      <c r="M168">
        <v>0</v>
      </c>
      <c r="N168">
        <v>0</v>
      </c>
      <c r="O168">
        <v>1</v>
      </c>
      <c r="P168">
        <v>0</v>
      </c>
      <c r="Q168">
        <v>1</v>
      </c>
      <c r="R168">
        <v>1</v>
      </c>
      <c r="S168">
        <v>0</v>
      </c>
      <c r="T168">
        <v>0</v>
      </c>
      <c r="U168">
        <v>0</v>
      </c>
      <c r="V168">
        <v>0</v>
      </c>
    </row>
    <row r="169" spans="1:22" x14ac:dyDescent="0.2">
      <c r="A169" t="s">
        <v>380</v>
      </c>
      <c r="B169" t="s">
        <v>33</v>
      </c>
      <c r="C169" t="s">
        <v>41</v>
      </c>
      <c r="D169" t="s">
        <v>42</v>
      </c>
      <c r="E169" t="s">
        <v>37</v>
      </c>
      <c r="F169" t="s">
        <v>65</v>
      </c>
      <c r="G169" t="s">
        <v>47</v>
      </c>
      <c r="H169" t="s">
        <v>48</v>
      </c>
      <c r="I169">
        <v>0</v>
      </c>
      <c r="J169">
        <v>1</v>
      </c>
      <c r="K169">
        <v>1</v>
      </c>
      <c r="L169">
        <v>1</v>
      </c>
      <c r="M169">
        <v>0</v>
      </c>
      <c r="N169">
        <v>0</v>
      </c>
      <c r="O169">
        <v>1</v>
      </c>
      <c r="P169">
        <v>0</v>
      </c>
      <c r="Q169">
        <v>1</v>
      </c>
      <c r="R169">
        <v>1</v>
      </c>
      <c r="S169">
        <v>1</v>
      </c>
      <c r="T169">
        <v>0</v>
      </c>
      <c r="U169">
        <v>0</v>
      </c>
      <c r="V169">
        <v>0</v>
      </c>
    </row>
    <row r="170" spans="1:22" x14ac:dyDescent="0.2">
      <c r="A170" t="s">
        <v>380</v>
      </c>
      <c r="B170" t="s">
        <v>33</v>
      </c>
      <c r="C170" t="s">
        <v>41</v>
      </c>
      <c r="D170" t="s">
        <v>61</v>
      </c>
      <c r="E170" t="s">
        <v>37</v>
      </c>
      <c r="F170" t="s">
        <v>59</v>
      </c>
      <c r="G170" t="s">
        <v>46</v>
      </c>
      <c r="H170" t="s">
        <v>65</v>
      </c>
      <c r="I170">
        <v>0</v>
      </c>
      <c r="J170">
        <v>1</v>
      </c>
      <c r="K170">
        <v>0</v>
      </c>
      <c r="L170">
        <v>0</v>
      </c>
      <c r="M170">
        <v>1</v>
      </c>
      <c r="N170">
        <v>0</v>
      </c>
      <c r="O170">
        <v>1</v>
      </c>
      <c r="P170">
        <v>0</v>
      </c>
      <c r="Q170">
        <v>1</v>
      </c>
      <c r="R170">
        <v>0</v>
      </c>
      <c r="S170">
        <v>0</v>
      </c>
      <c r="T170">
        <v>1</v>
      </c>
      <c r="U170">
        <v>0</v>
      </c>
      <c r="V170">
        <v>0</v>
      </c>
    </row>
    <row r="171" spans="1:22" x14ac:dyDescent="0.2">
      <c r="A171" t="s">
        <v>383</v>
      </c>
      <c r="B171" t="s">
        <v>108</v>
      </c>
      <c r="C171" t="s">
        <v>41</v>
      </c>
      <c r="D171" t="s">
        <v>61</v>
      </c>
      <c r="E171" t="s">
        <v>37</v>
      </c>
      <c r="F171" t="s">
        <v>46</v>
      </c>
      <c r="G171" t="s">
        <v>60</v>
      </c>
      <c r="H171" t="s">
        <v>65</v>
      </c>
      <c r="I171">
        <v>1</v>
      </c>
      <c r="J171">
        <v>1</v>
      </c>
      <c r="K171">
        <v>0</v>
      </c>
      <c r="L171">
        <v>0</v>
      </c>
      <c r="M171">
        <v>1</v>
      </c>
      <c r="N171">
        <v>0</v>
      </c>
      <c r="O171">
        <v>1</v>
      </c>
      <c r="P171">
        <v>1</v>
      </c>
      <c r="Q171">
        <v>1</v>
      </c>
      <c r="R171">
        <v>0</v>
      </c>
      <c r="S171">
        <v>0</v>
      </c>
      <c r="T171">
        <v>1</v>
      </c>
      <c r="U171">
        <v>0</v>
      </c>
      <c r="V171">
        <v>0</v>
      </c>
    </row>
    <row r="172" spans="1:22" x14ac:dyDescent="0.2">
      <c r="A172" t="s">
        <v>383</v>
      </c>
      <c r="B172" t="s">
        <v>108</v>
      </c>
      <c r="C172" t="s">
        <v>41</v>
      </c>
      <c r="D172" t="s">
        <v>49</v>
      </c>
      <c r="E172" t="s">
        <v>37</v>
      </c>
      <c r="F172" t="s">
        <v>47</v>
      </c>
      <c r="G172" t="s">
        <v>65</v>
      </c>
      <c r="H172" t="s">
        <v>59</v>
      </c>
      <c r="I172">
        <v>0</v>
      </c>
      <c r="J172">
        <v>1</v>
      </c>
      <c r="K172">
        <v>0</v>
      </c>
      <c r="L172">
        <v>1</v>
      </c>
      <c r="M172">
        <v>0</v>
      </c>
      <c r="N172">
        <v>0</v>
      </c>
      <c r="O172">
        <v>1</v>
      </c>
      <c r="P172">
        <v>0</v>
      </c>
      <c r="Q172">
        <v>1</v>
      </c>
      <c r="R172">
        <v>0</v>
      </c>
      <c r="S172">
        <v>1</v>
      </c>
      <c r="T172">
        <v>0</v>
      </c>
      <c r="U172">
        <v>0</v>
      </c>
      <c r="V172">
        <v>0</v>
      </c>
    </row>
    <row r="173" spans="1:22" x14ac:dyDescent="0.2">
      <c r="A173" t="s">
        <v>383</v>
      </c>
      <c r="B173" t="s">
        <v>108</v>
      </c>
      <c r="C173" t="s">
        <v>41</v>
      </c>
      <c r="D173" t="s">
        <v>55</v>
      </c>
      <c r="E173" t="s">
        <v>37</v>
      </c>
      <c r="F173" t="s">
        <v>48</v>
      </c>
      <c r="G173" t="s">
        <v>65</v>
      </c>
      <c r="H173" t="s">
        <v>46</v>
      </c>
      <c r="I173">
        <v>0</v>
      </c>
      <c r="J173">
        <v>1</v>
      </c>
      <c r="K173">
        <v>1</v>
      </c>
      <c r="L173">
        <v>0</v>
      </c>
      <c r="M173">
        <v>1</v>
      </c>
      <c r="N173">
        <v>0</v>
      </c>
      <c r="O173">
        <v>1</v>
      </c>
      <c r="P173">
        <v>0</v>
      </c>
      <c r="Q173">
        <v>1</v>
      </c>
      <c r="R173">
        <v>1</v>
      </c>
      <c r="S173">
        <v>0</v>
      </c>
      <c r="T173">
        <v>1</v>
      </c>
      <c r="U173">
        <v>0</v>
      </c>
      <c r="V173">
        <v>0</v>
      </c>
    </row>
    <row r="174" spans="1:22" x14ac:dyDescent="0.2">
      <c r="A174" t="s">
        <v>387</v>
      </c>
      <c r="B174" t="s">
        <v>108</v>
      </c>
      <c r="C174" t="s">
        <v>41</v>
      </c>
      <c r="D174" t="s">
        <v>55</v>
      </c>
      <c r="E174" t="s">
        <v>37</v>
      </c>
      <c r="F174" t="s">
        <v>47</v>
      </c>
      <c r="G174" t="s">
        <v>65</v>
      </c>
      <c r="H174" t="s">
        <v>59</v>
      </c>
      <c r="I174">
        <v>0</v>
      </c>
      <c r="J174">
        <v>1</v>
      </c>
      <c r="K174">
        <v>0</v>
      </c>
      <c r="L174">
        <v>1</v>
      </c>
      <c r="M174">
        <v>0</v>
      </c>
      <c r="N174">
        <v>0</v>
      </c>
      <c r="O174">
        <v>1</v>
      </c>
      <c r="P174">
        <v>0</v>
      </c>
      <c r="Q174">
        <v>1</v>
      </c>
      <c r="R174">
        <v>0</v>
      </c>
      <c r="S174">
        <v>1</v>
      </c>
      <c r="T174">
        <v>0</v>
      </c>
      <c r="U174">
        <v>0</v>
      </c>
      <c r="V174">
        <v>0</v>
      </c>
    </row>
    <row r="175" spans="1:22" x14ac:dyDescent="0.2">
      <c r="A175" t="s">
        <v>387</v>
      </c>
      <c r="B175" t="s">
        <v>108</v>
      </c>
      <c r="C175" t="s">
        <v>41</v>
      </c>
      <c r="D175" t="s">
        <v>42</v>
      </c>
      <c r="E175" t="s">
        <v>37</v>
      </c>
      <c r="F175" t="s">
        <v>47</v>
      </c>
      <c r="G175" t="s">
        <v>46</v>
      </c>
      <c r="H175" t="s">
        <v>65</v>
      </c>
      <c r="I175">
        <v>0</v>
      </c>
      <c r="J175">
        <v>1</v>
      </c>
      <c r="K175">
        <v>0</v>
      </c>
      <c r="L175">
        <v>1</v>
      </c>
      <c r="M175">
        <v>1</v>
      </c>
      <c r="N175">
        <v>0</v>
      </c>
      <c r="O175">
        <v>1</v>
      </c>
      <c r="P175">
        <v>0</v>
      </c>
      <c r="Q175">
        <v>1</v>
      </c>
      <c r="R175">
        <v>0</v>
      </c>
      <c r="S175">
        <v>1</v>
      </c>
      <c r="T175">
        <v>0</v>
      </c>
      <c r="U175">
        <v>0</v>
      </c>
      <c r="V175">
        <v>0</v>
      </c>
    </row>
    <row r="176" spans="1:22" x14ac:dyDescent="0.2">
      <c r="A176" t="s">
        <v>390</v>
      </c>
      <c r="B176" t="s">
        <v>188</v>
      </c>
      <c r="C176" t="s">
        <v>41</v>
      </c>
      <c r="D176" t="s">
        <v>49</v>
      </c>
      <c r="E176" t="s">
        <v>37</v>
      </c>
      <c r="F176" t="s">
        <v>47</v>
      </c>
      <c r="G176" t="s">
        <v>48</v>
      </c>
      <c r="H176" t="s">
        <v>65</v>
      </c>
      <c r="I176">
        <v>0</v>
      </c>
      <c r="J176">
        <v>1</v>
      </c>
      <c r="K176">
        <v>1</v>
      </c>
      <c r="L176">
        <v>1</v>
      </c>
      <c r="M176">
        <v>0</v>
      </c>
      <c r="N176">
        <v>0</v>
      </c>
      <c r="O176">
        <v>1</v>
      </c>
      <c r="P176">
        <v>0</v>
      </c>
      <c r="Q176">
        <v>1</v>
      </c>
      <c r="R176">
        <v>1</v>
      </c>
      <c r="S176">
        <v>1</v>
      </c>
      <c r="T176">
        <v>0</v>
      </c>
      <c r="U176">
        <v>0</v>
      </c>
      <c r="V176">
        <v>0</v>
      </c>
    </row>
    <row r="177" spans="1:22" x14ac:dyDescent="0.2">
      <c r="A177" t="s">
        <v>390</v>
      </c>
      <c r="B177" t="s">
        <v>188</v>
      </c>
      <c r="C177" t="s">
        <v>41</v>
      </c>
      <c r="D177" t="s">
        <v>55</v>
      </c>
      <c r="E177" t="s">
        <v>37</v>
      </c>
      <c r="F177" t="s">
        <v>65</v>
      </c>
      <c r="G177" t="s">
        <v>48</v>
      </c>
      <c r="H177" t="s">
        <v>47</v>
      </c>
      <c r="I177">
        <v>0</v>
      </c>
      <c r="J177">
        <v>1</v>
      </c>
      <c r="K177">
        <v>1</v>
      </c>
      <c r="L177">
        <v>1</v>
      </c>
      <c r="M177">
        <v>0</v>
      </c>
      <c r="N177">
        <v>0</v>
      </c>
      <c r="O177">
        <v>1</v>
      </c>
      <c r="P177">
        <v>0</v>
      </c>
      <c r="Q177">
        <v>1</v>
      </c>
      <c r="R177">
        <v>1</v>
      </c>
      <c r="S177">
        <v>1</v>
      </c>
      <c r="T177">
        <v>0</v>
      </c>
      <c r="U177">
        <v>0</v>
      </c>
      <c r="V177">
        <v>0</v>
      </c>
    </row>
    <row r="178" spans="1:22" x14ac:dyDescent="0.2">
      <c r="A178" t="s">
        <v>390</v>
      </c>
      <c r="B178" t="s">
        <v>188</v>
      </c>
      <c r="C178" t="s">
        <v>41</v>
      </c>
      <c r="D178" t="s">
        <v>61</v>
      </c>
      <c r="E178" t="s">
        <v>37</v>
      </c>
      <c r="F178" t="s">
        <v>65</v>
      </c>
      <c r="G178" t="s">
        <v>47</v>
      </c>
      <c r="H178" t="s">
        <v>59</v>
      </c>
      <c r="I178">
        <v>0</v>
      </c>
      <c r="J178">
        <v>1</v>
      </c>
      <c r="K178">
        <v>0</v>
      </c>
      <c r="L178">
        <v>1</v>
      </c>
      <c r="M178">
        <v>0</v>
      </c>
      <c r="N178">
        <v>0</v>
      </c>
      <c r="O178">
        <v>1</v>
      </c>
      <c r="P178">
        <v>0</v>
      </c>
      <c r="Q178">
        <v>1</v>
      </c>
      <c r="R178">
        <v>0</v>
      </c>
      <c r="S178">
        <v>1</v>
      </c>
      <c r="T178">
        <v>0</v>
      </c>
      <c r="U178">
        <v>0</v>
      </c>
      <c r="V178">
        <v>0</v>
      </c>
    </row>
    <row r="179" spans="1:22" x14ac:dyDescent="0.2">
      <c r="A179" t="s">
        <v>394</v>
      </c>
      <c r="B179" t="s">
        <v>108</v>
      </c>
      <c r="C179" t="s">
        <v>41</v>
      </c>
      <c r="D179" t="s">
        <v>55</v>
      </c>
      <c r="E179" t="s">
        <v>37</v>
      </c>
      <c r="F179" t="s">
        <v>46</v>
      </c>
      <c r="G179" t="s">
        <v>65</v>
      </c>
      <c r="H179" t="s">
        <v>47</v>
      </c>
      <c r="I179">
        <v>0</v>
      </c>
      <c r="J179">
        <v>1</v>
      </c>
      <c r="K179">
        <v>0</v>
      </c>
      <c r="L179">
        <v>1</v>
      </c>
      <c r="M179">
        <v>1</v>
      </c>
      <c r="N179">
        <v>0</v>
      </c>
      <c r="O179">
        <v>1</v>
      </c>
      <c r="P179">
        <v>0</v>
      </c>
      <c r="Q179">
        <v>1</v>
      </c>
      <c r="R179">
        <v>0</v>
      </c>
      <c r="S179">
        <v>1</v>
      </c>
      <c r="T179">
        <v>0</v>
      </c>
      <c r="U179">
        <v>0</v>
      </c>
      <c r="V179">
        <v>0</v>
      </c>
    </row>
    <row r="180" spans="1:22" x14ac:dyDescent="0.2">
      <c r="A180" t="s">
        <v>394</v>
      </c>
      <c r="B180" t="s">
        <v>108</v>
      </c>
      <c r="C180" t="s">
        <v>41</v>
      </c>
      <c r="D180" t="s">
        <v>67</v>
      </c>
      <c r="E180" t="s">
        <v>37</v>
      </c>
      <c r="F180" t="s">
        <v>60</v>
      </c>
      <c r="G180" t="s">
        <v>48</v>
      </c>
      <c r="H180" t="s">
        <v>65</v>
      </c>
      <c r="I180">
        <v>1</v>
      </c>
      <c r="J180">
        <v>1</v>
      </c>
      <c r="K180">
        <v>1</v>
      </c>
      <c r="L180">
        <v>0</v>
      </c>
      <c r="M180">
        <v>0</v>
      </c>
      <c r="N180">
        <v>0</v>
      </c>
      <c r="O180">
        <v>1</v>
      </c>
      <c r="P180">
        <v>0</v>
      </c>
      <c r="Q180">
        <v>1</v>
      </c>
      <c r="R180">
        <v>0</v>
      </c>
      <c r="S180">
        <v>0</v>
      </c>
      <c r="T180">
        <v>0</v>
      </c>
      <c r="U180">
        <v>0</v>
      </c>
      <c r="V180">
        <v>0</v>
      </c>
    </row>
    <row r="181" spans="1:22" x14ac:dyDescent="0.2">
      <c r="A181" t="s">
        <v>394</v>
      </c>
      <c r="B181" t="s">
        <v>108</v>
      </c>
      <c r="C181" t="s">
        <v>41</v>
      </c>
      <c r="D181" t="s">
        <v>61</v>
      </c>
      <c r="E181" t="s">
        <v>37</v>
      </c>
      <c r="F181" t="s">
        <v>48</v>
      </c>
      <c r="G181" t="s">
        <v>47</v>
      </c>
      <c r="H181" t="s">
        <v>65</v>
      </c>
      <c r="I181">
        <v>0</v>
      </c>
      <c r="J181">
        <v>1</v>
      </c>
      <c r="K181">
        <v>1</v>
      </c>
      <c r="L181">
        <v>1</v>
      </c>
      <c r="M181">
        <v>0</v>
      </c>
      <c r="N181">
        <v>0</v>
      </c>
      <c r="O181">
        <v>1</v>
      </c>
      <c r="P181">
        <v>0</v>
      </c>
      <c r="Q181">
        <v>1</v>
      </c>
      <c r="R181">
        <v>0</v>
      </c>
      <c r="S181">
        <v>1</v>
      </c>
      <c r="T181">
        <v>0</v>
      </c>
      <c r="U181">
        <v>0</v>
      </c>
      <c r="V181">
        <v>0</v>
      </c>
    </row>
    <row r="182" spans="1:22" x14ac:dyDescent="0.2">
      <c r="A182" t="s">
        <v>394</v>
      </c>
      <c r="B182" t="s">
        <v>108</v>
      </c>
      <c r="C182" t="s">
        <v>41</v>
      </c>
      <c r="D182" t="s">
        <v>72</v>
      </c>
      <c r="E182" t="s">
        <v>37</v>
      </c>
      <c r="F182" t="s">
        <v>65</v>
      </c>
      <c r="G182" t="s">
        <v>46</v>
      </c>
      <c r="H182" t="s">
        <v>48</v>
      </c>
      <c r="I182">
        <v>0</v>
      </c>
      <c r="J182">
        <v>1</v>
      </c>
      <c r="K182">
        <v>1</v>
      </c>
      <c r="L182">
        <v>0</v>
      </c>
      <c r="M182">
        <v>1</v>
      </c>
      <c r="N182">
        <v>0</v>
      </c>
      <c r="O182">
        <v>1</v>
      </c>
      <c r="P182">
        <v>0</v>
      </c>
      <c r="Q182">
        <v>1</v>
      </c>
      <c r="R182">
        <v>0</v>
      </c>
      <c r="S182">
        <v>0</v>
      </c>
      <c r="T182">
        <v>0</v>
      </c>
      <c r="U182">
        <v>0</v>
      </c>
      <c r="V182">
        <v>0</v>
      </c>
    </row>
    <row r="183" spans="1:22" x14ac:dyDescent="0.2">
      <c r="A183" t="s">
        <v>394</v>
      </c>
      <c r="B183" t="s">
        <v>108</v>
      </c>
      <c r="C183" t="s">
        <v>41</v>
      </c>
      <c r="D183" t="s">
        <v>42</v>
      </c>
      <c r="E183" t="s">
        <v>37</v>
      </c>
      <c r="F183" t="s">
        <v>46</v>
      </c>
      <c r="G183" t="s">
        <v>48</v>
      </c>
      <c r="H183" t="s">
        <v>65</v>
      </c>
      <c r="I183">
        <v>0</v>
      </c>
      <c r="J183">
        <v>1</v>
      </c>
      <c r="K183">
        <v>1</v>
      </c>
      <c r="L183">
        <v>0</v>
      </c>
      <c r="M183">
        <v>1</v>
      </c>
      <c r="N183">
        <v>0</v>
      </c>
      <c r="O183">
        <v>1</v>
      </c>
      <c r="P183">
        <v>0</v>
      </c>
      <c r="Q183">
        <v>1</v>
      </c>
      <c r="R183">
        <v>0</v>
      </c>
      <c r="S183">
        <v>0</v>
      </c>
      <c r="T183">
        <v>0</v>
      </c>
      <c r="U183">
        <v>0</v>
      </c>
      <c r="V183">
        <v>0</v>
      </c>
    </row>
    <row r="184" spans="1:22" x14ac:dyDescent="0.2">
      <c r="A184" t="s">
        <v>396</v>
      </c>
      <c r="B184" t="s">
        <v>397</v>
      </c>
      <c r="C184" t="s">
        <v>41</v>
      </c>
      <c r="D184" t="s">
        <v>67</v>
      </c>
      <c r="E184" t="s">
        <v>37</v>
      </c>
      <c r="F184" t="s">
        <v>46</v>
      </c>
      <c r="G184" t="s">
        <v>65</v>
      </c>
      <c r="H184" t="s">
        <v>47</v>
      </c>
      <c r="I184">
        <v>0</v>
      </c>
      <c r="J184">
        <v>1</v>
      </c>
      <c r="K184">
        <v>0</v>
      </c>
      <c r="L184">
        <v>1</v>
      </c>
      <c r="M184">
        <v>1</v>
      </c>
      <c r="N184">
        <v>0</v>
      </c>
      <c r="O184">
        <v>1</v>
      </c>
      <c r="P184">
        <v>0</v>
      </c>
      <c r="Q184">
        <v>1</v>
      </c>
      <c r="R184">
        <v>0</v>
      </c>
      <c r="S184">
        <v>0</v>
      </c>
      <c r="T184">
        <v>0</v>
      </c>
      <c r="U184">
        <v>0</v>
      </c>
      <c r="V184">
        <v>0</v>
      </c>
    </row>
    <row r="185" spans="1:22" x14ac:dyDescent="0.2">
      <c r="A185" t="s">
        <v>399</v>
      </c>
      <c r="B185" t="s">
        <v>108</v>
      </c>
      <c r="C185" t="s">
        <v>41</v>
      </c>
      <c r="D185" t="s">
        <v>42</v>
      </c>
      <c r="E185" t="s">
        <v>37</v>
      </c>
      <c r="F185" t="s">
        <v>48</v>
      </c>
      <c r="G185" t="s">
        <v>59</v>
      </c>
      <c r="H185" t="s">
        <v>65</v>
      </c>
      <c r="I185">
        <v>0</v>
      </c>
      <c r="J185">
        <v>1</v>
      </c>
      <c r="K185">
        <v>1</v>
      </c>
      <c r="L185">
        <v>0</v>
      </c>
      <c r="M185">
        <v>0</v>
      </c>
      <c r="N185">
        <v>0</v>
      </c>
      <c r="O185">
        <v>1</v>
      </c>
      <c r="P185">
        <v>0</v>
      </c>
      <c r="Q185">
        <v>1</v>
      </c>
      <c r="R185">
        <v>1</v>
      </c>
      <c r="S185">
        <v>0</v>
      </c>
      <c r="T185">
        <v>0</v>
      </c>
      <c r="U185">
        <v>0</v>
      </c>
      <c r="V185">
        <v>0</v>
      </c>
    </row>
    <row r="186" spans="1:22" x14ac:dyDescent="0.2">
      <c r="A186" t="s">
        <v>399</v>
      </c>
      <c r="B186" t="s">
        <v>108</v>
      </c>
      <c r="C186" t="s">
        <v>41</v>
      </c>
      <c r="D186" t="s">
        <v>55</v>
      </c>
      <c r="E186" t="s">
        <v>37</v>
      </c>
      <c r="F186" t="s">
        <v>65</v>
      </c>
      <c r="G186" t="s">
        <v>48</v>
      </c>
      <c r="H186" t="s">
        <v>46</v>
      </c>
      <c r="I186">
        <v>0</v>
      </c>
      <c r="J186">
        <v>1</v>
      </c>
      <c r="K186">
        <v>1</v>
      </c>
      <c r="L186">
        <v>0</v>
      </c>
      <c r="M186">
        <v>1</v>
      </c>
      <c r="N186">
        <v>0</v>
      </c>
      <c r="O186">
        <v>1</v>
      </c>
      <c r="P186">
        <v>0</v>
      </c>
      <c r="Q186">
        <v>1</v>
      </c>
      <c r="R186">
        <v>1</v>
      </c>
      <c r="S186">
        <v>0</v>
      </c>
      <c r="T186">
        <v>1</v>
      </c>
      <c r="U186">
        <v>0</v>
      </c>
      <c r="V186">
        <v>0</v>
      </c>
    </row>
    <row r="187" spans="1:22" x14ac:dyDescent="0.2">
      <c r="A187" t="s">
        <v>402</v>
      </c>
      <c r="B187" t="s">
        <v>108</v>
      </c>
      <c r="C187" t="s">
        <v>41</v>
      </c>
      <c r="D187" t="s">
        <v>55</v>
      </c>
      <c r="E187" t="s">
        <v>37</v>
      </c>
      <c r="F187" t="s">
        <v>65</v>
      </c>
      <c r="G187" t="s">
        <v>48</v>
      </c>
      <c r="H187" t="s">
        <v>46</v>
      </c>
      <c r="I187">
        <v>0</v>
      </c>
      <c r="J187">
        <v>1</v>
      </c>
      <c r="K187">
        <v>1</v>
      </c>
      <c r="L187">
        <v>0</v>
      </c>
      <c r="M187">
        <v>1</v>
      </c>
      <c r="N187">
        <v>0</v>
      </c>
      <c r="O187">
        <v>1</v>
      </c>
      <c r="P187">
        <v>0</v>
      </c>
      <c r="Q187">
        <v>1</v>
      </c>
      <c r="R187">
        <v>1</v>
      </c>
      <c r="S187">
        <v>0</v>
      </c>
      <c r="T187">
        <v>1</v>
      </c>
      <c r="U187">
        <v>0</v>
      </c>
      <c r="V187">
        <v>0</v>
      </c>
    </row>
    <row r="188" spans="1:22" x14ac:dyDescent="0.2">
      <c r="A188" t="s">
        <v>402</v>
      </c>
      <c r="B188" t="s">
        <v>108</v>
      </c>
      <c r="C188" t="s">
        <v>41</v>
      </c>
      <c r="D188" t="s">
        <v>72</v>
      </c>
      <c r="E188" t="s">
        <v>37</v>
      </c>
      <c r="F188" t="s">
        <v>46</v>
      </c>
      <c r="G188" t="s">
        <v>65</v>
      </c>
      <c r="H188" t="s">
        <v>59</v>
      </c>
      <c r="I188">
        <v>0</v>
      </c>
      <c r="J188">
        <v>1</v>
      </c>
      <c r="K188">
        <v>0</v>
      </c>
      <c r="L188">
        <v>0</v>
      </c>
      <c r="M188">
        <v>1</v>
      </c>
      <c r="N188">
        <v>0</v>
      </c>
      <c r="O188">
        <v>1</v>
      </c>
      <c r="P188">
        <v>0</v>
      </c>
      <c r="Q188">
        <v>1</v>
      </c>
      <c r="R188">
        <v>0</v>
      </c>
      <c r="S188">
        <v>0</v>
      </c>
      <c r="T188">
        <v>1</v>
      </c>
      <c r="U188">
        <v>0</v>
      </c>
      <c r="V188">
        <v>0</v>
      </c>
    </row>
    <row r="189" spans="1:22" x14ac:dyDescent="0.2">
      <c r="A189" t="s">
        <v>402</v>
      </c>
      <c r="B189" t="s">
        <v>108</v>
      </c>
      <c r="C189" t="s">
        <v>41</v>
      </c>
      <c r="D189" t="s">
        <v>67</v>
      </c>
      <c r="E189" t="s">
        <v>37</v>
      </c>
      <c r="F189" t="s">
        <v>48</v>
      </c>
      <c r="G189" t="s">
        <v>46</v>
      </c>
      <c r="H189" t="s">
        <v>65</v>
      </c>
      <c r="I189">
        <v>0</v>
      </c>
      <c r="J189">
        <v>1</v>
      </c>
      <c r="K189">
        <v>1</v>
      </c>
      <c r="L189">
        <v>0</v>
      </c>
      <c r="M189">
        <v>1</v>
      </c>
      <c r="N189">
        <v>0</v>
      </c>
      <c r="O189">
        <v>1</v>
      </c>
      <c r="P189">
        <v>0</v>
      </c>
      <c r="Q189">
        <v>1</v>
      </c>
      <c r="R189">
        <v>1</v>
      </c>
      <c r="S189">
        <v>0</v>
      </c>
      <c r="T189">
        <v>1</v>
      </c>
      <c r="U189">
        <v>0</v>
      </c>
      <c r="V189">
        <v>0</v>
      </c>
    </row>
    <row r="190" spans="1:22" x14ac:dyDescent="0.2">
      <c r="A190" t="s">
        <v>405</v>
      </c>
      <c r="B190" t="s">
        <v>108</v>
      </c>
      <c r="C190" t="s">
        <v>41</v>
      </c>
      <c r="D190" t="s">
        <v>67</v>
      </c>
      <c r="E190" t="s">
        <v>37</v>
      </c>
      <c r="F190" t="s">
        <v>65</v>
      </c>
      <c r="G190" t="s">
        <v>47</v>
      </c>
      <c r="H190" t="s">
        <v>59</v>
      </c>
      <c r="I190">
        <v>0</v>
      </c>
      <c r="J190">
        <v>1</v>
      </c>
      <c r="K190">
        <v>0</v>
      </c>
      <c r="L190">
        <v>1</v>
      </c>
      <c r="M190">
        <v>0</v>
      </c>
      <c r="N190">
        <v>0</v>
      </c>
      <c r="O190">
        <v>1</v>
      </c>
      <c r="P190">
        <v>0</v>
      </c>
      <c r="Q190">
        <v>1</v>
      </c>
      <c r="R190">
        <v>0</v>
      </c>
      <c r="S190">
        <v>0</v>
      </c>
      <c r="T190">
        <v>0</v>
      </c>
      <c r="U190">
        <v>0</v>
      </c>
      <c r="V190">
        <v>0</v>
      </c>
    </row>
    <row r="191" spans="1:22" x14ac:dyDescent="0.2">
      <c r="A191" t="s">
        <v>408</v>
      </c>
      <c r="B191" t="s">
        <v>108</v>
      </c>
      <c r="C191" t="s">
        <v>41</v>
      </c>
      <c r="D191" t="s">
        <v>61</v>
      </c>
      <c r="E191" t="s">
        <v>37</v>
      </c>
      <c r="F191" t="s">
        <v>59</v>
      </c>
      <c r="G191" t="s">
        <v>46</v>
      </c>
      <c r="H191" t="s">
        <v>65</v>
      </c>
      <c r="I191">
        <v>0</v>
      </c>
      <c r="J191">
        <v>1</v>
      </c>
      <c r="K191">
        <v>0</v>
      </c>
      <c r="L191">
        <v>0</v>
      </c>
      <c r="M191">
        <v>1</v>
      </c>
      <c r="N191">
        <v>0</v>
      </c>
      <c r="O191">
        <v>1</v>
      </c>
      <c r="P191">
        <v>0</v>
      </c>
      <c r="Q191">
        <v>1</v>
      </c>
      <c r="R191">
        <v>0</v>
      </c>
      <c r="S191">
        <v>0</v>
      </c>
      <c r="T191">
        <v>1</v>
      </c>
      <c r="U191">
        <v>0</v>
      </c>
      <c r="V191">
        <v>0</v>
      </c>
    </row>
    <row r="192" spans="1:22" x14ac:dyDescent="0.2">
      <c r="A192" t="s">
        <v>408</v>
      </c>
      <c r="B192" t="s">
        <v>108</v>
      </c>
      <c r="C192" t="s">
        <v>41</v>
      </c>
      <c r="D192" t="s">
        <v>42</v>
      </c>
      <c r="E192" t="s">
        <v>37</v>
      </c>
      <c r="F192" t="s">
        <v>65</v>
      </c>
      <c r="G192" t="s">
        <v>48</v>
      </c>
      <c r="H192" t="s">
        <v>47</v>
      </c>
      <c r="I192">
        <v>0</v>
      </c>
      <c r="J192">
        <v>1</v>
      </c>
      <c r="K192">
        <v>1</v>
      </c>
      <c r="L192">
        <v>1</v>
      </c>
      <c r="M192">
        <v>0</v>
      </c>
      <c r="N192">
        <v>0</v>
      </c>
      <c r="O192">
        <v>1</v>
      </c>
      <c r="P192">
        <v>0</v>
      </c>
      <c r="Q192">
        <v>1</v>
      </c>
      <c r="R192">
        <v>1</v>
      </c>
      <c r="S192">
        <v>1</v>
      </c>
      <c r="T192">
        <v>0</v>
      </c>
      <c r="U192">
        <v>0</v>
      </c>
      <c r="V192">
        <v>0</v>
      </c>
    </row>
    <row r="193" spans="1:22" x14ac:dyDescent="0.2">
      <c r="A193" t="s">
        <v>408</v>
      </c>
      <c r="B193" t="s">
        <v>108</v>
      </c>
      <c r="C193" t="s">
        <v>41</v>
      </c>
      <c r="D193" t="s">
        <v>67</v>
      </c>
      <c r="E193" t="s">
        <v>37</v>
      </c>
      <c r="F193" t="s">
        <v>48</v>
      </c>
      <c r="G193" t="s">
        <v>60</v>
      </c>
      <c r="H193" t="s">
        <v>65</v>
      </c>
      <c r="I193">
        <v>1</v>
      </c>
      <c r="J193">
        <v>1</v>
      </c>
      <c r="K193">
        <v>1</v>
      </c>
      <c r="L193">
        <v>0</v>
      </c>
      <c r="M193">
        <v>0</v>
      </c>
      <c r="N193">
        <v>0</v>
      </c>
      <c r="O193">
        <v>1</v>
      </c>
      <c r="P193">
        <v>1</v>
      </c>
      <c r="Q193">
        <v>1</v>
      </c>
      <c r="R193">
        <v>1</v>
      </c>
      <c r="S193">
        <v>0</v>
      </c>
      <c r="T193">
        <v>0</v>
      </c>
      <c r="U193">
        <v>0</v>
      </c>
      <c r="V193">
        <v>0</v>
      </c>
    </row>
    <row r="194" spans="1:22" x14ac:dyDescent="0.2">
      <c r="A194" t="s">
        <v>408</v>
      </c>
      <c r="B194" t="s">
        <v>108</v>
      </c>
      <c r="C194" t="s">
        <v>41</v>
      </c>
      <c r="D194" t="s">
        <v>49</v>
      </c>
      <c r="E194" t="s">
        <v>37</v>
      </c>
      <c r="F194" t="s">
        <v>48</v>
      </c>
      <c r="G194" t="s">
        <v>46</v>
      </c>
      <c r="H194" t="s">
        <v>65</v>
      </c>
      <c r="I194">
        <v>0</v>
      </c>
      <c r="J194">
        <v>1</v>
      </c>
      <c r="K194">
        <v>1</v>
      </c>
      <c r="L194">
        <v>0</v>
      </c>
      <c r="M194">
        <v>1</v>
      </c>
      <c r="N194">
        <v>0</v>
      </c>
      <c r="O194">
        <v>1</v>
      </c>
      <c r="P194">
        <v>0</v>
      </c>
      <c r="Q194">
        <v>1</v>
      </c>
      <c r="R194">
        <v>0</v>
      </c>
      <c r="S194">
        <v>0</v>
      </c>
      <c r="T194">
        <v>0</v>
      </c>
      <c r="U194">
        <v>0</v>
      </c>
      <c r="V194">
        <v>0</v>
      </c>
    </row>
    <row r="195" spans="1:22" x14ac:dyDescent="0.2">
      <c r="A195" t="s">
        <v>411</v>
      </c>
      <c r="B195" t="s">
        <v>33</v>
      </c>
      <c r="C195" t="s">
        <v>41</v>
      </c>
      <c r="D195" t="s">
        <v>67</v>
      </c>
      <c r="E195" t="s">
        <v>37</v>
      </c>
      <c r="F195" t="s">
        <v>65</v>
      </c>
      <c r="G195" t="s">
        <v>47</v>
      </c>
      <c r="H195" t="s">
        <v>59</v>
      </c>
      <c r="I195">
        <v>0</v>
      </c>
      <c r="J195">
        <v>1</v>
      </c>
      <c r="K195">
        <v>0</v>
      </c>
      <c r="L195">
        <v>1</v>
      </c>
      <c r="M195">
        <v>0</v>
      </c>
      <c r="N195">
        <v>0</v>
      </c>
      <c r="O195">
        <v>1</v>
      </c>
      <c r="P195">
        <v>0</v>
      </c>
      <c r="Q195">
        <v>1</v>
      </c>
      <c r="R195">
        <v>0</v>
      </c>
      <c r="S195">
        <v>1</v>
      </c>
      <c r="T195">
        <v>0</v>
      </c>
      <c r="U195">
        <v>0</v>
      </c>
      <c r="V195">
        <v>0</v>
      </c>
    </row>
    <row r="196" spans="1:22" x14ac:dyDescent="0.2">
      <c r="A196" t="s">
        <v>411</v>
      </c>
      <c r="B196" t="s">
        <v>33</v>
      </c>
      <c r="C196" t="s">
        <v>41</v>
      </c>
      <c r="D196" t="s">
        <v>55</v>
      </c>
      <c r="E196" t="s">
        <v>37</v>
      </c>
      <c r="F196" t="s">
        <v>48</v>
      </c>
      <c r="G196" t="s">
        <v>47</v>
      </c>
      <c r="H196" t="s">
        <v>65</v>
      </c>
      <c r="I196">
        <v>0</v>
      </c>
      <c r="J196">
        <v>1</v>
      </c>
      <c r="K196">
        <v>1</v>
      </c>
      <c r="L196">
        <v>1</v>
      </c>
      <c r="M196">
        <v>0</v>
      </c>
      <c r="N196">
        <v>0</v>
      </c>
      <c r="O196">
        <v>1</v>
      </c>
      <c r="P196">
        <v>0</v>
      </c>
      <c r="Q196">
        <v>1</v>
      </c>
      <c r="R196">
        <v>1</v>
      </c>
      <c r="S196">
        <v>1</v>
      </c>
      <c r="T196">
        <v>0</v>
      </c>
      <c r="U196">
        <v>0</v>
      </c>
      <c r="V196">
        <v>0</v>
      </c>
    </row>
    <row r="197" spans="1:22" x14ac:dyDescent="0.2">
      <c r="A197" t="s">
        <v>411</v>
      </c>
      <c r="B197" t="s">
        <v>33</v>
      </c>
      <c r="C197" t="s">
        <v>41</v>
      </c>
      <c r="D197" t="s">
        <v>42</v>
      </c>
      <c r="E197" t="s">
        <v>37</v>
      </c>
      <c r="F197" t="s">
        <v>65</v>
      </c>
      <c r="G197" t="s">
        <v>46</v>
      </c>
      <c r="H197" t="s">
        <v>60</v>
      </c>
      <c r="I197">
        <v>1</v>
      </c>
      <c r="J197">
        <v>1</v>
      </c>
      <c r="K197">
        <v>0</v>
      </c>
      <c r="L197">
        <v>0</v>
      </c>
      <c r="M197">
        <v>1</v>
      </c>
      <c r="N197">
        <v>0</v>
      </c>
      <c r="O197">
        <v>1</v>
      </c>
      <c r="P197">
        <v>1</v>
      </c>
      <c r="Q197">
        <v>1</v>
      </c>
      <c r="R197">
        <v>0</v>
      </c>
      <c r="S197">
        <v>0</v>
      </c>
      <c r="T197">
        <v>1</v>
      </c>
      <c r="U197">
        <v>0</v>
      </c>
      <c r="V197">
        <v>0</v>
      </c>
    </row>
    <row r="198" spans="1:22" x14ac:dyDescent="0.2">
      <c r="A198" t="s">
        <v>415</v>
      </c>
      <c r="B198" t="s">
        <v>108</v>
      </c>
      <c r="C198" t="s">
        <v>41</v>
      </c>
      <c r="D198" t="s">
        <v>49</v>
      </c>
      <c r="E198" t="s">
        <v>37</v>
      </c>
      <c r="F198" t="s">
        <v>48</v>
      </c>
      <c r="G198" t="s">
        <v>46</v>
      </c>
      <c r="H198" t="s">
        <v>65</v>
      </c>
      <c r="I198">
        <v>0</v>
      </c>
      <c r="J198">
        <v>1</v>
      </c>
      <c r="K198">
        <v>1</v>
      </c>
      <c r="L198">
        <v>0</v>
      </c>
      <c r="M198">
        <v>1</v>
      </c>
      <c r="N198">
        <v>0</v>
      </c>
      <c r="O198">
        <v>1</v>
      </c>
      <c r="P198">
        <v>0</v>
      </c>
      <c r="Q198">
        <v>1</v>
      </c>
      <c r="R198">
        <v>0</v>
      </c>
      <c r="S198">
        <v>0</v>
      </c>
      <c r="T198">
        <v>0</v>
      </c>
      <c r="U198">
        <v>0</v>
      </c>
      <c r="V198">
        <v>0</v>
      </c>
    </row>
    <row r="199" spans="1:22" x14ac:dyDescent="0.2">
      <c r="A199" t="s">
        <v>415</v>
      </c>
      <c r="B199" t="s">
        <v>108</v>
      </c>
      <c r="C199" t="s">
        <v>41</v>
      </c>
      <c r="D199" t="s">
        <v>42</v>
      </c>
      <c r="E199" t="s">
        <v>37</v>
      </c>
      <c r="F199" t="s">
        <v>65</v>
      </c>
      <c r="G199" t="s">
        <v>48</v>
      </c>
      <c r="H199" t="s">
        <v>59</v>
      </c>
      <c r="I199">
        <v>0</v>
      </c>
      <c r="J199">
        <v>1</v>
      </c>
      <c r="K199">
        <v>1</v>
      </c>
      <c r="L199">
        <v>0</v>
      </c>
      <c r="M199">
        <v>0</v>
      </c>
      <c r="N199">
        <v>0</v>
      </c>
      <c r="O199">
        <v>1</v>
      </c>
      <c r="P199">
        <v>0</v>
      </c>
      <c r="Q199">
        <v>1</v>
      </c>
      <c r="R199">
        <v>1</v>
      </c>
      <c r="S199">
        <v>0</v>
      </c>
      <c r="T199">
        <v>0</v>
      </c>
      <c r="U199">
        <v>0</v>
      </c>
      <c r="V199">
        <v>0</v>
      </c>
    </row>
    <row r="200" spans="1:22" x14ac:dyDescent="0.2">
      <c r="A200" t="s">
        <v>415</v>
      </c>
      <c r="B200" t="s">
        <v>108</v>
      </c>
      <c r="C200" t="s">
        <v>41</v>
      </c>
      <c r="D200" t="s">
        <v>61</v>
      </c>
      <c r="E200" t="s">
        <v>37</v>
      </c>
      <c r="F200" t="s">
        <v>48</v>
      </c>
      <c r="G200" t="s">
        <v>65</v>
      </c>
      <c r="H200" t="s">
        <v>47</v>
      </c>
      <c r="I200">
        <v>0</v>
      </c>
      <c r="J200">
        <v>1</v>
      </c>
      <c r="K200">
        <v>1</v>
      </c>
      <c r="L200">
        <v>1</v>
      </c>
      <c r="M200">
        <v>0</v>
      </c>
      <c r="N200">
        <v>0</v>
      </c>
      <c r="O200">
        <v>1</v>
      </c>
      <c r="P200">
        <v>0</v>
      </c>
      <c r="Q200">
        <v>1</v>
      </c>
      <c r="R200">
        <v>1</v>
      </c>
      <c r="S200">
        <v>1</v>
      </c>
      <c r="T200">
        <v>0</v>
      </c>
      <c r="U200">
        <v>0</v>
      </c>
      <c r="V200">
        <v>0</v>
      </c>
    </row>
    <row r="201" spans="1:22" x14ac:dyDescent="0.2">
      <c r="A201" t="s">
        <v>415</v>
      </c>
      <c r="B201" t="s">
        <v>108</v>
      </c>
      <c r="C201" t="s">
        <v>41</v>
      </c>
      <c r="D201" t="s">
        <v>67</v>
      </c>
      <c r="E201" t="s">
        <v>37</v>
      </c>
      <c r="F201" t="s">
        <v>48</v>
      </c>
      <c r="G201" t="s">
        <v>47</v>
      </c>
      <c r="H201" t="s">
        <v>65</v>
      </c>
      <c r="I201">
        <v>0</v>
      </c>
      <c r="J201">
        <v>1</v>
      </c>
      <c r="K201">
        <v>1</v>
      </c>
      <c r="L201">
        <v>1</v>
      </c>
      <c r="M201">
        <v>0</v>
      </c>
      <c r="N201">
        <v>0</v>
      </c>
      <c r="O201">
        <v>1</v>
      </c>
      <c r="P201">
        <v>0</v>
      </c>
      <c r="Q201">
        <v>1</v>
      </c>
      <c r="R201">
        <v>1</v>
      </c>
      <c r="S201">
        <v>1</v>
      </c>
      <c r="T201">
        <v>0</v>
      </c>
      <c r="U201">
        <v>0</v>
      </c>
      <c r="V201">
        <v>0</v>
      </c>
    </row>
    <row r="202" spans="1:22" x14ac:dyDescent="0.2">
      <c r="A202" t="s">
        <v>415</v>
      </c>
      <c r="B202" t="s">
        <v>108</v>
      </c>
      <c r="C202" t="s">
        <v>41</v>
      </c>
      <c r="D202" t="s">
        <v>72</v>
      </c>
      <c r="E202" t="s">
        <v>37</v>
      </c>
      <c r="F202" t="s">
        <v>47</v>
      </c>
      <c r="G202" t="s">
        <v>65</v>
      </c>
      <c r="H202" t="s">
        <v>48</v>
      </c>
      <c r="I202">
        <v>0</v>
      </c>
      <c r="J202">
        <v>1</v>
      </c>
      <c r="K202">
        <v>1</v>
      </c>
      <c r="L202">
        <v>1</v>
      </c>
      <c r="M202">
        <v>0</v>
      </c>
      <c r="N202">
        <v>0</v>
      </c>
      <c r="O202">
        <v>1</v>
      </c>
      <c r="P202">
        <v>0</v>
      </c>
      <c r="Q202">
        <v>1</v>
      </c>
      <c r="R202">
        <v>1</v>
      </c>
      <c r="S202">
        <v>1</v>
      </c>
      <c r="T202">
        <v>0</v>
      </c>
      <c r="U202">
        <v>0</v>
      </c>
      <c r="V202">
        <v>0</v>
      </c>
    </row>
    <row r="203" spans="1:22" x14ac:dyDescent="0.2">
      <c r="A203" t="s">
        <v>415</v>
      </c>
      <c r="B203" t="s">
        <v>108</v>
      </c>
      <c r="C203" t="s">
        <v>41</v>
      </c>
      <c r="D203" t="s">
        <v>55</v>
      </c>
      <c r="E203" t="s">
        <v>37</v>
      </c>
      <c r="F203" t="s">
        <v>59</v>
      </c>
      <c r="G203" t="s">
        <v>48</v>
      </c>
      <c r="H203" t="s">
        <v>65</v>
      </c>
      <c r="I203">
        <v>0</v>
      </c>
      <c r="J203">
        <v>1</v>
      </c>
      <c r="K203">
        <v>1</v>
      </c>
      <c r="L203">
        <v>0</v>
      </c>
      <c r="M203">
        <v>0</v>
      </c>
      <c r="N203">
        <v>0</v>
      </c>
      <c r="O203">
        <v>1</v>
      </c>
      <c r="P203">
        <v>0</v>
      </c>
      <c r="Q203">
        <v>1</v>
      </c>
      <c r="R203">
        <v>1</v>
      </c>
      <c r="S203">
        <v>0</v>
      </c>
      <c r="T203">
        <v>0</v>
      </c>
      <c r="U203">
        <v>0</v>
      </c>
      <c r="V203">
        <v>0</v>
      </c>
    </row>
    <row r="204" spans="1:22" x14ac:dyDescent="0.2">
      <c r="A204" t="s">
        <v>418</v>
      </c>
      <c r="B204" t="s">
        <v>33</v>
      </c>
      <c r="C204" t="s">
        <v>41</v>
      </c>
      <c r="D204" t="s">
        <v>72</v>
      </c>
      <c r="E204" t="s">
        <v>37</v>
      </c>
      <c r="F204" t="s">
        <v>65</v>
      </c>
      <c r="G204" t="s">
        <v>48</v>
      </c>
      <c r="H204" t="s">
        <v>60</v>
      </c>
      <c r="I204">
        <v>1</v>
      </c>
      <c r="J204">
        <v>1</v>
      </c>
      <c r="K204">
        <v>1</v>
      </c>
      <c r="L204">
        <v>0</v>
      </c>
      <c r="M204">
        <v>0</v>
      </c>
      <c r="N204">
        <v>0</v>
      </c>
      <c r="O204">
        <v>1</v>
      </c>
      <c r="P204">
        <v>1</v>
      </c>
      <c r="Q204">
        <v>1</v>
      </c>
      <c r="R204">
        <v>1</v>
      </c>
      <c r="S204">
        <v>0</v>
      </c>
      <c r="T204">
        <v>0</v>
      </c>
      <c r="U204">
        <v>0</v>
      </c>
      <c r="V204">
        <v>0</v>
      </c>
    </row>
    <row r="205" spans="1:22" x14ac:dyDescent="0.2">
      <c r="A205" t="s">
        <v>418</v>
      </c>
      <c r="B205" t="s">
        <v>33</v>
      </c>
      <c r="C205" t="s">
        <v>41</v>
      </c>
      <c r="D205" t="s">
        <v>55</v>
      </c>
      <c r="E205" t="s">
        <v>37</v>
      </c>
      <c r="F205" t="s">
        <v>46</v>
      </c>
      <c r="G205" t="s">
        <v>65</v>
      </c>
      <c r="H205" t="s">
        <v>48</v>
      </c>
      <c r="I205">
        <v>0</v>
      </c>
      <c r="J205">
        <v>1</v>
      </c>
      <c r="K205">
        <v>1</v>
      </c>
      <c r="L205">
        <v>0</v>
      </c>
      <c r="M205">
        <v>1</v>
      </c>
      <c r="N205">
        <v>0</v>
      </c>
      <c r="O205">
        <v>1</v>
      </c>
      <c r="P205">
        <v>0</v>
      </c>
      <c r="Q205">
        <v>1</v>
      </c>
      <c r="R205">
        <v>0</v>
      </c>
      <c r="S205">
        <v>0</v>
      </c>
      <c r="T205">
        <v>0</v>
      </c>
      <c r="U205">
        <v>0</v>
      </c>
      <c r="V205">
        <v>0</v>
      </c>
    </row>
    <row r="206" spans="1:22" x14ac:dyDescent="0.2">
      <c r="A206" t="s">
        <v>422</v>
      </c>
      <c r="B206" t="s">
        <v>108</v>
      </c>
      <c r="C206" t="s">
        <v>41</v>
      </c>
      <c r="D206" t="s">
        <v>67</v>
      </c>
      <c r="E206" t="s">
        <v>37</v>
      </c>
      <c r="F206" t="s">
        <v>48</v>
      </c>
      <c r="G206" t="s">
        <v>65</v>
      </c>
      <c r="H206" t="s">
        <v>46</v>
      </c>
      <c r="I206">
        <v>0</v>
      </c>
      <c r="J206">
        <v>1</v>
      </c>
      <c r="K206">
        <v>1</v>
      </c>
      <c r="L206">
        <v>0</v>
      </c>
      <c r="M206">
        <v>1</v>
      </c>
      <c r="N206">
        <v>0</v>
      </c>
      <c r="O206">
        <v>1</v>
      </c>
      <c r="P206">
        <v>0</v>
      </c>
      <c r="Q206">
        <v>1</v>
      </c>
      <c r="R206">
        <v>0</v>
      </c>
      <c r="S206">
        <v>0</v>
      </c>
      <c r="T206">
        <v>0</v>
      </c>
      <c r="U206">
        <v>0</v>
      </c>
      <c r="V206">
        <v>0</v>
      </c>
    </row>
    <row r="207" spans="1:22" x14ac:dyDescent="0.2">
      <c r="A207" t="s">
        <v>422</v>
      </c>
      <c r="B207" t="s">
        <v>108</v>
      </c>
      <c r="C207" t="s">
        <v>41</v>
      </c>
      <c r="D207" t="s">
        <v>49</v>
      </c>
      <c r="E207" t="s">
        <v>37</v>
      </c>
      <c r="F207" t="s">
        <v>48</v>
      </c>
      <c r="G207" t="s">
        <v>47</v>
      </c>
      <c r="H207" t="s">
        <v>65</v>
      </c>
      <c r="I207">
        <v>0</v>
      </c>
      <c r="J207">
        <v>1</v>
      </c>
      <c r="K207">
        <v>1</v>
      </c>
      <c r="L207">
        <v>1</v>
      </c>
      <c r="M207">
        <v>0</v>
      </c>
      <c r="N207">
        <v>0</v>
      </c>
      <c r="O207">
        <v>1</v>
      </c>
      <c r="P207">
        <v>0</v>
      </c>
      <c r="Q207">
        <v>1</v>
      </c>
      <c r="R207">
        <v>0</v>
      </c>
      <c r="S207">
        <v>0</v>
      </c>
      <c r="T207">
        <v>0</v>
      </c>
      <c r="U207">
        <v>0</v>
      </c>
      <c r="V207">
        <v>0</v>
      </c>
    </row>
    <row r="208" spans="1:22" x14ac:dyDescent="0.2">
      <c r="A208" t="s">
        <v>422</v>
      </c>
      <c r="B208" t="s">
        <v>108</v>
      </c>
      <c r="C208" t="s">
        <v>41</v>
      </c>
      <c r="D208" t="s">
        <v>55</v>
      </c>
      <c r="E208" t="s">
        <v>37</v>
      </c>
      <c r="F208" t="s">
        <v>65</v>
      </c>
      <c r="G208" t="s">
        <v>60</v>
      </c>
      <c r="H208" t="s">
        <v>47</v>
      </c>
      <c r="I208">
        <v>1</v>
      </c>
      <c r="J208">
        <v>1</v>
      </c>
      <c r="K208">
        <v>0</v>
      </c>
      <c r="L208">
        <v>1</v>
      </c>
      <c r="M208">
        <v>0</v>
      </c>
      <c r="N208">
        <v>0</v>
      </c>
      <c r="O208">
        <v>1</v>
      </c>
      <c r="P208">
        <v>0</v>
      </c>
      <c r="Q208">
        <v>1</v>
      </c>
      <c r="R208">
        <v>0</v>
      </c>
      <c r="S208">
        <v>0</v>
      </c>
      <c r="T208">
        <v>0</v>
      </c>
      <c r="U208">
        <v>0</v>
      </c>
      <c r="V208">
        <v>0</v>
      </c>
    </row>
    <row r="209" spans="1:22" x14ac:dyDescent="0.2">
      <c r="A209" t="s">
        <v>422</v>
      </c>
      <c r="B209" t="s">
        <v>108</v>
      </c>
      <c r="C209" t="s">
        <v>41</v>
      </c>
      <c r="D209" t="s">
        <v>72</v>
      </c>
      <c r="E209" t="s">
        <v>37</v>
      </c>
      <c r="F209" t="s">
        <v>65</v>
      </c>
      <c r="G209" t="s">
        <v>46</v>
      </c>
      <c r="H209" t="s">
        <v>47</v>
      </c>
      <c r="I209">
        <v>0</v>
      </c>
      <c r="J209">
        <v>1</v>
      </c>
      <c r="K209">
        <v>0</v>
      </c>
      <c r="L209">
        <v>1</v>
      </c>
      <c r="M209">
        <v>1</v>
      </c>
      <c r="N209">
        <v>0</v>
      </c>
      <c r="O209">
        <v>1</v>
      </c>
      <c r="P209">
        <v>0</v>
      </c>
      <c r="Q209">
        <v>1</v>
      </c>
      <c r="R209">
        <v>0</v>
      </c>
      <c r="S209">
        <v>0</v>
      </c>
      <c r="T209">
        <v>0</v>
      </c>
      <c r="U209">
        <v>0</v>
      </c>
      <c r="V209">
        <v>0</v>
      </c>
    </row>
    <row r="210" spans="1:22" x14ac:dyDescent="0.2">
      <c r="A210" t="s">
        <v>426</v>
      </c>
      <c r="B210" t="s">
        <v>108</v>
      </c>
      <c r="C210" t="s">
        <v>41</v>
      </c>
      <c r="D210" t="s">
        <v>49</v>
      </c>
      <c r="E210" t="s">
        <v>37</v>
      </c>
      <c r="F210" t="s">
        <v>48</v>
      </c>
      <c r="G210" t="s">
        <v>65</v>
      </c>
      <c r="H210" t="s">
        <v>47</v>
      </c>
      <c r="I210">
        <v>0</v>
      </c>
      <c r="J210">
        <v>1</v>
      </c>
      <c r="K210">
        <v>1</v>
      </c>
      <c r="L210">
        <v>1</v>
      </c>
      <c r="M210">
        <v>0</v>
      </c>
      <c r="N210">
        <v>0</v>
      </c>
      <c r="O210">
        <v>1</v>
      </c>
      <c r="P210">
        <v>0</v>
      </c>
      <c r="Q210">
        <v>1</v>
      </c>
      <c r="R210">
        <v>0</v>
      </c>
      <c r="S210">
        <v>0</v>
      </c>
      <c r="T210">
        <v>0</v>
      </c>
      <c r="U210">
        <v>0</v>
      </c>
      <c r="V210">
        <v>0</v>
      </c>
    </row>
    <row r="211" spans="1:22" x14ac:dyDescent="0.2">
      <c r="A211" t="s">
        <v>426</v>
      </c>
      <c r="B211" t="s">
        <v>108</v>
      </c>
      <c r="C211" t="s">
        <v>41</v>
      </c>
      <c r="D211" t="s">
        <v>55</v>
      </c>
      <c r="E211" t="s">
        <v>37</v>
      </c>
      <c r="F211" t="s">
        <v>48</v>
      </c>
      <c r="G211" t="s">
        <v>65</v>
      </c>
      <c r="H211" t="s">
        <v>47</v>
      </c>
      <c r="I211">
        <v>0</v>
      </c>
      <c r="J211">
        <v>1</v>
      </c>
      <c r="K211">
        <v>1</v>
      </c>
      <c r="L211">
        <v>1</v>
      </c>
      <c r="M211">
        <v>0</v>
      </c>
      <c r="N211">
        <v>0</v>
      </c>
      <c r="O211">
        <v>1</v>
      </c>
      <c r="P211">
        <v>0</v>
      </c>
      <c r="Q211">
        <v>1</v>
      </c>
      <c r="R211">
        <v>0</v>
      </c>
      <c r="S211">
        <v>0</v>
      </c>
      <c r="T211">
        <v>0</v>
      </c>
      <c r="U211">
        <v>0</v>
      </c>
      <c r="V211">
        <v>0</v>
      </c>
    </row>
    <row r="212" spans="1:22" x14ac:dyDescent="0.2">
      <c r="A212" t="s">
        <v>426</v>
      </c>
      <c r="B212" t="s">
        <v>108</v>
      </c>
      <c r="C212" t="s">
        <v>41</v>
      </c>
      <c r="D212" t="s">
        <v>72</v>
      </c>
      <c r="E212" t="s">
        <v>37</v>
      </c>
      <c r="F212" t="s">
        <v>47</v>
      </c>
      <c r="G212" t="s">
        <v>65</v>
      </c>
      <c r="H212" t="s">
        <v>48</v>
      </c>
      <c r="I212">
        <v>0</v>
      </c>
      <c r="J212">
        <v>1</v>
      </c>
      <c r="K212">
        <v>1</v>
      </c>
      <c r="L212">
        <v>1</v>
      </c>
      <c r="M212">
        <v>0</v>
      </c>
      <c r="N212">
        <v>0</v>
      </c>
      <c r="O212">
        <v>1</v>
      </c>
      <c r="P212">
        <v>0</v>
      </c>
      <c r="Q212">
        <v>1</v>
      </c>
      <c r="R212">
        <v>0</v>
      </c>
      <c r="S212">
        <v>0</v>
      </c>
      <c r="T212">
        <v>0</v>
      </c>
      <c r="U212">
        <v>0</v>
      </c>
      <c r="V212">
        <v>0</v>
      </c>
    </row>
    <row r="213" spans="1:22" x14ac:dyDescent="0.2">
      <c r="A213" t="s">
        <v>426</v>
      </c>
      <c r="B213" t="s">
        <v>108</v>
      </c>
      <c r="C213" t="s">
        <v>41</v>
      </c>
      <c r="D213" t="s">
        <v>67</v>
      </c>
      <c r="E213" t="s">
        <v>37</v>
      </c>
      <c r="F213" t="s">
        <v>60</v>
      </c>
      <c r="G213" t="s">
        <v>47</v>
      </c>
      <c r="H213" t="s">
        <v>65</v>
      </c>
      <c r="I213">
        <v>1</v>
      </c>
      <c r="J213">
        <v>1</v>
      </c>
      <c r="K213">
        <v>0</v>
      </c>
      <c r="L213">
        <v>1</v>
      </c>
      <c r="M213">
        <v>0</v>
      </c>
      <c r="N213">
        <v>0</v>
      </c>
      <c r="O213">
        <v>1</v>
      </c>
      <c r="P213">
        <v>0</v>
      </c>
      <c r="Q213">
        <v>1</v>
      </c>
      <c r="R213">
        <v>0</v>
      </c>
      <c r="S213">
        <v>0</v>
      </c>
      <c r="T213">
        <v>0</v>
      </c>
      <c r="U213">
        <v>0</v>
      </c>
      <c r="V213">
        <v>0</v>
      </c>
    </row>
    <row r="214" spans="1:22" x14ac:dyDescent="0.2">
      <c r="A214" t="s">
        <v>426</v>
      </c>
      <c r="B214" t="s">
        <v>108</v>
      </c>
      <c r="C214" t="s">
        <v>41</v>
      </c>
      <c r="D214" t="s">
        <v>61</v>
      </c>
      <c r="E214" t="s">
        <v>37</v>
      </c>
      <c r="F214" t="s">
        <v>47</v>
      </c>
      <c r="G214" t="s">
        <v>65</v>
      </c>
      <c r="H214" t="s">
        <v>46</v>
      </c>
      <c r="I214">
        <v>0</v>
      </c>
      <c r="J214">
        <v>1</v>
      </c>
      <c r="K214">
        <v>0</v>
      </c>
      <c r="L214">
        <v>1</v>
      </c>
      <c r="M214">
        <v>1</v>
      </c>
      <c r="N214">
        <v>0</v>
      </c>
      <c r="O214">
        <v>1</v>
      </c>
      <c r="P214">
        <v>0</v>
      </c>
      <c r="Q214">
        <v>1</v>
      </c>
      <c r="R214">
        <v>0</v>
      </c>
      <c r="S214">
        <v>0</v>
      </c>
      <c r="T214">
        <v>0</v>
      </c>
      <c r="U214">
        <v>0</v>
      </c>
      <c r="V214">
        <v>0</v>
      </c>
    </row>
    <row r="215" spans="1:22" x14ac:dyDescent="0.2">
      <c r="A215" t="s">
        <v>429</v>
      </c>
      <c r="B215" t="s">
        <v>430</v>
      </c>
      <c r="C215" t="s">
        <v>41</v>
      </c>
      <c r="D215" t="s">
        <v>49</v>
      </c>
      <c r="E215" t="s">
        <v>37</v>
      </c>
      <c r="F215" t="s">
        <v>65</v>
      </c>
      <c r="G215" t="s">
        <v>47</v>
      </c>
      <c r="H215" t="s">
        <v>48</v>
      </c>
      <c r="I215">
        <v>0</v>
      </c>
      <c r="J215">
        <v>1</v>
      </c>
      <c r="K215">
        <v>1</v>
      </c>
      <c r="L215">
        <v>1</v>
      </c>
      <c r="M215">
        <v>0</v>
      </c>
      <c r="N215">
        <v>0</v>
      </c>
      <c r="O215">
        <v>1</v>
      </c>
      <c r="P215">
        <v>0</v>
      </c>
      <c r="Q215">
        <v>1</v>
      </c>
      <c r="R215">
        <v>0</v>
      </c>
      <c r="S215">
        <v>1</v>
      </c>
      <c r="T215">
        <v>0</v>
      </c>
      <c r="U215">
        <v>0</v>
      </c>
      <c r="V215">
        <v>0</v>
      </c>
    </row>
    <row r="216" spans="1:22" x14ac:dyDescent="0.2">
      <c r="A216" t="s">
        <v>429</v>
      </c>
      <c r="B216" t="s">
        <v>430</v>
      </c>
      <c r="C216" t="s">
        <v>41</v>
      </c>
      <c r="D216" t="s">
        <v>61</v>
      </c>
      <c r="E216" t="s">
        <v>37</v>
      </c>
      <c r="F216" t="s">
        <v>65</v>
      </c>
      <c r="G216" t="s">
        <v>46</v>
      </c>
      <c r="H216" t="s">
        <v>48</v>
      </c>
      <c r="I216">
        <v>0</v>
      </c>
      <c r="J216">
        <v>1</v>
      </c>
      <c r="K216">
        <v>1</v>
      </c>
      <c r="L216">
        <v>0</v>
      </c>
      <c r="M216">
        <v>1</v>
      </c>
      <c r="N216">
        <v>0</v>
      </c>
      <c r="O216">
        <v>1</v>
      </c>
      <c r="P216">
        <v>0</v>
      </c>
      <c r="Q216">
        <v>1</v>
      </c>
      <c r="R216">
        <v>0</v>
      </c>
      <c r="S216">
        <v>0</v>
      </c>
      <c r="T216">
        <v>0</v>
      </c>
      <c r="U216">
        <v>0</v>
      </c>
      <c r="V216">
        <v>0</v>
      </c>
    </row>
    <row r="217" spans="1:22" x14ac:dyDescent="0.2">
      <c r="A217" t="s">
        <v>434</v>
      </c>
      <c r="B217" t="s">
        <v>108</v>
      </c>
      <c r="C217" t="s">
        <v>41</v>
      </c>
      <c r="D217" t="s">
        <v>55</v>
      </c>
      <c r="E217" t="s">
        <v>37</v>
      </c>
      <c r="F217" t="s">
        <v>46</v>
      </c>
      <c r="G217" t="s">
        <v>65</v>
      </c>
      <c r="H217" t="s">
        <v>48</v>
      </c>
      <c r="I217">
        <v>0</v>
      </c>
      <c r="J217">
        <v>1</v>
      </c>
      <c r="K217">
        <v>1</v>
      </c>
      <c r="L217">
        <v>0</v>
      </c>
      <c r="M217">
        <v>1</v>
      </c>
      <c r="N217">
        <v>0</v>
      </c>
      <c r="O217">
        <v>1</v>
      </c>
      <c r="P217">
        <v>0</v>
      </c>
      <c r="Q217">
        <v>1</v>
      </c>
      <c r="R217">
        <v>1</v>
      </c>
      <c r="S217">
        <v>0</v>
      </c>
      <c r="T217">
        <v>1</v>
      </c>
      <c r="U217">
        <v>0</v>
      </c>
      <c r="V217">
        <v>0</v>
      </c>
    </row>
    <row r="218" spans="1:22" x14ac:dyDescent="0.2">
      <c r="A218" t="s">
        <v>441</v>
      </c>
      <c r="B218" t="s">
        <v>33</v>
      </c>
      <c r="C218" t="s">
        <v>41</v>
      </c>
      <c r="D218" t="s">
        <v>55</v>
      </c>
      <c r="E218" t="s">
        <v>442</v>
      </c>
      <c r="F218" t="s">
        <v>65</v>
      </c>
      <c r="G218" t="s">
        <v>46</v>
      </c>
      <c r="H218" t="s">
        <v>48</v>
      </c>
      <c r="I218">
        <v>0</v>
      </c>
      <c r="J218">
        <v>1</v>
      </c>
      <c r="K218">
        <v>1</v>
      </c>
      <c r="L218">
        <v>0</v>
      </c>
      <c r="M218">
        <v>1</v>
      </c>
      <c r="N218">
        <v>0</v>
      </c>
      <c r="O218">
        <v>1</v>
      </c>
      <c r="P218">
        <v>0</v>
      </c>
      <c r="Q218">
        <v>1</v>
      </c>
      <c r="R218">
        <v>0</v>
      </c>
      <c r="S218">
        <v>0</v>
      </c>
      <c r="T218">
        <v>0</v>
      </c>
      <c r="U218">
        <v>0</v>
      </c>
      <c r="V218">
        <v>0</v>
      </c>
    </row>
    <row r="219" spans="1:22" x14ac:dyDescent="0.2">
      <c r="A219" t="s">
        <v>441</v>
      </c>
      <c r="B219" t="s">
        <v>33</v>
      </c>
      <c r="C219" t="s">
        <v>41</v>
      </c>
      <c r="D219" t="s">
        <v>42</v>
      </c>
      <c r="E219" t="s">
        <v>442</v>
      </c>
      <c r="F219" t="s">
        <v>65</v>
      </c>
      <c r="G219" t="s">
        <v>46</v>
      </c>
      <c r="H219" t="s">
        <v>48</v>
      </c>
      <c r="I219">
        <v>0</v>
      </c>
      <c r="J219">
        <v>1</v>
      </c>
      <c r="K219">
        <v>1</v>
      </c>
      <c r="L219">
        <v>0</v>
      </c>
      <c r="M219">
        <v>1</v>
      </c>
      <c r="N219">
        <v>0</v>
      </c>
      <c r="O219">
        <v>1</v>
      </c>
      <c r="P219">
        <v>0</v>
      </c>
      <c r="Q219">
        <v>1</v>
      </c>
      <c r="R219">
        <v>0</v>
      </c>
      <c r="S219">
        <v>0</v>
      </c>
      <c r="T219">
        <v>0</v>
      </c>
      <c r="U219">
        <v>0</v>
      </c>
      <c r="V219">
        <v>0</v>
      </c>
    </row>
    <row r="220" spans="1:22" x14ac:dyDescent="0.2">
      <c r="A220" t="s">
        <v>444</v>
      </c>
      <c r="B220" t="s">
        <v>33</v>
      </c>
      <c r="C220" t="s">
        <v>41</v>
      </c>
      <c r="D220" t="s">
        <v>55</v>
      </c>
      <c r="E220" t="s">
        <v>442</v>
      </c>
      <c r="F220" t="s">
        <v>47</v>
      </c>
      <c r="G220" t="s">
        <v>60</v>
      </c>
      <c r="H220" t="s">
        <v>65</v>
      </c>
      <c r="I220">
        <v>1</v>
      </c>
      <c r="J220">
        <v>1</v>
      </c>
      <c r="K220">
        <v>0</v>
      </c>
      <c r="L220">
        <v>1</v>
      </c>
      <c r="M220">
        <v>0</v>
      </c>
      <c r="N220">
        <v>0</v>
      </c>
      <c r="O220">
        <v>1</v>
      </c>
      <c r="P220">
        <v>0</v>
      </c>
      <c r="Q220">
        <v>1</v>
      </c>
      <c r="R220">
        <v>0</v>
      </c>
      <c r="S220">
        <v>0</v>
      </c>
      <c r="T220">
        <v>0</v>
      </c>
      <c r="U220">
        <v>0</v>
      </c>
      <c r="V220">
        <v>0</v>
      </c>
    </row>
    <row r="221" spans="1:22" x14ac:dyDescent="0.2">
      <c r="A221" t="s">
        <v>444</v>
      </c>
      <c r="B221" t="s">
        <v>33</v>
      </c>
      <c r="C221" t="s">
        <v>41</v>
      </c>
      <c r="D221" t="s">
        <v>61</v>
      </c>
      <c r="E221" t="s">
        <v>442</v>
      </c>
      <c r="F221" t="s">
        <v>59</v>
      </c>
      <c r="G221" t="s">
        <v>48</v>
      </c>
      <c r="H221" t="s">
        <v>65</v>
      </c>
      <c r="I221">
        <v>0</v>
      </c>
      <c r="J221">
        <v>1</v>
      </c>
      <c r="K221">
        <v>1</v>
      </c>
      <c r="L221">
        <v>0</v>
      </c>
      <c r="M221">
        <v>0</v>
      </c>
      <c r="N221">
        <v>0</v>
      </c>
      <c r="O221">
        <v>1</v>
      </c>
      <c r="P221">
        <v>0</v>
      </c>
      <c r="Q221">
        <v>1</v>
      </c>
      <c r="R221">
        <v>0</v>
      </c>
      <c r="S221">
        <v>0</v>
      </c>
      <c r="T221">
        <v>0</v>
      </c>
      <c r="U221">
        <v>0</v>
      </c>
      <c r="V221">
        <v>0</v>
      </c>
    </row>
    <row r="222" spans="1:22" x14ac:dyDescent="0.2">
      <c r="A222" t="s">
        <v>445</v>
      </c>
      <c r="B222" t="s">
        <v>33</v>
      </c>
      <c r="C222" t="s">
        <v>41</v>
      </c>
      <c r="D222" t="s">
        <v>61</v>
      </c>
      <c r="E222" t="s">
        <v>442</v>
      </c>
      <c r="F222" t="s">
        <v>48</v>
      </c>
      <c r="G222" t="s">
        <v>65</v>
      </c>
      <c r="H222" t="s">
        <v>60</v>
      </c>
      <c r="I222">
        <v>1</v>
      </c>
      <c r="J222">
        <v>1</v>
      </c>
      <c r="K222">
        <v>1</v>
      </c>
      <c r="L222">
        <v>0</v>
      </c>
      <c r="M222">
        <v>0</v>
      </c>
      <c r="N222">
        <v>0</v>
      </c>
      <c r="O222">
        <v>1</v>
      </c>
      <c r="P222">
        <v>0</v>
      </c>
      <c r="Q222">
        <v>1</v>
      </c>
      <c r="R222">
        <v>0</v>
      </c>
      <c r="S222">
        <v>0</v>
      </c>
      <c r="T222">
        <v>0</v>
      </c>
      <c r="U222">
        <v>0</v>
      </c>
      <c r="V222">
        <v>0</v>
      </c>
    </row>
    <row r="223" spans="1:22" x14ac:dyDescent="0.2">
      <c r="A223" t="s">
        <v>449</v>
      </c>
      <c r="B223" t="s">
        <v>108</v>
      </c>
      <c r="C223" t="s">
        <v>41</v>
      </c>
      <c r="D223" t="s">
        <v>72</v>
      </c>
      <c r="E223" t="s">
        <v>442</v>
      </c>
      <c r="F223" t="s">
        <v>46</v>
      </c>
      <c r="G223" t="s">
        <v>65</v>
      </c>
      <c r="H223" t="s">
        <v>60</v>
      </c>
      <c r="I223">
        <v>1</v>
      </c>
      <c r="J223">
        <v>1</v>
      </c>
      <c r="K223">
        <v>0</v>
      </c>
      <c r="L223">
        <v>0</v>
      </c>
      <c r="M223">
        <v>1</v>
      </c>
      <c r="N223">
        <v>0</v>
      </c>
      <c r="O223">
        <v>1</v>
      </c>
      <c r="P223">
        <v>1</v>
      </c>
      <c r="Q223">
        <v>1</v>
      </c>
      <c r="R223">
        <v>0</v>
      </c>
      <c r="S223">
        <v>0</v>
      </c>
      <c r="T223">
        <v>1</v>
      </c>
      <c r="U223">
        <v>0</v>
      </c>
      <c r="V223">
        <v>0</v>
      </c>
    </row>
    <row r="224" spans="1:22" x14ac:dyDescent="0.2">
      <c r="A224" t="s">
        <v>449</v>
      </c>
      <c r="B224" t="s">
        <v>108</v>
      </c>
      <c r="C224" t="s">
        <v>41</v>
      </c>
      <c r="D224" t="s">
        <v>67</v>
      </c>
      <c r="E224" t="s">
        <v>442</v>
      </c>
      <c r="F224" t="s">
        <v>65</v>
      </c>
      <c r="G224" t="s">
        <v>48</v>
      </c>
      <c r="H224" t="s">
        <v>59</v>
      </c>
      <c r="I224">
        <v>0</v>
      </c>
      <c r="J224">
        <v>1</v>
      </c>
      <c r="K224">
        <v>1</v>
      </c>
      <c r="L224">
        <v>0</v>
      </c>
      <c r="M224">
        <v>0</v>
      </c>
      <c r="N224">
        <v>0</v>
      </c>
      <c r="O224">
        <v>1</v>
      </c>
      <c r="P224">
        <v>0</v>
      </c>
      <c r="Q224">
        <v>1</v>
      </c>
      <c r="R224">
        <v>1</v>
      </c>
      <c r="S224">
        <v>0</v>
      </c>
      <c r="T224">
        <v>0</v>
      </c>
      <c r="U224">
        <v>0</v>
      </c>
      <c r="V224">
        <v>0</v>
      </c>
    </row>
    <row r="225" spans="1:22" x14ac:dyDescent="0.2">
      <c r="A225" t="s">
        <v>449</v>
      </c>
      <c r="B225" t="s">
        <v>108</v>
      </c>
      <c r="C225" t="s">
        <v>41</v>
      </c>
      <c r="D225" t="s">
        <v>49</v>
      </c>
      <c r="E225" t="s">
        <v>442</v>
      </c>
      <c r="F225" t="s">
        <v>46</v>
      </c>
      <c r="G225" t="s">
        <v>65</v>
      </c>
      <c r="H225" t="s">
        <v>47</v>
      </c>
      <c r="I225">
        <v>0</v>
      </c>
      <c r="J225">
        <v>1</v>
      </c>
      <c r="K225">
        <v>0</v>
      </c>
      <c r="L225">
        <v>1</v>
      </c>
      <c r="M225">
        <v>1</v>
      </c>
      <c r="N225">
        <v>0</v>
      </c>
      <c r="O225">
        <v>1</v>
      </c>
      <c r="P225">
        <v>0</v>
      </c>
      <c r="Q225">
        <v>1</v>
      </c>
      <c r="R225">
        <v>0</v>
      </c>
      <c r="S225">
        <v>1</v>
      </c>
      <c r="T225">
        <v>0</v>
      </c>
      <c r="U225">
        <v>0</v>
      </c>
      <c r="V225">
        <v>0</v>
      </c>
    </row>
    <row r="226" spans="1:22" x14ac:dyDescent="0.2">
      <c r="A226" t="s">
        <v>449</v>
      </c>
      <c r="B226" t="s">
        <v>108</v>
      </c>
      <c r="C226" t="s">
        <v>41</v>
      </c>
      <c r="D226" t="s">
        <v>61</v>
      </c>
      <c r="E226" t="s">
        <v>442</v>
      </c>
      <c r="F226" t="s">
        <v>46</v>
      </c>
      <c r="G226" t="s">
        <v>47</v>
      </c>
      <c r="H226" t="s">
        <v>65</v>
      </c>
      <c r="I226">
        <v>0</v>
      </c>
      <c r="J226">
        <v>1</v>
      </c>
      <c r="K226">
        <v>0</v>
      </c>
      <c r="L226">
        <v>1</v>
      </c>
      <c r="M226">
        <v>1</v>
      </c>
      <c r="N226">
        <v>0</v>
      </c>
      <c r="O226">
        <v>1</v>
      </c>
      <c r="P226">
        <v>0</v>
      </c>
      <c r="Q226">
        <v>1</v>
      </c>
      <c r="R226">
        <v>0</v>
      </c>
      <c r="S226">
        <v>1</v>
      </c>
      <c r="T226">
        <v>0</v>
      </c>
      <c r="U226">
        <v>0</v>
      </c>
      <c r="V226">
        <v>0</v>
      </c>
    </row>
    <row r="227" spans="1:22" x14ac:dyDescent="0.2">
      <c r="A227" t="s">
        <v>449</v>
      </c>
      <c r="B227" t="s">
        <v>108</v>
      </c>
      <c r="C227" t="s">
        <v>41</v>
      </c>
      <c r="D227" t="s">
        <v>55</v>
      </c>
      <c r="E227" t="s">
        <v>442</v>
      </c>
      <c r="F227" t="s">
        <v>46</v>
      </c>
      <c r="G227" t="s">
        <v>48</v>
      </c>
      <c r="H227" t="s">
        <v>65</v>
      </c>
      <c r="I227">
        <v>0</v>
      </c>
      <c r="J227">
        <v>1</v>
      </c>
      <c r="K227">
        <v>1</v>
      </c>
      <c r="L227">
        <v>0</v>
      </c>
      <c r="M227">
        <v>1</v>
      </c>
      <c r="N227">
        <v>0</v>
      </c>
      <c r="O227">
        <v>1</v>
      </c>
      <c r="P227">
        <v>0</v>
      </c>
      <c r="Q227">
        <v>1</v>
      </c>
      <c r="R227">
        <v>0</v>
      </c>
      <c r="S227">
        <v>0</v>
      </c>
      <c r="T227">
        <v>0</v>
      </c>
      <c r="U227">
        <v>0</v>
      </c>
      <c r="V227">
        <v>0</v>
      </c>
    </row>
    <row r="228" spans="1:22" x14ac:dyDescent="0.2">
      <c r="A228" t="s">
        <v>452</v>
      </c>
      <c r="B228" t="s">
        <v>188</v>
      </c>
      <c r="C228" t="s">
        <v>41</v>
      </c>
      <c r="D228" t="s">
        <v>72</v>
      </c>
      <c r="E228" t="s">
        <v>442</v>
      </c>
      <c r="F228" t="s">
        <v>60</v>
      </c>
      <c r="G228" t="s">
        <v>46</v>
      </c>
      <c r="H228" t="s">
        <v>65</v>
      </c>
      <c r="I228">
        <v>1</v>
      </c>
      <c r="J228">
        <v>1</v>
      </c>
      <c r="K228">
        <v>0</v>
      </c>
      <c r="L228">
        <v>0</v>
      </c>
      <c r="M228">
        <v>1</v>
      </c>
      <c r="N228">
        <v>0</v>
      </c>
      <c r="O228">
        <v>1</v>
      </c>
      <c r="P228">
        <v>0</v>
      </c>
      <c r="Q228">
        <v>1</v>
      </c>
      <c r="R228">
        <v>0</v>
      </c>
      <c r="S228">
        <v>0</v>
      </c>
      <c r="T228">
        <v>0</v>
      </c>
      <c r="U228">
        <v>0</v>
      </c>
      <c r="V228">
        <v>0</v>
      </c>
    </row>
    <row r="229" spans="1:22" x14ac:dyDescent="0.2">
      <c r="A229" t="s">
        <v>452</v>
      </c>
      <c r="B229" t="s">
        <v>188</v>
      </c>
      <c r="C229" t="s">
        <v>41</v>
      </c>
      <c r="D229" t="s">
        <v>67</v>
      </c>
      <c r="E229" t="s">
        <v>442</v>
      </c>
      <c r="F229" t="s">
        <v>65</v>
      </c>
      <c r="G229" t="s">
        <v>59</v>
      </c>
      <c r="H229" t="s">
        <v>48</v>
      </c>
      <c r="I229">
        <v>0</v>
      </c>
      <c r="J229">
        <v>1</v>
      </c>
      <c r="K229">
        <v>1</v>
      </c>
      <c r="L229">
        <v>0</v>
      </c>
      <c r="M229">
        <v>0</v>
      </c>
      <c r="N229">
        <v>0</v>
      </c>
      <c r="O229">
        <v>1</v>
      </c>
      <c r="P229">
        <v>0</v>
      </c>
      <c r="Q229">
        <v>1</v>
      </c>
      <c r="R229">
        <v>0</v>
      </c>
      <c r="S229">
        <v>0</v>
      </c>
      <c r="T229">
        <v>0</v>
      </c>
      <c r="U229">
        <v>0</v>
      </c>
      <c r="V229">
        <v>0</v>
      </c>
    </row>
    <row r="230" spans="1:22" x14ac:dyDescent="0.2">
      <c r="A230" t="s">
        <v>456</v>
      </c>
      <c r="B230" t="s">
        <v>33</v>
      </c>
      <c r="C230" t="s">
        <v>41</v>
      </c>
      <c r="D230" t="s">
        <v>67</v>
      </c>
      <c r="E230" t="s">
        <v>442</v>
      </c>
      <c r="F230" t="s">
        <v>60</v>
      </c>
      <c r="G230" t="s">
        <v>65</v>
      </c>
      <c r="H230" t="s">
        <v>48</v>
      </c>
      <c r="I230">
        <v>1</v>
      </c>
      <c r="J230">
        <v>1</v>
      </c>
      <c r="K230">
        <v>1</v>
      </c>
      <c r="L230">
        <v>0</v>
      </c>
      <c r="M230">
        <v>0</v>
      </c>
      <c r="N230">
        <v>0</v>
      </c>
      <c r="O230">
        <v>1</v>
      </c>
      <c r="P230">
        <v>0</v>
      </c>
      <c r="Q230">
        <v>1</v>
      </c>
      <c r="R230">
        <v>0</v>
      </c>
      <c r="S230">
        <v>0</v>
      </c>
      <c r="T230">
        <v>0</v>
      </c>
      <c r="U230">
        <v>0</v>
      </c>
      <c r="V230">
        <v>0</v>
      </c>
    </row>
    <row r="231" spans="1:22" x14ac:dyDescent="0.2">
      <c r="A231" t="s">
        <v>459</v>
      </c>
      <c r="B231" t="s">
        <v>188</v>
      </c>
      <c r="C231" t="s">
        <v>41</v>
      </c>
      <c r="D231" t="s">
        <v>42</v>
      </c>
      <c r="E231" t="s">
        <v>442</v>
      </c>
      <c r="F231" t="s">
        <v>65</v>
      </c>
      <c r="G231" t="s">
        <v>48</v>
      </c>
      <c r="H231" t="s">
        <v>46</v>
      </c>
      <c r="I231">
        <v>0</v>
      </c>
      <c r="J231">
        <v>1</v>
      </c>
      <c r="K231">
        <v>1</v>
      </c>
      <c r="L231">
        <v>0</v>
      </c>
      <c r="M231">
        <v>1</v>
      </c>
      <c r="N231">
        <v>0</v>
      </c>
      <c r="O231">
        <v>1</v>
      </c>
      <c r="P231">
        <v>0</v>
      </c>
      <c r="Q231">
        <v>1</v>
      </c>
      <c r="R231">
        <v>1</v>
      </c>
      <c r="S231">
        <v>0</v>
      </c>
      <c r="T231">
        <v>1</v>
      </c>
      <c r="U231">
        <v>0</v>
      </c>
      <c r="V231">
        <v>0</v>
      </c>
    </row>
    <row r="232" spans="1:22" x14ac:dyDescent="0.2">
      <c r="A232" t="s">
        <v>459</v>
      </c>
      <c r="B232" t="s">
        <v>188</v>
      </c>
      <c r="C232" t="s">
        <v>41</v>
      </c>
      <c r="D232" t="s">
        <v>72</v>
      </c>
      <c r="E232" t="s">
        <v>442</v>
      </c>
      <c r="F232" t="s">
        <v>65</v>
      </c>
      <c r="G232" t="s">
        <v>60</v>
      </c>
      <c r="H232" t="s">
        <v>47</v>
      </c>
      <c r="I232">
        <v>1</v>
      </c>
      <c r="J232">
        <v>1</v>
      </c>
      <c r="K232">
        <v>0</v>
      </c>
      <c r="L232">
        <v>1</v>
      </c>
      <c r="M232">
        <v>0</v>
      </c>
      <c r="N232">
        <v>0</v>
      </c>
      <c r="O232">
        <v>1</v>
      </c>
      <c r="P232">
        <v>1</v>
      </c>
      <c r="Q232">
        <v>1</v>
      </c>
      <c r="R232">
        <v>0</v>
      </c>
      <c r="S232">
        <v>1</v>
      </c>
      <c r="T232">
        <v>0</v>
      </c>
      <c r="U232">
        <v>0</v>
      </c>
      <c r="V232">
        <v>0</v>
      </c>
    </row>
    <row r="233" spans="1:22" x14ac:dyDescent="0.2">
      <c r="A233" t="s">
        <v>465</v>
      </c>
      <c r="B233" t="s">
        <v>33</v>
      </c>
      <c r="C233" t="s">
        <v>41</v>
      </c>
      <c r="D233" t="s">
        <v>42</v>
      </c>
      <c r="E233" t="s">
        <v>442</v>
      </c>
      <c r="F233" t="s">
        <v>48</v>
      </c>
      <c r="G233" t="s">
        <v>60</v>
      </c>
      <c r="H233" t="s">
        <v>65</v>
      </c>
      <c r="I233">
        <v>1</v>
      </c>
      <c r="J233">
        <v>1</v>
      </c>
      <c r="K233">
        <v>1</v>
      </c>
      <c r="L233">
        <v>0</v>
      </c>
      <c r="M233">
        <v>0</v>
      </c>
      <c r="N233">
        <v>0</v>
      </c>
      <c r="O233">
        <v>1</v>
      </c>
      <c r="P233">
        <v>1</v>
      </c>
      <c r="Q233">
        <v>1</v>
      </c>
      <c r="R233">
        <v>1</v>
      </c>
      <c r="S233">
        <v>0</v>
      </c>
      <c r="T233">
        <v>0</v>
      </c>
      <c r="U233">
        <v>0</v>
      </c>
      <c r="V233">
        <v>0</v>
      </c>
    </row>
    <row r="234" spans="1:22" x14ac:dyDescent="0.2">
      <c r="A234" t="s">
        <v>465</v>
      </c>
      <c r="B234" t="s">
        <v>33</v>
      </c>
      <c r="C234" t="s">
        <v>41</v>
      </c>
      <c r="D234" t="s">
        <v>49</v>
      </c>
      <c r="E234" t="s">
        <v>442</v>
      </c>
      <c r="F234" t="s">
        <v>65</v>
      </c>
      <c r="G234" t="s">
        <v>47</v>
      </c>
      <c r="H234" t="s">
        <v>48</v>
      </c>
      <c r="I234">
        <v>0</v>
      </c>
      <c r="J234">
        <v>1</v>
      </c>
      <c r="K234">
        <v>1</v>
      </c>
      <c r="L234">
        <v>1</v>
      </c>
      <c r="M234">
        <v>0</v>
      </c>
      <c r="N234">
        <v>0</v>
      </c>
      <c r="O234">
        <v>1</v>
      </c>
      <c r="P234">
        <v>0</v>
      </c>
      <c r="Q234">
        <v>1</v>
      </c>
      <c r="R234">
        <v>1</v>
      </c>
      <c r="S234">
        <v>1</v>
      </c>
      <c r="T234">
        <v>0</v>
      </c>
      <c r="U234">
        <v>0</v>
      </c>
      <c r="V234">
        <v>0</v>
      </c>
    </row>
    <row r="235" spans="1:22" x14ac:dyDescent="0.2">
      <c r="A235" t="s">
        <v>467</v>
      </c>
      <c r="B235" t="s">
        <v>108</v>
      </c>
      <c r="C235" t="s">
        <v>41</v>
      </c>
      <c r="D235" t="s">
        <v>61</v>
      </c>
      <c r="E235" t="s">
        <v>442</v>
      </c>
      <c r="F235" t="s">
        <v>59</v>
      </c>
      <c r="G235" t="s">
        <v>65</v>
      </c>
      <c r="H235" t="s">
        <v>46</v>
      </c>
      <c r="I235">
        <v>0</v>
      </c>
      <c r="J235">
        <v>1</v>
      </c>
      <c r="K235">
        <v>0</v>
      </c>
      <c r="L235">
        <v>0</v>
      </c>
      <c r="M235">
        <v>1</v>
      </c>
      <c r="N235">
        <v>0</v>
      </c>
      <c r="O235">
        <v>1</v>
      </c>
      <c r="P235">
        <v>0</v>
      </c>
      <c r="Q235">
        <v>1</v>
      </c>
      <c r="R235">
        <v>0</v>
      </c>
      <c r="S235">
        <v>0</v>
      </c>
      <c r="T235">
        <v>0</v>
      </c>
      <c r="U235">
        <v>0</v>
      </c>
      <c r="V235">
        <v>0</v>
      </c>
    </row>
    <row r="236" spans="1:22" x14ac:dyDescent="0.2">
      <c r="A236" t="s">
        <v>467</v>
      </c>
      <c r="B236" t="s">
        <v>108</v>
      </c>
      <c r="C236" t="s">
        <v>41</v>
      </c>
      <c r="D236" t="s">
        <v>67</v>
      </c>
      <c r="E236" t="s">
        <v>442</v>
      </c>
      <c r="F236" t="s">
        <v>65</v>
      </c>
      <c r="G236" t="s">
        <v>60</v>
      </c>
      <c r="H236" t="s">
        <v>46</v>
      </c>
      <c r="I236">
        <v>1</v>
      </c>
      <c r="J236">
        <v>1</v>
      </c>
      <c r="K236">
        <v>0</v>
      </c>
      <c r="L236">
        <v>0</v>
      </c>
      <c r="M236">
        <v>1</v>
      </c>
      <c r="N236">
        <v>0</v>
      </c>
      <c r="O236">
        <v>1</v>
      </c>
      <c r="P236">
        <v>0</v>
      </c>
      <c r="Q236">
        <v>1</v>
      </c>
      <c r="R236">
        <v>0</v>
      </c>
      <c r="S236">
        <v>0</v>
      </c>
      <c r="T236">
        <v>0</v>
      </c>
      <c r="U236">
        <v>0</v>
      </c>
      <c r="V236">
        <v>0</v>
      </c>
    </row>
    <row r="237" spans="1:22" x14ac:dyDescent="0.2">
      <c r="A237" t="s">
        <v>467</v>
      </c>
      <c r="B237" t="s">
        <v>108</v>
      </c>
      <c r="C237" t="s">
        <v>41</v>
      </c>
      <c r="D237" t="s">
        <v>49</v>
      </c>
      <c r="E237" t="s">
        <v>442</v>
      </c>
      <c r="F237" t="s">
        <v>65</v>
      </c>
      <c r="G237" t="s">
        <v>47</v>
      </c>
      <c r="H237" t="s">
        <v>59</v>
      </c>
      <c r="I237">
        <v>0</v>
      </c>
      <c r="J237">
        <v>1</v>
      </c>
      <c r="K237">
        <v>0</v>
      </c>
      <c r="L237">
        <v>1</v>
      </c>
      <c r="M237">
        <v>0</v>
      </c>
      <c r="N237">
        <v>0</v>
      </c>
      <c r="O237">
        <v>1</v>
      </c>
      <c r="P237">
        <v>0</v>
      </c>
      <c r="Q237">
        <v>1</v>
      </c>
      <c r="R237">
        <v>0</v>
      </c>
      <c r="S237">
        <v>0</v>
      </c>
      <c r="T237">
        <v>0</v>
      </c>
      <c r="U237">
        <v>0</v>
      </c>
      <c r="V237">
        <v>0</v>
      </c>
    </row>
    <row r="238" spans="1:22" x14ac:dyDescent="0.2">
      <c r="A238" t="s">
        <v>467</v>
      </c>
      <c r="B238" t="s">
        <v>108</v>
      </c>
      <c r="C238" t="s">
        <v>41</v>
      </c>
      <c r="D238" t="s">
        <v>72</v>
      </c>
      <c r="E238" t="s">
        <v>442</v>
      </c>
      <c r="F238" t="s">
        <v>65</v>
      </c>
      <c r="G238" t="s">
        <v>46</v>
      </c>
      <c r="H238" t="s">
        <v>59</v>
      </c>
      <c r="I238">
        <v>0</v>
      </c>
      <c r="J238">
        <v>1</v>
      </c>
      <c r="K238">
        <v>0</v>
      </c>
      <c r="L238">
        <v>0</v>
      </c>
      <c r="M238">
        <v>1</v>
      </c>
      <c r="N238">
        <v>0</v>
      </c>
      <c r="O238">
        <v>1</v>
      </c>
      <c r="P238">
        <v>0</v>
      </c>
      <c r="Q238">
        <v>1</v>
      </c>
      <c r="R238">
        <v>0</v>
      </c>
      <c r="S238">
        <v>0</v>
      </c>
      <c r="T238">
        <v>0</v>
      </c>
      <c r="U238">
        <v>0</v>
      </c>
      <c r="V238">
        <v>0</v>
      </c>
    </row>
    <row r="239" spans="1:22" x14ac:dyDescent="0.2">
      <c r="A239" t="s">
        <v>471</v>
      </c>
      <c r="B239" t="s">
        <v>108</v>
      </c>
      <c r="C239" t="s">
        <v>41</v>
      </c>
      <c r="D239" t="s">
        <v>49</v>
      </c>
      <c r="E239" t="s">
        <v>442</v>
      </c>
      <c r="F239" t="s">
        <v>65</v>
      </c>
      <c r="G239" t="s">
        <v>48</v>
      </c>
      <c r="H239" t="s">
        <v>46</v>
      </c>
      <c r="I239">
        <v>0</v>
      </c>
      <c r="J239">
        <v>1</v>
      </c>
      <c r="K239">
        <v>1</v>
      </c>
      <c r="L239">
        <v>0</v>
      </c>
      <c r="M239">
        <v>1</v>
      </c>
      <c r="N239">
        <v>0</v>
      </c>
      <c r="O239">
        <v>1</v>
      </c>
      <c r="P239">
        <v>0</v>
      </c>
      <c r="Q239">
        <v>1</v>
      </c>
      <c r="R239">
        <v>0</v>
      </c>
      <c r="S239">
        <v>0</v>
      </c>
      <c r="T239">
        <v>0</v>
      </c>
      <c r="U239">
        <v>0</v>
      </c>
      <c r="V239">
        <v>0</v>
      </c>
    </row>
    <row r="240" spans="1:22" x14ac:dyDescent="0.2">
      <c r="A240" t="s">
        <v>471</v>
      </c>
      <c r="B240" t="s">
        <v>108</v>
      </c>
      <c r="C240" t="s">
        <v>41</v>
      </c>
      <c r="D240" t="s">
        <v>42</v>
      </c>
      <c r="E240" t="s">
        <v>442</v>
      </c>
      <c r="F240" t="s">
        <v>48</v>
      </c>
      <c r="G240" t="s">
        <v>46</v>
      </c>
      <c r="H240" t="s">
        <v>65</v>
      </c>
      <c r="I240">
        <v>0</v>
      </c>
      <c r="J240">
        <v>1</v>
      </c>
      <c r="K240">
        <v>1</v>
      </c>
      <c r="L240">
        <v>0</v>
      </c>
      <c r="M240">
        <v>1</v>
      </c>
      <c r="N240">
        <v>0</v>
      </c>
      <c r="O240">
        <v>1</v>
      </c>
      <c r="P240">
        <v>0</v>
      </c>
      <c r="Q240">
        <v>1</v>
      </c>
      <c r="R240">
        <v>0</v>
      </c>
      <c r="S240">
        <v>0</v>
      </c>
      <c r="T240">
        <v>0</v>
      </c>
      <c r="U240">
        <v>0</v>
      </c>
      <c r="V240">
        <v>0</v>
      </c>
    </row>
    <row r="241" spans="1:22" x14ac:dyDescent="0.2">
      <c r="A241" t="s">
        <v>471</v>
      </c>
      <c r="B241" t="s">
        <v>108</v>
      </c>
      <c r="C241" t="s">
        <v>41</v>
      </c>
      <c r="D241" t="s">
        <v>72</v>
      </c>
      <c r="E241" t="s">
        <v>442</v>
      </c>
      <c r="F241" t="s">
        <v>65</v>
      </c>
      <c r="G241" t="s">
        <v>47</v>
      </c>
      <c r="H241" t="s">
        <v>46</v>
      </c>
      <c r="I241">
        <v>0</v>
      </c>
      <c r="J241">
        <v>1</v>
      </c>
      <c r="K241">
        <v>0</v>
      </c>
      <c r="L241">
        <v>1</v>
      </c>
      <c r="M241">
        <v>1</v>
      </c>
      <c r="N241">
        <v>0</v>
      </c>
      <c r="O241">
        <v>1</v>
      </c>
      <c r="P241">
        <v>0</v>
      </c>
      <c r="Q241">
        <v>1</v>
      </c>
      <c r="R241">
        <v>0</v>
      </c>
      <c r="S241">
        <v>0</v>
      </c>
      <c r="T241">
        <v>0</v>
      </c>
      <c r="U241">
        <v>0</v>
      </c>
      <c r="V241">
        <v>0</v>
      </c>
    </row>
    <row r="242" spans="1:22" x14ac:dyDescent="0.2">
      <c r="A242" t="s">
        <v>478</v>
      </c>
      <c r="B242" t="s">
        <v>108</v>
      </c>
      <c r="C242" t="s">
        <v>41</v>
      </c>
      <c r="D242" t="s">
        <v>55</v>
      </c>
      <c r="E242" t="s">
        <v>442</v>
      </c>
      <c r="F242" t="s">
        <v>65</v>
      </c>
      <c r="G242" t="s">
        <v>59</v>
      </c>
      <c r="H242" t="s">
        <v>48</v>
      </c>
      <c r="I242">
        <v>0</v>
      </c>
      <c r="J242">
        <v>1</v>
      </c>
      <c r="K242">
        <v>1</v>
      </c>
      <c r="L242">
        <v>0</v>
      </c>
      <c r="M242">
        <v>0</v>
      </c>
      <c r="N242">
        <v>0</v>
      </c>
      <c r="O242">
        <v>1</v>
      </c>
      <c r="P242">
        <v>0</v>
      </c>
      <c r="Q242">
        <v>1</v>
      </c>
      <c r="R242">
        <v>0</v>
      </c>
      <c r="S242">
        <v>0</v>
      </c>
      <c r="T242">
        <v>0</v>
      </c>
      <c r="U242">
        <v>0</v>
      </c>
      <c r="V242">
        <v>0</v>
      </c>
    </row>
    <row r="243" spans="1:22" x14ac:dyDescent="0.2">
      <c r="A243" t="s">
        <v>478</v>
      </c>
      <c r="B243" t="s">
        <v>108</v>
      </c>
      <c r="C243" t="s">
        <v>41</v>
      </c>
      <c r="D243" t="s">
        <v>61</v>
      </c>
      <c r="E243" t="s">
        <v>442</v>
      </c>
      <c r="F243" t="s">
        <v>46</v>
      </c>
      <c r="G243" t="s">
        <v>65</v>
      </c>
      <c r="H243" t="s">
        <v>47</v>
      </c>
      <c r="I243">
        <v>0</v>
      </c>
      <c r="J243">
        <v>1</v>
      </c>
      <c r="K243">
        <v>0</v>
      </c>
      <c r="L243">
        <v>1</v>
      </c>
      <c r="M243">
        <v>1</v>
      </c>
      <c r="N243">
        <v>0</v>
      </c>
      <c r="O243">
        <v>1</v>
      </c>
      <c r="P243">
        <v>0</v>
      </c>
      <c r="Q243">
        <v>1</v>
      </c>
      <c r="R243">
        <v>0</v>
      </c>
      <c r="S243">
        <v>0</v>
      </c>
      <c r="T243">
        <v>0</v>
      </c>
      <c r="U243">
        <v>0</v>
      </c>
      <c r="V243">
        <v>0</v>
      </c>
    </row>
    <row r="244" spans="1:22" x14ac:dyDescent="0.2">
      <c r="A244" t="s">
        <v>478</v>
      </c>
      <c r="B244" t="s">
        <v>108</v>
      </c>
      <c r="C244" t="s">
        <v>41</v>
      </c>
      <c r="D244" t="s">
        <v>49</v>
      </c>
      <c r="E244" t="s">
        <v>442</v>
      </c>
      <c r="F244" t="s">
        <v>48</v>
      </c>
      <c r="G244" t="s">
        <v>60</v>
      </c>
      <c r="H244" t="s">
        <v>65</v>
      </c>
      <c r="I244">
        <v>1</v>
      </c>
      <c r="J244">
        <v>1</v>
      </c>
      <c r="K244">
        <v>1</v>
      </c>
      <c r="L244">
        <v>0</v>
      </c>
      <c r="M244">
        <v>0</v>
      </c>
      <c r="N244">
        <v>0</v>
      </c>
      <c r="O244">
        <v>1</v>
      </c>
      <c r="P244">
        <v>0</v>
      </c>
      <c r="Q244">
        <v>1</v>
      </c>
      <c r="R244">
        <v>0</v>
      </c>
      <c r="S244">
        <v>0</v>
      </c>
      <c r="T244">
        <v>0</v>
      </c>
      <c r="U244">
        <v>0</v>
      </c>
      <c r="V244">
        <v>0</v>
      </c>
    </row>
    <row r="245" spans="1:22" x14ac:dyDescent="0.2">
      <c r="A245" t="s">
        <v>481</v>
      </c>
      <c r="B245" t="s">
        <v>108</v>
      </c>
      <c r="C245" t="s">
        <v>41</v>
      </c>
      <c r="D245" t="s">
        <v>49</v>
      </c>
      <c r="E245" t="s">
        <v>442</v>
      </c>
      <c r="F245" t="s">
        <v>60</v>
      </c>
      <c r="G245" t="s">
        <v>65</v>
      </c>
      <c r="H245" t="s">
        <v>59</v>
      </c>
      <c r="I245">
        <v>1</v>
      </c>
      <c r="J245">
        <v>1</v>
      </c>
      <c r="K245">
        <v>0</v>
      </c>
      <c r="L245">
        <v>0</v>
      </c>
      <c r="M245">
        <v>0</v>
      </c>
      <c r="N245">
        <v>0</v>
      </c>
      <c r="O245">
        <v>1</v>
      </c>
      <c r="P245">
        <v>1</v>
      </c>
      <c r="Q245">
        <v>1</v>
      </c>
      <c r="R245">
        <v>0</v>
      </c>
      <c r="S245">
        <v>0</v>
      </c>
      <c r="T245">
        <v>0</v>
      </c>
      <c r="U245">
        <v>0</v>
      </c>
      <c r="V245">
        <v>0</v>
      </c>
    </row>
    <row r="246" spans="1:22" x14ac:dyDescent="0.2">
      <c r="A246" t="s">
        <v>484</v>
      </c>
      <c r="B246" t="s">
        <v>108</v>
      </c>
      <c r="C246" t="s">
        <v>41</v>
      </c>
      <c r="D246" t="s">
        <v>55</v>
      </c>
      <c r="E246" t="s">
        <v>442</v>
      </c>
      <c r="F246" t="s">
        <v>60</v>
      </c>
      <c r="G246" t="s">
        <v>46</v>
      </c>
      <c r="H246" t="s">
        <v>65</v>
      </c>
      <c r="I246">
        <v>1</v>
      </c>
      <c r="J246">
        <v>1</v>
      </c>
      <c r="K246">
        <v>0</v>
      </c>
      <c r="L246">
        <v>0</v>
      </c>
      <c r="M246">
        <v>1</v>
      </c>
      <c r="N246">
        <v>0</v>
      </c>
      <c r="O246">
        <v>1</v>
      </c>
      <c r="P246">
        <v>1</v>
      </c>
      <c r="Q246">
        <v>1</v>
      </c>
      <c r="R246">
        <v>0</v>
      </c>
      <c r="S246">
        <v>0</v>
      </c>
      <c r="T246">
        <v>1</v>
      </c>
      <c r="U246">
        <v>0</v>
      </c>
      <c r="V246">
        <v>0</v>
      </c>
    </row>
    <row r="247" spans="1:22" x14ac:dyDescent="0.2">
      <c r="A247" t="s">
        <v>484</v>
      </c>
      <c r="B247" t="s">
        <v>108</v>
      </c>
      <c r="C247" t="s">
        <v>41</v>
      </c>
      <c r="D247" t="s">
        <v>42</v>
      </c>
      <c r="E247" t="s">
        <v>442</v>
      </c>
      <c r="F247" t="s">
        <v>65</v>
      </c>
      <c r="G247" t="s">
        <v>60</v>
      </c>
      <c r="H247" t="s">
        <v>46</v>
      </c>
      <c r="I247">
        <v>1</v>
      </c>
      <c r="J247">
        <v>1</v>
      </c>
      <c r="K247">
        <v>0</v>
      </c>
      <c r="L247">
        <v>0</v>
      </c>
      <c r="M247">
        <v>1</v>
      </c>
      <c r="N247">
        <v>0</v>
      </c>
      <c r="O247">
        <v>1</v>
      </c>
      <c r="P247">
        <v>1</v>
      </c>
      <c r="Q247">
        <v>1</v>
      </c>
      <c r="R247">
        <v>0</v>
      </c>
      <c r="S247">
        <v>0</v>
      </c>
      <c r="T247">
        <v>1</v>
      </c>
      <c r="U247">
        <v>0</v>
      </c>
      <c r="V247">
        <v>0</v>
      </c>
    </row>
    <row r="248" spans="1:22" x14ac:dyDescent="0.2">
      <c r="A248" t="s">
        <v>491</v>
      </c>
      <c r="B248" t="s">
        <v>33</v>
      </c>
      <c r="C248" t="s">
        <v>41</v>
      </c>
      <c r="D248" t="s">
        <v>42</v>
      </c>
      <c r="E248" t="s">
        <v>442</v>
      </c>
      <c r="F248" t="s">
        <v>46</v>
      </c>
      <c r="G248" t="s">
        <v>59</v>
      </c>
      <c r="H248" t="s">
        <v>65</v>
      </c>
      <c r="I248">
        <v>0</v>
      </c>
      <c r="J248">
        <v>1</v>
      </c>
      <c r="K248">
        <v>0</v>
      </c>
      <c r="L248">
        <v>0</v>
      </c>
      <c r="M248">
        <v>1</v>
      </c>
      <c r="N248">
        <v>0</v>
      </c>
      <c r="O248">
        <v>1</v>
      </c>
      <c r="P248">
        <v>0</v>
      </c>
      <c r="Q248">
        <v>1</v>
      </c>
      <c r="R248">
        <v>0</v>
      </c>
      <c r="S248">
        <v>0</v>
      </c>
      <c r="T248">
        <v>0</v>
      </c>
      <c r="U248">
        <v>0</v>
      </c>
      <c r="V248">
        <v>0</v>
      </c>
    </row>
    <row r="249" spans="1:22" x14ac:dyDescent="0.2">
      <c r="A249" t="s">
        <v>494</v>
      </c>
      <c r="B249" t="s">
        <v>33</v>
      </c>
      <c r="C249" t="s">
        <v>41</v>
      </c>
      <c r="D249" t="s">
        <v>55</v>
      </c>
      <c r="E249" t="s">
        <v>442</v>
      </c>
      <c r="F249" t="s">
        <v>65</v>
      </c>
      <c r="G249" t="s">
        <v>47</v>
      </c>
      <c r="H249" t="s">
        <v>48</v>
      </c>
      <c r="I249">
        <v>0</v>
      </c>
      <c r="J249">
        <v>1</v>
      </c>
      <c r="K249">
        <v>1</v>
      </c>
      <c r="L249">
        <v>1</v>
      </c>
      <c r="M249">
        <v>0</v>
      </c>
      <c r="N249">
        <v>0</v>
      </c>
      <c r="O249">
        <v>1</v>
      </c>
      <c r="P249">
        <v>0</v>
      </c>
      <c r="Q249">
        <v>1</v>
      </c>
      <c r="R249">
        <v>0</v>
      </c>
      <c r="S249">
        <v>0</v>
      </c>
      <c r="T249">
        <v>0</v>
      </c>
      <c r="U249">
        <v>0</v>
      </c>
      <c r="V249">
        <v>0</v>
      </c>
    </row>
    <row r="250" spans="1:22" x14ac:dyDescent="0.2">
      <c r="A250" t="s">
        <v>498</v>
      </c>
      <c r="B250" t="s">
        <v>33</v>
      </c>
      <c r="C250" t="s">
        <v>41</v>
      </c>
      <c r="D250" t="s">
        <v>55</v>
      </c>
      <c r="E250" t="s">
        <v>442</v>
      </c>
      <c r="F250" t="s">
        <v>46</v>
      </c>
      <c r="G250" t="s">
        <v>60</v>
      </c>
      <c r="H250" t="s">
        <v>65</v>
      </c>
      <c r="I250">
        <v>1</v>
      </c>
      <c r="J250">
        <v>1</v>
      </c>
      <c r="K250">
        <v>0</v>
      </c>
      <c r="L250">
        <v>0</v>
      </c>
      <c r="M250">
        <v>1</v>
      </c>
      <c r="N250">
        <v>0</v>
      </c>
      <c r="O250">
        <v>1</v>
      </c>
      <c r="P250">
        <v>1</v>
      </c>
      <c r="Q250">
        <v>1</v>
      </c>
      <c r="R250">
        <v>0</v>
      </c>
      <c r="S250">
        <v>0</v>
      </c>
      <c r="T250">
        <v>1</v>
      </c>
      <c r="U250">
        <v>0</v>
      </c>
      <c r="V250">
        <v>0</v>
      </c>
    </row>
    <row r="251" spans="1:22" x14ac:dyDescent="0.2">
      <c r="A251" t="s">
        <v>498</v>
      </c>
      <c r="B251" t="s">
        <v>33</v>
      </c>
      <c r="C251" t="s">
        <v>41</v>
      </c>
      <c r="D251" t="s">
        <v>42</v>
      </c>
      <c r="E251" t="s">
        <v>442</v>
      </c>
      <c r="F251" t="s">
        <v>65</v>
      </c>
      <c r="G251" t="s">
        <v>47</v>
      </c>
      <c r="H251" t="s">
        <v>48</v>
      </c>
      <c r="I251">
        <v>0</v>
      </c>
      <c r="J251">
        <v>1</v>
      </c>
      <c r="K251">
        <v>1</v>
      </c>
      <c r="L251">
        <v>1</v>
      </c>
      <c r="M251">
        <v>0</v>
      </c>
      <c r="N251">
        <v>0</v>
      </c>
      <c r="O251">
        <v>1</v>
      </c>
      <c r="P251">
        <v>0</v>
      </c>
      <c r="Q251">
        <v>1</v>
      </c>
      <c r="R251">
        <v>1</v>
      </c>
      <c r="S251">
        <v>1</v>
      </c>
      <c r="T251">
        <v>0</v>
      </c>
      <c r="U251">
        <v>0</v>
      </c>
      <c r="V251">
        <v>0</v>
      </c>
    </row>
    <row r="252" spans="1:22" x14ac:dyDescent="0.2">
      <c r="A252" t="s">
        <v>498</v>
      </c>
      <c r="B252" t="s">
        <v>33</v>
      </c>
      <c r="C252" t="s">
        <v>41</v>
      </c>
      <c r="D252" t="s">
        <v>61</v>
      </c>
      <c r="E252" t="s">
        <v>442</v>
      </c>
      <c r="F252" t="s">
        <v>46</v>
      </c>
      <c r="G252" t="s">
        <v>48</v>
      </c>
      <c r="H252" t="s">
        <v>65</v>
      </c>
      <c r="I252">
        <v>0</v>
      </c>
      <c r="J252">
        <v>1</v>
      </c>
      <c r="K252">
        <v>1</v>
      </c>
      <c r="L252">
        <v>0</v>
      </c>
      <c r="M252">
        <v>1</v>
      </c>
      <c r="N252">
        <v>0</v>
      </c>
      <c r="O252">
        <v>1</v>
      </c>
      <c r="P252">
        <v>0</v>
      </c>
      <c r="Q252">
        <v>1</v>
      </c>
      <c r="R252">
        <v>1</v>
      </c>
      <c r="S252">
        <v>0</v>
      </c>
      <c r="T252">
        <v>1</v>
      </c>
      <c r="U252">
        <v>0</v>
      </c>
      <c r="V252">
        <v>0</v>
      </c>
    </row>
    <row r="253" spans="1:22" x14ac:dyDescent="0.2">
      <c r="A253" t="s">
        <v>498</v>
      </c>
      <c r="B253" t="s">
        <v>33</v>
      </c>
      <c r="C253" t="s">
        <v>41</v>
      </c>
      <c r="D253" t="s">
        <v>67</v>
      </c>
      <c r="E253" t="s">
        <v>442</v>
      </c>
      <c r="F253" t="s">
        <v>60</v>
      </c>
      <c r="G253" t="s">
        <v>47</v>
      </c>
      <c r="H253" t="s">
        <v>65</v>
      </c>
      <c r="I253">
        <v>1</v>
      </c>
      <c r="J253">
        <v>1</v>
      </c>
      <c r="K253">
        <v>0</v>
      </c>
      <c r="L253">
        <v>1</v>
      </c>
      <c r="M253">
        <v>0</v>
      </c>
      <c r="N253">
        <v>0</v>
      </c>
      <c r="O253">
        <v>1</v>
      </c>
      <c r="P253">
        <v>1</v>
      </c>
      <c r="Q253">
        <v>1</v>
      </c>
      <c r="R253">
        <v>0</v>
      </c>
      <c r="S253">
        <v>1</v>
      </c>
      <c r="T253">
        <v>0</v>
      </c>
      <c r="U253">
        <v>0</v>
      </c>
      <c r="V253">
        <v>0</v>
      </c>
    </row>
    <row r="254" spans="1:22" x14ac:dyDescent="0.2">
      <c r="A254" t="s">
        <v>502</v>
      </c>
      <c r="B254" t="s">
        <v>33</v>
      </c>
      <c r="C254" t="s">
        <v>41</v>
      </c>
      <c r="D254" t="s">
        <v>61</v>
      </c>
      <c r="E254" t="s">
        <v>442</v>
      </c>
      <c r="F254" t="s">
        <v>65</v>
      </c>
      <c r="G254" t="s">
        <v>47</v>
      </c>
      <c r="H254" t="s">
        <v>59</v>
      </c>
      <c r="I254">
        <v>0</v>
      </c>
      <c r="J254">
        <v>1</v>
      </c>
      <c r="K254">
        <v>0</v>
      </c>
      <c r="L254">
        <v>1</v>
      </c>
      <c r="M254">
        <v>0</v>
      </c>
      <c r="N254">
        <v>0</v>
      </c>
      <c r="O254">
        <v>1</v>
      </c>
      <c r="P254">
        <v>0</v>
      </c>
      <c r="Q254">
        <v>1</v>
      </c>
      <c r="R254">
        <v>0</v>
      </c>
      <c r="S254">
        <v>1</v>
      </c>
      <c r="T254">
        <v>0</v>
      </c>
      <c r="U254">
        <v>0</v>
      </c>
      <c r="V254">
        <v>0</v>
      </c>
    </row>
    <row r="255" spans="1:22" x14ac:dyDescent="0.2">
      <c r="A255" t="s">
        <v>506</v>
      </c>
      <c r="B255" t="s">
        <v>108</v>
      </c>
      <c r="C255" t="s">
        <v>41</v>
      </c>
      <c r="D255" t="s">
        <v>42</v>
      </c>
      <c r="E255" t="s">
        <v>442</v>
      </c>
      <c r="F255" t="s">
        <v>46</v>
      </c>
      <c r="G255" t="s">
        <v>60</v>
      </c>
      <c r="H255" t="s">
        <v>65</v>
      </c>
      <c r="I255">
        <v>1</v>
      </c>
      <c r="J255">
        <v>1</v>
      </c>
      <c r="K255">
        <v>0</v>
      </c>
      <c r="L255">
        <v>0</v>
      </c>
      <c r="M255">
        <v>1</v>
      </c>
      <c r="N255">
        <v>0</v>
      </c>
      <c r="O255">
        <v>1</v>
      </c>
      <c r="P255">
        <v>1</v>
      </c>
      <c r="Q255">
        <v>1</v>
      </c>
      <c r="R255">
        <v>0</v>
      </c>
      <c r="S255">
        <v>0</v>
      </c>
      <c r="T255">
        <v>0</v>
      </c>
      <c r="U255">
        <v>0</v>
      </c>
      <c r="V255">
        <v>0</v>
      </c>
    </row>
    <row r="256" spans="1:22" x14ac:dyDescent="0.2">
      <c r="A256" t="s">
        <v>506</v>
      </c>
      <c r="B256" t="s">
        <v>108</v>
      </c>
      <c r="C256" t="s">
        <v>41</v>
      </c>
      <c r="D256" t="s">
        <v>67</v>
      </c>
      <c r="E256" t="s">
        <v>442</v>
      </c>
      <c r="F256" t="s">
        <v>48</v>
      </c>
      <c r="G256" t="s">
        <v>47</v>
      </c>
      <c r="H256" t="s">
        <v>65</v>
      </c>
      <c r="I256">
        <v>0</v>
      </c>
      <c r="J256">
        <v>1</v>
      </c>
      <c r="K256">
        <v>1</v>
      </c>
      <c r="L256">
        <v>1</v>
      </c>
      <c r="M256">
        <v>0</v>
      </c>
      <c r="N256">
        <v>0</v>
      </c>
      <c r="O256">
        <v>1</v>
      </c>
      <c r="P256">
        <v>0</v>
      </c>
      <c r="Q256">
        <v>1</v>
      </c>
      <c r="R256">
        <v>0</v>
      </c>
      <c r="S256">
        <v>1</v>
      </c>
      <c r="T256">
        <v>0</v>
      </c>
      <c r="U256">
        <v>0</v>
      </c>
      <c r="V256">
        <v>0</v>
      </c>
    </row>
    <row r="257" spans="1:22" x14ac:dyDescent="0.2">
      <c r="A257" t="s">
        <v>506</v>
      </c>
      <c r="B257" t="s">
        <v>108</v>
      </c>
      <c r="C257" t="s">
        <v>41</v>
      </c>
      <c r="D257" t="s">
        <v>55</v>
      </c>
      <c r="E257" t="s">
        <v>442</v>
      </c>
      <c r="F257" t="s">
        <v>48</v>
      </c>
      <c r="G257" t="s">
        <v>60</v>
      </c>
      <c r="H257" t="s">
        <v>65</v>
      </c>
      <c r="I257">
        <v>1</v>
      </c>
      <c r="J257">
        <v>1</v>
      </c>
      <c r="K257">
        <v>1</v>
      </c>
      <c r="L257">
        <v>0</v>
      </c>
      <c r="M257">
        <v>0</v>
      </c>
      <c r="N257">
        <v>0</v>
      </c>
      <c r="O257">
        <v>1</v>
      </c>
      <c r="P257">
        <v>0</v>
      </c>
      <c r="Q257">
        <v>1</v>
      </c>
      <c r="R257">
        <v>0</v>
      </c>
      <c r="S257">
        <v>0</v>
      </c>
      <c r="T257">
        <v>0</v>
      </c>
      <c r="U257">
        <v>0</v>
      </c>
      <c r="V257">
        <v>0</v>
      </c>
    </row>
    <row r="258" spans="1:22" x14ac:dyDescent="0.2">
      <c r="A258" t="s">
        <v>506</v>
      </c>
      <c r="B258" t="s">
        <v>108</v>
      </c>
      <c r="C258" t="s">
        <v>41</v>
      </c>
      <c r="D258" t="s">
        <v>61</v>
      </c>
      <c r="E258" t="s">
        <v>442</v>
      </c>
      <c r="F258" t="s">
        <v>47</v>
      </c>
      <c r="G258" t="s">
        <v>65</v>
      </c>
      <c r="H258" t="s">
        <v>48</v>
      </c>
      <c r="I258">
        <v>0</v>
      </c>
      <c r="J258">
        <v>1</v>
      </c>
      <c r="K258">
        <v>1</v>
      </c>
      <c r="L258">
        <v>1</v>
      </c>
      <c r="M258">
        <v>0</v>
      </c>
      <c r="N258">
        <v>0</v>
      </c>
      <c r="O258">
        <v>1</v>
      </c>
      <c r="P258">
        <v>0</v>
      </c>
      <c r="Q258">
        <v>1</v>
      </c>
      <c r="R258">
        <v>0</v>
      </c>
      <c r="S258">
        <v>1</v>
      </c>
      <c r="T258">
        <v>0</v>
      </c>
      <c r="U258">
        <v>0</v>
      </c>
      <c r="V258">
        <v>0</v>
      </c>
    </row>
    <row r="259" spans="1:22" x14ac:dyDescent="0.2">
      <c r="A259" t="s">
        <v>506</v>
      </c>
      <c r="B259" t="s">
        <v>108</v>
      </c>
      <c r="C259" t="s">
        <v>41</v>
      </c>
      <c r="D259" t="s">
        <v>72</v>
      </c>
      <c r="E259" t="s">
        <v>442</v>
      </c>
      <c r="F259" t="s">
        <v>65</v>
      </c>
      <c r="G259" t="s">
        <v>47</v>
      </c>
      <c r="H259" t="s">
        <v>59</v>
      </c>
      <c r="I259">
        <v>0</v>
      </c>
      <c r="J259">
        <v>1</v>
      </c>
      <c r="K259">
        <v>0</v>
      </c>
      <c r="L259">
        <v>1</v>
      </c>
      <c r="M259">
        <v>0</v>
      </c>
      <c r="N259">
        <v>0</v>
      </c>
      <c r="O259">
        <v>1</v>
      </c>
      <c r="P259">
        <v>0</v>
      </c>
      <c r="Q259">
        <v>1</v>
      </c>
      <c r="R259">
        <v>0</v>
      </c>
      <c r="S259">
        <v>1</v>
      </c>
      <c r="T259">
        <v>0</v>
      </c>
      <c r="U259">
        <v>0</v>
      </c>
      <c r="V259">
        <v>0</v>
      </c>
    </row>
    <row r="260" spans="1:22" x14ac:dyDescent="0.2">
      <c r="A260" t="s">
        <v>509</v>
      </c>
      <c r="B260" t="s">
        <v>188</v>
      </c>
      <c r="C260" t="s">
        <v>41</v>
      </c>
      <c r="D260" t="s">
        <v>55</v>
      </c>
      <c r="E260" t="s">
        <v>442</v>
      </c>
      <c r="F260" t="s">
        <v>48</v>
      </c>
      <c r="G260" t="s">
        <v>46</v>
      </c>
      <c r="H260" t="s">
        <v>65</v>
      </c>
      <c r="I260">
        <v>0</v>
      </c>
      <c r="J260">
        <v>1</v>
      </c>
      <c r="K260">
        <v>1</v>
      </c>
      <c r="L260">
        <v>0</v>
      </c>
      <c r="M260">
        <v>1</v>
      </c>
      <c r="N260">
        <v>0</v>
      </c>
      <c r="O260">
        <v>1</v>
      </c>
      <c r="P260">
        <v>0</v>
      </c>
      <c r="Q260">
        <v>1</v>
      </c>
      <c r="R260">
        <v>0</v>
      </c>
      <c r="S260">
        <v>0</v>
      </c>
      <c r="T260">
        <v>0</v>
      </c>
      <c r="U260">
        <v>0</v>
      </c>
      <c r="V260">
        <v>0</v>
      </c>
    </row>
    <row r="261" spans="1:22" x14ac:dyDescent="0.2">
      <c r="A261" t="s">
        <v>509</v>
      </c>
      <c r="B261" t="s">
        <v>188</v>
      </c>
      <c r="C261" t="s">
        <v>41</v>
      </c>
      <c r="D261" t="s">
        <v>72</v>
      </c>
      <c r="E261" t="s">
        <v>442</v>
      </c>
      <c r="F261" t="s">
        <v>47</v>
      </c>
      <c r="G261" t="s">
        <v>59</v>
      </c>
      <c r="H261" t="s">
        <v>65</v>
      </c>
      <c r="I261">
        <v>0</v>
      </c>
      <c r="J261">
        <v>1</v>
      </c>
      <c r="K261">
        <v>0</v>
      </c>
      <c r="L261">
        <v>1</v>
      </c>
      <c r="M261">
        <v>0</v>
      </c>
      <c r="N261">
        <v>0</v>
      </c>
      <c r="O261">
        <v>1</v>
      </c>
      <c r="P261">
        <v>0</v>
      </c>
      <c r="Q261">
        <v>1</v>
      </c>
      <c r="R261">
        <v>0</v>
      </c>
      <c r="S261">
        <v>0</v>
      </c>
      <c r="T261">
        <v>0</v>
      </c>
      <c r="U261">
        <v>0</v>
      </c>
      <c r="V261">
        <v>0</v>
      </c>
    </row>
    <row r="262" spans="1:22" x14ac:dyDescent="0.2">
      <c r="A262" t="s">
        <v>515</v>
      </c>
      <c r="B262" t="s">
        <v>108</v>
      </c>
      <c r="C262" t="s">
        <v>41</v>
      </c>
      <c r="D262" t="s">
        <v>55</v>
      </c>
      <c r="E262" t="s">
        <v>442</v>
      </c>
      <c r="F262" t="s">
        <v>59</v>
      </c>
      <c r="G262" t="s">
        <v>48</v>
      </c>
      <c r="H262" t="s">
        <v>65</v>
      </c>
      <c r="I262">
        <v>0</v>
      </c>
      <c r="J262">
        <v>1</v>
      </c>
      <c r="K262">
        <v>1</v>
      </c>
      <c r="L262">
        <v>0</v>
      </c>
      <c r="M262">
        <v>0</v>
      </c>
      <c r="N262">
        <v>0</v>
      </c>
      <c r="O262">
        <v>1</v>
      </c>
      <c r="P262">
        <v>0</v>
      </c>
      <c r="Q262">
        <v>1</v>
      </c>
      <c r="R262">
        <v>1</v>
      </c>
      <c r="S262">
        <v>0</v>
      </c>
      <c r="T262">
        <v>0</v>
      </c>
      <c r="U262">
        <v>0</v>
      </c>
      <c r="V262">
        <v>0</v>
      </c>
    </row>
    <row r="263" spans="1:22" x14ac:dyDescent="0.2">
      <c r="A263" t="s">
        <v>515</v>
      </c>
      <c r="B263" t="s">
        <v>108</v>
      </c>
      <c r="C263" t="s">
        <v>41</v>
      </c>
      <c r="D263" t="s">
        <v>42</v>
      </c>
      <c r="E263" t="s">
        <v>442</v>
      </c>
      <c r="F263" t="s">
        <v>46</v>
      </c>
      <c r="G263" t="s">
        <v>48</v>
      </c>
      <c r="H263" t="s">
        <v>65</v>
      </c>
      <c r="I263">
        <v>0</v>
      </c>
      <c r="J263">
        <v>1</v>
      </c>
      <c r="K263">
        <v>1</v>
      </c>
      <c r="L263">
        <v>0</v>
      </c>
      <c r="M263">
        <v>1</v>
      </c>
      <c r="N263">
        <v>0</v>
      </c>
      <c r="O263">
        <v>1</v>
      </c>
      <c r="P263">
        <v>0</v>
      </c>
      <c r="Q263">
        <v>1</v>
      </c>
      <c r="R263">
        <v>1</v>
      </c>
      <c r="S263">
        <v>0</v>
      </c>
      <c r="T263">
        <v>1</v>
      </c>
      <c r="U263">
        <v>0</v>
      </c>
      <c r="V263">
        <v>0</v>
      </c>
    </row>
    <row r="264" spans="1:22" x14ac:dyDescent="0.2">
      <c r="A264" t="s">
        <v>515</v>
      </c>
      <c r="B264" t="s">
        <v>108</v>
      </c>
      <c r="C264" t="s">
        <v>41</v>
      </c>
      <c r="D264" t="s">
        <v>49</v>
      </c>
      <c r="E264" t="s">
        <v>442</v>
      </c>
      <c r="F264" t="s">
        <v>46</v>
      </c>
      <c r="G264" t="s">
        <v>48</v>
      </c>
      <c r="H264" t="s">
        <v>65</v>
      </c>
      <c r="I264">
        <v>0</v>
      </c>
      <c r="J264">
        <v>1</v>
      </c>
      <c r="K264">
        <v>1</v>
      </c>
      <c r="L264">
        <v>0</v>
      </c>
      <c r="M264">
        <v>1</v>
      </c>
      <c r="N264">
        <v>0</v>
      </c>
      <c r="O264">
        <v>1</v>
      </c>
      <c r="P264">
        <v>0</v>
      </c>
      <c r="Q264">
        <v>1</v>
      </c>
      <c r="R264">
        <v>0</v>
      </c>
      <c r="S264">
        <v>0</v>
      </c>
      <c r="T264">
        <v>0</v>
      </c>
      <c r="U264">
        <v>0</v>
      </c>
      <c r="V264">
        <v>0</v>
      </c>
    </row>
    <row r="265" spans="1:22" x14ac:dyDescent="0.2">
      <c r="A265" t="s">
        <v>518</v>
      </c>
      <c r="B265" t="s">
        <v>108</v>
      </c>
      <c r="C265" t="s">
        <v>41</v>
      </c>
      <c r="D265" t="s">
        <v>67</v>
      </c>
      <c r="E265" t="s">
        <v>442</v>
      </c>
      <c r="F265" t="s">
        <v>60</v>
      </c>
      <c r="G265" t="s">
        <v>65</v>
      </c>
      <c r="H265" t="s">
        <v>47</v>
      </c>
      <c r="I265">
        <v>1</v>
      </c>
      <c r="J265">
        <v>1</v>
      </c>
      <c r="K265">
        <v>0</v>
      </c>
      <c r="L265">
        <v>1</v>
      </c>
      <c r="M265">
        <v>0</v>
      </c>
      <c r="N265">
        <v>0</v>
      </c>
      <c r="O265">
        <v>1</v>
      </c>
      <c r="P265">
        <v>1</v>
      </c>
      <c r="Q265">
        <v>1</v>
      </c>
      <c r="R265">
        <v>0</v>
      </c>
      <c r="S265">
        <v>1</v>
      </c>
      <c r="T265">
        <v>0</v>
      </c>
      <c r="U265">
        <v>0</v>
      </c>
      <c r="V265">
        <v>0</v>
      </c>
    </row>
    <row r="266" spans="1:22" x14ac:dyDescent="0.2">
      <c r="A266" t="s">
        <v>518</v>
      </c>
      <c r="B266" t="s">
        <v>108</v>
      </c>
      <c r="C266" t="s">
        <v>41</v>
      </c>
      <c r="D266" t="s">
        <v>61</v>
      </c>
      <c r="E266" t="s">
        <v>442</v>
      </c>
      <c r="F266" t="s">
        <v>47</v>
      </c>
      <c r="G266" t="s">
        <v>65</v>
      </c>
      <c r="H266" t="s">
        <v>60</v>
      </c>
      <c r="I266">
        <v>1</v>
      </c>
      <c r="J266">
        <v>1</v>
      </c>
      <c r="K266">
        <v>0</v>
      </c>
      <c r="L266">
        <v>1</v>
      </c>
      <c r="M266">
        <v>0</v>
      </c>
      <c r="N266">
        <v>0</v>
      </c>
      <c r="O266">
        <v>1</v>
      </c>
      <c r="P266">
        <v>1</v>
      </c>
      <c r="Q266">
        <v>1</v>
      </c>
      <c r="R266">
        <v>0</v>
      </c>
      <c r="S266">
        <v>1</v>
      </c>
      <c r="T266">
        <v>0</v>
      </c>
      <c r="U266">
        <v>0</v>
      </c>
      <c r="V266">
        <v>0</v>
      </c>
    </row>
    <row r="267" spans="1:22" x14ac:dyDescent="0.2">
      <c r="A267" t="s">
        <v>518</v>
      </c>
      <c r="B267" t="s">
        <v>108</v>
      </c>
      <c r="C267" t="s">
        <v>41</v>
      </c>
      <c r="D267" t="s">
        <v>49</v>
      </c>
      <c r="E267" t="s">
        <v>442</v>
      </c>
      <c r="F267" t="s">
        <v>46</v>
      </c>
      <c r="G267" t="s">
        <v>47</v>
      </c>
      <c r="H267" t="s">
        <v>65</v>
      </c>
      <c r="I267">
        <v>0</v>
      </c>
      <c r="J267">
        <v>1</v>
      </c>
      <c r="K267">
        <v>0</v>
      </c>
      <c r="L267">
        <v>1</v>
      </c>
      <c r="M267">
        <v>1</v>
      </c>
      <c r="N267">
        <v>0</v>
      </c>
      <c r="O267">
        <v>1</v>
      </c>
      <c r="P267">
        <v>0</v>
      </c>
      <c r="Q267">
        <v>1</v>
      </c>
      <c r="R267">
        <v>0</v>
      </c>
      <c r="S267">
        <v>1</v>
      </c>
      <c r="T267">
        <v>1</v>
      </c>
      <c r="U267">
        <v>0</v>
      </c>
      <c r="V267">
        <v>0</v>
      </c>
    </row>
    <row r="268" spans="1:22" x14ac:dyDescent="0.2">
      <c r="A268" t="s">
        <v>518</v>
      </c>
      <c r="B268" t="s">
        <v>108</v>
      </c>
      <c r="C268" t="s">
        <v>41</v>
      </c>
      <c r="D268" t="s">
        <v>42</v>
      </c>
      <c r="E268" t="s">
        <v>442</v>
      </c>
      <c r="F268" t="s">
        <v>60</v>
      </c>
      <c r="G268" t="s">
        <v>48</v>
      </c>
      <c r="H268" t="s">
        <v>65</v>
      </c>
      <c r="I268">
        <v>1</v>
      </c>
      <c r="J268">
        <v>1</v>
      </c>
      <c r="K268">
        <v>1</v>
      </c>
      <c r="L268">
        <v>0</v>
      </c>
      <c r="M268">
        <v>0</v>
      </c>
      <c r="N268">
        <v>0</v>
      </c>
      <c r="O268">
        <v>1</v>
      </c>
      <c r="P268">
        <v>1</v>
      </c>
      <c r="Q268">
        <v>1</v>
      </c>
      <c r="R268">
        <v>1</v>
      </c>
      <c r="S268">
        <v>0</v>
      </c>
      <c r="T268">
        <v>0</v>
      </c>
      <c r="U268">
        <v>0</v>
      </c>
      <c r="V268">
        <v>0</v>
      </c>
    </row>
    <row r="269" spans="1:22" x14ac:dyDescent="0.2">
      <c r="A269" t="s">
        <v>518</v>
      </c>
      <c r="B269" t="s">
        <v>108</v>
      </c>
      <c r="C269" t="s">
        <v>41</v>
      </c>
      <c r="D269" t="s">
        <v>55</v>
      </c>
      <c r="E269" t="s">
        <v>442</v>
      </c>
      <c r="F269" t="s">
        <v>65</v>
      </c>
      <c r="G269" t="s">
        <v>47</v>
      </c>
      <c r="H269" t="s">
        <v>60</v>
      </c>
      <c r="I269">
        <v>1</v>
      </c>
      <c r="J269">
        <v>1</v>
      </c>
      <c r="K269">
        <v>0</v>
      </c>
      <c r="L269">
        <v>1</v>
      </c>
      <c r="M269">
        <v>0</v>
      </c>
      <c r="N269">
        <v>0</v>
      </c>
      <c r="O269">
        <v>1</v>
      </c>
      <c r="P269">
        <v>1</v>
      </c>
      <c r="Q269">
        <v>1</v>
      </c>
      <c r="R269">
        <v>0</v>
      </c>
      <c r="S269">
        <v>1</v>
      </c>
      <c r="T269">
        <v>0</v>
      </c>
      <c r="U269">
        <v>0</v>
      </c>
      <c r="V269">
        <v>0</v>
      </c>
    </row>
    <row r="270" spans="1:22" x14ac:dyDescent="0.2">
      <c r="A270" t="s">
        <v>521</v>
      </c>
      <c r="B270" t="s">
        <v>33</v>
      </c>
      <c r="C270" t="s">
        <v>41</v>
      </c>
      <c r="D270" t="s">
        <v>55</v>
      </c>
      <c r="E270" t="s">
        <v>442</v>
      </c>
      <c r="F270" t="s">
        <v>65</v>
      </c>
      <c r="G270" t="s">
        <v>48</v>
      </c>
      <c r="H270" t="s">
        <v>47</v>
      </c>
      <c r="I270">
        <v>0</v>
      </c>
      <c r="J270">
        <v>1</v>
      </c>
      <c r="K270">
        <v>1</v>
      </c>
      <c r="L270">
        <v>1</v>
      </c>
      <c r="M270">
        <v>0</v>
      </c>
      <c r="N270">
        <v>0</v>
      </c>
      <c r="O270">
        <v>1</v>
      </c>
      <c r="P270">
        <v>0</v>
      </c>
      <c r="Q270">
        <v>1</v>
      </c>
      <c r="R270">
        <v>0</v>
      </c>
      <c r="S270">
        <v>0</v>
      </c>
      <c r="T270">
        <v>0</v>
      </c>
      <c r="U270">
        <v>0</v>
      </c>
      <c r="V270">
        <v>0</v>
      </c>
    </row>
    <row r="271" spans="1:22" x14ac:dyDescent="0.2">
      <c r="A271" t="s">
        <v>521</v>
      </c>
      <c r="B271" t="s">
        <v>33</v>
      </c>
      <c r="C271" t="s">
        <v>41</v>
      </c>
      <c r="D271" t="s">
        <v>49</v>
      </c>
      <c r="E271" t="s">
        <v>442</v>
      </c>
      <c r="F271" t="s">
        <v>47</v>
      </c>
      <c r="G271" t="s">
        <v>65</v>
      </c>
      <c r="H271" t="s">
        <v>59</v>
      </c>
      <c r="I271">
        <v>0</v>
      </c>
      <c r="J271">
        <v>1</v>
      </c>
      <c r="K271">
        <v>0</v>
      </c>
      <c r="L271">
        <v>1</v>
      </c>
      <c r="M271">
        <v>0</v>
      </c>
      <c r="N271">
        <v>0</v>
      </c>
      <c r="O271">
        <v>1</v>
      </c>
      <c r="P271">
        <v>0</v>
      </c>
      <c r="Q271">
        <v>1</v>
      </c>
      <c r="R271">
        <v>0</v>
      </c>
      <c r="S271">
        <v>0</v>
      </c>
      <c r="T271">
        <v>0</v>
      </c>
      <c r="U271">
        <v>0</v>
      </c>
      <c r="V271">
        <v>0</v>
      </c>
    </row>
    <row r="272" spans="1:22" x14ac:dyDescent="0.2">
      <c r="A272" t="s">
        <v>524</v>
      </c>
      <c r="B272" t="s">
        <v>108</v>
      </c>
      <c r="C272" t="s">
        <v>41</v>
      </c>
      <c r="D272" t="s">
        <v>72</v>
      </c>
      <c r="E272" t="s">
        <v>442</v>
      </c>
      <c r="F272" t="s">
        <v>59</v>
      </c>
      <c r="G272" t="s">
        <v>48</v>
      </c>
      <c r="H272" t="s">
        <v>65</v>
      </c>
      <c r="I272">
        <v>0</v>
      </c>
      <c r="J272">
        <v>1</v>
      </c>
      <c r="K272">
        <v>1</v>
      </c>
      <c r="L272">
        <v>0</v>
      </c>
      <c r="M272">
        <v>0</v>
      </c>
      <c r="N272">
        <v>0</v>
      </c>
      <c r="O272">
        <v>1</v>
      </c>
      <c r="P272">
        <v>0</v>
      </c>
      <c r="Q272">
        <v>1</v>
      </c>
      <c r="R272">
        <v>0</v>
      </c>
      <c r="S272">
        <v>0</v>
      </c>
      <c r="T272">
        <v>0</v>
      </c>
      <c r="U272">
        <v>0</v>
      </c>
      <c r="V272">
        <v>0</v>
      </c>
    </row>
    <row r="273" spans="1:22" x14ac:dyDescent="0.2">
      <c r="A273" t="s">
        <v>527</v>
      </c>
      <c r="B273" t="s">
        <v>108</v>
      </c>
      <c r="C273" t="s">
        <v>41</v>
      </c>
      <c r="D273" t="s">
        <v>61</v>
      </c>
      <c r="E273" t="s">
        <v>442</v>
      </c>
      <c r="F273" t="s">
        <v>46</v>
      </c>
      <c r="G273" t="s">
        <v>59</v>
      </c>
      <c r="H273" t="s">
        <v>65</v>
      </c>
      <c r="I273">
        <v>0</v>
      </c>
      <c r="J273">
        <v>1</v>
      </c>
      <c r="K273">
        <v>0</v>
      </c>
      <c r="L273">
        <v>0</v>
      </c>
      <c r="M273">
        <v>1</v>
      </c>
      <c r="N273">
        <v>0</v>
      </c>
      <c r="O273">
        <v>1</v>
      </c>
      <c r="P273">
        <v>0</v>
      </c>
      <c r="Q273">
        <v>1</v>
      </c>
      <c r="R273">
        <v>0</v>
      </c>
      <c r="S273">
        <v>0</v>
      </c>
      <c r="T273">
        <v>0</v>
      </c>
      <c r="U273">
        <v>0</v>
      </c>
      <c r="V273">
        <v>0</v>
      </c>
    </row>
    <row r="274" spans="1:22" x14ac:dyDescent="0.2">
      <c r="A274" t="s">
        <v>527</v>
      </c>
      <c r="B274" t="s">
        <v>108</v>
      </c>
      <c r="C274" t="s">
        <v>41</v>
      </c>
      <c r="D274" t="s">
        <v>67</v>
      </c>
      <c r="E274" t="s">
        <v>442</v>
      </c>
      <c r="F274" t="s">
        <v>48</v>
      </c>
      <c r="G274" t="s">
        <v>65</v>
      </c>
      <c r="H274" t="s">
        <v>60</v>
      </c>
      <c r="I274">
        <v>1</v>
      </c>
      <c r="J274">
        <v>1</v>
      </c>
      <c r="K274">
        <v>1</v>
      </c>
      <c r="L274">
        <v>0</v>
      </c>
      <c r="M274">
        <v>0</v>
      </c>
      <c r="N274">
        <v>0</v>
      </c>
      <c r="O274">
        <v>1</v>
      </c>
      <c r="P274">
        <v>0</v>
      </c>
      <c r="Q274">
        <v>1</v>
      </c>
      <c r="R274">
        <v>0</v>
      </c>
      <c r="S274">
        <v>0</v>
      </c>
      <c r="T274">
        <v>0</v>
      </c>
      <c r="U274">
        <v>0</v>
      </c>
      <c r="V274">
        <v>0</v>
      </c>
    </row>
    <row r="275" spans="1:22" x14ac:dyDescent="0.2">
      <c r="A275" t="s">
        <v>527</v>
      </c>
      <c r="B275" t="s">
        <v>108</v>
      </c>
      <c r="C275" t="s">
        <v>41</v>
      </c>
      <c r="D275" t="s">
        <v>49</v>
      </c>
      <c r="E275" t="s">
        <v>442</v>
      </c>
      <c r="F275" t="s">
        <v>60</v>
      </c>
      <c r="G275" t="s">
        <v>46</v>
      </c>
      <c r="H275" t="s">
        <v>65</v>
      </c>
      <c r="I275">
        <v>1</v>
      </c>
      <c r="J275">
        <v>1</v>
      </c>
      <c r="K275">
        <v>0</v>
      </c>
      <c r="L275">
        <v>0</v>
      </c>
      <c r="M275">
        <v>1</v>
      </c>
      <c r="N275">
        <v>0</v>
      </c>
      <c r="O275">
        <v>1</v>
      </c>
      <c r="P275">
        <v>1</v>
      </c>
      <c r="Q275">
        <v>1</v>
      </c>
      <c r="R275">
        <v>0</v>
      </c>
      <c r="S275">
        <v>0</v>
      </c>
      <c r="T275">
        <v>1</v>
      </c>
      <c r="U275">
        <v>0</v>
      </c>
      <c r="V275">
        <v>0</v>
      </c>
    </row>
    <row r="276" spans="1:22" x14ac:dyDescent="0.2">
      <c r="A276" t="s">
        <v>527</v>
      </c>
      <c r="B276" t="s">
        <v>108</v>
      </c>
      <c r="C276" t="s">
        <v>41</v>
      </c>
      <c r="D276" t="s">
        <v>42</v>
      </c>
      <c r="E276" t="s">
        <v>442</v>
      </c>
      <c r="F276" t="s">
        <v>47</v>
      </c>
      <c r="G276" t="s">
        <v>48</v>
      </c>
      <c r="H276" t="s">
        <v>65</v>
      </c>
      <c r="I276">
        <v>0</v>
      </c>
      <c r="J276">
        <v>1</v>
      </c>
      <c r="K276">
        <v>1</v>
      </c>
      <c r="L276">
        <v>1</v>
      </c>
      <c r="M276">
        <v>0</v>
      </c>
      <c r="N276">
        <v>0</v>
      </c>
      <c r="O276">
        <v>1</v>
      </c>
      <c r="P276">
        <v>0</v>
      </c>
      <c r="Q276">
        <v>1</v>
      </c>
      <c r="R276">
        <v>1</v>
      </c>
      <c r="S276">
        <v>1</v>
      </c>
      <c r="T276">
        <v>0</v>
      </c>
      <c r="U276">
        <v>0</v>
      </c>
      <c r="V276">
        <v>0</v>
      </c>
    </row>
    <row r="277" spans="1:22" x14ac:dyDescent="0.2">
      <c r="A277" t="s">
        <v>531</v>
      </c>
      <c r="B277" t="s">
        <v>108</v>
      </c>
      <c r="C277" t="s">
        <v>41</v>
      </c>
      <c r="D277" t="s">
        <v>49</v>
      </c>
      <c r="E277" t="s">
        <v>442</v>
      </c>
      <c r="F277" t="s">
        <v>65</v>
      </c>
      <c r="G277" t="s">
        <v>46</v>
      </c>
      <c r="H277" t="s">
        <v>59</v>
      </c>
      <c r="I277">
        <v>0</v>
      </c>
      <c r="J277">
        <v>1</v>
      </c>
      <c r="K277">
        <v>0</v>
      </c>
      <c r="L277">
        <v>0</v>
      </c>
      <c r="M277">
        <v>1</v>
      </c>
      <c r="N277">
        <v>0</v>
      </c>
      <c r="O277">
        <v>1</v>
      </c>
      <c r="P277">
        <v>0</v>
      </c>
      <c r="Q277">
        <v>1</v>
      </c>
      <c r="R277">
        <v>0</v>
      </c>
      <c r="S277">
        <v>0</v>
      </c>
      <c r="T277">
        <v>0</v>
      </c>
      <c r="U277">
        <v>0</v>
      </c>
      <c r="V277">
        <v>0</v>
      </c>
    </row>
    <row r="278" spans="1:22" x14ac:dyDescent="0.2">
      <c r="A278" t="s">
        <v>531</v>
      </c>
      <c r="B278" t="s">
        <v>108</v>
      </c>
      <c r="C278" t="s">
        <v>41</v>
      </c>
      <c r="D278" t="s">
        <v>61</v>
      </c>
      <c r="E278" t="s">
        <v>442</v>
      </c>
      <c r="F278" t="s">
        <v>59</v>
      </c>
      <c r="G278" t="s">
        <v>46</v>
      </c>
      <c r="H278" t="s">
        <v>65</v>
      </c>
      <c r="I278">
        <v>0</v>
      </c>
      <c r="J278">
        <v>1</v>
      </c>
      <c r="K278">
        <v>0</v>
      </c>
      <c r="L278">
        <v>0</v>
      </c>
      <c r="M278">
        <v>1</v>
      </c>
      <c r="N278">
        <v>0</v>
      </c>
      <c r="O278">
        <v>1</v>
      </c>
      <c r="P278">
        <v>0</v>
      </c>
      <c r="Q278">
        <v>1</v>
      </c>
      <c r="R278">
        <v>0</v>
      </c>
      <c r="S278">
        <v>0</v>
      </c>
      <c r="T278">
        <v>0</v>
      </c>
      <c r="U278">
        <v>0</v>
      </c>
      <c r="V278">
        <v>0</v>
      </c>
    </row>
    <row r="279" spans="1:22" x14ac:dyDescent="0.2">
      <c r="A279" t="s">
        <v>531</v>
      </c>
      <c r="B279" t="s">
        <v>108</v>
      </c>
      <c r="C279" t="s">
        <v>41</v>
      </c>
      <c r="D279" t="s">
        <v>42</v>
      </c>
      <c r="E279" t="s">
        <v>442</v>
      </c>
      <c r="F279" t="s">
        <v>65</v>
      </c>
      <c r="G279" t="s">
        <v>47</v>
      </c>
      <c r="H279" t="s">
        <v>46</v>
      </c>
      <c r="I279">
        <v>0</v>
      </c>
      <c r="J279">
        <v>1</v>
      </c>
      <c r="K279">
        <v>0</v>
      </c>
      <c r="L279">
        <v>1</v>
      </c>
      <c r="M279">
        <v>1</v>
      </c>
      <c r="N279">
        <v>0</v>
      </c>
      <c r="O279">
        <v>1</v>
      </c>
      <c r="P279">
        <v>0</v>
      </c>
      <c r="Q279">
        <v>1</v>
      </c>
      <c r="R279">
        <v>0</v>
      </c>
      <c r="S279">
        <v>1</v>
      </c>
      <c r="T279">
        <v>0</v>
      </c>
      <c r="U279">
        <v>0</v>
      </c>
      <c r="V279">
        <v>0</v>
      </c>
    </row>
    <row r="280" spans="1:22" x14ac:dyDescent="0.2">
      <c r="A280" t="s">
        <v>531</v>
      </c>
      <c r="B280" t="s">
        <v>108</v>
      </c>
      <c r="C280" t="s">
        <v>41</v>
      </c>
      <c r="D280" t="s">
        <v>55</v>
      </c>
      <c r="E280" t="s">
        <v>442</v>
      </c>
      <c r="F280" t="s">
        <v>60</v>
      </c>
      <c r="G280" t="s">
        <v>48</v>
      </c>
      <c r="H280" t="s">
        <v>65</v>
      </c>
      <c r="I280">
        <v>1</v>
      </c>
      <c r="J280">
        <v>1</v>
      </c>
      <c r="K280">
        <v>1</v>
      </c>
      <c r="L280">
        <v>0</v>
      </c>
      <c r="M280">
        <v>0</v>
      </c>
      <c r="N280">
        <v>0</v>
      </c>
      <c r="O280">
        <v>1</v>
      </c>
      <c r="P280">
        <v>1</v>
      </c>
      <c r="Q280">
        <v>1</v>
      </c>
      <c r="R280">
        <v>0</v>
      </c>
      <c r="S280">
        <v>0</v>
      </c>
      <c r="T280">
        <v>0</v>
      </c>
      <c r="U280">
        <v>0</v>
      </c>
      <c r="V280">
        <v>0</v>
      </c>
    </row>
    <row r="281" spans="1:22" x14ac:dyDescent="0.2">
      <c r="A281" t="s">
        <v>534</v>
      </c>
      <c r="B281" t="s">
        <v>108</v>
      </c>
      <c r="C281" t="s">
        <v>41</v>
      </c>
      <c r="D281" t="s">
        <v>42</v>
      </c>
      <c r="E281" t="s">
        <v>442</v>
      </c>
      <c r="F281" t="s">
        <v>48</v>
      </c>
      <c r="G281" t="s">
        <v>46</v>
      </c>
      <c r="H281" t="s">
        <v>65</v>
      </c>
      <c r="I281">
        <v>0</v>
      </c>
      <c r="J281">
        <v>1</v>
      </c>
      <c r="K281">
        <v>1</v>
      </c>
      <c r="L281">
        <v>0</v>
      </c>
      <c r="M281">
        <v>1</v>
      </c>
      <c r="N281">
        <v>0</v>
      </c>
      <c r="O281">
        <v>1</v>
      </c>
      <c r="P281">
        <v>0</v>
      </c>
      <c r="Q281">
        <v>1</v>
      </c>
      <c r="R281">
        <v>1</v>
      </c>
      <c r="S281">
        <v>0</v>
      </c>
      <c r="T281">
        <v>1</v>
      </c>
      <c r="U281">
        <v>0</v>
      </c>
      <c r="V281">
        <v>0</v>
      </c>
    </row>
    <row r="282" spans="1:22" x14ac:dyDescent="0.2">
      <c r="A282" t="s">
        <v>537</v>
      </c>
      <c r="B282" t="s">
        <v>33</v>
      </c>
      <c r="C282" t="s">
        <v>41</v>
      </c>
      <c r="D282" t="s">
        <v>67</v>
      </c>
      <c r="E282" t="s">
        <v>442</v>
      </c>
      <c r="F282" t="s">
        <v>48</v>
      </c>
      <c r="G282" t="s">
        <v>59</v>
      </c>
      <c r="H282" t="s">
        <v>65</v>
      </c>
      <c r="I282">
        <v>0</v>
      </c>
      <c r="J282">
        <v>1</v>
      </c>
      <c r="K282">
        <v>1</v>
      </c>
      <c r="L282">
        <v>0</v>
      </c>
      <c r="M282">
        <v>0</v>
      </c>
      <c r="N282">
        <v>0</v>
      </c>
      <c r="O282">
        <v>1</v>
      </c>
      <c r="P282">
        <v>0</v>
      </c>
      <c r="Q282">
        <v>1</v>
      </c>
      <c r="R282">
        <v>0</v>
      </c>
      <c r="S282">
        <v>0</v>
      </c>
      <c r="T282">
        <v>0</v>
      </c>
      <c r="U282">
        <v>0</v>
      </c>
      <c r="V282">
        <v>0</v>
      </c>
    </row>
    <row r="283" spans="1:22" x14ac:dyDescent="0.2">
      <c r="A283" t="s">
        <v>537</v>
      </c>
      <c r="B283" t="s">
        <v>33</v>
      </c>
      <c r="C283" t="s">
        <v>41</v>
      </c>
      <c r="D283" t="s">
        <v>72</v>
      </c>
      <c r="E283" t="s">
        <v>442</v>
      </c>
      <c r="F283" t="s">
        <v>48</v>
      </c>
      <c r="G283" t="s">
        <v>47</v>
      </c>
      <c r="H283" t="s">
        <v>65</v>
      </c>
      <c r="I283">
        <v>0</v>
      </c>
      <c r="J283">
        <v>1</v>
      </c>
      <c r="K283">
        <v>1</v>
      </c>
      <c r="L283">
        <v>1</v>
      </c>
      <c r="M283">
        <v>0</v>
      </c>
      <c r="N283">
        <v>0</v>
      </c>
      <c r="O283">
        <v>1</v>
      </c>
      <c r="P283">
        <v>0</v>
      </c>
      <c r="Q283">
        <v>1</v>
      </c>
      <c r="R283">
        <v>0</v>
      </c>
      <c r="S283">
        <v>1</v>
      </c>
      <c r="T283">
        <v>0</v>
      </c>
      <c r="U283">
        <v>0</v>
      </c>
      <c r="V283">
        <v>0</v>
      </c>
    </row>
    <row r="284" spans="1:22" x14ac:dyDescent="0.2">
      <c r="A284" t="s">
        <v>540</v>
      </c>
      <c r="B284" t="s">
        <v>108</v>
      </c>
      <c r="C284" t="s">
        <v>41</v>
      </c>
      <c r="D284" t="s">
        <v>55</v>
      </c>
      <c r="E284" t="s">
        <v>442</v>
      </c>
      <c r="F284" t="s">
        <v>65</v>
      </c>
      <c r="G284" t="s">
        <v>59</v>
      </c>
      <c r="H284" t="s">
        <v>48</v>
      </c>
      <c r="I284">
        <v>0</v>
      </c>
      <c r="J284">
        <v>1</v>
      </c>
      <c r="K284">
        <v>1</v>
      </c>
      <c r="L284">
        <v>0</v>
      </c>
      <c r="M284">
        <v>0</v>
      </c>
      <c r="N284">
        <v>0</v>
      </c>
      <c r="O284">
        <v>1</v>
      </c>
      <c r="P284">
        <v>0</v>
      </c>
      <c r="Q284">
        <v>1</v>
      </c>
      <c r="R284">
        <v>1</v>
      </c>
      <c r="S284">
        <v>0</v>
      </c>
      <c r="T284">
        <v>0</v>
      </c>
      <c r="U284">
        <v>0</v>
      </c>
      <c r="V284">
        <v>0</v>
      </c>
    </row>
    <row r="285" spans="1:22" x14ac:dyDescent="0.2">
      <c r="A285" t="s">
        <v>540</v>
      </c>
      <c r="B285" t="s">
        <v>108</v>
      </c>
      <c r="C285" t="s">
        <v>41</v>
      </c>
      <c r="D285" t="s">
        <v>42</v>
      </c>
      <c r="E285" t="s">
        <v>442</v>
      </c>
      <c r="F285" t="s">
        <v>48</v>
      </c>
      <c r="G285" t="s">
        <v>46</v>
      </c>
      <c r="H285" t="s">
        <v>65</v>
      </c>
      <c r="I285">
        <v>0</v>
      </c>
      <c r="J285">
        <v>1</v>
      </c>
      <c r="K285">
        <v>1</v>
      </c>
      <c r="L285">
        <v>0</v>
      </c>
      <c r="M285">
        <v>1</v>
      </c>
      <c r="N285">
        <v>0</v>
      </c>
      <c r="O285">
        <v>1</v>
      </c>
      <c r="P285">
        <v>0</v>
      </c>
      <c r="Q285">
        <v>1</v>
      </c>
      <c r="R285">
        <v>1</v>
      </c>
      <c r="S285">
        <v>0</v>
      </c>
      <c r="T285">
        <v>1</v>
      </c>
      <c r="U285">
        <v>0</v>
      </c>
      <c r="V285">
        <v>0</v>
      </c>
    </row>
    <row r="286" spans="1:22" x14ac:dyDescent="0.2">
      <c r="A286" t="s">
        <v>540</v>
      </c>
      <c r="B286" t="s">
        <v>108</v>
      </c>
      <c r="C286" t="s">
        <v>41</v>
      </c>
      <c r="D286" t="s">
        <v>61</v>
      </c>
      <c r="E286" t="s">
        <v>442</v>
      </c>
      <c r="F286" t="s">
        <v>60</v>
      </c>
      <c r="G286" t="s">
        <v>65</v>
      </c>
      <c r="H286" t="s">
        <v>47</v>
      </c>
      <c r="I286">
        <v>1</v>
      </c>
      <c r="J286">
        <v>1</v>
      </c>
      <c r="K286">
        <v>0</v>
      </c>
      <c r="L286">
        <v>1</v>
      </c>
      <c r="M286">
        <v>0</v>
      </c>
      <c r="N286">
        <v>0</v>
      </c>
      <c r="O286">
        <v>1</v>
      </c>
      <c r="P286">
        <v>1</v>
      </c>
      <c r="Q286">
        <v>1</v>
      </c>
      <c r="R286">
        <v>0</v>
      </c>
      <c r="S286">
        <v>1</v>
      </c>
      <c r="T286">
        <v>0</v>
      </c>
      <c r="U286">
        <v>0</v>
      </c>
      <c r="V286">
        <v>0</v>
      </c>
    </row>
    <row r="287" spans="1:22" x14ac:dyDescent="0.2">
      <c r="A287" t="s">
        <v>543</v>
      </c>
      <c r="B287" t="s">
        <v>174</v>
      </c>
      <c r="C287" t="s">
        <v>41</v>
      </c>
      <c r="D287" t="s">
        <v>67</v>
      </c>
      <c r="E287" t="s">
        <v>442</v>
      </c>
      <c r="F287" t="s">
        <v>46</v>
      </c>
      <c r="G287" t="s">
        <v>65</v>
      </c>
      <c r="H287" t="s">
        <v>47</v>
      </c>
      <c r="I287">
        <v>0</v>
      </c>
      <c r="J287">
        <v>1</v>
      </c>
      <c r="K287">
        <v>0</v>
      </c>
      <c r="L287">
        <v>1</v>
      </c>
      <c r="M287">
        <v>1</v>
      </c>
      <c r="N287">
        <v>0</v>
      </c>
      <c r="O287">
        <v>1</v>
      </c>
      <c r="P287">
        <v>0</v>
      </c>
      <c r="Q287">
        <v>1</v>
      </c>
      <c r="R287">
        <v>0</v>
      </c>
      <c r="S287">
        <v>1</v>
      </c>
      <c r="T287">
        <v>1</v>
      </c>
      <c r="U287">
        <v>0</v>
      </c>
      <c r="V287">
        <v>0</v>
      </c>
    </row>
    <row r="288" spans="1:22" x14ac:dyDescent="0.2">
      <c r="A288" t="s">
        <v>547</v>
      </c>
      <c r="B288" t="s">
        <v>548</v>
      </c>
      <c r="C288" t="s">
        <v>41</v>
      </c>
      <c r="D288" t="s">
        <v>61</v>
      </c>
      <c r="E288" t="s">
        <v>442</v>
      </c>
      <c r="F288" t="s">
        <v>48</v>
      </c>
      <c r="G288" t="s">
        <v>65</v>
      </c>
      <c r="H288" t="s">
        <v>59</v>
      </c>
      <c r="I288">
        <v>0</v>
      </c>
      <c r="J288">
        <v>1</v>
      </c>
      <c r="K288">
        <v>1</v>
      </c>
      <c r="L288">
        <v>0</v>
      </c>
      <c r="M288">
        <v>0</v>
      </c>
      <c r="N288">
        <v>0</v>
      </c>
      <c r="O288">
        <v>1</v>
      </c>
      <c r="P288">
        <v>0</v>
      </c>
      <c r="Q288">
        <v>1</v>
      </c>
      <c r="R288">
        <v>0</v>
      </c>
      <c r="S288">
        <v>0</v>
      </c>
      <c r="T288">
        <v>0</v>
      </c>
      <c r="U288">
        <v>0</v>
      </c>
      <c r="V288">
        <v>0</v>
      </c>
    </row>
    <row r="289" spans="1:22" x14ac:dyDescent="0.2">
      <c r="A289" t="s">
        <v>547</v>
      </c>
      <c r="B289" t="s">
        <v>548</v>
      </c>
      <c r="C289" t="s">
        <v>41</v>
      </c>
      <c r="D289" t="s">
        <v>42</v>
      </c>
      <c r="E289" t="s">
        <v>442</v>
      </c>
      <c r="F289" t="s">
        <v>65</v>
      </c>
      <c r="G289" t="s">
        <v>59</v>
      </c>
      <c r="H289" t="s">
        <v>46</v>
      </c>
      <c r="I289">
        <v>0</v>
      </c>
      <c r="J289">
        <v>1</v>
      </c>
      <c r="K289">
        <v>0</v>
      </c>
      <c r="L289">
        <v>0</v>
      </c>
      <c r="M289">
        <v>1</v>
      </c>
      <c r="N289">
        <v>0</v>
      </c>
      <c r="O289">
        <v>1</v>
      </c>
      <c r="P289">
        <v>0</v>
      </c>
      <c r="Q289">
        <v>1</v>
      </c>
      <c r="R289">
        <v>0</v>
      </c>
      <c r="S289">
        <v>0</v>
      </c>
      <c r="T289">
        <v>0</v>
      </c>
      <c r="U289">
        <v>0</v>
      </c>
      <c r="V289">
        <v>1</v>
      </c>
    </row>
    <row r="290" spans="1:22" x14ac:dyDescent="0.2">
      <c r="A290" t="s">
        <v>549</v>
      </c>
      <c r="B290" t="s">
        <v>108</v>
      </c>
      <c r="C290" t="s">
        <v>41</v>
      </c>
      <c r="D290" t="s">
        <v>49</v>
      </c>
      <c r="E290" t="s">
        <v>442</v>
      </c>
      <c r="F290" t="s">
        <v>65</v>
      </c>
      <c r="G290" t="s">
        <v>47</v>
      </c>
      <c r="H290" t="s">
        <v>46</v>
      </c>
      <c r="I290">
        <v>0</v>
      </c>
      <c r="J290">
        <v>1</v>
      </c>
      <c r="K290">
        <v>0</v>
      </c>
      <c r="L290">
        <v>1</v>
      </c>
      <c r="M290">
        <v>1</v>
      </c>
      <c r="N290">
        <v>0</v>
      </c>
      <c r="O290">
        <v>1</v>
      </c>
      <c r="P290">
        <v>0</v>
      </c>
      <c r="Q290">
        <v>1</v>
      </c>
      <c r="R290">
        <v>0</v>
      </c>
      <c r="S290">
        <v>1</v>
      </c>
      <c r="T290">
        <v>0</v>
      </c>
      <c r="U290">
        <v>0</v>
      </c>
      <c r="V290">
        <v>0</v>
      </c>
    </row>
    <row r="291" spans="1:22" x14ac:dyDescent="0.2">
      <c r="A291" t="s">
        <v>553</v>
      </c>
      <c r="B291" t="s">
        <v>108</v>
      </c>
      <c r="C291" t="s">
        <v>41</v>
      </c>
      <c r="D291" t="s">
        <v>67</v>
      </c>
      <c r="E291" t="s">
        <v>442</v>
      </c>
      <c r="F291" t="s">
        <v>46</v>
      </c>
      <c r="G291" t="s">
        <v>65</v>
      </c>
      <c r="H291" t="s">
        <v>47</v>
      </c>
      <c r="I291">
        <v>0</v>
      </c>
      <c r="J291">
        <v>1</v>
      </c>
      <c r="K291">
        <v>0</v>
      </c>
      <c r="L291">
        <v>1</v>
      </c>
      <c r="M291">
        <v>1</v>
      </c>
      <c r="N291">
        <v>0</v>
      </c>
      <c r="O291">
        <v>1</v>
      </c>
      <c r="P291">
        <v>0</v>
      </c>
      <c r="Q291">
        <v>1</v>
      </c>
      <c r="R291">
        <v>0</v>
      </c>
      <c r="S291">
        <v>1</v>
      </c>
      <c r="T291">
        <v>0</v>
      </c>
      <c r="U291">
        <v>0</v>
      </c>
      <c r="V291">
        <v>0</v>
      </c>
    </row>
    <row r="292" spans="1:22" x14ac:dyDescent="0.2">
      <c r="A292" t="s">
        <v>553</v>
      </c>
      <c r="B292" t="s">
        <v>108</v>
      </c>
      <c r="C292" t="s">
        <v>41</v>
      </c>
      <c r="D292" t="s">
        <v>55</v>
      </c>
      <c r="E292" t="s">
        <v>442</v>
      </c>
      <c r="F292" t="s">
        <v>46</v>
      </c>
      <c r="G292" t="s">
        <v>48</v>
      </c>
      <c r="H292" t="s">
        <v>65</v>
      </c>
      <c r="I292">
        <v>0</v>
      </c>
      <c r="J292">
        <v>1</v>
      </c>
      <c r="K292">
        <v>1</v>
      </c>
      <c r="L292">
        <v>0</v>
      </c>
      <c r="M292">
        <v>1</v>
      </c>
      <c r="N292">
        <v>0</v>
      </c>
      <c r="O292">
        <v>1</v>
      </c>
      <c r="P292">
        <v>0</v>
      </c>
      <c r="Q292">
        <v>1</v>
      </c>
      <c r="R292">
        <v>0</v>
      </c>
      <c r="S292">
        <v>0</v>
      </c>
      <c r="T292">
        <v>0</v>
      </c>
      <c r="U292">
        <v>0</v>
      </c>
      <c r="V292">
        <v>0</v>
      </c>
    </row>
    <row r="293" spans="1:22" x14ac:dyDescent="0.2">
      <c r="A293" t="s">
        <v>557</v>
      </c>
      <c r="B293" t="s">
        <v>108</v>
      </c>
      <c r="C293" t="s">
        <v>41</v>
      </c>
      <c r="D293" t="s">
        <v>67</v>
      </c>
      <c r="E293" t="s">
        <v>442</v>
      </c>
      <c r="F293" t="s">
        <v>47</v>
      </c>
      <c r="G293" t="s">
        <v>65</v>
      </c>
      <c r="H293" t="s">
        <v>46</v>
      </c>
      <c r="I293">
        <v>0</v>
      </c>
      <c r="J293">
        <v>1</v>
      </c>
      <c r="K293">
        <v>0</v>
      </c>
      <c r="L293">
        <v>1</v>
      </c>
      <c r="M293">
        <v>1</v>
      </c>
      <c r="N293">
        <v>0</v>
      </c>
      <c r="O293">
        <v>1</v>
      </c>
      <c r="P293">
        <v>0</v>
      </c>
      <c r="Q293">
        <v>1</v>
      </c>
      <c r="R293">
        <v>0</v>
      </c>
      <c r="S293">
        <v>1</v>
      </c>
      <c r="T293">
        <v>1</v>
      </c>
      <c r="U293">
        <v>0</v>
      </c>
      <c r="V293">
        <v>0</v>
      </c>
    </row>
    <row r="294" spans="1:22" x14ac:dyDescent="0.2">
      <c r="A294" t="s">
        <v>557</v>
      </c>
      <c r="B294" t="s">
        <v>108</v>
      </c>
      <c r="C294" t="s">
        <v>41</v>
      </c>
      <c r="D294" t="s">
        <v>55</v>
      </c>
      <c r="E294" t="s">
        <v>442</v>
      </c>
      <c r="F294" t="s">
        <v>47</v>
      </c>
      <c r="G294" t="s">
        <v>46</v>
      </c>
      <c r="H294" t="s">
        <v>65</v>
      </c>
      <c r="I294">
        <v>0</v>
      </c>
      <c r="J294">
        <v>1</v>
      </c>
      <c r="K294">
        <v>0</v>
      </c>
      <c r="L294">
        <v>1</v>
      </c>
      <c r="M294">
        <v>1</v>
      </c>
      <c r="N294">
        <v>0</v>
      </c>
      <c r="O294">
        <v>1</v>
      </c>
      <c r="P294">
        <v>0</v>
      </c>
      <c r="Q294">
        <v>1</v>
      </c>
      <c r="R294">
        <v>0</v>
      </c>
      <c r="S294">
        <v>1</v>
      </c>
      <c r="T294">
        <v>1</v>
      </c>
      <c r="U294">
        <v>0</v>
      </c>
      <c r="V294">
        <v>0</v>
      </c>
    </row>
    <row r="295" spans="1:22" x14ac:dyDescent="0.2">
      <c r="A295" t="s">
        <v>557</v>
      </c>
      <c r="B295" t="s">
        <v>108</v>
      </c>
      <c r="C295" t="s">
        <v>41</v>
      </c>
      <c r="D295" t="s">
        <v>61</v>
      </c>
      <c r="E295" t="s">
        <v>442</v>
      </c>
      <c r="F295" t="s">
        <v>46</v>
      </c>
      <c r="G295" t="s">
        <v>65</v>
      </c>
      <c r="H295" t="s">
        <v>47</v>
      </c>
      <c r="I295">
        <v>0</v>
      </c>
      <c r="J295">
        <v>1</v>
      </c>
      <c r="K295">
        <v>0</v>
      </c>
      <c r="L295">
        <v>1</v>
      </c>
      <c r="M295">
        <v>1</v>
      </c>
      <c r="N295">
        <v>0</v>
      </c>
      <c r="O295">
        <v>1</v>
      </c>
      <c r="P295">
        <v>0</v>
      </c>
      <c r="Q295">
        <v>1</v>
      </c>
      <c r="R295">
        <v>0</v>
      </c>
      <c r="S295">
        <v>1</v>
      </c>
      <c r="T295">
        <v>1</v>
      </c>
      <c r="U295">
        <v>0</v>
      </c>
      <c r="V295">
        <v>0</v>
      </c>
    </row>
    <row r="296" spans="1:22" x14ac:dyDescent="0.2">
      <c r="A296" t="s">
        <v>560</v>
      </c>
      <c r="B296" t="s">
        <v>108</v>
      </c>
      <c r="C296" t="s">
        <v>41</v>
      </c>
      <c r="D296" t="s">
        <v>72</v>
      </c>
      <c r="E296" t="s">
        <v>442</v>
      </c>
      <c r="F296" t="s">
        <v>47</v>
      </c>
      <c r="G296" t="s">
        <v>60</v>
      </c>
      <c r="H296" t="s">
        <v>65</v>
      </c>
      <c r="I296">
        <v>1</v>
      </c>
      <c r="J296">
        <v>1</v>
      </c>
      <c r="K296">
        <v>0</v>
      </c>
      <c r="L296">
        <v>1</v>
      </c>
      <c r="M296">
        <v>0</v>
      </c>
      <c r="N296">
        <v>0</v>
      </c>
      <c r="O296">
        <v>1</v>
      </c>
      <c r="P296">
        <v>1</v>
      </c>
      <c r="Q296">
        <v>1</v>
      </c>
      <c r="R296">
        <v>0</v>
      </c>
      <c r="S296">
        <v>1</v>
      </c>
      <c r="T296">
        <v>0</v>
      </c>
      <c r="U296">
        <v>0</v>
      </c>
      <c r="V296">
        <v>0</v>
      </c>
    </row>
    <row r="297" spans="1:22" x14ac:dyDescent="0.2">
      <c r="A297" t="s">
        <v>560</v>
      </c>
      <c r="B297" t="s">
        <v>108</v>
      </c>
      <c r="C297" t="s">
        <v>41</v>
      </c>
      <c r="D297" t="s">
        <v>61</v>
      </c>
      <c r="E297" t="s">
        <v>442</v>
      </c>
      <c r="F297" t="s">
        <v>65</v>
      </c>
      <c r="G297" t="s">
        <v>59</v>
      </c>
      <c r="H297" t="s">
        <v>46</v>
      </c>
      <c r="I297">
        <v>0</v>
      </c>
      <c r="J297">
        <v>1</v>
      </c>
      <c r="K297">
        <v>0</v>
      </c>
      <c r="L297">
        <v>0</v>
      </c>
      <c r="M297">
        <v>1</v>
      </c>
      <c r="N297">
        <v>0</v>
      </c>
      <c r="O297">
        <v>1</v>
      </c>
      <c r="P297">
        <v>0</v>
      </c>
      <c r="Q297">
        <v>1</v>
      </c>
      <c r="R297">
        <v>0</v>
      </c>
      <c r="S297">
        <v>0</v>
      </c>
      <c r="T297">
        <v>1</v>
      </c>
      <c r="U297">
        <v>0</v>
      </c>
      <c r="V297">
        <v>0</v>
      </c>
    </row>
    <row r="298" spans="1:22" x14ac:dyDescent="0.2">
      <c r="A298" t="s">
        <v>560</v>
      </c>
      <c r="B298" t="s">
        <v>108</v>
      </c>
      <c r="C298" t="s">
        <v>41</v>
      </c>
      <c r="D298" t="s">
        <v>67</v>
      </c>
      <c r="E298" t="s">
        <v>442</v>
      </c>
      <c r="F298" t="s">
        <v>48</v>
      </c>
      <c r="G298" t="s">
        <v>65</v>
      </c>
      <c r="H298" t="s">
        <v>46</v>
      </c>
      <c r="I298">
        <v>0</v>
      </c>
      <c r="J298">
        <v>1</v>
      </c>
      <c r="K298">
        <v>1</v>
      </c>
      <c r="L298">
        <v>0</v>
      </c>
      <c r="M298">
        <v>1</v>
      </c>
      <c r="N298">
        <v>0</v>
      </c>
      <c r="O298">
        <v>1</v>
      </c>
      <c r="P298">
        <v>0</v>
      </c>
      <c r="Q298">
        <v>1</v>
      </c>
      <c r="R298">
        <v>1</v>
      </c>
      <c r="S298">
        <v>0</v>
      </c>
      <c r="T298">
        <v>1</v>
      </c>
      <c r="U298">
        <v>0</v>
      </c>
      <c r="V298">
        <v>0</v>
      </c>
    </row>
    <row r="299" spans="1:22" x14ac:dyDescent="0.2">
      <c r="A299" t="s">
        <v>560</v>
      </c>
      <c r="B299" t="s">
        <v>108</v>
      </c>
      <c r="C299" t="s">
        <v>41</v>
      </c>
      <c r="D299" t="s">
        <v>42</v>
      </c>
      <c r="E299" t="s">
        <v>442</v>
      </c>
      <c r="F299" t="s">
        <v>47</v>
      </c>
      <c r="G299" t="s">
        <v>48</v>
      </c>
      <c r="H299" t="s">
        <v>65</v>
      </c>
      <c r="I299">
        <v>0</v>
      </c>
      <c r="J299">
        <v>1</v>
      </c>
      <c r="K299">
        <v>1</v>
      </c>
      <c r="L299">
        <v>1</v>
      </c>
      <c r="M299">
        <v>0</v>
      </c>
      <c r="N299">
        <v>0</v>
      </c>
      <c r="O299">
        <v>1</v>
      </c>
      <c r="P299">
        <v>0</v>
      </c>
      <c r="Q299">
        <v>1</v>
      </c>
      <c r="R299">
        <v>1</v>
      </c>
      <c r="S299">
        <v>1</v>
      </c>
      <c r="T299">
        <v>0</v>
      </c>
      <c r="U299">
        <v>0</v>
      </c>
      <c r="V299">
        <v>0</v>
      </c>
    </row>
    <row r="300" spans="1:22" x14ac:dyDescent="0.2">
      <c r="A300" t="s">
        <v>562</v>
      </c>
      <c r="B300" t="s">
        <v>108</v>
      </c>
      <c r="C300" t="s">
        <v>41</v>
      </c>
      <c r="D300" t="s">
        <v>72</v>
      </c>
      <c r="E300" t="s">
        <v>442</v>
      </c>
      <c r="F300" t="s">
        <v>47</v>
      </c>
      <c r="G300" t="s">
        <v>48</v>
      </c>
      <c r="H300" t="s">
        <v>65</v>
      </c>
      <c r="I300">
        <v>0</v>
      </c>
      <c r="J300">
        <v>1</v>
      </c>
      <c r="K300">
        <v>1</v>
      </c>
      <c r="L300">
        <v>1</v>
      </c>
      <c r="M300">
        <v>0</v>
      </c>
      <c r="N300">
        <v>0</v>
      </c>
      <c r="O300">
        <v>1</v>
      </c>
      <c r="P300">
        <v>0</v>
      </c>
      <c r="Q300">
        <v>1</v>
      </c>
      <c r="R300">
        <v>1</v>
      </c>
      <c r="S300">
        <v>0</v>
      </c>
      <c r="T300">
        <v>0</v>
      </c>
      <c r="U300">
        <v>0</v>
      </c>
      <c r="V300">
        <v>0</v>
      </c>
    </row>
    <row r="301" spans="1:22" x14ac:dyDescent="0.2">
      <c r="A301" t="s">
        <v>562</v>
      </c>
      <c r="B301" t="s">
        <v>108</v>
      </c>
      <c r="C301" t="s">
        <v>41</v>
      </c>
      <c r="D301" t="s">
        <v>67</v>
      </c>
      <c r="E301" t="s">
        <v>442</v>
      </c>
      <c r="F301" t="s">
        <v>59</v>
      </c>
      <c r="G301" t="s">
        <v>65</v>
      </c>
      <c r="H301" t="s">
        <v>47</v>
      </c>
      <c r="I301">
        <v>0</v>
      </c>
      <c r="J301">
        <v>1</v>
      </c>
      <c r="K301">
        <v>0</v>
      </c>
      <c r="L301">
        <v>1</v>
      </c>
      <c r="M301">
        <v>0</v>
      </c>
      <c r="N301">
        <v>0</v>
      </c>
      <c r="O301">
        <v>1</v>
      </c>
      <c r="P301">
        <v>0</v>
      </c>
      <c r="Q301">
        <v>1</v>
      </c>
      <c r="R301">
        <v>0</v>
      </c>
      <c r="S301">
        <v>1</v>
      </c>
      <c r="T301">
        <v>0</v>
      </c>
      <c r="U301">
        <v>0</v>
      </c>
      <c r="V301">
        <v>0</v>
      </c>
    </row>
    <row r="302" spans="1:22" x14ac:dyDescent="0.2">
      <c r="A302" t="s">
        <v>562</v>
      </c>
      <c r="B302" t="s">
        <v>108</v>
      </c>
      <c r="C302" t="s">
        <v>41</v>
      </c>
      <c r="D302" t="s">
        <v>42</v>
      </c>
      <c r="E302" t="s">
        <v>442</v>
      </c>
      <c r="F302" t="s">
        <v>48</v>
      </c>
      <c r="G302" t="s">
        <v>65</v>
      </c>
      <c r="H302" t="s">
        <v>47</v>
      </c>
      <c r="I302">
        <v>0</v>
      </c>
      <c r="J302">
        <v>1</v>
      </c>
      <c r="K302">
        <v>1</v>
      </c>
      <c r="L302">
        <v>1</v>
      </c>
      <c r="M302">
        <v>0</v>
      </c>
      <c r="N302">
        <v>0</v>
      </c>
      <c r="O302">
        <v>1</v>
      </c>
      <c r="P302">
        <v>0</v>
      </c>
      <c r="Q302">
        <v>1</v>
      </c>
      <c r="R302">
        <v>1</v>
      </c>
      <c r="S302">
        <v>0</v>
      </c>
      <c r="T302">
        <v>0</v>
      </c>
      <c r="U302">
        <v>0</v>
      </c>
      <c r="V302">
        <v>0</v>
      </c>
    </row>
    <row r="303" spans="1:22" x14ac:dyDescent="0.2">
      <c r="A303" t="s">
        <v>562</v>
      </c>
      <c r="B303" t="s">
        <v>108</v>
      </c>
      <c r="C303" t="s">
        <v>41</v>
      </c>
      <c r="D303" t="s">
        <v>49</v>
      </c>
      <c r="E303" t="s">
        <v>442</v>
      </c>
      <c r="F303" t="s">
        <v>48</v>
      </c>
      <c r="G303" t="s">
        <v>65</v>
      </c>
      <c r="H303" t="s">
        <v>46</v>
      </c>
      <c r="I303">
        <v>0</v>
      </c>
      <c r="J303">
        <v>1</v>
      </c>
      <c r="K303">
        <v>1</v>
      </c>
      <c r="L303">
        <v>0</v>
      </c>
      <c r="M303">
        <v>1</v>
      </c>
      <c r="N303">
        <v>0</v>
      </c>
      <c r="O303">
        <v>1</v>
      </c>
      <c r="P303">
        <v>0</v>
      </c>
      <c r="Q303">
        <v>1</v>
      </c>
      <c r="R303">
        <v>1</v>
      </c>
      <c r="S303">
        <v>0</v>
      </c>
      <c r="T303">
        <v>1</v>
      </c>
      <c r="U303">
        <v>0</v>
      </c>
      <c r="V303">
        <v>0</v>
      </c>
    </row>
    <row r="304" spans="1:22" x14ac:dyDescent="0.2">
      <c r="A304" t="s">
        <v>562</v>
      </c>
      <c r="B304" t="s">
        <v>108</v>
      </c>
      <c r="C304" t="s">
        <v>41</v>
      </c>
      <c r="D304" t="s">
        <v>55</v>
      </c>
      <c r="E304" t="s">
        <v>442</v>
      </c>
      <c r="F304" t="s">
        <v>60</v>
      </c>
      <c r="G304" t="s">
        <v>65</v>
      </c>
      <c r="H304" t="s">
        <v>47</v>
      </c>
      <c r="I304">
        <v>1</v>
      </c>
      <c r="J304">
        <v>1</v>
      </c>
      <c r="K304">
        <v>0</v>
      </c>
      <c r="L304">
        <v>1</v>
      </c>
      <c r="M304">
        <v>0</v>
      </c>
      <c r="N304">
        <v>0</v>
      </c>
      <c r="O304">
        <v>1</v>
      </c>
      <c r="P304">
        <v>1</v>
      </c>
      <c r="Q304">
        <v>1</v>
      </c>
      <c r="R304">
        <v>0</v>
      </c>
      <c r="S304">
        <v>1</v>
      </c>
      <c r="T304">
        <v>0</v>
      </c>
      <c r="U304">
        <v>0</v>
      </c>
      <c r="V304">
        <v>0</v>
      </c>
    </row>
    <row r="305" spans="1:22" x14ac:dyDescent="0.2">
      <c r="A305" t="s">
        <v>572</v>
      </c>
      <c r="B305" t="s">
        <v>174</v>
      </c>
      <c r="C305" t="s">
        <v>41</v>
      </c>
      <c r="D305" t="s">
        <v>67</v>
      </c>
      <c r="E305" t="s">
        <v>442</v>
      </c>
      <c r="F305" t="s">
        <v>48</v>
      </c>
      <c r="G305" t="s">
        <v>65</v>
      </c>
      <c r="H305" t="s">
        <v>47</v>
      </c>
      <c r="I305">
        <v>0</v>
      </c>
      <c r="J305">
        <v>1</v>
      </c>
      <c r="K305">
        <v>1</v>
      </c>
      <c r="L305">
        <v>1</v>
      </c>
      <c r="M305">
        <v>0</v>
      </c>
      <c r="N305">
        <v>0</v>
      </c>
      <c r="O305">
        <v>1</v>
      </c>
      <c r="P305">
        <v>0</v>
      </c>
      <c r="Q305">
        <v>1</v>
      </c>
      <c r="R305">
        <v>1</v>
      </c>
      <c r="S305">
        <v>1</v>
      </c>
      <c r="T305">
        <v>0</v>
      </c>
      <c r="U305">
        <v>0</v>
      </c>
      <c r="V305">
        <v>0</v>
      </c>
    </row>
    <row r="306" spans="1:22" x14ac:dyDescent="0.2">
      <c r="A306" t="s">
        <v>572</v>
      </c>
      <c r="B306" t="s">
        <v>174</v>
      </c>
      <c r="C306" t="s">
        <v>41</v>
      </c>
      <c r="D306" t="s">
        <v>49</v>
      </c>
      <c r="E306" t="s">
        <v>442</v>
      </c>
      <c r="F306" t="s">
        <v>65</v>
      </c>
      <c r="G306" t="s">
        <v>48</v>
      </c>
      <c r="H306" t="s">
        <v>46</v>
      </c>
      <c r="I306">
        <v>0</v>
      </c>
      <c r="J306">
        <v>1</v>
      </c>
      <c r="K306">
        <v>1</v>
      </c>
      <c r="L306">
        <v>0</v>
      </c>
      <c r="M306">
        <v>1</v>
      </c>
      <c r="N306">
        <v>0</v>
      </c>
      <c r="O306">
        <v>1</v>
      </c>
      <c r="P306">
        <v>0</v>
      </c>
      <c r="Q306">
        <v>1</v>
      </c>
      <c r="R306">
        <v>1</v>
      </c>
      <c r="S306">
        <v>0</v>
      </c>
      <c r="T306">
        <v>1</v>
      </c>
      <c r="U306">
        <v>0</v>
      </c>
      <c r="V306">
        <v>0</v>
      </c>
    </row>
    <row r="307" spans="1:22" x14ac:dyDescent="0.2">
      <c r="A307" t="s">
        <v>572</v>
      </c>
      <c r="B307" t="s">
        <v>174</v>
      </c>
      <c r="C307" t="s">
        <v>41</v>
      </c>
      <c r="D307" t="s">
        <v>42</v>
      </c>
      <c r="E307" t="s">
        <v>442</v>
      </c>
      <c r="F307" t="s">
        <v>48</v>
      </c>
      <c r="G307" t="s">
        <v>65</v>
      </c>
      <c r="H307" t="s">
        <v>47</v>
      </c>
      <c r="I307">
        <v>0</v>
      </c>
      <c r="J307">
        <v>1</v>
      </c>
      <c r="K307">
        <v>1</v>
      </c>
      <c r="L307">
        <v>1</v>
      </c>
      <c r="M307">
        <v>0</v>
      </c>
      <c r="N307">
        <v>0</v>
      </c>
      <c r="O307">
        <v>1</v>
      </c>
      <c r="P307">
        <v>0</v>
      </c>
      <c r="Q307">
        <v>1</v>
      </c>
      <c r="R307">
        <v>1</v>
      </c>
      <c r="S307">
        <v>1</v>
      </c>
      <c r="T307">
        <v>0</v>
      </c>
      <c r="U307">
        <v>0</v>
      </c>
      <c r="V307">
        <v>0</v>
      </c>
    </row>
    <row r="308" spans="1:22" x14ac:dyDescent="0.2">
      <c r="A308" t="s">
        <v>575</v>
      </c>
      <c r="B308" t="s">
        <v>188</v>
      </c>
      <c r="C308" t="s">
        <v>41</v>
      </c>
      <c r="D308" t="s">
        <v>67</v>
      </c>
      <c r="E308" t="s">
        <v>442</v>
      </c>
      <c r="F308" t="s">
        <v>46</v>
      </c>
      <c r="G308" t="s">
        <v>65</v>
      </c>
      <c r="H308" t="s">
        <v>47</v>
      </c>
      <c r="I308">
        <v>0</v>
      </c>
      <c r="J308">
        <v>1</v>
      </c>
      <c r="K308">
        <v>0</v>
      </c>
      <c r="L308">
        <v>1</v>
      </c>
      <c r="M308">
        <v>1</v>
      </c>
      <c r="N308">
        <v>0</v>
      </c>
      <c r="O308">
        <v>1</v>
      </c>
      <c r="P308">
        <v>0</v>
      </c>
      <c r="Q308">
        <v>1</v>
      </c>
      <c r="R308">
        <v>0</v>
      </c>
      <c r="S308">
        <v>0</v>
      </c>
      <c r="T308">
        <v>0</v>
      </c>
      <c r="U308">
        <v>0</v>
      </c>
      <c r="V308">
        <v>0</v>
      </c>
    </row>
    <row r="309" spans="1:22" x14ac:dyDescent="0.2">
      <c r="A309" t="s">
        <v>575</v>
      </c>
      <c r="B309" t="s">
        <v>188</v>
      </c>
      <c r="C309" t="s">
        <v>41</v>
      </c>
      <c r="D309" t="s">
        <v>42</v>
      </c>
      <c r="E309" t="s">
        <v>442</v>
      </c>
      <c r="F309" t="s">
        <v>65</v>
      </c>
      <c r="G309" t="s">
        <v>59</v>
      </c>
      <c r="H309" t="s">
        <v>47</v>
      </c>
      <c r="I309">
        <v>0</v>
      </c>
      <c r="J309">
        <v>1</v>
      </c>
      <c r="K309">
        <v>0</v>
      </c>
      <c r="L309">
        <v>1</v>
      </c>
      <c r="M309">
        <v>0</v>
      </c>
      <c r="N309">
        <v>0</v>
      </c>
      <c r="O309">
        <v>1</v>
      </c>
      <c r="P309">
        <v>0</v>
      </c>
      <c r="Q309">
        <v>1</v>
      </c>
      <c r="R309">
        <v>0</v>
      </c>
      <c r="S309">
        <v>1</v>
      </c>
      <c r="T309">
        <v>0</v>
      </c>
      <c r="U309">
        <v>0</v>
      </c>
      <c r="V309">
        <v>0</v>
      </c>
    </row>
    <row r="310" spans="1:22" x14ac:dyDescent="0.2">
      <c r="A310" t="s">
        <v>575</v>
      </c>
      <c r="B310" t="s">
        <v>188</v>
      </c>
      <c r="C310" t="s">
        <v>41</v>
      </c>
      <c r="D310" t="s">
        <v>49</v>
      </c>
      <c r="E310" t="s">
        <v>442</v>
      </c>
      <c r="F310" t="s">
        <v>65</v>
      </c>
      <c r="G310" t="s">
        <v>48</v>
      </c>
      <c r="H310" t="s">
        <v>60</v>
      </c>
      <c r="I310">
        <v>1</v>
      </c>
      <c r="J310">
        <v>1</v>
      </c>
      <c r="K310">
        <v>1</v>
      </c>
      <c r="L310">
        <v>0</v>
      </c>
      <c r="M310">
        <v>0</v>
      </c>
      <c r="N310">
        <v>0</v>
      </c>
      <c r="O310">
        <v>1</v>
      </c>
      <c r="P310">
        <v>0</v>
      </c>
      <c r="Q310">
        <v>1</v>
      </c>
      <c r="R310">
        <v>0</v>
      </c>
      <c r="S310">
        <v>0</v>
      </c>
      <c r="T310">
        <v>0</v>
      </c>
      <c r="U310">
        <v>0</v>
      </c>
      <c r="V310">
        <v>0</v>
      </c>
    </row>
    <row r="311" spans="1:22" x14ac:dyDescent="0.2">
      <c r="A311" t="s">
        <v>575</v>
      </c>
      <c r="B311" t="s">
        <v>188</v>
      </c>
      <c r="C311" t="s">
        <v>41</v>
      </c>
      <c r="D311" t="s">
        <v>72</v>
      </c>
      <c r="E311" t="s">
        <v>442</v>
      </c>
      <c r="F311" t="s">
        <v>59</v>
      </c>
      <c r="G311" t="s">
        <v>65</v>
      </c>
      <c r="H311" t="s">
        <v>46</v>
      </c>
      <c r="I311">
        <v>0</v>
      </c>
      <c r="J311">
        <v>1</v>
      </c>
      <c r="K311">
        <v>0</v>
      </c>
      <c r="L311">
        <v>0</v>
      </c>
      <c r="M311">
        <v>1</v>
      </c>
      <c r="N311">
        <v>0</v>
      </c>
      <c r="O311">
        <v>1</v>
      </c>
      <c r="P311">
        <v>0</v>
      </c>
      <c r="Q311">
        <v>1</v>
      </c>
      <c r="R311">
        <v>0</v>
      </c>
      <c r="S311">
        <v>0</v>
      </c>
      <c r="T311">
        <v>0</v>
      </c>
      <c r="U311">
        <v>0</v>
      </c>
      <c r="V311">
        <v>0</v>
      </c>
    </row>
    <row r="312" spans="1:22" x14ac:dyDescent="0.2">
      <c r="A312" t="s">
        <v>577</v>
      </c>
      <c r="B312" t="s">
        <v>108</v>
      </c>
      <c r="C312" t="s">
        <v>41</v>
      </c>
      <c r="D312" t="s">
        <v>55</v>
      </c>
      <c r="E312" t="s">
        <v>442</v>
      </c>
      <c r="F312" t="s">
        <v>48</v>
      </c>
      <c r="G312" t="s">
        <v>65</v>
      </c>
      <c r="H312" t="s">
        <v>59</v>
      </c>
      <c r="I312">
        <v>0</v>
      </c>
      <c r="J312">
        <v>1</v>
      </c>
      <c r="K312">
        <v>1</v>
      </c>
      <c r="L312">
        <v>0</v>
      </c>
      <c r="M312">
        <v>0</v>
      </c>
      <c r="N312">
        <v>0</v>
      </c>
      <c r="O312">
        <v>1</v>
      </c>
      <c r="P312">
        <v>0</v>
      </c>
      <c r="Q312">
        <v>1</v>
      </c>
      <c r="R312">
        <v>0</v>
      </c>
      <c r="S312">
        <v>0</v>
      </c>
      <c r="T312">
        <v>0</v>
      </c>
      <c r="U312">
        <v>0</v>
      </c>
      <c r="V312">
        <v>0</v>
      </c>
    </row>
    <row r="313" spans="1:22" x14ac:dyDescent="0.2">
      <c r="A313" t="s">
        <v>577</v>
      </c>
      <c r="B313" t="s">
        <v>108</v>
      </c>
      <c r="C313" t="s">
        <v>41</v>
      </c>
      <c r="D313" t="s">
        <v>67</v>
      </c>
      <c r="E313" t="s">
        <v>442</v>
      </c>
      <c r="F313" t="s">
        <v>59</v>
      </c>
      <c r="G313" t="s">
        <v>65</v>
      </c>
      <c r="H313" t="s">
        <v>60</v>
      </c>
      <c r="I313">
        <v>1</v>
      </c>
      <c r="J313">
        <v>1</v>
      </c>
      <c r="K313">
        <v>0</v>
      </c>
      <c r="L313">
        <v>0</v>
      </c>
      <c r="M313">
        <v>0</v>
      </c>
      <c r="N313">
        <v>0</v>
      </c>
      <c r="O313">
        <v>1</v>
      </c>
      <c r="P313">
        <v>1</v>
      </c>
      <c r="Q313">
        <v>1</v>
      </c>
      <c r="R313">
        <v>0</v>
      </c>
      <c r="S313">
        <v>0</v>
      </c>
      <c r="T313">
        <v>0</v>
      </c>
      <c r="U313">
        <v>0</v>
      </c>
      <c r="V313">
        <v>0</v>
      </c>
    </row>
    <row r="314" spans="1:22" x14ac:dyDescent="0.2">
      <c r="A314" t="s">
        <v>577</v>
      </c>
      <c r="B314" t="s">
        <v>108</v>
      </c>
      <c r="C314" t="s">
        <v>41</v>
      </c>
      <c r="D314" t="s">
        <v>42</v>
      </c>
      <c r="E314" t="s">
        <v>442</v>
      </c>
      <c r="F314" t="s">
        <v>46</v>
      </c>
      <c r="G314" t="s">
        <v>65</v>
      </c>
      <c r="H314" t="s">
        <v>47</v>
      </c>
      <c r="I314">
        <v>0</v>
      </c>
      <c r="J314">
        <v>1</v>
      </c>
      <c r="K314">
        <v>0</v>
      </c>
      <c r="L314">
        <v>1</v>
      </c>
      <c r="M314">
        <v>1</v>
      </c>
      <c r="N314">
        <v>0</v>
      </c>
      <c r="O314">
        <v>1</v>
      </c>
      <c r="P314">
        <v>0</v>
      </c>
      <c r="Q314">
        <v>1</v>
      </c>
      <c r="R314">
        <v>0</v>
      </c>
      <c r="S314">
        <v>1</v>
      </c>
      <c r="T314">
        <v>0</v>
      </c>
      <c r="U314">
        <v>0</v>
      </c>
      <c r="V314">
        <v>0</v>
      </c>
    </row>
    <row r="315" spans="1:22" x14ac:dyDescent="0.2">
      <c r="A315" t="s">
        <v>580</v>
      </c>
      <c r="B315" t="s">
        <v>108</v>
      </c>
      <c r="C315" t="s">
        <v>41</v>
      </c>
      <c r="D315" t="s">
        <v>61</v>
      </c>
      <c r="E315" t="s">
        <v>442</v>
      </c>
      <c r="F315" t="s">
        <v>65</v>
      </c>
      <c r="G315" t="s">
        <v>47</v>
      </c>
      <c r="H315" t="s">
        <v>46</v>
      </c>
      <c r="I315">
        <v>0</v>
      </c>
      <c r="J315">
        <v>1</v>
      </c>
      <c r="K315">
        <v>0</v>
      </c>
      <c r="L315">
        <v>1</v>
      </c>
      <c r="M315">
        <v>1</v>
      </c>
      <c r="N315">
        <v>0</v>
      </c>
      <c r="O315">
        <v>1</v>
      </c>
      <c r="P315">
        <v>0</v>
      </c>
      <c r="Q315">
        <v>1</v>
      </c>
      <c r="R315">
        <v>0</v>
      </c>
      <c r="S315">
        <v>1</v>
      </c>
      <c r="T315">
        <v>1</v>
      </c>
      <c r="U315">
        <v>0</v>
      </c>
      <c r="V315">
        <v>0</v>
      </c>
    </row>
    <row r="316" spans="1:22" x14ac:dyDescent="0.2">
      <c r="A316" t="s">
        <v>583</v>
      </c>
      <c r="B316" t="s">
        <v>33</v>
      </c>
      <c r="C316" t="s">
        <v>41</v>
      </c>
      <c r="D316" t="s">
        <v>61</v>
      </c>
      <c r="E316" t="s">
        <v>442</v>
      </c>
      <c r="F316" t="s">
        <v>60</v>
      </c>
      <c r="G316" t="s">
        <v>65</v>
      </c>
      <c r="H316" t="s">
        <v>48</v>
      </c>
      <c r="I316">
        <v>1</v>
      </c>
      <c r="J316">
        <v>1</v>
      </c>
      <c r="K316">
        <v>1</v>
      </c>
      <c r="L316">
        <v>0</v>
      </c>
      <c r="M316">
        <v>0</v>
      </c>
      <c r="N316">
        <v>0</v>
      </c>
      <c r="O316">
        <v>1</v>
      </c>
      <c r="P316">
        <v>0</v>
      </c>
      <c r="Q316">
        <v>1</v>
      </c>
      <c r="R316">
        <v>0</v>
      </c>
      <c r="S316">
        <v>0</v>
      </c>
      <c r="T316">
        <v>0</v>
      </c>
      <c r="U316">
        <v>0</v>
      </c>
      <c r="V316">
        <v>0</v>
      </c>
    </row>
    <row r="317" spans="1:22" x14ac:dyDescent="0.2">
      <c r="A317" t="s">
        <v>586</v>
      </c>
      <c r="B317" t="s">
        <v>188</v>
      </c>
      <c r="C317" t="s">
        <v>41</v>
      </c>
      <c r="D317" t="s">
        <v>61</v>
      </c>
      <c r="E317" t="s">
        <v>442</v>
      </c>
      <c r="F317" t="s">
        <v>47</v>
      </c>
      <c r="G317" t="s">
        <v>65</v>
      </c>
      <c r="H317" t="s">
        <v>48</v>
      </c>
      <c r="I317">
        <v>0</v>
      </c>
      <c r="J317">
        <v>1</v>
      </c>
      <c r="K317">
        <v>1</v>
      </c>
      <c r="L317">
        <v>1</v>
      </c>
      <c r="M317">
        <v>0</v>
      </c>
      <c r="N317">
        <v>0</v>
      </c>
      <c r="O317">
        <v>1</v>
      </c>
      <c r="P317">
        <v>0</v>
      </c>
      <c r="Q317">
        <v>1</v>
      </c>
      <c r="R317">
        <v>0</v>
      </c>
      <c r="S317">
        <v>1</v>
      </c>
      <c r="T317">
        <v>0</v>
      </c>
      <c r="U317">
        <v>0</v>
      </c>
      <c r="V317">
        <v>0</v>
      </c>
    </row>
    <row r="318" spans="1:22" x14ac:dyDescent="0.2">
      <c r="A318" t="s">
        <v>586</v>
      </c>
      <c r="B318" t="s">
        <v>188</v>
      </c>
      <c r="C318" t="s">
        <v>41</v>
      </c>
      <c r="D318" t="s">
        <v>55</v>
      </c>
      <c r="E318" t="s">
        <v>442</v>
      </c>
      <c r="F318" t="s">
        <v>65</v>
      </c>
      <c r="G318" t="s">
        <v>48</v>
      </c>
      <c r="H318" t="s">
        <v>59</v>
      </c>
      <c r="I318">
        <v>0</v>
      </c>
      <c r="J318">
        <v>1</v>
      </c>
      <c r="K318">
        <v>1</v>
      </c>
      <c r="L318">
        <v>0</v>
      </c>
      <c r="M318">
        <v>0</v>
      </c>
      <c r="N318">
        <v>0</v>
      </c>
      <c r="O318">
        <v>1</v>
      </c>
      <c r="P318">
        <v>0</v>
      </c>
      <c r="Q318">
        <v>1</v>
      </c>
      <c r="R318">
        <v>0</v>
      </c>
      <c r="S318">
        <v>0</v>
      </c>
      <c r="T318">
        <v>0</v>
      </c>
      <c r="U318">
        <v>0</v>
      </c>
      <c r="V318">
        <v>0</v>
      </c>
    </row>
    <row r="319" spans="1:22" x14ac:dyDescent="0.2">
      <c r="A319" t="s">
        <v>589</v>
      </c>
      <c r="B319" t="s">
        <v>188</v>
      </c>
      <c r="C319" t="s">
        <v>41</v>
      </c>
      <c r="D319" t="s">
        <v>61</v>
      </c>
      <c r="E319" t="s">
        <v>442</v>
      </c>
      <c r="F319" t="s">
        <v>65</v>
      </c>
      <c r="G319" t="s">
        <v>46</v>
      </c>
      <c r="H319" t="s">
        <v>47</v>
      </c>
      <c r="I319">
        <v>0</v>
      </c>
      <c r="J319">
        <v>1</v>
      </c>
      <c r="K319">
        <v>0</v>
      </c>
      <c r="L319">
        <v>1</v>
      </c>
      <c r="M319">
        <v>1</v>
      </c>
      <c r="N319">
        <v>0</v>
      </c>
      <c r="O319">
        <v>1</v>
      </c>
      <c r="P319">
        <v>0</v>
      </c>
      <c r="Q319">
        <v>1</v>
      </c>
      <c r="R319">
        <v>0</v>
      </c>
      <c r="S319">
        <v>0</v>
      </c>
      <c r="T319">
        <v>1</v>
      </c>
      <c r="U319">
        <v>0</v>
      </c>
      <c r="V319">
        <v>0</v>
      </c>
    </row>
    <row r="320" spans="1:22" x14ac:dyDescent="0.2">
      <c r="A320" t="s">
        <v>597</v>
      </c>
      <c r="B320" t="s">
        <v>188</v>
      </c>
      <c r="C320" t="s">
        <v>41</v>
      </c>
      <c r="D320" t="s">
        <v>42</v>
      </c>
      <c r="E320" t="s">
        <v>442</v>
      </c>
      <c r="F320" t="s">
        <v>48</v>
      </c>
      <c r="G320" t="s">
        <v>65</v>
      </c>
      <c r="H320" t="s">
        <v>46</v>
      </c>
      <c r="I320">
        <v>0</v>
      </c>
      <c r="J320">
        <v>1</v>
      </c>
      <c r="K320">
        <v>1</v>
      </c>
      <c r="L320">
        <v>0</v>
      </c>
      <c r="M320">
        <v>1</v>
      </c>
      <c r="N320">
        <v>0</v>
      </c>
      <c r="O320">
        <v>1</v>
      </c>
      <c r="P320">
        <v>0</v>
      </c>
      <c r="Q320">
        <v>1</v>
      </c>
      <c r="R320">
        <v>0</v>
      </c>
      <c r="S320">
        <v>0</v>
      </c>
      <c r="T320">
        <v>1</v>
      </c>
      <c r="U320">
        <v>0</v>
      </c>
      <c r="V320">
        <v>0</v>
      </c>
    </row>
    <row r="321" spans="1:22" x14ac:dyDescent="0.2">
      <c r="A321" t="s">
        <v>597</v>
      </c>
      <c r="B321" t="s">
        <v>188</v>
      </c>
      <c r="C321" t="s">
        <v>41</v>
      </c>
      <c r="D321" t="s">
        <v>72</v>
      </c>
      <c r="E321" t="s">
        <v>442</v>
      </c>
      <c r="F321" t="s">
        <v>65</v>
      </c>
      <c r="G321" t="s">
        <v>47</v>
      </c>
      <c r="H321" t="s">
        <v>59</v>
      </c>
      <c r="I321">
        <v>0</v>
      </c>
      <c r="J321">
        <v>1</v>
      </c>
      <c r="K321">
        <v>0</v>
      </c>
      <c r="L321">
        <v>1</v>
      </c>
      <c r="M321">
        <v>0</v>
      </c>
      <c r="N321">
        <v>0</v>
      </c>
      <c r="O321">
        <v>1</v>
      </c>
      <c r="P321">
        <v>0</v>
      </c>
      <c r="Q321">
        <v>1</v>
      </c>
      <c r="R321">
        <v>0</v>
      </c>
      <c r="S321">
        <v>1</v>
      </c>
      <c r="T321">
        <v>0</v>
      </c>
      <c r="U321">
        <v>0</v>
      </c>
      <c r="V321">
        <v>0</v>
      </c>
    </row>
    <row r="322" spans="1:22" x14ac:dyDescent="0.2">
      <c r="A322" t="s">
        <v>597</v>
      </c>
      <c r="B322" t="s">
        <v>188</v>
      </c>
      <c r="C322" t="s">
        <v>41</v>
      </c>
      <c r="D322" t="s">
        <v>67</v>
      </c>
      <c r="E322" t="s">
        <v>442</v>
      </c>
      <c r="F322" t="s">
        <v>59</v>
      </c>
      <c r="G322" t="s">
        <v>65</v>
      </c>
      <c r="H322" t="s">
        <v>46</v>
      </c>
      <c r="I322">
        <v>0</v>
      </c>
      <c r="J322">
        <v>1</v>
      </c>
      <c r="K322">
        <v>0</v>
      </c>
      <c r="L322">
        <v>0</v>
      </c>
      <c r="M322">
        <v>1</v>
      </c>
      <c r="N322">
        <v>0</v>
      </c>
      <c r="O322">
        <v>1</v>
      </c>
      <c r="P322">
        <v>0</v>
      </c>
      <c r="Q322">
        <v>1</v>
      </c>
      <c r="R322">
        <v>0</v>
      </c>
      <c r="S322">
        <v>0</v>
      </c>
      <c r="T322">
        <v>1</v>
      </c>
      <c r="U322">
        <v>0</v>
      </c>
      <c r="V322">
        <v>0</v>
      </c>
    </row>
    <row r="323" spans="1:22" x14ac:dyDescent="0.2">
      <c r="A323" t="s">
        <v>603</v>
      </c>
      <c r="B323" t="s">
        <v>188</v>
      </c>
      <c r="C323" t="s">
        <v>41</v>
      </c>
      <c r="D323" t="s">
        <v>49</v>
      </c>
      <c r="E323" t="s">
        <v>442</v>
      </c>
      <c r="F323" t="s">
        <v>65</v>
      </c>
      <c r="G323" t="s">
        <v>46</v>
      </c>
      <c r="H323" t="s">
        <v>48</v>
      </c>
      <c r="I323">
        <v>0</v>
      </c>
      <c r="J323">
        <v>1</v>
      </c>
      <c r="K323">
        <v>1</v>
      </c>
      <c r="L323">
        <v>0</v>
      </c>
      <c r="M323">
        <v>1</v>
      </c>
      <c r="N323">
        <v>0</v>
      </c>
      <c r="O323">
        <v>1</v>
      </c>
      <c r="P323">
        <v>0</v>
      </c>
      <c r="Q323">
        <v>1</v>
      </c>
      <c r="R323">
        <v>0</v>
      </c>
      <c r="S323">
        <v>0</v>
      </c>
      <c r="T323">
        <v>0</v>
      </c>
      <c r="U323">
        <v>0</v>
      </c>
      <c r="V323">
        <v>0</v>
      </c>
    </row>
    <row r="324" spans="1:22" x14ac:dyDescent="0.2">
      <c r="A324" t="s">
        <v>603</v>
      </c>
      <c r="B324" t="s">
        <v>188</v>
      </c>
      <c r="C324" t="s">
        <v>41</v>
      </c>
      <c r="D324" t="s">
        <v>61</v>
      </c>
      <c r="E324" t="s">
        <v>442</v>
      </c>
      <c r="F324" t="s">
        <v>65</v>
      </c>
      <c r="G324" t="s">
        <v>60</v>
      </c>
      <c r="H324" t="s">
        <v>47</v>
      </c>
      <c r="I324">
        <v>1</v>
      </c>
      <c r="J324">
        <v>1</v>
      </c>
      <c r="K324">
        <v>0</v>
      </c>
      <c r="L324">
        <v>1</v>
      </c>
      <c r="M324">
        <v>0</v>
      </c>
      <c r="N324">
        <v>0</v>
      </c>
      <c r="O324">
        <v>1</v>
      </c>
      <c r="P324">
        <v>1</v>
      </c>
      <c r="Q324">
        <v>1</v>
      </c>
      <c r="R324">
        <v>0</v>
      </c>
      <c r="S324">
        <v>1</v>
      </c>
      <c r="T324">
        <v>0</v>
      </c>
      <c r="U324">
        <v>0</v>
      </c>
      <c r="V324">
        <v>0</v>
      </c>
    </row>
    <row r="325" spans="1:22" x14ac:dyDescent="0.2">
      <c r="A325" t="s">
        <v>603</v>
      </c>
      <c r="B325" t="s">
        <v>188</v>
      </c>
      <c r="C325" t="s">
        <v>41</v>
      </c>
      <c r="D325" t="s">
        <v>72</v>
      </c>
      <c r="E325" t="s">
        <v>442</v>
      </c>
      <c r="F325" t="s">
        <v>59</v>
      </c>
      <c r="G325" t="s">
        <v>65</v>
      </c>
      <c r="H325" t="s">
        <v>46</v>
      </c>
      <c r="I325">
        <v>0</v>
      </c>
      <c r="J325">
        <v>1</v>
      </c>
      <c r="K325">
        <v>0</v>
      </c>
      <c r="L325">
        <v>0</v>
      </c>
      <c r="M325">
        <v>1</v>
      </c>
      <c r="N325">
        <v>0</v>
      </c>
      <c r="O325">
        <v>1</v>
      </c>
      <c r="P325">
        <v>0</v>
      </c>
      <c r="Q325">
        <v>1</v>
      </c>
      <c r="R325">
        <v>0</v>
      </c>
      <c r="S325">
        <v>0</v>
      </c>
      <c r="T325">
        <v>0</v>
      </c>
      <c r="U325">
        <v>0</v>
      </c>
      <c r="V325">
        <v>0</v>
      </c>
    </row>
    <row r="326" spans="1:22" x14ac:dyDescent="0.2">
      <c r="A326" t="s">
        <v>603</v>
      </c>
      <c r="B326" t="s">
        <v>188</v>
      </c>
      <c r="C326" t="s">
        <v>41</v>
      </c>
      <c r="D326" t="s">
        <v>67</v>
      </c>
      <c r="E326" t="s">
        <v>442</v>
      </c>
      <c r="F326" t="s">
        <v>65</v>
      </c>
      <c r="G326" t="s">
        <v>59</v>
      </c>
      <c r="H326" t="s">
        <v>46</v>
      </c>
      <c r="I326">
        <v>0</v>
      </c>
      <c r="J326">
        <v>1</v>
      </c>
      <c r="K326">
        <v>0</v>
      </c>
      <c r="L326">
        <v>0</v>
      </c>
      <c r="M326">
        <v>1</v>
      </c>
      <c r="N326">
        <v>0</v>
      </c>
      <c r="O326">
        <v>1</v>
      </c>
      <c r="P326">
        <v>0</v>
      </c>
      <c r="Q326">
        <v>1</v>
      </c>
      <c r="R326">
        <v>0</v>
      </c>
      <c r="S326">
        <v>0</v>
      </c>
      <c r="T326">
        <v>1</v>
      </c>
      <c r="U326">
        <v>0</v>
      </c>
      <c r="V326">
        <v>0</v>
      </c>
    </row>
    <row r="327" spans="1:22" x14ac:dyDescent="0.2">
      <c r="A327" t="s">
        <v>605</v>
      </c>
      <c r="B327" t="s">
        <v>108</v>
      </c>
      <c r="C327" t="s">
        <v>41</v>
      </c>
      <c r="D327" t="s">
        <v>61</v>
      </c>
      <c r="E327" t="s">
        <v>442</v>
      </c>
      <c r="F327" t="s">
        <v>46</v>
      </c>
      <c r="G327" t="s">
        <v>59</v>
      </c>
      <c r="H327" t="s">
        <v>65</v>
      </c>
      <c r="I327">
        <v>0</v>
      </c>
      <c r="J327">
        <v>1</v>
      </c>
      <c r="K327">
        <v>0</v>
      </c>
      <c r="L327">
        <v>0</v>
      </c>
      <c r="M327">
        <v>1</v>
      </c>
      <c r="N327">
        <v>0</v>
      </c>
      <c r="O327">
        <v>1</v>
      </c>
      <c r="P327">
        <v>0</v>
      </c>
      <c r="Q327">
        <v>1</v>
      </c>
      <c r="R327">
        <v>0</v>
      </c>
      <c r="S327">
        <v>0</v>
      </c>
      <c r="T327">
        <v>1</v>
      </c>
      <c r="U327">
        <v>0</v>
      </c>
      <c r="V327">
        <v>0</v>
      </c>
    </row>
    <row r="328" spans="1:22" x14ac:dyDescent="0.2">
      <c r="A328" t="s">
        <v>605</v>
      </c>
      <c r="B328" t="s">
        <v>108</v>
      </c>
      <c r="C328" t="s">
        <v>41</v>
      </c>
      <c r="D328" t="s">
        <v>72</v>
      </c>
      <c r="E328" t="s">
        <v>442</v>
      </c>
      <c r="F328" t="s">
        <v>48</v>
      </c>
      <c r="G328" t="s">
        <v>46</v>
      </c>
      <c r="H328" t="s">
        <v>65</v>
      </c>
      <c r="I328">
        <v>0</v>
      </c>
      <c r="J328">
        <v>1</v>
      </c>
      <c r="K328">
        <v>1</v>
      </c>
      <c r="L328">
        <v>0</v>
      </c>
      <c r="M328">
        <v>1</v>
      </c>
      <c r="N328">
        <v>0</v>
      </c>
      <c r="O328">
        <v>1</v>
      </c>
      <c r="P328">
        <v>0</v>
      </c>
      <c r="Q328">
        <v>1</v>
      </c>
      <c r="R328">
        <v>1</v>
      </c>
      <c r="S328">
        <v>0</v>
      </c>
      <c r="T328">
        <v>1</v>
      </c>
      <c r="U328">
        <v>0</v>
      </c>
      <c r="V328">
        <v>0</v>
      </c>
    </row>
    <row r="329" spans="1:22" x14ac:dyDescent="0.2">
      <c r="A329" t="s">
        <v>605</v>
      </c>
      <c r="B329" t="s">
        <v>108</v>
      </c>
      <c r="C329" t="s">
        <v>41</v>
      </c>
      <c r="D329" t="s">
        <v>67</v>
      </c>
      <c r="E329" t="s">
        <v>442</v>
      </c>
      <c r="F329" t="s">
        <v>65</v>
      </c>
      <c r="G329" t="s">
        <v>47</v>
      </c>
      <c r="H329" t="s">
        <v>46</v>
      </c>
      <c r="I329">
        <v>0</v>
      </c>
      <c r="J329">
        <v>1</v>
      </c>
      <c r="K329">
        <v>0</v>
      </c>
      <c r="L329">
        <v>1</v>
      </c>
      <c r="M329">
        <v>1</v>
      </c>
      <c r="N329">
        <v>0</v>
      </c>
      <c r="O329">
        <v>1</v>
      </c>
      <c r="P329">
        <v>0</v>
      </c>
      <c r="Q329">
        <v>1</v>
      </c>
      <c r="R329">
        <v>0</v>
      </c>
      <c r="S329">
        <v>1</v>
      </c>
      <c r="T329">
        <v>1</v>
      </c>
      <c r="U329">
        <v>0</v>
      </c>
      <c r="V329">
        <v>0</v>
      </c>
    </row>
    <row r="330" spans="1:22" x14ac:dyDescent="0.2">
      <c r="A330" t="s">
        <v>605</v>
      </c>
      <c r="B330" t="s">
        <v>108</v>
      </c>
      <c r="C330" t="s">
        <v>41</v>
      </c>
      <c r="D330" t="s">
        <v>49</v>
      </c>
      <c r="E330" t="s">
        <v>442</v>
      </c>
      <c r="F330" t="s">
        <v>65</v>
      </c>
      <c r="G330" t="s">
        <v>47</v>
      </c>
      <c r="H330" t="s">
        <v>48</v>
      </c>
      <c r="I330">
        <v>0</v>
      </c>
      <c r="J330">
        <v>1</v>
      </c>
      <c r="K330">
        <v>1</v>
      </c>
      <c r="L330">
        <v>1</v>
      </c>
      <c r="M330">
        <v>0</v>
      </c>
      <c r="N330">
        <v>0</v>
      </c>
      <c r="O330">
        <v>1</v>
      </c>
      <c r="P330">
        <v>0</v>
      </c>
      <c r="Q330">
        <v>1</v>
      </c>
      <c r="R330">
        <v>1</v>
      </c>
      <c r="S330">
        <v>1</v>
      </c>
      <c r="T330">
        <v>0</v>
      </c>
      <c r="U330">
        <v>0</v>
      </c>
      <c r="V330">
        <v>0</v>
      </c>
    </row>
    <row r="331" spans="1:22" x14ac:dyDescent="0.2">
      <c r="A331" t="s">
        <v>605</v>
      </c>
      <c r="B331" t="s">
        <v>108</v>
      </c>
      <c r="C331" t="s">
        <v>41</v>
      </c>
      <c r="D331" t="s">
        <v>42</v>
      </c>
      <c r="E331" t="s">
        <v>442</v>
      </c>
      <c r="F331" t="s">
        <v>47</v>
      </c>
      <c r="G331" t="s">
        <v>59</v>
      </c>
      <c r="H331" t="s">
        <v>65</v>
      </c>
      <c r="I331">
        <v>0</v>
      </c>
      <c r="J331">
        <v>1</v>
      </c>
      <c r="K331">
        <v>0</v>
      </c>
      <c r="L331">
        <v>1</v>
      </c>
      <c r="M331">
        <v>0</v>
      </c>
      <c r="N331">
        <v>0</v>
      </c>
      <c r="O331">
        <v>1</v>
      </c>
      <c r="P331">
        <v>0</v>
      </c>
      <c r="Q331">
        <v>1</v>
      </c>
      <c r="R331">
        <v>0</v>
      </c>
      <c r="S331">
        <v>1</v>
      </c>
      <c r="T331">
        <v>0</v>
      </c>
      <c r="U331">
        <v>0</v>
      </c>
      <c r="V331">
        <v>0</v>
      </c>
    </row>
    <row r="332" spans="1:22" x14ac:dyDescent="0.2">
      <c r="A332" t="s">
        <v>605</v>
      </c>
      <c r="B332" t="s">
        <v>108</v>
      </c>
      <c r="C332" t="s">
        <v>41</v>
      </c>
      <c r="D332" t="s">
        <v>55</v>
      </c>
      <c r="E332" t="s">
        <v>442</v>
      </c>
      <c r="F332" t="s">
        <v>65</v>
      </c>
      <c r="G332" t="s">
        <v>46</v>
      </c>
      <c r="H332" t="s">
        <v>60</v>
      </c>
      <c r="I332">
        <v>1</v>
      </c>
      <c r="J332">
        <v>1</v>
      </c>
      <c r="K332">
        <v>0</v>
      </c>
      <c r="L332">
        <v>0</v>
      </c>
      <c r="M332">
        <v>1</v>
      </c>
      <c r="N332">
        <v>0</v>
      </c>
      <c r="O332">
        <v>1</v>
      </c>
      <c r="P332">
        <v>1</v>
      </c>
      <c r="Q332">
        <v>1</v>
      </c>
      <c r="R332">
        <v>0</v>
      </c>
      <c r="S332">
        <v>0</v>
      </c>
      <c r="T332">
        <v>1</v>
      </c>
      <c r="U332">
        <v>0</v>
      </c>
      <c r="V332">
        <v>0</v>
      </c>
    </row>
    <row r="333" spans="1:22" x14ac:dyDescent="0.2">
      <c r="A333" t="s">
        <v>608</v>
      </c>
      <c r="B333" t="s">
        <v>108</v>
      </c>
      <c r="C333" t="s">
        <v>41</v>
      </c>
      <c r="D333" t="s">
        <v>67</v>
      </c>
      <c r="E333" t="s">
        <v>442</v>
      </c>
      <c r="F333" t="s">
        <v>65</v>
      </c>
      <c r="G333" t="s">
        <v>60</v>
      </c>
      <c r="H333" t="s">
        <v>47</v>
      </c>
      <c r="I333">
        <v>1</v>
      </c>
      <c r="J333">
        <v>1</v>
      </c>
      <c r="K333">
        <v>0</v>
      </c>
      <c r="L333">
        <v>1</v>
      </c>
      <c r="M333">
        <v>0</v>
      </c>
      <c r="N333">
        <v>0</v>
      </c>
      <c r="O333">
        <v>1</v>
      </c>
      <c r="P333">
        <v>1</v>
      </c>
      <c r="Q333">
        <v>1</v>
      </c>
      <c r="R333">
        <v>0</v>
      </c>
      <c r="S333">
        <v>1</v>
      </c>
      <c r="T333">
        <v>0</v>
      </c>
      <c r="U333">
        <v>0</v>
      </c>
      <c r="V333">
        <v>0</v>
      </c>
    </row>
    <row r="334" spans="1:22" x14ac:dyDescent="0.2">
      <c r="A334" t="s">
        <v>608</v>
      </c>
      <c r="B334" t="s">
        <v>108</v>
      </c>
      <c r="C334" t="s">
        <v>41</v>
      </c>
      <c r="D334" t="s">
        <v>55</v>
      </c>
      <c r="E334" t="s">
        <v>442</v>
      </c>
      <c r="F334" t="s">
        <v>47</v>
      </c>
      <c r="G334" t="s">
        <v>46</v>
      </c>
      <c r="H334" t="s">
        <v>65</v>
      </c>
      <c r="I334">
        <v>0</v>
      </c>
      <c r="J334">
        <v>1</v>
      </c>
      <c r="K334">
        <v>0</v>
      </c>
      <c r="L334">
        <v>1</v>
      </c>
      <c r="M334">
        <v>1</v>
      </c>
      <c r="N334">
        <v>0</v>
      </c>
      <c r="O334">
        <v>1</v>
      </c>
      <c r="P334">
        <v>0</v>
      </c>
      <c r="Q334">
        <v>1</v>
      </c>
      <c r="R334">
        <v>0</v>
      </c>
      <c r="S334">
        <v>1</v>
      </c>
      <c r="T334">
        <v>1</v>
      </c>
      <c r="U334">
        <v>0</v>
      </c>
      <c r="V334">
        <v>0</v>
      </c>
    </row>
    <row r="335" spans="1:22" x14ac:dyDescent="0.2">
      <c r="A335" t="s">
        <v>608</v>
      </c>
      <c r="B335" t="s">
        <v>108</v>
      </c>
      <c r="C335" t="s">
        <v>41</v>
      </c>
      <c r="D335" t="s">
        <v>42</v>
      </c>
      <c r="E335" t="s">
        <v>442</v>
      </c>
      <c r="F335" t="s">
        <v>65</v>
      </c>
      <c r="G335" t="s">
        <v>60</v>
      </c>
      <c r="H335" t="s">
        <v>48</v>
      </c>
      <c r="I335">
        <v>1</v>
      </c>
      <c r="J335">
        <v>1</v>
      </c>
      <c r="K335">
        <v>1</v>
      </c>
      <c r="L335">
        <v>0</v>
      </c>
      <c r="M335">
        <v>0</v>
      </c>
      <c r="N335">
        <v>0</v>
      </c>
      <c r="O335">
        <v>1</v>
      </c>
      <c r="P335">
        <v>1</v>
      </c>
      <c r="Q335">
        <v>1</v>
      </c>
      <c r="R335">
        <v>1</v>
      </c>
      <c r="S335">
        <v>0</v>
      </c>
      <c r="T335">
        <v>0</v>
      </c>
      <c r="U335">
        <v>0</v>
      </c>
      <c r="V335">
        <v>0</v>
      </c>
    </row>
    <row r="336" spans="1:22" x14ac:dyDescent="0.2">
      <c r="A336" t="s">
        <v>611</v>
      </c>
      <c r="B336" t="s">
        <v>188</v>
      </c>
      <c r="C336" t="s">
        <v>41</v>
      </c>
      <c r="D336" t="s">
        <v>42</v>
      </c>
      <c r="E336" t="s">
        <v>442</v>
      </c>
      <c r="F336" t="s">
        <v>48</v>
      </c>
      <c r="G336" t="s">
        <v>65</v>
      </c>
      <c r="H336" t="s">
        <v>47</v>
      </c>
      <c r="I336">
        <v>0</v>
      </c>
      <c r="J336">
        <v>1</v>
      </c>
      <c r="K336">
        <v>1</v>
      </c>
      <c r="L336">
        <v>1</v>
      </c>
      <c r="M336">
        <v>0</v>
      </c>
      <c r="N336">
        <v>0</v>
      </c>
      <c r="O336">
        <v>1</v>
      </c>
      <c r="P336">
        <v>0</v>
      </c>
      <c r="Q336">
        <v>1</v>
      </c>
      <c r="R336">
        <v>1</v>
      </c>
      <c r="S336">
        <v>1</v>
      </c>
      <c r="T336">
        <v>0</v>
      </c>
      <c r="U336">
        <v>0</v>
      </c>
      <c r="V336">
        <v>0</v>
      </c>
    </row>
    <row r="337" spans="1:22" x14ac:dyDescent="0.2">
      <c r="A337" t="s">
        <v>611</v>
      </c>
      <c r="B337" t="s">
        <v>188</v>
      </c>
      <c r="C337" t="s">
        <v>41</v>
      </c>
      <c r="D337" t="s">
        <v>67</v>
      </c>
      <c r="E337" t="s">
        <v>442</v>
      </c>
      <c r="F337" t="s">
        <v>46</v>
      </c>
      <c r="G337" t="s">
        <v>47</v>
      </c>
      <c r="H337" t="s">
        <v>65</v>
      </c>
      <c r="I337">
        <v>0</v>
      </c>
      <c r="J337">
        <v>1</v>
      </c>
      <c r="K337">
        <v>0</v>
      </c>
      <c r="L337">
        <v>1</v>
      </c>
      <c r="M337">
        <v>1</v>
      </c>
      <c r="N337">
        <v>0</v>
      </c>
      <c r="O337">
        <v>1</v>
      </c>
      <c r="P337">
        <v>0</v>
      </c>
      <c r="Q337">
        <v>1</v>
      </c>
      <c r="R337">
        <v>0</v>
      </c>
      <c r="S337">
        <v>1</v>
      </c>
      <c r="T337">
        <v>1</v>
      </c>
      <c r="U337">
        <v>0</v>
      </c>
      <c r="V337">
        <v>0</v>
      </c>
    </row>
    <row r="338" spans="1:22" x14ac:dyDescent="0.2">
      <c r="A338" t="s">
        <v>611</v>
      </c>
      <c r="B338" t="s">
        <v>188</v>
      </c>
      <c r="C338" t="s">
        <v>41</v>
      </c>
      <c r="D338" t="s">
        <v>72</v>
      </c>
      <c r="E338" t="s">
        <v>442</v>
      </c>
      <c r="F338" t="s">
        <v>47</v>
      </c>
      <c r="G338" t="s">
        <v>46</v>
      </c>
      <c r="H338" t="s">
        <v>65</v>
      </c>
      <c r="I338">
        <v>0</v>
      </c>
      <c r="J338">
        <v>1</v>
      </c>
      <c r="K338">
        <v>0</v>
      </c>
      <c r="L338">
        <v>1</v>
      </c>
      <c r="M338">
        <v>1</v>
      </c>
      <c r="N338">
        <v>0</v>
      </c>
      <c r="O338">
        <v>1</v>
      </c>
      <c r="P338">
        <v>0</v>
      </c>
      <c r="Q338">
        <v>1</v>
      </c>
      <c r="R338">
        <v>0</v>
      </c>
      <c r="S338">
        <v>1</v>
      </c>
      <c r="T338">
        <v>1</v>
      </c>
      <c r="U338">
        <v>0</v>
      </c>
      <c r="V338">
        <v>0</v>
      </c>
    </row>
    <row r="339" spans="1:22" x14ac:dyDescent="0.2">
      <c r="A339" t="s">
        <v>611</v>
      </c>
      <c r="B339" t="s">
        <v>188</v>
      </c>
      <c r="C339" t="s">
        <v>41</v>
      </c>
      <c r="D339" t="s">
        <v>61</v>
      </c>
      <c r="E339" t="s">
        <v>442</v>
      </c>
      <c r="F339" t="s">
        <v>65</v>
      </c>
      <c r="G339" t="s">
        <v>47</v>
      </c>
      <c r="H339" t="s">
        <v>59</v>
      </c>
      <c r="I339">
        <v>0</v>
      </c>
      <c r="J339">
        <v>1</v>
      </c>
      <c r="K339">
        <v>0</v>
      </c>
      <c r="L339">
        <v>1</v>
      </c>
      <c r="M339">
        <v>0</v>
      </c>
      <c r="N339">
        <v>0</v>
      </c>
      <c r="O339">
        <v>1</v>
      </c>
      <c r="P339">
        <v>0</v>
      </c>
      <c r="Q339">
        <v>1</v>
      </c>
      <c r="R339">
        <v>0</v>
      </c>
      <c r="S339">
        <v>1</v>
      </c>
      <c r="T339">
        <v>0</v>
      </c>
      <c r="U339">
        <v>0</v>
      </c>
      <c r="V339">
        <v>0</v>
      </c>
    </row>
    <row r="340" spans="1:22" x14ac:dyDescent="0.2">
      <c r="A340" t="s">
        <v>614</v>
      </c>
      <c r="B340" t="s">
        <v>108</v>
      </c>
      <c r="C340" t="s">
        <v>41</v>
      </c>
      <c r="D340" t="s">
        <v>49</v>
      </c>
      <c r="E340" t="s">
        <v>442</v>
      </c>
      <c r="F340" t="s">
        <v>46</v>
      </c>
      <c r="G340" t="s">
        <v>65</v>
      </c>
      <c r="H340" t="s">
        <v>48</v>
      </c>
      <c r="I340">
        <v>0</v>
      </c>
      <c r="J340">
        <v>1</v>
      </c>
      <c r="K340">
        <v>1</v>
      </c>
      <c r="L340">
        <v>0</v>
      </c>
      <c r="M340">
        <v>1</v>
      </c>
      <c r="N340">
        <v>0</v>
      </c>
      <c r="O340">
        <v>1</v>
      </c>
      <c r="P340">
        <v>0</v>
      </c>
      <c r="Q340">
        <v>1</v>
      </c>
      <c r="R340">
        <v>1</v>
      </c>
      <c r="S340">
        <v>0</v>
      </c>
      <c r="T340">
        <v>1</v>
      </c>
      <c r="U340">
        <v>0</v>
      </c>
      <c r="V340">
        <v>0</v>
      </c>
    </row>
    <row r="341" spans="1:22" x14ac:dyDescent="0.2">
      <c r="A341" t="s">
        <v>614</v>
      </c>
      <c r="B341" t="s">
        <v>108</v>
      </c>
      <c r="C341" t="s">
        <v>41</v>
      </c>
      <c r="D341" t="s">
        <v>55</v>
      </c>
      <c r="E341" t="s">
        <v>442</v>
      </c>
      <c r="F341" t="s">
        <v>65</v>
      </c>
      <c r="G341" t="s">
        <v>47</v>
      </c>
      <c r="H341" t="s">
        <v>46</v>
      </c>
      <c r="I341">
        <v>0</v>
      </c>
      <c r="J341">
        <v>1</v>
      </c>
      <c r="K341">
        <v>0</v>
      </c>
      <c r="L341">
        <v>1</v>
      </c>
      <c r="M341">
        <v>1</v>
      </c>
      <c r="N341">
        <v>0</v>
      </c>
      <c r="O341">
        <v>1</v>
      </c>
      <c r="P341">
        <v>0</v>
      </c>
      <c r="Q341">
        <v>1</v>
      </c>
      <c r="R341">
        <v>0</v>
      </c>
      <c r="S341">
        <v>1</v>
      </c>
      <c r="T341">
        <v>1</v>
      </c>
      <c r="U341">
        <v>0</v>
      </c>
      <c r="V341">
        <v>0</v>
      </c>
    </row>
    <row r="342" spans="1:22" x14ac:dyDescent="0.2">
      <c r="A342" t="s">
        <v>614</v>
      </c>
      <c r="B342" t="s">
        <v>108</v>
      </c>
      <c r="C342" t="s">
        <v>41</v>
      </c>
      <c r="D342" t="s">
        <v>72</v>
      </c>
      <c r="E342" t="s">
        <v>442</v>
      </c>
      <c r="F342" t="s">
        <v>46</v>
      </c>
      <c r="G342" t="s">
        <v>65</v>
      </c>
      <c r="H342" t="s">
        <v>47</v>
      </c>
      <c r="I342">
        <v>0</v>
      </c>
      <c r="J342">
        <v>1</v>
      </c>
      <c r="K342">
        <v>0</v>
      </c>
      <c r="L342">
        <v>1</v>
      </c>
      <c r="M342">
        <v>1</v>
      </c>
      <c r="N342">
        <v>0</v>
      </c>
      <c r="O342">
        <v>1</v>
      </c>
      <c r="P342">
        <v>0</v>
      </c>
      <c r="Q342">
        <v>1</v>
      </c>
      <c r="R342">
        <v>0</v>
      </c>
      <c r="S342">
        <v>1</v>
      </c>
      <c r="T342">
        <v>1</v>
      </c>
      <c r="U342">
        <v>0</v>
      </c>
      <c r="V342">
        <v>0</v>
      </c>
    </row>
    <row r="343" spans="1:22" x14ac:dyDescent="0.2">
      <c r="A343" t="s">
        <v>617</v>
      </c>
      <c r="B343" t="s">
        <v>33</v>
      </c>
      <c r="C343" t="s">
        <v>41</v>
      </c>
      <c r="D343" t="s">
        <v>55</v>
      </c>
      <c r="E343" t="s">
        <v>442</v>
      </c>
      <c r="F343" t="s">
        <v>46</v>
      </c>
      <c r="G343" t="s">
        <v>65</v>
      </c>
      <c r="H343" t="s">
        <v>48</v>
      </c>
      <c r="I343">
        <v>0</v>
      </c>
      <c r="J343">
        <v>1</v>
      </c>
      <c r="K343">
        <v>1</v>
      </c>
      <c r="L343">
        <v>0</v>
      </c>
      <c r="M343">
        <v>1</v>
      </c>
      <c r="N343">
        <v>0</v>
      </c>
      <c r="O343">
        <v>1</v>
      </c>
      <c r="P343">
        <v>0</v>
      </c>
      <c r="Q343">
        <v>1</v>
      </c>
      <c r="R343">
        <v>0</v>
      </c>
      <c r="S343">
        <v>0</v>
      </c>
      <c r="T343">
        <v>0</v>
      </c>
      <c r="U343">
        <v>0</v>
      </c>
      <c r="V343">
        <v>0</v>
      </c>
    </row>
    <row r="344" spans="1:22" x14ac:dyDescent="0.2">
      <c r="A344" t="s">
        <v>620</v>
      </c>
      <c r="B344" t="s">
        <v>188</v>
      </c>
      <c r="C344" t="s">
        <v>41</v>
      </c>
      <c r="D344" t="s">
        <v>55</v>
      </c>
      <c r="E344" t="s">
        <v>442</v>
      </c>
      <c r="F344" t="s">
        <v>65</v>
      </c>
      <c r="G344" t="s">
        <v>46</v>
      </c>
      <c r="H344" t="s">
        <v>48</v>
      </c>
      <c r="I344">
        <v>0</v>
      </c>
      <c r="J344">
        <v>1</v>
      </c>
      <c r="K344">
        <v>1</v>
      </c>
      <c r="L344">
        <v>0</v>
      </c>
      <c r="M344">
        <v>1</v>
      </c>
      <c r="N344">
        <v>0</v>
      </c>
      <c r="O344">
        <v>1</v>
      </c>
      <c r="P344">
        <v>0</v>
      </c>
      <c r="Q344">
        <v>1</v>
      </c>
      <c r="R344">
        <v>1</v>
      </c>
      <c r="S344">
        <v>0</v>
      </c>
      <c r="T344">
        <v>1</v>
      </c>
      <c r="U344">
        <v>0</v>
      </c>
      <c r="V344">
        <v>0</v>
      </c>
    </row>
    <row r="345" spans="1:22" x14ac:dyDescent="0.2">
      <c r="A345" t="s">
        <v>620</v>
      </c>
      <c r="B345" t="s">
        <v>188</v>
      </c>
      <c r="C345" t="s">
        <v>41</v>
      </c>
      <c r="D345" t="s">
        <v>61</v>
      </c>
      <c r="E345" t="s">
        <v>442</v>
      </c>
      <c r="F345" t="s">
        <v>46</v>
      </c>
      <c r="G345" t="s">
        <v>65</v>
      </c>
      <c r="H345" t="s">
        <v>48</v>
      </c>
      <c r="I345">
        <v>0</v>
      </c>
      <c r="J345">
        <v>1</v>
      </c>
      <c r="K345">
        <v>1</v>
      </c>
      <c r="L345">
        <v>0</v>
      </c>
      <c r="M345">
        <v>1</v>
      </c>
      <c r="N345">
        <v>0</v>
      </c>
      <c r="O345">
        <v>1</v>
      </c>
      <c r="P345">
        <v>0</v>
      </c>
      <c r="Q345">
        <v>1</v>
      </c>
      <c r="R345">
        <v>1</v>
      </c>
      <c r="S345">
        <v>0</v>
      </c>
      <c r="T345">
        <v>1</v>
      </c>
      <c r="U345">
        <v>0</v>
      </c>
      <c r="V345">
        <v>0</v>
      </c>
    </row>
    <row r="346" spans="1:22" x14ac:dyDescent="0.2">
      <c r="A346" t="s">
        <v>623</v>
      </c>
      <c r="B346" t="s">
        <v>188</v>
      </c>
      <c r="C346" t="s">
        <v>41</v>
      </c>
      <c r="D346" t="s">
        <v>67</v>
      </c>
      <c r="E346" t="s">
        <v>442</v>
      </c>
      <c r="F346" t="s">
        <v>65</v>
      </c>
      <c r="G346" t="s">
        <v>47</v>
      </c>
      <c r="H346" t="s">
        <v>46</v>
      </c>
      <c r="I346">
        <v>0</v>
      </c>
      <c r="J346">
        <v>1</v>
      </c>
      <c r="K346">
        <v>0</v>
      </c>
      <c r="L346">
        <v>1</v>
      </c>
      <c r="M346">
        <v>1</v>
      </c>
      <c r="N346">
        <v>0</v>
      </c>
      <c r="O346">
        <v>1</v>
      </c>
      <c r="P346">
        <v>0</v>
      </c>
      <c r="Q346">
        <v>1</v>
      </c>
      <c r="R346">
        <v>0</v>
      </c>
      <c r="S346">
        <v>1</v>
      </c>
      <c r="T346">
        <v>1</v>
      </c>
      <c r="U346">
        <v>0</v>
      </c>
      <c r="V346">
        <v>0</v>
      </c>
    </row>
    <row r="347" spans="1:22" x14ac:dyDescent="0.2">
      <c r="A347" t="s">
        <v>623</v>
      </c>
      <c r="B347" t="s">
        <v>188</v>
      </c>
      <c r="C347" t="s">
        <v>41</v>
      </c>
      <c r="D347" t="s">
        <v>72</v>
      </c>
      <c r="E347" t="s">
        <v>442</v>
      </c>
      <c r="F347" t="s">
        <v>46</v>
      </c>
      <c r="G347" t="s">
        <v>65</v>
      </c>
      <c r="H347" t="s">
        <v>60</v>
      </c>
      <c r="I347">
        <v>1</v>
      </c>
      <c r="J347">
        <v>1</v>
      </c>
      <c r="K347">
        <v>0</v>
      </c>
      <c r="L347">
        <v>0</v>
      </c>
      <c r="M347">
        <v>1</v>
      </c>
      <c r="N347">
        <v>0</v>
      </c>
      <c r="O347">
        <v>1</v>
      </c>
      <c r="P347">
        <v>1</v>
      </c>
      <c r="Q347">
        <v>1</v>
      </c>
      <c r="R347">
        <v>0</v>
      </c>
      <c r="S347">
        <v>0</v>
      </c>
      <c r="T347">
        <v>0</v>
      </c>
      <c r="U347">
        <v>0</v>
      </c>
      <c r="V347">
        <v>0</v>
      </c>
    </row>
    <row r="348" spans="1:22" x14ac:dyDescent="0.2">
      <c r="A348" t="s">
        <v>626</v>
      </c>
      <c r="B348" t="s">
        <v>188</v>
      </c>
      <c r="C348" t="s">
        <v>41</v>
      </c>
      <c r="D348" t="s">
        <v>72</v>
      </c>
      <c r="E348" t="s">
        <v>442</v>
      </c>
      <c r="F348" t="s">
        <v>47</v>
      </c>
      <c r="G348" t="s">
        <v>46</v>
      </c>
      <c r="H348" t="s">
        <v>65</v>
      </c>
      <c r="I348">
        <v>0</v>
      </c>
      <c r="J348">
        <v>1</v>
      </c>
      <c r="K348">
        <v>0</v>
      </c>
      <c r="L348">
        <v>1</v>
      </c>
      <c r="M348">
        <v>1</v>
      </c>
      <c r="N348">
        <v>0</v>
      </c>
      <c r="O348">
        <v>1</v>
      </c>
      <c r="P348">
        <v>0</v>
      </c>
      <c r="Q348">
        <v>1</v>
      </c>
      <c r="R348">
        <v>0</v>
      </c>
      <c r="S348">
        <v>0</v>
      </c>
      <c r="T348">
        <v>1</v>
      </c>
      <c r="U348">
        <v>0</v>
      </c>
      <c r="V348">
        <v>0</v>
      </c>
    </row>
    <row r="349" spans="1:22" x14ac:dyDescent="0.2">
      <c r="A349" t="s">
        <v>626</v>
      </c>
      <c r="B349" t="s">
        <v>188</v>
      </c>
      <c r="C349" t="s">
        <v>41</v>
      </c>
      <c r="D349" t="s">
        <v>67</v>
      </c>
      <c r="E349" t="s">
        <v>442</v>
      </c>
      <c r="F349" t="s">
        <v>47</v>
      </c>
      <c r="G349" t="s">
        <v>59</v>
      </c>
      <c r="H349" t="s">
        <v>65</v>
      </c>
      <c r="I349">
        <v>0</v>
      </c>
      <c r="J349">
        <v>1</v>
      </c>
      <c r="K349">
        <v>0</v>
      </c>
      <c r="L349">
        <v>1</v>
      </c>
      <c r="M349">
        <v>0</v>
      </c>
      <c r="N349">
        <v>0</v>
      </c>
      <c r="O349">
        <v>1</v>
      </c>
      <c r="P349">
        <v>0</v>
      </c>
      <c r="Q349">
        <v>1</v>
      </c>
      <c r="R349">
        <v>0</v>
      </c>
      <c r="S349">
        <v>0</v>
      </c>
      <c r="T349">
        <v>0</v>
      </c>
      <c r="U349">
        <v>0</v>
      </c>
      <c r="V349">
        <v>0</v>
      </c>
    </row>
    <row r="350" spans="1:22" x14ac:dyDescent="0.2">
      <c r="A350" t="s">
        <v>626</v>
      </c>
      <c r="B350" t="s">
        <v>188</v>
      </c>
      <c r="C350" t="s">
        <v>41</v>
      </c>
      <c r="D350" t="s">
        <v>55</v>
      </c>
      <c r="E350" t="s">
        <v>442</v>
      </c>
      <c r="F350" t="s">
        <v>48</v>
      </c>
      <c r="G350" t="s">
        <v>65</v>
      </c>
      <c r="H350" t="s">
        <v>60</v>
      </c>
      <c r="I350">
        <v>1</v>
      </c>
      <c r="J350">
        <v>1</v>
      </c>
      <c r="K350">
        <v>1</v>
      </c>
      <c r="L350">
        <v>0</v>
      </c>
      <c r="M350">
        <v>0</v>
      </c>
      <c r="N350">
        <v>0</v>
      </c>
      <c r="O350">
        <v>1</v>
      </c>
      <c r="P350">
        <v>0</v>
      </c>
      <c r="Q350">
        <v>1</v>
      </c>
      <c r="R350">
        <v>0</v>
      </c>
      <c r="S350">
        <v>0</v>
      </c>
      <c r="T350">
        <v>0</v>
      </c>
      <c r="U350">
        <v>0</v>
      </c>
      <c r="V350">
        <v>0</v>
      </c>
    </row>
    <row r="351" spans="1:22" x14ac:dyDescent="0.2">
      <c r="A351" t="s">
        <v>627</v>
      </c>
      <c r="B351" t="s">
        <v>33</v>
      </c>
      <c r="C351" t="s">
        <v>41</v>
      </c>
      <c r="D351" t="s">
        <v>49</v>
      </c>
      <c r="E351" t="s">
        <v>442</v>
      </c>
      <c r="F351" t="s">
        <v>47</v>
      </c>
      <c r="G351" t="s">
        <v>48</v>
      </c>
      <c r="H351" t="s">
        <v>65</v>
      </c>
      <c r="I351">
        <v>0</v>
      </c>
      <c r="J351">
        <v>1</v>
      </c>
      <c r="K351">
        <v>1</v>
      </c>
      <c r="L351">
        <v>1</v>
      </c>
      <c r="M351">
        <v>0</v>
      </c>
      <c r="N351">
        <v>0</v>
      </c>
      <c r="O351">
        <v>1</v>
      </c>
      <c r="P351">
        <v>0</v>
      </c>
      <c r="Q351">
        <v>1</v>
      </c>
      <c r="R351">
        <v>0</v>
      </c>
      <c r="S351">
        <v>1</v>
      </c>
      <c r="T351">
        <v>0</v>
      </c>
      <c r="U351">
        <v>0</v>
      </c>
      <c r="V351">
        <v>0</v>
      </c>
    </row>
    <row r="352" spans="1:22" x14ac:dyDescent="0.2">
      <c r="A352" t="s">
        <v>627</v>
      </c>
      <c r="B352" t="s">
        <v>33</v>
      </c>
      <c r="C352" t="s">
        <v>41</v>
      </c>
      <c r="D352" t="s">
        <v>42</v>
      </c>
      <c r="E352" t="s">
        <v>442</v>
      </c>
      <c r="F352" t="s">
        <v>46</v>
      </c>
      <c r="G352" t="s">
        <v>47</v>
      </c>
      <c r="H352" t="s">
        <v>65</v>
      </c>
      <c r="I352">
        <v>0</v>
      </c>
      <c r="J352">
        <v>1</v>
      </c>
      <c r="K352">
        <v>0</v>
      </c>
      <c r="L352">
        <v>1</v>
      </c>
      <c r="M352">
        <v>1</v>
      </c>
      <c r="N352">
        <v>0</v>
      </c>
      <c r="O352">
        <v>1</v>
      </c>
      <c r="P352">
        <v>0</v>
      </c>
      <c r="Q352">
        <v>1</v>
      </c>
      <c r="R352">
        <v>0</v>
      </c>
      <c r="S352">
        <v>1</v>
      </c>
      <c r="T352">
        <v>0</v>
      </c>
      <c r="U352">
        <v>0</v>
      </c>
      <c r="V352">
        <v>0</v>
      </c>
    </row>
    <row r="353" spans="1:22" x14ac:dyDescent="0.2">
      <c r="A353" t="s">
        <v>631</v>
      </c>
      <c r="B353" t="s">
        <v>108</v>
      </c>
      <c r="C353" t="s">
        <v>41</v>
      </c>
      <c r="D353" t="s">
        <v>61</v>
      </c>
      <c r="E353" t="s">
        <v>442</v>
      </c>
      <c r="F353" t="s">
        <v>65</v>
      </c>
      <c r="G353" t="s">
        <v>48</v>
      </c>
      <c r="H353" t="s">
        <v>47</v>
      </c>
      <c r="I353">
        <v>0</v>
      </c>
      <c r="J353">
        <v>1</v>
      </c>
      <c r="K353">
        <v>1</v>
      </c>
      <c r="L353">
        <v>1</v>
      </c>
      <c r="M353">
        <v>0</v>
      </c>
      <c r="N353">
        <v>0</v>
      </c>
      <c r="O353">
        <v>1</v>
      </c>
      <c r="P353">
        <v>0</v>
      </c>
      <c r="Q353">
        <v>1</v>
      </c>
      <c r="R353">
        <v>0</v>
      </c>
      <c r="S353">
        <v>0</v>
      </c>
      <c r="T353">
        <v>0</v>
      </c>
      <c r="U353">
        <v>0</v>
      </c>
      <c r="V353">
        <v>0</v>
      </c>
    </row>
    <row r="354" spans="1:22" x14ac:dyDescent="0.2">
      <c r="A354" t="s">
        <v>631</v>
      </c>
      <c r="B354" t="s">
        <v>108</v>
      </c>
      <c r="C354" t="s">
        <v>41</v>
      </c>
      <c r="D354" t="s">
        <v>72</v>
      </c>
      <c r="E354" t="s">
        <v>442</v>
      </c>
      <c r="F354" t="s">
        <v>46</v>
      </c>
      <c r="G354" t="s">
        <v>59</v>
      </c>
      <c r="H354" t="s">
        <v>65</v>
      </c>
      <c r="I354">
        <v>0</v>
      </c>
      <c r="J354">
        <v>1</v>
      </c>
      <c r="K354">
        <v>0</v>
      </c>
      <c r="L354">
        <v>0</v>
      </c>
      <c r="M354">
        <v>1</v>
      </c>
      <c r="N354">
        <v>0</v>
      </c>
      <c r="O354">
        <v>1</v>
      </c>
      <c r="P354">
        <v>0</v>
      </c>
      <c r="Q354">
        <v>1</v>
      </c>
      <c r="R354">
        <v>0</v>
      </c>
      <c r="S354">
        <v>0</v>
      </c>
      <c r="T354">
        <v>0</v>
      </c>
      <c r="U354">
        <v>0</v>
      </c>
      <c r="V354">
        <v>0</v>
      </c>
    </row>
    <row r="355" spans="1:22" x14ac:dyDescent="0.2">
      <c r="A355" t="s">
        <v>631</v>
      </c>
      <c r="B355" t="s">
        <v>108</v>
      </c>
      <c r="C355" t="s">
        <v>41</v>
      </c>
      <c r="D355" t="s">
        <v>49</v>
      </c>
      <c r="E355" t="s">
        <v>442</v>
      </c>
      <c r="F355" t="s">
        <v>60</v>
      </c>
      <c r="G355" t="s">
        <v>46</v>
      </c>
      <c r="H355" t="s">
        <v>65</v>
      </c>
      <c r="I355">
        <v>1</v>
      </c>
      <c r="J355">
        <v>1</v>
      </c>
      <c r="K355">
        <v>0</v>
      </c>
      <c r="L355">
        <v>0</v>
      </c>
      <c r="M355">
        <v>1</v>
      </c>
      <c r="N355">
        <v>0</v>
      </c>
      <c r="O355">
        <v>1</v>
      </c>
      <c r="P355">
        <v>0</v>
      </c>
      <c r="Q355">
        <v>1</v>
      </c>
      <c r="R355">
        <v>0</v>
      </c>
      <c r="S355">
        <v>0</v>
      </c>
      <c r="T355">
        <v>0</v>
      </c>
      <c r="U355">
        <v>0</v>
      </c>
      <c r="V355">
        <v>0</v>
      </c>
    </row>
    <row r="356" spans="1:22" x14ac:dyDescent="0.2">
      <c r="A356" t="s">
        <v>634</v>
      </c>
      <c r="B356" t="s">
        <v>33</v>
      </c>
      <c r="C356" t="s">
        <v>41</v>
      </c>
      <c r="D356" t="s">
        <v>55</v>
      </c>
      <c r="E356" t="s">
        <v>442</v>
      </c>
      <c r="F356" t="s">
        <v>48</v>
      </c>
      <c r="G356" t="s">
        <v>60</v>
      </c>
      <c r="H356" t="s">
        <v>65</v>
      </c>
      <c r="I356">
        <v>1</v>
      </c>
      <c r="J356">
        <v>1</v>
      </c>
      <c r="K356">
        <v>1</v>
      </c>
      <c r="L356">
        <v>0</v>
      </c>
      <c r="M356">
        <v>0</v>
      </c>
      <c r="N356">
        <v>0</v>
      </c>
      <c r="O356">
        <v>1</v>
      </c>
      <c r="P356">
        <v>1</v>
      </c>
      <c r="Q356">
        <v>1</v>
      </c>
      <c r="R356">
        <v>0</v>
      </c>
      <c r="S356">
        <v>0</v>
      </c>
      <c r="T356">
        <v>0</v>
      </c>
      <c r="U356">
        <v>0</v>
      </c>
      <c r="V356">
        <v>0</v>
      </c>
    </row>
    <row r="357" spans="1:22" x14ac:dyDescent="0.2">
      <c r="A357" t="s">
        <v>634</v>
      </c>
      <c r="B357" t="s">
        <v>33</v>
      </c>
      <c r="C357" t="s">
        <v>41</v>
      </c>
      <c r="D357" t="s">
        <v>72</v>
      </c>
      <c r="E357" t="s">
        <v>442</v>
      </c>
      <c r="F357" t="s">
        <v>46</v>
      </c>
      <c r="G357" t="s">
        <v>47</v>
      </c>
      <c r="H357" t="s">
        <v>65</v>
      </c>
      <c r="I357">
        <v>0</v>
      </c>
      <c r="J357">
        <v>1</v>
      </c>
      <c r="K357">
        <v>0</v>
      </c>
      <c r="L357">
        <v>1</v>
      </c>
      <c r="M357">
        <v>1</v>
      </c>
      <c r="N357">
        <v>0</v>
      </c>
      <c r="O357">
        <v>1</v>
      </c>
      <c r="P357">
        <v>0</v>
      </c>
      <c r="Q357">
        <v>1</v>
      </c>
      <c r="R357">
        <v>0</v>
      </c>
      <c r="S357">
        <v>1</v>
      </c>
      <c r="T357">
        <v>1</v>
      </c>
      <c r="U357">
        <v>0</v>
      </c>
      <c r="V357">
        <v>0</v>
      </c>
    </row>
    <row r="358" spans="1:22" x14ac:dyDescent="0.2">
      <c r="A358" t="s">
        <v>634</v>
      </c>
      <c r="B358" t="s">
        <v>33</v>
      </c>
      <c r="C358" t="s">
        <v>41</v>
      </c>
      <c r="D358" t="s">
        <v>49</v>
      </c>
      <c r="E358" t="s">
        <v>442</v>
      </c>
      <c r="F358" t="s">
        <v>46</v>
      </c>
      <c r="G358" t="s">
        <v>65</v>
      </c>
      <c r="H358" t="s">
        <v>48</v>
      </c>
      <c r="I358">
        <v>0</v>
      </c>
      <c r="J358">
        <v>1</v>
      </c>
      <c r="K358">
        <v>1</v>
      </c>
      <c r="L358">
        <v>0</v>
      </c>
      <c r="M358">
        <v>1</v>
      </c>
      <c r="N358">
        <v>0</v>
      </c>
      <c r="O358">
        <v>1</v>
      </c>
      <c r="P358">
        <v>0</v>
      </c>
      <c r="Q358">
        <v>1</v>
      </c>
      <c r="R358">
        <v>1</v>
      </c>
      <c r="S358">
        <v>0</v>
      </c>
      <c r="T358">
        <v>0</v>
      </c>
      <c r="U358">
        <v>0</v>
      </c>
      <c r="V358">
        <v>0</v>
      </c>
    </row>
    <row r="359" spans="1:22" x14ac:dyDescent="0.2">
      <c r="A359" t="s">
        <v>634</v>
      </c>
      <c r="B359" t="s">
        <v>33</v>
      </c>
      <c r="C359" t="s">
        <v>41</v>
      </c>
      <c r="D359" t="s">
        <v>61</v>
      </c>
      <c r="E359" t="s">
        <v>442</v>
      </c>
      <c r="F359" t="s">
        <v>47</v>
      </c>
      <c r="G359" t="s">
        <v>60</v>
      </c>
      <c r="H359" t="s">
        <v>65</v>
      </c>
      <c r="I359">
        <v>1</v>
      </c>
      <c r="J359">
        <v>1</v>
      </c>
      <c r="K359">
        <v>0</v>
      </c>
      <c r="L359">
        <v>1</v>
      </c>
      <c r="M359">
        <v>0</v>
      </c>
      <c r="N359">
        <v>0</v>
      </c>
      <c r="O359">
        <v>1</v>
      </c>
      <c r="P359">
        <v>1</v>
      </c>
      <c r="Q359">
        <v>1</v>
      </c>
      <c r="R359">
        <v>0</v>
      </c>
      <c r="S359">
        <v>0</v>
      </c>
      <c r="T359">
        <v>0</v>
      </c>
      <c r="U359">
        <v>0</v>
      </c>
      <c r="V359">
        <v>0</v>
      </c>
    </row>
    <row r="360" spans="1:22" x14ac:dyDescent="0.2">
      <c r="A360" t="s">
        <v>637</v>
      </c>
      <c r="B360" t="s">
        <v>33</v>
      </c>
      <c r="C360" t="s">
        <v>41</v>
      </c>
      <c r="D360" t="s">
        <v>61</v>
      </c>
      <c r="E360" t="s">
        <v>442</v>
      </c>
      <c r="F360" t="s">
        <v>59</v>
      </c>
      <c r="G360" t="s">
        <v>60</v>
      </c>
      <c r="H360" t="s">
        <v>65</v>
      </c>
      <c r="I360">
        <v>1</v>
      </c>
      <c r="J360">
        <v>1</v>
      </c>
      <c r="K360">
        <v>0</v>
      </c>
      <c r="L360">
        <v>0</v>
      </c>
      <c r="M360">
        <v>0</v>
      </c>
      <c r="N360">
        <v>0</v>
      </c>
      <c r="O360">
        <v>1</v>
      </c>
      <c r="P360">
        <v>1</v>
      </c>
      <c r="Q360">
        <v>1</v>
      </c>
      <c r="R360">
        <v>0</v>
      </c>
      <c r="S360">
        <v>0</v>
      </c>
      <c r="T360">
        <v>0</v>
      </c>
      <c r="U360">
        <v>0</v>
      </c>
      <c r="V360">
        <v>0</v>
      </c>
    </row>
    <row r="361" spans="1:22" x14ac:dyDescent="0.2">
      <c r="A361" t="s">
        <v>637</v>
      </c>
      <c r="B361" t="s">
        <v>33</v>
      </c>
      <c r="C361" t="s">
        <v>41</v>
      </c>
      <c r="D361" t="s">
        <v>49</v>
      </c>
      <c r="E361" t="s">
        <v>442</v>
      </c>
      <c r="F361" t="s">
        <v>60</v>
      </c>
      <c r="G361" t="s">
        <v>65</v>
      </c>
      <c r="H361" t="s">
        <v>48</v>
      </c>
      <c r="I361">
        <v>1</v>
      </c>
      <c r="J361">
        <v>1</v>
      </c>
      <c r="K361">
        <v>1</v>
      </c>
      <c r="L361">
        <v>0</v>
      </c>
      <c r="M361">
        <v>0</v>
      </c>
      <c r="N361">
        <v>0</v>
      </c>
      <c r="O361">
        <v>1</v>
      </c>
      <c r="P361">
        <v>1</v>
      </c>
      <c r="Q361">
        <v>1</v>
      </c>
      <c r="R361">
        <v>0</v>
      </c>
      <c r="S361">
        <v>0</v>
      </c>
      <c r="T361">
        <v>0</v>
      </c>
      <c r="U361">
        <v>0</v>
      </c>
      <c r="V361">
        <v>0</v>
      </c>
    </row>
    <row r="362" spans="1:22" x14ac:dyDescent="0.2">
      <c r="A362" t="s">
        <v>644</v>
      </c>
      <c r="B362" t="s">
        <v>108</v>
      </c>
      <c r="C362" t="s">
        <v>41</v>
      </c>
      <c r="D362" t="s">
        <v>42</v>
      </c>
      <c r="E362" t="s">
        <v>442</v>
      </c>
      <c r="F362" t="s">
        <v>65</v>
      </c>
      <c r="G362" t="s">
        <v>48</v>
      </c>
      <c r="H362" t="s">
        <v>47</v>
      </c>
      <c r="I362">
        <v>0</v>
      </c>
      <c r="J362">
        <v>1</v>
      </c>
      <c r="K362">
        <v>1</v>
      </c>
      <c r="L362">
        <v>1</v>
      </c>
      <c r="M362">
        <v>0</v>
      </c>
      <c r="N362">
        <v>0</v>
      </c>
      <c r="O362">
        <v>1</v>
      </c>
      <c r="P362">
        <v>0</v>
      </c>
      <c r="Q362">
        <v>1</v>
      </c>
      <c r="R362">
        <v>0</v>
      </c>
      <c r="S362">
        <v>1</v>
      </c>
      <c r="T362">
        <v>0</v>
      </c>
      <c r="U362">
        <v>0</v>
      </c>
      <c r="V362">
        <v>0</v>
      </c>
    </row>
    <row r="363" spans="1:22" x14ac:dyDescent="0.2">
      <c r="A363" t="s">
        <v>644</v>
      </c>
      <c r="B363" t="s">
        <v>108</v>
      </c>
      <c r="C363" t="s">
        <v>41</v>
      </c>
      <c r="D363" t="s">
        <v>61</v>
      </c>
      <c r="E363" t="s">
        <v>442</v>
      </c>
      <c r="F363" t="s">
        <v>65</v>
      </c>
      <c r="G363" t="s">
        <v>47</v>
      </c>
      <c r="H363" t="s">
        <v>46</v>
      </c>
      <c r="I363">
        <v>0</v>
      </c>
      <c r="J363">
        <v>1</v>
      </c>
      <c r="K363">
        <v>0</v>
      </c>
      <c r="L363">
        <v>1</v>
      </c>
      <c r="M363">
        <v>1</v>
      </c>
      <c r="N363">
        <v>0</v>
      </c>
      <c r="O363">
        <v>1</v>
      </c>
      <c r="P363">
        <v>0</v>
      </c>
      <c r="Q363">
        <v>1</v>
      </c>
      <c r="R363">
        <v>0</v>
      </c>
      <c r="S363">
        <v>0</v>
      </c>
      <c r="T363">
        <v>0</v>
      </c>
      <c r="U363">
        <v>0</v>
      </c>
      <c r="V363">
        <v>0</v>
      </c>
    </row>
    <row r="364" spans="1:22" x14ac:dyDescent="0.2">
      <c r="A364" t="s">
        <v>649</v>
      </c>
      <c r="B364" t="s">
        <v>188</v>
      </c>
      <c r="C364" t="s">
        <v>41</v>
      </c>
      <c r="D364" t="s">
        <v>72</v>
      </c>
      <c r="E364" t="s">
        <v>442</v>
      </c>
      <c r="F364" t="s">
        <v>47</v>
      </c>
      <c r="G364" t="s">
        <v>65</v>
      </c>
      <c r="H364" t="s">
        <v>60</v>
      </c>
      <c r="I364">
        <v>1</v>
      </c>
      <c r="J364">
        <v>1</v>
      </c>
      <c r="K364">
        <v>0</v>
      </c>
      <c r="L364">
        <v>1</v>
      </c>
      <c r="M364">
        <v>0</v>
      </c>
      <c r="N364">
        <v>0</v>
      </c>
      <c r="O364">
        <v>1</v>
      </c>
      <c r="P364">
        <v>1</v>
      </c>
      <c r="Q364">
        <v>1</v>
      </c>
      <c r="R364">
        <v>0</v>
      </c>
      <c r="S364">
        <v>1</v>
      </c>
      <c r="T364">
        <v>0</v>
      </c>
      <c r="U364">
        <v>0</v>
      </c>
      <c r="V364">
        <v>0</v>
      </c>
    </row>
    <row r="365" spans="1:22" x14ac:dyDescent="0.2">
      <c r="A365" t="s">
        <v>652</v>
      </c>
      <c r="B365" t="s">
        <v>108</v>
      </c>
      <c r="C365" t="s">
        <v>41</v>
      </c>
      <c r="D365" t="s">
        <v>42</v>
      </c>
      <c r="E365" t="s">
        <v>442</v>
      </c>
      <c r="F365" t="s">
        <v>46</v>
      </c>
      <c r="G365" t="s">
        <v>65</v>
      </c>
      <c r="H365" t="s">
        <v>60</v>
      </c>
      <c r="I365">
        <v>1</v>
      </c>
      <c r="J365">
        <v>1</v>
      </c>
      <c r="K365">
        <v>0</v>
      </c>
      <c r="L365">
        <v>0</v>
      </c>
      <c r="M365">
        <v>1</v>
      </c>
      <c r="N365">
        <v>0</v>
      </c>
      <c r="O365">
        <v>1</v>
      </c>
      <c r="P365">
        <v>1</v>
      </c>
      <c r="Q365">
        <v>1</v>
      </c>
      <c r="R365">
        <v>0</v>
      </c>
      <c r="S365">
        <v>0</v>
      </c>
      <c r="T365">
        <v>0</v>
      </c>
      <c r="U365">
        <v>0</v>
      </c>
      <c r="V365">
        <v>0</v>
      </c>
    </row>
    <row r="366" spans="1:22" x14ac:dyDescent="0.2">
      <c r="A366" t="s">
        <v>652</v>
      </c>
      <c r="B366" t="s">
        <v>108</v>
      </c>
      <c r="C366" t="s">
        <v>41</v>
      </c>
      <c r="D366" t="s">
        <v>55</v>
      </c>
      <c r="E366" t="s">
        <v>442</v>
      </c>
      <c r="F366" t="s">
        <v>59</v>
      </c>
      <c r="G366" t="s">
        <v>46</v>
      </c>
      <c r="H366" t="s">
        <v>65</v>
      </c>
      <c r="I366">
        <v>0</v>
      </c>
      <c r="J366">
        <v>1</v>
      </c>
      <c r="K366">
        <v>0</v>
      </c>
      <c r="L366">
        <v>0</v>
      </c>
      <c r="M366">
        <v>1</v>
      </c>
      <c r="N366">
        <v>0</v>
      </c>
      <c r="O366">
        <v>1</v>
      </c>
      <c r="P366">
        <v>0</v>
      </c>
      <c r="Q366">
        <v>1</v>
      </c>
      <c r="R366">
        <v>0</v>
      </c>
      <c r="S366">
        <v>0</v>
      </c>
      <c r="T366">
        <v>0</v>
      </c>
      <c r="U366">
        <v>0</v>
      </c>
      <c r="V366">
        <v>0</v>
      </c>
    </row>
    <row r="367" spans="1:22" x14ac:dyDescent="0.2">
      <c r="A367" t="s">
        <v>656</v>
      </c>
      <c r="B367" t="s">
        <v>33</v>
      </c>
      <c r="C367" t="s">
        <v>41</v>
      </c>
      <c r="D367" t="s">
        <v>42</v>
      </c>
      <c r="E367" t="s">
        <v>442</v>
      </c>
      <c r="F367" t="s">
        <v>65</v>
      </c>
      <c r="G367" t="s">
        <v>46</v>
      </c>
      <c r="H367" t="s">
        <v>48</v>
      </c>
      <c r="I367">
        <v>0</v>
      </c>
      <c r="J367">
        <v>1</v>
      </c>
      <c r="K367">
        <v>1</v>
      </c>
      <c r="L367">
        <v>0</v>
      </c>
      <c r="M367">
        <v>1</v>
      </c>
      <c r="N367">
        <v>0</v>
      </c>
      <c r="O367">
        <v>1</v>
      </c>
      <c r="P367">
        <v>0</v>
      </c>
      <c r="Q367">
        <v>1</v>
      </c>
      <c r="R367">
        <v>0</v>
      </c>
      <c r="S367">
        <v>0</v>
      </c>
      <c r="T367">
        <v>0</v>
      </c>
      <c r="U367">
        <v>0</v>
      </c>
      <c r="V367">
        <v>0</v>
      </c>
    </row>
    <row r="368" spans="1:22" x14ac:dyDescent="0.2">
      <c r="A368" t="s">
        <v>659</v>
      </c>
      <c r="B368" t="s">
        <v>108</v>
      </c>
      <c r="C368" t="s">
        <v>41</v>
      </c>
      <c r="D368" t="s">
        <v>72</v>
      </c>
      <c r="E368" t="s">
        <v>442</v>
      </c>
      <c r="F368" t="s">
        <v>65</v>
      </c>
      <c r="G368" t="s">
        <v>60</v>
      </c>
      <c r="H368" t="s">
        <v>59</v>
      </c>
      <c r="I368">
        <v>1</v>
      </c>
      <c r="J368">
        <v>1</v>
      </c>
      <c r="K368">
        <v>0</v>
      </c>
      <c r="L368">
        <v>0</v>
      </c>
      <c r="M368">
        <v>0</v>
      </c>
      <c r="N368">
        <v>0</v>
      </c>
      <c r="O368">
        <v>1</v>
      </c>
      <c r="P368">
        <v>0</v>
      </c>
      <c r="Q368">
        <v>1</v>
      </c>
      <c r="R368">
        <v>0</v>
      </c>
      <c r="S368">
        <v>0</v>
      </c>
      <c r="T368">
        <v>0</v>
      </c>
      <c r="U368">
        <v>0</v>
      </c>
      <c r="V368">
        <v>0</v>
      </c>
    </row>
    <row r="369" spans="1:22" x14ac:dyDescent="0.2">
      <c r="A369" t="s">
        <v>666</v>
      </c>
      <c r="B369" t="s">
        <v>667</v>
      </c>
      <c r="C369" t="s">
        <v>41</v>
      </c>
      <c r="D369" t="s">
        <v>42</v>
      </c>
      <c r="E369" t="s">
        <v>442</v>
      </c>
      <c r="F369" t="s">
        <v>65</v>
      </c>
      <c r="G369" t="s">
        <v>46</v>
      </c>
      <c r="H369" t="s">
        <v>47</v>
      </c>
      <c r="I369">
        <v>0</v>
      </c>
      <c r="J369">
        <v>1</v>
      </c>
      <c r="K369">
        <v>0</v>
      </c>
      <c r="L369">
        <v>1</v>
      </c>
      <c r="M369">
        <v>1</v>
      </c>
      <c r="N369">
        <v>0</v>
      </c>
      <c r="O369">
        <v>1</v>
      </c>
      <c r="P369">
        <v>0</v>
      </c>
      <c r="Q369">
        <v>1</v>
      </c>
      <c r="R369">
        <v>0</v>
      </c>
      <c r="S369">
        <v>1</v>
      </c>
      <c r="T369">
        <v>0</v>
      </c>
      <c r="U369">
        <v>0</v>
      </c>
      <c r="V369">
        <v>0</v>
      </c>
    </row>
    <row r="370" spans="1:22" x14ac:dyDescent="0.2">
      <c r="A370" t="s">
        <v>666</v>
      </c>
      <c r="B370" t="s">
        <v>667</v>
      </c>
      <c r="C370" t="s">
        <v>41</v>
      </c>
      <c r="D370" t="s">
        <v>67</v>
      </c>
      <c r="E370" t="s">
        <v>442</v>
      </c>
      <c r="F370" t="s">
        <v>65</v>
      </c>
      <c r="G370" t="s">
        <v>47</v>
      </c>
      <c r="H370" t="s">
        <v>48</v>
      </c>
      <c r="I370">
        <v>0</v>
      </c>
      <c r="J370">
        <v>1</v>
      </c>
      <c r="K370">
        <v>1</v>
      </c>
      <c r="L370">
        <v>1</v>
      </c>
      <c r="M370">
        <v>0</v>
      </c>
      <c r="N370">
        <v>0</v>
      </c>
      <c r="O370">
        <v>1</v>
      </c>
      <c r="P370">
        <v>0</v>
      </c>
      <c r="Q370">
        <v>1</v>
      </c>
      <c r="R370">
        <v>0</v>
      </c>
      <c r="S370">
        <v>1</v>
      </c>
      <c r="T370">
        <v>0</v>
      </c>
      <c r="U370">
        <v>0</v>
      </c>
      <c r="V370">
        <v>0</v>
      </c>
    </row>
    <row r="371" spans="1:22" x14ac:dyDescent="0.2">
      <c r="A371" t="s">
        <v>666</v>
      </c>
      <c r="B371" t="s">
        <v>667</v>
      </c>
      <c r="C371" t="s">
        <v>41</v>
      </c>
      <c r="D371" t="s">
        <v>61</v>
      </c>
      <c r="E371" t="s">
        <v>442</v>
      </c>
      <c r="F371" t="s">
        <v>48</v>
      </c>
      <c r="G371" t="s">
        <v>65</v>
      </c>
      <c r="H371" t="s">
        <v>46</v>
      </c>
      <c r="I371">
        <v>0</v>
      </c>
      <c r="J371">
        <v>1</v>
      </c>
      <c r="K371">
        <v>1</v>
      </c>
      <c r="L371">
        <v>0</v>
      </c>
      <c r="M371">
        <v>1</v>
      </c>
      <c r="N371">
        <v>0</v>
      </c>
      <c r="O371">
        <v>1</v>
      </c>
      <c r="P371">
        <v>0</v>
      </c>
      <c r="Q371">
        <v>1</v>
      </c>
      <c r="R371">
        <v>0</v>
      </c>
      <c r="S371">
        <v>0</v>
      </c>
      <c r="T371">
        <v>0</v>
      </c>
      <c r="U371">
        <v>0</v>
      </c>
      <c r="V371">
        <v>0</v>
      </c>
    </row>
    <row r="372" spans="1:22" x14ac:dyDescent="0.2">
      <c r="A372" t="s">
        <v>666</v>
      </c>
      <c r="B372" t="s">
        <v>667</v>
      </c>
      <c r="C372" t="s">
        <v>41</v>
      </c>
      <c r="D372" t="s">
        <v>55</v>
      </c>
      <c r="E372" t="s">
        <v>442</v>
      </c>
      <c r="F372" t="s">
        <v>65</v>
      </c>
      <c r="G372" t="s">
        <v>47</v>
      </c>
      <c r="H372" t="s">
        <v>48</v>
      </c>
      <c r="I372">
        <v>0</v>
      </c>
      <c r="J372">
        <v>1</v>
      </c>
      <c r="K372">
        <v>1</v>
      </c>
      <c r="L372">
        <v>1</v>
      </c>
      <c r="M372">
        <v>0</v>
      </c>
      <c r="N372">
        <v>0</v>
      </c>
      <c r="O372">
        <v>1</v>
      </c>
      <c r="P372">
        <v>0</v>
      </c>
      <c r="Q372">
        <v>1</v>
      </c>
      <c r="R372">
        <v>0</v>
      </c>
      <c r="S372">
        <v>1</v>
      </c>
      <c r="T372">
        <v>0</v>
      </c>
      <c r="U372">
        <v>0</v>
      </c>
      <c r="V372">
        <v>0</v>
      </c>
    </row>
    <row r="373" spans="1:22" x14ac:dyDescent="0.2">
      <c r="A373" t="s">
        <v>671</v>
      </c>
      <c r="B373" t="s">
        <v>33</v>
      </c>
      <c r="C373" t="s">
        <v>41</v>
      </c>
      <c r="D373" t="s">
        <v>55</v>
      </c>
      <c r="E373" t="s">
        <v>442</v>
      </c>
      <c r="F373" t="s">
        <v>46</v>
      </c>
      <c r="G373" t="s">
        <v>59</v>
      </c>
      <c r="H373" t="s">
        <v>65</v>
      </c>
      <c r="I373">
        <v>0</v>
      </c>
      <c r="J373">
        <v>1</v>
      </c>
      <c r="K373">
        <v>0</v>
      </c>
      <c r="L373">
        <v>0</v>
      </c>
      <c r="M373">
        <v>1</v>
      </c>
      <c r="N373">
        <v>0</v>
      </c>
      <c r="O373">
        <v>1</v>
      </c>
      <c r="P373">
        <v>0</v>
      </c>
      <c r="Q373">
        <v>1</v>
      </c>
      <c r="R373">
        <v>0</v>
      </c>
      <c r="S373">
        <v>0</v>
      </c>
      <c r="T373">
        <v>1</v>
      </c>
      <c r="U373">
        <v>0</v>
      </c>
      <c r="V373">
        <v>0</v>
      </c>
    </row>
    <row r="374" spans="1:22" x14ac:dyDescent="0.2">
      <c r="A374" t="s">
        <v>675</v>
      </c>
      <c r="B374" t="s">
        <v>33</v>
      </c>
      <c r="C374" t="s">
        <v>41</v>
      </c>
      <c r="D374" t="s">
        <v>61</v>
      </c>
      <c r="E374" t="s">
        <v>442</v>
      </c>
      <c r="F374" t="s">
        <v>60</v>
      </c>
      <c r="G374" t="s">
        <v>65</v>
      </c>
      <c r="H374" t="s">
        <v>47</v>
      </c>
      <c r="I374">
        <v>1</v>
      </c>
      <c r="J374">
        <v>1</v>
      </c>
      <c r="K374">
        <v>0</v>
      </c>
      <c r="L374">
        <v>1</v>
      </c>
      <c r="M374">
        <v>0</v>
      </c>
      <c r="N374">
        <v>0</v>
      </c>
      <c r="O374">
        <v>1</v>
      </c>
      <c r="P374">
        <v>0</v>
      </c>
      <c r="Q374">
        <v>1</v>
      </c>
      <c r="R374">
        <v>0</v>
      </c>
      <c r="S374">
        <v>0</v>
      </c>
      <c r="T374">
        <v>0</v>
      </c>
      <c r="U374">
        <v>0</v>
      </c>
      <c r="V374">
        <v>0</v>
      </c>
    </row>
    <row r="375" spans="1:22" x14ac:dyDescent="0.2">
      <c r="A375" t="s">
        <v>675</v>
      </c>
      <c r="B375" t="s">
        <v>33</v>
      </c>
      <c r="C375" t="s">
        <v>41</v>
      </c>
      <c r="D375" t="s">
        <v>42</v>
      </c>
      <c r="E375" t="s">
        <v>442</v>
      </c>
      <c r="F375" t="s">
        <v>65</v>
      </c>
      <c r="G375" t="s">
        <v>60</v>
      </c>
      <c r="H375" t="s">
        <v>46</v>
      </c>
      <c r="I375">
        <v>1</v>
      </c>
      <c r="J375">
        <v>1</v>
      </c>
      <c r="K375">
        <v>0</v>
      </c>
      <c r="L375">
        <v>0</v>
      </c>
      <c r="M375">
        <v>1</v>
      </c>
      <c r="N375">
        <v>0</v>
      </c>
      <c r="O375">
        <v>1</v>
      </c>
      <c r="P375">
        <v>1</v>
      </c>
      <c r="Q375">
        <v>1</v>
      </c>
      <c r="R375">
        <v>0</v>
      </c>
      <c r="S375">
        <v>0</v>
      </c>
      <c r="T375">
        <v>0</v>
      </c>
      <c r="U375">
        <v>0</v>
      </c>
      <c r="V375">
        <v>0</v>
      </c>
    </row>
    <row r="376" spans="1:22" x14ac:dyDescent="0.2">
      <c r="A376" t="s">
        <v>679</v>
      </c>
      <c r="B376" t="s">
        <v>108</v>
      </c>
      <c r="C376" t="s">
        <v>41</v>
      </c>
      <c r="D376" t="s">
        <v>42</v>
      </c>
      <c r="E376" t="s">
        <v>442</v>
      </c>
      <c r="F376" t="s">
        <v>47</v>
      </c>
      <c r="G376" t="s">
        <v>46</v>
      </c>
      <c r="H376" t="s">
        <v>65</v>
      </c>
      <c r="I376">
        <v>0</v>
      </c>
      <c r="J376">
        <v>1</v>
      </c>
      <c r="K376">
        <v>0</v>
      </c>
      <c r="L376">
        <v>1</v>
      </c>
      <c r="M376">
        <v>1</v>
      </c>
      <c r="N376">
        <v>0</v>
      </c>
      <c r="O376">
        <v>1</v>
      </c>
      <c r="P376">
        <v>0</v>
      </c>
      <c r="Q376">
        <v>1</v>
      </c>
      <c r="R376">
        <v>0</v>
      </c>
      <c r="S376">
        <v>1</v>
      </c>
      <c r="T376">
        <v>0</v>
      </c>
      <c r="U376">
        <v>0</v>
      </c>
      <c r="V376">
        <v>0</v>
      </c>
    </row>
    <row r="377" spans="1:22" x14ac:dyDescent="0.2">
      <c r="A377" t="s">
        <v>679</v>
      </c>
      <c r="B377" t="s">
        <v>108</v>
      </c>
      <c r="C377" t="s">
        <v>41</v>
      </c>
      <c r="D377" t="s">
        <v>49</v>
      </c>
      <c r="E377" t="s">
        <v>442</v>
      </c>
      <c r="F377" t="s">
        <v>46</v>
      </c>
      <c r="G377" t="s">
        <v>48</v>
      </c>
      <c r="H377" t="s">
        <v>65</v>
      </c>
      <c r="I377">
        <v>0</v>
      </c>
      <c r="J377">
        <v>1</v>
      </c>
      <c r="K377">
        <v>1</v>
      </c>
      <c r="L377">
        <v>0</v>
      </c>
      <c r="M377">
        <v>1</v>
      </c>
      <c r="N377">
        <v>0</v>
      </c>
      <c r="O377">
        <v>1</v>
      </c>
      <c r="P377">
        <v>0</v>
      </c>
      <c r="Q377">
        <v>1</v>
      </c>
      <c r="R377">
        <v>0</v>
      </c>
      <c r="S377">
        <v>0</v>
      </c>
      <c r="T377">
        <v>0</v>
      </c>
      <c r="U377">
        <v>0</v>
      </c>
      <c r="V377">
        <v>0</v>
      </c>
    </row>
    <row r="378" spans="1:22" x14ac:dyDescent="0.2">
      <c r="A378" t="s">
        <v>679</v>
      </c>
      <c r="B378" t="s">
        <v>108</v>
      </c>
      <c r="C378" t="s">
        <v>41</v>
      </c>
      <c r="D378" t="s">
        <v>67</v>
      </c>
      <c r="E378" t="s">
        <v>442</v>
      </c>
      <c r="F378" t="s">
        <v>47</v>
      </c>
      <c r="G378" t="s">
        <v>65</v>
      </c>
      <c r="H378" t="s">
        <v>46</v>
      </c>
      <c r="I378">
        <v>0</v>
      </c>
      <c r="J378">
        <v>1</v>
      </c>
      <c r="K378">
        <v>0</v>
      </c>
      <c r="L378">
        <v>1</v>
      </c>
      <c r="M378">
        <v>1</v>
      </c>
      <c r="N378">
        <v>0</v>
      </c>
      <c r="O378">
        <v>1</v>
      </c>
      <c r="P378">
        <v>0</v>
      </c>
      <c r="Q378">
        <v>1</v>
      </c>
      <c r="R378">
        <v>0</v>
      </c>
      <c r="S378">
        <v>1</v>
      </c>
      <c r="T378">
        <v>0</v>
      </c>
      <c r="U378">
        <v>0</v>
      </c>
      <c r="V378">
        <v>0</v>
      </c>
    </row>
    <row r="379" spans="1:22" x14ac:dyDescent="0.2">
      <c r="A379" t="s">
        <v>682</v>
      </c>
      <c r="B379" t="s">
        <v>174</v>
      </c>
      <c r="C379" t="s">
        <v>41</v>
      </c>
      <c r="D379" t="s">
        <v>55</v>
      </c>
      <c r="E379" t="s">
        <v>442</v>
      </c>
      <c r="F379" t="s">
        <v>59</v>
      </c>
      <c r="G379" t="s">
        <v>65</v>
      </c>
      <c r="H379" t="s">
        <v>47</v>
      </c>
      <c r="I379">
        <v>0</v>
      </c>
      <c r="J379">
        <v>1</v>
      </c>
      <c r="K379">
        <v>0</v>
      </c>
      <c r="L379">
        <v>1</v>
      </c>
      <c r="M379">
        <v>0</v>
      </c>
      <c r="N379">
        <v>0</v>
      </c>
      <c r="O379">
        <v>1</v>
      </c>
      <c r="P379">
        <v>0</v>
      </c>
      <c r="Q379">
        <v>1</v>
      </c>
      <c r="R379">
        <v>0</v>
      </c>
      <c r="S379">
        <v>0</v>
      </c>
      <c r="T379">
        <v>0</v>
      </c>
      <c r="U379">
        <v>0</v>
      </c>
      <c r="V379">
        <v>0</v>
      </c>
    </row>
    <row r="380" spans="1:22" x14ac:dyDescent="0.2">
      <c r="A380" t="s">
        <v>682</v>
      </c>
      <c r="B380" t="s">
        <v>174</v>
      </c>
      <c r="C380" t="s">
        <v>41</v>
      </c>
      <c r="D380" t="s">
        <v>61</v>
      </c>
      <c r="E380" t="s">
        <v>442</v>
      </c>
      <c r="F380" t="s">
        <v>47</v>
      </c>
      <c r="G380" t="s">
        <v>46</v>
      </c>
      <c r="H380" t="s">
        <v>65</v>
      </c>
      <c r="I380">
        <v>0</v>
      </c>
      <c r="J380">
        <v>1</v>
      </c>
      <c r="K380">
        <v>0</v>
      </c>
      <c r="L380">
        <v>1</v>
      </c>
      <c r="M380">
        <v>1</v>
      </c>
      <c r="N380">
        <v>0</v>
      </c>
      <c r="O380">
        <v>1</v>
      </c>
      <c r="P380">
        <v>0</v>
      </c>
      <c r="Q380">
        <v>1</v>
      </c>
      <c r="R380">
        <v>0</v>
      </c>
      <c r="S380">
        <v>0</v>
      </c>
      <c r="T380">
        <v>0</v>
      </c>
      <c r="U380">
        <v>0</v>
      </c>
      <c r="V380">
        <v>0</v>
      </c>
    </row>
    <row r="381" spans="1:22" x14ac:dyDescent="0.2">
      <c r="A381" t="s">
        <v>685</v>
      </c>
      <c r="B381" t="s">
        <v>108</v>
      </c>
      <c r="C381" t="s">
        <v>41</v>
      </c>
      <c r="D381" t="s">
        <v>42</v>
      </c>
      <c r="E381" t="s">
        <v>442</v>
      </c>
      <c r="F381" t="s">
        <v>48</v>
      </c>
      <c r="G381" t="s">
        <v>65</v>
      </c>
      <c r="H381" t="s">
        <v>59</v>
      </c>
      <c r="I381">
        <v>0</v>
      </c>
      <c r="J381">
        <v>1</v>
      </c>
      <c r="K381">
        <v>1</v>
      </c>
      <c r="L381">
        <v>0</v>
      </c>
      <c r="M381">
        <v>0</v>
      </c>
      <c r="N381">
        <v>0</v>
      </c>
      <c r="O381">
        <v>1</v>
      </c>
      <c r="P381">
        <v>0</v>
      </c>
      <c r="Q381">
        <v>1</v>
      </c>
      <c r="R381">
        <v>0</v>
      </c>
      <c r="S381">
        <v>0</v>
      </c>
      <c r="T381">
        <v>0</v>
      </c>
      <c r="U381">
        <v>0</v>
      </c>
      <c r="V381">
        <v>0</v>
      </c>
    </row>
    <row r="382" spans="1:22" x14ac:dyDescent="0.2">
      <c r="A382" t="s">
        <v>685</v>
      </c>
      <c r="B382" t="s">
        <v>108</v>
      </c>
      <c r="C382" t="s">
        <v>41</v>
      </c>
      <c r="D382" t="s">
        <v>72</v>
      </c>
      <c r="E382" t="s">
        <v>442</v>
      </c>
      <c r="F382" t="s">
        <v>48</v>
      </c>
      <c r="G382" t="s">
        <v>65</v>
      </c>
      <c r="H382" t="s">
        <v>59</v>
      </c>
      <c r="I382">
        <v>0</v>
      </c>
      <c r="J382">
        <v>1</v>
      </c>
      <c r="K382">
        <v>1</v>
      </c>
      <c r="L382">
        <v>0</v>
      </c>
      <c r="M382">
        <v>0</v>
      </c>
      <c r="N382">
        <v>0</v>
      </c>
      <c r="O382">
        <v>1</v>
      </c>
      <c r="P382">
        <v>0</v>
      </c>
      <c r="Q382">
        <v>1</v>
      </c>
      <c r="R382">
        <v>0</v>
      </c>
      <c r="S382">
        <v>0</v>
      </c>
      <c r="T382">
        <v>0</v>
      </c>
      <c r="U382">
        <v>0</v>
      </c>
      <c r="V382">
        <v>0</v>
      </c>
    </row>
    <row r="383" spans="1:22" x14ac:dyDescent="0.2">
      <c r="A383" t="s">
        <v>685</v>
      </c>
      <c r="B383" t="s">
        <v>108</v>
      </c>
      <c r="C383" t="s">
        <v>41</v>
      </c>
      <c r="D383" t="s">
        <v>67</v>
      </c>
      <c r="E383" t="s">
        <v>442</v>
      </c>
      <c r="F383" t="s">
        <v>48</v>
      </c>
      <c r="G383" t="s">
        <v>65</v>
      </c>
      <c r="H383" t="s">
        <v>60</v>
      </c>
      <c r="I383">
        <v>1</v>
      </c>
      <c r="J383">
        <v>1</v>
      </c>
      <c r="K383">
        <v>1</v>
      </c>
      <c r="L383">
        <v>0</v>
      </c>
      <c r="M383">
        <v>0</v>
      </c>
      <c r="N383">
        <v>0</v>
      </c>
      <c r="O383">
        <v>1</v>
      </c>
      <c r="P383">
        <v>1</v>
      </c>
      <c r="Q383">
        <v>1</v>
      </c>
      <c r="R383">
        <v>0</v>
      </c>
      <c r="S383">
        <v>0</v>
      </c>
      <c r="T383">
        <v>0</v>
      </c>
      <c r="U383">
        <v>0</v>
      </c>
      <c r="V383">
        <v>0</v>
      </c>
    </row>
    <row r="384" spans="1:22" x14ac:dyDescent="0.2">
      <c r="A384" t="s">
        <v>685</v>
      </c>
      <c r="B384" t="s">
        <v>108</v>
      </c>
      <c r="C384" t="s">
        <v>41</v>
      </c>
      <c r="D384" t="s">
        <v>49</v>
      </c>
      <c r="E384" t="s">
        <v>442</v>
      </c>
      <c r="F384" t="s">
        <v>46</v>
      </c>
      <c r="G384" t="s">
        <v>65</v>
      </c>
      <c r="H384" t="s">
        <v>59</v>
      </c>
      <c r="I384">
        <v>0</v>
      </c>
      <c r="J384">
        <v>1</v>
      </c>
      <c r="K384">
        <v>0</v>
      </c>
      <c r="L384">
        <v>0</v>
      </c>
      <c r="M384">
        <v>1</v>
      </c>
      <c r="N384">
        <v>0</v>
      </c>
      <c r="O384">
        <v>1</v>
      </c>
      <c r="P384">
        <v>0</v>
      </c>
      <c r="Q384">
        <v>1</v>
      </c>
      <c r="R384">
        <v>0</v>
      </c>
      <c r="S384">
        <v>0</v>
      </c>
      <c r="T384">
        <v>0</v>
      </c>
      <c r="U384">
        <v>0</v>
      </c>
      <c r="V384">
        <v>0</v>
      </c>
    </row>
    <row r="385" spans="1:22" x14ac:dyDescent="0.2">
      <c r="A385" t="s">
        <v>685</v>
      </c>
      <c r="B385" t="s">
        <v>108</v>
      </c>
      <c r="C385" t="s">
        <v>41</v>
      </c>
      <c r="D385" t="s">
        <v>61</v>
      </c>
      <c r="E385" t="s">
        <v>442</v>
      </c>
      <c r="F385" t="s">
        <v>47</v>
      </c>
      <c r="G385" t="s">
        <v>60</v>
      </c>
      <c r="H385" t="s">
        <v>65</v>
      </c>
      <c r="I385">
        <v>1</v>
      </c>
      <c r="J385">
        <v>1</v>
      </c>
      <c r="K385">
        <v>0</v>
      </c>
      <c r="L385">
        <v>1</v>
      </c>
      <c r="M385">
        <v>0</v>
      </c>
      <c r="N385">
        <v>0</v>
      </c>
      <c r="O385">
        <v>1</v>
      </c>
      <c r="P385">
        <v>0</v>
      </c>
      <c r="Q385">
        <v>1</v>
      </c>
      <c r="R385">
        <v>0</v>
      </c>
      <c r="S385">
        <v>0</v>
      </c>
      <c r="T385">
        <v>0</v>
      </c>
      <c r="U385">
        <v>0</v>
      </c>
      <c r="V385">
        <v>0</v>
      </c>
    </row>
    <row r="386" spans="1:22" x14ac:dyDescent="0.2">
      <c r="A386" t="s">
        <v>688</v>
      </c>
      <c r="B386" t="s">
        <v>188</v>
      </c>
      <c r="C386" t="s">
        <v>41</v>
      </c>
      <c r="D386" t="s">
        <v>42</v>
      </c>
      <c r="E386" t="s">
        <v>442</v>
      </c>
      <c r="F386" t="s">
        <v>60</v>
      </c>
      <c r="G386" t="s">
        <v>65</v>
      </c>
      <c r="H386" t="s">
        <v>48</v>
      </c>
      <c r="I386">
        <v>1</v>
      </c>
      <c r="J386">
        <v>1</v>
      </c>
      <c r="K386">
        <v>1</v>
      </c>
      <c r="L386">
        <v>0</v>
      </c>
      <c r="M386">
        <v>0</v>
      </c>
      <c r="N386">
        <v>0</v>
      </c>
      <c r="O386">
        <v>1</v>
      </c>
      <c r="P386">
        <v>0</v>
      </c>
      <c r="Q386">
        <v>1</v>
      </c>
      <c r="R386">
        <v>0</v>
      </c>
      <c r="S386">
        <v>0</v>
      </c>
      <c r="T386">
        <v>0</v>
      </c>
      <c r="U386">
        <v>0</v>
      </c>
      <c r="V386">
        <v>0</v>
      </c>
    </row>
    <row r="387" spans="1:22" x14ac:dyDescent="0.2">
      <c r="A387" t="s">
        <v>688</v>
      </c>
      <c r="B387" t="s">
        <v>188</v>
      </c>
      <c r="C387" t="s">
        <v>41</v>
      </c>
      <c r="D387" t="s">
        <v>72</v>
      </c>
      <c r="E387" t="s">
        <v>442</v>
      </c>
      <c r="F387" t="s">
        <v>47</v>
      </c>
      <c r="G387" t="s">
        <v>65</v>
      </c>
      <c r="H387" t="s">
        <v>46</v>
      </c>
      <c r="I387">
        <v>0</v>
      </c>
      <c r="J387">
        <v>1</v>
      </c>
      <c r="K387">
        <v>0</v>
      </c>
      <c r="L387">
        <v>1</v>
      </c>
      <c r="M387">
        <v>1</v>
      </c>
      <c r="N387">
        <v>0</v>
      </c>
      <c r="O387">
        <v>1</v>
      </c>
      <c r="P387">
        <v>0</v>
      </c>
      <c r="Q387">
        <v>1</v>
      </c>
      <c r="R387">
        <v>0</v>
      </c>
      <c r="S387">
        <v>0</v>
      </c>
      <c r="T387">
        <v>0</v>
      </c>
      <c r="U387">
        <v>0</v>
      </c>
      <c r="V387">
        <v>0</v>
      </c>
    </row>
    <row r="388" spans="1:22" x14ac:dyDescent="0.2">
      <c r="A388" t="s">
        <v>688</v>
      </c>
      <c r="B388" t="s">
        <v>188</v>
      </c>
      <c r="C388" t="s">
        <v>41</v>
      </c>
      <c r="D388" t="s">
        <v>67</v>
      </c>
      <c r="E388" t="s">
        <v>442</v>
      </c>
      <c r="F388" t="s">
        <v>48</v>
      </c>
      <c r="G388" t="s">
        <v>65</v>
      </c>
      <c r="H388" t="s">
        <v>60</v>
      </c>
      <c r="I388">
        <v>1</v>
      </c>
      <c r="J388">
        <v>1</v>
      </c>
      <c r="K388">
        <v>1</v>
      </c>
      <c r="L388">
        <v>0</v>
      </c>
      <c r="M388">
        <v>0</v>
      </c>
      <c r="N388">
        <v>0</v>
      </c>
      <c r="O388">
        <v>1</v>
      </c>
      <c r="P388">
        <v>0</v>
      </c>
      <c r="Q388">
        <v>1</v>
      </c>
      <c r="R388">
        <v>0</v>
      </c>
      <c r="S388">
        <v>0</v>
      </c>
      <c r="T388">
        <v>0</v>
      </c>
      <c r="U388">
        <v>0</v>
      </c>
      <c r="V388">
        <v>0</v>
      </c>
    </row>
    <row r="389" spans="1:22" x14ac:dyDescent="0.2">
      <c r="A389" t="s">
        <v>691</v>
      </c>
      <c r="B389" t="s">
        <v>108</v>
      </c>
      <c r="C389" t="s">
        <v>41</v>
      </c>
      <c r="D389" t="s">
        <v>42</v>
      </c>
      <c r="E389" t="s">
        <v>442</v>
      </c>
      <c r="F389" t="s">
        <v>48</v>
      </c>
      <c r="G389" t="s">
        <v>47</v>
      </c>
      <c r="H389" t="s">
        <v>65</v>
      </c>
      <c r="I389">
        <v>0</v>
      </c>
      <c r="J389">
        <v>1</v>
      </c>
      <c r="K389">
        <v>1</v>
      </c>
      <c r="L389">
        <v>1</v>
      </c>
      <c r="M389">
        <v>0</v>
      </c>
      <c r="N389">
        <v>0</v>
      </c>
      <c r="O389">
        <v>1</v>
      </c>
      <c r="P389">
        <v>0</v>
      </c>
      <c r="Q389">
        <v>1</v>
      </c>
      <c r="R389">
        <v>1</v>
      </c>
      <c r="S389">
        <v>1</v>
      </c>
      <c r="T389">
        <v>0</v>
      </c>
      <c r="U389">
        <v>0</v>
      </c>
      <c r="V389">
        <v>0</v>
      </c>
    </row>
    <row r="390" spans="1:22" x14ac:dyDescent="0.2">
      <c r="A390" t="s">
        <v>691</v>
      </c>
      <c r="B390" t="s">
        <v>108</v>
      </c>
      <c r="C390" t="s">
        <v>41</v>
      </c>
      <c r="D390" t="s">
        <v>55</v>
      </c>
      <c r="E390" t="s">
        <v>442</v>
      </c>
      <c r="F390" t="s">
        <v>65</v>
      </c>
      <c r="G390" t="s">
        <v>60</v>
      </c>
      <c r="H390" t="s">
        <v>48</v>
      </c>
      <c r="I390">
        <v>1</v>
      </c>
      <c r="J390">
        <v>1</v>
      </c>
      <c r="K390">
        <v>1</v>
      </c>
      <c r="L390">
        <v>0</v>
      </c>
      <c r="M390">
        <v>0</v>
      </c>
      <c r="N390">
        <v>0</v>
      </c>
      <c r="O390">
        <v>1</v>
      </c>
      <c r="P390">
        <v>1</v>
      </c>
      <c r="Q390">
        <v>1</v>
      </c>
      <c r="R390">
        <v>1</v>
      </c>
      <c r="S390">
        <v>0</v>
      </c>
      <c r="T390">
        <v>0</v>
      </c>
      <c r="U390">
        <v>0</v>
      </c>
      <c r="V390">
        <v>0</v>
      </c>
    </row>
    <row r="391" spans="1:22" x14ac:dyDescent="0.2">
      <c r="A391" t="s">
        <v>694</v>
      </c>
      <c r="B391" t="s">
        <v>188</v>
      </c>
      <c r="C391" t="s">
        <v>41</v>
      </c>
      <c r="D391" t="s">
        <v>49</v>
      </c>
      <c r="E391" t="s">
        <v>442</v>
      </c>
      <c r="F391" t="s">
        <v>60</v>
      </c>
      <c r="G391" t="s">
        <v>65</v>
      </c>
      <c r="H391" t="s">
        <v>48</v>
      </c>
      <c r="I391">
        <v>1</v>
      </c>
      <c r="J391">
        <v>1</v>
      </c>
      <c r="K391">
        <v>1</v>
      </c>
      <c r="L391">
        <v>0</v>
      </c>
      <c r="M391">
        <v>0</v>
      </c>
      <c r="N391">
        <v>0</v>
      </c>
      <c r="O391">
        <v>1</v>
      </c>
      <c r="P391">
        <v>0</v>
      </c>
      <c r="Q391">
        <v>1</v>
      </c>
      <c r="R391">
        <v>0</v>
      </c>
      <c r="S391">
        <v>0</v>
      </c>
      <c r="T391">
        <v>0</v>
      </c>
      <c r="U391">
        <v>0</v>
      </c>
      <c r="V391">
        <v>0</v>
      </c>
    </row>
    <row r="392" spans="1:22" x14ac:dyDescent="0.2">
      <c r="A392" t="s">
        <v>694</v>
      </c>
      <c r="B392" t="s">
        <v>188</v>
      </c>
      <c r="C392" t="s">
        <v>41</v>
      </c>
      <c r="D392" t="s">
        <v>42</v>
      </c>
      <c r="E392" t="s">
        <v>442</v>
      </c>
      <c r="F392" t="s">
        <v>46</v>
      </c>
      <c r="G392" t="s">
        <v>48</v>
      </c>
      <c r="H392" t="s">
        <v>65</v>
      </c>
      <c r="I392">
        <v>0</v>
      </c>
      <c r="J392">
        <v>1</v>
      </c>
      <c r="K392">
        <v>1</v>
      </c>
      <c r="L392">
        <v>0</v>
      </c>
      <c r="M392">
        <v>1</v>
      </c>
      <c r="N392">
        <v>0</v>
      </c>
      <c r="O392">
        <v>1</v>
      </c>
      <c r="P392">
        <v>0</v>
      </c>
      <c r="Q392">
        <v>1</v>
      </c>
      <c r="R392">
        <v>0</v>
      </c>
      <c r="S392">
        <v>0</v>
      </c>
      <c r="T392">
        <v>0</v>
      </c>
      <c r="U392">
        <v>0</v>
      </c>
      <c r="V392">
        <v>0</v>
      </c>
    </row>
    <row r="393" spans="1:22" x14ac:dyDescent="0.2">
      <c r="A393" t="s">
        <v>699</v>
      </c>
      <c r="B393" t="s">
        <v>108</v>
      </c>
      <c r="C393" t="s">
        <v>41</v>
      </c>
      <c r="D393" t="s">
        <v>42</v>
      </c>
      <c r="E393" t="s">
        <v>442</v>
      </c>
      <c r="F393" t="s">
        <v>48</v>
      </c>
      <c r="G393" t="s">
        <v>59</v>
      </c>
      <c r="H393" t="s">
        <v>65</v>
      </c>
      <c r="I393">
        <v>0</v>
      </c>
      <c r="J393">
        <v>1</v>
      </c>
      <c r="K393">
        <v>1</v>
      </c>
      <c r="L393">
        <v>0</v>
      </c>
      <c r="M393">
        <v>0</v>
      </c>
      <c r="N393">
        <v>0</v>
      </c>
      <c r="O393">
        <v>1</v>
      </c>
      <c r="P393">
        <v>0</v>
      </c>
      <c r="Q393">
        <v>1</v>
      </c>
      <c r="R393">
        <v>0</v>
      </c>
      <c r="S393">
        <v>0</v>
      </c>
      <c r="T393">
        <v>0</v>
      </c>
      <c r="U393">
        <v>0</v>
      </c>
      <c r="V393">
        <v>0</v>
      </c>
    </row>
    <row r="394" spans="1:22" x14ac:dyDescent="0.2">
      <c r="A394" t="s">
        <v>701</v>
      </c>
      <c r="B394" t="s">
        <v>188</v>
      </c>
      <c r="C394" t="s">
        <v>41</v>
      </c>
      <c r="D394" t="s">
        <v>72</v>
      </c>
      <c r="E394" t="s">
        <v>442</v>
      </c>
      <c r="F394" t="s">
        <v>47</v>
      </c>
      <c r="G394" t="s">
        <v>65</v>
      </c>
      <c r="H394" t="s">
        <v>60</v>
      </c>
      <c r="I394">
        <v>1</v>
      </c>
      <c r="J394">
        <v>1</v>
      </c>
      <c r="K394">
        <v>0</v>
      </c>
      <c r="L394">
        <v>1</v>
      </c>
      <c r="M394">
        <v>0</v>
      </c>
      <c r="N394">
        <v>0</v>
      </c>
      <c r="O394">
        <v>1</v>
      </c>
      <c r="P394">
        <v>0</v>
      </c>
      <c r="Q394">
        <v>1</v>
      </c>
      <c r="R394">
        <v>0</v>
      </c>
      <c r="S394">
        <v>0</v>
      </c>
      <c r="T394">
        <v>0</v>
      </c>
      <c r="U394">
        <v>0</v>
      </c>
      <c r="V394">
        <v>0</v>
      </c>
    </row>
    <row r="395" spans="1:22" x14ac:dyDescent="0.2">
      <c r="A395" t="s">
        <v>701</v>
      </c>
      <c r="B395" t="s">
        <v>188</v>
      </c>
      <c r="C395" t="s">
        <v>41</v>
      </c>
      <c r="D395" t="s">
        <v>61</v>
      </c>
      <c r="E395" t="s">
        <v>442</v>
      </c>
      <c r="F395" t="s">
        <v>59</v>
      </c>
      <c r="G395" t="s">
        <v>65</v>
      </c>
      <c r="H395" t="s">
        <v>60</v>
      </c>
      <c r="I395">
        <v>1</v>
      </c>
      <c r="J395">
        <v>1</v>
      </c>
      <c r="K395">
        <v>0</v>
      </c>
      <c r="L395">
        <v>0</v>
      </c>
      <c r="M395">
        <v>0</v>
      </c>
      <c r="N395">
        <v>0</v>
      </c>
      <c r="O395">
        <v>1</v>
      </c>
      <c r="P395">
        <v>0</v>
      </c>
      <c r="Q395">
        <v>1</v>
      </c>
      <c r="R395">
        <v>0</v>
      </c>
      <c r="S395">
        <v>0</v>
      </c>
      <c r="T395">
        <v>0</v>
      </c>
      <c r="U395">
        <v>0</v>
      </c>
      <c r="V395">
        <v>0</v>
      </c>
    </row>
    <row r="396" spans="1:22" x14ac:dyDescent="0.2">
      <c r="A396" t="s">
        <v>701</v>
      </c>
      <c r="B396" t="s">
        <v>188</v>
      </c>
      <c r="C396" t="s">
        <v>41</v>
      </c>
      <c r="D396" t="s">
        <v>42</v>
      </c>
      <c r="E396" t="s">
        <v>442</v>
      </c>
      <c r="F396" t="s">
        <v>46</v>
      </c>
      <c r="G396" t="s">
        <v>48</v>
      </c>
      <c r="H396" t="s">
        <v>65</v>
      </c>
      <c r="I396">
        <v>0</v>
      </c>
      <c r="J396">
        <v>1</v>
      </c>
      <c r="K396">
        <v>1</v>
      </c>
      <c r="L396">
        <v>0</v>
      </c>
      <c r="M396">
        <v>1</v>
      </c>
      <c r="N396">
        <v>0</v>
      </c>
      <c r="O396">
        <v>1</v>
      </c>
      <c r="P396">
        <v>0</v>
      </c>
      <c r="Q396">
        <v>1</v>
      </c>
      <c r="R396">
        <v>0</v>
      </c>
      <c r="S396">
        <v>0</v>
      </c>
      <c r="T396">
        <v>0</v>
      </c>
      <c r="U396">
        <v>0</v>
      </c>
      <c r="V396">
        <v>0</v>
      </c>
    </row>
    <row r="397" spans="1:22" x14ac:dyDescent="0.2">
      <c r="A397" t="s">
        <v>703</v>
      </c>
      <c r="B397" t="s">
        <v>108</v>
      </c>
      <c r="C397" t="s">
        <v>41</v>
      </c>
      <c r="D397" t="s">
        <v>49</v>
      </c>
      <c r="E397" t="s">
        <v>442</v>
      </c>
      <c r="F397" t="s">
        <v>47</v>
      </c>
      <c r="G397" t="s">
        <v>65</v>
      </c>
      <c r="H397" t="s">
        <v>48</v>
      </c>
      <c r="I397">
        <v>0</v>
      </c>
      <c r="J397">
        <v>1</v>
      </c>
      <c r="K397">
        <v>1</v>
      </c>
      <c r="L397">
        <v>1</v>
      </c>
      <c r="M397">
        <v>0</v>
      </c>
      <c r="N397">
        <v>0</v>
      </c>
      <c r="O397">
        <v>1</v>
      </c>
      <c r="P397">
        <v>0</v>
      </c>
      <c r="Q397">
        <v>1</v>
      </c>
      <c r="R397">
        <v>1</v>
      </c>
      <c r="S397">
        <v>1</v>
      </c>
      <c r="T397">
        <v>0</v>
      </c>
      <c r="U397">
        <v>0</v>
      </c>
      <c r="V397">
        <v>0</v>
      </c>
    </row>
    <row r="398" spans="1:22" x14ac:dyDescent="0.2">
      <c r="A398" t="s">
        <v>706</v>
      </c>
      <c r="B398" t="s">
        <v>108</v>
      </c>
      <c r="C398" t="s">
        <v>41</v>
      </c>
      <c r="D398" t="s">
        <v>42</v>
      </c>
      <c r="E398" t="s">
        <v>442</v>
      </c>
      <c r="F398" t="s">
        <v>65</v>
      </c>
      <c r="G398" t="s">
        <v>60</v>
      </c>
      <c r="H398" t="s">
        <v>59</v>
      </c>
      <c r="I398">
        <v>1</v>
      </c>
      <c r="J398">
        <v>1</v>
      </c>
      <c r="K398">
        <v>0</v>
      </c>
      <c r="L398">
        <v>0</v>
      </c>
      <c r="M398">
        <v>0</v>
      </c>
      <c r="N398">
        <v>0</v>
      </c>
      <c r="O398">
        <v>1</v>
      </c>
      <c r="P398">
        <v>1</v>
      </c>
      <c r="Q398">
        <v>1</v>
      </c>
      <c r="R398">
        <v>0</v>
      </c>
      <c r="S398">
        <v>0</v>
      </c>
      <c r="T398">
        <v>0</v>
      </c>
      <c r="U398">
        <v>0</v>
      </c>
      <c r="V398">
        <v>0</v>
      </c>
    </row>
    <row r="399" spans="1:22" x14ac:dyDescent="0.2">
      <c r="A399" t="s">
        <v>706</v>
      </c>
      <c r="B399" t="s">
        <v>108</v>
      </c>
      <c r="C399" t="s">
        <v>41</v>
      </c>
      <c r="D399" t="s">
        <v>61</v>
      </c>
      <c r="E399" t="s">
        <v>442</v>
      </c>
      <c r="F399" t="s">
        <v>65</v>
      </c>
      <c r="G399" t="s">
        <v>47</v>
      </c>
      <c r="H399" t="s">
        <v>46</v>
      </c>
      <c r="I399">
        <v>0</v>
      </c>
      <c r="J399">
        <v>1</v>
      </c>
      <c r="K399">
        <v>0</v>
      </c>
      <c r="L399">
        <v>1</v>
      </c>
      <c r="M399">
        <v>1</v>
      </c>
      <c r="N399">
        <v>0</v>
      </c>
      <c r="O399">
        <v>1</v>
      </c>
      <c r="P399">
        <v>0</v>
      </c>
      <c r="Q399">
        <v>1</v>
      </c>
      <c r="R399">
        <v>0</v>
      </c>
      <c r="S399">
        <v>1</v>
      </c>
      <c r="T399">
        <v>1</v>
      </c>
      <c r="U399">
        <v>0</v>
      </c>
      <c r="V399">
        <v>0</v>
      </c>
    </row>
    <row r="400" spans="1:22" x14ac:dyDescent="0.2">
      <c r="A400" t="s">
        <v>706</v>
      </c>
      <c r="B400" t="s">
        <v>108</v>
      </c>
      <c r="C400" t="s">
        <v>41</v>
      </c>
      <c r="D400" t="s">
        <v>72</v>
      </c>
      <c r="E400" t="s">
        <v>442</v>
      </c>
      <c r="F400" t="s">
        <v>47</v>
      </c>
      <c r="G400" t="s">
        <v>65</v>
      </c>
      <c r="H400" t="s">
        <v>59</v>
      </c>
      <c r="I400">
        <v>0</v>
      </c>
      <c r="J400">
        <v>1</v>
      </c>
      <c r="K400">
        <v>0</v>
      </c>
      <c r="L400">
        <v>1</v>
      </c>
      <c r="M400">
        <v>0</v>
      </c>
      <c r="N400">
        <v>0</v>
      </c>
      <c r="O400">
        <v>1</v>
      </c>
      <c r="P400">
        <v>0</v>
      </c>
      <c r="Q400">
        <v>1</v>
      </c>
      <c r="R400">
        <v>0</v>
      </c>
      <c r="S400">
        <v>1</v>
      </c>
      <c r="T400">
        <v>0</v>
      </c>
      <c r="U400">
        <v>0</v>
      </c>
      <c r="V400">
        <v>0</v>
      </c>
    </row>
    <row r="401" spans="1:22" x14ac:dyDescent="0.2">
      <c r="A401" t="s">
        <v>706</v>
      </c>
      <c r="B401" t="s">
        <v>108</v>
      </c>
      <c r="C401" t="s">
        <v>41</v>
      </c>
      <c r="D401" t="s">
        <v>55</v>
      </c>
      <c r="E401" t="s">
        <v>442</v>
      </c>
      <c r="F401" t="s">
        <v>47</v>
      </c>
      <c r="G401" t="s">
        <v>65</v>
      </c>
      <c r="H401" t="s">
        <v>48</v>
      </c>
      <c r="I401">
        <v>0</v>
      </c>
      <c r="J401">
        <v>1</v>
      </c>
      <c r="K401">
        <v>1</v>
      </c>
      <c r="L401">
        <v>1</v>
      </c>
      <c r="M401">
        <v>0</v>
      </c>
      <c r="N401">
        <v>0</v>
      </c>
      <c r="O401">
        <v>1</v>
      </c>
      <c r="P401">
        <v>0</v>
      </c>
      <c r="Q401">
        <v>1</v>
      </c>
      <c r="R401">
        <v>1</v>
      </c>
      <c r="S401">
        <v>1</v>
      </c>
      <c r="T401">
        <v>0</v>
      </c>
      <c r="U401">
        <v>0</v>
      </c>
      <c r="V401">
        <v>0</v>
      </c>
    </row>
    <row r="402" spans="1:22" x14ac:dyDescent="0.2">
      <c r="A402" t="s">
        <v>710</v>
      </c>
      <c r="B402" t="s">
        <v>108</v>
      </c>
      <c r="C402" t="s">
        <v>41</v>
      </c>
      <c r="D402" t="s">
        <v>49</v>
      </c>
      <c r="E402" t="s">
        <v>442</v>
      </c>
      <c r="F402" t="s">
        <v>65</v>
      </c>
      <c r="G402" t="s">
        <v>46</v>
      </c>
      <c r="H402" t="s">
        <v>59</v>
      </c>
      <c r="I402">
        <v>0</v>
      </c>
      <c r="J402">
        <v>1</v>
      </c>
      <c r="K402">
        <v>0</v>
      </c>
      <c r="L402">
        <v>0</v>
      </c>
      <c r="M402">
        <v>1</v>
      </c>
      <c r="N402">
        <v>0</v>
      </c>
      <c r="O402">
        <v>1</v>
      </c>
      <c r="P402">
        <v>0</v>
      </c>
      <c r="Q402">
        <v>1</v>
      </c>
      <c r="R402">
        <v>0</v>
      </c>
      <c r="S402">
        <v>0</v>
      </c>
      <c r="T402">
        <v>0</v>
      </c>
      <c r="U402">
        <v>0</v>
      </c>
      <c r="V402">
        <v>0</v>
      </c>
    </row>
    <row r="403" spans="1:22" x14ac:dyDescent="0.2">
      <c r="A403" t="s">
        <v>710</v>
      </c>
      <c r="B403" t="s">
        <v>108</v>
      </c>
      <c r="C403" t="s">
        <v>41</v>
      </c>
      <c r="D403" t="s">
        <v>42</v>
      </c>
      <c r="E403" t="s">
        <v>442</v>
      </c>
      <c r="F403" t="s">
        <v>65</v>
      </c>
      <c r="G403" t="s">
        <v>46</v>
      </c>
      <c r="H403" t="s">
        <v>47</v>
      </c>
      <c r="I403">
        <v>0</v>
      </c>
      <c r="J403">
        <v>1</v>
      </c>
      <c r="K403">
        <v>0</v>
      </c>
      <c r="L403">
        <v>1</v>
      </c>
      <c r="M403">
        <v>1</v>
      </c>
      <c r="N403">
        <v>0</v>
      </c>
      <c r="O403">
        <v>1</v>
      </c>
      <c r="P403">
        <v>0</v>
      </c>
      <c r="Q403">
        <v>1</v>
      </c>
      <c r="R403">
        <v>0</v>
      </c>
      <c r="S403">
        <v>1</v>
      </c>
      <c r="T403">
        <v>0</v>
      </c>
      <c r="U403">
        <v>0</v>
      </c>
      <c r="V403">
        <v>0</v>
      </c>
    </row>
    <row r="404" spans="1:22" x14ac:dyDescent="0.2">
      <c r="A404" t="s">
        <v>710</v>
      </c>
      <c r="B404" t="s">
        <v>108</v>
      </c>
      <c r="C404" t="s">
        <v>41</v>
      </c>
      <c r="D404" t="s">
        <v>67</v>
      </c>
      <c r="E404" t="s">
        <v>442</v>
      </c>
      <c r="F404" t="s">
        <v>65</v>
      </c>
      <c r="G404" t="s">
        <v>46</v>
      </c>
      <c r="H404" t="s">
        <v>59</v>
      </c>
      <c r="I404">
        <v>0</v>
      </c>
      <c r="J404">
        <v>1</v>
      </c>
      <c r="K404">
        <v>0</v>
      </c>
      <c r="L404">
        <v>0</v>
      </c>
      <c r="M404">
        <v>1</v>
      </c>
      <c r="N404">
        <v>0</v>
      </c>
      <c r="O404">
        <v>1</v>
      </c>
      <c r="P404">
        <v>0</v>
      </c>
      <c r="Q404">
        <v>1</v>
      </c>
      <c r="R404">
        <v>0</v>
      </c>
      <c r="S404">
        <v>0</v>
      </c>
      <c r="T404">
        <v>0</v>
      </c>
      <c r="U404">
        <v>0</v>
      </c>
      <c r="V404">
        <v>0</v>
      </c>
    </row>
    <row r="405" spans="1:22" x14ac:dyDescent="0.2">
      <c r="A405" t="s">
        <v>713</v>
      </c>
      <c r="B405" t="s">
        <v>108</v>
      </c>
      <c r="C405" t="s">
        <v>41</v>
      </c>
      <c r="D405" t="s">
        <v>67</v>
      </c>
      <c r="E405" t="s">
        <v>442</v>
      </c>
      <c r="F405" t="s">
        <v>48</v>
      </c>
      <c r="G405" t="s">
        <v>65</v>
      </c>
      <c r="H405" t="s">
        <v>59</v>
      </c>
      <c r="I405">
        <v>0</v>
      </c>
      <c r="J405">
        <v>1</v>
      </c>
      <c r="K405">
        <v>1</v>
      </c>
      <c r="L405">
        <v>0</v>
      </c>
      <c r="M405">
        <v>0</v>
      </c>
      <c r="N405">
        <v>0</v>
      </c>
      <c r="O405">
        <v>1</v>
      </c>
      <c r="P405">
        <v>0</v>
      </c>
      <c r="Q405">
        <v>1</v>
      </c>
      <c r="R405">
        <v>1</v>
      </c>
      <c r="S405">
        <v>0</v>
      </c>
      <c r="T405">
        <v>0</v>
      </c>
      <c r="U405">
        <v>0</v>
      </c>
      <c r="V405">
        <v>0</v>
      </c>
    </row>
    <row r="406" spans="1:22" x14ac:dyDescent="0.2">
      <c r="A406" t="s">
        <v>713</v>
      </c>
      <c r="B406" t="s">
        <v>108</v>
      </c>
      <c r="C406" t="s">
        <v>41</v>
      </c>
      <c r="D406" t="s">
        <v>55</v>
      </c>
      <c r="E406" t="s">
        <v>442</v>
      </c>
      <c r="F406" t="s">
        <v>46</v>
      </c>
      <c r="G406" t="s">
        <v>48</v>
      </c>
      <c r="H406" t="s">
        <v>65</v>
      </c>
      <c r="I406">
        <v>0</v>
      </c>
      <c r="J406">
        <v>1</v>
      </c>
      <c r="K406">
        <v>1</v>
      </c>
      <c r="L406">
        <v>0</v>
      </c>
      <c r="M406">
        <v>1</v>
      </c>
      <c r="N406">
        <v>0</v>
      </c>
      <c r="O406">
        <v>1</v>
      </c>
      <c r="P406">
        <v>0</v>
      </c>
      <c r="Q406">
        <v>1</v>
      </c>
      <c r="R406">
        <v>1</v>
      </c>
      <c r="S406">
        <v>0</v>
      </c>
      <c r="T406">
        <v>1</v>
      </c>
      <c r="U406">
        <v>0</v>
      </c>
      <c r="V406">
        <v>0</v>
      </c>
    </row>
    <row r="407" spans="1:22" x14ac:dyDescent="0.2">
      <c r="A407" t="s">
        <v>713</v>
      </c>
      <c r="B407" t="s">
        <v>108</v>
      </c>
      <c r="C407" t="s">
        <v>41</v>
      </c>
      <c r="D407" t="s">
        <v>42</v>
      </c>
      <c r="E407" t="s">
        <v>442</v>
      </c>
      <c r="F407" t="s">
        <v>65</v>
      </c>
      <c r="G407" t="s">
        <v>59</v>
      </c>
      <c r="H407" t="s">
        <v>47</v>
      </c>
      <c r="I407">
        <v>0</v>
      </c>
      <c r="J407">
        <v>1</v>
      </c>
      <c r="K407">
        <v>0</v>
      </c>
      <c r="L407">
        <v>1</v>
      </c>
      <c r="M407">
        <v>0</v>
      </c>
      <c r="N407">
        <v>0</v>
      </c>
      <c r="O407">
        <v>1</v>
      </c>
      <c r="P407">
        <v>0</v>
      </c>
      <c r="Q407">
        <v>1</v>
      </c>
      <c r="R407">
        <v>0</v>
      </c>
      <c r="S407">
        <v>1</v>
      </c>
      <c r="T407">
        <v>0</v>
      </c>
      <c r="U407">
        <v>0</v>
      </c>
      <c r="V407">
        <v>0</v>
      </c>
    </row>
    <row r="408" spans="1:22" x14ac:dyDescent="0.2">
      <c r="A408" t="s">
        <v>713</v>
      </c>
      <c r="B408" t="s">
        <v>108</v>
      </c>
      <c r="C408" t="s">
        <v>41</v>
      </c>
      <c r="D408" t="s">
        <v>72</v>
      </c>
      <c r="E408" t="s">
        <v>442</v>
      </c>
      <c r="F408" t="s">
        <v>46</v>
      </c>
      <c r="G408" t="s">
        <v>65</v>
      </c>
      <c r="H408" t="s">
        <v>60</v>
      </c>
      <c r="I408">
        <v>1</v>
      </c>
      <c r="J408">
        <v>1</v>
      </c>
      <c r="K408">
        <v>0</v>
      </c>
      <c r="L408">
        <v>0</v>
      </c>
      <c r="M408">
        <v>1</v>
      </c>
      <c r="N408">
        <v>0</v>
      </c>
      <c r="O408">
        <v>1</v>
      </c>
      <c r="P408">
        <v>1</v>
      </c>
      <c r="Q408">
        <v>1</v>
      </c>
      <c r="R408">
        <v>0</v>
      </c>
      <c r="S408">
        <v>0</v>
      </c>
      <c r="T408">
        <v>1</v>
      </c>
      <c r="U408">
        <v>0</v>
      </c>
      <c r="V408">
        <v>0</v>
      </c>
    </row>
    <row r="409" spans="1:22" x14ac:dyDescent="0.2">
      <c r="A409" t="s">
        <v>716</v>
      </c>
      <c r="B409" t="s">
        <v>108</v>
      </c>
      <c r="C409" t="s">
        <v>41</v>
      </c>
      <c r="D409" t="s">
        <v>61</v>
      </c>
      <c r="E409" t="s">
        <v>442</v>
      </c>
      <c r="F409" t="s">
        <v>65</v>
      </c>
      <c r="G409" t="s">
        <v>46</v>
      </c>
      <c r="H409" t="s">
        <v>48</v>
      </c>
      <c r="I409">
        <v>0</v>
      </c>
      <c r="J409">
        <v>1</v>
      </c>
      <c r="K409">
        <v>1</v>
      </c>
      <c r="L409">
        <v>0</v>
      </c>
      <c r="M409">
        <v>1</v>
      </c>
      <c r="N409">
        <v>0</v>
      </c>
      <c r="O409">
        <v>1</v>
      </c>
      <c r="P409">
        <v>0</v>
      </c>
      <c r="Q409">
        <v>1</v>
      </c>
      <c r="R409">
        <v>1</v>
      </c>
      <c r="S409">
        <v>0</v>
      </c>
      <c r="T409">
        <v>1</v>
      </c>
      <c r="U409">
        <v>0</v>
      </c>
      <c r="V409">
        <v>0</v>
      </c>
    </row>
    <row r="410" spans="1:22" x14ac:dyDescent="0.2">
      <c r="A410" t="s">
        <v>719</v>
      </c>
      <c r="B410" t="s">
        <v>108</v>
      </c>
      <c r="C410" t="s">
        <v>41</v>
      </c>
      <c r="D410" t="s">
        <v>67</v>
      </c>
      <c r="E410" t="s">
        <v>442</v>
      </c>
      <c r="F410" t="s">
        <v>48</v>
      </c>
      <c r="G410" t="s">
        <v>46</v>
      </c>
      <c r="H410" t="s">
        <v>65</v>
      </c>
      <c r="I410">
        <v>0</v>
      </c>
      <c r="J410">
        <v>1</v>
      </c>
      <c r="K410">
        <v>1</v>
      </c>
      <c r="L410">
        <v>0</v>
      </c>
      <c r="M410">
        <v>1</v>
      </c>
      <c r="N410">
        <v>0</v>
      </c>
      <c r="O410">
        <v>1</v>
      </c>
      <c r="P410">
        <v>0</v>
      </c>
      <c r="Q410">
        <v>1</v>
      </c>
      <c r="R410">
        <v>0</v>
      </c>
      <c r="S410">
        <v>0</v>
      </c>
      <c r="T410">
        <v>0</v>
      </c>
      <c r="U410">
        <v>0</v>
      </c>
      <c r="V410">
        <v>0</v>
      </c>
    </row>
    <row r="411" spans="1:22" x14ac:dyDescent="0.2">
      <c r="A411" t="s">
        <v>719</v>
      </c>
      <c r="B411" t="s">
        <v>108</v>
      </c>
      <c r="C411" t="s">
        <v>41</v>
      </c>
      <c r="D411" t="s">
        <v>49</v>
      </c>
      <c r="E411" t="s">
        <v>442</v>
      </c>
      <c r="F411" t="s">
        <v>59</v>
      </c>
      <c r="G411" t="s">
        <v>47</v>
      </c>
      <c r="H411" t="s">
        <v>65</v>
      </c>
      <c r="I411">
        <v>0</v>
      </c>
      <c r="J411">
        <v>1</v>
      </c>
      <c r="K411">
        <v>0</v>
      </c>
      <c r="L411">
        <v>1</v>
      </c>
      <c r="M411">
        <v>0</v>
      </c>
      <c r="N411">
        <v>0</v>
      </c>
      <c r="O411">
        <v>1</v>
      </c>
      <c r="P411">
        <v>0</v>
      </c>
      <c r="Q411">
        <v>1</v>
      </c>
      <c r="R411">
        <v>0</v>
      </c>
      <c r="S411">
        <v>0</v>
      </c>
      <c r="T411">
        <v>0</v>
      </c>
      <c r="U411">
        <v>0</v>
      </c>
      <c r="V411">
        <v>0</v>
      </c>
    </row>
    <row r="412" spans="1:22" x14ac:dyDescent="0.2">
      <c r="A412" t="s">
        <v>719</v>
      </c>
      <c r="B412" t="s">
        <v>108</v>
      </c>
      <c r="C412" t="s">
        <v>41</v>
      </c>
      <c r="D412" t="s">
        <v>61</v>
      </c>
      <c r="E412" t="s">
        <v>442</v>
      </c>
      <c r="F412" t="s">
        <v>65</v>
      </c>
      <c r="G412" t="s">
        <v>47</v>
      </c>
      <c r="H412" t="s">
        <v>48</v>
      </c>
      <c r="I412">
        <v>0</v>
      </c>
      <c r="J412">
        <v>1</v>
      </c>
      <c r="K412">
        <v>1</v>
      </c>
      <c r="L412">
        <v>1</v>
      </c>
      <c r="M412">
        <v>0</v>
      </c>
      <c r="N412">
        <v>0</v>
      </c>
      <c r="O412">
        <v>1</v>
      </c>
      <c r="P412">
        <v>0</v>
      </c>
      <c r="Q412">
        <v>1</v>
      </c>
      <c r="R412">
        <v>0</v>
      </c>
      <c r="S412">
        <v>0</v>
      </c>
      <c r="T412">
        <v>0</v>
      </c>
      <c r="U412">
        <v>0</v>
      </c>
      <c r="V412">
        <v>0</v>
      </c>
    </row>
    <row r="413" spans="1:22" x14ac:dyDescent="0.2">
      <c r="A413" t="s">
        <v>719</v>
      </c>
      <c r="B413" t="s">
        <v>108</v>
      </c>
      <c r="C413" t="s">
        <v>41</v>
      </c>
      <c r="D413" t="s">
        <v>42</v>
      </c>
      <c r="E413" t="s">
        <v>442</v>
      </c>
      <c r="F413" t="s">
        <v>47</v>
      </c>
      <c r="G413" t="s">
        <v>65</v>
      </c>
      <c r="H413" t="s">
        <v>48</v>
      </c>
      <c r="I413">
        <v>0</v>
      </c>
      <c r="J413">
        <v>1</v>
      </c>
      <c r="K413">
        <v>1</v>
      </c>
      <c r="L413">
        <v>1</v>
      </c>
      <c r="M413">
        <v>0</v>
      </c>
      <c r="N413">
        <v>0</v>
      </c>
      <c r="O413">
        <v>1</v>
      </c>
      <c r="P413">
        <v>0</v>
      </c>
      <c r="Q413">
        <v>1</v>
      </c>
      <c r="R413">
        <v>0</v>
      </c>
      <c r="S413">
        <v>1</v>
      </c>
      <c r="T413">
        <v>0</v>
      </c>
      <c r="U413">
        <v>0</v>
      </c>
      <c r="V413">
        <v>0</v>
      </c>
    </row>
    <row r="414" spans="1:22" x14ac:dyDescent="0.2">
      <c r="A414" t="s">
        <v>722</v>
      </c>
      <c r="B414" t="s">
        <v>33</v>
      </c>
      <c r="C414" t="s">
        <v>41</v>
      </c>
      <c r="D414" t="s">
        <v>49</v>
      </c>
      <c r="E414" t="s">
        <v>442</v>
      </c>
      <c r="F414" t="s">
        <v>47</v>
      </c>
      <c r="G414" t="s">
        <v>65</v>
      </c>
      <c r="H414" t="s">
        <v>59</v>
      </c>
      <c r="I414">
        <v>0</v>
      </c>
      <c r="J414">
        <v>1</v>
      </c>
      <c r="K414">
        <v>0</v>
      </c>
      <c r="L414">
        <v>1</v>
      </c>
      <c r="M414">
        <v>0</v>
      </c>
      <c r="N414">
        <v>0</v>
      </c>
      <c r="O414">
        <v>1</v>
      </c>
      <c r="P414">
        <v>0</v>
      </c>
      <c r="Q414">
        <v>1</v>
      </c>
      <c r="R414">
        <v>0</v>
      </c>
      <c r="S414">
        <v>0</v>
      </c>
      <c r="T414">
        <v>0</v>
      </c>
      <c r="U414">
        <v>0</v>
      </c>
      <c r="V414">
        <v>0</v>
      </c>
    </row>
    <row r="415" spans="1:22" x14ac:dyDescent="0.2">
      <c r="A415" t="s">
        <v>723</v>
      </c>
      <c r="B415" t="s">
        <v>33</v>
      </c>
      <c r="C415" t="s">
        <v>41</v>
      </c>
      <c r="D415" t="s">
        <v>67</v>
      </c>
      <c r="E415" t="s">
        <v>442</v>
      </c>
      <c r="F415" t="s">
        <v>47</v>
      </c>
      <c r="G415" t="s">
        <v>65</v>
      </c>
      <c r="H415" t="s">
        <v>48</v>
      </c>
      <c r="I415">
        <v>0</v>
      </c>
      <c r="J415">
        <v>1</v>
      </c>
      <c r="K415">
        <v>1</v>
      </c>
      <c r="L415">
        <v>1</v>
      </c>
      <c r="M415">
        <v>0</v>
      </c>
      <c r="N415">
        <v>0</v>
      </c>
      <c r="O415">
        <v>1</v>
      </c>
      <c r="P415">
        <v>0</v>
      </c>
      <c r="Q415">
        <v>1</v>
      </c>
      <c r="R415">
        <v>1</v>
      </c>
      <c r="S415">
        <v>1</v>
      </c>
      <c r="T415">
        <v>0</v>
      </c>
      <c r="U415">
        <v>0</v>
      </c>
      <c r="V415">
        <v>0</v>
      </c>
    </row>
    <row r="416" spans="1:22" x14ac:dyDescent="0.2">
      <c r="A416" t="s">
        <v>723</v>
      </c>
      <c r="B416" t="s">
        <v>33</v>
      </c>
      <c r="C416" t="s">
        <v>41</v>
      </c>
      <c r="D416" t="s">
        <v>61</v>
      </c>
      <c r="E416" t="s">
        <v>442</v>
      </c>
      <c r="F416" t="s">
        <v>65</v>
      </c>
      <c r="G416" t="s">
        <v>46</v>
      </c>
      <c r="H416" t="s">
        <v>60</v>
      </c>
      <c r="I416">
        <v>1</v>
      </c>
      <c r="J416">
        <v>1</v>
      </c>
      <c r="K416">
        <v>0</v>
      </c>
      <c r="L416">
        <v>0</v>
      </c>
      <c r="M416">
        <v>1</v>
      </c>
      <c r="N416">
        <v>0</v>
      </c>
      <c r="O416">
        <v>1</v>
      </c>
      <c r="P416">
        <v>0</v>
      </c>
      <c r="Q416">
        <v>1</v>
      </c>
      <c r="R416">
        <v>0</v>
      </c>
      <c r="S416">
        <v>0</v>
      </c>
      <c r="T416">
        <v>1</v>
      </c>
      <c r="U416">
        <v>0</v>
      </c>
      <c r="V416">
        <v>0</v>
      </c>
    </row>
    <row r="417" spans="1:22" x14ac:dyDescent="0.2">
      <c r="A417" t="s">
        <v>723</v>
      </c>
      <c r="B417" t="s">
        <v>33</v>
      </c>
      <c r="C417" t="s">
        <v>41</v>
      </c>
      <c r="D417" t="s">
        <v>42</v>
      </c>
      <c r="E417" t="s">
        <v>442</v>
      </c>
      <c r="F417" t="s">
        <v>47</v>
      </c>
      <c r="G417" t="s">
        <v>65</v>
      </c>
      <c r="H417" t="s">
        <v>48</v>
      </c>
      <c r="I417">
        <v>0</v>
      </c>
      <c r="J417">
        <v>1</v>
      </c>
      <c r="K417">
        <v>1</v>
      </c>
      <c r="L417">
        <v>1</v>
      </c>
      <c r="M417">
        <v>0</v>
      </c>
      <c r="N417">
        <v>0</v>
      </c>
      <c r="O417">
        <v>1</v>
      </c>
      <c r="P417">
        <v>0</v>
      </c>
      <c r="Q417">
        <v>1</v>
      </c>
      <c r="R417">
        <v>1</v>
      </c>
      <c r="S417">
        <v>1</v>
      </c>
      <c r="T417">
        <v>0</v>
      </c>
      <c r="U417">
        <v>0</v>
      </c>
      <c r="V417">
        <v>0</v>
      </c>
    </row>
    <row r="418" spans="1:22" x14ac:dyDescent="0.2">
      <c r="A418" t="s">
        <v>723</v>
      </c>
      <c r="B418" t="s">
        <v>33</v>
      </c>
      <c r="C418" t="s">
        <v>41</v>
      </c>
      <c r="D418" t="s">
        <v>49</v>
      </c>
      <c r="E418" t="s">
        <v>442</v>
      </c>
      <c r="F418" t="s">
        <v>48</v>
      </c>
      <c r="G418" t="s">
        <v>46</v>
      </c>
      <c r="H418" t="s">
        <v>65</v>
      </c>
      <c r="I418">
        <v>0</v>
      </c>
      <c r="J418">
        <v>1</v>
      </c>
      <c r="K418">
        <v>1</v>
      </c>
      <c r="L418">
        <v>0</v>
      </c>
      <c r="M418">
        <v>1</v>
      </c>
      <c r="N418">
        <v>0</v>
      </c>
      <c r="O418">
        <v>1</v>
      </c>
      <c r="P418">
        <v>0</v>
      </c>
      <c r="Q418">
        <v>1</v>
      </c>
      <c r="R418">
        <v>1</v>
      </c>
      <c r="S418">
        <v>0</v>
      </c>
      <c r="T418">
        <v>1</v>
      </c>
      <c r="U418">
        <v>0</v>
      </c>
      <c r="V418">
        <v>0</v>
      </c>
    </row>
    <row r="419" spans="1:22" x14ac:dyDescent="0.2">
      <c r="A419" t="s">
        <v>725</v>
      </c>
      <c r="B419" t="s">
        <v>108</v>
      </c>
      <c r="C419" t="s">
        <v>41</v>
      </c>
      <c r="D419" t="s">
        <v>72</v>
      </c>
      <c r="E419" t="s">
        <v>442</v>
      </c>
      <c r="F419" t="s">
        <v>47</v>
      </c>
      <c r="G419" t="s">
        <v>46</v>
      </c>
      <c r="H419" t="s">
        <v>65</v>
      </c>
      <c r="I419">
        <v>0</v>
      </c>
      <c r="J419">
        <v>1</v>
      </c>
      <c r="K419">
        <v>0</v>
      </c>
      <c r="L419">
        <v>1</v>
      </c>
      <c r="M419">
        <v>1</v>
      </c>
      <c r="N419">
        <v>0</v>
      </c>
      <c r="O419">
        <v>1</v>
      </c>
      <c r="P419">
        <v>0</v>
      </c>
      <c r="Q419">
        <v>1</v>
      </c>
      <c r="R419">
        <v>0</v>
      </c>
      <c r="S419">
        <v>0</v>
      </c>
      <c r="T419">
        <v>0</v>
      </c>
      <c r="U419">
        <v>0</v>
      </c>
      <c r="V419">
        <v>0</v>
      </c>
    </row>
    <row r="420" spans="1:22" x14ac:dyDescent="0.2">
      <c r="A420" t="s">
        <v>725</v>
      </c>
      <c r="B420" t="s">
        <v>108</v>
      </c>
      <c r="C420" t="s">
        <v>41</v>
      </c>
      <c r="D420" t="s">
        <v>55</v>
      </c>
      <c r="E420" t="s">
        <v>442</v>
      </c>
      <c r="F420" t="s">
        <v>65</v>
      </c>
      <c r="G420" t="s">
        <v>48</v>
      </c>
      <c r="H420" t="s">
        <v>60</v>
      </c>
      <c r="I420">
        <v>1</v>
      </c>
      <c r="J420">
        <v>1</v>
      </c>
      <c r="K420">
        <v>1</v>
      </c>
      <c r="L420">
        <v>0</v>
      </c>
      <c r="M420">
        <v>0</v>
      </c>
      <c r="N420">
        <v>0</v>
      </c>
      <c r="O420">
        <v>1</v>
      </c>
      <c r="P420">
        <v>0</v>
      </c>
      <c r="Q420">
        <v>1</v>
      </c>
      <c r="R420">
        <v>0</v>
      </c>
      <c r="S420">
        <v>0</v>
      </c>
      <c r="T420">
        <v>0</v>
      </c>
      <c r="U420">
        <v>0</v>
      </c>
      <c r="V420">
        <v>0</v>
      </c>
    </row>
    <row r="421" spans="1:22" x14ac:dyDescent="0.2">
      <c r="A421" t="s">
        <v>725</v>
      </c>
      <c r="B421" t="s">
        <v>108</v>
      </c>
      <c r="C421" t="s">
        <v>41</v>
      </c>
      <c r="D421" t="s">
        <v>42</v>
      </c>
      <c r="E421" t="s">
        <v>442</v>
      </c>
      <c r="F421" t="s">
        <v>65</v>
      </c>
      <c r="G421" t="s">
        <v>47</v>
      </c>
      <c r="H421" t="s">
        <v>60</v>
      </c>
      <c r="I421">
        <v>1</v>
      </c>
      <c r="J421">
        <v>1</v>
      </c>
      <c r="K421">
        <v>0</v>
      </c>
      <c r="L421">
        <v>1</v>
      </c>
      <c r="M421">
        <v>0</v>
      </c>
      <c r="N421">
        <v>0</v>
      </c>
      <c r="O421">
        <v>1</v>
      </c>
      <c r="P421">
        <v>1</v>
      </c>
      <c r="Q421">
        <v>1</v>
      </c>
      <c r="R421">
        <v>0</v>
      </c>
      <c r="S421">
        <v>1</v>
      </c>
      <c r="T421">
        <v>0</v>
      </c>
      <c r="U421">
        <v>0</v>
      </c>
      <c r="V421">
        <v>0</v>
      </c>
    </row>
    <row r="422" spans="1:22" x14ac:dyDescent="0.2">
      <c r="A422" t="s">
        <v>729</v>
      </c>
      <c r="B422" t="s">
        <v>108</v>
      </c>
      <c r="C422" t="s">
        <v>41</v>
      </c>
      <c r="D422" t="s">
        <v>61</v>
      </c>
      <c r="E422" t="s">
        <v>442</v>
      </c>
      <c r="F422" t="s">
        <v>48</v>
      </c>
      <c r="G422" t="s">
        <v>46</v>
      </c>
      <c r="H422" t="s">
        <v>65</v>
      </c>
      <c r="I422">
        <v>0</v>
      </c>
      <c r="J422">
        <v>1</v>
      </c>
      <c r="K422">
        <v>1</v>
      </c>
      <c r="L422">
        <v>0</v>
      </c>
      <c r="M422">
        <v>1</v>
      </c>
      <c r="N422">
        <v>0</v>
      </c>
      <c r="O422">
        <v>1</v>
      </c>
      <c r="P422">
        <v>0</v>
      </c>
      <c r="Q422">
        <v>1</v>
      </c>
      <c r="R422">
        <v>1</v>
      </c>
      <c r="S422">
        <v>0</v>
      </c>
      <c r="T422">
        <v>1</v>
      </c>
      <c r="U422">
        <v>0</v>
      </c>
      <c r="V422">
        <v>0</v>
      </c>
    </row>
    <row r="423" spans="1:22" x14ac:dyDescent="0.2">
      <c r="A423" t="s">
        <v>729</v>
      </c>
      <c r="B423" t="s">
        <v>108</v>
      </c>
      <c r="C423" t="s">
        <v>41</v>
      </c>
      <c r="D423" t="s">
        <v>42</v>
      </c>
      <c r="E423" t="s">
        <v>442</v>
      </c>
      <c r="F423" t="s">
        <v>59</v>
      </c>
      <c r="G423" t="s">
        <v>47</v>
      </c>
      <c r="H423" t="s">
        <v>65</v>
      </c>
      <c r="I423">
        <v>0</v>
      </c>
      <c r="J423">
        <v>1</v>
      </c>
      <c r="K423">
        <v>0</v>
      </c>
      <c r="L423">
        <v>1</v>
      </c>
      <c r="M423">
        <v>0</v>
      </c>
      <c r="N423">
        <v>0</v>
      </c>
      <c r="O423">
        <v>1</v>
      </c>
      <c r="P423">
        <v>0</v>
      </c>
      <c r="Q423">
        <v>1</v>
      </c>
      <c r="R423">
        <v>0</v>
      </c>
      <c r="S423">
        <v>1</v>
      </c>
      <c r="T423">
        <v>0</v>
      </c>
      <c r="U423">
        <v>0</v>
      </c>
      <c r="V423">
        <v>0</v>
      </c>
    </row>
    <row r="424" spans="1:22" x14ac:dyDescent="0.2">
      <c r="A424" t="s">
        <v>729</v>
      </c>
      <c r="B424" t="s">
        <v>108</v>
      </c>
      <c r="C424" t="s">
        <v>41</v>
      </c>
      <c r="D424" t="s">
        <v>67</v>
      </c>
      <c r="E424" t="s">
        <v>442</v>
      </c>
      <c r="F424" t="s">
        <v>48</v>
      </c>
      <c r="G424" t="s">
        <v>65</v>
      </c>
      <c r="H424" t="s">
        <v>46</v>
      </c>
      <c r="I424">
        <v>0</v>
      </c>
      <c r="J424">
        <v>1</v>
      </c>
      <c r="K424">
        <v>1</v>
      </c>
      <c r="L424">
        <v>0</v>
      </c>
      <c r="M424">
        <v>1</v>
      </c>
      <c r="N424">
        <v>0</v>
      </c>
      <c r="O424">
        <v>1</v>
      </c>
      <c r="P424">
        <v>0</v>
      </c>
      <c r="Q424">
        <v>1</v>
      </c>
      <c r="R424">
        <v>0</v>
      </c>
      <c r="S424">
        <v>0</v>
      </c>
      <c r="T424">
        <v>0</v>
      </c>
      <c r="U424">
        <v>0</v>
      </c>
      <c r="V424">
        <v>0</v>
      </c>
    </row>
    <row r="425" spans="1:22" x14ac:dyDescent="0.2">
      <c r="A425" t="s">
        <v>729</v>
      </c>
      <c r="B425" t="s">
        <v>108</v>
      </c>
      <c r="C425" t="s">
        <v>41</v>
      </c>
      <c r="D425" t="s">
        <v>55</v>
      </c>
      <c r="E425" t="s">
        <v>442</v>
      </c>
      <c r="F425" t="s">
        <v>48</v>
      </c>
      <c r="G425" t="s">
        <v>59</v>
      </c>
      <c r="H425" t="s">
        <v>65</v>
      </c>
      <c r="I425">
        <v>0</v>
      </c>
      <c r="J425">
        <v>1</v>
      </c>
      <c r="K425">
        <v>1</v>
      </c>
      <c r="L425">
        <v>0</v>
      </c>
      <c r="M425">
        <v>0</v>
      </c>
      <c r="N425">
        <v>0</v>
      </c>
      <c r="O425">
        <v>1</v>
      </c>
      <c r="P425">
        <v>0</v>
      </c>
      <c r="Q425">
        <v>1</v>
      </c>
      <c r="R425">
        <v>0</v>
      </c>
      <c r="S425">
        <v>0</v>
      </c>
      <c r="T425">
        <v>0</v>
      </c>
      <c r="U425">
        <v>0</v>
      </c>
      <c r="V425">
        <v>0</v>
      </c>
    </row>
    <row r="426" spans="1:22" x14ac:dyDescent="0.2">
      <c r="A426" t="s">
        <v>729</v>
      </c>
      <c r="B426" t="s">
        <v>108</v>
      </c>
      <c r="C426" t="s">
        <v>41</v>
      </c>
      <c r="D426" t="s">
        <v>49</v>
      </c>
      <c r="E426" t="s">
        <v>442</v>
      </c>
      <c r="F426" t="s">
        <v>48</v>
      </c>
      <c r="G426" t="s">
        <v>46</v>
      </c>
      <c r="H426" t="s">
        <v>65</v>
      </c>
      <c r="I426">
        <v>0</v>
      </c>
      <c r="J426">
        <v>1</v>
      </c>
      <c r="K426">
        <v>1</v>
      </c>
      <c r="L426">
        <v>0</v>
      </c>
      <c r="M426">
        <v>1</v>
      </c>
      <c r="N426">
        <v>0</v>
      </c>
      <c r="O426">
        <v>1</v>
      </c>
      <c r="P426">
        <v>0</v>
      </c>
      <c r="Q426">
        <v>1</v>
      </c>
      <c r="R426">
        <v>0</v>
      </c>
      <c r="S426">
        <v>0</v>
      </c>
      <c r="T426">
        <v>0</v>
      </c>
      <c r="U426">
        <v>0</v>
      </c>
      <c r="V426">
        <v>0</v>
      </c>
    </row>
    <row r="427" spans="1:22" x14ac:dyDescent="0.2">
      <c r="A427" t="s">
        <v>732</v>
      </c>
      <c r="B427" t="s">
        <v>108</v>
      </c>
      <c r="C427" t="s">
        <v>41</v>
      </c>
      <c r="D427" t="s">
        <v>61</v>
      </c>
      <c r="E427" t="s">
        <v>442</v>
      </c>
      <c r="F427" t="s">
        <v>46</v>
      </c>
      <c r="G427" t="s">
        <v>47</v>
      </c>
      <c r="H427" t="s">
        <v>65</v>
      </c>
      <c r="I427">
        <v>0</v>
      </c>
      <c r="J427">
        <v>1</v>
      </c>
      <c r="K427">
        <v>0</v>
      </c>
      <c r="L427">
        <v>1</v>
      </c>
      <c r="M427">
        <v>1</v>
      </c>
      <c r="N427">
        <v>0</v>
      </c>
      <c r="O427">
        <v>1</v>
      </c>
      <c r="P427">
        <v>0</v>
      </c>
      <c r="Q427">
        <v>1</v>
      </c>
      <c r="R427">
        <v>0</v>
      </c>
      <c r="S427">
        <v>0</v>
      </c>
      <c r="T427">
        <v>0</v>
      </c>
      <c r="U427">
        <v>0</v>
      </c>
      <c r="V427">
        <v>0</v>
      </c>
    </row>
    <row r="428" spans="1:22" x14ac:dyDescent="0.2">
      <c r="A428" t="s">
        <v>732</v>
      </c>
      <c r="B428" t="s">
        <v>108</v>
      </c>
      <c r="C428" t="s">
        <v>41</v>
      </c>
      <c r="D428" t="s">
        <v>55</v>
      </c>
      <c r="E428" t="s">
        <v>442</v>
      </c>
      <c r="F428" t="s">
        <v>46</v>
      </c>
      <c r="G428" t="s">
        <v>47</v>
      </c>
      <c r="H428" t="s">
        <v>65</v>
      </c>
      <c r="I428">
        <v>0</v>
      </c>
      <c r="J428">
        <v>1</v>
      </c>
      <c r="K428">
        <v>0</v>
      </c>
      <c r="L428">
        <v>1</v>
      </c>
      <c r="M428">
        <v>1</v>
      </c>
      <c r="N428">
        <v>0</v>
      </c>
      <c r="O428">
        <v>1</v>
      </c>
      <c r="P428">
        <v>0</v>
      </c>
      <c r="Q428">
        <v>1</v>
      </c>
      <c r="R428">
        <v>0</v>
      </c>
      <c r="S428">
        <v>0</v>
      </c>
      <c r="T428">
        <v>0</v>
      </c>
      <c r="U428">
        <v>0</v>
      </c>
      <c r="V428">
        <v>0</v>
      </c>
    </row>
    <row r="429" spans="1:22" x14ac:dyDescent="0.2">
      <c r="A429" t="s">
        <v>732</v>
      </c>
      <c r="B429" t="s">
        <v>108</v>
      </c>
      <c r="C429" t="s">
        <v>41</v>
      </c>
      <c r="D429" t="s">
        <v>67</v>
      </c>
      <c r="E429" t="s">
        <v>442</v>
      </c>
      <c r="F429" t="s">
        <v>48</v>
      </c>
      <c r="G429" t="s">
        <v>65</v>
      </c>
      <c r="H429" t="s">
        <v>47</v>
      </c>
      <c r="I429">
        <v>0</v>
      </c>
      <c r="J429">
        <v>1</v>
      </c>
      <c r="K429">
        <v>1</v>
      </c>
      <c r="L429">
        <v>1</v>
      </c>
      <c r="M429">
        <v>0</v>
      </c>
      <c r="N429">
        <v>0</v>
      </c>
      <c r="O429">
        <v>1</v>
      </c>
      <c r="P429">
        <v>0</v>
      </c>
      <c r="Q429">
        <v>1</v>
      </c>
      <c r="R429">
        <v>0</v>
      </c>
      <c r="S429">
        <v>0</v>
      </c>
      <c r="T429">
        <v>0</v>
      </c>
      <c r="U429">
        <v>0</v>
      </c>
      <c r="V429">
        <v>0</v>
      </c>
    </row>
    <row r="430" spans="1:22" x14ac:dyDescent="0.2">
      <c r="A430" t="s">
        <v>732</v>
      </c>
      <c r="B430" t="s">
        <v>108</v>
      </c>
      <c r="C430" t="s">
        <v>41</v>
      </c>
      <c r="D430" t="s">
        <v>42</v>
      </c>
      <c r="E430" t="s">
        <v>442</v>
      </c>
      <c r="F430" t="s">
        <v>65</v>
      </c>
      <c r="G430" t="s">
        <v>46</v>
      </c>
      <c r="H430" t="s">
        <v>48</v>
      </c>
      <c r="I430">
        <v>0</v>
      </c>
      <c r="J430">
        <v>1</v>
      </c>
      <c r="K430">
        <v>1</v>
      </c>
      <c r="L430">
        <v>0</v>
      </c>
      <c r="M430">
        <v>1</v>
      </c>
      <c r="N430">
        <v>0</v>
      </c>
      <c r="O430">
        <v>1</v>
      </c>
      <c r="P430">
        <v>0</v>
      </c>
      <c r="Q430">
        <v>1</v>
      </c>
      <c r="R430">
        <v>0</v>
      </c>
      <c r="S430">
        <v>0</v>
      </c>
      <c r="T430">
        <v>0</v>
      </c>
      <c r="U430">
        <v>0</v>
      </c>
      <c r="V430">
        <v>0</v>
      </c>
    </row>
    <row r="431" spans="1:22" x14ac:dyDescent="0.2">
      <c r="A431" t="s">
        <v>738</v>
      </c>
      <c r="B431" t="s">
        <v>108</v>
      </c>
      <c r="C431" t="s">
        <v>41</v>
      </c>
      <c r="D431" t="s">
        <v>42</v>
      </c>
      <c r="E431" t="s">
        <v>442</v>
      </c>
      <c r="F431" t="s">
        <v>47</v>
      </c>
      <c r="G431" t="s">
        <v>46</v>
      </c>
      <c r="H431" t="s">
        <v>65</v>
      </c>
      <c r="I431">
        <v>0</v>
      </c>
      <c r="J431">
        <v>1</v>
      </c>
      <c r="K431">
        <v>0</v>
      </c>
      <c r="L431">
        <v>1</v>
      </c>
      <c r="M431">
        <v>1</v>
      </c>
      <c r="N431">
        <v>0</v>
      </c>
      <c r="O431">
        <v>1</v>
      </c>
      <c r="P431">
        <v>0</v>
      </c>
      <c r="Q431">
        <v>1</v>
      </c>
      <c r="R431">
        <v>0</v>
      </c>
      <c r="S431">
        <v>1</v>
      </c>
      <c r="T431">
        <v>1</v>
      </c>
      <c r="U431">
        <v>0</v>
      </c>
      <c r="V431">
        <v>0</v>
      </c>
    </row>
    <row r="432" spans="1:22" x14ac:dyDescent="0.2">
      <c r="A432" t="s">
        <v>738</v>
      </c>
      <c r="B432" t="s">
        <v>108</v>
      </c>
      <c r="C432" t="s">
        <v>41</v>
      </c>
      <c r="D432" t="s">
        <v>49</v>
      </c>
      <c r="E432" t="s">
        <v>442</v>
      </c>
      <c r="F432" t="s">
        <v>59</v>
      </c>
      <c r="G432" t="s">
        <v>65</v>
      </c>
      <c r="H432" t="s">
        <v>46</v>
      </c>
      <c r="I432">
        <v>0</v>
      </c>
      <c r="J432">
        <v>1</v>
      </c>
      <c r="K432">
        <v>0</v>
      </c>
      <c r="L432">
        <v>0</v>
      </c>
      <c r="M432">
        <v>1</v>
      </c>
      <c r="N432">
        <v>0</v>
      </c>
      <c r="O432">
        <v>1</v>
      </c>
      <c r="P432">
        <v>0</v>
      </c>
      <c r="Q432">
        <v>1</v>
      </c>
      <c r="R432">
        <v>0</v>
      </c>
      <c r="S432">
        <v>0</v>
      </c>
      <c r="T432">
        <v>0</v>
      </c>
      <c r="U432">
        <v>0</v>
      </c>
      <c r="V432">
        <v>0</v>
      </c>
    </row>
    <row r="433" spans="1:22" x14ac:dyDescent="0.2">
      <c r="A433" t="s">
        <v>738</v>
      </c>
      <c r="B433" t="s">
        <v>108</v>
      </c>
      <c r="C433" t="s">
        <v>41</v>
      </c>
      <c r="D433" t="s">
        <v>67</v>
      </c>
      <c r="E433" t="s">
        <v>442</v>
      </c>
      <c r="F433" t="s">
        <v>46</v>
      </c>
      <c r="G433" t="s">
        <v>65</v>
      </c>
      <c r="H433" t="s">
        <v>59</v>
      </c>
      <c r="I433">
        <v>0</v>
      </c>
      <c r="J433">
        <v>1</v>
      </c>
      <c r="K433">
        <v>0</v>
      </c>
      <c r="L433">
        <v>0</v>
      </c>
      <c r="M433">
        <v>1</v>
      </c>
      <c r="N433">
        <v>0</v>
      </c>
      <c r="O433">
        <v>1</v>
      </c>
      <c r="P433">
        <v>0</v>
      </c>
      <c r="Q433">
        <v>1</v>
      </c>
      <c r="R433">
        <v>0</v>
      </c>
      <c r="S433">
        <v>0</v>
      </c>
      <c r="T433">
        <v>0</v>
      </c>
      <c r="U433">
        <v>0</v>
      </c>
      <c r="V433">
        <v>0</v>
      </c>
    </row>
  </sheetData>
  <pageMargins left="0.7" right="0.7" top="0.75" bottom="0.75"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T35"/>
  <sheetViews>
    <sheetView topLeftCell="D26" zoomScale="150" workbookViewId="0">
      <selection activeCell="H49" sqref="H49"/>
    </sheetView>
  </sheetViews>
  <sheetFormatPr baseColWidth="10" defaultRowHeight="16" x14ac:dyDescent="0.2"/>
  <cols>
    <col min="1" max="1" width="31.5" bestFit="1" customWidth="1"/>
    <col min="2" max="2" width="15.5" bestFit="1" customWidth="1"/>
    <col min="3" max="3" width="7.33203125" bestFit="1" customWidth="1"/>
    <col min="4" max="4" width="14.83203125" bestFit="1" customWidth="1"/>
    <col min="5" max="5" width="12.6640625" bestFit="1" customWidth="1"/>
    <col min="6" max="6" width="7.33203125" bestFit="1" customWidth="1"/>
    <col min="7" max="7" width="15.1640625" bestFit="1" customWidth="1"/>
    <col min="8" max="8" width="13.1640625" bestFit="1" customWidth="1"/>
    <col min="9" max="9" width="7.33203125" bestFit="1" customWidth="1"/>
    <col min="10" max="10" width="15.6640625" bestFit="1" customWidth="1"/>
    <col min="11" max="11" width="10.6640625" bestFit="1" customWidth="1"/>
    <col min="12" max="12" width="7.33203125" bestFit="1" customWidth="1"/>
    <col min="13" max="13" width="13.1640625" bestFit="1" customWidth="1"/>
    <col min="14" max="14" width="12.1640625" bestFit="1" customWidth="1"/>
    <col min="15" max="15" width="7.33203125" bestFit="1" customWidth="1"/>
    <col min="16" max="16" width="14.6640625" bestFit="1" customWidth="1"/>
    <col min="17" max="17" width="11.1640625" bestFit="1" customWidth="1"/>
    <col min="18" max="18" width="7.33203125" bestFit="1" customWidth="1"/>
    <col min="19" max="19" width="13.6640625" bestFit="1" customWidth="1"/>
    <col min="20" max="20" width="10.83203125" bestFit="1" customWidth="1"/>
    <col min="21" max="21" width="14.83203125" bestFit="1" customWidth="1"/>
    <col min="22" max="23" width="12.6640625" bestFit="1" customWidth="1"/>
    <col min="24" max="24" width="15.1640625" bestFit="1" customWidth="1"/>
    <col min="25" max="26" width="13.1640625" bestFit="1" customWidth="1"/>
    <col min="27" max="27" width="15.6640625" bestFit="1" customWidth="1"/>
    <col min="28" max="29" width="10.6640625" bestFit="1" customWidth="1"/>
    <col min="30" max="30" width="13.1640625" bestFit="1" customWidth="1"/>
    <col min="31" max="32" width="12.1640625" bestFit="1" customWidth="1"/>
    <col min="33" max="33" width="14.6640625" bestFit="1" customWidth="1"/>
    <col min="34" max="35" width="11.1640625" bestFit="1" customWidth="1"/>
    <col min="36" max="36" width="13.6640625" bestFit="1" customWidth="1"/>
    <col min="37" max="38" width="27.6640625" bestFit="1" customWidth="1"/>
    <col min="39" max="39" width="14.83203125" bestFit="1" customWidth="1"/>
    <col min="40" max="41" width="12.6640625" bestFit="1" customWidth="1"/>
    <col min="42" max="42" width="15.1640625" bestFit="1" customWidth="1"/>
    <col min="43" max="44" width="13.1640625" bestFit="1" customWidth="1"/>
    <col min="45" max="45" width="15.6640625" bestFit="1" customWidth="1"/>
    <col min="46" max="47" width="10.6640625" bestFit="1" customWidth="1"/>
    <col min="48" max="48" width="13.1640625" bestFit="1" customWidth="1"/>
    <col min="49" max="50" width="12.1640625" bestFit="1" customWidth="1"/>
    <col min="51" max="51" width="14.6640625" bestFit="1" customWidth="1"/>
    <col min="52" max="53" width="11.1640625" bestFit="1" customWidth="1"/>
    <col min="54" max="54" width="13.6640625" bestFit="1" customWidth="1"/>
    <col min="55" max="56" width="29.6640625" bestFit="1" customWidth="1"/>
    <col min="57" max="57" width="14.83203125" bestFit="1" customWidth="1"/>
    <col min="58" max="59" width="12.6640625" bestFit="1" customWidth="1"/>
    <col min="60" max="60" width="15.1640625" bestFit="1" customWidth="1"/>
    <col min="61" max="62" width="13.1640625" bestFit="1" customWidth="1"/>
    <col min="63" max="63" width="15.6640625" bestFit="1" customWidth="1"/>
    <col min="64" max="65" width="10.6640625" bestFit="1" customWidth="1"/>
    <col min="66" max="66" width="13.1640625" bestFit="1" customWidth="1"/>
    <col min="67" max="68" width="12.1640625" bestFit="1" customWidth="1"/>
    <col min="69" max="69" width="14.6640625" bestFit="1" customWidth="1"/>
    <col min="70" max="71" width="11.1640625" bestFit="1" customWidth="1"/>
    <col min="72" max="72" width="13.6640625" bestFit="1" customWidth="1"/>
    <col min="73" max="74" width="29.1640625" bestFit="1" customWidth="1"/>
    <col min="75" max="75" width="14.83203125" bestFit="1" customWidth="1"/>
    <col min="76" max="77" width="12.6640625" bestFit="1" customWidth="1"/>
    <col min="78" max="78" width="15.1640625" bestFit="1" customWidth="1"/>
    <col min="79" max="80" width="13.1640625" bestFit="1" customWidth="1"/>
    <col min="81" max="81" width="15.6640625" bestFit="1" customWidth="1"/>
    <col min="82" max="83" width="10.6640625" bestFit="1" customWidth="1"/>
    <col min="84" max="84" width="13.1640625" bestFit="1" customWidth="1"/>
    <col min="85" max="86" width="12.1640625" bestFit="1" customWidth="1"/>
    <col min="87" max="87" width="14.6640625" bestFit="1" customWidth="1"/>
    <col min="88" max="89" width="11.1640625" bestFit="1" customWidth="1"/>
    <col min="90" max="90" width="13.6640625" bestFit="1" customWidth="1"/>
    <col min="91" max="92" width="22.6640625" bestFit="1" customWidth="1"/>
    <col min="93" max="93" width="14.83203125" bestFit="1" customWidth="1"/>
    <col min="94" max="95" width="12.6640625" bestFit="1" customWidth="1"/>
    <col min="96" max="96" width="15.1640625" bestFit="1" customWidth="1"/>
    <col min="97" max="98" width="13.1640625" bestFit="1" customWidth="1"/>
    <col min="99" max="99" width="15.6640625" bestFit="1" customWidth="1"/>
    <col min="100" max="101" width="10.6640625" bestFit="1" customWidth="1"/>
    <col min="102" max="102" width="13.1640625" bestFit="1" customWidth="1"/>
    <col min="103" max="104" width="12.1640625" bestFit="1" customWidth="1"/>
    <col min="105" max="105" width="14.6640625" bestFit="1" customWidth="1"/>
    <col min="106" max="107" width="11.1640625" bestFit="1" customWidth="1"/>
    <col min="108" max="108" width="13.6640625" bestFit="1" customWidth="1"/>
    <col min="109" max="110" width="25.33203125" bestFit="1" customWidth="1"/>
    <col min="111" max="111" width="14.83203125" bestFit="1" customWidth="1"/>
    <col min="112" max="113" width="12.6640625" bestFit="1" customWidth="1"/>
    <col min="114" max="114" width="15.1640625" bestFit="1" customWidth="1"/>
    <col min="115" max="116" width="13.1640625" bestFit="1" customWidth="1"/>
    <col min="117" max="117" width="15.6640625" bestFit="1" customWidth="1"/>
    <col min="118" max="119" width="10.6640625" bestFit="1" customWidth="1"/>
    <col min="120" max="120" width="13.1640625" bestFit="1" customWidth="1"/>
    <col min="121" max="122" width="12.1640625" bestFit="1" customWidth="1"/>
    <col min="123" max="123" width="14.6640625" bestFit="1" customWidth="1"/>
    <col min="124" max="125" width="11.1640625" bestFit="1" customWidth="1"/>
    <col min="126" max="126" width="13.6640625" bestFit="1" customWidth="1"/>
    <col min="127" max="128" width="23.5" bestFit="1" customWidth="1"/>
    <col min="129" max="129" width="14.83203125" bestFit="1" customWidth="1"/>
    <col min="130" max="131" width="12.6640625" bestFit="1" customWidth="1"/>
    <col min="132" max="132" width="15.1640625" bestFit="1" customWidth="1"/>
    <col min="133" max="134" width="13.1640625" bestFit="1" customWidth="1"/>
    <col min="135" max="135" width="15.6640625" bestFit="1" customWidth="1"/>
    <col min="136" max="137" width="10.6640625" bestFit="1" customWidth="1"/>
    <col min="138" max="138" width="13.1640625" bestFit="1" customWidth="1"/>
    <col min="139" max="140" width="12.1640625" bestFit="1" customWidth="1"/>
    <col min="141" max="141" width="14.6640625" bestFit="1" customWidth="1"/>
    <col min="142" max="143" width="11.1640625" bestFit="1" customWidth="1"/>
    <col min="144" max="144" width="13.6640625" bestFit="1" customWidth="1"/>
    <col min="145" max="146" width="30" bestFit="1" customWidth="1"/>
    <col min="147" max="147" width="14.83203125" bestFit="1" customWidth="1"/>
    <col min="148" max="149" width="12.6640625" bestFit="1" customWidth="1"/>
    <col min="150" max="150" width="15.1640625" bestFit="1" customWidth="1"/>
    <col min="151" max="152" width="13.1640625" bestFit="1" customWidth="1"/>
    <col min="153" max="153" width="15.6640625" bestFit="1" customWidth="1"/>
    <col min="154" max="155" width="10.6640625" bestFit="1" customWidth="1"/>
    <col min="156" max="156" width="13.1640625" bestFit="1" customWidth="1"/>
    <col min="157" max="158" width="12.1640625" bestFit="1" customWidth="1"/>
    <col min="159" max="159" width="14.6640625" bestFit="1" customWidth="1"/>
    <col min="160" max="161" width="11.1640625" bestFit="1" customWidth="1"/>
    <col min="162" max="162" width="13.6640625" bestFit="1" customWidth="1"/>
    <col min="163" max="164" width="29.5" bestFit="1" customWidth="1"/>
    <col min="165" max="165" width="14.83203125" bestFit="1" customWidth="1"/>
    <col min="166" max="167" width="12.6640625" bestFit="1" customWidth="1"/>
    <col min="168" max="168" width="15.1640625" bestFit="1" customWidth="1"/>
    <col min="169" max="170" width="13.1640625" bestFit="1" customWidth="1"/>
    <col min="171" max="171" width="15.6640625" bestFit="1" customWidth="1"/>
    <col min="172" max="173" width="10.6640625" bestFit="1" customWidth="1"/>
    <col min="174" max="174" width="13.1640625" bestFit="1" customWidth="1"/>
    <col min="175" max="176" width="12.1640625" bestFit="1" customWidth="1"/>
    <col min="177" max="177" width="14.6640625" bestFit="1" customWidth="1"/>
    <col min="178" max="179" width="11.1640625" bestFit="1" customWidth="1"/>
    <col min="180" max="180" width="13.6640625" bestFit="1" customWidth="1"/>
    <col min="181" max="182" width="31.5" bestFit="1" customWidth="1"/>
    <col min="183" max="183" width="14.83203125" bestFit="1" customWidth="1"/>
    <col min="184" max="185" width="12.6640625" bestFit="1" customWidth="1"/>
    <col min="186" max="186" width="15.1640625" bestFit="1" customWidth="1"/>
    <col min="187" max="188" width="13.1640625" bestFit="1" customWidth="1"/>
    <col min="189" max="189" width="15.6640625" bestFit="1" customWidth="1"/>
    <col min="190" max="191" width="10.6640625" bestFit="1" customWidth="1"/>
    <col min="192" max="192" width="13.1640625" bestFit="1" customWidth="1"/>
    <col min="193" max="194" width="12.1640625" bestFit="1" customWidth="1"/>
    <col min="195" max="195" width="14.6640625" bestFit="1" customWidth="1"/>
    <col min="196" max="197" width="11.1640625" bestFit="1" customWidth="1"/>
    <col min="198" max="198" width="13.6640625" bestFit="1" customWidth="1"/>
    <col min="199" max="200" width="31" bestFit="1" customWidth="1"/>
    <col min="201" max="201" width="14.83203125" bestFit="1" customWidth="1"/>
    <col min="202" max="203" width="12.6640625" bestFit="1" customWidth="1"/>
    <col min="204" max="204" width="15.1640625" bestFit="1" customWidth="1"/>
    <col min="205" max="206" width="13.1640625" bestFit="1" customWidth="1"/>
    <col min="207" max="207" width="15.6640625" bestFit="1" customWidth="1"/>
    <col min="208" max="209" width="10.6640625" bestFit="1" customWidth="1"/>
    <col min="210" max="210" width="13.1640625" bestFit="1" customWidth="1"/>
    <col min="211" max="212" width="12.1640625" bestFit="1" customWidth="1"/>
    <col min="213" max="213" width="14.6640625" bestFit="1" customWidth="1"/>
    <col min="214" max="215" width="11.1640625" bestFit="1" customWidth="1"/>
    <col min="216" max="216" width="13.6640625" bestFit="1" customWidth="1"/>
    <col min="217" max="218" width="24.5" bestFit="1" customWidth="1"/>
    <col min="219" max="219" width="14.83203125" bestFit="1" customWidth="1"/>
    <col min="220" max="221" width="12.6640625" bestFit="1" customWidth="1"/>
    <col min="222" max="222" width="15.1640625" bestFit="1" customWidth="1"/>
    <col min="223" max="224" width="13.1640625" bestFit="1" customWidth="1"/>
    <col min="225" max="225" width="15.6640625" bestFit="1" customWidth="1"/>
    <col min="226" max="227" width="10.6640625" bestFit="1" customWidth="1"/>
    <col min="228" max="228" width="13.1640625" bestFit="1" customWidth="1"/>
    <col min="229" max="230" width="12.1640625" bestFit="1" customWidth="1"/>
    <col min="231" max="231" width="14.6640625" bestFit="1" customWidth="1"/>
    <col min="232" max="233" width="11.1640625" bestFit="1" customWidth="1"/>
    <col min="234" max="234" width="13.6640625" bestFit="1" customWidth="1"/>
    <col min="235" max="236" width="27.33203125" bestFit="1" customWidth="1"/>
    <col min="237" max="237" width="14.83203125" bestFit="1" customWidth="1"/>
    <col min="238" max="239" width="12.6640625" bestFit="1" customWidth="1"/>
    <col min="240" max="240" width="15.1640625" bestFit="1" customWidth="1"/>
    <col min="241" max="242" width="13.1640625" bestFit="1" customWidth="1"/>
    <col min="243" max="243" width="15.6640625" bestFit="1" customWidth="1"/>
    <col min="244" max="245" width="10.6640625" bestFit="1" customWidth="1"/>
    <col min="246" max="246" width="13.1640625" bestFit="1" customWidth="1"/>
    <col min="247" max="248" width="12.1640625" bestFit="1" customWidth="1"/>
    <col min="249" max="249" width="14.6640625" bestFit="1" customWidth="1"/>
    <col min="250" max="251" width="11.1640625" bestFit="1" customWidth="1"/>
    <col min="252" max="252" width="13.6640625" bestFit="1" customWidth="1"/>
    <col min="253" max="253" width="26.33203125" bestFit="1" customWidth="1"/>
    <col min="254" max="254" width="33" bestFit="1" customWidth="1"/>
    <col min="255" max="255" width="32.5" bestFit="1" customWidth="1"/>
    <col min="256" max="256" width="34.5" bestFit="1" customWidth="1"/>
    <col min="257" max="257" width="34" bestFit="1" customWidth="1"/>
    <col min="258" max="258" width="27.5" bestFit="1" customWidth="1"/>
    <col min="259" max="259" width="30.1640625" bestFit="1" customWidth="1"/>
    <col min="260" max="260" width="28.33203125" bestFit="1" customWidth="1"/>
    <col min="261" max="261" width="34.83203125" bestFit="1" customWidth="1"/>
    <col min="262" max="262" width="34.33203125" bestFit="1" customWidth="1"/>
    <col min="263" max="263" width="36.33203125" bestFit="1" customWidth="1"/>
    <col min="264" max="264" width="35.83203125" bestFit="1" customWidth="1"/>
    <col min="265" max="265" width="29.33203125" bestFit="1" customWidth="1"/>
    <col min="266" max="266" width="32.1640625" bestFit="1" customWidth="1"/>
  </cols>
  <sheetData>
    <row r="1" spans="1:20" x14ac:dyDescent="0.2">
      <c r="B1" s="1" t="s">
        <v>742</v>
      </c>
    </row>
    <row r="2" spans="1:20" x14ac:dyDescent="0.2">
      <c r="B2" t="s">
        <v>55</v>
      </c>
      <c r="D2" t="s">
        <v>758</v>
      </c>
      <c r="E2" t="s">
        <v>42</v>
      </c>
      <c r="G2" t="s">
        <v>759</v>
      </c>
      <c r="H2" t="s">
        <v>72</v>
      </c>
      <c r="J2" t="s">
        <v>760</v>
      </c>
      <c r="K2" t="s">
        <v>61</v>
      </c>
      <c r="M2" t="s">
        <v>761</v>
      </c>
      <c r="N2" t="s">
        <v>67</v>
      </c>
      <c r="P2" t="s">
        <v>762</v>
      </c>
      <c r="Q2" t="s">
        <v>49</v>
      </c>
      <c r="S2" t="s">
        <v>763</v>
      </c>
      <c r="T2" t="s">
        <v>740</v>
      </c>
    </row>
    <row r="3" spans="1:20" x14ac:dyDescent="0.2">
      <c r="A3" s="1" t="s">
        <v>743</v>
      </c>
      <c r="B3" t="s">
        <v>37</v>
      </c>
      <c r="C3" t="s">
        <v>442</v>
      </c>
      <c r="E3" t="s">
        <v>37</v>
      </c>
      <c r="F3" t="s">
        <v>442</v>
      </c>
      <c r="H3" t="s">
        <v>37</v>
      </c>
      <c r="I3" t="s">
        <v>442</v>
      </c>
      <c r="K3" t="s">
        <v>37</v>
      </c>
      <c r="L3" t="s">
        <v>442</v>
      </c>
      <c r="N3" t="s">
        <v>37</v>
      </c>
      <c r="O3" t="s">
        <v>442</v>
      </c>
      <c r="Q3" t="s">
        <v>37</v>
      </c>
      <c r="R3" t="s">
        <v>442</v>
      </c>
    </row>
    <row r="4" spans="1:20" x14ac:dyDescent="0.2">
      <c r="A4" s="2" t="s">
        <v>744</v>
      </c>
      <c r="B4" s="3">
        <v>8</v>
      </c>
      <c r="C4" s="3">
        <v>12</v>
      </c>
      <c r="D4" s="3">
        <v>20</v>
      </c>
      <c r="E4" s="3">
        <v>5</v>
      </c>
      <c r="F4" s="3">
        <v>10</v>
      </c>
      <c r="G4" s="3">
        <v>15</v>
      </c>
      <c r="H4" s="3">
        <v>2</v>
      </c>
      <c r="I4" s="3">
        <v>9</v>
      </c>
      <c r="J4" s="3">
        <v>11</v>
      </c>
      <c r="K4" s="3">
        <v>10</v>
      </c>
      <c r="L4" s="3">
        <v>11</v>
      </c>
      <c r="M4" s="3">
        <v>21</v>
      </c>
      <c r="N4" s="3">
        <v>9</v>
      </c>
      <c r="O4" s="3">
        <v>9</v>
      </c>
      <c r="P4" s="3">
        <v>18</v>
      </c>
      <c r="Q4" s="3">
        <v>10</v>
      </c>
      <c r="R4" s="3">
        <v>7</v>
      </c>
      <c r="S4" s="3">
        <v>17</v>
      </c>
      <c r="T4" s="3">
        <v>102</v>
      </c>
    </row>
    <row r="5" spans="1:20" x14ac:dyDescent="0.2">
      <c r="A5" s="2" t="s">
        <v>745</v>
      </c>
      <c r="B5" s="3">
        <v>39</v>
      </c>
      <c r="C5" s="3">
        <v>36</v>
      </c>
      <c r="D5" s="3">
        <v>75</v>
      </c>
      <c r="E5" s="3">
        <v>42</v>
      </c>
      <c r="F5" s="3">
        <v>46</v>
      </c>
      <c r="G5" s="3">
        <v>88</v>
      </c>
      <c r="H5" s="3">
        <v>19</v>
      </c>
      <c r="I5" s="3">
        <v>29</v>
      </c>
      <c r="J5" s="3">
        <v>48</v>
      </c>
      <c r="K5" s="3">
        <v>41</v>
      </c>
      <c r="L5" s="3">
        <v>38</v>
      </c>
      <c r="M5" s="3">
        <v>79</v>
      </c>
      <c r="N5" s="3">
        <v>41</v>
      </c>
      <c r="O5" s="3">
        <v>35</v>
      </c>
      <c r="P5" s="3">
        <v>76</v>
      </c>
      <c r="Q5" s="3">
        <v>34</v>
      </c>
      <c r="R5" s="3">
        <v>32</v>
      </c>
      <c r="S5" s="3">
        <v>66</v>
      </c>
      <c r="T5" s="3">
        <v>432</v>
      </c>
    </row>
    <row r="6" spans="1:20" x14ac:dyDescent="0.2">
      <c r="A6" s="2" t="s">
        <v>746</v>
      </c>
      <c r="B6" s="3">
        <v>22</v>
      </c>
      <c r="C6" s="3">
        <v>23</v>
      </c>
      <c r="D6" s="3">
        <v>45</v>
      </c>
      <c r="E6" s="3">
        <v>26</v>
      </c>
      <c r="F6" s="3">
        <v>27</v>
      </c>
      <c r="G6" s="3">
        <v>53</v>
      </c>
      <c r="H6" s="3">
        <v>11</v>
      </c>
      <c r="I6" s="3">
        <v>5</v>
      </c>
      <c r="J6" s="3">
        <v>16</v>
      </c>
      <c r="K6" s="3">
        <v>20</v>
      </c>
      <c r="L6" s="3">
        <v>13</v>
      </c>
      <c r="M6" s="3">
        <v>33</v>
      </c>
      <c r="N6" s="3">
        <v>20</v>
      </c>
      <c r="O6" s="3">
        <v>16</v>
      </c>
      <c r="P6" s="3">
        <v>36</v>
      </c>
      <c r="Q6" s="3">
        <v>15</v>
      </c>
      <c r="R6" s="3">
        <v>18</v>
      </c>
      <c r="S6" s="3">
        <v>33</v>
      </c>
      <c r="T6" s="3">
        <v>216</v>
      </c>
    </row>
    <row r="7" spans="1:20" x14ac:dyDescent="0.2">
      <c r="A7" s="2" t="s">
        <v>747</v>
      </c>
      <c r="B7" s="3">
        <v>14</v>
      </c>
      <c r="C7" s="3">
        <v>12</v>
      </c>
      <c r="D7" s="3">
        <v>26</v>
      </c>
      <c r="E7" s="3">
        <v>18</v>
      </c>
      <c r="F7" s="3">
        <v>22</v>
      </c>
      <c r="G7" s="3">
        <v>40</v>
      </c>
      <c r="H7" s="3">
        <v>11</v>
      </c>
      <c r="I7" s="3">
        <v>17</v>
      </c>
      <c r="J7" s="3">
        <v>28</v>
      </c>
      <c r="K7" s="3">
        <v>17</v>
      </c>
      <c r="L7" s="3">
        <v>21</v>
      </c>
      <c r="M7" s="3">
        <v>38</v>
      </c>
      <c r="N7" s="3">
        <v>21</v>
      </c>
      <c r="O7" s="3">
        <v>18</v>
      </c>
      <c r="P7" s="3">
        <v>39</v>
      </c>
      <c r="Q7" s="3">
        <v>21</v>
      </c>
      <c r="R7" s="3">
        <v>11</v>
      </c>
      <c r="S7" s="3">
        <v>32</v>
      </c>
      <c r="T7" s="3">
        <v>203</v>
      </c>
    </row>
    <row r="8" spans="1:20" x14ac:dyDescent="0.2">
      <c r="A8" s="2" t="s">
        <v>748</v>
      </c>
      <c r="B8" s="3">
        <v>17</v>
      </c>
      <c r="C8" s="3">
        <v>16</v>
      </c>
      <c r="D8" s="3">
        <v>33</v>
      </c>
      <c r="E8" s="3">
        <v>22</v>
      </c>
      <c r="F8" s="3">
        <v>24</v>
      </c>
      <c r="G8" s="3">
        <v>46</v>
      </c>
      <c r="H8" s="3">
        <v>11</v>
      </c>
      <c r="I8" s="3">
        <v>16</v>
      </c>
      <c r="J8" s="3">
        <v>27</v>
      </c>
      <c r="K8" s="3">
        <v>25</v>
      </c>
      <c r="L8" s="3">
        <v>20</v>
      </c>
      <c r="M8" s="3">
        <v>45</v>
      </c>
      <c r="N8" s="3">
        <v>16</v>
      </c>
      <c r="O8" s="3">
        <v>16</v>
      </c>
      <c r="P8" s="3">
        <v>32</v>
      </c>
      <c r="Q8" s="3">
        <v>12</v>
      </c>
      <c r="R8" s="3">
        <v>19</v>
      </c>
      <c r="S8" s="3">
        <v>31</v>
      </c>
      <c r="T8" s="3">
        <v>214</v>
      </c>
    </row>
    <row r="9" spans="1:20" x14ac:dyDescent="0.2">
      <c r="A9" s="2" t="s">
        <v>749</v>
      </c>
      <c r="B9" s="3">
        <v>0</v>
      </c>
      <c r="C9" s="3">
        <v>0</v>
      </c>
      <c r="D9" s="3">
        <v>0</v>
      </c>
      <c r="E9" s="3">
        <v>0</v>
      </c>
      <c r="F9" s="3">
        <v>0</v>
      </c>
      <c r="G9" s="3">
        <v>0</v>
      </c>
      <c r="H9" s="3">
        <v>0</v>
      </c>
      <c r="I9" s="3">
        <v>0</v>
      </c>
      <c r="J9" s="3">
        <v>0</v>
      </c>
      <c r="K9" s="3">
        <v>0</v>
      </c>
      <c r="L9" s="3">
        <v>0</v>
      </c>
      <c r="M9" s="3">
        <v>0</v>
      </c>
      <c r="N9" s="3">
        <v>0</v>
      </c>
      <c r="O9" s="3">
        <v>0</v>
      </c>
      <c r="P9" s="3">
        <v>0</v>
      </c>
      <c r="Q9" s="3">
        <v>0</v>
      </c>
      <c r="R9" s="3">
        <v>0</v>
      </c>
      <c r="S9" s="3">
        <v>0</v>
      </c>
      <c r="T9" s="3">
        <v>0</v>
      </c>
    </row>
    <row r="10" spans="1:20" x14ac:dyDescent="0.2">
      <c r="A10" s="2" t="s">
        <v>750</v>
      </c>
      <c r="B10" s="3">
        <v>39</v>
      </c>
      <c r="C10" s="3">
        <v>36</v>
      </c>
      <c r="D10" s="3">
        <v>75</v>
      </c>
      <c r="E10" s="3">
        <v>42</v>
      </c>
      <c r="F10" s="3">
        <v>46</v>
      </c>
      <c r="G10" s="3">
        <v>88</v>
      </c>
      <c r="H10" s="3">
        <v>19</v>
      </c>
      <c r="I10" s="3">
        <v>29</v>
      </c>
      <c r="J10" s="3">
        <v>48</v>
      </c>
      <c r="K10" s="3">
        <v>41</v>
      </c>
      <c r="L10" s="3">
        <v>38</v>
      </c>
      <c r="M10" s="3">
        <v>79</v>
      </c>
      <c r="N10" s="3">
        <v>41</v>
      </c>
      <c r="O10" s="3">
        <v>35</v>
      </c>
      <c r="P10" s="3">
        <v>76</v>
      </c>
      <c r="Q10" s="3">
        <v>34</v>
      </c>
      <c r="R10" s="3">
        <v>32</v>
      </c>
      <c r="S10" s="3">
        <v>66</v>
      </c>
      <c r="T10" s="3">
        <v>432</v>
      </c>
    </row>
    <row r="11" spans="1:20" x14ac:dyDescent="0.2">
      <c r="A11" s="2" t="s">
        <v>751</v>
      </c>
      <c r="B11" s="3">
        <v>3</v>
      </c>
      <c r="C11" s="3">
        <v>8</v>
      </c>
      <c r="D11" s="3">
        <v>11</v>
      </c>
      <c r="E11" s="3">
        <v>4</v>
      </c>
      <c r="F11" s="3">
        <v>9</v>
      </c>
      <c r="G11" s="3">
        <v>13</v>
      </c>
      <c r="H11" s="3">
        <v>1</v>
      </c>
      <c r="I11" s="3">
        <v>6</v>
      </c>
      <c r="J11" s="3">
        <v>7</v>
      </c>
      <c r="K11" s="3">
        <v>6</v>
      </c>
      <c r="L11" s="3">
        <v>5</v>
      </c>
      <c r="M11" s="3">
        <v>11</v>
      </c>
      <c r="N11" s="3">
        <v>3</v>
      </c>
      <c r="O11" s="3">
        <v>5</v>
      </c>
      <c r="P11" s="3">
        <v>8</v>
      </c>
      <c r="Q11" s="3">
        <v>6</v>
      </c>
      <c r="R11" s="3">
        <v>3</v>
      </c>
      <c r="S11" s="3">
        <v>9</v>
      </c>
      <c r="T11" s="3">
        <v>59</v>
      </c>
    </row>
    <row r="12" spans="1:20" x14ac:dyDescent="0.2">
      <c r="A12" s="2" t="s">
        <v>752</v>
      </c>
      <c r="B12" s="3">
        <v>39</v>
      </c>
      <c r="C12" s="3">
        <v>36</v>
      </c>
      <c r="D12" s="3">
        <v>75</v>
      </c>
      <c r="E12" s="3">
        <v>42</v>
      </c>
      <c r="F12" s="3">
        <v>46</v>
      </c>
      <c r="G12" s="3">
        <v>88</v>
      </c>
      <c r="H12" s="3">
        <v>19</v>
      </c>
      <c r="I12" s="3">
        <v>29</v>
      </c>
      <c r="J12" s="3">
        <v>48</v>
      </c>
      <c r="K12" s="3">
        <v>41</v>
      </c>
      <c r="L12" s="3">
        <v>38</v>
      </c>
      <c r="M12" s="3">
        <v>79</v>
      </c>
      <c r="N12" s="3">
        <v>41</v>
      </c>
      <c r="O12" s="3">
        <v>35</v>
      </c>
      <c r="P12" s="3">
        <v>76</v>
      </c>
      <c r="Q12" s="3">
        <v>34</v>
      </c>
      <c r="R12" s="3">
        <v>32</v>
      </c>
      <c r="S12" s="3">
        <v>66</v>
      </c>
      <c r="T12" s="3">
        <v>432</v>
      </c>
    </row>
    <row r="13" spans="1:20" x14ac:dyDescent="0.2">
      <c r="A13" s="2" t="s">
        <v>753</v>
      </c>
      <c r="B13" s="3">
        <v>12</v>
      </c>
      <c r="C13" s="3">
        <v>6</v>
      </c>
      <c r="D13" s="3">
        <v>18</v>
      </c>
      <c r="E13" s="3">
        <v>13</v>
      </c>
      <c r="F13" s="3">
        <v>15</v>
      </c>
      <c r="G13" s="3">
        <v>28</v>
      </c>
      <c r="H13" s="3">
        <v>6</v>
      </c>
      <c r="I13" s="3">
        <v>2</v>
      </c>
      <c r="J13" s="3">
        <v>8</v>
      </c>
      <c r="K13" s="3">
        <v>8</v>
      </c>
      <c r="L13" s="3">
        <v>4</v>
      </c>
      <c r="M13" s="3">
        <v>12</v>
      </c>
      <c r="N13" s="3">
        <v>7</v>
      </c>
      <c r="O13" s="3">
        <v>5</v>
      </c>
      <c r="P13" s="3">
        <v>12</v>
      </c>
      <c r="Q13" s="3">
        <v>4</v>
      </c>
      <c r="R13" s="3">
        <v>8</v>
      </c>
      <c r="S13" s="3">
        <v>12</v>
      </c>
      <c r="T13" s="3">
        <v>90</v>
      </c>
    </row>
    <row r="14" spans="1:20" x14ac:dyDescent="0.2">
      <c r="A14" s="2" t="s">
        <v>754</v>
      </c>
      <c r="B14" s="3">
        <v>10</v>
      </c>
      <c r="C14" s="3">
        <v>7</v>
      </c>
      <c r="D14" s="3">
        <v>17</v>
      </c>
      <c r="E14" s="3">
        <v>13</v>
      </c>
      <c r="F14" s="3">
        <v>21</v>
      </c>
      <c r="G14" s="3">
        <v>34</v>
      </c>
      <c r="H14" s="3">
        <v>6</v>
      </c>
      <c r="I14" s="3">
        <v>10</v>
      </c>
      <c r="J14" s="3">
        <v>16</v>
      </c>
      <c r="K14" s="3">
        <v>10</v>
      </c>
      <c r="L14" s="3">
        <v>11</v>
      </c>
      <c r="M14" s="3">
        <v>21</v>
      </c>
      <c r="N14" s="3">
        <v>12</v>
      </c>
      <c r="O14" s="3">
        <v>15</v>
      </c>
      <c r="P14" s="3">
        <v>27</v>
      </c>
      <c r="Q14" s="3">
        <v>13</v>
      </c>
      <c r="R14" s="3">
        <v>7</v>
      </c>
      <c r="S14" s="3">
        <v>20</v>
      </c>
      <c r="T14" s="3">
        <v>135</v>
      </c>
    </row>
    <row r="15" spans="1:20" x14ac:dyDescent="0.2">
      <c r="A15" s="2" t="s">
        <v>755</v>
      </c>
      <c r="B15" s="3">
        <v>6</v>
      </c>
      <c r="C15" s="3">
        <v>9</v>
      </c>
      <c r="D15" s="3">
        <v>15</v>
      </c>
      <c r="E15" s="3">
        <v>10</v>
      </c>
      <c r="F15" s="3">
        <v>7</v>
      </c>
      <c r="G15" s="3">
        <v>17</v>
      </c>
      <c r="H15" s="3">
        <v>6</v>
      </c>
      <c r="I15" s="3">
        <v>7</v>
      </c>
      <c r="J15" s="3">
        <v>13</v>
      </c>
      <c r="K15" s="3">
        <v>12</v>
      </c>
      <c r="L15" s="3">
        <v>11</v>
      </c>
      <c r="M15" s="3">
        <v>23</v>
      </c>
      <c r="N15" s="3">
        <v>6</v>
      </c>
      <c r="O15" s="3">
        <v>8</v>
      </c>
      <c r="P15" s="3">
        <v>14</v>
      </c>
      <c r="Q15" s="3">
        <v>6</v>
      </c>
      <c r="R15" s="3">
        <v>6</v>
      </c>
      <c r="S15" s="3">
        <v>12</v>
      </c>
      <c r="T15" s="3">
        <v>94</v>
      </c>
    </row>
    <row r="16" spans="1:20" x14ac:dyDescent="0.2">
      <c r="A16" s="2" t="s">
        <v>756</v>
      </c>
      <c r="B16" s="3">
        <v>0</v>
      </c>
      <c r="C16" s="3">
        <v>0</v>
      </c>
      <c r="D16" s="3">
        <v>0</v>
      </c>
      <c r="E16" s="3">
        <v>0</v>
      </c>
      <c r="F16" s="3">
        <v>0</v>
      </c>
      <c r="G16" s="3">
        <v>0</v>
      </c>
      <c r="H16" s="3">
        <v>0</v>
      </c>
      <c r="I16" s="3">
        <v>0</v>
      </c>
      <c r="J16" s="3">
        <v>0</v>
      </c>
      <c r="K16" s="3">
        <v>0</v>
      </c>
      <c r="L16" s="3">
        <v>0</v>
      </c>
      <c r="M16" s="3">
        <v>0</v>
      </c>
      <c r="N16" s="3">
        <v>0</v>
      </c>
      <c r="O16" s="3">
        <v>0</v>
      </c>
      <c r="P16" s="3">
        <v>0</v>
      </c>
      <c r="Q16" s="3">
        <v>0</v>
      </c>
      <c r="R16" s="3">
        <v>0</v>
      </c>
      <c r="S16" s="3">
        <v>0</v>
      </c>
      <c r="T16" s="3">
        <v>0</v>
      </c>
    </row>
    <row r="17" spans="1:20" x14ac:dyDescent="0.2">
      <c r="A17" s="2" t="s">
        <v>757</v>
      </c>
      <c r="B17" s="3">
        <v>0</v>
      </c>
      <c r="C17" s="3">
        <v>0</v>
      </c>
      <c r="D17" s="3">
        <v>0</v>
      </c>
      <c r="E17" s="3">
        <v>0</v>
      </c>
      <c r="F17" s="3">
        <v>1</v>
      </c>
      <c r="G17" s="3">
        <v>1</v>
      </c>
      <c r="H17" s="3">
        <v>0</v>
      </c>
      <c r="I17" s="3">
        <v>0</v>
      </c>
      <c r="J17" s="3">
        <v>0</v>
      </c>
      <c r="K17" s="3">
        <v>1</v>
      </c>
      <c r="L17" s="3">
        <v>0</v>
      </c>
      <c r="M17" s="3">
        <v>1</v>
      </c>
      <c r="N17" s="3">
        <v>0</v>
      </c>
      <c r="O17" s="3">
        <v>0</v>
      </c>
      <c r="P17" s="3">
        <v>0</v>
      </c>
      <c r="Q17" s="3">
        <v>0</v>
      </c>
      <c r="R17" s="3">
        <v>0</v>
      </c>
      <c r="S17" s="3">
        <v>0</v>
      </c>
      <c r="T17" s="3">
        <v>2</v>
      </c>
    </row>
    <row r="20" spans="1:20" x14ac:dyDescent="0.2">
      <c r="B20" t="s">
        <v>765</v>
      </c>
      <c r="D20" t="s">
        <v>766</v>
      </c>
      <c r="F20" t="s">
        <v>767</v>
      </c>
      <c r="H20" t="s">
        <v>768</v>
      </c>
      <c r="J20" t="s">
        <v>769</v>
      </c>
      <c r="L20" t="s">
        <v>770</v>
      </c>
    </row>
    <row r="21" spans="1:20" x14ac:dyDescent="0.2">
      <c r="B21" t="s">
        <v>37</v>
      </c>
      <c r="C21" t="s">
        <v>442</v>
      </c>
      <c r="D21" t="s">
        <v>37</v>
      </c>
      <c r="E21" t="s">
        <v>442</v>
      </c>
      <c r="F21" t="s">
        <v>37</v>
      </c>
      <c r="G21" t="s">
        <v>442</v>
      </c>
      <c r="H21" t="s">
        <v>37</v>
      </c>
      <c r="I21" t="s">
        <v>442</v>
      </c>
      <c r="J21" t="s">
        <v>37</v>
      </c>
      <c r="K21" t="s">
        <v>442</v>
      </c>
      <c r="L21" t="s">
        <v>37</v>
      </c>
      <c r="M21" t="s">
        <v>442</v>
      </c>
    </row>
    <row r="22" spans="1:20" x14ac:dyDescent="0.2">
      <c r="A22" t="s">
        <v>60</v>
      </c>
      <c r="B22">
        <f>B11/B4</f>
        <v>0.375</v>
      </c>
      <c r="C22">
        <f>C11/C4</f>
        <v>0.66666666666666663</v>
      </c>
      <c r="D22">
        <f>E11/E4</f>
        <v>0.8</v>
      </c>
      <c r="E22">
        <f>F11/F4</f>
        <v>0.9</v>
      </c>
      <c r="F22">
        <f>H11/H4</f>
        <v>0.5</v>
      </c>
      <c r="G22">
        <f>I11/I4</f>
        <v>0.66666666666666663</v>
      </c>
      <c r="H22">
        <f>K11/K4</f>
        <v>0.6</v>
      </c>
      <c r="I22">
        <f>L11/L4</f>
        <v>0.45454545454545453</v>
      </c>
      <c r="J22">
        <f>N11/N4</f>
        <v>0.33333333333333331</v>
      </c>
      <c r="K22">
        <f>O11/O4</f>
        <v>0.55555555555555558</v>
      </c>
      <c r="L22">
        <f>Q11/Q4</f>
        <v>0.6</v>
      </c>
      <c r="M22">
        <f>R11/R4</f>
        <v>0.42857142857142855</v>
      </c>
    </row>
    <row r="23" spans="1:20" x14ac:dyDescent="0.2">
      <c r="A23" t="s">
        <v>65</v>
      </c>
      <c r="B23">
        <f>B12/B5</f>
        <v>1</v>
      </c>
      <c r="C23">
        <f t="shared" ref="C23:M23" si="0">C12/C5</f>
        <v>1</v>
      </c>
      <c r="D23">
        <f>E12/E5</f>
        <v>1</v>
      </c>
      <c r="E23">
        <f>F12/F5</f>
        <v>1</v>
      </c>
      <c r="F23">
        <f>H12/H5</f>
        <v>1</v>
      </c>
      <c r="G23">
        <f>I12/I5</f>
        <v>1</v>
      </c>
      <c r="H23">
        <f>K12/K5</f>
        <v>1</v>
      </c>
      <c r="I23">
        <f>L12/L5</f>
        <v>1</v>
      </c>
      <c r="J23">
        <f>N12/N5</f>
        <v>1</v>
      </c>
      <c r="K23">
        <f>O12/O5</f>
        <v>1</v>
      </c>
      <c r="L23">
        <f>Q12/Q5</f>
        <v>1</v>
      </c>
      <c r="M23">
        <f>R12/R5</f>
        <v>1</v>
      </c>
    </row>
    <row r="24" spans="1:20" x14ac:dyDescent="0.2">
      <c r="A24" t="s">
        <v>48</v>
      </c>
      <c r="B24">
        <f>B13/B6</f>
        <v>0.54545454545454541</v>
      </c>
      <c r="C24">
        <f>C13/C6</f>
        <v>0.2608695652173913</v>
      </c>
      <c r="D24">
        <f>E13/E6</f>
        <v>0.5</v>
      </c>
      <c r="E24">
        <f>F13/F6</f>
        <v>0.55555555555555558</v>
      </c>
      <c r="F24">
        <f>H13/H6</f>
        <v>0.54545454545454541</v>
      </c>
      <c r="G24">
        <f>I13/I6</f>
        <v>0.4</v>
      </c>
      <c r="H24">
        <f>K13/K6</f>
        <v>0.4</v>
      </c>
      <c r="I24">
        <f>L13/L6</f>
        <v>0.30769230769230771</v>
      </c>
      <c r="J24">
        <f>N13/N6</f>
        <v>0.35</v>
      </c>
      <c r="K24">
        <f>O13/O6</f>
        <v>0.3125</v>
      </c>
      <c r="L24">
        <f>Q13/Q6</f>
        <v>0.26666666666666666</v>
      </c>
      <c r="M24">
        <f>R13/R6</f>
        <v>0.44444444444444442</v>
      </c>
    </row>
    <row r="25" spans="1:20" x14ac:dyDescent="0.2">
      <c r="A25" t="s">
        <v>47</v>
      </c>
      <c r="B25">
        <f>B14/B7</f>
        <v>0.7142857142857143</v>
      </c>
      <c r="C25">
        <f>C14/C7</f>
        <v>0.58333333333333337</v>
      </c>
      <c r="D25">
        <f>E14/E7</f>
        <v>0.72222222222222221</v>
      </c>
      <c r="E25">
        <f>F14/F7</f>
        <v>0.95454545454545459</v>
      </c>
      <c r="F25">
        <f>H14/H7</f>
        <v>0.54545454545454541</v>
      </c>
      <c r="G25">
        <f>I14/I7</f>
        <v>0.58823529411764708</v>
      </c>
      <c r="H25">
        <f>K14/K7</f>
        <v>0.58823529411764708</v>
      </c>
      <c r="I25">
        <f>L14/L7</f>
        <v>0.52380952380952384</v>
      </c>
      <c r="J25">
        <f>N14/N7</f>
        <v>0.5714285714285714</v>
      </c>
      <c r="K25">
        <f>O14/O7</f>
        <v>0.83333333333333337</v>
      </c>
      <c r="L25">
        <f>Q14/Q7</f>
        <v>0.61904761904761907</v>
      </c>
      <c r="M25">
        <f>R14/R7</f>
        <v>0.63636363636363635</v>
      </c>
    </row>
    <row r="26" spans="1:20" x14ac:dyDescent="0.2">
      <c r="A26" t="s">
        <v>46</v>
      </c>
      <c r="B26">
        <f>B15/B8</f>
        <v>0.35294117647058826</v>
      </c>
      <c r="C26">
        <f>C15/C8</f>
        <v>0.5625</v>
      </c>
      <c r="D26">
        <f>E15/E8</f>
        <v>0.45454545454545453</v>
      </c>
      <c r="E26">
        <f>F15/F8</f>
        <v>0.29166666666666669</v>
      </c>
      <c r="F26">
        <f>H15/H8</f>
        <v>0.54545454545454541</v>
      </c>
      <c r="G26">
        <f>I15/I8</f>
        <v>0.4375</v>
      </c>
      <c r="H26">
        <f>K15/K8</f>
        <v>0.48</v>
      </c>
      <c r="I26">
        <f>L15/L8</f>
        <v>0.55000000000000004</v>
      </c>
      <c r="J26">
        <f>N15/N8</f>
        <v>0.375</v>
      </c>
      <c r="K26">
        <f>O15/O8</f>
        <v>0.5</v>
      </c>
      <c r="L26">
        <f>Q15/Q8</f>
        <v>0.5</v>
      </c>
      <c r="M26">
        <f>R15/R8</f>
        <v>0.31578947368421051</v>
      </c>
    </row>
    <row r="27" spans="1:20" x14ac:dyDescent="0.2">
      <c r="A27" t="s">
        <v>771</v>
      </c>
      <c r="B27">
        <f>B17/B10</f>
        <v>0</v>
      </c>
      <c r="C27">
        <f>C17/C10</f>
        <v>0</v>
      </c>
      <c r="D27">
        <f>E17/E10</f>
        <v>0</v>
      </c>
      <c r="E27">
        <f>F17/F10</f>
        <v>2.1739130434782608E-2</v>
      </c>
      <c r="F27">
        <f>H17/H10</f>
        <v>0</v>
      </c>
      <c r="G27">
        <f>I17/I10</f>
        <v>0</v>
      </c>
      <c r="H27">
        <f>K17/K10</f>
        <v>2.4390243902439025E-2</v>
      </c>
      <c r="I27">
        <f>L17/L10</f>
        <v>0</v>
      </c>
      <c r="J27">
        <f>N17/N10</f>
        <v>0</v>
      </c>
      <c r="K27">
        <f>O17/O10</f>
        <v>0</v>
      </c>
      <c r="L27">
        <f>Q17/Q10</f>
        <v>0</v>
      </c>
      <c r="M27">
        <f>R17/R10</f>
        <v>0</v>
      </c>
    </row>
    <row r="29" spans="1:20" x14ac:dyDescent="0.2">
      <c r="B29" t="s">
        <v>37</v>
      </c>
      <c r="C29" t="s">
        <v>442</v>
      </c>
    </row>
    <row r="30" spans="1:20" x14ac:dyDescent="0.2">
      <c r="A30" t="s">
        <v>60</v>
      </c>
      <c r="B30">
        <f>AVERAGE(B22,D22,F22,H22,J22,L22)</f>
        <v>0.53472222222222221</v>
      </c>
      <c r="C30">
        <f>AVERAGE(C22,E22,G22,I22,K22,M22)</f>
        <v>0.61200096200096199</v>
      </c>
    </row>
    <row r="31" spans="1:20" x14ac:dyDescent="0.2">
      <c r="A31" t="s">
        <v>65</v>
      </c>
      <c r="B31">
        <f>AVERAGE(B23,D23,F23,H23,J23,L23)</f>
        <v>1</v>
      </c>
      <c r="C31">
        <f>AVERAGE(C23,E23,G23,I23,K23,M23)</f>
        <v>1</v>
      </c>
    </row>
    <row r="32" spans="1:20" x14ac:dyDescent="0.2">
      <c r="A32" t="s">
        <v>48</v>
      </c>
      <c r="B32">
        <f>AVERAGE(B24,D24,F24,H24,J24,L24)</f>
        <v>0.43459595959595959</v>
      </c>
      <c r="C32">
        <f>AVERAGE(C24,E24,G24,I24,K24,M24)</f>
        <v>0.38017697881828316</v>
      </c>
    </row>
    <row r="33" spans="1:3" x14ac:dyDescent="0.2">
      <c r="A33" t="s">
        <v>47</v>
      </c>
      <c r="B33">
        <f>AVERAGE(B25,D25,F25,H25,J25,L25)</f>
        <v>0.62677899442605323</v>
      </c>
      <c r="C33">
        <f>AVERAGE(C25,E25,G25,I25,K25,M25)</f>
        <v>0.68660342925048823</v>
      </c>
    </row>
    <row r="34" spans="1:3" x14ac:dyDescent="0.2">
      <c r="A34" t="s">
        <v>46</v>
      </c>
      <c r="B34">
        <f>AVERAGE(B26,D26,F26,H26,J26,L26)</f>
        <v>0.45132352941176473</v>
      </c>
      <c r="C34">
        <f>AVERAGE(C26,E26,G26,I26,K26,M26)</f>
        <v>0.44290935672514625</v>
      </c>
    </row>
    <row r="35" spans="1:3" x14ac:dyDescent="0.2">
      <c r="A35" t="s">
        <v>771</v>
      </c>
      <c r="B35">
        <f>AVERAGE(B27,D27,F27,H27,J27,L27)</f>
        <v>4.0650406504065045E-3</v>
      </c>
      <c r="C35">
        <f>AVERAGE(C27,E27,G27,I27,K27,M27)</f>
        <v>3.6231884057971015E-3</v>
      </c>
    </row>
  </sheetData>
  <pageMargins left="0.7" right="0.7" top="0.75" bottom="0.75" header="0.3" footer="0.3"/>
  <drawing r:id="rId2"/>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
  <sheetViews>
    <sheetView workbookViewId="0"/>
  </sheetViews>
  <sheetFormatPr baseColWidth="10" defaultRowHeight="16" x14ac:dyDescent="0.2"/>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2" baseType="variant">
      <vt:variant>
        <vt:lpstr>Worksheets</vt:lpstr>
      </vt:variant>
      <vt:variant>
        <vt:i4>18</vt:i4>
      </vt:variant>
    </vt:vector>
  </HeadingPairs>
  <TitlesOfParts>
    <vt:vector size="18" baseType="lpstr">
      <vt:lpstr>finite_total</vt:lpstr>
      <vt:lpstr>total pivot</vt:lpstr>
      <vt:lpstr>messing with hists</vt:lpstr>
      <vt:lpstr>hists</vt:lpstr>
      <vt:lpstr>eh</vt:lpstr>
      <vt:lpstr>tot, mo low seen</vt:lpstr>
      <vt:lpstr>mo low seen</vt:lpstr>
      <vt:lpstr>tot exh moh mol seen</vt:lpstr>
      <vt:lpstr>exh moh mol</vt:lpstr>
      <vt:lpstr>tot exh and moh</vt:lpstr>
      <vt:lpstr>exh and mo-h</vt:lpstr>
      <vt:lpstr>tot, mo low chosen</vt:lpstr>
      <vt:lpstr>mo low chosen</vt:lpstr>
      <vt:lpstr>tot exh chosen</vt:lpstr>
      <vt:lpstr>exh chosen</vt:lpstr>
      <vt:lpstr>tot moh chosen</vt:lpstr>
      <vt:lpstr>moh chosen</vt:lpstr>
      <vt:lpstr>Sheet19</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Microsoft Office User</dc:creator>
  <cp:lastModifiedBy>Microsoft Office User</cp:lastModifiedBy>
  <dcterms:created xsi:type="dcterms:W3CDTF">2018-08-28T14:12:04Z</dcterms:created>
  <dcterms:modified xsi:type="dcterms:W3CDTF">2018-08-29T00:07:20Z</dcterms:modified>
</cp:coreProperties>
</file>